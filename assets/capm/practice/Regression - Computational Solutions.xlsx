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3 Practice\Regression - Computational\"/>
    </mc:Choice>
  </mc:AlternateContent>
  <xr:revisionPtr revIDLastSave="0" documentId="13_ncr:1_{65C0411E-3CE1-4406-AA58-1FD05AC59119}" xr6:coauthVersionLast="37" xr6:coauthVersionMax="37" xr10:uidLastSave="{00000000-0000-0000-0000-000000000000}"/>
  <bookViews>
    <workbookView xWindow="0" yWindow="0" windowWidth="19200" windowHeight="7548" activeTab="2" xr2:uid="{CE040042-029B-4747-BD3E-3DAEB8DF9094}"/>
  </bookViews>
  <sheets>
    <sheet name="Computational" sheetId="14" r:id="rId1"/>
    <sheet name="Regression" sheetId="16" r:id="rId2"/>
    <sheet name="Template" sheetId="11" r:id="rId3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3" i="16" l="1"/>
  <c r="G6" i="16" s="1"/>
  <c r="F2" i="16"/>
  <c r="F5" i="16" s="1"/>
  <c r="F6" i="16" l="1"/>
  <c r="B20" i="16"/>
</calcChain>
</file>

<file path=xl/sharedStrings.xml><?xml version="1.0" encoding="utf-8"?>
<sst xmlns="http://schemas.openxmlformats.org/spreadsheetml/2006/main" count="228" uniqueCount="64">
  <si>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</si>
  <si>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</si>
  <si>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</si>
  <si>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</si>
  <si>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</si>
  <si>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</si>
  <si>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</si>
  <si>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</si>
  <si>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</si>
  <si>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</si>
  <si>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</si>
  <si>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</si>
  <si>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</si>
  <si>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</si>
  <si>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</si>
  <si>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</si>
  <si>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</si>
  <si>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</si>
  <si>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</si>
  <si>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</si>
  <si>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Excess Market Return</t>
  </si>
  <si>
    <t>Critical Value</t>
  </si>
  <si>
    <t>&lt;-- Intermediate calculation for CI</t>
  </si>
  <si>
    <t>n</t>
  </si>
  <si>
    <t>n-2</t>
  </si>
  <si>
    <t>n-1</t>
  </si>
  <si>
    <t>sqrt(MSE)</t>
  </si>
  <si>
    <t>SSR/SST</t>
  </si>
  <si>
    <t>SS(y_hat)</t>
  </si>
  <si>
    <t>SS(e)</t>
  </si>
  <si>
    <t>SSR+SSE</t>
  </si>
  <si>
    <t>SSR/dfR</t>
  </si>
  <si>
    <t>SSE/dfe</t>
  </si>
  <si>
    <t>COV(Ri,Rm)/VAR(Rm)</t>
  </si>
  <si>
    <t>y_bar-beta*x_bar</t>
  </si>
  <si>
    <t>2*T.DIST(-ABS(tstat_alpha),dfe,TRUE)</t>
  </si>
  <si>
    <t>2*T.DIST(-ABS(tstat_beta),dfe,TRUE)</t>
  </si>
  <si>
    <t>alpha-cv*SE_alpha</t>
  </si>
  <si>
    <t>beta-cv*SE_beta</t>
  </si>
  <si>
    <t>alpha+cv*SE_alpha</t>
  </si>
  <si>
    <t>beta+cv*SE_beta</t>
  </si>
  <si>
    <t>T.INV(1-0.05/2,dfe)</t>
  </si>
  <si>
    <t>alpha/SE_alpha</t>
  </si>
  <si>
    <t>beta/SE_beta</t>
  </si>
  <si>
    <t>SE_alpha</t>
  </si>
  <si>
    <t>SE_beta</t>
  </si>
  <si>
    <t>x</t>
  </si>
  <si>
    <t>y</t>
  </si>
  <si>
    <t>Questions:</t>
  </si>
  <si>
    <t>1. Regress x onto y</t>
  </si>
  <si>
    <t>3. What is the coefficent of determination?</t>
  </si>
  <si>
    <t>4. Test alpha=1 with significance level=5%. Perform all types of alternative hypothesis tests (two-sided, one-sided) and using all methods to conduct tests (t-stat, P-val, CI).</t>
  </si>
  <si>
    <t>6. Analytically replicate Excel's regression output.</t>
  </si>
  <si>
    <t>t-stat</t>
  </si>
  <si>
    <t>P-val</t>
  </si>
  <si>
    <t>cv</t>
  </si>
  <si>
    <t>CI</t>
  </si>
  <si>
    <t>2. Predict x if y=5.</t>
  </si>
  <si>
    <t>5. Repeat (4) for beta=1.5.</t>
  </si>
  <si>
    <t>F</t>
  </si>
  <si>
    <t>Significance F</t>
  </si>
  <si>
    <t>Lower 95.0%</t>
  </si>
  <si>
    <t>Upper 95.0%</t>
  </si>
  <si>
    <t>sqrt(s^2/SSX)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</si>
</sst>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165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Fill="1" applyBorder="1" applyAlignment="1"/>
    <xf numFmtId="2" fontId="2" fillId="0" borderId="0" xfId="0" applyNumberFormat="1" applyFont="1" applyFill="1" applyBorder="1" applyAlignment="1"/>
    <xf numFmtId="2" fontId="2" fillId="2" borderId="0" xfId="0" applyNumberFormat="1" applyFont="1" applyFill="1" applyBorder="1" applyAlignment="1"/>
    <xf numFmtId="1" fontId="2" fillId="2" borderId="0" xfId="0" applyNumberFormat="1" applyFont="1" applyFill="1" applyBorder="1" applyAlignment="1"/>
    <xf numFmtId="164" fontId="2" fillId="0" borderId="0" xfId="0" applyNumberFormat="1" applyFont="1"/>
    <xf numFmtId="2" fontId="2" fillId="0" borderId="0" xfId="0" applyNumberFormat="1" applyFont="1"/>
    <xf numFmtId="0" fontId="2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0" borderId="2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2" fontId="2" fillId="2" borderId="0" xfId="0" quotePrefix="1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2" fontId="2" fillId="2" borderId="3" xfId="0" quotePrefix="1" applyNumberFormat="1" applyFont="1" applyFill="1" applyBorder="1" applyAlignment="1">
      <alignment horizontal="center"/>
    </xf>
    <xf numFmtId="2" fontId="2" fillId="2" borderId="3" xfId="0" applyNumberFormat="1" applyFont="1" applyFill="1" applyBorder="1" applyAlignment="1">
      <alignment horizontal="center"/>
    </xf>
    <xf numFmtId="0" fontId="5" fillId="0" borderId="0" xfId="0" applyFont="1"/>
    <xf numFmtId="2" fontId="5" fillId="0" borderId="0" xfId="0" applyNumberFormat="1" applyFont="1"/>
    <xf numFmtId="0" fontId="6" fillId="0" borderId="1" xfId="0" applyFont="1" applyFill="1" applyBorder="1" applyAlignment="1">
      <alignment horizontal="centerContinuous"/>
    </xf>
    <xf numFmtId="0" fontId="5" fillId="0" borderId="0" xfId="0" applyFont="1" applyFill="1" applyBorder="1" applyAlignment="1"/>
    <xf numFmtId="9" fontId="5" fillId="0" borderId="0" xfId="1" applyFont="1" applyFill="1" applyBorder="1" applyAlignment="1"/>
    <xf numFmtId="9" fontId="5" fillId="0" borderId="0" xfId="1" applyFont="1"/>
    <xf numFmtId="0" fontId="5" fillId="0" borderId="2" xfId="0" applyFont="1" applyFill="1" applyBorder="1" applyAlignment="1"/>
    <xf numFmtId="0" fontId="6" fillId="0" borderId="1" xfId="0" applyFont="1" applyFill="1" applyBorder="1" applyAlignment="1">
      <alignment horizontal="center"/>
    </xf>
    <xf numFmtId="2" fontId="5" fillId="0" borderId="0" xfId="0" applyNumberFormat="1" applyFont="1" applyFill="1" applyBorder="1" applyAlignment="1"/>
    <xf numFmtId="2" fontId="5" fillId="0" borderId="2" xfId="0" applyNumberFormat="1" applyFont="1" applyFill="1" applyBorder="1" applyAlignment="1"/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2" fontId="0" fillId="2" borderId="3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7AEA-4244-4E75-8DFC-A586994E7065}">
  <dimension ref="A1:D51"/>
  <sheetViews>
    <sheetView workbookViewId="0">
      <pane ySplit="1" topLeftCell="A2" activePane="bottomLeft" state="frozen"/>
      <selection pane="bottomLeft" activeCell="D5" sqref="D5"/>
    </sheetView>
  </sheetViews>
  <sheetFormatPr defaultRowHeight="15.6" x14ac:dyDescent="0.3"/>
  <cols>
    <col min="1" max="2" width="5.69921875" style="1" bestFit="1" customWidth="1"/>
  </cols>
  <sheetData>
    <row r="1" spans="1:4" x14ac:dyDescent="0.3">
      <c r="A1" s="1" t="s">
        <v>47</v>
      </c>
      <c r="B1" s="1" t="s">
        <v>46</v>
      </c>
      <c r="D1" t="s">
        <v>48</v>
      </c>
    </row>
    <row r="2" spans="1:4" x14ac:dyDescent="0.3">
      <c r="A2" s="1">
        <v>6.6621219970702139</v>
      </c>
      <c r="B2" s="1">
        <v>12.246990924515339</v>
      </c>
      <c r="D2" t="s">
        <v>49</v>
      </c>
    </row>
    <row r="3" spans="1:4" x14ac:dyDescent="0.3">
      <c r="A3" s="1">
        <v>-2.6119931582710052</v>
      </c>
      <c r="B3" s="1">
        <v>-3.1940219856647052</v>
      </c>
      <c r="D3" t="s">
        <v>57</v>
      </c>
    </row>
    <row r="4" spans="1:4" x14ac:dyDescent="0.3">
      <c r="A4" s="1">
        <v>4.5177958730035286</v>
      </c>
      <c r="B4" s="1">
        <v>6.8811320344472788</v>
      </c>
      <c r="D4" t="s">
        <v>50</v>
      </c>
    </row>
    <row r="5" spans="1:4" x14ac:dyDescent="0.3">
      <c r="A5" s="1">
        <v>9.0529711543173974</v>
      </c>
      <c r="B5" s="1">
        <v>14.456012544828486</v>
      </c>
      <c r="D5" t="s">
        <v>51</v>
      </c>
    </row>
    <row r="6" spans="1:4" x14ac:dyDescent="0.3">
      <c r="A6" s="1">
        <v>6.1315776593164024</v>
      </c>
      <c r="B6" s="1">
        <v>10.966079244294662</v>
      </c>
      <c r="D6" t="s">
        <v>58</v>
      </c>
    </row>
    <row r="7" spans="1:4" x14ac:dyDescent="0.3">
      <c r="A7" s="1">
        <v>-3.2058693887503154E-2</v>
      </c>
      <c r="B7" s="1">
        <v>1.192910154280963</v>
      </c>
      <c r="D7" t="s">
        <v>52</v>
      </c>
    </row>
    <row r="8" spans="1:4" x14ac:dyDescent="0.3">
      <c r="A8" s="1">
        <v>-0.78176537853597994</v>
      </c>
      <c r="B8" s="1">
        <v>-1.1806073888755875</v>
      </c>
    </row>
    <row r="9" spans="1:4" x14ac:dyDescent="0.3">
      <c r="A9" s="1">
        <v>-3.1206681747712475</v>
      </c>
      <c r="B9" s="1">
        <v>-3.1101664627410623</v>
      </c>
    </row>
    <row r="10" spans="1:4" x14ac:dyDescent="0.3">
      <c r="A10" s="1">
        <v>2.7997436212524631</v>
      </c>
      <c r="B10" s="1">
        <v>6.0839404234356094</v>
      </c>
    </row>
    <row r="11" spans="1:4" x14ac:dyDescent="0.3">
      <c r="A11" s="1">
        <v>0.19657925512568131</v>
      </c>
      <c r="B11" s="1">
        <v>0.18884887184358412</v>
      </c>
    </row>
    <row r="12" spans="1:4" x14ac:dyDescent="0.3">
      <c r="A12" s="1">
        <v>4.9298590149301971</v>
      </c>
      <c r="B12" s="1">
        <v>10.317001870971898</v>
      </c>
    </row>
    <row r="13" spans="1:4" x14ac:dyDescent="0.3">
      <c r="A13" s="1">
        <v>3.4361492056662182</v>
      </c>
      <c r="B13" s="1">
        <v>7.0033396275997122</v>
      </c>
    </row>
    <row r="14" spans="1:4" x14ac:dyDescent="0.3">
      <c r="A14" s="1">
        <v>5.8549843649697237</v>
      </c>
      <c r="B14" s="1">
        <v>10.350534535668622</v>
      </c>
    </row>
    <row r="15" spans="1:4" x14ac:dyDescent="0.3">
      <c r="A15" s="1">
        <v>-13.105030663264298</v>
      </c>
      <c r="B15" s="1">
        <v>-18.829761599154441</v>
      </c>
    </row>
    <row r="16" spans="1:4" x14ac:dyDescent="0.3">
      <c r="A16" s="1">
        <v>11.471324286257701</v>
      </c>
      <c r="B16" s="1">
        <v>17.721751758939011</v>
      </c>
    </row>
    <row r="17" spans="1:2" x14ac:dyDescent="0.3">
      <c r="A17" s="1">
        <v>13.496443278543396</v>
      </c>
      <c r="B17" s="1">
        <v>22.195956392570274</v>
      </c>
    </row>
    <row r="18" spans="1:2" x14ac:dyDescent="0.3">
      <c r="A18" s="1">
        <v>9.3392850688028552</v>
      </c>
      <c r="B18" s="1">
        <v>15.525884923119074</v>
      </c>
    </row>
    <row r="19" spans="1:2" x14ac:dyDescent="0.3">
      <c r="A19" s="1">
        <v>-3.0853259616263884</v>
      </c>
      <c r="B19" s="1">
        <v>-3.3013236528328234</v>
      </c>
    </row>
    <row r="20" spans="1:2" x14ac:dyDescent="0.3">
      <c r="A20" s="1">
        <v>2.2609957304461812</v>
      </c>
      <c r="B20" s="1">
        <v>5.5948475528632642</v>
      </c>
    </row>
    <row r="21" spans="1:2" x14ac:dyDescent="0.3">
      <c r="A21" s="1">
        <v>3.1328025211987245</v>
      </c>
      <c r="B21" s="1">
        <v>5.2562402486598243</v>
      </c>
    </row>
    <row r="22" spans="1:2" x14ac:dyDescent="0.3">
      <c r="A22" s="1">
        <v>0.90497993978296032</v>
      </c>
      <c r="B22" s="1">
        <v>-0.16574006016834675</v>
      </c>
    </row>
    <row r="23" spans="1:2" x14ac:dyDescent="0.3">
      <c r="A23" s="1">
        <v>-1.1462715750121273</v>
      </c>
      <c r="B23" s="1">
        <v>0.92332453206851772</v>
      </c>
    </row>
    <row r="24" spans="1:2" x14ac:dyDescent="0.3">
      <c r="A24" s="1">
        <v>8.2353795736547077</v>
      </c>
      <c r="B24" s="1">
        <v>13.863530933035312</v>
      </c>
    </row>
    <row r="25" spans="1:2" x14ac:dyDescent="0.3">
      <c r="A25" s="1">
        <v>-2.4629541825839754</v>
      </c>
      <c r="B25" s="1">
        <v>-1.7222611511631376</v>
      </c>
    </row>
    <row r="26" spans="1:2" x14ac:dyDescent="0.3">
      <c r="A26" s="1">
        <v>-2.4714522353827295</v>
      </c>
      <c r="B26" s="1">
        <v>-2.0599994034821898</v>
      </c>
    </row>
    <row r="27" spans="1:2" x14ac:dyDescent="0.3">
      <c r="A27" s="1">
        <v>-1.1083711319927589</v>
      </c>
      <c r="B27" s="1">
        <v>0.50602388729895753</v>
      </c>
    </row>
    <row r="28" spans="1:2" x14ac:dyDescent="0.3">
      <c r="A28" s="1">
        <v>8.9475232040286912</v>
      </c>
      <c r="B28" s="1">
        <v>13.467243139426426</v>
      </c>
    </row>
    <row r="29" spans="1:2" x14ac:dyDescent="0.3">
      <c r="A29" s="1">
        <v>10.4089076198205</v>
      </c>
      <c r="B29" s="1">
        <v>15.59702931872808</v>
      </c>
    </row>
    <row r="30" spans="1:2" x14ac:dyDescent="0.3">
      <c r="A30" s="1">
        <v>8.9241889577414373</v>
      </c>
      <c r="B30" s="1">
        <v>15.095559654125562</v>
      </c>
    </row>
    <row r="31" spans="1:2" x14ac:dyDescent="0.3">
      <c r="A31" s="1">
        <v>8.9828901702940307</v>
      </c>
      <c r="B31" s="1">
        <v>15.18420043527715</v>
      </c>
    </row>
    <row r="32" spans="1:2" x14ac:dyDescent="0.3">
      <c r="A32" s="1">
        <v>0.88291484624549543</v>
      </c>
      <c r="B32" s="1">
        <v>3.2379460491875069</v>
      </c>
    </row>
    <row r="33" spans="1:2" x14ac:dyDescent="0.3">
      <c r="A33" s="1">
        <v>9.2061499142813528</v>
      </c>
      <c r="B33" s="1">
        <v>15.855138397976855</v>
      </c>
    </row>
    <row r="34" spans="1:2" x14ac:dyDescent="0.3">
      <c r="A34" s="1">
        <v>3.7119761050152396</v>
      </c>
      <c r="B34" s="1">
        <v>7.2363620845800876</v>
      </c>
    </row>
    <row r="35" spans="1:2" x14ac:dyDescent="0.3">
      <c r="A35" s="1">
        <v>4.8724592655435188</v>
      </c>
      <c r="B35" s="1">
        <v>7.1439519673226375</v>
      </c>
    </row>
    <row r="36" spans="1:2" x14ac:dyDescent="0.3">
      <c r="A36" s="1">
        <v>5.977014917998372</v>
      </c>
      <c r="B36" s="1">
        <v>10.056637274571994</v>
      </c>
    </row>
    <row r="37" spans="1:2" x14ac:dyDescent="0.3">
      <c r="A37" s="1">
        <v>-3.9712112039645122</v>
      </c>
      <c r="B37" s="1">
        <v>-6.7605386495192059</v>
      </c>
    </row>
    <row r="38" spans="1:2" x14ac:dyDescent="0.3">
      <c r="A38" s="1">
        <v>-4.4078168480716009</v>
      </c>
      <c r="B38" s="1">
        <v>-3.8003342303567176</v>
      </c>
    </row>
    <row r="39" spans="1:2" x14ac:dyDescent="0.3">
      <c r="A39" s="1">
        <v>3.971109004356538</v>
      </c>
      <c r="B39" s="1">
        <v>7.7405219240946455</v>
      </c>
    </row>
    <row r="40" spans="1:2" x14ac:dyDescent="0.3">
      <c r="A40" s="1">
        <v>3.3166140014411618</v>
      </c>
      <c r="B40" s="1">
        <v>6.4430486239723033</v>
      </c>
    </row>
    <row r="41" spans="1:2" x14ac:dyDescent="0.3">
      <c r="A41" s="1">
        <v>3.3591422325515112</v>
      </c>
      <c r="B41" s="1">
        <v>4.8436245086320255</v>
      </c>
    </row>
    <row r="42" spans="1:2" x14ac:dyDescent="0.3">
      <c r="A42" s="1">
        <v>-3.9467640134788038</v>
      </c>
      <c r="B42" s="1">
        <v>-5.1367580809570912</v>
      </c>
    </row>
    <row r="43" spans="1:2" x14ac:dyDescent="0.3">
      <c r="A43" s="1">
        <v>2.9746044078484557</v>
      </c>
      <c r="B43" s="1">
        <v>3.4260350316929129</v>
      </c>
    </row>
    <row r="44" spans="1:2" x14ac:dyDescent="0.3">
      <c r="A44" s="1">
        <v>1.0375739845495175</v>
      </c>
      <c r="B44" s="1">
        <v>2.1132905260902302</v>
      </c>
    </row>
    <row r="45" spans="1:2" x14ac:dyDescent="0.3">
      <c r="A45" s="1">
        <v>9.6302791308964757</v>
      </c>
      <c r="B45" s="1">
        <v>14.887081926423209</v>
      </c>
    </row>
    <row r="46" spans="1:2" x14ac:dyDescent="0.3">
      <c r="A46" s="1">
        <v>-2.4017791622335611</v>
      </c>
      <c r="B46" s="1">
        <v>-2.3587242693129982</v>
      </c>
    </row>
    <row r="47" spans="1:2" x14ac:dyDescent="0.3">
      <c r="A47" s="1">
        <v>-2.7390852623881248</v>
      </c>
      <c r="B47" s="1">
        <v>-4.2185684060816859</v>
      </c>
    </row>
    <row r="48" spans="1:2" x14ac:dyDescent="0.3">
      <c r="A48" s="1">
        <v>0.25704203173100026</v>
      </c>
      <c r="B48" s="1">
        <v>1.6442027973769762</v>
      </c>
    </row>
    <row r="49" spans="1:2" x14ac:dyDescent="0.3">
      <c r="A49" s="1">
        <v>2.234261761415544</v>
      </c>
      <c r="B49" s="1">
        <v>3.8556118031568718</v>
      </c>
    </row>
    <row r="50" spans="1:2" x14ac:dyDescent="0.3">
      <c r="A50" s="1">
        <v>-2.1228058961871685</v>
      </c>
      <c r="B50" s="1">
        <v>-2.3068259778491944</v>
      </c>
    </row>
    <row r="51" spans="1:2" x14ac:dyDescent="0.3">
      <c r="A51" s="1">
        <v>-8.3847994819609148</v>
      </c>
      <c r="B51" s="1">
        <v>-11.563133922086392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EEDE6-DE1C-4E85-9267-E15178EBEC9B}">
  <dimension ref="A1:I20"/>
  <sheetViews>
    <sheetView workbookViewId="0">
      <selection activeCell="F5" sqref="F5"/>
    </sheetView>
  </sheetViews>
  <sheetFormatPr defaultColWidth="9" defaultRowHeight="15.6" x14ac:dyDescent="0.3"/>
  <cols>
    <col min="1" max="16384" width="9" style="25"/>
  </cols>
  <sheetData>
    <row r="1" spans="1:9" x14ac:dyDescent="0.3">
      <c r="A1" s="25" t="s">
        <v>0</v>
      </c>
    </row>
    <row r="2" spans="1:9" ht="16.2" thickBot="1" x14ac:dyDescent="0.35">
      <c r="E2" s="25" t="s">
        <v>53</v>
      </c>
      <c r="F2" s="26">
        <f>(B18-1.5)/C18</f>
        <v>0.408706844661471</v>
      </c>
    </row>
    <row r="3" spans="1:9" x14ac:dyDescent="0.3">
      <c r="A3" s="27" t="s">
        <v>1</v>
      </c>
      <c r="B3" s="27"/>
      <c r="E3" s="25" t="s">
        <v>55</v>
      </c>
      <c r="F3" s="26">
        <f>_xlfn.T.INV(0.05,B13)</f>
        <v>-1.6772241961243386</v>
      </c>
    </row>
    <row r="4" spans="1:9" x14ac:dyDescent="0.3">
      <c r="A4" s="28" t="s">
        <v>2</v>
      </c>
      <c r="B4" s="28">
        <v>0.99286893802315734</v>
      </c>
    </row>
    <row r="5" spans="1:9" x14ac:dyDescent="0.3">
      <c r="A5" s="28" t="s">
        <v>3</v>
      </c>
      <c r="B5" s="29">
        <v>0.98578872809123219</v>
      </c>
      <c r="E5" s="25" t="s">
        <v>54</v>
      </c>
      <c r="F5" s="30">
        <f>_xlfn.T.DIST(F2,B13,TRUE)</f>
        <v>0.65771370898072812</v>
      </c>
    </row>
    <row r="6" spans="1:9" x14ac:dyDescent="0.3">
      <c r="A6" s="28" t="s">
        <v>4</v>
      </c>
      <c r="B6" s="28">
        <v>0.98549265992646617</v>
      </c>
      <c r="E6" s="25" t="s">
        <v>56</v>
      </c>
      <c r="F6" s="26">
        <f>B18-F3*C18</f>
        <v>1.5546112580668308</v>
      </c>
      <c r="G6" s="26">
        <f>B18+F3*C18</f>
        <v>1.4667892528139885</v>
      </c>
    </row>
    <row r="7" spans="1:9" x14ac:dyDescent="0.3">
      <c r="A7" s="28" t="s">
        <v>5</v>
      </c>
      <c r="B7" s="28">
        <v>0.99652144504088191</v>
      </c>
    </row>
    <row r="8" spans="1:9" ht="16.2" thickBot="1" x14ac:dyDescent="0.35">
      <c r="A8" s="31" t="s">
        <v>6</v>
      </c>
      <c r="B8" s="31">
        <v>50</v>
      </c>
    </row>
    <row r="10" spans="1:9" ht="16.2" thickBot="1" x14ac:dyDescent="0.35">
      <c r="A10" s="25" t="s">
        <v>7</v>
      </c>
    </row>
    <row r="11" spans="1:9" x14ac:dyDescent="0.3">
      <c r="A11" s="32"/>
      <c r="B11" s="32" t="s">
        <v>8</v>
      </c>
      <c r="C11" s="32" t="s">
        <v>9</v>
      </c>
      <c r="D11" s="32" t="s">
        <v>10</v>
      </c>
      <c r="E11" s="32" t="s">
        <v>59</v>
      </c>
      <c r="F11" s="32" t="s">
        <v>60</v>
      </c>
    </row>
    <row r="12" spans="1:9" x14ac:dyDescent="0.3">
      <c r="A12" s="28" t="s">
        <v>11</v>
      </c>
      <c r="B12" s="28">
        <v>1</v>
      </c>
      <c r="C12" s="28">
        <v>3306.4764552135539</v>
      </c>
      <c r="D12" s="28">
        <v>3306.4764552135539</v>
      </c>
      <c r="E12" s="28">
        <v>3329.6005629999609</v>
      </c>
      <c r="F12" s="28">
        <v>5.3116735683524271E-46</v>
      </c>
    </row>
    <row r="13" spans="1:9" x14ac:dyDescent="0.3">
      <c r="A13" s="28" t="s">
        <v>12</v>
      </c>
      <c r="B13" s="28">
        <v>48</v>
      </c>
      <c r="C13" s="28">
        <v>47.666639540465638</v>
      </c>
      <c r="D13" s="28">
        <v>0.99305499042636747</v>
      </c>
      <c r="E13" s="28"/>
      <c r="F13" s="28"/>
    </row>
    <row r="14" spans="1:9" ht="16.2" thickBot="1" x14ac:dyDescent="0.35">
      <c r="A14" s="31" t="s">
        <v>13</v>
      </c>
      <c r="B14" s="31">
        <v>49</v>
      </c>
      <c r="C14" s="31">
        <v>3354.1430947540193</v>
      </c>
      <c r="D14" s="31"/>
      <c r="E14" s="31"/>
      <c r="F14" s="31"/>
    </row>
    <row r="15" spans="1:9" ht="16.2" thickBot="1" x14ac:dyDescent="0.35"/>
    <row r="16" spans="1:9" x14ac:dyDescent="0.3">
      <c r="A16" s="32"/>
      <c r="B16" s="32" t="s">
        <v>14</v>
      </c>
      <c r="C16" s="32" t="s">
        <v>5</v>
      </c>
      <c r="D16" s="32" t="s">
        <v>15</v>
      </c>
      <c r="E16" s="32" t="s">
        <v>16</v>
      </c>
      <c r="F16" s="32" t="s">
        <v>17</v>
      </c>
      <c r="G16" s="32" t="s">
        <v>18</v>
      </c>
      <c r="H16" s="32" t="s">
        <v>61</v>
      </c>
      <c r="I16" s="32" t="s">
        <v>62</v>
      </c>
    </row>
    <row r="17" spans="1:9" x14ac:dyDescent="0.3">
      <c r="A17" s="28" t="s">
        <v>19</v>
      </c>
      <c r="B17" s="33">
        <v>1.0649675087771748</v>
      </c>
      <c r="C17" s="33">
        <v>0.15499594502405123</v>
      </c>
      <c r="D17" s="28">
        <v>6.8709378726773807</v>
      </c>
      <c r="E17" s="28">
        <v>1.1597803894287758E-8</v>
      </c>
      <c r="F17" s="28">
        <v>0.75332727442100289</v>
      </c>
      <c r="G17" s="28">
        <v>1.3766077431333468</v>
      </c>
      <c r="H17" s="28">
        <v>0.75332727442100289</v>
      </c>
      <c r="I17" s="28">
        <v>1.3766077431333468</v>
      </c>
    </row>
    <row r="18" spans="1:9" ht="16.2" thickBot="1" x14ac:dyDescent="0.35">
      <c r="A18" s="31" t="s">
        <v>47</v>
      </c>
      <c r="B18" s="34">
        <v>1.5107002554404096</v>
      </c>
      <c r="C18" s="34">
        <v>2.6180759094633198E-2</v>
      </c>
      <c r="D18" s="31">
        <v>57.702691124417726</v>
      </c>
      <c r="E18" s="31">
        <v>5.3116735683526534E-46</v>
      </c>
      <c r="F18" s="31">
        <v>1.4580603112237533</v>
      </c>
      <c r="G18" s="31">
        <v>1.5633401996570659</v>
      </c>
      <c r="H18" s="31">
        <v>1.4580603112237533</v>
      </c>
      <c r="I18" s="31">
        <v>1.5633401996570659</v>
      </c>
    </row>
    <row r="20" spans="1:9" x14ac:dyDescent="0.3">
      <c r="A20" s="25" t="s">
        <v>46</v>
      </c>
      <c r="B20" s="25">
        <f>B17+B18*5</f>
        <v>8.6184687859792231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7C16C-D8C2-4ED3-9489-F7C2B262118C}">
  <dimension ref="A1:I20"/>
  <sheetViews>
    <sheetView tabSelected="1" zoomScaleNormal="100" workbookViewId="0">
      <selection activeCell="C19" sqref="C19"/>
    </sheetView>
  </sheetViews>
  <sheetFormatPr defaultColWidth="9.09765625" defaultRowHeight="15.6" x14ac:dyDescent="0.3"/>
  <cols>
    <col min="1" max="1" width="18.3984375" style="2" bestFit="1" customWidth="1"/>
    <col min="2" max="2" width="18.19921875" style="2" bestFit="1" customWidth="1"/>
    <col min="3" max="3" width="13.5" style="2" bestFit="1" customWidth="1"/>
    <col min="4" max="4" width="13.19921875" style="2" bestFit="1" customWidth="1"/>
    <col min="5" max="5" width="31.3984375" style="2" bestFit="1" customWidth="1"/>
    <col min="6" max="6" width="15.796875" style="2" bestFit="1" customWidth="1"/>
    <col min="7" max="7" width="16.296875" style="2" bestFit="1" customWidth="1"/>
    <col min="8" max="8" width="28" style="2" bestFit="1" customWidth="1"/>
    <col min="9" max="9" width="11.8984375" style="2" bestFit="1" customWidth="1"/>
    <col min="10" max="16384" width="9.09765625" style="2"/>
  </cols>
  <sheetData>
    <row r="1" spans="1:9" x14ac:dyDescent="0.3">
      <c r="A1" s="35" t="s">
        <v>0</v>
      </c>
      <c r="B1" s="35"/>
    </row>
    <row r="2" spans="1:9" ht="16.2" thickBot="1" x14ac:dyDescent="0.35"/>
    <row r="3" spans="1:9" x14ac:dyDescent="0.3">
      <c r="A3" s="36" t="s">
        <v>1</v>
      </c>
      <c r="B3" s="36"/>
    </row>
    <row r="4" spans="1:9" x14ac:dyDescent="0.3">
      <c r="A4" s="3" t="s">
        <v>2</v>
      </c>
      <c r="B4" s="4"/>
    </row>
    <row r="5" spans="1:9" x14ac:dyDescent="0.3">
      <c r="A5" s="3" t="s">
        <v>3</v>
      </c>
      <c r="B5" s="5" t="s">
        <v>27</v>
      </c>
    </row>
    <row r="6" spans="1:9" x14ac:dyDescent="0.3">
      <c r="A6" s="3" t="s">
        <v>4</v>
      </c>
      <c r="B6" s="4"/>
    </row>
    <row r="7" spans="1:9" x14ac:dyDescent="0.3">
      <c r="A7" s="3" t="s">
        <v>5</v>
      </c>
      <c r="B7" s="6" t="s">
        <v>26</v>
      </c>
      <c r="D7" s="7"/>
      <c r="E7" s="8"/>
    </row>
    <row r="8" spans="1:9" ht="16.2" thickBot="1" x14ac:dyDescent="0.35">
      <c r="A8" s="9" t="s">
        <v>6</v>
      </c>
      <c r="B8" s="10" t="s">
        <v>23</v>
      </c>
    </row>
    <row r="10" spans="1:9" ht="16.2" thickBot="1" x14ac:dyDescent="0.35">
      <c r="A10" s="2" t="s">
        <v>7</v>
      </c>
    </row>
    <row r="11" spans="1:9" x14ac:dyDescent="0.3">
      <c r="A11" s="11"/>
      <c r="B11" s="11" t="s">
        <v>8</v>
      </c>
      <c r="C11" s="11" t="s">
        <v>9</v>
      </c>
      <c r="D11" s="11" t="s">
        <v>10</v>
      </c>
    </row>
    <row r="12" spans="1:9" x14ac:dyDescent="0.3">
      <c r="A12" s="3" t="s">
        <v>11</v>
      </c>
      <c r="B12" s="12">
        <v>1</v>
      </c>
      <c r="C12" s="13" t="s">
        <v>28</v>
      </c>
      <c r="D12" s="13" t="s">
        <v>31</v>
      </c>
      <c r="E12" s="14"/>
      <c r="F12" s="14"/>
    </row>
    <row r="13" spans="1:9" x14ac:dyDescent="0.3">
      <c r="A13" s="3" t="s">
        <v>12</v>
      </c>
      <c r="B13" s="12" t="s">
        <v>24</v>
      </c>
      <c r="C13" s="13" t="s">
        <v>29</v>
      </c>
      <c r="D13" s="13" t="s">
        <v>32</v>
      </c>
      <c r="E13" s="14"/>
      <c r="F13" s="14"/>
    </row>
    <row r="14" spans="1:9" ht="16.2" thickBot="1" x14ac:dyDescent="0.35">
      <c r="A14" s="9" t="s">
        <v>13</v>
      </c>
      <c r="B14" s="15" t="s">
        <v>25</v>
      </c>
      <c r="C14" s="16" t="s">
        <v>30</v>
      </c>
      <c r="D14" s="17"/>
      <c r="E14" s="17"/>
      <c r="F14" s="17"/>
    </row>
    <row r="15" spans="1:9" ht="16.2" thickBot="1" x14ac:dyDescent="0.35"/>
    <row r="16" spans="1:9" x14ac:dyDescent="0.3">
      <c r="A16" s="11"/>
      <c r="B16" s="11" t="s">
        <v>14</v>
      </c>
      <c r="C16" s="18" t="s">
        <v>5</v>
      </c>
      <c r="D16" s="11" t="s">
        <v>15</v>
      </c>
      <c r="E16" s="11" t="s">
        <v>16</v>
      </c>
      <c r="F16" s="11" t="s">
        <v>17</v>
      </c>
      <c r="G16" s="11" t="s">
        <v>18</v>
      </c>
      <c r="H16" s="19"/>
      <c r="I16" s="19"/>
    </row>
    <row r="17" spans="1:9" x14ac:dyDescent="0.3">
      <c r="A17" s="3" t="s">
        <v>19</v>
      </c>
      <c r="B17" s="20" t="s">
        <v>34</v>
      </c>
      <c r="C17" s="21" t="s">
        <v>44</v>
      </c>
      <c r="D17" s="22" t="s">
        <v>42</v>
      </c>
      <c r="E17" s="22" t="s">
        <v>35</v>
      </c>
      <c r="F17" s="22" t="s">
        <v>37</v>
      </c>
      <c r="G17" s="22" t="s">
        <v>39</v>
      </c>
      <c r="H17" s="4"/>
      <c r="I17" s="4"/>
    </row>
    <row r="18" spans="1:9" ht="16.2" thickBot="1" x14ac:dyDescent="0.35">
      <c r="A18" s="9" t="s">
        <v>20</v>
      </c>
      <c r="B18" s="23" t="s">
        <v>33</v>
      </c>
      <c r="C18" s="37" t="s">
        <v>63</v>
      </c>
      <c r="D18" s="24" t="s">
        <v>43</v>
      </c>
      <c r="E18" s="24" t="s">
        <v>36</v>
      </c>
      <c r="F18" s="24" t="s">
        <v>38</v>
      </c>
      <c r="G18" s="24" t="s">
        <v>40</v>
      </c>
      <c r="H18" s="4"/>
      <c r="I18" s="4"/>
    </row>
    <row r="20" spans="1:9" x14ac:dyDescent="0.3">
      <c r="F20" s="2" t="s">
        <v>21</v>
      </c>
      <c r="G20" s="8" t="s">
        <v>41</v>
      </c>
      <c r="H20" s="2" t="s">
        <v>22</v>
      </c>
    </row>
  </sheetData>
  <mergeCells count="2">
    <mergeCell ref="A1:B1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Computational</vt:lpstr>
      <vt:lpstr>Regression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2017-09-15T18:29:26Z</dcterms:created>
  <dcterms:modified xsi:type="dcterms:W3CDTF">2018-09-30T05:06:08Z</dcterms:modified>
</cp:coreProperties>
</file>