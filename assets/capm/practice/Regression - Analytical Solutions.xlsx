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\Dropbox\Courses\Teaching\FIN 203\FIN 203 Fall 2018\3 CAPM\3 Practice\Regression - Analytical\"/>
    </mc:Choice>
  </mc:AlternateContent>
  <xr:revisionPtr revIDLastSave="0" documentId="13_ncr:1_{9BB90FEC-C293-4D2A-B0AB-E504E1300166}" xr6:coauthVersionLast="37" xr6:coauthVersionMax="37" xr10:uidLastSave="{00000000-0000-0000-0000-000000000000}"/>
  <bookViews>
    <workbookView xWindow="0" yWindow="0" windowWidth="19200" windowHeight="7548" xr2:uid="{CE040042-029B-4747-BD3E-3DAEB8DF9094}"/>
  </bookViews>
  <sheets>
    <sheet name="Analytical" sheetId="15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5" i="15" l="1"/>
  <c r="C19" i="15" l="1"/>
  <c r="C18" i="15"/>
  <c r="C15" i="15"/>
  <c r="C16" i="15" s="1"/>
  <c r="C12" i="15"/>
  <c r="C13" i="15" s="1"/>
  <c r="C14" i="15" s="1"/>
  <c r="D14" i="15" s="1"/>
  <c r="C9" i="15"/>
  <c r="D10" i="15" s="1"/>
  <c r="C6" i="15"/>
  <c r="C7" i="15" s="1"/>
  <c r="C1" i="15"/>
  <c r="C2" i="15" s="1"/>
  <c r="C3" i="15" s="1"/>
  <c r="C10" i="15" l="1"/>
</calcChain>
</file>

<file path=xl/sharedStrings.xml><?xml version="1.0" encoding="utf-8"?>
<sst xmlns="http://schemas.openxmlformats.org/spreadsheetml/2006/main" count="21" uniqueCount="17">
  <si>
    <t>Problem 1</t>
  </si>
  <si>
    <t>SSE</t>
  </si>
  <si>
    <t>MSE</t>
  </si>
  <si>
    <t>s</t>
  </si>
  <si>
    <t>Problem 2</t>
  </si>
  <si>
    <t>SE</t>
  </si>
  <si>
    <t>t-stat</t>
  </si>
  <si>
    <t>P-val</t>
  </si>
  <si>
    <t>Problem 3</t>
  </si>
  <si>
    <t>cv</t>
  </si>
  <si>
    <t>CI</t>
  </si>
  <si>
    <t>Problem 4</t>
  </si>
  <si>
    <t>alpha</t>
  </si>
  <si>
    <t>beta</t>
  </si>
  <si>
    <t>var</t>
  </si>
  <si>
    <t>Problem 5</t>
  </si>
  <si>
    <t>Fail to reject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</si>
</sst>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2" fontId="0" fillId="0" borderId="0" xfId="0" applyNumberFormat="1"/>
    <xf numFmtId="9" fontId="0" fillId="0" borderId="0" xfId="1" applyFont="1"/>
    <xf numFmtId="10" fontId="0" fillId="0" borderId="0" xfId="1" applyNumberFormat="1" applyFont="1"/>
    <xf numFmtId="166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077B6-4E33-4E05-A0DA-E91DA132717F}">
  <dimension ref="A1:D20"/>
  <sheetViews>
    <sheetView tabSelected="1" workbookViewId="0">
      <selection activeCell="C7" sqref="C7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>
        <f>350/0.8-350</f>
        <v>87.5</v>
      </c>
    </row>
    <row r="2" spans="1:4" x14ac:dyDescent="0.3">
      <c r="B2" t="s">
        <v>2</v>
      </c>
      <c r="C2" s="1">
        <f>C1/399</f>
        <v>0.21929824561403508</v>
      </c>
    </row>
    <row r="3" spans="1:4" x14ac:dyDescent="0.3">
      <c r="B3" t="s">
        <v>3</v>
      </c>
      <c r="C3" s="1">
        <f>SQRT(C2)</f>
        <v>0.46829290579084698</v>
      </c>
    </row>
    <row r="5" spans="1:4" x14ac:dyDescent="0.3">
      <c r="A5" t="s">
        <v>4</v>
      </c>
      <c r="B5" t="s">
        <v>5</v>
      </c>
      <c r="C5">
        <f>(0.3-0)/0.5</f>
        <v>0.6</v>
      </c>
    </row>
    <row r="6" spans="1:4" x14ac:dyDescent="0.3">
      <c r="B6" t="s">
        <v>6</v>
      </c>
      <c r="C6">
        <f>(0.3-0.5)/C5</f>
        <v>-0.33333333333333337</v>
      </c>
    </row>
    <row r="7" spans="1:4" x14ac:dyDescent="0.3">
      <c r="B7" t="s">
        <v>7</v>
      </c>
      <c r="C7" s="2">
        <f>1-_xlfn.T.DIST(C6,400-2,TRUE)</f>
        <v>0.63047089378100574</v>
      </c>
    </row>
    <row r="9" spans="1:4" x14ac:dyDescent="0.3">
      <c r="A9" t="s">
        <v>8</v>
      </c>
      <c r="B9" t="s">
        <v>9</v>
      </c>
      <c r="C9" s="1">
        <f>_xlfn.T.INV(0.1,400)</f>
        <v>-1.2836715995703107</v>
      </c>
    </row>
    <row r="10" spans="1:4" x14ac:dyDescent="0.3">
      <c r="B10" t="s">
        <v>10</v>
      </c>
      <c r="C10" s="1">
        <f>0.8+C9*0.2</f>
        <v>0.5432656800859379</v>
      </c>
      <c r="D10" s="1">
        <f>0.8-C9*0.2</f>
        <v>1.0567343199140622</v>
      </c>
    </row>
    <row r="12" spans="1:4" x14ac:dyDescent="0.3">
      <c r="A12" t="s">
        <v>11</v>
      </c>
      <c r="B12" t="s">
        <v>9</v>
      </c>
      <c r="C12" s="1">
        <f>ABS(_xlfn.T.INV(0.025,400))</f>
        <v>1.9659123432294732</v>
      </c>
    </row>
    <row r="13" spans="1:4" x14ac:dyDescent="0.3">
      <c r="B13" t="s">
        <v>5</v>
      </c>
      <c r="C13" s="1">
        <f>1.01/(3-C12)</f>
        <v>0.97670636854350146</v>
      </c>
    </row>
    <row r="14" spans="1:4" x14ac:dyDescent="0.3">
      <c r="B14" t="s">
        <v>12</v>
      </c>
      <c r="C14" s="1">
        <f>3*C13</f>
        <v>2.9301191056305043</v>
      </c>
      <c r="D14" s="3">
        <f>C14/100</f>
        <v>2.9301191056305041E-2</v>
      </c>
    </row>
    <row r="15" spans="1:4" x14ac:dyDescent="0.3">
      <c r="B15" t="s">
        <v>13</v>
      </c>
      <c r="C15">
        <f>(10-2.93)/5</f>
        <v>1.4140000000000001</v>
      </c>
    </row>
    <row r="16" spans="1:4" x14ac:dyDescent="0.3">
      <c r="B16" t="s">
        <v>14</v>
      </c>
      <c r="C16" s="4">
        <f>0.1/C15</f>
        <v>7.0721357850070721E-2</v>
      </c>
    </row>
    <row r="18" spans="1:3" x14ac:dyDescent="0.3">
      <c r="A18" t="s">
        <v>15</v>
      </c>
      <c r="B18" t="s">
        <v>6</v>
      </c>
      <c r="C18" s="1">
        <f>(1.4-0.9)/0.7</f>
        <v>0.71428571428571419</v>
      </c>
    </row>
    <row r="19" spans="1:3" x14ac:dyDescent="0.3">
      <c r="B19" t="s">
        <v>9</v>
      </c>
      <c r="C19" s="1">
        <f>_xlfn.T.INV(0.95,500)</f>
        <v>1.6479068539295096</v>
      </c>
    </row>
    <row r="20" spans="1:3" x14ac:dyDescent="0.3">
      <c r="B2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Analytical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2017-09-15T18:29:26Z</dcterms:created>
  <dcterms:modified xsi:type="dcterms:W3CDTF">2018-09-30T05:04:45Z</dcterms:modified>
</cp:coreProperties>
</file>