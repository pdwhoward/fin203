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8\3 CAPM\2 Exercises\1 Apple\"/>
    </mc:Choice>
  </mc:AlternateContent>
  <xr:revisionPtr revIDLastSave="0" documentId="13_ncr:1_{0B455B50-1669-4DE0-AE4E-508E2E5751FA}" xr6:coauthVersionLast="37" xr6:coauthVersionMax="37" xr10:uidLastSave="{00000000-0000-0000-0000-000000000000}"/>
  <bookViews>
    <workbookView xWindow="0" yWindow="0" windowWidth="18000" windowHeight="9084" xr2:uid="{00000000-000D-0000-FFFF-FFFF00000000}"/>
  </bookViews>
  <sheets>
    <sheet name="Returns" sheetId="1" r:id="rId1"/>
    <sheet name="Regression" sheetId="20" r:id="rId2"/>
    <sheet name="Prediction" sheetId="9" r:id="rId3"/>
    <sheet name="Returns Plot" sheetId="2" r:id="rId4"/>
    <sheet name="Residual Plot" sheetId="19" r:id="rId5"/>
  </sheet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C3" i="9" l="1"/>
  <c r="D3" i="9"/>
  <c r="C4" i="9"/>
  <c r="D4" i="9"/>
  <c r="C5" i="9"/>
  <c r="D5" i="9"/>
  <c r="C6" i="9"/>
  <c r="D6" i="9"/>
  <c r="C7" i="9"/>
  <c r="D7" i="9"/>
  <c r="C8" i="9"/>
  <c r="D8" i="9"/>
  <c r="C9" i="9"/>
  <c r="D9" i="9"/>
  <c r="C10" i="9"/>
  <c r="D10" i="9"/>
  <c r="C11" i="9"/>
  <c r="D11" i="9"/>
  <c r="C12" i="9"/>
  <c r="D12" i="9"/>
  <c r="C13" i="9"/>
  <c r="D13" i="9"/>
  <c r="C14" i="9"/>
  <c r="D14" i="9"/>
  <c r="C15" i="9"/>
  <c r="D15" i="9"/>
  <c r="C16" i="9"/>
  <c r="D16" i="9"/>
  <c r="C17" i="9"/>
  <c r="D17" i="9"/>
  <c r="C18" i="9"/>
  <c r="D18" i="9"/>
  <c r="C19" i="9"/>
  <c r="D19" i="9"/>
  <c r="C20" i="9"/>
  <c r="D20" i="9"/>
  <c r="C21" i="9"/>
  <c r="D21" i="9"/>
  <c r="C22" i="9"/>
  <c r="D22" i="9"/>
  <c r="C23" i="9"/>
  <c r="D23" i="9"/>
  <c r="C24" i="9"/>
  <c r="D24" i="9"/>
  <c r="C25" i="9"/>
  <c r="D25" i="9"/>
  <c r="C26" i="9"/>
  <c r="D26" i="9"/>
  <c r="C27" i="9"/>
  <c r="D27" i="9"/>
  <c r="C28" i="9"/>
  <c r="D28" i="9"/>
  <c r="C29" i="9"/>
  <c r="D29" i="9"/>
  <c r="C30" i="9"/>
  <c r="D30" i="9"/>
  <c r="C31" i="9"/>
  <c r="D31" i="9"/>
  <c r="C32" i="9"/>
  <c r="D32" i="9"/>
  <c r="C33" i="9"/>
  <c r="D33" i="9"/>
  <c r="C34" i="9"/>
  <c r="D34" i="9"/>
  <c r="C35" i="9"/>
  <c r="D35" i="9"/>
  <c r="C36" i="9"/>
  <c r="D36" i="9"/>
  <c r="C37" i="9"/>
  <c r="D37" i="9"/>
  <c r="C38" i="9"/>
  <c r="D38" i="9"/>
  <c r="C39" i="9"/>
  <c r="D39" i="9"/>
  <c r="C40" i="9"/>
  <c r="D40" i="9"/>
  <c r="D2" i="9"/>
  <c r="C2" i="9"/>
  <c r="G4" i="9"/>
  <c r="G3" i="9"/>
  <c r="G6" i="9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2" i="9"/>
  <c r="G5" i="9"/>
  <c r="J4" i="1"/>
  <c r="J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2" i="1"/>
  <c r="A3" i="9" l="1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</calcChain>
</file>

<file path=xl/sharedStrings.xml><?xml version="1.0" encoding="utf-8"?>
<sst xmlns="http://schemas.openxmlformats.org/spreadsheetml/2006/main" count="45" uniqueCount="41">
  <si>
    <t>Market Return</t>
  </si>
  <si>
    <t>Apple's Return</t>
  </si>
  <si>
    <t>Date</t>
  </si>
  <si>
    <t>Excess Market Return</t>
  </si>
  <si>
    <t>Excess Apple Return</t>
  </si>
  <si>
    <t>SUMMARY OUTPUT</t>
  </si>
  <si>
    <t>Regression Statistics</t>
  </si>
  <si>
    <t>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</si>
  <si>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</si>
  <si>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</si>
  <si>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</si>
  <si>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</si>
  <si>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</si>
  <si>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</si>
  <si>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</si>
  <si>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</si>
  <si>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</si>
  <si>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</si>
  <si>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Coefficients</t>
  </si>
  <si>
    <t>t Stat</t>
  </si>
  <si>
    <t>P-value</t>
  </si>
  <si>
    <t>Lower 95%</t>
  </si>
  <si>
    <t>Upper 95%</t>
  </si>
  <si>
    <t>RESIDUAL OUTPUT</t>
  </si>
  <si>
    <t>Observation</t>
  </si>
  <si>
    <t>Predicted Excess Apple Return</t>
  </si>
  <si>
    <t>Residuals</t>
  </si>
  <si>
    <t>Predicted Apple Excess Return</t>
  </si>
  <si>
    <t>y_bar</t>
  </si>
  <si>
    <t>x_bar</t>
  </si>
  <si>
    <t>SSX</t>
  </si>
  <si>
    <t>Lower 95% CI</t>
  </si>
  <si>
    <t>Upper 95% CI</t>
  </si>
  <si>
    <t>Rf</t>
  </si>
  <si>
    <t>Sample Error</t>
  </si>
  <si>
    <t>Market Risk Premium</t>
  </si>
  <si>
    <t>Apple's Risk Premium</t>
  </si>
  <si>
    <t>cv</t>
  </si>
  <si>
    <t>s</t>
  </si>
  <si>
    <t>n</t>
  </si>
  <si>
    <t>xbar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</si>
</sst>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mm/yy"/>
    <numFmt numFmtId="167" formatCode="0.0000000000000000"/>
    <numFmt numFmtId="168" formatCode="0.0%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16" fillId="0" borderId="0" xfId="0" applyFont="1"/>
    <xf numFmtId="1" fontId="16" fillId="0" borderId="0" xfId="0" applyNumberFormat="1" applyFont="1"/>
    <xf numFmtId="164" fontId="16" fillId="0" borderId="0" xfId="0" applyNumberFormat="1" applyFont="1"/>
    <xf numFmtId="167" fontId="16" fillId="0" borderId="0" xfId="0" applyNumberFormat="1" applyFont="1"/>
    <xf numFmtId="165" fontId="0" fillId="0" borderId="0" xfId="0" applyNumberFormat="1" applyFont="1"/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0" fillId="0" borderId="0" xfId="0" applyFont="1" applyAlignment="1">
      <alignment horizontal="right"/>
    </xf>
    <xf numFmtId="9" fontId="0" fillId="0" borderId="0" xfId="42" applyFont="1" applyAlignment="1">
      <alignment horizontal="center"/>
    </xf>
    <xf numFmtId="9" fontId="0" fillId="34" borderId="0" xfId="42" applyFont="1" applyFill="1" applyAlignment="1">
      <alignment horizontal="center"/>
    </xf>
    <xf numFmtId="168" fontId="0" fillId="0" borderId="0" xfId="42" applyNumberFormat="1" applyFont="1" applyAlignment="1">
      <alignment horizontal="center"/>
    </xf>
    <xf numFmtId="168" fontId="0" fillId="0" borderId="0" xfId="42" applyNumberFormat="1" applyFont="1" applyFill="1" applyAlignment="1">
      <alignment horizontal="center"/>
    </xf>
    <xf numFmtId="168" fontId="0" fillId="34" borderId="0" xfId="42" applyNumberFormat="1" applyFont="1" applyFill="1" applyAlignment="1">
      <alignment horizontal="center"/>
    </xf>
    <xf numFmtId="10" fontId="0" fillId="0" borderId="0" xfId="42" applyNumberFormat="1" applyFont="1" applyAlignment="1">
      <alignment horizontal="center"/>
    </xf>
    <xf numFmtId="164" fontId="0" fillId="34" borderId="0" xfId="0" applyNumberFormat="1" applyFont="1" applyFill="1"/>
    <xf numFmtId="0" fontId="18" fillId="0" borderId="0" xfId="0" applyFont="1"/>
    <xf numFmtId="0" fontId="19" fillId="0" borderId="11" xfId="0" applyFont="1" applyFill="1" applyBorder="1" applyAlignment="1">
      <alignment horizontal="centerContinuous"/>
    </xf>
    <xf numFmtId="0" fontId="18" fillId="0" borderId="0" xfId="0" applyFont="1" applyFill="1" applyBorder="1" applyAlignment="1"/>
    <xf numFmtId="2" fontId="18" fillId="34" borderId="0" xfId="0" applyNumberFormat="1" applyFont="1" applyFill="1" applyBorder="1" applyAlignment="1"/>
    <xf numFmtId="2" fontId="18" fillId="0" borderId="0" xfId="0" applyNumberFormat="1" applyFont="1" applyFill="1" applyBorder="1" applyAlignment="1"/>
    <xf numFmtId="0" fontId="18" fillId="0" borderId="10" xfId="0" applyFont="1" applyFill="1" applyBorder="1" applyAlignment="1"/>
    <xf numFmtId="1" fontId="18" fillId="34" borderId="10" xfId="0" applyNumberFormat="1" applyFont="1" applyFill="1" applyBorder="1" applyAlignment="1"/>
    <xf numFmtId="0" fontId="19" fillId="0" borderId="11" xfId="0" applyFont="1" applyFill="1" applyBorder="1" applyAlignment="1">
      <alignment horizontal="center"/>
    </xf>
    <xf numFmtId="1" fontId="18" fillId="34" borderId="0" xfId="0" applyNumberFormat="1" applyFont="1" applyFill="1" applyBorder="1" applyAlignment="1"/>
    <xf numFmtId="164" fontId="18" fillId="34" borderId="0" xfId="0" applyNumberFormat="1" applyFont="1" applyFill="1" applyBorder="1" applyAlignment="1"/>
    <xf numFmtId="164" fontId="18" fillId="34" borderId="10" xfId="0" applyNumberFormat="1" applyFont="1" applyFill="1" applyBorder="1" applyAlignment="1"/>
    <xf numFmtId="164" fontId="18" fillId="0" borderId="10" xfId="0" applyNumberFormat="1" applyFont="1" applyFill="1" applyBorder="1" applyAlignment="1"/>
    <xf numFmtId="2" fontId="18" fillId="33" borderId="0" xfId="0" applyNumberFormat="1" applyFont="1" applyFill="1" applyBorder="1" applyAlignment="1"/>
    <xf numFmtId="2" fontId="18" fillId="34" borderId="10" xfId="0" applyNumberFormat="1" applyFont="1" applyFill="1" applyBorder="1" applyAlignment="1"/>
    <xf numFmtId="9" fontId="18" fillId="34" borderId="0" xfId="42" applyFont="1" applyFill="1" applyBorder="1" applyAlignment="1"/>
    <xf numFmtId="9" fontId="18" fillId="34" borderId="10" xfId="42" applyFont="1" applyFill="1" applyBorder="1" applyAlignment="1"/>
    <xf numFmtId="168" fontId="0" fillId="0" borderId="0" xfId="42" applyNumberFormat="1" applyFont="1"/>
    <xf numFmtId="10" fontId="0" fillId="34" borderId="0" xfId="42" applyNumberFormat="1" applyFont="1" applyFill="1" applyAlignment="1">
      <alignment horizontal="center"/>
    </xf>
    <xf numFmtId="10" fontId="0" fillId="0" borderId="0" xfId="42" applyNumberFormat="1" applyFont="1"/>
    <xf numFmtId="2" fontId="0" fillId="0" borderId="0" xfId="0" applyNumberFormat="1" applyFont="1"/>
    <xf numFmtId="2" fontId="0" fillId="34" borderId="0" xfId="0" applyNumberFormat="1" applyFont="1" applyFill="1"/>
    <xf numFmtId="1" fontId="0" fillId="0" borderId="0" xfId="0" applyNumberFormat="1" applyFont="1"/>
    <xf numFmtId="167" fontId="0" fillId="0" borderId="0" xfId="0" applyNumberFormat="1" applyFont="1"/>
    <xf numFmtId="1" fontId="0" fillId="34" borderId="0" xfId="0" applyNumberFormat="1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chartsheet" Target="chartsheets/sheet2.xml"/><Relationship Id="rId4" Type="http://schemas.openxmlformats.org/officeDocument/2006/relationships/chartsheet" Target="chartsheets/sheet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Returns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0070C0"/>
              </a:solidFill>
              <a:ln w="9525">
                <a:noFill/>
              </a:ln>
              <a:effectLst/>
            </c:spPr>
          </c:marker>
          <c:xVal>
            <c:numRef>
              <c:f>Returns!$D$2:$D$432</c:f>
              <c:numCache>
                <c:formatCode>0.0%</c:formatCode>
                <c:ptCount val="431"/>
                <c:pt idx="0">
                  <c:v>-4.3485879629629624E-2</c:v>
                </c:pt>
                <c:pt idx="1">
                  <c:v>1.2814120370370375E-2</c:v>
                </c:pt>
                <c:pt idx="2">
                  <c:v>4.4214120370370369E-2</c:v>
                </c:pt>
                <c:pt idx="3">
                  <c:v>-1.3685879629629628E-2</c:v>
                </c:pt>
                <c:pt idx="4">
                  <c:v>9.1141203703703731E-3</c:v>
                </c:pt>
                <c:pt idx="5">
                  <c:v>-1.3585879629629625E-2</c:v>
                </c:pt>
                <c:pt idx="6">
                  <c:v>-6.4858796296296262E-3</c:v>
                </c:pt>
                <c:pt idx="7">
                  <c:v>-6.0985879629629626E-2</c:v>
                </c:pt>
                <c:pt idx="8">
                  <c:v>-6.2785879629629629E-2</c:v>
                </c:pt>
                <c:pt idx="9">
                  <c:v>5.7814120370370377E-2</c:v>
                </c:pt>
                <c:pt idx="10">
                  <c:v>4.0814120370370376E-2</c:v>
                </c:pt>
                <c:pt idx="11">
                  <c:v>-3.1285879629629622E-2</c:v>
                </c:pt>
                <c:pt idx="12">
                  <c:v>-2.7885879629629632E-2</c:v>
                </c:pt>
                <c:pt idx="13">
                  <c:v>-5.288587962962963E-2</c:v>
                </c:pt>
                <c:pt idx="14">
                  <c:v>-1.2385879629629629E-2</c:v>
                </c:pt>
                <c:pt idx="15">
                  <c:v>4.0514120370370381E-2</c:v>
                </c:pt>
                <c:pt idx="16">
                  <c:v>-3.278587962962963E-2</c:v>
                </c:pt>
                <c:pt idx="17">
                  <c:v>-2.4785879629629626E-2</c:v>
                </c:pt>
                <c:pt idx="18">
                  <c:v>-2.4885879629629622E-2</c:v>
                </c:pt>
                <c:pt idx="19">
                  <c:v>0.11551412037037039</c:v>
                </c:pt>
                <c:pt idx="20">
                  <c:v>1.4514120370370375E-2</c:v>
                </c:pt>
                <c:pt idx="21">
                  <c:v>0.11541412037037038</c:v>
                </c:pt>
                <c:pt idx="22">
                  <c:v>4.9514120370370375E-2</c:v>
                </c:pt>
                <c:pt idx="23">
                  <c:v>8.7141203703703755E-3</c:v>
                </c:pt>
                <c:pt idx="24">
                  <c:v>3.9414120370370377E-2</c:v>
                </c:pt>
                <c:pt idx="25">
                  <c:v>2.861412037037037E-2</c:v>
                </c:pt>
                <c:pt idx="26">
                  <c:v>3.1014120370370369E-2</c:v>
                </c:pt>
                <c:pt idx="27">
                  <c:v>7.0314120370370381E-2</c:v>
                </c:pt>
                <c:pt idx="28">
                  <c:v>8.6141203703703727E-3</c:v>
                </c:pt>
                <c:pt idx="29">
                  <c:v>3.3914120370370372E-2</c:v>
                </c:pt>
                <c:pt idx="30">
                  <c:v>-3.6785879629629627E-2</c:v>
                </c:pt>
                <c:pt idx="31">
                  <c:v>-8.8587962962962622E-4</c:v>
                </c:pt>
                <c:pt idx="32">
                  <c:v>1.3314120370370375E-2</c:v>
                </c:pt>
                <c:pt idx="33">
                  <c:v>-3.0285879629629624E-2</c:v>
                </c:pt>
                <c:pt idx="34">
                  <c:v>2.5114120370370377E-2</c:v>
                </c:pt>
                <c:pt idx="35">
                  <c:v>-1.3985879629629626E-2</c:v>
                </c:pt>
                <c:pt idx="36">
                  <c:v>-1.5085879629629626E-2</c:v>
                </c:pt>
                <c:pt idx="37">
                  <c:v>-4.4585879629629628E-2</c:v>
                </c:pt>
                <c:pt idx="38">
                  <c:v>1.0114120370370374E-2</c:v>
                </c:pt>
                <c:pt idx="39">
                  <c:v>-5.8587962962962587E-4</c:v>
                </c:pt>
                <c:pt idx="40">
                  <c:v>-5.5385879629629618E-2</c:v>
                </c:pt>
                <c:pt idx="41">
                  <c:v>2.2214120370370377E-2</c:v>
                </c:pt>
                <c:pt idx="42">
                  <c:v>-2.2685879629629632E-2</c:v>
                </c:pt>
                <c:pt idx="43">
                  <c:v>0.10761412037037037</c:v>
                </c:pt>
                <c:pt idx="44">
                  <c:v>-2.8858796296296267E-3</c:v>
                </c:pt>
                <c:pt idx="45">
                  <c:v>-1.8858796296296258E-3</c:v>
                </c:pt>
                <c:pt idx="46">
                  <c:v>-1.3785879629629627E-2</c:v>
                </c:pt>
                <c:pt idx="47">
                  <c:v>2.1314120370370372E-2</c:v>
                </c:pt>
                <c:pt idx="48">
                  <c:v>8.2914120370370381E-2</c:v>
                </c:pt>
                <c:pt idx="49">
                  <c:v>1.4514120370370372E-2</c:v>
                </c:pt>
                <c:pt idx="50">
                  <c:v>-5.6858796296296258E-3</c:v>
                </c:pt>
                <c:pt idx="51">
                  <c:v>-5.8858796296296263E-3</c:v>
                </c:pt>
                <c:pt idx="52">
                  <c:v>5.4014120370370379E-2</c:v>
                </c:pt>
                <c:pt idx="53">
                  <c:v>1.4714120370370374E-2</c:v>
                </c:pt>
                <c:pt idx="54">
                  <c:v>-4.6858796296296258E-3</c:v>
                </c:pt>
                <c:pt idx="55">
                  <c:v>-8.1858796296296263E-3</c:v>
                </c:pt>
                <c:pt idx="56">
                  <c:v>-4.2885879629629621E-2</c:v>
                </c:pt>
                <c:pt idx="57">
                  <c:v>4.3214120370370375E-2</c:v>
                </c:pt>
                <c:pt idx="58">
                  <c:v>6.7414120370370381E-2</c:v>
                </c:pt>
                <c:pt idx="59">
                  <c:v>4.1814120370370376E-2</c:v>
                </c:pt>
                <c:pt idx="60">
                  <c:v>8.6141203703703727E-3</c:v>
                </c:pt>
                <c:pt idx="61">
                  <c:v>7.3114120370370378E-2</c:v>
                </c:pt>
                <c:pt idx="62">
                  <c:v>5.1314120370370371E-2</c:v>
                </c:pt>
                <c:pt idx="63">
                  <c:v>-1.1385879629629628E-2</c:v>
                </c:pt>
                <c:pt idx="64">
                  <c:v>4.7614120370370383E-2</c:v>
                </c:pt>
                <c:pt idx="65">
                  <c:v>1.2014120370370373E-2</c:v>
                </c:pt>
                <c:pt idx="66">
                  <c:v>-6.2785879629629629E-2</c:v>
                </c:pt>
                <c:pt idx="67">
                  <c:v>6.1814120370370373E-2</c:v>
                </c:pt>
                <c:pt idx="68">
                  <c:v>-8.4985879629629626E-2</c:v>
                </c:pt>
                <c:pt idx="69">
                  <c:v>4.7714120370370379E-2</c:v>
                </c:pt>
                <c:pt idx="70">
                  <c:v>1.2114120370370376E-2</c:v>
                </c:pt>
                <c:pt idx="71">
                  <c:v>-3.1285879629629629E-2</c:v>
                </c:pt>
                <c:pt idx="72">
                  <c:v>0.12541412037037039</c:v>
                </c:pt>
                <c:pt idx="73">
                  <c:v>4.4714120370370369E-2</c:v>
                </c:pt>
                <c:pt idx="74">
                  <c:v>1.761412037037037E-2</c:v>
                </c:pt>
                <c:pt idx="75">
                  <c:v>-2.0185879629629627E-2</c:v>
                </c:pt>
                <c:pt idx="76">
                  <c:v>1.4141203703703737E-3</c:v>
                </c:pt>
                <c:pt idx="77">
                  <c:v>4.0714120370370373E-2</c:v>
                </c:pt>
                <c:pt idx="78">
                  <c:v>3.9614120370370383E-2</c:v>
                </c:pt>
                <c:pt idx="79">
                  <c:v>3.6414120370370381E-2</c:v>
                </c:pt>
                <c:pt idx="80">
                  <c:v>-2.4885879629629622E-2</c:v>
                </c:pt>
                <c:pt idx="81">
                  <c:v>-0.22988587962962959</c:v>
                </c:pt>
                <c:pt idx="82">
                  <c:v>-7.7685879629629626E-2</c:v>
                </c:pt>
                <c:pt idx="83">
                  <c:v>6.8514120370370371E-2</c:v>
                </c:pt>
                <c:pt idx="84">
                  <c:v>4.1514120370370375E-2</c:v>
                </c:pt>
                <c:pt idx="85">
                  <c:v>4.8614120370370377E-2</c:v>
                </c:pt>
                <c:pt idx="86">
                  <c:v>-2.1785879629629627E-2</c:v>
                </c:pt>
                <c:pt idx="87">
                  <c:v>6.7141203703703746E-3</c:v>
                </c:pt>
                <c:pt idx="88">
                  <c:v>-1.285879629629626E-3</c:v>
                </c:pt>
                <c:pt idx="89">
                  <c:v>4.9314120370370376E-2</c:v>
                </c:pt>
                <c:pt idx="90">
                  <c:v>-1.0885879629629627E-2</c:v>
                </c:pt>
                <c:pt idx="91">
                  <c:v>-3.0685879629629629E-2</c:v>
                </c:pt>
                <c:pt idx="92">
                  <c:v>3.5714120370370375E-2</c:v>
                </c:pt>
                <c:pt idx="93">
                  <c:v>1.4114120370370371E-2</c:v>
                </c:pt>
                <c:pt idx="94">
                  <c:v>-2.068587962962963E-2</c:v>
                </c:pt>
                <c:pt idx="95">
                  <c:v>1.7714120370370373E-2</c:v>
                </c:pt>
                <c:pt idx="96">
                  <c:v>6.3014120370370366E-2</c:v>
                </c:pt>
                <c:pt idx="97">
                  <c:v>-1.9885879629629628E-2</c:v>
                </c:pt>
                <c:pt idx="98">
                  <c:v>1.8914120370370376E-2</c:v>
                </c:pt>
                <c:pt idx="99">
                  <c:v>4.6514120370370379E-2</c:v>
                </c:pt>
                <c:pt idx="100">
                  <c:v>3.7914120370370383E-2</c:v>
                </c:pt>
                <c:pt idx="101">
                  <c:v>-9.8858796296296264E-3</c:v>
                </c:pt>
                <c:pt idx="102">
                  <c:v>7.5514120370370377E-2</c:v>
                </c:pt>
                <c:pt idx="103">
                  <c:v>1.8314120370370369E-2</c:v>
                </c:pt>
                <c:pt idx="104">
                  <c:v>-4.5858796296296255E-3</c:v>
                </c:pt>
                <c:pt idx="105">
                  <c:v>-3.338587962962962E-2</c:v>
                </c:pt>
                <c:pt idx="106">
                  <c:v>1.3714120370370373E-2</c:v>
                </c:pt>
                <c:pt idx="107">
                  <c:v>1.4214120370370373E-2</c:v>
                </c:pt>
                <c:pt idx="108">
                  <c:v>-7.6285879629629613E-2</c:v>
                </c:pt>
                <c:pt idx="109">
                  <c:v>1.3314120370370375E-2</c:v>
                </c:pt>
                <c:pt idx="110">
                  <c:v>2.1214120370370376E-2</c:v>
                </c:pt>
                <c:pt idx="111">
                  <c:v>-3.0185879629629625E-2</c:v>
                </c:pt>
                <c:pt idx="112">
                  <c:v>8.7514120370370374E-2</c:v>
                </c:pt>
                <c:pt idx="113">
                  <c:v>-8.0858796296296269E-3</c:v>
                </c:pt>
                <c:pt idx="114">
                  <c:v>-1.5685879629629623E-2</c:v>
                </c:pt>
                <c:pt idx="115">
                  <c:v>-9.8385879629629622E-2</c:v>
                </c:pt>
                <c:pt idx="116">
                  <c:v>-5.868587962962963E-2</c:v>
                </c:pt>
                <c:pt idx="117">
                  <c:v>-1.5885879629629625E-2</c:v>
                </c:pt>
                <c:pt idx="118">
                  <c:v>6.5714120370370374E-2</c:v>
                </c:pt>
                <c:pt idx="119">
                  <c:v>2.7114120370370375E-2</c:v>
                </c:pt>
                <c:pt idx="120">
                  <c:v>4.8614120370370384E-2</c:v>
                </c:pt>
                <c:pt idx="121">
                  <c:v>7.3214120370370381E-2</c:v>
                </c:pt>
                <c:pt idx="122">
                  <c:v>2.741412037037037E-2</c:v>
                </c:pt>
                <c:pt idx="123">
                  <c:v>-9.8587962962962605E-4</c:v>
                </c:pt>
                <c:pt idx="124">
                  <c:v>3.7714120370370377E-2</c:v>
                </c:pt>
                <c:pt idx="125">
                  <c:v>-4.8685879629629628E-2</c:v>
                </c:pt>
                <c:pt idx="126">
                  <c:v>4.3814120370370378E-2</c:v>
                </c:pt>
                <c:pt idx="127">
                  <c:v>2.4314120370370371E-2</c:v>
                </c:pt>
                <c:pt idx="128">
                  <c:v>-1.4785879629629628E-2</c:v>
                </c:pt>
                <c:pt idx="129">
                  <c:v>1.3614120370370374E-2</c:v>
                </c:pt>
                <c:pt idx="130">
                  <c:v>-4.1485879629629629E-2</c:v>
                </c:pt>
                <c:pt idx="131">
                  <c:v>0.10871412037037038</c:v>
                </c:pt>
                <c:pt idx="132">
                  <c:v>-5.9858796296296257E-3</c:v>
                </c:pt>
                <c:pt idx="133">
                  <c:v>1.0214120370370373E-2</c:v>
                </c:pt>
                <c:pt idx="134">
                  <c:v>-2.6685879629629629E-2</c:v>
                </c:pt>
                <c:pt idx="135">
                  <c:v>1.0414120370370376E-2</c:v>
                </c:pt>
                <c:pt idx="136">
                  <c:v>2.3141203703703744E-3</c:v>
                </c:pt>
                <c:pt idx="137">
                  <c:v>-2.3685879629629626E-2</c:v>
                </c:pt>
                <c:pt idx="138">
                  <c:v>3.7314120370370379E-2</c:v>
                </c:pt>
                <c:pt idx="139">
                  <c:v>-2.4685879629629627E-2</c:v>
                </c:pt>
                <c:pt idx="140">
                  <c:v>1.1014120370370372E-2</c:v>
                </c:pt>
                <c:pt idx="141">
                  <c:v>9.0141203703703737E-3</c:v>
                </c:pt>
                <c:pt idx="142">
                  <c:v>4.0114120370370376E-2</c:v>
                </c:pt>
                <c:pt idx="143">
                  <c:v>1.4614120370370375E-2</c:v>
                </c:pt>
                <c:pt idx="144">
                  <c:v>8.1141203703703757E-3</c:v>
                </c:pt>
                <c:pt idx="145">
                  <c:v>-8.5879629629626291E-5</c:v>
                </c:pt>
                <c:pt idx="146">
                  <c:v>2.2014120370370371E-2</c:v>
                </c:pt>
                <c:pt idx="147">
                  <c:v>-3.1585879629629623E-2</c:v>
                </c:pt>
                <c:pt idx="148">
                  <c:v>2.7614120370370376E-2</c:v>
                </c:pt>
                <c:pt idx="149">
                  <c:v>2.1141203703703747E-3</c:v>
                </c:pt>
                <c:pt idx="150">
                  <c:v>-4.4858796296296261E-3</c:v>
                </c:pt>
                <c:pt idx="151">
                  <c:v>3.6114120370370373E-2</c:v>
                </c:pt>
                <c:pt idx="152">
                  <c:v>-2.0858796296296259E-3</c:v>
                </c:pt>
                <c:pt idx="153">
                  <c:v>1.2814120370370372E-2</c:v>
                </c:pt>
                <c:pt idx="154">
                  <c:v>-1.9885879629629625E-2</c:v>
                </c:pt>
                <c:pt idx="155">
                  <c:v>1.531412037037037E-2</c:v>
                </c:pt>
                <c:pt idx="156">
                  <c:v>2.7714120370370375E-2</c:v>
                </c:pt>
                <c:pt idx="157">
                  <c:v>-2.6885879629629624E-2</c:v>
                </c:pt>
                <c:pt idx="158">
                  <c:v>-4.8585879629629625E-2</c:v>
                </c:pt>
                <c:pt idx="159">
                  <c:v>6.0141203703703754E-3</c:v>
                </c:pt>
                <c:pt idx="160">
                  <c:v>5.4141203703703721E-3</c:v>
                </c:pt>
                <c:pt idx="161">
                  <c:v>-3.0685879629629625E-2</c:v>
                </c:pt>
                <c:pt idx="162">
                  <c:v>2.7514120370370369E-2</c:v>
                </c:pt>
                <c:pt idx="163">
                  <c:v>4.0314120370370375E-2</c:v>
                </c:pt>
                <c:pt idx="164">
                  <c:v>-2.2885879629629628E-2</c:v>
                </c:pt>
                <c:pt idx="165">
                  <c:v>1.3714120370370377E-2</c:v>
                </c:pt>
                <c:pt idx="166">
                  <c:v>-4.018587962962962E-2</c:v>
                </c:pt>
                <c:pt idx="167">
                  <c:v>9.5141203703703742E-3</c:v>
                </c:pt>
                <c:pt idx="168">
                  <c:v>1.8714120370370374E-2</c:v>
                </c:pt>
                <c:pt idx="169">
                  <c:v>3.6814120370370379E-2</c:v>
                </c:pt>
                <c:pt idx="170">
                  <c:v>2.3014120370370372E-2</c:v>
                </c:pt>
                <c:pt idx="171">
                  <c:v>2.2014120370370371E-2</c:v>
                </c:pt>
                <c:pt idx="172">
                  <c:v>3.0914120370370373E-2</c:v>
                </c:pt>
                <c:pt idx="173">
                  <c:v>2.8414120370370378E-2</c:v>
                </c:pt>
                <c:pt idx="174">
                  <c:v>3.8214120370370377E-2</c:v>
                </c:pt>
                <c:pt idx="175">
                  <c:v>6.7141203703703746E-3</c:v>
                </c:pt>
                <c:pt idx="176">
                  <c:v>3.4314120370370377E-2</c:v>
                </c:pt>
                <c:pt idx="177">
                  <c:v>-1.3985879629629626E-2</c:v>
                </c:pt>
                <c:pt idx="178">
                  <c:v>4.0314120370370375E-2</c:v>
                </c:pt>
                <c:pt idx="179">
                  <c:v>1.1714120370370375E-2</c:v>
                </c:pt>
                <c:pt idx="180">
                  <c:v>2.3414120370370373E-2</c:v>
                </c:pt>
                <c:pt idx="181">
                  <c:v>1.3714120370370377E-2</c:v>
                </c:pt>
                <c:pt idx="182">
                  <c:v>7.7141203703703755E-3</c:v>
                </c:pt>
                <c:pt idx="183">
                  <c:v>2.1714120370370373E-2</c:v>
                </c:pt>
                <c:pt idx="184">
                  <c:v>2.4314120370370371E-2</c:v>
                </c:pt>
                <c:pt idx="185">
                  <c:v>-1.0885879629629624E-2</c:v>
                </c:pt>
                <c:pt idx="186">
                  <c:v>-5.8685879629629623E-2</c:v>
                </c:pt>
                <c:pt idx="187">
                  <c:v>2.8314120370370375E-2</c:v>
                </c:pt>
                <c:pt idx="188">
                  <c:v>5.1014120370370376E-2</c:v>
                </c:pt>
                <c:pt idx="189">
                  <c:v>9.3141203703703754E-3</c:v>
                </c:pt>
                <c:pt idx="190">
                  <c:v>6.3114120370370383E-2</c:v>
                </c:pt>
                <c:pt idx="191">
                  <c:v>-1.5885879629629625E-2</c:v>
                </c:pt>
                <c:pt idx="192">
                  <c:v>5.0814120370370384E-2</c:v>
                </c:pt>
                <c:pt idx="193">
                  <c:v>-4.4858796296296261E-3</c:v>
                </c:pt>
                <c:pt idx="194">
                  <c:v>-4.938587962962962E-2</c:v>
                </c:pt>
                <c:pt idx="195">
                  <c:v>4.1214120370370373E-2</c:v>
                </c:pt>
                <c:pt idx="196">
                  <c:v>6.881412037037038E-2</c:v>
                </c:pt>
                <c:pt idx="197">
                  <c:v>4.1214120370370373E-2</c:v>
                </c:pt>
                <c:pt idx="198">
                  <c:v>7.4114120370370379E-2</c:v>
                </c:pt>
                <c:pt idx="199">
                  <c:v>-4.0885879629629626E-2</c:v>
                </c:pt>
                <c:pt idx="200">
                  <c:v>5.4414120370370377E-2</c:v>
                </c:pt>
                <c:pt idx="201">
                  <c:v>-3.728587962962962E-2</c:v>
                </c:pt>
                <c:pt idx="202">
                  <c:v>3.0214120370370374E-2</c:v>
                </c:pt>
                <c:pt idx="203">
                  <c:v>1.4514120370370375E-2</c:v>
                </c:pt>
                <c:pt idx="204">
                  <c:v>2.3141203703703735E-3</c:v>
                </c:pt>
                <c:pt idx="205">
                  <c:v>7.0814120370370368E-2</c:v>
                </c:pt>
                <c:pt idx="206">
                  <c:v>4.8014120370370374E-2</c:v>
                </c:pt>
                <c:pt idx="207">
                  <c:v>8.1141203703703722E-3</c:v>
                </c:pt>
                <c:pt idx="208">
                  <c:v>-3.0185879629629625E-2</c:v>
                </c:pt>
                <c:pt idx="209">
                  <c:v>3.2414120370370378E-2</c:v>
                </c:pt>
                <c:pt idx="210">
                  <c:v>-2.4085879629629627E-2</c:v>
                </c:pt>
                <c:pt idx="211">
                  <c:v>-0.1599858796296296</c:v>
                </c:pt>
                <c:pt idx="212">
                  <c:v>6.2614120370370382E-2</c:v>
                </c:pt>
                <c:pt idx="213">
                  <c:v>7.1014120370370373E-2</c:v>
                </c:pt>
                <c:pt idx="214">
                  <c:v>6.0614120370370367E-2</c:v>
                </c:pt>
                <c:pt idx="215">
                  <c:v>6.1914120370370376E-2</c:v>
                </c:pt>
                <c:pt idx="216">
                  <c:v>3.5014120370370376E-2</c:v>
                </c:pt>
                <c:pt idx="217">
                  <c:v>-4.0785879629629623E-2</c:v>
                </c:pt>
                <c:pt idx="218">
                  <c:v>3.5314120370370378E-2</c:v>
                </c:pt>
                <c:pt idx="219">
                  <c:v>4.3514120370370377E-2</c:v>
                </c:pt>
                <c:pt idx="220">
                  <c:v>-2.4685879629629627E-2</c:v>
                </c:pt>
                <c:pt idx="221">
                  <c:v>4.8214120370370372E-2</c:v>
                </c:pt>
                <c:pt idx="222">
                  <c:v>-3.4385879629629627E-2</c:v>
                </c:pt>
                <c:pt idx="223">
                  <c:v>-1.3385879629629626E-2</c:v>
                </c:pt>
                <c:pt idx="224">
                  <c:v>-2.7685879629629626E-2</c:v>
                </c:pt>
                <c:pt idx="225">
                  <c:v>6.1714120370370371E-2</c:v>
                </c:pt>
                <c:pt idx="226">
                  <c:v>3.3814120370370376E-2</c:v>
                </c:pt>
                <c:pt idx="227">
                  <c:v>7.8114120370370382E-2</c:v>
                </c:pt>
                <c:pt idx="228">
                  <c:v>-4.6785879629629622E-2</c:v>
                </c:pt>
                <c:pt idx="229">
                  <c:v>2.5314120370370376E-2</c:v>
                </c:pt>
                <c:pt idx="230">
                  <c:v>5.3214120370370377E-2</c:v>
                </c:pt>
                <c:pt idx="231">
                  <c:v>-6.2885879629629632E-2</c:v>
                </c:pt>
                <c:pt idx="232">
                  <c:v>-4.2685879629629622E-2</c:v>
                </c:pt>
                <c:pt idx="233">
                  <c:v>4.6914120370370377E-2</c:v>
                </c:pt>
                <c:pt idx="234">
                  <c:v>-2.3785879629629626E-2</c:v>
                </c:pt>
                <c:pt idx="235">
                  <c:v>7.1814120370370382E-2</c:v>
                </c:pt>
                <c:pt idx="236">
                  <c:v>-5.288587962962963E-2</c:v>
                </c:pt>
                <c:pt idx="237">
                  <c:v>-2.5485879629629626E-2</c:v>
                </c:pt>
                <c:pt idx="238">
                  <c:v>-0.10558587962962963</c:v>
                </c:pt>
                <c:pt idx="239">
                  <c:v>1.3414120370370371E-2</c:v>
                </c:pt>
                <c:pt idx="240">
                  <c:v>3.3214120370370373E-2</c:v>
                </c:pt>
                <c:pt idx="241">
                  <c:v>-0.10018587962962962</c:v>
                </c:pt>
                <c:pt idx="242">
                  <c:v>-7.1885879629629626E-2</c:v>
                </c:pt>
                <c:pt idx="243">
                  <c:v>7.9814120370370376E-2</c:v>
                </c:pt>
                <c:pt idx="244">
                  <c:v>6.9141203703703734E-3</c:v>
                </c:pt>
                <c:pt idx="245">
                  <c:v>-2.0085879629629627E-2</c:v>
                </c:pt>
                <c:pt idx="246">
                  <c:v>-2.1785879629629624E-2</c:v>
                </c:pt>
                <c:pt idx="247">
                  <c:v>-6.4985879629629636E-2</c:v>
                </c:pt>
                <c:pt idx="248">
                  <c:v>-9.3185879629629625E-2</c:v>
                </c:pt>
                <c:pt idx="249">
                  <c:v>2.3314120370370374E-2</c:v>
                </c:pt>
                <c:pt idx="250">
                  <c:v>7.3614120370370378E-2</c:v>
                </c:pt>
                <c:pt idx="251">
                  <c:v>1.4114120370370374E-2</c:v>
                </c:pt>
                <c:pt idx="252">
                  <c:v>-1.6485879629629625E-2</c:v>
                </c:pt>
                <c:pt idx="253">
                  <c:v>-2.5085879629629628E-2</c:v>
                </c:pt>
                <c:pt idx="254">
                  <c:v>4.0214120370370379E-2</c:v>
                </c:pt>
                <c:pt idx="255">
                  <c:v>-5.398587962962962E-2</c:v>
                </c:pt>
                <c:pt idx="256">
                  <c:v>-1.5885879629629625E-2</c:v>
                </c:pt>
                <c:pt idx="257">
                  <c:v>-7.4285879629629625E-2</c:v>
                </c:pt>
                <c:pt idx="258">
                  <c:v>-8.378587962962962E-2</c:v>
                </c:pt>
                <c:pt idx="259">
                  <c:v>2.9141203703703742E-3</c:v>
                </c:pt>
                <c:pt idx="260">
                  <c:v>-0.10558587962962962</c:v>
                </c:pt>
                <c:pt idx="261">
                  <c:v>7.6314120370370372E-2</c:v>
                </c:pt>
                <c:pt idx="262">
                  <c:v>5.7314120370370376E-2</c:v>
                </c:pt>
                <c:pt idx="263">
                  <c:v>-5.9985879629629618E-2</c:v>
                </c:pt>
                <c:pt idx="264">
                  <c:v>-2.8185879629629623E-2</c:v>
                </c:pt>
                <c:pt idx="265">
                  <c:v>-2.1385879629629626E-2</c:v>
                </c:pt>
                <c:pt idx="266">
                  <c:v>8.4141203703703739E-3</c:v>
                </c:pt>
                <c:pt idx="267">
                  <c:v>7.9714120370370373E-2</c:v>
                </c:pt>
                <c:pt idx="268">
                  <c:v>5.7914120370370373E-2</c:v>
                </c:pt>
                <c:pt idx="269">
                  <c:v>1.1714120370370375E-2</c:v>
                </c:pt>
                <c:pt idx="270">
                  <c:v>2.0714120370370372E-2</c:v>
                </c:pt>
                <c:pt idx="271">
                  <c:v>2.0614120370370369E-2</c:v>
                </c:pt>
                <c:pt idx="272">
                  <c:v>-1.5085879629629626E-2</c:v>
                </c:pt>
                <c:pt idx="273">
                  <c:v>5.8014120370370383E-2</c:v>
                </c:pt>
                <c:pt idx="274">
                  <c:v>1.0714120370370374E-2</c:v>
                </c:pt>
                <c:pt idx="275">
                  <c:v>4.0214120370370379E-2</c:v>
                </c:pt>
                <c:pt idx="276">
                  <c:v>1.8714120370370371E-2</c:v>
                </c:pt>
                <c:pt idx="277">
                  <c:v>1.1114120370370375E-2</c:v>
                </c:pt>
                <c:pt idx="278">
                  <c:v>-1.5785879629629625E-2</c:v>
                </c:pt>
                <c:pt idx="279">
                  <c:v>-2.0985879629629629E-2</c:v>
                </c:pt>
                <c:pt idx="280">
                  <c:v>8.8141203703703749E-3</c:v>
                </c:pt>
                <c:pt idx="281">
                  <c:v>1.5914120370370374E-2</c:v>
                </c:pt>
                <c:pt idx="282">
                  <c:v>-4.308587962962962E-2</c:v>
                </c:pt>
                <c:pt idx="283">
                  <c:v>-1.5858796296296261E-3</c:v>
                </c:pt>
                <c:pt idx="284">
                  <c:v>1.3614120370370374E-2</c:v>
                </c:pt>
                <c:pt idx="285">
                  <c:v>1.1914120370370374E-2</c:v>
                </c:pt>
                <c:pt idx="286">
                  <c:v>4.3414120370370381E-2</c:v>
                </c:pt>
                <c:pt idx="287">
                  <c:v>3.2414120370370378E-2</c:v>
                </c:pt>
                <c:pt idx="288">
                  <c:v>-2.9485879629629622E-2</c:v>
                </c:pt>
                <c:pt idx="289">
                  <c:v>1.701412037037037E-2</c:v>
                </c:pt>
                <c:pt idx="290">
                  <c:v>-2.1085879629629628E-2</c:v>
                </c:pt>
                <c:pt idx="291">
                  <c:v>-2.7485879629629627E-2</c:v>
                </c:pt>
                <c:pt idx="292">
                  <c:v>3.5414120370370374E-2</c:v>
                </c:pt>
                <c:pt idx="293">
                  <c:v>4.5141203703703741E-3</c:v>
                </c:pt>
                <c:pt idx="294">
                  <c:v>3.8114120370370375E-2</c:v>
                </c:pt>
                <c:pt idx="295">
                  <c:v>-1.2685879629629627E-2</c:v>
                </c:pt>
                <c:pt idx="296">
                  <c:v>4.3141203703703744E-3</c:v>
                </c:pt>
                <c:pt idx="297">
                  <c:v>-2.0985879629629629E-2</c:v>
                </c:pt>
                <c:pt idx="298">
                  <c:v>3.5714120370370375E-2</c:v>
                </c:pt>
                <c:pt idx="299">
                  <c:v>-2.785879629629626E-3</c:v>
                </c:pt>
                <c:pt idx="300">
                  <c:v>3.0414120370370373E-2</c:v>
                </c:pt>
                <c:pt idx="301">
                  <c:v>-3.0858796296296259E-3</c:v>
                </c:pt>
                <c:pt idx="302">
                  <c:v>1.4814120370370373E-2</c:v>
                </c:pt>
                <c:pt idx="303">
                  <c:v>7.4141203703703721E-3</c:v>
                </c:pt>
                <c:pt idx="304">
                  <c:v>-3.4885879629629621E-2</c:v>
                </c:pt>
                <c:pt idx="305">
                  <c:v>-2.9858796296296257E-3</c:v>
                </c:pt>
                <c:pt idx="306">
                  <c:v>-7.2858796296296265E-3</c:v>
                </c:pt>
                <c:pt idx="307">
                  <c:v>2.1014120370370371E-2</c:v>
                </c:pt>
                <c:pt idx="308">
                  <c:v>1.9014120370370372E-2</c:v>
                </c:pt>
                <c:pt idx="309">
                  <c:v>3.2914120370370378E-2</c:v>
                </c:pt>
                <c:pt idx="310">
                  <c:v>1.7814120370370373E-2</c:v>
                </c:pt>
                <c:pt idx="311">
                  <c:v>9.2141203703703725E-3</c:v>
                </c:pt>
                <c:pt idx="312">
                  <c:v>1.4914120370370373E-2</c:v>
                </c:pt>
                <c:pt idx="313">
                  <c:v>-1.9285879629629629E-2</c:v>
                </c:pt>
                <c:pt idx="314">
                  <c:v>7.6141203703703744E-3</c:v>
                </c:pt>
                <c:pt idx="315">
                  <c:v>3.5814120370370378E-2</c:v>
                </c:pt>
                <c:pt idx="316">
                  <c:v>3.3014120370370381E-2</c:v>
                </c:pt>
                <c:pt idx="317">
                  <c:v>-1.9085879629629626E-2</c:v>
                </c:pt>
                <c:pt idx="318">
                  <c:v>-3.6785879629629627E-2</c:v>
                </c:pt>
                <c:pt idx="319">
                  <c:v>9.9141203703703752E-3</c:v>
                </c:pt>
                <c:pt idx="320">
                  <c:v>3.1914120370370377E-2</c:v>
                </c:pt>
                <c:pt idx="321">
                  <c:v>1.7714120370370373E-2</c:v>
                </c:pt>
                <c:pt idx="322">
                  <c:v>-4.8385879629629626E-2</c:v>
                </c:pt>
                <c:pt idx="323">
                  <c:v>-9.4858796296296254E-3</c:v>
                </c:pt>
                <c:pt idx="324">
                  <c:v>-6.4985879629629636E-2</c:v>
                </c:pt>
                <c:pt idx="325">
                  <c:v>-3.3085879629629625E-2</c:v>
                </c:pt>
                <c:pt idx="326">
                  <c:v>-1.1085879629629626E-2</c:v>
                </c:pt>
                <c:pt idx="327">
                  <c:v>4.4314120370370372E-2</c:v>
                </c:pt>
                <c:pt idx="328">
                  <c:v>1.6914120370370374E-2</c:v>
                </c:pt>
                <c:pt idx="329">
                  <c:v>-8.6185879629629619E-2</c:v>
                </c:pt>
                <c:pt idx="330">
                  <c:v>-9.6858796296296259E-3</c:v>
                </c:pt>
                <c:pt idx="331">
                  <c:v>1.3114120370370373E-2</c:v>
                </c:pt>
                <c:pt idx="332">
                  <c:v>-9.4385879629629618E-2</c:v>
                </c:pt>
                <c:pt idx="333">
                  <c:v>-0.17498587962962964</c:v>
                </c:pt>
                <c:pt idx="334">
                  <c:v>-8.1785879629629618E-2</c:v>
                </c:pt>
                <c:pt idx="335">
                  <c:v>1.3914120370370372E-2</c:v>
                </c:pt>
                <c:pt idx="336">
                  <c:v>-8.4685879629629618E-2</c:v>
                </c:pt>
                <c:pt idx="337">
                  <c:v>-0.10438587962962963</c:v>
                </c:pt>
                <c:pt idx="338">
                  <c:v>8.6214120370370365E-2</c:v>
                </c:pt>
                <c:pt idx="339">
                  <c:v>9.851412037037037E-2</c:v>
                </c:pt>
                <c:pt idx="340">
                  <c:v>4.8614120370370377E-2</c:v>
                </c:pt>
                <c:pt idx="341">
                  <c:v>9.1412037037037416E-4</c:v>
                </c:pt>
                <c:pt idx="342">
                  <c:v>7.381412037037037E-2</c:v>
                </c:pt>
                <c:pt idx="343">
                  <c:v>2.9914120370370372E-2</c:v>
                </c:pt>
                <c:pt idx="344">
                  <c:v>3.7414120370370375E-2</c:v>
                </c:pt>
                <c:pt idx="345">
                  <c:v>-2.9385879629629626E-2</c:v>
                </c:pt>
                <c:pt idx="346">
                  <c:v>5.2114120370370373E-2</c:v>
                </c:pt>
                <c:pt idx="347">
                  <c:v>2.4114120370370373E-2</c:v>
                </c:pt>
                <c:pt idx="348">
                  <c:v>-3.7085879629629621E-2</c:v>
                </c:pt>
                <c:pt idx="349">
                  <c:v>3.0514120370370375E-2</c:v>
                </c:pt>
                <c:pt idx="350">
                  <c:v>5.9714120370370369E-2</c:v>
                </c:pt>
                <c:pt idx="351">
                  <c:v>1.6614120370370369E-2</c:v>
                </c:pt>
                <c:pt idx="352">
                  <c:v>-8.2285879629629619E-2</c:v>
                </c:pt>
                <c:pt idx="353">
                  <c:v>-5.8985879629629624E-2</c:v>
                </c:pt>
                <c:pt idx="354">
                  <c:v>6.5914120370370366E-2</c:v>
                </c:pt>
                <c:pt idx="355">
                  <c:v>-5.108587962962962E-2</c:v>
                </c:pt>
                <c:pt idx="356">
                  <c:v>9.2014120370370364E-2</c:v>
                </c:pt>
                <c:pt idx="357">
                  <c:v>3.5414120370370374E-2</c:v>
                </c:pt>
                <c:pt idx="358">
                  <c:v>2.6141203703703734E-3</c:v>
                </c:pt>
                <c:pt idx="359">
                  <c:v>6.4814120370370376E-2</c:v>
                </c:pt>
                <c:pt idx="360">
                  <c:v>1.6514120370370373E-2</c:v>
                </c:pt>
                <c:pt idx="361">
                  <c:v>3.151412037037038E-2</c:v>
                </c:pt>
                <c:pt idx="362">
                  <c:v>1.1141203703703738E-3</c:v>
                </c:pt>
                <c:pt idx="363">
                  <c:v>2.5514120370370371E-2</c:v>
                </c:pt>
                <c:pt idx="364">
                  <c:v>-1.6185879629629626E-2</c:v>
                </c:pt>
                <c:pt idx="365">
                  <c:v>-2.0985879629629629E-2</c:v>
                </c:pt>
                <c:pt idx="366">
                  <c:v>-2.7085879629629626E-2</c:v>
                </c:pt>
                <c:pt idx="367">
                  <c:v>-6.3285879629629629E-2</c:v>
                </c:pt>
                <c:pt idx="368">
                  <c:v>-7.9385879629629619E-2</c:v>
                </c:pt>
                <c:pt idx="369">
                  <c:v>0.11001412037037037</c:v>
                </c:pt>
                <c:pt idx="370">
                  <c:v>-6.2858796296296265E-3</c:v>
                </c:pt>
                <c:pt idx="371">
                  <c:v>3.9141203703703742E-3</c:v>
                </c:pt>
                <c:pt idx="372">
                  <c:v>4.7014120370370373E-2</c:v>
                </c:pt>
                <c:pt idx="373">
                  <c:v>4.0714120370370373E-2</c:v>
                </c:pt>
                <c:pt idx="374">
                  <c:v>2.7614120370370372E-2</c:v>
                </c:pt>
                <c:pt idx="375">
                  <c:v>-1.1985879629629628E-2</c:v>
                </c:pt>
                <c:pt idx="376">
                  <c:v>-6.5285879629629631E-2</c:v>
                </c:pt>
                <c:pt idx="377">
                  <c:v>3.5414120370370381E-2</c:v>
                </c:pt>
                <c:pt idx="378">
                  <c:v>4.4141203703703747E-3</c:v>
                </c:pt>
                <c:pt idx="379">
                  <c:v>2.2114120370370371E-2</c:v>
                </c:pt>
                <c:pt idx="380">
                  <c:v>2.391412037037037E-2</c:v>
                </c:pt>
                <c:pt idx="381">
                  <c:v>-2.0985879629629629E-2</c:v>
                </c:pt>
                <c:pt idx="382">
                  <c:v>4.4141203703703747E-3</c:v>
                </c:pt>
                <c:pt idx="383">
                  <c:v>8.4141203703703739E-3</c:v>
                </c:pt>
                <c:pt idx="384">
                  <c:v>5.2214120370370376E-2</c:v>
                </c:pt>
                <c:pt idx="385">
                  <c:v>9.4141203703703748E-3</c:v>
                </c:pt>
                <c:pt idx="386">
                  <c:v>3.6814120370370379E-2</c:v>
                </c:pt>
                <c:pt idx="387">
                  <c:v>1.2014120370370373E-2</c:v>
                </c:pt>
                <c:pt idx="388">
                  <c:v>2.451412037037037E-2</c:v>
                </c:pt>
                <c:pt idx="389">
                  <c:v>-1.5485879629629627E-2</c:v>
                </c:pt>
                <c:pt idx="390">
                  <c:v>5.3014120370370378E-2</c:v>
                </c:pt>
                <c:pt idx="391">
                  <c:v>-3.0585879629629626E-2</c:v>
                </c:pt>
                <c:pt idx="392">
                  <c:v>3.4214120370370374E-2</c:v>
                </c:pt>
                <c:pt idx="393">
                  <c:v>3.8314120370370373E-2</c:v>
                </c:pt>
                <c:pt idx="394">
                  <c:v>2.7714120370370375E-2</c:v>
                </c:pt>
                <c:pt idx="395">
                  <c:v>2.4614120370370373E-2</c:v>
                </c:pt>
                <c:pt idx="396">
                  <c:v>-3.6685879629629624E-2</c:v>
                </c:pt>
                <c:pt idx="397">
                  <c:v>4.3014120370370383E-2</c:v>
                </c:pt>
                <c:pt idx="398">
                  <c:v>8.141203703703739E-4</c:v>
                </c:pt>
                <c:pt idx="399">
                  <c:v>-5.3858796296296259E-3</c:v>
                </c:pt>
                <c:pt idx="400">
                  <c:v>1.7114120370370373E-2</c:v>
                </c:pt>
                <c:pt idx="401">
                  <c:v>2.2614120370370371E-2</c:v>
                </c:pt>
                <c:pt idx="402">
                  <c:v>-2.3885879629629628E-2</c:v>
                </c:pt>
                <c:pt idx="403">
                  <c:v>3.8914120370370377E-2</c:v>
                </c:pt>
                <c:pt idx="404">
                  <c:v>-2.3185879629629626E-2</c:v>
                </c:pt>
                <c:pt idx="405">
                  <c:v>2.1714120370370373E-2</c:v>
                </c:pt>
                <c:pt idx="406">
                  <c:v>2.2014120370370371E-2</c:v>
                </c:pt>
                <c:pt idx="407">
                  <c:v>-4.0858796296296259E-3</c:v>
                </c:pt>
                <c:pt idx="408">
                  <c:v>-3.4585879629629626E-2</c:v>
                </c:pt>
                <c:pt idx="409">
                  <c:v>5.7814120370370377E-2</c:v>
                </c:pt>
                <c:pt idx="410">
                  <c:v>-1.4685879629629629E-2</c:v>
                </c:pt>
                <c:pt idx="411">
                  <c:v>2.4141203703703738E-3</c:v>
                </c:pt>
                <c:pt idx="412">
                  <c:v>1.0114120370370374E-2</c:v>
                </c:pt>
                <c:pt idx="413">
                  <c:v>-1.8785879629629628E-2</c:v>
                </c:pt>
                <c:pt idx="414">
                  <c:v>1.1914120370370374E-2</c:v>
                </c:pt>
                <c:pt idx="415">
                  <c:v>-6.3885879629629633E-2</c:v>
                </c:pt>
                <c:pt idx="416">
                  <c:v>-3.4285879629629624E-2</c:v>
                </c:pt>
                <c:pt idx="417">
                  <c:v>7.4014120370370376E-2</c:v>
                </c:pt>
                <c:pt idx="418">
                  <c:v>2.1141203703703747E-3</c:v>
                </c:pt>
                <c:pt idx="419">
                  <c:v>-2.5085879629629628E-2</c:v>
                </c:pt>
                <c:pt idx="420">
                  <c:v>-6.1085879629629622E-2</c:v>
                </c:pt>
                <c:pt idx="421">
                  <c:v>-3.9858796296296257E-3</c:v>
                </c:pt>
                <c:pt idx="422">
                  <c:v>6.6314120370370377E-2</c:v>
                </c:pt>
                <c:pt idx="423">
                  <c:v>5.8141203703703749E-3</c:v>
                </c:pt>
                <c:pt idx="424">
                  <c:v>1.4414120370370372E-2</c:v>
                </c:pt>
                <c:pt idx="425">
                  <c:v>-3.785879629629626E-3</c:v>
                </c:pt>
                <c:pt idx="426">
                  <c:v>3.6214120370370376E-2</c:v>
                </c:pt>
                <c:pt idx="427">
                  <c:v>1.7141203703703737E-3</c:v>
                </c:pt>
                <c:pt idx="428">
                  <c:v>-7.8587962962962596E-4</c:v>
                </c:pt>
                <c:pt idx="429">
                  <c:v>-2.3485879629629627E-2</c:v>
                </c:pt>
                <c:pt idx="430">
                  <c:v>4.5214120370370377E-2</c:v>
                </c:pt>
              </c:numCache>
            </c:numRef>
          </c:xVal>
          <c:yVal>
            <c:numRef>
              <c:f>Returns!$E$2:$E$432</c:f>
              <c:numCache>
                <c:formatCode>0.0%</c:formatCode>
                <c:ptCount val="431"/>
                <c:pt idx="0">
                  <c:v>-0.17350387962962963</c:v>
                </c:pt>
                <c:pt idx="1">
                  <c:v>-6.515987962962963E-2</c:v>
                </c:pt>
                <c:pt idx="2">
                  <c:v>-7.8602879629629627E-2</c:v>
                </c:pt>
                <c:pt idx="3">
                  <c:v>0.15387412037037038</c:v>
                </c:pt>
                <c:pt idx="4">
                  <c:v>0.16098812037037039</c:v>
                </c:pt>
                <c:pt idx="5">
                  <c:v>-0.21817487962962961</c:v>
                </c:pt>
                <c:pt idx="6">
                  <c:v>-4.1854879629629624E-2</c:v>
                </c:pt>
                <c:pt idx="7">
                  <c:v>-0.19799987962962962</c:v>
                </c:pt>
                <c:pt idx="8">
                  <c:v>-0.24497187962962963</c:v>
                </c:pt>
                <c:pt idx="9">
                  <c:v>0.30671812037037033</c:v>
                </c:pt>
                <c:pt idx="10">
                  <c:v>-7.2021879629629623E-2</c:v>
                </c:pt>
                <c:pt idx="11">
                  <c:v>0.18380512037037039</c:v>
                </c:pt>
                <c:pt idx="12">
                  <c:v>-8.2358879629629622E-2</c:v>
                </c:pt>
                <c:pt idx="13">
                  <c:v>-0.10746187962962962</c:v>
                </c:pt>
                <c:pt idx="14">
                  <c:v>-7.8570879629629622E-2</c:v>
                </c:pt>
                <c:pt idx="15">
                  <c:v>-0.12894687962962961</c:v>
                </c:pt>
                <c:pt idx="16">
                  <c:v>-5.4118879629629621E-2</c:v>
                </c:pt>
                <c:pt idx="17">
                  <c:v>-9.2374879629629619E-2</c:v>
                </c:pt>
                <c:pt idx="18">
                  <c:v>5.5051120370370375E-2</c:v>
                </c:pt>
                <c:pt idx="19">
                  <c:v>0.32831112037037036</c:v>
                </c:pt>
                <c:pt idx="20">
                  <c:v>1.0355120370370372E-2</c:v>
                </c:pt>
                <c:pt idx="21">
                  <c:v>0.38218012037037036</c:v>
                </c:pt>
                <c:pt idx="22">
                  <c:v>0.25267212037037035</c:v>
                </c:pt>
                <c:pt idx="23">
                  <c:v>-6.6230879629629619E-2</c:v>
                </c:pt>
                <c:pt idx="24">
                  <c:v>0.36471512037037035</c:v>
                </c:pt>
                <c:pt idx="25">
                  <c:v>0.11272212037037038</c:v>
                </c:pt>
                <c:pt idx="26">
                  <c:v>-7.7458879629629621E-2</c:v>
                </c:pt>
                <c:pt idx="27">
                  <c:v>0.19178012037037037</c:v>
                </c:pt>
                <c:pt idx="28">
                  <c:v>0.14007812037037037</c:v>
                </c:pt>
                <c:pt idx="29">
                  <c:v>-0.15716587962962963</c:v>
                </c:pt>
                <c:pt idx="30">
                  <c:v>-0.28993087962962966</c:v>
                </c:pt>
                <c:pt idx="31">
                  <c:v>6.461412037037037E-2</c:v>
                </c:pt>
                <c:pt idx="32">
                  <c:v>-0.38268087962962966</c:v>
                </c:pt>
                <c:pt idx="33">
                  <c:v>-2.5107879629629626E-2</c:v>
                </c:pt>
                <c:pt idx="34">
                  <c:v>-0.10293387962962962</c:v>
                </c:pt>
                <c:pt idx="35">
                  <c:v>0.19283312037037037</c:v>
                </c:pt>
                <c:pt idx="36">
                  <c:v>1.1899120370370372E-2</c:v>
                </c:pt>
                <c:pt idx="37">
                  <c:v>5.7120120370370377E-2</c:v>
                </c:pt>
                <c:pt idx="38">
                  <c:v>-6.0628879629629623E-2</c:v>
                </c:pt>
                <c:pt idx="39">
                  <c:v>0.26419112037037035</c:v>
                </c:pt>
                <c:pt idx="40">
                  <c:v>-6.723087962962962E-2</c:v>
                </c:pt>
                <c:pt idx="41">
                  <c:v>-0.10135787962962962</c:v>
                </c:pt>
                <c:pt idx="42">
                  <c:v>-4.1221879629629622E-2</c:v>
                </c:pt>
                <c:pt idx="43">
                  <c:v>3.5730120370370377E-2</c:v>
                </c:pt>
                <c:pt idx="44">
                  <c:v>-5.5372879629629626E-2</c:v>
                </c:pt>
                <c:pt idx="45">
                  <c:v>-1.3435879629629627E-2</c:v>
                </c:pt>
                <c:pt idx="46">
                  <c:v>-8.5108796296296252E-3</c:v>
                </c:pt>
                <c:pt idx="47">
                  <c:v>0.17328212037037038</c:v>
                </c:pt>
                <c:pt idx="48">
                  <c:v>-7.7778796296296259E-3</c:v>
                </c:pt>
                <c:pt idx="49">
                  <c:v>-0.15003787962962961</c:v>
                </c:pt>
                <c:pt idx="50">
                  <c:v>-0.10954687962962963</c:v>
                </c:pt>
                <c:pt idx="51">
                  <c:v>-4.3033879629629623E-2</c:v>
                </c:pt>
                <c:pt idx="52">
                  <c:v>-0.18583887962962961</c:v>
                </c:pt>
                <c:pt idx="53">
                  <c:v>3.2485120370370379E-2</c:v>
                </c:pt>
                <c:pt idx="54">
                  <c:v>-0.12154187962962962</c:v>
                </c:pt>
                <c:pt idx="55">
                  <c:v>-5.8603879629629624E-2</c:v>
                </c:pt>
                <c:pt idx="56">
                  <c:v>4.6514120370370379E-2</c:v>
                </c:pt>
                <c:pt idx="57">
                  <c:v>0.17905412037037038</c:v>
                </c:pt>
                <c:pt idx="58">
                  <c:v>7.7051120370370374E-2</c:v>
                </c:pt>
                <c:pt idx="59">
                  <c:v>8.9682120370370377E-2</c:v>
                </c:pt>
                <c:pt idx="60">
                  <c:v>4.7650120370370377E-2</c:v>
                </c:pt>
                <c:pt idx="61">
                  <c:v>7.7595120370370377E-2</c:v>
                </c:pt>
                <c:pt idx="62">
                  <c:v>0.12651412037037038</c:v>
                </c:pt>
                <c:pt idx="63">
                  <c:v>6.7310120370370374E-2</c:v>
                </c:pt>
                <c:pt idx="64">
                  <c:v>0.21965412037037038</c:v>
                </c:pt>
                <c:pt idx="65">
                  <c:v>-3.3890879629629625E-2</c:v>
                </c:pt>
                <c:pt idx="66">
                  <c:v>-0.13240587962962963</c:v>
                </c:pt>
                <c:pt idx="67">
                  <c:v>0.18051412037037037</c:v>
                </c:pt>
                <c:pt idx="68">
                  <c:v>-9.8080879629629622E-2</c:v>
                </c:pt>
                <c:pt idx="69">
                  <c:v>3.0096120370370374E-2</c:v>
                </c:pt>
                <c:pt idx="70">
                  <c:v>0.15174912037037039</c:v>
                </c:pt>
                <c:pt idx="71">
                  <c:v>9.0141203703703737E-3</c:v>
                </c:pt>
                <c:pt idx="72">
                  <c:v>0.36688412037037033</c:v>
                </c:pt>
                <c:pt idx="73">
                  <c:v>0.25777512037037037</c:v>
                </c:pt>
                <c:pt idx="74">
                  <c:v>-8.2056879629629625E-2</c:v>
                </c:pt>
                <c:pt idx="75">
                  <c:v>0.22519612037037037</c:v>
                </c:pt>
                <c:pt idx="76">
                  <c:v>-5.1258796296296261E-3</c:v>
                </c:pt>
                <c:pt idx="77">
                  <c:v>2.1830120370370375E-2</c:v>
                </c:pt>
                <c:pt idx="78">
                  <c:v>1.5033120370370374E-2</c:v>
                </c:pt>
                <c:pt idx="79">
                  <c:v>0.30705912037037036</c:v>
                </c:pt>
                <c:pt idx="80">
                  <c:v>4.2810120370370373E-2</c:v>
                </c:pt>
                <c:pt idx="81">
                  <c:v>-0.31985787962962964</c:v>
                </c:pt>
                <c:pt idx="82">
                  <c:v>-0.14704587962962962</c:v>
                </c:pt>
                <c:pt idx="83">
                  <c:v>0.26924112037037035</c:v>
                </c:pt>
                <c:pt idx="84">
                  <c:v>-1.5390879629629626E-2</c:v>
                </c:pt>
                <c:pt idx="85">
                  <c:v>3.4586120370370378E-2</c:v>
                </c:pt>
                <c:pt idx="86">
                  <c:v>-7.3252879629629619E-2</c:v>
                </c:pt>
                <c:pt idx="87">
                  <c:v>2.1514120370370374E-2</c:v>
                </c:pt>
                <c:pt idx="88">
                  <c:v>1.0660120370370375E-2</c:v>
                </c:pt>
                <c:pt idx="89">
                  <c:v>0.11097212037037038</c:v>
                </c:pt>
                <c:pt idx="90">
                  <c:v>-4.4026879629629624E-2</c:v>
                </c:pt>
                <c:pt idx="91">
                  <c:v>-0.10309187962962962</c:v>
                </c:pt>
                <c:pt idx="92">
                  <c:v>8.1153120370370382E-2</c:v>
                </c:pt>
                <c:pt idx="93">
                  <c:v>-0.11042187962962963</c:v>
                </c:pt>
                <c:pt idx="94">
                  <c:v>-2.6786879629629626E-2</c:v>
                </c:pt>
                <c:pt idx="95">
                  <c:v>6.6281120370370372E-2</c:v>
                </c:pt>
                <c:pt idx="96">
                  <c:v>-6.5597879629629624E-2</c:v>
                </c:pt>
                <c:pt idx="97">
                  <c:v>-4.0571879629629624E-2</c:v>
                </c:pt>
                <c:pt idx="98">
                  <c:v>-2.0726879629629626E-2</c:v>
                </c:pt>
                <c:pt idx="99">
                  <c:v>9.1251120370370378E-2</c:v>
                </c:pt>
                <c:pt idx="100">
                  <c:v>0.22343712037037039</c:v>
                </c:pt>
                <c:pt idx="101">
                  <c:v>-0.13961187962962962</c:v>
                </c:pt>
                <c:pt idx="102">
                  <c:v>-3.9849879629629624E-2</c:v>
                </c:pt>
                <c:pt idx="103">
                  <c:v>0.11852712037037037</c:v>
                </c:pt>
                <c:pt idx="104">
                  <c:v>-3.4858796296296261E-3</c:v>
                </c:pt>
                <c:pt idx="105">
                  <c:v>4.1458120370370374E-2</c:v>
                </c:pt>
                <c:pt idx="106">
                  <c:v>-4.9507879629629624E-2</c:v>
                </c:pt>
                <c:pt idx="107">
                  <c:v>-0.20687587962962961</c:v>
                </c:pt>
                <c:pt idx="108">
                  <c:v>-3.8946879629629623E-2</c:v>
                </c:pt>
                <c:pt idx="109">
                  <c:v>-2.5087962962962607E-4</c:v>
                </c:pt>
                <c:pt idx="110">
                  <c:v>0.18033812037037036</c:v>
                </c:pt>
                <c:pt idx="111">
                  <c:v>-2.5224879629629628E-2</c:v>
                </c:pt>
                <c:pt idx="112">
                  <c:v>4.6927120370370376E-2</c:v>
                </c:pt>
                <c:pt idx="113">
                  <c:v>8.1362120370370383E-2</c:v>
                </c:pt>
                <c:pt idx="114">
                  <c:v>-6.4938879629629631E-2</c:v>
                </c:pt>
                <c:pt idx="115">
                  <c:v>-0.11991487962962963</c:v>
                </c:pt>
                <c:pt idx="116">
                  <c:v>-0.21970187962962962</c:v>
                </c:pt>
                <c:pt idx="117">
                  <c:v>5.6859120370370379E-2</c:v>
                </c:pt>
                <c:pt idx="118">
                  <c:v>0.19553812037037038</c:v>
                </c:pt>
                <c:pt idx="119">
                  <c:v>0.16658212037037037</c:v>
                </c:pt>
                <c:pt idx="120">
                  <c:v>0.28721212037037036</c:v>
                </c:pt>
                <c:pt idx="121">
                  <c:v>3.0208120370370375E-2</c:v>
                </c:pt>
                <c:pt idx="122">
                  <c:v>0.18428712037037037</c:v>
                </c:pt>
                <c:pt idx="123">
                  <c:v>-0.19466187962962964</c:v>
                </c:pt>
                <c:pt idx="124">
                  <c:v>-0.14675887962962963</c:v>
                </c:pt>
                <c:pt idx="125">
                  <c:v>-0.12050687962962962</c:v>
                </c:pt>
                <c:pt idx="126">
                  <c:v>0.11097212037037038</c:v>
                </c:pt>
                <c:pt idx="127">
                  <c:v>0.14505512037037038</c:v>
                </c:pt>
                <c:pt idx="128">
                  <c:v>-6.9523879629629623E-2</c:v>
                </c:pt>
                <c:pt idx="129">
                  <c:v>3.6918120370370379E-2</c:v>
                </c:pt>
                <c:pt idx="130">
                  <c:v>-1.5718879629629628E-2</c:v>
                </c:pt>
                <c:pt idx="131">
                  <c:v>0.10735112037037038</c:v>
                </c:pt>
                <c:pt idx="132">
                  <c:v>0.14507312037037037</c:v>
                </c:pt>
                <c:pt idx="133">
                  <c:v>4.0838120370370379E-2</c:v>
                </c:pt>
                <c:pt idx="134">
                  <c:v>-0.14052287962962962</c:v>
                </c:pt>
                <c:pt idx="135">
                  <c:v>2.8703120370370375E-2</c:v>
                </c:pt>
                <c:pt idx="136">
                  <c:v>-9.7228796296296265E-3</c:v>
                </c:pt>
                <c:pt idx="137">
                  <c:v>-0.19812987962962963</c:v>
                </c:pt>
                <c:pt idx="138">
                  <c:v>-2.9527879629629626E-2</c:v>
                </c:pt>
                <c:pt idx="139">
                  <c:v>-1.6961879629629625E-2</c:v>
                </c:pt>
                <c:pt idx="140">
                  <c:v>-2.2507879629629628E-2</c:v>
                </c:pt>
                <c:pt idx="141">
                  <c:v>0.15994912037037037</c:v>
                </c:pt>
                <c:pt idx="142">
                  <c:v>9.4038120370370376E-2</c:v>
                </c:pt>
                <c:pt idx="143">
                  <c:v>3.5644120370370375E-2</c:v>
                </c:pt>
                <c:pt idx="144">
                  <c:v>-7.6698796296296263E-3</c:v>
                </c:pt>
                <c:pt idx="145">
                  <c:v>-0.11071287962962963</c:v>
                </c:pt>
                <c:pt idx="146">
                  <c:v>-3.1787879629629624E-2</c:v>
                </c:pt>
                <c:pt idx="147">
                  <c:v>-8.3398796296296259E-3</c:v>
                </c:pt>
                <c:pt idx="148">
                  <c:v>0.10373412037037037</c:v>
                </c:pt>
                <c:pt idx="149">
                  <c:v>-0.30591387962962963</c:v>
                </c:pt>
                <c:pt idx="150">
                  <c:v>-0.30095387962962966</c:v>
                </c:pt>
                <c:pt idx="151">
                  <c:v>-4.4206879629629624E-2</c:v>
                </c:pt>
                <c:pt idx="152">
                  <c:v>-0.12141087962962963</c:v>
                </c:pt>
                <c:pt idx="153">
                  <c:v>0.31202212037037036</c:v>
                </c:pt>
                <c:pt idx="154">
                  <c:v>2.4807120370370372E-2</c:v>
                </c:pt>
                <c:pt idx="155">
                  <c:v>-7.491487962962963E-2</c:v>
                </c:pt>
                <c:pt idx="156">
                  <c:v>0.11617212037037038</c:v>
                </c:pt>
                <c:pt idx="157">
                  <c:v>0.11468212037037037</c:v>
                </c:pt>
                <c:pt idx="158">
                  <c:v>-9.2526879629629619E-2</c:v>
                </c:pt>
                <c:pt idx="159">
                  <c:v>-0.10122987962962962</c:v>
                </c:pt>
                <c:pt idx="160">
                  <c:v>-2.4485879629629628E-2</c:v>
                </c:pt>
                <c:pt idx="161">
                  <c:v>-9.7502879629629627E-2</c:v>
                </c:pt>
                <c:pt idx="162">
                  <c:v>0.26774012037037037</c:v>
                </c:pt>
                <c:pt idx="163">
                  <c:v>7.4288120370370372E-2</c:v>
                </c:pt>
                <c:pt idx="164">
                  <c:v>-7.2570879629629617E-2</c:v>
                </c:pt>
                <c:pt idx="165">
                  <c:v>0.27851812037037033</c:v>
                </c:pt>
                <c:pt idx="166">
                  <c:v>-0.13818887962962961</c:v>
                </c:pt>
                <c:pt idx="167">
                  <c:v>4.3494120370370377E-2</c:v>
                </c:pt>
                <c:pt idx="168">
                  <c:v>3.1770120370370379E-2</c:v>
                </c:pt>
                <c:pt idx="169">
                  <c:v>-2.2185879629629628E-2</c:v>
                </c:pt>
                <c:pt idx="170">
                  <c:v>-0.11108087962962962</c:v>
                </c:pt>
                <c:pt idx="171">
                  <c:v>8.1620120370370378E-2</c:v>
                </c:pt>
                <c:pt idx="172">
                  <c:v>8.6253120370370376E-2</c:v>
                </c:pt>
                <c:pt idx="173">
                  <c:v>0.11380712037037037</c:v>
                </c:pt>
                <c:pt idx="174">
                  <c:v>-3.4441879629629628E-2</c:v>
                </c:pt>
                <c:pt idx="175">
                  <c:v>-4.5263879629629626E-2</c:v>
                </c:pt>
                <c:pt idx="176">
                  <c:v>-0.13720687962962963</c:v>
                </c:pt>
                <c:pt idx="177">
                  <c:v>-2.8653879629629626E-2</c:v>
                </c:pt>
                <c:pt idx="178">
                  <c:v>4.9733120370370379E-2</c:v>
                </c:pt>
                <c:pt idx="179">
                  <c:v>-0.16741987962962962</c:v>
                </c:pt>
                <c:pt idx="180">
                  <c:v>-0.13681887962962963</c:v>
                </c:pt>
                <c:pt idx="181">
                  <c:v>-8.0108796296296265E-3</c:v>
                </c:pt>
                <c:pt idx="182">
                  <c:v>-0.11030387962962962</c:v>
                </c:pt>
                <c:pt idx="183">
                  <c:v>-1.1119879629629625E-2</c:v>
                </c:pt>
                <c:pt idx="184">
                  <c:v>6.8309120370370374E-2</c:v>
                </c:pt>
                <c:pt idx="185">
                  <c:v>-0.19965787962962964</c:v>
                </c:pt>
                <c:pt idx="186">
                  <c:v>4.4133120370370378E-2</c:v>
                </c:pt>
                <c:pt idx="187">
                  <c:v>9.8787120370370379E-2</c:v>
                </c:pt>
                <c:pt idx="188">
                  <c:v>-8.8537879629629626E-2</c:v>
                </c:pt>
                <c:pt idx="189">
                  <c:v>3.3134120370370376E-2</c:v>
                </c:pt>
                <c:pt idx="190">
                  <c:v>4.5427120370370375E-2</c:v>
                </c:pt>
                <c:pt idx="191">
                  <c:v>-0.13820087962962962</c:v>
                </c:pt>
                <c:pt idx="192">
                  <c:v>-0.20707887962962962</c:v>
                </c:pt>
                <c:pt idx="193">
                  <c:v>-2.6041879629629627E-2</c:v>
                </c:pt>
                <c:pt idx="194">
                  <c:v>0.11959112037037038</c:v>
                </c:pt>
                <c:pt idx="195">
                  <c:v>-7.1978879629629622E-2</c:v>
                </c:pt>
                <c:pt idx="196">
                  <c:v>-2.5544879629629626E-2</c:v>
                </c:pt>
                <c:pt idx="197">
                  <c:v>-0.14634287962962964</c:v>
                </c:pt>
                <c:pt idx="198">
                  <c:v>0.22458412037037037</c:v>
                </c:pt>
                <c:pt idx="199">
                  <c:v>0.23937112037037037</c:v>
                </c:pt>
                <c:pt idx="200">
                  <c:v>-6.3598796296296259E-3</c:v>
                </c:pt>
                <c:pt idx="201">
                  <c:v>-0.21818287962962962</c:v>
                </c:pt>
                <c:pt idx="202">
                  <c:v>3.871612037037038E-2</c:v>
                </c:pt>
                <c:pt idx="203">
                  <c:v>-0.26404887962962964</c:v>
                </c:pt>
                <c:pt idx="204">
                  <c:v>0.39175212037037033</c:v>
                </c:pt>
                <c:pt idx="205">
                  <c:v>0.28661612037037038</c:v>
                </c:pt>
                <c:pt idx="206">
                  <c:v>0.16053512037037038</c:v>
                </c:pt>
                <c:pt idx="207">
                  <c:v>-8.0308796296296274E-3</c:v>
                </c:pt>
                <c:pt idx="208">
                  <c:v>-3.0882879629629628E-2</c:v>
                </c:pt>
                <c:pt idx="209">
                  <c:v>7.3979120370370383E-2</c:v>
                </c:pt>
                <c:pt idx="210">
                  <c:v>0.20348612037037037</c:v>
                </c:pt>
                <c:pt idx="211">
                  <c:v>-0.10276387962962963</c:v>
                </c:pt>
                <c:pt idx="212">
                  <c:v>0.21895912037037038</c:v>
                </c:pt>
                <c:pt idx="213">
                  <c:v>-2.9715879629629627E-2</c:v>
                </c:pt>
                <c:pt idx="214">
                  <c:v>-0.14321687962962962</c:v>
                </c:pt>
                <c:pt idx="215">
                  <c:v>0.27831412037037034</c:v>
                </c:pt>
                <c:pt idx="216">
                  <c:v>2.6211203703703735E-3</c:v>
                </c:pt>
                <c:pt idx="217">
                  <c:v>-0.15826587962962962</c:v>
                </c:pt>
                <c:pt idx="218">
                  <c:v>2.8830120370370371E-2</c:v>
                </c:pt>
                <c:pt idx="219">
                  <c:v>0.27651412037037038</c:v>
                </c:pt>
                <c:pt idx="220">
                  <c:v>-4.5605879629629621E-2</c:v>
                </c:pt>
                <c:pt idx="221">
                  <c:v>4.7578120370370375E-2</c:v>
                </c:pt>
                <c:pt idx="222">
                  <c:v>0.19894312037037037</c:v>
                </c:pt>
                <c:pt idx="223">
                  <c:v>0.16823112037037039</c:v>
                </c:pt>
                <c:pt idx="224">
                  <c:v>-3.3178879629629628E-2</c:v>
                </c:pt>
                <c:pt idx="225">
                  <c:v>0.26206212037037036</c:v>
                </c:pt>
                <c:pt idx="226">
                  <c:v>0.21804312037037038</c:v>
                </c:pt>
                <c:pt idx="227">
                  <c:v>4.6961120370370375E-2</c:v>
                </c:pt>
                <c:pt idx="228">
                  <c:v>5.6331203703703743E-3</c:v>
                </c:pt>
                <c:pt idx="229">
                  <c:v>0.10133312037037037</c:v>
                </c:pt>
                <c:pt idx="230">
                  <c:v>0.18135612037037038</c:v>
                </c:pt>
                <c:pt idx="231">
                  <c:v>-9.0001879629629619E-2</c:v>
                </c:pt>
                <c:pt idx="232">
                  <c:v>-0.32640787962962964</c:v>
                </c:pt>
                <c:pt idx="233">
                  <c:v>0.24353812037037037</c:v>
                </c:pt>
                <c:pt idx="234">
                  <c:v>-3.3318879629629622E-2</c:v>
                </c:pt>
                <c:pt idx="235">
                  <c:v>0.19577612037037037</c:v>
                </c:pt>
                <c:pt idx="236">
                  <c:v>-0.5809218796296296</c:v>
                </c:pt>
                <c:pt idx="237">
                  <c:v>-0.24377687962962963</c:v>
                </c:pt>
                <c:pt idx="238">
                  <c:v>-0.16003587962962962</c:v>
                </c:pt>
                <c:pt idx="239">
                  <c:v>-0.10197087962962963</c:v>
                </c:pt>
                <c:pt idx="240">
                  <c:v>0.45029612037037037</c:v>
                </c:pt>
                <c:pt idx="241">
                  <c:v>-0.15955487962962964</c:v>
                </c:pt>
                <c:pt idx="242">
                  <c:v>0.20582912037037038</c:v>
                </c:pt>
                <c:pt idx="243">
                  <c:v>0.15147512037037036</c:v>
                </c:pt>
                <c:pt idx="244">
                  <c:v>-0.22082587962962963</c:v>
                </c:pt>
                <c:pt idx="245">
                  <c:v>0.16192712037037038</c:v>
                </c:pt>
                <c:pt idx="246">
                  <c:v>-0.19531387962962962</c:v>
                </c:pt>
                <c:pt idx="247">
                  <c:v>-1.6258879629629627E-2</c:v>
                </c:pt>
                <c:pt idx="248">
                  <c:v>-0.16736687962962962</c:v>
                </c:pt>
                <c:pt idx="249">
                  <c:v>0.12868712037037039</c:v>
                </c:pt>
                <c:pt idx="250">
                  <c:v>0.20949812037037038</c:v>
                </c:pt>
                <c:pt idx="251">
                  <c:v>2.4683120370370373E-2</c:v>
                </c:pt>
                <c:pt idx="252">
                  <c:v>0.12528112037037037</c:v>
                </c:pt>
                <c:pt idx="253">
                  <c:v>-0.12565387962962962</c:v>
                </c:pt>
                <c:pt idx="254">
                  <c:v>8.7297120370370379E-2</c:v>
                </c:pt>
                <c:pt idx="255">
                  <c:v>2.1863120370370373E-2</c:v>
                </c:pt>
                <c:pt idx="256">
                  <c:v>-4.3452879629629626E-2</c:v>
                </c:pt>
                <c:pt idx="257">
                  <c:v>-0.24297087962962963</c:v>
                </c:pt>
                <c:pt idx="258">
                  <c:v>-0.14231187962962963</c:v>
                </c:pt>
                <c:pt idx="259">
                  <c:v>-3.6906879629629623E-2</c:v>
                </c:pt>
                <c:pt idx="260">
                  <c:v>-2.0434879629629626E-2</c:v>
                </c:pt>
                <c:pt idx="261">
                  <c:v>0.10479012037037037</c:v>
                </c:pt>
                <c:pt idx="262">
                  <c:v>-3.8955879629629625E-2</c:v>
                </c:pt>
                <c:pt idx="263">
                  <c:v>-7.8969879629629619E-2</c:v>
                </c:pt>
                <c:pt idx="264">
                  <c:v>-1.3928796296296263E-3</c:v>
                </c:pt>
                <c:pt idx="265">
                  <c:v>4.1779120370370376E-2</c:v>
                </c:pt>
                <c:pt idx="266">
                  <c:v>-6.1446879629629622E-2</c:v>
                </c:pt>
                <c:pt idx="267">
                  <c:v>2.1721203703703737E-3</c:v>
                </c:pt>
                <c:pt idx="268">
                  <c:v>0.25882112037037036</c:v>
                </c:pt>
                <c:pt idx="269">
                  <c:v>5.8352120370370374E-2</c:v>
                </c:pt>
                <c:pt idx="270">
                  <c:v>0.10249512037037038</c:v>
                </c:pt>
                <c:pt idx="271">
                  <c:v>6.9095120370370383E-2</c:v>
                </c:pt>
                <c:pt idx="272">
                  <c:v>-8.7076879629629622E-2</c:v>
                </c:pt>
                <c:pt idx="273">
                  <c:v>0.10124412037037038</c:v>
                </c:pt>
                <c:pt idx="274">
                  <c:v>-8.9986879629629618E-2</c:v>
                </c:pt>
                <c:pt idx="275">
                  <c:v>1.8513120370370374E-2</c:v>
                </c:pt>
                <c:pt idx="276">
                  <c:v>5.2199120370370375E-2</c:v>
                </c:pt>
                <c:pt idx="277">
                  <c:v>5.6798120370370374E-2</c:v>
                </c:pt>
                <c:pt idx="278">
                  <c:v>0.12694912037037037</c:v>
                </c:pt>
                <c:pt idx="279">
                  <c:v>-5.0083879629629624E-2</c:v>
                </c:pt>
                <c:pt idx="280">
                  <c:v>8.4955120370370382E-2</c:v>
                </c:pt>
                <c:pt idx="281">
                  <c:v>0.15617212037037037</c:v>
                </c:pt>
                <c:pt idx="282">
                  <c:v>-9.6318796296296257E-3</c:v>
                </c:pt>
                <c:pt idx="283">
                  <c:v>6.2995120370370375E-2</c:v>
                </c:pt>
                <c:pt idx="284">
                  <c:v>0.12002812037037038</c:v>
                </c:pt>
                <c:pt idx="285">
                  <c:v>0.34877212037037036</c:v>
                </c:pt>
                <c:pt idx="286">
                  <c:v>0.27609412037037034</c:v>
                </c:pt>
                <c:pt idx="287">
                  <c:v>-4.3008879629629626E-2</c:v>
                </c:pt>
                <c:pt idx="288">
                  <c:v>0.19061312037037037</c:v>
                </c:pt>
                <c:pt idx="289">
                  <c:v>0.16322412037037037</c:v>
                </c:pt>
                <c:pt idx="290">
                  <c:v>-7.459587962962963E-2</c:v>
                </c:pt>
                <c:pt idx="291">
                  <c:v>-0.13811487962962962</c:v>
                </c:pt>
                <c:pt idx="292">
                  <c:v>9.9101120370370374E-2</c:v>
                </c:pt>
                <c:pt idx="293">
                  <c:v>-7.7664879629629618E-2</c:v>
                </c:pt>
                <c:pt idx="294">
                  <c:v>0.15516712037037036</c:v>
                </c:pt>
                <c:pt idx="295">
                  <c:v>9.5928120370370379E-2</c:v>
                </c:pt>
                <c:pt idx="296">
                  <c:v>0.13982812037037037</c:v>
                </c:pt>
                <c:pt idx="297">
                  <c:v>7.0754120370370377E-2</c:v>
                </c:pt>
                <c:pt idx="298">
                  <c:v>0.17414912037037036</c:v>
                </c:pt>
                <c:pt idx="299">
                  <c:v>5.6526120370370379E-2</c:v>
                </c:pt>
                <c:pt idx="300">
                  <c:v>4.6869120370370373E-2</c:v>
                </c:pt>
                <c:pt idx="301">
                  <c:v>-9.6453879629629619E-2</c:v>
                </c:pt>
                <c:pt idx="302">
                  <c:v>-8.7731879629629625E-2</c:v>
                </c:pt>
                <c:pt idx="303">
                  <c:v>0.11880412037037037</c:v>
                </c:pt>
                <c:pt idx="304">
                  <c:v>-0.15435987962962963</c:v>
                </c:pt>
                <c:pt idx="305">
                  <c:v>-4.5312879629629627E-2</c:v>
                </c:pt>
                <c:pt idx="306">
                  <c:v>0.18317412037037037</c:v>
                </c:pt>
                <c:pt idx="307">
                  <c:v>-5.1048796296296259E-3</c:v>
                </c:pt>
                <c:pt idx="308">
                  <c:v>0.13107612037037036</c:v>
                </c:pt>
                <c:pt idx="309">
                  <c:v>4.9775120370370379E-2</c:v>
                </c:pt>
                <c:pt idx="310">
                  <c:v>0.12700212037037037</c:v>
                </c:pt>
                <c:pt idx="311">
                  <c:v>-7.7890879629629622E-2</c:v>
                </c:pt>
                <c:pt idx="312">
                  <c:v>7.0041203703703732E-3</c:v>
                </c:pt>
                <c:pt idx="313">
                  <c:v>-1.6549879629629626E-2</c:v>
                </c:pt>
                <c:pt idx="314">
                  <c:v>9.461112037037038E-2</c:v>
                </c:pt>
                <c:pt idx="315">
                  <c:v>7.0672120370370378E-2</c:v>
                </c:pt>
                <c:pt idx="316">
                  <c:v>0.21085312037037038</c:v>
                </c:pt>
                <c:pt idx="317">
                  <c:v>3.5191203703703738E-3</c:v>
                </c:pt>
                <c:pt idx="318">
                  <c:v>7.6160120370370371E-2</c:v>
                </c:pt>
                <c:pt idx="319">
                  <c:v>4.7516120370370375E-2</c:v>
                </c:pt>
                <c:pt idx="320">
                  <c:v>0.10476112037037037</c:v>
                </c:pt>
                <c:pt idx="321">
                  <c:v>0.23421512037037037</c:v>
                </c:pt>
                <c:pt idx="322">
                  <c:v>-4.4180879629629626E-2</c:v>
                </c:pt>
                <c:pt idx="323">
                  <c:v>8.3552120370370381E-2</c:v>
                </c:pt>
                <c:pt idx="324">
                  <c:v>-0.32012587962962963</c:v>
                </c:pt>
                <c:pt idx="325">
                  <c:v>-7.9874879629629622E-2</c:v>
                </c:pt>
                <c:pt idx="326">
                  <c:v>0.14433012037037038</c:v>
                </c:pt>
                <c:pt idx="327">
                  <c:v>0.20870912037037037</c:v>
                </c:pt>
                <c:pt idx="328">
                  <c:v>8.1596120370370381E-2</c:v>
                </c:pt>
                <c:pt idx="329">
                  <c:v>-0.11638687962962962</c:v>
                </c:pt>
                <c:pt idx="330">
                  <c:v>-5.4190879629629624E-2</c:v>
                </c:pt>
                <c:pt idx="331">
                  <c:v>6.3076120370370373E-2</c:v>
                </c:pt>
                <c:pt idx="332">
                  <c:v>-0.33304387962962967</c:v>
                </c:pt>
                <c:pt idx="333">
                  <c:v>-5.6890879629629625E-2</c:v>
                </c:pt>
                <c:pt idx="334">
                  <c:v>-0.14216087962962962</c:v>
                </c:pt>
                <c:pt idx="335">
                  <c:v>-8.2475879629629628E-2</c:v>
                </c:pt>
                <c:pt idx="336">
                  <c:v>5.2519120370370376E-2</c:v>
                </c:pt>
                <c:pt idx="337">
                  <c:v>-1.2583879629629625E-2</c:v>
                </c:pt>
                <c:pt idx="338">
                  <c:v>0.17353812037037036</c:v>
                </c:pt>
                <c:pt idx="339">
                  <c:v>0.19352712037037037</c:v>
                </c:pt>
                <c:pt idx="340">
                  <c:v>7.5827120370370371E-2</c:v>
                </c:pt>
                <c:pt idx="341">
                  <c:v>4.5259120370370373E-2</c:v>
                </c:pt>
                <c:pt idx="342">
                  <c:v>0.14367412037037039</c:v>
                </c:pt>
                <c:pt idx="343">
                  <c:v>2.6014120370370371E-2</c:v>
                </c:pt>
                <c:pt idx="344">
                  <c:v>9.8410120370370377E-2</c:v>
                </c:pt>
                <c:pt idx="345">
                  <c:v>1.3509120370370373E-2</c:v>
                </c:pt>
                <c:pt idx="346">
                  <c:v>5.7045120370370378E-2</c:v>
                </c:pt>
                <c:pt idx="347">
                  <c:v>5.0648120370370378E-2</c:v>
                </c:pt>
                <c:pt idx="348">
                  <c:v>-9.2076879629629627E-2</c:v>
                </c:pt>
                <c:pt idx="349">
                  <c:v>6.189412037037037E-2</c:v>
                </c:pt>
                <c:pt idx="350">
                  <c:v>0.14498412037037037</c:v>
                </c:pt>
                <c:pt idx="351">
                  <c:v>0.10753512037037037</c:v>
                </c:pt>
                <c:pt idx="352">
                  <c:v>-1.9610879629629627E-2</c:v>
                </c:pt>
                <c:pt idx="353">
                  <c:v>-2.4312879629629625E-2</c:v>
                </c:pt>
                <c:pt idx="354">
                  <c:v>1.9255120370370374E-2</c:v>
                </c:pt>
                <c:pt idx="355">
                  <c:v>-5.8490879629629622E-2</c:v>
                </c:pt>
                <c:pt idx="356">
                  <c:v>0.16372912037037038</c:v>
                </c:pt>
                <c:pt idx="357">
                  <c:v>5.7237120370370376E-2</c:v>
                </c:pt>
                <c:pt idx="358">
                  <c:v>3.0304120370370374E-2</c:v>
                </c:pt>
                <c:pt idx="359">
                  <c:v>3.3184120370370378E-2</c:v>
                </c:pt>
                <c:pt idx="360">
                  <c:v>4.8473120370370375E-2</c:v>
                </c:pt>
                <c:pt idx="361">
                  <c:v>3.7449120370370376E-2</c:v>
                </c:pt>
                <c:pt idx="362">
                  <c:v>-1.6799879629629626E-2</c:v>
                </c:pt>
                <c:pt idx="363">
                  <c:v>1.1701203703703743E-3</c:v>
                </c:pt>
                <c:pt idx="364">
                  <c:v>-1.0054879629629625E-2</c:v>
                </c:pt>
                <c:pt idx="365">
                  <c:v>-3.8445879629629622E-2</c:v>
                </c:pt>
                <c:pt idx="366">
                  <c:v>0.15979912037037039</c:v>
                </c:pt>
                <c:pt idx="367">
                  <c:v>-1.7954879629629626E-2</c:v>
                </c:pt>
                <c:pt idx="368">
                  <c:v>-1.2606879629629628E-2</c:v>
                </c:pt>
                <c:pt idx="369">
                  <c:v>5.8037120370370378E-2</c:v>
                </c:pt>
                <c:pt idx="370">
                  <c:v>-5.9268879629629623E-2</c:v>
                </c:pt>
                <c:pt idx="371">
                  <c:v>5.6169120370370376E-2</c:v>
                </c:pt>
                <c:pt idx="372">
                  <c:v>0.12362512037037038</c:v>
                </c:pt>
                <c:pt idx="373">
                  <c:v>0.18482512037037038</c:v>
                </c:pt>
                <c:pt idx="374">
                  <c:v>0.10179812037037038</c:v>
                </c:pt>
                <c:pt idx="375">
                  <c:v>-2.9454879629629626E-2</c:v>
                </c:pt>
                <c:pt idx="376">
                  <c:v>-1.4187879629629627E-2</c:v>
                </c:pt>
                <c:pt idx="377">
                  <c:v>7.3671203703703737E-3</c:v>
                </c:pt>
                <c:pt idx="378">
                  <c:v>4.2336120370370378E-2</c:v>
                </c:pt>
                <c:pt idx="379">
                  <c:v>9.0053120370370374E-2</c:v>
                </c:pt>
                <c:pt idx="380">
                  <c:v>-6.8287962962962617E-4</c:v>
                </c:pt>
                <c:pt idx="381">
                  <c:v>-0.11109287962962962</c:v>
                </c:pt>
                <c:pt idx="382">
                  <c:v>-1.5898879629629627E-2</c:v>
                </c:pt>
                <c:pt idx="383">
                  <c:v>-9.4223879629629623E-2</c:v>
                </c:pt>
                <c:pt idx="384">
                  <c:v>-0.14757987962962962</c:v>
                </c:pt>
                <c:pt idx="385">
                  <c:v>-2.8601879629629626E-2</c:v>
                </c:pt>
                <c:pt idx="386">
                  <c:v>-6.308796296296262E-4</c:v>
                </c:pt>
                <c:pt idx="387">
                  <c:v>-3.2148796296296261E-3</c:v>
                </c:pt>
                <c:pt idx="388">
                  <c:v>1.9110120370370375E-2</c:v>
                </c:pt>
                <c:pt idx="389">
                  <c:v>-0.12178887962962963</c:v>
                </c:pt>
                <c:pt idx="390">
                  <c:v>0.13773912037037037</c:v>
                </c:pt>
                <c:pt idx="391">
                  <c:v>7.9903120370370381E-2</c:v>
                </c:pt>
                <c:pt idx="392">
                  <c:v>-2.4966879629629627E-2</c:v>
                </c:pt>
                <c:pt idx="393">
                  <c:v>9.2900120370370376E-2</c:v>
                </c:pt>
                <c:pt idx="394">
                  <c:v>6.6187120370370375E-2</c:v>
                </c:pt>
                <c:pt idx="395">
                  <c:v>5.4161203703703741E-3</c:v>
                </c:pt>
                <c:pt idx="396">
                  <c:v>-0.11118287962962962</c:v>
                </c:pt>
                <c:pt idx="397">
                  <c:v>5.3825120370370377E-2</c:v>
                </c:pt>
                <c:pt idx="398">
                  <c:v>1.6467120370370372E-2</c:v>
                </c:pt>
                <c:pt idx="399">
                  <c:v>9.5910120370370375E-2</c:v>
                </c:pt>
                <c:pt idx="400">
                  <c:v>7.4807120370370378E-2</c:v>
                </c:pt>
                <c:pt idx="401">
                  <c:v>2.4176120370370372E-2</c:v>
                </c:pt>
                <c:pt idx="402">
                  <c:v>2.5245120370370373E-2</c:v>
                </c:pt>
                <c:pt idx="403">
                  <c:v>7.360612037037037E-2</c:v>
                </c:pt>
                <c:pt idx="404">
                  <c:v>-2.0558879629629628E-2</c:v>
                </c:pt>
                <c:pt idx="405">
                  <c:v>6.8474120370370373E-2</c:v>
                </c:pt>
                <c:pt idx="406">
                  <c:v>0.10207012037037037</c:v>
                </c:pt>
                <c:pt idx="407">
                  <c:v>-7.537687962962962E-2</c:v>
                </c:pt>
                <c:pt idx="408">
                  <c:v>5.7938120370370376E-2</c:v>
                </c:pt>
                <c:pt idx="409">
                  <c:v>9.6975120370370371E-2</c:v>
                </c:pt>
                <c:pt idx="410">
                  <c:v>-3.4857879629629621E-2</c:v>
                </c:pt>
                <c:pt idx="411">
                  <c:v>2.3001203703703742E-3</c:v>
                </c:pt>
                <c:pt idx="412">
                  <c:v>4.1660120370370375E-2</c:v>
                </c:pt>
                <c:pt idx="413">
                  <c:v>-4.0751879629629624E-2</c:v>
                </c:pt>
                <c:pt idx="414">
                  <c:v>-3.6373879629629624E-2</c:v>
                </c:pt>
                <c:pt idx="415">
                  <c:v>-6.9602879629629619E-2</c:v>
                </c:pt>
                <c:pt idx="416">
                  <c:v>-2.5301879629629626E-2</c:v>
                </c:pt>
                <c:pt idx="417">
                  <c:v>7.9923120370370374E-2</c:v>
                </c:pt>
                <c:pt idx="418">
                  <c:v>-9.1758796296296258E-3</c:v>
                </c:pt>
                <c:pt idx="419">
                  <c:v>-0.11371387962962963</c:v>
                </c:pt>
                <c:pt idx="420">
                  <c:v>-7.8727879629629627E-2</c:v>
                </c:pt>
                <c:pt idx="421">
                  <c:v>-4.8208796296296264E-3</c:v>
                </c:pt>
                <c:pt idx="422">
                  <c:v>0.12372512037037037</c:v>
                </c:pt>
                <c:pt idx="423">
                  <c:v>-0.14340687962962961</c:v>
                </c:pt>
                <c:pt idx="424">
                  <c:v>6.7882120370370377E-2</c:v>
                </c:pt>
                <c:pt idx="425">
                  <c:v>-4.614587962962962E-2</c:v>
                </c:pt>
                <c:pt idx="426">
                  <c:v>8.6577120370370381E-2</c:v>
                </c:pt>
                <c:pt idx="427">
                  <c:v>2.0120120370370372E-2</c:v>
                </c:pt>
                <c:pt idx="428">
                  <c:v>6.2018120370370383E-2</c:v>
                </c:pt>
                <c:pt idx="429">
                  <c:v>8.4812037037037408E-4</c:v>
                </c:pt>
                <c:pt idx="430">
                  <c:v>-2.5063879629629627E-2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B8-4F1B-9127-11B419A75378}"/>
            </c:ext>
          </c:extLst>
        </c:ser>
        <c:ser>
          <c:idx val="1"/>
          <c:order val="1"/>
          <c:tx>
            <c:v>95% Confidence Interval</c:v>
          </c:tx>
          <c:spPr>
            <a:ln w="3810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Prediction!$A$2:$A$40</c:f>
              <c:numCache>
                <c:formatCode>0%</c:formatCode>
                <c:ptCount val="39"/>
                <c:pt idx="0">
                  <c:v>-0.23</c:v>
                </c:pt>
                <c:pt idx="1">
                  <c:v>-0.22</c:v>
                </c:pt>
                <c:pt idx="2">
                  <c:v>-0.21</c:v>
                </c:pt>
                <c:pt idx="3">
                  <c:v>-0.19999999999999998</c:v>
                </c:pt>
                <c:pt idx="4">
                  <c:v>-0.18999999999999997</c:v>
                </c:pt>
                <c:pt idx="5">
                  <c:v>-0.17999999999999997</c:v>
                </c:pt>
                <c:pt idx="6">
                  <c:v>-0.16999999999999996</c:v>
                </c:pt>
                <c:pt idx="7">
                  <c:v>-0.15999999999999995</c:v>
                </c:pt>
                <c:pt idx="8">
                  <c:v>-0.14999999999999994</c:v>
                </c:pt>
                <c:pt idx="9">
                  <c:v>-0.13999999999999993</c:v>
                </c:pt>
                <c:pt idx="10">
                  <c:v>-0.12999999999999992</c:v>
                </c:pt>
                <c:pt idx="11">
                  <c:v>-0.11999999999999993</c:v>
                </c:pt>
                <c:pt idx="12">
                  <c:v>-0.10999999999999993</c:v>
                </c:pt>
                <c:pt idx="13">
                  <c:v>-9.9999999999999936E-2</c:v>
                </c:pt>
                <c:pt idx="14">
                  <c:v>-8.9999999999999941E-2</c:v>
                </c:pt>
                <c:pt idx="15">
                  <c:v>-7.9999999999999946E-2</c:v>
                </c:pt>
                <c:pt idx="16">
                  <c:v>-6.9999999999999951E-2</c:v>
                </c:pt>
                <c:pt idx="17">
                  <c:v>-5.9999999999999949E-2</c:v>
                </c:pt>
                <c:pt idx="18">
                  <c:v>-4.9999999999999947E-2</c:v>
                </c:pt>
                <c:pt idx="19">
                  <c:v>-3.9999999999999945E-2</c:v>
                </c:pt>
                <c:pt idx="20">
                  <c:v>-2.9999999999999943E-2</c:v>
                </c:pt>
                <c:pt idx="21">
                  <c:v>-1.9999999999999941E-2</c:v>
                </c:pt>
                <c:pt idx="22">
                  <c:v>-9.9999999999999412E-3</c:v>
                </c:pt>
                <c:pt idx="23">
                  <c:v>5.8980598183211441E-17</c:v>
                </c:pt>
                <c:pt idx="24">
                  <c:v>1.0000000000000059E-2</c:v>
                </c:pt>
                <c:pt idx="25">
                  <c:v>2.0000000000000059E-2</c:v>
                </c:pt>
                <c:pt idx="26">
                  <c:v>3.0000000000000061E-2</c:v>
                </c:pt>
                <c:pt idx="27">
                  <c:v>4.0000000000000063E-2</c:v>
                </c:pt>
                <c:pt idx="28">
                  <c:v>5.0000000000000065E-2</c:v>
                </c:pt>
                <c:pt idx="29">
                  <c:v>6.0000000000000067E-2</c:v>
                </c:pt>
                <c:pt idx="30">
                  <c:v>7.0000000000000062E-2</c:v>
                </c:pt>
                <c:pt idx="31">
                  <c:v>8.0000000000000057E-2</c:v>
                </c:pt>
                <c:pt idx="32">
                  <c:v>9.0000000000000052E-2</c:v>
                </c:pt>
                <c:pt idx="33">
                  <c:v>0.10000000000000005</c:v>
                </c:pt>
                <c:pt idx="34">
                  <c:v>0.11000000000000004</c:v>
                </c:pt>
                <c:pt idx="35">
                  <c:v>0.12000000000000004</c:v>
                </c:pt>
                <c:pt idx="36">
                  <c:v>0.13000000000000003</c:v>
                </c:pt>
                <c:pt idx="37">
                  <c:v>0.14000000000000004</c:v>
                </c:pt>
                <c:pt idx="38">
                  <c:v>0.15000000000000005</c:v>
                </c:pt>
              </c:numCache>
              <c:extLst xmlns:c15="http://schemas.microsoft.com/office/drawing/2012/chart"/>
            </c:numRef>
          </c:xVal>
          <c:yVal>
            <c:numRef>
              <c:f>Prediction!$D$2:$D$40</c:f>
              <c:numCache>
                <c:formatCode>0%</c:formatCode>
                <c:ptCount val="39"/>
                <c:pt idx="0">
                  <c:v>-0.25474275000100188</c:v>
                </c:pt>
                <c:pt idx="1">
                  <c:v>-0.24308878629451819</c:v>
                </c:pt>
                <c:pt idx="2">
                  <c:v>-0.23143075698139365</c:v>
                </c:pt>
                <c:pt idx="3">
                  <c:v>-0.21976809462548458</c:v>
                </c:pt>
                <c:pt idx="4">
                  <c:v>-0.20810012242221418</c:v>
                </c:pt>
                <c:pt idx="5">
                  <c:v>-0.19642602690816796</c:v>
                </c:pt>
                <c:pt idx="6">
                  <c:v>-0.18474482221193486</c:v>
                </c:pt>
                <c:pt idx="7">
                  <c:v>-0.17305530268425906</c:v>
                </c:pt>
                <c:pt idx="8">
                  <c:v>-0.1613559793530234</c:v>
                </c:pt>
                <c:pt idx="9">
                  <c:v>-0.14964499354838282</c:v>
                </c:pt>
                <c:pt idx="10">
                  <c:v>-0.13791999782952455</c:v>
                </c:pt>
                <c:pt idx="11">
                  <c:v>-0.12617798935557473</c:v>
                </c:pt>
                <c:pt idx="12">
                  <c:v>-0.11441507299407205</c:v>
                </c:pt>
                <c:pt idx="13">
                  <c:v>-0.10262611897246388</c:v>
                </c:pt>
                <c:pt idx="14">
                  <c:v>-9.0804259877847848E-2</c:v>
                </c:pt>
                <c:pt idx="15">
                  <c:v>-7.8940139860967179E-2</c:v>
                </c:pt>
                <c:pt idx="16">
                  <c:v>-6.7020778949744758E-2</c:v>
                </c:pt>
                <c:pt idx="17">
                  <c:v>-5.5027842172404397E-2</c:v>
                </c:pt>
                <c:pt idx="18">
                  <c:v>-4.2935014417551667E-2</c:v>
                </c:pt>
                <c:pt idx="19">
                  <c:v>-3.0704142529744065E-2</c:v>
                </c:pt>
                <c:pt idx="20">
                  <c:v>-1.8280070000628378E-2</c:v>
                </c:pt>
                <c:pt idx="21">
                  <c:v>-5.5853810010449995E-3</c:v>
                </c:pt>
                <c:pt idx="22">
                  <c:v>7.4801280526785932E-3</c:v>
                </c:pt>
                <c:pt idx="23">
                  <c:v>2.1025014353646163E-2</c:v>
                </c:pt>
                <c:pt idx="24">
                  <c:v>3.5129170932074981E-2</c:v>
                </c:pt>
                <c:pt idx="25">
                  <c:v>4.9802179743844543E-2</c:v>
                </c:pt>
                <c:pt idx="26">
                  <c:v>6.4977512170206836E-2</c:v>
                </c:pt>
                <c:pt idx="27">
                  <c:v>8.0549251884305104E-2</c:v>
                </c:pt>
                <c:pt idx="28">
                  <c:v>9.6413151128166688E-2</c:v>
                </c:pt>
                <c:pt idx="29">
                  <c:v>0.11248617444841522</c:v>
                </c:pt>
                <c:pt idx="30">
                  <c:v>0.12870838320617567</c:v>
                </c:pt>
                <c:pt idx="31">
                  <c:v>0.14503815738912376</c:v>
                </c:pt>
                <c:pt idx="32">
                  <c:v>0.16144681536752925</c:v>
                </c:pt>
                <c:pt idx="33">
                  <c:v>0.17791443469195434</c:v>
                </c:pt>
                <c:pt idx="34">
                  <c:v>0.19442696787561492</c:v>
                </c:pt>
                <c:pt idx="35">
                  <c:v>0.210974332715758</c:v>
                </c:pt>
                <c:pt idx="36">
                  <c:v>0.22754915969299869</c:v>
                </c:pt>
                <c:pt idx="37">
                  <c:v>0.24414596590782511</c:v>
                </c:pt>
                <c:pt idx="38">
                  <c:v>0.26076060354174957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11D2-4E52-AB4B-F3EE55D2EB2E}"/>
            </c:ext>
          </c:extLst>
        </c:ser>
        <c:ser>
          <c:idx val="2"/>
          <c:order val="2"/>
          <c:tx>
            <c:v>95% Confidence Interval</c:v>
          </c:tx>
          <c:spPr>
            <a:ln w="38100" cap="rnd">
              <a:solidFill>
                <a:srgbClr val="00B05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Prediction!$A$2:$A$40</c:f>
              <c:numCache>
                <c:formatCode>0%</c:formatCode>
                <c:ptCount val="39"/>
                <c:pt idx="0">
                  <c:v>-0.23</c:v>
                </c:pt>
                <c:pt idx="1">
                  <c:v>-0.22</c:v>
                </c:pt>
                <c:pt idx="2">
                  <c:v>-0.21</c:v>
                </c:pt>
                <c:pt idx="3">
                  <c:v>-0.19999999999999998</c:v>
                </c:pt>
                <c:pt idx="4">
                  <c:v>-0.18999999999999997</c:v>
                </c:pt>
                <c:pt idx="5">
                  <c:v>-0.17999999999999997</c:v>
                </c:pt>
                <c:pt idx="6">
                  <c:v>-0.16999999999999996</c:v>
                </c:pt>
                <c:pt idx="7">
                  <c:v>-0.15999999999999995</c:v>
                </c:pt>
                <c:pt idx="8">
                  <c:v>-0.14999999999999994</c:v>
                </c:pt>
                <c:pt idx="9">
                  <c:v>-0.13999999999999993</c:v>
                </c:pt>
                <c:pt idx="10">
                  <c:v>-0.12999999999999992</c:v>
                </c:pt>
                <c:pt idx="11">
                  <c:v>-0.11999999999999993</c:v>
                </c:pt>
                <c:pt idx="12">
                  <c:v>-0.10999999999999993</c:v>
                </c:pt>
                <c:pt idx="13">
                  <c:v>-9.9999999999999936E-2</c:v>
                </c:pt>
                <c:pt idx="14">
                  <c:v>-8.9999999999999941E-2</c:v>
                </c:pt>
                <c:pt idx="15">
                  <c:v>-7.9999999999999946E-2</c:v>
                </c:pt>
                <c:pt idx="16">
                  <c:v>-6.9999999999999951E-2</c:v>
                </c:pt>
                <c:pt idx="17">
                  <c:v>-5.9999999999999949E-2</c:v>
                </c:pt>
                <c:pt idx="18">
                  <c:v>-4.9999999999999947E-2</c:v>
                </c:pt>
                <c:pt idx="19">
                  <c:v>-3.9999999999999945E-2</c:v>
                </c:pt>
                <c:pt idx="20">
                  <c:v>-2.9999999999999943E-2</c:v>
                </c:pt>
                <c:pt idx="21">
                  <c:v>-1.9999999999999941E-2</c:v>
                </c:pt>
                <c:pt idx="22">
                  <c:v>-9.9999999999999412E-3</c:v>
                </c:pt>
                <c:pt idx="23">
                  <c:v>5.8980598183211441E-17</c:v>
                </c:pt>
                <c:pt idx="24">
                  <c:v>1.0000000000000059E-2</c:v>
                </c:pt>
                <c:pt idx="25">
                  <c:v>2.0000000000000059E-2</c:v>
                </c:pt>
                <c:pt idx="26">
                  <c:v>3.0000000000000061E-2</c:v>
                </c:pt>
                <c:pt idx="27">
                  <c:v>4.0000000000000063E-2</c:v>
                </c:pt>
                <c:pt idx="28">
                  <c:v>5.0000000000000065E-2</c:v>
                </c:pt>
                <c:pt idx="29">
                  <c:v>6.0000000000000067E-2</c:v>
                </c:pt>
                <c:pt idx="30">
                  <c:v>7.0000000000000062E-2</c:v>
                </c:pt>
                <c:pt idx="31">
                  <c:v>8.0000000000000057E-2</c:v>
                </c:pt>
                <c:pt idx="32">
                  <c:v>9.0000000000000052E-2</c:v>
                </c:pt>
                <c:pt idx="33">
                  <c:v>0.10000000000000005</c:v>
                </c:pt>
                <c:pt idx="34">
                  <c:v>0.11000000000000004</c:v>
                </c:pt>
                <c:pt idx="35">
                  <c:v>0.12000000000000004</c:v>
                </c:pt>
                <c:pt idx="36">
                  <c:v>0.13000000000000003</c:v>
                </c:pt>
                <c:pt idx="37">
                  <c:v>0.14000000000000004</c:v>
                </c:pt>
                <c:pt idx="38">
                  <c:v>0.15000000000000005</c:v>
                </c:pt>
              </c:numCache>
              <c:extLst xmlns:c15="http://schemas.microsoft.com/office/drawing/2012/chart"/>
            </c:numRef>
          </c:xVal>
          <c:yVal>
            <c:numRef>
              <c:f>Prediction!$C$2:$C$40</c:f>
              <c:numCache>
                <c:formatCode>0%</c:formatCode>
                <c:ptCount val="39"/>
                <c:pt idx="0">
                  <c:v>-0.37788267792200458</c:v>
                </c:pt>
                <c:pt idx="1">
                  <c:v>-0.36119333481541777</c:v>
                </c:pt>
                <c:pt idx="2">
                  <c:v>-0.34450805731547179</c:v>
                </c:pt>
                <c:pt idx="3">
                  <c:v>-0.32782741285831024</c:v>
                </c:pt>
                <c:pt idx="4">
                  <c:v>-0.3111520782485101</c:v>
                </c:pt>
                <c:pt idx="5">
                  <c:v>-0.29448286694948583</c:v>
                </c:pt>
                <c:pt idx="6">
                  <c:v>-0.27782076483264828</c:v>
                </c:pt>
                <c:pt idx="7">
                  <c:v>-0.2611669775472536</c:v>
                </c:pt>
                <c:pt idx="8">
                  <c:v>-0.24452299406541875</c:v>
                </c:pt>
                <c:pt idx="9">
                  <c:v>-0.22789067305698882</c:v>
                </c:pt>
                <c:pt idx="10">
                  <c:v>-0.21127236196277646</c:v>
                </c:pt>
                <c:pt idx="11">
                  <c:v>-0.19467106362365577</c:v>
                </c:pt>
                <c:pt idx="12">
                  <c:v>-0.17809067317208793</c:v>
                </c:pt>
                <c:pt idx="13">
                  <c:v>-0.16153632038062571</c:v>
                </c:pt>
                <c:pt idx="14">
                  <c:v>-0.1450148726621712</c:v>
                </c:pt>
                <c:pt idx="15">
                  <c:v>-0.12853568586598135</c:v>
                </c:pt>
                <c:pt idx="16">
                  <c:v>-0.11211173996413326</c:v>
                </c:pt>
                <c:pt idx="17">
                  <c:v>-9.5761369928403117E-2</c:v>
                </c:pt>
                <c:pt idx="18">
                  <c:v>-7.95108908701853E-2</c:v>
                </c:pt>
                <c:pt idx="19">
                  <c:v>-6.3398455944922383E-2</c:v>
                </c:pt>
                <c:pt idx="20">
                  <c:v>-4.7479221660967547E-2</c:v>
                </c:pt>
                <c:pt idx="21">
                  <c:v>-3.1830603847480411E-2</c:v>
                </c:pt>
                <c:pt idx="22">
                  <c:v>-1.6552806088133486E-2</c:v>
                </c:pt>
                <c:pt idx="23">
                  <c:v>-1.7543855760305416E-3</c:v>
                </c:pt>
                <c:pt idx="24">
                  <c:v>1.2484764658611163E-2</c:v>
                </c:pt>
                <c:pt idx="25">
                  <c:v>2.6155062659912118E-2</c:v>
                </c:pt>
                <c:pt idx="26">
                  <c:v>3.9323037046620338E-2</c:v>
                </c:pt>
                <c:pt idx="27">
                  <c:v>5.2094604145592596E-2</c:v>
                </c:pt>
                <c:pt idx="28">
                  <c:v>6.4574011714801524E-2</c:v>
                </c:pt>
                <c:pt idx="29">
                  <c:v>7.6844295207623536E-2</c:v>
                </c:pt>
                <c:pt idx="30">
                  <c:v>8.8965393262933581E-2</c:v>
                </c:pt>
                <c:pt idx="31">
                  <c:v>0.10097892589305597</c:v>
                </c:pt>
                <c:pt idx="32">
                  <c:v>0.11291357472772101</c:v>
                </c:pt>
                <c:pt idx="33">
                  <c:v>0.12478926221636644</c:v>
                </c:pt>
                <c:pt idx="34">
                  <c:v>0.13662003584577637</c:v>
                </c:pt>
                <c:pt idx="35">
                  <c:v>0.1484159778187038</c:v>
                </c:pt>
                <c:pt idx="36">
                  <c:v>0.16018445765453362</c:v>
                </c:pt>
                <c:pt idx="37">
                  <c:v>0.17193095825277771</c:v>
                </c:pt>
                <c:pt idx="38">
                  <c:v>0.18365962743192377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11D2-4E52-AB4B-F3EE55D2EB2E}"/>
            </c:ext>
          </c:extLst>
        </c:ser>
        <c:ser>
          <c:idx val="3"/>
          <c:order val="5"/>
          <c:tx>
            <c:v>Predicted Excess Apple Return (CAPM)</c:v>
          </c:tx>
          <c:spPr>
            <a:ln w="381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Prediction!$A$2:$A$40</c:f>
              <c:numCache>
                <c:formatCode>0%</c:formatCode>
                <c:ptCount val="39"/>
                <c:pt idx="0">
                  <c:v>-0.23</c:v>
                </c:pt>
                <c:pt idx="1">
                  <c:v>-0.22</c:v>
                </c:pt>
                <c:pt idx="2">
                  <c:v>-0.21</c:v>
                </c:pt>
                <c:pt idx="3">
                  <c:v>-0.19999999999999998</c:v>
                </c:pt>
                <c:pt idx="4">
                  <c:v>-0.18999999999999997</c:v>
                </c:pt>
                <c:pt idx="5">
                  <c:v>-0.17999999999999997</c:v>
                </c:pt>
                <c:pt idx="6">
                  <c:v>-0.16999999999999996</c:v>
                </c:pt>
                <c:pt idx="7">
                  <c:v>-0.15999999999999995</c:v>
                </c:pt>
                <c:pt idx="8">
                  <c:v>-0.14999999999999994</c:v>
                </c:pt>
                <c:pt idx="9">
                  <c:v>-0.13999999999999993</c:v>
                </c:pt>
                <c:pt idx="10">
                  <c:v>-0.12999999999999992</c:v>
                </c:pt>
                <c:pt idx="11">
                  <c:v>-0.11999999999999993</c:v>
                </c:pt>
                <c:pt idx="12">
                  <c:v>-0.10999999999999993</c:v>
                </c:pt>
                <c:pt idx="13">
                  <c:v>-9.9999999999999936E-2</c:v>
                </c:pt>
                <c:pt idx="14">
                  <c:v>-8.9999999999999941E-2</c:v>
                </c:pt>
                <c:pt idx="15">
                  <c:v>-7.9999999999999946E-2</c:v>
                </c:pt>
                <c:pt idx="16">
                  <c:v>-6.9999999999999951E-2</c:v>
                </c:pt>
                <c:pt idx="17">
                  <c:v>-5.9999999999999949E-2</c:v>
                </c:pt>
                <c:pt idx="18">
                  <c:v>-4.9999999999999947E-2</c:v>
                </c:pt>
                <c:pt idx="19">
                  <c:v>-3.9999999999999945E-2</c:v>
                </c:pt>
                <c:pt idx="20">
                  <c:v>-2.9999999999999943E-2</c:v>
                </c:pt>
                <c:pt idx="21">
                  <c:v>-1.9999999999999941E-2</c:v>
                </c:pt>
                <c:pt idx="22">
                  <c:v>-9.9999999999999412E-3</c:v>
                </c:pt>
                <c:pt idx="23">
                  <c:v>5.8980598183211441E-17</c:v>
                </c:pt>
                <c:pt idx="24">
                  <c:v>1.0000000000000059E-2</c:v>
                </c:pt>
                <c:pt idx="25">
                  <c:v>2.0000000000000059E-2</c:v>
                </c:pt>
                <c:pt idx="26">
                  <c:v>3.0000000000000061E-2</c:v>
                </c:pt>
                <c:pt idx="27">
                  <c:v>4.0000000000000063E-2</c:v>
                </c:pt>
                <c:pt idx="28">
                  <c:v>5.0000000000000065E-2</c:v>
                </c:pt>
                <c:pt idx="29">
                  <c:v>6.0000000000000067E-2</c:v>
                </c:pt>
                <c:pt idx="30">
                  <c:v>7.0000000000000062E-2</c:v>
                </c:pt>
                <c:pt idx="31">
                  <c:v>8.0000000000000057E-2</c:v>
                </c:pt>
                <c:pt idx="32">
                  <c:v>9.0000000000000052E-2</c:v>
                </c:pt>
                <c:pt idx="33">
                  <c:v>0.10000000000000005</c:v>
                </c:pt>
                <c:pt idx="34">
                  <c:v>0.11000000000000004</c:v>
                </c:pt>
                <c:pt idx="35">
                  <c:v>0.12000000000000004</c:v>
                </c:pt>
                <c:pt idx="36">
                  <c:v>0.13000000000000003</c:v>
                </c:pt>
                <c:pt idx="37">
                  <c:v>0.14000000000000004</c:v>
                </c:pt>
                <c:pt idx="38">
                  <c:v>0.15000000000000005</c:v>
                </c:pt>
              </c:numCache>
            </c:numRef>
          </c:xVal>
          <c:yVal>
            <c:numRef>
              <c:f>Prediction!$B$2:$B$40</c:f>
              <c:numCache>
                <c:formatCode>0%</c:formatCode>
                <c:ptCount val="39"/>
                <c:pt idx="0">
                  <c:v>-0.31631271396150323</c:v>
                </c:pt>
                <c:pt idx="1">
                  <c:v>-0.30214106055496798</c:v>
                </c:pt>
                <c:pt idx="2">
                  <c:v>-0.28796940714843272</c:v>
                </c:pt>
                <c:pt idx="3">
                  <c:v>-0.27379775374189741</c:v>
                </c:pt>
                <c:pt idx="4">
                  <c:v>-0.25962610033536215</c:v>
                </c:pt>
                <c:pt idx="5">
                  <c:v>-0.2454544469288269</c:v>
                </c:pt>
                <c:pt idx="6">
                  <c:v>-0.23128279352229159</c:v>
                </c:pt>
                <c:pt idx="7">
                  <c:v>-0.21711114011575633</c:v>
                </c:pt>
                <c:pt idx="8">
                  <c:v>-0.20293948670922107</c:v>
                </c:pt>
                <c:pt idx="9">
                  <c:v>-0.18876783330268582</c:v>
                </c:pt>
                <c:pt idx="10">
                  <c:v>-0.17459617989615051</c:v>
                </c:pt>
                <c:pt idx="11">
                  <c:v>-0.16042452648961525</c:v>
                </c:pt>
                <c:pt idx="12">
                  <c:v>-0.14625287308307999</c:v>
                </c:pt>
                <c:pt idx="13">
                  <c:v>-0.13208121967654479</c:v>
                </c:pt>
                <c:pt idx="14">
                  <c:v>-0.11790956627000952</c:v>
                </c:pt>
                <c:pt idx="15">
                  <c:v>-0.10373791286347427</c:v>
                </c:pt>
                <c:pt idx="16">
                  <c:v>-8.956625945693901E-2</c:v>
                </c:pt>
                <c:pt idx="17">
                  <c:v>-7.5394606050403754E-2</c:v>
                </c:pt>
                <c:pt idx="18">
                  <c:v>-6.1222952643868483E-2</c:v>
                </c:pt>
                <c:pt idx="19">
                  <c:v>-4.7051299237333227E-2</c:v>
                </c:pt>
                <c:pt idx="20">
                  <c:v>-3.2879645830797964E-2</c:v>
                </c:pt>
                <c:pt idx="21">
                  <c:v>-1.8707992424262705E-2</c:v>
                </c:pt>
                <c:pt idx="22">
                  <c:v>-4.5363390177274466E-3</c:v>
                </c:pt>
                <c:pt idx="23">
                  <c:v>9.6353143888078113E-3</c:v>
                </c:pt>
                <c:pt idx="24">
                  <c:v>2.3806967795343071E-2</c:v>
                </c:pt>
                <c:pt idx="25">
                  <c:v>3.7978621201878331E-2</c:v>
                </c:pt>
                <c:pt idx="26">
                  <c:v>5.2150274608413587E-2</c:v>
                </c:pt>
                <c:pt idx="27">
                  <c:v>6.632192801494885E-2</c:v>
                </c:pt>
                <c:pt idx="28">
                  <c:v>8.0493581421484106E-2</c:v>
                </c:pt>
                <c:pt idx="29">
                  <c:v>9.4665234828019376E-2</c:v>
                </c:pt>
                <c:pt idx="30">
                  <c:v>0.10883688823455462</c:v>
                </c:pt>
                <c:pt idx="31">
                  <c:v>0.12300854164108987</c:v>
                </c:pt>
                <c:pt idx="32">
                  <c:v>0.13718019504762513</c:v>
                </c:pt>
                <c:pt idx="33">
                  <c:v>0.15135184845416039</c:v>
                </c:pt>
                <c:pt idx="34">
                  <c:v>0.16552350186069564</c:v>
                </c:pt>
                <c:pt idx="35">
                  <c:v>0.1796951552672309</c:v>
                </c:pt>
                <c:pt idx="36">
                  <c:v>0.19386680867376616</c:v>
                </c:pt>
                <c:pt idx="37">
                  <c:v>0.20803846208030141</c:v>
                </c:pt>
                <c:pt idx="38">
                  <c:v>0.22221011548683667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5C-43FA-A71F-D76ACE394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980112"/>
        <c:axId val="488968960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3"/>
                <c:tx>
                  <c:v>Standard Error</c:v>
                </c:tx>
                <c:spPr>
                  <a:ln w="38100" cap="rnd">
                    <a:solidFill>
                      <a:srgbClr val="00B050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Prediction!$A$2:$A$40</c15:sqref>
                        </c15:formulaRef>
                      </c:ext>
                    </c:extLst>
                    <c:numCache>
                      <c:formatCode>0%</c:formatCode>
                      <c:ptCount val="39"/>
                      <c:pt idx="0">
                        <c:v>-0.23</c:v>
                      </c:pt>
                      <c:pt idx="1">
                        <c:v>-0.22</c:v>
                      </c:pt>
                      <c:pt idx="2">
                        <c:v>-0.21</c:v>
                      </c:pt>
                      <c:pt idx="3">
                        <c:v>-0.19999999999999998</c:v>
                      </c:pt>
                      <c:pt idx="4">
                        <c:v>-0.18999999999999997</c:v>
                      </c:pt>
                      <c:pt idx="5">
                        <c:v>-0.17999999999999997</c:v>
                      </c:pt>
                      <c:pt idx="6">
                        <c:v>-0.16999999999999996</c:v>
                      </c:pt>
                      <c:pt idx="7">
                        <c:v>-0.15999999999999995</c:v>
                      </c:pt>
                      <c:pt idx="8">
                        <c:v>-0.14999999999999994</c:v>
                      </c:pt>
                      <c:pt idx="9">
                        <c:v>-0.13999999999999993</c:v>
                      </c:pt>
                      <c:pt idx="10">
                        <c:v>-0.12999999999999992</c:v>
                      </c:pt>
                      <c:pt idx="11">
                        <c:v>-0.11999999999999993</c:v>
                      </c:pt>
                      <c:pt idx="12">
                        <c:v>-0.10999999999999993</c:v>
                      </c:pt>
                      <c:pt idx="13">
                        <c:v>-9.9999999999999936E-2</c:v>
                      </c:pt>
                      <c:pt idx="14">
                        <c:v>-8.9999999999999941E-2</c:v>
                      </c:pt>
                      <c:pt idx="15">
                        <c:v>-7.9999999999999946E-2</c:v>
                      </c:pt>
                      <c:pt idx="16">
                        <c:v>-6.9999999999999951E-2</c:v>
                      </c:pt>
                      <c:pt idx="17">
                        <c:v>-5.9999999999999949E-2</c:v>
                      </c:pt>
                      <c:pt idx="18">
                        <c:v>-4.9999999999999947E-2</c:v>
                      </c:pt>
                      <c:pt idx="19">
                        <c:v>-3.9999999999999945E-2</c:v>
                      </c:pt>
                      <c:pt idx="20">
                        <c:v>-2.9999999999999943E-2</c:v>
                      </c:pt>
                      <c:pt idx="21">
                        <c:v>-1.9999999999999941E-2</c:v>
                      </c:pt>
                      <c:pt idx="22">
                        <c:v>-9.9999999999999412E-3</c:v>
                      </c:pt>
                      <c:pt idx="23">
                        <c:v>5.8980598183211441E-17</c:v>
                      </c:pt>
                      <c:pt idx="24">
                        <c:v>1.0000000000000059E-2</c:v>
                      </c:pt>
                      <c:pt idx="25">
                        <c:v>2.0000000000000059E-2</c:v>
                      </c:pt>
                      <c:pt idx="26">
                        <c:v>3.0000000000000061E-2</c:v>
                      </c:pt>
                      <c:pt idx="27">
                        <c:v>4.0000000000000063E-2</c:v>
                      </c:pt>
                      <c:pt idx="28">
                        <c:v>5.0000000000000065E-2</c:v>
                      </c:pt>
                      <c:pt idx="29">
                        <c:v>6.0000000000000067E-2</c:v>
                      </c:pt>
                      <c:pt idx="30">
                        <c:v>7.0000000000000062E-2</c:v>
                      </c:pt>
                      <c:pt idx="31">
                        <c:v>8.0000000000000057E-2</c:v>
                      </c:pt>
                      <c:pt idx="32">
                        <c:v>9.0000000000000052E-2</c:v>
                      </c:pt>
                      <c:pt idx="33">
                        <c:v>0.10000000000000005</c:v>
                      </c:pt>
                      <c:pt idx="34">
                        <c:v>0.11000000000000004</c:v>
                      </c:pt>
                      <c:pt idx="35">
                        <c:v>0.12000000000000004</c:v>
                      </c:pt>
                      <c:pt idx="36">
                        <c:v>0.13000000000000003</c:v>
                      </c:pt>
                      <c:pt idx="37">
                        <c:v>0.14000000000000004</c:v>
                      </c:pt>
                      <c:pt idx="38">
                        <c:v>0.15000000000000005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Prediction!#REF!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E7F8-4228-BD4A-F90B1C3E5A9D}"/>
                  </c:ext>
                </c:extLst>
              </c15:ser>
            </c15:filteredScatterSeries>
            <c15:filteredScatterSeries>
              <c15:ser>
                <c:idx val="5"/>
                <c:order val="4"/>
                <c:tx>
                  <c:v>Standard Error</c:v>
                </c:tx>
                <c:spPr>
                  <a:ln w="38100" cap="rnd">
                    <a:solidFill>
                      <a:srgbClr val="00B050"/>
                    </a:solidFill>
                    <a:prstDash val="sysDash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Prediction!$A$2:$A$40</c15:sqref>
                        </c15:formulaRef>
                      </c:ext>
                    </c:extLst>
                    <c:numCache>
                      <c:formatCode>0%</c:formatCode>
                      <c:ptCount val="39"/>
                      <c:pt idx="0">
                        <c:v>-0.23</c:v>
                      </c:pt>
                      <c:pt idx="1">
                        <c:v>-0.22</c:v>
                      </c:pt>
                      <c:pt idx="2">
                        <c:v>-0.21</c:v>
                      </c:pt>
                      <c:pt idx="3">
                        <c:v>-0.19999999999999998</c:v>
                      </c:pt>
                      <c:pt idx="4">
                        <c:v>-0.18999999999999997</c:v>
                      </c:pt>
                      <c:pt idx="5">
                        <c:v>-0.17999999999999997</c:v>
                      </c:pt>
                      <c:pt idx="6">
                        <c:v>-0.16999999999999996</c:v>
                      </c:pt>
                      <c:pt idx="7">
                        <c:v>-0.15999999999999995</c:v>
                      </c:pt>
                      <c:pt idx="8">
                        <c:v>-0.14999999999999994</c:v>
                      </c:pt>
                      <c:pt idx="9">
                        <c:v>-0.13999999999999993</c:v>
                      </c:pt>
                      <c:pt idx="10">
                        <c:v>-0.12999999999999992</c:v>
                      </c:pt>
                      <c:pt idx="11">
                        <c:v>-0.11999999999999993</c:v>
                      </c:pt>
                      <c:pt idx="12">
                        <c:v>-0.10999999999999993</c:v>
                      </c:pt>
                      <c:pt idx="13">
                        <c:v>-9.9999999999999936E-2</c:v>
                      </c:pt>
                      <c:pt idx="14">
                        <c:v>-8.9999999999999941E-2</c:v>
                      </c:pt>
                      <c:pt idx="15">
                        <c:v>-7.9999999999999946E-2</c:v>
                      </c:pt>
                      <c:pt idx="16">
                        <c:v>-6.9999999999999951E-2</c:v>
                      </c:pt>
                      <c:pt idx="17">
                        <c:v>-5.9999999999999949E-2</c:v>
                      </c:pt>
                      <c:pt idx="18">
                        <c:v>-4.9999999999999947E-2</c:v>
                      </c:pt>
                      <c:pt idx="19">
                        <c:v>-3.9999999999999945E-2</c:v>
                      </c:pt>
                      <c:pt idx="20">
                        <c:v>-2.9999999999999943E-2</c:v>
                      </c:pt>
                      <c:pt idx="21">
                        <c:v>-1.9999999999999941E-2</c:v>
                      </c:pt>
                      <c:pt idx="22">
                        <c:v>-9.9999999999999412E-3</c:v>
                      </c:pt>
                      <c:pt idx="23">
                        <c:v>5.8980598183211441E-17</c:v>
                      </c:pt>
                      <c:pt idx="24">
                        <c:v>1.0000000000000059E-2</c:v>
                      </c:pt>
                      <c:pt idx="25">
                        <c:v>2.0000000000000059E-2</c:v>
                      </c:pt>
                      <c:pt idx="26">
                        <c:v>3.0000000000000061E-2</c:v>
                      </c:pt>
                      <c:pt idx="27">
                        <c:v>4.0000000000000063E-2</c:v>
                      </c:pt>
                      <c:pt idx="28">
                        <c:v>5.0000000000000065E-2</c:v>
                      </c:pt>
                      <c:pt idx="29">
                        <c:v>6.0000000000000067E-2</c:v>
                      </c:pt>
                      <c:pt idx="30">
                        <c:v>7.0000000000000062E-2</c:v>
                      </c:pt>
                      <c:pt idx="31">
                        <c:v>8.0000000000000057E-2</c:v>
                      </c:pt>
                      <c:pt idx="32">
                        <c:v>9.0000000000000052E-2</c:v>
                      </c:pt>
                      <c:pt idx="33">
                        <c:v>0.10000000000000005</c:v>
                      </c:pt>
                      <c:pt idx="34">
                        <c:v>0.11000000000000004</c:v>
                      </c:pt>
                      <c:pt idx="35">
                        <c:v>0.12000000000000004</c:v>
                      </c:pt>
                      <c:pt idx="36">
                        <c:v>0.13000000000000003</c:v>
                      </c:pt>
                      <c:pt idx="37">
                        <c:v>0.14000000000000004</c:v>
                      </c:pt>
                      <c:pt idx="38">
                        <c:v>0.15000000000000005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Prediction!#REF!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7F8-4228-BD4A-F90B1C3E5A9D}"/>
                  </c:ext>
                </c:extLst>
              </c15:ser>
            </c15:filteredScatterSeries>
          </c:ext>
        </c:extLst>
      </c:scatterChart>
      <c:valAx>
        <c:axId val="488980112"/>
        <c:scaling>
          <c:orientation val="minMax"/>
          <c:max val="0.15000000000000002"/>
          <c:min val="-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Excess Market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968960"/>
        <c:crosses val="autoZero"/>
        <c:crossBetween val="midCat"/>
      </c:valAx>
      <c:valAx>
        <c:axId val="488968960"/>
        <c:scaling>
          <c:orientation val="minMax"/>
          <c:max val="0.4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Excess Apple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9801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layout>
        <c:manualLayout>
          <c:xMode val="edge"/>
          <c:yMode val="edge"/>
          <c:x val="6.5781469522337821E-2"/>
          <c:y val="4.1310293698462612E-2"/>
          <c:w val="0.33015709606966742"/>
          <c:h val="0.16549476034417723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800">
                <a:solidFill>
                  <a:sysClr val="windowText" lastClr="000000"/>
                </a:solidFill>
              </a:rPr>
              <a:t>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Returns!$G$1</c:f>
              <c:strCache>
                <c:ptCount val="1"/>
                <c:pt idx="0">
                  <c:v>Sample Error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Returns!$D$2:$D$432</c:f>
              <c:numCache>
                <c:formatCode>0.0%</c:formatCode>
                <c:ptCount val="431"/>
                <c:pt idx="0">
                  <c:v>-4.3485879629629624E-2</c:v>
                </c:pt>
                <c:pt idx="1">
                  <c:v>1.2814120370370375E-2</c:v>
                </c:pt>
                <c:pt idx="2">
                  <c:v>4.4214120370370369E-2</c:v>
                </c:pt>
                <c:pt idx="3">
                  <c:v>-1.3685879629629628E-2</c:v>
                </c:pt>
                <c:pt idx="4">
                  <c:v>9.1141203703703731E-3</c:v>
                </c:pt>
                <c:pt idx="5">
                  <c:v>-1.3585879629629625E-2</c:v>
                </c:pt>
                <c:pt idx="6">
                  <c:v>-6.4858796296296262E-3</c:v>
                </c:pt>
                <c:pt idx="7">
                  <c:v>-6.0985879629629626E-2</c:v>
                </c:pt>
                <c:pt idx="8">
                  <c:v>-6.2785879629629629E-2</c:v>
                </c:pt>
                <c:pt idx="9">
                  <c:v>5.7814120370370377E-2</c:v>
                </c:pt>
                <c:pt idx="10">
                  <c:v>4.0814120370370376E-2</c:v>
                </c:pt>
                <c:pt idx="11">
                  <c:v>-3.1285879629629622E-2</c:v>
                </c:pt>
                <c:pt idx="12">
                  <c:v>-2.7885879629629632E-2</c:v>
                </c:pt>
                <c:pt idx="13">
                  <c:v>-5.288587962962963E-2</c:v>
                </c:pt>
                <c:pt idx="14">
                  <c:v>-1.2385879629629629E-2</c:v>
                </c:pt>
                <c:pt idx="15">
                  <c:v>4.0514120370370381E-2</c:v>
                </c:pt>
                <c:pt idx="16">
                  <c:v>-3.278587962962963E-2</c:v>
                </c:pt>
                <c:pt idx="17">
                  <c:v>-2.4785879629629626E-2</c:v>
                </c:pt>
                <c:pt idx="18">
                  <c:v>-2.4885879629629622E-2</c:v>
                </c:pt>
                <c:pt idx="19">
                  <c:v>0.11551412037037039</c:v>
                </c:pt>
                <c:pt idx="20">
                  <c:v>1.4514120370370375E-2</c:v>
                </c:pt>
                <c:pt idx="21">
                  <c:v>0.11541412037037038</c:v>
                </c:pt>
                <c:pt idx="22">
                  <c:v>4.9514120370370375E-2</c:v>
                </c:pt>
                <c:pt idx="23">
                  <c:v>8.7141203703703755E-3</c:v>
                </c:pt>
                <c:pt idx="24">
                  <c:v>3.9414120370370377E-2</c:v>
                </c:pt>
                <c:pt idx="25">
                  <c:v>2.861412037037037E-2</c:v>
                </c:pt>
                <c:pt idx="26">
                  <c:v>3.1014120370370369E-2</c:v>
                </c:pt>
                <c:pt idx="27">
                  <c:v>7.0314120370370381E-2</c:v>
                </c:pt>
                <c:pt idx="28">
                  <c:v>8.6141203703703727E-3</c:v>
                </c:pt>
                <c:pt idx="29">
                  <c:v>3.3914120370370372E-2</c:v>
                </c:pt>
                <c:pt idx="30">
                  <c:v>-3.6785879629629627E-2</c:v>
                </c:pt>
                <c:pt idx="31">
                  <c:v>-8.8587962962962622E-4</c:v>
                </c:pt>
                <c:pt idx="32">
                  <c:v>1.3314120370370375E-2</c:v>
                </c:pt>
                <c:pt idx="33">
                  <c:v>-3.0285879629629624E-2</c:v>
                </c:pt>
                <c:pt idx="34">
                  <c:v>2.5114120370370377E-2</c:v>
                </c:pt>
                <c:pt idx="35">
                  <c:v>-1.3985879629629626E-2</c:v>
                </c:pt>
                <c:pt idx="36">
                  <c:v>-1.5085879629629626E-2</c:v>
                </c:pt>
                <c:pt idx="37">
                  <c:v>-4.4585879629629628E-2</c:v>
                </c:pt>
                <c:pt idx="38">
                  <c:v>1.0114120370370374E-2</c:v>
                </c:pt>
                <c:pt idx="39">
                  <c:v>-5.8587962962962587E-4</c:v>
                </c:pt>
                <c:pt idx="40">
                  <c:v>-5.5385879629629618E-2</c:v>
                </c:pt>
                <c:pt idx="41">
                  <c:v>2.2214120370370377E-2</c:v>
                </c:pt>
                <c:pt idx="42">
                  <c:v>-2.2685879629629632E-2</c:v>
                </c:pt>
                <c:pt idx="43">
                  <c:v>0.10761412037037037</c:v>
                </c:pt>
                <c:pt idx="44">
                  <c:v>-2.8858796296296267E-3</c:v>
                </c:pt>
                <c:pt idx="45">
                  <c:v>-1.8858796296296258E-3</c:v>
                </c:pt>
                <c:pt idx="46">
                  <c:v>-1.3785879629629627E-2</c:v>
                </c:pt>
                <c:pt idx="47">
                  <c:v>2.1314120370370372E-2</c:v>
                </c:pt>
                <c:pt idx="48">
                  <c:v>8.2914120370370381E-2</c:v>
                </c:pt>
                <c:pt idx="49">
                  <c:v>1.4514120370370372E-2</c:v>
                </c:pt>
                <c:pt idx="50">
                  <c:v>-5.6858796296296258E-3</c:v>
                </c:pt>
                <c:pt idx="51">
                  <c:v>-5.8858796296296263E-3</c:v>
                </c:pt>
                <c:pt idx="52">
                  <c:v>5.4014120370370379E-2</c:v>
                </c:pt>
                <c:pt idx="53">
                  <c:v>1.4714120370370374E-2</c:v>
                </c:pt>
                <c:pt idx="54">
                  <c:v>-4.6858796296296258E-3</c:v>
                </c:pt>
                <c:pt idx="55">
                  <c:v>-8.1858796296296263E-3</c:v>
                </c:pt>
                <c:pt idx="56">
                  <c:v>-4.2885879629629621E-2</c:v>
                </c:pt>
                <c:pt idx="57">
                  <c:v>4.3214120370370375E-2</c:v>
                </c:pt>
                <c:pt idx="58">
                  <c:v>6.7414120370370381E-2</c:v>
                </c:pt>
                <c:pt idx="59">
                  <c:v>4.1814120370370376E-2</c:v>
                </c:pt>
                <c:pt idx="60">
                  <c:v>8.6141203703703727E-3</c:v>
                </c:pt>
                <c:pt idx="61">
                  <c:v>7.3114120370370378E-2</c:v>
                </c:pt>
                <c:pt idx="62">
                  <c:v>5.1314120370370371E-2</c:v>
                </c:pt>
                <c:pt idx="63">
                  <c:v>-1.1385879629629628E-2</c:v>
                </c:pt>
                <c:pt idx="64">
                  <c:v>4.7614120370370383E-2</c:v>
                </c:pt>
                <c:pt idx="65">
                  <c:v>1.2014120370370373E-2</c:v>
                </c:pt>
                <c:pt idx="66">
                  <c:v>-6.2785879629629629E-2</c:v>
                </c:pt>
                <c:pt idx="67">
                  <c:v>6.1814120370370373E-2</c:v>
                </c:pt>
                <c:pt idx="68">
                  <c:v>-8.4985879629629626E-2</c:v>
                </c:pt>
                <c:pt idx="69">
                  <c:v>4.7714120370370379E-2</c:v>
                </c:pt>
                <c:pt idx="70">
                  <c:v>1.2114120370370376E-2</c:v>
                </c:pt>
                <c:pt idx="71">
                  <c:v>-3.1285879629629629E-2</c:v>
                </c:pt>
                <c:pt idx="72">
                  <c:v>0.12541412037037039</c:v>
                </c:pt>
                <c:pt idx="73">
                  <c:v>4.4714120370370369E-2</c:v>
                </c:pt>
                <c:pt idx="74">
                  <c:v>1.761412037037037E-2</c:v>
                </c:pt>
                <c:pt idx="75">
                  <c:v>-2.0185879629629627E-2</c:v>
                </c:pt>
                <c:pt idx="76">
                  <c:v>1.4141203703703737E-3</c:v>
                </c:pt>
                <c:pt idx="77">
                  <c:v>4.0714120370370373E-2</c:v>
                </c:pt>
                <c:pt idx="78">
                  <c:v>3.9614120370370383E-2</c:v>
                </c:pt>
                <c:pt idx="79">
                  <c:v>3.6414120370370381E-2</c:v>
                </c:pt>
                <c:pt idx="80">
                  <c:v>-2.4885879629629622E-2</c:v>
                </c:pt>
                <c:pt idx="81">
                  <c:v>-0.22988587962962959</c:v>
                </c:pt>
                <c:pt idx="82">
                  <c:v>-7.7685879629629626E-2</c:v>
                </c:pt>
                <c:pt idx="83">
                  <c:v>6.8514120370370371E-2</c:v>
                </c:pt>
                <c:pt idx="84">
                  <c:v>4.1514120370370375E-2</c:v>
                </c:pt>
                <c:pt idx="85">
                  <c:v>4.8614120370370377E-2</c:v>
                </c:pt>
                <c:pt idx="86">
                  <c:v>-2.1785879629629627E-2</c:v>
                </c:pt>
                <c:pt idx="87">
                  <c:v>6.7141203703703746E-3</c:v>
                </c:pt>
                <c:pt idx="88">
                  <c:v>-1.285879629629626E-3</c:v>
                </c:pt>
                <c:pt idx="89">
                  <c:v>4.9314120370370376E-2</c:v>
                </c:pt>
                <c:pt idx="90">
                  <c:v>-1.0885879629629627E-2</c:v>
                </c:pt>
                <c:pt idx="91">
                  <c:v>-3.0685879629629629E-2</c:v>
                </c:pt>
                <c:pt idx="92">
                  <c:v>3.5714120370370375E-2</c:v>
                </c:pt>
                <c:pt idx="93">
                  <c:v>1.4114120370370371E-2</c:v>
                </c:pt>
                <c:pt idx="94">
                  <c:v>-2.068587962962963E-2</c:v>
                </c:pt>
                <c:pt idx="95">
                  <c:v>1.7714120370370373E-2</c:v>
                </c:pt>
                <c:pt idx="96">
                  <c:v>6.3014120370370366E-2</c:v>
                </c:pt>
                <c:pt idx="97">
                  <c:v>-1.9885879629629628E-2</c:v>
                </c:pt>
                <c:pt idx="98">
                  <c:v>1.8914120370370376E-2</c:v>
                </c:pt>
                <c:pt idx="99">
                  <c:v>4.6514120370370379E-2</c:v>
                </c:pt>
                <c:pt idx="100">
                  <c:v>3.7914120370370383E-2</c:v>
                </c:pt>
                <c:pt idx="101">
                  <c:v>-9.8858796296296264E-3</c:v>
                </c:pt>
                <c:pt idx="102">
                  <c:v>7.5514120370370377E-2</c:v>
                </c:pt>
                <c:pt idx="103">
                  <c:v>1.8314120370370369E-2</c:v>
                </c:pt>
                <c:pt idx="104">
                  <c:v>-4.5858796296296255E-3</c:v>
                </c:pt>
                <c:pt idx="105">
                  <c:v>-3.338587962962962E-2</c:v>
                </c:pt>
                <c:pt idx="106">
                  <c:v>1.3714120370370373E-2</c:v>
                </c:pt>
                <c:pt idx="107">
                  <c:v>1.4214120370370373E-2</c:v>
                </c:pt>
                <c:pt idx="108">
                  <c:v>-7.6285879629629613E-2</c:v>
                </c:pt>
                <c:pt idx="109">
                  <c:v>1.3314120370370375E-2</c:v>
                </c:pt>
                <c:pt idx="110">
                  <c:v>2.1214120370370376E-2</c:v>
                </c:pt>
                <c:pt idx="111">
                  <c:v>-3.0185879629629625E-2</c:v>
                </c:pt>
                <c:pt idx="112">
                  <c:v>8.7514120370370374E-2</c:v>
                </c:pt>
                <c:pt idx="113">
                  <c:v>-8.0858796296296269E-3</c:v>
                </c:pt>
                <c:pt idx="114">
                  <c:v>-1.5685879629629623E-2</c:v>
                </c:pt>
                <c:pt idx="115">
                  <c:v>-9.8385879629629622E-2</c:v>
                </c:pt>
                <c:pt idx="116">
                  <c:v>-5.868587962962963E-2</c:v>
                </c:pt>
                <c:pt idx="117">
                  <c:v>-1.5885879629629625E-2</c:v>
                </c:pt>
                <c:pt idx="118">
                  <c:v>6.5714120370370374E-2</c:v>
                </c:pt>
                <c:pt idx="119">
                  <c:v>2.7114120370370375E-2</c:v>
                </c:pt>
                <c:pt idx="120">
                  <c:v>4.8614120370370384E-2</c:v>
                </c:pt>
                <c:pt idx="121">
                  <c:v>7.3214120370370381E-2</c:v>
                </c:pt>
                <c:pt idx="122">
                  <c:v>2.741412037037037E-2</c:v>
                </c:pt>
                <c:pt idx="123">
                  <c:v>-9.8587962962962605E-4</c:v>
                </c:pt>
                <c:pt idx="124">
                  <c:v>3.7714120370370377E-2</c:v>
                </c:pt>
                <c:pt idx="125">
                  <c:v>-4.8685879629629628E-2</c:v>
                </c:pt>
                <c:pt idx="126">
                  <c:v>4.3814120370370378E-2</c:v>
                </c:pt>
                <c:pt idx="127">
                  <c:v>2.4314120370370371E-2</c:v>
                </c:pt>
                <c:pt idx="128">
                  <c:v>-1.4785879629629628E-2</c:v>
                </c:pt>
                <c:pt idx="129">
                  <c:v>1.3614120370370374E-2</c:v>
                </c:pt>
                <c:pt idx="130">
                  <c:v>-4.1485879629629629E-2</c:v>
                </c:pt>
                <c:pt idx="131">
                  <c:v>0.10871412037037038</c:v>
                </c:pt>
                <c:pt idx="132">
                  <c:v>-5.9858796296296257E-3</c:v>
                </c:pt>
                <c:pt idx="133">
                  <c:v>1.0214120370370373E-2</c:v>
                </c:pt>
                <c:pt idx="134">
                  <c:v>-2.6685879629629629E-2</c:v>
                </c:pt>
                <c:pt idx="135">
                  <c:v>1.0414120370370376E-2</c:v>
                </c:pt>
                <c:pt idx="136">
                  <c:v>2.3141203703703744E-3</c:v>
                </c:pt>
                <c:pt idx="137">
                  <c:v>-2.3685879629629626E-2</c:v>
                </c:pt>
                <c:pt idx="138">
                  <c:v>3.7314120370370379E-2</c:v>
                </c:pt>
                <c:pt idx="139">
                  <c:v>-2.4685879629629627E-2</c:v>
                </c:pt>
                <c:pt idx="140">
                  <c:v>1.1014120370370372E-2</c:v>
                </c:pt>
                <c:pt idx="141">
                  <c:v>9.0141203703703737E-3</c:v>
                </c:pt>
                <c:pt idx="142">
                  <c:v>4.0114120370370376E-2</c:v>
                </c:pt>
                <c:pt idx="143">
                  <c:v>1.4614120370370375E-2</c:v>
                </c:pt>
                <c:pt idx="144">
                  <c:v>8.1141203703703757E-3</c:v>
                </c:pt>
                <c:pt idx="145">
                  <c:v>-8.5879629629626291E-5</c:v>
                </c:pt>
                <c:pt idx="146">
                  <c:v>2.2014120370370371E-2</c:v>
                </c:pt>
                <c:pt idx="147">
                  <c:v>-3.1585879629629623E-2</c:v>
                </c:pt>
                <c:pt idx="148">
                  <c:v>2.7614120370370376E-2</c:v>
                </c:pt>
                <c:pt idx="149">
                  <c:v>2.1141203703703747E-3</c:v>
                </c:pt>
                <c:pt idx="150">
                  <c:v>-4.4858796296296261E-3</c:v>
                </c:pt>
                <c:pt idx="151">
                  <c:v>3.6114120370370373E-2</c:v>
                </c:pt>
                <c:pt idx="152">
                  <c:v>-2.0858796296296259E-3</c:v>
                </c:pt>
                <c:pt idx="153">
                  <c:v>1.2814120370370372E-2</c:v>
                </c:pt>
                <c:pt idx="154">
                  <c:v>-1.9885879629629625E-2</c:v>
                </c:pt>
                <c:pt idx="155">
                  <c:v>1.531412037037037E-2</c:v>
                </c:pt>
                <c:pt idx="156">
                  <c:v>2.7714120370370375E-2</c:v>
                </c:pt>
                <c:pt idx="157">
                  <c:v>-2.6885879629629624E-2</c:v>
                </c:pt>
                <c:pt idx="158">
                  <c:v>-4.8585879629629625E-2</c:v>
                </c:pt>
                <c:pt idx="159">
                  <c:v>6.0141203703703754E-3</c:v>
                </c:pt>
                <c:pt idx="160">
                  <c:v>5.4141203703703721E-3</c:v>
                </c:pt>
                <c:pt idx="161">
                  <c:v>-3.0685879629629625E-2</c:v>
                </c:pt>
                <c:pt idx="162">
                  <c:v>2.7514120370370369E-2</c:v>
                </c:pt>
                <c:pt idx="163">
                  <c:v>4.0314120370370375E-2</c:v>
                </c:pt>
                <c:pt idx="164">
                  <c:v>-2.2885879629629628E-2</c:v>
                </c:pt>
                <c:pt idx="165">
                  <c:v>1.3714120370370377E-2</c:v>
                </c:pt>
                <c:pt idx="166">
                  <c:v>-4.018587962962962E-2</c:v>
                </c:pt>
                <c:pt idx="167">
                  <c:v>9.5141203703703742E-3</c:v>
                </c:pt>
                <c:pt idx="168">
                  <c:v>1.8714120370370374E-2</c:v>
                </c:pt>
                <c:pt idx="169">
                  <c:v>3.6814120370370379E-2</c:v>
                </c:pt>
                <c:pt idx="170">
                  <c:v>2.3014120370370372E-2</c:v>
                </c:pt>
                <c:pt idx="171">
                  <c:v>2.2014120370370371E-2</c:v>
                </c:pt>
                <c:pt idx="172">
                  <c:v>3.0914120370370373E-2</c:v>
                </c:pt>
                <c:pt idx="173">
                  <c:v>2.8414120370370378E-2</c:v>
                </c:pt>
                <c:pt idx="174">
                  <c:v>3.8214120370370377E-2</c:v>
                </c:pt>
                <c:pt idx="175">
                  <c:v>6.7141203703703746E-3</c:v>
                </c:pt>
                <c:pt idx="176">
                  <c:v>3.4314120370370377E-2</c:v>
                </c:pt>
                <c:pt idx="177">
                  <c:v>-1.3985879629629626E-2</c:v>
                </c:pt>
                <c:pt idx="178">
                  <c:v>4.0314120370370375E-2</c:v>
                </c:pt>
                <c:pt idx="179">
                  <c:v>1.1714120370370375E-2</c:v>
                </c:pt>
                <c:pt idx="180">
                  <c:v>2.3414120370370373E-2</c:v>
                </c:pt>
                <c:pt idx="181">
                  <c:v>1.3714120370370377E-2</c:v>
                </c:pt>
                <c:pt idx="182">
                  <c:v>7.7141203703703755E-3</c:v>
                </c:pt>
                <c:pt idx="183">
                  <c:v>2.1714120370370373E-2</c:v>
                </c:pt>
                <c:pt idx="184">
                  <c:v>2.4314120370370371E-2</c:v>
                </c:pt>
                <c:pt idx="185">
                  <c:v>-1.0885879629629624E-2</c:v>
                </c:pt>
                <c:pt idx="186">
                  <c:v>-5.8685879629629623E-2</c:v>
                </c:pt>
                <c:pt idx="187">
                  <c:v>2.8314120370370375E-2</c:v>
                </c:pt>
                <c:pt idx="188">
                  <c:v>5.1014120370370376E-2</c:v>
                </c:pt>
                <c:pt idx="189">
                  <c:v>9.3141203703703754E-3</c:v>
                </c:pt>
                <c:pt idx="190">
                  <c:v>6.3114120370370383E-2</c:v>
                </c:pt>
                <c:pt idx="191">
                  <c:v>-1.5885879629629625E-2</c:v>
                </c:pt>
                <c:pt idx="192">
                  <c:v>5.0814120370370384E-2</c:v>
                </c:pt>
                <c:pt idx="193">
                  <c:v>-4.4858796296296261E-3</c:v>
                </c:pt>
                <c:pt idx="194">
                  <c:v>-4.938587962962962E-2</c:v>
                </c:pt>
                <c:pt idx="195">
                  <c:v>4.1214120370370373E-2</c:v>
                </c:pt>
                <c:pt idx="196">
                  <c:v>6.881412037037038E-2</c:v>
                </c:pt>
                <c:pt idx="197">
                  <c:v>4.1214120370370373E-2</c:v>
                </c:pt>
                <c:pt idx="198">
                  <c:v>7.4114120370370379E-2</c:v>
                </c:pt>
                <c:pt idx="199">
                  <c:v>-4.0885879629629626E-2</c:v>
                </c:pt>
                <c:pt idx="200">
                  <c:v>5.4414120370370377E-2</c:v>
                </c:pt>
                <c:pt idx="201">
                  <c:v>-3.728587962962962E-2</c:v>
                </c:pt>
                <c:pt idx="202">
                  <c:v>3.0214120370370374E-2</c:v>
                </c:pt>
                <c:pt idx="203">
                  <c:v>1.4514120370370375E-2</c:v>
                </c:pt>
                <c:pt idx="204">
                  <c:v>2.3141203703703735E-3</c:v>
                </c:pt>
                <c:pt idx="205">
                  <c:v>7.0814120370370368E-2</c:v>
                </c:pt>
                <c:pt idx="206">
                  <c:v>4.8014120370370374E-2</c:v>
                </c:pt>
                <c:pt idx="207">
                  <c:v>8.1141203703703722E-3</c:v>
                </c:pt>
                <c:pt idx="208">
                  <c:v>-3.0185879629629625E-2</c:v>
                </c:pt>
                <c:pt idx="209">
                  <c:v>3.2414120370370378E-2</c:v>
                </c:pt>
                <c:pt idx="210">
                  <c:v>-2.4085879629629627E-2</c:v>
                </c:pt>
                <c:pt idx="211">
                  <c:v>-0.1599858796296296</c:v>
                </c:pt>
                <c:pt idx="212">
                  <c:v>6.2614120370370382E-2</c:v>
                </c:pt>
                <c:pt idx="213">
                  <c:v>7.1014120370370373E-2</c:v>
                </c:pt>
                <c:pt idx="214">
                  <c:v>6.0614120370370367E-2</c:v>
                </c:pt>
                <c:pt idx="215">
                  <c:v>6.1914120370370376E-2</c:v>
                </c:pt>
                <c:pt idx="216">
                  <c:v>3.5014120370370376E-2</c:v>
                </c:pt>
                <c:pt idx="217">
                  <c:v>-4.0785879629629623E-2</c:v>
                </c:pt>
                <c:pt idx="218">
                  <c:v>3.5314120370370378E-2</c:v>
                </c:pt>
                <c:pt idx="219">
                  <c:v>4.3514120370370377E-2</c:v>
                </c:pt>
                <c:pt idx="220">
                  <c:v>-2.4685879629629627E-2</c:v>
                </c:pt>
                <c:pt idx="221">
                  <c:v>4.8214120370370372E-2</c:v>
                </c:pt>
                <c:pt idx="222">
                  <c:v>-3.4385879629629627E-2</c:v>
                </c:pt>
                <c:pt idx="223">
                  <c:v>-1.3385879629629626E-2</c:v>
                </c:pt>
                <c:pt idx="224">
                  <c:v>-2.7685879629629626E-2</c:v>
                </c:pt>
                <c:pt idx="225">
                  <c:v>6.1714120370370371E-2</c:v>
                </c:pt>
                <c:pt idx="226">
                  <c:v>3.3814120370370376E-2</c:v>
                </c:pt>
                <c:pt idx="227">
                  <c:v>7.8114120370370382E-2</c:v>
                </c:pt>
                <c:pt idx="228">
                  <c:v>-4.6785879629629622E-2</c:v>
                </c:pt>
                <c:pt idx="229">
                  <c:v>2.5314120370370376E-2</c:v>
                </c:pt>
                <c:pt idx="230">
                  <c:v>5.3214120370370377E-2</c:v>
                </c:pt>
                <c:pt idx="231">
                  <c:v>-6.2885879629629632E-2</c:v>
                </c:pt>
                <c:pt idx="232">
                  <c:v>-4.2685879629629622E-2</c:v>
                </c:pt>
                <c:pt idx="233">
                  <c:v>4.6914120370370377E-2</c:v>
                </c:pt>
                <c:pt idx="234">
                  <c:v>-2.3785879629629626E-2</c:v>
                </c:pt>
                <c:pt idx="235">
                  <c:v>7.1814120370370382E-2</c:v>
                </c:pt>
                <c:pt idx="236">
                  <c:v>-5.288587962962963E-2</c:v>
                </c:pt>
                <c:pt idx="237">
                  <c:v>-2.5485879629629626E-2</c:v>
                </c:pt>
                <c:pt idx="238">
                  <c:v>-0.10558587962962963</c:v>
                </c:pt>
                <c:pt idx="239">
                  <c:v>1.3414120370370371E-2</c:v>
                </c:pt>
                <c:pt idx="240">
                  <c:v>3.3214120370370373E-2</c:v>
                </c:pt>
                <c:pt idx="241">
                  <c:v>-0.10018587962962962</c:v>
                </c:pt>
                <c:pt idx="242">
                  <c:v>-7.1885879629629626E-2</c:v>
                </c:pt>
                <c:pt idx="243">
                  <c:v>7.9814120370370376E-2</c:v>
                </c:pt>
                <c:pt idx="244">
                  <c:v>6.9141203703703734E-3</c:v>
                </c:pt>
                <c:pt idx="245">
                  <c:v>-2.0085879629629627E-2</c:v>
                </c:pt>
                <c:pt idx="246">
                  <c:v>-2.1785879629629624E-2</c:v>
                </c:pt>
                <c:pt idx="247">
                  <c:v>-6.4985879629629636E-2</c:v>
                </c:pt>
                <c:pt idx="248">
                  <c:v>-9.3185879629629625E-2</c:v>
                </c:pt>
                <c:pt idx="249">
                  <c:v>2.3314120370370374E-2</c:v>
                </c:pt>
                <c:pt idx="250">
                  <c:v>7.3614120370370378E-2</c:v>
                </c:pt>
                <c:pt idx="251">
                  <c:v>1.4114120370370374E-2</c:v>
                </c:pt>
                <c:pt idx="252">
                  <c:v>-1.6485879629629625E-2</c:v>
                </c:pt>
                <c:pt idx="253">
                  <c:v>-2.5085879629629628E-2</c:v>
                </c:pt>
                <c:pt idx="254">
                  <c:v>4.0214120370370379E-2</c:v>
                </c:pt>
                <c:pt idx="255">
                  <c:v>-5.398587962962962E-2</c:v>
                </c:pt>
                <c:pt idx="256">
                  <c:v>-1.5885879629629625E-2</c:v>
                </c:pt>
                <c:pt idx="257">
                  <c:v>-7.4285879629629625E-2</c:v>
                </c:pt>
                <c:pt idx="258">
                  <c:v>-8.378587962962962E-2</c:v>
                </c:pt>
                <c:pt idx="259">
                  <c:v>2.9141203703703742E-3</c:v>
                </c:pt>
                <c:pt idx="260">
                  <c:v>-0.10558587962962962</c:v>
                </c:pt>
                <c:pt idx="261">
                  <c:v>7.6314120370370372E-2</c:v>
                </c:pt>
                <c:pt idx="262">
                  <c:v>5.7314120370370376E-2</c:v>
                </c:pt>
                <c:pt idx="263">
                  <c:v>-5.9985879629629618E-2</c:v>
                </c:pt>
                <c:pt idx="264">
                  <c:v>-2.8185879629629623E-2</c:v>
                </c:pt>
                <c:pt idx="265">
                  <c:v>-2.1385879629629626E-2</c:v>
                </c:pt>
                <c:pt idx="266">
                  <c:v>8.4141203703703739E-3</c:v>
                </c:pt>
                <c:pt idx="267">
                  <c:v>7.9714120370370373E-2</c:v>
                </c:pt>
                <c:pt idx="268">
                  <c:v>5.7914120370370373E-2</c:v>
                </c:pt>
                <c:pt idx="269">
                  <c:v>1.1714120370370375E-2</c:v>
                </c:pt>
                <c:pt idx="270">
                  <c:v>2.0714120370370372E-2</c:v>
                </c:pt>
                <c:pt idx="271">
                  <c:v>2.0614120370370369E-2</c:v>
                </c:pt>
                <c:pt idx="272">
                  <c:v>-1.5085879629629626E-2</c:v>
                </c:pt>
                <c:pt idx="273">
                  <c:v>5.8014120370370383E-2</c:v>
                </c:pt>
                <c:pt idx="274">
                  <c:v>1.0714120370370374E-2</c:v>
                </c:pt>
                <c:pt idx="275">
                  <c:v>4.0214120370370379E-2</c:v>
                </c:pt>
                <c:pt idx="276">
                  <c:v>1.8714120370370371E-2</c:v>
                </c:pt>
                <c:pt idx="277">
                  <c:v>1.1114120370370375E-2</c:v>
                </c:pt>
                <c:pt idx="278">
                  <c:v>-1.5785879629629625E-2</c:v>
                </c:pt>
                <c:pt idx="279">
                  <c:v>-2.0985879629629629E-2</c:v>
                </c:pt>
                <c:pt idx="280">
                  <c:v>8.8141203703703749E-3</c:v>
                </c:pt>
                <c:pt idx="281">
                  <c:v>1.5914120370370374E-2</c:v>
                </c:pt>
                <c:pt idx="282">
                  <c:v>-4.308587962962962E-2</c:v>
                </c:pt>
                <c:pt idx="283">
                  <c:v>-1.5858796296296261E-3</c:v>
                </c:pt>
                <c:pt idx="284">
                  <c:v>1.3614120370370374E-2</c:v>
                </c:pt>
                <c:pt idx="285">
                  <c:v>1.1914120370370374E-2</c:v>
                </c:pt>
                <c:pt idx="286">
                  <c:v>4.3414120370370381E-2</c:v>
                </c:pt>
                <c:pt idx="287">
                  <c:v>3.2414120370370378E-2</c:v>
                </c:pt>
                <c:pt idx="288">
                  <c:v>-2.9485879629629622E-2</c:v>
                </c:pt>
                <c:pt idx="289">
                  <c:v>1.701412037037037E-2</c:v>
                </c:pt>
                <c:pt idx="290">
                  <c:v>-2.1085879629629628E-2</c:v>
                </c:pt>
                <c:pt idx="291">
                  <c:v>-2.7485879629629627E-2</c:v>
                </c:pt>
                <c:pt idx="292">
                  <c:v>3.5414120370370374E-2</c:v>
                </c:pt>
                <c:pt idx="293">
                  <c:v>4.5141203703703741E-3</c:v>
                </c:pt>
                <c:pt idx="294">
                  <c:v>3.8114120370370375E-2</c:v>
                </c:pt>
                <c:pt idx="295">
                  <c:v>-1.2685879629629627E-2</c:v>
                </c:pt>
                <c:pt idx="296">
                  <c:v>4.3141203703703744E-3</c:v>
                </c:pt>
                <c:pt idx="297">
                  <c:v>-2.0985879629629629E-2</c:v>
                </c:pt>
                <c:pt idx="298">
                  <c:v>3.5714120370370375E-2</c:v>
                </c:pt>
                <c:pt idx="299">
                  <c:v>-2.785879629629626E-3</c:v>
                </c:pt>
                <c:pt idx="300">
                  <c:v>3.0414120370370373E-2</c:v>
                </c:pt>
                <c:pt idx="301">
                  <c:v>-3.0858796296296259E-3</c:v>
                </c:pt>
                <c:pt idx="302">
                  <c:v>1.4814120370370373E-2</c:v>
                </c:pt>
                <c:pt idx="303">
                  <c:v>7.4141203703703721E-3</c:v>
                </c:pt>
                <c:pt idx="304">
                  <c:v>-3.4885879629629621E-2</c:v>
                </c:pt>
                <c:pt idx="305">
                  <c:v>-2.9858796296296257E-3</c:v>
                </c:pt>
                <c:pt idx="306">
                  <c:v>-7.2858796296296265E-3</c:v>
                </c:pt>
                <c:pt idx="307">
                  <c:v>2.1014120370370371E-2</c:v>
                </c:pt>
                <c:pt idx="308">
                  <c:v>1.9014120370370372E-2</c:v>
                </c:pt>
                <c:pt idx="309">
                  <c:v>3.2914120370370378E-2</c:v>
                </c:pt>
                <c:pt idx="310">
                  <c:v>1.7814120370370373E-2</c:v>
                </c:pt>
                <c:pt idx="311">
                  <c:v>9.2141203703703725E-3</c:v>
                </c:pt>
                <c:pt idx="312">
                  <c:v>1.4914120370370373E-2</c:v>
                </c:pt>
                <c:pt idx="313">
                  <c:v>-1.9285879629629629E-2</c:v>
                </c:pt>
                <c:pt idx="314">
                  <c:v>7.6141203703703744E-3</c:v>
                </c:pt>
                <c:pt idx="315">
                  <c:v>3.5814120370370378E-2</c:v>
                </c:pt>
                <c:pt idx="316">
                  <c:v>3.3014120370370381E-2</c:v>
                </c:pt>
                <c:pt idx="317">
                  <c:v>-1.9085879629629626E-2</c:v>
                </c:pt>
                <c:pt idx="318">
                  <c:v>-3.6785879629629627E-2</c:v>
                </c:pt>
                <c:pt idx="319">
                  <c:v>9.9141203703703752E-3</c:v>
                </c:pt>
                <c:pt idx="320">
                  <c:v>3.1914120370370377E-2</c:v>
                </c:pt>
                <c:pt idx="321">
                  <c:v>1.7714120370370373E-2</c:v>
                </c:pt>
                <c:pt idx="322">
                  <c:v>-4.8385879629629626E-2</c:v>
                </c:pt>
                <c:pt idx="323">
                  <c:v>-9.4858796296296254E-3</c:v>
                </c:pt>
                <c:pt idx="324">
                  <c:v>-6.4985879629629636E-2</c:v>
                </c:pt>
                <c:pt idx="325">
                  <c:v>-3.3085879629629625E-2</c:v>
                </c:pt>
                <c:pt idx="326">
                  <c:v>-1.1085879629629626E-2</c:v>
                </c:pt>
                <c:pt idx="327">
                  <c:v>4.4314120370370372E-2</c:v>
                </c:pt>
                <c:pt idx="328">
                  <c:v>1.6914120370370374E-2</c:v>
                </c:pt>
                <c:pt idx="329">
                  <c:v>-8.6185879629629619E-2</c:v>
                </c:pt>
                <c:pt idx="330">
                  <c:v>-9.6858796296296259E-3</c:v>
                </c:pt>
                <c:pt idx="331">
                  <c:v>1.3114120370370373E-2</c:v>
                </c:pt>
                <c:pt idx="332">
                  <c:v>-9.4385879629629618E-2</c:v>
                </c:pt>
                <c:pt idx="333">
                  <c:v>-0.17498587962962964</c:v>
                </c:pt>
                <c:pt idx="334">
                  <c:v>-8.1785879629629618E-2</c:v>
                </c:pt>
                <c:pt idx="335">
                  <c:v>1.3914120370370372E-2</c:v>
                </c:pt>
                <c:pt idx="336">
                  <c:v>-8.4685879629629618E-2</c:v>
                </c:pt>
                <c:pt idx="337">
                  <c:v>-0.10438587962962963</c:v>
                </c:pt>
                <c:pt idx="338">
                  <c:v>8.6214120370370365E-2</c:v>
                </c:pt>
                <c:pt idx="339">
                  <c:v>9.851412037037037E-2</c:v>
                </c:pt>
                <c:pt idx="340">
                  <c:v>4.8614120370370377E-2</c:v>
                </c:pt>
                <c:pt idx="341">
                  <c:v>9.1412037037037416E-4</c:v>
                </c:pt>
                <c:pt idx="342">
                  <c:v>7.381412037037037E-2</c:v>
                </c:pt>
                <c:pt idx="343">
                  <c:v>2.9914120370370372E-2</c:v>
                </c:pt>
                <c:pt idx="344">
                  <c:v>3.7414120370370375E-2</c:v>
                </c:pt>
                <c:pt idx="345">
                  <c:v>-2.9385879629629626E-2</c:v>
                </c:pt>
                <c:pt idx="346">
                  <c:v>5.2114120370370373E-2</c:v>
                </c:pt>
                <c:pt idx="347">
                  <c:v>2.4114120370370373E-2</c:v>
                </c:pt>
                <c:pt idx="348">
                  <c:v>-3.7085879629629621E-2</c:v>
                </c:pt>
                <c:pt idx="349">
                  <c:v>3.0514120370370375E-2</c:v>
                </c:pt>
                <c:pt idx="350">
                  <c:v>5.9714120370370369E-2</c:v>
                </c:pt>
                <c:pt idx="351">
                  <c:v>1.6614120370370369E-2</c:v>
                </c:pt>
                <c:pt idx="352">
                  <c:v>-8.2285879629629619E-2</c:v>
                </c:pt>
                <c:pt idx="353">
                  <c:v>-5.8985879629629624E-2</c:v>
                </c:pt>
                <c:pt idx="354">
                  <c:v>6.5914120370370366E-2</c:v>
                </c:pt>
                <c:pt idx="355">
                  <c:v>-5.108587962962962E-2</c:v>
                </c:pt>
                <c:pt idx="356">
                  <c:v>9.2014120370370364E-2</c:v>
                </c:pt>
                <c:pt idx="357">
                  <c:v>3.5414120370370374E-2</c:v>
                </c:pt>
                <c:pt idx="358">
                  <c:v>2.6141203703703734E-3</c:v>
                </c:pt>
                <c:pt idx="359">
                  <c:v>6.4814120370370376E-2</c:v>
                </c:pt>
                <c:pt idx="360">
                  <c:v>1.6514120370370373E-2</c:v>
                </c:pt>
                <c:pt idx="361">
                  <c:v>3.151412037037038E-2</c:v>
                </c:pt>
                <c:pt idx="362">
                  <c:v>1.1141203703703738E-3</c:v>
                </c:pt>
                <c:pt idx="363">
                  <c:v>2.5514120370370371E-2</c:v>
                </c:pt>
                <c:pt idx="364">
                  <c:v>-1.6185879629629626E-2</c:v>
                </c:pt>
                <c:pt idx="365">
                  <c:v>-2.0985879629629629E-2</c:v>
                </c:pt>
                <c:pt idx="366">
                  <c:v>-2.7085879629629626E-2</c:v>
                </c:pt>
                <c:pt idx="367">
                  <c:v>-6.3285879629629629E-2</c:v>
                </c:pt>
                <c:pt idx="368">
                  <c:v>-7.9385879629629619E-2</c:v>
                </c:pt>
                <c:pt idx="369">
                  <c:v>0.11001412037037037</c:v>
                </c:pt>
                <c:pt idx="370">
                  <c:v>-6.2858796296296265E-3</c:v>
                </c:pt>
                <c:pt idx="371">
                  <c:v>3.9141203703703742E-3</c:v>
                </c:pt>
                <c:pt idx="372">
                  <c:v>4.7014120370370373E-2</c:v>
                </c:pt>
                <c:pt idx="373">
                  <c:v>4.0714120370370373E-2</c:v>
                </c:pt>
                <c:pt idx="374">
                  <c:v>2.7614120370370372E-2</c:v>
                </c:pt>
                <c:pt idx="375">
                  <c:v>-1.1985879629629628E-2</c:v>
                </c:pt>
                <c:pt idx="376">
                  <c:v>-6.5285879629629631E-2</c:v>
                </c:pt>
                <c:pt idx="377">
                  <c:v>3.5414120370370381E-2</c:v>
                </c:pt>
                <c:pt idx="378">
                  <c:v>4.4141203703703747E-3</c:v>
                </c:pt>
                <c:pt idx="379">
                  <c:v>2.2114120370370371E-2</c:v>
                </c:pt>
                <c:pt idx="380">
                  <c:v>2.391412037037037E-2</c:v>
                </c:pt>
                <c:pt idx="381">
                  <c:v>-2.0985879629629629E-2</c:v>
                </c:pt>
                <c:pt idx="382">
                  <c:v>4.4141203703703747E-3</c:v>
                </c:pt>
                <c:pt idx="383">
                  <c:v>8.4141203703703739E-3</c:v>
                </c:pt>
                <c:pt idx="384">
                  <c:v>5.2214120370370376E-2</c:v>
                </c:pt>
                <c:pt idx="385">
                  <c:v>9.4141203703703748E-3</c:v>
                </c:pt>
                <c:pt idx="386">
                  <c:v>3.6814120370370379E-2</c:v>
                </c:pt>
                <c:pt idx="387">
                  <c:v>1.2014120370370373E-2</c:v>
                </c:pt>
                <c:pt idx="388">
                  <c:v>2.451412037037037E-2</c:v>
                </c:pt>
                <c:pt idx="389">
                  <c:v>-1.5485879629629627E-2</c:v>
                </c:pt>
                <c:pt idx="390">
                  <c:v>5.3014120370370378E-2</c:v>
                </c:pt>
                <c:pt idx="391">
                  <c:v>-3.0585879629629626E-2</c:v>
                </c:pt>
                <c:pt idx="392">
                  <c:v>3.4214120370370374E-2</c:v>
                </c:pt>
                <c:pt idx="393">
                  <c:v>3.8314120370370373E-2</c:v>
                </c:pt>
                <c:pt idx="394">
                  <c:v>2.7714120370370375E-2</c:v>
                </c:pt>
                <c:pt idx="395">
                  <c:v>2.4614120370370373E-2</c:v>
                </c:pt>
                <c:pt idx="396">
                  <c:v>-3.6685879629629624E-2</c:v>
                </c:pt>
                <c:pt idx="397">
                  <c:v>4.3014120370370383E-2</c:v>
                </c:pt>
                <c:pt idx="398">
                  <c:v>8.141203703703739E-4</c:v>
                </c:pt>
                <c:pt idx="399">
                  <c:v>-5.3858796296296259E-3</c:v>
                </c:pt>
                <c:pt idx="400">
                  <c:v>1.7114120370370373E-2</c:v>
                </c:pt>
                <c:pt idx="401">
                  <c:v>2.2614120370370371E-2</c:v>
                </c:pt>
                <c:pt idx="402">
                  <c:v>-2.3885879629629628E-2</c:v>
                </c:pt>
                <c:pt idx="403">
                  <c:v>3.8914120370370377E-2</c:v>
                </c:pt>
                <c:pt idx="404">
                  <c:v>-2.3185879629629626E-2</c:v>
                </c:pt>
                <c:pt idx="405">
                  <c:v>2.1714120370370373E-2</c:v>
                </c:pt>
                <c:pt idx="406">
                  <c:v>2.2014120370370371E-2</c:v>
                </c:pt>
                <c:pt idx="407">
                  <c:v>-4.0858796296296259E-3</c:v>
                </c:pt>
                <c:pt idx="408">
                  <c:v>-3.4585879629629626E-2</c:v>
                </c:pt>
                <c:pt idx="409">
                  <c:v>5.7814120370370377E-2</c:v>
                </c:pt>
                <c:pt idx="410">
                  <c:v>-1.4685879629629629E-2</c:v>
                </c:pt>
                <c:pt idx="411">
                  <c:v>2.4141203703703738E-3</c:v>
                </c:pt>
                <c:pt idx="412">
                  <c:v>1.0114120370370374E-2</c:v>
                </c:pt>
                <c:pt idx="413">
                  <c:v>-1.8785879629629628E-2</c:v>
                </c:pt>
                <c:pt idx="414">
                  <c:v>1.1914120370370374E-2</c:v>
                </c:pt>
                <c:pt idx="415">
                  <c:v>-6.3885879629629633E-2</c:v>
                </c:pt>
                <c:pt idx="416">
                  <c:v>-3.4285879629629624E-2</c:v>
                </c:pt>
                <c:pt idx="417">
                  <c:v>7.4014120370370376E-2</c:v>
                </c:pt>
                <c:pt idx="418">
                  <c:v>2.1141203703703747E-3</c:v>
                </c:pt>
                <c:pt idx="419">
                  <c:v>-2.5085879629629628E-2</c:v>
                </c:pt>
                <c:pt idx="420">
                  <c:v>-6.1085879629629622E-2</c:v>
                </c:pt>
                <c:pt idx="421">
                  <c:v>-3.9858796296296257E-3</c:v>
                </c:pt>
                <c:pt idx="422">
                  <c:v>6.6314120370370377E-2</c:v>
                </c:pt>
                <c:pt idx="423">
                  <c:v>5.8141203703703749E-3</c:v>
                </c:pt>
                <c:pt idx="424">
                  <c:v>1.4414120370370372E-2</c:v>
                </c:pt>
                <c:pt idx="425">
                  <c:v>-3.785879629629626E-3</c:v>
                </c:pt>
                <c:pt idx="426">
                  <c:v>3.6214120370370376E-2</c:v>
                </c:pt>
                <c:pt idx="427">
                  <c:v>1.7141203703703737E-3</c:v>
                </c:pt>
                <c:pt idx="428">
                  <c:v>-7.8587962962962596E-4</c:v>
                </c:pt>
                <c:pt idx="429">
                  <c:v>-2.3485879629629627E-2</c:v>
                </c:pt>
                <c:pt idx="430">
                  <c:v>4.5214120370370377E-2</c:v>
                </c:pt>
              </c:numCache>
            </c:numRef>
          </c:xVal>
          <c:yVal>
            <c:numRef>
              <c:f>Returns!$G$2:$G$432</c:f>
              <c:numCache>
                <c:formatCode>0.0%</c:formatCode>
                <c:ptCount val="431"/>
                <c:pt idx="0">
                  <c:v>-0.12151251259949507</c:v>
                </c:pt>
                <c:pt idx="1">
                  <c:v>-9.2954921278288583E-2</c:v>
                </c:pt>
                <c:pt idx="2">
                  <c:v>-0.15089691297480928</c:v>
                </c:pt>
                <c:pt idx="3">
                  <c:v>0.16363396024902988</c:v>
                </c:pt>
                <c:pt idx="4">
                  <c:v>0.13843659048212947</c:v>
                </c:pt>
                <c:pt idx="5">
                  <c:v>-0.20855675628503548</c:v>
                </c:pt>
                <c:pt idx="6">
                  <c:v>-4.2298630203675518E-2</c:v>
                </c:pt>
                <c:pt idx="7">
                  <c:v>-0.12120811913805836</c:v>
                </c:pt>
                <c:pt idx="8">
                  <c:v>-0.16562922152488202</c:v>
                </c:pt>
                <c:pt idx="9">
                  <c:v>0.21515063839230272</c:v>
                </c:pt>
                <c:pt idx="10">
                  <c:v>-0.1394975508165873</c:v>
                </c:pt>
                <c:pt idx="11">
                  <c:v>0.21850707024453192</c:v>
                </c:pt>
                <c:pt idx="12">
                  <c:v>-5.2475291913690054E-2</c:v>
                </c:pt>
                <c:pt idx="13">
                  <c:v>-4.2149158397351907E-2</c:v>
                </c:pt>
                <c:pt idx="14">
                  <c:v>-7.0653354693819712E-2</c:v>
                </c:pt>
                <c:pt idx="15">
                  <c:v>-0.19599740121439124</c:v>
                </c:pt>
                <c:pt idx="16">
                  <c:v>-1.729118174448778E-2</c:v>
                </c:pt>
                <c:pt idx="17">
                  <c:v>-6.6884504469716E-2</c:v>
                </c:pt>
                <c:pt idx="18">
                  <c:v>8.0683212064349349E-2</c:v>
                </c:pt>
                <c:pt idx="19">
                  <c:v>0.15497319823659428</c:v>
                </c:pt>
                <c:pt idx="20">
                  <c:v>-1.9849102357399569E-2</c:v>
                </c:pt>
                <c:pt idx="21">
                  <c:v>0.20898391477065964</c:v>
                </c:pt>
                <c:pt idx="22">
                  <c:v>0.17286711071972699</c:v>
                </c:pt>
                <c:pt idx="23">
                  <c:v>-8.8215543381609113E-2</c:v>
                </c:pt>
                <c:pt idx="24">
                  <c:v>0.29922348066032761</c:v>
                </c:pt>
                <c:pt idx="25">
                  <c:v>6.2535866339385737E-2</c:v>
                </c:pt>
                <c:pt idx="26">
                  <c:v>-0.13104633047818273</c:v>
                </c:pt>
                <c:pt idx="27">
                  <c:v>8.2498071634133682E-2</c:v>
                </c:pt>
                <c:pt idx="28">
                  <c:v>0.11823517315245624</c:v>
                </c:pt>
                <c:pt idx="29">
                  <c:v>-0.21486310996607796</c:v>
                </c:pt>
                <c:pt idx="30">
                  <c:v>-0.24743452038187372</c:v>
                </c:pt>
                <c:pt idx="31">
                  <c:v>5.6234243888664728E-2</c:v>
                </c:pt>
                <c:pt idx="32">
                  <c:v>-0.41118450394861539</c:v>
                </c:pt>
                <c:pt idx="33">
                  <c:v>8.1769049038783945E-3</c:v>
                </c:pt>
                <c:pt idx="34">
                  <c:v>-0.14816005496832693</c:v>
                </c:pt>
                <c:pt idx="35">
                  <c:v>0.20301810985122593</c:v>
                </c:pt>
                <c:pt idx="36">
                  <c:v>2.3642991725944799E-2</c:v>
                </c:pt>
                <c:pt idx="37">
                  <c:v>0.11067036927522381</c:v>
                </c:pt>
                <c:pt idx="38">
                  <c:v>-8.4597574858524038E-2</c:v>
                </c:pt>
                <c:pt idx="39">
                  <c:v>0.25538609428646863</c:v>
                </c:pt>
                <c:pt idx="40">
                  <c:v>1.6247549542818818E-3</c:v>
                </c:pt>
                <c:pt idx="41">
                  <c:v>-0.14247427548043171</c:v>
                </c:pt>
                <c:pt idx="42">
                  <c:v>-1.8707551685088392E-2</c:v>
                </c:pt>
                <c:pt idx="43">
                  <c:v>-0.12641219557224281</c:v>
                </c:pt>
                <c:pt idx="44">
                  <c:v>-6.0918425430028213E-2</c:v>
                </c:pt>
                <c:pt idx="45">
                  <c:v>-2.0398590770681742E-2</c:v>
                </c:pt>
                <c:pt idx="46">
                  <c:v>1.390676783095221E-3</c:v>
                </c:pt>
                <c:pt idx="47">
                  <c:v>0.13344117332615646</c:v>
                </c:pt>
                <c:pt idx="48">
                  <c:v>-0.13491621165810075</c:v>
                </c:pt>
                <c:pt idx="49">
                  <c:v>-0.18024210235739954</c:v>
                </c:pt>
                <c:pt idx="50">
                  <c:v>-0.11112436247619834</c:v>
                </c:pt>
                <c:pt idx="51">
                  <c:v>-4.4327929408067637E-2</c:v>
                </c:pt>
                <c:pt idx="52">
                  <c:v>-0.27202113331321381</c:v>
                </c:pt>
                <c:pt idx="53">
                  <c:v>1.9974645744697365E-3</c:v>
                </c:pt>
                <c:pt idx="54">
                  <c:v>-0.12453652781685186</c:v>
                </c:pt>
                <c:pt idx="55">
                  <c:v>-5.6638449124564526E-2</c:v>
                </c:pt>
                <c:pt idx="56">
                  <c:v>9.7655188196112824E-2</c:v>
                </c:pt>
                <c:pt idx="57">
                  <c:v>0.10817725236584425</c:v>
                </c:pt>
                <c:pt idx="58">
                  <c:v>-2.8121148877971097E-2</c:v>
                </c:pt>
                <c:pt idx="59">
                  <c:v>2.0789283842759188E-2</c:v>
                </c:pt>
                <c:pt idx="60">
                  <c:v>2.5807173152456245E-2</c:v>
                </c:pt>
                <c:pt idx="61">
                  <c:v>-3.5654991319696183E-2</c:v>
                </c:pt>
                <c:pt idx="62">
                  <c:v>4.4158213106550701E-2</c:v>
                </c:pt>
                <c:pt idx="63">
                  <c:v>7.3810479965526754E-2</c:v>
                </c:pt>
                <c:pt idx="64">
                  <c:v>0.14254172486696873</c:v>
                </c:pt>
                <c:pt idx="65">
                  <c:v>-6.0552189005765748E-2</c:v>
                </c:pt>
                <c:pt idx="66">
                  <c:v>-5.306322152488202E-2</c:v>
                </c:pt>
                <c:pt idx="67">
                  <c:v>8.3277977029688657E-2</c:v>
                </c:pt>
                <c:pt idx="68">
                  <c:v>1.2722849037626258E-2</c:v>
                </c:pt>
                <c:pt idx="69">
                  <c:v>-4.7157991667096624E-2</c:v>
                </c:pt>
                <c:pt idx="70">
                  <c:v>0.12494609446016891</c:v>
                </c:pt>
                <c:pt idx="71">
                  <c:v>4.3716070244531925E-2</c:v>
                </c:pt>
                <c:pt idx="72">
                  <c:v>0.17951626136412435</c:v>
                </c:pt>
                <c:pt idx="73">
                  <c:v>0.18477250435486398</c:v>
                </c:pt>
                <c:pt idx="74">
                  <c:v>-0.11665431491342548</c:v>
                </c:pt>
                <c:pt idx="75">
                  <c:v>0.24416753496327778</c:v>
                </c:pt>
                <c:pt idx="76">
                  <c:v>-1.6765236394838373E-2</c:v>
                </c:pt>
                <c:pt idx="77">
                  <c:v>-4.5503834282521936E-2</c:v>
                </c:pt>
                <c:pt idx="78">
                  <c:v>-5.0741952407803076E-2</c:v>
                </c:pt>
                <c:pt idx="79">
                  <c:v>0.24581897668228819</c:v>
                </c:pt>
                <c:pt idx="80">
                  <c:v>6.8442212064349348E-2</c:v>
                </c:pt>
                <c:pt idx="81">
                  <c:v>-3.7068931016778772E-3</c:v>
                </c:pt>
                <c:pt idx="82">
                  <c:v>-4.658745794914447E-2</c:v>
                </c:pt>
                <c:pt idx="83">
                  <c:v>0.16250996924731004</c:v>
                </c:pt>
                <c:pt idx="84">
                  <c:v>-8.3858566555044756E-2</c:v>
                </c:pt>
                <c:pt idx="85">
                  <c:v>-4.3943440473684793E-2</c:v>
                </c:pt>
                <c:pt idx="86">
                  <c:v>-5.2014000491676565E-2</c:v>
                </c:pt>
                <c:pt idx="87">
                  <c:v>2.3637872996979357E-3</c:v>
                </c:pt>
                <c:pt idx="88">
                  <c:v>2.8471100249261461E-3</c:v>
                </c:pt>
                <c:pt idx="89">
                  <c:v>3.1450543787857735E-2</c:v>
                </c:pt>
                <c:pt idx="90">
                  <c:v>-3.8235102704800003E-2</c:v>
                </c:pt>
                <c:pt idx="91">
                  <c:v>-6.9240228959860192E-2</c:v>
                </c:pt>
                <c:pt idx="92">
                  <c:v>2.0904992420745692E-2</c:v>
                </c:pt>
                <c:pt idx="93">
                  <c:v>-0.14005923622113814</c:v>
                </c:pt>
                <c:pt idx="94">
                  <c:v>-7.1068823663954471E-3</c:v>
                </c:pt>
                <c:pt idx="95">
                  <c:v>3.1541968552509153E-2</c:v>
                </c:pt>
                <c:pt idx="96">
                  <c:v>-0.16453462137909555</c:v>
                </c:pt>
                <c:pt idx="97">
                  <c:v>-2.2025614638918271E-2</c:v>
                </c:pt>
                <c:pt idx="98">
                  <c:v>-5.7166629856275089E-2</c:v>
                </c:pt>
                <c:pt idx="99">
                  <c:v>1.5697606741687603E-2</c:v>
                </c:pt>
                <c:pt idx="100">
                  <c:v>0.16007122867130794</c:v>
                </c:pt>
                <c:pt idx="101">
                  <c:v>-0.13523726804545352</c:v>
                </c:pt>
                <c:pt idx="102">
                  <c:v>-0.15650118813726463</c:v>
                </c:pt>
                <c:pt idx="103">
                  <c:v>8.2937669348117041E-2</c:v>
                </c:pt>
                <c:pt idx="104">
                  <c:v>-6.6222443509172208E-3</c:v>
                </c:pt>
                <c:pt idx="105">
                  <c:v>7.9136117459904315E-2</c:v>
                </c:pt>
                <c:pt idx="106">
                  <c:v>-7.8578370084876739E-2</c:v>
                </c:pt>
                <c:pt idx="107">
                  <c:v>-0.23665495275520348</c:v>
                </c:pt>
                <c:pt idx="108">
                  <c:v>5.9527510573940574E-2</c:v>
                </c:pt>
                <c:pt idx="109">
                  <c:v>-2.8754503948615333E-2</c:v>
                </c:pt>
                <c:pt idx="110">
                  <c:v>0.1406388898602218</c:v>
                </c:pt>
                <c:pt idx="111">
                  <c:v>7.9181883698130374E-3</c:v>
                </c:pt>
                <c:pt idx="112">
                  <c:v>-8.6730172225106941E-2</c:v>
                </c:pt>
                <c:pt idx="113">
                  <c:v>8.3185834341370127E-2</c:v>
                </c:pt>
                <c:pt idx="114">
                  <c:v>-5.2344709069663098E-2</c:v>
                </c:pt>
                <c:pt idx="115">
                  <c:v>9.8788646023834914E-3</c:v>
                </c:pt>
                <c:pt idx="116">
                  <c:v>-0.14616959942156144</c:v>
                </c:pt>
                <c:pt idx="117">
                  <c:v>6.9736723998467628E-2</c:v>
                </c:pt>
                <c:pt idx="118">
                  <c:v>9.2775032201139918E-2</c:v>
                </c:pt>
                <c:pt idx="119">
                  <c:v>0.11852161435036601</c:v>
                </c:pt>
                <c:pt idx="120">
                  <c:v>0.20868255952631518</c:v>
                </c:pt>
                <c:pt idx="121">
                  <c:v>-8.3183707853761529E-2</c:v>
                </c:pt>
                <c:pt idx="122">
                  <c:v>0.13580146474816995</c:v>
                </c:pt>
                <c:pt idx="123">
                  <c:v>-0.20290003957726993</c:v>
                </c:pt>
                <c:pt idx="124">
                  <c:v>-0.20984133826056137</c:v>
                </c:pt>
                <c:pt idx="125">
                  <c:v>-6.1146252828096728E-2</c:v>
                </c:pt>
                <c:pt idx="126">
                  <c:v>3.9244953161452129E-2</c:v>
                </c:pt>
                <c:pt idx="127">
                  <c:v>0.10096267730419589</c:v>
                </c:pt>
                <c:pt idx="128">
                  <c:v>-5.8205157876251253E-2</c:v>
                </c:pt>
                <c:pt idx="129">
                  <c:v>7.9893464491886147E-3</c:v>
                </c:pt>
                <c:pt idx="130">
                  <c:v>3.3438156719197892E-2</c:v>
                </c:pt>
                <c:pt idx="131">
                  <c:v>-5.635007744696173E-2</c:v>
                </c:pt>
                <c:pt idx="132">
                  <c:v>0.14392078712599771</c:v>
                </c:pt>
                <c:pt idx="133">
                  <c:v>1.6727708607410602E-2</c:v>
                </c:pt>
                <c:pt idx="134">
                  <c:v>-0.1123398903224743</c:v>
                </c:pt>
                <c:pt idx="135">
                  <c:v>4.3092755392798894E-3</c:v>
                </c:pt>
                <c:pt idx="136">
                  <c:v>-2.263768520142655E-2</c:v>
                </c:pt>
                <c:pt idx="137">
                  <c:v>-0.17419838634443488</c:v>
                </c:pt>
                <c:pt idx="138">
                  <c:v>-9.2043472124299974E-2</c:v>
                </c:pt>
                <c:pt idx="139">
                  <c:v>8.3867789962186537E-3</c:v>
                </c:pt>
                <c:pt idx="140">
                  <c:v>-4.775202366511222E-2</c:v>
                </c:pt>
                <c:pt idx="141">
                  <c:v>0.13753930701619482</c:v>
                </c:pt>
                <c:pt idx="142">
                  <c:v>2.7554464921870164E-2</c:v>
                </c:pt>
                <c:pt idx="143">
                  <c:v>5.2981811085350827E-3</c:v>
                </c:pt>
                <c:pt idx="144">
                  <c:v>-2.8804244177217001E-2</c:v>
                </c:pt>
                <c:pt idx="145">
                  <c:v>-0.12022648838385809</c:v>
                </c:pt>
                <c:pt idx="146">
                  <c:v>-7.2620842412301004E-2</c:v>
                </c:pt>
                <c:pt idx="147">
                  <c:v>2.6787219846727973E-2</c:v>
                </c:pt>
                <c:pt idx="148">
                  <c:v>5.4965031680039245E-2</c:v>
                </c:pt>
                <c:pt idx="149">
                  <c:v>-0.31854525213329582</c:v>
                </c:pt>
                <c:pt idx="150">
                  <c:v>-0.30423196088498261</c:v>
                </c:pt>
                <c:pt idx="151">
                  <c:v>-0.10502187371551572</c:v>
                </c:pt>
                <c:pt idx="152">
                  <c:v>-0.12809015770255103</c:v>
                </c:pt>
                <c:pt idx="153">
                  <c:v>0.28422707872171143</c:v>
                </c:pt>
                <c:pt idx="154">
                  <c:v>4.3353385361081721E-2</c:v>
                </c:pt>
                <c:pt idx="155">
                  <c:v>-0.10625283462992238</c:v>
                </c:pt>
                <c:pt idx="156">
                  <c:v>6.7261315145973888E-2</c:v>
                </c:pt>
                <c:pt idx="157">
                  <c:v>0.14314854274565642</c:v>
                </c:pt>
                <c:pt idx="158">
                  <c:v>-3.3307969362162071E-2</c:v>
                </c:pt>
                <c:pt idx="159">
                  <c:v>-0.11938819696184459</c:v>
                </c:pt>
                <c:pt idx="160">
                  <c:v>-4.1793897757452479E-2</c:v>
                </c:pt>
                <c:pt idx="161">
                  <c:v>-6.3651228959860195E-2</c:v>
                </c:pt>
                <c:pt idx="162">
                  <c:v>0.21911274821410459</c:v>
                </c:pt>
                <c:pt idx="163">
                  <c:v>7.5210318537394655E-3</c:v>
                </c:pt>
                <c:pt idx="164">
                  <c:v>-4.9773118616957684E-2</c:v>
                </c:pt>
                <c:pt idx="165">
                  <c:v>0.2494476299151232</c:v>
                </c:pt>
                <c:pt idx="166">
                  <c:v>-9.0874158223651691E-2</c:v>
                </c:pt>
                <c:pt idx="167">
                  <c:v>2.0375724345868068E-2</c:v>
                </c:pt>
                <c:pt idx="168">
                  <c:v>-4.3861967881443711E-3</c:v>
                </c:pt>
                <c:pt idx="169">
                  <c:v>-8.3992889453973194E-2</c:v>
                </c:pt>
                <c:pt idx="170">
                  <c:v>-0.15333100775295452</c:v>
                </c:pt>
                <c:pt idx="171">
                  <c:v>4.0787157587698998E-2</c:v>
                </c:pt>
                <c:pt idx="172">
                  <c:v>3.2807386055882619E-2</c:v>
                </c:pt>
                <c:pt idx="173">
                  <c:v>6.3904299407516421E-2</c:v>
                </c:pt>
                <c:pt idx="174">
                  <c:v>-9.8232920930888146E-2</c:v>
                </c:pt>
                <c:pt idx="175">
                  <c:v>-6.4414212700302065E-2</c:v>
                </c:pt>
                <c:pt idx="176">
                  <c:v>-0.19547097610233938</c:v>
                </c:pt>
                <c:pt idx="177">
                  <c:v>-1.8468890148774078E-2</c:v>
                </c:pt>
                <c:pt idx="178">
                  <c:v>-1.7033968146260528E-2</c:v>
                </c:pt>
                <c:pt idx="179">
                  <c:v>-0.19365603940356968</c:v>
                </c:pt>
                <c:pt idx="180">
                  <c:v>-0.17963587388921595</c:v>
                </c:pt>
                <c:pt idx="181">
                  <c:v>-3.7081370084876747E-2</c:v>
                </c:pt>
                <c:pt idx="182">
                  <c:v>-0.13087137804095558</c:v>
                </c:pt>
                <c:pt idx="183">
                  <c:v>-5.1527692810104948E-2</c:v>
                </c:pt>
                <c:pt idx="184">
                  <c:v>2.421667730419589E-2</c:v>
                </c:pt>
                <c:pt idx="185">
                  <c:v>-0.19386610270480001</c:v>
                </c:pt>
                <c:pt idx="186">
                  <c:v>0.11766540057843852</c:v>
                </c:pt>
                <c:pt idx="187">
                  <c:v>4.9026015941581784E-2</c:v>
                </c:pt>
                <c:pt idx="188">
                  <c:v>-0.17046863729125328</c:v>
                </c:pt>
                <c:pt idx="189">
                  <c:v>1.0299157413998769E-2</c:v>
                </c:pt>
                <c:pt idx="190">
                  <c:v>-5.3651337913160929E-2</c:v>
                </c:pt>
                <c:pt idx="191">
                  <c:v>-0.12532327600153237</c:v>
                </c:pt>
                <c:pt idx="192">
                  <c:v>-0.28872620422312256</c:v>
                </c:pt>
                <c:pt idx="193">
                  <c:v>-2.9319960884982572E-2</c:v>
                </c:pt>
                <c:pt idx="194">
                  <c:v>0.17994376291036074</c:v>
                </c:pt>
                <c:pt idx="195">
                  <c:v>-0.1400214169528487</c:v>
                </c:pt>
                <c:pt idx="196">
                  <c:v>-0.13270118035488601</c:v>
                </c:pt>
                <c:pt idx="197">
                  <c:v>-0.21438541695284871</c:v>
                </c:pt>
                <c:pt idx="198">
                  <c:v>0.10991684333965028</c:v>
                </c:pt>
                <c:pt idx="199">
                  <c:v>0.28767785751480579</c:v>
                </c:pt>
                <c:pt idx="200">
                  <c:v>-9.3108999449475247E-2</c:v>
                </c:pt>
                <c:pt idx="201">
                  <c:v>-0.17497793771154693</c:v>
                </c:pt>
                <c:pt idx="202">
                  <c:v>-1.3737598205659916E-2</c:v>
                </c:pt>
                <c:pt idx="203">
                  <c:v>-0.2942531023573996</c:v>
                </c:pt>
                <c:pt idx="204">
                  <c:v>0.37883731479857341</c:v>
                </c:pt>
                <c:pt idx="205">
                  <c:v>0.17662548896380695</c:v>
                </c:pt>
                <c:pt idx="206">
                  <c:v>8.2855858730707319E-2</c:v>
                </c:pt>
                <c:pt idx="207">
                  <c:v>-2.9165244177216998E-2</c:v>
                </c:pt>
                <c:pt idx="208">
                  <c:v>2.2601883698130376E-3</c:v>
                </c:pt>
                <c:pt idx="209">
                  <c:v>1.8407638044902329E-2</c:v>
                </c:pt>
                <c:pt idx="210">
                  <c:v>0.22798447979182651</c:v>
                </c:pt>
                <c:pt idx="211">
                  <c:v>0.11432724958664064</c:v>
                </c:pt>
                <c:pt idx="212">
                  <c:v>0.12058924475716584</c:v>
                </c:pt>
                <c:pt idx="213">
                  <c:v>-0.13998994410432378</c:v>
                </c:pt>
                <c:pt idx="214">
                  <c:v>-0.23875242456152707</c:v>
                </c:pt>
                <c:pt idx="215">
                  <c:v>0.18093626049562328</c:v>
                </c:pt>
                <c:pt idx="216">
                  <c:v>-5.6634991840796851E-2</c:v>
                </c:pt>
                <c:pt idx="217">
                  <c:v>-0.11010085901925959</c:v>
                </c:pt>
                <c:pt idx="218">
                  <c:v>-3.0851141442992908E-2</c:v>
                </c:pt>
                <c:pt idx="219">
                  <c:v>0.20521210276364818</c:v>
                </c:pt>
                <c:pt idx="220">
                  <c:v>-2.0257221003781342E-2</c:v>
                </c:pt>
                <c:pt idx="221">
                  <c:v>-3.0384574337423378E-2</c:v>
                </c:pt>
                <c:pt idx="222">
                  <c:v>0.23803828280055786</c:v>
                </c:pt>
                <c:pt idx="223">
                  <c:v>0.17756581064683383</c:v>
                </c:pt>
                <c:pt idx="224">
                  <c:v>-3.5787249818207759E-3</c:v>
                </c:pt>
                <c:pt idx="225">
                  <c:v>0.16496769356375401</c:v>
                </c:pt>
                <c:pt idx="226">
                  <c:v>0.16048760656798738</c:v>
                </c:pt>
                <c:pt idx="227">
                  <c:v>-7.3374818022963806E-2</c:v>
                </c:pt>
                <c:pt idx="228">
                  <c:v>6.2301133024661566E-2</c:v>
                </c:pt>
                <c:pt idx="229">
                  <c:v>5.5823511963542349E-2</c:v>
                </c:pt>
                <c:pt idx="230">
                  <c:v>9.6307598959308988E-2</c:v>
                </c:pt>
                <c:pt idx="231">
                  <c:v>-1.0517504990816648E-2</c:v>
                </c:pt>
                <c:pt idx="232">
                  <c:v>-0.2755502448720179</c:v>
                </c:pt>
                <c:pt idx="233">
                  <c:v>0.16741774060542619</c:v>
                </c:pt>
                <c:pt idx="234">
                  <c:v>-9.2456698103695195E-3</c:v>
                </c:pt>
                <c:pt idx="235">
                  <c:v>8.4368323623153385E-2</c:v>
                </c:pt>
                <c:pt idx="236">
                  <c:v>-0.51560915839735189</c:v>
                </c:pt>
                <c:pt idx="237">
                  <c:v>-0.21729448873125853</c:v>
                </c:pt>
                <c:pt idx="238">
                  <c:v>-2.0038544944911085E-2</c:v>
                </c:pt>
                <c:pt idx="239">
                  <c:v>-0.13061622048268068</c:v>
                </c:pt>
                <c:pt idx="240">
                  <c:v>0.39359090577237948</c:v>
                </c:pt>
                <c:pt idx="241">
                  <c:v>-2.7210237784440178E-2</c:v>
                </c:pt>
                <c:pt idx="242">
                  <c:v>0.2980679830750651</c:v>
                </c:pt>
                <c:pt idx="243">
                  <c:v>2.8730000897925184E-2</c:v>
                </c:pt>
                <c:pt idx="244">
                  <c:v>-0.24025964576843278</c:v>
                </c:pt>
                <c:pt idx="245">
                  <c:v>0.18075681842921243</c:v>
                </c:pt>
                <c:pt idx="246">
                  <c:v>-0.17407500049167657</c:v>
                </c:pt>
                <c:pt idx="247">
                  <c:v>6.6201542224555751E-2</c:v>
                </c:pt>
                <c:pt idx="248">
                  <c:v>-4.494239516901484E-2</c:v>
                </c:pt>
                <c:pt idx="249">
                  <c:v>8.6011842644849429E-2</c:v>
                </c:pt>
                <c:pt idx="250">
                  <c:v>9.5539426009977058E-2</c:v>
                </c:pt>
                <c:pt idx="251">
                  <c:v>-4.9542362211381537E-3</c:v>
                </c:pt>
                <c:pt idx="252">
                  <c:v>0.13900902320285974</c:v>
                </c:pt>
                <c:pt idx="253">
                  <c:v>-9.9738354867519932E-2</c:v>
                </c:pt>
                <c:pt idx="254">
                  <c:v>2.067174838780482E-2</c:v>
                </c:pt>
                <c:pt idx="255">
                  <c:v>8.8734723477366953E-2</c:v>
                </c:pt>
                <c:pt idx="256">
                  <c:v>-3.057527600153238E-2</c:v>
                </c:pt>
                <c:pt idx="257">
                  <c:v>-0.14733082010736648</c:v>
                </c:pt>
                <c:pt idx="258">
                  <c:v>-3.3208749371157989E-2</c:v>
                </c:pt>
                <c:pt idx="259">
                  <c:v>-5.067198440581866E-2</c:v>
                </c:pt>
                <c:pt idx="260">
                  <c:v>0.1195624550550889</c:v>
                </c:pt>
                <c:pt idx="261">
                  <c:v>-1.2994920409787461E-2</c:v>
                </c:pt>
                <c:pt idx="262">
                  <c:v>-0.12981477893737048</c:v>
                </c:pt>
                <c:pt idx="263">
                  <c:v>-3.5952844787118937E-3</c:v>
                </c:pt>
                <c:pt idx="264">
                  <c:v>2.8915857688505985E-2</c:v>
                </c:pt>
                <c:pt idx="265">
                  <c:v>6.2451133372062012E-2</c:v>
                </c:pt>
                <c:pt idx="266">
                  <c:v>-8.3006393779413046E-2</c:v>
                </c:pt>
                <c:pt idx="267">
                  <c:v>-0.12043128256800945</c:v>
                </c:pt>
                <c:pt idx="268">
                  <c:v>0.16711192185823742</c:v>
                </c:pt>
                <c:pt idx="269">
                  <c:v>3.2115960596430307E-2</c:v>
                </c:pt>
                <c:pt idx="270">
                  <c:v>6.3504472530548584E-2</c:v>
                </c:pt>
                <c:pt idx="271">
                  <c:v>3.0246189064613946E-2</c:v>
                </c:pt>
                <c:pt idx="272">
                  <c:v>-7.5333008274055202E-2</c:v>
                </c:pt>
                <c:pt idx="273">
                  <c:v>9.393205324172052E-3</c:v>
                </c:pt>
                <c:pt idx="274">
                  <c:v>-0.11480587406291616</c:v>
                </c:pt>
                <c:pt idx="275">
                  <c:v>-4.8112251612195185E-2</c:v>
                </c:pt>
                <c:pt idx="276">
                  <c:v>1.6042803211855639E-2</c:v>
                </c:pt>
                <c:pt idx="277">
                  <c:v>3.141225980082242E-2</c:v>
                </c:pt>
                <c:pt idx="278">
                  <c:v>0.13968500746440227</c:v>
                </c:pt>
                <c:pt idx="279">
                  <c:v>-2.9978732764199392E-2</c:v>
                </c:pt>
                <c:pt idx="280">
                  <c:v>6.2828740084325541E-2</c:v>
                </c:pt>
                <c:pt idx="281">
                  <c:v>0.12398386616568549</c:v>
                </c:pt>
                <c:pt idx="282">
                  <c:v>4.1792621264243518E-2</c:v>
                </c:pt>
                <c:pt idx="283">
                  <c:v>5.5607259627122201E-2</c:v>
                </c:pt>
                <c:pt idx="284">
                  <c:v>9.1099346449188615E-2</c:v>
                </c:pt>
                <c:pt idx="285">
                  <c:v>0.32225252752829958</c:v>
                </c:pt>
                <c:pt idx="286">
                  <c:v>0.20493381929771351</c:v>
                </c:pt>
                <c:pt idx="287">
                  <c:v>-9.8580361955097673E-2</c:v>
                </c:pt>
                <c:pt idx="288">
                  <c:v>0.22276417263135556</c:v>
                </c:pt>
                <c:pt idx="289">
                  <c:v>0.12947698429096663</c:v>
                </c:pt>
                <c:pt idx="290">
                  <c:v>-5.4349016230134044E-2</c:v>
                </c:pt>
                <c:pt idx="291">
                  <c:v>-0.10879815804995147</c:v>
                </c:pt>
                <c:pt idx="292">
                  <c:v>3.9278142022941748E-2</c:v>
                </c:pt>
                <c:pt idx="293">
                  <c:v>-9.3697448950864293E-2</c:v>
                </c:pt>
                <c:pt idx="294">
                  <c:v>9.1517795603177216E-2</c:v>
                </c:pt>
                <c:pt idx="295">
                  <c:v>0.10427079490837635</c:v>
                </c:pt>
                <c:pt idx="296">
                  <c:v>0.12407898411726639</c:v>
                </c:pt>
                <c:pt idx="297">
                  <c:v>9.0859267235800609E-2</c:v>
                </c:pt>
                <c:pt idx="298">
                  <c:v>0.11390099242074567</c:v>
                </c:pt>
                <c:pt idx="299">
                  <c:v>5.0838858035906438E-2</c:v>
                </c:pt>
                <c:pt idx="300">
                  <c:v>-5.8680312737906248E-3</c:v>
                </c:pt>
                <c:pt idx="301">
                  <c:v>-0.1017159923618975</c:v>
                </c:pt>
                <c:pt idx="302">
                  <c:v>-0.11836125195959563</c:v>
                </c:pt>
                <c:pt idx="303">
                  <c:v>9.866177156124048E-2</c:v>
                </c:pt>
                <c:pt idx="304">
                  <c:v>-0.11455613452911539</c:v>
                </c:pt>
                <c:pt idx="305">
                  <c:v>-5.0716708895962866E-2</c:v>
                </c:pt>
                <c:pt idx="306">
                  <c:v>0.18386410206884729</c:v>
                </c:pt>
                <c:pt idx="307">
                  <c:v>-4.4520677071647481E-2</c:v>
                </c:pt>
                <c:pt idx="308">
                  <c:v>9.4494653609659557E-2</c:v>
                </c:pt>
                <c:pt idx="309">
                  <c:v>-6.50494462542444E-3</c:v>
                </c:pt>
                <c:pt idx="310">
                  <c:v>9.2121252018443803E-2</c:v>
                </c:pt>
                <c:pt idx="311">
                  <c:v>-0.10058412605193587</c:v>
                </c:pt>
                <c:pt idx="312">
                  <c:v>-2.3766968493660973E-2</c:v>
                </c:pt>
                <c:pt idx="313">
                  <c:v>1.1460861566896137E-3</c:v>
                </c:pt>
                <c:pt idx="314">
                  <c:v>7.4185338493109765E-2</c:v>
                </c:pt>
                <c:pt idx="315">
                  <c:v>1.0282275886680334E-2</c:v>
                </c:pt>
                <c:pt idx="316">
                  <c:v>0.15443133884051019</c:v>
                </c:pt>
                <c:pt idx="317">
                  <c:v>2.0931653088558905E-2</c:v>
                </c:pt>
                <c:pt idx="318">
                  <c:v>0.11865647961812631</c:v>
                </c:pt>
                <c:pt idx="319">
                  <c:v>2.3830858209606655E-2</c:v>
                </c:pt>
                <c:pt idx="320">
                  <c:v>4.9898220715229077E-2</c:v>
                </c:pt>
                <c:pt idx="321">
                  <c:v>0.19947596855250915</c:v>
                </c:pt>
                <c:pt idx="322">
                  <c:v>1.4754597569707213E-2</c:v>
                </c:pt>
                <c:pt idx="323">
                  <c:v>8.735986581828506E-2</c:v>
                </c:pt>
                <c:pt idx="324">
                  <c:v>-0.23766545777544423</c:v>
                </c:pt>
                <c:pt idx="325">
                  <c:v>-4.2622032142291731E-2</c:v>
                </c:pt>
                <c:pt idx="326">
                  <c:v>0.1504053303633307</c:v>
                </c:pt>
                <c:pt idx="327">
                  <c:v>0.13627337049112537</c:v>
                </c:pt>
                <c:pt idx="328">
                  <c:v>4.7990700825031984E-2</c:v>
                </c:pt>
                <c:pt idx="329">
                  <c:v>-3.8825525535895189E-3</c:v>
                </c:pt>
                <c:pt idx="330">
                  <c:v>-5.0099701113584236E-2</c:v>
                </c:pt>
                <c:pt idx="331">
                  <c:v>3.4855929119515371E-2</c:v>
                </c:pt>
                <c:pt idx="332">
                  <c:v>-0.20891879676023067</c:v>
                </c:pt>
                <c:pt idx="333">
                  <c:v>0.18145772969644358</c:v>
                </c:pt>
                <c:pt idx="334">
                  <c:v>-3.5892080052465025E-2</c:v>
                </c:pt>
                <c:pt idx="335">
                  <c:v>-0.11182980315300745</c:v>
                </c:pt>
                <c:pt idx="336">
                  <c:v>0.1628976994354302</c:v>
                </c:pt>
                <c:pt idx="337">
                  <c:v>0.12571285664630469</c:v>
                </c:pt>
                <c:pt idx="338">
                  <c:v>4.1723142717742634E-2</c:v>
                </c:pt>
                <c:pt idx="339">
                  <c:v>4.4281009027704293E-2</c:v>
                </c:pt>
                <c:pt idx="340">
                  <c:v>-2.7024404736848001E-3</c:v>
                </c:pt>
                <c:pt idx="341">
                  <c:v>3.4328346275488385E-2</c:v>
                </c:pt>
                <c:pt idx="342">
                  <c:v>2.9431992941846369E-2</c:v>
                </c:pt>
                <c:pt idx="343">
                  <c:v>-2.6014448603463861E-2</c:v>
                </c:pt>
                <c:pt idx="344">
                  <c:v>3.5752811341634702E-2</c:v>
                </c:pt>
                <c:pt idx="345">
                  <c:v>4.5518456097290223E-2</c:v>
                </c:pt>
                <c:pt idx="346">
                  <c:v>-2.6444519165972125E-2</c:v>
                </c:pt>
                <c:pt idx="347">
                  <c:v>6.8391103723265956E-3</c:v>
                </c:pt>
                <c:pt idx="348">
                  <c:v>-4.9155370779677639E-2</c:v>
                </c:pt>
                <c:pt idx="349">
                  <c:v>9.0152521921440174E-3</c:v>
                </c:pt>
                <c:pt idx="350">
                  <c:v>5.0724024245061075E-2</c:v>
                </c:pt>
                <c:pt idx="351">
                  <c:v>7.4354850427228031E-2</c:v>
                </c:pt>
                <c:pt idx="352">
                  <c:v>8.7366502617861733E-2</c:v>
                </c:pt>
                <c:pt idx="353">
                  <c:v>4.9644550180634586E-2</c:v>
                </c:pt>
                <c:pt idx="354">
                  <c:v>-8.3791400866990787E-2</c:v>
                </c:pt>
                <c:pt idx="355">
                  <c:v>4.270943989471726E-3</c:v>
                </c:pt>
                <c:pt idx="356">
                  <c:v>2.3694583741952185E-2</c:v>
                </c:pt>
                <c:pt idx="357">
                  <c:v>-2.5858579770582507E-3</c:v>
                </c:pt>
                <c:pt idx="358">
                  <c:v>1.6964165196377393E-2</c:v>
                </c:pt>
                <c:pt idx="359">
                  <c:v>-6.8303518992271911E-2</c:v>
                </c:pt>
                <c:pt idx="360">
                  <c:v>1.5434566961293382E-2</c:v>
                </c:pt>
                <c:pt idx="361">
                  <c:v>-1.6846913148509508E-2</c:v>
                </c:pt>
                <c:pt idx="362">
                  <c:v>-2.8014086792642317E-2</c:v>
                </c:pt>
                <c:pt idx="363">
                  <c:v>-4.4622921104588341E-2</c:v>
                </c:pt>
                <c:pt idx="364">
                  <c:v>3.2478736006636803E-3</c:v>
                </c:pt>
                <c:pt idx="365">
                  <c:v>-1.834073276419939E-2</c:v>
                </c:pt>
                <c:pt idx="366">
                  <c:v>0.18854897581378713</c:v>
                </c:pt>
                <c:pt idx="367">
                  <c:v>6.2096361145444749E-2</c:v>
                </c:pt>
                <c:pt idx="368">
                  <c:v>9.0260723129966497E-2</c:v>
                </c:pt>
                <c:pt idx="369">
                  <c:v>-0.10750639238981127</c:v>
                </c:pt>
                <c:pt idx="370">
                  <c:v>-5.9996063271806219E-2</c:v>
                </c:pt>
                <c:pt idx="371">
                  <c:v>4.0986850253527815E-2</c:v>
                </c:pt>
                <c:pt idx="372">
                  <c:v>4.7363024071360851E-2</c:v>
                </c:pt>
                <c:pt idx="373">
                  <c:v>0.11749116571747807</c:v>
                </c:pt>
                <c:pt idx="374">
                  <c:v>5.3029031680039258E-2</c:v>
                </c:pt>
                <c:pt idx="375">
                  <c:v>-2.2104220830081126E-2</c:v>
                </c:pt>
                <c:pt idx="376">
                  <c:v>6.8697691826751811E-2</c:v>
                </c:pt>
                <c:pt idx="377">
                  <c:v>-5.2455857977058269E-2</c:v>
                </c:pt>
                <c:pt idx="378">
                  <c:v>2.6445267583201051E-2</c:v>
                </c:pt>
                <c:pt idx="379">
                  <c:v>4.9078441053633647E-2</c:v>
                </c:pt>
                <c:pt idx="380">
                  <c:v>-4.4208456559542697E-2</c:v>
                </c:pt>
                <c:pt idx="381">
                  <c:v>-9.0987732764199386E-2</c:v>
                </c:pt>
                <c:pt idx="382">
                  <c:v>-3.1789732416798958E-2</c:v>
                </c:pt>
                <c:pt idx="383">
                  <c:v>-0.11578339377941305</c:v>
                </c:pt>
                <c:pt idx="384">
                  <c:v>-0.23121123570003749</c:v>
                </c:pt>
                <c:pt idx="385">
                  <c:v>-5.1578559120066578E-2</c:v>
                </c:pt>
                <c:pt idx="386">
                  <c:v>-6.2437889453973196E-2</c:v>
                </c:pt>
                <c:pt idx="387">
                  <c:v>-2.987618900576575E-2</c:v>
                </c:pt>
                <c:pt idx="388">
                  <c:v>-2.5265755763934819E-2</c:v>
                </c:pt>
                <c:pt idx="389">
                  <c:v>-0.10947814213779379</c:v>
                </c:pt>
                <c:pt idx="390">
                  <c:v>5.297403202743968E-2</c:v>
                </c:pt>
                <c:pt idx="391">
                  <c:v>0.11361305450607445</c:v>
                </c:pt>
                <c:pt idx="392">
                  <c:v>-8.3089259568274024E-2</c:v>
                </c:pt>
                <c:pt idx="393">
                  <c:v>2.8967362535046531E-2</c:v>
                </c:pt>
                <c:pt idx="394">
                  <c:v>1.7276315145973893E-2</c:v>
                </c:pt>
                <c:pt idx="395">
                  <c:v>-3.9101472298000171E-2</c:v>
                </c:pt>
                <c:pt idx="396">
                  <c:v>-6.8828236915939034E-2</c:v>
                </c:pt>
                <c:pt idx="397">
                  <c:v>-1.6768314566025067E-2</c:v>
                </c:pt>
                <c:pt idx="398">
                  <c:v>5.6780628095537376E-3</c:v>
                </c:pt>
                <c:pt idx="399">
                  <c:v>9.3907487921605595E-2</c:v>
                </c:pt>
                <c:pt idx="400">
                  <c:v>4.0918267756901272E-2</c:v>
                </c:pt>
                <c:pt idx="401">
                  <c:v>-1.7507141616693121E-2</c:v>
                </c:pt>
                <c:pt idx="402">
                  <c:v>4.9460046723695833E-2</c:v>
                </c:pt>
                <c:pt idx="403">
                  <c:v>8.8230633306543987E-3</c:v>
                </c:pt>
                <c:pt idx="404">
                  <c:v>2.6640309852383609E-3</c:v>
                </c:pt>
                <c:pt idx="405">
                  <c:v>2.806630718989505E-2</c:v>
                </c:pt>
                <c:pt idx="406">
                  <c:v>6.1237157587698994E-2</c:v>
                </c:pt>
                <c:pt idx="407">
                  <c:v>-7.9221827021243973E-2</c:v>
                </c:pt>
                <c:pt idx="408">
                  <c:v>9.7316715868688564E-2</c:v>
                </c:pt>
                <c:pt idx="409">
                  <c:v>5.407638392302766E-3</c:v>
                </c:pt>
                <c:pt idx="410">
                  <c:v>-2.3680874410316601E-2</c:v>
                </c:pt>
                <c:pt idx="411">
                  <c:v>-1.0756401735491901E-2</c:v>
                </c:pt>
                <c:pt idx="412">
                  <c:v>1.7691425141475953E-2</c:v>
                </c:pt>
                <c:pt idx="413">
                  <c:v>-2.376449651363715E-2</c:v>
                </c:pt>
                <c:pt idx="414">
                  <c:v>-6.2893472471700393E-2</c:v>
                </c:pt>
                <c:pt idx="415">
                  <c:v>1.1298660349836884E-2</c:v>
                </c:pt>
                <c:pt idx="416">
                  <c:v>1.3651566266492499E-2</c:v>
                </c:pt>
                <c:pt idx="417">
                  <c:v>-3.4602440126284356E-2</c:v>
                </c:pt>
                <c:pt idx="418">
                  <c:v>-2.1807252133295846E-2</c:v>
                </c:pt>
                <c:pt idx="419">
                  <c:v>-8.779835486751994E-2</c:v>
                </c:pt>
                <c:pt idx="420">
                  <c:v>-1.7944026039930228E-3</c:v>
                </c:pt>
                <c:pt idx="421">
                  <c:v>-8.8075435553093377E-3</c:v>
                </c:pt>
                <c:pt idx="422">
                  <c:v>2.0111732996747789E-2</c:v>
                </c:pt>
                <c:pt idx="423">
                  <c:v>-0.16128176389371388</c:v>
                </c:pt>
                <c:pt idx="424">
                  <c:v>3.7819614176665795E-2</c:v>
                </c:pt>
                <c:pt idx="425">
                  <c:v>-5.0415976623440037E-2</c:v>
                </c:pt>
                <c:pt idx="426">
                  <c:v>2.5620409750418932E-2</c:v>
                </c:pt>
                <c:pt idx="427">
                  <c:v>8.0556140029655644E-3</c:v>
                </c:pt>
                <c:pt idx="428">
                  <c:v>5.3496527354599394E-2</c:v>
                </c:pt>
                <c:pt idx="429">
                  <c:v>2.449618058743442E-2</c:v>
                </c:pt>
                <c:pt idx="430">
                  <c:v>-9.8775078315462811E-2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77-4436-A67F-B98657022000}"/>
            </c:ext>
          </c:extLst>
        </c:ser>
        <c:ser>
          <c:idx val="1"/>
          <c:order val="1"/>
          <c:tx>
            <c:v>Standrard Error</c:v>
          </c:tx>
          <c:spPr>
            <a:ln w="3810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Prediction!$A$2:$A$40</c:f>
              <c:numCache>
                <c:formatCode>0%</c:formatCode>
                <c:ptCount val="39"/>
                <c:pt idx="0">
                  <c:v>-0.23</c:v>
                </c:pt>
                <c:pt idx="1">
                  <c:v>-0.22</c:v>
                </c:pt>
                <c:pt idx="2">
                  <c:v>-0.21</c:v>
                </c:pt>
                <c:pt idx="3">
                  <c:v>-0.19999999999999998</c:v>
                </c:pt>
                <c:pt idx="4">
                  <c:v>-0.18999999999999997</c:v>
                </c:pt>
                <c:pt idx="5">
                  <c:v>-0.17999999999999997</c:v>
                </c:pt>
                <c:pt idx="6">
                  <c:v>-0.16999999999999996</c:v>
                </c:pt>
                <c:pt idx="7">
                  <c:v>-0.15999999999999995</c:v>
                </c:pt>
                <c:pt idx="8">
                  <c:v>-0.14999999999999994</c:v>
                </c:pt>
                <c:pt idx="9">
                  <c:v>-0.13999999999999993</c:v>
                </c:pt>
                <c:pt idx="10">
                  <c:v>-0.12999999999999992</c:v>
                </c:pt>
                <c:pt idx="11">
                  <c:v>-0.11999999999999993</c:v>
                </c:pt>
                <c:pt idx="12">
                  <c:v>-0.10999999999999993</c:v>
                </c:pt>
                <c:pt idx="13">
                  <c:v>-9.9999999999999936E-2</c:v>
                </c:pt>
                <c:pt idx="14">
                  <c:v>-8.9999999999999941E-2</c:v>
                </c:pt>
                <c:pt idx="15">
                  <c:v>-7.9999999999999946E-2</c:v>
                </c:pt>
                <c:pt idx="16">
                  <c:v>-6.9999999999999951E-2</c:v>
                </c:pt>
                <c:pt idx="17">
                  <c:v>-5.9999999999999949E-2</c:v>
                </c:pt>
                <c:pt idx="18">
                  <c:v>-4.9999999999999947E-2</c:v>
                </c:pt>
                <c:pt idx="19">
                  <c:v>-3.9999999999999945E-2</c:v>
                </c:pt>
                <c:pt idx="20">
                  <c:v>-2.9999999999999943E-2</c:v>
                </c:pt>
                <c:pt idx="21">
                  <c:v>-1.9999999999999941E-2</c:v>
                </c:pt>
                <c:pt idx="22">
                  <c:v>-9.9999999999999412E-3</c:v>
                </c:pt>
                <c:pt idx="23">
                  <c:v>5.8980598183211441E-17</c:v>
                </c:pt>
                <c:pt idx="24">
                  <c:v>1.0000000000000059E-2</c:v>
                </c:pt>
                <c:pt idx="25">
                  <c:v>2.0000000000000059E-2</c:v>
                </c:pt>
                <c:pt idx="26">
                  <c:v>3.0000000000000061E-2</c:v>
                </c:pt>
                <c:pt idx="27">
                  <c:v>4.0000000000000063E-2</c:v>
                </c:pt>
                <c:pt idx="28">
                  <c:v>5.0000000000000065E-2</c:v>
                </c:pt>
                <c:pt idx="29">
                  <c:v>6.0000000000000067E-2</c:v>
                </c:pt>
                <c:pt idx="30">
                  <c:v>7.0000000000000062E-2</c:v>
                </c:pt>
                <c:pt idx="31">
                  <c:v>8.0000000000000057E-2</c:v>
                </c:pt>
                <c:pt idx="32">
                  <c:v>9.0000000000000052E-2</c:v>
                </c:pt>
                <c:pt idx="33">
                  <c:v>0.10000000000000005</c:v>
                </c:pt>
                <c:pt idx="34">
                  <c:v>0.11000000000000004</c:v>
                </c:pt>
                <c:pt idx="35">
                  <c:v>0.12000000000000004</c:v>
                </c:pt>
                <c:pt idx="36">
                  <c:v>0.13000000000000003</c:v>
                </c:pt>
                <c:pt idx="37">
                  <c:v>0.14000000000000004</c:v>
                </c:pt>
                <c:pt idx="38">
                  <c:v>0.15000000000000005</c:v>
                </c:pt>
              </c:numCache>
            </c:numRef>
          </c:xVal>
          <c:yVal>
            <c:numRef>
              <c:f>Prediction!#REF!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577-4436-A67F-B98657022000}"/>
            </c:ext>
          </c:extLst>
        </c:ser>
        <c:ser>
          <c:idx val="2"/>
          <c:order val="2"/>
          <c:tx>
            <c:v>Standard Error</c:v>
          </c:tx>
          <c:spPr>
            <a:ln w="38100" cap="rnd">
              <a:solidFill>
                <a:srgbClr val="00B050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Prediction!$A$2:$A$40</c:f>
              <c:numCache>
                <c:formatCode>0%</c:formatCode>
                <c:ptCount val="39"/>
                <c:pt idx="0">
                  <c:v>-0.23</c:v>
                </c:pt>
                <c:pt idx="1">
                  <c:v>-0.22</c:v>
                </c:pt>
                <c:pt idx="2">
                  <c:v>-0.21</c:v>
                </c:pt>
                <c:pt idx="3">
                  <c:v>-0.19999999999999998</c:v>
                </c:pt>
                <c:pt idx="4">
                  <c:v>-0.18999999999999997</c:v>
                </c:pt>
                <c:pt idx="5">
                  <c:v>-0.17999999999999997</c:v>
                </c:pt>
                <c:pt idx="6">
                  <c:v>-0.16999999999999996</c:v>
                </c:pt>
                <c:pt idx="7">
                  <c:v>-0.15999999999999995</c:v>
                </c:pt>
                <c:pt idx="8">
                  <c:v>-0.14999999999999994</c:v>
                </c:pt>
                <c:pt idx="9">
                  <c:v>-0.13999999999999993</c:v>
                </c:pt>
                <c:pt idx="10">
                  <c:v>-0.12999999999999992</c:v>
                </c:pt>
                <c:pt idx="11">
                  <c:v>-0.11999999999999993</c:v>
                </c:pt>
                <c:pt idx="12">
                  <c:v>-0.10999999999999993</c:v>
                </c:pt>
                <c:pt idx="13">
                  <c:v>-9.9999999999999936E-2</c:v>
                </c:pt>
                <c:pt idx="14">
                  <c:v>-8.9999999999999941E-2</c:v>
                </c:pt>
                <c:pt idx="15">
                  <c:v>-7.9999999999999946E-2</c:v>
                </c:pt>
                <c:pt idx="16">
                  <c:v>-6.9999999999999951E-2</c:v>
                </c:pt>
                <c:pt idx="17">
                  <c:v>-5.9999999999999949E-2</c:v>
                </c:pt>
                <c:pt idx="18">
                  <c:v>-4.9999999999999947E-2</c:v>
                </c:pt>
                <c:pt idx="19">
                  <c:v>-3.9999999999999945E-2</c:v>
                </c:pt>
                <c:pt idx="20">
                  <c:v>-2.9999999999999943E-2</c:v>
                </c:pt>
                <c:pt idx="21">
                  <c:v>-1.9999999999999941E-2</c:v>
                </c:pt>
                <c:pt idx="22">
                  <c:v>-9.9999999999999412E-3</c:v>
                </c:pt>
                <c:pt idx="23">
                  <c:v>5.8980598183211441E-17</c:v>
                </c:pt>
                <c:pt idx="24">
                  <c:v>1.0000000000000059E-2</c:v>
                </c:pt>
                <c:pt idx="25">
                  <c:v>2.0000000000000059E-2</c:v>
                </c:pt>
                <c:pt idx="26">
                  <c:v>3.0000000000000061E-2</c:v>
                </c:pt>
                <c:pt idx="27">
                  <c:v>4.0000000000000063E-2</c:v>
                </c:pt>
                <c:pt idx="28">
                  <c:v>5.0000000000000065E-2</c:v>
                </c:pt>
                <c:pt idx="29">
                  <c:v>6.0000000000000067E-2</c:v>
                </c:pt>
                <c:pt idx="30">
                  <c:v>7.0000000000000062E-2</c:v>
                </c:pt>
                <c:pt idx="31">
                  <c:v>8.0000000000000057E-2</c:v>
                </c:pt>
                <c:pt idx="32">
                  <c:v>9.0000000000000052E-2</c:v>
                </c:pt>
                <c:pt idx="33">
                  <c:v>0.10000000000000005</c:v>
                </c:pt>
                <c:pt idx="34">
                  <c:v>0.11000000000000004</c:v>
                </c:pt>
                <c:pt idx="35">
                  <c:v>0.12000000000000004</c:v>
                </c:pt>
                <c:pt idx="36">
                  <c:v>0.13000000000000003</c:v>
                </c:pt>
                <c:pt idx="37">
                  <c:v>0.14000000000000004</c:v>
                </c:pt>
                <c:pt idx="38">
                  <c:v>0.15000000000000005</c:v>
                </c:pt>
              </c:numCache>
            </c:numRef>
          </c:xVal>
          <c:yVal>
            <c:numRef>
              <c:f>Prediction!#REF!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77-4436-A67F-B98657022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2607760"/>
        <c:axId val="592601528"/>
      </c:scatterChart>
      <c:valAx>
        <c:axId val="592607760"/>
        <c:scaling>
          <c:orientation val="minMax"/>
          <c:max val="0.15000000000000002"/>
          <c:min val="-0.1500000000000000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Excess Market Return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601528"/>
        <c:crosses val="autoZero"/>
        <c:crossBetween val="midCat"/>
      </c:valAx>
      <c:valAx>
        <c:axId val="592601528"/>
        <c:scaling>
          <c:orientation val="minMax"/>
          <c:max val="0.4"/>
          <c:min val="-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>
                    <a:solidFill>
                      <a:sysClr val="windowText" lastClr="000000"/>
                    </a:solidFill>
                  </a:rPr>
                  <a:t>Sample Error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none"/>
        <c:minorTickMark val="none"/>
        <c:tickLblPos val="nextTo"/>
        <c:spPr>
          <a:noFill/>
          <a:ln w="254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26077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7.6817184649202425E-2"/>
          <c:y val="0.12099129070278469"/>
          <c:w val="0.15977999777889693"/>
          <c:h val="8.274738017208861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92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77FCF6E6-6810-423B-9230-B388B826C633}">
  <sheetPr/>
  <sheetViews>
    <sheetView zoomScale="9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576ACC-B4EB-4FFF-BEE8-C905AE290CD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3609" cy="62865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F33B35-26CE-4A76-8B8F-7EE27221262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ColWidth="8.59765625" defaultRowHeight="15.6" x14ac:dyDescent="0.3"/>
  <cols>
    <col min="1" max="1" width="5.69921875" style="5" bestFit="1" customWidth="1"/>
    <col min="2" max="2" width="12.5" style="11" bestFit="1" customWidth="1"/>
    <col min="3" max="3" width="12.59765625" style="11" bestFit="1" customWidth="1"/>
    <col min="4" max="4" width="18.3984375" style="12" bestFit="1" customWidth="1"/>
    <col min="5" max="5" width="17.19921875" style="12" bestFit="1" customWidth="1"/>
    <col min="6" max="6" width="25.5" style="11" bestFit="1" customWidth="1"/>
    <col min="7" max="7" width="11.19921875" style="11" bestFit="1" customWidth="1"/>
    <col min="8" max="8" width="4.5" style="7" customWidth="1"/>
    <col min="9" max="9" width="5.19921875" style="6" bestFit="1" customWidth="1"/>
    <col min="10" max="10" width="6.59765625" style="6" bestFit="1" customWidth="1"/>
    <col min="11" max="11" width="18.296875" style="6" bestFit="1" customWidth="1"/>
    <col min="12" max="16384" width="8.59765625" style="6"/>
  </cols>
  <sheetData>
    <row r="1" spans="1:12" x14ac:dyDescent="0.3">
      <c r="A1" s="5" t="s">
        <v>2</v>
      </c>
      <c r="B1" s="11" t="s">
        <v>0</v>
      </c>
      <c r="C1" s="11" t="s">
        <v>1</v>
      </c>
      <c r="D1" s="12" t="s">
        <v>3</v>
      </c>
      <c r="E1" s="12" t="s">
        <v>4</v>
      </c>
      <c r="F1" s="11" t="s">
        <v>27</v>
      </c>
      <c r="G1" s="11" t="s">
        <v>34</v>
      </c>
    </row>
    <row r="2" spans="1:12" x14ac:dyDescent="0.3">
      <c r="A2" s="5">
        <v>29587</v>
      </c>
      <c r="B2" s="11">
        <v>-0.04</v>
      </c>
      <c r="C2" s="11">
        <v>-0.170018</v>
      </c>
      <c r="D2" s="13">
        <f>B2-$J$2</f>
        <v>-4.3485879629629624E-2</v>
      </c>
      <c r="E2" s="13">
        <f>C2-$J$2</f>
        <v>-0.17350387962962963</v>
      </c>
      <c r="F2" s="13">
        <f>Regression!$B$17+Regression!$B$18*Returns!D2</f>
        <v>-5.1991367030134558E-2</v>
      </c>
      <c r="G2" s="13">
        <f>E2-F2</f>
        <v>-0.12151251259949507</v>
      </c>
      <c r="I2" s="8" t="s">
        <v>33</v>
      </c>
      <c r="J2" s="14">
        <v>3.4858796296296261E-3</v>
      </c>
    </row>
    <row r="3" spans="1:12" x14ac:dyDescent="0.3">
      <c r="A3" s="5">
        <v>29618</v>
      </c>
      <c r="B3" s="11">
        <v>1.6300000000000002E-2</v>
      </c>
      <c r="C3" s="11">
        <v>-6.1674E-2</v>
      </c>
      <c r="D3" s="13">
        <f t="shared" ref="D3:D66" si="0">B3-$J$2</f>
        <v>1.2814120370370375E-2</v>
      </c>
      <c r="E3" s="13">
        <f t="shared" ref="E3:E66" si="1">C3-$J$2</f>
        <v>-6.515987962962963E-2</v>
      </c>
      <c r="F3" s="13">
        <f>Regression!$B$17+Regression!$B$18*Returns!D3</f>
        <v>2.7795041648658945E-2</v>
      </c>
      <c r="G3" s="13">
        <f t="shared" ref="G3:G66" si="2">E3-F3</f>
        <v>-9.2954921278288583E-2</v>
      </c>
      <c r="I3" s="8" t="s">
        <v>29</v>
      </c>
      <c r="J3" s="33">
        <f>AVERAGE(D2:D433)</f>
        <v>6.1668981481481523E-3</v>
      </c>
      <c r="K3" s="6" t="s">
        <v>35</v>
      </c>
      <c r="L3" s="35"/>
    </row>
    <row r="4" spans="1:12" x14ac:dyDescent="0.3">
      <c r="A4" s="5">
        <v>29646</v>
      </c>
      <c r="B4" s="11">
        <v>4.7699999999999992E-2</v>
      </c>
      <c r="C4" s="11">
        <v>-7.5117000000000003E-2</v>
      </c>
      <c r="D4" s="13">
        <f t="shared" si="0"/>
        <v>4.4214120370370369E-2</v>
      </c>
      <c r="E4" s="13">
        <f t="shared" si="1"/>
        <v>-7.8602879629629627E-2</v>
      </c>
      <c r="F4" s="13">
        <f>Regression!$B$17+Regression!$B$18*Returns!D4</f>
        <v>7.2294033345179642E-2</v>
      </c>
      <c r="G4" s="13">
        <f t="shared" si="2"/>
        <v>-0.15089691297480928</v>
      </c>
      <c r="I4" s="8" t="s">
        <v>28</v>
      </c>
      <c r="J4" s="33">
        <f>AVERAGE(E2:E433)</f>
        <v>1.8374828703703702E-2</v>
      </c>
      <c r="K4" s="6" t="s">
        <v>36</v>
      </c>
      <c r="L4" s="35"/>
    </row>
    <row r="5" spans="1:12" x14ac:dyDescent="0.3">
      <c r="A5" s="5">
        <v>29677</v>
      </c>
      <c r="B5" s="11">
        <v>-1.0200000000000001E-2</v>
      </c>
      <c r="C5" s="11">
        <v>0.15736</v>
      </c>
      <c r="D5" s="13">
        <f t="shared" si="0"/>
        <v>-1.3685879629629628E-2</v>
      </c>
      <c r="E5" s="13">
        <f t="shared" si="1"/>
        <v>0.15387412037037038</v>
      </c>
      <c r="F5" s="13">
        <f>Regression!$B$17+Regression!$B$18*Returns!D5</f>
        <v>-9.7598398786594917E-3</v>
      </c>
      <c r="G5" s="13">
        <f t="shared" si="2"/>
        <v>0.16363396024902988</v>
      </c>
      <c r="I5" s="1"/>
      <c r="J5" s="2"/>
      <c r="L5" s="35"/>
    </row>
    <row r="6" spans="1:12" x14ac:dyDescent="0.3">
      <c r="A6" s="5">
        <v>29707</v>
      </c>
      <c r="B6" s="11">
        <v>1.26E-2</v>
      </c>
      <c r="C6" s="11">
        <v>0.16447400000000001</v>
      </c>
      <c r="D6" s="13">
        <f t="shared" si="0"/>
        <v>9.1141203703703731E-3</v>
      </c>
      <c r="E6" s="13">
        <f t="shared" si="1"/>
        <v>0.16098812037037039</v>
      </c>
      <c r="F6" s="13">
        <f>Regression!$B$17+Regression!$B$18*Returns!D6</f>
        <v>2.2551529888240898E-2</v>
      </c>
      <c r="G6" s="13">
        <f t="shared" si="2"/>
        <v>0.13843659048212947</v>
      </c>
      <c r="J6" s="34"/>
      <c r="K6" s="32"/>
      <c r="L6" s="35"/>
    </row>
    <row r="7" spans="1:12" x14ac:dyDescent="0.3">
      <c r="A7" s="5">
        <v>29738</v>
      </c>
      <c r="B7" s="11">
        <v>-1.0099999999999998E-2</v>
      </c>
      <c r="C7" s="11">
        <v>-0.21468899999999999</v>
      </c>
      <c r="D7" s="13">
        <f t="shared" si="0"/>
        <v>-1.3585879629629625E-2</v>
      </c>
      <c r="E7" s="13">
        <f t="shared" si="1"/>
        <v>-0.21817487962962961</v>
      </c>
      <c r="F7" s="13">
        <f>Regression!$B$17+Regression!$B$18*Returns!D7</f>
        <v>-9.6181233445941372E-3</v>
      </c>
      <c r="G7" s="13">
        <f t="shared" si="2"/>
        <v>-0.20855675628503548</v>
      </c>
      <c r="J7" s="34"/>
    </row>
    <row r="8" spans="1:12" x14ac:dyDescent="0.3">
      <c r="A8" s="5">
        <v>29768</v>
      </c>
      <c r="B8" s="11">
        <v>-3.0000000000000005E-3</v>
      </c>
      <c r="C8" s="11">
        <v>-3.8369E-2</v>
      </c>
      <c r="D8" s="13">
        <f t="shared" si="0"/>
        <v>-6.4858796296296262E-3</v>
      </c>
      <c r="E8" s="13">
        <f t="shared" si="1"/>
        <v>-4.1854879629629624E-2</v>
      </c>
      <c r="F8" s="13">
        <f>Regression!$B$17+Regression!$B$18*Returns!D8</f>
        <v>4.4375057404589559E-4</v>
      </c>
      <c r="G8" s="13">
        <f t="shared" si="2"/>
        <v>-4.2298630203675518E-2</v>
      </c>
    </row>
    <row r="9" spans="1:12" x14ac:dyDescent="0.3">
      <c r="A9" s="5">
        <v>29799</v>
      </c>
      <c r="B9" s="11">
        <v>-5.7500000000000002E-2</v>
      </c>
      <c r="C9" s="11">
        <v>-0.19451399999999999</v>
      </c>
      <c r="D9" s="13">
        <f t="shared" si="0"/>
        <v>-6.0985879629629626E-2</v>
      </c>
      <c r="E9" s="13">
        <f t="shared" si="1"/>
        <v>-0.19799987962962962</v>
      </c>
      <c r="F9" s="13">
        <f>Regression!$B$17+Regression!$B$18*Returns!D9</f>
        <v>-7.6791760491571256E-2</v>
      </c>
      <c r="G9" s="13">
        <f t="shared" si="2"/>
        <v>-0.12120811913805836</v>
      </c>
      <c r="J9" s="32"/>
    </row>
    <row r="10" spans="1:12" x14ac:dyDescent="0.3">
      <c r="A10" s="5">
        <v>29830</v>
      </c>
      <c r="B10" s="11">
        <v>-5.9299999999999999E-2</v>
      </c>
      <c r="C10" s="11">
        <v>-0.24148600000000001</v>
      </c>
      <c r="D10" s="13">
        <f t="shared" si="0"/>
        <v>-6.2785879629629629E-2</v>
      </c>
      <c r="E10" s="13">
        <f t="shared" si="1"/>
        <v>-0.24497187962962963</v>
      </c>
      <c r="F10" s="13">
        <f>Regression!$B$17+Regression!$B$18*Returns!D10</f>
        <v>-7.934265810474761E-2</v>
      </c>
      <c r="G10" s="13">
        <f t="shared" si="2"/>
        <v>-0.16562922152488202</v>
      </c>
    </row>
    <row r="11" spans="1:12" x14ac:dyDescent="0.3">
      <c r="A11" s="5">
        <v>29860</v>
      </c>
      <c r="B11" s="11">
        <v>6.13E-2</v>
      </c>
      <c r="C11" s="11">
        <v>0.31020399999999998</v>
      </c>
      <c r="D11" s="13">
        <f t="shared" si="0"/>
        <v>5.7814120370370377E-2</v>
      </c>
      <c r="E11" s="13">
        <f t="shared" si="1"/>
        <v>0.30671812037037033</v>
      </c>
      <c r="F11" s="13">
        <f>Regression!$B$17+Regression!$B$18*Returns!D11</f>
        <v>9.1567481978067605E-2</v>
      </c>
      <c r="G11" s="13">
        <f t="shared" si="2"/>
        <v>0.21515063839230272</v>
      </c>
    </row>
    <row r="12" spans="1:12" x14ac:dyDescent="0.3">
      <c r="A12" s="5">
        <v>29891</v>
      </c>
      <c r="B12" s="11">
        <v>4.4299999999999999E-2</v>
      </c>
      <c r="C12" s="11">
        <v>-6.8536E-2</v>
      </c>
      <c r="D12" s="13">
        <f t="shared" si="0"/>
        <v>4.0814120370370376E-2</v>
      </c>
      <c r="E12" s="13">
        <f t="shared" si="1"/>
        <v>-7.2021879629629623E-2</v>
      </c>
      <c r="F12" s="13">
        <f>Regression!$B$17+Regression!$B$18*Returns!D12</f>
        <v>6.7475671186957673E-2</v>
      </c>
      <c r="G12" s="13">
        <f t="shared" si="2"/>
        <v>-0.1394975508165873</v>
      </c>
    </row>
    <row r="13" spans="1:12" x14ac:dyDescent="0.3">
      <c r="A13" s="5">
        <v>29921</v>
      </c>
      <c r="B13" s="11">
        <v>-2.7799999999999998E-2</v>
      </c>
      <c r="C13" s="11">
        <v>0.18729100000000001</v>
      </c>
      <c r="D13" s="13">
        <f t="shared" si="0"/>
        <v>-3.1285879629629622E-2</v>
      </c>
      <c r="E13" s="13">
        <f t="shared" si="1"/>
        <v>0.18380512037037039</v>
      </c>
      <c r="F13" s="13">
        <f>Regression!$B$17+Regression!$B$18*Returns!D13</f>
        <v>-3.4701949874161538E-2</v>
      </c>
      <c r="G13" s="13">
        <f t="shared" si="2"/>
        <v>0.21850707024453192</v>
      </c>
      <c r="I13" s="2"/>
      <c r="J13" s="3"/>
    </row>
    <row r="14" spans="1:12" x14ac:dyDescent="0.3">
      <c r="A14" s="5">
        <v>29952</v>
      </c>
      <c r="B14" s="11">
        <v>-2.4400000000000005E-2</v>
      </c>
      <c r="C14" s="11">
        <v>-7.8872999999999999E-2</v>
      </c>
      <c r="D14" s="13">
        <f t="shared" si="0"/>
        <v>-2.7885879629629632E-2</v>
      </c>
      <c r="E14" s="13">
        <f t="shared" si="1"/>
        <v>-8.2358879629629622E-2</v>
      </c>
      <c r="F14" s="13">
        <f>Regression!$B$17+Regression!$B$18*Returns!D14</f>
        <v>-2.9883587715939568E-2</v>
      </c>
      <c r="G14" s="13">
        <f t="shared" si="2"/>
        <v>-5.2475291913690054E-2</v>
      </c>
      <c r="I14" s="2"/>
      <c r="J14" s="3"/>
    </row>
    <row r="15" spans="1:12" x14ac:dyDescent="0.3">
      <c r="A15" s="5">
        <v>29983</v>
      </c>
      <c r="B15" s="11">
        <v>-4.9400000000000006E-2</v>
      </c>
      <c r="C15" s="11">
        <v>-0.103976</v>
      </c>
      <c r="D15" s="13">
        <f t="shared" si="0"/>
        <v>-5.288587962962963E-2</v>
      </c>
      <c r="E15" s="13">
        <f t="shared" si="1"/>
        <v>-0.10746187962962962</v>
      </c>
      <c r="F15" s="13">
        <f>Regression!$B$17+Regression!$B$18*Returns!D15</f>
        <v>-6.5312721232277715E-2</v>
      </c>
      <c r="G15" s="13">
        <f t="shared" si="2"/>
        <v>-4.2149158397351907E-2</v>
      </c>
      <c r="J15" s="37"/>
    </row>
    <row r="16" spans="1:12" x14ac:dyDescent="0.3">
      <c r="A16" s="5">
        <v>30011</v>
      </c>
      <c r="B16" s="11">
        <v>-8.9000000000000017E-3</v>
      </c>
      <c r="C16" s="11">
        <v>-7.5084999999999999E-2</v>
      </c>
      <c r="D16" s="13">
        <f t="shared" si="0"/>
        <v>-1.2385879629629629E-2</v>
      </c>
      <c r="E16" s="13">
        <f t="shared" si="1"/>
        <v>-7.8570879629629622E-2</v>
      </c>
      <c r="F16" s="13">
        <f>Regression!$B$17+Regression!$B$18*Returns!D16</f>
        <v>-7.9175249358099109E-3</v>
      </c>
      <c r="G16" s="13">
        <f t="shared" si="2"/>
        <v>-7.0653354693819712E-2</v>
      </c>
      <c r="J16" s="37"/>
    </row>
    <row r="17" spans="1:7" x14ac:dyDescent="0.3">
      <c r="A17" s="5">
        <v>30042</v>
      </c>
      <c r="B17" s="11">
        <v>4.4000000000000004E-2</v>
      </c>
      <c r="C17" s="11">
        <v>-0.12546099999999999</v>
      </c>
      <c r="D17" s="13">
        <f t="shared" si="0"/>
        <v>4.0514120370370381E-2</v>
      </c>
      <c r="E17" s="13">
        <f t="shared" si="1"/>
        <v>-0.12894687962962961</v>
      </c>
      <c r="F17" s="13">
        <f>Regression!$B$17+Regression!$B$18*Returns!D17</f>
        <v>6.7050521584761616E-2</v>
      </c>
      <c r="G17" s="13">
        <f t="shared" si="2"/>
        <v>-0.19599740121439124</v>
      </c>
    </row>
    <row r="18" spans="1:7" x14ac:dyDescent="0.3">
      <c r="A18" s="5">
        <v>30072</v>
      </c>
      <c r="B18" s="11">
        <v>-2.9300000000000003E-2</v>
      </c>
      <c r="C18" s="11">
        <v>-5.0632999999999997E-2</v>
      </c>
      <c r="D18" s="13">
        <f t="shared" si="0"/>
        <v>-3.278587962962963E-2</v>
      </c>
      <c r="E18" s="13">
        <f t="shared" si="1"/>
        <v>-5.4118879629629621E-2</v>
      </c>
      <c r="F18" s="13">
        <f>Regression!$B$17+Regression!$B$18*Returns!D18</f>
        <v>-3.6827697885141841E-2</v>
      </c>
      <c r="G18" s="13">
        <f t="shared" si="2"/>
        <v>-1.729118174448778E-2</v>
      </c>
    </row>
    <row r="19" spans="1:7" x14ac:dyDescent="0.3">
      <c r="A19" s="5">
        <v>30103</v>
      </c>
      <c r="B19" s="11">
        <v>-2.1299999999999999E-2</v>
      </c>
      <c r="C19" s="11">
        <v>-8.8888999999999996E-2</v>
      </c>
      <c r="D19" s="13">
        <f t="shared" si="0"/>
        <v>-2.4785879629629626E-2</v>
      </c>
      <c r="E19" s="13">
        <f t="shared" si="1"/>
        <v>-9.2374879629629619E-2</v>
      </c>
      <c r="F19" s="13">
        <f>Regression!$B$17+Regression!$B$18*Returns!D19</f>
        <v>-2.5490375159913627E-2</v>
      </c>
      <c r="G19" s="13">
        <f t="shared" si="2"/>
        <v>-6.6884504469716E-2</v>
      </c>
    </row>
    <row r="20" spans="1:7" x14ac:dyDescent="0.3">
      <c r="A20" s="5">
        <v>30133</v>
      </c>
      <c r="B20" s="11">
        <v>-2.1399999999999995E-2</v>
      </c>
      <c r="C20" s="11">
        <v>5.8536999999999999E-2</v>
      </c>
      <c r="D20" s="13">
        <f t="shared" si="0"/>
        <v>-2.4885879629629622E-2</v>
      </c>
      <c r="E20" s="13">
        <f t="shared" si="1"/>
        <v>5.5051120370370375E-2</v>
      </c>
      <c r="F20" s="13">
        <f>Regression!$B$17+Regression!$B$18*Returns!D20</f>
        <v>-2.5632091693978974E-2</v>
      </c>
      <c r="G20" s="13">
        <f t="shared" si="2"/>
        <v>8.0683212064349349E-2</v>
      </c>
    </row>
    <row r="21" spans="1:7" x14ac:dyDescent="0.3">
      <c r="A21" s="5">
        <v>30164</v>
      </c>
      <c r="B21" s="11">
        <v>0.11900000000000001</v>
      </c>
      <c r="C21" s="11">
        <v>0.33179700000000001</v>
      </c>
      <c r="D21" s="13">
        <f t="shared" si="0"/>
        <v>0.11551412037037039</v>
      </c>
      <c r="E21" s="13">
        <f t="shared" si="1"/>
        <v>0.32831112037037036</v>
      </c>
      <c r="F21" s="13">
        <f>Regression!$B$17+Regression!$B$18*Returns!D21</f>
        <v>0.17333792213377608</v>
      </c>
      <c r="G21" s="13">
        <f t="shared" si="2"/>
        <v>0.15497319823659428</v>
      </c>
    </row>
    <row r="22" spans="1:7" x14ac:dyDescent="0.3">
      <c r="A22" s="5">
        <v>30195</v>
      </c>
      <c r="B22" s="11">
        <v>1.8000000000000002E-2</v>
      </c>
      <c r="C22" s="11">
        <v>1.3840999999999999E-2</v>
      </c>
      <c r="D22" s="13">
        <f t="shared" si="0"/>
        <v>1.4514120370370375E-2</v>
      </c>
      <c r="E22" s="13">
        <f t="shared" si="1"/>
        <v>1.0355120370370372E-2</v>
      </c>
      <c r="F22" s="13">
        <f>Regression!$B$17+Regression!$B$18*Returns!D22</f>
        <v>3.0204222727769941E-2</v>
      </c>
      <c r="G22" s="13">
        <f t="shared" si="2"/>
        <v>-1.9849102357399569E-2</v>
      </c>
    </row>
    <row r="23" spans="1:7" x14ac:dyDescent="0.3">
      <c r="A23" s="5">
        <v>30225</v>
      </c>
      <c r="B23" s="11">
        <v>0.11890000000000001</v>
      </c>
      <c r="C23" s="11">
        <v>0.38566600000000001</v>
      </c>
      <c r="D23" s="13">
        <f t="shared" si="0"/>
        <v>0.11541412037037038</v>
      </c>
      <c r="E23" s="13">
        <f t="shared" si="1"/>
        <v>0.38218012037037036</v>
      </c>
      <c r="F23" s="13">
        <f>Regression!$B$17+Regression!$B$18*Returns!D23</f>
        <v>0.17319620559971072</v>
      </c>
      <c r="G23" s="13">
        <f t="shared" si="2"/>
        <v>0.20898391477065964</v>
      </c>
    </row>
    <row r="24" spans="1:7" x14ac:dyDescent="0.3">
      <c r="A24" s="5">
        <v>30256</v>
      </c>
      <c r="B24" s="11">
        <v>5.2999999999999999E-2</v>
      </c>
      <c r="C24" s="11">
        <v>0.256158</v>
      </c>
      <c r="D24" s="13">
        <f t="shared" si="0"/>
        <v>4.9514120370370375E-2</v>
      </c>
      <c r="E24" s="13">
        <f t="shared" si="1"/>
        <v>0.25267212037037035</v>
      </c>
      <c r="F24" s="13">
        <f>Regression!$B$17+Regression!$B$18*Returns!D24</f>
        <v>7.9805009650643341E-2</v>
      </c>
      <c r="G24" s="13">
        <f t="shared" si="2"/>
        <v>0.17286711071972699</v>
      </c>
    </row>
    <row r="25" spans="1:7" x14ac:dyDescent="0.3">
      <c r="A25" s="5">
        <v>30286</v>
      </c>
      <c r="B25" s="11">
        <v>1.2200000000000003E-2</v>
      </c>
      <c r="C25" s="11">
        <v>-6.2744999999999995E-2</v>
      </c>
      <c r="D25" s="13">
        <f t="shared" si="0"/>
        <v>8.7141203703703755E-3</v>
      </c>
      <c r="E25" s="13">
        <f t="shared" si="1"/>
        <v>-6.6230879629629619E-2</v>
      </c>
      <c r="F25" s="13">
        <f>Regression!$B$17+Regression!$B$18*Returns!D25</f>
        <v>2.1984663751979491E-2</v>
      </c>
      <c r="G25" s="13">
        <f t="shared" si="2"/>
        <v>-8.8215543381609113E-2</v>
      </c>
    </row>
    <row r="26" spans="1:7" x14ac:dyDescent="0.3">
      <c r="A26" s="5">
        <v>30317</v>
      </c>
      <c r="B26" s="11">
        <v>4.2900000000000001E-2</v>
      </c>
      <c r="C26" s="11">
        <v>0.368201</v>
      </c>
      <c r="D26" s="13">
        <f t="shared" si="0"/>
        <v>3.9414120370370377E-2</v>
      </c>
      <c r="E26" s="13">
        <f t="shared" si="1"/>
        <v>0.36471512037037035</v>
      </c>
      <c r="F26" s="13">
        <f>Regression!$B$17+Regression!$B$18*Returns!D26</f>
        <v>6.5491639710042737E-2</v>
      </c>
      <c r="G26" s="13">
        <f t="shared" si="2"/>
        <v>0.29922348066032761</v>
      </c>
    </row>
    <row r="27" spans="1:7" x14ac:dyDescent="0.3">
      <c r="A27" s="5">
        <v>30348</v>
      </c>
      <c r="B27" s="11">
        <v>3.2099999999999997E-2</v>
      </c>
      <c r="C27" s="11">
        <v>0.11620800000000001</v>
      </c>
      <c r="D27" s="13">
        <f t="shared" si="0"/>
        <v>2.861412037037037E-2</v>
      </c>
      <c r="E27" s="13">
        <f t="shared" si="1"/>
        <v>0.11272212037037038</v>
      </c>
      <c r="F27" s="13">
        <f>Regression!$B$17+Regression!$B$18*Returns!D27</f>
        <v>5.0186254030984645E-2</v>
      </c>
      <c r="G27" s="13">
        <f t="shared" si="2"/>
        <v>6.2535866339385737E-2</v>
      </c>
    </row>
    <row r="28" spans="1:7" x14ac:dyDescent="0.3">
      <c r="A28" s="5">
        <v>30376</v>
      </c>
      <c r="B28" s="11">
        <v>3.4499999999999996E-2</v>
      </c>
      <c r="C28" s="11">
        <v>-7.3972999999999997E-2</v>
      </c>
      <c r="D28" s="13">
        <f t="shared" si="0"/>
        <v>3.1014120370370369E-2</v>
      </c>
      <c r="E28" s="13">
        <f t="shared" si="1"/>
        <v>-7.7458879629629621E-2</v>
      </c>
      <c r="F28" s="13">
        <f>Regression!$B$17+Regression!$B$18*Returns!D28</f>
        <v>5.3587450848553105E-2</v>
      </c>
      <c r="G28" s="13">
        <f t="shared" si="2"/>
        <v>-0.13104633047818273</v>
      </c>
    </row>
    <row r="29" spans="1:7" x14ac:dyDescent="0.3">
      <c r="A29" s="5">
        <v>30407</v>
      </c>
      <c r="B29" s="11">
        <v>7.3800000000000004E-2</v>
      </c>
      <c r="C29" s="11">
        <v>0.195266</v>
      </c>
      <c r="D29" s="13">
        <f t="shared" si="0"/>
        <v>7.0314120370370381E-2</v>
      </c>
      <c r="E29" s="13">
        <f t="shared" si="1"/>
        <v>0.19178012037037037</v>
      </c>
      <c r="F29" s="13">
        <f>Regression!$B$17+Regression!$B$18*Returns!D29</f>
        <v>0.10928204873623669</v>
      </c>
      <c r="G29" s="13">
        <f t="shared" si="2"/>
        <v>8.2498071634133682E-2</v>
      </c>
    </row>
    <row r="30" spans="1:7" x14ac:dyDescent="0.3">
      <c r="A30" s="5">
        <v>30437</v>
      </c>
      <c r="B30" s="11">
        <v>1.21E-2</v>
      </c>
      <c r="C30" s="11">
        <v>0.143564</v>
      </c>
      <c r="D30" s="13">
        <f t="shared" si="0"/>
        <v>8.6141203703703727E-3</v>
      </c>
      <c r="E30" s="13">
        <f t="shared" si="1"/>
        <v>0.14007812037037037</v>
      </c>
      <c r="F30" s="13">
        <f>Regression!$B$17+Regression!$B$18*Returns!D30</f>
        <v>2.1842947217914133E-2</v>
      </c>
      <c r="G30" s="13">
        <f t="shared" si="2"/>
        <v>0.11823517315245624</v>
      </c>
    </row>
    <row r="31" spans="1:7" x14ac:dyDescent="0.3">
      <c r="A31" s="5">
        <v>30468</v>
      </c>
      <c r="B31" s="11">
        <v>3.7399999999999996E-2</v>
      </c>
      <c r="C31" s="11">
        <v>-0.15368000000000001</v>
      </c>
      <c r="D31" s="13">
        <f t="shared" si="0"/>
        <v>3.3914120370370372E-2</v>
      </c>
      <c r="E31" s="13">
        <f t="shared" si="1"/>
        <v>-0.15716587962962963</v>
      </c>
      <c r="F31" s="13">
        <f>Regression!$B$17+Regression!$B$18*Returns!D31</f>
        <v>5.7697230336448337E-2</v>
      </c>
      <c r="G31" s="13">
        <f t="shared" si="2"/>
        <v>-0.21486310996607796</v>
      </c>
    </row>
    <row r="32" spans="1:7" x14ac:dyDescent="0.3">
      <c r="A32" s="5">
        <v>30498</v>
      </c>
      <c r="B32" s="11">
        <v>-3.3300000000000003E-2</v>
      </c>
      <c r="C32" s="11">
        <v>-0.28644500000000001</v>
      </c>
      <c r="D32" s="13">
        <f t="shared" si="0"/>
        <v>-3.6785879629629627E-2</v>
      </c>
      <c r="E32" s="13">
        <f t="shared" si="1"/>
        <v>-0.28993087962962966</v>
      </c>
      <c r="F32" s="13">
        <f>Regression!$B$17+Regression!$B$18*Returns!D32</f>
        <v>-4.2496359247755938E-2</v>
      </c>
      <c r="G32" s="13">
        <f t="shared" si="2"/>
        <v>-0.24743452038187372</v>
      </c>
    </row>
    <row r="33" spans="1:7" x14ac:dyDescent="0.3">
      <c r="A33" s="5">
        <v>30529</v>
      </c>
      <c r="B33" s="11">
        <v>2.5999999999999999E-3</v>
      </c>
      <c r="C33" s="11">
        <v>6.8099999999999994E-2</v>
      </c>
      <c r="D33" s="13">
        <f t="shared" si="0"/>
        <v>-8.8587962962962622E-4</v>
      </c>
      <c r="E33" s="13">
        <f t="shared" si="1"/>
        <v>6.461412037037037E-2</v>
      </c>
      <c r="F33" s="13">
        <f>Regression!$B$17+Regression!$B$18*Returns!D33</f>
        <v>8.3798764817056386E-3</v>
      </c>
      <c r="G33" s="13">
        <f t="shared" si="2"/>
        <v>5.6234243888664728E-2</v>
      </c>
    </row>
    <row r="34" spans="1:7" x14ac:dyDescent="0.3">
      <c r="A34" s="5">
        <v>30560</v>
      </c>
      <c r="B34" s="11">
        <v>1.6800000000000002E-2</v>
      </c>
      <c r="C34" s="11">
        <v>-0.379195</v>
      </c>
      <c r="D34" s="13">
        <f t="shared" si="0"/>
        <v>1.3314120370370375E-2</v>
      </c>
      <c r="E34" s="13">
        <f t="shared" si="1"/>
        <v>-0.38268087962962966</v>
      </c>
      <c r="F34" s="13">
        <f>Regression!$B$17+Regression!$B$18*Returns!D34</f>
        <v>2.8503624318985708E-2</v>
      </c>
      <c r="G34" s="13">
        <f t="shared" si="2"/>
        <v>-0.41118450394861539</v>
      </c>
    </row>
    <row r="35" spans="1:7" x14ac:dyDescent="0.3">
      <c r="A35" s="5">
        <v>30590</v>
      </c>
      <c r="B35" s="11">
        <v>-2.6799999999999997E-2</v>
      </c>
      <c r="C35" s="11">
        <v>-2.1621999999999999E-2</v>
      </c>
      <c r="D35" s="13">
        <f t="shared" si="0"/>
        <v>-3.0285879629629624E-2</v>
      </c>
      <c r="E35" s="13">
        <f t="shared" si="1"/>
        <v>-2.5107879629629626E-2</v>
      </c>
      <c r="F35" s="13">
        <f>Regression!$B$17+Regression!$B$18*Returns!D35</f>
        <v>-3.328478453350802E-2</v>
      </c>
      <c r="G35" s="13">
        <f t="shared" si="2"/>
        <v>8.1769049038783945E-3</v>
      </c>
    </row>
    <row r="36" spans="1:7" x14ac:dyDescent="0.3">
      <c r="A36" s="5">
        <v>30621</v>
      </c>
      <c r="B36" s="11">
        <v>2.8600000000000004E-2</v>
      </c>
      <c r="C36" s="11">
        <v>-9.9447999999999995E-2</v>
      </c>
      <c r="D36" s="13">
        <f t="shared" si="0"/>
        <v>2.5114120370370377E-2</v>
      </c>
      <c r="E36" s="13">
        <f t="shared" si="1"/>
        <v>-0.10293387962962962</v>
      </c>
      <c r="F36" s="13">
        <f>Regression!$B$17+Regression!$B$18*Returns!D36</f>
        <v>4.5226175338697314E-2</v>
      </c>
      <c r="G36" s="13">
        <f t="shared" si="2"/>
        <v>-0.14816005496832693</v>
      </c>
    </row>
    <row r="37" spans="1:7" x14ac:dyDescent="0.3">
      <c r="A37" s="5">
        <v>30651</v>
      </c>
      <c r="B37" s="11">
        <v>-1.0500000000000001E-2</v>
      </c>
      <c r="C37" s="11">
        <v>0.19631899999999999</v>
      </c>
      <c r="D37" s="13">
        <f t="shared" si="0"/>
        <v>-1.3985879629629626E-2</v>
      </c>
      <c r="E37" s="13">
        <f t="shared" si="1"/>
        <v>0.19283312037037037</v>
      </c>
      <c r="F37" s="13">
        <f>Regression!$B$17+Regression!$B$18*Returns!D37</f>
        <v>-1.0184989480855548E-2</v>
      </c>
      <c r="G37" s="13">
        <f t="shared" si="2"/>
        <v>0.20301810985122593</v>
      </c>
    </row>
    <row r="38" spans="1:7" x14ac:dyDescent="0.3">
      <c r="A38" s="5">
        <v>30682</v>
      </c>
      <c r="B38" s="11">
        <v>-1.1599999999999999E-2</v>
      </c>
      <c r="C38" s="11">
        <v>1.5384999999999999E-2</v>
      </c>
      <c r="D38" s="13">
        <f t="shared" si="0"/>
        <v>-1.5085879629629626E-2</v>
      </c>
      <c r="E38" s="13">
        <f t="shared" si="1"/>
        <v>1.1899120370370372E-2</v>
      </c>
      <c r="F38" s="13">
        <f>Regression!$B$17+Regression!$B$18*Returns!D38</f>
        <v>-1.1743871355574427E-2</v>
      </c>
      <c r="G38" s="13">
        <f t="shared" si="2"/>
        <v>2.3642991725944799E-2</v>
      </c>
    </row>
    <row r="39" spans="1:7" x14ac:dyDescent="0.3">
      <c r="A39" s="5">
        <v>30713</v>
      </c>
      <c r="B39" s="11">
        <v>-4.1100000000000005E-2</v>
      </c>
      <c r="C39" s="11">
        <v>6.0606E-2</v>
      </c>
      <c r="D39" s="13">
        <f t="shared" si="0"/>
        <v>-4.4585879629629628E-2</v>
      </c>
      <c r="E39" s="13">
        <f t="shared" si="1"/>
        <v>5.7120120370370377E-2</v>
      </c>
      <c r="F39" s="13">
        <f>Regression!$B$17+Regression!$B$18*Returns!D39</f>
        <v>-5.3550248904853437E-2</v>
      </c>
      <c r="G39" s="13">
        <f t="shared" si="2"/>
        <v>0.11067036927522381</v>
      </c>
    </row>
    <row r="40" spans="1:7" x14ac:dyDescent="0.3">
      <c r="A40" s="5">
        <v>30742</v>
      </c>
      <c r="B40" s="11">
        <v>1.3599999999999999E-2</v>
      </c>
      <c r="C40" s="11">
        <v>-5.7142999999999999E-2</v>
      </c>
      <c r="D40" s="13">
        <f t="shared" si="0"/>
        <v>1.0114120370370374E-2</v>
      </c>
      <c r="E40" s="13">
        <f t="shared" si="1"/>
        <v>-6.0628879629629623E-2</v>
      </c>
      <c r="F40" s="13">
        <f>Regression!$B$17+Regression!$B$18*Returns!D40</f>
        <v>2.3968695228894422E-2</v>
      </c>
      <c r="G40" s="13">
        <f t="shared" si="2"/>
        <v>-8.4597574858524038E-2</v>
      </c>
    </row>
    <row r="41" spans="1:7" x14ac:dyDescent="0.3">
      <c r="A41" s="5">
        <v>30773</v>
      </c>
      <c r="B41" s="11">
        <v>2.9000000000000002E-3</v>
      </c>
      <c r="C41" s="11">
        <v>0.267677</v>
      </c>
      <c r="D41" s="13">
        <f t="shared" si="0"/>
        <v>-5.8587962962962587E-4</v>
      </c>
      <c r="E41" s="13">
        <f t="shared" si="1"/>
        <v>0.26419112037037035</v>
      </c>
      <c r="F41" s="13">
        <f>Regression!$B$17+Regression!$B$18*Returns!D41</f>
        <v>8.8050260839016986E-3</v>
      </c>
      <c r="G41" s="13">
        <f t="shared" si="2"/>
        <v>0.25538609428646863</v>
      </c>
    </row>
    <row r="42" spans="1:7" x14ac:dyDescent="0.3">
      <c r="A42" s="5">
        <v>30803</v>
      </c>
      <c r="B42" s="11">
        <v>-5.1899999999999995E-2</v>
      </c>
      <c r="C42" s="11">
        <v>-6.3744999999999996E-2</v>
      </c>
      <c r="D42" s="13">
        <f t="shared" si="0"/>
        <v>-5.5385879629629618E-2</v>
      </c>
      <c r="E42" s="13">
        <f t="shared" si="1"/>
        <v>-6.723087962962962E-2</v>
      </c>
      <c r="F42" s="13">
        <f>Regression!$B$17+Regression!$B$18*Returns!D42</f>
        <v>-6.8855634583911501E-2</v>
      </c>
      <c r="G42" s="13">
        <f t="shared" si="2"/>
        <v>1.6247549542818818E-3</v>
      </c>
    </row>
    <row r="43" spans="1:7" x14ac:dyDescent="0.3">
      <c r="A43" s="5">
        <v>30834</v>
      </c>
      <c r="B43" s="11">
        <v>2.5700000000000004E-2</v>
      </c>
      <c r="C43" s="11">
        <v>-9.7872000000000001E-2</v>
      </c>
      <c r="D43" s="13">
        <f t="shared" si="0"/>
        <v>2.2214120370370377E-2</v>
      </c>
      <c r="E43" s="13">
        <f t="shared" si="1"/>
        <v>-0.10135787962962962</v>
      </c>
      <c r="F43" s="13">
        <f>Regression!$B$17+Regression!$B$18*Returns!D43</f>
        <v>4.1116395850802089E-2</v>
      </c>
      <c r="G43" s="13">
        <f t="shared" si="2"/>
        <v>-0.14247427548043171</v>
      </c>
    </row>
    <row r="44" spans="1:7" x14ac:dyDescent="0.3">
      <c r="A44" s="5">
        <v>30864</v>
      </c>
      <c r="B44" s="11">
        <v>-1.9200000000000005E-2</v>
      </c>
      <c r="C44" s="11">
        <v>-3.7735999999999999E-2</v>
      </c>
      <c r="D44" s="13">
        <f t="shared" si="0"/>
        <v>-2.2685879629629632E-2</v>
      </c>
      <c r="E44" s="13">
        <f t="shared" si="1"/>
        <v>-4.1221879629629622E-2</v>
      </c>
      <c r="F44" s="13">
        <f>Regression!$B$17+Regression!$B$18*Returns!D44</f>
        <v>-2.2514327944541231E-2</v>
      </c>
      <c r="G44" s="13">
        <f t="shared" si="2"/>
        <v>-1.8707551685088392E-2</v>
      </c>
    </row>
    <row r="45" spans="1:7" x14ac:dyDescent="0.3">
      <c r="A45" s="5">
        <v>30895</v>
      </c>
      <c r="B45" s="11">
        <v>0.11109999999999999</v>
      </c>
      <c r="C45" s="11">
        <v>3.9216000000000001E-2</v>
      </c>
      <c r="D45" s="13">
        <f t="shared" si="0"/>
        <v>0.10761412037037037</v>
      </c>
      <c r="E45" s="13">
        <f t="shared" si="1"/>
        <v>3.5730120370370377E-2</v>
      </c>
      <c r="F45" s="13">
        <f>Regression!$B$17+Regression!$B$18*Returns!D45</f>
        <v>0.16214231594261319</v>
      </c>
      <c r="G45" s="13">
        <f t="shared" si="2"/>
        <v>-0.12641219557224281</v>
      </c>
    </row>
    <row r="46" spans="1:7" x14ac:dyDescent="0.3">
      <c r="A46" s="5">
        <v>30926</v>
      </c>
      <c r="B46" s="11">
        <v>5.9999999999999941E-4</v>
      </c>
      <c r="C46" s="11">
        <v>-5.1887000000000003E-2</v>
      </c>
      <c r="D46" s="13">
        <f t="shared" si="0"/>
        <v>-2.8858796296296267E-3</v>
      </c>
      <c r="E46" s="13">
        <f t="shared" si="1"/>
        <v>-5.5372879629629626E-2</v>
      </c>
      <c r="F46" s="13">
        <f>Regression!$B$17+Regression!$B$18*Returns!D46</f>
        <v>5.5455458003985875E-3</v>
      </c>
      <c r="G46" s="13">
        <f t="shared" si="2"/>
        <v>-6.0918425430028213E-2</v>
      </c>
    </row>
    <row r="47" spans="1:7" x14ac:dyDescent="0.3">
      <c r="A47" s="5">
        <v>30956</v>
      </c>
      <c r="B47" s="11">
        <v>1.6000000000000003E-3</v>
      </c>
      <c r="C47" s="11">
        <v>-9.9500000000000005E-3</v>
      </c>
      <c r="D47" s="13">
        <f t="shared" si="0"/>
        <v>-1.8858796296296258E-3</v>
      </c>
      <c r="E47" s="13">
        <f t="shared" si="1"/>
        <v>-1.3435879629629627E-2</v>
      </c>
      <c r="F47" s="13">
        <f>Regression!$B$17+Regression!$B$18*Returns!D47</f>
        <v>6.9627111410521143E-3</v>
      </c>
      <c r="G47" s="13">
        <f t="shared" si="2"/>
        <v>-2.0398590770681742E-2</v>
      </c>
    </row>
    <row r="48" spans="1:7" x14ac:dyDescent="0.3">
      <c r="A48" s="5">
        <v>30987</v>
      </c>
      <c r="B48" s="11">
        <v>-1.03E-2</v>
      </c>
      <c r="C48" s="11">
        <v>-5.025E-3</v>
      </c>
      <c r="D48" s="13">
        <f t="shared" si="0"/>
        <v>-1.3785879629629627E-2</v>
      </c>
      <c r="E48" s="13">
        <f t="shared" si="1"/>
        <v>-8.5108796296296252E-3</v>
      </c>
      <c r="F48" s="13">
        <f>Regression!$B$17+Regression!$B$18*Returns!D48</f>
        <v>-9.9015564127248462E-3</v>
      </c>
      <c r="G48" s="13">
        <f t="shared" si="2"/>
        <v>1.390676783095221E-3</v>
      </c>
    </row>
    <row r="49" spans="1:7" x14ac:dyDescent="0.3">
      <c r="A49" s="5">
        <v>31017</v>
      </c>
      <c r="B49" s="11">
        <v>2.4799999999999999E-2</v>
      </c>
      <c r="C49" s="11">
        <v>0.17676800000000001</v>
      </c>
      <c r="D49" s="13">
        <f t="shared" si="0"/>
        <v>2.1314120370370372E-2</v>
      </c>
      <c r="E49" s="13">
        <f t="shared" si="1"/>
        <v>0.17328212037037038</v>
      </c>
      <c r="F49" s="13">
        <f>Regression!$B$17+Regression!$B$18*Returns!D49</f>
        <v>3.9840947044213912E-2</v>
      </c>
      <c r="G49" s="13">
        <f t="shared" si="2"/>
        <v>0.13344117332615646</v>
      </c>
    </row>
    <row r="50" spans="1:7" x14ac:dyDescent="0.3">
      <c r="A50" s="5">
        <v>31048</v>
      </c>
      <c r="B50" s="11">
        <v>8.6400000000000005E-2</v>
      </c>
      <c r="C50" s="11">
        <v>-4.2919999999999998E-3</v>
      </c>
      <c r="D50" s="13">
        <f t="shared" si="0"/>
        <v>8.2914120370370381E-2</v>
      </c>
      <c r="E50" s="13">
        <f t="shared" si="1"/>
        <v>-7.7778796296296259E-3</v>
      </c>
      <c r="F50" s="13">
        <f>Regression!$B$17+Regression!$B$18*Returns!D50</f>
        <v>0.12713833202847113</v>
      </c>
      <c r="G50" s="13">
        <f t="shared" si="2"/>
        <v>-0.13491621165810075</v>
      </c>
    </row>
    <row r="51" spans="1:7" x14ac:dyDescent="0.3">
      <c r="A51" s="5">
        <v>31079</v>
      </c>
      <c r="B51" s="11">
        <v>1.7999999999999999E-2</v>
      </c>
      <c r="C51" s="11">
        <v>-0.14655199999999999</v>
      </c>
      <c r="D51" s="13">
        <f t="shared" si="0"/>
        <v>1.4514120370370372E-2</v>
      </c>
      <c r="E51" s="13">
        <f t="shared" si="1"/>
        <v>-0.15003787962962961</v>
      </c>
      <c r="F51" s="13">
        <f>Regression!$B$17+Regression!$B$18*Returns!D51</f>
        <v>3.0204222727769934E-2</v>
      </c>
      <c r="G51" s="13">
        <f t="shared" si="2"/>
        <v>-0.18024210235739954</v>
      </c>
    </row>
    <row r="52" spans="1:7" x14ac:dyDescent="0.3">
      <c r="A52" s="5">
        <v>31107</v>
      </c>
      <c r="B52" s="11">
        <v>-2.1999999999999997E-3</v>
      </c>
      <c r="C52" s="11">
        <v>-0.106061</v>
      </c>
      <c r="D52" s="13">
        <f t="shared" si="0"/>
        <v>-5.6858796296296258E-3</v>
      </c>
      <c r="E52" s="13">
        <f t="shared" si="1"/>
        <v>-0.10954687962962963</v>
      </c>
      <c r="F52" s="13">
        <f>Regression!$B$17+Regression!$B$18*Returns!D52</f>
        <v>1.577482846568716E-3</v>
      </c>
      <c r="G52" s="13">
        <f t="shared" si="2"/>
        <v>-0.11112436247619834</v>
      </c>
    </row>
    <row r="53" spans="1:7" x14ac:dyDescent="0.3">
      <c r="A53" s="5">
        <v>31138</v>
      </c>
      <c r="B53" s="11">
        <v>-2.3999999999999998E-3</v>
      </c>
      <c r="C53" s="11">
        <v>-3.9548E-2</v>
      </c>
      <c r="D53" s="13">
        <f t="shared" si="0"/>
        <v>-5.8858796296296263E-3</v>
      </c>
      <c r="E53" s="13">
        <f t="shared" si="1"/>
        <v>-4.3033879629629623E-2</v>
      </c>
      <c r="F53" s="13">
        <f>Regression!$B$17+Regression!$B$18*Returns!D53</f>
        <v>1.2940497784380105E-3</v>
      </c>
      <c r="G53" s="13">
        <f t="shared" si="2"/>
        <v>-4.4327929408067637E-2</v>
      </c>
    </row>
    <row r="54" spans="1:7" x14ac:dyDescent="0.3">
      <c r="A54" s="5">
        <v>31168</v>
      </c>
      <c r="B54" s="11">
        <v>5.7500000000000002E-2</v>
      </c>
      <c r="C54" s="11">
        <v>-0.18235299999999999</v>
      </c>
      <c r="D54" s="13">
        <f t="shared" si="0"/>
        <v>5.4014120370370379E-2</v>
      </c>
      <c r="E54" s="13">
        <f t="shared" si="1"/>
        <v>-0.18583887962962961</v>
      </c>
      <c r="F54" s="13">
        <f>Regression!$B$17+Regression!$B$18*Returns!D54</f>
        <v>8.6182253683584217E-2</v>
      </c>
      <c r="G54" s="13">
        <f t="shared" si="2"/>
        <v>-0.27202113331321381</v>
      </c>
    </row>
    <row r="55" spans="1:7" x14ac:dyDescent="0.3">
      <c r="A55" s="5">
        <v>31199</v>
      </c>
      <c r="B55" s="11">
        <v>1.8200000000000001E-2</v>
      </c>
      <c r="C55" s="11">
        <v>3.5971000000000003E-2</v>
      </c>
      <c r="D55" s="13">
        <f t="shared" si="0"/>
        <v>1.4714120370370374E-2</v>
      </c>
      <c r="E55" s="13">
        <f t="shared" si="1"/>
        <v>3.2485120370370379E-2</v>
      </c>
      <c r="F55" s="13">
        <f>Regression!$B$17+Regression!$B$18*Returns!D55</f>
        <v>3.0487655795900643E-2</v>
      </c>
      <c r="G55" s="13">
        <f t="shared" si="2"/>
        <v>1.9974645744697365E-3</v>
      </c>
    </row>
    <row r="56" spans="1:7" x14ac:dyDescent="0.3">
      <c r="A56" s="5">
        <v>31229</v>
      </c>
      <c r="B56" s="11">
        <v>-1.1999999999999999E-3</v>
      </c>
      <c r="C56" s="11">
        <v>-0.11805599999999999</v>
      </c>
      <c r="D56" s="13">
        <f t="shared" si="0"/>
        <v>-4.6858796296296258E-3</v>
      </c>
      <c r="E56" s="13">
        <f t="shared" si="1"/>
        <v>-0.12154187962962962</v>
      </c>
      <c r="F56" s="13">
        <f>Regression!$B$17+Regression!$B$18*Returns!D56</f>
        <v>2.994648187222242E-3</v>
      </c>
      <c r="G56" s="13">
        <f t="shared" si="2"/>
        <v>-0.12453652781685186</v>
      </c>
    </row>
    <row r="57" spans="1:7" x14ac:dyDescent="0.3">
      <c r="A57" s="5">
        <v>31260</v>
      </c>
      <c r="B57" s="11">
        <v>-4.6999999999999993E-3</v>
      </c>
      <c r="C57" s="11">
        <v>-5.5118E-2</v>
      </c>
      <c r="D57" s="13">
        <f t="shared" si="0"/>
        <v>-8.1858796296296263E-3</v>
      </c>
      <c r="E57" s="13">
        <f t="shared" si="1"/>
        <v>-5.8603879629629624E-2</v>
      </c>
      <c r="F57" s="13">
        <f>Regression!$B$17+Regression!$B$18*Returns!D57</f>
        <v>-1.9654305050650998E-3</v>
      </c>
      <c r="G57" s="13">
        <f t="shared" si="2"/>
        <v>-5.6638449124564526E-2</v>
      </c>
    </row>
    <row r="58" spans="1:7" x14ac:dyDescent="0.3">
      <c r="A58" s="5">
        <v>31291</v>
      </c>
      <c r="B58" s="11">
        <v>-3.9399999999999998E-2</v>
      </c>
      <c r="C58" s="11">
        <v>0.05</v>
      </c>
      <c r="D58" s="13">
        <f t="shared" si="0"/>
        <v>-4.2885879629629621E-2</v>
      </c>
      <c r="E58" s="13">
        <f t="shared" si="1"/>
        <v>4.6514120370370379E-2</v>
      </c>
      <c r="F58" s="13">
        <f>Regression!$B$17+Regression!$B$18*Returns!D58</f>
        <v>-5.1141067825742438E-2</v>
      </c>
      <c r="G58" s="13">
        <f t="shared" si="2"/>
        <v>9.7655188196112824E-2</v>
      </c>
    </row>
    <row r="59" spans="1:7" x14ac:dyDescent="0.3">
      <c r="A59" s="5">
        <v>31321</v>
      </c>
      <c r="B59" s="11">
        <v>4.6699999999999998E-2</v>
      </c>
      <c r="C59" s="11">
        <v>0.18254000000000001</v>
      </c>
      <c r="D59" s="13">
        <f t="shared" si="0"/>
        <v>4.3214120370370375E-2</v>
      </c>
      <c r="E59" s="13">
        <f t="shared" si="1"/>
        <v>0.17905412037037038</v>
      </c>
      <c r="F59" s="13">
        <f>Regression!$B$17+Regression!$B$18*Returns!D59</f>
        <v>7.0876868004526139E-2</v>
      </c>
      <c r="G59" s="13">
        <f t="shared" si="2"/>
        <v>0.10817725236584425</v>
      </c>
    </row>
    <row r="60" spans="1:7" x14ac:dyDescent="0.3">
      <c r="A60" s="5">
        <v>31352</v>
      </c>
      <c r="B60" s="11">
        <v>7.0900000000000005E-2</v>
      </c>
      <c r="C60" s="11">
        <v>8.0536999999999997E-2</v>
      </c>
      <c r="D60" s="13">
        <f t="shared" si="0"/>
        <v>6.7414120370370381E-2</v>
      </c>
      <c r="E60" s="13">
        <f t="shared" si="1"/>
        <v>7.7051120370370374E-2</v>
      </c>
      <c r="F60" s="13">
        <f>Regression!$B$17+Regression!$B$18*Returns!D60</f>
        <v>0.10517226924834147</v>
      </c>
      <c r="G60" s="13">
        <f t="shared" si="2"/>
        <v>-2.8121148877971097E-2</v>
      </c>
    </row>
    <row r="61" spans="1:7" x14ac:dyDescent="0.3">
      <c r="A61" s="5">
        <v>31382</v>
      </c>
      <c r="B61" s="11">
        <v>4.53E-2</v>
      </c>
      <c r="C61" s="11">
        <v>9.3168000000000001E-2</v>
      </c>
      <c r="D61" s="13">
        <f t="shared" si="0"/>
        <v>4.1814120370370376E-2</v>
      </c>
      <c r="E61" s="13">
        <f t="shared" si="1"/>
        <v>8.9682120370370377E-2</v>
      </c>
      <c r="F61" s="13">
        <f>Regression!$B$17+Regression!$B$18*Returns!D61</f>
        <v>6.889283652761119E-2</v>
      </c>
      <c r="G61" s="13">
        <f t="shared" si="2"/>
        <v>2.0789283842759188E-2</v>
      </c>
    </row>
    <row r="62" spans="1:7" x14ac:dyDescent="0.3">
      <c r="A62" s="5">
        <v>31413</v>
      </c>
      <c r="B62" s="11">
        <v>1.21E-2</v>
      </c>
      <c r="C62" s="11">
        <v>5.1136000000000001E-2</v>
      </c>
      <c r="D62" s="13">
        <f t="shared" si="0"/>
        <v>8.6141203703703727E-3</v>
      </c>
      <c r="E62" s="13">
        <f t="shared" si="1"/>
        <v>4.7650120370370377E-2</v>
      </c>
      <c r="F62" s="13">
        <f>Regression!$B$17+Regression!$B$18*Returns!D62</f>
        <v>2.1842947217914133E-2</v>
      </c>
      <c r="G62" s="13">
        <f t="shared" si="2"/>
        <v>2.5807173152456245E-2</v>
      </c>
    </row>
    <row r="63" spans="1:7" x14ac:dyDescent="0.3">
      <c r="A63" s="5">
        <v>31444</v>
      </c>
      <c r="B63" s="11">
        <v>7.6600000000000001E-2</v>
      </c>
      <c r="C63" s="11">
        <v>8.1081E-2</v>
      </c>
      <c r="D63" s="13">
        <f t="shared" si="0"/>
        <v>7.3114120370370378E-2</v>
      </c>
      <c r="E63" s="13">
        <f t="shared" si="1"/>
        <v>7.7595120370370377E-2</v>
      </c>
      <c r="F63" s="13">
        <f>Regression!$B$17+Regression!$B$18*Returns!D63</f>
        <v>0.11325011169006656</v>
      </c>
      <c r="G63" s="13">
        <f t="shared" si="2"/>
        <v>-3.5654991319696183E-2</v>
      </c>
    </row>
    <row r="64" spans="1:7" x14ac:dyDescent="0.3">
      <c r="A64" s="5">
        <v>31472</v>
      </c>
      <c r="B64" s="11">
        <v>5.4799999999999995E-2</v>
      </c>
      <c r="C64" s="11">
        <v>0.13</v>
      </c>
      <c r="D64" s="13">
        <f t="shared" si="0"/>
        <v>5.1314120370370371E-2</v>
      </c>
      <c r="E64" s="13">
        <f t="shared" si="1"/>
        <v>0.12651412037037038</v>
      </c>
      <c r="F64" s="13">
        <f>Regression!$B$17+Regression!$B$18*Returns!D64</f>
        <v>8.235590726381968E-2</v>
      </c>
      <c r="G64" s="13">
        <f t="shared" si="2"/>
        <v>4.4158213106550701E-2</v>
      </c>
    </row>
    <row r="65" spans="1:7" x14ac:dyDescent="0.3">
      <c r="A65" s="5">
        <v>31503</v>
      </c>
      <c r="B65" s="11">
        <v>-7.9000000000000008E-3</v>
      </c>
      <c r="C65" s="11">
        <v>7.0795999999999998E-2</v>
      </c>
      <c r="D65" s="13">
        <f t="shared" si="0"/>
        <v>-1.1385879629629628E-2</v>
      </c>
      <c r="E65" s="13">
        <f t="shared" si="1"/>
        <v>6.7310120370370374E-2</v>
      </c>
      <c r="F65" s="13">
        <f>Regression!$B$17+Regression!$B$18*Returns!D65</f>
        <v>-6.5003595951563832E-3</v>
      </c>
      <c r="G65" s="13">
        <f t="shared" si="2"/>
        <v>7.3810479965526754E-2</v>
      </c>
    </row>
    <row r="66" spans="1:7" x14ac:dyDescent="0.3">
      <c r="A66" s="5">
        <v>31533</v>
      </c>
      <c r="B66" s="11">
        <v>5.1100000000000007E-2</v>
      </c>
      <c r="C66" s="11">
        <v>0.22314000000000001</v>
      </c>
      <c r="D66" s="13">
        <f t="shared" si="0"/>
        <v>4.7614120370370383E-2</v>
      </c>
      <c r="E66" s="13">
        <f t="shared" si="1"/>
        <v>0.21965412037037038</v>
      </c>
      <c r="F66" s="13">
        <f>Regression!$B$17+Regression!$B$18*Returns!D66</f>
        <v>7.7112395503401654E-2</v>
      </c>
      <c r="G66" s="13">
        <f t="shared" si="2"/>
        <v>0.14254172486696873</v>
      </c>
    </row>
    <row r="67" spans="1:7" x14ac:dyDescent="0.3">
      <c r="A67" s="5">
        <v>31564</v>
      </c>
      <c r="B67" s="11">
        <v>1.55E-2</v>
      </c>
      <c r="C67" s="11">
        <v>-3.0405000000000001E-2</v>
      </c>
      <c r="D67" s="13">
        <f t="shared" ref="D67:D130" si="3">B67-$J$2</f>
        <v>1.2014120370370373E-2</v>
      </c>
      <c r="E67" s="13">
        <f t="shared" ref="E67:E130" si="4">C67-$J$2</f>
        <v>-3.3890879629629625E-2</v>
      </c>
      <c r="F67" s="13">
        <f>Regression!$B$17+Regression!$B$18*Returns!D67</f>
        <v>2.6661309376136123E-2</v>
      </c>
      <c r="G67" s="13">
        <f t="shared" ref="G67:G130" si="5">E67-F67</f>
        <v>-6.0552189005765748E-2</v>
      </c>
    </row>
    <row r="68" spans="1:7" x14ac:dyDescent="0.3">
      <c r="A68" s="5">
        <v>31594</v>
      </c>
      <c r="B68" s="11">
        <v>-5.9299999999999999E-2</v>
      </c>
      <c r="C68" s="11">
        <v>-0.12892000000000001</v>
      </c>
      <c r="D68" s="13">
        <f t="shared" si="3"/>
        <v>-6.2785879629629629E-2</v>
      </c>
      <c r="E68" s="13">
        <f t="shared" si="4"/>
        <v>-0.13240587962962963</v>
      </c>
      <c r="F68" s="13">
        <f>Regression!$B$17+Regression!$B$18*Returns!D68</f>
        <v>-7.934265810474761E-2</v>
      </c>
      <c r="G68" s="13">
        <f t="shared" si="5"/>
        <v>-5.306322152488202E-2</v>
      </c>
    </row>
    <row r="69" spans="1:7" x14ac:dyDescent="0.3">
      <c r="A69" s="5">
        <v>31625</v>
      </c>
      <c r="B69" s="11">
        <v>6.5299999999999997E-2</v>
      </c>
      <c r="C69" s="11">
        <v>0.184</v>
      </c>
      <c r="D69" s="13">
        <f t="shared" si="3"/>
        <v>6.1814120370370373E-2</v>
      </c>
      <c r="E69" s="13">
        <f t="shared" si="4"/>
        <v>0.18051412037037037</v>
      </c>
      <c r="F69" s="13">
        <f>Regression!$B$17+Regression!$B$18*Returns!D69</f>
        <v>9.7236143340681716E-2</v>
      </c>
      <c r="G69" s="13">
        <f t="shared" si="5"/>
        <v>8.3277977029688657E-2</v>
      </c>
    </row>
    <row r="70" spans="1:7" x14ac:dyDescent="0.3">
      <c r="A70" s="5">
        <v>31656</v>
      </c>
      <c r="B70" s="11">
        <v>-8.1500000000000003E-2</v>
      </c>
      <c r="C70" s="11">
        <v>-9.4594999999999999E-2</v>
      </c>
      <c r="D70" s="13">
        <f t="shared" si="3"/>
        <v>-8.4985879629629626E-2</v>
      </c>
      <c r="E70" s="13">
        <f t="shared" si="4"/>
        <v>-9.8080879629629622E-2</v>
      </c>
      <c r="F70" s="13">
        <f>Regression!$B$17+Regression!$B$18*Returns!D70</f>
        <v>-0.11080372866725588</v>
      </c>
      <c r="G70" s="13">
        <f t="shared" si="5"/>
        <v>1.2722849037626258E-2</v>
      </c>
    </row>
    <row r="71" spans="1:7" x14ac:dyDescent="0.3">
      <c r="A71" s="5">
        <v>31686</v>
      </c>
      <c r="B71" s="11">
        <v>5.1200000000000002E-2</v>
      </c>
      <c r="C71" s="11">
        <v>3.3582000000000001E-2</v>
      </c>
      <c r="D71" s="13">
        <f t="shared" si="3"/>
        <v>4.7714120370370379E-2</v>
      </c>
      <c r="E71" s="13">
        <f t="shared" si="4"/>
        <v>3.0096120370370374E-2</v>
      </c>
      <c r="F71" s="13">
        <f>Regression!$B$17+Regression!$B$18*Returns!D71</f>
        <v>7.7254112037467002E-2</v>
      </c>
      <c r="G71" s="13">
        <f t="shared" si="5"/>
        <v>-4.7157991667096624E-2</v>
      </c>
    </row>
    <row r="72" spans="1:7" x14ac:dyDescent="0.3">
      <c r="A72" s="5">
        <v>31717</v>
      </c>
      <c r="B72" s="11">
        <v>1.5600000000000001E-2</v>
      </c>
      <c r="C72" s="11">
        <v>0.15523500000000001</v>
      </c>
      <c r="D72" s="13">
        <f t="shared" si="3"/>
        <v>1.2114120370370376E-2</v>
      </c>
      <c r="E72" s="13">
        <f t="shared" si="4"/>
        <v>0.15174912037037039</v>
      </c>
      <c r="F72" s="13">
        <f>Regression!$B$17+Regression!$B$18*Returns!D72</f>
        <v>2.6803025910201478E-2</v>
      </c>
      <c r="G72" s="13">
        <f t="shared" si="5"/>
        <v>0.12494609446016891</v>
      </c>
    </row>
    <row r="73" spans="1:7" x14ac:dyDescent="0.3">
      <c r="A73" s="5">
        <v>31747</v>
      </c>
      <c r="B73" s="11">
        <v>-2.7800000000000002E-2</v>
      </c>
      <c r="C73" s="11">
        <v>1.2500000000000001E-2</v>
      </c>
      <c r="D73" s="13">
        <f t="shared" si="3"/>
        <v>-3.1285879629629629E-2</v>
      </c>
      <c r="E73" s="13">
        <f t="shared" si="4"/>
        <v>9.0141203703703737E-3</v>
      </c>
      <c r="F73" s="13">
        <f>Regression!$B$17+Regression!$B$18*Returns!D73</f>
        <v>-3.4701949874161551E-2</v>
      </c>
      <c r="G73" s="13">
        <f t="shared" si="5"/>
        <v>4.3716070244531925E-2</v>
      </c>
    </row>
    <row r="74" spans="1:7" x14ac:dyDescent="0.3">
      <c r="A74" s="5">
        <v>31778</v>
      </c>
      <c r="B74" s="11">
        <v>0.12890000000000001</v>
      </c>
      <c r="C74" s="11">
        <v>0.37036999999999998</v>
      </c>
      <c r="D74" s="13">
        <f t="shared" si="3"/>
        <v>0.12541412037037039</v>
      </c>
      <c r="E74" s="13">
        <f t="shared" si="4"/>
        <v>0.36688412037037033</v>
      </c>
      <c r="F74" s="13">
        <f>Regression!$B$17+Regression!$B$18*Returns!D74</f>
        <v>0.18736785900624597</v>
      </c>
      <c r="G74" s="13">
        <f t="shared" si="5"/>
        <v>0.17951626136412435</v>
      </c>
    </row>
    <row r="75" spans="1:7" x14ac:dyDescent="0.3">
      <c r="A75" s="5">
        <v>31809</v>
      </c>
      <c r="B75" s="11">
        <v>4.8199999999999993E-2</v>
      </c>
      <c r="C75" s="11">
        <v>0.26126100000000002</v>
      </c>
      <c r="D75" s="13">
        <f t="shared" si="3"/>
        <v>4.4714120370370369E-2</v>
      </c>
      <c r="E75" s="13">
        <f t="shared" si="4"/>
        <v>0.25777512037037037</v>
      </c>
      <c r="F75" s="13">
        <f>Regression!$B$17+Regression!$B$18*Returns!D75</f>
        <v>7.3002616015506408E-2</v>
      </c>
      <c r="G75" s="13">
        <f t="shared" si="5"/>
        <v>0.18477250435486398</v>
      </c>
    </row>
    <row r="76" spans="1:7" x14ac:dyDescent="0.3">
      <c r="A76" s="5">
        <v>31837</v>
      </c>
      <c r="B76" s="11">
        <v>2.1099999999999997E-2</v>
      </c>
      <c r="C76" s="11">
        <v>-7.8571000000000002E-2</v>
      </c>
      <c r="D76" s="13">
        <f t="shared" si="3"/>
        <v>1.761412037037037E-2</v>
      </c>
      <c r="E76" s="13">
        <f t="shared" si="4"/>
        <v>-8.2056879629629625E-2</v>
      </c>
      <c r="F76" s="13">
        <f>Regression!$B$17+Regression!$B$18*Returns!D76</f>
        <v>3.4597435283795858E-2</v>
      </c>
      <c r="G76" s="13">
        <f t="shared" si="5"/>
        <v>-0.11665431491342548</v>
      </c>
    </row>
    <row r="77" spans="1:7" x14ac:dyDescent="0.3">
      <c r="A77" s="5">
        <v>31868</v>
      </c>
      <c r="B77" s="11">
        <v>-1.67E-2</v>
      </c>
      <c r="C77" s="11">
        <v>0.228682</v>
      </c>
      <c r="D77" s="13">
        <f t="shared" si="3"/>
        <v>-2.0185879629629627E-2</v>
      </c>
      <c r="E77" s="13">
        <f t="shared" si="4"/>
        <v>0.22519612037037037</v>
      </c>
      <c r="F77" s="13">
        <f>Regression!$B$17+Regression!$B$18*Returns!D77</f>
        <v>-1.897141459290741E-2</v>
      </c>
      <c r="G77" s="13">
        <f t="shared" si="5"/>
        <v>0.24416753496327778</v>
      </c>
    </row>
    <row r="78" spans="1:7" x14ac:dyDescent="0.3">
      <c r="A78" s="5">
        <v>31898</v>
      </c>
      <c r="B78" s="11">
        <v>4.8999999999999998E-3</v>
      </c>
      <c r="C78" s="11">
        <v>-1.64E-3</v>
      </c>
      <c r="D78" s="13">
        <f t="shared" si="3"/>
        <v>1.4141203703703737E-3</v>
      </c>
      <c r="E78" s="13">
        <f t="shared" si="4"/>
        <v>-5.1258796296296261E-3</v>
      </c>
      <c r="F78" s="13">
        <f>Regression!$B$17+Regression!$B$18*Returns!D78</f>
        <v>1.1639356765208749E-2</v>
      </c>
      <c r="G78" s="13">
        <f t="shared" si="5"/>
        <v>-1.6765236394838373E-2</v>
      </c>
    </row>
    <row r="79" spans="1:7" x14ac:dyDescent="0.3">
      <c r="A79" s="5">
        <v>31929</v>
      </c>
      <c r="B79" s="11">
        <v>4.4199999999999996E-2</v>
      </c>
      <c r="C79" s="11">
        <v>2.5316000000000002E-2</v>
      </c>
      <c r="D79" s="13">
        <f t="shared" si="3"/>
        <v>4.0714120370370373E-2</v>
      </c>
      <c r="E79" s="13">
        <f t="shared" si="4"/>
        <v>2.1830120370370375E-2</v>
      </c>
      <c r="F79" s="13">
        <f>Regression!$B$17+Regression!$B$18*Returns!D79</f>
        <v>6.7333954652892311E-2</v>
      </c>
      <c r="G79" s="13">
        <f t="shared" si="5"/>
        <v>-4.5503834282521936E-2</v>
      </c>
    </row>
    <row r="80" spans="1:7" x14ac:dyDescent="0.3">
      <c r="A80" s="5">
        <v>31959</v>
      </c>
      <c r="B80" s="11">
        <v>4.3100000000000006E-2</v>
      </c>
      <c r="C80" s="11">
        <v>1.8519000000000001E-2</v>
      </c>
      <c r="D80" s="13">
        <f t="shared" si="3"/>
        <v>3.9614120370370383E-2</v>
      </c>
      <c r="E80" s="13">
        <f t="shared" si="4"/>
        <v>1.5033120370370374E-2</v>
      </c>
      <c r="F80" s="13">
        <f>Regression!$B$17+Regression!$B$18*Returns!D80</f>
        <v>6.5775072778173446E-2</v>
      </c>
      <c r="G80" s="13">
        <f t="shared" si="5"/>
        <v>-5.0741952407803076E-2</v>
      </c>
    </row>
    <row r="81" spans="1:7" x14ac:dyDescent="0.3">
      <c r="A81" s="5">
        <v>31990</v>
      </c>
      <c r="B81" s="11">
        <v>3.9900000000000005E-2</v>
      </c>
      <c r="C81" s="11">
        <v>0.31054500000000002</v>
      </c>
      <c r="D81" s="13">
        <f t="shared" si="3"/>
        <v>3.6414120370370381E-2</v>
      </c>
      <c r="E81" s="13">
        <f t="shared" si="4"/>
        <v>0.30705912037037036</v>
      </c>
      <c r="F81" s="13">
        <f>Regression!$B$17+Regression!$B$18*Returns!D81</f>
        <v>6.1240143688082165E-2</v>
      </c>
      <c r="G81" s="13">
        <f t="shared" si="5"/>
        <v>0.24581897668228819</v>
      </c>
    </row>
    <row r="82" spans="1:7" x14ac:dyDescent="0.3">
      <c r="A82" s="5">
        <v>32021</v>
      </c>
      <c r="B82" s="11">
        <v>-2.1399999999999995E-2</v>
      </c>
      <c r="C82" s="11">
        <v>4.6295999999999997E-2</v>
      </c>
      <c r="D82" s="13">
        <f t="shared" si="3"/>
        <v>-2.4885879629629622E-2</v>
      </c>
      <c r="E82" s="13">
        <f t="shared" si="4"/>
        <v>4.2810120370370373E-2</v>
      </c>
      <c r="F82" s="13">
        <f>Regression!$B$17+Regression!$B$18*Returns!D82</f>
        <v>-2.5632091693978974E-2</v>
      </c>
      <c r="G82" s="13">
        <f t="shared" si="5"/>
        <v>6.8442212064349348E-2</v>
      </c>
    </row>
    <row r="83" spans="1:7" x14ac:dyDescent="0.3">
      <c r="A83" s="5">
        <v>32051</v>
      </c>
      <c r="B83" s="11">
        <v>-0.22639999999999996</v>
      </c>
      <c r="C83" s="11">
        <v>-0.31637199999999999</v>
      </c>
      <c r="D83" s="13">
        <f t="shared" si="3"/>
        <v>-0.22988587962962959</v>
      </c>
      <c r="E83" s="13">
        <f t="shared" si="4"/>
        <v>-0.31985787962962964</v>
      </c>
      <c r="F83" s="13">
        <f>Regression!$B$17+Regression!$B$18*Returns!D83</f>
        <v>-0.31615098652795176</v>
      </c>
      <c r="G83" s="13">
        <f t="shared" si="5"/>
        <v>-3.7068931016778772E-3</v>
      </c>
    </row>
    <row r="84" spans="1:7" x14ac:dyDescent="0.3">
      <c r="A84" s="5">
        <v>32082</v>
      </c>
      <c r="B84" s="11">
        <v>-7.4200000000000002E-2</v>
      </c>
      <c r="C84" s="11">
        <v>-0.14355999999999999</v>
      </c>
      <c r="D84" s="13">
        <f t="shared" si="3"/>
        <v>-7.7685879629629626E-2</v>
      </c>
      <c r="E84" s="13">
        <f t="shared" si="4"/>
        <v>-0.14704587962962962</v>
      </c>
      <c r="F84" s="13">
        <f>Regression!$B$17+Regression!$B$18*Returns!D84</f>
        <v>-0.10045842168048515</v>
      </c>
      <c r="G84" s="13">
        <f t="shared" si="5"/>
        <v>-4.658745794914447E-2</v>
      </c>
    </row>
    <row r="85" spans="1:7" x14ac:dyDescent="0.3">
      <c r="A85" s="5">
        <v>32112</v>
      </c>
      <c r="B85" s="11">
        <v>7.1999999999999995E-2</v>
      </c>
      <c r="C85" s="11">
        <v>0.272727</v>
      </c>
      <c r="D85" s="13">
        <f t="shared" si="3"/>
        <v>6.8514120370370371E-2</v>
      </c>
      <c r="E85" s="13">
        <f t="shared" si="4"/>
        <v>0.26924112037037035</v>
      </c>
      <c r="F85" s="13">
        <f>Regression!$B$17+Regression!$B$18*Returns!D85</f>
        <v>0.10673115112306032</v>
      </c>
      <c r="G85" s="13">
        <f t="shared" si="5"/>
        <v>0.16250996924731004</v>
      </c>
    </row>
    <row r="86" spans="1:7" x14ac:dyDescent="0.3">
      <c r="A86" s="5">
        <v>32143</v>
      </c>
      <c r="B86" s="11">
        <v>4.4999999999999998E-2</v>
      </c>
      <c r="C86" s="11">
        <v>-1.1905000000000001E-2</v>
      </c>
      <c r="D86" s="13">
        <f t="shared" si="3"/>
        <v>4.1514120370370375E-2</v>
      </c>
      <c r="E86" s="13">
        <f t="shared" si="4"/>
        <v>-1.5390879629629626E-2</v>
      </c>
      <c r="F86" s="13">
        <f>Regression!$B$17+Regression!$B$18*Returns!D86</f>
        <v>6.8467686925415133E-2</v>
      </c>
      <c r="G86" s="13">
        <f t="shared" si="5"/>
        <v>-8.3858566555044756E-2</v>
      </c>
    </row>
    <row r="87" spans="1:7" x14ac:dyDescent="0.3">
      <c r="A87" s="5">
        <v>32174</v>
      </c>
      <c r="B87" s="11">
        <v>5.21E-2</v>
      </c>
      <c r="C87" s="11">
        <v>3.8072000000000002E-2</v>
      </c>
      <c r="D87" s="13">
        <f t="shared" si="3"/>
        <v>4.8614120370370377E-2</v>
      </c>
      <c r="E87" s="13">
        <f t="shared" si="4"/>
        <v>3.4586120370370378E-2</v>
      </c>
      <c r="F87" s="13">
        <f>Regression!$B$17+Regression!$B$18*Returns!D87</f>
        <v>7.8529560844055171E-2</v>
      </c>
      <c r="G87" s="13">
        <f t="shared" si="5"/>
        <v>-4.3943440473684793E-2</v>
      </c>
    </row>
    <row r="88" spans="1:7" x14ac:dyDescent="0.3">
      <c r="A88" s="5">
        <v>32203</v>
      </c>
      <c r="B88" s="11">
        <v>-1.83E-2</v>
      </c>
      <c r="C88" s="11">
        <v>-6.9766999999999996E-2</v>
      </c>
      <c r="D88" s="13">
        <f t="shared" si="3"/>
        <v>-2.1785879629629627E-2</v>
      </c>
      <c r="E88" s="13">
        <f t="shared" si="4"/>
        <v>-7.3252879629629619E-2</v>
      </c>
      <c r="F88" s="13">
        <f>Regression!$B$17+Regression!$B$18*Returns!D88</f>
        <v>-2.123887913795305E-2</v>
      </c>
      <c r="G88" s="13">
        <f t="shared" si="5"/>
        <v>-5.2014000491676565E-2</v>
      </c>
    </row>
    <row r="89" spans="1:7" x14ac:dyDescent="0.3">
      <c r="A89" s="5">
        <v>32234</v>
      </c>
      <c r="B89" s="11">
        <v>1.0200000000000001E-2</v>
      </c>
      <c r="C89" s="11">
        <v>2.5000000000000001E-2</v>
      </c>
      <c r="D89" s="13">
        <f t="shared" si="3"/>
        <v>6.7141203703703746E-3</v>
      </c>
      <c r="E89" s="13">
        <f t="shared" si="4"/>
        <v>2.1514120370370374E-2</v>
      </c>
      <c r="F89" s="13">
        <f>Regression!$B$17+Regression!$B$18*Returns!D89</f>
        <v>1.9150333070672439E-2</v>
      </c>
      <c r="G89" s="13">
        <f t="shared" si="5"/>
        <v>2.3637872996979357E-3</v>
      </c>
    </row>
    <row r="90" spans="1:7" x14ac:dyDescent="0.3">
      <c r="A90" s="5">
        <v>32264</v>
      </c>
      <c r="B90" s="11">
        <v>2.2000000000000001E-3</v>
      </c>
      <c r="C90" s="11">
        <v>1.4146000000000001E-2</v>
      </c>
      <c r="D90" s="13">
        <f t="shared" si="3"/>
        <v>-1.285879629629626E-3</v>
      </c>
      <c r="E90" s="13">
        <f t="shared" si="4"/>
        <v>1.0660120370370375E-2</v>
      </c>
      <c r="F90" s="13">
        <f>Regression!$B$17+Regression!$B$18*Returns!D90</f>
        <v>7.8130103454442292E-3</v>
      </c>
      <c r="G90" s="13">
        <f t="shared" si="5"/>
        <v>2.8471100249261461E-3</v>
      </c>
    </row>
    <row r="91" spans="1:7" x14ac:dyDescent="0.3">
      <c r="A91" s="5">
        <v>32295</v>
      </c>
      <c r="B91" s="11">
        <v>5.28E-2</v>
      </c>
      <c r="C91" s="11">
        <v>0.114458</v>
      </c>
      <c r="D91" s="13">
        <f t="shared" si="3"/>
        <v>4.9314120370370376E-2</v>
      </c>
      <c r="E91" s="13">
        <f t="shared" si="4"/>
        <v>0.11097212037037038</v>
      </c>
      <c r="F91" s="13">
        <f>Regression!$B$17+Regression!$B$18*Returns!D91</f>
        <v>7.9521576582512646E-2</v>
      </c>
      <c r="G91" s="13">
        <f t="shared" si="5"/>
        <v>3.1450543787857735E-2</v>
      </c>
    </row>
    <row r="92" spans="1:7" x14ac:dyDescent="0.3">
      <c r="A92" s="5">
        <v>32325</v>
      </c>
      <c r="B92" s="11">
        <v>-7.4000000000000003E-3</v>
      </c>
      <c r="C92" s="11">
        <v>-4.0541000000000001E-2</v>
      </c>
      <c r="D92" s="13">
        <f t="shared" si="3"/>
        <v>-1.0885879629629627E-2</v>
      </c>
      <c r="E92" s="13">
        <f t="shared" si="4"/>
        <v>-4.4026879629629624E-2</v>
      </c>
      <c r="F92" s="13">
        <f>Regression!$B$17+Regression!$B$18*Returns!D92</f>
        <v>-5.7917769248296211E-3</v>
      </c>
      <c r="G92" s="13">
        <f t="shared" si="5"/>
        <v>-3.8235102704800003E-2</v>
      </c>
    </row>
    <row r="93" spans="1:7" x14ac:dyDescent="0.3">
      <c r="A93" s="5">
        <v>32356</v>
      </c>
      <c r="B93" s="11">
        <v>-2.7200000000000002E-2</v>
      </c>
      <c r="C93" s="11">
        <v>-9.9606E-2</v>
      </c>
      <c r="D93" s="13">
        <f t="shared" si="3"/>
        <v>-3.0685879629629629E-2</v>
      </c>
      <c r="E93" s="13">
        <f t="shared" si="4"/>
        <v>-0.10309187962962962</v>
      </c>
      <c r="F93" s="13">
        <f>Regression!$B$17+Regression!$B$18*Returns!D93</f>
        <v>-3.3851650669769431E-2</v>
      </c>
      <c r="G93" s="13">
        <f t="shared" si="5"/>
        <v>-6.9240228959860192E-2</v>
      </c>
    </row>
    <row r="94" spans="1:7" x14ac:dyDescent="0.3">
      <c r="A94" s="5">
        <v>32387</v>
      </c>
      <c r="B94" s="11">
        <v>3.9199999999999999E-2</v>
      </c>
      <c r="C94" s="11">
        <v>8.4639000000000006E-2</v>
      </c>
      <c r="D94" s="13">
        <f t="shared" si="3"/>
        <v>3.5714120370370375E-2</v>
      </c>
      <c r="E94" s="13">
        <f t="shared" si="4"/>
        <v>8.1153120370370382E-2</v>
      </c>
      <c r="F94" s="13">
        <f>Regression!$B$17+Regression!$B$18*Returns!D94</f>
        <v>6.024812794962469E-2</v>
      </c>
      <c r="G94" s="13">
        <f t="shared" si="5"/>
        <v>2.0904992420745692E-2</v>
      </c>
    </row>
    <row r="95" spans="1:7" x14ac:dyDescent="0.3">
      <c r="A95" s="5">
        <v>32417</v>
      </c>
      <c r="B95" s="11">
        <v>1.7599999999999998E-2</v>
      </c>
      <c r="C95" s="11">
        <v>-0.106936</v>
      </c>
      <c r="D95" s="13">
        <f t="shared" si="3"/>
        <v>1.4114120370370371E-2</v>
      </c>
      <c r="E95" s="13">
        <f t="shared" si="4"/>
        <v>-0.11042187962962963</v>
      </c>
      <c r="F95" s="13">
        <f>Regression!$B$17+Regression!$B$18*Returns!D95</f>
        <v>2.9637356591508523E-2</v>
      </c>
      <c r="G95" s="13">
        <f t="shared" si="5"/>
        <v>-0.14005923622113814</v>
      </c>
    </row>
    <row r="96" spans="1:7" x14ac:dyDescent="0.3">
      <c r="A96" s="5">
        <v>32448</v>
      </c>
      <c r="B96" s="11">
        <v>-1.7200000000000003E-2</v>
      </c>
      <c r="C96" s="11">
        <v>-2.3300999999999999E-2</v>
      </c>
      <c r="D96" s="13">
        <f t="shared" si="3"/>
        <v>-2.068587962962963E-2</v>
      </c>
      <c r="E96" s="13">
        <f t="shared" si="4"/>
        <v>-2.6786879629629626E-2</v>
      </c>
      <c r="F96" s="13">
        <f>Regression!$B$17+Regression!$B$18*Returns!D96</f>
        <v>-1.9679997263234179E-2</v>
      </c>
      <c r="G96" s="13">
        <f t="shared" si="5"/>
        <v>-7.1068823663954471E-3</v>
      </c>
    </row>
    <row r="97" spans="1:7" x14ac:dyDescent="0.3">
      <c r="A97" s="5">
        <v>32478</v>
      </c>
      <c r="B97" s="11">
        <v>2.12E-2</v>
      </c>
      <c r="C97" s="11">
        <v>6.9766999999999996E-2</v>
      </c>
      <c r="D97" s="13">
        <f t="shared" si="3"/>
        <v>1.7714120370370373E-2</v>
      </c>
      <c r="E97" s="13">
        <f t="shared" si="4"/>
        <v>6.6281120370370372E-2</v>
      </c>
      <c r="F97" s="13">
        <f>Regression!$B$17+Regression!$B$18*Returns!D97</f>
        <v>3.4739151817861219E-2</v>
      </c>
      <c r="G97" s="13">
        <f t="shared" si="5"/>
        <v>3.1541968552509153E-2</v>
      </c>
    </row>
    <row r="98" spans="1:7" x14ac:dyDescent="0.3">
      <c r="A98" s="5">
        <v>32509</v>
      </c>
      <c r="B98" s="11">
        <v>6.649999999999999E-2</v>
      </c>
      <c r="C98" s="11">
        <v>-6.2112000000000001E-2</v>
      </c>
      <c r="D98" s="13">
        <f t="shared" si="3"/>
        <v>6.3014120370370366E-2</v>
      </c>
      <c r="E98" s="13">
        <f t="shared" si="4"/>
        <v>-6.5597879629629624E-2</v>
      </c>
      <c r="F98" s="13">
        <f>Regression!$B$17+Regression!$B$18*Returns!D98</f>
        <v>9.8936741749465928E-2</v>
      </c>
      <c r="G98" s="13">
        <f t="shared" si="5"/>
        <v>-0.16453462137909555</v>
      </c>
    </row>
    <row r="99" spans="1:7" x14ac:dyDescent="0.3">
      <c r="A99" s="5">
        <v>32540</v>
      </c>
      <c r="B99" s="11">
        <v>-1.6400000000000001E-2</v>
      </c>
      <c r="C99" s="11">
        <v>-3.7086000000000001E-2</v>
      </c>
      <c r="D99" s="13">
        <f t="shared" si="3"/>
        <v>-1.9885879629629628E-2</v>
      </c>
      <c r="E99" s="13">
        <f t="shared" si="4"/>
        <v>-4.0571879629629624E-2</v>
      </c>
      <c r="F99" s="13">
        <f>Regression!$B$17+Regression!$B$18*Returns!D99</f>
        <v>-1.8546264990711353E-2</v>
      </c>
      <c r="G99" s="13">
        <f t="shared" si="5"/>
        <v>-2.2025614638918271E-2</v>
      </c>
    </row>
    <row r="100" spans="1:7" x14ac:dyDescent="0.3">
      <c r="A100" s="5">
        <v>32568</v>
      </c>
      <c r="B100" s="11">
        <v>2.2400000000000003E-2</v>
      </c>
      <c r="C100" s="11">
        <v>-1.7240999999999999E-2</v>
      </c>
      <c r="D100" s="13">
        <f t="shared" si="3"/>
        <v>1.8914120370370376E-2</v>
      </c>
      <c r="E100" s="13">
        <f t="shared" si="4"/>
        <v>-2.0726879629629626E-2</v>
      </c>
      <c r="F100" s="13">
        <f>Regression!$B$17+Regression!$B$18*Returns!D100</f>
        <v>3.6439750226645459E-2</v>
      </c>
      <c r="G100" s="13">
        <f t="shared" si="5"/>
        <v>-5.7166629856275089E-2</v>
      </c>
    </row>
    <row r="101" spans="1:7" x14ac:dyDescent="0.3">
      <c r="A101" s="5">
        <v>32599</v>
      </c>
      <c r="B101" s="11">
        <v>0.05</v>
      </c>
      <c r="C101" s="11">
        <v>9.4737000000000002E-2</v>
      </c>
      <c r="D101" s="13">
        <f t="shared" si="3"/>
        <v>4.6514120370370379E-2</v>
      </c>
      <c r="E101" s="13">
        <f t="shared" si="4"/>
        <v>9.1251120370370378E-2</v>
      </c>
      <c r="F101" s="13">
        <f>Regression!$B$17+Regression!$B$18*Returns!D101</f>
        <v>7.5553513628682775E-2</v>
      </c>
      <c r="G101" s="13">
        <f t="shared" si="5"/>
        <v>1.5697606741687603E-2</v>
      </c>
    </row>
    <row r="102" spans="1:7" x14ac:dyDescent="0.3">
      <c r="A102" s="5">
        <v>32629</v>
      </c>
      <c r="B102" s="11">
        <v>4.1400000000000006E-2</v>
      </c>
      <c r="C102" s="11">
        <v>0.22692300000000001</v>
      </c>
      <c r="D102" s="13">
        <f t="shared" si="3"/>
        <v>3.7914120370370383E-2</v>
      </c>
      <c r="E102" s="13">
        <f t="shared" si="4"/>
        <v>0.22343712037037039</v>
      </c>
      <c r="F102" s="13">
        <f>Regression!$B$17+Regression!$B$18*Returns!D102</f>
        <v>6.3365891699062454E-2</v>
      </c>
      <c r="G102" s="13">
        <f t="shared" si="5"/>
        <v>0.16007122867130794</v>
      </c>
    </row>
    <row r="103" spans="1:7" x14ac:dyDescent="0.3">
      <c r="A103" s="5">
        <v>32660</v>
      </c>
      <c r="B103" s="11">
        <v>-6.4000000000000012E-3</v>
      </c>
      <c r="C103" s="11">
        <v>-0.136126</v>
      </c>
      <c r="D103" s="13">
        <f t="shared" si="3"/>
        <v>-9.8858796296296264E-3</v>
      </c>
      <c r="E103" s="13">
        <f t="shared" si="4"/>
        <v>-0.13961187962962962</v>
      </c>
      <c r="F103" s="13">
        <f>Regression!$B$17+Regression!$B$18*Returns!D103</f>
        <v>-4.3746115841760934E-3</v>
      </c>
      <c r="G103" s="13">
        <f t="shared" si="5"/>
        <v>-0.13523726804545352</v>
      </c>
    </row>
    <row r="104" spans="1:7" x14ac:dyDescent="0.3">
      <c r="A104" s="5">
        <v>32690</v>
      </c>
      <c r="B104" s="11">
        <v>7.9000000000000001E-2</v>
      </c>
      <c r="C104" s="11">
        <v>-3.6364E-2</v>
      </c>
      <c r="D104" s="13">
        <f t="shared" si="3"/>
        <v>7.5514120370370377E-2</v>
      </c>
      <c r="E104" s="13">
        <f t="shared" si="4"/>
        <v>-3.9849879629629624E-2</v>
      </c>
      <c r="F104" s="13">
        <f>Regression!$B$17+Regression!$B$18*Returns!D104</f>
        <v>0.11665130850763501</v>
      </c>
      <c r="G104" s="13">
        <f t="shared" si="5"/>
        <v>-0.15650118813726463</v>
      </c>
    </row>
    <row r="105" spans="1:7" x14ac:dyDescent="0.3">
      <c r="A105" s="5">
        <v>32721</v>
      </c>
      <c r="B105" s="11">
        <v>2.1799999999999996E-2</v>
      </c>
      <c r="C105" s="11">
        <v>0.122013</v>
      </c>
      <c r="D105" s="13">
        <f t="shared" si="3"/>
        <v>1.8314120370370369E-2</v>
      </c>
      <c r="E105" s="13">
        <f t="shared" si="4"/>
        <v>0.11852712037037037</v>
      </c>
      <c r="F105" s="13">
        <f>Regression!$B$17+Regression!$B$18*Returns!D105</f>
        <v>3.5589451022253332E-2</v>
      </c>
      <c r="G105" s="13">
        <f t="shared" si="5"/>
        <v>8.2937669348117041E-2</v>
      </c>
    </row>
    <row r="106" spans="1:7" x14ac:dyDescent="0.3">
      <c r="A106" s="5">
        <v>32752</v>
      </c>
      <c r="B106" s="11">
        <v>-1.0999999999999998E-3</v>
      </c>
      <c r="C106" s="11">
        <v>0</v>
      </c>
      <c r="D106" s="13">
        <f t="shared" si="3"/>
        <v>-4.5858796296296255E-3</v>
      </c>
      <c r="E106" s="13">
        <f t="shared" si="4"/>
        <v>-3.4858796296296261E-3</v>
      </c>
      <c r="F106" s="13">
        <f>Regression!$B$17+Regression!$B$18*Returns!D106</f>
        <v>3.1363647212875947E-3</v>
      </c>
      <c r="G106" s="13">
        <f t="shared" si="5"/>
        <v>-6.6222443509172208E-3</v>
      </c>
    </row>
    <row r="107" spans="1:7" x14ac:dyDescent="0.3">
      <c r="A107" s="5">
        <v>32782</v>
      </c>
      <c r="B107" s="11">
        <v>-2.9899999999999996E-2</v>
      </c>
      <c r="C107" s="11">
        <v>4.4943999999999998E-2</v>
      </c>
      <c r="D107" s="13">
        <f t="shared" si="3"/>
        <v>-3.338587962962962E-2</v>
      </c>
      <c r="E107" s="13">
        <f t="shared" si="4"/>
        <v>4.1458120370370374E-2</v>
      </c>
      <c r="F107" s="13">
        <f>Regression!$B$17+Regression!$B$18*Returns!D107</f>
        <v>-3.7677997089533941E-2</v>
      </c>
      <c r="G107" s="13">
        <f t="shared" si="5"/>
        <v>7.9136117459904315E-2</v>
      </c>
    </row>
    <row r="108" spans="1:7" x14ac:dyDescent="0.3">
      <c r="A108" s="5">
        <v>32813</v>
      </c>
      <c r="B108" s="11">
        <v>1.72E-2</v>
      </c>
      <c r="C108" s="11">
        <v>-4.6022E-2</v>
      </c>
      <c r="D108" s="13">
        <f t="shared" si="3"/>
        <v>1.3714120370370373E-2</v>
      </c>
      <c r="E108" s="13">
        <f t="shared" si="4"/>
        <v>-4.9507879629629624E-2</v>
      </c>
      <c r="F108" s="13">
        <f>Regression!$B$17+Regression!$B$18*Returns!D108</f>
        <v>2.9070490455247115E-2</v>
      </c>
      <c r="G108" s="13">
        <f t="shared" si="5"/>
        <v>-7.8578370084876739E-2</v>
      </c>
    </row>
    <row r="109" spans="1:7" x14ac:dyDescent="0.3">
      <c r="A109" s="5">
        <v>32843</v>
      </c>
      <c r="B109" s="11">
        <v>1.77E-2</v>
      </c>
      <c r="C109" s="11">
        <v>-0.20338999999999999</v>
      </c>
      <c r="D109" s="13">
        <f t="shared" si="3"/>
        <v>1.4214120370370373E-2</v>
      </c>
      <c r="E109" s="13">
        <f t="shared" si="4"/>
        <v>-0.20687587962962961</v>
      </c>
      <c r="F109" s="13">
        <f>Regression!$B$17+Regression!$B$18*Returns!D109</f>
        <v>2.9779073125573881E-2</v>
      </c>
      <c r="G109" s="13">
        <f t="shared" si="5"/>
        <v>-0.23665495275520348</v>
      </c>
    </row>
    <row r="110" spans="1:7" x14ac:dyDescent="0.3">
      <c r="A110" s="5">
        <v>32874</v>
      </c>
      <c r="B110" s="11">
        <v>-7.279999999999999E-2</v>
      </c>
      <c r="C110" s="11">
        <v>-3.5460999999999999E-2</v>
      </c>
      <c r="D110" s="13">
        <f t="shared" si="3"/>
        <v>-7.6285879629629613E-2</v>
      </c>
      <c r="E110" s="13">
        <f t="shared" si="4"/>
        <v>-3.8946879629629623E-2</v>
      </c>
      <c r="F110" s="13">
        <f>Regression!$B$17+Regression!$B$18*Returns!D110</f>
        <v>-9.8474390203570197E-2</v>
      </c>
      <c r="G110" s="13">
        <f t="shared" si="5"/>
        <v>5.9527510573940574E-2</v>
      </c>
    </row>
    <row r="111" spans="1:7" x14ac:dyDescent="0.3">
      <c r="A111" s="5">
        <v>32905</v>
      </c>
      <c r="B111" s="11">
        <v>1.6800000000000002E-2</v>
      </c>
      <c r="C111" s="11">
        <v>3.235E-3</v>
      </c>
      <c r="D111" s="13">
        <f t="shared" si="3"/>
        <v>1.3314120370370375E-2</v>
      </c>
      <c r="E111" s="13">
        <f t="shared" si="4"/>
        <v>-2.5087962962962607E-4</v>
      </c>
      <c r="F111" s="13">
        <f>Regression!$B$17+Regression!$B$18*Returns!D111</f>
        <v>2.8503624318985708E-2</v>
      </c>
      <c r="G111" s="13">
        <f t="shared" si="5"/>
        <v>-2.8754503948615333E-2</v>
      </c>
    </row>
    <row r="112" spans="1:7" x14ac:dyDescent="0.3">
      <c r="A112" s="5">
        <v>32933</v>
      </c>
      <c r="B112" s="11">
        <v>2.4700000000000003E-2</v>
      </c>
      <c r="C112" s="11">
        <v>0.18382399999999999</v>
      </c>
      <c r="D112" s="13">
        <f t="shared" si="3"/>
        <v>2.1214120370370376E-2</v>
      </c>
      <c r="E112" s="13">
        <f t="shared" si="4"/>
        <v>0.18033812037037036</v>
      </c>
      <c r="F112" s="13">
        <f>Regression!$B$17+Regression!$B$18*Returns!D112</f>
        <v>3.9699230510148564E-2</v>
      </c>
      <c r="G112" s="13">
        <f t="shared" si="5"/>
        <v>0.1406388898602218</v>
      </c>
    </row>
    <row r="113" spans="1:7" x14ac:dyDescent="0.3">
      <c r="A113" s="5">
        <v>32964</v>
      </c>
      <c r="B113" s="11">
        <v>-2.6699999999999998E-2</v>
      </c>
      <c r="C113" s="11">
        <v>-2.1739000000000001E-2</v>
      </c>
      <c r="D113" s="13">
        <f t="shared" si="3"/>
        <v>-3.0185879629629625E-2</v>
      </c>
      <c r="E113" s="13">
        <f t="shared" si="4"/>
        <v>-2.5224879629629628E-2</v>
      </c>
      <c r="F113" s="13">
        <f>Regression!$B$17+Regression!$B$18*Returns!D113</f>
        <v>-3.3143067999442666E-2</v>
      </c>
      <c r="G113" s="13">
        <f t="shared" si="5"/>
        <v>7.9181883698130374E-3</v>
      </c>
    </row>
    <row r="114" spans="1:7" x14ac:dyDescent="0.3">
      <c r="A114" s="5">
        <v>32994</v>
      </c>
      <c r="B114" s="11">
        <v>9.0999999999999998E-2</v>
      </c>
      <c r="C114" s="11">
        <v>5.0412999999999999E-2</v>
      </c>
      <c r="D114" s="13">
        <f t="shared" si="3"/>
        <v>8.7514120370370374E-2</v>
      </c>
      <c r="E114" s="13">
        <f t="shared" si="4"/>
        <v>4.6927120370370376E-2</v>
      </c>
      <c r="F114" s="13">
        <f>Regression!$B$17+Regression!$B$18*Returns!D114</f>
        <v>0.13365729259547732</v>
      </c>
      <c r="G114" s="13">
        <f t="shared" si="5"/>
        <v>-8.6730172225106941E-2</v>
      </c>
    </row>
    <row r="115" spans="1:7" x14ac:dyDescent="0.3">
      <c r="A115" s="5">
        <v>33025</v>
      </c>
      <c r="B115" s="11">
        <v>-4.6000000000000008E-3</v>
      </c>
      <c r="C115" s="11">
        <v>8.4848000000000007E-2</v>
      </c>
      <c r="D115" s="13">
        <f t="shared" si="3"/>
        <v>-8.0858796296296269E-3</v>
      </c>
      <c r="E115" s="13">
        <f t="shared" si="4"/>
        <v>8.1362120370370383E-2</v>
      </c>
      <c r="F115" s="13">
        <f>Regression!$B$17+Regression!$B$18*Returns!D115</f>
        <v>-1.823713970999747E-3</v>
      </c>
      <c r="G115" s="13">
        <f t="shared" si="5"/>
        <v>8.3185834341370127E-2</v>
      </c>
    </row>
    <row r="116" spans="1:7" x14ac:dyDescent="0.3">
      <c r="A116" s="5">
        <v>33055</v>
      </c>
      <c r="B116" s="11">
        <v>-1.2199999999999997E-2</v>
      </c>
      <c r="C116" s="11">
        <v>-6.1453000000000001E-2</v>
      </c>
      <c r="D116" s="13">
        <f t="shared" si="3"/>
        <v>-1.5685879629629623E-2</v>
      </c>
      <c r="E116" s="13">
        <f t="shared" si="4"/>
        <v>-6.4938879629629631E-2</v>
      </c>
      <c r="F116" s="13">
        <f>Regression!$B$17+Regression!$B$18*Returns!D116</f>
        <v>-1.2594170559966537E-2</v>
      </c>
      <c r="G116" s="13">
        <f t="shared" si="5"/>
        <v>-5.2344709069663098E-2</v>
      </c>
    </row>
    <row r="117" spans="1:7" x14ac:dyDescent="0.3">
      <c r="A117" s="5">
        <v>33086</v>
      </c>
      <c r="B117" s="11">
        <v>-9.4899999999999998E-2</v>
      </c>
      <c r="C117" s="11">
        <v>-0.116429</v>
      </c>
      <c r="D117" s="13">
        <f t="shared" si="3"/>
        <v>-9.8385879629629622E-2</v>
      </c>
      <c r="E117" s="13">
        <f t="shared" si="4"/>
        <v>-0.11991487962962963</v>
      </c>
      <c r="F117" s="13">
        <f>Regression!$B$17+Regression!$B$18*Returns!D117</f>
        <v>-0.12979374423201312</v>
      </c>
      <c r="G117" s="13">
        <f t="shared" si="5"/>
        <v>9.8788646023834914E-3</v>
      </c>
    </row>
    <row r="118" spans="1:7" x14ac:dyDescent="0.3">
      <c r="A118" s="5">
        <v>33117</v>
      </c>
      <c r="B118" s="11">
        <v>-5.5200000000000006E-2</v>
      </c>
      <c r="C118" s="11">
        <v>-0.21621599999999999</v>
      </c>
      <c r="D118" s="13">
        <f t="shared" si="3"/>
        <v>-5.868587962962963E-2</v>
      </c>
      <c r="E118" s="13">
        <f t="shared" si="4"/>
        <v>-0.21970187962962962</v>
      </c>
      <c r="F118" s="13">
        <f>Regression!$B$17+Regression!$B$18*Returns!D118</f>
        <v>-7.3532280208068165E-2</v>
      </c>
      <c r="G118" s="13">
        <f t="shared" si="5"/>
        <v>-0.14616959942156144</v>
      </c>
    </row>
    <row r="119" spans="1:7" x14ac:dyDescent="0.3">
      <c r="A119" s="5">
        <v>33147</v>
      </c>
      <c r="B119" s="11">
        <v>-1.2399999999999998E-2</v>
      </c>
      <c r="C119" s="11">
        <v>6.0345000000000003E-2</v>
      </c>
      <c r="D119" s="13">
        <f t="shared" si="3"/>
        <v>-1.5885879629629625E-2</v>
      </c>
      <c r="E119" s="13">
        <f t="shared" si="4"/>
        <v>5.6859120370370379E-2</v>
      </c>
      <c r="F119" s="13">
        <f>Regression!$B$17+Regression!$B$18*Returns!D119</f>
        <v>-1.2877603628097246E-2</v>
      </c>
      <c r="G119" s="13">
        <f t="shared" si="5"/>
        <v>6.9736723998467628E-2</v>
      </c>
    </row>
    <row r="120" spans="1:7" x14ac:dyDescent="0.3">
      <c r="A120" s="5">
        <v>33178</v>
      </c>
      <c r="B120" s="11">
        <v>6.9199999999999998E-2</v>
      </c>
      <c r="C120" s="11">
        <v>0.19902400000000001</v>
      </c>
      <c r="D120" s="13">
        <f t="shared" si="3"/>
        <v>6.5714120370370374E-2</v>
      </c>
      <c r="E120" s="13">
        <f t="shared" si="4"/>
        <v>0.19553812037037038</v>
      </c>
      <c r="F120" s="13">
        <f>Regression!$B$17+Regression!$B$18*Returns!D120</f>
        <v>0.10276308816923047</v>
      </c>
      <c r="G120" s="13">
        <f t="shared" si="5"/>
        <v>9.2775032201139918E-2</v>
      </c>
    </row>
    <row r="121" spans="1:7" x14ac:dyDescent="0.3">
      <c r="A121" s="5">
        <v>33208</v>
      </c>
      <c r="B121" s="11">
        <v>3.0600000000000002E-2</v>
      </c>
      <c r="C121" s="11">
        <v>0.170068</v>
      </c>
      <c r="D121" s="13">
        <f t="shared" si="3"/>
        <v>2.7114120370370375E-2</v>
      </c>
      <c r="E121" s="13">
        <f t="shared" si="4"/>
        <v>0.16658212037037037</v>
      </c>
      <c r="F121" s="13">
        <f>Regression!$B$17+Regression!$B$18*Returns!D121</f>
        <v>4.8060506020004362E-2</v>
      </c>
      <c r="G121" s="13">
        <f t="shared" si="5"/>
        <v>0.11852161435036601</v>
      </c>
    </row>
    <row r="122" spans="1:7" x14ac:dyDescent="0.3">
      <c r="A122" s="5">
        <v>33239</v>
      </c>
      <c r="B122" s="11">
        <v>5.2100000000000007E-2</v>
      </c>
      <c r="C122" s="11">
        <v>0.29069800000000001</v>
      </c>
      <c r="D122" s="13">
        <f t="shared" si="3"/>
        <v>4.8614120370370384E-2</v>
      </c>
      <c r="E122" s="13">
        <f t="shared" si="4"/>
        <v>0.28721212037037036</v>
      </c>
      <c r="F122" s="13">
        <f>Regression!$B$17+Regression!$B$18*Returns!D122</f>
        <v>7.8529560844055185E-2</v>
      </c>
      <c r="G122" s="13">
        <f t="shared" si="5"/>
        <v>0.20868255952631518</v>
      </c>
    </row>
    <row r="123" spans="1:7" x14ac:dyDescent="0.3">
      <c r="A123" s="5">
        <v>33270</v>
      </c>
      <c r="B123" s="11">
        <v>7.6700000000000004E-2</v>
      </c>
      <c r="C123" s="11">
        <v>3.3694000000000002E-2</v>
      </c>
      <c r="D123" s="13">
        <f t="shared" si="3"/>
        <v>7.3214120370370381E-2</v>
      </c>
      <c r="E123" s="13">
        <f t="shared" si="4"/>
        <v>3.0208120370370375E-2</v>
      </c>
      <c r="F123" s="13">
        <f>Regression!$B$17+Regression!$B$18*Returns!D123</f>
        <v>0.11339182822413191</v>
      </c>
      <c r="G123" s="13">
        <f t="shared" si="5"/>
        <v>-8.3183707853761529E-2</v>
      </c>
    </row>
    <row r="124" spans="1:7" x14ac:dyDescent="0.3">
      <c r="A124" s="5">
        <v>33298</v>
      </c>
      <c r="B124" s="11">
        <v>3.0899999999999997E-2</v>
      </c>
      <c r="C124" s="11">
        <v>0.187773</v>
      </c>
      <c r="D124" s="13">
        <f t="shared" si="3"/>
        <v>2.741412037037037E-2</v>
      </c>
      <c r="E124" s="13">
        <f t="shared" si="4"/>
        <v>0.18428712037037037</v>
      </c>
      <c r="F124" s="13">
        <f>Regression!$B$17+Regression!$B$18*Returns!D124</f>
        <v>4.8485655622200419E-2</v>
      </c>
      <c r="G124" s="13">
        <f t="shared" si="5"/>
        <v>0.13580146474816995</v>
      </c>
    </row>
    <row r="125" spans="1:7" x14ac:dyDescent="0.3">
      <c r="A125" s="5">
        <v>33329</v>
      </c>
      <c r="B125" s="11">
        <v>2.5000000000000001E-3</v>
      </c>
      <c r="C125" s="11">
        <v>-0.19117600000000001</v>
      </c>
      <c r="D125" s="13">
        <f t="shared" si="3"/>
        <v>-9.8587962962962605E-4</v>
      </c>
      <c r="E125" s="13">
        <f t="shared" si="4"/>
        <v>-0.19466187962962964</v>
      </c>
      <c r="F125" s="13">
        <f>Regression!$B$17+Regression!$B$18*Returns!D125</f>
        <v>8.2381599476402875E-3</v>
      </c>
      <c r="G125" s="13">
        <f t="shared" si="5"/>
        <v>-0.20290003957726993</v>
      </c>
    </row>
    <row r="126" spans="1:7" x14ac:dyDescent="0.3">
      <c r="A126" s="5">
        <v>33359</v>
      </c>
      <c r="B126" s="11">
        <v>4.1200000000000001E-2</v>
      </c>
      <c r="C126" s="11">
        <v>-0.14327300000000001</v>
      </c>
      <c r="D126" s="13">
        <f t="shared" si="3"/>
        <v>3.7714120370370377E-2</v>
      </c>
      <c r="E126" s="13">
        <f t="shared" si="4"/>
        <v>-0.14675887962962963</v>
      </c>
      <c r="F126" s="13">
        <f>Regression!$B$17+Regression!$B$18*Returns!D126</f>
        <v>6.3082458630931731E-2</v>
      </c>
      <c r="G126" s="13">
        <f t="shared" si="5"/>
        <v>-0.20984133826056137</v>
      </c>
    </row>
    <row r="127" spans="1:7" x14ac:dyDescent="0.3">
      <c r="A127" s="5">
        <v>33390</v>
      </c>
      <c r="B127" s="11">
        <v>-4.5200000000000004E-2</v>
      </c>
      <c r="C127" s="11">
        <v>-0.117021</v>
      </c>
      <c r="D127" s="13">
        <f t="shared" si="3"/>
        <v>-4.8685879629629628E-2</v>
      </c>
      <c r="E127" s="13">
        <f t="shared" si="4"/>
        <v>-0.12050687962962962</v>
      </c>
      <c r="F127" s="13">
        <f>Regression!$B$17+Regression!$B$18*Returns!D127</f>
        <v>-5.9360626801532895E-2</v>
      </c>
      <c r="G127" s="13">
        <f t="shared" si="5"/>
        <v>-6.1146252828096728E-2</v>
      </c>
    </row>
    <row r="128" spans="1:7" x14ac:dyDescent="0.3">
      <c r="A128" s="5">
        <v>33420</v>
      </c>
      <c r="B128" s="11">
        <v>4.7300000000000002E-2</v>
      </c>
      <c r="C128" s="11">
        <v>0.114458</v>
      </c>
      <c r="D128" s="13">
        <f t="shared" si="3"/>
        <v>4.3814120370370378E-2</v>
      </c>
      <c r="E128" s="13">
        <f t="shared" si="4"/>
        <v>0.11097212037037038</v>
      </c>
      <c r="F128" s="13">
        <f>Regression!$B$17+Regression!$B$18*Returns!D128</f>
        <v>7.1727167208918252E-2</v>
      </c>
      <c r="G128" s="13">
        <f t="shared" si="5"/>
        <v>3.9244953161452129E-2</v>
      </c>
    </row>
    <row r="129" spans="1:7" x14ac:dyDescent="0.3">
      <c r="A129" s="5">
        <v>33451</v>
      </c>
      <c r="B129" s="11">
        <v>2.7799999999999998E-2</v>
      </c>
      <c r="C129" s="11">
        <v>0.14854100000000001</v>
      </c>
      <c r="D129" s="13">
        <f t="shared" si="3"/>
        <v>2.4314120370370371E-2</v>
      </c>
      <c r="E129" s="13">
        <f t="shared" si="4"/>
        <v>0.14505512037037038</v>
      </c>
      <c r="F129" s="13">
        <f>Regression!$B$17+Regression!$B$18*Returns!D129</f>
        <v>4.4092443066174485E-2</v>
      </c>
      <c r="G129" s="13">
        <f t="shared" si="5"/>
        <v>0.10096267730419589</v>
      </c>
    </row>
    <row r="130" spans="1:7" x14ac:dyDescent="0.3">
      <c r="A130" s="5">
        <v>33482</v>
      </c>
      <c r="B130" s="11">
        <v>-1.1300000000000001E-2</v>
      </c>
      <c r="C130" s="11">
        <v>-6.6037999999999999E-2</v>
      </c>
      <c r="D130" s="13">
        <f t="shared" si="3"/>
        <v>-1.4785879629629628E-2</v>
      </c>
      <c r="E130" s="13">
        <f t="shared" si="4"/>
        <v>-6.9523879629629623E-2</v>
      </c>
      <c r="F130" s="13">
        <f>Regression!$B$17+Regression!$B$18*Returns!D130</f>
        <v>-1.131872175337837E-2</v>
      </c>
      <c r="G130" s="13">
        <f t="shared" si="5"/>
        <v>-5.8205157876251253E-2</v>
      </c>
    </row>
    <row r="131" spans="1:7" x14ac:dyDescent="0.3">
      <c r="A131" s="5">
        <v>33512</v>
      </c>
      <c r="B131" s="11">
        <v>1.7100000000000001E-2</v>
      </c>
      <c r="C131" s="11">
        <v>4.0404000000000002E-2</v>
      </c>
      <c r="D131" s="13">
        <f t="shared" ref="D131:D194" si="6">B131-$J$2</f>
        <v>1.3614120370370374E-2</v>
      </c>
      <c r="E131" s="13">
        <f t="shared" ref="E131:E194" si="7">C131-$J$2</f>
        <v>3.6918120370370379E-2</v>
      </c>
      <c r="F131" s="13">
        <f>Regression!$B$17+Regression!$B$18*Returns!D131</f>
        <v>2.8928773921181764E-2</v>
      </c>
      <c r="G131" s="13">
        <f t="shared" ref="G131:G194" si="8">E131-F131</f>
        <v>7.9893464491886147E-3</v>
      </c>
    </row>
    <row r="132" spans="1:7" x14ac:dyDescent="0.3">
      <c r="A132" s="5">
        <v>33543</v>
      </c>
      <c r="B132" s="11">
        <v>-3.8000000000000006E-2</v>
      </c>
      <c r="C132" s="11">
        <v>-1.2233000000000001E-2</v>
      </c>
      <c r="D132" s="13">
        <f t="shared" si="6"/>
        <v>-4.1485879629629629E-2</v>
      </c>
      <c r="E132" s="13">
        <f t="shared" si="7"/>
        <v>-1.5718879629629628E-2</v>
      </c>
      <c r="F132" s="13">
        <f>Regression!$B$17+Regression!$B$18*Returns!D132</f>
        <v>-4.9157036348827517E-2</v>
      </c>
      <c r="G132" s="13">
        <f t="shared" si="8"/>
        <v>3.3438156719197892E-2</v>
      </c>
    </row>
    <row r="133" spans="1:7" x14ac:dyDescent="0.3">
      <c r="A133" s="5">
        <v>33573</v>
      </c>
      <c r="B133" s="11">
        <v>0.11220000000000001</v>
      </c>
      <c r="C133" s="11">
        <v>0.110837</v>
      </c>
      <c r="D133" s="13">
        <f t="shared" si="6"/>
        <v>0.10871412037037038</v>
      </c>
      <c r="E133" s="13">
        <f t="shared" si="7"/>
        <v>0.10735112037037038</v>
      </c>
      <c r="F133" s="13">
        <f>Regression!$B$17+Regression!$B$18*Returns!D133</f>
        <v>0.16370119781733211</v>
      </c>
      <c r="G133" s="13">
        <f t="shared" si="8"/>
        <v>-5.635007744696173E-2</v>
      </c>
    </row>
    <row r="134" spans="1:7" x14ac:dyDescent="0.3">
      <c r="A134" s="5">
        <v>33604</v>
      </c>
      <c r="B134" s="11">
        <v>-2.4999999999999996E-3</v>
      </c>
      <c r="C134" s="11">
        <v>0.148559</v>
      </c>
      <c r="D134" s="13">
        <f t="shared" si="6"/>
        <v>-5.9858796296296257E-3</v>
      </c>
      <c r="E134" s="13">
        <f t="shared" si="7"/>
        <v>0.14507312037037037</v>
      </c>
      <c r="F134" s="13">
        <f>Regression!$B$17+Regression!$B$18*Returns!D134</f>
        <v>1.1523332443726577E-3</v>
      </c>
      <c r="G134" s="13">
        <f t="shared" si="8"/>
        <v>0.14392078712599771</v>
      </c>
    </row>
    <row r="135" spans="1:7" x14ac:dyDescent="0.3">
      <c r="A135" s="5">
        <v>33635</v>
      </c>
      <c r="B135" s="11">
        <v>1.37E-2</v>
      </c>
      <c r="C135" s="11">
        <v>4.4324000000000002E-2</v>
      </c>
      <c r="D135" s="13">
        <f t="shared" si="6"/>
        <v>1.0214120370370373E-2</v>
      </c>
      <c r="E135" s="13">
        <f t="shared" si="7"/>
        <v>4.0838120370370379E-2</v>
      </c>
      <c r="F135" s="13">
        <f>Regression!$B$17+Regression!$B$18*Returns!D135</f>
        <v>2.4110411762959777E-2</v>
      </c>
      <c r="G135" s="13">
        <f t="shared" si="8"/>
        <v>1.6727708607410602E-2</v>
      </c>
    </row>
    <row r="136" spans="1:7" x14ac:dyDescent="0.3">
      <c r="A136" s="5">
        <v>33664</v>
      </c>
      <c r="B136" s="11">
        <v>-2.3200000000000002E-2</v>
      </c>
      <c r="C136" s="11">
        <v>-0.13703699999999999</v>
      </c>
      <c r="D136" s="13">
        <f t="shared" si="6"/>
        <v>-2.6685879629629629E-2</v>
      </c>
      <c r="E136" s="13">
        <f t="shared" si="7"/>
        <v>-0.14052287962962962</v>
      </c>
      <c r="F136" s="13">
        <f>Regression!$B$17+Regression!$B$18*Returns!D136</f>
        <v>-2.8182989307155328E-2</v>
      </c>
      <c r="G136" s="13">
        <f t="shared" si="8"/>
        <v>-0.1123398903224743</v>
      </c>
    </row>
    <row r="137" spans="1:7" x14ac:dyDescent="0.3">
      <c r="A137" s="5">
        <v>33695</v>
      </c>
      <c r="B137" s="11">
        <v>1.3900000000000001E-2</v>
      </c>
      <c r="C137" s="11">
        <v>3.2189000000000002E-2</v>
      </c>
      <c r="D137" s="13">
        <f t="shared" si="6"/>
        <v>1.0414120370370376E-2</v>
      </c>
      <c r="E137" s="13">
        <f t="shared" si="7"/>
        <v>2.8703120370370375E-2</v>
      </c>
      <c r="F137" s="13">
        <f>Regression!$B$17+Regression!$B$18*Returns!D137</f>
        <v>2.4393844831090486E-2</v>
      </c>
      <c r="G137" s="13">
        <f t="shared" si="8"/>
        <v>4.3092755392798894E-3</v>
      </c>
    </row>
    <row r="138" spans="1:7" x14ac:dyDescent="0.3">
      <c r="A138" s="5">
        <v>33725</v>
      </c>
      <c r="B138" s="11">
        <v>5.8000000000000005E-3</v>
      </c>
      <c r="C138" s="11">
        <v>-6.2370000000000004E-3</v>
      </c>
      <c r="D138" s="13">
        <f t="shared" si="6"/>
        <v>2.3141203703703744E-3</v>
      </c>
      <c r="E138" s="13">
        <f t="shared" si="7"/>
        <v>-9.7228796296296265E-3</v>
      </c>
      <c r="F138" s="13">
        <f>Regression!$B$17+Regression!$B$18*Returns!D138</f>
        <v>1.2914805571796924E-2</v>
      </c>
      <c r="G138" s="13">
        <f t="shared" si="8"/>
        <v>-2.263768520142655E-2</v>
      </c>
    </row>
    <row r="139" spans="1:7" x14ac:dyDescent="0.3">
      <c r="A139" s="5">
        <v>33756</v>
      </c>
      <c r="B139" s="11">
        <v>-2.0199999999999999E-2</v>
      </c>
      <c r="C139" s="11">
        <v>-0.19464400000000001</v>
      </c>
      <c r="D139" s="13">
        <f t="shared" si="6"/>
        <v>-2.3685879629629626E-2</v>
      </c>
      <c r="E139" s="13">
        <f t="shared" si="7"/>
        <v>-0.19812987962962963</v>
      </c>
      <c r="F139" s="13">
        <f>Regression!$B$17+Regression!$B$18*Returns!D139</f>
        <v>-2.3931493285194748E-2</v>
      </c>
      <c r="G139" s="13">
        <f t="shared" si="8"/>
        <v>-0.17419838634443488</v>
      </c>
    </row>
    <row r="140" spans="1:7" x14ac:dyDescent="0.3">
      <c r="A140" s="5">
        <v>33786</v>
      </c>
      <c r="B140" s="11">
        <v>4.0800000000000003E-2</v>
      </c>
      <c r="C140" s="11">
        <v>-2.6041999999999999E-2</v>
      </c>
      <c r="D140" s="13">
        <f t="shared" si="6"/>
        <v>3.7314120370370379E-2</v>
      </c>
      <c r="E140" s="13">
        <f t="shared" si="7"/>
        <v>-2.9527879629629626E-2</v>
      </c>
      <c r="F140" s="13">
        <f>Regression!$B$17+Regression!$B$18*Returns!D140</f>
        <v>6.2515592494670341E-2</v>
      </c>
      <c r="G140" s="13">
        <f t="shared" si="8"/>
        <v>-9.2043472124299974E-2</v>
      </c>
    </row>
    <row r="141" spans="1:7" x14ac:dyDescent="0.3">
      <c r="A141" s="5">
        <v>33817</v>
      </c>
      <c r="B141" s="11">
        <v>-2.12E-2</v>
      </c>
      <c r="C141" s="11">
        <v>-1.3476E-2</v>
      </c>
      <c r="D141" s="13">
        <f t="shared" si="6"/>
        <v>-2.4685879629629627E-2</v>
      </c>
      <c r="E141" s="13">
        <f t="shared" si="7"/>
        <v>-1.6961879629629625E-2</v>
      </c>
      <c r="F141" s="13">
        <f>Regression!$B$17+Regression!$B$18*Returns!D141</f>
        <v>-2.5348658625848279E-2</v>
      </c>
      <c r="G141" s="13">
        <f t="shared" si="8"/>
        <v>8.3867789962186537E-3</v>
      </c>
    </row>
    <row r="142" spans="1:7" x14ac:dyDescent="0.3">
      <c r="A142" s="5">
        <v>33848</v>
      </c>
      <c r="B142" s="11">
        <v>1.4499999999999999E-2</v>
      </c>
      <c r="C142" s="11">
        <v>-1.9022000000000001E-2</v>
      </c>
      <c r="D142" s="13">
        <f t="shared" si="6"/>
        <v>1.1014120370370372E-2</v>
      </c>
      <c r="E142" s="13">
        <f t="shared" si="7"/>
        <v>-2.2507879629629628E-2</v>
      </c>
      <c r="F142" s="13">
        <f>Regression!$B$17+Regression!$B$18*Returns!D142</f>
        <v>2.5244144035482592E-2</v>
      </c>
      <c r="G142" s="13">
        <f t="shared" si="8"/>
        <v>-4.775202366511222E-2</v>
      </c>
    </row>
    <row r="143" spans="1:7" x14ac:dyDescent="0.3">
      <c r="A143" s="5">
        <v>33878</v>
      </c>
      <c r="B143" s="11">
        <v>1.2500000000000001E-2</v>
      </c>
      <c r="C143" s="11">
        <v>0.163435</v>
      </c>
      <c r="D143" s="13">
        <f t="shared" si="6"/>
        <v>9.0141203703703737E-3</v>
      </c>
      <c r="E143" s="13">
        <f t="shared" si="7"/>
        <v>0.15994912037037037</v>
      </c>
      <c r="F143" s="13">
        <f>Regression!$B$17+Regression!$B$18*Returns!D143</f>
        <v>2.2409813354175544E-2</v>
      </c>
      <c r="G143" s="13">
        <f t="shared" si="8"/>
        <v>0.13753930701619482</v>
      </c>
    </row>
    <row r="144" spans="1:7" x14ac:dyDescent="0.3">
      <c r="A144" s="5">
        <v>33909</v>
      </c>
      <c r="B144" s="11">
        <v>4.36E-2</v>
      </c>
      <c r="C144" s="11">
        <v>9.7524E-2</v>
      </c>
      <c r="D144" s="13">
        <f t="shared" si="6"/>
        <v>4.0114120370370376E-2</v>
      </c>
      <c r="E144" s="13">
        <f t="shared" si="7"/>
        <v>9.4038120370370376E-2</v>
      </c>
      <c r="F144" s="13">
        <f>Regression!$B$17+Regression!$B$18*Returns!D144</f>
        <v>6.6483655448500212E-2</v>
      </c>
      <c r="G144" s="13">
        <f t="shared" si="8"/>
        <v>2.7554464921870164E-2</v>
      </c>
    </row>
    <row r="145" spans="1:7" x14ac:dyDescent="0.3">
      <c r="A145" s="5">
        <v>33939</v>
      </c>
      <c r="B145" s="11">
        <v>1.8100000000000002E-2</v>
      </c>
      <c r="C145" s="11">
        <v>3.9129999999999998E-2</v>
      </c>
      <c r="D145" s="13">
        <f t="shared" si="6"/>
        <v>1.4614120370370375E-2</v>
      </c>
      <c r="E145" s="13">
        <f t="shared" si="7"/>
        <v>3.5644120370370375E-2</v>
      </c>
      <c r="F145" s="13">
        <f>Regression!$B$17+Regression!$B$18*Returns!D145</f>
        <v>3.0345939261835292E-2</v>
      </c>
      <c r="G145" s="13">
        <f t="shared" si="8"/>
        <v>5.2981811085350827E-3</v>
      </c>
    </row>
    <row r="146" spans="1:7" x14ac:dyDescent="0.3">
      <c r="A146" s="5">
        <v>33970</v>
      </c>
      <c r="B146" s="11">
        <v>1.1600000000000001E-2</v>
      </c>
      <c r="C146" s="11">
        <v>-4.1840000000000002E-3</v>
      </c>
      <c r="D146" s="13">
        <f t="shared" si="6"/>
        <v>8.1141203703703757E-3</v>
      </c>
      <c r="E146" s="13">
        <f t="shared" si="7"/>
        <v>-7.6698796296296263E-3</v>
      </c>
      <c r="F146" s="13">
        <f>Regression!$B$17+Regression!$B$18*Returns!D146</f>
        <v>2.1134364547587374E-2</v>
      </c>
      <c r="G146" s="13">
        <f t="shared" si="8"/>
        <v>-2.8804244177217001E-2</v>
      </c>
    </row>
    <row r="147" spans="1:7" x14ac:dyDescent="0.3">
      <c r="A147" s="5">
        <v>34001</v>
      </c>
      <c r="B147" s="11">
        <v>3.3999999999999998E-3</v>
      </c>
      <c r="C147" s="11">
        <v>-0.107227</v>
      </c>
      <c r="D147" s="13">
        <f t="shared" si="6"/>
        <v>-8.5879629629626291E-5</v>
      </c>
      <c r="E147" s="13">
        <f t="shared" si="7"/>
        <v>-0.11071287962962963</v>
      </c>
      <c r="F147" s="13">
        <f>Regression!$B$17+Regression!$B$18*Returns!D147</f>
        <v>9.5136087542284607E-3</v>
      </c>
      <c r="G147" s="13">
        <f t="shared" si="8"/>
        <v>-0.12022648838385809</v>
      </c>
    </row>
    <row r="148" spans="1:7" x14ac:dyDescent="0.3">
      <c r="A148" s="5">
        <v>34029</v>
      </c>
      <c r="B148" s="11">
        <v>2.5499999999999998E-2</v>
      </c>
      <c r="C148" s="11">
        <v>-2.8302000000000001E-2</v>
      </c>
      <c r="D148" s="13">
        <f t="shared" si="6"/>
        <v>2.2014120370370371E-2</v>
      </c>
      <c r="E148" s="13">
        <f t="shared" si="7"/>
        <v>-3.1787879629629624E-2</v>
      </c>
      <c r="F148" s="13">
        <f>Regression!$B$17+Regression!$B$18*Returns!D148</f>
        <v>4.083296278267138E-2</v>
      </c>
      <c r="G148" s="13">
        <f t="shared" si="8"/>
        <v>-7.2620842412301004E-2</v>
      </c>
    </row>
    <row r="149" spans="1:7" x14ac:dyDescent="0.3">
      <c r="A149" s="5">
        <v>34060</v>
      </c>
      <c r="B149" s="11">
        <v>-2.8099999999999997E-2</v>
      </c>
      <c r="C149" s="11">
        <v>-4.8539999999999998E-3</v>
      </c>
      <c r="D149" s="13">
        <f t="shared" si="6"/>
        <v>-3.1585879629629623E-2</v>
      </c>
      <c r="E149" s="13">
        <f t="shared" si="7"/>
        <v>-8.3398796296296259E-3</v>
      </c>
      <c r="F149" s="13">
        <f>Regression!$B$17+Regression!$B$18*Returns!D149</f>
        <v>-3.5127099476357601E-2</v>
      </c>
      <c r="G149" s="13">
        <f t="shared" si="8"/>
        <v>2.6787219846727973E-2</v>
      </c>
    </row>
    <row r="150" spans="1:7" x14ac:dyDescent="0.3">
      <c r="A150" s="5">
        <v>34090</v>
      </c>
      <c r="B150" s="11">
        <v>3.1100000000000003E-2</v>
      </c>
      <c r="C150" s="11">
        <v>0.10722</v>
      </c>
      <c r="D150" s="13">
        <f t="shared" si="6"/>
        <v>2.7614120370370376E-2</v>
      </c>
      <c r="E150" s="13">
        <f t="shared" si="7"/>
        <v>0.10373412037037037</v>
      </c>
      <c r="F150" s="13">
        <f>Regression!$B$17+Regression!$B$18*Returns!D150</f>
        <v>4.8769088690331128E-2</v>
      </c>
      <c r="G150" s="13">
        <f t="shared" si="8"/>
        <v>5.4965031680039245E-2</v>
      </c>
    </row>
    <row r="151" spans="1:7" x14ac:dyDescent="0.3">
      <c r="A151" s="5">
        <v>34121</v>
      </c>
      <c r="B151" s="11">
        <v>5.6000000000000008E-3</v>
      </c>
      <c r="C151" s="11">
        <v>-0.30242799999999997</v>
      </c>
      <c r="D151" s="13">
        <f t="shared" si="6"/>
        <v>2.1141203703703747E-3</v>
      </c>
      <c r="E151" s="13">
        <f t="shared" si="7"/>
        <v>-0.30591387962962963</v>
      </c>
      <c r="F151" s="13">
        <f>Regression!$B$17+Regression!$B$18*Returns!D151</f>
        <v>1.2631372503666218E-2</v>
      </c>
      <c r="G151" s="13">
        <f t="shared" si="8"/>
        <v>-0.31854525213329582</v>
      </c>
    </row>
    <row r="152" spans="1:7" x14ac:dyDescent="0.3">
      <c r="A152" s="5">
        <v>34151</v>
      </c>
      <c r="B152" s="11">
        <v>-1.0000000000000002E-3</v>
      </c>
      <c r="C152" s="11">
        <v>-0.29746800000000001</v>
      </c>
      <c r="D152" s="13">
        <f t="shared" si="6"/>
        <v>-4.4858796296296261E-3</v>
      </c>
      <c r="E152" s="13">
        <f t="shared" si="7"/>
        <v>-0.30095387962962966</v>
      </c>
      <c r="F152" s="13">
        <f>Regression!$B$17+Regression!$B$18*Returns!D152</f>
        <v>3.2780812553529467E-3</v>
      </c>
      <c r="G152" s="13">
        <f t="shared" si="8"/>
        <v>-0.30423196088498261</v>
      </c>
    </row>
    <row r="153" spans="1:7" x14ac:dyDescent="0.3">
      <c r="A153" s="5">
        <v>34182</v>
      </c>
      <c r="B153" s="11">
        <v>3.9599999999999996E-2</v>
      </c>
      <c r="C153" s="11">
        <v>-4.0721E-2</v>
      </c>
      <c r="D153" s="13">
        <f t="shared" si="6"/>
        <v>3.6114120370370373E-2</v>
      </c>
      <c r="E153" s="13">
        <f t="shared" si="7"/>
        <v>-4.4206879629629624E-2</v>
      </c>
      <c r="F153" s="13">
        <f>Regression!$B$17+Regression!$B$18*Returns!D153</f>
        <v>6.0814994085886094E-2</v>
      </c>
      <c r="G153" s="13">
        <f t="shared" si="8"/>
        <v>-0.10502187371551572</v>
      </c>
    </row>
    <row r="154" spans="1:7" x14ac:dyDescent="0.3">
      <c r="A154" s="5">
        <v>34213</v>
      </c>
      <c r="B154" s="11">
        <v>1.4000000000000002E-3</v>
      </c>
      <c r="C154" s="11">
        <v>-0.117925</v>
      </c>
      <c r="D154" s="13">
        <f t="shared" si="6"/>
        <v>-2.0858796296296259E-3</v>
      </c>
      <c r="E154" s="13">
        <f t="shared" si="7"/>
        <v>-0.12141087962962963</v>
      </c>
      <c r="F154" s="13">
        <f>Regression!$B$17+Regression!$B$18*Returns!D154</f>
        <v>6.6792780729214088E-3</v>
      </c>
      <c r="G154" s="13">
        <f t="shared" si="8"/>
        <v>-0.12809015770255103</v>
      </c>
    </row>
    <row r="155" spans="1:7" x14ac:dyDescent="0.3">
      <c r="A155" s="5">
        <v>34243</v>
      </c>
      <c r="B155" s="11">
        <v>1.6299999999999999E-2</v>
      </c>
      <c r="C155" s="11">
        <v>0.31550800000000001</v>
      </c>
      <c r="D155" s="13">
        <f t="shared" si="6"/>
        <v>1.2814120370370372E-2</v>
      </c>
      <c r="E155" s="13">
        <f t="shared" si="7"/>
        <v>0.31202212037037036</v>
      </c>
      <c r="F155" s="13">
        <f>Regression!$B$17+Regression!$B$18*Returns!D155</f>
        <v>2.7795041648658942E-2</v>
      </c>
      <c r="G155" s="13">
        <f t="shared" si="8"/>
        <v>0.28422707872171143</v>
      </c>
    </row>
    <row r="156" spans="1:7" x14ac:dyDescent="0.3">
      <c r="A156" s="5">
        <v>34274</v>
      </c>
      <c r="B156" s="11">
        <v>-1.6399999999999998E-2</v>
      </c>
      <c r="C156" s="11">
        <v>2.8292999999999999E-2</v>
      </c>
      <c r="D156" s="13">
        <f t="shared" si="6"/>
        <v>-1.9885879629629625E-2</v>
      </c>
      <c r="E156" s="13">
        <f t="shared" si="7"/>
        <v>2.4807120370370372E-2</v>
      </c>
      <c r="F156" s="13">
        <f>Regression!$B$17+Regression!$B$18*Returns!D156</f>
        <v>-1.854626499071135E-2</v>
      </c>
      <c r="G156" s="13">
        <f t="shared" si="8"/>
        <v>4.3353385361081721E-2</v>
      </c>
    </row>
    <row r="157" spans="1:7" x14ac:dyDescent="0.3">
      <c r="A157" s="5">
        <v>34304</v>
      </c>
      <c r="B157" s="11">
        <v>1.8799999999999997E-2</v>
      </c>
      <c r="C157" s="11">
        <v>-7.1429000000000006E-2</v>
      </c>
      <c r="D157" s="13">
        <f t="shared" si="6"/>
        <v>1.531412037037037E-2</v>
      </c>
      <c r="E157" s="13">
        <f t="shared" si="7"/>
        <v>-7.491487962962963E-2</v>
      </c>
      <c r="F157" s="13">
        <f>Regression!$B$17+Regression!$B$18*Returns!D157</f>
        <v>3.1337955000292753E-2</v>
      </c>
      <c r="G157" s="13">
        <f t="shared" si="8"/>
        <v>-0.10625283462992238</v>
      </c>
    </row>
    <row r="158" spans="1:7" x14ac:dyDescent="0.3">
      <c r="A158" s="5">
        <v>34335</v>
      </c>
      <c r="B158" s="11">
        <v>3.1200000000000002E-2</v>
      </c>
      <c r="C158" s="11">
        <v>0.119658</v>
      </c>
      <c r="D158" s="13">
        <f t="shared" si="6"/>
        <v>2.7714120370370375E-2</v>
      </c>
      <c r="E158" s="13">
        <f t="shared" si="7"/>
        <v>0.11617212037037038</v>
      </c>
      <c r="F158" s="13">
        <f>Regression!$B$17+Regression!$B$18*Returns!D158</f>
        <v>4.8910805224396482E-2</v>
      </c>
      <c r="G158" s="13">
        <f t="shared" si="8"/>
        <v>6.7261315145973888E-2</v>
      </c>
    </row>
    <row r="159" spans="1:7" x14ac:dyDescent="0.3">
      <c r="A159" s="5">
        <v>34366</v>
      </c>
      <c r="B159" s="11">
        <v>-2.3399999999999997E-2</v>
      </c>
      <c r="C159" s="11">
        <v>0.118168</v>
      </c>
      <c r="D159" s="13">
        <f t="shared" si="6"/>
        <v>-2.6885879629629624E-2</v>
      </c>
      <c r="E159" s="13">
        <f t="shared" si="7"/>
        <v>0.11468212037037037</v>
      </c>
      <c r="F159" s="13">
        <f>Regression!$B$17+Regression!$B$18*Returns!D159</f>
        <v>-2.846642237528603E-2</v>
      </c>
      <c r="G159" s="13">
        <f t="shared" si="8"/>
        <v>0.14314854274565642</v>
      </c>
    </row>
    <row r="160" spans="1:7" x14ac:dyDescent="0.3">
      <c r="A160" s="5">
        <v>34394</v>
      </c>
      <c r="B160" s="11">
        <v>-4.5100000000000001E-2</v>
      </c>
      <c r="C160" s="11">
        <v>-8.9040999999999995E-2</v>
      </c>
      <c r="D160" s="13">
        <f t="shared" si="6"/>
        <v>-4.8585879629629625E-2</v>
      </c>
      <c r="E160" s="13">
        <f t="shared" si="7"/>
        <v>-9.2526879629629619E-2</v>
      </c>
      <c r="F160" s="13">
        <f>Regression!$B$17+Regression!$B$18*Returns!D160</f>
        <v>-5.9218910267467548E-2</v>
      </c>
      <c r="G160" s="13">
        <f t="shared" si="8"/>
        <v>-3.3307969362162071E-2</v>
      </c>
    </row>
    <row r="161" spans="1:7" x14ac:dyDescent="0.3">
      <c r="A161" s="5">
        <v>34425</v>
      </c>
      <c r="B161" s="11">
        <v>9.5000000000000015E-3</v>
      </c>
      <c r="C161" s="11">
        <v>-9.7743999999999998E-2</v>
      </c>
      <c r="D161" s="13">
        <f t="shared" si="6"/>
        <v>6.0141203703703754E-3</v>
      </c>
      <c r="E161" s="13">
        <f t="shared" si="7"/>
        <v>-0.10122987962962962</v>
      </c>
      <c r="F161" s="13">
        <f>Regression!$B$17+Regression!$B$18*Returns!D161</f>
        <v>1.8158317332214971E-2</v>
      </c>
      <c r="G161" s="13">
        <f t="shared" si="8"/>
        <v>-0.11938819696184459</v>
      </c>
    </row>
    <row r="162" spans="1:7" x14ac:dyDescent="0.3">
      <c r="A162" s="5">
        <v>34455</v>
      </c>
      <c r="B162" s="11">
        <v>8.8999999999999982E-3</v>
      </c>
      <c r="C162" s="11">
        <v>-2.1000000000000001E-2</v>
      </c>
      <c r="D162" s="13">
        <f t="shared" si="6"/>
        <v>5.4141203703703721E-3</v>
      </c>
      <c r="E162" s="13">
        <f t="shared" si="7"/>
        <v>-2.4485879629629628E-2</v>
      </c>
      <c r="F162" s="13">
        <f>Regression!$B$17+Regression!$B$18*Returns!D162</f>
        <v>1.7308018127822851E-2</v>
      </c>
      <c r="G162" s="13">
        <f t="shared" si="8"/>
        <v>-4.1793897757452479E-2</v>
      </c>
    </row>
    <row r="163" spans="1:7" x14ac:dyDescent="0.3">
      <c r="A163" s="5">
        <v>34486</v>
      </c>
      <c r="B163" s="11">
        <v>-2.7199999999999998E-2</v>
      </c>
      <c r="C163" s="11">
        <v>-9.4017000000000003E-2</v>
      </c>
      <c r="D163" s="13">
        <f t="shared" si="6"/>
        <v>-3.0685879629629625E-2</v>
      </c>
      <c r="E163" s="13">
        <f t="shared" si="7"/>
        <v>-9.7502879629629627E-2</v>
      </c>
      <c r="F163" s="13">
        <f>Regression!$B$17+Regression!$B$18*Returns!D163</f>
        <v>-3.3851650669769431E-2</v>
      </c>
      <c r="G163" s="13">
        <f t="shared" si="8"/>
        <v>-6.3651228959860195E-2</v>
      </c>
    </row>
    <row r="164" spans="1:7" x14ac:dyDescent="0.3">
      <c r="A164" s="5">
        <v>34516</v>
      </c>
      <c r="B164" s="11">
        <v>3.0999999999999996E-2</v>
      </c>
      <c r="C164" s="11">
        <v>0.27122600000000002</v>
      </c>
      <c r="D164" s="13">
        <f t="shared" si="6"/>
        <v>2.7514120370370369E-2</v>
      </c>
      <c r="E164" s="13">
        <f t="shared" si="7"/>
        <v>0.26774012037037037</v>
      </c>
      <c r="F164" s="13">
        <f>Regression!$B$17+Regression!$B$18*Returns!D164</f>
        <v>4.8627372156265766E-2</v>
      </c>
      <c r="G164" s="13">
        <f t="shared" si="8"/>
        <v>0.21911274821410459</v>
      </c>
    </row>
    <row r="165" spans="1:7" x14ac:dyDescent="0.3">
      <c r="A165" s="5">
        <v>34547</v>
      </c>
      <c r="B165" s="11">
        <v>4.3799999999999999E-2</v>
      </c>
      <c r="C165" s="11">
        <v>7.7773999999999996E-2</v>
      </c>
      <c r="D165" s="13">
        <f t="shared" si="6"/>
        <v>4.0314120370370375E-2</v>
      </c>
      <c r="E165" s="13">
        <f t="shared" si="7"/>
        <v>7.4288120370370372E-2</v>
      </c>
      <c r="F165" s="13">
        <f>Regression!$B$17+Regression!$B$18*Returns!D165</f>
        <v>6.6767088516630907E-2</v>
      </c>
      <c r="G165" s="13">
        <f t="shared" si="8"/>
        <v>7.5210318537394655E-3</v>
      </c>
    </row>
    <row r="166" spans="1:7" x14ac:dyDescent="0.3">
      <c r="A166" s="5">
        <v>34578</v>
      </c>
      <c r="B166" s="11">
        <v>-1.9400000000000001E-2</v>
      </c>
      <c r="C166" s="11">
        <v>-6.9084999999999994E-2</v>
      </c>
      <c r="D166" s="13">
        <f t="shared" si="6"/>
        <v>-2.2885879629629628E-2</v>
      </c>
      <c r="E166" s="13">
        <f t="shared" si="7"/>
        <v>-7.2570879629629617E-2</v>
      </c>
      <c r="F166" s="13">
        <f>Regression!$B$17+Regression!$B$18*Returns!D166</f>
        <v>-2.2797761012671933E-2</v>
      </c>
      <c r="G166" s="13">
        <f t="shared" si="8"/>
        <v>-4.9773118616957684E-2</v>
      </c>
    </row>
    <row r="167" spans="1:7" x14ac:dyDescent="0.3">
      <c r="A167" s="5">
        <v>34608</v>
      </c>
      <c r="B167" s="11">
        <v>1.7200000000000003E-2</v>
      </c>
      <c r="C167" s="11">
        <v>0.28200399999999998</v>
      </c>
      <c r="D167" s="13">
        <f t="shared" si="6"/>
        <v>1.3714120370370377E-2</v>
      </c>
      <c r="E167" s="13">
        <f t="shared" si="7"/>
        <v>0.27851812037037033</v>
      </c>
      <c r="F167" s="13">
        <f>Regression!$B$17+Regression!$B$18*Returns!D167</f>
        <v>2.9070490455247122E-2</v>
      </c>
      <c r="G167" s="13">
        <f t="shared" si="8"/>
        <v>0.2494476299151232</v>
      </c>
    </row>
    <row r="168" spans="1:7" x14ac:dyDescent="0.3">
      <c r="A168" s="5">
        <v>34639</v>
      </c>
      <c r="B168" s="11">
        <v>-3.6699999999999997E-2</v>
      </c>
      <c r="C168" s="11">
        <v>-0.13470299999999999</v>
      </c>
      <c r="D168" s="13">
        <f t="shared" si="6"/>
        <v>-4.018587962962962E-2</v>
      </c>
      <c r="E168" s="13">
        <f t="shared" si="7"/>
        <v>-0.13818887962962961</v>
      </c>
      <c r="F168" s="13">
        <f>Regression!$B$17+Regression!$B$18*Returns!D168</f>
        <v>-4.7314721405977915E-2</v>
      </c>
      <c r="G168" s="13">
        <f t="shared" si="8"/>
        <v>-9.0874158223651691E-2</v>
      </c>
    </row>
    <row r="169" spans="1:7" x14ac:dyDescent="0.3">
      <c r="A169" s="5">
        <v>34669</v>
      </c>
      <c r="B169" s="11">
        <v>1.3000000000000001E-2</v>
      </c>
      <c r="C169" s="11">
        <v>4.6980000000000001E-2</v>
      </c>
      <c r="D169" s="13">
        <f t="shared" si="6"/>
        <v>9.5141203703703742E-3</v>
      </c>
      <c r="E169" s="13">
        <f t="shared" si="7"/>
        <v>4.3494120370370377E-2</v>
      </c>
      <c r="F169" s="13">
        <f>Regression!$B$17+Regression!$B$18*Returns!D169</f>
        <v>2.3118396024502309E-2</v>
      </c>
      <c r="G169" s="13">
        <f t="shared" si="8"/>
        <v>2.0375724345868068E-2</v>
      </c>
    </row>
    <row r="170" spans="1:7" x14ac:dyDescent="0.3">
      <c r="A170" s="5">
        <v>34700</v>
      </c>
      <c r="B170" s="11">
        <v>2.2200000000000001E-2</v>
      </c>
      <c r="C170" s="11">
        <v>3.5256000000000003E-2</v>
      </c>
      <c r="D170" s="13">
        <f t="shared" si="6"/>
        <v>1.8714120370370374E-2</v>
      </c>
      <c r="E170" s="13">
        <f t="shared" si="7"/>
        <v>3.1770120370370379E-2</v>
      </c>
      <c r="F170" s="13">
        <f>Regression!$B$17+Regression!$B$18*Returns!D170</f>
        <v>3.615631715851475E-2</v>
      </c>
      <c r="G170" s="13">
        <f t="shared" si="8"/>
        <v>-4.3861967881443711E-3</v>
      </c>
    </row>
    <row r="171" spans="1:7" x14ac:dyDescent="0.3">
      <c r="A171" s="5">
        <v>34731</v>
      </c>
      <c r="B171" s="11">
        <v>4.0300000000000002E-2</v>
      </c>
      <c r="C171" s="11">
        <v>-1.8700000000000001E-2</v>
      </c>
      <c r="D171" s="13">
        <f t="shared" si="6"/>
        <v>3.6814120370370379E-2</v>
      </c>
      <c r="E171" s="13">
        <f t="shared" si="7"/>
        <v>-2.2185879629629628E-2</v>
      </c>
      <c r="F171" s="13">
        <f>Regression!$B$17+Regression!$B$18*Returns!D171</f>
        <v>6.1807009824343569E-2</v>
      </c>
      <c r="G171" s="13">
        <f t="shared" si="8"/>
        <v>-8.3992889453973194E-2</v>
      </c>
    </row>
    <row r="172" spans="1:7" x14ac:dyDescent="0.3">
      <c r="A172" s="5">
        <v>34759</v>
      </c>
      <c r="B172" s="11">
        <v>2.6499999999999999E-2</v>
      </c>
      <c r="C172" s="11">
        <v>-0.107595</v>
      </c>
      <c r="D172" s="13">
        <f t="shared" si="6"/>
        <v>2.3014120370370372E-2</v>
      </c>
      <c r="E172" s="13">
        <f t="shared" si="7"/>
        <v>-0.11108087962962962</v>
      </c>
      <c r="F172" s="13">
        <f>Regression!$B$17+Regression!$B$18*Returns!D172</f>
        <v>4.2250128123324904E-2</v>
      </c>
      <c r="G172" s="13">
        <f t="shared" si="8"/>
        <v>-0.15333100775295452</v>
      </c>
    </row>
    <row r="173" spans="1:7" x14ac:dyDescent="0.3">
      <c r="A173" s="5">
        <v>34790</v>
      </c>
      <c r="B173" s="11">
        <v>2.5499999999999998E-2</v>
      </c>
      <c r="C173" s="11">
        <v>8.5106000000000001E-2</v>
      </c>
      <c r="D173" s="13">
        <f t="shared" si="6"/>
        <v>2.2014120370370371E-2</v>
      </c>
      <c r="E173" s="13">
        <f t="shared" si="7"/>
        <v>8.1620120370370378E-2</v>
      </c>
      <c r="F173" s="13">
        <f>Regression!$B$17+Regression!$B$18*Returns!D173</f>
        <v>4.083296278267138E-2</v>
      </c>
      <c r="G173" s="13">
        <f t="shared" si="8"/>
        <v>4.0787157587698998E-2</v>
      </c>
    </row>
    <row r="174" spans="1:7" x14ac:dyDescent="0.3">
      <c r="A174" s="5">
        <v>34820</v>
      </c>
      <c r="B174" s="11">
        <v>3.44E-2</v>
      </c>
      <c r="C174" s="11">
        <v>8.9738999999999999E-2</v>
      </c>
      <c r="D174" s="13">
        <f t="shared" si="6"/>
        <v>3.0914120370370373E-2</v>
      </c>
      <c r="E174" s="13">
        <f t="shared" si="7"/>
        <v>8.6253120370370376E-2</v>
      </c>
      <c r="F174" s="13">
        <f>Regression!$B$17+Regression!$B$18*Returns!D174</f>
        <v>5.3445734314487757E-2</v>
      </c>
      <c r="G174" s="13">
        <f t="shared" si="8"/>
        <v>3.2807386055882619E-2</v>
      </c>
    </row>
    <row r="175" spans="1:7" x14ac:dyDescent="0.3">
      <c r="A175" s="5">
        <v>34851</v>
      </c>
      <c r="B175" s="11">
        <v>3.1900000000000005E-2</v>
      </c>
      <c r="C175" s="11">
        <v>0.11729299999999999</v>
      </c>
      <c r="D175" s="13">
        <f t="shared" si="6"/>
        <v>2.8414120370370378E-2</v>
      </c>
      <c r="E175" s="13">
        <f t="shared" si="7"/>
        <v>0.11380712037037037</v>
      </c>
      <c r="F175" s="13">
        <f>Regression!$B$17+Regression!$B$18*Returns!D175</f>
        <v>4.990282096285395E-2</v>
      </c>
      <c r="G175" s="13">
        <f t="shared" si="8"/>
        <v>6.3904299407516421E-2</v>
      </c>
    </row>
    <row r="176" spans="1:7" x14ac:dyDescent="0.3">
      <c r="A176" s="5">
        <v>34881</v>
      </c>
      <c r="B176" s="11">
        <v>4.1700000000000001E-2</v>
      </c>
      <c r="C176" s="11">
        <v>-3.0956000000000001E-2</v>
      </c>
      <c r="D176" s="13">
        <f t="shared" si="6"/>
        <v>3.8214120370370377E-2</v>
      </c>
      <c r="E176" s="13">
        <f t="shared" si="7"/>
        <v>-3.4441879629629628E-2</v>
      </c>
      <c r="F176" s="13">
        <f>Regression!$B$17+Regression!$B$18*Returns!D176</f>
        <v>6.3791041301258511E-2</v>
      </c>
      <c r="G176" s="13">
        <f t="shared" si="8"/>
        <v>-9.8232920930888146E-2</v>
      </c>
    </row>
    <row r="177" spans="1:7" x14ac:dyDescent="0.3">
      <c r="A177" s="5">
        <v>34912</v>
      </c>
      <c r="B177" s="11">
        <v>1.0200000000000001E-2</v>
      </c>
      <c r="C177" s="11">
        <v>-4.1778000000000003E-2</v>
      </c>
      <c r="D177" s="13">
        <f t="shared" si="6"/>
        <v>6.7141203703703746E-3</v>
      </c>
      <c r="E177" s="13">
        <f t="shared" si="7"/>
        <v>-4.5263879629629626E-2</v>
      </c>
      <c r="F177" s="13">
        <f>Regression!$B$17+Regression!$B$18*Returns!D177</f>
        <v>1.9150333070672439E-2</v>
      </c>
      <c r="G177" s="13">
        <f t="shared" si="8"/>
        <v>-6.4414212700302065E-2</v>
      </c>
    </row>
    <row r="178" spans="1:7" x14ac:dyDescent="0.3">
      <c r="A178" s="5">
        <v>34943</v>
      </c>
      <c r="B178" s="11">
        <v>3.78E-2</v>
      </c>
      <c r="C178" s="11">
        <v>-0.13372100000000001</v>
      </c>
      <c r="D178" s="13">
        <f t="shared" si="6"/>
        <v>3.4314120370370377E-2</v>
      </c>
      <c r="E178" s="13">
        <f t="shared" si="7"/>
        <v>-0.13720687962962963</v>
      </c>
      <c r="F178" s="13">
        <f>Regression!$B$17+Regression!$B$18*Returns!D178</f>
        <v>5.8264096472709755E-2</v>
      </c>
      <c r="G178" s="13">
        <f t="shared" si="8"/>
        <v>-0.19547097610233938</v>
      </c>
    </row>
    <row r="179" spans="1:7" x14ac:dyDescent="0.3">
      <c r="A179" s="5">
        <v>34973</v>
      </c>
      <c r="B179" s="11">
        <v>-1.0500000000000001E-2</v>
      </c>
      <c r="C179" s="11">
        <v>-2.5167999999999999E-2</v>
      </c>
      <c r="D179" s="13">
        <f t="shared" si="6"/>
        <v>-1.3985879629629626E-2</v>
      </c>
      <c r="E179" s="13">
        <f t="shared" si="7"/>
        <v>-2.8653879629629626E-2</v>
      </c>
      <c r="F179" s="13">
        <f>Regression!$B$17+Regression!$B$18*Returns!D179</f>
        <v>-1.0184989480855548E-2</v>
      </c>
      <c r="G179" s="13">
        <f t="shared" si="8"/>
        <v>-1.8468890148774078E-2</v>
      </c>
    </row>
    <row r="180" spans="1:7" x14ac:dyDescent="0.3">
      <c r="A180" s="5">
        <v>35004</v>
      </c>
      <c r="B180" s="11">
        <v>4.3799999999999999E-2</v>
      </c>
      <c r="C180" s="11">
        <v>5.3219000000000002E-2</v>
      </c>
      <c r="D180" s="13">
        <f t="shared" si="6"/>
        <v>4.0314120370370375E-2</v>
      </c>
      <c r="E180" s="13">
        <f t="shared" si="7"/>
        <v>4.9733120370370379E-2</v>
      </c>
      <c r="F180" s="13">
        <f>Regression!$B$17+Regression!$B$18*Returns!D180</f>
        <v>6.6767088516630907E-2</v>
      </c>
      <c r="G180" s="13">
        <f t="shared" si="8"/>
        <v>-1.7033968146260528E-2</v>
      </c>
    </row>
    <row r="181" spans="1:7" x14ac:dyDescent="0.3">
      <c r="A181" s="5">
        <v>35034</v>
      </c>
      <c r="B181" s="11">
        <v>1.52E-2</v>
      </c>
      <c r="C181" s="11">
        <v>-0.163934</v>
      </c>
      <c r="D181" s="13">
        <f t="shared" si="6"/>
        <v>1.1714120370370375E-2</v>
      </c>
      <c r="E181" s="13">
        <f t="shared" si="7"/>
        <v>-0.16741987962962962</v>
      </c>
      <c r="F181" s="13">
        <f>Regression!$B$17+Regression!$B$18*Returns!D181</f>
        <v>2.6236159773940067E-2</v>
      </c>
      <c r="G181" s="13">
        <f t="shared" si="8"/>
        <v>-0.19365603940356968</v>
      </c>
    </row>
    <row r="182" spans="1:7" x14ac:dyDescent="0.3">
      <c r="A182" s="5">
        <v>35065</v>
      </c>
      <c r="B182" s="11">
        <v>2.69E-2</v>
      </c>
      <c r="C182" s="11">
        <v>-0.13333300000000001</v>
      </c>
      <c r="D182" s="13">
        <f t="shared" si="6"/>
        <v>2.3414120370370373E-2</v>
      </c>
      <c r="E182" s="13">
        <f t="shared" si="7"/>
        <v>-0.13681887962962963</v>
      </c>
      <c r="F182" s="13">
        <f>Regression!$B$17+Regression!$B$18*Returns!D182</f>
        <v>4.2816994259586315E-2</v>
      </c>
      <c r="G182" s="13">
        <f t="shared" si="8"/>
        <v>-0.17963587388921595</v>
      </c>
    </row>
    <row r="183" spans="1:7" x14ac:dyDescent="0.3">
      <c r="A183" s="5">
        <v>35096</v>
      </c>
      <c r="B183" s="11">
        <v>1.7200000000000003E-2</v>
      </c>
      <c r="C183" s="11">
        <v>-4.5250000000000004E-3</v>
      </c>
      <c r="D183" s="13">
        <f t="shared" si="6"/>
        <v>1.3714120370370377E-2</v>
      </c>
      <c r="E183" s="13">
        <f t="shared" si="7"/>
        <v>-8.0108796296296265E-3</v>
      </c>
      <c r="F183" s="13">
        <f>Regression!$B$17+Regression!$B$18*Returns!D183</f>
        <v>2.9070490455247122E-2</v>
      </c>
      <c r="G183" s="13">
        <f t="shared" si="8"/>
        <v>-3.7081370084876747E-2</v>
      </c>
    </row>
    <row r="184" spans="1:7" x14ac:dyDescent="0.3">
      <c r="A184" s="5">
        <v>35125</v>
      </c>
      <c r="B184" s="11">
        <v>1.1200000000000002E-2</v>
      </c>
      <c r="C184" s="11">
        <v>-0.106818</v>
      </c>
      <c r="D184" s="13">
        <f t="shared" si="6"/>
        <v>7.7141203703703755E-3</v>
      </c>
      <c r="E184" s="13">
        <f t="shared" si="7"/>
        <v>-0.11030387962962962</v>
      </c>
      <c r="F184" s="13">
        <f>Regression!$B$17+Regression!$B$18*Returns!D184</f>
        <v>2.0567498411325963E-2</v>
      </c>
      <c r="G184" s="13">
        <f t="shared" si="8"/>
        <v>-0.13087137804095558</v>
      </c>
    </row>
    <row r="185" spans="1:7" x14ac:dyDescent="0.3">
      <c r="A185" s="5">
        <v>35156</v>
      </c>
      <c r="B185" s="11">
        <v>2.52E-2</v>
      </c>
      <c r="C185" s="11">
        <v>-7.6340000000000002E-3</v>
      </c>
      <c r="D185" s="13">
        <f t="shared" si="6"/>
        <v>2.1714120370370373E-2</v>
      </c>
      <c r="E185" s="13">
        <f t="shared" si="7"/>
        <v>-1.1119879629629625E-2</v>
      </c>
      <c r="F185" s="13">
        <f>Regression!$B$17+Regression!$B$18*Returns!D185</f>
        <v>4.0407813180475323E-2</v>
      </c>
      <c r="G185" s="13">
        <f t="shared" si="8"/>
        <v>-5.1527692810104948E-2</v>
      </c>
    </row>
    <row r="186" spans="1:7" x14ac:dyDescent="0.3">
      <c r="A186" s="5">
        <v>35186</v>
      </c>
      <c r="B186" s="11">
        <v>2.7799999999999998E-2</v>
      </c>
      <c r="C186" s="11">
        <v>7.1794999999999998E-2</v>
      </c>
      <c r="D186" s="13">
        <f t="shared" si="6"/>
        <v>2.4314120370370371E-2</v>
      </c>
      <c r="E186" s="13">
        <f t="shared" si="7"/>
        <v>6.8309120370370374E-2</v>
      </c>
      <c r="F186" s="13">
        <f>Regression!$B$17+Regression!$B$18*Returns!D186</f>
        <v>4.4092443066174485E-2</v>
      </c>
      <c r="G186" s="13">
        <f t="shared" si="8"/>
        <v>2.421667730419589E-2</v>
      </c>
    </row>
    <row r="187" spans="1:7" x14ac:dyDescent="0.3">
      <c r="A187" s="5">
        <v>35217</v>
      </c>
      <c r="B187" s="11">
        <v>-7.3999999999999986E-3</v>
      </c>
      <c r="C187" s="11">
        <v>-0.19617200000000001</v>
      </c>
      <c r="D187" s="13">
        <f t="shared" si="6"/>
        <v>-1.0885879629629624E-2</v>
      </c>
      <c r="E187" s="13">
        <f t="shared" si="7"/>
        <v>-0.19965787962962964</v>
      </c>
      <c r="F187" s="13">
        <f>Regression!$B$17+Regression!$B$18*Returns!D187</f>
        <v>-5.7917769248296159E-3</v>
      </c>
      <c r="G187" s="13">
        <f t="shared" si="8"/>
        <v>-0.19386610270480001</v>
      </c>
    </row>
    <row r="188" spans="1:7" x14ac:dyDescent="0.3">
      <c r="A188" s="5">
        <v>35247</v>
      </c>
      <c r="B188" s="11">
        <v>-5.5199999999999999E-2</v>
      </c>
      <c r="C188" s="11">
        <v>4.7619000000000002E-2</v>
      </c>
      <c r="D188" s="13">
        <f t="shared" si="6"/>
        <v>-5.8685879629629623E-2</v>
      </c>
      <c r="E188" s="13">
        <f t="shared" si="7"/>
        <v>4.4133120370370378E-2</v>
      </c>
      <c r="F188" s="13">
        <f>Regression!$B$17+Regression!$B$18*Returns!D188</f>
        <v>-7.3532280208068151E-2</v>
      </c>
      <c r="G188" s="13">
        <f t="shared" si="8"/>
        <v>0.11766540057843852</v>
      </c>
    </row>
    <row r="189" spans="1:7" x14ac:dyDescent="0.3">
      <c r="A189" s="5">
        <v>35278</v>
      </c>
      <c r="B189" s="11">
        <v>3.1800000000000002E-2</v>
      </c>
      <c r="C189" s="11">
        <v>0.102273</v>
      </c>
      <c r="D189" s="13">
        <f t="shared" si="6"/>
        <v>2.8314120370370375E-2</v>
      </c>
      <c r="E189" s="13">
        <f t="shared" si="7"/>
        <v>9.8787120370370379E-2</v>
      </c>
      <c r="F189" s="13">
        <f>Regression!$B$17+Regression!$B$18*Returns!D189</f>
        <v>4.9761104428788595E-2</v>
      </c>
      <c r="G189" s="13">
        <f t="shared" si="8"/>
        <v>4.9026015941581784E-2</v>
      </c>
    </row>
    <row r="190" spans="1:7" x14ac:dyDescent="0.3">
      <c r="A190" s="5">
        <v>35309</v>
      </c>
      <c r="B190" s="11">
        <v>5.45E-2</v>
      </c>
      <c r="C190" s="11">
        <v>-8.5052000000000003E-2</v>
      </c>
      <c r="D190" s="13">
        <f t="shared" si="6"/>
        <v>5.1014120370370376E-2</v>
      </c>
      <c r="E190" s="13">
        <f t="shared" si="7"/>
        <v>-8.8537879629629626E-2</v>
      </c>
      <c r="F190" s="13">
        <f>Regression!$B$17+Regression!$B$18*Returns!D190</f>
        <v>8.1930757661623638E-2</v>
      </c>
      <c r="G190" s="13">
        <f t="shared" si="8"/>
        <v>-0.17046863729125328</v>
      </c>
    </row>
    <row r="191" spans="1:7" x14ac:dyDescent="0.3">
      <c r="A191" s="5">
        <v>35339</v>
      </c>
      <c r="B191" s="11">
        <v>1.2800000000000001E-2</v>
      </c>
      <c r="C191" s="11">
        <v>3.662E-2</v>
      </c>
      <c r="D191" s="13">
        <f t="shared" si="6"/>
        <v>9.3141203703703754E-3</v>
      </c>
      <c r="E191" s="13">
        <f t="shared" si="7"/>
        <v>3.3134120370370376E-2</v>
      </c>
      <c r="F191" s="13">
        <f>Regression!$B$17+Regression!$B$18*Returns!D191</f>
        <v>2.2834962956371607E-2</v>
      </c>
      <c r="G191" s="13">
        <f t="shared" si="8"/>
        <v>1.0299157413998769E-2</v>
      </c>
    </row>
    <row r="192" spans="1:7" x14ac:dyDescent="0.3">
      <c r="A192" s="5">
        <v>35370</v>
      </c>
      <c r="B192" s="11">
        <v>6.6600000000000006E-2</v>
      </c>
      <c r="C192" s="11">
        <v>4.8912999999999998E-2</v>
      </c>
      <c r="D192" s="13">
        <f t="shared" si="6"/>
        <v>6.3114120370370383E-2</v>
      </c>
      <c r="E192" s="13">
        <f t="shared" si="7"/>
        <v>4.5427120370370375E-2</v>
      </c>
      <c r="F192" s="13">
        <f>Regression!$B$17+Regression!$B$18*Returns!D192</f>
        <v>9.9078458283531304E-2</v>
      </c>
      <c r="G192" s="13">
        <f t="shared" si="8"/>
        <v>-5.3651337913160929E-2</v>
      </c>
    </row>
    <row r="193" spans="1:7" x14ac:dyDescent="0.3">
      <c r="A193" s="5">
        <v>35400</v>
      </c>
      <c r="B193" s="11">
        <v>-1.24E-2</v>
      </c>
      <c r="C193" s="11">
        <v>-0.134715</v>
      </c>
      <c r="D193" s="13">
        <f t="shared" si="6"/>
        <v>-1.5885879629629625E-2</v>
      </c>
      <c r="E193" s="13">
        <f t="shared" si="7"/>
        <v>-0.13820087962962962</v>
      </c>
      <c r="F193" s="13">
        <f>Regression!$B$17+Regression!$B$18*Returns!D193</f>
        <v>-1.2877603628097246E-2</v>
      </c>
      <c r="G193" s="13">
        <f t="shared" si="8"/>
        <v>-0.12532327600153237</v>
      </c>
    </row>
    <row r="194" spans="1:7" x14ac:dyDescent="0.3">
      <c r="A194" s="5">
        <v>35431</v>
      </c>
      <c r="B194" s="11">
        <v>5.4300000000000008E-2</v>
      </c>
      <c r="C194" s="11">
        <v>-0.203593</v>
      </c>
      <c r="D194" s="13">
        <f t="shared" si="6"/>
        <v>5.0814120370370384E-2</v>
      </c>
      <c r="E194" s="13">
        <f t="shared" si="7"/>
        <v>-0.20707887962962962</v>
      </c>
      <c r="F194" s="13">
        <f>Regression!$B$17+Regression!$B$18*Returns!D194</f>
        <v>8.1647324593492943E-2</v>
      </c>
      <c r="G194" s="13">
        <f t="shared" si="8"/>
        <v>-0.28872620422312256</v>
      </c>
    </row>
    <row r="195" spans="1:7" x14ac:dyDescent="0.3">
      <c r="A195" s="5">
        <v>35462</v>
      </c>
      <c r="B195" s="11">
        <v>-9.999999999999998E-4</v>
      </c>
      <c r="C195" s="11">
        <v>-2.2556E-2</v>
      </c>
      <c r="D195" s="13">
        <f t="shared" ref="D195:D258" si="9">B195-$J$2</f>
        <v>-4.4858796296296261E-3</v>
      </c>
      <c r="E195" s="13">
        <f t="shared" ref="E195:E258" si="10">C195-$J$2</f>
        <v>-2.6041879629629627E-2</v>
      </c>
      <c r="F195" s="13">
        <f>Regression!$B$17+Regression!$B$18*Returns!D195</f>
        <v>3.2780812553529467E-3</v>
      </c>
      <c r="G195" s="13">
        <f t="shared" ref="G195:G258" si="11">E195-F195</f>
        <v>-2.9319960884982572E-2</v>
      </c>
    </row>
    <row r="196" spans="1:7" x14ac:dyDescent="0.3">
      <c r="A196" s="5">
        <v>35490</v>
      </c>
      <c r="B196" s="11">
        <v>-4.5899999999999996E-2</v>
      </c>
      <c r="C196" s="11">
        <v>0.12307700000000001</v>
      </c>
      <c r="D196" s="13">
        <f t="shared" si="9"/>
        <v>-4.938587962962962E-2</v>
      </c>
      <c r="E196" s="13">
        <f t="shared" si="10"/>
        <v>0.11959112037037038</v>
      </c>
      <c r="F196" s="13">
        <f>Regression!$B$17+Regression!$B$18*Returns!D196</f>
        <v>-6.0352642539990356E-2</v>
      </c>
      <c r="G196" s="13">
        <f t="shared" si="11"/>
        <v>0.17994376291036074</v>
      </c>
    </row>
    <row r="197" spans="1:7" x14ac:dyDescent="0.3">
      <c r="A197" s="5">
        <v>35521</v>
      </c>
      <c r="B197" s="11">
        <v>4.4699999999999997E-2</v>
      </c>
      <c r="C197" s="11">
        <v>-6.8492999999999998E-2</v>
      </c>
      <c r="D197" s="13">
        <f t="shared" si="9"/>
        <v>4.1214120370370373E-2</v>
      </c>
      <c r="E197" s="13">
        <f t="shared" si="10"/>
        <v>-7.1978879629629622E-2</v>
      </c>
      <c r="F197" s="13">
        <f>Regression!$B$17+Regression!$B$18*Returns!D197</f>
        <v>6.8042537323219077E-2</v>
      </c>
      <c r="G197" s="13">
        <f t="shared" si="11"/>
        <v>-0.1400214169528487</v>
      </c>
    </row>
    <row r="198" spans="1:7" x14ac:dyDescent="0.3">
      <c r="A198" s="5">
        <v>35551</v>
      </c>
      <c r="B198" s="11">
        <v>7.2300000000000003E-2</v>
      </c>
      <c r="C198" s="11">
        <v>-2.2058999999999999E-2</v>
      </c>
      <c r="D198" s="13">
        <f t="shared" si="9"/>
        <v>6.881412037037038E-2</v>
      </c>
      <c r="E198" s="13">
        <f t="shared" si="10"/>
        <v>-2.5544879629629626E-2</v>
      </c>
      <c r="F198" s="13">
        <f>Regression!$B$17+Regression!$B$18*Returns!D198</f>
        <v>0.10715630072525639</v>
      </c>
      <c r="G198" s="13">
        <f t="shared" si="11"/>
        <v>-0.13270118035488601</v>
      </c>
    </row>
    <row r="199" spans="1:7" x14ac:dyDescent="0.3">
      <c r="A199" s="5">
        <v>35582</v>
      </c>
      <c r="B199" s="11">
        <v>4.4699999999999997E-2</v>
      </c>
      <c r="C199" s="11">
        <v>-0.14285700000000001</v>
      </c>
      <c r="D199" s="13">
        <f t="shared" si="9"/>
        <v>4.1214120370370373E-2</v>
      </c>
      <c r="E199" s="13">
        <f t="shared" si="10"/>
        <v>-0.14634287962962964</v>
      </c>
      <c r="F199" s="13">
        <f>Regression!$B$17+Regression!$B$18*Returns!D199</f>
        <v>6.8042537323219077E-2</v>
      </c>
      <c r="G199" s="13">
        <f t="shared" si="11"/>
        <v>-0.21438541695284871</v>
      </c>
    </row>
    <row r="200" spans="1:7" x14ac:dyDescent="0.3">
      <c r="A200" s="5">
        <v>35612</v>
      </c>
      <c r="B200" s="11">
        <v>7.7600000000000002E-2</v>
      </c>
      <c r="C200" s="11">
        <v>0.22806999999999999</v>
      </c>
      <c r="D200" s="13">
        <f t="shared" si="9"/>
        <v>7.4114120370370379E-2</v>
      </c>
      <c r="E200" s="13">
        <f t="shared" si="10"/>
        <v>0.22458412037037037</v>
      </c>
      <c r="F200" s="13">
        <f>Regression!$B$17+Regression!$B$18*Returns!D200</f>
        <v>0.11466727703072009</v>
      </c>
      <c r="G200" s="13">
        <f t="shared" si="11"/>
        <v>0.10991684333965028</v>
      </c>
    </row>
    <row r="201" spans="1:7" x14ac:dyDescent="0.3">
      <c r="A201" s="5">
        <v>35643</v>
      </c>
      <c r="B201" s="11">
        <v>-3.7400000000000003E-2</v>
      </c>
      <c r="C201" s="11">
        <v>0.24285699999999999</v>
      </c>
      <c r="D201" s="13">
        <f t="shared" si="9"/>
        <v>-4.0885879629629626E-2</v>
      </c>
      <c r="E201" s="13">
        <f t="shared" si="10"/>
        <v>0.23937112037037037</v>
      </c>
      <c r="F201" s="13">
        <f>Regression!$B$17+Regression!$B$18*Returns!D201</f>
        <v>-4.8306737144435397E-2</v>
      </c>
      <c r="G201" s="13">
        <f t="shared" si="11"/>
        <v>0.28767785751480579</v>
      </c>
    </row>
    <row r="202" spans="1:7" x14ac:dyDescent="0.3">
      <c r="A202" s="5">
        <v>35674</v>
      </c>
      <c r="B202" s="11">
        <v>5.79E-2</v>
      </c>
      <c r="C202" s="11">
        <v>-2.8739999999999998E-3</v>
      </c>
      <c r="D202" s="13">
        <f t="shared" si="9"/>
        <v>5.4414120370370377E-2</v>
      </c>
      <c r="E202" s="13">
        <f t="shared" si="10"/>
        <v>-6.3598796296296259E-3</v>
      </c>
      <c r="F202" s="13">
        <f>Regression!$B$17+Regression!$B$18*Returns!D202</f>
        <v>8.6749119819845621E-2</v>
      </c>
      <c r="G202" s="13">
        <f t="shared" si="11"/>
        <v>-9.3108999449475247E-2</v>
      </c>
    </row>
    <row r="203" spans="1:7" x14ac:dyDescent="0.3">
      <c r="A203" s="5">
        <v>35704</v>
      </c>
      <c r="B203" s="11">
        <v>-3.3799999999999997E-2</v>
      </c>
      <c r="C203" s="11">
        <v>-0.214697</v>
      </c>
      <c r="D203" s="13">
        <f t="shared" si="9"/>
        <v>-3.728587962962962E-2</v>
      </c>
      <c r="E203" s="13">
        <f t="shared" si="10"/>
        <v>-0.21818287962962962</v>
      </c>
      <c r="F203" s="13">
        <f>Regression!$B$17+Regression!$B$18*Returns!D203</f>
        <v>-4.320494191808269E-2</v>
      </c>
      <c r="G203" s="13">
        <f t="shared" si="11"/>
        <v>-0.17497793771154693</v>
      </c>
    </row>
    <row r="204" spans="1:7" x14ac:dyDescent="0.3">
      <c r="A204" s="5">
        <v>35735</v>
      </c>
      <c r="B204" s="11">
        <v>3.3700000000000001E-2</v>
      </c>
      <c r="C204" s="11">
        <v>4.2202000000000003E-2</v>
      </c>
      <c r="D204" s="13">
        <f t="shared" si="9"/>
        <v>3.0214120370370374E-2</v>
      </c>
      <c r="E204" s="13">
        <f t="shared" si="10"/>
        <v>3.871612037037038E-2</v>
      </c>
      <c r="F204" s="13">
        <f>Regression!$B$17+Regression!$B$18*Returns!D204</f>
        <v>5.2453718576030296E-2</v>
      </c>
      <c r="G204" s="13">
        <f t="shared" si="11"/>
        <v>-1.3737598205659916E-2</v>
      </c>
    </row>
    <row r="205" spans="1:7" x14ac:dyDescent="0.3">
      <c r="A205" s="5">
        <v>35765</v>
      </c>
      <c r="B205" s="11">
        <v>1.8000000000000002E-2</v>
      </c>
      <c r="C205" s="11">
        <v>-0.26056299999999999</v>
      </c>
      <c r="D205" s="13">
        <f t="shared" si="9"/>
        <v>1.4514120370370375E-2</v>
      </c>
      <c r="E205" s="13">
        <f t="shared" si="10"/>
        <v>-0.26404887962962964</v>
      </c>
      <c r="F205" s="13">
        <f>Regression!$B$17+Regression!$B$18*Returns!D205</f>
        <v>3.0204222727769941E-2</v>
      </c>
      <c r="G205" s="13">
        <f t="shared" si="11"/>
        <v>-0.2942531023573996</v>
      </c>
    </row>
    <row r="206" spans="1:7" x14ac:dyDescent="0.3">
      <c r="A206" s="5">
        <v>35796</v>
      </c>
      <c r="B206" s="11">
        <v>5.7999999999999996E-3</v>
      </c>
      <c r="C206" s="11">
        <v>0.39523799999999998</v>
      </c>
      <c r="D206" s="13">
        <f t="shared" si="9"/>
        <v>2.3141203703703735E-3</v>
      </c>
      <c r="E206" s="13">
        <f t="shared" si="10"/>
        <v>0.39175212037037033</v>
      </c>
      <c r="F206" s="13">
        <f>Regression!$B$17+Regression!$B$18*Returns!D206</f>
        <v>1.2914805571796922E-2</v>
      </c>
      <c r="G206" s="13">
        <f t="shared" si="11"/>
        <v>0.37883731479857341</v>
      </c>
    </row>
    <row r="207" spans="1:7" x14ac:dyDescent="0.3">
      <c r="A207" s="5">
        <v>35827</v>
      </c>
      <c r="B207" s="11">
        <v>7.4299999999999991E-2</v>
      </c>
      <c r="C207" s="11">
        <v>0.29010200000000003</v>
      </c>
      <c r="D207" s="13">
        <f t="shared" si="9"/>
        <v>7.0814120370370368E-2</v>
      </c>
      <c r="E207" s="13">
        <f t="shared" si="10"/>
        <v>0.28661612037037038</v>
      </c>
      <c r="F207" s="13">
        <f>Regression!$B$17+Regression!$B$18*Returns!D207</f>
        <v>0.10999063140656343</v>
      </c>
      <c r="G207" s="13">
        <f t="shared" si="11"/>
        <v>0.17662548896380695</v>
      </c>
    </row>
    <row r="208" spans="1:7" x14ac:dyDescent="0.3">
      <c r="A208" s="5">
        <v>35855</v>
      </c>
      <c r="B208" s="11">
        <v>5.1499999999999997E-2</v>
      </c>
      <c r="C208" s="11">
        <v>0.164021</v>
      </c>
      <c r="D208" s="13">
        <f t="shared" si="9"/>
        <v>4.8014120370370374E-2</v>
      </c>
      <c r="E208" s="13">
        <f t="shared" si="10"/>
        <v>0.16053512037037038</v>
      </c>
      <c r="F208" s="13">
        <f>Regression!$B$17+Regression!$B$18*Returns!D208</f>
        <v>7.7679261639663058E-2</v>
      </c>
      <c r="G208" s="13">
        <f t="shared" si="11"/>
        <v>8.2855858730707319E-2</v>
      </c>
    </row>
    <row r="209" spans="1:7" x14ac:dyDescent="0.3">
      <c r="A209" s="5">
        <v>35886</v>
      </c>
      <c r="B209" s="11">
        <v>1.1599999999999999E-2</v>
      </c>
      <c r="C209" s="11">
        <v>-4.5450000000000004E-3</v>
      </c>
      <c r="D209" s="13">
        <f t="shared" si="9"/>
        <v>8.1141203703703722E-3</v>
      </c>
      <c r="E209" s="13">
        <f t="shared" si="10"/>
        <v>-8.0308796296296274E-3</v>
      </c>
      <c r="F209" s="13">
        <f>Regression!$B$17+Regression!$B$18*Returns!D209</f>
        <v>2.1134364547587371E-2</v>
      </c>
      <c r="G209" s="13">
        <f t="shared" si="11"/>
        <v>-2.9165244177216998E-2</v>
      </c>
    </row>
    <row r="210" spans="1:7" x14ac:dyDescent="0.3">
      <c r="A210" s="5">
        <v>35916</v>
      </c>
      <c r="B210" s="11">
        <v>-2.6699999999999998E-2</v>
      </c>
      <c r="C210" s="11">
        <v>-2.7397000000000001E-2</v>
      </c>
      <c r="D210" s="13">
        <f t="shared" si="9"/>
        <v>-3.0185879629629625E-2</v>
      </c>
      <c r="E210" s="13">
        <f t="shared" si="10"/>
        <v>-3.0882879629629628E-2</v>
      </c>
      <c r="F210" s="13">
        <f>Regression!$B$17+Regression!$B$18*Returns!D210</f>
        <v>-3.3143067999442666E-2</v>
      </c>
      <c r="G210" s="13">
        <f t="shared" si="11"/>
        <v>2.2601883698130376E-3</v>
      </c>
    </row>
    <row r="211" spans="1:7" x14ac:dyDescent="0.3">
      <c r="A211" s="5">
        <v>35947</v>
      </c>
      <c r="B211" s="11">
        <v>3.5900000000000001E-2</v>
      </c>
      <c r="C211" s="11">
        <v>7.7465000000000006E-2</v>
      </c>
      <c r="D211" s="13">
        <f t="shared" si="9"/>
        <v>3.2414120370370378E-2</v>
      </c>
      <c r="E211" s="13">
        <f t="shared" si="10"/>
        <v>7.3979120370370383E-2</v>
      </c>
      <c r="F211" s="13">
        <f>Regression!$B$17+Regression!$B$18*Returns!D211</f>
        <v>5.5571482325468054E-2</v>
      </c>
      <c r="G211" s="13">
        <f t="shared" si="11"/>
        <v>1.8407638044902329E-2</v>
      </c>
    </row>
    <row r="212" spans="1:7" x14ac:dyDescent="0.3">
      <c r="A212" s="5">
        <v>35977</v>
      </c>
      <c r="B212" s="11">
        <v>-2.06E-2</v>
      </c>
      <c r="C212" s="11">
        <v>0.20697199999999999</v>
      </c>
      <c r="D212" s="13">
        <f t="shared" si="9"/>
        <v>-2.4085879629629627E-2</v>
      </c>
      <c r="E212" s="13">
        <f t="shared" si="10"/>
        <v>0.20348612037037037</v>
      </c>
      <c r="F212" s="13">
        <f>Regression!$B$17+Regression!$B$18*Returns!D212</f>
        <v>-2.4498359421456159E-2</v>
      </c>
      <c r="G212" s="13">
        <f t="shared" si="11"/>
        <v>0.22798447979182651</v>
      </c>
    </row>
    <row r="213" spans="1:7" x14ac:dyDescent="0.3">
      <c r="A213" s="5">
        <v>36008</v>
      </c>
      <c r="B213" s="11">
        <v>-0.15649999999999997</v>
      </c>
      <c r="C213" s="11">
        <v>-9.9278000000000005E-2</v>
      </c>
      <c r="D213" s="13">
        <f t="shared" si="9"/>
        <v>-0.1599858796296296</v>
      </c>
      <c r="E213" s="13">
        <f t="shared" si="10"/>
        <v>-0.10276387962962963</v>
      </c>
      <c r="F213" s="13">
        <f>Regression!$B$17+Regression!$B$18*Returns!D213</f>
        <v>-0.21709112921627027</v>
      </c>
      <c r="G213" s="13">
        <f t="shared" si="11"/>
        <v>0.11432724958664064</v>
      </c>
    </row>
    <row r="214" spans="1:7" x14ac:dyDescent="0.3">
      <c r="A214" s="5">
        <v>36039</v>
      </c>
      <c r="B214" s="11">
        <v>6.6100000000000006E-2</v>
      </c>
      <c r="C214" s="11">
        <v>0.222445</v>
      </c>
      <c r="D214" s="13">
        <f t="shared" si="9"/>
        <v>6.2614120370370382E-2</v>
      </c>
      <c r="E214" s="13">
        <f t="shared" si="10"/>
        <v>0.21895912037037038</v>
      </c>
      <c r="F214" s="13">
        <f>Regression!$B$17+Regression!$B$18*Returns!D214</f>
        <v>9.8369875613204538E-2</v>
      </c>
      <c r="G214" s="13">
        <f t="shared" si="11"/>
        <v>0.12058924475716584</v>
      </c>
    </row>
    <row r="215" spans="1:7" x14ac:dyDescent="0.3">
      <c r="A215" s="5">
        <v>36069</v>
      </c>
      <c r="B215" s="11">
        <v>7.4499999999999997E-2</v>
      </c>
      <c r="C215" s="11">
        <v>-2.623E-2</v>
      </c>
      <c r="D215" s="13">
        <f t="shared" si="9"/>
        <v>7.1014120370370373E-2</v>
      </c>
      <c r="E215" s="13">
        <f t="shared" si="10"/>
        <v>-2.9715879629629627E-2</v>
      </c>
      <c r="F215" s="13">
        <f>Regression!$B$17+Regression!$B$18*Returns!D215</f>
        <v>0.11027406447469415</v>
      </c>
      <c r="G215" s="13">
        <f t="shared" si="11"/>
        <v>-0.13998994410432378</v>
      </c>
    </row>
    <row r="216" spans="1:7" x14ac:dyDescent="0.3">
      <c r="A216" s="5">
        <v>36100</v>
      </c>
      <c r="B216" s="11">
        <v>6.409999999999999E-2</v>
      </c>
      <c r="C216" s="11">
        <v>-0.13973099999999999</v>
      </c>
      <c r="D216" s="13">
        <f t="shared" si="9"/>
        <v>6.0614120370370367E-2</v>
      </c>
      <c r="E216" s="13">
        <f t="shared" si="10"/>
        <v>-0.14321687962962962</v>
      </c>
      <c r="F216" s="13">
        <f>Regression!$B$17+Regression!$B$18*Returns!D216</f>
        <v>9.5535544931897462E-2</v>
      </c>
      <c r="G216" s="13">
        <f t="shared" si="11"/>
        <v>-0.23875242456152707</v>
      </c>
    </row>
    <row r="217" spans="1:7" x14ac:dyDescent="0.3">
      <c r="A217" s="5">
        <v>36130</v>
      </c>
      <c r="B217" s="11">
        <v>6.54E-2</v>
      </c>
      <c r="C217" s="11">
        <v>0.28179999999999999</v>
      </c>
      <c r="D217" s="13">
        <f t="shared" si="9"/>
        <v>6.1914120370370376E-2</v>
      </c>
      <c r="E217" s="13">
        <f t="shared" si="10"/>
        <v>0.27831412037037034</v>
      </c>
      <c r="F217" s="13">
        <f>Regression!$B$17+Regression!$B$18*Returns!D217</f>
        <v>9.7377859874747064E-2</v>
      </c>
      <c r="G217" s="13">
        <f t="shared" si="11"/>
        <v>0.18093626049562328</v>
      </c>
    </row>
    <row r="218" spans="1:7" x14ac:dyDescent="0.3">
      <c r="A218" s="5">
        <v>36161</v>
      </c>
      <c r="B218" s="11">
        <v>3.85E-2</v>
      </c>
      <c r="C218" s="11">
        <v>6.1069999999999996E-3</v>
      </c>
      <c r="D218" s="13">
        <f t="shared" si="9"/>
        <v>3.5014120370370376E-2</v>
      </c>
      <c r="E218" s="13">
        <f t="shared" si="10"/>
        <v>2.6211203703703735E-3</v>
      </c>
      <c r="F218" s="13">
        <f>Regression!$B$17+Regression!$B$18*Returns!D218</f>
        <v>5.9256112211167222E-2</v>
      </c>
      <c r="G218" s="13">
        <f t="shared" si="11"/>
        <v>-5.6634991840796851E-2</v>
      </c>
    </row>
    <row r="219" spans="1:7" x14ac:dyDescent="0.3">
      <c r="A219" s="5">
        <v>36192</v>
      </c>
      <c r="B219" s="11">
        <v>-3.73E-2</v>
      </c>
      <c r="C219" s="11">
        <v>-0.15478</v>
      </c>
      <c r="D219" s="13">
        <f t="shared" si="9"/>
        <v>-4.0785879629629623E-2</v>
      </c>
      <c r="E219" s="13">
        <f t="shared" si="10"/>
        <v>-0.15826587962962962</v>
      </c>
      <c r="F219" s="13">
        <f>Regression!$B$17+Regression!$B$18*Returns!D219</f>
        <v>-4.8165020610370035E-2</v>
      </c>
      <c r="G219" s="13">
        <f t="shared" si="11"/>
        <v>-0.11010085901925959</v>
      </c>
    </row>
    <row r="220" spans="1:7" x14ac:dyDescent="0.3">
      <c r="A220" s="5">
        <v>36220</v>
      </c>
      <c r="B220" s="11">
        <v>3.8800000000000001E-2</v>
      </c>
      <c r="C220" s="11">
        <v>3.2315999999999998E-2</v>
      </c>
      <c r="D220" s="13">
        <f t="shared" si="9"/>
        <v>3.5314120370370378E-2</v>
      </c>
      <c r="E220" s="13">
        <f t="shared" si="10"/>
        <v>2.8830120370370371E-2</v>
      </c>
      <c r="F220" s="13">
        <f>Regression!$B$17+Regression!$B$18*Returns!D220</f>
        <v>5.9681261813363279E-2</v>
      </c>
      <c r="G220" s="13">
        <f t="shared" si="11"/>
        <v>-3.0851141442992908E-2</v>
      </c>
    </row>
    <row r="221" spans="1:7" x14ac:dyDescent="0.3">
      <c r="A221" s="5">
        <v>36251</v>
      </c>
      <c r="B221" s="11">
        <v>4.7E-2</v>
      </c>
      <c r="C221" s="11">
        <v>0.28000000000000003</v>
      </c>
      <c r="D221" s="13">
        <f t="shared" si="9"/>
        <v>4.3514120370370377E-2</v>
      </c>
      <c r="E221" s="13">
        <f t="shared" si="10"/>
        <v>0.27651412037037038</v>
      </c>
      <c r="F221" s="13">
        <f>Regression!$B$17+Regression!$B$18*Returns!D221</f>
        <v>7.1302017606722196E-2</v>
      </c>
      <c r="G221" s="13">
        <f t="shared" si="11"/>
        <v>0.20521210276364818</v>
      </c>
    </row>
    <row r="222" spans="1:7" x14ac:dyDescent="0.3">
      <c r="A222" s="5">
        <v>36281</v>
      </c>
      <c r="B222" s="11">
        <v>-2.12E-2</v>
      </c>
      <c r="C222" s="11">
        <v>-4.2119999999999998E-2</v>
      </c>
      <c r="D222" s="13">
        <f t="shared" si="9"/>
        <v>-2.4685879629629627E-2</v>
      </c>
      <c r="E222" s="13">
        <f t="shared" si="10"/>
        <v>-4.5605879629629621E-2</v>
      </c>
      <c r="F222" s="13">
        <f>Regression!$B$17+Regression!$B$18*Returns!D222</f>
        <v>-2.5348658625848279E-2</v>
      </c>
      <c r="G222" s="13">
        <f t="shared" si="11"/>
        <v>-2.0257221003781342E-2</v>
      </c>
    </row>
    <row r="223" spans="1:7" x14ac:dyDescent="0.3">
      <c r="A223" s="5">
        <v>36312</v>
      </c>
      <c r="B223" s="11">
        <v>5.1699999999999996E-2</v>
      </c>
      <c r="C223" s="11">
        <v>5.1063999999999998E-2</v>
      </c>
      <c r="D223" s="13">
        <f t="shared" si="9"/>
        <v>4.8214120370370372E-2</v>
      </c>
      <c r="E223" s="13">
        <f t="shared" si="10"/>
        <v>4.7578120370370375E-2</v>
      </c>
      <c r="F223" s="13">
        <f>Regression!$B$17+Regression!$B$18*Returns!D223</f>
        <v>7.7962694707793753E-2</v>
      </c>
      <c r="G223" s="13">
        <f t="shared" si="11"/>
        <v>-3.0384574337423378E-2</v>
      </c>
    </row>
    <row r="224" spans="1:7" x14ac:dyDescent="0.3">
      <c r="A224" s="5">
        <v>36342</v>
      </c>
      <c r="B224" s="11">
        <v>-3.0900000000000004E-2</v>
      </c>
      <c r="C224" s="11">
        <v>0.202429</v>
      </c>
      <c r="D224" s="13">
        <f t="shared" si="9"/>
        <v>-3.4385879629629627E-2</v>
      </c>
      <c r="E224" s="13">
        <f t="shared" si="10"/>
        <v>0.19894312037037037</v>
      </c>
      <c r="F224" s="13">
        <f>Regression!$B$17+Regression!$B$18*Returns!D224</f>
        <v>-3.9095162430187479E-2</v>
      </c>
      <c r="G224" s="13">
        <f t="shared" si="11"/>
        <v>0.23803828280055786</v>
      </c>
    </row>
    <row r="225" spans="1:7" x14ac:dyDescent="0.3">
      <c r="A225" s="5">
        <v>36373</v>
      </c>
      <c r="B225" s="11">
        <v>-9.8999999999999991E-3</v>
      </c>
      <c r="C225" s="11">
        <v>0.17171700000000001</v>
      </c>
      <c r="D225" s="13">
        <f t="shared" si="9"/>
        <v>-1.3385879629629626E-2</v>
      </c>
      <c r="E225" s="13">
        <f t="shared" si="10"/>
        <v>0.16823112037037039</v>
      </c>
      <c r="F225" s="13">
        <f>Regression!$B$17+Regression!$B$18*Returns!D225</f>
        <v>-9.3346902764634317E-3</v>
      </c>
      <c r="G225" s="13">
        <f t="shared" si="11"/>
        <v>0.17756581064683383</v>
      </c>
    </row>
    <row r="226" spans="1:7" x14ac:dyDescent="0.3">
      <c r="A226" s="5">
        <v>36404</v>
      </c>
      <c r="B226" s="11">
        <v>-2.4199999999999999E-2</v>
      </c>
      <c r="C226" s="11">
        <v>-2.9693000000000001E-2</v>
      </c>
      <c r="D226" s="13">
        <f t="shared" si="9"/>
        <v>-2.7685879629629626E-2</v>
      </c>
      <c r="E226" s="13">
        <f t="shared" si="10"/>
        <v>-3.3178879629629628E-2</v>
      </c>
      <c r="F226" s="13">
        <f>Regression!$B$17+Regression!$B$18*Returns!D226</f>
        <v>-2.9600154647808852E-2</v>
      </c>
      <c r="G226" s="13">
        <f t="shared" si="11"/>
        <v>-3.5787249818207759E-3</v>
      </c>
    </row>
    <row r="227" spans="1:7" x14ac:dyDescent="0.3">
      <c r="A227" s="5">
        <v>36434</v>
      </c>
      <c r="B227" s="11">
        <v>6.5199999999999994E-2</v>
      </c>
      <c r="C227" s="11">
        <v>0.26554800000000001</v>
      </c>
      <c r="D227" s="13">
        <f t="shared" si="9"/>
        <v>6.1714120370370371E-2</v>
      </c>
      <c r="E227" s="13">
        <f t="shared" si="10"/>
        <v>0.26206212037037036</v>
      </c>
      <c r="F227" s="13">
        <f>Regression!$B$17+Regression!$B$18*Returns!D227</f>
        <v>9.7094426806616355E-2</v>
      </c>
      <c r="G227" s="13">
        <f t="shared" si="11"/>
        <v>0.16496769356375401</v>
      </c>
    </row>
    <row r="228" spans="1:7" x14ac:dyDescent="0.3">
      <c r="A228" s="5">
        <v>36465</v>
      </c>
      <c r="B228" s="11">
        <v>3.73E-2</v>
      </c>
      <c r="C228" s="11">
        <v>0.221529</v>
      </c>
      <c r="D228" s="13">
        <f t="shared" si="9"/>
        <v>3.3814120370370376E-2</v>
      </c>
      <c r="E228" s="13">
        <f t="shared" si="10"/>
        <v>0.21804312037037038</v>
      </c>
      <c r="F228" s="13">
        <f>Regression!$B$17+Regression!$B$18*Returns!D228</f>
        <v>5.7555513802382989E-2</v>
      </c>
      <c r="G228" s="13">
        <f t="shared" si="11"/>
        <v>0.16048760656798738</v>
      </c>
    </row>
    <row r="229" spans="1:7" x14ac:dyDescent="0.3">
      <c r="A229" s="5">
        <v>36495</v>
      </c>
      <c r="B229" s="11">
        <v>8.1600000000000006E-2</v>
      </c>
      <c r="C229" s="11">
        <v>5.0446999999999999E-2</v>
      </c>
      <c r="D229" s="13">
        <f t="shared" si="9"/>
        <v>7.8114120370370382E-2</v>
      </c>
      <c r="E229" s="13">
        <f t="shared" si="10"/>
        <v>4.6961120370370375E-2</v>
      </c>
      <c r="F229" s="13">
        <f>Regression!$B$17+Regression!$B$18*Returns!D229</f>
        <v>0.12033593839333419</v>
      </c>
      <c r="G229" s="13">
        <f t="shared" si="11"/>
        <v>-7.3374818022963806E-2</v>
      </c>
    </row>
    <row r="230" spans="1:7" x14ac:dyDescent="0.3">
      <c r="A230" s="5">
        <v>36526</v>
      </c>
      <c r="B230" s="11">
        <v>-4.3299999999999998E-2</v>
      </c>
      <c r="C230" s="11">
        <v>9.1190000000000004E-3</v>
      </c>
      <c r="D230" s="13">
        <f t="shared" si="9"/>
        <v>-4.6785879629629622E-2</v>
      </c>
      <c r="E230" s="13">
        <f t="shared" si="10"/>
        <v>5.6331203703703743E-3</v>
      </c>
      <c r="F230" s="13">
        <f>Regression!$B$17+Regression!$B$18*Returns!D230</f>
        <v>-5.6668012654291194E-2</v>
      </c>
      <c r="G230" s="13">
        <f t="shared" si="11"/>
        <v>6.2301133024661566E-2</v>
      </c>
    </row>
    <row r="231" spans="1:7" x14ac:dyDescent="0.3">
      <c r="A231" s="5">
        <v>36557</v>
      </c>
      <c r="B231" s="11">
        <v>2.8800000000000003E-2</v>
      </c>
      <c r="C231" s="11">
        <v>0.104819</v>
      </c>
      <c r="D231" s="13">
        <f t="shared" si="9"/>
        <v>2.5314120370370376E-2</v>
      </c>
      <c r="E231" s="13">
        <f t="shared" si="10"/>
        <v>0.10133312037037037</v>
      </c>
      <c r="F231" s="13">
        <f>Regression!$B$17+Regression!$B$18*Returns!D231</f>
        <v>4.5509608406828023E-2</v>
      </c>
      <c r="G231" s="13">
        <f t="shared" si="11"/>
        <v>5.5823511963542349E-2</v>
      </c>
    </row>
    <row r="232" spans="1:7" x14ac:dyDescent="0.3">
      <c r="A232" s="5">
        <v>36586</v>
      </c>
      <c r="B232" s="11">
        <v>5.67E-2</v>
      </c>
      <c r="C232" s="11">
        <v>0.18484200000000001</v>
      </c>
      <c r="D232" s="13">
        <f t="shared" si="9"/>
        <v>5.3214120370370377E-2</v>
      </c>
      <c r="E232" s="13">
        <f t="shared" si="10"/>
        <v>0.18135612037037038</v>
      </c>
      <c r="F232" s="13">
        <f>Regression!$B$17+Regression!$B$18*Returns!D232</f>
        <v>8.5048521411061395E-2</v>
      </c>
      <c r="G232" s="13">
        <f t="shared" si="11"/>
        <v>9.6307598959308988E-2</v>
      </c>
    </row>
    <row r="233" spans="1:7" x14ac:dyDescent="0.3">
      <c r="A233" s="5">
        <v>36617</v>
      </c>
      <c r="B233" s="11">
        <v>-5.9400000000000001E-2</v>
      </c>
      <c r="C233" s="11">
        <v>-8.6515999999999996E-2</v>
      </c>
      <c r="D233" s="13">
        <f t="shared" si="9"/>
        <v>-6.2885879629629632E-2</v>
      </c>
      <c r="E233" s="13">
        <f t="shared" si="10"/>
        <v>-9.0001879629629619E-2</v>
      </c>
      <c r="F233" s="13">
        <f>Regression!$B$17+Regression!$B$18*Returns!D233</f>
        <v>-7.9484374638812971E-2</v>
      </c>
      <c r="G233" s="13">
        <f t="shared" si="11"/>
        <v>-1.0517504990816648E-2</v>
      </c>
    </row>
    <row r="234" spans="1:7" x14ac:dyDescent="0.3">
      <c r="A234" s="5">
        <v>36647</v>
      </c>
      <c r="B234" s="11">
        <v>-3.9199999999999999E-2</v>
      </c>
      <c r="C234" s="11">
        <v>-0.32292199999999999</v>
      </c>
      <c r="D234" s="13">
        <f t="shared" si="9"/>
        <v>-4.2685879629629622E-2</v>
      </c>
      <c r="E234" s="13">
        <f t="shared" si="10"/>
        <v>-0.32640787962962964</v>
      </c>
      <c r="F234" s="13">
        <f>Regression!$B$17+Regression!$B$18*Returns!D234</f>
        <v>-5.0857634757611736E-2</v>
      </c>
      <c r="G234" s="13">
        <f t="shared" si="11"/>
        <v>-0.2755502448720179</v>
      </c>
    </row>
    <row r="235" spans="1:7" x14ac:dyDescent="0.3">
      <c r="A235" s="5">
        <v>36678</v>
      </c>
      <c r="B235" s="11">
        <v>5.04E-2</v>
      </c>
      <c r="C235" s="11">
        <v>0.24702399999999999</v>
      </c>
      <c r="D235" s="13">
        <f t="shared" si="9"/>
        <v>4.6914120370370377E-2</v>
      </c>
      <c r="E235" s="13">
        <f t="shared" si="10"/>
        <v>0.24353812037037037</v>
      </c>
      <c r="F235" s="13">
        <f>Regression!$B$17+Regression!$B$18*Returns!D235</f>
        <v>7.6120379764944179E-2</v>
      </c>
      <c r="G235" s="13">
        <f t="shared" si="11"/>
        <v>0.16741774060542619</v>
      </c>
    </row>
    <row r="236" spans="1:7" x14ac:dyDescent="0.3">
      <c r="A236" s="5">
        <v>36708</v>
      </c>
      <c r="B236" s="11">
        <v>-2.0299999999999999E-2</v>
      </c>
      <c r="C236" s="11">
        <v>-2.9832999999999998E-2</v>
      </c>
      <c r="D236" s="13">
        <f t="shared" si="9"/>
        <v>-2.3785879629629626E-2</v>
      </c>
      <c r="E236" s="13">
        <f t="shared" si="10"/>
        <v>-3.3318879629629622E-2</v>
      </c>
      <c r="F236" s="13">
        <f>Regression!$B$17+Regression!$B$18*Returns!D236</f>
        <v>-2.4073209819260102E-2</v>
      </c>
      <c r="G236" s="13">
        <f t="shared" si="11"/>
        <v>-9.2456698103695195E-3</v>
      </c>
    </row>
    <row r="237" spans="1:7" x14ac:dyDescent="0.3">
      <c r="A237" s="5">
        <v>36739</v>
      </c>
      <c r="B237" s="11">
        <v>7.5300000000000006E-2</v>
      </c>
      <c r="C237" s="11">
        <v>0.19926199999999999</v>
      </c>
      <c r="D237" s="13">
        <f t="shared" si="9"/>
        <v>7.1814120370370382E-2</v>
      </c>
      <c r="E237" s="13">
        <f t="shared" si="10"/>
        <v>0.19577612037037037</v>
      </c>
      <c r="F237" s="13">
        <f>Regression!$B$17+Regression!$B$18*Returns!D237</f>
        <v>0.11140779674721699</v>
      </c>
      <c r="G237" s="13">
        <f t="shared" si="11"/>
        <v>8.4368323623153385E-2</v>
      </c>
    </row>
    <row r="238" spans="1:7" x14ac:dyDescent="0.3">
      <c r="A238" s="5">
        <v>36770</v>
      </c>
      <c r="B238" s="11">
        <v>-4.9400000000000006E-2</v>
      </c>
      <c r="C238" s="11">
        <v>-0.57743599999999995</v>
      </c>
      <c r="D238" s="13">
        <f t="shared" si="9"/>
        <v>-5.288587962962963E-2</v>
      </c>
      <c r="E238" s="13">
        <f t="shared" si="10"/>
        <v>-0.5809218796296296</v>
      </c>
      <c r="F238" s="13">
        <f>Regression!$B$17+Regression!$B$18*Returns!D238</f>
        <v>-6.5312721232277715E-2</v>
      </c>
      <c r="G238" s="13">
        <f t="shared" si="11"/>
        <v>-0.51560915839735189</v>
      </c>
    </row>
    <row r="239" spans="1:7" x14ac:dyDescent="0.3">
      <c r="A239" s="5">
        <v>36800</v>
      </c>
      <c r="B239" s="11">
        <v>-2.1999999999999999E-2</v>
      </c>
      <c r="C239" s="11">
        <v>-0.240291</v>
      </c>
      <c r="D239" s="13">
        <f t="shared" si="9"/>
        <v>-2.5485879629629626E-2</v>
      </c>
      <c r="E239" s="13">
        <f t="shared" si="10"/>
        <v>-0.24377687962962963</v>
      </c>
      <c r="F239" s="13">
        <f>Regression!$B$17+Regression!$B$18*Returns!D239</f>
        <v>-2.6482390898371094E-2</v>
      </c>
      <c r="G239" s="13">
        <f t="shared" si="11"/>
        <v>-0.21729448873125853</v>
      </c>
    </row>
    <row r="240" spans="1:7" x14ac:dyDescent="0.3">
      <c r="A240" s="5">
        <v>36831</v>
      </c>
      <c r="B240" s="11">
        <v>-0.10210000000000001</v>
      </c>
      <c r="C240" s="11">
        <v>-0.15654999999999999</v>
      </c>
      <c r="D240" s="13">
        <f t="shared" si="9"/>
        <v>-0.10558587962962963</v>
      </c>
      <c r="E240" s="13">
        <f t="shared" si="10"/>
        <v>-0.16003587962962962</v>
      </c>
      <c r="F240" s="13">
        <f>Regression!$B$17+Regression!$B$18*Returns!D240</f>
        <v>-0.13999733468471853</v>
      </c>
      <c r="G240" s="13">
        <f t="shared" si="11"/>
        <v>-2.0038544944911085E-2</v>
      </c>
    </row>
    <row r="241" spans="1:7" x14ac:dyDescent="0.3">
      <c r="A241" s="5">
        <v>36861</v>
      </c>
      <c r="B241" s="11">
        <v>1.6899999999999998E-2</v>
      </c>
      <c r="C241" s="11">
        <v>-9.8485000000000003E-2</v>
      </c>
      <c r="D241" s="13">
        <f t="shared" si="9"/>
        <v>1.3414120370370371E-2</v>
      </c>
      <c r="E241" s="13">
        <f t="shared" si="10"/>
        <v>-0.10197087962962963</v>
      </c>
      <c r="F241" s="13">
        <f>Regression!$B$17+Regression!$B$18*Returns!D241</f>
        <v>2.8645340853051055E-2</v>
      </c>
      <c r="G241" s="13">
        <f t="shared" si="11"/>
        <v>-0.13061622048268068</v>
      </c>
    </row>
    <row r="242" spans="1:7" x14ac:dyDescent="0.3">
      <c r="A242" s="5">
        <v>36892</v>
      </c>
      <c r="B242" s="11">
        <v>3.6699999999999997E-2</v>
      </c>
      <c r="C242" s="11">
        <v>0.45378200000000002</v>
      </c>
      <c r="D242" s="13">
        <f t="shared" si="9"/>
        <v>3.3214120370370373E-2</v>
      </c>
      <c r="E242" s="13">
        <f t="shared" si="10"/>
        <v>0.45029612037037037</v>
      </c>
      <c r="F242" s="13">
        <f>Regression!$B$17+Regression!$B$18*Returns!D242</f>
        <v>5.6705214597990869E-2</v>
      </c>
      <c r="G242" s="13">
        <f t="shared" si="11"/>
        <v>0.39359090577237948</v>
      </c>
    </row>
    <row r="243" spans="1:7" x14ac:dyDescent="0.3">
      <c r="A243" s="5">
        <v>36923</v>
      </c>
      <c r="B243" s="11">
        <v>-9.6699999999999994E-2</v>
      </c>
      <c r="C243" s="11">
        <v>-0.15606900000000001</v>
      </c>
      <c r="D243" s="13">
        <f t="shared" si="9"/>
        <v>-0.10018587962962962</v>
      </c>
      <c r="E243" s="13">
        <f t="shared" si="10"/>
        <v>-0.15955487962962964</v>
      </c>
      <c r="F243" s="13">
        <f>Regression!$B$17+Regression!$B$18*Returns!D243</f>
        <v>-0.13234464184518946</v>
      </c>
      <c r="G243" s="13">
        <f t="shared" si="11"/>
        <v>-2.7210237784440178E-2</v>
      </c>
    </row>
    <row r="244" spans="1:7" x14ac:dyDescent="0.3">
      <c r="A244" s="5">
        <v>36951</v>
      </c>
      <c r="B244" s="11">
        <v>-6.8400000000000002E-2</v>
      </c>
      <c r="C244" s="11">
        <v>0.209315</v>
      </c>
      <c r="D244" s="13">
        <f t="shared" si="9"/>
        <v>-7.1885879629629626E-2</v>
      </c>
      <c r="E244" s="13">
        <f t="shared" si="10"/>
        <v>0.20582912037037038</v>
      </c>
      <c r="F244" s="13">
        <f>Regression!$B$17+Regression!$B$18*Returns!D244</f>
        <v>-9.2238862704694696E-2</v>
      </c>
      <c r="G244" s="13">
        <f t="shared" si="11"/>
        <v>0.2980679830750651</v>
      </c>
    </row>
    <row r="245" spans="1:7" x14ac:dyDescent="0.3">
      <c r="A245" s="5">
        <v>36982</v>
      </c>
      <c r="B245" s="11">
        <v>8.3299999999999999E-2</v>
      </c>
      <c r="C245" s="11">
        <v>0.15496099999999999</v>
      </c>
      <c r="D245" s="13">
        <f t="shared" si="9"/>
        <v>7.9814120370370376E-2</v>
      </c>
      <c r="E245" s="13">
        <f t="shared" si="10"/>
        <v>0.15147512037037036</v>
      </c>
      <c r="F245" s="13">
        <f>Regression!$B$17+Regression!$B$18*Returns!D245</f>
        <v>0.12274511947244518</v>
      </c>
      <c r="G245" s="13">
        <f t="shared" si="11"/>
        <v>2.8730000897925184E-2</v>
      </c>
    </row>
    <row r="246" spans="1:7" x14ac:dyDescent="0.3">
      <c r="A246" s="5">
        <v>37012</v>
      </c>
      <c r="B246" s="11">
        <v>1.04E-2</v>
      </c>
      <c r="C246" s="11">
        <v>-0.21734000000000001</v>
      </c>
      <c r="D246" s="13">
        <f t="shared" si="9"/>
        <v>6.9141203703703734E-3</v>
      </c>
      <c r="E246" s="13">
        <f t="shared" si="10"/>
        <v>-0.22082587962962963</v>
      </c>
      <c r="F246" s="13">
        <f>Regression!$B$17+Regression!$B$18*Returns!D246</f>
        <v>1.9433766138803141E-2</v>
      </c>
      <c r="G246" s="13">
        <f t="shared" si="11"/>
        <v>-0.24025964576843278</v>
      </c>
    </row>
    <row r="247" spans="1:7" x14ac:dyDescent="0.3">
      <c r="A247" s="5">
        <v>37043</v>
      </c>
      <c r="B247" s="11">
        <v>-1.66E-2</v>
      </c>
      <c r="C247" s="11">
        <v>0.165413</v>
      </c>
      <c r="D247" s="13">
        <f t="shared" si="9"/>
        <v>-2.0085879629629627E-2</v>
      </c>
      <c r="E247" s="13">
        <f t="shared" si="10"/>
        <v>0.16192712037037038</v>
      </c>
      <c r="F247" s="13">
        <f>Regression!$B$17+Regression!$B$18*Returns!D247</f>
        <v>-1.8829698058842059E-2</v>
      </c>
      <c r="G247" s="13">
        <f t="shared" si="11"/>
        <v>0.18075681842921243</v>
      </c>
    </row>
    <row r="248" spans="1:7" x14ac:dyDescent="0.3">
      <c r="A248" s="5">
        <v>37073</v>
      </c>
      <c r="B248" s="11">
        <v>-1.8299999999999997E-2</v>
      </c>
      <c r="C248" s="11">
        <v>-0.191828</v>
      </c>
      <c r="D248" s="13">
        <f t="shared" si="9"/>
        <v>-2.1785879629629624E-2</v>
      </c>
      <c r="E248" s="13">
        <f t="shared" si="10"/>
        <v>-0.19531387962962962</v>
      </c>
      <c r="F248" s="13">
        <f>Regression!$B$17+Regression!$B$18*Returns!D248</f>
        <v>-2.1238879137953047E-2</v>
      </c>
      <c r="G248" s="13">
        <f t="shared" si="11"/>
        <v>-0.17407500049167657</v>
      </c>
    </row>
    <row r="249" spans="1:7" x14ac:dyDescent="0.3">
      <c r="A249" s="5">
        <v>37104</v>
      </c>
      <c r="B249" s="11">
        <v>-6.1500000000000006E-2</v>
      </c>
      <c r="C249" s="11">
        <v>-1.2773E-2</v>
      </c>
      <c r="D249" s="13">
        <f t="shared" si="9"/>
        <v>-6.4985879629629636E-2</v>
      </c>
      <c r="E249" s="13">
        <f t="shared" si="10"/>
        <v>-1.6258879629629627E-2</v>
      </c>
      <c r="F249" s="13">
        <f>Regression!$B$17+Regression!$B$18*Returns!D249</f>
        <v>-8.2460421854185381E-2</v>
      </c>
      <c r="G249" s="13">
        <f t="shared" si="11"/>
        <v>6.6201542224555751E-2</v>
      </c>
    </row>
    <row r="250" spans="1:7" x14ac:dyDescent="0.3">
      <c r="A250" s="5">
        <v>37135</v>
      </c>
      <c r="B250" s="11">
        <v>-8.9700000000000002E-2</v>
      </c>
      <c r="C250" s="11">
        <v>-0.163881</v>
      </c>
      <c r="D250" s="13">
        <f t="shared" si="9"/>
        <v>-9.3185879629629625E-2</v>
      </c>
      <c r="E250" s="13">
        <f t="shared" si="10"/>
        <v>-0.16736687962962962</v>
      </c>
      <c r="F250" s="13">
        <f>Regression!$B$17+Regression!$B$18*Returns!D250</f>
        <v>-0.12242448446061478</v>
      </c>
      <c r="G250" s="13">
        <f t="shared" si="11"/>
        <v>-4.494239516901484E-2</v>
      </c>
    </row>
    <row r="251" spans="1:7" x14ac:dyDescent="0.3">
      <c r="A251" s="5">
        <v>37165</v>
      </c>
      <c r="B251" s="11">
        <v>2.6800000000000001E-2</v>
      </c>
      <c r="C251" s="11">
        <v>0.13217300000000001</v>
      </c>
      <c r="D251" s="13">
        <f t="shared" si="9"/>
        <v>2.3314120370370374E-2</v>
      </c>
      <c r="E251" s="13">
        <f t="shared" si="10"/>
        <v>0.12868712037037039</v>
      </c>
      <c r="F251" s="13">
        <f>Regression!$B$17+Regression!$B$18*Returns!D251</f>
        <v>4.2675277725520967E-2</v>
      </c>
      <c r="G251" s="13">
        <f t="shared" si="11"/>
        <v>8.6011842644849429E-2</v>
      </c>
    </row>
    <row r="252" spans="1:7" x14ac:dyDescent="0.3">
      <c r="A252" s="5">
        <v>37196</v>
      </c>
      <c r="B252" s="11">
        <v>7.7100000000000002E-2</v>
      </c>
      <c r="C252" s="11">
        <v>0.21298400000000001</v>
      </c>
      <c r="D252" s="13">
        <f t="shared" si="9"/>
        <v>7.3614120370370378E-2</v>
      </c>
      <c r="E252" s="13">
        <f t="shared" si="10"/>
        <v>0.20949812037037038</v>
      </c>
      <c r="F252" s="13">
        <f>Regression!$B$17+Regression!$B$18*Returns!D252</f>
        <v>0.11395869436039333</v>
      </c>
      <c r="G252" s="13">
        <f t="shared" si="11"/>
        <v>9.5539426009977058E-2</v>
      </c>
    </row>
    <row r="253" spans="1:7" x14ac:dyDescent="0.3">
      <c r="A253" s="5">
        <v>37226</v>
      </c>
      <c r="B253" s="11">
        <v>1.7600000000000001E-2</v>
      </c>
      <c r="C253" s="11">
        <v>2.8169E-2</v>
      </c>
      <c r="D253" s="13">
        <f t="shared" si="9"/>
        <v>1.4114120370370374E-2</v>
      </c>
      <c r="E253" s="13">
        <f t="shared" si="10"/>
        <v>2.4683120370370373E-2</v>
      </c>
      <c r="F253" s="13">
        <f>Regression!$B$17+Regression!$B$18*Returns!D253</f>
        <v>2.9637356591508526E-2</v>
      </c>
      <c r="G253" s="13">
        <f t="shared" si="11"/>
        <v>-4.9542362211381537E-3</v>
      </c>
    </row>
    <row r="254" spans="1:7" x14ac:dyDescent="0.3">
      <c r="A254" s="5">
        <v>37257</v>
      </c>
      <c r="B254" s="11">
        <v>-1.2999999999999998E-2</v>
      </c>
      <c r="C254" s="11">
        <v>0.12876699999999999</v>
      </c>
      <c r="D254" s="13">
        <f t="shared" si="9"/>
        <v>-1.6485879629629625E-2</v>
      </c>
      <c r="E254" s="13">
        <f t="shared" si="10"/>
        <v>0.12528112037037037</v>
      </c>
      <c r="F254" s="13">
        <f>Regression!$B$17+Regression!$B$18*Returns!D254</f>
        <v>-1.3727902832489362E-2</v>
      </c>
      <c r="G254" s="13">
        <f t="shared" si="11"/>
        <v>0.13900902320285974</v>
      </c>
    </row>
    <row r="255" spans="1:7" x14ac:dyDescent="0.3">
      <c r="A255" s="5">
        <v>37288</v>
      </c>
      <c r="B255" s="11">
        <v>-2.1600000000000001E-2</v>
      </c>
      <c r="C255" s="11">
        <v>-0.122168</v>
      </c>
      <c r="D255" s="13">
        <f t="shared" si="9"/>
        <v>-2.5085879629629628E-2</v>
      </c>
      <c r="E255" s="13">
        <f t="shared" si="10"/>
        <v>-0.12565387962962962</v>
      </c>
      <c r="F255" s="13">
        <f>Regression!$B$17+Regression!$B$18*Returns!D255</f>
        <v>-2.591552476210969E-2</v>
      </c>
      <c r="G255" s="13">
        <f t="shared" si="11"/>
        <v>-9.9738354867519932E-2</v>
      </c>
    </row>
    <row r="256" spans="1:7" x14ac:dyDescent="0.3">
      <c r="A256" s="5">
        <v>37316</v>
      </c>
      <c r="B256" s="11">
        <v>4.3700000000000003E-2</v>
      </c>
      <c r="C256" s="11">
        <v>9.0783000000000003E-2</v>
      </c>
      <c r="D256" s="13">
        <f t="shared" si="9"/>
        <v>4.0214120370370379E-2</v>
      </c>
      <c r="E256" s="13">
        <f t="shared" si="10"/>
        <v>8.7297120370370379E-2</v>
      </c>
      <c r="F256" s="13">
        <f>Regression!$B$17+Regression!$B$18*Returns!D256</f>
        <v>6.6625371982565559E-2</v>
      </c>
      <c r="G256" s="13">
        <f t="shared" si="11"/>
        <v>2.067174838780482E-2</v>
      </c>
    </row>
    <row r="257" spans="1:7" x14ac:dyDescent="0.3">
      <c r="A257" s="5">
        <v>37347</v>
      </c>
      <c r="B257" s="11">
        <v>-5.0499999999999996E-2</v>
      </c>
      <c r="C257" s="11">
        <v>2.5349E-2</v>
      </c>
      <c r="D257" s="13">
        <f t="shared" si="9"/>
        <v>-5.398587962962962E-2</v>
      </c>
      <c r="E257" s="13">
        <f t="shared" si="10"/>
        <v>2.1863120370370373E-2</v>
      </c>
      <c r="F257" s="13">
        <f>Regression!$B$17+Regression!$B$18*Returns!D257</f>
        <v>-6.687160310699658E-2</v>
      </c>
      <c r="G257" s="13">
        <f t="shared" si="11"/>
        <v>8.8734723477366953E-2</v>
      </c>
    </row>
    <row r="258" spans="1:7" x14ac:dyDescent="0.3">
      <c r="A258" s="5">
        <v>37377</v>
      </c>
      <c r="B258" s="11">
        <v>-1.2399999999999998E-2</v>
      </c>
      <c r="C258" s="11">
        <v>-3.9967000000000003E-2</v>
      </c>
      <c r="D258" s="13">
        <f t="shared" si="9"/>
        <v>-1.5885879629629625E-2</v>
      </c>
      <c r="E258" s="13">
        <f t="shared" si="10"/>
        <v>-4.3452879629629626E-2</v>
      </c>
      <c r="F258" s="13">
        <f>Regression!$B$17+Regression!$B$18*Returns!D258</f>
        <v>-1.2877603628097246E-2</v>
      </c>
      <c r="G258" s="13">
        <f t="shared" si="11"/>
        <v>-3.057527600153238E-2</v>
      </c>
    </row>
    <row r="259" spans="1:7" x14ac:dyDescent="0.3">
      <c r="A259" s="5">
        <v>37408</v>
      </c>
      <c r="B259" s="11">
        <v>-7.0800000000000002E-2</v>
      </c>
      <c r="C259" s="11">
        <v>-0.239485</v>
      </c>
      <c r="D259" s="13">
        <f t="shared" ref="D259:D322" si="12">B259-$J$2</f>
        <v>-7.4285879629629625E-2</v>
      </c>
      <c r="E259" s="13">
        <f t="shared" ref="E259:E322" si="13">C259-$J$2</f>
        <v>-0.24297087962962963</v>
      </c>
      <c r="F259" s="13">
        <f>Regression!$B$17+Regression!$B$18*Returns!D259</f>
        <v>-9.5640059522263163E-2</v>
      </c>
      <c r="G259" s="13">
        <f t="shared" ref="G259:G322" si="14">E259-F259</f>
        <v>-0.14733082010736648</v>
      </c>
    </row>
    <row r="260" spans="1:7" x14ac:dyDescent="0.3">
      <c r="A260" s="5">
        <v>37438</v>
      </c>
      <c r="B260" s="11">
        <v>-8.0299999999999996E-2</v>
      </c>
      <c r="C260" s="11">
        <v>-0.138826</v>
      </c>
      <c r="D260" s="13">
        <f t="shared" si="12"/>
        <v>-8.378587962962962E-2</v>
      </c>
      <c r="E260" s="13">
        <f t="shared" si="13"/>
        <v>-0.14231187962962963</v>
      </c>
      <c r="F260" s="13">
        <f>Regression!$B$17+Regression!$B$18*Returns!D260</f>
        <v>-0.10910313025847164</v>
      </c>
      <c r="G260" s="13">
        <f t="shared" si="14"/>
        <v>-3.3208749371157989E-2</v>
      </c>
    </row>
    <row r="261" spans="1:7" x14ac:dyDescent="0.3">
      <c r="A261" s="5">
        <v>37469</v>
      </c>
      <c r="B261" s="11">
        <v>6.4000000000000003E-3</v>
      </c>
      <c r="C261" s="11">
        <v>-3.3420999999999999E-2</v>
      </c>
      <c r="D261" s="13">
        <f t="shared" si="12"/>
        <v>2.9141203703703742E-3</v>
      </c>
      <c r="E261" s="13">
        <f t="shared" si="13"/>
        <v>-3.6906879629629623E-2</v>
      </c>
      <c r="F261" s="13">
        <f>Regression!$B$17+Regression!$B$18*Returns!D261</f>
        <v>1.3765104776189039E-2</v>
      </c>
      <c r="G261" s="13">
        <f t="shared" si="14"/>
        <v>-5.067198440581866E-2</v>
      </c>
    </row>
    <row r="262" spans="1:7" x14ac:dyDescent="0.3">
      <c r="A262" s="5">
        <v>37500</v>
      </c>
      <c r="B262" s="11">
        <v>-0.1021</v>
      </c>
      <c r="C262" s="11">
        <v>-1.6948999999999999E-2</v>
      </c>
      <c r="D262" s="13">
        <f t="shared" si="12"/>
        <v>-0.10558587962962962</v>
      </c>
      <c r="E262" s="13">
        <f t="shared" si="13"/>
        <v>-2.0434879629629626E-2</v>
      </c>
      <c r="F262" s="13">
        <f>Regression!$B$17+Regression!$B$18*Returns!D262</f>
        <v>-0.13999733468471853</v>
      </c>
      <c r="G262" s="13">
        <f t="shared" si="14"/>
        <v>0.1195624550550889</v>
      </c>
    </row>
    <row r="263" spans="1:7" x14ac:dyDescent="0.3">
      <c r="A263" s="5">
        <v>37530</v>
      </c>
      <c r="B263" s="11">
        <v>7.9799999999999996E-2</v>
      </c>
      <c r="C263" s="11">
        <v>0.108276</v>
      </c>
      <c r="D263" s="13">
        <f t="shared" si="12"/>
        <v>7.6314120370370372E-2</v>
      </c>
      <c r="E263" s="13">
        <f t="shared" si="13"/>
        <v>0.10479012037037037</v>
      </c>
      <c r="F263" s="13">
        <f>Regression!$B$17+Regression!$B$18*Returns!D263</f>
        <v>0.11778504078015783</v>
      </c>
      <c r="G263" s="13">
        <f t="shared" si="14"/>
        <v>-1.2994920409787461E-2</v>
      </c>
    </row>
    <row r="264" spans="1:7" x14ac:dyDescent="0.3">
      <c r="A264" s="5">
        <v>37561</v>
      </c>
      <c r="B264" s="11">
        <v>6.08E-2</v>
      </c>
      <c r="C264" s="11">
        <v>-3.5470000000000002E-2</v>
      </c>
      <c r="D264" s="13">
        <f t="shared" si="12"/>
        <v>5.7314120370370376E-2</v>
      </c>
      <c r="E264" s="13">
        <f t="shared" si="13"/>
        <v>-3.8955879629629625E-2</v>
      </c>
      <c r="F264" s="13">
        <f>Regression!$B$17+Regression!$B$18*Returns!D264</f>
        <v>9.0858899307740854E-2</v>
      </c>
      <c r="G264" s="13">
        <f t="shared" si="14"/>
        <v>-0.12981477893737048</v>
      </c>
    </row>
    <row r="265" spans="1:7" x14ac:dyDescent="0.3">
      <c r="A265" s="5">
        <v>37591</v>
      </c>
      <c r="B265" s="11">
        <v>-5.6499999999999995E-2</v>
      </c>
      <c r="C265" s="11">
        <v>-7.5483999999999996E-2</v>
      </c>
      <c r="D265" s="13">
        <f t="shared" si="12"/>
        <v>-5.9985879629629618E-2</v>
      </c>
      <c r="E265" s="13">
        <f t="shared" si="13"/>
        <v>-7.8969879629629619E-2</v>
      </c>
      <c r="F265" s="13">
        <f>Regression!$B$17+Regression!$B$18*Returns!D265</f>
        <v>-7.5374595150917725E-2</v>
      </c>
      <c r="G265" s="13">
        <f t="shared" si="14"/>
        <v>-3.5952844787118937E-3</v>
      </c>
    </row>
    <row r="266" spans="1:7" x14ac:dyDescent="0.3">
      <c r="A266" s="5">
        <v>37622</v>
      </c>
      <c r="B266" s="11">
        <v>-2.4699999999999996E-2</v>
      </c>
      <c r="C266" s="11">
        <v>2.0929999999999998E-3</v>
      </c>
      <c r="D266" s="13">
        <f t="shared" si="12"/>
        <v>-2.8185879629629623E-2</v>
      </c>
      <c r="E266" s="13">
        <f t="shared" si="13"/>
        <v>-1.3928796296296263E-3</v>
      </c>
      <c r="F266" s="13">
        <f>Regression!$B$17+Regression!$B$18*Returns!D266</f>
        <v>-3.030873731813561E-2</v>
      </c>
      <c r="G266" s="13">
        <f t="shared" si="14"/>
        <v>2.8915857688505985E-2</v>
      </c>
    </row>
    <row r="267" spans="1:7" x14ac:dyDescent="0.3">
      <c r="A267" s="5">
        <v>37653</v>
      </c>
      <c r="B267" s="11">
        <v>-1.7899999999999999E-2</v>
      </c>
      <c r="C267" s="11">
        <v>4.5265E-2</v>
      </c>
      <c r="D267" s="13">
        <f t="shared" si="12"/>
        <v>-2.1385879629629626E-2</v>
      </c>
      <c r="E267" s="13">
        <f t="shared" si="13"/>
        <v>4.1779120370370376E-2</v>
      </c>
      <c r="F267" s="13">
        <f>Regression!$B$17+Regression!$B$18*Returns!D267</f>
        <v>-2.0672013001691639E-2</v>
      </c>
      <c r="G267" s="13">
        <f t="shared" si="14"/>
        <v>6.2451133372062012E-2</v>
      </c>
    </row>
    <row r="268" spans="1:7" x14ac:dyDescent="0.3">
      <c r="A268" s="5">
        <v>37681</v>
      </c>
      <c r="B268" s="11">
        <v>1.1900000000000001E-2</v>
      </c>
      <c r="C268" s="11">
        <v>-5.7960999999999999E-2</v>
      </c>
      <c r="D268" s="13">
        <f t="shared" si="12"/>
        <v>8.4141203703703739E-3</v>
      </c>
      <c r="E268" s="13">
        <f t="shared" si="13"/>
        <v>-6.1446879629629622E-2</v>
      </c>
      <c r="F268" s="13">
        <f>Regression!$B$17+Regression!$B$18*Returns!D268</f>
        <v>2.1559514149783431E-2</v>
      </c>
      <c r="G268" s="13">
        <f t="shared" si="14"/>
        <v>-8.3006393779413046E-2</v>
      </c>
    </row>
    <row r="269" spans="1:7" x14ac:dyDescent="0.3">
      <c r="A269" s="5">
        <v>37712</v>
      </c>
      <c r="B269" s="11">
        <v>8.3199999999999996E-2</v>
      </c>
      <c r="C269" s="11">
        <v>5.6579999999999998E-3</v>
      </c>
      <c r="D269" s="13">
        <f t="shared" si="12"/>
        <v>7.9714120370370373E-2</v>
      </c>
      <c r="E269" s="13">
        <f t="shared" si="13"/>
        <v>2.1721203703703737E-3</v>
      </c>
      <c r="F269" s="13">
        <f>Regression!$B$17+Regression!$B$18*Returns!D269</f>
        <v>0.12260340293837982</v>
      </c>
      <c r="G269" s="13">
        <f t="shared" si="14"/>
        <v>-0.12043128256800945</v>
      </c>
    </row>
    <row r="270" spans="1:7" x14ac:dyDescent="0.3">
      <c r="A270" s="5">
        <v>37742</v>
      </c>
      <c r="B270" s="11">
        <v>6.1399999999999996E-2</v>
      </c>
      <c r="C270" s="11">
        <v>0.26230700000000001</v>
      </c>
      <c r="D270" s="13">
        <f t="shared" si="12"/>
        <v>5.7914120370370373E-2</v>
      </c>
      <c r="E270" s="13">
        <f t="shared" si="13"/>
        <v>0.25882112037037036</v>
      </c>
      <c r="F270" s="13">
        <f>Regression!$B$17+Regression!$B$18*Returns!D270</f>
        <v>9.1709198512132953E-2</v>
      </c>
      <c r="G270" s="13">
        <f t="shared" si="14"/>
        <v>0.16711192185823742</v>
      </c>
    </row>
    <row r="271" spans="1:7" x14ac:dyDescent="0.3">
      <c r="A271" s="5">
        <v>37773</v>
      </c>
      <c r="B271" s="11">
        <v>1.52E-2</v>
      </c>
      <c r="C271" s="11">
        <v>6.1837999999999997E-2</v>
      </c>
      <c r="D271" s="13">
        <f t="shared" si="12"/>
        <v>1.1714120370370375E-2</v>
      </c>
      <c r="E271" s="13">
        <f t="shared" si="13"/>
        <v>5.8352120370370374E-2</v>
      </c>
      <c r="F271" s="13">
        <f>Regression!$B$17+Regression!$B$18*Returns!D271</f>
        <v>2.6236159773940067E-2</v>
      </c>
      <c r="G271" s="13">
        <f t="shared" si="14"/>
        <v>3.2115960596430307E-2</v>
      </c>
    </row>
    <row r="272" spans="1:7" x14ac:dyDescent="0.3">
      <c r="A272" s="5">
        <v>37803</v>
      </c>
      <c r="B272" s="11">
        <v>2.4199999999999999E-2</v>
      </c>
      <c r="C272" s="11">
        <v>0.10598100000000001</v>
      </c>
      <c r="D272" s="13">
        <f t="shared" si="12"/>
        <v>2.0714120370370372E-2</v>
      </c>
      <c r="E272" s="13">
        <f t="shared" si="13"/>
        <v>0.10249512037037038</v>
      </c>
      <c r="F272" s="13">
        <f>Regression!$B$17+Regression!$B$18*Returns!D272</f>
        <v>3.8990647839821799E-2</v>
      </c>
      <c r="G272" s="13">
        <f t="shared" si="14"/>
        <v>6.3504472530548584E-2</v>
      </c>
    </row>
    <row r="273" spans="1:7" x14ac:dyDescent="0.3">
      <c r="A273" s="5">
        <v>37834</v>
      </c>
      <c r="B273" s="11">
        <v>2.4099999999999996E-2</v>
      </c>
      <c r="C273" s="11">
        <v>7.2581000000000007E-2</v>
      </c>
      <c r="D273" s="13">
        <f t="shared" si="12"/>
        <v>2.0614120370370369E-2</v>
      </c>
      <c r="E273" s="13">
        <f t="shared" si="13"/>
        <v>6.9095120370370383E-2</v>
      </c>
      <c r="F273" s="13">
        <f>Regression!$B$17+Regression!$B$18*Returns!D273</f>
        <v>3.8848931305756437E-2</v>
      </c>
      <c r="G273" s="13">
        <f t="shared" si="14"/>
        <v>3.0246189064613946E-2</v>
      </c>
    </row>
    <row r="274" spans="1:7" x14ac:dyDescent="0.3">
      <c r="A274" s="5">
        <v>37865</v>
      </c>
      <c r="B274" s="11">
        <v>-1.1599999999999999E-2</v>
      </c>
      <c r="C274" s="11">
        <v>-8.3590999999999999E-2</v>
      </c>
      <c r="D274" s="13">
        <f t="shared" si="12"/>
        <v>-1.5085879629629626E-2</v>
      </c>
      <c r="E274" s="13">
        <f t="shared" si="13"/>
        <v>-8.7076879629629622E-2</v>
      </c>
      <c r="F274" s="13">
        <f>Regression!$B$17+Regression!$B$18*Returns!D274</f>
        <v>-1.1743871355574427E-2</v>
      </c>
      <c r="G274" s="13">
        <f t="shared" si="14"/>
        <v>-7.5333008274055202E-2</v>
      </c>
    </row>
    <row r="275" spans="1:7" x14ac:dyDescent="0.3">
      <c r="A275" s="5">
        <v>37895</v>
      </c>
      <c r="B275" s="11">
        <v>6.1500000000000006E-2</v>
      </c>
      <c r="C275" s="11">
        <v>0.10473</v>
      </c>
      <c r="D275" s="13">
        <f t="shared" si="12"/>
        <v>5.8014120370370383E-2</v>
      </c>
      <c r="E275" s="13">
        <f t="shared" si="13"/>
        <v>0.10124412037037038</v>
      </c>
      <c r="F275" s="13">
        <f>Regression!$B$17+Regression!$B$18*Returns!D275</f>
        <v>9.1850915046198328E-2</v>
      </c>
      <c r="G275" s="13">
        <f t="shared" si="14"/>
        <v>9.393205324172052E-3</v>
      </c>
    </row>
    <row r="276" spans="1:7" x14ac:dyDescent="0.3">
      <c r="A276" s="5">
        <v>37926</v>
      </c>
      <c r="B276" s="11">
        <v>1.4200000000000001E-2</v>
      </c>
      <c r="C276" s="11">
        <v>-8.6500999999999995E-2</v>
      </c>
      <c r="D276" s="13">
        <f t="shared" si="12"/>
        <v>1.0714120370370374E-2</v>
      </c>
      <c r="E276" s="13">
        <f t="shared" si="13"/>
        <v>-8.9986879629629618E-2</v>
      </c>
      <c r="F276" s="13">
        <f>Regression!$B$17+Regression!$B$18*Returns!D276</f>
        <v>2.4818994433286539E-2</v>
      </c>
      <c r="G276" s="13">
        <f t="shared" si="14"/>
        <v>-0.11480587406291616</v>
      </c>
    </row>
    <row r="277" spans="1:7" x14ac:dyDescent="0.3">
      <c r="A277" s="5">
        <v>37956</v>
      </c>
      <c r="B277" s="11">
        <v>4.3700000000000003E-2</v>
      </c>
      <c r="C277" s="11">
        <v>2.1999000000000001E-2</v>
      </c>
      <c r="D277" s="13">
        <f t="shared" si="12"/>
        <v>4.0214120370370379E-2</v>
      </c>
      <c r="E277" s="13">
        <f t="shared" si="13"/>
        <v>1.8513120370370374E-2</v>
      </c>
      <c r="F277" s="13">
        <f>Regression!$B$17+Regression!$B$18*Returns!D277</f>
        <v>6.6625371982565559E-2</v>
      </c>
      <c r="G277" s="13">
        <f t="shared" si="14"/>
        <v>-4.8112251612195185E-2</v>
      </c>
    </row>
    <row r="278" spans="1:7" x14ac:dyDescent="0.3">
      <c r="A278" s="5">
        <v>37987</v>
      </c>
      <c r="B278" s="11">
        <v>2.2199999999999998E-2</v>
      </c>
      <c r="C278" s="11">
        <v>5.5684999999999998E-2</v>
      </c>
      <c r="D278" s="13">
        <f t="shared" si="12"/>
        <v>1.8714120370370371E-2</v>
      </c>
      <c r="E278" s="13">
        <f t="shared" si="13"/>
        <v>5.2199120370370375E-2</v>
      </c>
      <c r="F278" s="13">
        <f>Regression!$B$17+Regression!$B$18*Returns!D278</f>
        <v>3.6156317158514736E-2</v>
      </c>
      <c r="G278" s="13">
        <f t="shared" si="14"/>
        <v>1.6042803211855639E-2</v>
      </c>
    </row>
    <row r="279" spans="1:7" x14ac:dyDescent="0.3">
      <c r="A279" s="5">
        <v>38018</v>
      </c>
      <c r="B279" s="11">
        <v>1.46E-2</v>
      </c>
      <c r="C279" s="11">
        <v>6.0283999999999997E-2</v>
      </c>
      <c r="D279" s="13">
        <f t="shared" si="12"/>
        <v>1.1114120370370375E-2</v>
      </c>
      <c r="E279" s="13">
        <f t="shared" si="13"/>
        <v>5.6798120370370374E-2</v>
      </c>
      <c r="F279" s="13">
        <f>Regression!$B$17+Regression!$B$18*Returns!D279</f>
        <v>2.538586056954795E-2</v>
      </c>
      <c r="G279" s="13">
        <f t="shared" si="14"/>
        <v>3.141225980082242E-2</v>
      </c>
    </row>
    <row r="280" spans="1:7" x14ac:dyDescent="0.3">
      <c r="A280" s="5">
        <v>38047</v>
      </c>
      <c r="B280" s="11">
        <v>-1.23E-2</v>
      </c>
      <c r="C280" s="11">
        <v>0.130435</v>
      </c>
      <c r="D280" s="13">
        <f t="shared" si="12"/>
        <v>-1.5785879629629625E-2</v>
      </c>
      <c r="E280" s="13">
        <f t="shared" si="13"/>
        <v>0.12694912037037037</v>
      </c>
      <c r="F280" s="13">
        <f>Regression!$B$17+Regression!$B$18*Returns!D280</f>
        <v>-1.2735887094031895E-2</v>
      </c>
      <c r="G280" s="13">
        <f t="shared" si="14"/>
        <v>0.13968500746440227</v>
      </c>
    </row>
    <row r="281" spans="1:7" x14ac:dyDescent="0.3">
      <c r="A281" s="5">
        <v>38078</v>
      </c>
      <c r="B281" s="11">
        <v>-1.7500000000000002E-2</v>
      </c>
      <c r="C281" s="11">
        <v>-4.6598000000000001E-2</v>
      </c>
      <c r="D281" s="13">
        <f t="shared" si="12"/>
        <v>-2.0985879629629629E-2</v>
      </c>
      <c r="E281" s="13">
        <f t="shared" si="13"/>
        <v>-5.0083879629629624E-2</v>
      </c>
      <c r="F281" s="13">
        <f>Regression!$B$17+Regression!$B$18*Returns!D281</f>
        <v>-2.0105146865430232E-2</v>
      </c>
      <c r="G281" s="13">
        <f t="shared" si="14"/>
        <v>-2.9978732764199392E-2</v>
      </c>
    </row>
    <row r="282" spans="1:7" x14ac:dyDescent="0.3">
      <c r="A282" s="5">
        <v>38108</v>
      </c>
      <c r="B282" s="11">
        <v>1.23E-2</v>
      </c>
      <c r="C282" s="11">
        <v>8.8441000000000006E-2</v>
      </c>
      <c r="D282" s="13">
        <f t="shared" si="12"/>
        <v>8.8141203703703749E-3</v>
      </c>
      <c r="E282" s="13">
        <f t="shared" si="13"/>
        <v>8.4955120370370382E-2</v>
      </c>
      <c r="F282" s="13">
        <f>Regression!$B$17+Regression!$B$18*Returns!D282</f>
        <v>2.2126380286044842E-2</v>
      </c>
      <c r="G282" s="13">
        <f t="shared" si="14"/>
        <v>6.2828740084325541E-2</v>
      </c>
    </row>
    <row r="283" spans="1:7" x14ac:dyDescent="0.3">
      <c r="A283" s="5">
        <v>38139</v>
      </c>
      <c r="B283" s="11">
        <v>1.9400000000000001E-2</v>
      </c>
      <c r="C283" s="11">
        <v>0.15965799999999999</v>
      </c>
      <c r="D283" s="13">
        <f t="shared" si="12"/>
        <v>1.5914120370370374E-2</v>
      </c>
      <c r="E283" s="13">
        <f t="shared" si="13"/>
        <v>0.15617212037037037</v>
      </c>
      <c r="F283" s="13">
        <f>Regression!$B$17+Regression!$B$18*Returns!D283</f>
        <v>3.2188254204684873E-2</v>
      </c>
      <c r="G283" s="13">
        <f t="shared" si="14"/>
        <v>0.12398386616568549</v>
      </c>
    </row>
    <row r="284" spans="1:7" x14ac:dyDescent="0.3">
      <c r="A284" s="5">
        <v>38169</v>
      </c>
      <c r="B284" s="11">
        <v>-3.9599999999999996E-2</v>
      </c>
      <c r="C284" s="11">
        <v>-6.1460000000000004E-3</v>
      </c>
      <c r="D284" s="13">
        <f t="shared" si="12"/>
        <v>-4.308587962962962E-2</v>
      </c>
      <c r="E284" s="13">
        <f t="shared" si="13"/>
        <v>-9.6318796296296257E-3</v>
      </c>
      <c r="F284" s="13">
        <f>Regression!$B$17+Regression!$B$18*Returns!D284</f>
        <v>-5.142450089387314E-2</v>
      </c>
      <c r="G284" s="13">
        <f t="shared" si="14"/>
        <v>4.1792621264243518E-2</v>
      </c>
    </row>
    <row r="285" spans="1:7" x14ac:dyDescent="0.3">
      <c r="A285" s="5">
        <v>38200</v>
      </c>
      <c r="B285" s="11">
        <v>1.9E-3</v>
      </c>
      <c r="C285" s="11">
        <v>6.6480999999999998E-2</v>
      </c>
      <c r="D285" s="13">
        <f t="shared" si="12"/>
        <v>-1.5858796296296261E-3</v>
      </c>
      <c r="E285" s="13">
        <f t="shared" si="13"/>
        <v>6.2995120370370375E-2</v>
      </c>
      <c r="F285" s="13">
        <f>Regression!$B$17+Regression!$B$18*Returns!D285</f>
        <v>7.3878607432481718E-3</v>
      </c>
      <c r="G285" s="13">
        <f t="shared" si="14"/>
        <v>5.5607259627122201E-2</v>
      </c>
    </row>
    <row r="286" spans="1:7" x14ac:dyDescent="0.3">
      <c r="A286" s="5">
        <v>38231</v>
      </c>
      <c r="B286" s="11">
        <v>1.7100000000000001E-2</v>
      </c>
      <c r="C286" s="11">
        <v>0.123514</v>
      </c>
      <c r="D286" s="13">
        <f t="shared" si="12"/>
        <v>1.3614120370370374E-2</v>
      </c>
      <c r="E286" s="13">
        <f t="shared" si="13"/>
        <v>0.12002812037037038</v>
      </c>
      <c r="F286" s="13">
        <f>Regression!$B$17+Regression!$B$18*Returns!D286</f>
        <v>2.8928773921181764E-2</v>
      </c>
      <c r="G286" s="13">
        <f t="shared" si="14"/>
        <v>9.1099346449188615E-2</v>
      </c>
    </row>
    <row r="287" spans="1:7" x14ac:dyDescent="0.3">
      <c r="A287" s="5">
        <v>38261</v>
      </c>
      <c r="B287" s="11">
        <v>1.54E-2</v>
      </c>
      <c r="C287" s="11">
        <v>0.35225800000000002</v>
      </c>
      <c r="D287" s="13">
        <f t="shared" si="12"/>
        <v>1.1914120370370374E-2</v>
      </c>
      <c r="E287" s="13">
        <f t="shared" si="13"/>
        <v>0.34877212037037036</v>
      </c>
      <c r="F287" s="13">
        <f>Regression!$B$17+Regression!$B$18*Returns!D287</f>
        <v>2.6519592842070769E-2</v>
      </c>
      <c r="G287" s="13">
        <f t="shared" si="14"/>
        <v>0.32225252752829958</v>
      </c>
    </row>
    <row r="288" spans="1:7" x14ac:dyDescent="0.3">
      <c r="A288" s="5">
        <v>38292</v>
      </c>
      <c r="B288" s="11">
        <v>4.6900000000000004E-2</v>
      </c>
      <c r="C288" s="11">
        <v>0.27958</v>
      </c>
      <c r="D288" s="13">
        <f t="shared" si="12"/>
        <v>4.3414120370370381E-2</v>
      </c>
      <c r="E288" s="13">
        <f t="shared" si="13"/>
        <v>0.27609412037037034</v>
      </c>
      <c r="F288" s="13">
        <f>Regression!$B$17+Regression!$B$18*Returns!D288</f>
        <v>7.1160301072656834E-2</v>
      </c>
      <c r="G288" s="13">
        <f t="shared" si="14"/>
        <v>0.20493381929771351</v>
      </c>
    </row>
    <row r="289" spans="1:7" x14ac:dyDescent="0.3">
      <c r="A289" s="5">
        <v>38322</v>
      </c>
      <c r="B289" s="11">
        <v>3.5900000000000001E-2</v>
      </c>
      <c r="C289" s="11">
        <v>-3.9523000000000003E-2</v>
      </c>
      <c r="D289" s="13">
        <f t="shared" si="12"/>
        <v>3.2414120370370378E-2</v>
      </c>
      <c r="E289" s="13">
        <f t="shared" si="13"/>
        <v>-4.3008879629629626E-2</v>
      </c>
      <c r="F289" s="13">
        <f>Regression!$B$17+Regression!$B$18*Returns!D289</f>
        <v>5.5571482325468054E-2</v>
      </c>
      <c r="G289" s="13">
        <f t="shared" si="14"/>
        <v>-9.8580361955097673E-2</v>
      </c>
    </row>
    <row r="290" spans="1:7" x14ac:dyDescent="0.3">
      <c r="A290" s="5">
        <v>38353</v>
      </c>
      <c r="B290" s="11">
        <v>-2.5999999999999995E-2</v>
      </c>
      <c r="C290" s="11">
        <v>0.19409899999999999</v>
      </c>
      <c r="D290" s="13">
        <f t="shared" si="12"/>
        <v>-2.9485879629629622E-2</v>
      </c>
      <c r="E290" s="13">
        <f t="shared" si="13"/>
        <v>0.19061312037037037</v>
      </c>
      <c r="F290" s="13">
        <f>Regression!$B$17+Regression!$B$18*Returns!D290</f>
        <v>-3.2151052260985191E-2</v>
      </c>
      <c r="G290" s="13">
        <f t="shared" si="14"/>
        <v>0.22276417263135556</v>
      </c>
    </row>
    <row r="291" spans="1:7" x14ac:dyDescent="0.3">
      <c r="A291" s="5">
        <v>38384</v>
      </c>
      <c r="B291" s="11">
        <v>2.0499999999999997E-2</v>
      </c>
      <c r="C291" s="11">
        <v>0.16671</v>
      </c>
      <c r="D291" s="13">
        <f t="shared" si="12"/>
        <v>1.701412037037037E-2</v>
      </c>
      <c r="E291" s="13">
        <f t="shared" si="13"/>
        <v>0.16322412037037037</v>
      </c>
      <c r="F291" s="13">
        <f>Regression!$B$17+Regression!$B$18*Returns!D291</f>
        <v>3.3747136079403744E-2</v>
      </c>
      <c r="G291" s="13">
        <f t="shared" si="14"/>
        <v>0.12947698429096663</v>
      </c>
    </row>
    <row r="292" spans="1:7" x14ac:dyDescent="0.3">
      <c r="A292" s="5">
        <v>38412</v>
      </c>
      <c r="B292" s="11">
        <v>-1.7600000000000001E-2</v>
      </c>
      <c r="C292" s="11">
        <v>-7.1110000000000007E-2</v>
      </c>
      <c r="D292" s="13">
        <f t="shared" si="12"/>
        <v>-2.1085879629629628E-2</v>
      </c>
      <c r="E292" s="13">
        <f t="shared" si="13"/>
        <v>-7.459587962962963E-2</v>
      </c>
      <c r="F292" s="13">
        <f>Regression!$B$17+Regression!$B$18*Returns!D292</f>
        <v>-2.0246863399495586E-2</v>
      </c>
      <c r="G292" s="13">
        <f t="shared" si="14"/>
        <v>-5.4349016230134044E-2</v>
      </c>
    </row>
    <row r="293" spans="1:7" x14ac:dyDescent="0.3">
      <c r="A293" s="5">
        <v>38443</v>
      </c>
      <c r="B293" s="11">
        <v>-2.4E-2</v>
      </c>
      <c r="C293" s="11">
        <v>-0.134629</v>
      </c>
      <c r="D293" s="13">
        <f t="shared" si="12"/>
        <v>-2.7485879629629627E-2</v>
      </c>
      <c r="E293" s="13">
        <f t="shared" si="13"/>
        <v>-0.13811487962962962</v>
      </c>
      <c r="F293" s="13">
        <f>Regression!$B$17+Regression!$B$18*Returns!D293</f>
        <v>-2.931672157967815E-2</v>
      </c>
      <c r="G293" s="13">
        <f t="shared" si="14"/>
        <v>-0.10879815804995147</v>
      </c>
    </row>
    <row r="294" spans="1:7" x14ac:dyDescent="0.3">
      <c r="A294" s="5">
        <v>38473</v>
      </c>
      <c r="B294" s="11">
        <v>3.8899999999999997E-2</v>
      </c>
      <c r="C294" s="11">
        <v>0.102587</v>
      </c>
      <c r="D294" s="13">
        <f t="shared" si="12"/>
        <v>3.5414120370370374E-2</v>
      </c>
      <c r="E294" s="13">
        <f t="shared" si="13"/>
        <v>9.9101120370370374E-2</v>
      </c>
      <c r="F294" s="13">
        <f>Regression!$B$17+Regression!$B$18*Returns!D294</f>
        <v>5.9822978347428626E-2</v>
      </c>
      <c r="G294" s="13">
        <f t="shared" si="14"/>
        <v>3.9278142022941748E-2</v>
      </c>
    </row>
    <row r="295" spans="1:7" x14ac:dyDescent="0.3">
      <c r="A295" s="5">
        <v>38504</v>
      </c>
      <c r="B295" s="11">
        <v>8.0000000000000002E-3</v>
      </c>
      <c r="C295" s="11">
        <v>-7.4178999999999995E-2</v>
      </c>
      <c r="D295" s="13">
        <f t="shared" si="12"/>
        <v>4.5141203703703741E-3</v>
      </c>
      <c r="E295" s="13">
        <f t="shared" si="13"/>
        <v>-7.7664879629629618E-2</v>
      </c>
      <c r="F295" s="13">
        <f>Regression!$B$17+Regression!$B$18*Returns!D295</f>
        <v>1.6032569321234681E-2</v>
      </c>
      <c r="G295" s="13">
        <f t="shared" si="14"/>
        <v>-9.3697448950864293E-2</v>
      </c>
    </row>
    <row r="296" spans="1:7" x14ac:dyDescent="0.3">
      <c r="A296" s="5">
        <v>38534</v>
      </c>
      <c r="B296" s="11">
        <v>4.1599999999999998E-2</v>
      </c>
      <c r="C296" s="11">
        <v>0.15865299999999999</v>
      </c>
      <c r="D296" s="13">
        <f t="shared" si="12"/>
        <v>3.8114120370370375E-2</v>
      </c>
      <c r="E296" s="13">
        <f t="shared" si="13"/>
        <v>0.15516712037037036</v>
      </c>
      <c r="F296" s="13">
        <f>Regression!$B$17+Regression!$B$18*Returns!D296</f>
        <v>6.3649324767193149E-2</v>
      </c>
      <c r="G296" s="13">
        <f t="shared" si="14"/>
        <v>9.1517795603177216E-2</v>
      </c>
    </row>
    <row r="297" spans="1:7" x14ac:dyDescent="0.3">
      <c r="A297" s="5">
        <v>38565</v>
      </c>
      <c r="B297" s="11">
        <v>-9.1999999999999998E-3</v>
      </c>
      <c r="C297" s="11">
        <v>9.9414000000000002E-2</v>
      </c>
      <c r="D297" s="13">
        <f t="shared" si="12"/>
        <v>-1.2685879629629627E-2</v>
      </c>
      <c r="E297" s="13">
        <f t="shared" si="13"/>
        <v>9.5928120370370379E-2</v>
      </c>
      <c r="F297" s="13">
        <f>Regression!$B$17+Regression!$B$18*Returns!D297</f>
        <v>-8.3426745380059675E-3</v>
      </c>
      <c r="G297" s="13">
        <f t="shared" si="14"/>
        <v>0.10427079490837635</v>
      </c>
    </row>
    <row r="298" spans="1:7" x14ac:dyDescent="0.3">
      <c r="A298" s="5">
        <v>38596</v>
      </c>
      <c r="B298" s="11">
        <v>7.8000000000000005E-3</v>
      </c>
      <c r="C298" s="11">
        <v>0.143314</v>
      </c>
      <c r="D298" s="13">
        <f t="shared" si="12"/>
        <v>4.3141203703703744E-3</v>
      </c>
      <c r="E298" s="13">
        <f t="shared" si="13"/>
        <v>0.13982812037037037</v>
      </c>
      <c r="F298" s="13">
        <f>Regression!$B$17+Regression!$B$18*Returns!D298</f>
        <v>1.5749136253103976E-2</v>
      </c>
      <c r="G298" s="13">
        <f t="shared" si="14"/>
        <v>0.12407898411726639</v>
      </c>
    </row>
    <row r="299" spans="1:7" x14ac:dyDescent="0.3">
      <c r="A299" s="5">
        <v>38626</v>
      </c>
      <c r="B299" s="11">
        <v>-1.7500000000000002E-2</v>
      </c>
      <c r="C299" s="11">
        <v>7.424E-2</v>
      </c>
      <c r="D299" s="13">
        <f t="shared" si="12"/>
        <v>-2.0985879629629629E-2</v>
      </c>
      <c r="E299" s="13">
        <f t="shared" si="13"/>
        <v>7.0754120370370377E-2</v>
      </c>
      <c r="F299" s="13">
        <f>Regression!$B$17+Regression!$B$18*Returns!D299</f>
        <v>-2.0105146865430232E-2</v>
      </c>
      <c r="G299" s="13">
        <f t="shared" si="14"/>
        <v>9.0859267235800609E-2</v>
      </c>
    </row>
    <row r="300" spans="1:7" x14ac:dyDescent="0.3">
      <c r="A300" s="5">
        <v>38657</v>
      </c>
      <c r="B300" s="11">
        <v>3.9199999999999999E-2</v>
      </c>
      <c r="C300" s="11">
        <v>0.17763499999999999</v>
      </c>
      <c r="D300" s="13">
        <f t="shared" si="12"/>
        <v>3.5714120370370375E-2</v>
      </c>
      <c r="E300" s="13">
        <f t="shared" si="13"/>
        <v>0.17414912037037036</v>
      </c>
      <c r="F300" s="13">
        <f>Regression!$B$17+Regression!$B$18*Returns!D300</f>
        <v>6.024812794962469E-2</v>
      </c>
      <c r="G300" s="13">
        <f t="shared" si="14"/>
        <v>0.11390099242074567</v>
      </c>
    </row>
    <row r="301" spans="1:7" x14ac:dyDescent="0.3">
      <c r="A301" s="5">
        <v>38687</v>
      </c>
      <c r="B301" s="11">
        <v>7.000000000000001E-4</v>
      </c>
      <c r="C301" s="11">
        <v>6.0012000000000003E-2</v>
      </c>
      <c r="D301" s="13">
        <f t="shared" si="12"/>
        <v>-2.785879629629626E-3</v>
      </c>
      <c r="E301" s="13">
        <f t="shared" si="13"/>
        <v>5.6526120370370379E-2</v>
      </c>
      <c r="F301" s="13">
        <f>Regression!$B$17+Regression!$B$18*Returns!D301</f>
        <v>5.6872623344639411E-3</v>
      </c>
      <c r="G301" s="13">
        <f t="shared" si="14"/>
        <v>5.0838858035906438E-2</v>
      </c>
    </row>
    <row r="302" spans="1:7" x14ac:dyDescent="0.3">
      <c r="A302" s="5">
        <v>38718</v>
      </c>
      <c r="B302" s="11">
        <v>3.39E-2</v>
      </c>
      <c r="C302" s="11">
        <v>5.0354999999999997E-2</v>
      </c>
      <c r="D302" s="13">
        <f t="shared" si="12"/>
        <v>3.0414120370370373E-2</v>
      </c>
      <c r="E302" s="13">
        <f t="shared" si="13"/>
        <v>4.6869120370370373E-2</v>
      </c>
      <c r="F302" s="13">
        <f>Regression!$B$17+Regression!$B$18*Returns!D302</f>
        <v>5.2737151644160998E-2</v>
      </c>
      <c r="G302" s="13">
        <f t="shared" si="14"/>
        <v>-5.8680312737906248E-3</v>
      </c>
    </row>
    <row r="303" spans="1:7" x14ac:dyDescent="0.3">
      <c r="A303" s="5">
        <v>38749</v>
      </c>
      <c r="B303" s="11">
        <v>4.0000000000000034E-4</v>
      </c>
      <c r="C303" s="11">
        <v>-9.2967999999999995E-2</v>
      </c>
      <c r="D303" s="13">
        <f t="shared" si="12"/>
        <v>-3.0858796296296259E-3</v>
      </c>
      <c r="E303" s="13">
        <f t="shared" si="13"/>
        <v>-9.6453879629629619E-2</v>
      </c>
      <c r="F303" s="13">
        <f>Regression!$B$17+Regression!$B$18*Returns!D303</f>
        <v>5.2621127322678828E-3</v>
      </c>
      <c r="G303" s="13">
        <f t="shared" si="14"/>
        <v>-0.1017159923618975</v>
      </c>
    </row>
    <row r="304" spans="1:7" x14ac:dyDescent="0.3">
      <c r="A304" s="5">
        <v>38777</v>
      </c>
      <c r="B304" s="11">
        <v>1.83E-2</v>
      </c>
      <c r="C304" s="11">
        <v>-8.4246000000000001E-2</v>
      </c>
      <c r="D304" s="13">
        <f t="shared" si="12"/>
        <v>1.4814120370370373E-2</v>
      </c>
      <c r="E304" s="13">
        <f t="shared" si="13"/>
        <v>-8.7731879629629625E-2</v>
      </c>
      <c r="F304" s="13">
        <f>Regression!$B$17+Regression!$B$18*Returns!D304</f>
        <v>3.0629372329965994E-2</v>
      </c>
      <c r="G304" s="13">
        <f t="shared" si="14"/>
        <v>-0.11836125195959563</v>
      </c>
    </row>
    <row r="305" spans="1:7" x14ac:dyDescent="0.3">
      <c r="A305" s="5">
        <v>38808</v>
      </c>
      <c r="B305" s="11">
        <v>1.0899999999999998E-2</v>
      </c>
      <c r="C305" s="11">
        <v>0.12229</v>
      </c>
      <c r="D305" s="13">
        <f t="shared" si="12"/>
        <v>7.4141203703703721E-3</v>
      </c>
      <c r="E305" s="13">
        <f t="shared" si="13"/>
        <v>0.11880412037037037</v>
      </c>
      <c r="F305" s="13">
        <f>Regression!$B$17+Regression!$B$18*Returns!D305</f>
        <v>2.0142348809129899E-2</v>
      </c>
      <c r="G305" s="13">
        <f t="shared" si="14"/>
        <v>9.866177156124048E-2</v>
      </c>
    </row>
    <row r="306" spans="1:7" x14ac:dyDescent="0.3">
      <c r="A306" s="5">
        <v>38838</v>
      </c>
      <c r="B306" s="11">
        <v>-3.1399999999999997E-2</v>
      </c>
      <c r="C306" s="11">
        <v>-0.15087400000000001</v>
      </c>
      <c r="D306" s="13">
        <f t="shared" si="12"/>
        <v>-3.4885879629629621E-2</v>
      </c>
      <c r="E306" s="13">
        <f t="shared" si="13"/>
        <v>-0.15435987962962963</v>
      </c>
      <c r="F306" s="13">
        <f>Regression!$B$17+Regression!$B$18*Returns!D306</f>
        <v>-3.980374510051423E-2</v>
      </c>
      <c r="G306" s="13">
        <f t="shared" si="14"/>
        <v>-0.11455613452911539</v>
      </c>
    </row>
    <row r="307" spans="1:7" x14ac:dyDescent="0.3">
      <c r="A307" s="5">
        <v>38869</v>
      </c>
      <c r="B307" s="11">
        <v>5.0000000000000044E-4</v>
      </c>
      <c r="C307" s="11">
        <v>-4.1827000000000003E-2</v>
      </c>
      <c r="D307" s="13">
        <f t="shared" si="12"/>
        <v>-2.9858796296296257E-3</v>
      </c>
      <c r="E307" s="13">
        <f t="shared" si="13"/>
        <v>-4.5312879629629627E-2</v>
      </c>
      <c r="F307" s="13">
        <f>Regression!$B$17+Regression!$B$18*Returns!D307</f>
        <v>5.4038292663332365E-3</v>
      </c>
      <c r="G307" s="13">
        <f t="shared" si="14"/>
        <v>-5.0716708895962866E-2</v>
      </c>
    </row>
    <row r="308" spans="1:7" x14ac:dyDescent="0.3">
      <c r="A308" s="5">
        <v>38899</v>
      </c>
      <c r="B308" s="11">
        <v>-3.8E-3</v>
      </c>
      <c r="C308" s="11">
        <v>0.18665999999999999</v>
      </c>
      <c r="D308" s="13">
        <f t="shared" si="12"/>
        <v>-7.2858796296296265E-3</v>
      </c>
      <c r="E308" s="13">
        <f t="shared" si="13"/>
        <v>0.18317412037037037</v>
      </c>
      <c r="F308" s="13">
        <f>Regression!$B$17+Regression!$B$18*Returns!D308</f>
        <v>-6.8998169847692657E-4</v>
      </c>
      <c r="G308" s="13">
        <f t="shared" si="14"/>
        <v>0.18386410206884729</v>
      </c>
    </row>
    <row r="309" spans="1:7" x14ac:dyDescent="0.3">
      <c r="A309" s="5">
        <v>38930</v>
      </c>
      <c r="B309" s="11">
        <v>2.4499999999999997E-2</v>
      </c>
      <c r="C309" s="11">
        <v>-1.619E-3</v>
      </c>
      <c r="D309" s="13">
        <f t="shared" si="12"/>
        <v>2.1014120370370371E-2</v>
      </c>
      <c r="E309" s="13">
        <f t="shared" si="13"/>
        <v>-5.1048796296296259E-3</v>
      </c>
      <c r="F309" s="13">
        <f>Regression!$B$17+Regression!$B$18*Returns!D309</f>
        <v>3.9415797442017855E-2</v>
      </c>
      <c r="G309" s="13">
        <f t="shared" si="14"/>
        <v>-4.4520677071647481E-2</v>
      </c>
    </row>
    <row r="310" spans="1:7" x14ac:dyDescent="0.3">
      <c r="A310" s="5">
        <v>38961</v>
      </c>
      <c r="B310" s="11">
        <v>2.2499999999999999E-2</v>
      </c>
      <c r="C310" s="11">
        <v>0.13456199999999999</v>
      </c>
      <c r="D310" s="13">
        <f t="shared" si="12"/>
        <v>1.9014120370370372E-2</v>
      </c>
      <c r="E310" s="13">
        <f t="shared" si="13"/>
        <v>0.13107612037037036</v>
      </c>
      <c r="F310" s="13">
        <f>Regression!$B$17+Regression!$B$18*Returns!D310</f>
        <v>3.65814667607108E-2</v>
      </c>
      <c r="G310" s="13">
        <f t="shared" si="14"/>
        <v>9.4494653609659557E-2</v>
      </c>
    </row>
    <row r="311" spans="1:7" x14ac:dyDescent="0.3">
      <c r="A311" s="5">
        <v>38991</v>
      </c>
      <c r="B311" s="11">
        <v>3.6400000000000002E-2</v>
      </c>
      <c r="C311" s="11">
        <v>5.3261000000000003E-2</v>
      </c>
      <c r="D311" s="13">
        <f t="shared" si="12"/>
        <v>3.2914120370370378E-2</v>
      </c>
      <c r="E311" s="13">
        <f t="shared" si="13"/>
        <v>4.9775120370370379E-2</v>
      </c>
      <c r="F311" s="13">
        <f>Regression!$B$17+Regression!$B$18*Returns!D311</f>
        <v>5.6280064995794819E-2</v>
      </c>
      <c r="G311" s="13">
        <f t="shared" si="14"/>
        <v>-6.50494462542444E-3</v>
      </c>
    </row>
    <row r="312" spans="1:7" x14ac:dyDescent="0.3">
      <c r="A312" s="5">
        <v>39022</v>
      </c>
      <c r="B312" s="11">
        <v>2.1299999999999999E-2</v>
      </c>
      <c r="C312" s="11">
        <v>0.13048799999999999</v>
      </c>
      <c r="D312" s="13">
        <f t="shared" si="12"/>
        <v>1.7814120370370373E-2</v>
      </c>
      <c r="E312" s="13">
        <f t="shared" si="13"/>
        <v>0.12700212037037037</v>
      </c>
      <c r="F312" s="13">
        <f>Regression!$B$17+Regression!$B$18*Returns!D312</f>
        <v>3.4880868351926567E-2</v>
      </c>
      <c r="G312" s="13">
        <f t="shared" si="14"/>
        <v>9.2121252018443803E-2</v>
      </c>
    </row>
    <row r="313" spans="1:7" x14ac:dyDescent="0.3">
      <c r="A313" s="5">
        <v>39052</v>
      </c>
      <c r="B313" s="11">
        <v>1.2699999999999999E-2</v>
      </c>
      <c r="C313" s="11">
        <v>-7.4404999999999999E-2</v>
      </c>
      <c r="D313" s="13">
        <f t="shared" si="12"/>
        <v>9.2141203703703725E-3</v>
      </c>
      <c r="E313" s="13">
        <f t="shared" si="13"/>
        <v>-7.7890879629629622E-2</v>
      </c>
      <c r="F313" s="13">
        <f>Regression!$B$17+Regression!$B$18*Returns!D313</f>
        <v>2.2693246422306249E-2</v>
      </c>
      <c r="G313" s="13">
        <f t="shared" si="14"/>
        <v>-0.10058412605193587</v>
      </c>
    </row>
    <row r="314" spans="1:7" x14ac:dyDescent="0.3">
      <c r="A314" s="5">
        <v>39083</v>
      </c>
      <c r="B314" s="11">
        <v>1.84E-2</v>
      </c>
      <c r="C314" s="11">
        <v>1.0489999999999999E-2</v>
      </c>
      <c r="D314" s="13">
        <f t="shared" si="12"/>
        <v>1.4914120370370373E-2</v>
      </c>
      <c r="E314" s="13">
        <f t="shared" si="13"/>
        <v>7.0041203703703732E-3</v>
      </c>
      <c r="F314" s="13">
        <f>Regression!$B$17+Regression!$B$18*Returns!D314</f>
        <v>3.0771088864031345E-2</v>
      </c>
      <c r="G314" s="13">
        <f t="shared" si="14"/>
        <v>-2.3766968493660973E-2</v>
      </c>
    </row>
    <row r="315" spans="1:7" x14ac:dyDescent="0.3">
      <c r="A315" s="5">
        <v>39114</v>
      </c>
      <c r="B315" s="11">
        <v>-1.5800000000000002E-2</v>
      </c>
      <c r="C315" s="11">
        <v>-1.3063999999999999E-2</v>
      </c>
      <c r="D315" s="13">
        <f t="shared" si="12"/>
        <v>-1.9285879629629629E-2</v>
      </c>
      <c r="E315" s="13">
        <f t="shared" si="13"/>
        <v>-1.6549879629629626E-2</v>
      </c>
      <c r="F315" s="13">
        <f>Regression!$B$17+Regression!$B$18*Returns!D315</f>
        <v>-1.769596578631924E-2</v>
      </c>
      <c r="G315" s="13">
        <f t="shared" si="14"/>
        <v>1.1460861566896137E-3</v>
      </c>
    </row>
    <row r="316" spans="1:7" x14ac:dyDescent="0.3">
      <c r="A316" s="5">
        <v>39142</v>
      </c>
      <c r="B316" s="11">
        <v>1.11E-2</v>
      </c>
      <c r="C316" s="11">
        <v>9.8097000000000004E-2</v>
      </c>
      <c r="D316" s="13">
        <f t="shared" si="12"/>
        <v>7.6141203703703744E-3</v>
      </c>
      <c r="E316" s="13">
        <f t="shared" si="13"/>
        <v>9.461112037037038E-2</v>
      </c>
      <c r="F316" s="13">
        <f>Regression!$B$17+Regression!$B$18*Returns!D316</f>
        <v>2.0425781877260608E-2</v>
      </c>
      <c r="G316" s="13">
        <f t="shared" si="14"/>
        <v>7.4185338493109765E-2</v>
      </c>
    </row>
    <row r="317" spans="1:7" x14ac:dyDescent="0.3">
      <c r="A317" s="5">
        <v>39173</v>
      </c>
      <c r="B317" s="11">
        <v>3.9300000000000002E-2</v>
      </c>
      <c r="C317" s="11">
        <v>7.4158000000000002E-2</v>
      </c>
      <c r="D317" s="13">
        <f t="shared" si="12"/>
        <v>3.5814120370370378E-2</v>
      </c>
      <c r="E317" s="13">
        <f t="shared" si="13"/>
        <v>7.0672120370370378E-2</v>
      </c>
      <c r="F317" s="13">
        <f>Regression!$B$17+Regression!$B$18*Returns!D317</f>
        <v>6.0389844483690044E-2</v>
      </c>
      <c r="G317" s="13">
        <f t="shared" si="14"/>
        <v>1.0282275886680334E-2</v>
      </c>
    </row>
    <row r="318" spans="1:7" x14ac:dyDescent="0.3">
      <c r="A318" s="5">
        <v>39203</v>
      </c>
      <c r="B318" s="11">
        <v>3.6500000000000005E-2</v>
      </c>
      <c r="C318" s="11">
        <v>0.214339</v>
      </c>
      <c r="D318" s="13">
        <f t="shared" si="12"/>
        <v>3.3014120370370381E-2</v>
      </c>
      <c r="E318" s="13">
        <f t="shared" si="13"/>
        <v>0.21085312037037038</v>
      </c>
      <c r="F318" s="13">
        <f>Regression!$B$17+Regression!$B$18*Returns!D318</f>
        <v>5.6421781529860174E-2</v>
      </c>
      <c r="G318" s="13">
        <f t="shared" si="14"/>
        <v>0.15443133884051019</v>
      </c>
    </row>
    <row r="319" spans="1:7" x14ac:dyDescent="0.3">
      <c r="A319" s="5">
        <v>39234</v>
      </c>
      <c r="B319" s="11">
        <v>-1.5600000000000001E-2</v>
      </c>
      <c r="C319" s="11">
        <v>7.0049999999999999E-3</v>
      </c>
      <c r="D319" s="13">
        <f t="shared" si="12"/>
        <v>-1.9085879629629626E-2</v>
      </c>
      <c r="E319" s="13">
        <f t="shared" si="13"/>
        <v>3.5191203703703738E-3</v>
      </c>
      <c r="F319" s="13">
        <f>Regression!$B$17+Regression!$B$18*Returns!D319</f>
        <v>-1.7412532718188531E-2</v>
      </c>
      <c r="G319" s="13">
        <f t="shared" si="14"/>
        <v>2.0931653088558905E-2</v>
      </c>
    </row>
    <row r="320" spans="1:7" x14ac:dyDescent="0.3">
      <c r="A320" s="5">
        <v>39264</v>
      </c>
      <c r="B320" s="11">
        <v>-3.3300000000000003E-2</v>
      </c>
      <c r="C320" s="11">
        <v>7.9645999999999995E-2</v>
      </c>
      <c r="D320" s="13">
        <f t="shared" si="12"/>
        <v>-3.6785879629629627E-2</v>
      </c>
      <c r="E320" s="13">
        <f t="shared" si="13"/>
        <v>7.6160120370370371E-2</v>
      </c>
      <c r="F320" s="13">
        <f>Regression!$B$17+Regression!$B$18*Returns!D320</f>
        <v>-4.2496359247755938E-2</v>
      </c>
      <c r="G320" s="13">
        <f t="shared" si="14"/>
        <v>0.11865647961812631</v>
      </c>
    </row>
    <row r="321" spans="1:7" x14ac:dyDescent="0.3">
      <c r="A321" s="5">
        <v>39295</v>
      </c>
      <c r="B321" s="11">
        <v>1.34E-2</v>
      </c>
      <c r="C321" s="11">
        <v>5.1001999999999999E-2</v>
      </c>
      <c r="D321" s="13">
        <f t="shared" si="12"/>
        <v>9.9141203703703752E-3</v>
      </c>
      <c r="E321" s="13">
        <f t="shared" si="13"/>
        <v>4.7516120370370375E-2</v>
      </c>
      <c r="F321" s="13">
        <f>Regression!$B$17+Regression!$B$18*Returns!D321</f>
        <v>2.368526216076372E-2</v>
      </c>
      <c r="G321" s="13">
        <f t="shared" si="14"/>
        <v>2.3830858209606655E-2</v>
      </c>
    </row>
    <row r="322" spans="1:7" x14ac:dyDescent="0.3">
      <c r="A322" s="5">
        <v>39326</v>
      </c>
      <c r="B322" s="11">
        <v>3.5400000000000001E-2</v>
      </c>
      <c r="C322" s="11">
        <v>0.108247</v>
      </c>
      <c r="D322" s="13">
        <f t="shared" si="12"/>
        <v>3.1914120370370377E-2</v>
      </c>
      <c r="E322" s="13">
        <f t="shared" si="13"/>
        <v>0.10476112037037037</v>
      </c>
      <c r="F322" s="13">
        <f>Regression!$B$17+Regression!$B$18*Returns!D322</f>
        <v>5.4862899655141295E-2</v>
      </c>
      <c r="G322" s="13">
        <f t="shared" si="14"/>
        <v>4.9898220715229077E-2</v>
      </c>
    </row>
    <row r="323" spans="1:7" x14ac:dyDescent="0.3">
      <c r="A323" s="5">
        <v>39356</v>
      </c>
      <c r="B323" s="11">
        <v>2.12E-2</v>
      </c>
      <c r="C323" s="11">
        <v>0.237701</v>
      </c>
      <c r="D323" s="13">
        <f t="shared" ref="D323:D386" si="15">B323-$J$2</f>
        <v>1.7714120370370373E-2</v>
      </c>
      <c r="E323" s="13">
        <f t="shared" ref="E323:E386" si="16">C323-$J$2</f>
        <v>0.23421512037037037</v>
      </c>
      <c r="F323" s="13">
        <f>Regression!$B$17+Regression!$B$18*Returns!D323</f>
        <v>3.4739151817861219E-2</v>
      </c>
      <c r="G323" s="13">
        <f t="shared" ref="G323:G386" si="17">E323-F323</f>
        <v>0.19947596855250915</v>
      </c>
    </row>
    <row r="324" spans="1:7" x14ac:dyDescent="0.3">
      <c r="A324" s="5">
        <v>39387</v>
      </c>
      <c r="B324" s="11">
        <v>-4.4900000000000002E-2</v>
      </c>
      <c r="C324" s="11">
        <v>-4.0695000000000002E-2</v>
      </c>
      <c r="D324" s="13">
        <f t="shared" si="15"/>
        <v>-4.8385879629629626E-2</v>
      </c>
      <c r="E324" s="13">
        <f t="shared" si="16"/>
        <v>-4.4180879629629626E-2</v>
      </c>
      <c r="F324" s="13">
        <f>Regression!$B$17+Regression!$B$18*Returns!D324</f>
        <v>-5.8935477199336839E-2</v>
      </c>
      <c r="G324" s="13">
        <f t="shared" si="17"/>
        <v>1.4754597569707213E-2</v>
      </c>
    </row>
    <row r="325" spans="1:7" x14ac:dyDescent="0.3">
      <c r="A325" s="5">
        <v>39417</v>
      </c>
      <c r="B325" s="11">
        <v>-6.0000000000000001E-3</v>
      </c>
      <c r="C325" s="11">
        <v>8.7038000000000004E-2</v>
      </c>
      <c r="D325" s="13">
        <f t="shared" si="15"/>
        <v>-9.4858796296296254E-3</v>
      </c>
      <c r="E325" s="13">
        <f t="shared" si="16"/>
        <v>8.3552120370370381E-2</v>
      </c>
      <c r="F325" s="13">
        <f>Regression!$B$17+Regression!$B$18*Returns!D325</f>
        <v>-3.8077454479146823E-3</v>
      </c>
      <c r="G325" s="13">
        <f t="shared" si="17"/>
        <v>8.735986581828506E-2</v>
      </c>
    </row>
    <row r="326" spans="1:7" x14ac:dyDescent="0.3">
      <c r="A326" s="5">
        <v>39448</v>
      </c>
      <c r="B326" s="11">
        <v>-6.1500000000000006E-2</v>
      </c>
      <c r="C326" s="11">
        <v>-0.31663999999999998</v>
      </c>
      <c r="D326" s="13">
        <f t="shared" si="15"/>
        <v>-6.4985879629629636E-2</v>
      </c>
      <c r="E326" s="13">
        <f t="shared" si="16"/>
        <v>-0.32012587962962963</v>
      </c>
      <c r="F326" s="13">
        <f>Regression!$B$17+Regression!$B$18*Returns!D326</f>
        <v>-8.2460421854185381E-2</v>
      </c>
      <c r="G326" s="13">
        <f t="shared" si="17"/>
        <v>-0.23766545777544423</v>
      </c>
    </row>
    <row r="327" spans="1:7" x14ac:dyDescent="0.3">
      <c r="A327" s="5">
        <v>39479</v>
      </c>
      <c r="B327" s="11">
        <v>-2.9600000000000001E-2</v>
      </c>
      <c r="C327" s="11">
        <v>-7.6388999999999999E-2</v>
      </c>
      <c r="D327" s="13">
        <f t="shared" si="15"/>
        <v>-3.3085879629629625E-2</v>
      </c>
      <c r="E327" s="13">
        <f t="shared" si="16"/>
        <v>-7.9874879629629622E-2</v>
      </c>
      <c r="F327" s="13">
        <f>Regression!$B$17+Regression!$B$18*Returns!D327</f>
        <v>-3.7252847487337891E-2</v>
      </c>
      <c r="G327" s="13">
        <f t="shared" si="17"/>
        <v>-4.2622032142291731E-2</v>
      </c>
    </row>
    <row r="328" spans="1:7" x14ac:dyDescent="0.3">
      <c r="A328" s="5">
        <v>39508</v>
      </c>
      <c r="B328" s="11">
        <v>-7.6E-3</v>
      </c>
      <c r="C328" s="11">
        <v>0.147816</v>
      </c>
      <c r="D328" s="13">
        <f t="shared" si="15"/>
        <v>-1.1085879629629626E-2</v>
      </c>
      <c r="E328" s="13">
        <f t="shared" si="16"/>
        <v>0.14433012037037038</v>
      </c>
      <c r="F328" s="13">
        <f>Regression!$B$17+Regression!$B$18*Returns!D328</f>
        <v>-6.0752099929603232E-3</v>
      </c>
      <c r="G328" s="13">
        <f t="shared" si="17"/>
        <v>0.1504053303633307</v>
      </c>
    </row>
    <row r="329" spans="1:7" x14ac:dyDescent="0.3">
      <c r="A329" s="5">
        <v>39539</v>
      </c>
      <c r="B329" s="11">
        <v>4.7799999999999995E-2</v>
      </c>
      <c r="C329" s="11">
        <v>0.21219499999999999</v>
      </c>
      <c r="D329" s="13">
        <f t="shared" si="15"/>
        <v>4.4314120370370372E-2</v>
      </c>
      <c r="E329" s="13">
        <f t="shared" si="16"/>
        <v>0.20870912037037037</v>
      </c>
      <c r="F329" s="13">
        <f>Regression!$B$17+Regression!$B$18*Returns!D329</f>
        <v>7.2435749879245004E-2</v>
      </c>
      <c r="G329" s="13">
        <f t="shared" si="17"/>
        <v>0.13627337049112537</v>
      </c>
    </row>
    <row r="330" spans="1:7" x14ac:dyDescent="0.3">
      <c r="A330" s="5">
        <v>39569</v>
      </c>
      <c r="B330" s="11">
        <v>2.0400000000000001E-2</v>
      </c>
      <c r="C330" s="11">
        <v>8.5082000000000005E-2</v>
      </c>
      <c r="D330" s="13">
        <f t="shared" si="15"/>
        <v>1.6914120370370374E-2</v>
      </c>
      <c r="E330" s="13">
        <f t="shared" si="16"/>
        <v>8.1596120370370381E-2</v>
      </c>
      <c r="F330" s="13">
        <f>Regression!$B$17+Regression!$B$18*Returns!D330</f>
        <v>3.3605419545338397E-2</v>
      </c>
      <c r="G330" s="13">
        <f t="shared" si="17"/>
        <v>4.7990700825031984E-2</v>
      </c>
    </row>
    <row r="331" spans="1:7" x14ac:dyDescent="0.3">
      <c r="A331" s="5">
        <v>39600</v>
      </c>
      <c r="B331" s="11">
        <v>-8.2699999999999996E-2</v>
      </c>
      <c r="C331" s="11">
        <v>-0.112901</v>
      </c>
      <c r="D331" s="13">
        <f t="shared" si="15"/>
        <v>-8.6185879629629619E-2</v>
      </c>
      <c r="E331" s="13">
        <f t="shared" si="16"/>
        <v>-0.11638687962962962</v>
      </c>
      <c r="F331" s="13">
        <f>Regression!$B$17+Regression!$B$18*Returns!D331</f>
        <v>-0.11250432707604011</v>
      </c>
      <c r="G331" s="13">
        <f t="shared" si="17"/>
        <v>-3.8825525535895189E-3</v>
      </c>
    </row>
    <row r="332" spans="1:7" x14ac:dyDescent="0.3">
      <c r="A332" s="5">
        <v>39630</v>
      </c>
      <c r="B332" s="11">
        <v>-6.1999999999999998E-3</v>
      </c>
      <c r="C332" s="11">
        <v>-5.0705E-2</v>
      </c>
      <c r="D332" s="13">
        <f t="shared" si="15"/>
        <v>-9.6858796296296259E-3</v>
      </c>
      <c r="E332" s="13">
        <f t="shared" si="16"/>
        <v>-5.4190879629629624E-2</v>
      </c>
      <c r="F332" s="13">
        <f>Regression!$B$17+Regression!$B$18*Returns!D332</f>
        <v>-4.0911785160453878E-3</v>
      </c>
      <c r="G332" s="13">
        <f t="shared" si="17"/>
        <v>-5.0099701113584236E-2</v>
      </c>
    </row>
    <row r="333" spans="1:7" x14ac:dyDescent="0.3">
      <c r="A333" s="5">
        <v>39661</v>
      </c>
      <c r="B333" s="11">
        <v>1.66E-2</v>
      </c>
      <c r="C333" s="11">
        <v>6.6561999999999996E-2</v>
      </c>
      <c r="D333" s="13">
        <f t="shared" si="15"/>
        <v>1.3114120370370373E-2</v>
      </c>
      <c r="E333" s="13">
        <f t="shared" si="16"/>
        <v>6.3076120370370373E-2</v>
      </c>
      <c r="F333" s="13">
        <f>Regression!$B$17+Regression!$B$18*Returns!D333</f>
        <v>2.8220191250855002E-2</v>
      </c>
      <c r="G333" s="13">
        <f t="shared" si="17"/>
        <v>3.4855929119515371E-2</v>
      </c>
    </row>
    <row r="334" spans="1:7" x14ac:dyDescent="0.3">
      <c r="A334" s="5">
        <v>39692</v>
      </c>
      <c r="B334" s="11">
        <v>-9.0899999999999995E-2</v>
      </c>
      <c r="C334" s="11">
        <v>-0.32955800000000002</v>
      </c>
      <c r="D334" s="13">
        <f t="shared" si="15"/>
        <v>-9.4385879629629618E-2</v>
      </c>
      <c r="E334" s="13">
        <f t="shared" si="16"/>
        <v>-0.33304387962962967</v>
      </c>
      <c r="F334" s="13">
        <f>Regression!$B$17+Regression!$B$18*Returns!D334</f>
        <v>-0.12412508286939901</v>
      </c>
      <c r="G334" s="13">
        <f t="shared" si="17"/>
        <v>-0.20891879676023067</v>
      </c>
    </row>
    <row r="335" spans="1:7" x14ac:dyDescent="0.3">
      <c r="A335" s="5">
        <v>39722</v>
      </c>
      <c r="B335" s="11">
        <v>-0.17150000000000001</v>
      </c>
      <c r="C335" s="11">
        <v>-5.3405000000000001E-2</v>
      </c>
      <c r="D335" s="13">
        <f t="shared" si="15"/>
        <v>-0.17498587962962964</v>
      </c>
      <c r="E335" s="13">
        <f t="shared" si="16"/>
        <v>-5.6890879629629625E-2</v>
      </c>
      <c r="F335" s="13">
        <f>Regression!$B$17+Regression!$B$18*Returns!D335</f>
        <v>-0.23834860932607321</v>
      </c>
      <c r="G335" s="13">
        <f t="shared" si="17"/>
        <v>0.18145772969644358</v>
      </c>
    </row>
    <row r="336" spans="1:7" x14ac:dyDescent="0.3">
      <c r="A336" s="5">
        <v>39753</v>
      </c>
      <c r="B336" s="11">
        <v>-7.8299999999999995E-2</v>
      </c>
      <c r="C336" s="11">
        <v>-0.13867499999999999</v>
      </c>
      <c r="D336" s="13">
        <f t="shared" si="15"/>
        <v>-8.1785879629629618E-2</v>
      </c>
      <c r="E336" s="13">
        <f t="shared" si="16"/>
        <v>-0.14216087962962962</v>
      </c>
      <c r="F336" s="13">
        <f>Regression!$B$17+Regression!$B$18*Returns!D336</f>
        <v>-0.10626879957716459</v>
      </c>
      <c r="G336" s="13">
        <f t="shared" si="17"/>
        <v>-3.5892080052465025E-2</v>
      </c>
    </row>
    <row r="337" spans="1:7" x14ac:dyDescent="0.3">
      <c r="A337" s="5">
        <v>39783</v>
      </c>
      <c r="B337" s="11">
        <v>1.7399999999999999E-2</v>
      </c>
      <c r="C337" s="11">
        <v>-7.8990000000000005E-2</v>
      </c>
      <c r="D337" s="13">
        <f t="shared" si="15"/>
        <v>1.3914120370370372E-2</v>
      </c>
      <c r="E337" s="13">
        <f t="shared" si="16"/>
        <v>-8.2475879629629628E-2</v>
      </c>
      <c r="F337" s="13">
        <f>Regression!$B$17+Regression!$B$18*Returns!D337</f>
        <v>2.9353923523377821E-2</v>
      </c>
      <c r="G337" s="13">
        <f t="shared" si="17"/>
        <v>-0.11182980315300745</v>
      </c>
    </row>
    <row r="338" spans="1:7" x14ac:dyDescent="0.3">
      <c r="A338" s="5">
        <v>39814</v>
      </c>
      <c r="B338" s="11">
        <v>-8.1199999999999994E-2</v>
      </c>
      <c r="C338" s="11">
        <v>5.6004999999999999E-2</v>
      </c>
      <c r="D338" s="13">
        <f t="shared" si="15"/>
        <v>-8.4685879629629618E-2</v>
      </c>
      <c r="E338" s="13">
        <f t="shared" si="16"/>
        <v>5.2519120370370376E-2</v>
      </c>
      <c r="F338" s="13">
        <f>Regression!$B$17+Regression!$B$18*Returns!D338</f>
        <v>-0.11037857906505981</v>
      </c>
      <c r="G338" s="13">
        <f t="shared" si="17"/>
        <v>0.1628976994354302</v>
      </c>
    </row>
    <row r="339" spans="1:7" x14ac:dyDescent="0.3">
      <c r="A339" s="5">
        <v>39845</v>
      </c>
      <c r="B339" s="11">
        <v>-0.1009</v>
      </c>
      <c r="C339" s="11">
        <v>-9.0980000000000002E-3</v>
      </c>
      <c r="D339" s="13">
        <f t="shared" si="15"/>
        <v>-0.10438587962962963</v>
      </c>
      <c r="E339" s="13">
        <f t="shared" si="16"/>
        <v>-1.2583879629629625E-2</v>
      </c>
      <c r="F339" s="13">
        <f>Regression!$B$17+Regression!$B$18*Returns!D339</f>
        <v>-0.13829673627593431</v>
      </c>
      <c r="G339" s="13">
        <f t="shared" si="17"/>
        <v>0.12571285664630469</v>
      </c>
    </row>
    <row r="340" spans="1:7" x14ac:dyDescent="0.3">
      <c r="A340" s="5">
        <v>39873</v>
      </c>
      <c r="B340" s="11">
        <v>8.9699999999999988E-2</v>
      </c>
      <c r="C340" s="11">
        <v>0.17702399999999999</v>
      </c>
      <c r="D340" s="13">
        <f t="shared" si="15"/>
        <v>8.6214120370370365E-2</v>
      </c>
      <c r="E340" s="13">
        <f t="shared" si="16"/>
        <v>0.17353812037037036</v>
      </c>
      <c r="F340" s="13">
        <f>Regression!$B$17+Regression!$B$18*Returns!D340</f>
        <v>0.13181497765262773</v>
      </c>
      <c r="G340" s="13">
        <f t="shared" si="17"/>
        <v>4.1723142717742634E-2</v>
      </c>
    </row>
    <row r="341" spans="1:7" x14ac:dyDescent="0.3">
      <c r="A341" s="5">
        <v>39904</v>
      </c>
      <c r="B341" s="11">
        <v>0.10199999999999999</v>
      </c>
      <c r="C341" s="11">
        <v>0.19701299999999999</v>
      </c>
      <c r="D341" s="13">
        <f t="shared" si="15"/>
        <v>9.851412037037037E-2</v>
      </c>
      <c r="E341" s="13">
        <f t="shared" si="16"/>
        <v>0.19352712037037037</v>
      </c>
      <c r="F341" s="13">
        <f>Regression!$B$17+Regression!$B$18*Returns!D341</f>
        <v>0.14924611134266608</v>
      </c>
      <c r="G341" s="13">
        <f t="shared" si="17"/>
        <v>4.4281009027704293E-2</v>
      </c>
    </row>
    <row r="342" spans="1:7" x14ac:dyDescent="0.3">
      <c r="A342" s="5">
        <v>39934</v>
      </c>
      <c r="B342" s="11">
        <v>5.21E-2</v>
      </c>
      <c r="C342" s="11">
        <v>7.9312999999999995E-2</v>
      </c>
      <c r="D342" s="13">
        <f t="shared" si="15"/>
        <v>4.8614120370370377E-2</v>
      </c>
      <c r="E342" s="13">
        <f t="shared" si="16"/>
        <v>7.5827120370370371E-2</v>
      </c>
      <c r="F342" s="13">
        <f>Regression!$B$17+Regression!$B$18*Returns!D342</f>
        <v>7.8529560844055171E-2</v>
      </c>
      <c r="G342" s="13">
        <f t="shared" si="17"/>
        <v>-2.7024404736848001E-3</v>
      </c>
    </row>
    <row r="343" spans="1:7" x14ac:dyDescent="0.3">
      <c r="A343" s="5">
        <v>39965</v>
      </c>
      <c r="B343" s="11">
        <v>4.4000000000000003E-3</v>
      </c>
      <c r="C343" s="11">
        <v>4.8744999999999997E-2</v>
      </c>
      <c r="D343" s="13">
        <f t="shared" si="15"/>
        <v>9.1412037037037416E-4</v>
      </c>
      <c r="E343" s="13">
        <f t="shared" si="16"/>
        <v>4.5259120370370373E-2</v>
      </c>
      <c r="F343" s="13">
        <f>Regression!$B$17+Regression!$B$18*Returns!D343</f>
        <v>1.0930774094881987E-2</v>
      </c>
      <c r="G343" s="13">
        <f t="shared" si="17"/>
        <v>3.4328346275488385E-2</v>
      </c>
    </row>
    <row r="344" spans="1:7" x14ac:dyDescent="0.3">
      <c r="A344" s="5">
        <v>39995</v>
      </c>
      <c r="B344" s="11">
        <v>7.7299999999999994E-2</v>
      </c>
      <c r="C344" s="11">
        <v>0.14716000000000001</v>
      </c>
      <c r="D344" s="13">
        <f t="shared" si="15"/>
        <v>7.381412037037037E-2</v>
      </c>
      <c r="E344" s="13">
        <f t="shared" si="16"/>
        <v>0.14367412037037039</v>
      </c>
      <c r="F344" s="13">
        <f>Regression!$B$17+Regression!$B$18*Returns!D344</f>
        <v>0.11424212742852402</v>
      </c>
      <c r="G344" s="13">
        <f t="shared" si="17"/>
        <v>2.9431992941846369E-2</v>
      </c>
    </row>
    <row r="345" spans="1:7" x14ac:dyDescent="0.3">
      <c r="A345" s="5">
        <v>40026</v>
      </c>
      <c r="B345" s="11">
        <v>3.3399999999999999E-2</v>
      </c>
      <c r="C345" s="11">
        <v>2.9499999999999998E-2</v>
      </c>
      <c r="D345" s="13">
        <f t="shared" si="15"/>
        <v>2.9914120370370372E-2</v>
      </c>
      <c r="E345" s="13">
        <f t="shared" si="16"/>
        <v>2.6014120370370371E-2</v>
      </c>
      <c r="F345" s="13">
        <f>Regression!$B$17+Regression!$B$18*Returns!D345</f>
        <v>5.2028568973834233E-2</v>
      </c>
      <c r="G345" s="13">
        <f t="shared" si="17"/>
        <v>-2.6014448603463861E-2</v>
      </c>
    </row>
    <row r="346" spans="1:7" x14ac:dyDescent="0.3">
      <c r="A346" s="5">
        <v>40057</v>
      </c>
      <c r="B346" s="11">
        <v>4.0899999999999999E-2</v>
      </c>
      <c r="C346" s="11">
        <v>0.101896</v>
      </c>
      <c r="D346" s="13">
        <f t="shared" si="15"/>
        <v>3.7414120370370375E-2</v>
      </c>
      <c r="E346" s="13">
        <f t="shared" si="16"/>
        <v>9.8410120370370377E-2</v>
      </c>
      <c r="F346" s="13">
        <f>Regression!$B$17+Regression!$B$18*Returns!D346</f>
        <v>6.2657309028735675E-2</v>
      </c>
      <c r="G346" s="13">
        <f t="shared" si="17"/>
        <v>3.5752811341634702E-2</v>
      </c>
    </row>
    <row r="347" spans="1:7" x14ac:dyDescent="0.3">
      <c r="A347" s="5">
        <v>40087</v>
      </c>
      <c r="B347" s="11">
        <v>-2.5899999999999999E-2</v>
      </c>
      <c r="C347" s="11">
        <v>1.6995E-2</v>
      </c>
      <c r="D347" s="13">
        <f t="shared" si="15"/>
        <v>-2.9385879629629626E-2</v>
      </c>
      <c r="E347" s="13">
        <f t="shared" si="16"/>
        <v>1.3509120370370373E-2</v>
      </c>
      <c r="F347" s="13">
        <f>Regression!$B$17+Regression!$B$18*Returns!D347</f>
        <v>-3.2009335726919851E-2</v>
      </c>
      <c r="G347" s="13">
        <f t="shared" si="17"/>
        <v>4.5518456097290223E-2</v>
      </c>
    </row>
    <row r="348" spans="1:7" x14ac:dyDescent="0.3">
      <c r="A348" s="5">
        <v>40118</v>
      </c>
      <c r="B348" s="11">
        <v>5.5599999999999997E-2</v>
      </c>
      <c r="C348" s="11">
        <v>6.0531000000000001E-2</v>
      </c>
      <c r="D348" s="13">
        <f t="shared" si="15"/>
        <v>5.2114120370370373E-2</v>
      </c>
      <c r="E348" s="13">
        <f t="shared" si="16"/>
        <v>5.7045120370370378E-2</v>
      </c>
      <c r="F348" s="13">
        <f>Regression!$B$17+Regression!$B$18*Returns!D348</f>
        <v>8.3489639536342503E-2</v>
      </c>
      <c r="G348" s="13">
        <f t="shared" si="17"/>
        <v>-2.6444519165972125E-2</v>
      </c>
    </row>
    <row r="349" spans="1:7" x14ac:dyDescent="0.3">
      <c r="A349" s="5">
        <v>40148</v>
      </c>
      <c r="B349" s="11">
        <v>2.76E-2</v>
      </c>
      <c r="C349" s="11">
        <v>5.4134000000000002E-2</v>
      </c>
      <c r="D349" s="13">
        <f t="shared" si="15"/>
        <v>2.4114120370370373E-2</v>
      </c>
      <c r="E349" s="13">
        <f t="shared" si="16"/>
        <v>5.0648120370370378E-2</v>
      </c>
      <c r="F349" s="13">
        <f>Regression!$B$17+Regression!$B$18*Returns!D349</f>
        <v>4.3809009998043782E-2</v>
      </c>
      <c r="G349" s="13">
        <f t="shared" si="17"/>
        <v>6.8391103723265956E-3</v>
      </c>
    </row>
    <row r="350" spans="1:7" x14ac:dyDescent="0.3">
      <c r="A350" s="5">
        <v>40179</v>
      </c>
      <c r="B350" s="11">
        <v>-3.3599999999999998E-2</v>
      </c>
      <c r="C350" s="11">
        <v>-8.8591000000000003E-2</v>
      </c>
      <c r="D350" s="13">
        <f t="shared" si="15"/>
        <v>-3.7085879629629621E-2</v>
      </c>
      <c r="E350" s="13">
        <f t="shared" si="16"/>
        <v>-9.2076879629629627E-2</v>
      </c>
      <c r="F350" s="13">
        <f>Regression!$B$17+Regression!$B$18*Returns!D350</f>
        <v>-4.2921508849951988E-2</v>
      </c>
      <c r="G350" s="13">
        <f t="shared" si="17"/>
        <v>-4.9155370779677639E-2</v>
      </c>
    </row>
    <row r="351" spans="1:7" x14ac:dyDescent="0.3">
      <c r="A351" s="5">
        <v>40210</v>
      </c>
      <c r="B351" s="11">
        <v>3.4000000000000002E-2</v>
      </c>
      <c r="C351" s="11">
        <v>6.5379999999999994E-2</v>
      </c>
      <c r="D351" s="13">
        <f t="shared" si="15"/>
        <v>3.0514120370370375E-2</v>
      </c>
      <c r="E351" s="13">
        <f t="shared" si="16"/>
        <v>6.189412037037037E-2</v>
      </c>
      <c r="F351" s="13">
        <f>Regression!$B$17+Regression!$B$18*Returns!D351</f>
        <v>5.2878868178226353E-2</v>
      </c>
      <c r="G351" s="13">
        <f t="shared" si="17"/>
        <v>9.0152521921440174E-3</v>
      </c>
    </row>
    <row r="352" spans="1:7" x14ac:dyDescent="0.3">
      <c r="A352" s="5">
        <v>40238</v>
      </c>
      <c r="B352" s="11">
        <v>6.3199999999999992E-2</v>
      </c>
      <c r="C352" s="11">
        <v>0.14846999999999999</v>
      </c>
      <c r="D352" s="13">
        <f t="shared" si="15"/>
        <v>5.9714120370370369E-2</v>
      </c>
      <c r="E352" s="13">
        <f t="shared" si="16"/>
        <v>0.14498412037037037</v>
      </c>
      <c r="F352" s="13">
        <f>Regression!$B$17+Regression!$B$18*Returns!D352</f>
        <v>9.4260096125309292E-2</v>
      </c>
      <c r="G352" s="13">
        <f t="shared" si="17"/>
        <v>5.0724024245061075E-2</v>
      </c>
    </row>
    <row r="353" spans="1:7" x14ac:dyDescent="0.3">
      <c r="A353" s="5">
        <v>40269</v>
      </c>
      <c r="B353" s="11">
        <v>2.0099999999999996E-2</v>
      </c>
      <c r="C353" s="11">
        <v>0.11102099999999999</v>
      </c>
      <c r="D353" s="13">
        <f t="shared" si="15"/>
        <v>1.6614120370370369E-2</v>
      </c>
      <c r="E353" s="13">
        <f t="shared" si="16"/>
        <v>0.10753512037037037</v>
      </c>
      <c r="F353" s="13">
        <f>Regression!$B$17+Regression!$B$18*Returns!D353</f>
        <v>3.318026994314234E-2</v>
      </c>
      <c r="G353" s="13">
        <f t="shared" si="17"/>
        <v>7.4354850427228031E-2</v>
      </c>
    </row>
    <row r="354" spans="1:7" x14ac:dyDescent="0.3">
      <c r="A354" s="5">
        <v>40299</v>
      </c>
      <c r="B354" s="11">
        <v>-7.8799999999999995E-2</v>
      </c>
      <c r="C354" s="11">
        <v>-1.6125E-2</v>
      </c>
      <c r="D354" s="13">
        <f t="shared" si="15"/>
        <v>-8.2285879629629619E-2</v>
      </c>
      <c r="E354" s="13">
        <f t="shared" si="16"/>
        <v>-1.9610879629629627E-2</v>
      </c>
      <c r="F354" s="13">
        <f>Regression!$B$17+Regression!$B$18*Returns!D354</f>
        <v>-0.10697738224749136</v>
      </c>
      <c r="G354" s="13">
        <f t="shared" si="17"/>
        <v>8.7366502617861733E-2</v>
      </c>
    </row>
    <row r="355" spans="1:7" x14ac:dyDescent="0.3">
      <c r="A355" s="5">
        <v>40330</v>
      </c>
      <c r="B355" s="11">
        <v>-5.5500000000000001E-2</v>
      </c>
      <c r="C355" s="11">
        <v>-2.0826999999999998E-2</v>
      </c>
      <c r="D355" s="13">
        <f t="shared" si="15"/>
        <v>-5.8985879629629624E-2</v>
      </c>
      <c r="E355" s="13">
        <f t="shared" si="16"/>
        <v>-2.4312879629629625E-2</v>
      </c>
      <c r="F355" s="13">
        <f>Regression!$B$17+Regression!$B$18*Returns!D355</f>
        <v>-7.3957429810264208E-2</v>
      </c>
      <c r="G355" s="13">
        <f t="shared" si="17"/>
        <v>4.9644550180634586E-2</v>
      </c>
    </row>
    <row r="356" spans="1:7" x14ac:dyDescent="0.3">
      <c r="A356" s="5">
        <v>40360</v>
      </c>
      <c r="B356" s="11">
        <v>6.9399999999999989E-2</v>
      </c>
      <c r="C356" s="11">
        <v>2.2741000000000001E-2</v>
      </c>
      <c r="D356" s="13">
        <f t="shared" si="15"/>
        <v>6.5914120370370366E-2</v>
      </c>
      <c r="E356" s="13">
        <f t="shared" si="16"/>
        <v>1.9255120370370374E-2</v>
      </c>
      <c r="F356" s="13">
        <f>Regression!$B$17+Regression!$B$18*Returns!D356</f>
        <v>0.10304652123736116</v>
      </c>
      <c r="G356" s="13">
        <f t="shared" si="17"/>
        <v>-8.3791400866990787E-2</v>
      </c>
    </row>
    <row r="357" spans="1:7" x14ac:dyDescent="0.3">
      <c r="A357" s="5">
        <v>40391</v>
      </c>
      <c r="B357" s="11">
        <v>-4.7599999999999996E-2</v>
      </c>
      <c r="C357" s="11">
        <v>-5.5004999999999998E-2</v>
      </c>
      <c r="D357" s="13">
        <f t="shared" si="15"/>
        <v>-5.108587962962962E-2</v>
      </c>
      <c r="E357" s="13">
        <f t="shared" si="16"/>
        <v>-5.8490879629629622E-2</v>
      </c>
      <c r="F357" s="13">
        <f>Regression!$B$17+Regression!$B$18*Returns!D357</f>
        <v>-6.2761823619101348E-2</v>
      </c>
      <c r="G357" s="13">
        <f t="shared" si="17"/>
        <v>4.270943989471726E-3</v>
      </c>
    </row>
    <row r="358" spans="1:7" x14ac:dyDescent="0.3">
      <c r="A358" s="5">
        <v>40422</v>
      </c>
      <c r="B358" s="11">
        <v>9.5499999999999988E-2</v>
      </c>
      <c r="C358" s="11">
        <v>0.167215</v>
      </c>
      <c r="D358" s="13">
        <f t="shared" si="15"/>
        <v>9.2014120370370364E-2</v>
      </c>
      <c r="E358" s="13">
        <f t="shared" si="16"/>
        <v>0.16372912037037038</v>
      </c>
      <c r="F358" s="13">
        <f>Regression!$B$17+Regression!$B$18*Returns!D358</f>
        <v>0.14003453662841819</v>
      </c>
      <c r="G358" s="13">
        <f t="shared" si="17"/>
        <v>2.3694583741952185E-2</v>
      </c>
    </row>
    <row r="359" spans="1:7" x14ac:dyDescent="0.3">
      <c r="A359" s="5">
        <v>40452</v>
      </c>
      <c r="B359" s="11">
        <v>3.8899999999999997E-2</v>
      </c>
      <c r="C359" s="11">
        <v>6.0722999999999999E-2</v>
      </c>
      <c r="D359" s="13">
        <f t="shared" si="15"/>
        <v>3.5414120370370374E-2</v>
      </c>
      <c r="E359" s="13">
        <f t="shared" si="16"/>
        <v>5.7237120370370376E-2</v>
      </c>
      <c r="F359" s="13">
        <f>Regression!$B$17+Regression!$B$18*Returns!D359</f>
        <v>5.9822978347428626E-2</v>
      </c>
      <c r="G359" s="13">
        <f t="shared" si="17"/>
        <v>-2.5858579770582507E-3</v>
      </c>
    </row>
    <row r="360" spans="1:7" x14ac:dyDescent="0.3">
      <c r="A360" s="5">
        <v>40483</v>
      </c>
      <c r="B360" s="11">
        <v>6.0999999999999995E-3</v>
      </c>
      <c r="C360" s="11">
        <v>3.3790000000000001E-2</v>
      </c>
      <c r="D360" s="13">
        <f t="shared" si="15"/>
        <v>2.6141203703703734E-3</v>
      </c>
      <c r="E360" s="13">
        <f t="shared" si="16"/>
        <v>3.0304120370370374E-2</v>
      </c>
      <c r="F360" s="13">
        <f>Regression!$B$17+Regression!$B$18*Returns!D360</f>
        <v>1.333995517399298E-2</v>
      </c>
      <c r="G360" s="13">
        <f t="shared" si="17"/>
        <v>1.6964165196377393E-2</v>
      </c>
    </row>
    <row r="361" spans="1:7" x14ac:dyDescent="0.3">
      <c r="A361" s="5">
        <v>40513</v>
      </c>
      <c r="B361" s="11">
        <v>6.83E-2</v>
      </c>
      <c r="C361" s="11">
        <v>3.6670000000000001E-2</v>
      </c>
      <c r="D361" s="13">
        <f t="shared" si="15"/>
        <v>6.4814120370370376E-2</v>
      </c>
      <c r="E361" s="13">
        <f t="shared" si="16"/>
        <v>3.3184120370370378E-2</v>
      </c>
      <c r="F361" s="13">
        <f>Regression!$B$17+Regression!$B$18*Returns!D361</f>
        <v>0.1014876393626423</v>
      </c>
      <c r="G361" s="13">
        <f t="shared" si="17"/>
        <v>-6.8303518992271911E-2</v>
      </c>
    </row>
    <row r="362" spans="1:7" x14ac:dyDescent="0.3">
      <c r="A362" s="5">
        <v>40544</v>
      </c>
      <c r="B362" s="11">
        <v>0.02</v>
      </c>
      <c r="C362" s="11">
        <v>5.1958999999999998E-2</v>
      </c>
      <c r="D362" s="13">
        <f t="shared" si="15"/>
        <v>1.6514120370370373E-2</v>
      </c>
      <c r="E362" s="13">
        <f t="shared" si="16"/>
        <v>4.8473120370370375E-2</v>
      </c>
      <c r="F362" s="13">
        <f>Regression!$B$17+Regression!$B$18*Returns!D362</f>
        <v>3.3038553409076993E-2</v>
      </c>
      <c r="G362" s="13">
        <f t="shared" si="17"/>
        <v>1.5434566961293382E-2</v>
      </c>
    </row>
    <row r="363" spans="1:7" x14ac:dyDescent="0.3">
      <c r="A363" s="5">
        <v>40575</v>
      </c>
      <c r="B363" s="11">
        <v>3.5000000000000003E-2</v>
      </c>
      <c r="C363" s="11">
        <v>4.0934999999999999E-2</v>
      </c>
      <c r="D363" s="13">
        <f t="shared" si="15"/>
        <v>3.151412037037038E-2</v>
      </c>
      <c r="E363" s="13">
        <f t="shared" si="16"/>
        <v>3.7449120370370376E-2</v>
      </c>
      <c r="F363" s="13">
        <f>Regression!$B$17+Regression!$B$18*Returns!D363</f>
        <v>5.4296033518879884E-2</v>
      </c>
      <c r="G363" s="13">
        <f t="shared" si="17"/>
        <v>-1.6846913148509508E-2</v>
      </c>
    </row>
    <row r="364" spans="1:7" x14ac:dyDescent="0.3">
      <c r="A364" s="5">
        <v>40603</v>
      </c>
      <c r="B364" s="11">
        <v>4.5999999999999999E-3</v>
      </c>
      <c r="C364" s="11">
        <v>-1.3313999999999999E-2</v>
      </c>
      <c r="D364" s="13">
        <f t="shared" si="15"/>
        <v>1.1141203703703738E-3</v>
      </c>
      <c r="E364" s="13">
        <f t="shared" si="16"/>
        <v>-1.6799879629629626E-2</v>
      </c>
      <c r="F364" s="13">
        <f>Regression!$B$17+Regression!$B$18*Returns!D364</f>
        <v>1.121420716301269E-2</v>
      </c>
      <c r="G364" s="13">
        <f t="shared" si="17"/>
        <v>-2.8014086792642317E-2</v>
      </c>
    </row>
    <row r="365" spans="1:7" x14ac:dyDescent="0.3">
      <c r="A365" s="5">
        <v>40634</v>
      </c>
      <c r="B365" s="11">
        <v>2.8999999999999998E-2</v>
      </c>
      <c r="C365" s="11">
        <v>4.6560000000000004E-3</v>
      </c>
      <c r="D365" s="13">
        <f t="shared" si="15"/>
        <v>2.5514120370370371E-2</v>
      </c>
      <c r="E365" s="13">
        <f t="shared" si="16"/>
        <v>1.1701203703703743E-3</v>
      </c>
      <c r="F365" s="13">
        <f>Regression!$B$17+Regression!$B$18*Returns!D365</f>
        <v>4.5793041474958718E-2</v>
      </c>
      <c r="G365" s="13">
        <f t="shared" si="17"/>
        <v>-4.4622921104588341E-2</v>
      </c>
    </row>
    <row r="366" spans="1:7" x14ac:dyDescent="0.3">
      <c r="A366" s="5">
        <v>40664</v>
      </c>
      <c r="B366" s="11">
        <v>-1.2699999999999999E-2</v>
      </c>
      <c r="C366" s="11">
        <v>-6.5690000000000002E-3</v>
      </c>
      <c r="D366" s="13">
        <f t="shared" si="15"/>
        <v>-1.6185879629629626E-2</v>
      </c>
      <c r="E366" s="13">
        <f t="shared" si="16"/>
        <v>-1.0054879629629625E-2</v>
      </c>
      <c r="F366" s="13">
        <f>Regression!$B$17+Regression!$B$18*Returns!D366</f>
        <v>-1.3302753230293306E-2</v>
      </c>
      <c r="G366" s="13">
        <f t="shared" si="17"/>
        <v>3.2478736006636803E-3</v>
      </c>
    </row>
    <row r="367" spans="1:7" x14ac:dyDescent="0.3">
      <c r="A367" s="5">
        <v>40695</v>
      </c>
      <c r="B367" s="11">
        <v>-1.7500000000000002E-2</v>
      </c>
      <c r="C367" s="11">
        <v>-3.4959999999999998E-2</v>
      </c>
      <c r="D367" s="13">
        <f t="shared" si="15"/>
        <v>-2.0985879629629629E-2</v>
      </c>
      <c r="E367" s="13">
        <f t="shared" si="16"/>
        <v>-3.8445879629629622E-2</v>
      </c>
      <c r="F367" s="13">
        <f>Regression!$B$17+Regression!$B$18*Returns!D367</f>
        <v>-2.0105146865430232E-2</v>
      </c>
      <c r="G367" s="13">
        <f t="shared" si="17"/>
        <v>-1.834073276419939E-2</v>
      </c>
    </row>
    <row r="368" spans="1:7" x14ac:dyDescent="0.3">
      <c r="A368" s="5">
        <v>40725</v>
      </c>
      <c r="B368" s="11">
        <v>-2.3599999999999999E-2</v>
      </c>
      <c r="C368" s="11">
        <v>0.16328500000000001</v>
      </c>
      <c r="D368" s="13">
        <f t="shared" si="15"/>
        <v>-2.7085879629629626E-2</v>
      </c>
      <c r="E368" s="13">
        <f t="shared" si="16"/>
        <v>0.15979912037037039</v>
      </c>
      <c r="F368" s="13">
        <f>Regression!$B$17+Regression!$B$18*Returns!D368</f>
        <v>-2.8749855443416739E-2</v>
      </c>
      <c r="G368" s="13">
        <f t="shared" si="17"/>
        <v>0.18854897581378713</v>
      </c>
    </row>
    <row r="369" spans="1:7" x14ac:dyDescent="0.3">
      <c r="A369" s="5">
        <v>40756</v>
      </c>
      <c r="B369" s="11">
        <v>-5.9800000000000006E-2</v>
      </c>
      <c r="C369" s="11">
        <v>-1.4468999999999999E-2</v>
      </c>
      <c r="D369" s="13">
        <f t="shared" si="15"/>
        <v>-6.3285879629629629E-2</v>
      </c>
      <c r="E369" s="13">
        <f t="shared" si="16"/>
        <v>-1.7954879629629626E-2</v>
      </c>
      <c r="F369" s="13">
        <f>Regression!$B$17+Regression!$B$18*Returns!D369</f>
        <v>-8.0051240775074375E-2</v>
      </c>
      <c r="G369" s="13">
        <f t="shared" si="17"/>
        <v>6.2096361145444749E-2</v>
      </c>
    </row>
    <row r="370" spans="1:7" x14ac:dyDescent="0.3">
      <c r="A370" s="5">
        <v>40787</v>
      </c>
      <c r="B370" s="11">
        <v>-7.5899999999999995E-2</v>
      </c>
      <c r="C370" s="11">
        <v>-9.1210000000000006E-3</v>
      </c>
      <c r="D370" s="13">
        <f t="shared" si="15"/>
        <v>-7.9385879629629619E-2</v>
      </c>
      <c r="E370" s="13">
        <f t="shared" si="16"/>
        <v>-1.2606879629629628E-2</v>
      </c>
      <c r="F370" s="13">
        <f>Regression!$B$17+Regression!$B$18*Returns!D370</f>
        <v>-0.10286760275959612</v>
      </c>
      <c r="G370" s="13">
        <f t="shared" si="17"/>
        <v>9.0260723129966497E-2</v>
      </c>
    </row>
    <row r="371" spans="1:7" x14ac:dyDescent="0.3">
      <c r="A371" s="5">
        <v>40817</v>
      </c>
      <c r="B371" s="11">
        <v>0.11349999999999999</v>
      </c>
      <c r="C371" s="11">
        <v>6.1523000000000001E-2</v>
      </c>
      <c r="D371" s="13">
        <f t="shared" si="15"/>
        <v>0.11001412037037037</v>
      </c>
      <c r="E371" s="13">
        <f t="shared" si="16"/>
        <v>5.8037120370370378E-2</v>
      </c>
      <c r="F371" s="13">
        <f>Regression!$B$17+Regression!$B$18*Returns!D371</f>
        <v>0.16554351276018164</v>
      </c>
      <c r="G371" s="13">
        <f t="shared" si="17"/>
        <v>-0.10750639238981127</v>
      </c>
    </row>
    <row r="372" spans="1:7" x14ac:dyDescent="0.3">
      <c r="A372" s="5">
        <v>40848</v>
      </c>
      <c r="B372" s="11">
        <v>-2.8000000000000004E-3</v>
      </c>
      <c r="C372" s="11">
        <v>-5.5782999999999999E-2</v>
      </c>
      <c r="D372" s="13">
        <f t="shared" si="15"/>
        <v>-6.2858796296296265E-3</v>
      </c>
      <c r="E372" s="13">
        <f t="shared" si="16"/>
        <v>-5.9268879629629623E-2</v>
      </c>
      <c r="F372" s="13">
        <f>Regression!$B$17+Regression!$B$18*Returns!D372</f>
        <v>7.2718364217659939E-4</v>
      </c>
      <c r="G372" s="13">
        <f t="shared" si="17"/>
        <v>-5.9996063271806219E-2</v>
      </c>
    </row>
    <row r="373" spans="1:7" x14ac:dyDescent="0.3">
      <c r="A373" s="5">
        <v>40878</v>
      </c>
      <c r="B373" s="11">
        <v>7.4000000000000003E-3</v>
      </c>
      <c r="C373" s="11">
        <v>5.9655E-2</v>
      </c>
      <c r="D373" s="13">
        <f t="shared" si="15"/>
        <v>3.9141203703703742E-3</v>
      </c>
      <c r="E373" s="13">
        <f t="shared" si="16"/>
        <v>5.6169120370370376E-2</v>
      </c>
      <c r="F373" s="13">
        <f>Regression!$B$17+Regression!$B$18*Returns!D373</f>
        <v>1.5182270116842565E-2</v>
      </c>
      <c r="G373" s="13">
        <f t="shared" si="17"/>
        <v>4.0986850253527815E-2</v>
      </c>
    </row>
    <row r="374" spans="1:7" x14ac:dyDescent="0.3">
      <c r="A374" s="5">
        <v>40909</v>
      </c>
      <c r="B374" s="11">
        <v>5.0499999999999996E-2</v>
      </c>
      <c r="C374" s="11">
        <v>0.127111</v>
      </c>
      <c r="D374" s="13">
        <f t="shared" si="15"/>
        <v>4.7014120370370373E-2</v>
      </c>
      <c r="E374" s="13">
        <f t="shared" si="16"/>
        <v>0.12362512037037038</v>
      </c>
      <c r="F374" s="13">
        <f>Regression!$B$17+Regression!$B$18*Returns!D374</f>
        <v>7.6262096299009527E-2</v>
      </c>
      <c r="G374" s="13">
        <f t="shared" si="17"/>
        <v>4.7363024071360851E-2</v>
      </c>
    </row>
    <row r="375" spans="1:7" x14ac:dyDescent="0.3">
      <c r="A375" s="5">
        <v>40940</v>
      </c>
      <c r="B375" s="11">
        <v>4.4199999999999996E-2</v>
      </c>
      <c r="C375" s="11">
        <v>0.18831100000000001</v>
      </c>
      <c r="D375" s="13">
        <f t="shared" si="15"/>
        <v>4.0714120370370373E-2</v>
      </c>
      <c r="E375" s="13">
        <f t="shared" si="16"/>
        <v>0.18482512037037038</v>
      </c>
      <c r="F375" s="13">
        <f>Regression!$B$17+Regression!$B$18*Returns!D375</f>
        <v>6.7333954652892311E-2</v>
      </c>
      <c r="G375" s="13">
        <f t="shared" si="17"/>
        <v>0.11749116571747807</v>
      </c>
    </row>
    <row r="376" spans="1:7" x14ac:dyDescent="0.3">
      <c r="A376" s="5">
        <v>40969</v>
      </c>
      <c r="B376" s="11">
        <v>3.1099999999999999E-2</v>
      </c>
      <c r="C376" s="11">
        <v>0.105284</v>
      </c>
      <c r="D376" s="13">
        <f t="shared" si="15"/>
        <v>2.7614120370370372E-2</v>
      </c>
      <c r="E376" s="13">
        <f t="shared" si="16"/>
        <v>0.10179812037037038</v>
      </c>
      <c r="F376" s="13">
        <f>Regression!$B$17+Regression!$B$18*Returns!D376</f>
        <v>4.8769088690331121E-2</v>
      </c>
      <c r="G376" s="13">
        <f t="shared" si="17"/>
        <v>5.3029031680039258E-2</v>
      </c>
    </row>
    <row r="377" spans="1:7" x14ac:dyDescent="0.3">
      <c r="A377" s="5">
        <v>41000</v>
      </c>
      <c r="B377" s="11">
        <v>-8.5000000000000006E-3</v>
      </c>
      <c r="C377" s="11">
        <v>-2.5968999999999999E-2</v>
      </c>
      <c r="D377" s="13">
        <f t="shared" si="15"/>
        <v>-1.1985879629629628E-2</v>
      </c>
      <c r="E377" s="13">
        <f t="shared" si="16"/>
        <v>-2.9454879629629626E-2</v>
      </c>
      <c r="F377" s="13">
        <f>Regression!$B$17+Regression!$B$18*Returns!D377</f>
        <v>-7.3506587995484998E-3</v>
      </c>
      <c r="G377" s="13">
        <f t="shared" si="17"/>
        <v>-2.2104220830081126E-2</v>
      </c>
    </row>
    <row r="378" spans="1:7" x14ac:dyDescent="0.3">
      <c r="A378" s="5">
        <v>41030</v>
      </c>
      <c r="B378" s="11">
        <v>-6.1800000000000008E-2</v>
      </c>
      <c r="C378" s="11">
        <v>-1.0702E-2</v>
      </c>
      <c r="D378" s="13">
        <f t="shared" si="15"/>
        <v>-6.5285879629629631E-2</v>
      </c>
      <c r="E378" s="13">
        <f t="shared" si="16"/>
        <v>-1.4187879629629627E-2</v>
      </c>
      <c r="F378" s="13">
        <f>Regression!$B$17+Regression!$B$18*Returns!D378</f>
        <v>-8.2885571456381438E-2</v>
      </c>
      <c r="G378" s="13">
        <f t="shared" si="17"/>
        <v>6.8697691826751811E-2</v>
      </c>
    </row>
    <row r="379" spans="1:7" x14ac:dyDescent="0.3">
      <c r="A379" s="5">
        <v>41061</v>
      </c>
      <c r="B379" s="11">
        <v>3.8900000000000004E-2</v>
      </c>
      <c r="C379" s="11">
        <v>1.0853E-2</v>
      </c>
      <c r="D379" s="13">
        <f t="shared" si="15"/>
        <v>3.5414120370370381E-2</v>
      </c>
      <c r="E379" s="13">
        <f t="shared" si="16"/>
        <v>7.3671203703703737E-3</v>
      </c>
      <c r="F379" s="13">
        <f>Regression!$B$17+Regression!$B$18*Returns!D379</f>
        <v>5.982297834742864E-2</v>
      </c>
      <c r="G379" s="13">
        <f t="shared" si="17"/>
        <v>-5.2455857977058269E-2</v>
      </c>
    </row>
    <row r="380" spans="1:7" x14ac:dyDescent="0.3">
      <c r="A380" s="5">
        <v>41091</v>
      </c>
      <c r="B380" s="11">
        <v>7.9000000000000008E-3</v>
      </c>
      <c r="C380" s="11">
        <v>4.5822000000000002E-2</v>
      </c>
      <c r="D380" s="13">
        <f t="shared" si="15"/>
        <v>4.4141203703703747E-3</v>
      </c>
      <c r="E380" s="13">
        <f t="shared" si="16"/>
        <v>4.2336120370370378E-2</v>
      </c>
      <c r="F380" s="13">
        <f>Regression!$B$17+Regression!$B$18*Returns!D380</f>
        <v>1.5890852787169327E-2</v>
      </c>
      <c r="G380" s="13">
        <f t="shared" si="17"/>
        <v>2.6445267583201051E-2</v>
      </c>
    </row>
    <row r="381" spans="1:7" x14ac:dyDescent="0.3">
      <c r="A381" s="5">
        <v>41122</v>
      </c>
      <c r="B381" s="11">
        <v>2.5599999999999998E-2</v>
      </c>
      <c r="C381" s="11">
        <v>9.3538999999999997E-2</v>
      </c>
      <c r="D381" s="13">
        <f t="shared" si="15"/>
        <v>2.2114120370370371E-2</v>
      </c>
      <c r="E381" s="13">
        <f t="shared" si="16"/>
        <v>9.0053120370370374E-2</v>
      </c>
      <c r="F381" s="13">
        <f>Regression!$B$17+Regression!$B$18*Returns!D381</f>
        <v>4.0974679316736727E-2</v>
      </c>
      <c r="G381" s="13">
        <f t="shared" si="17"/>
        <v>4.9078441053633647E-2</v>
      </c>
    </row>
    <row r="382" spans="1:7" x14ac:dyDescent="0.3">
      <c r="A382" s="5">
        <v>41153</v>
      </c>
      <c r="B382" s="11">
        <v>2.7399999999999997E-2</v>
      </c>
      <c r="C382" s="11">
        <v>2.8029999999999999E-3</v>
      </c>
      <c r="D382" s="13">
        <f t="shared" si="15"/>
        <v>2.391412037037037E-2</v>
      </c>
      <c r="E382" s="13">
        <f t="shared" si="16"/>
        <v>-6.8287962962962617E-4</v>
      </c>
      <c r="F382" s="13">
        <f>Regression!$B$17+Regression!$B$18*Returns!D382</f>
        <v>4.3525576929913073E-2</v>
      </c>
      <c r="G382" s="13">
        <f t="shared" si="17"/>
        <v>-4.4208456559542697E-2</v>
      </c>
    </row>
    <row r="383" spans="1:7" x14ac:dyDescent="0.3">
      <c r="A383" s="5">
        <v>41183</v>
      </c>
      <c r="B383" s="11">
        <v>-1.7500000000000002E-2</v>
      </c>
      <c r="C383" s="11">
        <v>-0.10760699999999999</v>
      </c>
      <c r="D383" s="13">
        <f t="shared" si="15"/>
        <v>-2.0985879629629629E-2</v>
      </c>
      <c r="E383" s="13">
        <f t="shared" si="16"/>
        <v>-0.11109287962962962</v>
      </c>
      <c r="F383" s="13">
        <f>Regression!$B$17+Regression!$B$18*Returns!D383</f>
        <v>-2.0105146865430232E-2</v>
      </c>
      <c r="G383" s="13">
        <f t="shared" si="17"/>
        <v>-9.0987732764199386E-2</v>
      </c>
    </row>
    <row r="384" spans="1:7" x14ac:dyDescent="0.3">
      <c r="A384" s="5">
        <v>41214</v>
      </c>
      <c r="B384" s="11">
        <v>7.9000000000000008E-3</v>
      </c>
      <c r="C384" s="11">
        <v>-1.2413E-2</v>
      </c>
      <c r="D384" s="13">
        <f t="shared" si="15"/>
        <v>4.4141203703703747E-3</v>
      </c>
      <c r="E384" s="13">
        <f t="shared" si="16"/>
        <v>-1.5898879629629627E-2</v>
      </c>
      <c r="F384" s="13">
        <f>Regression!$B$17+Regression!$B$18*Returns!D384</f>
        <v>1.5890852787169327E-2</v>
      </c>
      <c r="G384" s="13">
        <f t="shared" si="17"/>
        <v>-3.1789732416798958E-2</v>
      </c>
    </row>
    <row r="385" spans="1:7" x14ac:dyDescent="0.3">
      <c r="A385" s="5">
        <v>41244</v>
      </c>
      <c r="B385" s="11">
        <v>1.1899999999999999E-2</v>
      </c>
      <c r="C385" s="11">
        <v>-9.0737999999999999E-2</v>
      </c>
      <c r="D385" s="13">
        <f t="shared" si="15"/>
        <v>8.4141203703703739E-3</v>
      </c>
      <c r="E385" s="13">
        <f t="shared" si="16"/>
        <v>-9.4223879629629623E-2</v>
      </c>
      <c r="F385" s="13">
        <f>Regression!$B$17+Regression!$B$18*Returns!D385</f>
        <v>2.1559514149783431E-2</v>
      </c>
      <c r="G385" s="13">
        <f t="shared" si="17"/>
        <v>-0.11578339377941305</v>
      </c>
    </row>
    <row r="386" spans="1:7" x14ac:dyDescent="0.3">
      <c r="A386" s="5">
        <v>41275</v>
      </c>
      <c r="B386" s="11">
        <v>5.57E-2</v>
      </c>
      <c r="C386" s="11">
        <v>-0.144094</v>
      </c>
      <c r="D386" s="13">
        <f t="shared" si="15"/>
        <v>5.2214120370370376E-2</v>
      </c>
      <c r="E386" s="13">
        <f t="shared" si="16"/>
        <v>-0.14757987962962962</v>
      </c>
      <c r="F386" s="13">
        <f>Regression!$B$17+Regression!$B$18*Returns!D386</f>
        <v>8.3631356070407864E-2</v>
      </c>
      <c r="G386" s="13">
        <f t="shared" si="17"/>
        <v>-0.23121123570003749</v>
      </c>
    </row>
    <row r="387" spans="1:7" x14ac:dyDescent="0.3">
      <c r="A387" s="5">
        <v>41306</v>
      </c>
      <c r="B387" s="11">
        <v>1.29E-2</v>
      </c>
      <c r="C387" s="11">
        <v>-2.5115999999999999E-2</v>
      </c>
      <c r="D387" s="13">
        <f t="shared" ref="D387:D433" si="18">B387-$J$2</f>
        <v>9.4141203703703748E-3</v>
      </c>
      <c r="E387" s="13">
        <f t="shared" ref="E387:E433" si="19">C387-$J$2</f>
        <v>-2.8601879629629626E-2</v>
      </c>
      <c r="F387" s="13">
        <f>Regression!$B$17+Regression!$B$18*Returns!D387</f>
        <v>2.2976679490436955E-2</v>
      </c>
      <c r="G387" s="13">
        <f t="shared" ref="G387:G433" si="20">E387-F387</f>
        <v>-5.1578559120066578E-2</v>
      </c>
    </row>
    <row r="388" spans="1:7" x14ac:dyDescent="0.3">
      <c r="A388" s="5">
        <v>41334</v>
      </c>
      <c r="B388" s="11">
        <v>4.0300000000000002E-2</v>
      </c>
      <c r="C388" s="11">
        <v>2.8549999999999999E-3</v>
      </c>
      <c r="D388" s="13">
        <f t="shared" si="18"/>
        <v>3.6814120370370379E-2</v>
      </c>
      <c r="E388" s="13">
        <f t="shared" si="19"/>
        <v>-6.308796296296262E-4</v>
      </c>
      <c r="F388" s="13">
        <f>Regression!$B$17+Regression!$B$18*Returns!D388</f>
        <v>6.1807009824343569E-2</v>
      </c>
      <c r="G388" s="13">
        <f t="shared" si="20"/>
        <v>-6.2437889453973196E-2</v>
      </c>
    </row>
    <row r="389" spans="1:7" x14ac:dyDescent="0.3">
      <c r="A389" s="5">
        <v>41365</v>
      </c>
      <c r="B389" s="11">
        <v>1.55E-2</v>
      </c>
      <c r="C389" s="11">
        <v>2.7099999999999997E-4</v>
      </c>
      <c r="D389" s="13">
        <f t="shared" si="18"/>
        <v>1.2014120370370373E-2</v>
      </c>
      <c r="E389" s="13">
        <f t="shared" si="19"/>
        <v>-3.2148796296296261E-3</v>
      </c>
      <c r="F389" s="13">
        <f>Regression!$B$17+Regression!$B$18*Returns!D389</f>
        <v>2.6661309376136123E-2</v>
      </c>
      <c r="G389" s="13">
        <f t="shared" si="20"/>
        <v>-2.987618900576575E-2</v>
      </c>
    </row>
    <row r="390" spans="1:7" x14ac:dyDescent="0.3">
      <c r="A390" s="5">
        <v>41395</v>
      </c>
      <c r="B390" s="11">
        <v>2.7999999999999997E-2</v>
      </c>
      <c r="C390" s="11">
        <v>2.2596000000000002E-2</v>
      </c>
      <c r="D390" s="13">
        <f t="shared" si="18"/>
        <v>2.451412037037037E-2</v>
      </c>
      <c r="E390" s="13">
        <f t="shared" si="19"/>
        <v>1.9110120370370375E-2</v>
      </c>
      <c r="F390" s="13">
        <f>Regression!$B$17+Regression!$B$18*Returns!D390</f>
        <v>4.4375876134305194E-2</v>
      </c>
      <c r="G390" s="13">
        <f t="shared" si="20"/>
        <v>-2.5265755763934819E-2</v>
      </c>
    </row>
    <row r="391" spans="1:7" x14ac:dyDescent="0.3">
      <c r="A391" s="5">
        <v>41426</v>
      </c>
      <c r="B391" s="11">
        <v>-1.2E-2</v>
      </c>
      <c r="C391" s="11">
        <v>-0.11830300000000001</v>
      </c>
      <c r="D391" s="13">
        <f t="shared" si="18"/>
        <v>-1.5485879629629627E-2</v>
      </c>
      <c r="E391" s="13">
        <f t="shared" si="19"/>
        <v>-0.12178887962962963</v>
      </c>
      <c r="F391" s="13">
        <f>Regression!$B$17+Regression!$B$18*Returns!D391</f>
        <v>-1.2310737491835838E-2</v>
      </c>
      <c r="G391" s="13">
        <f t="shared" si="20"/>
        <v>-0.10947814213779379</v>
      </c>
    </row>
    <row r="392" spans="1:7" x14ac:dyDescent="0.3">
      <c r="A392" s="5">
        <v>41456</v>
      </c>
      <c r="B392" s="11">
        <v>5.6500000000000002E-2</v>
      </c>
      <c r="C392" s="11">
        <v>0.14122499999999999</v>
      </c>
      <c r="D392" s="13">
        <f t="shared" si="18"/>
        <v>5.3014120370370378E-2</v>
      </c>
      <c r="E392" s="13">
        <f t="shared" si="19"/>
        <v>0.13773912037037037</v>
      </c>
      <c r="F392" s="13">
        <f>Regression!$B$17+Regression!$B$18*Returns!D392</f>
        <v>8.4765088342930686E-2</v>
      </c>
      <c r="G392" s="13">
        <f t="shared" si="20"/>
        <v>5.297403202743968E-2</v>
      </c>
    </row>
    <row r="393" spans="1:7" x14ac:dyDescent="0.3">
      <c r="A393" s="5">
        <v>41487</v>
      </c>
      <c r="B393" s="11">
        <v>-2.7099999999999999E-2</v>
      </c>
      <c r="C393" s="11">
        <v>8.3389000000000005E-2</v>
      </c>
      <c r="D393" s="13">
        <f t="shared" si="18"/>
        <v>-3.0585879629629626E-2</v>
      </c>
      <c r="E393" s="13">
        <f t="shared" si="19"/>
        <v>7.9903120370370381E-2</v>
      </c>
      <c r="F393" s="13">
        <f>Regression!$B$17+Regression!$B$18*Returns!D393</f>
        <v>-3.3709934135704077E-2</v>
      </c>
      <c r="G393" s="13">
        <f t="shared" si="20"/>
        <v>0.11361305450607445</v>
      </c>
    </row>
    <row r="394" spans="1:7" x14ac:dyDescent="0.3">
      <c r="A394" s="5">
        <v>41518</v>
      </c>
      <c r="B394" s="11">
        <v>3.7699999999999997E-2</v>
      </c>
      <c r="C394" s="11">
        <v>-2.1481E-2</v>
      </c>
      <c r="D394" s="13">
        <f t="shared" si="18"/>
        <v>3.4214120370370374E-2</v>
      </c>
      <c r="E394" s="13">
        <f t="shared" si="19"/>
        <v>-2.4966879629629627E-2</v>
      </c>
      <c r="F394" s="13">
        <f>Regression!$B$17+Regression!$B$18*Returns!D394</f>
        <v>5.81223799386444E-2</v>
      </c>
      <c r="G394" s="13">
        <f t="shared" si="20"/>
        <v>-8.3089259568274024E-2</v>
      </c>
    </row>
    <row r="395" spans="1:7" x14ac:dyDescent="0.3">
      <c r="A395" s="5">
        <v>41548</v>
      </c>
      <c r="B395" s="11">
        <v>4.1799999999999997E-2</v>
      </c>
      <c r="C395" s="11">
        <v>9.6385999999999999E-2</v>
      </c>
      <c r="D395" s="13">
        <f t="shared" si="18"/>
        <v>3.8314120370370373E-2</v>
      </c>
      <c r="E395" s="13">
        <f t="shared" si="19"/>
        <v>9.2900120370370376E-2</v>
      </c>
      <c r="F395" s="13">
        <f>Regression!$B$17+Regression!$B$18*Returns!D395</f>
        <v>6.3932757835323845E-2</v>
      </c>
      <c r="G395" s="13">
        <f t="shared" si="20"/>
        <v>2.8967362535046531E-2</v>
      </c>
    </row>
    <row r="396" spans="1:7" x14ac:dyDescent="0.3">
      <c r="A396" s="5">
        <v>41579</v>
      </c>
      <c r="B396" s="11">
        <v>3.1200000000000002E-2</v>
      </c>
      <c r="C396" s="11">
        <v>6.9672999999999999E-2</v>
      </c>
      <c r="D396" s="13">
        <f t="shared" si="18"/>
        <v>2.7714120370370375E-2</v>
      </c>
      <c r="E396" s="13">
        <f t="shared" si="19"/>
        <v>6.6187120370370375E-2</v>
      </c>
      <c r="F396" s="13">
        <f>Regression!$B$17+Regression!$B$18*Returns!D396</f>
        <v>4.8910805224396482E-2</v>
      </c>
      <c r="G396" s="13">
        <f t="shared" si="20"/>
        <v>1.7276315145973893E-2</v>
      </c>
    </row>
    <row r="397" spans="1:7" x14ac:dyDescent="0.3">
      <c r="A397" s="5">
        <v>41609</v>
      </c>
      <c r="B397" s="11">
        <v>2.81E-2</v>
      </c>
      <c r="C397" s="11">
        <v>8.9020000000000002E-3</v>
      </c>
      <c r="D397" s="13">
        <f t="shared" si="18"/>
        <v>2.4614120370370373E-2</v>
      </c>
      <c r="E397" s="13">
        <f t="shared" si="19"/>
        <v>5.4161203703703741E-3</v>
      </c>
      <c r="F397" s="13">
        <f>Regression!$B$17+Regression!$B$18*Returns!D397</f>
        <v>4.4517592668370548E-2</v>
      </c>
      <c r="G397" s="13">
        <f t="shared" si="20"/>
        <v>-3.9101472298000171E-2</v>
      </c>
    </row>
    <row r="398" spans="1:7" x14ac:dyDescent="0.3">
      <c r="A398" s="5">
        <v>41640</v>
      </c>
      <c r="B398" s="11">
        <v>-3.32E-2</v>
      </c>
      <c r="C398" s="11">
        <v>-0.107697</v>
      </c>
      <c r="D398" s="13">
        <f t="shared" si="18"/>
        <v>-3.6685879629629624E-2</v>
      </c>
      <c r="E398" s="13">
        <f t="shared" si="19"/>
        <v>-0.11118287962962962</v>
      </c>
      <c r="F398" s="13">
        <f>Regression!$B$17+Regression!$B$18*Returns!D398</f>
        <v>-4.2354642713690584E-2</v>
      </c>
      <c r="G398" s="13">
        <f t="shared" si="20"/>
        <v>-6.8828236915939034E-2</v>
      </c>
    </row>
    <row r="399" spans="1:7" x14ac:dyDescent="0.3">
      <c r="A399" s="5">
        <v>41671</v>
      </c>
      <c r="B399" s="11">
        <v>4.6500000000000007E-2</v>
      </c>
      <c r="C399" s="11">
        <v>5.7311000000000001E-2</v>
      </c>
      <c r="D399" s="13">
        <f t="shared" si="18"/>
        <v>4.3014120370370383E-2</v>
      </c>
      <c r="E399" s="13">
        <f t="shared" si="19"/>
        <v>5.3825120370370377E-2</v>
      </c>
      <c r="F399" s="13">
        <f>Regression!$B$17+Regression!$B$18*Returns!D399</f>
        <v>7.0593434936395444E-2</v>
      </c>
      <c r="G399" s="13">
        <f t="shared" si="20"/>
        <v>-1.6768314566025067E-2</v>
      </c>
    </row>
    <row r="400" spans="1:7" x14ac:dyDescent="0.3">
      <c r="A400" s="5">
        <v>41699</v>
      </c>
      <c r="B400" s="11">
        <v>4.3E-3</v>
      </c>
      <c r="C400" s="11">
        <v>1.9952999999999999E-2</v>
      </c>
      <c r="D400" s="13">
        <f t="shared" si="18"/>
        <v>8.141203703703739E-4</v>
      </c>
      <c r="E400" s="13">
        <f t="shared" si="19"/>
        <v>1.6467120370370372E-2</v>
      </c>
      <c r="F400" s="13">
        <f>Regression!$B$17+Regression!$B$18*Returns!D400</f>
        <v>1.0789057560816634E-2</v>
      </c>
      <c r="G400" s="13">
        <f t="shared" si="20"/>
        <v>5.6780628095537376E-3</v>
      </c>
    </row>
    <row r="401" spans="1:7" x14ac:dyDescent="0.3">
      <c r="A401" s="5">
        <v>41730</v>
      </c>
      <c r="B401" s="11">
        <v>-1.9E-3</v>
      </c>
      <c r="C401" s="11">
        <v>9.9395999999999998E-2</v>
      </c>
      <c r="D401" s="13">
        <f t="shared" si="18"/>
        <v>-5.3858796296296259E-3</v>
      </c>
      <c r="E401" s="13">
        <f t="shared" si="19"/>
        <v>9.5910120370370375E-2</v>
      </c>
      <c r="F401" s="13">
        <f>Regression!$B$17+Regression!$B$18*Returns!D401</f>
        <v>2.0026324487647735E-3</v>
      </c>
      <c r="G401" s="13">
        <f t="shared" si="20"/>
        <v>9.3907487921605595E-2</v>
      </c>
    </row>
    <row r="402" spans="1:7" x14ac:dyDescent="0.3">
      <c r="A402" s="5">
        <v>41760</v>
      </c>
      <c r="B402" s="11">
        <v>2.06E-2</v>
      </c>
      <c r="C402" s="11">
        <v>7.8293000000000001E-2</v>
      </c>
      <c r="D402" s="13">
        <f t="shared" si="18"/>
        <v>1.7114120370370373E-2</v>
      </c>
      <c r="E402" s="13">
        <f t="shared" si="19"/>
        <v>7.4807120370370378E-2</v>
      </c>
      <c r="F402" s="13">
        <f>Regression!$B$17+Regression!$B$18*Returns!D402</f>
        <v>3.3888852613469106E-2</v>
      </c>
      <c r="G402" s="13">
        <f t="shared" si="20"/>
        <v>4.0918267756901272E-2</v>
      </c>
    </row>
    <row r="403" spans="1:7" x14ac:dyDescent="0.3">
      <c r="A403" s="5">
        <v>41791</v>
      </c>
      <c r="B403" s="11">
        <v>2.6099999999999998E-2</v>
      </c>
      <c r="C403" s="11">
        <v>2.7661999999999999E-2</v>
      </c>
      <c r="D403" s="13">
        <f t="shared" si="18"/>
        <v>2.2614120370370371E-2</v>
      </c>
      <c r="E403" s="13">
        <f t="shared" si="19"/>
        <v>2.4176120370370372E-2</v>
      </c>
      <c r="F403" s="13">
        <f>Regression!$B$17+Regression!$B$18*Returns!D403</f>
        <v>4.1683261987063493E-2</v>
      </c>
      <c r="G403" s="13">
        <f t="shared" si="20"/>
        <v>-1.7507141616693121E-2</v>
      </c>
    </row>
    <row r="404" spans="1:7" x14ac:dyDescent="0.3">
      <c r="A404" s="5">
        <v>41821</v>
      </c>
      <c r="B404" s="11">
        <v>-2.0400000000000001E-2</v>
      </c>
      <c r="C404" s="11">
        <v>2.8731E-2</v>
      </c>
      <c r="D404" s="13">
        <f t="shared" si="18"/>
        <v>-2.3885879629629628E-2</v>
      </c>
      <c r="E404" s="13">
        <f t="shared" si="19"/>
        <v>2.5245120370370373E-2</v>
      </c>
      <c r="F404" s="13">
        <f>Regression!$B$17+Regression!$B$18*Returns!D404</f>
        <v>-2.4214926353325457E-2</v>
      </c>
      <c r="G404" s="13">
        <f t="shared" si="20"/>
        <v>4.9460046723695833E-2</v>
      </c>
    </row>
    <row r="405" spans="1:7" x14ac:dyDescent="0.3">
      <c r="A405" s="5">
        <v>41852</v>
      </c>
      <c r="B405" s="11">
        <v>4.24E-2</v>
      </c>
      <c r="C405" s="11">
        <v>7.7091999999999994E-2</v>
      </c>
      <c r="D405" s="13">
        <f t="shared" si="18"/>
        <v>3.8914120370370377E-2</v>
      </c>
      <c r="E405" s="13">
        <f t="shared" si="19"/>
        <v>7.360612037037037E-2</v>
      </c>
      <c r="F405" s="13">
        <f>Regression!$B$17+Regression!$B$18*Returns!D405</f>
        <v>6.4783057039715972E-2</v>
      </c>
      <c r="G405" s="13">
        <f t="shared" si="20"/>
        <v>8.8230633306543987E-3</v>
      </c>
    </row>
    <row r="406" spans="1:7" x14ac:dyDescent="0.3">
      <c r="A406" s="5">
        <v>41883</v>
      </c>
      <c r="B406" s="11">
        <v>-1.9699999999999999E-2</v>
      </c>
      <c r="C406" s="11">
        <v>-1.7073000000000001E-2</v>
      </c>
      <c r="D406" s="13">
        <f t="shared" si="18"/>
        <v>-2.3185879629629626E-2</v>
      </c>
      <c r="E406" s="13">
        <f t="shared" si="19"/>
        <v>-2.0558879629629628E-2</v>
      </c>
      <c r="F406" s="13">
        <f>Regression!$B$17+Regression!$B$18*Returns!D406</f>
        <v>-2.3222910614867989E-2</v>
      </c>
      <c r="G406" s="13">
        <f t="shared" si="20"/>
        <v>2.6640309852383609E-3</v>
      </c>
    </row>
    <row r="407" spans="1:7" x14ac:dyDescent="0.3">
      <c r="A407" s="5">
        <v>41913</v>
      </c>
      <c r="B407" s="11">
        <v>2.52E-2</v>
      </c>
      <c r="C407" s="11">
        <v>7.1959999999999996E-2</v>
      </c>
      <c r="D407" s="13">
        <f t="shared" si="18"/>
        <v>2.1714120370370373E-2</v>
      </c>
      <c r="E407" s="13">
        <f t="shared" si="19"/>
        <v>6.8474120370370373E-2</v>
      </c>
      <c r="F407" s="13">
        <f>Regression!$B$17+Regression!$B$18*Returns!D407</f>
        <v>4.0407813180475323E-2</v>
      </c>
      <c r="G407" s="13">
        <f t="shared" si="20"/>
        <v>2.806630718989505E-2</v>
      </c>
    </row>
    <row r="408" spans="1:7" x14ac:dyDescent="0.3">
      <c r="A408" s="5">
        <v>41944</v>
      </c>
      <c r="B408" s="11">
        <v>2.5499999999999998E-2</v>
      </c>
      <c r="C408" s="11">
        <v>0.105556</v>
      </c>
      <c r="D408" s="13">
        <f t="shared" si="18"/>
        <v>2.2014120370370371E-2</v>
      </c>
      <c r="E408" s="13">
        <f t="shared" si="19"/>
        <v>0.10207012037037037</v>
      </c>
      <c r="F408" s="13">
        <f>Regression!$B$17+Regression!$B$18*Returns!D408</f>
        <v>4.083296278267138E-2</v>
      </c>
      <c r="G408" s="13">
        <f t="shared" si="20"/>
        <v>6.1237157587698994E-2</v>
      </c>
    </row>
    <row r="409" spans="1:7" x14ac:dyDescent="0.3">
      <c r="A409" s="5">
        <v>41974</v>
      </c>
      <c r="B409" s="11">
        <v>-5.9999999999999995E-4</v>
      </c>
      <c r="C409" s="11">
        <v>-7.1890999999999997E-2</v>
      </c>
      <c r="D409" s="13">
        <f t="shared" si="18"/>
        <v>-4.0858796296296259E-3</v>
      </c>
      <c r="E409" s="13">
        <f t="shared" si="19"/>
        <v>-7.537687962962962E-2</v>
      </c>
      <c r="F409" s="13">
        <f>Regression!$B$17+Regression!$B$18*Returns!D409</f>
        <v>3.8449473916143569E-3</v>
      </c>
      <c r="G409" s="13">
        <f t="shared" si="20"/>
        <v>-7.9221827021243973E-2</v>
      </c>
    </row>
    <row r="410" spans="1:7" x14ac:dyDescent="0.3">
      <c r="A410" s="5">
        <v>42005</v>
      </c>
      <c r="B410" s="11">
        <v>-3.1099999999999999E-2</v>
      </c>
      <c r="C410" s="11">
        <v>6.1423999999999999E-2</v>
      </c>
      <c r="D410" s="13">
        <f t="shared" si="18"/>
        <v>-3.4585879629629626E-2</v>
      </c>
      <c r="E410" s="13">
        <f t="shared" si="19"/>
        <v>5.7938120370370376E-2</v>
      </c>
      <c r="F410" s="13">
        <f>Regression!$B$17+Regression!$B$18*Returns!D410</f>
        <v>-3.9378595498318181E-2</v>
      </c>
      <c r="G410" s="13">
        <f t="shared" si="20"/>
        <v>9.7316715868688564E-2</v>
      </c>
    </row>
    <row r="411" spans="1:7" x14ac:dyDescent="0.3">
      <c r="A411" s="5">
        <v>42036</v>
      </c>
      <c r="B411" s="11">
        <v>6.13E-2</v>
      </c>
      <c r="C411" s="11">
        <v>0.10046099999999999</v>
      </c>
      <c r="D411" s="13">
        <f t="shared" si="18"/>
        <v>5.7814120370370377E-2</v>
      </c>
      <c r="E411" s="13">
        <f t="shared" si="19"/>
        <v>9.6975120370370371E-2</v>
      </c>
      <c r="F411" s="13">
        <f>Regression!$B$17+Regression!$B$18*Returns!D411</f>
        <v>9.1567481978067605E-2</v>
      </c>
      <c r="G411" s="13">
        <f t="shared" si="20"/>
        <v>5.407638392302766E-3</v>
      </c>
    </row>
    <row r="412" spans="1:7" x14ac:dyDescent="0.3">
      <c r="A412" s="5">
        <v>42064</v>
      </c>
      <c r="B412" s="11">
        <v>-1.1200000000000002E-2</v>
      </c>
      <c r="C412" s="11">
        <v>-3.1371999999999997E-2</v>
      </c>
      <c r="D412" s="13">
        <f t="shared" si="18"/>
        <v>-1.4685879629629629E-2</v>
      </c>
      <c r="E412" s="13">
        <f t="shared" si="19"/>
        <v>-3.4857879629629621E-2</v>
      </c>
      <c r="F412" s="13">
        <f>Regression!$B$17+Regression!$B$18*Returns!D412</f>
        <v>-1.1177005219313019E-2</v>
      </c>
      <c r="G412" s="13">
        <f t="shared" si="20"/>
        <v>-2.3680874410316601E-2</v>
      </c>
    </row>
    <row r="413" spans="1:7" x14ac:dyDescent="0.3">
      <c r="A413" s="5">
        <v>42095</v>
      </c>
      <c r="B413" s="11">
        <v>5.8999999999999999E-3</v>
      </c>
      <c r="C413" s="11">
        <v>5.7860000000000003E-3</v>
      </c>
      <c r="D413" s="13">
        <f t="shared" si="18"/>
        <v>2.4141203703703738E-3</v>
      </c>
      <c r="E413" s="13">
        <f t="shared" si="19"/>
        <v>2.3001203703703742E-3</v>
      </c>
      <c r="F413" s="13">
        <f>Regression!$B$17+Regression!$B$18*Returns!D413</f>
        <v>1.3056522105862275E-2</v>
      </c>
      <c r="G413" s="13">
        <f t="shared" si="20"/>
        <v>-1.0756401735491901E-2</v>
      </c>
    </row>
    <row r="414" spans="1:7" x14ac:dyDescent="0.3">
      <c r="A414" s="5">
        <v>42125</v>
      </c>
      <c r="B414" s="11">
        <v>1.3600000000000001E-2</v>
      </c>
      <c r="C414" s="11">
        <v>4.5145999999999999E-2</v>
      </c>
      <c r="D414" s="13">
        <f t="shared" si="18"/>
        <v>1.0114120370370374E-2</v>
      </c>
      <c r="E414" s="13">
        <f t="shared" si="19"/>
        <v>4.1660120370370375E-2</v>
      </c>
      <c r="F414" s="13">
        <f>Regression!$B$17+Regression!$B$18*Returns!D414</f>
        <v>2.3968695228894422E-2</v>
      </c>
      <c r="G414" s="13">
        <f t="shared" si="20"/>
        <v>1.7691425141475953E-2</v>
      </c>
    </row>
    <row r="415" spans="1:7" x14ac:dyDescent="0.3">
      <c r="A415" s="5">
        <v>42156</v>
      </c>
      <c r="B415" s="11">
        <v>-1.5300000000000001E-2</v>
      </c>
      <c r="C415" s="11">
        <v>-3.7266000000000001E-2</v>
      </c>
      <c r="D415" s="13">
        <f t="shared" si="18"/>
        <v>-1.8785879629629628E-2</v>
      </c>
      <c r="E415" s="13">
        <f t="shared" si="19"/>
        <v>-4.0751879629629624E-2</v>
      </c>
      <c r="F415" s="13">
        <f>Regression!$B$17+Regression!$B$18*Returns!D415</f>
        <v>-1.6987383115992474E-2</v>
      </c>
      <c r="G415" s="13">
        <f t="shared" si="20"/>
        <v>-2.376449651363715E-2</v>
      </c>
    </row>
    <row r="416" spans="1:7" x14ac:dyDescent="0.3">
      <c r="A416" s="5">
        <v>42186</v>
      </c>
      <c r="B416" s="11">
        <v>1.54E-2</v>
      </c>
      <c r="C416" s="11">
        <v>-3.2888000000000001E-2</v>
      </c>
      <c r="D416" s="13">
        <f t="shared" si="18"/>
        <v>1.1914120370370374E-2</v>
      </c>
      <c r="E416" s="13">
        <f t="shared" si="19"/>
        <v>-3.6373879629629624E-2</v>
      </c>
      <c r="F416" s="13">
        <f>Regression!$B$17+Regression!$B$18*Returns!D416</f>
        <v>2.6519592842070769E-2</v>
      </c>
      <c r="G416" s="13">
        <f t="shared" si="20"/>
        <v>-6.2893472471700393E-2</v>
      </c>
    </row>
    <row r="417" spans="1:7" x14ac:dyDescent="0.3">
      <c r="A417" s="5">
        <v>42217</v>
      </c>
      <c r="B417" s="11">
        <v>-6.0400000000000002E-2</v>
      </c>
      <c r="C417" s="11">
        <v>-6.6116999999999995E-2</v>
      </c>
      <c r="D417" s="13">
        <f t="shared" si="18"/>
        <v>-6.3885879629629633E-2</v>
      </c>
      <c r="E417" s="13">
        <f t="shared" si="19"/>
        <v>-6.9602879629629619E-2</v>
      </c>
      <c r="F417" s="13">
        <f>Regression!$B$17+Regression!$B$18*Returns!D417</f>
        <v>-8.0901539979466502E-2</v>
      </c>
      <c r="G417" s="13">
        <f t="shared" si="20"/>
        <v>1.1298660349836884E-2</v>
      </c>
    </row>
    <row r="418" spans="1:7" x14ac:dyDescent="0.3">
      <c r="A418" s="5">
        <v>42248</v>
      </c>
      <c r="B418" s="11">
        <v>-3.0800000000000001E-2</v>
      </c>
      <c r="C418" s="11">
        <v>-2.1815999999999999E-2</v>
      </c>
      <c r="D418" s="13">
        <f t="shared" si="18"/>
        <v>-3.4285879629629624E-2</v>
      </c>
      <c r="E418" s="13">
        <f t="shared" si="19"/>
        <v>-2.5301879629629626E-2</v>
      </c>
      <c r="F418" s="13">
        <f>Regression!$B$17+Regression!$B$18*Returns!D418</f>
        <v>-3.8953445896122124E-2</v>
      </c>
      <c r="G418" s="13">
        <f t="shared" si="20"/>
        <v>1.3651566266492499E-2</v>
      </c>
    </row>
    <row r="419" spans="1:7" x14ac:dyDescent="0.3">
      <c r="A419" s="5">
        <v>42278</v>
      </c>
      <c r="B419" s="11">
        <v>7.7499999999999999E-2</v>
      </c>
      <c r="C419" s="11">
        <v>8.3408999999999997E-2</v>
      </c>
      <c r="D419" s="13">
        <f t="shared" si="18"/>
        <v>7.4014120370370376E-2</v>
      </c>
      <c r="E419" s="13">
        <f t="shared" si="19"/>
        <v>7.9923120370370374E-2</v>
      </c>
      <c r="F419" s="13">
        <f>Regression!$B$17+Regression!$B$18*Returns!D419</f>
        <v>0.11452556049665473</v>
      </c>
      <c r="G419" s="13">
        <f t="shared" si="20"/>
        <v>-3.4602440126284356E-2</v>
      </c>
    </row>
    <row r="420" spans="1:7" x14ac:dyDescent="0.3">
      <c r="A420" s="5">
        <v>42309</v>
      </c>
      <c r="B420" s="11">
        <v>5.6000000000000008E-3</v>
      </c>
      <c r="C420" s="11">
        <v>-5.6899999999999997E-3</v>
      </c>
      <c r="D420" s="13">
        <f t="shared" si="18"/>
        <v>2.1141203703703747E-3</v>
      </c>
      <c r="E420" s="13">
        <f t="shared" si="19"/>
        <v>-9.1758796296296258E-3</v>
      </c>
      <c r="F420" s="13">
        <f>Regression!$B$17+Regression!$B$18*Returns!D420</f>
        <v>1.2631372503666218E-2</v>
      </c>
      <c r="G420" s="13">
        <f t="shared" si="20"/>
        <v>-2.1807252133295846E-2</v>
      </c>
    </row>
    <row r="421" spans="1:7" x14ac:dyDescent="0.3">
      <c r="A421" s="5">
        <v>42339</v>
      </c>
      <c r="B421" s="11">
        <v>-2.1600000000000001E-2</v>
      </c>
      <c r="C421" s="11">
        <v>-0.11022800000000001</v>
      </c>
      <c r="D421" s="13">
        <f t="shared" si="18"/>
        <v>-2.5085879629629628E-2</v>
      </c>
      <c r="E421" s="13">
        <f t="shared" si="19"/>
        <v>-0.11371387962962963</v>
      </c>
      <c r="F421" s="13">
        <f>Regression!$B$17+Regression!$B$18*Returns!D421</f>
        <v>-2.591552476210969E-2</v>
      </c>
      <c r="G421" s="13">
        <f t="shared" si="20"/>
        <v>-8.779835486751994E-2</v>
      </c>
    </row>
    <row r="422" spans="1:7" x14ac:dyDescent="0.3">
      <c r="A422" s="5">
        <v>42370</v>
      </c>
      <c r="B422" s="11">
        <v>-5.7599999999999998E-2</v>
      </c>
      <c r="C422" s="11">
        <v>-7.5242000000000003E-2</v>
      </c>
      <c r="D422" s="13">
        <f t="shared" si="18"/>
        <v>-6.1085879629629622E-2</v>
      </c>
      <c r="E422" s="13">
        <f t="shared" si="19"/>
        <v>-7.8727879629629627E-2</v>
      </c>
      <c r="F422" s="13">
        <f>Regression!$B$17+Regression!$B$18*Returns!D422</f>
        <v>-7.6933477025636604E-2</v>
      </c>
      <c r="G422" s="13">
        <f t="shared" si="20"/>
        <v>-1.7944026039930228E-3</v>
      </c>
    </row>
    <row r="423" spans="1:7" x14ac:dyDescent="0.3">
      <c r="A423" s="5">
        <v>42401</v>
      </c>
      <c r="B423" s="11">
        <v>-5.0000000000000001E-4</v>
      </c>
      <c r="C423" s="11">
        <v>-1.335E-3</v>
      </c>
      <c r="D423" s="13">
        <f t="shared" si="18"/>
        <v>-3.9858796296296257E-3</v>
      </c>
      <c r="E423" s="13">
        <f t="shared" si="19"/>
        <v>-4.8208796296296264E-3</v>
      </c>
      <c r="F423" s="13">
        <f>Regression!$B$17+Regression!$B$18*Returns!D423</f>
        <v>3.9866639256797105E-3</v>
      </c>
      <c r="G423" s="13">
        <f t="shared" si="20"/>
        <v>-8.8075435553093377E-3</v>
      </c>
    </row>
    <row r="424" spans="1:7" x14ac:dyDescent="0.3">
      <c r="A424" s="5">
        <v>42430</v>
      </c>
      <c r="B424" s="11">
        <v>6.9800000000000001E-2</v>
      </c>
      <c r="C424" s="11">
        <v>0.12721099999999999</v>
      </c>
      <c r="D424" s="13">
        <f t="shared" si="18"/>
        <v>6.6314120370370377E-2</v>
      </c>
      <c r="E424" s="13">
        <f t="shared" si="19"/>
        <v>0.12372512037037037</v>
      </c>
      <c r="F424" s="13">
        <f>Regression!$B$17+Regression!$B$18*Returns!D424</f>
        <v>0.10361338737362258</v>
      </c>
      <c r="G424" s="13">
        <f t="shared" si="20"/>
        <v>2.0111732996747789E-2</v>
      </c>
    </row>
    <row r="425" spans="1:7" x14ac:dyDescent="0.3">
      <c r="A425" s="5">
        <v>42461</v>
      </c>
      <c r="B425" s="11">
        <v>9.300000000000001E-3</v>
      </c>
      <c r="C425" s="11">
        <v>-0.13992099999999999</v>
      </c>
      <c r="D425" s="13">
        <f t="shared" si="18"/>
        <v>5.8141203703703749E-3</v>
      </c>
      <c r="E425" s="13">
        <f t="shared" si="19"/>
        <v>-0.14340687962962961</v>
      </c>
      <c r="F425" s="13">
        <f>Regression!$B$17+Regression!$B$18*Returns!D425</f>
        <v>1.7874884264084262E-2</v>
      </c>
      <c r="G425" s="13">
        <f t="shared" si="20"/>
        <v>-0.16128176389371388</v>
      </c>
    </row>
    <row r="426" spans="1:7" x14ac:dyDescent="0.3">
      <c r="A426" s="5">
        <v>42491</v>
      </c>
      <c r="B426" s="11">
        <v>1.7899999999999999E-2</v>
      </c>
      <c r="C426" s="11">
        <v>7.1368000000000001E-2</v>
      </c>
      <c r="D426" s="13">
        <f t="shared" si="18"/>
        <v>1.4414120370370372E-2</v>
      </c>
      <c r="E426" s="13">
        <f t="shared" si="19"/>
        <v>6.7882120370370377E-2</v>
      </c>
      <c r="F426" s="13">
        <f>Regression!$B$17+Regression!$B$18*Returns!D426</f>
        <v>3.0062506193704583E-2</v>
      </c>
      <c r="G426" s="13">
        <f t="shared" si="20"/>
        <v>3.7819614176665795E-2</v>
      </c>
    </row>
    <row r="427" spans="1:7" x14ac:dyDescent="0.3">
      <c r="A427" s="5">
        <v>42522</v>
      </c>
      <c r="B427" s="11">
        <v>-3.0000000000000003E-4</v>
      </c>
      <c r="C427" s="11">
        <v>-4.2659999999999997E-2</v>
      </c>
      <c r="D427" s="13">
        <f t="shared" si="18"/>
        <v>-3.785879629629626E-3</v>
      </c>
      <c r="E427" s="13">
        <f t="shared" si="19"/>
        <v>-4.614587962962962E-2</v>
      </c>
      <c r="F427" s="13">
        <f>Regression!$B$17+Regression!$B$18*Returns!D427</f>
        <v>4.2700969938104152E-3</v>
      </c>
      <c r="G427" s="13">
        <f t="shared" si="20"/>
        <v>-5.0415976623440037E-2</v>
      </c>
    </row>
    <row r="428" spans="1:7" x14ac:dyDescent="0.3">
      <c r="A428" s="5">
        <v>42552</v>
      </c>
      <c r="B428" s="11">
        <v>3.9699999999999999E-2</v>
      </c>
      <c r="C428" s="11">
        <v>9.0063000000000004E-2</v>
      </c>
      <c r="D428" s="13">
        <f t="shared" si="18"/>
        <v>3.6214120370370376E-2</v>
      </c>
      <c r="E428" s="13">
        <f t="shared" si="19"/>
        <v>8.6577120370370381E-2</v>
      </c>
      <c r="F428" s="13">
        <f>Regression!$B$17+Regression!$B$18*Returns!D428</f>
        <v>6.0956710619951449E-2</v>
      </c>
      <c r="G428" s="13">
        <f t="shared" si="20"/>
        <v>2.5620409750418932E-2</v>
      </c>
    </row>
    <row r="429" spans="1:7" x14ac:dyDescent="0.3">
      <c r="A429" s="5">
        <v>42583</v>
      </c>
      <c r="B429" s="11">
        <v>5.1999999999999998E-3</v>
      </c>
      <c r="C429" s="11">
        <v>2.3605999999999999E-2</v>
      </c>
      <c r="D429" s="13">
        <f t="shared" si="18"/>
        <v>1.7141203703703737E-3</v>
      </c>
      <c r="E429" s="13">
        <f t="shared" si="19"/>
        <v>2.0120120370370372E-2</v>
      </c>
      <c r="F429" s="13">
        <f>Regression!$B$17+Regression!$B$18*Returns!D429</f>
        <v>1.2064506367404807E-2</v>
      </c>
      <c r="G429" s="13">
        <f t="shared" si="20"/>
        <v>8.0556140029655644E-3</v>
      </c>
    </row>
    <row r="430" spans="1:7" x14ac:dyDescent="0.3">
      <c r="A430" s="5">
        <v>42614</v>
      </c>
      <c r="B430" s="11">
        <v>2.7000000000000001E-3</v>
      </c>
      <c r="C430" s="11">
        <v>6.5504000000000007E-2</v>
      </c>
      <c r="D430" s="13">
        <f t="shared" si="18"/>
        <v>-7.8587962962962596E-4</v>
      </c>
      <c r="E430" s="13">
        <f t="shared" si="19"/>
        <v>6.2018120370370383E-2</v>
      </c>
      <c r="F430" s="13">
        <f>Regression!$B$17+Regression!$B$18*Returns!D430</f>
        <v>8.5215930157709931E-3</v>
      </c>
      <c r="G430" s="13">
        <f t="shared" si="20"/>
        <v>5.3496527354599394E-2</v>
      </c>
    </row>
    <row r="431" spans="1:7" x14ac:dyDescent="0.3">
      <c r="A431" s="5">
        <v>42644</v>
      </c>
      <c r="B431" s="11">
        <v>-0.02</v>
      </c>
      <c r="C431" s="11">
        <v>4.3340000000000002E-3</v>
      </c>
      <c r="D431" s="13">
        <f t="shared" si="18"/>
        <v>-2.3485879629629627E-2</v>
      </c>
      <c r="E431" s="13">
        <f t="shared" si="19"/>
        <v>8.4812037037037408E-4</v>
      </c>
      <c r="F431" s="13">
        <f>Regression!$B$17+Regression!$B$18*Returns!D431</f>
        <v>-2.3648060217064046E-2</v>
      </c>
      <c r="G431" s="13">
        <f t="shared" si="20"/>
        <v>2.449618058743442E-2</v>
      </c>
    </row>
    <row r="432" spans="1:7" x14ac:dyDescent="0.3">
      <c r="A432" s="5">
        <v>42675</v>
      </c>
      <c r="B432" s="11">
        <v>4.87E-2</v>
      </c>
      <c r="C432" s="11">
        <v>-2.1578E-2</v>
      </c>
      <c r="D432" s="13">
        <f t="shared" si="18"/>
        <v>4.5214120370370377E-2</v>
      </c>
      <c r="E432" s="13">
        <f t="shared" si="19"/>
        <v>-2.5063879629629627E-2</v>
      </c>
      <c r="F432" s="13">
        <f>Regression!$B$17+Regression!$B$18*Returns!D432</f>
        <v>7.3711198685833187E-2</v>
      </c>
      <c r="G432" s="13">
        <f t="shared" si="20"/>
        <v>-9.8775078315462811E-2</v>
      </c>
    </row>
    <row r="433" spans="1:7" x14ac:dyDescent="0.3">
      <c r="A433" s="5">
        <v>42705</v>
      </c>
      <c r="B433" s="11">
        <v>1.8500000000000003E-2</v>
      </c>
      <c r="C433" s="11">
        <v>4.7954999999999998E-2</v>
      </c>
      <c r="D433" s="13">
        <f t="shared" si="18"/>
        <v>1.5014120370370376E-2</v>
      </c>
      <c r="E433" s="13">
        <f t="shared" si="19"/>
        <v>4.4469120370370374E-2</v>
      </c>
      <c r="F433" s="13">
        <f>Regression!$B$17+Regression!$B$18*Returns!D433</f>
        <v>3.0912805398096703E-2</v>
      </c>
      <c r="G433" s="13">
        <f t="shared" si="20"/>
        <v>1.3556314972273671E-2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937CC-98D9-465A-A316-E9C44307D086}">
  <dimension ref="A1:G456"/>
  <sheetViews>
    <sheetView workbookViewId="0">
      <selection activeCell="A13" sqref="A13"/>
    </sheetView>
  </sheetViews>
  <sheetFormatPr defaultColWidth="8.796875" defaultRowHeight="15.6" x14ac:dyDescent="0.3"/>
  <cols>
    <col min="1" max="1" width="18.3984375" style="16" bestFit="1" customWidth="1"/>
    <col min="2" max="2" width="26" style="16" bestFit="1" customWidth="1"/>
    <col min="3" max="3" width="13.5" style="16" bestFit="1" customWidth="1"/>
    <col min="4" max="4" width="5.69921875" style="16" bestFit="1" customWidth="1"/>
    <col min="5" max="5" width="7.3984375" style="16" bestFit="1" customWidth="1"/>
    <col min="6" max="6" width="10.19921875" style="16" bestFit="1" customWidth="1"/>
    <col min="7" max="7" width="10.296875" style="16" bestFit="1" customWidth="1"/>
    <col min="8" max="8" width="12.19921875" style="16" bestFit="1" customWidth="1"/>
    <col min="9" max="9" width="11.796875" style="16" bestFit="1" customWidth="1"/>
    <col min="10" max="16384" width="8.796875" style="16"/>
  </cols>
  <sheetData>
    <row r="1" spans="1:7" x14ac:dyDescent="0.3">
      <c r="A1" s="16" t="s">
        <v>5</v>
      </c>
    </row>
    <row r="2" spans="1:7" ht="16.2" thickBot="1" x14ac:dyDescent="0.35"/>
    <row r="3" spans="1:7" x14ac:dyDescent="0.3">
      <c r="A3" s="17" t="s">
        <v>6</v>
      </c>
      <c r="B3" s="17"/>
    </row>
    <row r="4" spans="1:7" x14ac:dyDescent="0.3">
      <c r="A4" s="18"/>
      <c r="B4" s="18"/>
    </row>
    <row r="5" spans="1:7" x14ac:dyDescent="0.3">
      <c r="A5" s="18" t="s">
        <v>7</v>
      </c>
      <c r="B5" s="19">
        <v>0.21549561331576814</v>
      </c>
    </row>
    <row r="6" spans="1:7" x14ac:dyDescent="0.3">
      <c r="A6" s="18"/>
      <c r="B6" s="20"/>
    </row>
    <row r="7" spans="1:7" x14ac:dyDescent="0.3">
      <c r="A7" s="18" t="s">
        <v>8</v>
      </c>
      <c r="B7" s="19">
        <v>0.11927779856375947</v>
      </c>
    </row>
    <row r="8" spans="1:7" ht="16.2" thickBot="1" x14ac:dyDescent="0.35">
      <c r="A8" s="21" t="s">
        <v>9</v>
      </c>
      <c r="B8" s="22">
        <v>432</v>
      </c>
    </row>
    <row r="10" spans="1:7" ht="16.2" thickBot="1" x14ac:dyDescent="0.35">
      <c r="A10" s="16" t="s">
        <v>10</v>
      </c>
    </row>
    <row r="11" spans="1:7" x14ac:dyDescent="0.3">
      <c r="A11" s="23"/>
      <c r="B11" s="23" t="s">
        <v>15</v>
      </c>
      <c r="C11" s="23" t="s">
        <v>16</v>
      </c>
      <c r="D11" s="23" t="s">
        <v>17</v>
      </c>
    </row>
    <row r="12" spans="1:7" x14ac:dyDescent="0.3">
      <c r="A12" s="18" t="s">
        <v>11</v>
      </c>
      <c r="B12" s="24">
        <v>1</v>
      </c>
      <c r="C12" s="25">
        <v>1.6804699204580329</v>
      </c>
      <c r="D12" s="25">
        <v>1.6804699204580329</v>
      </c>
    </row>
    <row r="13" spans="1:7" x14ac:dyDescent="0.3">
      <c r="A13" s="18" t="s">
        <v>12</v>
      </c>
      <c r="B13" s="24">
        <v>430</v>
      </c>
      <c r="C13" s="25">
        <v>6.1176930889932155</v>
      </c>
      <c r="D13" s="25">
        <v>1.422719323021678E-2</v>
      </c>
    </row>
    <row r="14" spans="1:7" ht="16.2" thickBot="1" x14ac:dyDescent="0.35">
      <c r="A14" s="21" t="s">
        <v>13</v>
      </c>
      <c r="B14" s="22">
        <v>431</v>
      </c>
      <c r="C14" s="26">
        <v>7.7981630094512484</v>
      </c>
      <c r="D14" s="27"/>
      <c r="E14" s="21"/>
      <c r="F14" s="21"/>
    </row>
    <row r="15" spans="1:7" ht="16.2" thickBot="1" x14ac:dyDescent="0.35"/>
    <row r="16" spans="1:7" x14ac:dyDescent="0.3">
      <c r="A16" s="23"/>
      <c r="B16" s="23" t="s">
        <v>18</v>
      </c>
      <c r="C16" s="23" t="s">
        <v>8</v>
      </c>
      <c r="D16" s="23" t="s">
        <v>19</v>
      </c>
      <c r="E16" s="23" t="s">
        <v>20</v>
      </c>
      <c r="F16" s="23" t="s">
        <v>21</v>
      </c>
      <c r="G16" s="23" t="s">
        <v>22</v>
      </c>
    </row>
    <row r="17" spans="1:7" x14ac:dyDescent="0.3">
      <c r="A17" s="18" t="s">
        <v>14</v>
      </c>
      <c r="B17" s="19">
        <v>9.6353143888077281E-3</v>
      </c>
      <c r="C17" s="28">
        <v>5.7948216911743924E-3</v>
      </c>
      <c r="D17" s="19">
        <v>1.6627456205395359</v>
      </c>
      <c r="E17" s="19">
        <v>9.7092051223221107E-2</v>
      </c>
      <c r="F17" s="19">
        <v>-1.7543855760306266E-3</v>
      </c>
      <c r="G17" s="19">
        <v>2.1025014353646083E-2</v>
      </c>
    </row>
    <row r="18" spans="1:7" ht="16.2" thickBot="1" x14ac:dyDescent="0.35">
      <c r="A18" s="21" t="s">
        <v>3</v>
      </c>
      <c r="B18" s="29">
        <v>1.4171653406535258</v>
      </c>
      <c r="C18" s="29">
        <v>0.13039614906074296</v>
      </c>
      <c r="D18" s="29">
        <v>10.868153322483183</v>
      </c>
      <c r="E18" s="29">
        <v>1.7891795734772305E-24</v>
      </c>
      <c r="F18" s="29">
        <v>1.1608722062790646</v>
      </c>
      <c r="G18" s="29">
        <v>1.6734584750279871</v>
      </c>
    </row>
    <row r="22" spans="1:7" x14ac:dyDescent="0.3">
      <c r="A22" s="16" t="s">
        <v>23</v>
      </c>
    </row>
    <row r="23" spans="1:7" ht="16.2" thickBot="1" x14ac:dyDescent="0.35"/>
    <row r="24" spans="1:7" x14ac:dyDescent="0.3">
      <c r="A24" s="23" t="s">
        <v>24</v>
      </c>
      <c r="B24" s="23" t="s">
        <v>25</v>
      </c>
      <c r="C24" s="23" t="s">
        <v>26</v>
      </c>
    </row>
    <row r="25" spans="1:7" x14ac:dyDescent="0.3">
      <c r="A25" s="18">
        <v>1</v>
      </c>
      <c r="B25" s="30">
        <v>-5.1991367030134558E-2</v>
      </c>
      <c r="C25" s="30">
        <v>-0.12151251259949507</v>
      </c>
    </row>
    <row r="26" spans="1:7" x14ac:dyDescent="0.3">
      <c r="A26" s="18">
        <v>2</v>
      </c>
      <c r="B26" s="30">
        <v>2.7795041648658945E-2</v>
      </c>
      <c r="C26" s="30">
        <v>-9.2954921278288583E-2</v>
      </c>
    </row>
    <row r="27" spans="1:7" x14ac:dyDescent="0.3">
      <c r="A27" s="18">
        <v>3</v>
      </c>
      <c r="B27" s="30">
        <v>7.2294033345179642E-2</v>
      </c>
      <c r="C27" s="30">
        <v>-0.15089691297480928</v>
      </c>
    </row>
    <row r="28" spans="1:7" x14ac:dyDescent="0.3">
      <c r="A28" s="18">
        <v>4</v>
      </c>
      <c r="B28" s="30">
        <v>-9.7598398786594917E-3</v>
      </c>
      <c r="C28" s="30">
        <v>0.16363396024902988</v>
      </c>
    </row>
    <row r="29" spans="1:7" x14ac:dyDescent="0.3">
      <c r="A29" s="18">
        <v>5</v>
      </c>
      <c r="B29" s="30">
        <v>2.2551529888240898E-2</v>
      </c>
      <c r="C29" s="30">
        <v>0.13843659048212947</v>
      </c>
    </row>
    <row r="30" spans="1:7" x14ac:dyDescent="0.3">
      <c r="A30" s="18">
        <v>6</v>
      </c>
      <c r="B30" s="30">
        <v>-9.6181233445941372E-3</v>
      </c>
      <c r="C30" s="30">
        <v>-0.20855675628503548</v>
      </c>
    </row>
    <row r="31" spans="1:7" x14ac:dyDescent="0.3">
      <c r="A31" s="18">
        <v>7</v>
      </c>
      <c r="B31" s="30">
        <v>4.4375057404589559E-4</v>
      </c>
      <c r="C31" s="30">
        <v>-4.2298630203675518E-2</v>
      </c>
    </row>
    <row r="32" spans="1:7" x14ac:dyDescent="0.3">
      <c r="A32" s="18">
        <v>8</v>
      </c>
      <c r="B32" s="30">
        <v>-7.6791760491571256E-2</v>
      </c>
      <c r="C32" s="30">
        <v>-0.12120811913805836</v>
      </c>
    </row>
    <row r="33" spans="1:3" x14ac:dyDescent="0.3">
      <c r="A33" s="18">
        <v>9</v>
      </c>
      <c r="B33" s="30">
        <v>-7.934265810474761E-2</v>
      </c>
      <c r="C33" s="30">
        <v>-0.16562922152488202</v>
      </c>
    </row>
    <row r="34" spans="1:3" x14ac:dyDescent="0.3">
      <c r="A34" s="18">
        <v>10</v>
      </c>
      <c r="B34" s="30">
        <v>9.1567481978067605E-2</v>
      </c>
      <c r="C34" s="30">
        <v>0.21515063839230272</v>
      </c>
    </row>
    <row r="35" spans="1:3" x14ac:dyDescent="0.3">
      <c r="A35" s="18">
        <v>11</v>
      </c>
      <c r="B35" s="30">
        <v>6.7475671186957673E-2</v>
      </c>
      <c r="C35" s="30">
        <v>-0.1394975508165873</v>
      </c>
    </row>
    <row r="36" spans="1:3" x14ac:dyDescent="0.3">
      <c r="A36" s="18">
        <v>12</v>
      </c>
      <c r="B36" s="30">
        <v>-3.4701949874161538E-2</v>
      </c>
      <c r="C36" s="30">
        <v>0.21850707024453192</v>
      </c>
    </row>
    <row r="37" spans="1:3" x14ac:dyDescent="0.3">
      <c r="A37" s="18">
        <v>13</v>
      </c>
      <c r="B37" s="30">
        <v>-2.9883587715939568E-2</v>
      </c>
      <c r="C37" s="30">
        <v>-5.2475291913690054E-2</v>
      </c>
    </row>
    <row r="38" spans="1:3" x14ac:dyDescent="0.3">
      <c r="A38" s="18">
        <v>14</v>
      </c>
      <c r="B38" s="30">
        <v>-6.5312721232277715E-2</v>
      </c>
      <c r="C38" s="30">
        <v>-4.2149158397351907E-2</v>
      </c>
    </row>
    <row r="39" spans="1:3" x14ac:dyDescent="0.3">
      <c r="A39" s="18">
        <v>15</v>
      </c>
      <c r="B39" s="30">
        <v>-7.9175249358099109E-3</v>
      </c>
      <c r="C39" s="30">
        <v>-7.0653354693819712E-2</v>
      </c>
    </row>
    <row r="40" spans="1:3" x14ac:dyDescent="0.3">
      <c r="A40" s="18">
        <v>16</v>
      </c>
      <c r="B40" s="30">
        <v>6.7050521584761616E-2</v>
      </c>
      <c r="C40" s="30">
        <v>-0.19599740121439124</v>
      </c>
    </row>
    <row r="41" spans="1:3" x14ac:dyDescent="0.3">
      <c r="A41" s="18">
        <v>17</v>
      </c>
      <c r="B41" s="30">
        <v>-3.6827697885141841E-2</v>
      </c>
      <c r="C41" s="30">
        <v>-1.729118174448778E-2</v>
      </c>
    </row>
    <row r="42" spans="1:3" x14ac:dyDescent="0.3">
      <c r="A42" s="18">
        <v>18</v>
      </c>
      <c r="B42" s="30">
        <v>-2.5490375159913627E-2</v>
      </c>
      <c r="C42" s="30">
        <v>-6.6884504469716E-2</v>
      </c>
    </row>
    <row r="43" spans="1:3" x14ac:dyDescent="0.3">
      <c r="A43" s="18">
        <v>19</v>
      </c>
      <c r="B43" s="30">
        <v>-2.5632091693978974E-2</v>
      </c>
      <c r="C43" s="30">
        <v>8.0683212064349349E-2</v>
      </c>
    </row>
    <row r="44" spans="1:3" x14ac:dyDescent="0.3">
      <c r="A44" s="18">
        <v>20</v>
      </c>
      <c r="B44" s="30">
        <v>0.17333792213377608</v>
      </c>
      <c r="C44" s="30">
        <v>0.15497319823659428</v>
      </c>
    </row>
    <row r="45" spans="1:3" x14ac:dyDescent="0.3">
      <c r="A45" s="18">
        <v>21</v>
      </c>
      <c r="B45" s="30">
        <v>3.0204222727769941E-2</v>
      </c>
      <c r="C45" s="30">
        <v>-1.9849102357399569E-2</v>
      </c>
    </row>
    <row r="46" spans="1:3" x14ac:dyDescent="0.3">
      <c r="A46" s="18">
        <v>22</v>
      </c>
      <c r="B46" s="30">
        <v>0.17319620559971072</v>
      </c>
      <c r="C46" s="30">
        <v>0.20898391477065964</v>
      </c>
    </row>
    <row r="47" spans="1:3" x14ac:dyDescent="0.3">
      <c r="A47" s="18">
        <v>23</v>
      </c>
      <c r="B47" s="30">
        <v>7.9805009650643341E-2</v>
      </c>
      <c r="C47" s="30">
        <v>0.17286711071972699</v>
      </c>
    </row>
    <row r="48" spans="1:3" x14ac:dyDescent="0.3">
      <c r="A48" s="18">
        <v>24</v>
      </c>
      <c r="B48" s="30">
        <v>2.1984663751979491E-2</v>
      </c>
      <c r="C48" s="30">
        <v>-8.8215543381609113E-2</v>
      </c>
    </row>
    <row r="49" spans="1:3" x14ac:dyDescent="0.3">
      <c r="A49" s="18">
        <v>25</v>
      </c>
      <c r="B49" s="30">
        <v>6.5491639710042737E-2</v>
      </c>
      <c r="C49" s="30">
        <v>0.29922348066032761</v>
      </c>
    </row>
    <row r="50" spans="1:3" x14ac:dyDescent="0.3">
      <c r="A50" s="18">
        <v>26</v>
      </c>
      <c r="B50" s="30">
        <v>5.0186254030984645E-2</v>
      </c>
      <c r="C50" s="30">
        <v>6.2535866339385737E-2</v>
      </c>
    </row>
    <row r="51" spans="1:3" x14ac:dyDescent="0.3">
      <c r="A51" s="18">
        <v>27</v>
      </c>
      <c r="B51" s="30">
        <v>5.3587450848553105E-2</v>
      </c>
      <c r="C51" s="30">
        <v>-0.13104633047818273</v>
      </c>
    </row>
    <row r="52" spans="1:3" x14ac:dyDescent="0.3">
      <c r="A52" s="18">
        <v>28</v>
      </c>
      <c r="B52" s="30">
        <v>0.10928204873623669</v>
      </c>
      <c r="C52" s="30">
        <v>8.2498071634133682E-2</v>
      </c>
    </row>
    <row r="53" spans="1:3" x14ac:dyDescent="0.3">
      <c r="A53" s="18">
        <v>29</v>
      </c>
      <c r="B53" s="30">
        <v>2.1842947217914133E-2</v>
      </c>
      <c r="C53" s="30">
        <v>0.11823517315245624</v>
      </c>
    </row>
    <row r="54" spans="1:3" x14ac:dyDescent="0.3">
      <c r="A54" s="18">
        <v>30</v>
      </c>
      <c r="B54" s="30">
        <v>5.7697230336448337E-2</v>
      </c>
      <c r="C54" s="30">
        <v>-0.21486310996607796</v>
      </c>
    </row>
    <row r="55" spans="1:3" x14ac:dyDescent="0.3">
      <c r="A55" s="18">
        <v>31</v>
      </c>
      <c r="B55" s="30">
        <v>-4.2496359247755938E-2</v>
      </c>
      <c r="C55" s="30">
        <v>-0.24743452038187372</v>
      </c>
    </row>
    <row r="56" spans="1:3" x14ac:dyDescent="0.3">
      <c r="A56" s="18">
        <v>32</v>
      </c>
      <c r="B56" s="30">
        <v>8.3798764817056386E-3</v>
      </c>
      <c r="C56" s="30">
        <v>5.6234243888664728E-2</v>
      </c>
    </row>
    <row r="57" spans="1:3" x14ac:dyDescent="0.3">
      <c r="A57" s="18">
        <v>33</v>
      </c>
      <c r="B57" s="30">
        <v>2.8503624318985708E-2</v>
      </c>
      <c r="C57" s="30">
        <v>-0.41118450394861539</v>
      </c>
    </row>
    <row r="58" spans="1:3" x14ac:dyDescent="0.3">
      <c r="A58" s="18">
        <v>34</v>
      </c>
      <c r="B58" s="30">
        <v>-3.328478453350802E-2</v>
      </c>
      <c r="C58" s="30">
        <v>8.1769049038783945E-3</v>
      </c>
    </row>
    <row r="59" spans="1:3" x14ac:dyDescent="0.3">
      <c r="A59" s="18">
        <v>35</v>
      </c>
      <c r="B59" s="30">
        <v>4.5226175338697314E-2</v>
      </c>
      <c r="C59" s="30">
        <v>-0.14816005496832693</v>
      </c>
    </row>
    <row r="60" spans="1:3" x14ac:dyDescent="0.3">
      <c r="A60" s="18">
        <v>36</v>
      </c>
      <c r="B60" s="30">
        <v>-1.0184989480855548E-2</v>
      </c>
      <c r="C60" s="30">
        <v>0.20301810985122593</v>
      </c>
    </row>
    <row r="61" spans="1:3" x14ac:dyDescent="0.3">
      <c r="A61" s="18">
        <v>37</v>
      </c>
      <c r="B61" s="30">
        <v>-1.1743871355574427E-2</v>
      </c>
      <c r="C61" s="30">
        <v>2.3642991725944799E-2</v>
      </c>
    </row>
    <row r="62" spans="1:3" x14ac:dyDescent="0.3">
      <c r="A62" s="18">
        <v>38</v>
      </c>
      <c r="B62" s="30">
        <v>-5.3550248904853437E-2</v>
      </c>
      <c r="C62" s="30">
        <v>0.11067036927522381</v>
      </c>
    </row>
    <row r="63" spans="1:3" x14ac:dyDescent="0.3">
      <c r="A63" s="18">
        <v>39</v>
      </c>
      <c r="B63" s="30">
        <v>2.3968695228894422E-2</v>
      </c>
      <c r="C63" s="30">
        <v>-8.4597574858524038E-2</v>
      </c>
    </row>
    <row r="64" spans="1:3" x14ac:dyDescent="0.3">
      <c r="A64" s="18">
        <v>40</v>
      </c>
      <c r="B64" s="30">
        <v>8.8050260839016986E-3</v>
      </c>
      <c r="C64" s="30">
        <v>0.25538609428646863</v>
      </c>
    </row>
    <row r="65" spans="1:3" x14ac:dyDescent="0.3">
      <c r="A65" s="18">
        <v>41</v>
      </c>
      <c r="B65" s="30">
        <v>-6.8855634583911501E-2</v>
      </c>
      <c r="C65" s="30">
        <v>1.6247549542818818E-3</v>
      </c>
    </row>
    <row r="66" spans="1:3" x14ac:dyDescent="0.3">
      <c r="A66" s="18">
        <v>42</v>
      </c>
      <c r="B66" s="30">
        <v>4.1116395850802089E-2</v>
      </c>
      <c r="C66" s="30">
        <v>-0.14247427548043171</v>
      </c>
    </row>
    <row r="67" spans="1:3" x14ac:dyDescent="0.3">
      <c r="A67" s="18">
        <v>43</v>
      </c>
      <c r="B67" s="30">
        <v>-2.2514327944541231E-2</v>
      </c>
      <c r="C67" s="30">
        <v>-1.8707551685088392E-2</v>
      </c>
    </row>
    <row r="68" spans="1:3" x14ac:dyDescent="0.3">
      <c r="A68" s="18">
        <v>44</v>
      </c>
      <c r="B68" s="30">
        <v>0.16214231594261319</v>
      </c>
      <c r="C68" s="30">
        <v>-0.12641219557224281</v>
      </c>
    </row>
    <row r="69" spans="1:3" x14ac:dyDescent="0.3">
      <c r="A69" s="18">
        <v>45</v>
      </c>
      <c r="B69" s="30">
        <v>5.5455458003985875E-3</v>
      </c>
      <c r="C69" s="30">
        <v>-6.0918425430028213E-2</v>
      </c>
    </row>
    <row r="70" spans="1:3" x14ac:dyDescent="0.3">
      <c r="A70" s="18">
        <v>46</v>
      </c>
      <c r="B70" s="30">
        <v>6.9627111410521143E-3</v>
      </c>
      <c r="C70" s="30">
        <v>-2.0398590770681742E-2</v>
      </c>
    </row>
    <row r="71" spans="1:3" x14ac:dyDescent="0.3">
      <c r="A71" s="18">
        <v>47</v>
      </c>
      <c r="B71" s="30">
        <v>-9.9015564127248462E-3</v>
      </c>
      <c r="C71" s="30">
        <v>1.390676783095221E-3</v>
      </c>
    </row>
    <row r="72" spans="1:3" x14ac:dyDescent="0.3">
      <c r="A72" s="18">
        <v>48</v>
      </c>
      <c r="B72" s="30">
        <v>3.9840947044213912E-2</v>
      </c>
      <c r="C72" s="30">
        <v>0.13344117332615646</v>
      </c>
    </row>
    <row r="73" spans="1:3" x14ac:dyDescent="0.3">
      <c r="A73" s="18">
        <v>49</v>
      </c>
      <c r="B73" s="30">
        <v>0.12713833202847113</v>
      </c>
      <c r="C73" s="30">
        <v>-0.13491621165810075</v>
      </c>
    </row>
    <row r="74" spans="1:3" x14ac:dyDescent="0.3">
      <c r="A74" s="18">
        <v>50</v>
      </c>
      <c r="B74" s="30">
        <v>3.0204222727769934E-2</v>
      </c>
      <c r="C74" s="30">
        <v>-0.18024210235739954</v>
      </c>
    </row>
    <row r="75" spans="1:3" x14ac:dyDescent="0.3">
      <c r="A75" s="18">
        <v>51</v>
      </c>
      <c r="B75" s="30">
        <v>1.577482846568716E-3</v>
      </c>
      <c r="C75" s="30">
        <v>-0.11112436247619834</v>
      </c>
    </row>
    <row r="76" spans="1:3" x14ac:dyDescent="0.3">
      <c r="A76" s="18">
        <v>52</v>
      </c>
      <c r="B76" s="30">
        <v>1.2940497784380105E-3</v>
      </c>
      <c r="C76" s="30">
        <v>-4.4327929408067637E-2</v>
      </c>
    </row>
    <row r="77" spans="1:3" x14ac:dyDescent="0.3">
      <c r="A77" s="18">
        <v>53</v>
      </c>
      <c r="B77" s="30">
        <v>8.6182253683584217E-2</v>
      </c>
      <c r="C77" s="30">
        <v>-0.27202113331321381</v>
      </c>
    </row>
    <row r="78" spans="1:3" x14ac:dyDescent="0.3">
      <c r="A78" s="18">
        <v>54</v>
      </c>
      <c r="B78" s="30">
        <v>3.0487655795900643E-2</v>
      </c>
      <c r="C78" s="30">
        <v>1.9974645744697365E-3</v>
      </c>
    </row>
    <row r="79" spans="1:3" x14ac:dyDescent="0.3">
      <c r="A79" s="18">
        <v>55</v>
      </c>
      <c r="B79" s="30">
        <v>2.994648187222242E-3</v>
      </c>
      <c r="C79" s="30">
        <v>-0.12453652781685186</v>
      </c>
    </row>
    <row r="80" spans="1:3" x14ac:dyDescent="0.3">
      <c r="A80" s="18">
        <v>56</v>
      </c>
      <c r="B80" s="30">
        <v>-1.9654305050650998E-3</v>
      </c>
      <c r="C80" s="30">
        <v>-5.6638449124564526E-2</v>
      </c>
    </row>
    <row r="81" spans="1:3" x14ac:dyDescent="0.3">
      <c r="A81" s="18">
        <v>57</v>
      </c>
      <c r="B81" s="30">
        <v>-5.1141067825742438E-2</v>
      </c>
      <c r="C81" s="30">
        <v>9.7655188196112824E-2</v>
      </c>
    </row>
    <row r="82" spans="1:3" x14ac:dyDescent="0.3">
      <c r="A82" s="18">
        <v>58</v>
      </c>
      <c r="B82" s="30">
        <v>7.0876868004526139E-2</v>
      </c>
      <c r="C82" s="30">
        <v>0.10817725236584425</v>
      </c>
    </row>
    <row r="83" spans="1:3" x14ac:dyDescent="0.3">
      <c r="A83" s="18">
        <v>59</v>
      </c>
      <c r="B83" s="30">
        <v>0.10517226924834147</v>
      </c>
      <c r="C83" s="30">
        <v>-2.8121148877971097E-2</v>
      </c>
    </row>
    <row r="84" spans="1:3" x14ac:dyDescent="0.3">
      <c r="A84" s="18">
        <v>60</v>
      </c>
      <c r="B84" s="30">
        <v>6.889283652761119E-2</v>
      </c>
      <c r="C84" s="30">
        <v>2.0789283842759188E-2</v>
      </c>
    </row>
    <row r="85" spans="1:3" x14ac:dyDescent="0.3">
      <c r="A85" s="18">
        <v>61</v>
      </c>
      <c r="B85" s="30">
        <v>2.1842947217914133E-2</v>
      </c>
      <c r="C85" s="30">
        <v>2.5807173152456245E-2</v>
      </c>
    </row>
    <row r="86" spans="1:3" x14ac:dyDescent="0.3">
      <c r="A86" s="18">
        <v>62</v>
      </c>
      <c r="B86" s="30">
        <v>0.11325011169006656</v>
      </c>
      <c r="C86" s="30">
        <v>-3.5654991319696183E-2</v>
      </c>
    </row>
    <row r="87" spans="1:3" x14ac:dyDescent="0.3">
      <c r="A87" s="18">
        <v>63</v>
      </c>
      <c r="B87" s="30">
        <v>8.235590726381968E-2</v>
      </c>
      <c r="C87" s="30">
        <v>4.4158213106550701E-2</v>
      </c>
    </row>
    <row r="88" spans="1:3" x14ac:dyDescent="0.3">
      <c r="A88" s="18">
        <v>64</v>
      </c>
      <c r="B88" s="30">
        <v>-6.5003595951563832E-3</v>
      </c>
      <c r="C88" s="30">
        <v>7.3810479965526754E-2</v>
      </c>
    </row>
    <row r="89" spans="1:3" x14ac:dyDescent="0.3">
      <c r="A89" s="18">
        <v>65</v>
      </c>
      <c r="B89" s="30">
        <v>7.7112395503401654E-2</v>
      </c>
      <c r="C89" s="30">
        <v>0.14254172486696873</v>
      </c>
    </row>
    <row r="90" spans="1:3" x14ac:dyDescent="0.3">
      <c r="A90" s="18">
        <v>66</v>
      </c>
      <c r="B90" s="30">
        <v>2.6661309376136123E-2</v>
      </c>
      <c r="C90" s="30">
        <v>-6.0552189005765748E-2</v>
      </c>
    </row>
    <row r="91" spans="1:3" x14ac:dyDescent="0.3">
      <c r="A91" s="18">
        <v>67</v>
      </c>
      <c r="B91" s="30">
        <v>-7.934265810474761E-2</v>
      </c>
      <c r="C91" s="30">
        <v>-5.306322152488202E-2</v>
      </c>
    </row>
    <row r="92" spans="1:3" x14ac:dyDescent="0.3">
      <c r="A92" s="18">
        <v>68</v>
      </c>
      <c r="B92" s="30">
        <v>9.7236143340681716E-2</v>
      </c>
      <c r="C92" s="30">
        <v>8.3277977029688657E-2</v>
      </c>
    </row>
    <row r="93" spans="1:3" x14ac:dyDescent="0.3">
      <c r="A93" s="18">
        <v>69</v>
      </c>
      <c r="B93" s="30">
        <v>-0.11080372866725588</v>
      </c>
      <c r="C93" s="30">
        <v>1.2722849037626258E-2</v>
      </c>
    </row>
    <row r="94" spans="1:3" x14ac:dyDescent="0.3">
      <c r="A94" s="18">
        <v>70</v>
      </c>
      <c r="B94" s="30">
        <v>7.7254112037467002E-2</v>
      </c>
      <c r="C94" s="30">
        <v>-4.7157991667096624E-2</v>
      </c>
    </row>
    <row r="95" spans="1:3" x14ac:dyDescent="0.3">
      <c r="A95" s="18">
        <v>71</v>
      </c>
      <c r="B95" s="30">
        <v>2.6803025910201478E-2</v>
      </c>
      <c r="C95" s="30">
        <v>0.12494609446016891</v>
      </c>
    </row>
    <row r="96" spans="1:3" x14ac:dyDescent="0.3">
      <c r="A96" s="18">
        <v>72</v>
      </c>
      <c r="B96" s="30">
        <v>-3.4701949874161551E-2</v>
      </c>
      <c r="C96" s="30">
        <v>4.3716070244531925E-2</v>
      </c>
    </row>
    <row r="97" spans="1:3" x14ac:dyDescent="0.3">
      <c r="A97" s="18">
        <v>73</v>
      </c>
      <c r="B97" s="30">
        <v>0.18736785900624597</v>
      </c>
      <c r="C97" s="30">
        <v>0.17951626136412435</v>
      </c>
    </row>
    <row r="98" spans="1:3" x14ac:dyDescent="0.3">
      <c r="A98" s="18">
        <v>74</v>
      </c>
      <c r="B98" s="30">
        <v>7.3002616015506408E-2</v>
      </c>
      <c r="C98" s="30">
        <v>0.18477250435486398</v>
      </c>
    </row>
    <row r="99" spans="1:3" x14ac:dyDescent="0.3">
      <c r="A99" s="18">
        <v>75</v>
      </c>
      <c r="B99" s="30">
        <v>3.4597435283795858E-2</v>
      </c>
      <c r="C99" s="30">
        <v>-0.11665431491342548</v>
      </c>
    </row>
    <row r="100" spans="1:3" x14ac:dyDescent="0.3">
      <c r="A100" s="18">
        <v>76</v>
      </c>
      <c r="B100" s="30">
        <v>-1.897141459290741E-2</v>
      </c>
      <c r="C100" s="30">
        <v>0.24416753496327778</v>
      </c>
    </row>
    <row r="101" spans="1:3" x14ac:dyDescent="0.3">
      <c r="A101" s="18">
        <v>77</v>
      </c>
      <c r="B101" s="30">
        <v>1.1639356765208749E-2</v>
      </c>
      <c r="C101" s="30">
        <v>-1.6765236394838373E-2</v>
      </c>
    </row>
    <row r="102" spans="1:3" x14ac:dyDescent="0.3">
      <c r="A102" s="18">
        <v>78</v>
      </c>
      <c r="B102" s="30">
        <v>6.7333954652892311E-2</v>
      </c>
      <c r="C102" s="30">
        <v>-4.5503834282521936E-2</v>
      </c>
    </row>
    <row r="103" spans="1:3" x14ac:dyDescent="0.3">
      <c r="A103" s="18">
        <v>79</v>
      </c>
      <c r="B103" s="30">
        <v>6.5775072778173446E-2</v>
      </c>
      <c r="C103" s="30">
        <v>-5.0741952407803076E-2</v>
      </c>
    </row>
    <row r="104" spans="1:3" x14ac:dyDescent="0.3">
      <c r="A104" s="18">
        <v>80</v>
      </c>
      <c r="B104" s="30">
        <v>6.1240143688082165E-2</v>
      </c>
      <c r="C104" s="30">
        <v>0.24581897668228819</v>
      </c>
    </row>
    <row r="105" spans="1:3" x14ac:dyDescent="0.3">
      <c r="A105" s="18">
        <v>81</v>
      </c>
      <c r="B105" s="30">
        <v>-2.5632091693978974E-2</v>
      </c>
      <c r="C105" s="30">
        <v>6.8442212064349348E-2</v>
      </c>
    </row>
    <row r="106" spans="1:3" x14ac:dyDescent="0.3">
      <c r="A106" s="18">
        <v>82</v>
      </c>
      <c r="B106" s="30">
        <v>-0.31615098652795176</v>
      </c>
      <c r="C106" s="30">
        <v>-3.7068931016778772E-3</v>
      </c>
    </row>
    <row r="107" spans="1:3" x14ac:dyDescent="0.3">
      <c r="A107" s="18">
        <v>83</v>
      </c>
      <c r="B107" s="30">
        <v>-0.10045842168048515</v>
      </c>
      <c r="C107" s="30">
        <v>-4.658745794914447E-2</v>
      </c>
    </row>
    <row r="108" spans="1:3" x14ac:dyDescent="0.3">
      <c r="A108" s="18">
        <v>84</v>
      </c>
      <c r="B108" s="30">
        <v>0.10673115112306032</v>
      </c>
      <c r="C108" s="30">
        <v>0.16250996924731004</v>
      </c>
    </row>
    <row r="109" spans="1:3" x14ac:dyDescent="0.3">
      <c r="A109" s="18">
        <v>85</v>
      </c>
      <c r="B109" s="30">
        <v>6.8467686925415133E-2</v>
      </c>
      <c r="C109" s="30">
        <v>-8.3858566555044756E-2</v>
      </c>
    </row>
    <row r="110" spans="1:3" x14ac:dyDescent="0.3">
      <c r="A110" s="18">
        <v>86</v>
      </c>
      <c r="B110" s="30">
        <v>7.8529560844055171E-2</v>
      </c>
      <c r="C110" s="30">
        <v>-4.3943440473684793E-2</v>
      </c>
    </row>
    <row r="111" spans="1:3" x14ac:dyDescent="0.3">
      <c r="A111" s="18">
        <v>87</v>
      </c>
      <c r="B111" s="30">
        <v>-2.123887913795305E-2</v>
      </c>
      <c r="C111" s="30">
        <v>-5.2014000491676565E-2</v>
      </c>
    </row>
    <row r="112" spans="1:3" x14ac:dyDescent="0.3">
      <c r="A112" s="18">
        <v>88</v>
      </c>
      <c r="B112" s="30">
        <v>1.9150333070672439E-2</v>
      </c>
      <c r="C112" s="30">
        <v>2.3637872996979357E-3</v>
      </c>
    </row>
    <row r="113" spans="1:3" x14ac:dyDescent="0.3">
      <c r="A113" s="18">
        <v>89</v>
      </c>
      <c r="B113" s="30">
        <v>7.8130103454442292E-3</v>
      </c>
      <c r="C113" s="30">
        <v>2.8471100249261461E-3</v>
      </c>
    </row>
    <row r="114" spans="1:3" x14ac:dyDescent="0.3">
      <c r="A114" s="18">
        <v>90</v>
      </c>
      <c r="B114" s="30">
        <v>7.9521576582512646E-2</v>
      </c>
      <c r="C114" s="30">
        <v>3.1450543787857735E-2</v>
      </c>
    </row>
    <row r="115" spans="1:3" x14ac:dyDescent="0.3">
      <c r="A115" s="18">
        <v>91</v>
      </c>
      <c r="B115" s="30">
        <v>-5.7917769248296211E-3</v>
      </c>
      <c r="C115" s="30">
        <v>-3.8235102704800003E-2</v>
      </c>
    </row>
    <row r="116" spans="1:3" x14ac:dyDescent="0.3">
      <c r="A116" s="18">
        <v>92</v>
      </c>
      <c r="B116" s="30">
        <v>-3.3851650669769431E-2</v>
      </c>
      <c r="C116" s="30">
        <v>-6.9240228959860192E-2</v>
      </c>
    </row>
    <row r="117" spans="1:3" x14ac:dyDescent="0.3">
      <c r="A117" s="18">
        <v>93</v>
      </c>
      <c r="B117" s="30">
        <v>6.024812794962469E-2</v>
      </c>
      <c r="C117" s="30">
        <v>2.0904992420745692E-2</v>
      </c>
    </row>
    <row r="118" spans="1:3" x14ac:dyDescent="0.3">
      <c r="A118" s="18">
        <v>94</v>
      </c>
      <c r="B118" s="30">
        <v>2.9637356591508523E-2</v>
      </c>
      <c r="C118" s="30">
        <v>-0.14005923622113814</v>
      </c>
    </row>
    <row r="119" spans="1:3" x14ac:dyDescent="0.3">
      <c r="A119" s="18">
        <v>95</v>
      </c>
      <c r="B119" s="30">
        <v>-1.9679997263234179E-2</v>
      </c>
      <c r="C119" s="30">
        <v>-7.1068823663954471E-3</v>
      </c>
    </row>
    <row r="120" spans="1:3" x14ac:dyDescent="0.3">
      <c r="A120" s="18">
        <v>96</v>
      </c>
      <c r="B120" s="30">
        <v>3.4739151817861219E-2</v>
      </c>
      <c r="C120" s="30">
        <v>3.1541968552509153E-2</v>
      </c>
    </row>
    <row r="121" spans="1:3" x14ac:dyDescent="0.3">
      <c r="A121" s="18">
        <v>97</v>
      </c>
      <c r="B121" s="30">
        <v>9.8936741749465928E-2</v>
      </c>
      <c r="C121" s="30">
        <v>-0.16453462137909555</v>
      </c>
    </row>
    <row r="122" spans="1:3" x14ac:dyDescent="0.3">
      <c r="A122" s="18">
        <v>98</v>
      </c>
      <c r="B122" s="30">
        <v>-1.8546264990711353E-2</v>
      </c>
      <c r="C122" s="30">
        <v>-2.2025614638918271E-2</v>
      </c>
    </row>
    <row r="123" spans="1:3" x14ac:dyDescent="0.3">
      <c r="A123" s="18">
        <v>99</v>
      </c>
      <c r="B123" s="30">
        <v>3.6439750226645459E-2</v>
      </c>
      <c r="C123" s="30">
        <v>-5.7166629856275089E-2</v>
      </c>
    </row>
    <row r="124" spans="1:3" x14ac:dyDescent="0.3">
      <c r="A124" s="18">
        <v>100</v>
      </c>
      <c r="B124" s="30">
        <v>7.5553513628682775E-2</v>
      </c>
      <c r="C124" s="30">
        <v>1.5697606741687603E-2</v>
      </c>
    </row>
    <row r="125" spans="1:3" x14ac:dyDescent="0.3">
      <c r="A125" s="18">
        <v>101</v>
      </c>
      <c r="B125" s="30">
        <v>6.3365891699062454E-2</v>
      </c>
      <c r="C125" s="30">
        <v>0.16007122867130794</v>
      </c>
    </row>
    <row r="126" spans="1:3" x14ac:dyDescent="0.3">
      <c r="A126" s="18">
        <v>102</v>
      </c>
      <c r="B126" s="30">
        <v>-4.3746115841760934E-3</v>
      </c>
      <c r="C126" s="30">
        <v>-0.13523726804545352</v>
      </c>
    </row>
    <row r="127" spans="1:3" x14ac:dyDescent="0.3">
      <c r="A127" s="18">
        <v>103</v>
      </c>
      <c r="B127" s="30">
        <v>0.11665130850763501</v>
      </c>
      <c r="C127" s="30">
        <v>-0.15650118813726463</v>
      </c>
    </row>
    <row r="128" spans="1:3" x14ac:dyDescent="0.3">
      <c r="A128" s="18">
        <v>104</v>
      </c>
      <c r="B128" s="30">
        <v>3.5589451022253332E-2</v>
      </c>
      <c r="C128" s="30">
        <v>8.2937669348117041E-2</v>
      </c>
    </row>
    <row r="129" spans="1:3" x14ac:dyDescent="0.3">
      <c r="A129" s="18">
        <v>105</v>
      </c>
      <c r="B129" s="30">
        <v>3.1363647212875947E-3</v>
      </c>
      <c r="C129" s="30">
        <v>-6.6222443509172208E-3</v>
      </c>
    </row>
    <row r="130" spans="1:3" x14ac:dyDescent="0.3">
      <c r="A130" s="18">
        <v>106</v>
      </c>
      <c r="B130" s="30">
        <v>-3.7677997089533941E-2</v>
      </c>
      <c r="C130" s="30">
        <v>7.9136117459904315E-2</v>
      </c>
    </row>
    <row r="131" spans="1:3" x14ac:dyDescent="0.3">
      <c r="A131" s="18">
        <v>107</v>
      </c>
      <c r="B131" s="30">
        <v>2.9070490455247115E-2</v>
      </c>
      <c r="C131" s="30">
        <v>-7.8578370084876739E-2</v>
      </c>
    </row>
    <row r="132" spans="1:3" x14ac:dyDescent="0.3">
      <c r="A132" s="18">
        <v>108</v>
      </c>
      <c r="B132" s="30">
        <v>2.9779073125573881E-2</v>
      </c>
      <c r="C132" s="30">
        <v>-0.23665495275520348</v>
      </c>
    </row>
    <row r="133" spans="1:3" x14ac:dyDescent="0.3">
      <c r="A133" s="18">
        <v>109</v>
      </c>
      <c r="B133" s="30">
        <v>-9.8474390203570197E-2</v>
      </c>
      <c r="C133" s="30">
        <v>5.9527510573940574E-2</v>
      </c>
    </row>
    <row r="134" spans="1:3" x14ac:dyDescent="0.3">
      <c r="A134" s="18">
        <v>110</v>
      </c>
      <c r="B134" s="30">
        <v>2.8503624318985708E-2</v>
      </c>
      <c r="C134" s="30">
        <v>-2.8754503948615333E-2</v>
      </c>
    </row>
    <row r="135" spans="1:3" x14ac:dyDescent="0.3">
      <c r="A135" s="18">
        <v>111</v>
      </c>
      <c r="B135" s="30">
        <v>3.9699230510148564E-2</v>
      </c>
      <c r="C135" s="30">
        <v>0.1406388898602218</v>
      </c>
    </row>
    <row r="136" spans="1:3" x14ac:dyDescent="0.3">
      <c r="A136" s="18">
        <v>112</v>
      </c>
      <c r="B136" s="30">
        <v>-3.3143067999442666E-2</v>
      </c>
      <c r="C136" s="30">
        <v>7.9181883698130374E-3</v>
      </c>
    </row>
    <row r="137" spans="1:3" x14ac:dyDescent="0.3">
      <c r="A137" s="18">
        <v>113</v>
      </c>
      <c r="B137" s="30">
        <v>0.13365729259547732</v>
      </c>
      <c r="C137" s="30">
        <v>-8.6730172225106941E-2</v>
      </c>
    </row>
    <row r="138" spans="1:3" x14ac:dyDescent="0.3">
      <c r="A138" s="18">
        <v>114</v>
      </c>
      <c r="B138" s="30">
        <v>-1.823713970999747E-3</v>
      </c>
      <c r="C138" s="30">
        <v>8.3185834341370127E-2</v>
      </c>
    </row>
    <row r="139" spans="1:3" x14ac:dyDescent="0.3">
      <c r="A139" s="18">
        <v>115</v>
      </c>
      <c r="B139" s="30">
        <v>-1.2594170559966537E-2</v>
      </c>
      <c r="C139" s="30">
        <v>-5.2344709069663098E-2</v>
      </c>
    </row>
    <row r="140" spans="1:3" x14ac:dyDescent="0.3">
      <c r="A140" s="18">
        <v>116</v>
      </c>
      <c r="B140" s="30">
        <v>-0.12979374423201312</v>
      </c>
      <c r="C140" s="30">
        <v>9.8788646023834914E-3</v>
      </c>
    </row>
    <row r="141" spans="1:3" x14ac:dyDescent="0.3">
      <c r="A141" s="18">
        <v>117</v>
      </c>
      <c r="B141" s="30">
        <v>-7.3532280208068165E-2</v>
      </c>
      <c r="C141" s="30">
        <v>-0.14616959942156144</v>
      </c>
    </row>
    <row r="142" spans="1:3" x14ac:dyDescent="0.3">
      <c r="A142" s="18">
        <v>118</v>
      </c>
      <c r="B142" s="30">
        <v>-1.2877603628097246E-2</v>
      </c>
      <c r="C142" s="30">
        <v>6.9736723998467628E-2</v>
      </c>
    </row>
    <row r="143" spans="1:3" x14ac:dyDescent="0.3">
      <c r="A143" s="18">
        <v>119</v>
      </c>
      <c r="B143" s="30">
        <v>0.10276308816923047</v>
      </c>
      <c r="C143" s="30">
        <v>9.2775032201139918E-2</v>
      </c>
    </row>
    <row r="144" spans="1:3" x14ac:dyDescent="0.3">
      <c r="A144" s="18">
        <v>120</v>
      </c>
      <c r="B144" s="30">
        <v>4.8060506020004362E-2</v>
      </c>
      <c r="C144" s="30">
        <v>0.11852161435036601</v>
      </c>
    </row>
    <row r="145" spans="1:3" x14ac:dyDescent="0.3">
      <c r="A145" s="18">
        <v>121</v>
      </c>
      <c r="B145" s="30">
        <v>7.8529560844055185E-2</v>
      </c>
      <c r="C145" s="30">
        <v>0.20868255952631518</v>
      </c>
    </row>
    <row r="146" spans="1:3" x14ac:dyDescent="0.3">
      <c r="A146" s="18">
        <v>122</v>
      </c>
      <c r="B146" s="30">
        <v>0.11339182822413191</v>
      </c>
      <c r="C146" s="30">
        <v>-8.3183707853761529E-2</v>
      </c>
    </row>
    <row r="147" spans="1:3" x14ac:dyDescent="0.3">
      <c r="A147" s="18">
        <v>123</v>
      </c>
      <c r="B147" s="30">
        <v>4.8485655622200419E-2</v>
      </c>
      <c r="C147" s="30">
        <v>0.13580146474816995</v>
      </c>
    </row>
    <row r="148" spans="1:3" x14ac:dyDescent="0.3">
      <c r="A148" s="18">
        <v>124</v>
      </c>
      <c r="B148" s="30">
        <v>8.2381599476402875E-3</v>
      </c>
      <c r="C148" s="30">
        <v>-0.20290003957726993</v>
      </c>
    </row>
    <row r="149" spans="1:3" x14ac:dyDescent="0.3">
      <c r="A149" s="18">
        <v>125</v>
      </c>
      <c r="B149" s="30">
        <v>6.3082458630931731E-2</v>
      </c>
      <c r="C149" s="30">
        <v>-0.20984133826056137</v>
      </c>
    </row>
    <row r="150" spans="1:3" x14ac:dyDescent="0.3">
      <c r="A150" s="18">
        <v>126</v>
      </c>
      <c r="B150" s="30">
        <v>-5.9360626801532895E-2</v>
      </c>
      <c r="C150" s="30">
        <v>-6.1146252828096728E-2</v>
      </c>
    </row>
    <row r="151" spans="1:3" x14ac:dyDescent="0.3">
      <c r="A151" s="18">
        <v>127</v>
      </c>
      <c r="B151" s="30">
        <v>7.1727167208918252E-2</v>
      </c>
      <c r="C151" s="30">
        <v>3.9244953161452129E-2</v>
      </c>
    </row>
    <row r="152" spans="1:3" x14ac:dyDescent="0.3">
      <c r="A152" s="18">
        <v>128</v>
      </c>
      <c r="B152" s="30">
        <v>4.4092443066174485E-2</v>
      </c>
      <c r="C152" s="30">
        <v>0.10096267730419589</v>
      </c>
    </row>
    <row r="153" spans="1:3" x14ac:dyDescent="0.3">
      <c r="A153" s="18">
        <v>129</v>
      </c>
      <c r="B153" s="30">
        <v>-1.131872175337837E-2</v>
      </c>
      <c r="C153" s="30">
        <v>-5.8205157876251253E-2</v>
      </c>
    </row>
    <row r="154" spans="1:3" x14ac:dyDescent="0.3">
      <c r="A154" s="18">
        <v>130</v>
      </c>
      <c r="B154" s="30">
        <v>2.8928773921181764E-2</v>
      </c>
      <c r="C154" s="30">
        <v>7.9893464491886147E-3</v>
      </c>
    </row>
    <row r="155" spans="1:3" x14ac:dyDescent="0.3">
      <c r="A155" s="18">
        <v>131</v>
      </c>
      <c r="B155" s="30">
        <v>-4.9157036348827517E-2</v>
      </c>
      <c r="C155" s="30">
        <v>3.3438156719197892E-2</v>
      </c>
    </row>
    <row r="156" spans="1:3" x14ac:dyDescent="0.3">
      <c r="A156" s="18">
        <v>132</v>
      </c>
      <c r="B156" s="30">
        <v>0.16370119781733211</v>
      </c>
      <c r="C156" s="30">
        <v>-5.635007744696173E-2</v>
      </c>
    </row>
    <row r="157" spans="1:3" x14ac:dyDescent="0.3">
      <c r="A157" s="18">
        <v>133</v>
      </c>
      <c r="B157" s="30">
        <v>1.1523332443726577E-3</v>
      </c>
      <c r="C157" s="30">
        <v>0.14392078712599771</v>
      </c>
    </row>
    <row r="158" spans="1:3" x14ac:dyDescent="0.3">
      <c r="A158" s="18">
        <v>134</v>
      </c>
      <c r="B158" s="30">
        <v>2.4110411762959777E-2</v>
      </c>
      <c r="C158" s="30">
        <v>1.6727708607410602E-2</v>
      </c>
    </row>
    <row r="159" spans="1:3" x14ac:dyDescent="0.3">
      <c r="A159" s="18">
        <v>135</v>
      </c>
      <c r="B159" s="30">
        <v>-2.8182989307155328E-2</v>
      </c>
      <c r="C159" s="30">
        <v>-0.1123398903224743</v>
      </c>
    </row>
    <row r="160" spans="1:3" x14ac:dyDescent="0.3">
      <c r="A160" s="18">
        <v>136</v>
      </c>
      <c r="B160" s="30">
        <v>2.4393844831090486E-2</v>
      </c>
      <c r="C160" s="30">
        <v>4.3092755392798894E-3</v>
      </c>
    </row>
    <row r="161" spans="1:3" x14ac:dyDescent="0.3">
      <c r="A161" s="18">
        <v>137</v>
      </c>
      <c r="B161" s="30">
        <v>1.2914805571796924E-2</v>
      </c>
      <c r="C161" s="30">
        <v>-2.263768520142655E-2</v>
      </c>
    </row>
    <row r="162" spans="1:3" x14ac:dyDescent="0.3">
      <c r="A162" s="18">
        <v>138</v>
      </c>
      <c r="B162" s="30">
        <v>-2.3931493285194748E-2</v>
      </c>
      <c r="C162" s="30">
        <v>-0.17419838634443488</v>
      </c>
    </row>
    <row r="163" spans="1:3" x14ac:dyDescent="0.3">
      <c r="A163" s="18">
        <v>139</v>
      </c>
      <c r="B163" s="30">
        <v>6.2515592494670341E-2</v>
      </c>
      <c r="C163" s="30">
        <v>-9.2043472124299974E-2</v>
      </c>
    </row>
    <row r="164" spans="1:3" x14ac:dyDescent="0.3">
      <c r="A164" s="18">
        <v>140</v>
      </c>
      <c r="B164" s="30">
        <v>-2.5348658625848279E-2</v>
      </c>
      <c r="C164" s="30">
        <v>8.3867789962186537E-3</v>
      </c>
    </row>
    <row r="165" spans="1:3" x14ac:dyDescent="0.3">
      <c r="A165" s="18">
        <v>141</v>
      </c>
      <c r="B165" s="30">
        <v>2.5244144035482592E-2</v>
      </c>
      <c r="C165" s="30">
        <v>-4.775202366511222E-2</v>
      </c>
    </row>
    <row r="166" spans="1:3" x14ac:dyDescent="0.3">
      <c r="A166" s="18">
        <v>142</v>
      </c>
      <c r="B166" s="30">
        <v>2.2409813354175544E-2</v>
      </c>
      <c r="C166" s="30">
        <v>0.13753930701619482</v>
      </c>
    </row>
    <row r="167" spans="1:3" x14ac:dyDescent="0.3">
      <c r="A167" s="18">
        <v>143</v>
      </c>
      <c r="B167" s="30">
        <v>6.6483655448500212E-2</v>
      </c>
      <c r="C167" s="30">
        <v>2.7554464921870164E-2</v>
      </c>
    </row>
    <row r="168" spans="1:3" x14ac:dyDescent="0.3">
      <c r="A168" s="18">
        <v>144</v>
      </c>
      <c r="B168" s="30">
        <v>3.0345939261835292E-2</v>
      </c>
      <c r="C168" s="30">
        <v>5.2981811085350827E-3</v>
      </c>
    </row>
    <row r="169" spans="1:3" x14ac:dyDescent="0.3">
      <c r="A169" s="18">
        <v>145</v>
      </c>
      <c r="B169" s="30">
        <v>2.1134364547587374E-2</v>
      </c>
      <c r="C169" s="30">
        <v>-2.8804244177217001E-2</v>
      </c>
    </row>
    <row r="170" spans="1:3" x14ac:dyDescent="0.3">
      <c r="A170" s="18">
        <v>146</v>
      </c>
      <c r="B170" s="30">
        <v>9.5136087542284607E-3</v>
      </c>
      <c r="C170" s="30">
        <v>-0.12022648838385809</v>
      </c>
    </row>
    <row r="171" spans="1:3" x14ac:dyDescent="0.3">
      <c r="A171" s="18">
        <v>147</v>
      </c>
      <c r="B171" s="30">
        <v>4.083296278267138E-2</v>
      </c>
      <c r="C171" s="30">
        <v>-7.2620842412301004E-2</v>
      </c>
    </row>
    <row r="172" spans="1:3" x14ac:dyDescent="0.3">
      <c r="A172" s="18">
        <v>148</v>
      </c>
      <c r="B172" s="30">
        <v>-3.5127099476357601E-2</v>
      </c>
      <c r="C172" s="30">
        <v>2.6787219846727973E-2</v>
      </c>
    </row>
    <row r="173" spans="1:3" x14ac:dyDescent="0.3">
      <c r="A173" s="18">
        <v>149</v>
      </c>
      <c r="B173" s="30">
        <v>4.8769088690331128E-2</v>
      </c>
      <c r="C173" s="30">
        <v>5.4965031680039245E-2</v>
      </c>
    </row>
    <row r="174" spans="1:3" x14ac:dyDescent="0.3">
      <c r="A174" s="18">
        <v>150</v>
      </c>
      <c r="B174" s="30">
        <v>1.2631372503666218E-2</v>
      </c>
      <c r="C174" s="30">
        <v>-0.31854525213329582</v>
      </c>
    </row>
    <row r="175" spans="1:3" x14ac:dyDescent="0.3">
      <c r="A175" s="18">
        <v>151</v>
      </c>
      <c r="B175" s="30">
        <v>3.2780812553529467E-3</v>
      </c>
      <c r="C175" s="30">
        <v>-0.30423196088498261</v>
      </c>
    </row>
    <row r="176" spans="1:3" x14ac:dyDescent="0.3">
      <c r="A176" s="18">
        <v>152</v>
      </c>
      <c r="B176" s="30">
        <v>6.0814994085886094E-2</v>
      </c>
      <c r="C176" s="30">
        <v>-0.10502187371551572</v>
      </c>
    </row>
    <row r="177" spans="1:3" x14ac:dyDescent="0.3">
      <c r="A177" s="18">
        <v>153</v>
      </c>
      <c r="B177" s="30">
        <v>6.6792780729214088E-3</v>
      </c>
      <c r="C177" s="30">
        <v>-0.12809015770255103</v>
      </c>
    </row>
    <row r="178" spans="1:3" x14ac:dyDescent="0.3">
      <c r="A178" s="18">
        <v>154</v>
      </c>
      <c r="B178" s="30">
        <v>2.7795041648658942E-2</v>
      </c>
      <c r="C178" s="30">
        <v>0.28422707872171143</v>
      </c>
    </row>
    <row r="179" spans="1:3" x14ac:dyDescent="0.3">
      <c r="A179" s="18">
        <v>155</v>
      </c>
      <c r="B179" s="30">
        <v>-1.854626499071135E-2</v>
      </c>
      <c r="C179" s="30">
        <v>4.3353385361081721E-2</v>
      </c>
    </row>
    <row r="180" spans="1:3" x14ac:dyDescent="0.3">
      <c r="A180" s="18">
        <v>156</v>
      </c>
      <c r="B180" s="30">
        <v>3.1337955000292753E-2</v>
      </c>
      <c r="C180" s="30">
        <v>-0.10625283462992238</v>
      </c>
    </row>
    <row r="181" spans="1:3" x14ac:dyDescent="0.3">
      <c r="A181" s="18">
        <v>157</v>
      </c>
      <c r="B181" s="30">
        <v>4.8910805224396482E-2</v>
      </c>
      <c r="C181" s="30">
        <v>6.7261315145973888E-2</v>
      </c>
    </row>
    <row r="182" spans="1:3" x14ac:dyDescent="0.3">
      <c r="A182" s="18">
        <v>158</v>
      </c>
      <c r="B182" s="30">
        <v>-2.846642237528603E-2</v>
      </c>
      <c r="C182" s="30">
        <v>0.14314854274565642</v>
      </c>
    </row>
    <row r="183" spans="1:3" x14ac:dyDescent="0.3">
      <c r="A183" s="18">
        <v>159</v>
      </c>
      <c r="B183" s="30">
        <v>-5.9218910267467548E-2</v>
      </c>
      <c r="C183" s="30">
        <v>-3.3307969362162071E-2</v>
      </c>
    </row>
    <row r="184" spans="1:3" x14ac:dyDescent="0.3">
      <c r="A184" s="18">
        <v>160</v>
      </c>
      <c r="B184" s="30">
        <v>1.8158317332214971E-2</v>
      </c>
      <c r="C184" s="30">
        <v>-0.11938819696184459</v>
      </c>
    </row>
    <row r="185" spans="1:3" x14ac:dyDescent="0.3">
      <c r="A185" s="18">
        <v>161</v>
      </c>
      <c r="B185" s="30">
        <v>1.7308018127822851E-2</v>
      </c>
      <c r="C185" s="30">
        <v>-4.1793897757452479E-2</v>
      </c>
    </row>
    <row r="186" spans="1:3" x14ac:dyDescent="0.3">
      <c r="A186" s="18">
        <v>162</v>
      </c>
      <c r="B186" s="30">
        <v>-3.3851650669769431E-2</v>
      </c>
      <c r="C186" s="30">
        <v>-6.3651228959860195E-2</v>
      </c>
    </row>
    <row r="187" spans="1:3" x14ac:dyDescent="0.3">
      <c r="A187" s="18">
        <v>163</v>
      </c>
      <c r="B187" s="30">
        <v>4.8627372156265766E-2</v>
      </c>
      <c r="C187" s="30">
        <v>0.21911274821410459</v>
      </c>
    </row>
    <row r="188" spans="1:3" x14ac:dyDescent="0.3">
      <c r="A188" s="18">
        <v>164</v>
      </c>
      <c r="B188" s="30">
        <v>6.6767088516630907E-2</v>
      </c>
      <c r="C188" s="30">
        <v>7.5210318537394655E-3</v>
      </c>
    </row>
    <row r="189" spans="1:3" x14ac:dyDescent="0.3">
      <c r="A189" s="18">
        <v>165</v>
      </c>
      <c r="B189" s="30">
        <v>-2.2797761012671933E-2</v>
      </c>
      <c r="C189" s="30">
        <v>-4.9773118616957684E-2</v>
      </c>
    </row>
    <row r="190" spans="1:3" x14ac:dyDescent="0.3">
      <c r="A190" s="18">
        <v>166</v>
      </c>
      <c r="B190" s="30">
        <v>2.9070490455247122E-2</v>
      </c>
      <c r="C190" s="30">
        <v>0.2494476299151232</v>
      </c>
    </row>
    <row r="191" spans="1:3" x14ac:dyDescent="0.3">
      <c r="A191" s="18">
        <v>167</v>
      </c>
      <c r="B191" s="30">
        <v>-4.7314721405977915E-2</v>
      </c>
      <c r="C191" s="30">
        <v>-9.0874158223651691E-2</v>
      </c>
    </row>
    <row r="192" spans="1:3" x14ac:dyDescent="0.3">
      <c r="A192" s="18">
        <v>168</v>
      </c>
      <c r="B192" s="30">
        <v>2.3118396024502309E-2</v>
      </c>
      <c r="C192" s="30">
        <v>2.0375724345868068E-2</v>
      </c>
    </row>
    <row r="193" spans="1:3" x14ac:dyDescent="0.3">
      <c r="A193" s="18">
        <v>169</v>
      </c>
      <c r="B193" s="30">
        <v>3.615631715851475E-2</v>
      </c>
      <c r="C193" s="30">
        <v>-4.3861967881443711E-3</v>
      </c>
    </row>
    <row r="194" spans="1:3" x14ac:dyDescent="0.3">
      <c r="A194" s="18">
        <v>170</v>
      </c>
      <c r="B194" s="30">
        <v>6.1807009824343569E-2</v>
      </c>
      <c r="C194" s="30">
        <v>-8.3992889453973194E-2</v>
      </c>
    </row>
    <row r="195" spans="1:3" x14ac:dyDescent="0.3">
      <c r="A195" s="18">
        <v>171</v>
      </c>
      <c r="B195" s="30">
        <v>4.2250128123324904E-2</v>
      </c>
      <c r="C195" s="30">
        <v>-0.15333100775295452</v>
      </c>
    </row>
    <row r="196" spans="1:3" x14ac:dyDescent="0.3">
      <c r="A196" s="18">
        <v>172</v>
      </c>
      <c r="B196" s="30">
        <v>4.083296278267138E-2</v>
      </c>
      <c r="C196" s="30">
        <v>4.0787157587698998E-2</v>
      </c>
    </row>
    <row r="197" spans="1:3" x14ac:dyDescent="0.3">
      <c r="A197" s="18">
        <v>173</v>
      </c>
      <c r="B197" s="30">
        <v>5.3445734314487757E-2</v>
      </c>
      <c r="C197" s="30">
        <v>3.2807386055882619E-2</v>
      </c>
    </row>
    <row r="198" spans="1:3" x14ac:dyDescent="0.3">
      <c r="A198" s="18">
        <v>174</v>
      </c>
      <c r="B198" s="30">
        <v>4.990282096285395E-2</v>
      </c>
      <c r="C198" s="30">
        <v>6.3904299407516421E-2</v>
      </c>
    </row>
    <row r="199" spans="1:3" x14ac:dyDescent="0.3">
      <c r="A199" s="18">
        <v>175</v>
      </c>
      <c r="B199" s="30">
        <v>6.3791041301258511E-2</v>
      </c>
      <c r="C199" s="30">
        <v>-9.8232920930888146E-2</v>
      </c>
    </row>
    <row r="200" spans="1:3" x14ac:dyDescent="0.3">
      <c r="A200" s="18">
        <v>176</v>
      </c>
      <c r="B200" s="30">
        <v>1.9150333070672439E-2</v>
      </c>
      <c r="C200" s="30">
        <v>-6.4414212700302065E-2</v>
      </c>
    </row>
    <row r="201" spans="1:3" x14ac:dyDescent="0.3">
      <c r="A201" s="18">
        <v>177</v>
      </c>
      <c r="B201" s="30">
        <v>5.8264096472709755E-2</v>
      </c>
      <c r="C201" s="30">
        <v>-0.19547097610233938</v>
      </c>
    </row>
    <row r="202" spans="1:3" x14ac:dyDescent="0.3">
      <c r="A202" s="18">
        <v>178</v>
      </c>
      <c r="B202" s="30">
        <v>-1.0184989480855548E-2</v>
      </c>
      <c r="C202" s="30">
        <v>-1.8468890148774078E-2</v>
      </c>
    </row>
    <row r="203" spans="1:3" x14ac:dyDescent="0.3">
      <c r="A203" s="18">
        <v>179</v>
      </c>
      <c r="B203" s="30">
        <v>6.6767088516630907E-2</v>
      </c>
      <c r="C203" s="30">
        <v>-1.7033968146260528E-2</v>
      </c>
    </row>
    <row r="204" spans="1:3" x14ac:dyDescent="0.3">
      <c r="A204" s="18">
        <v>180</v>
      </c>
      <c r="B204" s="30">
        <v>2.6236159773940067E-2</v>
      </c>
      <c r="C204" s="30">
        <v>-0.19365603940356968</v>
      </c>
    </row>
    <row r="205" spans="1:3" x14ac:dyDescent="0.3">
      <c r="A205" s="18">
        <v>181</v>
      </c>
      <c r="B205" s="30">
        <v>4.2816994259586315E-2</v>
      </c>
      <c r="C205" s="30">
        <v>-0.17963587388921595</v>
      </c>
    </row>
    <row r="206" spans="1:3" x14ac:dyDescent="0.3">
      <c r="A206" s="18">
        <v>182</v>
      </c>
      <c r="B206" s="30">
        <v>2.9070490455247122E-2</v>
      </c>
      <c r="C206" s="30">
        <v>-3.7081370084876747E-2</v>
      </c>
    </row>
    <row r="207" spans="1:3" x14ac:dyDescent="0.3">
      <c r="A207" s="18">
        <v>183</v>
      </c>
      <c r="B207" s="30">
        <v>2.0567498411325963E-2</v>
      </c>
      <c r="C207" s="30">
        <v>-0.13087137804095558</v>
      </c>
    </row>
    <row r="208" spans="1:3" x14ac:dyDescent="0.3">
      <c r="A208" s="18">
        <v>184</v>
      </c>
      <c r="B208" s="30">
        <v>4.0407813180475323E-2</v>
      </c>
      <c r="C208" s="30">
        <v>-5.1527692810104948E-2</v>
      </c>
    </row>
    <row r="209" spans="1:3" x14ac:dyDescent="0.3">
      <c r="A209" s="18">
        <v>185</v>
      </c>
      <c r="B209" s="30">
        <v>4.4092443066174485E-2</v>
      </c>
      <c r="C209" s="30">
        <v>2.421667730419589E-2</v>
      </c>
    </row>
    <row r="210" spans="1:3" x14ac:dyDescent="0.3">
      <c r="A210" s="18">
        <v>186</v>
      </c>
      <c r="B210" s="30">
        <v>-5.7917769248296159E-3</v>
      </c>
      <c r="C210" s="30">
        <v>-0.19386610270480001</v>
      </c>
    </row>
    <row r="211" spans="1:3" x14ac:dyDescent="0.3">
      <c r="A211" s="18">
        <v>187</v>
      </c>
      <c r="B211" s="30">
        <v>-7.3532280208068151E-2</v>
      </c>
      <c r="C211" s="30">
        <v>0.11766540057843852</v>
      </c>
    </row>
    <row r="212" spans="1:3" x14ac:dyDescent="0.3">
      <c r="A212" s="18">
        <v>188</v>
      </c>
      <c r="B212" s="30">
        <v>4.9761104428788595E-2</v>
      </c>
      <c r="C212" s="30">
        <v>4.9026015941581784E-2</v>
      </c>
    </row>
    <row r="213" spans="1:3" x14ac:dyDescent="0.3">
      <c r="A213" s="18">
        <v>189</v>
      </c>
      <c r="B213" s="30">
        <v>8.1930757661623638E-2</v>
      </c>
      <c r="C213" s="30">
        <v>-0.17046863729125328</v>
      </c>
    </row>
    <row r="214" spans="1:3" x14ac:dyDescent="0.3">
      <c r="A214" s="18">
        <v>190</v>
      </c>
      <c r="B214" s="30">
        <v>2.2834962956371607E-2</v>
      </c>
      <c r="C214" s="30">
        <v>1.0299157413998769E-2</v>
      </c>
    </row>
    <row r="215" spans="1:3" x14ac:dyDescent="0.3">
      <c r="A215" s="18">
        <v>191</v>
      </c>
      <c r="B215" s="30">
        <v>9.9078458283531304E-2</v>
      </c>
      <c r="C215" s="30">
        <v>-5.3651337913160929E-2</v>
      </c>
    </row>
    <row r="216" spans="1:3" x14ac:dyDescent="0.3">
      <c r="A216" s="18">
        <v>192</v>
      </c>
      <c r="B216" s="30">
        <v>-1.2877603628097246E-2</v>
      </c>
      <c r="C216" s="30">
        <v>-0.12532327600153237</v>
      </c>
    </row>
    <row r="217" spans="1:3" x14ac:dyDescent="0.3">
      <c r="A217" s="18">
        <v>193</v>
      </c>
      <c r="B217" s="30">
        <v>8.1647324593492943E-2</v>
      </c>
      <c r="C217" s="30">
        <v>-0.28872620422312256</v>
      </c>
    </row>
    <row r="218" spans="1:3" x14ac:dyDescent="0.3">
      <c r="A218" s="18">
        <v>194</v>
      </c>
      <c r="B218" s="30">
        <v>3.2780812553529467E-3</v>
      </c>
      <c r="C218" s="30">
        <v>-2.9319960884982572E-2</v>
      </c>
    </row>
    <row r="219" spans="1:3" x14ac:dyDescent="0.3">
      <c r="A219" s="18">
        <v>195</v>
      </c>
      <c r="B219" s="30">
        <v>-6.0352642539990356E-2</v>
      </c>
      <c r="C219" s="30">
        <v>0.17994376291036074</v>
      </c>
    </row>
    <row r="220" spans="1:3" x14ac:dyDescent="0.3">
      <c r="A220" s="18">
        <v>196</v>
      </c>
      <c r="B220" s="30">
        <v>6.8042537323219077E-2</v>
      </c>
      <c r="C220" s="30">
        <v>-0.1400214169528487</v>
      </c>
    </row>
    <row r="221" spans="1:3" x14ac:dyDescent="0.3">
      <c r="A221" s="18">
        <v>197</v>
      </c>
      <c r="B221" s="30">
        <v>0.10715630072525639</v>
      </c>
      <c r="C221" s="30">
        <v>-0.13270118035488601</v>
      </c>
    </row>
    <row r="222" spans="1:3" x14ac:dyDescent="0.3">
      <c r="A222" s="18">
        <v>198</v>
      </c>
      <c r="B222" s="30">
        <v>6.8042537323219077E-2</v>
      </c>
      <c r="C222" s="30">
        <v>-0.21438541695284871</v>
      </c>
    </row>
    <row r="223" spans="1:3" x14ac:dyDescent="0.3">
      <c r="A223" s="18">
        <v>199</v>
      </c>
      <c r="B223" s="30">
        <v>0.11466727703072009</v>
      </c>
      <c r="C223" s="30">
        <v>0.10991684333965028</v>
      </c>
    </row>
    <row r="224" spans="1:3" x14ac:dyDescent="0.3">
      <c r="A224" s="18">
        <v>200</v>
      </c>
      <c r="B224" s="30">
        <v>-4.8306737144435397E-2</v>
      </c>
      <c r="C224" s="30">
        <v>0.28767785751480579</v>
      </c>
    </row>
    <row r="225" spans="1:3" x14ac:dyDescent="0.3">
      <c r="A225" s="18">
        <v>201</v>
      </c>
      <c r="B225" s="30">
        <v>8.6749119819845621E-2</v>
      </c>
      <c r="C225" s="30">
        <v>-9.3108999449475247E-2</v>
      </c>
    </row>
    <row r="226" spans="1:3" x14ac:dyDescent="0.3">
      <c r="A226" s="18">
        <v>202</v>
      </c>
      <c r="B226" s="30">
        <v>-4.320494191808269E-2</v>
      </c>
      <c r="C226" s="30">
        <v>-0.17497793771154693</v>
      </c>
    </row>
    <row r="227" spans="1:3" x14ac:dyDescent="0.3">
      <c r="A227" s="18">
        <v>203</v>
      </c>
      <c r="B227" s="30">
        <v>5.2453718576030296E-2</v>
      </c>
      <c r="C227" s="30">
        <v>-1.3737598205659916E-2</v>
      </c>
    </row>
    <row r="228" spans="1:3" x14ac:dyDescent="0.3">
      <c r="A228" s="18">
        <v>204</v>
      </c>
      <c r="B228" s="30">
        <v>3.0204222727769941E-2</v>
      </c>
      <c r="C228" s="30">
        <v>-0.2942531023573996</v>
      </c>
    </row>
    <row r="229" spans="1:3" x14ac:dyDescent="0.3">
      <c r="A229" s="18">
        <v>205</v>
      </c>
      <c r="B229" s="30">
        <v>1.2914805571796922E-2</v>
      </c>
      <c r="C229" s="30">
        <v>0.37883731479857341</v>
      </c>
    </row>
    <row r="230" spans="1:3" x14ac:dyDescent="0.3">
      <c r="A230" s="18">
        <v>206</v>
      </c>
      <c r="B230" s="30">
        <v>0.10999063140656343</v>
      </c>
      <c r="C230" s="30">
        <v>0.17662548896380695</v>
      </c>
    </row>
    <row r="231" spans="1:3" x14ac:dyDescent="0.3">
      <c r="A231" s="18">
        <v>207</v>
      </c>
      <c r="B231" s="30">
        <v>7.7679261639663058E-2</v>
      </c>
      <c r="C231" s="30">
        <v>8.2855858730707319E-2</v>
      </c>
    </row>
    <row r="232" spans="1:3" x14ac:dyDescent="0.3">
      <c r="A232" s="18">
        <v>208</v>
      </c>
      <c r="B232" s="30">
        <v>2.1134364547587371E-2</v>
      </c>
      <c r="C232" s="30">
        <v>-2.9165244177216998E-2</v>
      </c>
    </row>
    <row r="233" spans="1:3" x14ac:dyDescent="0.3">
      <c r="A233" s="18">
        <v>209</v>
      </c>
      <c r="B233" s="30">
        <v>-3.3143067999442666E-2</v>
      </c>
      <c r="C233" s="30">
        <v>2.2601883698130376E-3</v>
      </c>
    </row>
    <row r="234" spans="1:3" x14ac:dyDescent="0.3">
      <c r="A234" s="18">
        <v>210</v>
      </c>
      <c r="B234" s="30">
        <v>5.5571482325468054E-2</v>
      </c>
      <c r="C234" s="30">
        <v>1.8407638044902329E-2</v>
      </c>
    </row>
    <row r="235" spans="1:3" x14ac:dyDescent="0.3">
      <c r="A235" s="18">
        <v>211</v>
      </c>
      <c r="B235" s="30">
        <v>-2.4498359421456159E-2</v>
      </c>
      <c r="C235" s="30">
        <v>0.22798447979182651</v>
      </c>
    </row>
    <row r="236" spans="1:3" x14ac:dyDescent="0.3">
      <c r="A236" s="18">
        <v>212</v>
      </c>
      <c r="B236" s="30">
        <v>-0.21709112921627027</v>
      </c>
      <c r="C236" s="30">
        <v>0.11432724958664064</v>
      </c>
    </row>
    <row r="237" spans="1:3" x14ac:dyDescent="0.3">
      <c r="A237" s="18">
        <v>213</v>
      </c>
      <c r="B237" s="30">
        <v>9.8369875613204538E-2</v>
      </c>
      <c r="C237" s="30">
        <v>0.12058924475716584</v>
      </c>
    </row>
    <row r="238" spans="1:3" x14ac:dyDescent="0.3">
      <c r="A238" s="18">
        <v>214</v>
      </c>
      <c r="B238" s="30">
        <v>0.11027406447469415</v>
      </c>
      <c r="C238" s="30">
        <v>-0.13998994410432378</v>
      </c>
    </row>
    <row r="239" spans="1:3" x14ac:dyDescent="0.3">
      <c r="A239" s="18">
        <v>215</v>
      </c>
      <c r="B239" s="30">
        <v>9.5535544931897462E-2</v>
      </c>
      <c r="C239" s="30">
        <v>-0.23875242456152707</v>
      </c>
    </row>
    <row r="240" spans="1:3" x14ac:dyDescent="0.3">
      <c r="A240" s="18">
        <v>216</v>
      </c>
      <c r="B240" s="30">
        <v>9.7377859874747064E-2</v>
      </c>
      <c r="C240" s="30">
        <v>0.18093626049562328</v>
      </c>
    </row>
    <row r="241" spans="1:3" x14ac:dyDescent="0.3">
      <c r="A241" s="18">
        <v>217</v>
      </c>
      <c r="B241" s="30">
        <v>5.9256112211167222E-2</v>
      </c>
      <c r="C241" s="30">
        <v>-5.6634991840796851E-2</v>
      </c>
    </row>
    <row r="242" spans="1:3" x14ac:dyDescent="0.3">
      <c r="A242" s="18">
        <v>218</v>
      </c>
      <c r="B242" s="30">
        <v>-4.8165020610370035E-2</v>
      </c>
      <c r="C242" s="30">
        <v>-0.11010085901925959</v>
      </c>
    </row>
    <row r="243" spans="1:3" x14ac:dyDescent="0.3">
      <c r="A243" s="18">
        <v>219</v>
      </c>
      <c r="B243" s="30">
        <v>5.9681261813363279E-2</v>
      </c>
      <c r="C243" s="30">
        <v>-3.0851141442992908E-2</v>
      </c>
    </row>
    <row r="244" spans="1:3" x14ac:dyDescent="0.3">
      <c r="A244" s="18">
        <v>220</v>
      </c>
      <c r="B244" s="30">
        <v>7.1302017606722196E-2</v>
      </c>
      <c r="C244" s="30">
        <v>0.20521210276364818</v>
      </c>
    </row>
    <row r="245" spans="1:3" x14ac:dyDescent="0.3">
      <c r="A245" s="18">
        <v>221</v>
      </c>
      <c r="B245" s="30">
        <v>-2.5348658625848279E-2</v>
      </c>
      <c r="C245" s="30">
        <v>-2.0257221003781342E-2</v>
      </c>
    </row>
    <row r="246" spans="1:3" x14ac:dyDescent="0.3">
      <c r="A246" s="18">
        <v>222</v>
      </c>
      <c r="B246" s="30">
        <v>7.7962694707793753E-2</v>
      </c>
      <c r="C246" s="30">
        <v>-3.0384574337423378E-2</v>
      </c>
    </row>
    <row r="247" spans="1:3" x14ac:dyDescent="0.3">
      <c r="A247" s="18">
        <v>223</v>
      </c>
      <c r="B247" s="30">
        <v>-3.9095162430187479E-2</v>
      </c>
      <c r="C247" s="30">
        <v>0.23803828280055786</v>
      </c>
    </row>
    <row r="248" spans="1:3" x14ac:dyDescent="0.3">
      <c r="A248" s="18">
        <v>224</v>
      </c>
      <c r="B248" s="30">
        <v>-9.3346902764634317E-3</v>
      </c>
      <c r="C248" s="30">
        <v>0.17756581064683383</v>
      </c>
    </row>
    <row r="249" spans="1:3" x14ac:dyDescent="0.3">
      <c r="A249" s="18">
        <v>225</v>
      </c>
      <c r="B249" s="30">
        <v>-2.9600154647808852E-2</v>
      </c>
      <c r="C249" s="30">
        <v>-3.5787249818207759E-3</v>
      </c>
    </row>
    <row r="250" spans="1:3" x14ac:dyDescent="0.3">
      <c r="A250" s="18">
        <v>226</v>
      </c>
      <c r="B250" s="30">
        <v>9.7094426806616355E-2</v>
      </c>
      <c r="C250" s="30">
        <v>0.16496769356375401</v>
      </c>
    </row>
    <row r="251" spans="1:3" x14ac:dyDescent="0.3">
      <c r="A251" s="18">
        <v>227</v>
      </c>
      <c r="B251" s="30">
        <v>5.7555513802382989E-2</v>
      </c>
      <c r="C251" s="30">
        <v>0.16048760656798738</v>
      </c>
    </row>
    <row r="252" spans="1:3" x14ac:dyDescent="0.3">
      <c r="A252" s="18">
        <v>228</v>
      </c>
      <c r="B252" s="30">
        <v>0.12033593839333419</v>
      </c>
      <c r="C252" s="30">
        <v>-7.3374818022963806E-2</v>
      </c>
    </row>
    <row r="253" spans="1:3" x14ac:dyDescent="0.3">
      <c r="A253" s="18">
        <v>229</v>
      </c>
      <c r="B253" s="30">
        <v>-5.6668012654291194E-2</v>
      </c>
      <c r="C253" s="30">
        <v>6.2301133024661566E-2</v>
      </c>
    </row>
    <row r="254" spans="1:3" x14ac:dyDescent="0.3">
      <c r="A254" s="18">
        <v>230</v>
      </c>
      <c r="B254" s="30">
        <v>4.5509608406828023E-2</v>
      </c>
      <c r="C254" s="30">
        <v>5.5823511963542349E-2</v>
      </c>
    </row>
    <row r="255" spans="1:3" x14ac:dyDescent="0.3">
      <c r="A255" s="18">
        <v>231</v>
      </c>
      <c r="B255" s="30">
        <v>8.5048521411061395E-2</v>
      </c>
      <c r="C255" s="30">
        <v>9.6307598959308988E-2</v>
      </c>
    </row>
    <row r="256" spans="1:3" x14ac:dyDescent="0.3">
      <c r="A256" s="18">
        <v>232</v>
      </c>
      <c r="B256" s="30">
        <v>-7.9484374638812971E-2</v>
      </c>
      <c r="C256" s="30">
        <v>-1.0517504990816648E-2</v>
      </c>
    </row>
    <row r="257" spans="1:3" x14ac:dyDescent="0.3">
      <c r="A257" s="18">
        <v>233</v>
      </c>
      <c r="B257" s="30">
        <v>-5.0857634757611736E-2</v>
      </c>
      <c r="C257" s="30">
        <v>-0.2755502448720179</v>
      </c>
    </row>
    <row r="258" spans="1:3" x14ac:dyDescent="0.3">
      <c r="A258" s="18">
        <v>234</v>
      </c>
      <c r="B258" s="30">
        <v>7.6120379764944179E-2</v>
      </c>
      <c r="C258" s="30">
        <v>0.16741774060542619</v>
      </c>
    </row>
    <row r="259" spans="1:3" x14ac:dyDescent="0.3">
      <c r="A259" s="18">
        <v>235</v>
      </c>
      <c r="B259" s="30">
        <v>-2.4073209819260102E-2</v>
      </c>
      <c r="C259" s="30">
        <v>-9.2456698103695195E-3</v>
      </c>
    </row>
    <row r="260" spans="1:3" x14ac:dyDescent="0.3">
      <c r="A260" s="18">
        <v>236</v>
      </c>
      <c r="B260" s="30">
        <v>0.11140779674721699</v>
      </c>
      <c r="C260" s="30">
        <v>8.4368323623153385E-2</v>
      </c>
    </row>
    <row r="261" spans="1:3" x14ac:dyDescent="0.3">
      <c r="A261" s="18">
        <v>237</v>
      </c>
      <c r="B261" s="30">
        <v>-6.5312721232277715E-2</v>
      </c>
      <c r="C261" s="30">
        <v>-0.51560915839735189</v>
      </c>
    </row>
    <row r="262" spans="1:3" x14ac:dyDescent="0.3">
      <c r="A262" s="18">
        <v>238</v>
      </c>
      <c r="B262" s="30">
        <v>-2.6482390898371094E-2</v>
      </c>
      <c r="C262" s="30">
        <v>-0.21729448873125853</v>
      </c>
    </row>
    <row r="263" spans="1:3" x14ac:dyDescent="0.3">
      <c r="A263" s="18">
        <v>239</v>
      </c>
      <c r="B263" s="30">
        <v>-0.13999733468471853</v>
      </c>
      <c r="C263" s="30">
        <v>-2.0038544944911085E-2</v>
      </c>
    </row>
    <row r="264" spans="1:3" x14ac:dyDescent="0.3">
      <c r="A264" s="18">
        <v>240</v>
      </c>
      <c r="B264" s="30">
        <v>2.8645340853051055E-2</v>
      </c>
      <c r="C264" s="30">
        <v>-0.13061622048268068</v>
      </c>
    </row>
    <row r="265" spans="1:3" x14ac:dyDescent="0.3">
      <c r="A265" s="18">
        <v>241</v>
      </c>
      <c r="B265" s="30">
        <v>5.6705214597990869E-2</v>
      </c>
      <c r="C265" s="30">
        <v>0.39359090577237948</v>
      </c>
    </row>
    <row r="266" spans="1:3" x14ac:dyDescent="0.3">
      <c r="A266" s="18">
        <v>242</v>
      </c>
      <c r="B266" s="30">
        <v>-0.13234464184518946</v>
      </c>
      <c r="C266" s="30">
        <v>-2.7210237784440178E-2</v>
      </c>
    </row>
    <row r="267" spans="1:3" x14ac:dyDescent="0.3">
      <c r="A267" s="18">
        <v>243</v>
      </c>
      <c r="B267" s="30">
        <v>-9.2238862704694696E-2</v>
      </c>
      <c r="C267" s="30">
        <v>0.2980679830750651</v>
      </c>
    </row>
    <row r="268" spans="1:3" x14ac:dyDescent="0.3">
      <c r="A268" s="18">
        <v>244</v>
      </c>
      <c r="B268" s="30">
        <v>0.12274511947244518</v>
      </c>
      <c r="C268" s="30">
        <v>2.8730000897925184E-2</v>
      </c>
    </row>
    <row r="269" spans="1:3" x14ac:dyDescent="0.3">
      <c r="A269" s="18">
        <v>245</v>
      </c>
      <c r="B269" s="30">
        <v>1.9433766138803141E-2</v>
      </c>
      <c r="C269" s="30">
        <v>-0.24025964576843278</v>
      </c>
    </row>
    <row r="270" spans="1:3" x14ac:dyDescent="0.3">
      <c r="A270" s="18">
        <v>246</v>
      </c>
      <c r="B270" s="30">
        <v>-1.8829698058842059E-2</v>
      </c>
      <c r="C270" s="30">
        <v>0.18075681842921243</v>
      </c>
    </row>
    <row r="271" spans="1:3" x14ac:dyDescent="0.3">
      <c r="A271" s="18">
        <v>247</v>
      </c>
      <c r="B271" s="30">
        <v>-2.1238879137953047E-2</v>
      </c>
      <c r="C271" s="30">
        <v>-0.17407500049167657</v>
      </c>
    </row>
    <row r="272" spans="1:3" x14ac:dyDescent="0.3">
      <c r="A272" s="18">
        <v>248</v>
      </c>
      <c r="B272" s="30">
        <v>-8.2460421854185381E-2</v>
      </c>
      <c r="C272" s="30">
        <v>6.6201542224555751E-2</v>
      </c>
    </row>
    <row r="273" spans="1:3" x14ac:dyDescent="0.3">
      <c r="A273" s="18">
        <v>249</v>
      </c>
      <c r="B273" s="30">
        <v>-0.12242448446061478</v>
      </c>
      <c r="C273" s="30">
        <v>-4.494239516901484E-2</v>
      </c>
    </row>
    <row r="274" spans="1:3" x14ac:dyDescent="0.3">
      <c r="A274" s="18">
        <v>250</v>
      </c>
      <c r="B274" s="30">
        <v>4.2675277725520967E-2</v>
      </c>
      <c r="C274" s="30">
        <v>8.6011842644849429E-2</v>
      </c>
    </row>
    <row r="275" spans="1:3" x14ac:dyDescent="0.3">
      <c r="A275" s="18">
        <v>251</v>
      </c>
      <c r="B275" s="30">
        <v>0.11395869436039333</v>
      </c>
      <c r="C275" s="30">
        <v>9.5539426009977058E-2</v>
      </c>
    </row>
    <row r="276" spans="1:3" x14ac:dyDescent="0.3">
      <c r="A276" s="18">
        <v>252</v>
      </c>
      <c r="B276" s="30">
        <v>2.9637356591508526E-2</v>
      </c>
      <c r="C276" s="30">
        <v>-4.9542362211381537E-3</v>
      </c>
    </row>
    <row r="277" spans="1:3" x14ac:dyDescent="0.3">
      <c r="A277" s="18">
        <v>253</v>
      </c>
      <c r="B277" s="30">
        <v>-1.3727902832489362E-2</v>
      </c>
      <c r="C277" s="30">
        <v>0.13900902320285974</v>
      </c>
    </row>
    <row r="278" spans="1:3" x14ac:dyDescent="0.3">
      <c r="A278" s="18">
        <v>254</v>
      </c>
      <c r="B278" s="30">
        <v>-2.591552476210969E-2</v>
      </c>
      <c r="C278" s="30">
        <v>-9.9738354867519932E-2</v>
      </c>
    </row>
    <row r="279" spans="1:3" x14ac:dyDescent="0.3">
      <c r="A279" s="18">
        <v>255</v>
      </c>
      <c r="B279" s="30">
        <v>6.6625371982565559E-2</v>
      </c>
      <c r="C279" s="30">
        <v>2.067174838780482E-2</v>
      </c>
    </row>
    <row r="280" spans="1:3" x14ac:dyDescent="0.3">
      <c r="A280" s="18">
        <v>256</v>
      </c>
      <c r="B280" s="30">
        <v>-6.687160310699658E-2</v>
      </c>
      <c r="C280" s="30">
        <v>8.8734723477366953E-2</v>
      </c>
    </row>
    <row r="281" spans="1:3" x14ac:dyDescent="0.3">
      <c r="A281" s="18">
        <v>257</v>
      </c>
      <c r="B281" s="30">
        <v>-1.2877603628097246E-2</v>
      </c>
      <c r="C281" s="30">
        <v>-3.057527600153238E-2</v>
      </c>
    </row>
    <row r="282" spans="1:3" x14ac:dyDescent="0.3">
      <c r="A282" s="18">
        <v>258</v>
      </c>
      <c r="B282" s="30">
        <v>-9.5640059522263163E-2</v>
      </c>
      <c r="C282" s="30">
        <v>-0.14733082010736648</v>
      </c>
    </row>
    <row r="283" spans="1:3" x14ac:dyDescent="0.3">
      <c r="A283" s="18">
        <v>259</v>
      </c>
      <c r="B283" s="30">
        <v>-0.10910313025847164</v>
      </c>
      <c r="C283" s="30">
        <v>-3.3208749371157989E-2</v>
      </c>
    </row>
    <row r="284" spans="1:3" x14ac:dyDescent="0.3">
      <c r="A284" s="18">
        <v>260</v>
      </c>
      <c r="B284" s="30">
        <v>1.3765104776189039E-2</v>
      </c>
      <c r="C284" s="30">
        <v>-5.067198440581866E-2</v>
      </c>
    </row>
    <row r="285" spans="1:3" x14ac:dyDescent="0.3">
      <c r="A285" s="18">
        <v>261</v>
      </c>
      <c r="B285" s="30">
        <v>-0.13999733468471853</v>
      </c>
      <c r="C285" s="30">
        <v>0.1195624550550889</v>
      </c>
    </row>
    <row r="286" spans="1:3" x14ac:dyDescent="0.3">
      <c r="A286" s="18">
        <v>262</v>
      </c>
      <c r="B286" s="30">
        <v>0.11778504078015783</v>
      </c>
      <c r="C286" s="30">
        <v>-1.2994920409787461E-2</v>
      </c>
    </row>
    <row r="287" spans="1:3" x14ac:dyDescent="0.3">
      <c r="A287" s="18">
        <v>263</v>
      </c>
      <c r="B287" s="30">
        <v>9.0858899307740854E-2</v>
      </c>
      <c r="C287" s="30">
        <v>-0.12981477893737048</v>
      </c>
    </row>
    <row r="288" spans="1:3" x14ac:dyDescent="0.3">
      <c r="A288" s="18">
        <v>264</v>
      </c>
      <c r="B288" s="30">
        <v>-7.5374595150917725E-2</v>
      </c>
      <c r="C288" s="30">
        <v>-3.5952844787118937E-3</v>
      </c>
    </row>
    <row r="289" spans="1:3" x14ac:dyDescent="0.3">
      <c r="A289" s="18">
        <v>265</v>
      </c>
      <c r="B289" s="30">
        <v>-3.030873731813561E-2</v>
      </c>
      <c r="C289" s="30">
        <v>2.8915857688505985E-2</v>
      </c>
    </row>
    <row r="290" spans="1:3" x14ac:dyDescent="0.3">
      <c r="A290" s="18">
        <v>266</v>
      </c>
      <c r="B290" s="30">
        <v>-2.0672013001691639E-2</v>
      </c>
      <c r="C290" s="30">
        <v>6.2451133372062012E-2</v>
      </c>
    </row>
    <row r="291" spans="1:3" x14ac:dyDescent="0.3">
      <c r="A291" s="18">
        <v>267</v>
      </c>
      <c r="B291" s="30">
        <v>2.1559514149783431E-2</v>
      </c>
      <c r="C291" s="30">
        <v>-8.3006393779413046E-2</v>
      </c>
    </row>
    <row r="292" spans="1:3" x14ac:dyDescent="0.3">
      <c r="A292" s="18">
        <v>268</v>
      </c>
      <c r="B292" s="30">
        <v>0.12260340293837982</v>
      </c>
      <c r="C292" s="30">
        <v>-0.12043128256800945</v>
      </c>
    </row>
    <row r="293" spans="1:3" x14ac:dyDescent="0.3">
      <c r="A293" s="18">
        <v>269</v>
      </c>
      <c r="B293" s="30">
        <v>9.1709198512132953E-2</v>
      </c>
      <c r="C293" s="30">
        <v>0.16711192185823742</v>
      </c>
    </row>
    <row r="294" spans="1:3" x14ac:dyDescent="0.3">
      <c r="A294" s="18">
        <v>270</v>
      </c>
      <c r="B294" s="30">
        <v>2.6236159773940067E-2</v>
      </c>
      <c r="C294" s="30">
        <v>3.2115960596430307E-2</v>
      </c>
    </row>
    <row r="295" spans="1:3" x14ac:dyDescent="0.3">
      <c r="A295" s="18">
        <v>271</v>
      </c>
      <c r="B295" s="30">
        <v>3.8990647839821799E-2</v>
      </c>
      <c r="C295" s="30">
        <v>6.3504472530548584E-2</v>
      </c>
    </row>
    <row r="296" spans="1:3" x14ac:dyDescent="0.3">
      <c r="A296" s="18">
        <v>272</v>
      </c>
      <c r="B296" s="30">
        <v>3.8848931305756437E-2</v>
      </c>
      <c r="C296" s="30">
        <v>3.0246189064613946E-2</v>
      </c>
    </row>
    <row r="297" spans="1:3" x14ac:dyDescent="0.3">
      <c r="A297" s="18">
        <v>273</v>
      </c>
      <c r="B297" s="30">
        <v>-1.1743871355574427E-2</v>
      </c>
      <c r="C297" s="30">
        <v>-7.5333008274055202E-2</v>
      </c>
    </row>
    <row r="298" spans="1:3" x14ac:dyDescent="0.3">
      <c r="A298" s="18">
        <v>274</v>
      </c>
      <c r="B298" s="30">
        <v>9.1850915046198328E-2</v>
      </c>
      <c r="C298" s="30">
        <v>9.393205324172052E-3</v>
      </c>
    </row>
    <row r="299" spans="1:3" x14ac:dyDescent="0.3">
      <c r="A299" s="18">
        <v>275</v>
      </c>
      <c r="B299" s="30">
        <v>2.4818994433286539E-2</v>
      </c>
      <c r="C299" s="30">
        <v>-0.11480587406291616</v>
      </c>
    </row>
    <row r="300" spans="1:3" x14ac:dyDescent="0.3">
      <c r="A300" s="18">
        <v>276</v>
      </c>
      <c r="B300" s="30">
        <v>6.6625371982565559E-2</v>
      </c>
      <c r="C300" s="30">
        <v>-4.8112251612195185E-2</v>
      </c>
    </row>
    <row r="301" spans="1:3" x14ac:dyDescent="0.3">
      <c r="A301" s="18">
        <v>277</v>
      </c>
      <c r="B301" s="30">
        <v>3.6156317158514736E-2</v>
      </c>
      <c r="C301" s="30">
        <v>1.6042803211855639E-2</v>
      </c>
    </row>
    <row r="302" spans="1:3" x14ac:dyDescent="0.3">
      <c r="A302" s="18">
        <v>278</v>
      </c>
      <c r="B302" s="30">
        <v>2.538586056954795E-2</v>
      </c>
      <c r="C302" s="30">
        <v>3.141225980082242E-2</v>
      </c>
    </row>
    <row r="303" spans="1:3" x14ac:dyDescent="0.3">
      <c r="A303" s="18">
        <v>279</v>
      </c>
      <c r="B303" s="30">
        <v>-1.2735887094031895E-2</v>
      </c>
      <c r="C303" s="30">
        <v>0.13968500746440227</v>
      </c>
    </row>
    <row r="304" spans="1:3" x14ac:dyDescent="0.3">
      <c r="A304" s="18">
        <v>280</v>
      </c>
      <c r="B304" s="30">
        <v>-2.0105146865430232E-2</v>
      </c>
      <c r="C304" s="30">
        <v>-2.9978732764199392E-2</v>
      </c>
    </row>
    <row r="305" spans="1:3" x14ac:dyDescent="0.3">
      <c r="A305" s="18">
        <v>281</v>
      </c>
      <c r="B305" s="30">
        <v>2.2126380286044842E-2</v>
      </c>
      <c r="C305" s="30">
        <v>6.2828740084325541E-2</v>
      </c>
    </row>
    <row r="306" spans="1:3" x14ac:dyDescent="0.3">
      <c r="A306" s="18">
        <v>282</v>
      </c>
      <c r="B306" s="30">
        <v>3.2188254204684873E-2</v>
      </c>
      <c r="C306" s="30">
        <v>0.12398386616568549</v>
      </c>
    </row>
    <row r="307" spans="1:3" x14ac:dyDescent="0.3">
      <c r="A307" s="18">
        <v>283</v>
      </c>
      <c r="B307" s="30">
        <v>-5.142450089387314E-2</v>
      </c>
      <c r="C307" s="30">
        <v>4.1792621264243518E-2</v>
      </c>
    </row>
    <row r="308" spans="1:3" x14ac:dyDescent="0.3">
      <c r="A308" s="18">
        <v>284</v>
      </c>
      <c r="B308" s="30">
        <v>7.3878607432481718E-3</v>
      </c>
      <c r="C308" s="30">
        <v>5.5607259627122201E-2</v>
      </c>
    </row>
    <row r="309" spans="1:3" x14ac:dyDescent="0.3">
      <c r="A309" s="18">
        <v>285</v>
      </c>
      <c r="B309" s="30">
        <v>2.8928773921181764E-2</v>
      </c>
      <c r="C309" s="30">
        <v>9.1099346449188615E-2</v>
      </c>
    </row>
    <row r="310" spans="1:3" x14ac:dyDescent="0.3">
      <c r="A310" s="18">
        <v>286</v>
      </c>
      <c r="B310" s="30">
        <v>2.6519592842070769E-2</v>
      </c>
      <c r="C310" s="30">
        <v>0.32225252752829958</v>
      </c>
    </row>
    <row r="311" spans="1:3" x14ac:dyDescent="0.3">
      <c r="A311" s="18">
        <v>287</v>
      </c>
      <c r="B311" s="30">
        <v>7.1160301072656834E-2</v>
      </c>
      <c r="C311" s="30">
        <v>0.20493381929771351</v>
      </c>
    </row>
    <row r="312" spans="1:3" x14ac:dyDescent="0.3">
      <c r="A312" s="18">
        <v>288</v>
      </c>
      <c r="B312" s="30">
        <v>5.5571482325468054E-2</v>
      </c>
      <c r="C312" s="30">
        <v>-9.8580361955097673E-2</v>
      </c>
    </row>
    <row r="313" spans="1:3" x14ac:dyDescent="0.3">
      <c r="A313" s="18">
        <v>289</v>
      </c>
      <c r="B313" s="30">
        <v>-3.2151052260985191E-2</v>
      </c>
      <c r="C313" s="30">
        <v>0.22276417263135556</v>
      </c>
    </row>
    <row r="314" spans="1:3" x14ac:dyDescent="0.3">
      <c r="A314" s="18">
        <v>290</v>
      </c>
      <c r="B314" s="30">
        <v>3.3747136079403744E-2</v>
      </c>
      <c r="C314" s="30">
        <v>0.12947698429096663</v>
      </c>
    </row>
    <row r="315" spans="1:3" x14ac:dyDescent="0.3">
      <c r="A315" s="18">
        <v>291</v>
      </c>
      <c r="B315" s="30">
        <v>-2.0246863399495586E-2</v>
      </c>
      <c r="C315" s="30">
        <v>-5.4349016230134044E-2</v>
      </c>
    </row>
    <row r="316" spans="1:3" x14ac:dyDescent="0.3">
      <c r="A316" s="18">
        <v>292</v>
      </c>
      <c r="B316" s="30">
        <v>-2.931672157967815E-2</v>
      </c>
      <c r="C316" s="30">
        <v>-0.10879815804995147</v>
      </c>
    </row>
    <row r="317" spans="1:3" x14ac:dyDescent="0.3">
      <c r="A317" s="18">
        <v>293</v>
      </c>
      <c r="B317" s="30">
        <v>5.9822978347428626E-2</v>
      </c>
      <c r="C317" s="30">
        <v>3.9278142022941748E-2</v>
      </c>
    </row>
    <row r="318" spans="1:3" x14ac:dyDescent="0.3">
      <c r="A318" s="18">
        <v>294</v>
      </c>
      <c r="B318" s="30">
        <v>1.6032569321234681E-2</v>
      </c>
      <c r="C318" s="30">
        <v>-9.3697448950864293E-2</v>
      </c>
    </row>
    <row r="319" spans="1:3" x14ac:dyDescent="0.3">
      <c r="A319" s="18">
        <v>295</v>
      </c>
      <c r="B319" s="30">
        <v>6.3649324767193149E-2</v>
      </c>
      <c r="C319" s="30">
        <v>9.1517795603177216E-2</v>
      </c>
    </row>
    <row r="320" spans="1:3" x14ac:dyDescent="0.3">
      <c r="A320" s="18">
        <v>296</v>
      </c>
      <c r="B320" s="30">
        <v>-8.3426745380059675E-3</v>
      </c>
      <c r="C320" s="30">
        <v>0.10427079490837635</v>
      </c>
    </row>
    <row r="321" spans="1:3" x14ac:dyDescent="0.3">
      <c r="A321" s="18">
        <v>297</v>
      </c>
      <c r="B321" s="30">
        <v>1.5749136253103976E-2</v>
      </c>
      <c r="C321" s="30">
        <v>0.12407898411726639</v>
      </c>
    </row>
    <row r="322" spans="1:3" x14ac:dyDescent="0.3">
      <c r="A322" s="18">
        <v>298</v>
      </c>
      <c r="B322" s="30">
        <v>-2.0105146865430232E-2</v>
      </c>
      <c r="C322" s="30">
        <v>9.0859267235800609E-2</v>
      </c>
    </row>
    <row r="323" spans="1:3" x14ac:dyDescent="0.3">
      <c r="A323" s="18">
        <v>299</v>
      </c>
      <c r="B323" s="30">
        <v>6.024812794962469E-2</v>
      </c>
      <c r="C323" s="30">
        <v>0.11390099242074567</v>
      </c>
    </row>
    <row r="324" spans="1:3" x14ac:dyDescent="0.3">
      <c r="A324" s="18">
        <v>300</v>
      </c>
      <c r="B324" s="30">
        <v>5.6872623344639411E-3</v>
      </c>
      <c r="C324" s="30">
        <v>5.0838858035906438E-2</v>
      </c>
    </row>
    <row r="325" spans="1:3" x14ac:dyDescent="0.3">
      <c r="A325" s="18">
        <v>301</v>
      </c>
      <c r="B325" s="30">
        <v>5.2737151644160998E-2</v>
      </c>
      <c r="C325" s="30">
        <v>-5.8680312737906248E-3</v>
      </c>
    </row>
    <row r="326" spans="1:3" x14ac:dyDescent="0.3">
      <c r="A326" s="18">
        <v>302</v>
      </c>
      <c r="B326" s="30">
        <v>5.2621127322678828E-3</v>
      </c>
      <c r="C326" s="30">
        <v>-0.1017159923618975</v>
      </c>
    </row>
    <row r="327" spans="1:3" x14ac:dyDescent="0.3">
      <c r="A327" s="18">
        <v>303</v>
      </c>
      <c r="B327" s="30">
        <v>3.0629372329965994E-2</v>
      </c>
      <c r="C327" s="30">
        <v>-0.11836125195959563</v>
      </c>
    </row>
    <row r="328" spans="1:3" x14ac:dyDescent="0.3">
      <c r="A328" s="18">
        <v>304</v>
      </c>
      <c r="B328" s="30">
        <v>2.0142348809129899E-2</v>
      </c>
      <c r="C328" s="30">
        <v>9.866177156124048E-2</v>
      </c>
    </row>
    <row r="329" spans="1:3" x14ac:dyDescent="0.3">
      <c r="A329" s="18">
        <v>305</v>
      </c>
      <c r="B329" s="30">
        <v>-3.980374510051423E-2</v>
      </c>
      <c r="C329" s="30">
        <v>-0.11455613452911539</v>
      </c>
    </row>
    <row r="330" spans="1:3" x14ac:dyDescent="0.3">
      <c r="A330" s="18">
        <v>306</v>
      </c>
      <c r="B330" s="30">
        <v>5.4038292663332365E-3</v>
      </c>
      <c r="C330" s="30">
        <v>-5.0716708895962866E-2</v>
      </c>
    </row>
    <row r="331" spans="1:3" x14ac:dyDescent="0.3">
      <c r="A331" s="18">
        <v>307</v>
      </c>
      <c r="B331" s="30">
        <v>-6.8998169847692657E-4</v>
      </c>
      <c r="C331" s="30">
        <v>0.18386410206884729</v>
      </c>
    </row>
    <row r="332" spans="1:3" x14ac:dyDescent="0.3">
      <c r="A332" s="18">
        <v>308</v>
      </c>
      <c r="B332" s="30">
        <v>3.9415797442017855E-2</v>
      </c>
      <c r="C332" s="30">
        <v>-4.4520677071647481E-2</v>
      </c>
    </row>
    <row r="333" spans="1:3" x14ac:dyDescent="0.3">
      <c r="A333" s="18">
        <v>309</v>
      </c>
      <c r="B333" s="30">
        <v>3.65814667607108E-2</v>
      </c>
      <c r="C333" s="30">
        <v>9.4494653609659557E-2</v>
      </c>
    </row>
    <row r="334" spans="1:3" x14ac:dyDescent="0.3">
      <c r="A334" s="18">
        <v>310</v>
      </c>
      <c r="B334" s="30">
        <v>5.6280064995794819E-2</v>
      </c>
      <c r="C334" s="30">
        <v>-6.50494462542444E-3</v>
      </c>
    </row>
    <row r="335" spans="1:3" x14ac:dyDescent="0.3">
      <c r="A335" s="18">
        <v>311</v>
      </c>
      <c r="B335" s="30">
        <v>3.4880868351926567E-2</v>
      </c>
      <c r="C335" s="30">
        <v>9.2121252018443803E-2</v>
      </c>
    </row>
    <row r="336" spans="1:3" x14ac:dyDescent="0.3">
      <c r="A336" s="18">
        <v>312</v>
      </c>
      <c r="B336" s="30">
        <v>2.2693246422306249E-2</v>
      </c>
      <c r="C336" s="30">
        <v>-0.10058412605193587</v>
      </c>
    </row>
    <row r="337" spans="1:3" x14ac:dyDescent="0.3">
      <c r="A337" s="18">
        <v>313</v>
      </c>
      <c r="B337" s="30">
        <v>3.0771088864031345E-2</v>
      </c>
      <c r="C337" s="30">
        <v>-2.3766968493660973E-2</v>
      </c>
    </row>
    <row r="338" spans="1:3" x14ac:dyDescent="0.3">
      <c r="A338" s="18">
        <v>314</v>
      </c>
      <c r="B338" s="30">
        <v>-1.769596578631924E-2</v>
      </c>
      <c r="C338" s="30">
        <v>1.1460861566896137E-3</v>
      </c>
    </row>
    <row r="339" spans="1:3" x14ac:dyDescent="0.3">
      <c r="A339" s="18">
        <v>315</v>
      </c>
      <c r="B339" s="30">
        <v>2.0425781877260608E-2</v>
      </c>
      <c r="C339" s="30">
        <v>7.4185338493109765E-2</v>
      </c>
    </row>
    <row r="340" spans="1:3" x14ac:dyDescent="0.3">
      <c r="A340" s="18">
        <v>316</v>
      </c>
      <c r="B340" s="30">
        <v>6.0389844483690044E-2</v>
      </c>
      <c r="C340" s="30">
        <v>1.0282275886680334E-2</v>
      </c>
    </row>
    <row r="341" spans="1:3" x14ac:dyDescent="0.3">
      <c r="A341" s="18">
        <v>317</v>
      </c>
      <c r="B341" s="30">
        <v>5.6421781529860174E-2</v>
      </c>
      <c r="C341" s="30">
        <v>0.15443133884051019</v>
      </c>
    </row>
    <row r="342" spans="1:3" x14ac:dyDescent="0.3">
      <c r="A342" s="18">
        <v>318</v>
      </c>
      <c r="B342" s="30">
        <v>-1.7412532718188531E-2</v>
      </c>
      <c r="C342" s="30">
        <v>2.0931653088558905E-2</v>
      </c>
    </row>
    <row r="343" spans="1:3" x14ac:dyDescent="0.3">
      <c r="A343" s="18">
        <v>319</v>
      </c>
      <c r="B343" s="30">
        <v>-4.2496359247755938E-2</v>
      </c>
      <c r="C343" s="30">
        <v>0.11865647961812631</v>
      </c>
    </row>
    <row r="344" spans="1:3" x14ac:dyDescent="0.3">
      <c r="A344" s="18">
        <v>320</v>
      </c>
      <c r="B344" s="30">
        <v>2.368526216076372E-2</v>
      </c>
      <c r="C344" s="30">
        <v>2.3830858209606655E-2</v>
      </c>
    </row>
    <row r="345" spans="1:3" x14ac:dyDescent="0.3">
      <c r="A345" s="18">
        <v>321</v>
      </c>
      <c r="B345" s="30">
        <v>5.4862899655141295E-2</v>
      </c>
      <c r="C345" s="30">
        <v>4.9898220715229077E-2</v>
      </c>
    </row>
    <row r="346" spans="1:3" x14ac:dyDescent="0.3">
      <c r="A346" s="18">
        <v>322</v>
      </c>
      <c r="B346" s="30">
        <v>3.4739151817861219E-2</v>
      </c>
      <c r="C346" s="30">
        <v>0.19947596855250915</v>
      </c>
    </row>
    <row r="347" spans="1:3" x14ac:dyDescent="0.3">
      <c r="A347" s="18">
        <v>323</v>
      </c>
      <c r="B347" s="30">
        <v>-5.8935477199336839E-2</v>
      </c>
      <c r="C347" s="30">
        <v>1.4754597569707213E-2</v>
      </c>
    </row>
    <row r="348" spans="1:3" x14ac:dyDescent="0.3">
      <c r="A348" s="18">
        <v>324</v>
      </c>
      <c r="B348" s="30">
        <v>-3.8077454479146823E-3</v>
      </c>
      <c r="C348" s="30">
        <v>8.735986581828506E-2</v>
      </c>
    </row>
    <row r="349" spans="1:3" x14ac:dyDescent="0.3">
      <c r="A349" s="18">
        <v>325</v>
      </c>
      <c r="B349" s="30">
        <v>-8.2460421854185381E-2</v>
      </c>
      <c r="C349" s="30">
        <v>-0.23766545777544423</v>
      </c>
    </row>
    <row r="350" spans="1:3" x14ac:dyDescent="0.3">
      <c r="A350" s="18">
        <v>326</v>
      </c>
      <c r="B350" s="30">
        <v>-3.7252847487337891E-2</v>
      </c>
      <c r="C350" s="30">
        <v>-4.2622032142291731E-2</v>
      </c>
    </row>
    <row r="351" spans="1:3" x14ac:dyDescent="0.3">
      <c r="A351" s="18">
        <v>327</v>
      </c>
      <c r="B351" s="30">
        <v>-6.0752099929603232E-3</v>
      </c>
      <c r="C351" s="30">
        <v>0.1504053303633307</v>
      </c>
    </row>
    <row r="352" spans="1:3" x14ac:dyDescent="0.3">
      <c r="A352" s="18">
        <v>328</v>
      </c>
      <c r="B352" s="30">
        <v>7.2435749879245004E-2</v>
      </c>
      <c r="C352" s="30">
        <v>0.13627337049112537</v>
      </c>
    </row>
    <row r="353" spans="1:3" x14ac:dyDescent="0.3">
      <c r="A353" s="18">
        <v>329</v>
      </c>
      <c r="B353" s="30">
        <v>3.3605419545338397E-2</v>
      </c>
      <c r="C353" s="30">
        <v>4.7990700825031984E-2</v>
      </c>
    </row>
    <row r="354" spans="1:3" x14ac:dyDescent="0.3">
      <c r="A354" s="18">
        <v>330</v>
      </c>
      <c r="B354" s="30">
        <v>-0.11250432707604011</v>
      </c>
      <c r="C354" s="30">
        <v>-3.8825525535895189E-3</v>
      </c>
    </row>
    <row r="355" spans="1:3" x14ac:dyDescent="0.3">
      <c r="A355" s="18">
        <v>331</v>
      </c>
      <c r="B355" s="30">
        <v>-4.0911785160453878E-3</v>
      </c>
      <c r="C355" s="30">
        <v>-5.0099701113584236E-2</v>
      </c>
    </row>
    <row r="356" spans="1:3" x14ac:dyDescent="0.3">
      <c r="A356" s="18">
        <v>332</v>
      </c>
      <c r="B356" s="30">
        <v>2.8220191250855002E-2</v>
      </c>
      <c r="C356" s="30">
        <v>3.4855929119515371E-2</v>
      </c>
    </row>
    <row r="357" spans="1:3" x14ac:dyDescent="0.3">
      <c r="A357" s="18">
        <v>333</v>
      </c>
      <c r="B357" s="30">
        <v>-0.12412508286939901</v>
      </c>
      <c r="C357" s="30">
        <v>-0.20891879676023067</v>
      </c>
    </row>
    <row r="358" spans="1:3" x14ac:dyDescent="0.3">
      <c r="A358" s="18">
        <v>334</v>
      </c>
      <c r="B358" s="30">
        <v>-0.23834860932607321</v>
      </c>
      <c r="C358" s="30">
        <v>0.18145772969644358</v>
      </c>
    </row>
    <row r="359" spans="1:3" x14ac:dyDescent="0.3">
      <c r="A359" s="18">
        <v>335</v>
      </c>
      <c r="B359" s="30">
        <v>-0.10626879957716459</v>
      </c>
      <c r="C359" s="30">
        <v>-3.5892080052465025E-2</v>
      </c>
    </row>
    <row r="360" spans="1:3" x14ac:dyDescent="0.3">
      <c r="A360" s="18">
        <v>336</v>
      </c>
      <c r="B360" s="30">
        <v>2.9353923523377821E-2</v>
      </c>
      <c r="C360" s="30">
        <v>-0.11182980315300745</v>
      </c>
    </row>
    <row r="361" spans="1:3" x14ac:dyDescent="0.3">
      <c r="A361" s="18">
        <v>337</v>
      </c>
      <c r="B361" s="30">
        <v>-0.11037857906505981</v>
      </c>
      <c r="C361" s="30">
        <v>0.1628976994354302</v>
      </c>
    </row>
    <row r="362" spans="1:3" x14ac:dyDescent="0.3">
      <c r="A362" s="18">
        <v>338</v>
      </c>
      <c r="B362" s="30">
        <v>-0.13829673627593431</v>
      </c>
      <c r="C362" s="30">
        <v>0.12571285664630469</v>
      </c>
    </row>
    <row r="363" spans="1:3" x14ac:dyDescent="0.3">
      <c r="A363" s="18">
        <v>339</v>
      </c>
      <c r="B363" s="30">
        <v>0.13181497765262773</v>
      </c>
      <c r="C363" s="30">
        <v>4.1723142717742634E-2</v>
      </c>
    </row>
    <row r="364" spans="1:3" x14ac:dyDescent="0.3">
      <c r="A364" s="18">
        <v>340</v>
      </c>
      <c r="B364" s="30">
        <v>0.14924611134266608</v>
      </c>
      <c r="C364" s="30">
        <v>4.4281009027704293E-2</v>
      </c>
    </row>
    <row r="365" spans="1:3" x14ac:dyDescent="0.3">
      <c r="A365" s="18">
        <v>341</v>
      </c>
      <c r="B365" s="30">
        <v>7.8529560844055171E-2</v>
      </c>
      <c r="C365" s="30">
        <v>-2.7024404736848001E-3</v>
      </c>
    </row>
    <row r="366" spans="1:3" x14ac:dyDescent="0.3">
      <c r="A366" s="18">
        <v>342</v>
      </c>
      <c r="B366" s="30">
        <v>1.0930774094881987E-2</v>
      </c>
      <c r="C366" s="30">
        <v>3.4328346275488385E-2</v>
      </c>
    </row>
    <row r="367" spans="1:3" x14ac:dyDescent="0.3">
      <c r="A367" s="18">
        <v>343</v>
      </c>
      <c r="B367" s="30">
        <v>0.11424212742852402</v>
      </c>
      <c r="C367" s="30">
        <v>2.9431992941846369E-2</v>
      </c>
    </row>
    <row r="368" spans="1:3" x14ac:dyDescent="0.3">
      <c r="A368" s="18">
        <v>344</v>
      </c>
      <c r="B368" s="30">
        <v>5.2028568973834233E-2</v>
      </c>
      <c r="C368" s="30">
        <v>-2.6014448603463861E-2</v>
      </c>
    </row>
    <row r="369" spans="1:3" x14ac:dyDescent="0.3">
      <c r="A369" s="18">
        <v>345</v>
      </c>
      <c r="B369" s="30">
        <v>6.2657309028735675E-2</v>
      </c>
      <c r="C369" s="30">
        <v>3.5752811341634702E-2</v>
      </c>
    </row>
    <row r="370" spans="1:3" x14ac:dyDescent="0.3">
      <c r="A370" s="18">
        <v>346</v>
      </c>
      <c r="B370" s="30">
        <v>-3.2009335726919851E-2</v>
      </c>
      <c r="C370" s="30">
        <v>4.5518456097290223E-2</v>
      </c>
    </row>
    <row r="371" spans="1:3" x14ac:dyDescent="0.3">
      <c r="A371" s="18">
        <v>347</v>
      </c>
      <c r="B371" s="30">
        <v>8.3489639536342503E-2</v>
      </c>
      <c r="C371" s="30">
        <v>-2.6444519165972125E-2</v>
      </c>
    </row>
    <row r="372" spans="1:3" x14ac:dyDescent="0.3">
      <c r="A372" s="18">
        <v>348</v>
      </c>
      <c r="B372" s="30">
        <v>4.3809009998043782E-2</v>
      </c>
      <c r="C372" s="30">
        <v>6.8391103723265956E-3</v>
      </c>
    </row>
    <row r="373" spans="1:3" x14ac:dyDescent="0.3">
      <c r="A373" s="18">
        <v>349</v>
      </c>
      <c r="B373" s="30">
        <v>-4.2921508849951988E-2</v>
      </c>
      <c r="C373" s="30">
        <v>-4.9155370779677639E-2</v>
      </c>
    </row>
    <row r="374" spans="1:3" x14ac:dyDescent="0.3">
      <c r="A374" s="18">
        <v>350</v>
      </c>
      <c r="B374" s="30">
        <v>5.2878868178226353E-2</v>
      </c>
      <c r="C374" s="30">
        <v>9.0152521921440174E-3</v>
      </c>
    </row>
    <row r="375" spans="1:3" x14ac:dyDescent="0.3">
      <c r="A375" s="18">
        <v>351</v>
      </c>
      <c r="B375" s="30">
        <v>9.4260096125309292E-2</v>
      </c>
      <c r="C375" s="30">
        <v>5.0724024245061075E-2</v>
      </c>
    </row>
    <row r="376" spans="1:3" x14ac:dyDescent="0.3">
      <c r="A376" s="18">
        <v>352</v>
      </c>
      <c r="B376" s="30">
        <v>3.318026994314234E-2</v>
      </c>
      <c r="C376" s="30">
        <v>7.4354850427228031E-2</v>
      </c>
    </row>
    <row r="377" spans="1:3" x14ac:dyDescent="0.3">
      <c r="A377" s="18">
        <v>353</v>
      </c>
      <c r="B377" s="30">
        <v>-0.10697738224749136</v>
      </c>
      <c r="C377" s="30">
        <v>8.7366502617861733E-2</v>
      </c>
    </row>
    <row r="378" spans="1:3" x14ac:dyDescent="0.3">
      <c r="A378" s="18">
        <v>354</v>
      </c>
      <c r="B378" s="30">
        <v>-7.3957429810264208E-2</v>
      </c>
      <c r="C378" s="30">
        <v>4.9644550180634586E-2</v>
      </c>
    </row>
    <row r="379" spans="1:3" x14ac:dyDescent="0.3">
      <c r="A379" s="18">
        <v>355</v>
      </c>
      <c r="B379" s="30">
        <v>0.10304652123736116</v>
      </c>
      <c r="C379" s="30">
        <v>-8.3791400866990787E-2</v>
      </c>
    </row>
    <row r="380" spans="1:3" x14ac:dyDescent="0.3">
      <c r="A380" s="18">
        <v>356</v>
      </c>
      <c r="B380" s="30">
        <v>-6.2761823619101348E-2</v>
      </c>
      <c r="C380" s="30">
        <v>4.270943989471726E-3</v>
      </c>
    </row>
    <row r="381" spans="1:3" x14ac:dyDescent="0.3">
      <c r="A381" s="18">
        <v>357</v>
      </c>
      <c r="B381" s="30">
        <v>0.14003453662841819</v>
      </c>
      <c r="C381" s="30">
        <v>2.3694583741952185E-2</v>
      </c>
    </row>
    <row r="382" spans="1:3" x14ac:dyDescent="0.3">
      <c r="A382" s="18">
        <v>358</v>
      </c>
      <c r="B382" s="30">
        <v>5.9822978347428626E-2</v>
      </c>
      <c r="C382" s="30">
        <v>-2.5858579770582507E-3</v>
      </c>
    </row>
    <row r="383" spans="1:3" x14ac:dyDescent="0.3">
      <c r="A383" s="18">
        <v>359</v>
      </c>
      <c r="B383" s="30">
        <v>1.333995517399298E-2</v>
      </c>
      <c r="C383" s="30">
        <v>1.6964165196377393E-2</v>
      </c>
    </row>
    <row r="384" spans="1:3" x14ac:dyDescent="0.3">
      <c r="A384" s="18">
        <v>360</v>
      </c>
      <c r="B384" s="30">
        <v>0.1014876393626423</v>
      </c>
      <c r="C384" s="30">
        <v>-6.8303518992271911E-2</v>
      </c>
    </row>
    <row r="385" spans="1:3" x14ac:dyDescent="0.3">
      <c r="A385" s="18">
        <v>361</v>
      </c>
      <c r="B385" s="30">
        <v>3.3038553409076993E-2</v>
      </c>
      <c r="C385" s="30">
        <v>1.5434566961293382E-2</v>
      </c>
    </row>
    <row r="386" spans="1:3" x14ac:dyDescent="0.3">
      <c r="A386" s="18">
        <v>362</v>
      </c>
      <c r="B386" s="30">
        <v>5.4296033518879884E-2</v>
      </c>
      <c r="C386" s="30">
        <v>-1.6846913148509508E-2</v>
      </c>
    </row>
    <row r="387" spans="1:3" x14ac:dyDescent="0.3">
      <c r="A387" s="18">
        <v>363</v>
      </c>
      <c r="B387" s="30">
        <v>1.121420716301269E-2</v>
      </c>
      <c r="C387" s="30">
        <v>-2.8014086792642317E-2</v>
      </c>
    </row>
    <row r="388" spans="1:3" x14ac:dyDescent="0.3">
      <c r="A388" s="18">
        <v>364</v>
      </c>
      <c r="B388" s="30">
        <v>4.5793041474958718E-2</v>
      </c>
      <c r="C388" s="30">
        <v>-4.4622921104588341E-2</v>
      </c>
    </row>
    <row r="389" spans="1:3" x14ac:dyDescent="0.3">
      <c r="A389" s="18">
        <v>365</v>
      </c>
      <c r="B389" s="30">
        <v>-1.3302753230293306E-2</v>
      </c>
      <c r="C389" s="30">
        <v>3.2478736006636803E-3</v>
      </c>
    </row>
    <row r="390" spans="1:3" x14ac:dyDescent="0.3">
      <c r="A390" s="18">
        <v>366</v>
      </c>
      <c r="B390" s="30">
        <v>-2.0105146865430232E-2</v>
      </c>
      <c r="C390" s="30">
        <v>-1.834073276419939E-2</v>
      </c>
    </row>
    <row r="391" spans="1:3" x14ac:dyDescent="0.3">
      <c r="A391" s="18">
        <v>367</v>
      </c>
      <c r="B391" s="30">
        <v>-2.8749855443416739E-2</v>
      </c>
      <c r="C391" s="30">
        <v>0.18854897581378713</v>
      </c>
    </row>
    <row r="392" spans="1:3" x14ac:dyDescent="0.3">
      <c r="A392" s="18">
        <v>368</v>
      </c>
      <c r="B392" s="30">
        <v>-8.0051240775074375E-2</v>
      </c>
      <c r="C392" s="30">
        <v>6.2096361145444749E-2</v>
      </c>
    </row>
    <row r="393" spans="1:3" x14ac:dyDescent="0.3">
      <c r="A393" s="18">
        <v>369</v>
      </c>
      <c r="B393" s="30">
        <v>-0.10286760275959612</v>
      </c>
      <c r="C393" s="30">
        <v>9.0260723129966497E-2</v>
      </c>
    </row>
    <row r="394" spans="1:3" x14ac:dyDescent="0.3">
      <c r="A394" s="18">
        <v>370</v>
      </c>
      <c r="B394" s="30">
        <v>0.16554351276018164</v>
      </c>
      <c r="C394" s="30">
        <v>-0.10750639238981127</v>
      </c>
    </row>
    <row r="395" spans="1:3" x14ac:dyDescent="0.3">
      <c r="A395" s="18">
        <v>371</v>
      </c>
      <c r="B395" s="30">
        <v>7.2718364217659939E-4</v>
      </c>
      <c r="C395" s="30">
        <v>-5.9996063271806219E-2</v>
      </c>
    </row>
    <row r="396" spans="1:3" x14ac:dyDescent="0.3">
      <c r="A396" s="18">
        <v>372</v>
      </c>
      <c r="B396" s="30">
        <v>1.5182270116842565E-2</v>
      </c>
      <c r="C396" s="30">
        <v>4.0986850253527815E-2</v>
      </c>
    </row>
    <row r="397" spans="1:3" x14ac:dyDescent="0.3">
      <c r="A397" s="18">
        <v>373</v>
      </c>
      <c r="B397" s="30">
        <v>7.6262096299009527E-2</v>
      </c>
      <c r="C397" s="30">
        <v>4.7363024071360851E-2</v>
      </c>
    </row>
    <row r="398" spans="1:3" x14ac:dyDescent="0.3">
      <c r="A398" s="18">
        <v>374</v>
      </c>
      <c r="B398" s="30">
        <v>6.7333954652892311E-2</v>
      </c>
      <c r="C398" s="30">
        <v>0.11749116571747807</v>
      </c>
    </row>
    <row r="399" spans="1:3" x14ac:dyDescent="0.3">
      <c r="A399" s="18">
        <v>375</v>
      </c>
      <c r="B399" s="30">
        <v>4.8769088690331121E-2</v>
      </c>
      <c r="C399" s="30">
        <v>5.3029031680039258E-2</v>
      </c>
    </row>
    <row r="400" spans="1:3" x14ac:dyDescent="0.3">
      <c r="A400" s="18">
        <v>376</v>
      </c>
      <c r="B400" s="30">
        <v>-7.3506587995484998E-3</v>
      </c>
      <c r="C400" s="30">
        <v>-2.2104220830081126E-2</v>
      </c>
    </row>
    <row r="401" spans="1:3" x14ac:dyDescent="0.3">
      <c r="A401" s="18">
        <v>377</v>
      </c>
      <c r="B401" s="30">
        <v>-8.2885571456381438E-2</v>
      </c>
      <c r="C401" s="30">
        <v>6.8697691826751811E-2</v>
      </c>
    </row>
    <row r="402" spans="1:3" x14ac:dyDescent="0.3">
      <c r="A402" s="18">
        <v>378</v>
      </c>
      <c r="B402" s="30">
        <v>5.982297834742864E-2</v>
      </c>
      <c r="C402" s="30">
        <v>-5.2455857977058269E-2</v>
      </c>
    </row>
    <row r="403" spans="1:3" x14ac:dyDescent="0.3">
      <c r="A403" s="18">
        <v>379</v>
      </c>
      <c r="B403" s="30">
        <v>1.5890852787169327E-2</v>
      </c>
      <c r="C403" s="30">
        <v>2.6445267583201051E-2</v>
      </c>
    </row>
    <row r="404" spans="1:3" x14ac:dyDescent="0.3">
      <c r="A404" s="18">
        <v>380</v>
      </c>
      <c r="B404" s="30">
        <v>4.0974679316736727E-2</v>
      </c>
      <c r="C404" s="30">
        <v>4.9078441053633647E-2</v>
      </c>
    </row>
    <row r="405" spans="1:3" x14ac:dyDescent="0.3">
      <c r="A405" s="18">
        <v>381</v>
      </c>
      <c r="B405" s="30">
        <v>4.3525576929913073E-2</v>
      </c>
      <c r="C405" s="30">
        <v>-4.4208456559542697E-2</v>
      </c>
    </row>
    <row r="406" spans="1:3" x14ac:dyDescent="0.3">
      <c r="A406" s="18">
        <v>382</v>
      </c>
      <c r="B406" s="30">
        <v>-2.0105146865430232E-2</v>
      </c>
      <c r="C406" s="30">
        <v>-9.0987732764199386E-2</v>
      </c>
    </row>
    <row r="407" spans="1:3" x14ac:dyDescent="0.3">
      <c r="A407" s="18">
        <v>383</v>
      </c>
      <c r="B407" s="30">
        <v>1.5890852787169327E-2</v>
      </c>
      <c r="C407" s="30">
        <v>-3.1789732416798958E-2</v>
      </c>
    </row>
    <row r="408" spans="1:3" x14ac:dyDescent="0.3">
      <c r="A408" s="18">
        <v>384</v>
      </c>
      <c r="B408" s="30">
        <v>2.1559514149783431E-2</v>
      </c>
      <c r="C408" s="30">
        <v>-0.11578339377941305</v>
      </c>
    </row>
    <row r="409" spans="1:3" x14ac:dyDescent="0.3">
      <c r="A409" s="18">
        <v>385</v>
      </c>
      <c r="B409" s="30">
        <v>8.3631356070407864E-2</v>
      </c>
      <c r="C409" s="30">
        <v>-0.23121123570003749</v>
      </c>
    </row>
    <row r="410" spans="1:3" x14ac:dyDescent="0.3">
      <c r="A410" s="18">
        <v>386</v>
      </c>
      <c r="B410" s="30">
        <v>2.2976679490436955E-2</v>
      </c>
      <c r="C410" s="30">
        <v>-5.1578559120066578E-2</v>
      </c>
    </row>
    <row r="411" spans="1:3" x14ac:dyDescent="0.3">
      <c r="A411" s="18">
        <v>387</v>
      </c>
      <c r="B411" s="30">
        <v>6.1807009824343569E-2</v>
      </c>
      <c r="C411" s="30">
        <v>-6.2437889453973196E-2</v>
      </c>
    </row>
    <row r="412" spans="1:3" x14ac:dyDescent="0.3">
      <c r="A412" s="18">
        <v>388</v>
      </c>
      <c r="B412" s="30">
        <v>2.6661309376136123E-2</v>
      </c>
      <c r="C412" s="30">
        <v>-2.987618900576575E-2</v>
      </c>
    </row>
    <row r="413" spans="1:3" x14ac:dyDescent="0.3">
      <c r="A413" s="18">
        <v>389</v>
      </c>
      <c r="B413" s="30">
        <v>4.4375876134305194E-2</v>
      </c>
      <c r="C413" s="30">
        <v>-2.5265755763934819E-2</v>
      </c>
    </row>
    <row r="414" spans="1:3" x14ac:dyDescent="0.3">
      <c r="A414" s="18">
        <v>390</v>
      </c>
      <c r="B414" s="30">
        <v>-1.2310737491835838E-2</v>
      </c>
      <c r="C414" s="30">
        <v>-0.10947814213779379</v>
      </c>
    </row>
    <row r="415" spans="1:3" x14ac:dyDescent="0.3">
      <c r="A415" s="18">
        <v>391</v>
      </c>
      <c r="B415" s="30">
        <v>8.4765088342930686E-2</v>
      </c>
      <c r="C415" s="30">
        <v>5.297403202743968E-2</v>
      </c>
    </row>
    <row r="416" spans="1:3" x14ac:dyDescent="0.3">
      <c r="A416" s="18">
        <v>392</v>
      </c>
      <c r="B416" s="30">
        <v>-3.3709934135704077E-2</v>
      </c>
      <c r="C416" s="30">
        <v>0.11361305450607445</v>
      </c>
    </row>
    <row r="417" spans="1:3" x14ac:dyDescent="0.3">
      <c r="A417" s="18">
        <v>393</v>
      </c>
      <c r="B417" s="30">
        <v>5.81223799386444E-2</v>
      </c>
      <c r="C417" s="30">
        <v>-8.3089259568274024E-2</v>
      </c>
    </row>
    <row r="418" spans="1:3" x14ac:dyDescent="0.3">
      <c r="A418" s="18">
        <v>394</v>
      </c>
      <c r="B418" s="30">
        <v>6.3932757835323845E-2</v>
      </c>
      <c r="C418" s="30">
        <v>2.8967362535046531E-2</v>
      </c>
    </row>
    <row r="419" spans="1:3" x14ac:dyDescent="0.3">
      <c r="A419" s="18">
        <v>395</v>
      </c>
      <c r="B419" s="30">
        <v>4.8910805224396482E-2</v>
      </c>
      <c r="C419" s="30">
        <v>1.7276315145973893E-2</v>
      </c>
    </row>
    <row r="420" spans="1:3" x14ac:dyDescent="0.3">
      <c r="A420" s="18">
        <v>396</v>
      </c>
      <c r="B420" s="30">
        <v>4.4517592668370548E-2</v>
      </c>
      <c r="C420" s="30">
        <v>-3.9101472298000171E-2</v>
      </c>
    </row>
    <row r="421" spans="1:3" x14ac:dyDescent="0.3">
      <c r="A421" s="18">
        <v>397</v>
      </c>
      <c r="B421" s="30">
        <v>-4.2354642713690584E-2</v>
      </c>
      <c r="C421" s="30">
        <v>-6.8828236915939034E-2</v>
      </c>
    </row>
    <row r="422" spans="1:3" x14ac:dyDescent="0.3">
      <c r="A422" s="18">
        <v>398</v>
      </c>
      <c r="B422" s="30">
        <v>7.0593434936395444E-2</v>
      </c>
      <c r="C422" s="30">
        <v>-1.6768314566025067E-2</v>
      </c>
    </row>
    <row r="423" spans="1:3" x14ac:dyDescent="0.3">
      <c r="A423" s="18">
        <v>399</v>
      </c>
      <c r="B423" s="30">
        <v>1.0789057560816634E-2</v>
      </c>
      <c r="C423" s="30">
        <v>5.6780628095537376E-3</v>
      </c>
    </row>
    <row r="424" spans="1:3" x14ac:dyDescent="0.3">
      <c r="A424" s="18">
        <v>400</v>
      </c>
      <c r="B424" s="30">
        <v>2.0026324487647735E-3</v>
      </c>
      <c r="C424" s="30">
        <v>9.3907487921605595E-2</v>
      </c>
    </row>
    <row r="425" spans="1:3" x14ac:dyDescent="0.3">
      <c r="A425" s="18">
        <v>401</v>
      </c>
      <c r="B425" s="30">
        <v>3.3888852613469106E-2</v>
      </c>
      <c r="C425" s="30">
        <v>4.0918267756901272E-2</v>
      </c>
    </row>
    <row r="426" spans="1:3" x14ac:dyDescent="0.3">
      <c r="A426" s="18">
        <v>402</v>
      </c>
      <c r="B426" s="30">
        <v>4.1683261987063493E-2</v>
      </c>
      <c r="C426" s="30">
        <v>-1.7507141616693121E-2</v>
      </c>
    </row>
    <row r="427" spans="1:3" x14ac:dyDescent="0.3">
      <c r="A427" s="18">
        <v>403</v>
      </c>
      <c r="B427" s="30">
        <v>-2.4214926353325457E-2</v>
      </c>
      <c r="C427" s="30">
        <v>4.9460046723695833E-2</v>
      </c>
    </row>
    <row r="428" spans="1:3" x14ac:dyDescent="0.3">
      <c r="A428" s="18">
        <v>404</v>
      </c>
      <c r="B428" s="30">
        <v>6.4783057039715972E-2</v>
      </c>
      <c r="C428" s="30">
        <v>8.8230633306543987E-3</v>
      </c>
    </row>
    <row r="429" spans="1:3" x14ac:dyDescent="0.3">
      <c r="A429" s="18">
        <v>405</v>
      </c>
      <c r="B429" s="30">
        <v>-2.3222910614867989E-2</v>
      </c>
      <c r="C429" s="30">
        <v>2.6640309852383609E-3</v>
      </c>
    </row>
    <row r="430" spans="1:3" x14ac:dyDescent="0.3">
      <c r="A430" s="18">
        <v>406</v>
      </c>
      <c r="B430" s="30">
        <v>4.0407813180475323E-2</v>
      </c>
      <c r="C430" s="30">
        <v>2.806630718989505E-2</v>
      </c>
    </row>
    <row r="431" spans="1:3" x14ac:dyDescent="0.3">
      <c r="A431" s="18">
        <v>407</v>
      </c>
      <c r="B431" s="30">
        <v>4.083296278267138E-2</v>
      </c>
      <c r="C431" s="30">
        <v>6.1237157587698994E-2</v>
      </c>
    </row>
    <row r="432" spans="1:3" x14ac:dyDescent="0.3">
      <c r="A432" s="18">
        <v>408</v>
      </c>
      <c r="B432" s="30">
        <v>3.8449473916143569E-3</v>
      </c>
      <c r="C432" s="30">
        <v>-7.9221827021243973E-2</v>
      </c>
    </row>
    <row r="433" spans="1:3" x14ac:dyDescent="0.3">
      <c r="A433" s="18">
        <v>409</v>
      </c>
      <c r="B433" s="30">
        <v>-3.9378595498318181E-2</v>
      </c>
      <c r="C433" s="30">
        <v>9.7316715868688564E-2</v>
      </c>
    </row>
    <row r="434" spans="1:3" x14ac:dyDescent="0.3">
      <c r="A434" s="18">
        <v>410</v>
      </c>
      <c r="B434" s="30">
        <v>9.1567481978067605E-2</v>
      </c>
      <c r="C434" s="30">
        <v>5.407638392302766E-3</v>
      </c>
    </row>
    <row r="435" spans="1:3" x14ac:dyDescent="0.3">
      <c r="A435" s="18">
        <v>411</v>
      </c>
      <c r="B435" s="30">
        <v>-1.1177005219313019E-2</v>
      </c>
      <c r="C435" s="30">
        <v>-2.3680874410316601E-2</v>
      </c>
    </row>
    <row r="436" spans="1:3" x14ac:dyDescent="0.3">
      <c r="A436" s="18">
        <v>412</v>
      </c>
      <c r="B436" s="30">
        <v>1.3056522105862275E-2</v>
      </c>
      <c r="C436" s="30">
        <v>-1.0756401735491901E-2</v>
      </c>
    </row>
    <row r="437" spans="1:3" x14ac:dyDescent="0.3">
      <c r="A437" s="18">
        <v>413</v>
      </c>
      <c r="B437" s="30">
        <v>2.3968695228894422E-2</v>
      </c>
      <c r="C437" s="30">
        <v>1.7691425141475953E-2</v>
      </c>
    </row>
    <row r="438" spans="1:3" x14ac:dyDescent="0.3">
      <c r="A438" s="18">
        <v>414</v>
      </c>
      <c r="B438" s="30">
        <v>-1.6987383115992474E-2</v>
      </c>
      <c r="C438" s="30">
        <v>-2.376449651363715E-2</v>
      </c>
    </row>
    <row r="439" spans="1:3" x14ac:dyDescent="0.3">
      <c r="A439" s="18">
        <v>415</v>
      </c>
      <c r="B439" s="30">
        <v>2.6519592842070769E-2</v>
      </c>
      <c r="C439" s="30">
        <v>-6.2893472471700393E-2</v>
      </c>
    </row>
    <row r="440" spans="1:3" x14ac:dyDescent="0.3">
      <c r="A440" s="18">
        <v>416</v>
      </c>
      <c r="B440" s="30">
        <v>-8.0901539979466502E-2</v>
      </c>
      <c r="C440" s="30">
        <v>1.1298660349836884E-2</v>
      </c>
    </row>
    <row r="441" spans="1:3" x14ac:dyDescent="0.3">
      <c r="A441" s="18">
        <v>417</v>
      </c>
      <c r="B441" s="30">
        <v>-3.8953445896122124E-2</v>
      </c>
      <c r="C441" s="30">
        <v>1.3651566266492499E-2</v>
      </c>
    </row>
    <row r="442" spans="1:3" x14ac:dyDescent="0.3">
      <c r="A442" s="18">
        <v>418</v>
      </c>
      <c r="B442" s="30">
        <v>0.11452556049665473</v>
      </c>
      <c r="C442" s="30">
        <v>-3.4602440126284356E-2</v>
      </c>
    </row>
    <row r="443" spans="1:3" x14ac:dyDescent="0.3">
      <c r="A443" s="18">
        <v>419</v>
      </c>
      <c r="B443" s="30">
        <v>1.2631372503666218E-2</v>
      </c>
      <c r="C443" s="30">
        <v>-2.1807252133295846E-2</v>
      </c>
    </row>
    <row r="444" spans="1:3" x14ac:dyDescent="0.3">
      <c r="A444" s="18">
        <v>420</v>
      </c>
      <c r="B444" s="30">
        <v>-2.591552476210969E-2</v>
      </c>
      <c r="C444" s="30">
        <v>-8.779835486751994E-2</v>
      </c>
    </row>
    <row r="445" spans="1:3" x14ac:dyDescent="0.3">
      <c r="A445" s="18">
        <v>421</v>
      </c>
      <c r="B445" s="30">
        <v>-7.6933477025636604E-2</v>
      </c>
      <c r="C445" s="30">
        <v>-1.7944026039930228E-3</v>
      </c>
    </row>
    <row r="446" spans="1:3" x14ac:dyDescent="0.3">
      <c r="A446" s="18">
        <v>422</v>
      </c>
      <c r="B446" s="30">
        <v>3.9866639256797105E-3</v>
      </c>
      <c r="C446" s="30">
        <v>-8.8075435553093377E-3</v>
      </c>
    </row>
    <row r="447" spans="1:3" x14ac:dyDescent="0.3">
      <c r="A447" s="18">
        <v>423</v>
      </c>
      <c r="B447" s="30">
        <v>0.10361338737362258</v>
      </c>
      <c r="C447" s="30">
        <v>2.0111732996747789E-2</v>
      </c>
    </row>
    <row r="448" spans="1:3" x14ac:dyDescent="0.3">
      <c r="A448" s="18">
        <v>424</v>
      </c>
      <c r="B448" s="30">
        <v>1.7874884264084262E-2</v>
      </c>
      <c r="C448" s="30">
        <v>-0.16128176389371388</v>
      </c>
    </row>
    <row r="449" spans="1:3" x14ac:dyDescent="0.3">
      <c r="A449" s="18">
        <v>425</v>
      </c>
      <c r="B449" s="30">
        <v>3.0062506193704583E-2</v>
      </c>
      <c r="C449" s="30">
        <v>3.7819614176665795E-2</v>
      </c>
    </row>
    <row r="450" spans="1:3" x14ac:dyDescent="0.3">
      <c r="A450" s="18">
        <v>426</v>
      </c>
      <c r="B450" s="30">
        <v>4.2700969938104152E-3</v>
      </c>
      <c r="C450" s="30">
        <v>-5.0415976623440037E-2</v>
      </c>
    </row>
    <row r="451" spans="1:3" x14ac:dyDescent="0.3">
      <c r="A451" s="18">
        <v>427</v>
      </c>
      <c r="B451" s="30">
        <v>6.0956710619951449E-2</v>
      </c>
      <c r="C451" s="30">
        <v>2.5620409750418932E-2</v>
      </c>
    </row>
    <row r="452" spans="1:3" x14ac:dyDescent="0.3">
      <c r="A452" s="18">
        <v>428</v>
      </c>
      <c r="B452" s="30">
        <v>1.2064506367404807E-2</v>
      </c>
      <c r="C452" s="30">
        <v>8.0556140029655644E-3</v>
      </c>
    </row>
    <row r="453" spans="1:3" x14ac:dyDescent="0.3">
      <c r="A453" s="18">
        <v>429</v>
      </c>
      <c r="B453" s="30">
        <v>8.5215930157709931E-3</v>
      </c>
      <c r="C453" s="30">
        <v>5.3496527354599394E-2</v>
      </c>
    </row>
    <row r="454" spans="1:3" x14ac:dyDescent="0.3">
      <c r="A454" s="18">
        <v>430</v>
      </c>
      <c r="B454" s="30">
        <v>-2.3648060217064046E-2</v>
      </c>
      <c r="C454" s="30">
        <v>2.449618058743442E-2</v>
      </c>
    </row>
    <row r="455" spans="1:3" x14ac:dyDescent="0.3">
      <c r="A455" s="18">
        <v>431</v>
      </c>
      <c r="B455" s="30">
        <v>7.3711198685833187E-2</v>
      </c>
      <c r="C455" s="30">
        <v>-9.8775078315462811E-2</v>
      </c>
    </row>
    <row r="456" spans="1:3" ht="16.2" thickBot="1" x14ac:dyDescent="0.35">
      <c r="A456" s="21">
        <v>432</v>
      </c>
      <c r="B456" s="31">
        <v>3.0912805398096703E-2</v>
      </c>
      <c r="C456" s="31">
        <v>1.3556314972273671E-2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0"/>
  <sheetViews>
    <sheetView workbookViewId="0">
      <pane ySplit="1" topLeftCell="A2" activePane="bottomLeft" state="frozen"/>
      <selection pane="bottomLeft" activeCell="A15" sqref="A15"/>
    </sheetView>
  </sheetViews>
  <sheetFormatPr defaultRowHeight="15.6" x14ac:dyDescent="0.3"/>
  <cols>
    <col min="1" max="1" width="18.3984375" style="9" bestFit="1" customWidth="1"/>
    <col min="2" max="2" width="25.5" style="9" bestFit="1" customWidth="1"/>
    <col min="3" max="4" width="11.59765625" style="9" bestFit="1" customWidth="1"/>
    <col min="6" max="6" width="3.5" style="6" bestFit="1" customWidth="1"/>
    <col min="7" max="7" width="6.3984375" style="35" bestFit="1" customWidth="1"/>
  </cols>
  <sheetData>
    <row r="1" spans="1:7" x14ac:dyDescent="0.3">
      <c r="A1" s="9" t="s">
        <v>3</v>
      </c>
      <c r="B1" s="9" t="s">
        <v>27</v>
      </c>
      <c r="C1" s="9" t="s">
        <v>31</v>
      </c>
      <c r="D1" s="9" t="s">
        <v>32</v>
      </c>
    </row>
    <row r="2" spans="1:7" x14ac:dyDescent="0.3">
      <c r="A2" s="9">
        <v>-0.23</v>
      </c>
      <c r="B2" s="10">
        <f>Regression!$B$17+Regression!$B$18*Prediction!A2</f>
        <v>-0.31631271396150323</v>
      </c>
      <c r="C2" s="10">
        <f>B2-$G$6*$G$3*SQRT(1/$G$2+(A2-$G$4)^2/$G$5)</f>
        <v>-0.37788267792200458</v>
      </c>
      <c r="D2" s="10">
        <f>B2+$G$6*$G$3*SQRT(1/$G$2+(A2-$G$4)^2/$G$5)</f>
        <v>-0.25474275000100188</v>
      </c>
      <c r="F2" s="6" t="s">
        <v>39</v>
      </c>
      <c r="G2" s="39">
        <v>432</v>
      </c>
    </row>
    <row r="3" spans="1:7" x14ac:dyDescent="0.3">
      <c r="A3" s="9">
        <f>A2+0.01</f>
        <v>-0.22</v>
      </c>
      <c r="B3" s="10">
        <f>Regression!$B$17+Regression!$B$18*Prediction!A3</f>
        <v>-0.30214106055496798</v>
      </c>
      <c r="C3" s="10">
        <f t="shared" ref="C3:C40" si="0">B3-$G$6*$G$3*SQRT(1/$G$2+(A3-$G$4)^2/$G$5)</f>
        <v>-0.36119333481541777</v>
      </c>
      <c r="D3" s="10">
        <f t="shared" ref="D3:D40" si="1">B3+$G$6*$G$3*SQRT(1/$G$2+(A3-$G$4)^2/$G$5)</f>
        <v>-0.24308878629451819</v>
      </c>
      <c r="F3" s="6" t="s">
        <v>38</v>
      </c>
      <c r="G3" s="36">
        <f>Regression!B7</f>
        <v>0.11927779856375947</v>
      </c>
    </row>
    <row r="4" spans="1:7" x14ac:dyDescent="0.3">
      <c r="A4" s="9">
        <f t="shared" ref="A4:A40" si="2">A3+0.01</f>
        <v>-0.21</v>
      </c>
      <c r="B4" s="10">
        <f>Regression!$B$17+Regression!$B$18*Prediction!A4</f>
        <v>-0.28796940714843272</v>
      </c>
      <c r="C4" s="10">
        <f t="shared" si="0"/>
        <v>-0.34450805731547179</v>
      </c>
      <c r="D4" s="10">
        <f t="shared" si="1"/>
        <v>-0.23143075698139365</v>
      </c>
      <c r="F4" s="6" t="s">
        <v>40</v>
      </c>
      <c r="G4" s="36">
        <f>AVERAGE(Returns!D2:D433)</f>
        <v>6.1668981481481523E-3</v>
      </c>
    </row>
    <row r="5" spans="1:7" x14ac:dyDescent="0.3">
      <c r="A5" s="9">
        <f t="shared" si="2"/>
        <v>-0.19999999999999998</v>
      </c>
      <c r="B5" s="10">
        <f>Regression!$B$17+Regression!$B$18*Prediction!A5</f>
        <v>-0.27379775374189741</v>
      </c>
      <c r="C5" s="10">
        <f t="shared" si="0"/>
        <v>-0.32782741285831024</v>
      </c>
      <c r="D5" s="10">
        <f t="shared" si="1"/>
        <v>-0.21976809462548458</v>
      </c>
      <c r="F5" s="6" t="s">
        <v>30</v>
      </c>
      <c r="G5" s="15">
        <f>DEVSQ(Returns!D2:D433)</f>
        <v>0.83673839666666672</v>
      </c>
    </row>
    <row r="6" spans="1:7" x14ac:dyDescent="0.3">
      <c r="A6" s="9">
        <f t="shared" si="2"/>
        <v>-0.18999999999999997</v>
      </c>
      <c r="B6" s="10">
        <f>Regression!$B$17+Regression!$B$18*Prediction!A6</f>
        <v>-0.25962610033536215</v>
      </c>
      <c r="C6" s="10">
        <f t="shared" si="0"/>
        <v>-0.3111520782485101</v>
      </c>
      <c r="D6" s="10">
        <f t="shared" si="1"/>
        <v>-0.20810012242221418</v>
      </c>
      <c r="F6" s="6" t="s">
        <v>37</v>
      </c>
      <c r="G6" s="36">
        <f>_xlfn.T.INV(0.975,430)</f>
        <v>1.9654961915713562</v>
      </c>
    </row>
    <row r="7" spans="1:7" x14ac:dyDescent="0.3">
      <c r="A7" s="9">
        <f t="shared" si="2"/>
        <v>-0.17999999999999997</v>
      </c>
      <c r="B7" s="10">
        <f>Regression!$B$17+Regression!$B$18*Prediction!A7</f>
        <v>-0.2454544469288269</v>
      </c>
      <c r="C7" s="10">
        <f t="shared" si="0"/>
        <v>-0.29448286694948583</v>
      </c>
      <c r="D7" s="10">
        <f t="shared" si="1"/>
        <v>-0.19642602690816796</v>
      </c>
      <c r="G7" s="37"/>
    </row>
    <row r="8" spans="1:7" x14ac:dyDescent="0.3">
      <c r="A8" s="9">
        <f t="shared" si="2"/>
        <v>-0.16999999999999996</v>
      </c>
      <c r="B8" s="10">
        <f>Regression!$B$17+Regression!$B$18*Prediction!A8</f>
        <v>-0.23128279352229159</v>
      </c>
      <c r="C8" s="10">
        <f t="shared" si="0"/>
        <v>-0.27782076483264828</v>
      </c>
      <c r="D8" s="10">
        <f t="shared" si="1"/>
        <v>-0.18474482221193486</v>
      </c>
    </row>
    <row r="9" spans="1:7" x14ac:dyDescent="0.3">
      <c r="A9" s="9">
        <f t="shared" si="2"/>
        <v>-0.15999999999999995</v>
      </c>
      <c r="B9" s="10">
        <f>Regression!$B$17+Regression!$B$18*Prediction!A9</f>
        <v>-0.21711114011575633</v>
      </c>
      <c r="C9" s="10">
        <f t="shared" si="0"/>
        <v>-0.2611669775472536</v>
      </c>
      <c r="D9" s="10">
        <f t="shared" si="1"/>
        <v>-0.17305530268425906</v>
      </c>
    </row>
    <row r="10" spans="1:7" x14ac:dyDescent="0.3">
      <c r="A10" s="9">
        <f t="shared" si="2"/>
        <v>-0.14999999999999994</v>
      </c>
      <c r="B10" s="10">
        <f>Regression!$B$17+Regression!$B$18*Prediction!A10</f>
        <v>-0.20293948670922107</v>
      </c>
      <c r="C10" s="10">
        <f t="shared" si="0"/>
        <v>-0.24452299406541875</v>
      </c>
      <c r="D10" s="10">
        <f t="shared" si="1"/>
        <v>-0.1613559793530234</v>
      </c>
    </row>
    <row r="11" spans="1:7" x14ac:dyDescent="0.3">
      <c r="A11" s="9">
        <f t="shared" si="2"/>
        <v>-0.13999999999999993</v>
      </c>
      <c r="B11" s="10">
        <f>Regression!$B$17+Regression!$B$18*Prediction!A11</f>
        <v>-0.18876783330268582</v>
      </c>
      <c r="C11" s="10">
        <f t="shared" si="0"/>
        <v>-0.22789067305698882</v>
      </c>
      <c r="D11" s="10">
        <f t="shared" si="1"/>
        <v>-0.14964499354838282</v>
      </c>
    </row>
    <row r="12" spans="1:7" x14ac:dyDescent="0.3">
      <c r="A12" s="9">
        <f t="shared" si="2"/>
        <v>-0.12999999999999992</v>
      </c>
      <c r="B12" s="10">
        <f>Regression!$B$17+Regression!$B$18*Prediction!A12</f>
        <v>-0.17459617989615051</v>
      </c>
      <c r="C12" s="10">
        <f t="shared" si="0"/>
        <v>-0.21127236196277646</v>
      </c>
      <c r="D12" s="10">
        <f t="shared" si="1"/>
        <v>-0.13791999782952455</v>
      </c>
    </row>
    <row r="13" spans="1:7" x14ac:dyDescent="0.3">
      <c r="A13" s="9">
        <f t="shared" si="2"/>
        <v>-0.11999999999999993</v>
      </c>
      <c r="B13" s="10">
        <f>Regression!$B$17+Regression!$B$18*Prediction!A13</f>
        <v>-0.16042452648961525</v>
      </c>
      <c r="C13" s="10">
        <f t="shared" si="0"/>
        <v>-0.19467106362365577</v>
      </c>
      <c r="D13" s="10">
        <f t="shared" si="1"/>
        <v>-0.12617798935557473</v>
      </c>
    </row>
    <row r="14" spans="1:7" x14ac:dyDescent="0.3">
      <c r="A14" s="9">
        <f t="shared" si="2"/>
        <v>-0.10999999999999993</v>
      </c>
      <c r="B14" s="10">
        <f>Regression!$B$17+Regression!$B$18*Prediction!A14</f>
        <v>-0.14625287308307999</v>
      </c>
      <c r="C14" s="10">
        <f t="shared" si="0"/>
        <v>-0.17809067317208793</v>
      </c>
      <c r="D14" s="10">
        <f t="shared" si="1"/>
        <v>-0.11441507299407205</v>
      </c>
    </row>
    <row r="15" spans="1:7" x14ac:dyDescent="0.3">
      <c r="A15" s="9">
        <f t="shared" si="2"/>
        <v>-9.9999999999999936E-2</v>
      </c>
      <c r="B15" s="10">
        <f>Regression!$B$17+Regression!$B$18*Prediction!A15</f>
        <v>-0.13208121967654479</v>
      </c>
      <c r="C15" s="10">
        <f t="shared" si="0"/>
        <v>-0.16153632038062571</v>
      </c>
      <c r="D15" s="10">
        <f t="shared" si="1"/>
        <v>-0.10262611897246388</v>
      </c>
    </row>
    <row r="16" spans="1:7" x14ac:dyDescent="0.3">
      <c r="A16" s="9">
        <f t="shared" si="2"/>
        <v>-8.9999999999999941E-2</v>
      </c>
      <c r="B16" s="10">
        <f>Regression!$B$17+Regression!$B$18*Prediction!A16</f>
        <v>-0.11790956627000952</v>
      </c>
      <c r="C16" s="10">
        <f t="shared" si="0"/>
        <v>-0.1450148726621712</v>
      </c>
      <c r="D16" s="10">
        <f t="shared" si="1"/>
        <v>-9.0804259877847848E-2</v>
      </c>
    </row>
    <row r="17" spans="1:7" x14ac:dyDescent="0.3">
      <c r="A17" s="9">
        <f t="shared" si="2"/>
        <v>-7.9999999999999946E-2</v>
      </c>
      <c r="B17" s="10">
        <f>Regression!$B$17+Regression!$B$18*Prediction!A17</f>
        <v>-0.10373791286347427</v>
      </c>
      <c r="C17" s="10">
        <f t="shared" si="0"/>
        <v>-0.12853568586598135</v>
      </c>
      <c r="D17" s="10">
        <f t="shared" si="1"/>
        <v>-7.8940139860967179E-2</v>
      </c>
    </row>
    <row r="18" spans="1:7" x14ac:dyDescent="0.3">
      <c r="A18" s="9">
        <f t="shared" si="2"/>
        <v>-6.9999999999999951E-2</v>
      </c>
      <c r="B18" s="10">
        <f>Regression!$B$17+Regression!$B$18*Prediction!A18</f>
        <v>-8.956625945693901E-2</v>
      </c>
      <c r="C18" s="10">
        <f t="shared" si="0"/>
        <v>-0.11211173996413326</v>
      </c>
      <c r="D18" s="10">
        <f t="shared" si="1"/>
        <v>-6.7020778949744758E-2</v>
      </c>
    </row>
    <row r="19" spans="1:7" x14ac:dyDescent="0.3">
      <c r="A19" s="9">
        <f t="shared" si="2"/>
        <v>-5.9999999999999949E-2</v>
      </c>
      <c r="B19" s="10">
        <f>Regression!$B$17+Regression!$B$18*Prediction!A19</f>
        <v>-7.5394606050403754E-2</v>
      </c>
      <c r="C19" s="10">
        <f t="shared" si="0"/>
        <v>-9.5761369928403117E-2</v>
      </c>
      <c r="D19" s="10">
        <f t="shared" si="1"/>
        <v>-5.5027842172404397E-2</v>
      </c>
    </row>
    <row r="20" spans="1:7" x14ac:dyDescent="0.3">
      <c r="A20" s="9">
        <f t="shared" si="2"/>
        <v>-4.9999999999999947E-2</v>
      </c>
      <c r="B20" s="10">
        <f>Regression!$B$17+Regression!$B$18*Prediction!A20</f>
        <v>-6.1222952643868483E-2</v>
      </c>
      <c r="C20" s="10">
        <f t="shared" si="0"/>
        <v>-7.95108908701853E-2</v>
      </c>
      <c r="D20" s="10">
        <f t="shared" si="1"/>
        <v>-4.2935014417551667E-2</v>
      </c>
    </row>
    <row r="21" spans="1:7" x14ac:dyDescent="0.3">
      <c r="A21" s="9">
        <f t="shared" si="2"/>
        <v>-3.9999999999999945E-2</v>
      </c>
      <c r="B21" s="10">
        <f>Regression!$B$17+Regression!$B$18*Prediction!A21</f>
        <v>-4.7051299237333227E-2</v>
      </c>
      <c r="C21" s="10">
        <f t="shared" si="0"/>
        <v>-6.3398455944922383E-2</v>
      </c>
      <c r="D21" s="10">
        <f t="shared" si="1"/>
        <v>-3.0704142529744065E-2</v>
      </c>
    </row>
    <row r="22" spans="1:7" x14ac:dyDescent="0.3">
      <c r="A22" s="9">
        <f t="shared" si="2"/>
        <v>-2.9999999999999943E-2</v>
      </c>
      <c r="B22" s="10">
        <f>Regression!$B$17+Regression!$B$18*Prediction!A22</f>
        <v>-3.2879645830797964E-2</v>
      </c>
      <c r="C22" s="10">
        <f t="shared" si="0"/>
        <v>-4.7479221660967547E-2</v>
      </c>
      <c r="D22" s="10">
        <f t="shared" si="1"/>
        <v>-1.8280070000628378E-2</v>
      </c>
    </row>
    <row r="23" spans="1:7" x14ac:dyDescent="0.3">
      <c r="A23" s="9">
        <f t="shared" si="2"/>
        <v>-1.9999999999999941E-2</v>
      </c>
      <c r="B23" s="10">
        <f>Regression!$B$17+Regression!$B$18*Prediction!A23</f>
        <v>-1.8707992424262705E-2</v>
      </c>
      <c r="C23" s="10">
        <f t="shared" si="0"/>
        <v>-3.1830603847480411E-2</v>
      </c>
      <c r="D23" s="10">
        <f t="shared" si="1"/>
        <v>-5.5853810010449995E-3</v>
      </c>
    </row>
    <row r="24" spans="1:7" x14ac:dyDescent="0.3">
      <c r="A24" s="9">
        <f t="shared" si="2"/>
        <v>-9.9999999999999412E-3</v>
      </c>
      <c r="B24" s="10">
        <f>Regression!$B$17+Regression!$B$18*Prediction!A24</f>
        <v>-4.5363390177274466E-3</v>
      </c>
      <c r="C24" s="10">
        <f t="shared" si="0"/>
        <v>-1.6552806088133486E-2</v>
      </c>
      <c r="D24" s="10">
        <f t="shared" si="1"/>
        <v>7.4801280526785932E-3</v>
      </c>
    </row>
    <row r="25" spans="1:7" s="4" customFormat="1" x14ac:dyDescent="0.3">
      <c r="A25" s="9">
        <f t="shared" si="2"/>
        <v>5.8980598183211441E-17</v>
      </c>
      <c r="B25" s="10">
        <f>Regression!$B$17+Regression!$B$18*Prediction!A25</f>
        <v>9.6353143888078113E-3</v>
      </c>
      <c r="C25" s="10">
        <f t="shared" si="0"/>
        <v>-1.7543855760305416E-3</v>
      </c>
      <c r="D25" s="10">
        <f t="shared" si="1"/>
        <v>2.1025014353646163E-2</v>
      </c>
      <c r="F25" s="38"/>
      <c r="G25" s="35"/>
    </row>
    <row r="26" spans="1:7" x14ac:dyDescent="0.3">
      <c r="A26" s="9">
        <f t="shared" si="2"/>
        <v>1.0000000000000059E-2</v>
      </c>
      <c r="B26" s="10">
        <f>Regression!$B$17+Regression!$B$18*Prediction!A26</f>
        <v>2.3806967795343071E-2</v>
      </c>
      <c r="C26" s="10">
        <f t="shared" si="0"/>
        <v>1.2484764658611163E-2</v>
      </c>
      <c r="D26" s="10">
        <f t="shared" si="1"/>
        <v>3.5129170932074981E-2</v>
      </c>
    </row>
    <row r="27" spans="1:7" x14ac:dyDescent="0.3">
      <c r="A27" s="9">
        <f t="shared" si="2"/>
        <v>2.0000000000000059E-2</v>
      </c>
      <c r="B27" s="10">
        <f>Regression!$B$17+Regression!$B$18*Prediction!A27</f>
        <v>3.7978621201878331E-2</v>
      </c>
      <c r="C27" s="10">
        <f t="shared" si="0"/>
        <v>2.6155062659912118E-2</v>
      </c>
      <c r="D27" s="10">
        <f t="shared" si="1"/>
        <v>4.9802179743844543E-2</v>
      </c>
    </row>
    <row r="28" spans="1:7" x14ac:dyDescent="0.3">
      <c r="A28" s="9">
        <f t="shared" si="2"/>
        <v>3.0000000000000061E-2</v>
      </c>
      <c r="B28" s="10">
        <f>Regression!$B$17+Regression!$B$18*Prediction!A28</f>
        <v>5.2150274608413587E-2</v>
      </c>
      <c r="C28" s="10">
        <f t="shared" si="0"/>
        <v>3.9323037046620338E-2</v>
      </c>
      <c r="D28" s="10">
        <f t="shared" si="1"/>
        <v>6.4977512170206836E-2</v>
      </c>
    </row>
    <row r="29" spans="1:7" x14ac:dyDescent="0.3">
      <c r="A29" s="9">
        <f t="shared" si="2"/>
        <v>4.0000000000000063E-2</v>
      </c>
      <c r="B29" s="10">
        <f>Regression!$B$17+Regression!$B$18*Prediction!A29</f>
        <v>6.632192801494885E-2</v>
      </c>
      <c r="C29" s="10">
        <f t="shared" si="0"/>
        <v>5.2094604145592596E-2</v>
      </c>
      <c r="D29" s="10">
        <f t="shared" si="1"/>
        <v>8.0549251884305104E-2</v>
      </c>
    </row>
    <row r="30" spans="1:7" x14ac:dyDescent="0.3">
      <c r="A30" s="9">
        <f t="shared" si="2"/>
        <v>5.0000000000000065E-2</v>
      </c>
      <c r="B30" s="10">
        <f>Regression!$B$17+Regression!$B$18*Prediction!A30</f>
        <v>8.0493581421484106E-2</v>
      </c>
      <c r="C30" s="10">
        <f t="shared" si="0"/>
        <v>6.4574011714801524E-2</v>
      </c>
      <c r="D30" s="10">
        <f t="shared" si="1"/>
        <v>9.6413151128166688E-2</v>
      </c>
    </row>
    <row r="31" spans="1:7" x14ac:dyDescent="0.3">
      <c r="A31" s="9">
        <f t="shared" si="2"/>
        <v>6.0000000000000067E-2</v>
      </c>
      <c r="B31" s="10">
        <f>Regression!$B$17+Regression!$B$18*Prediction!A31</f>
        <v>9.4665234828019376E-2</v>
      </c>
      <c r="C31" s="10">
        <f t="shared" si="0"/>
        <v>7.6844295207623536E-2</v>
      </c>
      <c r="D31" s="10">
        <f t="shared" si="1"/>
        <v>0.11248617444841522</v>
      </c>
    </row>
    <row r="32" spans="1:7" x14ac:dyDescent="0.3">
      <c r="A32" s="9">
        <f t="shared" si="2"/>
        <v>7.0000000000000062E-2</v>
      </c>
      <c r="B32" s="10">
        <f>Regression!$B$17+Regression!$B$18*Prediction!A32</f>
        <v>0.10883688823455462</v>
      </c>
      <c r="C32" s="10">
        <f t="shared" si="0"/>
        <v>8.8965393262933581E-2</v>
      </c>
      <c r="D32" s="10">
        <f t="shared" si="1"/>
        <v>0.12870838320617567</v>
      </c>
    </row>
    <row r="33" spans="1:4" x14ac:dyDescent="0.3">
      <c r="A33" s="9">
        <f t="shared" si="2"/>
        <v>8.0000000000000057E-2</v>
      </c>
      <c r="B33" s="10">
        <f>Regression!$B$17+Regression!$B$18*Prediction!A33</f>
        <v>0.12300854164108987</v>
      </c>
      <c r="C33" s="10">
        <f t="shared" si="0"/>
        <v>0.10097892589305597</v>
      </c>
      <c r="D33" s="10">
        <f t="shared" si="1"/>
        <v>0.14503815738912376</v>
      </c>
    </row>
    <row r="34" spans="1:4" x14ac:dyDescent="0.3">
      <c r="A34" s="9">
        <f t="shared" si="2"/>
        <v>9.0000000000000052E-2</v>
      </c>
      <c r="B34" s="10">
        <f>Regression!$B$17+Regression!$B$18*Prediction!A34</f>
        <v>0.13718019504762513</v>
      </c>
      <c r="C34" s="10">
        <f t="shared" si="0"/>
        <v>0.11291357472772101</v>
      </c>
      <c r="D34" s="10">
        <f t="shared" si="1"/>
        <v>0.16144681536752925</v>
      </c>
    </row>
    <row r="35" spans="1:4" x14ac:dyDescent="0.3">
      <c r="A35" s="9">
        <f t="shared" si="2"/>
        <v>0.10000000000000005</v>
      </c>
      <c r="B35" s="10">
        <f>Regression!$B$17+Regression!$B$18*Prediction!A35</f>
        <v>0.15135184845416039</v>
      </c>
      <c r="C35" s="10">
        <f t="shared" si="0"/>
        <v>0.12478926221636644</v>
      </c>
      <c r="D35" s="10">
        <f t="shared" si="1"/>
        <v>0.17791443469195434</v>
      </c>
    </row>
    <row r="36" spans="1:4" x14ac:dyDescent="0.3">
      <c r="A36" s="9">
        <f t="shared" si="2"/>
        <v>0.11000000000000004</v>
      </c>
      <c r="B36" s="10">
        <f>Regression!$B$17+Regression!$B$18*Prediction!A36</f>
        <v>0.16552350186069564</v>
      </c>
      <c r="C36" s="10">
        <f t="shared" si="0"/>
        <v>0.13662003584577637</v>
      </c>
      <c r="D36" s="10">
        <f t="shared" si="1"/>
        <v>0.19442696787561492</v>
      </c>
    </row>
    <row r="37" spans="1:4" x14ac:dyDescent="0.3">
      <c r="A37" s="9">
        <f t="shared" si="2"/>
        <v>0.12000000000000004</v>
      </c>
      <c r="B37" s="10">
        <f>Regression!$B$17+Regression!$B$18*Prediction!A37</f>
        <v>0.1796951552672309</v>
      </c>
      <c r="C37" s="10">
        <f t="shared" si="0"/>
        <v>0.1484159778187038</v>
      </c>
      <c r="D37" s="10">
        <f t="shared" si="1"/>
        <v>0.210974332715758</v>
      </c>
    </row>
    <row r="38" spans="1:4" x14ac:dyDescent="0.3">
      <c r="A38" s="9">
        <f t="shared" si="2"/>
        <v>0.13000000000000003</v>
      </c>
      <c r="B38" s="10">
        <f>Regression!$B$17+Regression!$B$18*Prediction!A38</f>
        <v>0.19386680867376616</v>
      </c>
      <c r="C38" s="10">
        <f t="shared" si="0"/>
        <v>0.16018445765453362</v>
      </c>
      <c r="D38" s="10">
        <f t="shared" si="1"/>
        <v>0.22754915969299869</v>
      </c>
    </row>
    <row r="39" spans="1:4" x14ac:dyDescent="0.3">
      <c r="A39" s="9">
        <f t="shared" si="2"/>
        <v>0.14000000000000004</v>
      </c>
      <c r="B39" s="10">
        <f>Regression!$B$17+Regression!$B$18*Prediction!A39</f>
        <v>0.20803846208030141</v>
      </c>
      <c r="C39" s="10">
        <f t="shared" si="0"/>
        <v>0.17193095825277771</v>
      </c>
      <c r="D39" s="10">
        <f t="shared" si="1"/>
        <v>0.24414596590782511</v>
      </c>
    </row>
    <row r="40" spans="1:4" x14ac:dyDescent="0.3">
      <c r="A40" s="9">
        <f t="shared" si="2"/>
        <v>0.15000000000000005</v>
      </c>
      <c r="B40" s="10">
        <f>Regression!$B$17+Regression!$B$18*Prediction!A40</f>
        <v>0.22221011548683667</v>
      </c>
      <c r="C40" s="10">
        <f t="shared" si="0"/>
        <v>0.18365962743192377</v>
      </c>
      <c r="D40" s="10">
        <f t="shared" si="1"/>
        <v>0.26076060354174957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2</vt:i4>
      </vt:variant>
    </vt:vector>
  </HeadingPairs>
  <TitlesOfParts>
    <vt:vector size="5" baseType="lpstr">
      <vt:lpstr>Returns</vt:lpstr>
      <vt:lpstr>Regression</vt:lpstr>
      <vt:lpstr>Prediction</vt:lpstr>
      <vt:lpstr>Returns Plot</vt:lpstr>
      <vt:lpstr>Residual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2017-01-23T05:45:44Z</dcterms:created>
  <dcterms:modified xsi:type="dcterms:W3CDTF">2018-09-30T14:50:36Z</dcterms:modified>
</cp:coreProperties>
</file>