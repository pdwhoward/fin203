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Spring 2018\3 Simple Linear Regression\Practice\new\"/>
    </mc:Choice>
  </mc:AlternateContent>
  <bookViews>
    <workbookView xWindow="0" yWindow="0" windowWidth="19200" windowHeight="8844" xr2:uid="{CE040042-029B-4747-BD3E-3DAEB8DF9094}"/>
  </bookViews>
  <sheets>
    <sheet name="Question" sheetId="13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3" l="1"/>
  <c r="F17" i="13"/>
  <c r="F21" i="13"/>
  <c r="F10" i="13"/>
  <c r="F9" i="13"/>
  <c r="E17" i="13"/>
  <c r="F7" i="13"/>
  <c r="B13" i="13"/>
  <c r="F4" i="13" s="1"/>
  <c r="B14" i="13"/>
  <c r="F3" i="13"/>
  <c r="C17" i="13"/>
</calcChain>
</file>

<file path=xl/sharedStrings.xml><?xml version="1.0" encoding="utf-8"?>
<sst xmlns="http://schemas.openxmlformats.org/spreadsheetml/2006/main" count="29" uniqueCount="26">
  <si>
    <t>SUMMARY OUTPUT</t>
  </si>
  <si>
    <t>Regression Statistics</t>
  </si>
  <si>
    <t>R Square</t>
  </si>
  <si>
    <t>Standard Error</t>
  </si>
  <si>
    <t>Observations</t>
  </si>
  <si>
    <t>ANOVA</t>
  </si>
  <si>
    <t>df</t>
  </si>
  <si>
    <t>SS</t>
  </si>
  <si>
    <t>MS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</si>
  <si>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</si>
  <si>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</si>
  <si>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</si>
  <si>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</si>
  <si>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</si>
  <si>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</si>
  <si>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</si>
  <si>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</si>
  <si>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</si>
  <si>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Excess Market Return</t>
  </si>
  <si>
    <t>t-stat</t>
  </si>
  <si>
    <t>P-val</t>
  </si>
  <si>
    <t>sig lev</t>
  </si>
  <si>
    <t>cv</t>
  </si>
  <si>
    <t>90% CI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</si>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</sst>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/>
    <xf numFmtId="2" fontId="1" fillId="0" borderId="0" xfId="0" applyNumberFormat="1" applyFont="1" applyFill="1" applyBorder="1" applyAlignment="1"/>
    <xf numFmtId="164" fontId="1" fillId="0" borderId="0" xfId="0" applyNumberFormat="1" applyFont="1"/>
    <xf numFmtId="2" fontId="1" fillId="0" borderId="0" xfId="0" applyNumberFormat="1" applyFont="1"/>
    <xf numFmtId="0" fontId="1" fillId="0" borderId="2" xfId="0" applyFont="1" applyFill="1" applyBorder="1" applyAlignment="1"/>
    <xf numFmtId="0" fontId="2" fillId="0" borderId="1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2" xfId="0" quotePrefix="1" applyNumberFormat="1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2" fontId="1" fillId="0" borderId="0" xfId="0" quotePrefix="1" applyNumberFormat="1" applyFont="1" applyFill="1" applyBorder="1" applyAlignment="1">
      <alignment horizontal="center"/>
    </xf>
    <xf numFmtId="0" fontId="0" fillId="0" borderId="0" xfId="0" applyFont="1"/>
    <xf numFmtId="0" fontId="1" fillId="0" borderId="2" xfId="0" applyFont="1" applyFill="1" applyBorder="1" applyAlignment="1">
      <alignment horizontal="center"/>
    </xf>
    <xf numFmtId="2" fontId="0" fillId="0" borderId="0" xfId="0" applyNumberFormat="1" applyFont="1"/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6E2F-F0F9-4F4B-91C6-31DF443F4131}">
  <dimension ref="A1:H22"/>
  <sheetViews>
    <sheetView tabSelected="1" zoomScaleNormal="100" workbookViewId="0">
      <selection activeCell="H6" sqref="H6"/>
    </sheetView>
  </sheetViews>
  <sheetFormatPr defaultColWidth="8.796875" defaultRowHeight="15.6" x14ac:dyDescent="0.6"/>
  <cols>
    <col min="1" max="1" width="18.34765625" style="2" bestFit="1" customWidth="1"/>
    <col min="2" max="2" width="10.796875" style="2" bestFit="1" customWidth="1"/>
    <col min="3" max="3" width="13.5" style="2" bestFit="1" customWidth="1"/>
    <col min="4" max="4" width="7.09765625" style="2" bestFit="1" customWidth="1"/>
    <col min="5" max="5" width="7.34765625" style="2" bestFit="1" customWidth="1"/>
    <col min="6" max="6" width="10.19921875" style="2" bestFit="1" customWidth="1"/>
    <col min="7" max="7" width="10.296875" style="2" bestFit="1" customWidth="1"/>
    <col min="8" max="8" width="11.84765625" style="2" bestFit="1" customWidth="1"/>
    <col min="9" max="16384" width="8.796875" style="2"/>
  </cols>
  <sheetData>
    <row r="1" spans="1:8" x14ac:dyDescent="0.6">
      <c r="A1" s="17" t="s">
        <v>0</v>
      </c>
      <c r="B1" s="17"/>
    </row>
    <row r="2" spans="1:8" ht="15.9" thickBot="1" x14ac:dyDescent="0.65"/>
    <row r="3" spans="1:8" x14ac:dyDescent="0.6">
      <c r="A3" s="18" t="s">
        <v>1</v>
      </c>
      <c r="B3" s="18"/>
      <c r="E3" s="20" t="s">
        <v>19</v>
      </c>
      <c r="F3" s="23">
        <f>(B17-0.5)/C17</f>
        <v>-0.33333333333333337</v>
      </c>
    </row>
    <row r="4" spans="1:8" x14ac:dyDescent="0.6">
      <c r="A4" s="3"/>
      <c r="B4" s="14"/>
      <c r="E4" s="20" t="s">
        <v>20</v>
      </c>
      <c r="F4" s="23">
        <f>2*_xlfn.T.DIST(F3,B13,TRUE)</f>
        <v>0.73905821243798853</v>
      </c>
    </row>
    <row r="5" spans="1:8" x14ac:dyDescent="0.6">
      <c r="A5" s="3" t="s">
        <v>2</v>
      </c>
      <c r="B5" s="14"/>
      <c r="F5" s="1"/>
    </row>
    <row r="6" spans="1:8" x14ac:dyDescent="0.6">
      <c r="A6" s="3"/>
      <c r="B6" s="14"/>
      <c r="E6" s="22" t="s">
        <v>21</v>
      </c>
      <c r="F6" s="23">
        <v>0.1</v>
      </c>
    </row>
    <row r="7" spans="1:8" x14ac:dyDescent="0.6">
      <c r="A7" s="3" t="s">
        <v>3</v>
      </c>
      <c r="B7" s="14"/>
      <c r="D7" s="5"/>
      <c r="E7" s="20" t="s">
        <v>22</v>
      </c>
      <c r="F7" s="23">
        <f>_xlfn.T.INV(0.95,B13)</f>
        <v>1.6486911739598198</v>
      </c>
    </row>
    <row r="8" spans="1:8" ht="15.9" thickBot="1" x14ac:dyDescent="0.65">
      <c r="A8" s="7" t="s">
        <v>4</v>
      </c>
      <c r="B8" s="21">
        <v>400</v>
      </c>
      <c r="F8" s="1"/>
    </row>
    <row r="9" spans="1:8" x14ac:dyDescent="0.6">
      <c r="E9" s="20" t="s">
        <v>23</v>
      </c>
      <c r="F9" s="23">
        <f>B17-F7*C17</f>
        <v>-0.68921470437589183</v>
      </c>
      <c r="G9" s="20" t="s">
        <v>24</v>
      </c>
    </row>
    <row r="10" spans="1:8" ht="15.9" thickBot="1" x14ac:dyDescent="0.65">
      <c r="A10" s="2" t="s">
        <v>5</v>
      </c>
      <c r="F10" s="23">
        <f>B17+F7*C17</f>
        <v>1.2892147043758919</v>
      </c>
      <c r="G10" s="20" t="s">
        <v>25</v>
      </c>
    </row>
    <row r="11" spans="1:8" x14ac:dyDescent="0.6">
      <c r="A11" s="8"/>
      <c r="B11" s="8" t="s">
        <v>6</v>
      </c>
      <c r="C11" s="8" t="s">
        <v>7</v>
      </c>
      <c r="D11" s="8" t="s">
        <v>8</v>
      </c>
    </row>
    <row r="12" spans="1:8" x14ac:dyDescent="0.6">
      <c r="A12" s="3" t="s">
        <v>9</v>
      </c>
      <c r="B12" s="13">
        <v>1</v>
      </c>
      <c r="C12" s="9"/>
      <c r="D12" s="9"/>
      <c r="E12" s="9"/>
      <c r="F12" s="9"/>
    </row>
    <row r="13" spans="1:8" x14ac:dyDescent="0.6">
      <c r="A13" s="3" t="s">
        <v>10</v>
      </c>
      <c r="B13" s="13">
        <f>B8-2</f>
        <v>398</v>
      </c>
      <c r="C13" s="9"/>
      <c r="D13" s="9"/>
      <c r="E13" s="9"/>
      <c r="F13" s="9"/>
    </row>
    <row r="14" spans="1:8" ht="15.9" thickBot="1" x14ac:dyDescent="0.65">
      <c r="A14" s="7" t="s">
        <v>11</v>
      </c>
      <c r="B14" s="10">
        <f>B8-1</f>
        <v>399</v>
      </c>
      <c r="C14" s="10"/>
      <c r="D14" s="10"/>
      <c r="E14" s="10"/>
      <c r="F14" s="10"/>
    </row>
    <row r="15" spans="1:8" ht="15.9" thickBot="1" x14ac:dyDescent="0.65"/>
    <row r="16" spans="1:8" x14ac:dyDescent="0.6">
      <c r="A16" s="8"/>
      <c r="B16" s="8" t="s">
        <v>12</v>
      </c>
      <c r="C16" s="11" t="s">
        <v>3</v>
      </c>
      <c r="D16" s="8" t="s">
        <v>13</v>
      </c>
      <c r="E16" s="8" t="s">
        <v>14</v>
      </c>
      <c r="F16" s="8" t="s">
        <v>15</v>
      </c>
      <c r="G16" s="8" t="s">
        <v>16</v>
      </c>
      <c r="H16" s="12"/>
    </row>
    <row r="17" spans="1:8" x14ac:dyDescent="0.6">
      <c r="A17" s="3" t="s">
        <v>17</v>
      </c>
      <c r="B17" s="19">
        <v>0.3</v>
      </c>
      <c r="C17" s="14">
        <f>B17/D17</f>
        <v>0.6</v>
      </c>
      <c r="D17" s="14">
        <v>0.5</v>
      </c>
      <c r="E17" s="14">
        <f>2*_xlfn.T.DIST(-D17,B13,TRUE)</f>
        <v>0.61735140299457614</v>
      </c>
      <c r="F17" s="14">
        <f>B17-F21*C17</f>
        <v>-0.87956539438575421</v>
      </c>
      <c r="G17" s="14">
        <f>B17+F21*C17</f>
        <v>1.4795653943857543</v>
      </c>
      <c r="H17" s="4"/>
    </row>
    <row r="18" spans="1:8" ht="15.9" thickBot="1" x14ac:dyDescent="0.65">
      <c r="A18" s="7" t="s">
        <v>18</v>
      </c>
      <c r="B18" s="15"/>
      <c r="C18" s="16"/>
      <c r="D18" s="16"/>
      <c r="E18" s="16"/>
      <c r="F18" s="16"/>
      <c r="G18" s="16"/>
      <c r="H18" s="4"/>
    </row>
    <row r="20" spans="1:8" x14ac:dyDescent="0.6">
      <c r="E20" s="20" t="s">
        <v>21</v>
      </c>
      <c r="F20" s="6">
        <v>0.05</v>
      </c>
      <c r="G20" s="6"/>
    </row>
    <row r="21" spans="1:8" x14ac:dyDescent="0.6">
      <c r="E21" s="20" t="s">
        <v>22</v>
      </c>
      <c r="F21" s="6">
        <f>_xlfn.T.INV(0.975,B13)</f>
        <v>1.965942323976257</v>
      </c>
    </row>
    <row r="22" spans="1:8" x14ac:dyDescent="0.6">
      <c r="F22" s="6"/>
      <c r="G22" s="6"/>
    </row>
  </sheetData>
  <mergeCells count="2">
    <mergeCell ref="A1:B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2017-09-15T18:29:26Z</dcterms:created>
  <dcterms:modified xsi:type="dcterms:W3CDTF">2018-02-26T15:18:33Z</dcterms:modified>
</cp:coreProperties>
</file>