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3 Simple Linear Regression\Challenge Problems\CAPM\"/>
    </mc:Choice>
  </mc:AlternateContent>
  <bookViews>
    <workbookView xWindow="0" yWindow="0" windowWidth="19200" windowHeight="8843" xr2:uid="{CE040042-029B-4747-BD3E-3DAEB8DF9094}"/>
  </bookViews>
  <sheets>
    <sheet name="Solutions" sheetId="10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0" l="1"/>
  <c r="C9" i="10"/>
  <c r="C8" i="10"/>
  <c r="C6" i="10"/>
  <c r="C4" i="10"/>
  <c r="C2" i="10"/>
  <c r="C1" i="10"/>
</calcChain>
</file>

<file path=xl/sharedStrings.xml><?xml version="1.0" encoding="utf-8"?>
<sst xmlns="http://schemas.openxmlformats.org/spreadsheetml/2006/main" count="11" uniqueCount="11">
  <si>
    <t>Rf</t>
  </si>
  <si>
    <t>Beta</t>
  </si>
  <si>
    <t>Problem 4</t>
  </si>
  <si>
    <t>Ra</t>
  </si>
  <si>
    <t>Problem 5</t>
  </si>
  <si>
    <t>Corr</t>
  </si>
  <si>
    <t>Problem 6</t>
  </si>
  <si>
    <t>Problem 7</t>
  </si>
  <si>
    <t>sdM</t>
  </si>
  <si>
    <t>sdA</t>
  </si>
  <si>
    <t>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</si>
</sst>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65" fontId="0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BE06-0E53-4B43-86B3-8E7DFB2C8259}">
  <dimension ref="A1:C10"/>
  <sheetViews>
    <sheetView tabSelected="1" workbookViewId="0">
      <selection activeCell="C10" sqref="C10"/>
    </sheetView>
  </sheetViews>
  <sheetFormatPr defaultRowHeight="15.75" x14ac:dyDescent="0.5"/>
  <cols>
    <col min="3" max="3" width="9.3125" bestFit="1" customWidth="1"/>
  </cols>
  <sheetData>
    <row r="1" spans="1:3" x14ac:dyDescent="0.5">
      <c r="A1" t="s">
        <v>2</v>
      </c>
      <c r="B1" t="s">
        <v>1</v>
      </c>
      <c r="C1" s="3">
        <f>0.1*SQRT(0.01)/0.09</f>
        <v>0.11111111111111113</v>
      </c>
    </row>
    <row r="2" spans="1:3" x14ac:dyDescent="0.5">
      <c r="B2" t="s">
        <v>3</v>
      </c>
      <c r="C2" s="2">
        <f>0.01+C1*(0.075-0.01)</f>
        <v>1.7222222222222222E-2</v>
      </c>
    </row>
    <row r="4" spans="1:3" x14ac:dyDescent="0.5">
      <c r="A4" t="s">
        <v>4</v>
      </c>
      <c r="B4" t="s">
        <v>5</v>
      </c>
      <c r="C4" s="3">
        <f>0.35/0.5</f>
        <v>0.7</v>
      </c>
    </row>
    <row r="6" spans="1:3" x14ac:dyDescent="0.5">
      <c r="A6" t="s">
        <v>6</v>
      </c>
      <c r="B6" t="s">
        <v>0</v>
      </c>
      <c r="C6" s="2">
        <f>0.1-1.4*0.06</f>
        <v>1.6000000000000014E-2</v>
      </c>
    </row>
    <row r="8" spans="1:3" x14ac:dyDescent="0.5">
      <c r="A8" t="s">
        <v>7</v>
      </c>
      <c r="B8" t="s">
        <v>8</v>
      </c>
      <c r="C8" s="1">
        <f>0.065/0.43</f>
        <v>0.15116279069767444</v>
      </c>
    </row>
    <row r="9" spans="1:3" x14ac:dyDescent="0.5">
      <c r="B9" t="s">
        <v>9</v>
      </c>
      <c r="C9" s="1">
        <f>0.67*C8/0.8</f>
        <v>0.12659883720930235</v>
      </c>
    </row>
    <row r="10" spans="1:3" x14ac:dyDescent="0.5">
      <c r="B10" t="s">
        <v>10</v>
      </c>
      <c r="C10" s="4">
        <f>C9^2</f>
        <v>1.6027265582747436E-2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2017-09-28T20:08:45Z</dcterms:modified>
</cp:coreProperties>
</file>