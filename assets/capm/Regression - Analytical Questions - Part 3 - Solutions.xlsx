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Spring 2019\3 CAPM\3 Practice\Regression - Analytical - Part 3\"/>
    </mc:Choice>
  </mc:AlternateContent>
  <xr:revisionPtr revIDLastSave="0" documentId="13_ncr:1_{7B1BBC8D-58E2-4ADB-A8F4-253B6E367E4A}" xr6:coauthVersionLast="40" xr6:coauthVersionMax="40" xr10:uidLastSave="{00000000-0000-0000-0000-000000000000}"/>
  <bookViews>
    <workbookView xWindow="-110" yWindow="-110" windowWidth="19420" windowHeight="10420" xr2:uid="{CE040042-029B-4747-BD3E-3DAEB8DF9094}"/>
  </bookViews>
  <sheets>
    <sheet name="Question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2" i="13" l="1"/>
  <c r="G18" i="13" l="1"/>
  <c r="F18" i="13"/>
  <c r="E7" i="13"/>
  <c r="E18" i="13"/>
  <c r="D18" i="13"/>
  <c r="B5" i="13"/>
  <c r="D13" i="13"/>
  <c r="C13" i="13" s="1"/>
  <c r="C12" i="13" s="1"/>
  <c r="B13" i="13" l="1"/>
  <c r="B14" i="13"/>
</calcChain>
</file>

<file path=xl/sharedStrings.xml><?xml version="1.0" encoding="utf-8"?>
<sst xmlns="http://schemas.openxmlformats.org/spreadsheetml/2006/main" count="88" uniqueCount="21">
  <si>
    <t>SUMMARY OUTPUT</t>
  </si>
  <si>
    <t>Regression Statistics</t>
  </si>
  <si>
    <t>R Square</t>
  </si>
  <si>
    <t>Standard Error</t>
  </si>
  <si>
    <t>Observations</t>
  </si>
  <si>
    <t>ANOVA</t>
  </si>
  <si>
    <t>df</t>
  </si>
  <si>
    <t>SS</t>
  </si>
  <si>
    <t>MS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</si>
  <si>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</si>
  <si>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</si>
  <si>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</si>
  <si>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</si>
  <si>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</si>
  <si>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</si>
  <si>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</si>
  <si>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</si>
  <si>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</si>
  <si>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Excess Market Return</t>
  </si>
  <si>
    <t>cv</t>
  </si>
  <si>
    <t>Find the value highlighted in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</si>
</sst>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/>
    <xf numFmtId="2" fontId="1" fillId="0" borderId="0" xfId="0" applyNumberFormat="1" applyFont="1" applyFill="1" applyBorder="1" applyAlignment="1"/>
    <xf numFmtId="2" fontId="1" fillId="0" borderId="0" xfId="0" applyNumberFormat="1" applyFont="1"/>
    <xf numFmtId="0" fontId="1" fillId="0" borderId="2" xfId="0" applyFont="1" applyFill="1" applyBorder="1" applyAlignment="1"/>
    <xf numFmtId="0" fontId="2" fillId="0" borderId="1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2" xfId="0" quotePrefix="1" applyNumberFormat="1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2" fontId="1" fillId="0" borderId="0" xfId="0" quotePrefix="1" applyNumberFormat="1" applyFont="1" applyFill="1" applyBorder="1" applyAlignment="1">
      <alignment horizontal="center"/>
    </xf>
    <xf numFmtId="0" fontId="0" fillId="0" borderId="0" xfId="0" applyFont="1"/>
    <xf numFmtId="0" fontId="1" fillId="0" borderId="2" xfId="0" applyFont="1" applyFill="1" applyBorder="1" applyAlignment="1">
      <alignment horizontal="center"/>
    </xf>
    <xf numFmtId="2" fontId="0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64" fontId="0" fillId="0" borderId="0" xfId="0" applyNumberFormat="1" applyFont="1"/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6E2F-F0F9-4F4B-91C6-31DF443F4131}">
  <dimension ref="A1:H22"/>
  <sheetViews>
    <sheetView tabSelected="1" zoomScaleNormal="100" workbookViewId="0">
      <selection activeCell="D13" sqref="D13"/>
    </sheetView>
  </sheetViews>
  <sheetFormatPr defaultColWidth="8.83203125" defaultRowHeight="15.5" x14ac:dyDescent="0.35"/>
  <cols>
    <col min="1" max="1" width="18.33203125" style="2" bestFit="1" customWidth="1"/>
    <col min="2" max="2" width="10.83203125" style="2" bestFit="1" customWidth="1"/>
    <col min="3" max="3" width="13.5" style="2" bestFit="1" customWidth="1"/>
    <col min="4" max="4" width="7.08203125" style="2" bestFit="1" customWidth="1"/>
    <col min="5" max="5" width="7.33203125" style="2" bestFit="1" customWidth="1"/>
    <col min="6" max="6" width="10.1640625" style="2" bestFit="1" customWidth="1"/>
    <col min="7" max="7" width="10.33203125" style="2" bestFit="1" customWidth="1"/>
    <col min="8" max="8" width="11.83203125" style="2" bestFit="1" customWidth="1"/>
    <col min="9" max="16384" width="8.83203125" style="2"/>
  </cols>
  <sheetData>
    <row r="1" spans="1:8" x14ac:dyDescent="0.35">
      <c r="A1" s="26" t="s">
        <v>0</v>
      </c>
      <c r="B1" s="26"/>
    </row>
    <row r="2" spans="1:8" ht="16" thickBot="1" x14ac:dyDescent="0.4"/>
    <row r="3" spans="1:8" x14ac:dyDescent="0.35">
      <c r="A3" s="27" t="s">
        <v>1</v>
      </c>
      <c r="B3" s="27"/>
      <c r="D3" s="28" t="s">
        <v>20</v>
      </c>
      <c r="E3" s="28"/>
      <c r="F3" s="28"/>
      <c r="G3" s="28"/>
    </row>
    <row r="4" spans="1:8" x14ac:dyDescent="0.35">
      <c r="A4" s="3"/>
      <c r="B4" s="12"/>
      <c r="E4" s="16"/>
      <c r="F4" s="19"/>
    </row>
    <row r="5" spans="1:8" x14ac:dyDescent="0.35">
      <c r="A5" s="3" t="s">
        <v>2</v>
      </c>
      <c r="B5" s="20">
        <f>C12/C14</f>
        <v>0.216</v>
      </c>
      <c r="F5" s="1"/>
    </row>
    <row r="6" spans="1:8" x14ac:dyDescent="0.35">
      <c r="A6" s="3"/>
      <c r="B6" s="12"/>
      <c r="E6" s="18"/>
      <c r="F6" s="19"/>
    </row>
    <row r="7" spans="1:8" x14ac:dyDescent="0.35">
      <c r="A7" s="3" t="s">
        <v>3</v>
      </c>
      <c r="B7" s="12">
        <v>4</v>
      </c>
      <c r="D7" s="25" t="s">
        <v>19</v>
      </c>
      <c r="E7" s="18">
        <f>_xlfn.T.INV(0.975,B13)</f>
        <v>1.9844674545084788</v>
      </c>
      <c r="F7" s="19"/>
    </row>
    <row r="8" spans="1:8" ht="16" thickBot="1" x14ac:dyDescent="0.4">
      <c r="A8" s="6" t="s">
        <v>4</v>
      </c>
      <c r="B8" s="17">
        <v>100</v>
      </c>
      <c r="F8" s="1"/>
    </row>
    <row r="9" spans="1:8" x14ac:dyDescent="0.35">
      <c r="E9" s="16"/>
      <c r="F9" s="19"/>
      <c r="G9" s="16"/>
    </row>
    <row r="10" spans="1:8" ht="16" thickBot="1" x14ac:dyDescent="0.4">
      <c r="A10" s="2" t="s">
        <v>5</v>
      </c>
      <c r="F10" s="19"/>
      <c r="G10" s="16"/>
    </row>
    <row r="11" spans="1:8" x14ac:dyDescent="0.35">
      <c r="A11" s="7"/>
      <c r="B11" s="7" t="s">
        <v>6</v>
      </c>
      <c r="C11" s="7" t="s">
        <v>7</v>
      </c>
      <c r="D11" s="7" t="s">
        <v>8</v>
      </c>
    </row>
    <row r="12" spans="1:8" x14ac:dyDescent="0.35">
      <c r="A12" s="3" t="s">
        <v>9</v>
      </c>
      <c r="B12" s="23">
        <v>1</v>
      </c>
      <c r="C12" s="22">
        <f>C14-C13</f>
        <v>432</v>
      </c>
      <c r="D12" s="22">
        <f>C12/B12</f>
        <v>432</v>
      </c>
      <c r="E12" s="8"/>
      <c r="F12" s="8"/>
    </row>
    <row r="13" spans="1:8" x14ac:dyDescent="0.35">
      <c r="A13" s="3" t="s">
        <v>10</v>
      </c>
      <c r="B13" s="23">
        <f>B8-2</f>
        <v>98</v>
      </c>
      <c r="C13" s="22">
        <f>B13*D13</f>
        <v>1568</v>
      </c>
      <c r="D13" s="22">
        <f>B7^2</f>
        <v>16</v>
      </c>
      <c r="E13" s="8"/>
      <c r="F13" s="8"/>
    </row>
    <row r="14" spans="1:8" ht="16" thickBot="1" x14ac:dyDescent="0.4">
      <c r="A14" s="6" t="s">
        <v>11</v>
      </c>
      <c r="B14" s="24">
        <f>B8-1</f>
        <v>99</v>
      </c>
      <c r="C14" s="9">
        <v>2000</v>
      </c>
      <c r="D14" s="9"/>
      <c r="E14" s="9"/>
      <c r="F14" s="9"/>
    </row>
    <row r="15" spans="1:8" ht="16" thickBot="1" x14ac:dyDescent="0.4"/>
    <row r="16" spans="1:8" x14ac:dyDescent="0.35">
      <c r="A16" s="7"/>
      <c r="B16" s="7" t="s">
        <v>12</v>
      </c>
      <c r="C16" s="10" t="s">
        <v>3</v>
      </c>
      <c r="D16" s="7" t="s">
        <v>13</v>
      </c>
      <c r="E16" s="7" t="s">
        <v>14</v>
      </c>
      <c r="F16" s="7" t="s">
        <v>15</v>
      </c>
      <c r="G16" s="7" t="s">
        <v>16</v>
      </c>
      <c r="H16" s="11"/>
    </row>
    <row r="17" spans="1:8" x14ac:dyDescent="0.35">
      <c r="A17" s="3" t="s">
        <v>17</v>
      </c>
      <c r="B17" s="15"/>
      <c r="C17" s="12"/>
      <c r="D17" s="12"/>
      <c r="E17" s="12"/>
      <c r="F17" s="12"/>
      <c r="G17" s="12"/>
      <c r="H17" s="4"/>
    </row>
    <row r="18" spans="1:8" ht="16" thickBot="1" x14ac:dyDescent="0.4">
      <c r="A18" s="6" t="s">
        <v>18</v>
      </c>
      <c r="B18" s="13">
        <v>3</v>
      </c>
      <c r="C18" s="14">
        <v>1</v>
      </c>
      <c r="D18" s="21">
        <f>(B18-0)/C18</f>
        <v>3</v>
      </c>
      <c r="E18" s="21">
        <f>2*_xlfn.T.DIST(-D18,B13,TRUE)</f>
        <v>3.4232644637296121E-3</v>
      </c>
      <c r="F18" s="21">
        <f>B18-E7*C18</f>
        <v>1.0155325454915212</v>
      </c>
      <c r="G18" s="21">
        <f>B18+E7*C18</f>
        <v>4.9844674545084793</v>
      </c>
      <c r="H18" s="4"/>
    </row>
    <row r="20" spans="1:8" x14ac:dyDescent="0.35">
      <c r="E20" s="16"/>
      <c r="F20" s="5"/>
      <c r="G20" s="5"/>
    </row>
    <row r="21" spans="1:8" x14ac:dyDescent="0.35">
      <c r="E21" s="16"/>
      <c r="F21" s="5"/>
    </row>
    <row r="22" spans="1:8" x14ac:dyDescent="0.35">
      <c r="F22" s="5"/>
      <c r="G22" s="5"/>
    </row>
  </sheetData>
  <mergeCells count="3">
    <mergeCell ref="A1:B1"/>
    <mergeCell ref="A3:B3"/>
    <mergeCell ref="D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2017-09-15T18:29:26Z</dcterms:created>
  <dcterms:modified xsi:type="dcterms:W3CDTF">2019-03-01T15:23:33Z</dcterms:modified>
</cp:coreProperties>
</file>