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Fall 2020\3 CAPM\2 Exercises\2 P&amp;G\New - PG Hyp Test\"/>
    </mc:Choice>
  </mc:AlternateContent>
  <xr:revisionPtr revIDLastSave="0" documentId="13_ncr:1_{5A34CF4D-E687-4693-9897-6C73F1C1C90A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Returns" sheetId="27" r:id="rId1"/>
    <sheet name="Regression" sheetId="24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3" i="27" l="1"/>
  <c r="D433" i="27"/>
  <c r="F433" i="27" s="1"/>
  <c r="E432" i="27"/>
  <c r="D432" i="27"/>
  <c r="F432" i="27" s="1"/>
  <c r="E431" i="27"/>
  <c r="D431" i="27"/>
  <c r="F431" i="27" s="1"/>
  <c r="E430" i="27"/>
  <c r="D430" i="27"/>
  <c r="F430" i="27" s="1"/>
  <c r="E429" i="27"/>
  <c r="D429" i="27"/>
  <c r="F429" i="27" s="1"/>
  <c r="E428" i="27"/>
  <c r="D428" i="27"/>
  <c r="F428" i="27" s="1"/>
  <c r="E427" i="27"/>
  <c r="D427" i="27"/>
  <c r="F427" i="27" s="1"/>
  <c r="E426" i="27"/>
  <c r="D426" i="27"/>
  <c r="F426" i="27" s="1"/>
  <c r="E425" i="27"/>
  <c r="D425" i="27"/>
  <c r="F425" i="27" s="1"/>
  <c r="E424" i="27"/>
  <c r="D424" i="27"/>
  <c r="F424" i="27" s="1"/>
  <c r="E423" i="27"/>
  <c r="D423" i="27"/>
  <c r="F423" i="27" s="1"/>
  <c r="E422" i="27"/>
  <c r="D422" i="27"/>
  <c r="F422" i="27" s="1"/>
  <c r="E421" i="27"/>
  <c r="D421" i="27"/>
  <c r="F421" i="27" s="1"/>
  <c r="E420" i="27"/>
  <c r="D420" i="27"/>
  <c r="F420" i="27" s="1"/>
  <c r="E419" i="27"/>
  <c r="D419" i="27"/>
  <c r="F419" i="27" s="1"/>
  <c r="E418" i="27"/>
  <c r="D418" i="27"/>
  <c r="F418" i="27" s="1"/>
  <c r="E417" i="27"/>
  <c r="D417" i="27"/>
  <c r="F417" i="27" s="1"/>
  <c r="E416" i="27"/>
  <c r="D416" i="27"/>
  <c r="F416" i="27" s="1"/>
  <c r="E415" i="27"/>
  <c r="D415" i="27"/>
  <c r="F415" i="27" s="1"/>
  <c r="E414" i="27"/>
  <c r="D414" i="27"/>
  <c r="F414" i="27" s="1"/>
  <c r="E413" i="27"/>
  <c r="D413" i="27"/>
  <c r="F413" i="27" s="1"/>
  <c r="E412" i="27"/>
  <c r="D412" i="27"/>
  <c r="F412" i="27" s="1"/>
  <c r="E411" i="27"/>
  <c r="D411" i="27"/>
  <c r="F411" i="27" s="1"/>
  <c r="E410" i="27"/>
  <c r="D410" i="27"/>
  <c r="F410" i="27" s="1"/>
  <c r="E409" i="27"/>
  <c r="D409" i="27"/>
  <c r="F409" i="27" s="1"/>
  <c r="E408" i="27"/>
  <c r="D408" i="27"/>
  <c r="F408" i="27" s="1"/>
  <c r="E407" i="27"/>
  <c r="D407" i="27"/>
  <c r="F407" i="27" s="1"/>
  <c r="E406" i="27"/>
  <c r="D406" i="27"/>
  <c r="F406" i="27" s="1"/>
  <c r="E405" i="27"/>
  <c r="D405" i="27"/>
  <c r="F405" i="27" s="1"/>
  <c r="E404" i="27"/>
  <c r="D404" i="27"/>
  <c r="F404" i="27" s="1"/>
  <c r="E403" i="27"/>
  <c r="D403" i="27"/>
  <c r="F403" i="27" s="1"/>
  <c r="E402" i="27"/>
  <c r="D402" i="27"/>
  <c r="F402" i="27" s="1"/>
  <c r="E401" i="27"/>
  <c r="D401" i="27"/>
  <c r="F401" i="27" s="1"/>
  <c r="E400" i="27"/>
  <c r="D400" i="27"/>
  <c r="F400" i="27" s="1"/>
  <c r="E399" i="27"/>
  <c r="D399" i="27"/>
  <c r="F399" i="27" s="1"/>
  <c r="E398" i="27"/>
  <c r="D398" i="27"/>
  <c r="F398" i="27" s="1"/>
  <c r="E397" i="27"/>
  <c r="D397" i="27"/>
  <c r="F397" i="27" s="1"/>
  <c r="E396" i="27"/>
  <c r="D396" i="27"/>
  <c r="F396" i="27" s="1"/>
  <c r="E395" i="27"/>
  <c r="D395" i="27"/>
  <c r="F395" i="27" s="1"/>
  <c r="E394" i="27"/>
  <c r="D394" i="27"/>
  <c r="F394" i="27" s="1"/>
  <c r="E393" i="27"/>
  <c r="D393" i="27"/>
  <c r="F393" i="27" s="1"/>
  <c r="F392" i="27"/>
  <c r="E392" i="27"/>
  <c r="G392" i="27" s="1"/>
  <c r="D392" i="27"/>
  <c r="E391" i="27"/>
  <c r="D391" i="27"/>
  <c r="F391" i="27" s="1"/>
  <c r="E390" i="27"/>
  <c r="D390" i="27"/>
  <c r="F390" i="27" s="1"/>
  <c r="F389" i="27"/>
  <c r="E389" i="27"/>
  <c r="D389" i="27"/>
  <c r="F388" i="27"/>
  <c r="E388" i="27"/>
  <c r="G388" i="27" s="1"/>
  <c r="D388" i="27"/>
  <c r="E387" i="27"/>
  <c r="D387" i="27"/>
  <c r="F387" i="27" s="1"/>
  <c r="E386" i="27"/>
  <c r="D386" i="27"/>
  <c r="F386" i="27" s="1"/>
  <c r="F385" i="27"/>
  <c r="E385" i="27"/>
  <c r="D385" i="27"/>
  <c r="F384" i="27"/>
  <c r="E384" i="27"/>
  <c r="G384" i="27" s="1"/>
  <c r="D384" i="27"/>
  <c r="E383" i="27"/>
  <c r="D383" i="27"/>
  <c r="F383" i="27" s="1"/>
  <c r="E382" i="27"/>
  <c r="D382" i="27"/>
  <c r="F382" i="27" s="1"/>
  <c r="F381" i="27"/>
  <c r="E381" i="27"/>
  <c r="D381" i="27"/>
  <c r="F380" i="27"/>
  <c r="E380" i="27"/>
  <c r="G380" i="27" s="1"/>
  <c r="D380" i="27"/>
  <c r="E379" i="27"/>
  <c r="D379" i="27"/>
  <c r="F379" i="27" s="1"/>
  <c r="E378" i="27"/>
  <c r="D378" i="27"/>
  <c r="F378" i="27" s="1"/>
  <c r="F377" i="27"/>
  <c r="E377" i="27"/>
  <c r="D377" i="27"/>
  <c r="F376" i="27"/>
  <c r="E376" i="27"/>
  <c r="G376" i="27" s="1"/>
  <c r="D376" i="27"/>
  <c r="E375" i="27"/>
  <c r="D375" i="27"/>
  <c r="F375" i="27" s="1"/>
  <c r="E374" i="27"/>
  <c r="D374" i="27"/>
  <c r="F374" i="27" s="1"/>
  <c r="F373" i="27"/>
  <c r="E373" i="27"/>
  <c r="D373" i="27"/>
  <c r="F372" i="27"/>
  <c r="E372" i="27"/>
  <c r="G372" i="27" s="1"/>
  <c r="D372" i="27"/>
  <c r="E371" i="27"/>
  <c r="D371" i="27"/>
  <c r="F371" i="27" s="1"/>
  <c r="E370" i="27"/>
  <c r="D370" i="27"/>
  <c r="F370" i="27" s="1"/>
  <c r="F369" i="27"/>
  <c r="E369" i="27"/>
  <c r="D369" i="27"/>
  <c r="F368" i="27"/>
  <c r="E368" i="27"/>
  <c r="G368" i="27" s="1"/>
  <c r="D368" i="27"/>
  <c r="E367" i="27"/>
  <c r="D367" i="27"/>
  <c r="F367" i="27" s="1"/>
  <c r="E366" i="27"/>
  <c r="D366" i="27"/>
  <c r="F366" i="27" s="1"/>
  <c r="F365" i="27"/>
  <c r="E365" i="27"/>
  <c r="D365" i="27"/>
  <c r="F364" i="27"/>
  <c r="E364" i="27"/>
  <c r="G364" i="27" s="1"/>
  <c r="D364" i="27"/>
  <c r="E363" i="27"/>
  <c r="D363" i="27"/>
  <c r="F363" i="27" s="1"/>
  <c r="E362" i="27"/>
  <c r="D362" i="27"/>
  <c r="F362" i="27" s="1"/>
  <c r="F361" i="27"/>
  <c r="E361" i="27"/>
  <c r="D361" i="27"/>
  <c r="F360" i="27"/>
  <c r="E360" i="27"/>
  <c r="G360" i="27" s="1"/>
  <c r="D360" i="27"/>
  <c r="E359" i="27"/>
  <c r="D359" i="27"/>
  <c r="F359" i="27" s="1"/>
  <c r="E358" i="27"/>
  <c r="D358" i="27"/>
  <c r="F358" i="27" s="1"/>
  <c r="F357" i="27"/>
  <c r="E357" i="27"/>
  <c r="D357" i="27"/>
  <c r="F356" i="27"/>
  <c r="E356" i="27"/>
  <c r="G356" i="27" s="1"/>
  <c r="D356" i="27"/>
  <c r="E355" i="27"/>
  <c r="D355" i="27"/>
  <c r="F355" i="27" s="1"/>
  <c r="E354" i="27"/>
  <c r="G354" i="27" s="1"/>
  <c r="D354" i="27"/>
  <c r="F354" i="27" s="1"/>
  <c r="E353" i="27"/>
  <c r="D353" i="27"/>
  <c r="F353" i="27" s="1"/>
  <c r="F352" i="27"/>
  <c r="E352" i="27"/>
  <c r="G352" i="27" s="1"/>
  <c r="D352" i="27"/>
  <c r="F351" i="27"/>
  <c r="E351" i="27"/>
  <c r="D351" i="27"/>
  <c r="E350" i="27"/>
  <c r="D350" i="27"/>
  <c r="F350" i="27" s="1"/>
  <c r="E349" i="27"/>
  <c r="D349" i="27"/>
  <c r="F349" i="27" s="1"/>
  <c r="F348" i="27"/>
  <c r="G348" i="27" s="1"/>
  <c r="E348" i="27"/>
  <c r="D348" i="27"/>
  <c r="F347" i="27"/>
  <c r="G347" i="27" s="1"/>
  <c r="E347" i="27"/>
  <c r="D347" i="27"/>
  <c r="E346" i="27"/>
  <c r="D346" i="27"/>
  <c r="F346" i="27" s="1"/>
  <c r="G346" i="27" s="1"/>
  <c r="E345" i="27"/>
  <c r="D345" i="27"/>
  <c r="F345" i="27" s="1"/>
  <c r="G345" i="27" s="1"/>
  <c r="F344" i="27"/>
  <c r="G344" i="27" s="1"/>
  <c r="E344" i="27"/>
  <c r="D344" i="27"/>
  <c r="F343" i="27"/>
  <c r="G343" i="27" s="1"/>
  <c r="E343" i="27"/>
  <c r="D343" i="27"/>
  <c r="E342" i="27"/>
  <c r="D342" i="27"/>
  <c r="F342" i="27" s="1"/>
  <c r="E341" i="27"/>
  <c r="D341" i="27"/>
  <c r="F341" i="27" s="1"/>
  <c r="F340" i="27"/>
  <c r="E340" i="27"/>
  <c r="D340" i="27"/>
  <c r="F339" i="27"/>
  <c r="E339" i="27"/>
  <c r="G339" i="27" s="1"/>
  <c r="D339" i="27"/>
  <c r="E338" i="27"/>
  <c r="D338" i="27"/>
  <c r="F338" i="27" s="1"/>
  <c r="E337" i="27"/>
  <c r="D337" i="27"/>
  <c r="F337" i="27" s="1"/>
  <c r="F336" i="27"/>
  <c r="E336" i="27"/>
  <c r="D336" i="27"/>
  <c r="F335" i="27"/>
  <c r="E335" i="27"/>
  <c r="G335" i="27" s="1"/>
  <c r="D335" i="27"/>
  <c r="E334" i="27"/>
  <c r="D334" i="27"/>
  <c r="F334" i="27" s="1"/>
  <c r="E333" i="27"/>
  <c r="D333" i="27"/>
  <c r="F333" i="27" s="1"/>
  <c r="F332" i="27"/>
  <c r="E332" i="27"/>
  <c r="D332" i="27"/>
  <c r="F331" i="27"/>
  <c r="E331" i="27"/>
  <c r="G331" i="27" s="1"/>
  <c r="D331" i="27"/>
  <c r="E330" i="27"/>
  <c r="D330" i="27"/>
  <c r="F330" i="27" s="1"/>
  <c r="E329" i="27"/>
  <c r="D329" i="27"/>
  <c r="F329" i="27" s="1"/>
  <c r="F328" i="27"/>
  <c r="E328" i="27"/>
  <c r="D328" i="27"/>
  <c r="F327" i="27"/>
  <c r="E327" i="27"/>
  <c r="G327" i="27" s="1"/>
  <c r="D327" i="27"/>
  <c r="E326" i="27"/>
  <c r="D326" i="27"/>
  <c r="F326" i="27" s="1"/>
  <c r="E325" i="27"/>
  <c r="D325" i="27"/>
  <c r="F325" i="27" s="1"/>
  <c r="F324" i="27"/>
  <c r="E324" i="27"/>
  <c r="D324" i="27"/>
  <c r="F323" i="27"/>
  <c r="E323" i="27"/>
  <c r="G323" i="27" s="1"/>
  <c r="D323" i="27"/>
  <c r="E322" i="27"/>
  <c r="D322" i="27"/>
  <c r="F322" i="27" s="1"/>
  <c r="E321" i="27"/>
  <c r="D321" i="27"/>
  <c r="F321" i="27" s="1"/>
  <c r="F320" i="27"/>
  <c r="E320" i="27"/>
  <c r="D320" i="27"/>
  <c r="F319" i="27"/>
  <c r="E319" i="27"/>
  <c r="G319" i="27" s="1"/>
  <c r="D319" i="27"/>
  <c r="E318" i="27"/>
  <c r="D318" i="27"/>
  <c r="F318" i="27" s="1"/>
  <c r="E317" i="27"/>
  <c r="D317" i="27"/>
  <c r="F317" i="27" s="1"/>
  <c r="F316" i="27"/>
  <c r="E316" i="27"/>
  <c r="D316" i="27"/>
  <c r="F315" i="27"/>
  <c r="E315" i="27"/>
  <c r="G315" i="27" s="1"/>
  <c r="D315" i="27"/>
  <c r="E314" i="27"/>
  <c r="D314" i="27"/>
  <c r="F314" i="27" s="1"/>
  <c r="E313" i="27"/>
  <c r="D313" i="27"/>
  <c r="F313" i="27" s="1"/>
  <c r="F312" i="27"/>
  <c r="E312" i="27"/>
  <c r="D312" i="27"/>
  <c r="F311" i="27"/>
  <c r="E311" i="27"/>
  <c r="G311" i="27" s="1"/>
  <c r="D311" i="27"/>
  <c r="E310" i="27"/>
  <c r="D310" i="27"/>
  <c r="F310" i="27" s="1"/>
  <c r="E309" i="27"/>
  <c r="D309" i="27"/>
  <c r="F309" i="27" s="1"/>
  <c r="F308" i="27"/>
  <c r="E308" i="27"/>
  <c r="D308" i="27"/>
  <c r="F307" i="27"/>
  <c r="E307" i="27"/>
  <c r="G307" i="27" s="1"/>
  <c r="D307" i="27"/>
  <c r="E306" i="27"/>
  <c r="D306" i="27"/>
  <c r="F306" i="27" s="1"/>
  <c r="E305" i="27"/>
  <c r="D305" i="27"/>
  <c r="F305" i="27" s="1"/>
  <c r="F304" i="27"/>
  <c r="E304" i="27"/>
  <c r="D304" i="27"/>
  <c r="F303" i="27"/>
  <c r="E303" i="27"/>
  <c r="G303" i="27" s="1"/>
  <c r="D303" i="27"/>
  <c r="E302" i="27"/>
  <c r="D302" i="27"/>
  <c r="F302" i="27" s="1"/>
  <c r="E301" i="27"/>
  <c r="D301" i="27"/>
  <c r="F301" i="27" s="1"/>
  <c r="F300" i="27"/>
  <c r="E300" i="27"/>
  <c r="D300" i="27"/>
  <c r="F299" i="27"/>
  <c r="E299" i="27"/>
  <c r="G299" i="27" s="1"/>
  <c r="D299" i="27"/>
  <c r="E298" i="27"/>
  <c r="D298" i="27"/>
  <c r="F298" i="27" s="1"/>
  <c r="E297" i="27"/>
  <c r="D297" i="27"/>
  <c r="F297" i="27" s="1"/>
  <c r="F296" i="27"/>
  <c r="E296" i="27"/>
  <c r="D296" i="27"/>
  <c r="F295" i="27"/>
  <c r="E295" i="27"/>
  <c r="G295" i="27" s="1"/>
  <c r="D295" i="27"/>
  <c r="F294" i="27"/>
  <c r="E294" i="27"/>
  <c r="G294" i="27" s="1"/>
  <c r="D294" i="27"/>
  <c r="F293" i="27"/>
  <c r="E293" i="27"/>
  <c r="G293" i="27" s="1"/>
  <c r="D293" i="27"/>
  <c r="F292" i="27"/>
  <c r="E292" i="27"/>
  <c r="G292" i="27" s="1"/>
  <c r="D292" i="27"/>
  <c r="F291" i="27"/>
  <c r="E291" i="27"/>
  <c r="G291" i="27" s="1"/>
  <c r="D291" i="27"/>
  <c r="F290" i="27"/>
  <c r="E290" i="27"/>
  <c r="G290" i="27" s="1"/>
  <c r="D290" i="27"/>
  <c r="F289" i="27"/>
  <c r="E289" i="27"/>
  <c r="G289" i="27" s="1"/>
  <c r="D289" i="27"/>
  <c r="F288" i="27"/>
  <c r="E288" i="27"/>
  <c r="G288" i="27" s="1"/>
  <c r="D288" i="27"/>
  <c r="F287" i="27"/>
  <c r="E287" i="27"/>
  <c r="G287" i="27" s="1"/>
  <c r="D287" i="27"/>
  <c r="F286" i="27"/>
  <c r="E286" i="27"/>
  <c r="G286" i="27" s="1"/>
  <c r="D286" i="27"/>
  <c r="F285" i="27"/>
  <c r="E285" i="27"/>
  <c r="G285" i="27" s="1"/>
  <c r="D285" i="27"/>
  <c r="F284" i="27"/>
  <c r="E284" i="27"/>
  <c r="G284" i="27" s="1"/>
  <c r="D284" i="27"/>
  <c r="F283" i="27"/>
  <c r="E283" i="27"/>
  <c r="G283" i="27" s="1"/>
  <c r="D283" i="27"/>
  <c r="F282" i="27"/>
  <c r="E282" i="27"/>
  <c r="G282" i="27" s="1"/>
  <c r="D282" i="27"/>
  <c r="F281" i="27"/>
  <c r="E281" i="27"/>
  <c r="G281" i="27" s="1"/>
  <c r="D281" i="27"/>
  <c r="F280" i="27"/>
  <c r="E280" i="27"/>
  <c r="G280" i="27" s="1"/>
  <c r="D280" i="27"/>
  <c r="F279" i="27"/>
  <c r="E279" i="27"/>
  <c r="G279" i="27" s="1"/>
  <c r="D279" i="27"/>
  <c r="F278" i="27"/>
  <c r="E278" i="27"/>
  <c r="G278" i="27" s="1"/>
  <c r="D278" i="27"/>
  <c r="F277" i="27"/>
  <c r="E277" i="27"/>
  <c r="G277" i="27" s="1"/>
  <c r="D277" i="27"/>
  <c r="F276" i="27"/>
  <c r="E276" i="27"/>
  <c r="G276" i="27" s="1"/>
  <c r="D276" i="27"/>
  <c r="F275" i="27"/>
  <c r="E275" i="27"/>
  <c r="G275" i="27" s="1"/>
  <c r="D275" i="27"/>
  <c r="F274" i="27"/>
  <c r="E274" i="27"/>
  <c r="G274" i="27" s="1"/>
  <c r="D274" i="27"/>
  <c r="F273" i="27"/>
  <c r="E273" i="27"/>
  <c r="G273" i="27" s="1"/>
  <c r="D273" i="27"/>
  <c r="F272" i="27"/>
  <c r="E272" i="27"/>
  <c r="G272" i="27" s="1"/>
  <c r="D272" i="27"/>
  <c r="F271" i="27"/>
  <c r="E271" i="27"/>
  <c r="D271" i="27"/>
  <c r="F270" i="27"/>
  <c r="E270" i="27"/>
  <c r="D270" i="27"/>
  <c r="F269" i="27"/>
  <c r="E269" i="27"/>
  <c r="G269" i="27" s="1"/>
  <c r="D269" i="27"/>
  <c r="F268" i="27"/>
  <c r="E268" i="27"/>
  <c r="G268" i="27" s="1"/>
  <c r="D268" i="27"/>
  <c r="F267" i="27"/>
  <c r="E267" i="27"/>
  <c r="D267" i="27"/>
  <c r="F266" i="27"/>
  <c r="E266" i="27"/>
  <c r="D266" i="27"/>
  <c r="F265" i="27"/>
  <c r="E265" i="27"/>
  <c r="G265" i="27" s="1"/>
  <c r="D265" i="27"/>
  <c r="F264" i="27"/>
  <c r="E264" i="27"/>
  <c r="G264" i="27" s="1"/>
  <c r="D264" i="27"/>
  <c r="F263" i="27"/>
  <c r="E263" i="27"/>
  <c r="D263" i="27"/>
  <c r="F262" i="27"/>
  <c r="E262" i="27"/>
  <c r="D262" i="27"/>
  <c r="F261" i="27"/>
  <c r="E261" i="27"/>
  <c r="G261" i="27" s="1"/>
  <c r="D261" i="27"/>
  <c r="F260" i="27"/>
  <c r="E260" i="27"/>
  <c r="G260" i="27" s="1"/>
  <c r="D260" i="27"/>
  <c r="F259" i="27"/>
  <c r="E259" i="27"/>
  <c r="D259" i="27"/>
  <c r="F258" i="27"/>
  <c r="E258" i="27"/>
  <c r="D258" i="27"/>
  <c r="E257" i="27"/>
  <c r="D257" i="27"/>
  <c r="F257" i="27" s="1"/>
  <c r="E256" i="27"/>
  <c r="D256" i="27"/>
  <c r="F256" i="27" s="1"/>
  <c r="F255" i="27"/>
  <c r="E255" i="27"/>
  <c r="D255" i="27"/>
  <c r="F254" i="27"/>
  <c r="E254" i="27"/>
  <c r="D254" i="27"/>
  <c r="E253" i="27"/>
  <c r="D253" i="27"/>
  <c r="F253" i="27" s="1"/>
  <c r="E252" i="27"/>
  <c r="D252" i="27"/>
  <c r="F252" i="27" s="1"/>
  <c r="F251" i="27"/>
  <c r="E251" i="27"/>
  <c r="D251" i="27"/>
  <c r="F250" i="27"/>
  <c r="E250" i="27"/>
  <c r="D250" i="27"/>
  <c r="E249" i="27"/>
  <c r="D249" i="27"/>
  <c r="F249" i="27" s="1"/>
  <c r="E248" i="27"/>
  <c r="D248" i="27"/>
  <c r="F248" i="27" s="1"/>
  <c r="F247" i="27"/>
  <c r="E247" i="27"/>
  <c r="D247" i="27"/>
  <c r="F246" i="27"/>
  <c r="E246" i="27"/>
  <c r="D246" i="27"/>
  <c r="E245" i="27"/>
  <c r="D245" i="27"/>
  <c r="F245" i="27" s="1"/>
  <c r="E244" i="27"/>
  <c r="D244" i="27"/>
  <c r="F244" i="27" s="1"/>
  <c r="F243" i="27"/>
  <c r="E243" i="27"/>
  <c r="D243" i="27"/>
  <c r="F242" i="27"/>
  <c r="E242" i="27"/>
  <c r="D242" i="27"/>
  <c r="E241" i="27"/>
  <c r="D241" i="27"/>
  <c r="F241" i="27" s="1"/>
  <c r="E240" i="27"/>
  <c r="D240" i="27"/>
  <c r="F240" i="27" s="1"/>
  <c r="F239" i="27"/>
  <c r="E239" i="27"/>
  <c r="D239" i="27"/>
  <c r="F238" i="27"/>
  <c r="E238" i="27"/>
  <c r="D238" i="27"/>
  <c r="E237" i="27"/>
  <c r="D237" i="27"/>
  <c r="F237" i="27" s="1"/>
  <c r="E236" i="27"/>
  <c r="D236" i="27"/>
  <c r="F236" i="27" s="1"/>
  <c r="E235" i="27"/>
  <c r="D235" i="27"/>
  <c r="F235" i="27" s="1"/>
  <c r="E234" i="27"/>
  <c r="D234" i="27"/>
  <c r="F234" i="27" s="1"/>
  <c r="E233" i="27"/>
  <c r="D233" i="27"/>
  <c r="F233" i="27" s="1"/>
  <c r="E232" i="27"/>
  <c r="D232" i="27"/>
  <c r="F232" i="27" s="1"/>
  <c r="E231" i="27"/>
  <c r="D231" i="27"/>
  <c r="F231" i="27" s="1"/>
  <c r="E230" i="27"/>
  <c r="D230" i="27"/>
  <c r="F230" i="27" s="1"/>
  <c r="E229" i="27"/>
  <c r="D229" i="27"/>
  <c r="F229" i="27" s="1"/>
  <c r="E228" i="27"/>
  <c r="D228" i="27"/>
  <c r="F228" i="27" s="1"/>
  <c r="E227" i="27"/>
  <c r="D227" i="27"/>
  <c r="F227" i="27" s="1"/>
  <c r="E226" i="27"/>
  <c r="D226" i="27"/>
  <c r="F226" i="27" s="1"/>
  <c r="E225" i="27"/>
  <c r="D225" i="27"/>
  <c r="F225" i="27" s="1"/>
  <c r="E224" i="27"/>
  <c r="D224" i="27"/>
  <c r="F224" i="27" s="1"/>
  <c r="E223" i="27"/>
  <c r="D223" i="27"/>
  <c r="F223" i="27" s="1"/>
  <c r="E222" i="27"/>
  <c r="D222" i="27"/>
  <c r="F222" i="27" s="1"/>
  <c r="E221" i="27"/>
  <c r="D221" i="27"/>
  <c r="F221" i="27" s="1"/>
  <c r="E220" i="27"/>
  <c r="D220" i="27"/>
  <c r="F220" i="27" s="1"/>
  <c r="E219" i="27"/>
  <c r="D219" i="27"/>
  <c r="F219" i="27" s="1"/>
  <c r="E218" i="27"/>
  <c r="D218" i="27"/>
  <c r="F218" i="27" s="1"/>
  <c r="E217" i="27"/>
  <c r="D217" i="27"/>
  <c r="F217" i="27" s="1"/>
  <c r="E216" i="27"/>
  <c r="D216" i="27"/>
  <c r="F216" i="27" s="1"/>
  <c r="E215" i="27"/>
  <c r="D215" i="27"/>
  <c r="F215" i="27" s="1"/>
  <c r="E214" i="27"/>
  <c r="D214" i="27"/>
  <c r="F214" i="27" s="1"/>
  <c r="E213" i="27"/>
  <c r="D213" i="27"/>
  <c r="F213" i="27" s="1"/>
  <c r="E212" i="27"/>
  <c r="D212" i="27"/>
  <c r="F212" i="27" s="1"/>
  <c r="E211" i="27"/>
  <c r="D211" i="27"/>
  <c r="F211" i="27" s="1"/>
  <c r="E210" i="27"/>
  <c r="D210" i="27"/>
  <c r="F210" i="27" s="1"/>
  <c r="E209" i="27"/>
  <c r="D209" i="27"/>
  <c r="F209" i="27" s="1"/>
  <c r="E208" i="27"/>
  <c r="D208" i="27"/>
  <c r="F208" i="27" s="1"/>
  <c r="E207" i="27"/>
  <c r="D207" i="27"/>
  <c r="F207" i="27" s="1"/>
  <c r="E206" i="27"/>
  <c r="D206" i="27"/>
  <c r="F206" i="27" s="1"/>
  <c r="E205" i="27"/>
  <c r="D205" i="27"/>
  <c r="F205" i="27" s="1"/>
  <c r="E204" i="27"/>
  <c r="D204" i="27"/>
  <c r="F204" i="27" s="1"/>
  <c r="E203" i="27"/>
  <c r="D203" i="27"/>
  <c r="F203" i="27" s="1"/>
  <c r="E202" i="27"/>
  <c r="D202" i="27"/>
  <c r="F202" i="27" s="1"/>
  <c r="E201" i="27"/>
  <c r="D201" i="27"/>
  <c r="F201" i="27" s="1"/>
  <c r="E200" i="27"/>
  <c r="D200" i="27"/>
  <c r="F200" i="27" s="1"/>
  <c r="E199" i="27"/>
  <c r="D199" i="27"/>
  <c r="F199" i="27" s="1"/>
  <c r="E198" i="27"/>
  <c r="D198" i="27"/>
  <c r="F198" i="27" s="1"/>
  <c r="E197" i="27"/>
  <c r="D197" i="27"/>
  <c r="F197" i="27" s="1"/>
  <c r="E196" i="27"/>
  <c r="D196" i="27"/>
  <c r="F196" i="27" s="1"/>
  <c r="E195" i="27"/>
  <c r="D195" i="27"/>
  <c r="F195" i="27" s="1"/>
  <c r="E194" i="27"/>
  <c r="D194" i="27"/>
  <c r="F194" i="27" s="1"/>
  <c r="E193" i="27"/>
  <c r="D193" i="27"/>
  <c r="F193" i="27" s="1"/>
  <c r="E192" i="27"/>
  <c r="D192" i="27"/>
  <c r="F192" i="27" s="1"/>
  <c r="E191" i="27"/>
  <c r="D191" i="27"/>
  <c r="F191" i="27" s="1"/>
  <c r="E190" i="27"/>
  <c r="D190" i="27"/>
  <c r="F190" i="27" s="1"/>
  <c r="E189" i="27"/>
  <c r="D189" i="27"/>
  <c r="F189" i="27" s="1"/>
  <c r="E188" i="27"/>
  <c r="D188" i="27"/>
  <c r="F188" i="27" s="1"/>
  <c r="E187" i="27"/>
  <c r="D187" i="27"/>
  <c r="F187" i="27" s="1"/>
  <c r="E186" i="27"/>
  <c r="D186" i="27"/>
  <c r="F186" i="27" s="1"/>
  <c r="E185" i="27"/>
  <c r="D185" i="27"/>
  <c r="F185" i="27" s="1"/>
  <c r="E184" i="27"/>
  <c r="D184" i="27"/>
  <c r="F184" i="27" s="1"/>
  <c r="E183" i="27"/>
  <c r="D183" i="27"/>
  <c r="F183" i="27" s="1"/>
  <c r="E182" i="27"/>
  <c r="D182" i="27"/>
  <c r="F182" i="27" s="1"/>
  <c r="E181" i="27"/>
  <c r="D181" i="27"/>
  <c r="F181" i="27" s="1"/>
  <c r="E180" i="27"/>
  <c r="D180" i="27"/>
  <c r="F180" i="27" s="1"/>
  <c r="E179" i="27"/>
  <c r="D179" i="27"/>
  <c r="F179" i="27" s="1"/>
  <c r="E178" i="27"/>
  <c r="D178" i="27"/>
  <c r="F178" i="27" s="1"/>
  <c r="E177" i="27"/>
  <c r="D177" i="27"/>
  <c r="F177" i="27" s="1"/>
  <c r="E176" i="27"/>
  <c r="D176" i="27"/>
  <c r="F176" i="27" s="1"/>
  <c r="E175" i="27"/>
  <c r="D175" i="27"/>
  <c r="F175" i="27" s="1"/>
  <c r="E174" i="27"/>
  <c r="D174" i="27"/>
  <c r="F174" i="27" s="1"/>
  <c r="E173" i="27"/>
  <c r="D173" i="27"/>
  <c r="F173" i="27" s="1"/>
  <c r="E172" i="27"/>
  <c r="D172" i="27"/>
  <c r="F172" i="27" s="1"/>
  <c r="E171" i="27"/>
  <c r="D171" i="27"/>
  <c r="F171" i="27" s="1"/>
  <c r="E170" i="27"/>
  <c r="D170" i="27"/>
  <c r="F170" i="27" s="1"/>
  <c r="E169" i="27"/>
  <c r="D169" i="27"/>
  <c r="F169" i="27" s="1"/>
  <c r="E168" i="27"/>
  <c r="D168" i="27"/>
  <c r="F168" i="27" s="1"/>
  <c r="E167" i="27"/>
  <c r="D167" i="27"/>
  <c r="F167" i="27" s="1"/>
  <c r="E166" i="27"/>
  <c r="D166" i="27"/>
  <c r="F166" i="27" s="1"/>
  <c r="E165" i="27"/>
  <c r="D165" i="27"/>
  <c r="F165" i="27" s="1"/>
  <c r="E164" i="27"/>
  <c r="D164" i="27"/>
  <c r="F164" i="27" s="1"/>
  <c r="E163" i="27"/>
  <c r="D163" i="27"/>
  <c r="F163" i="27" s="1"/>
  <c r="E162" i="27"/>
  <c r="D162" i="27"/>
  <c r="F162" i="27" s="1"/>
  <c r="E161" i="27"/>
  <c r="D161" i="27"/>
  <c r="F161" i="27" s="1"/>
  <c r="E160" i="27"/>
  <c r="D160" i="27"/>
  <c r="F160" i="27" s="1"/>
  <c r="E159" i="27"/>
  <c r="D159" i="27"/>
  <c r="F159" i="27" s="1"/>
  <c r="E158" i="27"/>
  <c r="D158" i="27"/>
  <c r="F158" i="27" s="1"/>
  <c r="E157" i="27"/>
  <c r="D157" i="27"/>
  <c r="F157" i="27" s="1"/>
  <c r="E156" i="27"/>
  <c r="D156" i="27"/>
  <c r="F156" i="27" s="1"/>
  <c r="E155" i="27"/>
  <c r="D155" i="27"/>
  <c r="F155" i="27" s="1"/>
  <c r="E154" i="27"/>
  <c r="D154" i="27"/>
  <c r="F154" i="27" s="1"/>
  <c r="E153" i="27"/>
  <c r="D153" i="27"/>
  <c r="F153" i="27" s="1"/>
  <c r="E152" i="27"/>
  <c r="D152" i="27"/>
  <c r="F152" i="27" s="1"/>
  <c r="E151" i="27"/>
  <c r="D151" i="27"/>
  <c r="F151" i="27" s="1"/>
  <c r="E150" i="27"/>
  <c r="D150" i="27"/>
  <c r="F150" i="27" s="1"/>
  <c r="E149" i="27"/>
  <c r="D149" i="27"/>
  <c r="F149" i="27" s="1"/>
  <c r="E148" i="27"/>
  <c r="D148" i="27"/>
  <c r="F148" i="27" s="1"/>
  <c r="E147" i="27"/>
  <c r="D147" i="27"/>
  <c r="F147" i="27" s="1"/>
  <c r="E146" i="27"/>
  <c r="D146" i="27"/>
  <c r="F146" i="27" s="1"/>
  <c r="E145" i="27"/>
  <c r="D145" i="27"/>
  <c r="F145" i="27" s="1"/>
  <c r="F144" i="27"/>
  <c r="E144" i="27"/>
  <c r="G144" i="27" s="1"/>
  <c r="D144" i="27"/>
  <c r="E143" i="27"/>
  <c r="D143" i="27"/>
  <c r="F143" i="27" s="1"/>
  <c r="E142" i="27"/>
  <c r="D142" i="27"/>
  <c r="F142" i="27" s="1"/>
  <c r="F141" i="27"/>
  <c r="E141" i="27"/>
  <c r="D141" i="27"/>
  <c r="F140" i="27"/>
  <c r="E140" i="27"/>
  <c r="G140" i="27" s="1"/>
  <c r="D140" i="27"/>
  <c r="E139" i="27"/>
  <c r="D139" i="27"/>
  <c r="F139" i="27" s="1"/>
  <c r="E138" i="27"/>
  <c r="D138" i="27"/>
  <c r="F138" i="27" s="1"/>
  <c r="F137" i="27"/>
  <c r="E137" i="27"/>
  <c r="D137" i="27"/>
  <c r="F136" i="27"/>
  <c r="E136" i="27"/>
  <c r="G136" i="27" s="1"/>
  <c r="D136" i="27"/>
  <c r="E135" i="27"/>
  <c r="D135" i="27"/>
  <c r="F135" i="27" s="1"/>
  <c r="E134" i="27"/>
  <c r="D134" i="27"/>
  <c r="F134" i="27" s="1"/>
  <c r="F133" i="27"/>
  <c r="E133" i="27"/>
  <c r="D133" i="27"/>
  <c r="F132" i="27"/>
  <c r="E132" i="27"/>
  <c r="G132" i="27" s="1"/>
  <c r="D132" i="27"/>
  <c r="E131" i="27"/>
  <c r="D131" i="27"/>
  <c r="F131" i="27" s="1"/>
  <c r="E130" i="27"/>
  <c r="D130" i="27"/>
  <c r="F130" i="27" s="1"/>
  <c r="F129" i="27"/>
  <c r="E129" i="27"/>
  <c r="D129" i="27"/>
  <c r="F128" i="27"/>
  <c r="E128" i="27"/>
  <c r="G128" i="27" s="1"/>
  <c r="D128" i="27"/>
  <c r="E127" i="27"/>
  <c r="D127" i="27"/>
  <c r="F127" i="27" s="1"/>
  <c r="E126" i="27"/>
  <c r="D126" i="27"/>
  <c r="F126" i="27" s="1"/>
  <c r="F125" i="27"/>
  <c r="E125" i="27"/>
  <c r="D125" i="27"/>
  <c r="F124" i="27"/>
  <c r="E124" i="27"/>
  <c r="G124" i="27" s="1"/>
  <c r="D124" i="27"/>
  <c r="E123" i="27"/>
  <c r="D123" i="27"/>
  <c r="F123" i="27" s="1"/>
  <c r="E122" i="27"/>
  <c r="D122" i="27"/>
  <c r="F122" i="27" s="1"/>
  <c r="F121" i="27"/>
  <c r="E121" i="27"/>
  <c r="D121" i="27"/>
  <c r="F120" i="27"/>
  <c r="E120" i="27"/>
  <c r="G120" i="27" s="1"/>
  <c r="D120" i="27"/>
  <c r="E119" i="27"/>
  <c r="D119" i="27"/>
  <c r="F119" i="27" s="1"/>
  <c r="E118" i="27"/>
  <c r="D118" i="27"/>
  <c r="F118" i="27" s="1"/>
  <c r="F117" i="27"/>
  <c r="E117" i="27"/>
  <c r="D117" i="27"/>
  <c r="F116" i="27"/>
  <c r="E116" i="27"/>
  <c r="G116" i="27" s="1"/>
  <c r="D116" i="27"/>
  <c r="E115" i="27"/>
  <c r="D115" i="27"/>
  <c r="F115" i="27" s="1"/>
  <c r="E114" i="27"/>
  <c r="D114" i="27"/>
  <c r="F114" i="27" s="1"/>
  <c r="F113" i="27"/>
  <c r="E113" i="27"/>
  <c r="D113" i="27"/>
  <c r="F112" i="27"/>
  <c r="E112" i="27"/>
  <c r="G112" i="27" s="1"/>
  <c r="D112" i="27"/>
  <c r="E111" i="27"/>
  <c r="D111" i="27"/>
  <c r="F111" i="27" s="1"/>
  <c r="E110" i="27"/>
  <c r="D110" i="27"/>
  <c r="F110" i="27" s="1"/>
  <c r="F109" i="27"/>
  <c r="E109" i="27"/>
  <c r="D109" i="27"/>
  <c r="F108" i="27"/>
  <c r="E108" i="27"/>
  <c r="G108" i="27" s="1"/>
  <c r="D108" i="27"/>
  <c r="E107" i="27"/>
  <c r="D107" i="27"/>
  <c r="F107" i="27" s="1"/>
  <c r="E106" i="27"/>
  <c r="D106" i="27"/>
  <c r="F106" i="27" s="1"/>
  <c r="F105" i="27"/>
  <c r="E105" i="27"/>
  <c r="D105" i="27"/>
  <c r="F104" i="27"/>
  <c r="E104" i="27"/>
  <c r="G104" i="27" s="1"/>
  <c r="D104" i="27"/>
  <c r="E103" i="27"/>
  <c r="D103" i="27"/>
  <c r="F103" i="27" s="1"/>
  <c r="E102" i="27"/>
  <c r="D102" i="27"/>
  <c r="F102" i="27" s="1"/>
  <c r="F101" i="27"/>
  <c r="E101" i="27"/>
  <c r="D101" i="27"/>
  <c r="F100" i="27"/>
  <c r="E100" i="27"/>
  <c r="G100" i="27" s="1"/>
  <c r="D100" i="27"/>
  <c r="E99" i="27"/>
  <c r="D99" i="27"/>
  <c r="F99" i="27" s="1"/>
  <c r="E98" i="27"/>
  <c r="D98" i="27"/>
  <c r="F98" i="27" s="1"/>
  <c r="F97" i="27"/>
  <c r="E97" i="27"/>
  <c r="D97" i="27"/>
  <c r="F96" i="27"/>
  <c r="E96" i="27"/>
  <c r="G96" i="27" s="1"/>
  <c r="D96" i="27"/>
  <c r="E95" i="27"/>
  <c r="D95" i="27"/>
  <c r="F95" i="27" s="1"/>
  <c r="E94" i="27"/>
  <c r="D94" i="27"/>
  <c r="F94" i="27" s="1"/>
  <c r="F93" i="27"/>
  <c r="E93" i="27"/>
  <c r="D93" i="27"/>
  <c r="F92" i="27"/>
  <c r="E92" i="27"/>
  <c r="G92" i="27" s="1"/>
  <c r="D92" i="27"/>
  <c r="E91" i="27"/>
  <c r="D91" i="27"/>
  <c r="F91" i="27" s="1"/>
  <c r="E90" i="27"/>
  <c r="D90" i="27"/>
  <c r="F90" i="27" s="1"/>
  <c r="F89" i="27"/>
  <c r="E89" i="27"/>
  <c r="D89" i="27"/>
  <c r="F88" i="27"/>
  <c r="E88" i="27"/>
  <c r="G88" i="27" s="1"/>
  <c r="D88" i="27"/>
  <c r="E87" i="27"/>
  <c r="D87" i="27"/>
  <c r="F87" i="27" s="1"/>
  <c r="E86" i="27"/>
  <c r="D86" i="27"/>
  <c r="F86" i="27" s="1"/>
  <c r="F85" i="27"/>
  <c r="E85" i="27"/>
  <c r="D85" i="27"/>
  <c r="F84" i="27"/>
  <c r="E84" i="27"/>
  <c r="G84" i="27" s="1"/>
  <c r="D84" i="27"/>
  <c r="E83" i="27"/>
  <c r="D83" i="27"/>
  <c r="F83" i="27" s="1"/>
  <c r="E82" i="27"/>
  <c r="D82" i="27"/>
  <c r="F82" i="27" s="1"/>
  <c r="F81" i="27"/>
  <c r="E81" i="27"/>
  <c r="D81" i="27"/>
  <c r="F80" i="27"/>
  <c r="G80" i="27" s="1"/>
  <c r="E80" i="27"/>
  <c r="D80" i="27"/>
  <c r="F79" i="27"/>
  <c r="G79" i="27" s="1"/>
  <c r="E79" i="27"/>
  <c r="D79" i="27"/>
  <c r="F78" i="27"/>
  <c r="G78" i="27" s="1"/>
  <c r="E78" i="27"/>
  <c r="D78" i="27"/>
  <c r="F77" i="27"/>
  <c r="G77" i="27" s="1"/>
  <c r="E77" i="27"/>
  <c r="D77" i="27"/>
  <c r="F76" i="27"/>
  <c r="G76" i="27" s="1"/>
  <c r="E76" i="27"/>
  <c r="D76" i="27"/>
  <c r="F75" i="27"/>
  <c r="G75" i="27" s="1"/>
  <c r="E75" i="27"/>
  <c r="D75" i="27"/>
  <c r="F74" i="27"/>
  <c r="G74" i="27" s="1"/>
  <c r="E74" i="27"/>
  <c r="D74" i="27"/>
  <c r="F73" i="27"/>
  <c r="G73" i="27" s="1"/>
  <c r="E73" i="27"/>
  <c r="D73" i="27"/>
  <c r="F72" i="27"/>
  <c r="G72" i="27" s="1"/>
  <c r="E72" i="27"/>
  <c r="D72" i="27"/>
  <c r="F71" i="27"/>
  <c r="G71" i="27" s="1"/>
  <c r="E71" i="27"/>
  <c r="D71" i="27"/>
  <c r="F70" i="27"/>
  <c r="G70" i="27" s="1"/>
  <c r="E70" i="27"/>
  <c r="D70" i="27"/>
  <c r="F69" i="27"/>
  <c r="G69" i="27" s="1"/>
  <c r="E69" i="27"/>
  <c r="D69" i="27"/>
  <c r="F68" i="27"/>
  <c r="G68" i="27" s="1"/>
  <c r="E68" i="27"/>
  <c r="D68" i="27"/>
  <c r="F67" i="27"/>
  <c r="G67" i="27" s="1"/>
  <c r="E67" i="27"/>
  <c r="D67" i="27"/>
  <c r="F66" i="27"/>
  <c r="G66" i="27" s="1"/>
  <c r="E66" i="27"/>
  <c r="D66" i="27"/>
  <c r="F65" i="27"/>
  <c r="G65" i="27" s="1"/>
  <c r="E65" i="27"/>
  <c r="D65" i="27"/>
  <c r="F64" i="27"/>
  <c r="G64" i="27" s="1"/>
  <c r="E64" i="27"/>
  <c r="D64" i="27"/>
  <c r="F63" i="27"/>
  <c r="G63" i="27" s="1"/>
  <c r="E63" i="27"/>
  <c r="D63" i="27"/>
  <c r="F62" i="27"/>
  <c r="G62" i="27" s="1"/>
  <c r="E62" i="27"/>
  <c r="D62" i="27"/>
  <c r="F61" i="27"/>
  <c r="G61" i="27" s="1"/>
  <c r="E61" i="27"/>
  <c r="D61" i="27"/>
  <c r="F60" i="27"/>
  <c r="G60" i="27" s="1"/>
  <c r="E60" i="27"/>
  <c r="D60" i="27"/>
  <c r="F59" i="27"/>
  <c r="G59" i="27" s="1"/>
  <c r="E59" i="27"/>
  <c r="D59" i="27"/>
  <c r="F58" i="27"/>
  <c r="G58" i="27" s="1"/>
  <c r="E58" i="27"/>
  <c r="D58" i="27"/>
  <c r="F57" i="27"/>
  <c r="G57" i="27" s="1"/>
  <c r="E57" i="27"/>
  <c r="D57" i="27"/>
  <c r="F56" i="27"/>
  <c r="G56" i="27" s="1"/>
  <c r="E56" i="27"/>
  <c r="D56" i="27"/>
  <c r="F55" i="27"/>
  <c r="G55" i="27" s="1"/>
  <c r="E55" i="27"/>
  <c r="D55" i="27"/>
  <c r="F54" i="27"/>
  <c r="G54" i="27" s="1"/>
  <c r="E54" i="27"/>
  <c r="D54" i="27"/>
  <c r="F53" i="27"/>
  <c r="G53" i="27" s="1"/>
  <c r="E53" i="27"/>
  <c r="D53" i="27"/>
  <c r="F52" i="27"/>
  <c r="G52" i="27" s="1"/>
  <c r="E52" i="27"/>
  <c r="D52" i="27"/>
  <c r="F51" i="27"/>
  <c r="G51" i="27" s="1"/>
  <c r="E51" i="27"/>
  <c r="D51" i="27"/>
  <c r="F50" i="27"/>
  <c r="G50" i="27" s="1"/>
  <c r="E50" i="27"/>
  <c r="D50" i="27"/>
  <c r="F49" i="27"/>
  <c r="G49" i="27" s="1"/>
  <c r="E49" i="27"/>
  <c r="D49" i="27"/>
  <c r="F48" i="27"/>
  <c r="G48" i="27" s="1"/>
  <c r="E48" i="27"/>
  <c r="D48" i="27"/>
  <c r="F47" i="27"/>
  <c r="G47" i="27" s="1"/>
  <c r="E47" i="27"/>
  <c r="D47" i="27"/>
  <c r="F46" i="27"/>
  <c r="G46" i="27" s="1"/>
  <c r="E46" i="27"/>
  <c r="D46" i="27"/>
  <c r="F45" i="27"/>
  <c r="G45" i="27" s="1"/>
  <c r="E45" i="27"/>
  <c r="D45" i="27"/>
  <c r="F44" i="27"/>
  <c r="G44" i="27" s="1"/>
  <c r="E44" i="27"/>
  <c r="D44" i="27"/>
  <c r="F43" i="27"/>
  <c r="G43" i="27" s="1"/>
  <c r="E43" i="27"/>
  <c r="D43" i="27"/>
  <c r="F42" i="27"/>
  <c r="G42" i="27" s="1"/>
  <c r="E42" i="27"/>
  <c r="D42" i="27"/>
  <c r="F41" i="27"/>
  <c r="G41" i="27" s="1"/>
  <c r="E41" i="27"/>
  <c r="D41" i="27"/>
  <c r="F40" i="27"/>
  <c r="G40" i="27" s="1"/>
  <c r="E40" i="27"/>
  <c r="D40" i="27"/>
  <c r="F39" i="27"/>
  <c r="G39" i="27" s="1"/>
  <c r="E39" i="27"/>
  <c r="D39" i="27"/>
  <c r="F38" i="27"/>
  <c r="G38" i="27" s="1"/>
  <c r="E38" i="27"/>
  <c r="D38" i="27"/>
  <c r="F37" i="27"/>
  <c r="G37" i="27" s="1"/>
  <c r="E37" i="27"/>
  <c r="D37" i="27"/>
  <c r="F36" i="27"/>
  <c r="G36" i="27" s="1"/>
  <c r="E36" i="27"/>
  <c r="D36" i="27"/>
  <c r="F35" i="27"/>
  <c r="G35" i="27" s="1"/>
  <c r="E35" i="27"/>
  <c r="D35" i="27"/>
  <c r="F34" i="27"/>
  <c r="G34" i="27" s="1"/>
  <c r="E34" i="27"/>
  <c r="D34" i="27"/>
  <c r="F33" i="27"/>
  <c r="G33" i="27" s="1"/>
  <c r="E33" i="27"/>
  <c r="D33" i="27"/>
  <c r="F32" i="27"/>
  <c r="E32" i="27"/>
  <c r="G32" i="27" s="1"/>
  <c r="D32" i="27"/>
  <c r="F31" i="27"/>
  <c r="E31" i="27"/>
  <c r="G31" i="27" s="1"/>
  <c r="D31" i="27"/>
  <c r="F30" i="27"/>
  <c r="E30" i="27"/>
  <c r="G30" i="27" s="1"/>
  <c r="D30" i="27"/>
  <c r="F29" i="27"/>
  <c r="E29" i="27"/>
  <c r="G29" i="27" s="1"/>
  <c r="D29" i="27"/>
  <c r="F28" i="27"/>
  <c r="E28" i="27"/>
  <c r="G28" i="27" s="1"/>
  <c r="D28" i="27"/>
  <c r="F27" i="27"/>
  <c r="E27" i="27"/>
  <c r="G27" i="27" s="1"/>
  <c r="D27" i="27"/>
  <c r="F26" i="27"/>
  <c r="E26" i="27"/>
  <c r="G26" i="27" s="1"/>
  <c r="D26" i="27"/>
  <c r="F25" i="27"/>
  <c r="E25" i="27"/>
  <c r="G25" i="27" s="1"/>
  <c r="D25" i="27"/>
  <c r="F24" i="27"/>
  <c r="E24" i="27"/>
  <c r="G24" i="27" s="1"/>
  <c r="D24" i="27"/>
  <c r="F23" i="27"/>
  <c r="E23" i="27"/>
  <c r="G23" i="27" s="1"/>
  <c r="D23" i="27"/>
  <c r="F22" i="27"/>
  <c r="E22" i="27"/>
  <c r="G22" i="27" s="1"/>
  <c r="D22" i="27"/>
  <c r="F21" i="27"/>
  <c r="E21" i="27"/>
  <c r="G21" i="27" s="1"/>
  <c r="D21" i="27"/>
  <c r="F20" i="27"/>
  <c r="E20" i="27"/>
  <c r="G20" i="27" s="1"/>
  <c r="D20" i="27"/>
  <c r="F19" i="27"/>
  <c r="E19" i="27"/>
  <c r="G19" i="27" s="1"/>
  <c r="D19" i="27"/>
  <c r="F18" i="27"/>
  <c r="E18" i="27"/>
  <c r="G18" i="27" s="1"/>
  <c r="D18" i="27"/>
  <c r="F17" i="27"/>
  <c r="E17" i="27"/>
  <c r="G17" i="27" s="1"/>
  <c r="D17" i="27"/>
  <c r="F16" i="27"/>
  <c r="E16" i="27"/>
  <c r="G16" i="27" s="1"/>
  <c r="D16" i="27"/>
  <c r="F15" i="27"/>
  <c r="E15" i="27"/>
  <c r="G15" i="27" s="1"/>
  <c r="D15" i="27"/>
  <c r="F14" i="27"/>
  <c r="E14" i="27"/>
  <c r="G14" i="27" s="1"/>
  <c r="D14" i="27"/>
  <c r="F13" i="27"/>
  <c r="E13" i="27"/>
  <c r="G13" i="27" s="1"/>
  <c r="D13" i="27"/>
  <c r="F12" i="27"/>
  <c r="E12" i="27"/>
  <c r="G12" i="27" s="1"/>
  <c r="D12" i="27"/>
  <c r="F11" i="27"/>
  <c r="E11" i="27"/>
  <c r="G11" i="27" s="1"/>
  <c r="D11" i="27"/>
  <c r="F10" i="27"/>
  <c r="E10" i="27"/>
  <c r="G10" i="27" s="1"/>
  <c r="D10" i="27"/>
  <c r="F9" i="27"/>
  <c r="E9" i="27"/>
  <c r="G9" i="27" s="1"/>
  <c r="D9" i="27"/>
  <c r="F8" i="27"/>
  <c r="E8" i="27"/>
  <c r="G8" i="27" s="1"/>
  <c r="D8" i="27"/>
  <c r="F7" i="27"/>
  <c r="E7" i="27"/>
  <c r="G7" i="27" s="1"/>
  <c r="D7" i="27"/>
  <c r="F6" i="27"/>
  <c r="E6" i="27"/>
  <c r="G6" i="27" s="1"/>
  <c r="D6" i="27"/>
  <c r="F5" i="27"/>
  <c r="E5" i="27"/>
  <c r="G5" i="27" s="1"/>
  <c r="D5" i="27"/>
  <c r="E4" i="27"/>
  <c r="D4" i="27"/>
  <c r="F4" i="27" s="1"/>
  <c r="G4" i="27" s="1"/>
  <c r="J3" i="27"/>
  <c r="E3" i="27"/>
  <c r="D3" i="27"/>
  <c r="F3" i="27" s="1"/>
  <c r="E2" i="27"/>
  <c r="G2" i="27" s="1"/>
  <c r="D2" i="27"/>
  <c r="F2" i="27" s="1"/>
  <c r="G3" i="27" l="1"/>
  <c r="J4" i="27"/>
  <c r="G83" i="27"/>
  <c r="G87" i="27"/>
  <c r="G91" i="27"/>
  <c r="G95" i="27"/>
  <c r="G99" i="27"/>
  <c r="G103" i="27"/>
  <c r="G107" i="27"/>
  <c r="G111" i="27"/>
  <c r="G115" i="27"/>
  <c r="G119" i="27"/>
  <c r="G123" i="27"/>
  <c r="G127" i="27"/>
  <c r="G131" i="27"/>
  <c r="G135" i="27"/>
  <c r="G139" i="27"/>
  <c r="G143" i="27"/>
  <c r="G146" i="27"/>
  <c r="G148" i="27"/>
  <c r="G150" i="27"/>
  <c r="G152" i="27"/>
  <c r="G154" i="27"/>
  <c r="G156" i="27"/>
  <c r="G158" i="27"/>
  <c r="G160" i="27"/>
  <c r="G162" i="27"/>
  <c r="G164" i="27"/>
  <c r="G166" i="27"/>
  <c r="G168" i="27"/>
  <c r="G170" i="27"/>
  <c r="G172" i="27"/>
  <c r="G174" i="27"/>
  <c r="G176" i="27"/>
  <c r="G178" i="27"/>
  <c r="G180" i="27"/>
  <c r="G182" i="27"/>
  <c r="G184" i="27"/>
  <c r="G186" i="27"/>
  <c r="G188" i="27"/>
  <c r="G190" i="27"/>
  <c r="G192" i="27"/>
  <c r="G194" i="27"/>
  <c r="G196" i="27"/>
  <c r="G198" i="27"/>
  <c r="G200" i="27"/>
  <c r="G202" i="27"/>
  <c r="G204" i="27"/>
  <c r="G206" i="27"/>
  <c r="G208" i="27"/>
  <c r="G210" i="27"/>
  <c r="G212" i="27"/>
  <c r="G214" i="27"/>
  <c r="G216" i="27"/>
  <c r="G218" i="27"/>
  <c r="G220" i="27"/>
  <c r="G222" i="27"/>
  <c r="G224" i="27"/>
  <c r="G226" i="27"/>
  <c r="G228" i="27"/>
  <c r="G230" i="27"/>
  <c r="G232" i="27"/>
  <c r="G234" i="27"/>
  <c r="G236" i="27"/>
  <c r="G241" i="27"/>
  <c r="G249" i="27"/>
  <c r="G257" i="27"/>
  <c r="G82" i="27"/>
  <c r="G86" i="27"/>
  <c r="G90" i="27"/>
  <c r="G94" i="27"/>
  <c r="G98" i="27"/>
  <c r="G102" i="27"/>
  <c r="G106" i="27"/>
  <c r="G110" i="27"/>
  <c r="G114" i="27"/>
  <c r="G118" i="27"/>
  <c r="G122" i="27"/>
  <c r="G126" i="27"/>
  <c r="G130" i="27"/>
  <c r="G134" i="27"/>
  <c r="G138" i="27"/>
  <c r="G142" i="27"/>
  <c r="G81" i="27"/>
  <c r="G85" i="27"/>
  <c r="G89" i="27"/>
  <c r="G93" i="27"/>
  <c r="G97" i="27"/>
  <c r="G101" i="27"/>
  <c r="G105" i="27"/>
  <c r="G109" i="27"/>
  <c r="G113" i="27"/>
  <c r="G117" i="27"/>
  <c r="G121" i="27"/>
  <c r="G125" i="27"/>
  <c r="G129" i="27"/>
  <c r="G133" i="27"/>
  <c r="G137" i="27"/>
  <c r="G141" i="27"/>
  <c r="G145" i="27"/>
  <c r="G147" i="27"/>
  <c r="G149" i="27"/>
  <c r="G151" i="27"/>
  <c r="G153" i="27"/>
  <c r="G155" i="27"/>
  <c r="G157" i="27"/>
  <c r="G159" i="27"/>
  <c r="G161" i="27"/>
  <c r="G163" i="27"/>
  <c r="G165" i="27"/>
  <c r="G167" i="27"/>
  <c r="G169" i="27"/>
  <c r="G171" i="27"/>
  <c r="G173" i="27"/>
  <c r="G175" i="27"/>
  <c r="G177" i="27"/>
  <c r="G179" i="27"/>
  <c r="G181" i="27"/>
  <c r="G183" i="27"/>
  <c r="G185" i="27"/>
  <c r="G187" i="27"/>
  <c r="G189" i="27"/>
  <c r="G191" i="27"/>
  <c r="G193" i="27"/>
  <c r="G195" i="27"/>
  <c r="G197" i="27"/>
  <c r="G199" i="27"/>
  <c r="G201" i="27"/>
  <c r="G203" i="27"/>
  <c r="G205" i="27"/>
  <c r="G207" i="27"/>
  <c r="G209" i="27"/>
  <c r="G211" i="27"/>
  <c r="G213" i="27"/>
  <c r="G215" i="27"/>
  <c r="G217" i="27"/>
  <c r="G219" i="27"/>
  <c r="G221" i="27"/>
  <c r="G223" i="27"/>
  <c r="G225" i="27"/>
  <c r="G227" i="27"/>
  <c r="G229" i="27"/>
  <c r="G231" i="27"/>
  <c r="G233" i="27"/>
  <c r="G235" i="27"/>
  <c r="G237" i="27"/>
  <c r="G245" i="27"/>
  <c r="G253" i="27"/>
  <c r="G240" i="27"/>
  <c r="G244" i="27"/>
  <c r="G248" i="27"/>
  <c r="G252" i="27"/>
  <c r="G256" i="27"/>
  <c r="G239" i="27"/>
  <c r="G243" i="27"/>
  <c r="G247" i="27"/>
  <c r="G251" i="27"/>
  <c r="G255" i="27"/>
  <c r="G259" i="27"/>
  <c r="G263" i="27"/>
  <c r="G267" i="27"/>
  <c r="G271" i="27"/>
  <c r="G238" i="27"/>
  <c r="G242" i="27"/>
  <c r="G246" i="27"/>
  <c r="G250" i="27"/>
  <c r="G254" i="27"/>
  <c r="G258" i="27"/>
  <c r="G262" i="27"/>
  <c r="G266" i="27"/>
  <c r="G270" i="27"/>
  <c r="G298" i="27"/>
  <c r="G302" i="27"/>
  <c r="G306" i="27"/>
  <c r="G310" i="27"/>
  <c r="G314" i="27"/>
  <c r="G318" i="27"/>
  <c r="G322" i="27"/>
  <c r="G326" i="27"/>
  <c r="G330" i="27"/>
  <c r="G334" i="27"/>
  <c r="G338" i="27"/>
  <c r="G342" i="27"/>
  <c r="G350" i="27"/>
  <c r="G297" i="27"/>
  <c r="G301" i="27"/>
  <c r="G305" i="27"/>
  <c r="G309" i="27"/>
  <c r="G313" i="27"/>
  <c r="G317" i="27"/>
  <c r="G321" i="27"/>
  <c r="G325" i="27"/>
  <c r="G329" i="27"/>
  <c r="G333" i="27"/>
  <c r="G337" i="27"/>
  <c r="G341" i="27"/>
  <c r="G296" i="27"/>
  <c r="G300" i="27"/>
  <c r="G304" i="27"/>
  <c r="G308" i="27"/>
  <c r="G312" i="27"/>
  <c r="G316" i="27"/>
  <c r="G320" i="27"/>
  <c r="G324" i="27"/>
  <c r="G328" i="27"/>
  <c r="G332" i="27"/>
  <c r="G336" i="27"/>
  <c r="G340" i="27"/>
  <c r="G358" i="27"/>
  <c r="G351" i="27"/>
  <c r="G355" i="27"/>
  <c r="G359" i="27"/>
  <c r="G363" i="27"/>
  <c r="G367" i="27"/>
  <c r="G371" i="27"/>
  <c r="G375" i="27"/>
  <c r="G379" i="27"/>
  <c r="G383" i="27"/>
  <c r="G387" i="27"/>
  <c r="G391" i="27"/>
  <c r="G394" i="27"/>
  <c r="G396" i="27"/>
  <c r="G398" i="27"/>
  <c r="G400" i="27"/>
  <c r="G402" i="27"/>
  <c r="G404" i="27"/>
  <c r="G406" i="27"/>
  <c r="G408" i="27"/>
  <c r="G410" i="27"/>
  <c r="G412" i="27"/>
  <c r="G414" i="27"/>
  <c r="G416" i="27"/>
  <c r="G418" i="27"/>
  <c r="G420" i="27"/>
  <c r="G422" i="27"/>
  <c r="G424" i="27"/>
  <c r="G426" i="27"/>
  <c r="G428" i="27"/>
  <c r="G430" i="27"/>
  <c r="G432" i="27"/>
  <c r="G362" i="27"/>
  <c r="G366" i="27"/>
  <c r="G370" i="27"/>
  <c r="G374" i="27"/>
  <c r="G378" i="27"/>
  <c r="G382" i="27"/>
  <c r="G386" i="27"/>
  <c r="G390" i="27"/>
  <c r="G349" i="27"/>
  <c r="G353" i="27"/>
  <c r="G357" i="27"/>
  <c r="G361" i="27"/>
  <c r="G365" i="27"/>
  <c r="G369" i="27"/>
  <c r="G373" i="27"/>
  <c r="G377" i="27"/>
  <c r="G381" i="27"/>
  <c r="G385" i="27"/>
  <c r="G389" i="27"/>
  <c r="G393" i="27"/>
  <c r="G395" i="27"/>
  <c r="G397" i="27"/>
  <c r="G399" i="27"/>
  <c r="G401" i="27"/>
  <c r="G403" i="27"/>
  <c r="G405" i="27"/>
  <c r="G407" i="27"/>
  <c r="G409" i="27"/>
  <c r="G411" i="27"/>
  <c r="G413" i="27"/>
  <c r="G415" i="27"/>
  <c r="G417" i="27"/>
  <c r="G419" i="27"/>
  <c r="G421" i="27"/>
  <c r="G423" i="27"/>
  <c r="G425" i="27"/>
  <c r="G427" i="27"/>
  <c r="G429" i="27"/>
  <c r="G431" i="27"/>
  <c r="G433" i="27"/>
</calcChain>
</file>

<file path=xl/sharedStrings.xml><?xml version="1.0" encoding="utf-8"?>
<sst xmlns="http://schemas.openxmlformats.org/spreadsheetml/2006/main" count="31" uniqueCount="29">
  <si>
    <t>Market Return</t>
  </si>
  <si>
    <t>Date</t>
  </si>
  <si>
    <t>Excess Market Return</t>
  </si>
  <si>
    <t>Rf</t>
  </si>
  <si>
    <t>Sample Error</t>
  </si>
  <si>
    <t>SUMMARY OUTPUT</t>
  </si>
  <si>
    <t>Regression Statistics</t>
  </si>
  <si>
    <t>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</si>
  <si>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</si>
  <si>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</si>
  <si>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</si>
  <si>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</si>
  <si>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</si>
  <si>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</si>
  <si>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</si>
  <si>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</si>
  <si>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</si>
  <si>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</si>
  <si>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Coefficients</t>
  </si>
  <si>
    <t>t Stat</t>
  </si>
  <si>
    <t>P-value</t>
  </si>
  <si>
    <t>P&amp;G's Return</t>
  </si>
  <si>
    <t>Excess P&amp;G Return</t>
  </si>
  <si>
    <t>Predicted P&amp;G Excess Return</t>
  </si>
  <si>
    <t>x_bar</t>
  </si>
  <si>
    <t>Market Risk Premium</t>
  </si>
  <si>
    <t>y_bar</t>
  </si>
  <si>
    <t>P&amp;G's Risk Premium</t>
  </si>
  <si>
    <t>SSX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</si>
</sst>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"/>
    <numFmt numFmtId="166" formatCode="0.0%"/>
    <numFmt numFmtId="167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2" fontId="0" fillId="0" borderId="0" xfId="0" applyNumberFormat="1" applyFill="1" applyBorder="1" applyAlignment="1"/>
    <xf numFmtId="2" fontId="0" fillId="0" borderId="10" xfId="0" applyNumberFormat="1" applyFill="1" applyBorder="1" applyAlignment="1"/>
    <xf numFmtId="167" fontId="0" fillId="0" borderId="10" xfId="0" applyNumberFormat="1" applyFill="1" applyBorder="1" applyAlignment="1"/>
    <xf numFmtId="1" fontId="0" fillId="0" borderId="10" xfId="0" applyNumberFormat="1" applyFill="1" applyBorder="1" applyAlignment="1"/>
    <xf numFmtId="167" fontId="0" fillId="0" borderId="0" xfId="0" applyNumberFormat="1" applyFill="1" applyBorder="1" applyAlignment="1"/>
    <xf numFmtId="1" fontId="0" fillId="0" borderId="0" xfId="0" applyNumberFormat="1" applyFill="1" applyBorder="1" applyAlignment="1"/>
    <xf numFmtId="0" fontId="18" fillId="0" borderId="11" xfId="0" applyFont="1" applyFill="1" applyBorder="1" applyAlignment="1">
      <alignment horizontal="center"/>
    </xf>
    <xf numFmtId="166" fontId="0" fillId="0" borderId="0" xfId="42" applyNumberFormat="1" applyFont="1" applyAlignment="1">
      <alignment horizontal="center"/>
    </xf>
    <xf numFmtId="166" fontId="0" fillId="0" borderId="0" xfId="42" applyNumberFormat="1" applyFont="1" applyFill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2" fontId="0" fillId="0" borderId="0" xfId="0" applyNumberFormat="1"/>
    <xf numFmtId="166" fontId="0" fillId="33" borderId="0" xfId="42" applyNumberFormat="1" applyFont="1" applyFill="1" applyAlignment="1">
      <alignment horizontal="center"/>
    </xf>
    <xf numFmtId="10" fontId="0" fillId="0" borderId="0" xfId="42" applyNumberFormat="1" applyFont="1"/>
    <xf numFmtId="10" fontId="0" fillId="33" borderId="0" xfId="42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</xdr:colOff>
      <xdr:row>0</xdr:row>
      <xdr:rowOff>0</xdr:rowOff>
    </xdr:from>
    <xdr:to>
      <xdr:col>14</xdr:col>
      <xdr:colOff>274310</xdr:colOff>
      <xdr:row>21</xdr:row>
      <xdr:rowOff>23205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ED1674F-57FB-40A3-84AE-1FCB0CE4A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5400" y="0"/>
          <a:ext cx="5773410" cy="41951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dwho/Dropbox/Courses/Teaching/FIN%20203/FIN%20203%20Fall%202020/3%20CAPM/2%20Exercises/2%20P&amp;G/P&amp;G%20CAPM%20-%20Soultions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urns"/>
      <sheetName val="Regression"/>
      <sheetName val="Prediction"/>
      <sheetName val="Returns Plot"/>
      <sheetName val="Residual Plot"/>
    </sheetNames>
    <sheetDataSet>
      <sheetData sheetId="0">
        <row r="2">
          <cell r="D2">
            <v>-4.3485879629629624E-2</v>
          </cell>
          <cell r="G2">
            <v>-9.9940526002931934E-5</v>
          </cell>
        </row>
        <row r="3">
          <cell r="D3">
            <v>1.2814120370370375E-2</v>
          </cell>
          <cell r="G3">
            <v>4.9346372522819121E-2</v>
          </cell>
        </row>
        <row r="4">
          <cell r="D4">
            <v>4.4214120370370369E-2</v>
          </cell>
          <cell r="G4">
            <v>-4.4543356966825404E-2</v>
          </cell>
        </row>
        <row r="5">
          <cell r="D5">
            <v>-1.3685879629629628E-2</v>
          </cell>
          <cell r="G5">
            <v>2.9036520022041424E-2</v>
          </cell>
        </row>
        <row r="6">
          <cell r="D6">
            <v>9.1141203703703731E-3</v>
          </cell>
          <cell r="G6">
            <v>-3.1450188015025311E-2</v>
          </cell>
        </row>
        <row r="7">
          <cell r="D7">
            <v>-1.3585879629629625E-2</v>
          </cell>
          <cell r="G7">
            <v>7.2246508144685875E-2</v>
          </cell>
        </row>
        <row r="8">
          <cell r="D8">
            <v>-6.4858796296296262E-3</v>
          </cell>
          <cell r="G8">
            <v>-3.4627335147558599E-2</v>
          </cell>
        </row>
        <row r="9">
          <cell r="D9">
            <v>-6.0985879629629626E-2</v>
          </cell>
          <cell r="G9">
            <v>-2.2317861988780656E-2</v>
          </cell>
        </row>
        <row r="10">
          <cell r="D10">
            <v>-6.2785879629629629E-2</v>
          </cell>
          <cell r="G10">
            <v>8.6431351803619341E-2</v>
          </cell>
        </row>
        <row r="11">
          <cell r="D11">
            <v>5.7814120370370377E-2</v>
          </cell>
          <cell r="G11">
            <v>3.5896027712818995E-2</v>
          </cell>
        </row>
        <row r="12">
          <cell r="D12">
            <v>4.0814120370370376E-2</v>
          </cell>
          <cell r="G12">
            <v>-4.9569531367365145E-3</v>
          </cell>
        </row>
        <row r="13">
          <cell r="D13">
            <v>-3.1285879629629622E-2</v>
          </cell>
          <cell r="G13">
            <v>8.5426104366192485E-3</v>
          </cell>
        </row>
        <row r="14">
          <cell r="D14">
            <v>-2.7885879629629632E-2</v>
          </cell>
          <cell r="G14">
            <v>7.8933206606530359E-2</v>
          </cell>
        </row>
        <row r="15">
          <cell r="D15">
            <v>-5.288587962962963E-2</v>
          </cell>
          <cell r="G15">
            <v>-5.2408240545806888E-3</v>
          </cell>
        </row>
        <row r="16">
          <cell r="D16">
            <v>-1.2385879629629629E-2</v>
          </cell>
          <cell r="G16">
            <v>-8.8516343835808031E-3</v>
          </cell>
        </row>
        <row r="17">
          <cell r="D17">
            <v>4.0514120370370381E-2</v>
          </cell>
          <cell r="G17">
            <v>1.7072082495330154E-2</v>
          </cell>
        </row>
        <row r="18">
          <cell r="D18">
            <v>-3.278587962962963E-2</v>
          </cell>
          <cell r="G18">
            <v>-1.267321140304741E-2</v>
          </cell>
        </row>
        <row r="19">
          <cell r="D19">
            <v>-2.4785879629629626E-2</v>
          </cell>
          <cell r="G19">
            <v>-6.828161591491879E-3</v>
          </cell>
        </row>
        <row r="20">
          <cell r="D20">
            <v>-2.4885879629629622E-2</v>
          </cell>
          <cell r="G20">
            <v>4.1908850285863677E-2</v>
          </cell>
        </row>
        <row r="21">
          <cell r="D21">
            <v>0.11551412037037039</v>
          </cell>
          <cell r="G21">
            <v>4.8105174478663262E-2</v>
          </cell>
        </row>
        <row r="22">
          <cell r="D22">
            <v>1.4514120370370375E-2</v>
          </cell>
          <cell r="G22">
            <v>1.3386170607774672E-2</v>
          </cell>
        </row>
        <row r="23">
          <cell r="D23">
            <v>0.11541412037037038</v>
          </cell>
          <cell r="G23">
            <v>2.4305186356018818E-2</v>
          </cell>
        </row>
        <row r="24">
          <cell r="D24">
            <v>4.9514120370370375E-2</v>
          </cell>
          <cell r="G24">
            <v>8.5100013533330132E-2</v>
          </cell>
        </row>
        <row r="25">
          <cell r="D25">
            <v>8.7141203703703755E-3</v>
          </cell>
          <cell r="G25">
            <v>-1.9078140505603088E-2</v>
          </cell>
        </row>
        <row r="26">
          <cell r="D26">
            <v>3.9414120370370377E-2</v>
          </cell>
          <cell r="G26">
            <v>-6.8265786853758725E-2</v>
          </cell>
        </row>
        <row r="27">
          <cell r="D27">
            <v>2.861412037037037E-2</v>
          </cell>
          <cell r="G27">
            <v>-8.6145040993587003E-3</v>
          </cell>
        </row>
        <row r="28">
          <cell r="D28">
            <v>3.1014120370370369E-2</v>
          </cell>
          <cell r="G28">
            <v>3.8038210844107967E-2</v>
          </cell>
        </row>
        <row r="29">
          <cell r="D29">
            <v>7.0314120370370381E-2</v>
          </cell>
          <cell r="G29">
            <v>-4.627145695662549E-2</v>
          </cell>
        </row>
        <row r="30">
          <cell r="D30">
            <v>8.6141203703703727E-3</v>
          </cell>
          <cell r="G30">
            <v>-0.11771812862824753</v>
          </cell>
        </row>
        <row r="31">
          <cell r="D31">
            <v>3.3914120370370372E-2</v>
          </cell>
          <cell r="G31">
            <v>-3.7251335992031613E-3</v>
          </cell>
        </row>
        <row r="32">
          <cell r="D32">
            <v>-3.6785879629629627E-2</v>
          </cell>
          <cell r="G32">
            <v>-4.0494736308825177E-2</v>
          </cell>
        </row>
        <row r="33">
          <cell r="D33">
            <v>-8.8587962962962622E-4</v>
          </cell>
          <cell r="G33">
            <v>2.4988999720530272E-2</v>
          </cell>
        </row>
        <row r="34">
          <cell r="D34">
            <v>1.3314120370370375E-2</v>
          </cell>
          <cell r="G34">
            <v>2.3507313136041343E-2</v>
          </cell>
        </row>
        <row r="35">
          <cell r="D35">
            <v>-3.0285879629629624E-2</v>
          </cell>
          <cell r="G35">
            <v>1.5003491663063692E-2</v>
          </cell>
        </row>
        <row r="36">
          <cell r="D36">
            <v>2.5114120370370377E-2</v>
          </cell>
          <cell r="G36">
            <v>4.5217911608085762E-2</v>
          </cell>
        </row>
        <row r="37">
          <cell r="D37">
            <v>-1.3985879629629626E-2</v>
          </cell>
          <cell r="G37">
            <v>-4.209744434589191E-2</v>
          </cell>
        </row>
        <row r="38">
          <cell r="D38">
            <v>-1.5085879629629626E-2</v>
          </cell>
          <cell r="G38">
            <v>-0.1029793136949808</v>
          </cell>
        </row>
        <row r="39">
          <cell r="D39">
            <v>-4.4585879629629628E-2</v>
          </cell>
          <cell r="G39">
            <v>-5.292980987509182E-2</v>
          </cell>
        </row>
        <row r="40">
          <cell r="D40">
            <v>1.0114120370370374E-2</v>
          </cell>
          <cell r="G40">
            <v>9.3246932114191289E-3</v>
          </cell>
        </row>
        <row r="41">
          <cell r="D41">
            <v>-5.8587962962962587E-4</v>
          </cell>
          <cell r="G41">
            <v>-1.4682035911536395E-2</v>
          </cell>
        </row>
        <row r="42">
          <cell r="D42">
            <v>-5.5385879629629618E-2</v>
          </cell>
          <cell r="G42">
            <v>5.9097472879308215E-2</v>
          </cell>
        </row>
        <row r="43">
          <cell r="D43">
            <v>2.2214120370370377E-2</v>
          </cell>
          <cell r="G43">
            <v>4.2610256051396872E-2</v>
          </cell>
        </row>
        <row r="44">
          <cell r="D44">
            <v>-2.2685879629629632E-2</v>
          </cell>
          <cell r="G44">
            <v>1.9695588984041452E-2</v>
          </cell>
        </row>
        <row r="45">
          <cell r="D45">
            <v>0.10761412037037037</v>
          </cell>
          <cell r="G45">
            <v>-1.1268872102478192E-3</v>
          </cell>
        </row>
        <row r="46">
          <cell r="D46">
            <v>-2.8858796296296267E-3</v>
          </cell>
          <cell r="G46">
            <v>-1.0018762732358608E-2</v>
          </cell>
        </row>
        <row r="47">
          <cell r="D47">
            <v>-1.8858796296296258E-3</v>
          </cell>
          <cell r="G47">
            <v>4.1357118494085833E-2</v>
          </cell>
        </row>
        <row r="48">
          <cell r="D48">
            <v>-1.3785879629629627E-2</v>
          </cell>
          <cell r="G48">
            <v>-6.4274681006030203E-3</v>
          </cell>
        </row>
        <row r="49">
          <cell r="D49">
            <v>2.1314120370370372E-2</v>
          </cell>
          <cell r="G49">
            <v>-3.3360637052403122E-2</v>
          </cell>
        </row>
        <row r="50">
          <cell r="D50">
            <v>8.2914120370370381E-2</v>
          </cell>
          <cell r="G50">
            <v>-5.4166953503425527E-2</v>
          </cell>
        </row>
        <row r="51">
          <cell r="D51">
            <v>1.4514120370370372E-2</v>
          </cell>
          <cell r="G51">
            <v>-5.725829392225326E-3</v>
          </cell>
        </row>
        <row r="52">
          <cell r="D52">
            <v>-5.6858796296296258E-3</v>
          </cell>
          <cell r="G52">
            <v>-3.0506430166403045E-2</v>
          </cell>
        </row>
        <row r="53">
          <cell r="D53">
            <v>-5.8858796296296263E-3</v>
          </cell>
          <cell r="G53">
            <v>-5.5325406411691924E-2</v>
          </cell>
        </row>
        <row r="54">
          <cell r="D54">
            <v>5.4014120370370379E-2</v>
          </cell>
          <cell r="G54">
            <v>-3.8085209476698932E-3</v>
          </cell>
        </row>
        <row r="55">
          <cell r="D55">
            <v>1.4714120370370374E-2</v>
          </cell>
          <cell r="G55">
            <v>2.7143146853063564E-2</v>
          </cell>
        </row>
        <row r="56">
          <cell r="D56">
            <v>-4.6858796296296258E-3</v>
          </cell>
          <cell r="G56">
            <v>2.2482451060041396E-2</v>
          </cell>
        </row>
        <row r="57">
          <cell r="D57">
            <v>-8.1858796296296263E-3</v>
          </cell>
          <cell r="G57">
            <v>-6.6313323251414834E-4</v>
          </cell>
        </row>
        <row r="58">
          <cell r="D58">
            <v>-4.2885879629629621E-2</v>
          </cell>
          <cell r="G58">
            <v>-6.5470117901362708E-3</v>
          </cell>
        </row>
        <row r="59">
          <cell r="D59">
            <v>4.3214120370370375E-2</v>
          </cell>
          <cell r="G59">
            <v>0.10393376180673017</v>
          </cell>
        </row>
        <row r="60">
          <cell r="D60">
            <v>6.7414120370370381E-2</v>
          </cell>
          <cell r="G60">
            <v>1.4820887486685634E-2</v>
          </cell>
        </row>
        <row r="61">
          <cell r="D61">
            <v>4.1814120370370376E-2</v>
          </cell>
          <cell r="G61">
            <v>8.0699280897079326E-3</v>
          </cell>
        </row>
        <row r="62">
          <cell r="D62">
            <v>8.6141203703703727E-3</v>
          </cell>
          <cell r="G62">
            <v>-6.0005128628247528E-2</v>
          </cell>
        </row>
        <row r="63">
          <cell r="D63">
            <v>7.3114120370370378E-2</v>
          </cell>
          <cell r="G63">
            <v>1.2221047741894919E-4</v>
          </cell>
        </row>
        <row r="64">
          <cell r="D64">
            <v>5.1314120370370371E-2</v>
          </cell>
          <cell r="G64">
            <v>3.1051799740930135E-2</v>
          </cell>
        </row>
        <row r="65">
          <cell r="D65">
            <v>-1.1385879629629628E-2</v>
          </cell>
          <cell r="G65">
            <v>4.1042468428636389E-3</v>
          </cell>
        </row>
        <row r="66">
          <cell r="D66">
            <v>4.7614120370370383E-2</v>
          </cell>
          <cell r="G66">
            <v>2.5471239203085687E-2</v>
          </cell>
        </row>
        <row r="67">
          <cell r="D67">
            <v>1.2014120370370373E-2</v>
          </cell>
          <cell r="G67">
            <v>1.3355467541663571E-2</v>
          </cell>
        </row>
        <row r="68">
          <cell r="D68">
            <v>-6.2785879629629629E-2</v>
          </cell>
          <cell r="G68">
            <v>-2.5286481963806562E-3</v>
          </cell>
        </row>
        <row r="69">
          <cell r="D69">
            <v>6.1814120370370373E-2</v>
          </cell>
          <cell r="G69">
            <v>-7.5124473814032443E-3</v>
          </cell>
        </row>
        <row r="70">
          <cell r="D70">
            <v>-8.4985879629629626E-2</v>
          </cell>
          <cell r="G70">
            <v>-0.11821001142344727</v>
          </cell>
        </row>
        <row r="71">
          <cell r="D71">
            <v>4.7714120370370379E-2</v>
          </cell>
          <cell r="G71">
            <v>8.2869227325730127E-2</v>
          </cell>
        </row>
        <row r="72">
          <cell r="D72">
            <v>1.2114120370370376E-2</v>
          </cell>
          <cell r="G72">
            <v>2.1078455664308014E-2</v>
          </cell>
        </row>
        <row r="73">
          <cell r="D73">
            <v>-3.1285879629629629E-2</v>
          </cell>
          <cell r="G73">
            <v>-1.0700389563380748E-2</v>
          </cell>
        </row>
        <row r="74">
          <cell r="D74">
            <v>0.12541412037037039</v>
          </cell>
          <cell r="G74">
            <v>8.6528998620463218E-2</v>
          </cell>
        </row>
        <row r="75">
          <cell r="D75">
            <v>4.4714120370370369E-2</v>
          </cell>
          <cell r="G75">
            <v>-4.674941635360319E-2</v>
          </cell>
        </row>
        <row r="76">
          <cell r="D76">
            <v>1.761412037037037E-2</v>
          </cell>
          <cell r="G76">
            <v>4.2069802409752451E-2</v>
          </cell>
        </row>
        <row r="77">
          <cell r="D77">
            <v>-2.0185879629629627E-2</v>
          </cell>
          <cell r="G77">
            <v>-7.0255707949847451E-2</v>
          </cell>
        </row>
        <row r="78">
          <cell r="D78">
            <v>1.4141203703703737E-3</v>
          </cell>
          <cell r="G78">
            <v>6.9622726541352487E-2</v>
          </cell>
        </row>
        <row r="79">
          <cell r="D79">
            <v>4.0714120370370373E-2</v>
          </cell>
          <cell r="G79">
            <v>4.0574058740619048E-2</v>
          </cell>
        </row>
        <row r="80">
          <cell r="D80">
            <v>3.9614120370370383E-2</v>
          </cell>
          <cell r="G80">
            <v>-7.2748810608469855E-2</v>
          </cell>
        </row>
        <row r="81">
          <cell r="D81">
            <v>3.6414120370370381E-2</v>
          </cell>
          <cell r="G81">
            <v>7.6470569466907945E-2</v>
          </cell>
        </row>
        <row r="82">
          <cell r="D82">
            <v>-2.4885879629629622E-2</v>
          </cell>
          <cell r="G82">
            <v>-1.4570149714136324E-2</v>
          </cell>
        </row>
        <row r="83">
          <cell r="D83">
            <v>-0.22988587962962959</v>
          </cell>
          <cell r="G83">
            <v>-9.2738011352468536E-3</v>
          </cell>
        </row>
        <row r="84">
          <cell r="D84">
            <v>-7.7685879629629626E-2</v>
          </cell>
          <cell r="G84">
            <v>-4.6785878470402831E-2</v>
          </cell>
        </row>
        <row r="85">
          <cell r="D85">
            <v>6.8514120370370371E-2</v>
          </cell>
          <cell r="G85">
            <v>4.2317568357745222E-3</v>
          </cell>
        </row>
        <row r="86">
          <cell r="D86">
            <v>4.1514120370370375E-2</v>
          </cell>
          <cell r="G86">
            <v>-2.8537036278225403E-2</v>
          </cell>
        </row>
        <row r="87">
          <cell r="D87">
            <v>4.8614120370370377E-2</v>
          </cell>
          <cell r="G87">
            <v>-4.1936879570469869E-2</v>
          </cell>
        </row>
        <row r="88">
          <cell r="D88">
            <v>-2.1785879629629627E-2</v>
          </cell>
          <cell r="G88">
            <v>-7.3624517912158544E-2</v>
          </cell>
        </row>
        <row r="89">
          <cell r="D89">
            <v>6.7141203703703746E-3</v>
          </cell>
          <cell r="G89">
            <v>-1.3421902958491969E-2</v>
          </cell>
        </row>
        <row r="90">
          <cell r="D90">
            <v>-1.285879629629626E-3</v>
          </cell>
          <cell r="G90">
            <v>-1.8342952770047504E-2</v>
          </cell>
        </row>
        <row r="91">
          <cell r="D91">
            <v>4.9314120370370376E-2</v>
          </cell>
          <cell r="G91">
            <v>-2.0206962711958761E-2</v>
          </cell>
        </row>
        <row r="92">
          <cell r="D92">
            <v>-1.0885879629629627E-2</v>
          </cell>
          <cell r="G92">
            <v>-2.5238812543914142E-2</v>
          </cell>
        </row>
        <row r="93">
          <cell r="D93">
            <v>-3.0685879629629629E-2</v>
          </cell>
          <cell r="G93">
            <v>1.6539172485919088E-5</v>
          </cell>
        </row>
        <row r="94">
          <cell r="D94">
            <v>3.5714120370370375E-2</v>
          </cell>
          <cell r="G94">
            <v>4.4163652608396831E-2</v>
          </cell>
        </row>
        <row r="95">
          <cell r="D95">
            <v>1.4114120370370371E-2</v>
          </cell>
          <cell r="G95">
            <v>2.4934218117196906E-2</v>
          </cell>
        </row>
        <row r="96">
          <cell r="D96">
            <v>-2.068587962962963E-2</v>
          </cell>
          <cell r="G96">
            <v>-7.6056485630696651E-3</v>
          </cell>
        </row>
        <row r="97">
          <cell r="D97">
            <v>1.7714120370370373E-2</v>
          </cell>
          <cell r="G97">
            <v>4.4093790532396884E-2</v>
          </cell>
        </row>
        <row r="98">
          <cell r="D98">
            <v>6.3014120370370366E-2</v>
          </cell>
          <cell r="G98">
            <v>2.6040410090330091E-2</v>
          </cell>
        </row>
        <row r="99">
          <cell r="D99">
            <v>-1.9885879629629628E-2</v>
          </cell>
          <cell r="G99">
            <v>-3.6936743581914108E-2</v>
          </cell>
        </row>
        <row r="100">
          <cell r="D100">
            <v>1.8914120370370376E-2</v>
          </cell>
          <cell r="G100">
            <v>2.4598648004130218E-2</v>
          </cell>
        </row>
        <row r="101">
          <cell r="D101">
            <v>4.6514120370370379E-2</v>
          </cell>
          <cell r="G101">
            <v>8.9513698539967976E-3</v>
          </cell>
        </row>
        <row r="102">
          <cell r="D102">
            <v>3.7914120370370383E-2</v>
          </cell>
          <cell r="G102">
            <v>4.5502391306574609E-2</v>
          </cell>
        </row>
        <row r="103">
          <cell r="D103">
            <v>-9.8858796296296264E-3</v>
          </cell>
          <cell r="G103">
            <v>5.0599068682530307E-2</v>
          </cell>
        </row>
        <row r="104">
          <cell r="D104">
            <v>7.5514120370370377E-2</v>
          </cell>
          <cell r="G104">
            <v>6.0316925420885618E-2</v>
          </cell>
        </row>
        <row r="105">
          <cell r="D105">
            <v>1.8314120370370369E-2</v>
          </cell>
          <cell r="G105">
            <v>5.762671926826355E-2</v>
          </cell>
        </row>
        <row r="106">
          <cell r="D106">
            <v>-4.5858796296296255E-3</v>
          </cell>
          <cell r="G106">
            <v>-7.3050560817314161E-2</v>
          </cell>
        </row>
        <row r="107">
          <cell r="D107">
            <v>-3.338587962962962E-2</v>
          </cell>
          <cell r="G107">
            <v>9.1618859861085936E-2</v>
          </cell>
        </row>
        <row r="108">
          <cell r="D108">
            <v>1.3714120370370373E-2</v>
          </cell>
          <cell r="G108">
            <v>-1.3516734373380879E-2</v>
          </cell>
        </row>
        <row r="109">
          <cell r="D109">
            <v>1.4214120370370373E-2</v>
          </cell>
          <cell r="G109">
            <v>6.8261206239841346E-2</v>
          </cell>
        </row>
        <row r="110">
          <cell r="D110">
            <v>-7.6285879629629613E-2</v>
          </cell>
          <cell r="G110">
            <v>-5.2172044753380616E-2</v>
          </cell>
        </row>
        <row r="111">
          <cell r="D111">
            <v>1.3314120370370375E-2</v>
          </cell>
          <cell r="G111">
            <v>-1.8165686863958658E-2</v>
          </cell>
        </row>
        <row r="112">
          <cell r="D112">
            <v>2.1214120370370376E-2</v>
          </cell>
          <cell r="G112">
            <v>4.0343374824952427E-2</v>
          </cell>
        </row>
        <row r="113">
          <cell r="D113">
            <v>-3.0185879629629625E-2</v>
          </cell>
          <cell r="G113">
            <v>5.5489479785708139E-2</v>
          </cell>
        </row>
        <row r="114">
          <cell r="D114">
            <v>8.7514120370370374E-2</v>
          </cell>
          <cell r="G114">
            <v>0.11510650013821891</v>
          </cell>
        </row>
        <row r="115">
          <cell r="D115">
            <v>-8.0858796296296269E-3</v>
          </cell>
          <cell r="G115">
            <v>4.9380854890130298E-2</v>
          </cell>
        </row>
        <row r="116">
          <cell r="D116">
            <v>-1.5685879629629623E-2</v>
          </cell>
          <cell r="G116">
            <v>-2.6824243084746201E-4</v>
          </cell>
        </row>
        <row r="117">
          <cell r="D117">
            <v>-9.8385879629629622E-2</v>
          </cell>
          <cell r="G117">
            <v>-7.0507419857802789E-2</v>
          </cell>
        </row>
        <row r="118">
          <cell r="D118">
            <v>-5.868587962962963E-2</v>
          </cell>
          <cell r="G118">
            <v>-3.233513516795844E-2</v>
          </cell>
        </row>
        <row r="119">
          <cell r="D119">
            <v>-1.5885879629629625E-2</v>
          </cell>
          <cell r="G119">
            <v>8.4737781323863656E-2</v>
          </cell>
        </row>
        <row r="120">
          <cell r="D120">
            <v>6.5714120370370374E-2</v>
          </cell>
          <cell r="G120">
            <v>1.0587089401730081E-2</v>
          </cell>
        </row>
        <row r="121">
          <cell r="D121">
            <v>2.7114120370370375E-2</v>
          </cell>
          <cell r="G121">
            <v>2.1858674060974637E-2</v>
          </cell>
        </row>
        <row r="122">
          <cell r="D122">
            <v>4.8614120370370384E-2</v>
          </cell>
          <cell r="G122">
            <v>-0.11393787957046989</v>
          </cell>
        </row>
        <row r="123">
          <cell r="D123">
            <v>7.3214120370370381E-2</v>
          </cell>
          <cell r="G123">
            <v>-2.213080139993661E-2</v>
          </cell>
        </row>
        <row r="124">
          <cell r="D124">
            <v>2.741412037037037E-2</v>
          </cell>
          <cell r="G124">
            <v>2.4145638428907972E-2</v>
          </cell>
        </row>
        <row r="125">
          <cell r="D125">
            <v>-9.8587962962962605E-4</v>
          </cell>
          <cell r="G125">
            <v>-1.7585988402114172E-2</v>
          </cell>
        </row>
        <row r="126">
          <cell r="D126">
            <v>3.7714120370370377E-2</v>
          </cell>
          <cell r="G126">
            <v>-1.4000584938714287E-2</v>
          </cell>
        </row>
        <row r="127">
          <cell r="D127">
            <v>-4.8685879629629628E-2</v>
          </cell>
          <cell r="G127">
            <v>-7.500832290351403E-2</v>
          </cell>
        </row>
        <row r="128">
          <cell r="D128">
            <v>4.3814120370370378E-2</v>
          </cell>
          <cell r="G128">
            <v>1.8004690542596812E-2</v>
          </cell>
        </row>
        <row r="129">
          <cell r="D129">
            <v>2.4314120370370371E-2</v>
          </cell>
          <cell r="G129">
            <v>1.2122006626930203E-2</v>
          </cell>
        </row>
        <row r="130">
          <cell r="D130">
            <v>-1.4785879629629628E-2</v>
          </cell>
          <cell r="G130">
            <v>1.4869650672952536E-2</v>
          </cell>
        </row>
        <row r="131">
          <cell r="D131">
            <v>1.3614120370370374E-2</v>
          </cell>
          <cell r="G131">
            <v>-2.5205722496025321E-2</v>
          </cell>
        </row>
        <row r="132">
          <cell r="D132">
            <v>-4.1485879629629629E-2</v>
          </cell>
          <cell r="G132">
            <v>-1.9100178073114052E-2</v>
          </cell>
        </row>
        <row r="133">
          <cell r="D133">
            <v>0.10871412037037038</v>
          </cell>
          <cell r="G133">
            <v>9.3118982138841067E-2</v>
          </cell>
        </row>
        <row r="134">
          <cell r="D134">
            <v>-5.9858796296296257E-3</v>
          </cell>
          <cell r="G134">
            <v>0.10434460546566363</v>
          </cell>
        </row>
        <row r="135">
          <cell r="D135">
            <v>1.0214120370370373E-2</v>
          </cell>
          <cell r="G135">
            <v>-3.5082318665936425E-2</v>
          </cell>
        </row>
        <row r="136">
          <cell r="D136">
            <v>-2.6685879629629629E-2</v>
          </cell>
          <cell r="G136">
            <v>1.0742064078263685E-2</v>
          </cell>
        </row>
        <row r="137">
          <cell r="D137">
            <v>1.0414120370370376E-2</v>
          </cell>
          <cell r="G137">
            <v>4.5465757935246424E-4</v>
          </cell>
        </row>
        <row r="138">
          <cell r="D138">
            <v>2.3141203703703744E-3</v>
          </cell>
          <cell r="G138">
            <v>-1.5334380354847514E-2</v>
          </cell>
        </row>
        <row r="139">
          <cell r="D139">
            <v>-2.3685879629629626E-2</v>
          </cell>
          <cell r="G139">
            <v>-0.10159129224240299</v>
          </cell>
        </row>
        <row r="140">
          <cell r="D140">
            <v>3.7314120370370379E-2</v>
          </cell>
          <cell r="G140">
            <v>7.7826462570707938E-2</v>
          </cell>
        </row>
        <row r="141">
          <cell r="D141">
            <v>-2.4685879629629627E-2</v>
          </cell>
          <cell r="G141">
            <v>-7.0522173468847427E-2</v>
          </cell>
        </row>
        <row r="142">
          <cell r="D142">
            <v>1.1014120370370372E-2</v>
          </cell>
          <cell r="G142">
            <v>3.8316586315219128E-2</v>
          </cell>
        </row>
        <row r="143">
          <cell r="D143">
            <v>9.0141203703703737E-3</v>
          </cell>
          <cell r="G143">
            <v>6.2479823862330246E-2</v>
          </cell>
        </row>
        <row r="144">
          <cell r="D144">
            <v>4.0114120370370376E-2</v>
          </cell>
          <cell r="G144">
            <v>-4.1468699952476214E-3</v>
          </cell>
        </row>
        <row r="145">
          <cell r="D145">
            <v>1.4614120370370375E-2</v>
          </cell>
          <cell r="G145">
            <v>-2.8409841269580884E-2</v>
          </cell>
        </row>
        <row r="146">
          <cell r="D146">
            <v>8.1141203703703757E-3</v>
          </cell>
          <cell r="G146">
            <v>-8.0641069241469743E-2</v>
          </cell>
        </row>
        <row r="147">
          <cell r="D147">
            <v>-8.5879629629626291E-5</v>
          </cell>
          <cell r="G147">
            <v>3.5982904701685831E-2</v>
          </cell>
        </row>
        <row r="148">
          <cell r="D148">
            <v>2.2014120370370371E-2</v>
          </cell>
          <cell r="G148">
            <v>-6.1602720193892013E-2</v>
          </cell>
        </row>
        <row r="149">
          <cell r="D149">
            <v>-3.1585879629629623E-2</v>
          </cell>
          <cell r="G149">
            <v>-2.3833539313140809E-3</v>
          </cell>
        </row>
        <row r="150">
          <cell r="D150">
            <v>2.7614120370370376E-2</v>
          </cell>
          <cell r="G150">
            <v>-2.3650385325803144E-2</v>
          </cell>
        </row>
        <row r="151">
          <cell r="D151">
            <v>2.1141203703703747E-3</v>
          </cell>
          <cell r="G151">
            <v>4.81366433998636E-2</v>
          </cell>
        </row>
        <row r="152">
          <cell r="D152">
            <v>-4.4858796296296261E-3</v>
          </cell>
          <cell r="G152">
            <v>-6.3492572694669708E-2</v>
          </cell>
        </row>
        <row r="153">
          <cell r="D153">
            <v>3.6114120370370373E-2</v>
          </cell>
          <cell r="G153">
            <v>-3.576339490102539E-2</v>
          </cell>
        </row>
        <row r="154">
          <cell r="D154">
            <v>-2.0858796296296259E-3</v>
          </cell>
          <cell r="G154">
            <v>-2.6290857751203055E-2</v>
          </cell>
        </row>
        <row r="155">
          <cell r="D155">
            <v>1.2814120370370372E-2</v>
          </cell>
          <cell r="G155">
            <v>0.13267937252281911</v>
          </cell>
        </row>
        <row r="156">
          <cell r="D156">
            <v>-1.9885879629629625E-2</v>
          </cell>
          <cell r="G156">
            <v>4.7138256418085889E-2</v>
          </cell>
        </row>
        <row r="157">
          <cell r="D157">
            <v>1.531412037037037E-2</v>
          </cell>
          <cell r="G157">
            <v>-1.284792441106977E-2</v>
          </cell>
        </row>
        <row r="158">
          <cell r="D158">
            <v>2.7714120370370375E-2</v>
          </cell>
          <cell r="G158">
            <v>2.5595602796841303E-2</v>
          </cell>
        </row>
        <row r="159">
          <cell r="D159">
            <v>-2.6885879629629624E-2</v>
          </cell>
          <cell r="G159">
            <v>-2.8916912167025202E-2</v>
          </cell>
        </row>
        <row r="160">
          <cell r="D160">
            <v>-4.8585879629629625E-2</v>
          </cell>
          <cell r="G160">
            <v>-5.3582334780869587E-2</v>
          </cell>
        </row>
        <row r="161">
          <cell r="D161">
            <v>6.0141203703703754E-3</v>
          </cell>
          <cell r="G161">
            <v>5.6463180182996918E-2</v>
          </cell>
        </row>
        <row r="162">
          <cell r="D162">
            <v>5.4141203703703721E-3</v>
          </cell>
          <cell r="G162">
            <v>-2.0894748552869744E-2</v>
          </cell>
        </row>
        <row r="163">
          <cell r="D163">
            <v>-3.0685879629629625E-2</v>
          </cell>
          <cell r="G163">
            <v>-4.6542460827514079E-2</v>
          </cell>
        </row>
        <row r="164">
          <cell r="D164">
            <v>2.7514120370370369E-2</v>
          </cell>
          <cell r="G164">
            <v>2.7455626551552419E-2</v>
          </cell>
        </row>
        <row r="165">
          <cell r="D165">
            <v>4.0314120370370375E-2</v>
          </cell>
          <cell r="G165">
            <v>6.1672106250041263E-2</v>
          </cell>
        </row>
        <row r="166">
          <cell r="D166">
            <v>-2.2885879629629628E-2</v>
          </cell>
          <cell r="G166">
            <v>-1.7918387261247441E-2</v>
          </cell>
        </row>
        <row r="167">
          <cell r="D167">
            <v>1.3714120370370377E-2</v>
          </cell>
          <cell r="G167">
            <v>4.3956265626619126E-2</v>
          </cell>
        </row>
        <row r="168">
          <cell r="D168">
            <v>-4.018587962962962E-2</v>
          </cell>
          <cell r="G168">
            <v>5.6496675212637203E-3</v>
          </cell>
        </row>
        <row r="169">
          <cell r="D169">
            <v>9.5141203703703742E-3</v>
          </cell>
          <cell r="G169">
            <v>-2.2236235524447534E-2</v>
          </cell>
        </row>
        <row r="170">
          <cell r="D170">
            <v>1.8714120370370374E-2</v>
          </cell>
          <cell r="G170">
            <v>3.7026671758841334E-2</v>
          </cell>
        </row>
        <row r="171">
          <cell r="D171">
            <v>3.6814120370370379E-2</v>
          </cell>
          <cell r="G171">
            <v>-7.3224780425142806E-3</v>
          </cell>
        </row>
        <row r="172">
          <cell r="D172">
            <v>2.3014120370370372E-2</v>
          </cell>
          <cell r="G172">
            <v>-2.501683896744757E-2</v>
          </cell>
        </row>
        <row r="173">
          <cell r="D173">
            <v>2.2014120370370371E-2</v>
          </cell>
          <cell r="G173">
            <v>3.9262279806107983E-2</v>
          </cell>
        </row>
        <row r="174">
          <cell r="D174">
            <v>3.0914120370370373E-2</v>
          </cell>
          <cell r="G174">
            <v>3.256222721463517E-3</v>
          </cell>
        </row>
        <row r="175">
          <cell r="D175">
            <v>2.8414120370370378E-2</v>
          </cell>
          <cell r="G175">
            <v>-2.4066480344647593E-2</v>
          </cell>
        </row>
        <row r="176">
          <cell r="D176">
            <v>3.8214120370370377E-2</v>
          </cell>
          <cell r="G176">
            <v>-6.533764432549205E-2</v>
          </cell>
        </row>
        <row r="177">
          <cell r="D177">
            <v>6.7141203703703746E-3</v>
          </cell>
          <cell r="G177">
            <v>-5.51990295849197E-3</v>
          </cell>
        </row>
        <row r="178">
          <cell r="D178">
            <v>3.4314120370370377E-2</v>
          </cell>
          <cell r="G178">
            <v>8.2774818891374613E-2</v>
          </cell>
        </row>
        <row r="179">
          <cell r="D179">
            <v>-1.3985879629629626E-2</v>
          </cell>
          <cell r="G179">
            <v>5.5129555654108091E-2</v>
          </cell>
        </row>
        <row r="180">
          <cell r="D180">
            <v>4.0314120370370375E-2</v>
          </cell>
          <cell r="G180">
            <v>3.764510625004127E-2</v>
          </cell>
        </row>
        <row r="181">
          <cell r="D181">
            <v>1.1714120370370375E-2</v>
          </cell>
          <cell r="G181">
            <v>-5.5842496826269759E-2</v>
          </cell>
        </row>
        <row r="182">
          <cell r="D182">
            <v>2.3414120370370373E-2</v>
          </cell>
          <cell r="G182">
            <v>-4.5988864768697971E-3</v>
          </cell>
        </row>
        <row r="183">
          <cell r="D183">
            <v>1.3714120370370377E-2</v>
          </cell>
          <cell r="G183">
            <v>-4.0230734373380886E-2</v>
          </cell>
        </row>
        <row r="184">
          <cell r="D184">
            <v>7.7141203703703755E-3</v>
          </cell>
          <cell r="G184">
            <v>2.0236978267952468E-2</v>
          </cell>
        </row>
        <row r="185">
          <cell r="D185">
            <v>2.1714120370370373E-2</v>
          </cell>
          <cell r="G185">
            <v>-1.8811684561825349E-2</v>
          </cell>
        </row>
        <row r="186">
          <cell r="D186">
            <v>2.4314120370370371E-2</v>
          </cell>
          <cell r="G186">
            <v>1.8007006626930201E-2</v>
          </cell>
        </row>
        <row r="187">
          <cell r="D187">
            <v>-1.0885879629629624E-2</v>
          </cell>
          <cell r="G187">
            <v>2.766818745608586E-2</v>
          </cell>
        </row>
        <row r="188">
          <cell r="D188">
            <v>-5.8685879629629623E-2</v>
          </cell>
          <cell r="G188">
            <v>1.102886483204155E-2</v>
          </cell>
        </row>
        <row r="189">
          <cell r="D189">
            <v>2.8314120370370375E-2</v>
          </cell>
          <cell r="G189">
            <v>-2.8216468467292033E-2</v>
          </cell>
        </row>
        <row r="190">
          <cell r="D190">
            <v>5.1014120370370376E-2</v>
          </cell>
          <cell r="G190">
            <v>6.1224835372996785E-2</v>
          </cell>
        </row>
        <row r="191">
          <cell r="D191">
            <v>9.3141203703703754E-3</v>
          </cell>
          <cell r="G191">
            <v>5.8677882302635778E-3</v>
          </cell>
        </row>
        <row r="192">
          <cell r="D192">
            <v>6.3114120370370383E-2</v>
          </cell>
          <cell r="G192">
            <v>5.6370398212974536E-2</v>
          </cell>
        </row>
        <row r="193">
          <cell r="D193">
            <v>-1.5885879629629625E-2</v>
          </cell>
          <cell r="G193">
            <v>-1.137021867613635E-2</v>
          </cell>
        </row>
        <row r="194">
          <cell r="D194">
            <v>5.0814120370370384E-2</v>
          </cell>
          <cell r="G194">
            <v>3.9265859127707893E-2</v>
          </cell>
        </row>
        <row r="195">
          <cell r="D195">
            <v>-4.4858796296296261E-3</v>
          </cell>
          <cell r="G195">
            <v>3.1964427305330292E-2</v>
          </cell>
        </row>
        <row r="196">
          <cell r="D196">
            <v>-4.938587962962962E-2</v>
          </cell>
          <cell r="G196">
            <v>-2.834623976202514E-2</v>
          </cell>
        </row>
        <row r="197">
          <cell r="D197">
            <v>4.1214120370370373E-2</v>
          </cell>
          <cell r="G197">
            <v>6.9057999353841271E-2</v>
          </cell>
        </row>
        <row r="198">
          <cell r="D198">
            <v>6.881412037037038E-2</v>
          </cell>
          <cell r="G198">
            <v>5.1341721203707856E-2</v>
          </cell>
        </row>
        <row r="199">
          <cell r="D199">
            <v>4.1214120370370373E-2</v>
          </cell>
          <cell r="G199">
            <v>-6.2450006461587347E-3</v>
          </cell>
        </row>
        <row r="200">
          <cell r="D200">
            <v>7.4114120370370379E-2</v>
          </cell>
          <cell r="G200">
            <v>3.2730091703863387E-2</v>
          </cell>
        </row>
        <row r="201">
          <cell r="D201">
            <v>-4.0885879629629626E-2</v>
          </cell>
          <cell r="G201">
            <v>-0.1129192493372474</v>
          </cell>
        </row>
        <row r="202">
          <cell r="D202">
            <v>5.4414120370370377E-2</v>
          </cell>
          <cell r="G202">
            <v>-3.0568457092108869E-5</v>
          </cell>
        </row>
        <row r="203">
          <cell r="D203">
            <v>-3.728587962962962E-2</v>
          </cell>
          <cell r="G203">
            <v>-1.623676922047403E-3</v>
          </cell>
        </row>
        <row r="204">
          <cell r="D204">
            <v>3.0214120370370374E-2</v>
          </cell>
          <cell r="G204">
            <v>9.5401305862952396E-2</v>
          </cell>
        </row>
        <row r="205">
          <cell r="D205">
            <v>1.4514120370370375E-2</v>
          </cell>
          <cell r="G205">
            <v>3.0743170607774671E-2</v>
          </cell>
        </row>
        <row r="206">
          <cell r="D206">
            <v>2.3141203703703735E-3</v>
          </cell>
          <cell r="G206">
            <v>-2.5338380354847513E-2</v>
          </cell>
        </row>
        <row r="207">
          <cell r="D207">
            <v>7.0814120370370368E-2</v>
          </cell>
          <cell r="G207">
            <v>3.6815483656596731E-2</v>
          </cell>
        </row>
        <row r="208">
          <cell r="D208">
            <v>4.8014120370370374E-2</v>
          </cell>
          <cell r="G208">
            <v>-4.0151808306336537E-2</v>
          </cell>
        </row>
        <row r="209">
          <cell r="D209">
            <v>8.1141203703703722E-3</v>
          </cell>
          <cell r="G209">
            <v>-3.6441069241469753E-2</v>
          </cell>
        </row>
        <row r="210">
          <cell r="D210">
            <v>-3.0185879629629625E-2</v>
          </cell>
          <cell r="G210">
            <v>2.6944479785708138E-2</v>
          </cell>
        </row>
        <row r="211">
          <cell r="D211">
            <v>3.2414120370370378E-2</v>
          </cell>
          <cell r="G211">
            <v>5.9546044561130183E-2</v>
          </cell>
        </row>
        <row r="212">
          <cell r="D212">
            <v>-2.4085879629629627E-2</v>
          </cell>
          <cell r="G212">
            <v>-0.12197624473298076</v>
          </cell>
        </row>
        <row r="213">
          <cell r="D213">
            <v>-0.1599858796296296</v>
          </cell>
          <cell r="G213">
            <v>3.7703896593219599E-2</v>
          </cell>
        </row>
        <row r="214">
          <cell r="D214">
            <v>6.2614120370370382E-2</v>
          </cell>
          <cell r="G214">
            <v>-0.11211554240024769</v>
          </cell>
        </row>
        <row r="215">
          <cell r="D215">
            <v>7.1014120370370373E-2</v>
          </cell>
          <cell r="G215">
            <v>0.20470745990188563</v>
          </cell>
        </row>
        <row r="216">
          <cell r="D216">
            <v>6.0614120370370367E-2</v>
          </cell>
          <cell r="G216">
            <v>-5.2794304853136562E-2</v>
          </cell>
        </row>
        <row r="217">
          <cell r="D217">
            <v>6.1914120370370376E-2</v>
          </cell>
          <cell r="G217">
            <v>5.9254074124120981E-4</v>
          </cell>
        </row>
        <row r="218">
          <cell r="D218">
            <v>3.5014120370370376E-2</v>
          </cell>
          <cell r="G218">
            <v>-2.9169264250114277E-2</v>
          </cell>
        </row>
        <row r="219">
          <cell r="D219">
            <v>-4.0785879629629623E-2</v>
          </cell>
          <cell r="G219">
            <v>-3.2052612146029422E-3</v>
          </cell>
        </row>
        <row r="220">
          <cell r="D220">
            <v>3.5314120370370378E-2</v>
          </cell>
          <cell r="G220">
            <v>6.6618700117819063E-2</v>
          </cell>
        </row>
        <row r="221">
          <cell r="D221">
            <v>4.3514120370370377E-2</v>
          </cell>
          <cell r="G221">
            <v>-7.1129273825336514E-2</v>
          </cell>
        </row>
        <row r="222">
          <cell r="D222">
            <v>-2.4685879629629627E-2</v>
          </cell>
          <cell r="G222">
            <v>-1.1121734688474324E-3</v>
          </cell>
        </row>
        <row r="223">
          <cell r="D223">
            <v>4.8214120370370372E-2</v>
          </cell>
          <cell r="G223">
            <v>-7.8541832061047645E-2</v>
          </cell>
        </row>
        <row r="224">
          <cell r="D224">
            <v>-3.4385879629629627E-2</v>
          </cell>
          <cell r="G224">
            <v>2.6887978634641485E-2</v>
          </cell>
        </row>
        <row r="225">
          <cell r="D225">
            <v>-1.3385879629629626E-2</v>
          </cell>
          <cell r="G225">
            <v>9.3602484389974761E-2</v>
          </cell>
        </row>
        <row r="226">
          <cell r="D226">
            <v>-2.7685879629629626E-2</v>
          </cell>
          <cell r="G226">
            <v>-5.030381714818076E-2</v>
          </cell>
        </row>
        <row r="227">
          <cell r="D227">
            <v>6.1714120370370371E-2</v>
          </cell>
          <cell r="G227">
            <v>8.0693564495952316E-2</v>
          </cell>
        </row>
        <row r="228">
          <cell r="D228">
            <v>3.3814120370370376E-2</v>
          </cell>
          <cell r="G228">
            <v>7.6898782781523907E-3</v>
          </cell>
        </row>
        <row r="229">
          <cell r="D229">
            <v>7.8114120370370382E-2</v>
          </cell>
          <cell r="G229">
            <v>-4.0123383390358848E-2</v>
          </cell>
        </row>
        <row r="230">
          <cell r="D230">
            <v>-4.6785879629629622E-2</v>
          </cell>
          <cell r="G230">
            <v>-5.9614548573269595E-2</v>
          </cell>
        </row>
        <row r="231">
          <cell r="D231">
            <v>2.5314120370370376E-2</v>
          </cell>
          <cell r="G231">
            <v>-0.15294311214662534</v>
          </cell>
        </row>
        <row r="232">
          <cell r="D232">
            <v>5.3214120370370377E-2</v>
          </cell>
          <cell r="G232">
            <v>-0.39400642592882545</v>
          </cell>
        </row>
        <row r="233">
          <cell r="D233">
            <v>-6.2885879629629632E-2</v>
          </cell>
          <cell r="G233">
            <v>8.6606363680974907E-2</v>
          </cell>
        </row>
        <row r="234">
          <cell r="D234">
            <v>-4.2685879629629622E-2</v>
          </cell>
          <cell r="G234">
            <v>0.12588496445515263</v>
          </cell>
        </row>
        <row r="235">
          <cell r="D235">
            <v>4.6914120370370377E-2</v>
          </cell>
          <cell r="G235">
            <v>-0.17278667765542544</v>
          </cell>
        </row>
        <row r="236">
          <cell r="D236">
            <v>-2.3785879629629626E-2</v>
          </cell>
          <cell r="G236">
            <v>2.6467196349525624E-3</v>
          </cell>
        </row>
        <row r="237">
          <cell r="D237">
            <v>7.1814120370370382E-2</v>
          </cell>
          <cell r="G237">
            <v>4.0173364883041178E-2</v>
          </cell>
        </row>
        <row r="238">
          <cell r="D238">
            <v>-5.288587962962963E-2</v>
          </cell>
          <cell r="G238">
            <v>0.10214217594541931</v>
          </cell>
        </row>
        <row r="239">
          <cell r="D239">
            <v>-2.5485879629629626E-2</v>
          </cell>
          <cell r="G239">
            <v>7.5422921549997024E-2</v>
          </cell>
        </row>
        <row r="240">
          <cell r="D240">
            <v>-0.10558587962962963</v>
          </cell>
          <cell r="G240">
            <v>9.3748435311797246E-2</v>
          </cell>
        </row>
        <row r="241">
          <cell r="D241">
            <v>1.3414120370370371E-2</v>
          </cell>
          <cell r="G241">
            <v>3.1314301258685798E-2</v>
          </cell>
        </row>
        <row r="242">
          <cell r="D242">
            <v>3.3214120370370373E-2</v>
          </cell>
          <cell r="G242">
            <v>-0.10621205045771426</v>
          </cell>
        </row>
        <row r="243">
          <cell r="D243">
            <v>-0.10018587962962962</v>
          </cell>
          <cell r="G243">
            <v>2.4167793934597226E-2</v>
          </cell>
        </row>
        <row r="244">
          <cell r="D244">
            <v>-7.1885879629629626E-2</v>
          </cell>
          <cell r="G244">
            <v>-8.3955567357025071E-2</v>
          </cell>
        </row>
        <row r="245">
          <cell r="D245">
            <v>7.9814120370370376E-2</v>
          </cell>
          <cell r="G245">
            <v>-8.594458530540329E-2</v>
          </cell>
        </row>
        <row r="246">
          <cell r="D246">
            <v>6.9141203703703734E-3</v>
          </cell>
          <cell r="G246">
            <v>5.6891073286796927E-2</v>
          </cell>
        </row>
        <row r="247">
          <cell r="D247">
            <v>-2.0085879629629627E-2</v>
          </cell>
          <cell r="G247">
            <v>-5.6897198272030033E-3</v>
          </cell>
        </row>
        <row r="248">
          <cell r="D248">
            <v>-2.1785879629629624E-2</v>
          </cell>
          <cell r="G248">
            <v>0.12116548208784145</v>
          </cell>
        </row>
        <row r="249">
          <cell r="D249">
            <v>-6.4985879629629636E-2</v>
          </cell>
          <cell r="G249">
            <v>6.8584613105441589E-2</v>
          </cell>
        </row>
        <row r="250">
          <cell r="D250">
            <v>-9.3185879629629625E-2</v>
          </cell>
          <cell r="G250">
            <v>2.0838962519708321E-2</v>
          </cell>
        </row>
        <row r="251">
          <cell r="D251">
            <v>2.3314120370370374E-2</v>
          </cell>
          <cell r="G251">
            <v>-2.5928745995142388E-3</v>
          </cell>
        </row>
        <row r="252">
          <cell r="D252">
            <v>7.3614120370370378E-2</v>
          </cell>
          <cell r="G252">
            <v>2.3021510906411705E-3</v>
          </cell>
        </row>
        <row r="253">
          <cell r="D253">
            <v>1.4114120370370374E-2</v>
          </cell>
          <cell r="G253">
            <v>4.9302181171968947E-3</v>
          </cell>
        </row>
        <row r="254">
          <cell r="D254">
            <v>-1.6485879629629625E-2</v>
          </cell>
          <cell r="G254">
            <v>3.6314852587996986E-2</v>
          </cell>
        </row>
        <row r="255">
          <cell r="D255">
            <v>-2.5085879629629628E-2</v>
          </cell>
          <cell r="G255">
            <v>4.1834874040574788E-2</v>
          </cell>
        </row>
        <row r="256">
          <cell r="D256">
            <v>4.0214120370370379E-2</v>
          </cell>
          <cell r="G256">
            <v>3.2303118127396814E-2</v>
          </cell>
        </row>
        <row r="257">
          <cell r="D257">
            <v>-5.398587962962962E-2</v>
          </cell>
          <cell r="G257">
            <v>2.4896306596330429E-2</v>
          </cell>
        </row>
        <row r="258">
          <cell r="D258">
            <v>-1.5885879629629625E-2</v>
          </cell>
          <cell r="G258">
            <v>-8.8912186761363476E-3</v>
          </cell>
        </row>
        <row r="259">
          <cell r="D259">
            <v>-7.4285879629629625E-2</v>
          </cell>
          <cell r="G259">
            <v>3.4779717699508265E-2</v>
          </cell>
        </row>
        <row r="260">
          <cell r="D260">
            <v>-8.378587962962962E-2</v>
          </cell>
          <cell r="G260">
            <v>3.5410846048286065E-2</v>
          </cell>
        </row>
        <row r="261">
          <cell r="D261">
            <v>2.9141203703703742E-3</v>
          </cell>
          <cell r="G261">
            <v>-1.4624451618980849E-2</v>
          </cell>
        </row>
        <row r="262">
          <cell r="D262">
            <v>-0.10558587962962962</v>
          </cell>
          <cell r="G262">
            <v>5.3864435311797243E-2</v>
          </cell>
        </row>
        <row r="263">
          <cell r="D263">
            <v>7.6314120370370372E-2</v>
          </cell>
          <cell r="G263">
            <v>-5.4798169597958836E-2</v>
          </cell>
        </row>
        <row r="264">
          <cell r="D264">
            <v>5.7314120370370376E-2</v>
          </cell>
          <cell r="G264">
            <v>-8.3416912900403234E-2</v>
          </cell>
        </row>
        <row r="265">
          <cell r="D265">
            <v>-5.9985879629629618E-2</v>
          </cell>
          <cell r="G265">
            <v>3.859301923766377E-2</v>
          </cell>
        </row>
        <row r="266">
          <cell r="D266">
            <v>-2.8185879629629623E-2</v>
          </cell>
          <cell r="G266">
            <v>5.8372422385970192E-3</v>
          </cell>
        </row>
        <row r="267">
          <cell r="D267">
            <v>-2.1385879629629626E-2</v>
          </cell>
          <cell r="G267">
            <v>-4.1520565421580773E-2</v>
          </cell>
        </row>
        <row r="268">
          <cell r="D268">
            <v>8.4141203703703739E-3</v>
          </cell>
          <cell r="G268">
            <v>7.4168895126463574E-2</v>
          </cell>
        </row>
        <row r="269">
          <cell r="D269">
            <v>7.9714120370370373E-2</v>
          </cell>
          <cell r="G269">
            <v>-3.7160573428047738E-2</v>
          </cell>
        </row>
        <row r="270">
          <cell r="D270">
            <v>5.7914120370370373E-2</v>
          </cell>
          <cell r="G270">
            <v>-1.7484984164536563E-2</v>
          </cell>
        </row>
        <row r="271">
          <cell r="D271">
            <v>1.1714120370370375E-2</v>
          </cell>
          <cell r="G271">
            <v>-4.4132496826269761E-2</v>
          </cell>
        </row>
        <row r="272">
          <cell r="D272">
            <v>2.0714120370370372E-2</v>
          </cell>
          <cell r="G272">
            <v>-2.9648565788269788E-2</v>
          </cell>
        </row>
        <row r="273">
          <cell r="D273">
            <v>2.0614120370370369E-2</v>
          </cell>
          <cell r="G273">
            <v>-2.6610553910914228E-2</v>
          </cell>
        </row>
        <row r="274">
          <cell r="D274">
            <v>-1.5085879629629626E-2</v>
          </cell>
          <cell r="G274">
            <v>6.1910686305019211E-2</v>
          </cell>
        </row>
        <row r="275">
          <cell r="D275">
            <v>5.8014120370370383E-2</v>
          </cell>
          <cell r="G275">
            <v>2.437100395810788E-2</v>
          </cell>
        </row>
        <row r="276">
          <cell r="D276">
            <v>1.0714120370370374E-2</v>
          </cell>
          <cell r="G276">
            <v>-3.5717378052714202E-2</v>
          </cell>
        </row>
        <row r="277">
          <cell r="D277">
            <v>4.0214120370370379E-2</v>
          </cell>
          <cell r="G277">
            <v>7.6181181273968224E-3</v>
          </cell>
        </row>
        <row r="278">
          <cell r="D278">
            <v>1.8714120370370371E-2</v>
          </cell>
          <cell r="G278">
            <v>-2.4513282411586686E-3</v>
          </cell>
        </row>
        <row r="279">
          <cell r="D279">
            <v>1.1114120370370375E-2</v>
          </cell>
          <cell r="G279">
            <v>-9.2142556213642771E-4</v>
          </cell>
        </row>
        <row r="280">
          <cell r="D280">
            <v>-1.5785879629629625E-2</v>
          </cell>
          <cell r="G280">
            <v>2.2042769446508098E-2</v>
          </cell>
        </row>
        <row r="281">
          <cell r="D281">
            <v>-2.0985879629629629E-2</v>
          </cell>
          <cell r="G281">
            <v>1.4690387068997002E-2</v>
          </cell>
        </row>
        <row r="282">
          <cell r="D282">
            <v>8.8141203703703749E-3</v>
          </cell>
          <cell r="G282">
            <v>5.7018476170413567E-3</v>
          </cell>
        </row>
        <row r="283">
          <cell r="D283">
            <v>1.5914120370370374E-2</v>
          </cell>
          <cell r="G283">
            <v>-7.7339956752031083E-3</v>
          </cell>
        </row>
        <row r="284">
          <cell r="D284">
            <v>-4.308587962962962E-2</v>
          </cell>
          <cell r="G284">
            <v>-2.4349988035425159E-2</v>
          </cell>
        </row>
        <row r="285">
          <cell r="D285">
            <v>-1.5858796296296261E-3</v>
          </cell>
          <cell r="G285">
            <v>6.478708286201916E-2</v>
          </cell>
        </row>
        <row r="286">
          <cell r="D286">
            <v>1.3614120370370374E-2</v>
          </cell>
          <cell r="G286">
            <v>-4.9421722496025319E-2</v>
          </cell>
        </row>
        <row r="287">
          <cell r="D287">
            <v>1.1914120370370374E-2</v>
          </cell>
          <cell r="G287">
            <v>-6.5188520580980874E-2</v>
          </cell>
        </row>
        <row r="288">
          <cell r="D288">
            <v>4.3414120370370381E-2</v>
          </cell>
          <cell r="G288">
            <v>1.3070738052019033E-2</v>
          </cell>
        </row>
        <row r="289">
          <cell r="D289">
            <v>3.2414120370370378E-2</v>
          </cell>
          <cell r="G289">
            <v>3.7710445611301747E-3</v>
          </cell>
        </row>
        <row r="290">
          <cell r="D290">
            <v>-2.9485879629629622E-2</v>
          </cell>
          <cell r="G290">
            <v>-2.3000603355780753E-2</v>
          </cell>
        </row>
        <row r="291">
          <cell r="D291">
            <v>1.701412037037037E-2</v>
          </cell>
          <cell r="G291">
            <v>-2.0767126326114219E-2</v>
          </cell>
        </row>
        <row r="292">
          <cell r="D292">
            <v>-2.1085879629629628E-2</v>
          </cell>
          <cell r="G292">
            <v>-1.5601053647442895E-5</v>
          </cell>
        </row>
        <row r="293">
          <cell r="D293">
            <v>-2.7485879629629627E-2</v>
          </cell>
          <cell r="G293">
            <v>3.198915909710813E-2</v>
          </cell>
        </row>
        <row r="294">
          <cell r="D294">
            <v>3.5414120370370374E-2</v>
          </cell>
          <cell r="G294">
            <v>-9.2403117595364972E-3</v>
          </cell>
        </row>
        <row r="295">
          <cell r="D295">
            <v>4.5141203703703741E-3</v>
          </cell>
          <cell r="G295">
            <v>-5.5153641656669736E-2</v>
          </cell>
        </row>
        <row r="296">
          <cell r="D296">
            <v>3.8114120370370375E-2</v>
          </cell>
          <cell r="G296">
            <v>3.0793367551863494E-2</v>
          </cell>
        </row>
        <row r="297">
          <cell r="D297">
            <v>-1.2685879629629627E-2</v>
          </cell>
          <cell r="G297">
            <v>-5.3855987515141349E-3</v>
          </cell>
        </row>
        <row r="298">
          <cell r="D298">
            <v>4.3141203703703744E-3</v>
          </cell>
          <cell r="G298">
            <v>6.0206382098041369E-2</v>
          </cell>
        </row>
        <row r="299">
          <cell r="D299">
            <v>-2.0985879629629629E-2</v>
          </cell>
          <cell r="G299">
            <v>-5.2021612931002999E-2</v>
          </cell>
        </row>
        <row r="300">
          <cell r="D300">
            <v>3.5714120370370375E-2</v>
          </cell>
          <cell r="G300">
            <v>-6.431347391603167E-3</v>
          </cell>
        </row>
        <row r="301">
          <cell r="D301">
            <v>-2.785879629629626E-3</v>
          </cell>
          <cell r="G301">
            <v>4.2262253902858342E-3</v>
          </cell>
        </row>
        <row r="302">
          <cell r="D302">
            <v>3.0414120370370373E-2</v>
          </cell>
          <cell r="G302">
            <v>3.0552821082412938E-3</v>
          </cell>
        </row>
        <row r="303">
          <cell r="D303">
            <v>-3.0858796296296259E-3</v>
          </cell>
          <cell r="G303">
            <v>4.1352610223525038E-3</v>
          </cell>
        </row>
        <row r="304">
          <cell r="D304">
            <v>1.4814120370370373E-2</v>
          </cell>
          <cell r="G304">
            <v>-5.537086502429199E-2</v>
          </cell>
        </row>
        <row r="305">
          <cell r="D305">
            <v>7.4141203703703721E-3</v>
          </cell>
          <cell r="G305">
            <v>2.2990139000191416E-3</v>
          </cell>
        </row>
        <row r="306">
          <cell r="D306">
            <v>-3.4885879629629621E-2</v>
          </cell>
          <cell r="G306">
            <v>-5.9172961978580733E-2</v>
          </cell>
        </row>
        <row r="307">
          <cell r="D307">
            <v>-2.9858796296296257E-3</v>
          </cell>
          <cell r="G307">
            <v>1.7150249144996948E-2</v>
          </cell>
        </row>
        <row r="308">
          <cell r="D308">
            <v>-7.2858796296296265E-3</v>
          </cell>
          <cell r="G308">
            <v>1.0868759871285848E-2</v>
          </cell>
        </row>
        <row r="309">
          <cell r="D309">
            <v>2.1014120370370371E-2</v>
          </cell>
          <cell r="G309">
            <v>8.1206398579663552E-2</v>
          </cell>
        </row>
        <row r="310">
          <cell r="D310">
            <v>1.9014120370370372E-2</v>
          </cell>
          <cell r="G310">
            <v>-1.7885363873225337E-2</v>
          </cell>
        </row>
        <row r="311">
          <cell r="D311">
            <v>3.2914120370370378E-2</v>
          </cell>
          <cell r="G311">
            <v>1.3439851743523995E-3</v>
          </cell>
        </row>
        <row r="312">
          <cell r="D312">
            <v>1.7814120370370373E-2</v>
          </cell>
          <cell r="G312">
            <v>-2.8018221344958669E-2</v>
          </cell>
        </row>
        <row r="313">
          <cell r="D313">
            <v>9.2141203703703725E-3</v>
          </cell>
          <cell r="G313">
            <v>9.4908001076191364E-3</v>
          </cell>
        </row>
        <row r="314">
          <cell r="D314">
            <v>1.4914120370370373E-2</v>
          </cell>
          <cell r="G314">
            <v>-2.8858769016475473E-3</v>
          </cell>
        </row>
        <row r="315">
          <cell r="D315">
            <v>-1.9285879629629629E-2</v>
          </cell>
          <cell r="G315">
            <v>-2.0529814846047448E-2</v>
          </cell>
        </row>
        <row r="316">
          <cell r="D316">
            <v>7.6141203703703744E-3</v>
          </cell>
          <cell r="G316">
            <v>-1.8446009854691976E-2</v>
          </cell>
        </row>
        <row r="317">
          <cell r="D317">
            <v>3.5814120370370378E-2</v>
          </cell>
          <cell r="G317">
            <v>-2.7413592689587291E-3</v>
          </cell>
        </row>
        <row r="318">
          <cell r="D318">
            <v>3.3014120370370381E-2</v>
          </cell>
          <cell r="G318">
            <v>-3.9658026703003162E-2</v>
          </cell>
        </row>
        <row r="319">
          <cell r="D319">
            <v>-1.9085879629629626E-2</v>
          </cell>
          <cell r="G319">
            <v>-3.6496838600758558E-2</v>
          </cell>
        </row>
        <row r="320">
          <cell r="D320">
            <v>-3.6785879629629627E-2</v>
          </cell>
          <cell r="G320">
            <v>2.6514263691174822E-2</v>
          </cell>
        </row>
        <row r="321">
          <cell r="D321">
            <v>9.9141203703703752E-3</v>
          </cell>
          <cell r="G321">
            <v>4.1326716966130245E-2</v>
          </cell>
        </row>
        <row r="322">
          <cell r="D322">
            <v>3.1914120370370377E-2</v>
          </cell>
          <cell r="G322">
            <v>5.1130103947907957E-2</v>
          </cell>
        </row>
        <row r="323">
          <cell r="D323">
            <v>1.7714120370370373E-2</v>
          </cell>
          <cell r="G323">
            <v>-2.5183209467603114E-2</v>
          </cell>
        </row>
        <row r="324">
          <cell r="D324">
            <v>-4.8385879629629626E-2</v>
          </cell>
          <cell r="G324">
            <v>8.0320641464419307E-2</v>
          </cell>
        </row>
        <row r="325">
          <cell r="D325">
            <v>-9.4858796296296254E-3</v>
          </cell>
          <cell r="G325">
            <v>-1.2191978826891922E-2</v>
          </cell>
        </row>
        <row r="326">
          <cell r="D326">
            <v>-6.4985879629629636E-2</v>
          </cell>
          <cell r="G326">
            <v>-7.9682386894558421E-2</v>
          </cell>
        </row>
        <row r="327">
          <cell r="D327">
            <v>-3.3085879629629625E-2</v>
          </cell>
          <cell r="G327">
            <v>1.9537824229019257E-2</v>
          </cell>
        </row>
        <row r="328">
          <cell r="D328">
            <v>-1.1085879629629626E-2</v>
          </cell>
          <cell r="G328">
            <v>5.5257211210796971E-2</v>
          </cell>
        </row>
        <row r="329">
          <cell r="D329">
            <v>4.4314120370370372E-2</v>
          </cell>
          <cell r="G329">
            <v>-6.9727368844180959E-2</v>
          </cell>
        </row>
        <row r="330">
          <cell r="D330">
            <v>1.6914120370370374E-2</v>
          </cell>
          <cell r="G330">
            <v>-3.2999114448758665E-2</v>
          </cell>
        </row>
        <row r="331">
          <cell r="D331">
            <v>-8.6185879629629619E-2</v>
          </cell>
          <cell r="G331">
            <v>-4.379486889518059E-2</v>
          </cell>
        </row>
        <row r="332">
          <cell r="D332">
            <v>-9.6858796296296259E-3</v>
          </cell>
          <cell r="G332">
            <v>7.9124044927819201E-2</v>
          </cell>
        </row>
        <row r="333">
          <cell r="D333">
            <v>1.3114120370370373E-2</v>
          </cell>
          <cell r="G333">
            <v>4.9407336890752468E-2</v>
          </cell>
        </row>
        <row r="334">
          <cell r="D334">
            <v>-9.4385879629629618E-2</v>
          </cell>
          <cell r="G334">
            <v>3.8657105047974989E-2</v>
          </cell>
        </row>
        <row r="335">
          <cell r="D335">
            <v>-0.17498587962962964</v>
          </cell>
          <cell r="G335">
            <v>1.3566678196553009E-2</v>
          </cell>
        </row>
        <row r="336">
          <cell r="D336">
            <v>-8.1785879629629618E-2</v>
          </cell>
          <cell r="G336">
            <v>3.0306608501174954E-2</v>
          </cell>
        </row>
        <row r="337">
          <cell r="D337">
            <v>1.3914120370370372E-2</v>
          </cell>
          <cell r="G337">
            <v>-5.5840758128091986E-2</v>
          </cell>
        </row>
        <row r="338">
          <cell r="D338">
            <v>-8.4685879629629618E-2</v>
          </cell>
          <cell r="G338">
            <v>-7.7179047055513927E-2</v>
          </cell>
        </row>
        <row r="339">
          <cell r="D339">
            <v>-0.10438587962962963</v>
          </cell>
          <cell r="G339">
            <v>-7.1141707216469424E-2</v>
          </cell>
        </row>
        <row r="340">
          <cell r="D340">
            <v>8.6214120370370365E-2</v>
          </cell>
          <cell r="G340">
            <v>-7.6550345456158853E-2</v>
          </cell>
        </row>
        <row r="341">
          <cell r="D341">
            <v>9.851412037037037E-2</v>
          </cell>
          <cell r="G341">
            <v>-1.278806370892227E-3</v>
          </cell>
        </row>
        <row r="342">
          <cell r="D342">
            <v>4.8614120370370377E-2</v>
          </cell>
          <cell r="G342">
            <v>1.5993120429530133E-2</v>
          </cell>
        </row>
        <row r="343">
          <cell r="D343">
            <v>9.1412037037037416E-4</v>
          </cell>
          <cell r="G343">
            <v>-2.5936214071869731E-2</v>
          </cell>
        </row>
        <row r="344">
          <cell r="D344">
            <v>7.381412037037037E-2</v>
          </cell>
          <cell r="G344">
            <v>4.723212733593006E-2</v>
          </cell>
        </row>
        <row r="345">
          <cell r="D345">
            <v>2.9914120370370372E-2</v>
          </cell>
          <cell r="G345">
            <v>-5.0067658504980926E-2</v>
          </cell>
        </row>
        <row r="346">
          <cell r="D346">
            <v>3.7414120370370375E-2</v>
          </cell>
          <cell r="G346">
            <v>4.1664450693352388E-2</v>
          </cell>
        </row>
        <row r="347">
          <cell r="D347">
            <v>-2.9385879629629626E-2</v>
          </cell>
          <cell r="G347">
            <v>1.4974384766863691E-2</v>
          </cell>
        </row>
        <row r="348">
          <cell r="D348">
            <v>5.2114120370370373E-2</v>
          </cell>
          <cell r="G348">
            <v>3.8606704722085675E-2</v>
          </cell>
        </row>
        <row r="349">
          <cell r="D349">
            <v>2.4114120370370373E-2</v>
          </cell>
          <cell r="G349">
            <v>-4.9415969618358688E-2</v>
          </cell>
        </row>
        <row r="350">
          <cell r="D350">
            <v>-3.7085879629629621E-2</v>
          </cell>
          <cell r="G350">
            <v>3.2432299323241487E-2</v>
          </cell>
        </row>
        <row r="351">
          <cell r="D351">
            <v>3.0514120370370375E-2</v>
          </cell>
          <cell r="G351">
            <v>2.9482702308857335E-3</v>
          </cell>
        </row>
        <row r="352">
          <cell r="D352">
            <v>5.9714120370370369E-2</v>
          </cell>
          <cell r="G352">
            <v>-4.050419795693657E-2</v>
          </cell>
        </row>
        <row r="353">
          <cell r="D353">
            <v>1.6614120370370369E-2</v>
          </cell>
          <cell r="G353">
            <v>-2.7858078816692E-2</v>
          </cell>
        </row>
        <row r="354">
          <cell r="D354">
            <v>-8.2285879629629619E-2</v>
          </cell>
          <cell r="G354">
            <v>1.6296667887952729E-2</v>
          </cell>
        </row>
        <row r="355">
          <cell r="D355">
            <v>-5.8985879629629624E-2</v>
          </cell>
          <cell r="G355">
            <v>3.2219004641082204E-3</v>
          </cell>
        </row>
        <row r="356">
          <cell r="D356">
            <v>6.5914120370370366E-2</v>
          </cell>
          <cell r="G356">
            <v>-1.5864934352981027E-2</v>
          </cell>
        </row>
        <row r="357">
          <cell r="D357">
            <v>-5.108587962962962E-2</v>
          </cell>
          <cell r="G357">
            <v>-7.0790378469806937E-3</v>
          </cell>
        </row>
        <row r="358">
          <cell r="D358">
            <v>9.2014120370370364E-2</v>
          </cell>
          <cell r="G358">
            <v>-5.2118034342781103E-2</v>
          </cell>
        </row>
        <row r="359">
          <cell r="D359">
            <v>3.5414120370370374E-2</v>
          </cell>
          <cell r="G359">
            <v>4.0356688240463505E-2</v>
          </cell>
        </row>
        <row r="360">
          <cell r="D360">
            <v>2.6141203703703734E-3</v>
          </cell>
          <cell r="G360">
            <v>-4.9974415986914177E-2</v>
          </cell>
        </row>
        <row r="361">
          <cell r="D361">
            <v>6.4814120370370376E-2</v>
          </cell>
          <cell r="G361">
            <v>1.0382196297930087E-2</v>
          </cell>
        </row>
        <row r="362">
          <cell r="D362">
            <v>1.6514120370370373E-2</v>
          </cell>
          <cell r="G362">
            <v>-2.9041066939336446E-2</v>
          </cell>
        </row>
        <row r="363">
          <cell r="D363">
            <v>3.151412037037038E-2</v>
          </cell>
          <cell r="G363">
            <v>-2.6945848542669827E-2</v>
          </cell>
        </row>
        <row r="364">
          <cell r="D364">
            <v>1.1141203703703738E-3</v>
          </cell>
          <cell r="G364">
            <v>-3.2865237826580844E-2</v>
          </cell>
        </row>
        <row r="365">
          <cell r="D365">
            <v>2.5514120370370371E-2</v>
          </cell>
          <cell r="G365">
            <v>3.953586409866354E-2</v>
          </cell>
        </row>
        <row r="366">
          <cell r="D366">
            <v>-1.6185879629629626E-2</v>
          </cell>
          <cell r="G366">
            <v>3.1487816955930316E-2</v>
          </cell>
        </row>
        <row r="367">
          <cell r="D367">
            <v>-2.0985879629629629E-2</v>
          </cell>
          <cell r="G367">
            <v>-4.9566612931003E-2</v>
          </cell>
        </row>
        <row r="368">
          <cell r="D368">
            <v>-2.7085879629629626E-2</v>
          </cell>
          <cell r="G368">
            <v>-1.9660888412314094E-2</v>
          </cell>
        </row>
        <row r="369">
          <cell r="D369">
            <v>-6.3285879629629629E-2</v>
          </cell>
          <cell r="G369">
            <v>5.9244411190397132E-2</v>
          </cell>
        </row>
        <row r="370">
          <cell r="D370">
            <v>-7.9385879629629619E-2</v>
          </cell>
          <cell r="G370">
            <v>2.4150323444641613E-2</v>
          </cell>
        </row>
        <row r="371">
          <cell r="D371">
            <v>0.11001412037037037</v>
          </cell>
          <cell r="G371">
            <v>-4.5378172266781161E-2</v>
          </cell>
        </row>
        <row r="372">
          <cell r="D372">
            <v>-6.2858796296296265E-3</v>
          </cell>
          <cell r="G372">
            <v>3.0456410977302895E-3</v>
          </cell>
        </row>
        <row r="373">
          <cell r="D373">
            <v>3.9141203703703742E-3</v>
          </cell>
          <cell r="G373">
            <v>2.181842960746359E-2</v>
          </cell>
        </row>
        <row r="374">
          <cell r="D374">
            <v>4.7014120370370373E-2</v>
          </cell>
          <cell r="G374">
            <v>-8.0884689532780968E-2</v>
          </cell>
        </row>
        <row r="375">
          <cell r="D375">
            <v>4.0714120370370373E-2</v>
          </cell>
          <cell r="G375">
            <v>4.2188058740619039E-2</v>
          </cell>
        </row>
        <row r="376">
          <cell r="D376">
            <v>2.7614120370370372E-2</v>
          </cell>
          <cell r="G376">
            <v>-2.971338532580314E-2</v>
          </cell>
        </row>
        <row r="377">
          <cell r="D377">
            <v>-1.1985879629629628E-2</v>
          </cell>
          <cell r="G377">
            <v>-4.7808681893003024E-2</v>
          </cell>
        </row>
        <row r="378">
          <cell r="D378">
            <v>-6.5285879629629631E-2</v>
          </cell>
          <cell r="G378">
            <v>3.4556487375082406E-3</v>
          </cell>
        </row>
        <row r="379">
          <cell r="D379">
            <v>3.5414120370370381E-2</v>
          </cell>
          <cell r="G379">
            <v>-4.4403311759536504E-2</v>
          </cell>
        </row>
        <row r="380">
          <cell r="D380">
            <v>4.4141203703703747E-3</v>
          </cell>
          <cell r="G380">
            <v>5.1306370220685821E-2</v>
          </cell>
        </row>
        <row r="381">
          <cell r="D381">
            <v>2.2114120370370371E-2</v>
          </cell>
          <cell r="G381">
            <v>2.0270267928752431E-2</v>
          </cell>
        </row>
        <row r="382">
          <cell r="D382">
            <v>2.391412037037037E-2</v>
          </cell>
          <cell r="G382">
            <v>1.0570054136352421E-2</v>
          </cell>
        </row>
        <row r="383">
          <cell r="D383">
            <v>-2.0985879629629629E-2</v>
          </cell>
          <cell r="G383">
            <v>8.0003870689970003E-3</v>
          </cell>
        </row>
        <row r="384">
          <cell r="D384">
            <v>4.4141203703703747E-3</v>
          </cell>
          <cell r="G384">
            <v>-3.062629779314186E-3</v>
          </cell>
        </row>
        <row r="385">
          <cell r="D385">
            <v>8.4141203703703739E-3</v>
          </cell>
          <cell r="G385">
            <v>-4.1446104873536421E-2</v>
          </cell>
        </row>
        <row r="386">
          <cell r="D386">
            <v>5.2214120370370376E-2</v>
          </cell>
          <cell r="G386">
            <v>7.8917692844730117E-2</v>
          </cell>
        </row>
        <row r="387">
          <cell r="D387">
            <v>9.4141203703703748E-3</v>
          </cell>
          <cell r="G387">
            <v>-6.1322364709198024E-4</v>
          </cell>
        </row>
        <row r="388">
          <cell r="D388">
            <v>3.6814120370370379E-2</v>
          </cell>
          <cell r="G388">
            <v>-1.6883478042514281E-2</v>
          </cell>
        </row>
        <row r="389">
          <cell r="D389">
            <v>1.2014120370370373E-2</v>
          </cell>
          <cell r="G389">
            <v>-1.149453245833643E-2</v>
          </cell>
        </row>
        <row r="390">
          <cell r="D390">
            <v>2.451412037037037E-2</v>
          </cell>
          <cell r="G390">
            <v>-2.2168017127780906E-2</v>
          </cell>
        </row>
        <row r="391">
          <cell r="D391">
            <v>-1.5485879629629627E-2</v>
          </cell>
          <cell r="G391">
            <v>1.7627338144414286E-3</v>
          </cell>
        </row>
        <row r="392">
          <cell r="D392">
            <v>5.3014120370370378E-2</v>
          </cell>
          <cell r="G392">
            <v>1.3943597825885674E-2</v>
          </cell>
        </row>
        <row r="393">
          <cell r="D393">
            <v>-3.0585879629629626E-2</v>
          </cell>
          <cell r="G393">
            <v>-2.3391472704869638E-2</v>
          </cell>
        </row>
        <row r="394">
          <cell r="D394">
            <v>3.4214120370370374E-2</v>
          </cell>
          <cell r="G394">
            <v>-5.6612169231269827E-2</v>
          </cell>
        </row>
        <row r="395">
          <cell r="D395">
            <v>3.8314120370370373E-2</v>
          </cell>
          <cell r="G395">
            <v>4.7004343797152383E-2</v>
          </cell>
        </row>
        <row r="396">
          <cell r="D396">
            <v>2.7714120370370375E-2</v>
          </cell>
          <cell r="G396">
            <v>1.9269602796841305E-2</v>
          </cell>
        </row>
        <row r="397">
          <cell r="D397">
            <v>2.4614120370370373E-2</v>
          </cell>
          <cell r="G397">
            <v>-5.5455029005136464E-2</v>
          </cell>
        </row>
        <row r="398">
          <cell r="D398">
            <v>-3.6685879629629624E-2</v>
          </cell>
          <cell r="G398">
            <v>-4.165574818618073E-2</v>
          </cell>
        </row>
        <row r="399">
          <cell r="D399">
            <v>4.3014120370370383E-2</v>
          </cell>
          <cell r="G399">
            <v>-5.035214438558748E-3</v>
          </cell>
        </row>
        <row r="400">
          <cell r="D400">
            <v>8.141203703703739E-4</v>
          </cell>
          <cell r="G400">
            <v>1.4951797805485825E-2</v>
          </cell>
        </row>
        <row r="401">
          <cell r="D401">
            <v>-5.3858796296296259E-3</v>
          </cell>
          <cell r="G401">
            <v>2.5692534201530285E-2</v>
          </cell>
        </row>
        <row r="402">
          <cell r="D402">
            <v>1.7114120370370373E-2</v>
          </cell>
          <cell r="G402">
            <v>-3.9509138203469775E-2</v>
          </cell>
        </row>
        <row r="403">
          <cell r="D403">
            <v>2.2614120370370371E-2</v>
          </cell>
          <cell r="G403">
            <v>-4.828079145802535E-2</v>
          </cell>
        </row>
        <row r="404">
          <cell r="D404">
            <v>-2.3885879629629628E-2</v>
          </cell>
          <cell r="G404">
            <v>-4.8342684876918791E-3</v>
          </cell>
        </row>
        <row r="405">
          <cell r="D405">
            <v>3.8914120370370377E-2</v>
          </cell>
          <cell r="G405">
            <v>4.5356272533019056E-2</v>
          </cell>
        </row>
        <row r="406">
          <cell r="D406">
            <v>-2.3185879629629626E-2</v>
          </cell>
          <cell r="G406">
            <v>1.0351648370819228E-2</v>
          </cell>
        </row>
        <row r="407">
          <cell r="D407">
            <v>2.1714120370370373E-2</v>
          </cell>
          <cell r="G407">
            <v>2.9258315438174656E-2</v>
          </cell>
        </row>
        <row r="408">
          <cell r="D408">
            <v>2.2014120370370371E-2</v>
          </cell>
          <cell r="G408">
            <v>1.5472279806107988E-2</v>
          </cell>
        </row>
        <row r="409">
          <cell r="D409">
            <v>-4.0858796296296259E-3</v>
          </cell>
          <cell r="G409">
            <v>1.3537979590806095E-4</v>
          </cell>
        </row>
        <row r="410">
          <cell r="D410">
            <v>-3.4585879629629626E-2</v>
          </cell>
          <cell r="G410">
            <v>-5.8884997610647395E-2</v>
          </cell>
        </row>
        <row r="411">
          <cell r="D411">
            <v>5.7814120370370377E-2</v>
          </cell>
          <cell r="G411">
            <v>-2.939197228718101E-2</v>
          </cell>
        </row>
        <row r="412">
          <cell r="D412">
            <v>-1.4685879629629629E-2</v>
          </cell>
          <cell r="G412">
            <v>-3.9121361204403016E-2</v>
          </cell>
        </row>
        <row r="413">
          <cell r="D413">
            <v>2.4141203703703738E-3</v>
          </cell>
          <cell r="G413">
            <v>-3.210939223220307E-2</v>
          </cell>
        </row>
        <row r="414">
          <cell r="D414">
            <v>1.0114120370370374E-2</v>
          </cell>
          <cell r="G414">
            <v>-2.8634306788580866E-2</v>
          </cell>
        </row>
        <row r="415">
          <cell r="D415">
            <v>-1.8785879629629628E-2</v>
          </cell>
          <cell r="G415">
            <v>-1.4308742328252282E-3</v>
          </cell>
        </row>
        <row r="416">
          <cell r="D416">
            <v>1.1914120370370374E-2</v>
          </cell>
          <cell r="G416">
            <v>-2.6694520580980874E-2</v>
          </cell>
        </row>
        <row r="417">
          <cell r="D417">
            <v>-6.3885879629629633E-2</v>
          </cell>
          <cell r="G417">
            <v>-5.4677517545469526E-2</v>
          </cell>
        </row>
        <row r="418">
          <cell r="D418">
            <v>-3.4285879629629624E-2</v>
          </cell>
          <cell r="G418">
            <v>2.6515966757285923E-2</v>
          </cell>
        </row>
        <row r="419">
          <cell r="D419">
            <v>7.4014120370370376E-2</v>
          </cell>
          <cell r="G419">
            <v>2.3149103581218945E-2</v>
          </cell>
        </row>
        <row r="420">
          <cell r="D420">
            <v>2.1141203703703747E-3</v>
          </cell>
          <cell r="G420">
            <v>-3.0549356600136402E-2</v>
          </cell>
        </row>
        <row r="421">
          <cell r="D421">
            <v>-2.5085879629629628E-2</v>
          </cell>
          <cell r="G421">
            <v>6.4823874040574797E-2</v>
          </cell>
        </row>
        <row r="422">
          <cell r="D422">
            <v>-6.1085879629629622E-2</v>
          </cell>
          <cell r="G422">
            <v>5.9544149888574899E-2</v>
          </cell>
        </row>
        <row r="423">
          <cell r="D423">
            <v>-3.9858796296296257E-3</v>
          </cell>
          <cell r="G423">
            <v>-2.4352632081447497E-2</v>
          </cell>
        </row>
        <row r="424">
          <cell r="D424">
            <v>6.6314120370370377E-2</v>
          </cell>
          <cell r="G424">
            <v>-1.8619981862403257E-2</v>
          </cell>
        </row>
        <row r="425">
          <cell r="D425">
            <v>5.8141203703703749E-3</v>
          </cell>
          <cell r="G425">
            <v>-3.0784796062291966E-2</v>
          </cell>
        </row>
        <row r="426">
          <cell r="D426">
            <v>1.4414120370370372E-2</v>
          </cell>
          <cell r="G426">
            <v>-5.3018175148697704E-3</v>
          </cell>
        </row>
        <row r="427">
          <cell r="D427">
            <v>-3.785879629629626E-3</v>
          </cell>
          <cell r="G427">
            <v>3.7474344163841398E-2</v>
          </cell>
        </row>
        <row r="428">
          <cell r="D428">
            <v>3.6214120370370376E-2</v>
          </cell>
          <cell r="G428">
            <v>-9.3504067783809416E-3</v>
          </cell>
        </row>
        <row r="429">
          <cell r="D429">
            <v>1.7141203703703737E-3</v>
          </cell>
          <cell r="G429">
            <v>9.9166909092858208E-3</v>
          </cell>
        </row>
        <row r="430">
          <cell r="D430">
            <v>-7.8587962962962596E-4</v>
          </cell>
          <cell r="G430">
            <v>1.9066987843174718E-2</v>
          </cell>
        </row>
        <row r="431">
          <cell r="D431">
            <v>-2.3485879629629627E-2</v>
          </cell>
          <cell r="G431">
            <v>-2.2481315997114105E-2</v>
          </cell>
        </row>
        <row r="432">
          <cell r="D432">
            <v>4.5214120370370377E-2</v>
          </cell>
          <cell r="G432">
            <v>-8.2804475740380967E-2</v>
          </cell>
        </row>
        <row r="433">
          <cell r="D433">
            <v>1.5014120370370376E-2</v>
          </cell>
          <cell r="G433">
            <v>2.5491112209968941E-3</v>
          </cell>
        </row>
      </sheetData>
      <sheetData sheetId="1">
        <row r="17">
          <cell r="B17">
            <v>5.8018832763209131E-3</v>
          </cell>
        </row>
        <row r="18">
          <cell r="B18">
            <v>0.52011877355555847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4CE6-9A53-4027-B65C-76BFAFCAF079}">
  <dimension ref="A1:K43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6" sqref="J6"/>
    </sheetView>
  </sheetViews>
  <sheetFormatPr defaultColWidth="8.58203125" defaultRowHeight="15.5" x14ac:dyDescent="0.35"/>
  <cols>
    <col min="1" max="1" width="5.83203125" style="18" bestFit="1" customWidth="1"/>
    <col min="2" max="2" width="12.58203125" style="10" bestFit="1" customWidth="1"/>
    <col min="3" max="3" width="12.6640625" style="10" bestFit="1" customWidth="1"/>
    <col min="4" max="4" width="18.5" style="11" bestFit="1" customWidth="1"/>
    <col min="5" max="5" width="17.33203125" style="11" bestFit="1" customWidth="1"/>
    <col min="6" max="6" width="25.58203125" style="11" bestFit="1" customWidth="1"/>
    <col min="7" max="7" width="11.33203125" style="11" bestFit="1" customWidth="1"/>
    <col min="8" max="8" width="4.5" style="19" customWidth="1"/>
    <col min="9" max="10" width="5.83203125" bestFit="1" customWidth="1"/>
    <col min="11" max="11" width="18.33203125" bestFit="1" customWidth="1"/>
  </cols>
  <sheetData>
    <row r="1" spans="1:11" x14ac:dyDescent="0.35">
      <c r="A1" s="18" t="s">
        <v>1</v>
      </c>
      <c r="B1" s="10" t="s">
        <v>0</v>
      </c>
      <c r="C1" s="10" t="s">
        <v>21</v>
      </c>
      <c r="D1" s="11" t="s">
        <v>2</v>
      </c>
      <c r="E1" s="11" t="s">
        <v>22</v>
      </c>
      <c r="F1" s="10" t="s">
        <v>23</v>
      </c>
      <c r="G1" s="10" t="s">
        <v>4</v>
      </c>
    </row>
    <row r="2" spans="1:11" x14ac:dyDescent="0.35">
      <c r="A2" s="18">
        <v>29587</v>
      </c>
      <c r="B2" s="10">
        <v>-0.04</v>
      </c>
      <c r="C2" s="10">
        <v>-1.3429999999999999E-2</v>
      </c>
      <c r="D2" s="14">
        <f t="shared" ref="D2:E65" si="0">B2-$J$2</f>
        <v>-4.3485879629629624E-2</v>
      </c>
      <c r="E2" s="14">
        <f t="shared" si="0"/>
        <v>-1.6915879629629624E-2</v>
      </c>
      <c r="F2" s="14">
        <f>[1]Regression!$B$17+[1]Regression!$B$18*Returns!D2</f>
        <v>-1.6815939103626693E-2</v>
      </c>
      <c r="G2" s="14">
        <f>E2-F2</f>
        <v>-9.9940526002931934E-5</v>
      </c>
      <c r="I2" t="s">
        <v>3</v>
      </c>
      <c r="J2" s="15">
        <v>3.4858796296296261E-3</v>
      </c>
    </row>
    <row r="3" spans="1:11" x14ac:dyDescent="0.35">
      <c r="A3" s="18">
        <v>29618</v>
      </c>
      <c r="B3" s="10">
        <v>1.6300000000000002E-2</v>
      </c>
      <c r="C3" s="10">
        <v>6.5298999999999996E-2</v>
      </c>
      <c r="D3" s="14">
        <f t="shared" si="0"/>
        <v>1.2814120370370375E-2</v>
      </c>
      <c r="E3" s="14">
        <f t="shared" si="0"/>
        <v>6.1813120370370372E-2</v>
      </c>
      <c r="F3" s="14">
        <f>[1]Regression!$B$17+[1]Regression!$B$18*Returns!D3</f>
        <v>1.2466747847551252E-2</v>
      </c>
      <c r="G3" s="14">
        <f t="shared" ref="G3:G66" si="1">E3-F3</f>
        <v>4.9346372522819121E-2</v>
      </c>
      <c r="I3" s="20" t="s">
        <v>24</v>
      </c>
      <c r="J3" s="16">
        <f>AVERAGE(D2:D433)</f>
        <v>6.1668981481481523E-3</v>
      </c>
      <c r="K3" t="s">
        <v>25</v>
      </c>
    </row>
    <row r="4" spans="1:11" x14ac:dyDescent="0.35">
      <c r="A4" s="18">
        <v>29646</v>
      </c>
      <c r="B4" s="10">
        <v>4.7699999999999992E-2</v>
      </c>
      <c r="C4" s="10">
        <v>-1.2259000000000001E-2</v>
      </c>
      <c r="D4" s="14">
        <f t="shared" si="0"/>
        <v>4.4214120370370369E-2</v>
      </c>
      <c r="E4" s="14">
        <f t="shared" si="0"/>
        <v>-1.5744879629629626E-2</v>
      </c>
      <c r="F4" s="14">
        <f>[1]Regression!$B$17+[1]Regression!$B$18*Returns!D4</f>
        <v>2.8798477337195781E-2</v>
      </c>
      <c r="G4" s="14">
        <f t="shared" si="1"/>
        <v>-4.4543356966825404E-2</v>
      </c>
      <c r="I4" s="20" t="s">
        <v>26</v>
      </c>
      <c r="J4" s="16">
        <f>AVERAGE(E2:E433)</f>
        <v>9.0094027777777742E-3</v>
      </c>
      <c r="K4" t="s">
        <v>27</v>
      </c>
    </row>
    <row r="5" spans="1:11" x14ac:dyDescent="0.35">
      <c r="A5" s="18">
        <v>29677</v>
      </c>
      <c r="B5" s="10">
        <v>-1.0200000000000001E-2</v>
      </c>
      <c r="C5" s="10">
        <v>3.1206000000000001E-2</v>
      </c>
      <c r="D5" s="14">
        <f t="shared" si="0"/>
        <v>-1.3685879629629628E-2</v>
      </c>
      <c r="E5" s="14">
        <f t="shared" si="0"/>
        <v>2.7720120370370374E-2</v>
      </c>
      <c r="F5" s="14">
        <f>[1]Regression!$B$17+[1]Regression!$B$18*Returns!D5</f>
        <v>-1.3163996516710498E-3</v>
      </c>
      <c r="G5" s="14">
        <f t="shared" si="1"/>
        <v>2.9036520022041424E-2</v>
      </c>
    </row>
    <row r="6" spans="1:11" x14ac:dyDescent="0.35">
      <c r="A6" s="18">
        <v>29707</v>
      </c>
      <c r="B6" s="10">
        <v>1.26E-2</v>
      </c>
      <c r="C6" s="10">
        <v>-1.7422E-2</v>
      </c>
      <c r="D6" s="14">
        <f t="shared" si="0"/>
        <v>9.1141203703703731E-3</v>
      </c>
      <c r="E6" s="14">
        <f t="shared" si="0"/>
        <v>-2.0907879629629627E-2</v>
      </c>
      <c r="F6" s="14">
        <f>[1]Regression!$B$17+[1]Regression!$B$18*Returns!D6</f>
        <v>1.0542308385395684E-2</v>
      </c>
      <c r="G6" s="14">
        <f t="shared" si="1"/>
        <v>-3.1450188015025311E-2</v>
      </c>
      <c r="I6" t="s">
        <v>28</v>
      </c>
      <c r="J6" s="21"/>
    </row>
    <row r="7" spans="1:11" x14ac:dyDescent="0.35">
      <c r="A7" s="18">
        <v>29738</v>
      </c>
      <c r="B7" s="10">
        <v>-1.0099999999999998E-2</v>
      </c>
      <c r="C7" s="10">
        <v>7.4468000000000006E-2</v>
      </c>
      <c r="D7" s="14">
        <f t="shared" si="0"/>
        <v>-1.3585879629629625E-2</v>
      </c>
      <c r="E7" s="14">
        <f t="shared" si="0"/>
        <v>7.0982120370370383E-2</v>
      </c>
      <c r="F7" s="14">
        <f>[1]Regression!$B$17+[1]Regression!$B$18*Returns!D7</f>
        <v>-1.2643877743154924E-3</v>
      </c>
      <c r="G7" s="14">
        <f t="shared" si="1"/>
        <v>7.2246508144685875E-2</v>
      </c>
    </row>
    <row r="8" spans="1:11" x14ac:dyDescent="0.35">
      <c r="A8" s="18">
        <v>29768</v>
      </c>
      <c r="B8" s="10">
        <v>-3.0000000000000005E-3</v>
      </c>
      <c r="C8" s="10">
        <v>-2.8712999999999999E-2</v>
      </c>
      <c r="D8" s="14">
        <f t="shared" si="0"/>
        <v>-6.4858796296296262E-3</v>
      </c>
      <c r="E8" s="14">
        <f t="shared" si="0"/>
        <v>-3.2198879629629626E-2</v>
      </c>
      <c r="F8" s="14">
        <f>[1]Regression!$B$17+[1]Regression!$B$18*Returns!D8</f>
        <v>2.4284555179289722E-3</v>
      </c>
      <c r="G8" s="14">
        <f t="shared" si="1"/>
        <v>-3.4627335147558599E-2</v>
      </c>
    </row>
    <row r="9" spans="1:11" x14ac:dyDescent="0.35">
      <c r="A9" s="18">
        <v>29799</v>
      </c>
      <c r="B9" s="10">
        <v>-5.7500000000000002E-2</v>
      </c>
      <c r="C9" s="10">
        <v>-4.4749999999999998E-2</v>
      </c>
      <c r="D9" s="14">
        <f t="shared" si="0"/>
        <v>-6.0985879629629626E-2</v>
      </c>
      <c r="E9" s="14">
        <f t="shared" si="0"/>
        <v>-4.8235879629629622E-2</v>
      </c>
      <c r="F9" s="14">
        <f>[1]Regression!$B$17+[1]Regression!$B$18*Returns!D9</f>
        <v>-2.5918017640848966E-2</v>
      </c>
      <c r="G9" s="14">
        <f t="shared" si="1"/>
        <v>-2.2317861988780656E-2</v>
      </c>
    </row>
    <row r="10" spans="1:11" x14ac:dyDescent="0.35">
      <c r="A10" s="18">
        <v>29830</v>
      </c>
      <c r="B10" s="10">
        <v>-5.9299999999999999E-2</v>
      </c>
      <c r="C10" s="10">
        <v>6.3062999999999994E-2</v>
      </c>
      <c r="D10" s="14">
        <f t="shared" si="0"/>
        <v>-6.2785879629629629E-2</v>
      </c>
      <c r="E10" s="14">
        <f t="shared" si="0"/>
        <v>5.9577120370370371E-2</v>
      </c>
      <c r="F10" s="14">
        <f>[1]Regression!$B$17+[1]Regression!$B$18*Returns!D10</f>
        <v>-2.6854231433248971E-2</v>
      </c>
      <c r="G10" s="14">
        <f t="shared" si="1"/>
        <v>8.6431351803619341E-2</v>
      </c>
    </row>
    <row r="11" spans="1:11" x14ac:dyDescent="0.35">
      <c r="A11" s="18">
        <v>29860</v>
      </c>
      <c r="B11" s="10">
        <v>6.13E-2</v>
      </c>
      <c r="C11" s="10">
        <v>7.5254000000000001E-2</v>
      </c>
      <c r="D11" s="14">
        <f t="shared" si="0"/>
        <v>5.7814120370370377E-2</v>
      </c>
      <c r="E11" s="14">
        <f t="shared" si="0"/>
        <v>7.1768120370370378E-2</v>
      </c>
      <c r="F11" s="14">
        <f>[1]Regression!$B$17+[1]Regression!$B$18*Returns!D11</f>
        <v>3.5872092657551383E-2</v>
      </c>
      <c r="G11" s="14">
        <f t="shared" si="1"/>
        <v>3.5896027712818995E-2</v>
      </c>
    </row>
    <row r="12" spans="1:11" x14ac:dyDescent="0.35">
      <c r="A12" s="18">
        <v>29891</v>
      </c>
      <c r="B12" s="10">
        <v>4.4299999999999999E-2</v>
      </c>
      <c r="C12" s="10">
        <v>2.5558999999999998E-2</v>
      </c>
      <c r="D12" s="14">
        <f t="shared" si="0"/>
        <v>4.0814120370370376E-2</v>
      </c>
      <c r="E12" s="14">
        <f t="shared" si="0"/>
        <v>2.2073120370370371E-2</v>
      </c>
      <c r="F12" s="14">
        <f>[1]Regression!$B$17+[1]Regression!$B$18*Returns!D12</f>
        <v>2.7030073507106886E-2</v>
      </c>
      <c r="G12" s="14">
        <f t="shared" si="1"/>
        <v>-4.9569531367365145E-3</v>
      </c>
    </row>
    <row r="13" spans="1:11" x14ac:dyDescent="0.35">
      <c r="A13" s="18">
        <v>29921</v>
      </c>
      <c r="B13" s="10">
        <v>-2.7799999999999998E-2</v>
      </c>
      <c r="C13" s="10">
        <v>1.5579999999999999E-3</v>
      </c>
      <c r="D13" s="14">
        <f t="shared" si="0"/>
        <v>-3.1285879629629622E-2</v>
      </c>
      <c r="E13" s="14">
        <f t="shared" si="0"/>
        <v>-1.9278796296296262E-3</v>
      </c>
      <c r="F13" s="14">
        <f>[1]Regression!$B$17+[1]Regression!$B$18*Returns!D13</f>
        <v>-1.0470490066248875E-2</v>
      </c>
      <c r="G13" s="14">
        <f t="shared" si="1"/>
        <v>8.5426104366192485E-3</v>
      </c>
    </row>
    <row r="14" spans="1:11" x14ac:dyDescent="0.35">
      <c r="A14" s="18">
        <v>29952</v>
      </c>
      <c r="B14" s="10">
        <v>-2.4400000000000005E-2</v>
      </c>
      <c r="C14" s="10">
        <v>7.3717000000000005E-2</v>
      </c>
      <c r="D14" s="14">
        <f t="shared" si="0"/>
        <v>-2.7885879629629632E-2</v>
      </c>
      <c r="E14" s="14">
        <f t="shared" si="0"/>
        <v>7.0231120370370381E-2</v>
      </c>
      <c r="F14" s="14">
        <f>[1]Regression!$B$17+[1]Regression!$B$18*Returns!D14</f>
        <v>-8.7020862361599817E-3</v>
      </c>
      <c r="G14" s="14">
        <f t="shared" si="1"/>
        <v>7.8933206606530359E-2</v>
      </c>
    </row>
    <row r="15" spans="1:11" x14ac:dyDescent="0.35">
      <c r="A15" s="18">
        <v>29983</v>
      </c>
      <c r="B15" s="10">
        <v>-4.9400000000000006E-2</v>
      </c>
      <c r="C15" s="10">
        <v>-2.3460000000000002E-2</v>
      </c>
      <c r="D15" s="14">
        <f t="shared" si="0"/>
        <v>-5.288587962962963E-2</v>
      </c>
      <c r="E15" s="14">
        <f t="shared" si="0"/>
        <v>-2.6945879629629629E-2</v>
      </c>
      <c r="F15" s="14">
        <f>[1]Regression!$B$17+[1]Regression!$B$18*Returns!D15</f>
        <v>-2.170505557504894E-2</v>
      </c>
      <c r="G15" s="14">
        <f t="shared" si="1"/>
        <v>-5.2408240545806888E-3</v>
      </c>
    </row>
    <row r="16" spans="1:11" x14ac:dyDescent="0.35">
      <c r="A16" s="18">
        <v>30011</v>
      </c>
      <c r="B16" s="10">
        <v>-8.9000000000000017E-3</v>
      </c>
      <c r="C16" s="10">
        <v>-6.0060000000000001E-3</v>
      </c>
      <c r="D16" s="14">
        <f t="shared" si="0"/>
        <v>-1.2385879629629629E-2</v>
      </c>
      <c r="E16" s="14">
        <f t="shared" si="0"/>
        <v>-9.4918796296296262E-3</v>
      </c>
      <c r="F16" s="14">
        <f>[1]Regression!$B$17+[1]Regression!$B$18*Returns!D16</f>
        <v>-6.402452460488239E-4</v>
      </c>
      <c r="G16" s="14">
        <f t="shared" si="1"/>
        <v>-8.8516343835808031E-3</v>
      </c>
    </row>
    <row r="17" spans="1:7" x14ac:dyDescent="0.35">
      <c r="A17" s="18">
        <v>30042</v>
      </c>
      <c r="B17" s="10">
        <v>4.4000000000000004E-2</v>
      </c>
      <c r="C17" s="10">
        <v>4.7432000000000002E-2</v>
      </c>
      <c r="D17" s="14">
        <f t="shared" si="0"/>
        <v>4.0514120370370381E-2</v>
      </c>
      <c r="E17" s="14">
        <f t="shared" si="0"/>
        <v>4.3946120370370378E-2</v>
      </c>
      <c r="F17" s="14">
        <f>[1]Regression!$B$17+[1]Regression!$B$18*Returns!D17</f>
        <v>2.6874037875040224E-2</v>
      </c>
      <c r="G17" s="14">
        <f t="shared" si="1"/>
        <v>1.7072082495330154E-2</v>
      </c>
    </row>
    <row r="18" spans="1:7" x14ac:dyDescent="0.35">
      <c r="A18" s="18">
        <v>30072</v>
      </c>
      <c r="B18" s="10">
        <v>-2.9300000000000003E-2</v>
      </c>
      <c r="C18" s="10">
        <v>-2.0438000000000001E-2</v>
      </c>
      <c r="D18" s="14">
        <f t="shared" si="0"/>
        <v>-3.278587962962963E-2</v>
      </c>
      <c r="E18" s="14">
        <f t="shared" si="0"/>
        <v>-2.3923879629629628E-2</v>
      </c>
      <c r="F18" s="14">
        <f>[1]Regression!$B$17+[1]Regression!$B$18*Returns!D18</f>
        <v>-1.1250668226582218E-2</v>
      </c>
      <c r="G18" s="14">
        <f t="shared" si="1"/>
        <v>-1.267321140304741E-2</v>
      </c>
    </row>
    <row r="19" spans="1:7" x14ac:dyDescent="0.35">
      <c r="A19" s="18">
        <v>30103</v>
      </c>
      <c r="B19" s="10">
        <v>-2.1299999999999999E-2</v>
      </c>
      <c r="C19" s="10">
        <v>-1.0432E-2</v>
      </c>
      <c r="D19" s="14">
        <f t="shared" si="0"/>
        <v>-2.4785879629629626E-2</v>
      </c>
      <c r="E19" s="14">
        <f t="shared" si="0"/>
        <v>-1.3917879629629627E-2</v>
      </c>
      <c r="F19" s="14">
        <f>[1]Regression!$B$17+[1]Regression!$B$18*Returns!D19</f>
        <v>-7.0897180381377482E-3</v>
      </c>
      <c r="G19" s="14">
        <f t="shared" si="1"/>
        <v>-6.828161591491879E-3</v>
      </c>
    </row>
    <row r="20" spans="1:7" x14ac:dyDescent="0.35">
      <c r="A20" s="18">
        <v>30133</v>
      </c>
      <c r="B20" s="10">
        <v>-2.1399999999999995E-2</v>
      </c>
      <c r="C20" s="10">
        <v>3.8253000000000002E-2</v>
      </c>
      <c r="D20" s="14">
        <f t="shared" si="0"/>
        <v>-2.4885879629629622E-2</v>
      </c>
      <c r="E20" s="14">
        <f t="shared" si="0"/>
        <v>3.4767120370370379E-2</v>
      </c>
      <c r="F20" s="14">
        <f>[1]Regression!$B$17+[1]Regression!$B$18*Returns!D20</f>
        <v>-7.1417299154933021E-3</v>
      </c>
      <c r="G20" s="14">
        <f t="shared" si="1"/>
        <v>4.1908850285863677E-2</v>
      </c>
    </row>
    <row r="21" spans="1:7" x14ac:dyDescent="0.35">
      <c r="A21" s="18">
        <v>30164</v>
      </c>
      <c r="B21" s="10">
        <v>0.11900000000000001</v>
      </c>
      <c r="C21" s="10">
        <v>0.117474</v>
      </c>
      <c r="D21" s="14">
        <f t="shared" si="0"/>
        <v>0.11551412037037039</v>
      </c>
      <c r="E21" s="14">
        <f t="shared" si="0"/>
        <v>0.11398812037037037</v>
      </c>
      <c r="F21" s="14">
        <f>[1]Regression!$B$17+[1]Regression!$B$18*Returns!D21</f>
        <v>6.5882945891707109E-2</v>
      </c>
      <c r="G21" s="14">
        <f t="shared" si="1"/>
        <v>4.8105174478663262E-2</v>
      </c>
    </row>
    <row r="22" spans="1:7" x14ac:dyDescent="0.35">
      <c r="A22" s="18">
        <v>30195</v>
      </c>
      <c r="B22" s="10">
        <v>1.8000000000000002E-2</v>
      </c>
      <c r="C22" s="10">
        <v>3.0223E-2</v>
      </c>
      <c r="D22" s="14">
        <f t="shared" si="0"/>
        <v>1.4514120370370375E-2</v>
      </c>
      <c r="E22" s="14">
        <f t="shared" si="0"/>
        <v>2.6737120370370373E-2</v>
      </c>
      <c r="F22" s="14">
        <f>[1]Regression!$B$17+[1]Regression!$B$18*Returns!D22</f>
        <v>1.3350949762595701E-2</v>
      </c>
      <c r="G22" s="14">
        <f t="shared" si="1"/>
        <v>1.3386170607774672E-2</v>
      </c>
    </row>
    <row r="23" spans="1:7" x14ac:dyDescent="0.35">
      <c r="A23" s="18">
        <v>30225</v>
      </c>
      <c r="B23" s="10">
        <v>0.11890000000000001</v>
      </c>
      <c r="C23" s="10">
        <v>9.3621999999999997E-2</v>
      </c>
      <c r="D23" s="14">
        <f t="shared" si="0"/>
        <v>0.11541412037037038</v>
      </c>
      <c r="E23" s="14">
        <f t="shared" si="0"/>
        <v>9.0136120370370373E-2</v>
      </c>
      <c r="F23" s="14">
        <f>[1]Regression!$B$17+[1]Regression!$B$18*Returns!D23</f>
        <v>6.5830934014351555E-2</v>
      </c>
      <c r="G23" s="14">
        <f t="shared" si="1"/>
        <v>2.4305186356018818E-2</v>
      </c>
    </row>
    <row r="24" spans="1:7" x14ac:dyDescent="0.35">
      <c r="A24" s="18">
        <v>30256</v>
      </c>
      <c r="B24" s="10">
        <v>5.2999999999999999E-2</v>
      </c>
      <c r="C24" s="10">
        <v>0.120141</v>
      </c>
      <c r="D24" s="14">
        <f t="shared" si="0"/>
        <v>4.9514120370370375E-2</v>
      </c>
      <c r="E24" s="14">
        <f t="shared" si="0"/>
        <v>0.11665512037037037</v>
      </c>
      <c r="F24" s="14">
        <f>[1]Regression!$B$17+[1]Regression!$B$18*Returns!D24</f>
        <v>3.1555106837040249E-2</v>
      </c>
      <c r="G24" s="14">
        <f t="shared" si="1"/>
        <v>8.5100013533330132E-2</v>
      </c>
    </row>
    <row r="25" spans="1:7" x14ac:dyDescent="0.35">
      <c r="A25" s="18">
        <v>30286</v>
      </c>
      <c r="B25" s="10">
        <v>1.2200000000000003E-2</v>
      </c>
      <c r="C25" s="10">
        <v>-5.2579999999999997E-3</v>
      </c>
      <c r="D25" s="14">
        <f t="shared" si="0"/>
        <v>8.7141203703703755E-3</v>
      </c>
      <c r="E25" s="14">
        <f t="shared" si="0"/>
        <v>-8.7438796296296258E-3</v>
      </c>
      <c r="F25" s="14">
        <f>[1]Regression!$B$17+[1]Regression!$B$18*Returns!D25</f>
        <v>1.0334260875973462E-2</v>
      </c>
      <c r="G25" s="14">
        <f t="shared" si="1"/>
        <v>-1.9078140505603088E-2</v>
      </c>
    </row>
    <row r="26" spans="1:7" x14ac:dyDescent="0.35">
      <c r="A26" s="18">
        <v>30317</v>
      </c>
      <c r="B26" s="10">
        <v>4.2900000000000001E-2</v>
      </c>
      <c r="C26" s="10">
        <v>-3.8477999999999998E-2</v>
      </c>
      <c r="D26" s="14">
        <f t="shared" si="0"/>
        <v>3.9414120370370377E-2</v>
      </c>
      <c r="E26" s="14">
        <f t="shared" si="0"/>
        <v>-4.1963879629629622E-2</v>
      </c>
      <c r="F26" s="14">
        <f>[1]Regression!$B$17+[1]Regression!$B$18*Returns!D26</f>
        <v>2.630190722412911E-2</v>
      </c>
      <c r="G26" s="14">
        <f t="shared" si="1"/>
        <v>-6.8265786853758725E-2</v>
      </c>
    </row>
    <row r="27" spans="1:7" x14ac:dyDescent="0.35">
      <c r="A27" s="18">
        <v>30348</v>
      </c>
      <c r="B27" s="10">
        <v>3.2099999999999997E-2</v>
      </c>
      <c r="C27" s="10">
        <v>1.5556E-2</v>
      </c>
      <c r="D27" s="14">
        <f t="shared" si="0"/>
        <v>2.861412037037037E-2</v>
      </c>
      <c r="E27" s="14">
        <f t="shared" si="0"/>
        <v>1.2070120370370373E-2</v>
      </c>
      <c r="F27" s="14">
        <f>[1]Regression!$B$17+[1]Regression!$B$18*Returns!D27</f>
        <v>2.0684624469729074E-2</v>
      </c>
      <c r="G27" s="14">
        <f t="shared" si="1"/>
        <v>-8.6145040993587003E-3</v>
      </c>
    </row>
    <row r="28" spans="1:7" x14ac:dyDescent="0.35">
      <c r="A28" s="18">
        <v>30376</v>
      </c>
      <c r="B28" s="10">
        <v>3.4499999999999996E-2</v>
      </c>
      <c r="C28" s="10">
        <v>6.3457E-2</v>
      </c>
      <c r="D28" s="14">
        <f t="shared" si="0"/>
        <v>3.1014120370370369E-2</v>
      </c>
      <c r="E28" s="14">
        <f t="shared" si="0"/>
        <v>5.9971120370370376E-2</v>
      </c>
      <c r="F28" s="14">
        <f>[1]Regression!$B$17+[1]Regression!$B$18*Returns!D28</f>
        <v>2.1932909526262409E-2</v>
      </c>
      <c r="G28" s="14">
        <f t="shared" si="1"/>
        <v>3.8038210844107967E-2</v>
      </c>
    </row>
    <row r="29" spans="1:7" x14ac:dyDescent="0.35">
      <c r="A29" s="18">
        <v>30407</v>
      </c>
      <c r="B29" s="10">
        <v>7.3800000000000004E-2</v>
      </c>
      <c r="C29" s="10">
        <v>-4.1199999999999999E-4</v>
      </c>
      <c r="D29" s="14">
        <f t="shared" si="0"/>
        <v>7.0314120370370381E-2</v>
      </c>
      <c r="E29" s="14">
        <f t="shared" si="0"/>
        <v>-3.8978796296296261E-3</v>
      </c>
      <c r="F29" s="14">
        <f>[1]Regression!$B$17+[1]Regression!$B$18*Returns!D29</f>
        <v>4.2373577326995863E-2</v>
      </c>
      <c r="G29" s="14">
        <f t="shared" si="1"/>
        <v>-4.627145695662549E-2</v>
      </c>
    </row>
    <row r="30" spans="1:7" x14ac:dyDescent="0.35">
      <c r="A30" s="18">
        <v>30437</v>
      </c>
      <c r="B30" s="10">
        <v>1.21E-2</v>
      </c>
      <c r="C30" s="10">
        <v>-0.10395</v>
      </c>
      <c r="D30" s="14">
        <f t="shared" si="0"/>
        <v>8.6141203703703727E-3</v>
      </c>
      <c r="E30" s="14">
        <f t="shared" si="0"/>
        <v>-0.10743587962962962</v>
      </c>
      <c r="F30" s="14">
        <f>[1]Regression!$B$17+[1]Regression!$B$18*Returns!D30</f>
        <v>1.0282248998617904E-2</v>
      </c>
      <c r="G30" s="14">
        <f t="shared" si="1"/>
        <v>-0.11771812862824753</v>
      </c>
    </row>
    <row r="31" spans="1:7" x14ac:dyDescent="0.35">
      <c r="A31" s="18">
        <v>30468</v>
      </c>
      <c r="B31" s="10">
        <v>3.7399999999999996E-2</v>
      </c>
      <c r="C31" s="10">
        <v>2.3202E-2</v>
      </c>
      <c r="D31" s="14">
        <f t="shared" si="0"/>
        <v>3.3914120370370372E-2</v>
      </c>
      <c r="E31" s="14">
        <f t="shared" si="0"/>
        <v>1.9716120370370373E-2</v>
      </c>
      <c r="F31" s="14">
        <f>[1]Regression!$B$17+[1]Regression!$B$18*Returns!D31</f>
        <v>2.3441253969573535E-2</v>
      </c>
      <c r="G31" s="14">
        <f t="shared" si="1"/>
        <v>-3.7251335992031613E-3</v>
      </c>
    </row>
    <row r="32" spans="1:7" x14ac:dyDescent="0.35">
      <c r="A32" s="18">
        <v>30498</v>
      </c>
      <c r="B32" s="10">
        <v>-3.3300000000000003E-2</v>
      </c>
      <c r="C32" s="10">
        <v>-5.0340000000000003E-2</v>
      </c>
      <c r="D32" s="14">
        <f t="shared" si="0"/>
        <v>-3.6785879629629627E-2</v>
      </c>
      <c r="E32" s="14">
        <f t="shared" si="0"/>
        <v>-5.3825879629629626E-2</v>
      </c>
      <c r="F32" s="14">
        <f>[1]Regression!$B$17+[1]Regression!$B$18*Returns!D32</f>
        <v>-1.3331143320804451E-2</v>
      </c>
      <c r="G32" s="14">
        <f t="shared" si="1"/>
        <v>-4.0494736308825177E-2</v>
      </c>
    </row>
    <row r="33" spans="1:7" x14ac:dyDescent="0.35">
      <c r="A33" s="18">
        <v>30529</v>
      </c>
      <c r="B33" s="10">
        <v>2.5999999999999999E-3</v>
      </c>
      <c r="C33" s="10">
        <v>3.3815999999999999E-2</v>
      </c>
      <c r="D33" s="14">
        <f t="shared" si="0"/>
        <v>-8.8587962962962622E-4</v>
      </c>
      <c r="E33" s="14">
        <f t="shared" si="0"/>
        <v>3.0330120370370372E-2</v>
      </c>
      <c r="F33" s="14">
        <f>[1]Regression!$B$17+[1]Regression!$B$18*Returns!D33</f>
        <v>5.3411206498400997E-3</v>
      </c>
      <c r="G33" s="14">
        <f t="shared" si="1"/>
        <v>2.4988999720530272E-2</v>
      </c>
    </row>
    <row r="34" spans="1:7" x14ac:dyDescent="0.35">
      <c r="A34" s="18">
        <v>30560</v>
      </c>
      <c r="B34" s="10">
        <v>1.6800000000000002E-2</v>
      </c>
      <c r="C34" s="10">
        <v>3.9719999999999998E-2</v>
      </c>
      <c r="D34" s="14">
        <f t="shared" si="0"/>
        <v>1.3314120370370375E-2</v>
      </c>
      <c r="E34" s="14">
        <f t="shared" si="0"/>
        <v>3.6234120370370375E-2</v>
      </c>
      <c r="F34" s="14">
        <f>[1]Regression!$B$17+[1]Regression!$B$18*Returns!D34</f>
        <v>1.2726807234329032E-2</v>
      </c>
      <c r="G34" s="14">
        <f t="shared" si="1"/>
        <v>2.3507313136041343E-2</v>
      </c>
    </row>
    <row r="35" spans="1:7" x14ac:dyDescent="0.35">
      <c r="A35" s="18">
        <v>30590</v>
      </c>
      <c r="B35" s="10">
        <v>-2.6799999999999997E-2</v>
      </c>
      <c r="C35" s="10">
        <v>8.5389999999999997E-3</v>
      </c>
      <c r="D35" s="14">
        <f t="shared" si="0"/>
        <v>-3.0285879629629624E-2</v>
      </c>
      <c r="E35" s="14">
        <f t="shared" si="0"/>
        <v>5.0531203703703736E-3</v>
      </c>
      <c r="F35" s="14">
        <f>[1]Regression!$B$17+[1]Regression!$B$18*Returns!D35</f>
        <v>-9.9503712926933188E-3</v>
      </c>
      <c r="G35" s="14">
        <f t="shared" si="1"/>
        <v>1.5003491663063692E-2</v>
      </c>
    </row>
    <row r="36" spans="1:7" x14ac:dyDescent="0.35">
      <c r="A36" s="18">
        <v>30621</v>
      </c>
      <c r="B36" s="10">
        <v>2.8600000000000004E-2</v>
      </c>
      <c r="C36" s="10">
        <v>6.7568000000000003E-2</v>
      </c>
      <c r="D36" s="14">
        <f t="shared" si="0"/>
        <v>2.5114120370370377E-2</v>
      </c>
      <c r="E36" s="14">
        <f t="shared" si="0"/>
        <v>6.408212037037038E-2</v>
      </c>
      <c r="F36" s="14">
        <f>[1]Regression!$B$17+[1]Regression!$B$18*Returns!D36</f>
        <v>1.8864208762284621E-2</v>
      </c>
      <c r="G36" s="14">
        <f t="shared" si="1"/>
        <v>4.5217911608085762E-2</v>
      </c>
    </row>
    <row r="37" spans="1:7" x14ac:dyDescent="0.35">
      <c r="A37" s="18">
        <v>30651</v>
      </c>
      <c r="B37" s="10">
        <v>-1.0500000000000001E-2</v>
      </c>
      <c r="C37" s="10">
        <v>-4.0084000000000002E-2</v>
      </c>
      <c r="D37" s="14">
        <f t="shared" si="0"/>
        <v>-1.3985879629629626E-2</v>
      </c>
      <c r="E37" s="14">
        <f t="shared" si="0"/>
        <v>-4.3569879629629625E-2</v>
      </c>
      <c r="F37" s="14">
        <f>[1]Regression!$B$17+[1]Regression!$B$18*Returns!D37</f>
        <v>-1.4724352837377159E-3</v>
      </c>
      <c r="G37" s="14">
        <f t="shared" si="1"/>
        <v>-4.209744434589191E-2</v>
      </c>
    </row>
    <row r="38" spans="1:7" x14ac:dyDescent="0.35">
      <c r="A38" s="18">
        <v>30682</v>
      </c>
      <c r="B38" s="10">
        <v>-1.1599999999999999E-2</v>
      </c>
      <c r="C38" s="10">
        <v>-0.101538</v>
      </c>
      <c r="D38" s="14">
        <f t="shared" si="0"/>
        <v>-1.5085879629629626E-2</v>
      </c>
      <c r="E38" s="14">
        <f t="shared" si="0"/>
        <v>-0.10502387962962963</v>
      </c>
      <c r="F38" s="14">
        <f>[1]Regression!$B$17+[1]Regression!$B$18*Returns!D38</f>
        <v>-2.0445659346488305E-3</v>
      </c>
      <c r="G38" s="14">
        <f t="shared" si="1"/>
        <v>-0.1029793136949808</v>
      </c>
    </row>
    <row r="39" spans="1:7" x14ac:dyDescent="0.35">
      <c r="A39" s="18">
        <v>30713</v>
      </c>
      <c r="B39" s="10">
        <v>-4.1100000000000005E-2</v>
      </c>
      <c r="C39" s="10">
        <v>-6.6832000000000003E-2</v>
      </c>
      <c r="D39" s="14">
        <f t="shared" si="0"/>
        <v>-4.4585879629629628E-2</v>
      </c>
      <c r="E39" s="14">
        <f t="shared" si="0"/>
        <v>-7.0317879629629626E-2</v>
      </c>
      <c r="F39" s="14">
        <f>[1]Regression!$B$17+[1]Regression!$B$18*Returns!D39</f>
        <v>-1.7388069754537806E-2</v>
      </c>
      <c r="G39" s="14">
        <f t="shared" si="1"/>
        <v>-5.292980987509182E-2</v>
      </c>
    </row>
    <row r="40" spans="1:7" x14ac:dyDescent="0.35">
      <c r="A40" s="18">
        <v>30742</v>
      </c>
      <c r="B40" s="10">
        <v>1.3599999999999999E-2</v>
      </c>
      <c r="C40" s="10">
        <v>2.3872999999999998E-2</v>
      </c>
      <c r="D40" s="14">
        <f t="shared" si="0"/>
        <v>1.0114120370370374E-2</v>
      </c>
      <c r="E40" s="14">
        <f t="shared" si="0"/>
        <v>2.0387120370370371E-2</v>
      </c>
      <c r="F40" s="14">
        <f>[1]Regression!$B$17+[1]Regression!$B$18*Returns!D40</f>
        <v>1.1062427158951242E-2</v>
      </c>
      <c r="G40" s="14">
        <f t="shared" si="1"/>
        <v>9.3246932114191289E-3</v>
      </c>
    </row>
    <row r="41" spans="1:7" x14ac:dyDescent="0.35">
      <c r="A41" s="18">
        <v>30773</v>
      </c>
      <c r="B41" s="10">
        <v>2.9000000000000002E-3</v>
      </c>
      <c r="C41" s="10">
        <v>-5.6990000000000001E-3</v>
      </c>
      <c r="D41" s="14">
        <f t="shared" si="0"/>
        <v>-5.8587962962962587E-4</v>
      </c>
      <c r="E41" s="14">
        <f t="shared" si="0"/>
        <v>-9.1848796296296262E-3</v>
      </c>
      <c r="F41" s="14">
        <f>[1]Regression!$B$17+[1]Regression!$B$18*Returns!D41</f>
        <v>5.4971562819067675E-3</v>
      </c>
      <c r="G41" s="14">
        <f t="shared" si="1"/>
        <v>-1.4682035911536395E-2</v>
      </c>
    </row>
    <row r="42" spans="1:7" x14ac:dyDescent="0.35">
      <c r="A42" s="18">
        <v>30803</v>
      </c>
      <c r="B42" s="10">
        <v>-5.1899999999999995E-2</v>
      </c>
      <c r="C42" s="10">
        <v>3.9578000000000002E-2</v>
      </c>
      <c r="D42" s="14">
        <f t="shared" si="0"/>
        <v>-5.5385879629629618E-2</v>
      </c>
      <c r="E42" s="14">
        <f t="shared" si="0"/>
        <v>3.6092120370370379E-2</v>
      </c>
      <c r="F42" s="14">
        <f>[1]Regression!$B$17+[1]Regression!$B$18*Returns!D42</f>
        <v>-2.3005352508937836E-2</v>
      </c>
      <c r="G42" s="14">
        <f t="shared" si="1"/>
        <v>5.9097472879308215E-2</v>
      </c>
    </row>
    <row r="43" spans="1:7" x14ac:dyDescent="0.35">
      <c r="A43" s="18">
        <v>30834</v>
      </c>
      <c r="B43" s="10">
        <v>2.5700000000000004E-2</v>
      </c>
      <c r="C43" s="10">
        <v>6.3451999999999995E-2</v>
      </c>
      <c r="D43" s="14">
        <f t="shared" si="0"/>
        <v>2.2214120370370377E-2</v>
      </c>
      <c r="E43" s="14">
        <f t="shared" si="0"/>
        <v>5.9966120370370371E-2</v>
      </c>
      <c r="F43" s="14">
        <f>[1]Regression!$B$17+[1]Regression!$B$18*Returns!D43</f>
        <v>1.7355864318973502E-2</v>
      </c>
      <c r="G43" s="14">
        <f t="shared" si="1"/>
        <v>4.2610256051396872E-2</v>
      </c>
    </row>
    <row r="44" spans="1:7" x14ac:dyDescent="0.35">
      <c r="A44" s="18">
        <v>30864</v>
      </c>
      <c r="B44" s="10">
        <v>-1.9200000000000005E-2</v>
      </c>
      <c r="C44" s="10">
        <v>1.7184000000000001E-2</v>
      </c>
      <c r="D44" s="14">
        <f t="shared" si="0"/>
        <v>-2.2685879629629632E-2</v>
      </c>
      <c r="E44" s="14">
        <f t="shared" si="0"/>
        <v>1.3698120370370374E-2</v>
      </c>
      <c r="F44" s="14">
        <f>[1]Regression!$B$17+[1]Regression!$B$18*Returns!D44</f>
        <v>-5.9974686136710781E-3</v>
      </c>
      <c r="G44" s="14">
        <f t="shared" si="1"/>
        <v>1.9695588984041452E-2</v>
      </c>
    </row>
    <row r="45" spans="1:7" x14ac:dyDescent="0.35">
      <c r="A45" s="18">
        <v>30895</v>
      </c>
      <c r="B45" s="10">
        <v>0.11109999999999999</v>
      </c>
      <c r="C45" s="10">
        <v>6.4132999999999996E-2</v>
      </c>
      <c r="D45" s="14">
        <f t="shared" si="0"/>
        <v>0.10761412037037037</v>
      </c>
      <c r="E45" s="14">
        <f t="shared" si="0"/>
        <v>6.0647120370370372E-2</v>
      </c>
      <c r="F45" s="14">
        <f>[1]Regression!$B$17+[1]Regression!$B$18*Returns!D45</f>
        <v>6.1774007580618191E-2</v>
      </c>
      <c r="G45" s="14">
        <f t="shared" si="1"/>
        <v>-1.1268872102478192E-3</v>
      </c>
    </row>
    <row r="46" spans="1:7" x14ac:dyDescent="0.35">
      <c r="A46" s="18">
        <v>30926</v>
      </c>
      <c r="B46" s="10">
        <v>5.9999999999999941E-4</v>
      </c>
      <c r="C46" s="10">
        <v>-2.232E-3</v>
      </c>
      <c r="D46" s="14">
        <f t="shared" si="0"/>
        <v>-2.8858796296296267E-3</v>
      </c>
      <c r="E46" s="14">
        <f t="shared" si="0"/>
        <v>-5.7178796296296266E-3</v>
      </c>
      <c r="F46" s="14">
        <f>[1]Regression!$B$17+[1]Regression!$B$18*Returns!D46</f>
        <v>4.3008831027289826E-3</v>
      </c>
      <c r="G46" s="14">
        <f t="shared" si="1"/>
        <v>-1.0018762732358608E-2</v>
      </c>
    </row>
    <row r="47" spans="1:7" x14ac:dyDescent="0.35">
      <c r="A47" s="18">
        <v>30956</v>
      </c>
      <c r="B47" s="10">
        <v>1.6000000000000003E-3</v>
      </c>
      <c r="C47" s="10">
        <v>4.9664E-2</v>
      </c>
      <c r="D47" s="14">
        <f t="shared" si="0"/>
        <v>-1.8858796296296258E-3</v>
      </c>
      <c r="E47" s="14">
        <f t="shared" si="0"/>
        <v>4.6178120370370376E-2</v>
      </c>
      <c r="F47" s="14">
        <f>[1]Regression!$B$17+[1]Regression!$B$18*Returns!D47</f>
        <v>4.8210018762845416E-3</v>
      </c>
      <c r="G47" s="14">
        <f t="shared" si="1"/>
        <v>4.1357118494085833E-2</v>
      </c>
    </row>
    <row r="48" spans="1:7" x14ac:dyDescent="0.35">
      <c r="A48" s="18">
        <v>30987</v>
      </c>
      <c r="B48" s="10">
        <v>-1.03E-2</v>
      </c>
      <c r="C48" s="10">
        <v>-4.3099999999999996E-3</v>
      </c>
      <c r="D48" s="14">
        <f t="shared" si="0"/>
        <v>-1.3785879629629627E-2</v>
      </c>
      <c r="E48" s="14">
        <f t="shared" si="0"/>
        <v>-7.7958796296296257E-3</v>
      </c>
      <c r="F48" s="14">
        <f>[1]Regression!$B$17+[1]Regression!$B$18*Returns!D48</f>
        <v>-1.3684115290266054E-3</v>
      </c>
      <c r="G48" s="14">
        <f t="shared" si="1"/>
        <v>-6.4274681006030203E-3</v>
      </c>
    </row>
    <row r="49" spans="1:7" x14ac:dyDescent="0.35">
      <c r="A49" s="18">
        <v>31017</v>
      </c>
      <c r="B49" s="10">
        <v>2.4799999999999999E-2</v>
      </c>
      <c r="C49" s="10">
        <v>-1.2987E-2</v>
      </c>
      <c r="D49" s="14">
        <f t="shared" si="0"/>
        <v>2.1314120370370372E-2</v>
      </c>
      <c r="E49" s="14">
        <f t="shared" si="0"/>
        <v>-1.6472879629629626E-2</v>
      </c>
      <c r="F49" s="14">
        <f>[1]Regression!$B$17+[1]Regression!$B$18*Returns!D49</f>
        <v>1.6887757422773497E-2</v>
      </c>
      <c r="G49" s="14">
        <f t="shared" si="1"/>
        <v>-3.3360637052403122E-2</v>
      </c>
    </row>
    <row r="50" spans="1:7" x14ac:dyDescent="0.35">
      <c r="A50" s="18">
        <v>31048</v>
      </c>
      <c r="B50" s="10">
        <v>8.6400000000000005E-2</v>
      </c>
      <c r="C50" s="10">
        <v>-1.7539999999999999E-3</v>
      </c>
      <c r="D50" s="14">
        <f t="shared" si="0"/>
        <v>8.2914120370370381E-2</v>
      </c>
      <c r="E50" s="14">
        <f t="shared" si="0"/>
        <v>-5.2398796296296256E-3</v>
      </c>
      <c r="F50" s="14">
        <f>[1]Regression!$B$17+[1]Regression!$B$18*Returns!D50</f>
        <v>4.8927073873795898E-2</v>
      </c>
      <c r="G50" s="14">
        <f t="shared" si="1"/>
        <v>-5.4166953503425527E-2</v>
      </c>
    </row>
    <row r="51" spans="1:7" x14ac:dyDescent="0.35">
      <c r="A51" s="18">
        <v>31079</v>
      </c>
      <c r="B51" s="10">
        <v>1.7999999999999999E-2</v>
      </c>
      <c r="C51" s="10">
        <v>1.1110999999999999E-2</v>
      </c>
      <c r="D51" s="14">
        <f t="shared" si="0"/>
        <v>1.4514120370370372E-2</v>
      </c>
      <c r="E51" s="14">
        <f t="shared" si="0"/>
        <v>7.6251203703703732E-3</v>
      </c>
      <c r="F51" s="14">
        <f>[1]Regression!$B$17+[1]Regression!$B$18*Returns!D51</f>
        <v>1.3350949762595699E-2</v>
      </c>
      <c r="G51" s="14">
        <f t="shared" si="1"/>
        <v>-5.725829392225326E-3</v>
      </c>
    </row>
    <row r="52" spans="1:7" x14ac:dyDescent="0.35">
      <c r="A52" s="18">
        <v>31107</v>
      </c>
      <c r="B52" s="10">
        <v>-2.1999999999999997E-3</v>
      </c>
      <c r="C52" s="10">
        <v>-2.4176E-2</v>
      </c>
      <c r="D52" s="14">
        <f t="shared" si="0"/>
        <v>-5.6858796296296258E-3</v>
      </c>
      <c r="E52" s="14">
        <f t="shared" si="0"/>
        <v>-2.7661879629629627E-2</v>
      </c>
      <c r="F52" s="14">
        <f>[1]Regression!$B$17+[1]Regression!$B$18*Returns!D52</f>
        <v>2.8445505367734191E-3</v>
      </c>
      <c r="G52" s="14">
        <f t="shared" si="1"/>
        <v>-3.0506430166403045E-2</v>
      </c>
    </row>
    <row r="53" spans="1:7" x14ac:dyDescent="0.35">
      <c r="A53" s="18">
        <v>31138</v>
      </c>
      <c r="B53" s="10">
        <v>-2.3999999999999998E-3</v>
      </c>
      <c r="C53" s="10">
        <v>-4.9098999999999997E-2</v>
      </c>
      <c r="D53" s="14">
        <f t="shared" si="0"/>
        <v>-5.8858796296296263E-3</v>
      </c>
      <c r="E53" s="14">
        <f t="shared" si="0"/>
        <v>-5.258487962962962E-2</v>
      </c>
      <c r="F53" s="14">
        <f>[1]Regression!$B$17+[1]Regression!$B$18*Returns!D53</f>
        <v>2.7405267820623069E-3</v>
      </c>
      <c r="G53" s="14">
        <f t="shared" si="1"/>
        <v>-5.5325406411691924E-2</v>
      </c>
    </row>
    <row r="54" spans="1:7" x14ac:dyDescent="0.35">
      <c r="A54" s="18">
        <v>31168</v>
      </c>
      <c r="B54" s="10">
        <v>5.7500000000000002E-2</v>
      </c>
      <c r="C54" s="10">
        <v>3.3572999999999999E-2</v>
      </c>
      <c r="D54" s="14">
        <f t="shared" si="0"/>
        <v>5.4014120370370379E-2</v>
      </c>
      <c r="E54" s="14">
        <f t="shared" si="0"/>
        <v>3.0087120370370372E-2</v>
      </c>
      <c r="F54" s="14">
        <f>[1]Regression!$B$17+[1]Regression!$B$18*Returns!D54</f>
        <v>3.3895641318040265E-2</v>
      </c>
      <c r="G54" s="14">
        <f t="shared" si="1"/>
        <v>-3.8085209476698932E-3</v>
      </c>
    </row>
    <row r="55" spans="1:7" x14ac:dyDescent="0.35">
      <c r="A55" s="18">
        <v>31199</v>
      </c>
      <c r="B55" s="10">
        <v>1.8200000000000001E-2</v>
      </c>
      <c r="C55" s="10">
        <v>4.4083999999999998E-2</v>
      </c>
      <c r="D55" s="14">
        <f t="shared" si="0"/>
        <v>1.4714120370370374E-2</v>
      </c>
      <c r="E55" s="14">
        <f t="shared" si="0"/>
        <v>4.0598120370370375E-2</v>
      </c>
      <c r="F55" s="14">
        <f>[1]Regression!$B$17+[1]Regression!$B$18*Returns!D55</f>
        <v>1.3454973517306811E-2</v>
      </c>
      <c r="G55" s="14">
        <f t="shared" si="1"/>
        <v>2.7143146853063564E-2</v>
      </c>
    </row>
    <row r="56" spans="1:7" x14ac:dyDescent="0.35">
      <c r="A56" s="18">
        <v>31229</v>
      </c>
      <c r="B56" s="10">
        <v>-1.1999999999999999E-3</v>
      </c>
      <c r="C56" s="10">
        <v>2.9333000000000001E-2</v>
      </c>
      <c r="D56" s="14">
        <f t="shared" si="0"/>
        <v>-4.6858796296296258E-3</v>
      </c>
      <c r="E56" s="14">
        <f t="shared" si="0"/>
        <v>2.5847120370370374E-2</v>
      </c>
      <c r="F56" s="14">
        <f>[1]Regression!$B$17+[1]Regression!$B$18*Returns!D56</f>
        <v>3.3646693103289776E-3</v>
      </c>
      <c r="G56" s="14">
        <f t="shared" si="1"/>
        <v>2.2482451060041396E-2</v>
      </c>
    </row>
    <row r="57" spans="1:7" x14ac:dyDescent="0.35">
      <c r="A57" s="18">
        <v>31260</v>
      </c>
      <c r="B57" s="10">
        <v>-4.6999999999999993E-3</v>
      </c>
      <c r="C57" s="10">
        <v>4.3670000000000002E-3</v>
      </c>
      <c r="D57" s="14">
        <f t="shared" si="0"/>
        <v>-8.1858796296296263E-3</v>
      </c>
      <c r="E57" s="14">
        <f t="shared" si="0"/>
        <v>8.8112037037037412E-4</v>
      </c>
      <c r="F57" s="14">
        <f>[1]Regression!$B$17+[1]Regression!$B$18*Returns!D57</f>
        <v>1.5442536028845225E-3</v>
      </c>
      <c r="G57" s="14">
        <f t="shared" si="1"/>
        <v>-6.6313323251414834E-4</v>
      </c>
    </row>
    <row r="58" spans="1:7" x14ac:dyDescent="0.35">
      <c r="A58" s="18">
        <v>31291</v>
      </c>
      <c r="B58" s="10">
        <v>-3.9399999999999998E-2</v>
      </c>
      <c r="C58" s="10">
        <v>-1.9564999999999999E-2</v>
      </c>
      <c r="D58" s="14">
        <f t="shared" si="0"/>
        <v>-4.2885879629629621E-2</v>
      </c>
      <c r="E58" s="14">
        <f t="shared" si="0"/>
        <v>-2.3050879629629626E-2</v>
      </c>
      <c r="F58" s="14">
        <f>[1]Regression!$B$17+[1]Regression!$B$18*Returns!D58</f>
        <v>-1.6503867839493355E-2</v>
      </c>
      <c r="G58" s="14">
        <f t="shared" si="1"/>
        <v>-6.5470117901362708E-3</v>
      </c>
    </row>
    <row r="59" spans="1:7" x14ac:dyDescent="0.35">
      <c r="A59" s="18">
        <v>31321</v>
      </c>
      <c r="B59" s="10">
        <v>4.6699999999999998E-2</v>
      </c>
      <c r="C59" s="10">
        <v>0.13569800000000001</v>
      </c>
      <c r="D59" s="14">
        <f t="shared" si="0"/>
        <v>4.3214120370370375E-2</v>
      </c>
      <c r="E59" s="14">
        <f t="shared" si="0"/>
        <v>0.13221212037037039</v>
      </c>
      <c r="F59" s="14">
        <f>[1]Regression!$B$17+[1]Regression!$B$18*Returns!D59</f>
        <v>2.8278358563640228E-2</v>
      </c>
      <c r="G59" s="14">
        <f t="shared" si="1"/>
        <v>0.10393376180673017</v>
      </c>
    </row>
    <row r="60" spans="1:7" x14ac:dyDescent="0.35">
      <c r="A60" s="18">
        <v>31352</v>
      </c>
      <c r="B60" s="10">
        <v>7.0900000000000005E-2</v>
      </c>
      <c r="C60" s="10">
        <v>5.9172000000000002E-2</v>
      </c>
      <c r="D60" s="14">
        <f t="shared" si="0"/>
        <v>6.7414120370370381E-2</v>
      </c>
      <c r="E60" s="14">
        <f t="shared" si="0"/>
        <v>5.5686120370370379E-2</v>
      </c>
      <c r="F60" s="14">
        <f>[1]Regression!$B$17+[1]Regression!$B$18*Returns!D60</f>
        <v>4.0865232883684745E-2</v>
      </c>
      <c r="G60" s="14">
        <f t="shared" si="1"/>
        <v>1.4820887486685634E-2</v>
      </c>
    </row>
    <row r="61" spans="1:7" x14ac:dyDescent="0.35">
      <c r="A61" s="18">
        <v>31382</v>
      </c>
      <c r="B61" s="10">
        <v>4.53E-2</v>
      </c>
      <c r="C61" s="10">
        <v>3.9106000000000002E-2</v>
      </c>
      <c r="D61" s="14">
        <f t="shared" si="0"/>
        <v>4.1814120370370376E-2</v>
      </c>
      <c r="E61" s="14">
        <f t="shared" si="0"/>
        <v>3.5620120370370378E-2</v>
      </c>
      <c r="F61" s="14">
        <f>[1]Regression!$B$17+[1]Regression!$B$18*Returns!D61</f>
        <v>2.7550192280662446E-2</v>
      </c>
      <c r="G61" s="14">
        <f t="shared" si="1"/>
        <v>8.0699280897079326E-3</v>
      </c>
    </row>
    <row r="62" spans="1:7" x14ac:dyDescent="0.35">
      <c r="A62" s="18">
        <v>31413</v>
      </c>
      <c r="B62" s="10">
        <v>1.21E-2</v>
      </c>
      <c r="C62" s="10">
        <v>-4.6237E-2</v>
      </c>
      <c r="D62" s="14">
        <f t="shared" si="0"/>
        <v>8.6141203703703727E-3</v>
      </c>
      <c r="E62" s="14">
        <f t="shared" si="0"/>
        <v>-4.9722879629629624E-2</v>
      </c>
      <c r="F62" s="14">
        <f>[1]Regression!$B$17+[1]Regression!$B$18*Returns!D62</f>
        <v>1.0282248998617904E-2</v>
      </c>
      <c r="G62" s="14">
        <f t="shared" si="1"/>
        <v>-6.0005128628247528E-2</v>
      </c>
    </row>
    <row r="63" spans="1:7" x14ac:dyDescent="0.35">
      <c r="A63" s="18">
        <v>31444</v>
      </c>
      <c r="B63" s="10">
        <v>7.6600000000000001E-2</v>
      </c>
      <c r="C63" s="10">
        <v>4.7438000000000001E-2</v>
      </c>
      <c r="D63" s="14">
        <f t="shared" si="0"/>
        <v>7.3114120370370378E-2</v>
      </c>
      <c r="E63" s="14">
        <f t="shared" si="0"/>
        <v>4.3952120370370378E-2</v>
      </c>
      <c r="F63" s="14">
        <f>[1]Regression!$B$17+[1]Regression!$B$18*Returns!D63</f>
        <v>4.3829909892951428E-2</v>
      </c>
      <c r="G63" s="14">
        <f t="shared" si="1"/>
        <v>1.2221047741894919E-4</v>
      </c>
    </row>
    <row r="64" spans="1:7" x14ac:dyDescent="0.35">
      <c r="A64" s="18">
        <v>31472</v>
      </c>
      <c r="B64" s="10">
        <v>5.4799999999999995E-2</v>
      </c>
      <c r="C64" s="10">
        <v>6.7029000000000005E-2</v>
      </c>
      <c r="D64" s="14">
        <f t="shared" si="0"/>
        <v>5.1314120370370371E-2</v>
      </c>
      <c r="E64" s="14">
        <f t="shared" si="0"/>
        <v>6.3543120370370382E-2</v>
      </c>
      <c r="F64" s="14">
        <f>[1]Regression!$B$17+[1]Regression!$B$18*Returns!D64</f>
        <v>3.2491320629440247E-2</v>
      </c>
      <c r="G64" s="14">
        <f t="shared" si="1"/>
        <v>3.1051799740930135E-2</v>
      </c>
    </row>
    <row r="65" spans="1:7" x14ac:dyDescent="0.35">
      <c r="A65" s="18">
        <v>31503</v>
      </c>
      <c r="B65" s="10">
        <v>-7.9000000000000008E-3</v>
      </c>
      <c r="C65" s="10">
        <v>7.4700000000000001E-3</v>
      </c>
      <c r="D65" s="14">
        <f t="shared" si="0"/>
        <v>-1.1385879629629628E-2</v>
      </c>
      <c r="E65" s="14">
        <f t="shared" si="0"/>
        <v>3.984120370370374E-3</v>
      </c>
      <c r="F65" s="14">
        <f>[1]Regression!$B$17+[1]Regression!$B$18*Returns!D65</f>
        <v>-1.2012647249326491E-4</v>
      </c>
      <c r="G65" s="14">
        <f t="shared" si="1"/>
        <v>4.1042468428636389E-3</v>
      </c>
    </row>
    <row r="66" spans="1:7" x14ac:dyDescent="0.35">
      <c r="A66" s="18">
        <v>31533</v>
      </c>
      <c r="B66" s="10">
        <v>5.1100000000000007E-2</v>
      </c>
      <c r="C66" s="10">
        <v>5.9524000000000001E-2</v>
      </c>
      <c r="D66" s="14">
        <f t="shared" ref="D66:E129" si="2">B66-$J$2</f>
        <v>4.7614120370370383E-2</v>
      </c>
      <c r="E66" s="14">
        <f t="shared" si="2"/>
        <v>5.6038120370370377E-2</v>
      </c>
      <c r="F66" s="14">
        <f>[1]Regression!$B$17+[1]Regression!$B$18*Returns!D66</f>
        <v>3.056688116728469E-2</v>
      </c>
      <c r="G66" s="14">
        <f t="shared" si="1"/>
        <v>2.5471239203085687E-2</v>
      </c>
    </row>
    <row r="67" spans="1:7" x14ac:dyDescent="0.35">
      <c r="A67" s="18">
        <v>31564</v>
      </c>
      <c r="B67" s="10">
        <v>1.55E-2</v>
      </c>
      <c r="C67" s="10">
        <v>2.8892000000000001E-2</v>
      </c>
      <c r="D67" s="14">
        <f t="shared" si="2"/>
        <v>1.2014120370370373E-2</v>
      </c>
      <c r="E67" s="14">
        <f t="shared" si="2"/>
        <v>2.5406120370370374E-2</v>
      </c>
      <c r="F67" s="14">
        <f>[1]Regression!$B$17+[1]Regression!$B$18*Returns!D67</f>
        <v>1.2050652828706803E-2</v>
      </c>
      <c r="G67" s="14">
        <f t="shared" ref="G67:G130" si="3">E67-F67</f>
        <v>1.3355467541663571E-2</v>
      </c>
    </row>
    <row r="68" spans="1:7" x14ac:dyDescent="0.35">
      <c r="A68" s="18">
        <v>31594</v>
      </c>
      <c r="B68" s="10">
        <v>-5.9299999999999999E-2</v>
      </c>
      <c r="C68" s="10">
        <v>-2.5897E-2</v>
      </c>
      <c r="D68" s="14">
        <f t="shared" si="2"/>
        <v>-6.2785879629629629E-2</v>
      </c>
      <c r="E68" s="14">
        <f t="shared" si="2"/>
        <v>-2.9382879629629627E-2</v>
      </c>
      <c r="F68" s="14">
        <f>[1]Regression!$B$17+[1]Regression!$B$18*Returns!D68</f>
        <v>-2.6854231433248971E-2</v>
      </c>
      <c r="G68" s="14">
        <f t="shared" si="3"/>
        <v>-2.5286481963806562E-3</v>
      </c>
    </row>
    <row r="69" spans="1:7" x14ac:dyDescent="0.35">
      <c r="A69" s="18">
        <v>31625</v>
      </c>
      <c r="B69" s="10">
        <v>6.5299999999999997E-2</v>
      </c>
      <c r="C69" s="10">
        <v>3.3925999999999998E-2</v>
      </c>
      <c r="D69" s="14">
        <f t="shared" si="2"/>
        <v>6.1814120370370373E-2</v>
      </c>
      <c r="E69" s="14">
        <f t="shared" si="2"/>
        <v>3.0440120370370371E-2</v>
      </c>
      <c r="F69" s="14">
        <f>[1]Regression!$B$17+[1]Regression!$B$18*Returns!D69</f>
        <v>3.7952567751773615E-2</v>
      </c>
      <c r="G69" s="14">
        <f t="shared" si="3"/>
        <v>-7.5124473814032443E-3</v>
      </c>
    </row>
    <row r="70" spans="1:7" x14ac:dyDescent="0.35">
      <c r="A70" s="18">
        <v>31656</v>
      </c>
      <c r="B70" s="10">
        <v>-8.1500000000000003E-2</v>
      </c>
      <c r="C70" s="10">
        <v>-0.15312500000000001</v>
      </c>
      <c r="D70" s="14">
        <f t="shared" si="2"/>
        <v>-8.4985879629629626E-2</v>
      </c>
      <c r="E70" s="14">
        <f t="shared" si="2"/>
        <v>-0.15661087962962963</v>
      </c>
      <c r="F70" s="14">
        <f>[1]Regression!$B$17+[1]Regression!$B$18*Returns!D70</f>
        <v>-3.8400868206182368E-2</v>
      </c>
      <c r="G70" s="14">
        <f t="shared" si="3"/>
        <v>-0.11821001142344727</v>
      </c>
    </row>
    <row r="71" spans="1:7" x14ac:dyDescent="0.35">
      <c r="A71" s="18">
        <v>31686</v>
      </c>
      <c r="B71" s="10">
        <v>5.1200000000000002E-2</v>
      </c>
      <c r="C71" s="10">
        <v>0.11697399999999999</v>
      </c>
      <c r="D71" s="14">
        <f t="shared" si="2"/>
        <v>4.7714120370370379E-2</v>
      </c>
      <c r="E71" s="14">
        <f t="shared" si="2"/>
        <v>0.11348812037037037</v>
      </c>
      <c r="F71" s="14">
        <f>[1]Regression!$B$17+[1]Regression!$B$18*Returns!D71</f>
        <v>3.0618893044640244E-2</v>
      </c>
      <c r="G71" s="14">
        <f t="shared" si="3"/>
        <v>8.2869227325730127E-2</v>
      </c>
    </row>
    <row r="72" spans="1:7" x14ac:dyDescent="0.35">
      <c r="A72" s="18">
        <v>31717</v>
      </c>
      <c r="B72" s="10">
        <v>1.5600000000000001E-2</v>
      </c>
      <c r="C72" s="10">
        <v>3.6666999999999998E-2</v>
      </c>
      <c r="D72" s="14">
        <f t="shared" si="2"/>
        <v>1.2114120370370376E-2</v>
      </c>
      <c r="E72" s="14">
        <f t="shared" si="2"/>
        <v>3.3181120370370375E-2</v>
      </c>
      <c r="F72" s="14">
        <f>[1]Regression!$B$17+[1]Regression!$B$18*Returns!D72</f>
        <v>1.210266470606236E-2</v>
      </c>
      <c r="G72" s="14">
        <f t="shared" si="3"/>
        <v>2.1078455664308014E-2</v>
      </c>
    </row>
    <row r="73" spans="1:7" x14ac:dyDescent="0.35">
      <c r="A73" s="18">
        <v>31747</v>
      </c>
      <c r="B73" s="10">
        <v>-2.7800000000000002E-2</v>
      </c>
      <c r="C73" s="10">
        <v>-1.7684999999999999E-2</v>
      </c>
      <c r="D73" s="14">
        <f t="shared" si="2"/>
        <v>-3.1285879629629629E-2</v>
      </c>
      <c r="E73" s="14">
        <f t="shared" si="2"/>
        <v>-2.1170879629629626E-2</v>
      </c>
      <c r="F73" s="14">
        <f>[1]Regression!$B$17+[1]Regression!$B$18*Returns!D73</f>
        <v>-1.0470490066248879E-2</v>
      </c>
      <c r="G73" s="14">
        <f t="shared" si="3"/>
        <v>-1.0700389563380748E-2</v>
      </c>
    </row>
    <row r="74" spans="1:7" x14ac:dyDescent="0.35">
      <c r="A74" s="18">
        <v>31778</v>
      </c>
      <c r="B74" s="10">
        <v>0.12890000000000001</v>
      </c>
      <c r="C74" s="10">
        <v>0.161047</v>
      </c>
      <c r="D74" s="14">
        <f t="shared" si="2"/>
        <v>0.12541412037037039</v>
      </c>
      <c r="E74" s="14">
        <f t="shared" si="2"/>
        <v>0.15756112037037037</v>
      </c>
      <c r="F74" s="14">
        <f>[1]Regression!$B$17+[1]Regression!$B$18*Returns!D74</f>
        <v>7.1032121749907154E-2</v>
      </c>
      <c r="G74" s="14">
        <f t="shared" si="3"/>
        <v>8.6528998620463218E-2</v>
      </c>
    </row>
    <row r="75" spans="1:7" x14ac:dyDescent="0.35">
      <c r="A75" s="18">
        <v>31809</v>
      </c>
      <c r="B75" s="10">
        <v>4.8199999999999993E-2</v>
      </c>
      <c r="C75" s="10">
        <v>-1.4205000000000001E-2</v>
      </c>
      <c r="D75" s="14">
        <f t="shared" si="2"/>
        <v>4.4714120370370369E-2</v>
      </c>
      <c r="E75" s="14">
        <f t="shared" si="2"/>
        <v>-1.7690879629629626E-2</v>
      </c>
      <c r="F75" s="14">
        <f>[1]Regression!$B$17+[1]Regression!$B$18*Returns!D75</f>
        <v>2.9058536723973565E-2</v>
      </c>
      <c r="G75" s="14">
        <f t="shared" si="3"/>
        <v>-4.674941635360319E-2</v>
      </c>
    </row>
    <row r="76" spans="1:7" x14ac:dyDescent="0.35">
      <c r="A76" s="18">
        <v>31837</v>
      </c>
      <c r="B76" s="10">
        <v>2.1099999999999997E-2</v>
      </c>
      <c r="C76" s="10">
        <v>6.0519000000000003E-2</v>
      </c>
      <c r="D76" s="14">
        <f t="shared" si="2"/>
        <v>1.761412037037037E-2</v>
      </c>
      <c r="E76" s="14">
        <f t="shared" si="2"/>
        <v>5.703312037037038E-2</v>
      </c>
      <c r="F76" s="14">
        <f>[1]Regression!$B$17+[1]Regression!$B$18*Returns!D76</f>
        <v>1.4963317960617929E-2</v>
      </c>
      <c r="G76" s="14">
        <f t="shared" si="3"/>
        <v>4.2069802409752451E-2</v>
      </c>
    </row>
    <row r="77" spans="1:7" x14ac:dyDescent="0.35">
      <c r="A77" s="18">
        <v>31868</v>
      </c>
      <c r="B77" s="10">
        <v>-1.67E-2</v>
      </c>
      <c r="C77" s="10">
        <v>-7.1467000000000003E-2</v>
      </c>
      <c r="D77" s="14">
        <f t="shared" si="2"/>
        <v>-2.0185879629629627E-2</v>
      </c>
      <c r="E77" s="14">
        <f t="shared" si="2"/>
        <v>-7.4952879629629626E-2</v>
      </c>
      <c r="F77" s="14">
        <f>[1]Regression!$B$17+[1]Regression!$B$18*Returns!D77</f>
        <v>-4.6971716797821784E-3</v>
      </c>
      <c r="G77" s="14">
        <f t="shared" si="3"/>
        <v>-7.0255707949847451E-2</v>
      </c>
    </row>
    <row r="78" spans="1:7" x14ac:dyDescent="0.35">
      <c r="A78" s="18">
        <v>31898</v>
      </c>
      <c r="B78" s="10">
        <v>4.8999999999999998E-3</v>
      </c>
      <c r="C78" s="10">
        <v>7.9645999999999995E-2</v>
      </c>
      <c r="D78" s="14">
        <f t="shared" si="2"/>
        <v>1.4141203703703737E-3</v>
      </c>
      <c r="E78" s="14">
        <f t="shared" si="2"/>
        <v>7.6160120370370371E-2</v>
      </c>
      <c r="F78" s="14">
        <f>[1]Regression!$B$17+[1]Regression!$B$18*Returns!D78</f>
        <v>6.5373938290178837E-3</v>
      </c>
      <c r="G78" s="14">
        <f t="shared" si="3"/>
        <v>6.9622726541352487E-2</v>
      </c>
    </row>
    <row r="79" spans="1:7" x14ac:dyDescent="0.35">
      <c r="A79" s="18">
        <v>31929</v>
      </c>
      <c r="B79" s="10">
        <v>4.4199999999999996E-2</v>
      </c>
      <c r="C79" s="10">
        <v>7.1038000000000004E-2</v>
      </c>
      <c r="D79" s="14">
        <f t="shared" si="2"/>
        <v>4.0714120370370373E-2</v>
      </c>
      <c r="E79" s="14">
        <f t="shared" si="2"/>
        <v>6.755212037037038E-2</v>
      </c>
      <c r="F79" s="14">
        <f>[1]Regression!$B$17+[1]Regression!$B$18*Returns!D79</f>
        <v>2.6978061629751332E-2</v>
      </c>
      <c r="G79" s="14">
        <f t="shared" si="3"/>
        <v>4.0574058740619048E-2</v>
      </c>
    </row>
    <row r="80" spans="1:7" x14ac:dyDescent="0.35">
      <c r="A80" s="18">
        <v>31959</v>
      </c>
      <c r="B80" s="10">
        <v>4.3100000000000006E-2</v>
      </c>
      <c r="C80" s="10">
        <v>-4.2856999999999999E-2</v>
      </c>
      <c r="D80" s="14">
        <f t="shared" si="2"/>
        <v>3.9614120370370383E-2</v>
      </c>
      <c r="E80" s="14">
        <f t="shared" si="2"/>
        <v>-4.6342879629629623E-2</v>
      </c>
      <c r="F80" s="14">
        <f>[1]Regression!$B$17+[1]Regression!$B$18*Returns!D80</f>
        <v>2.6405930978840225E-2</v>
      </c>
      <c r="G80" s="14">
        <f t="shared" si="3"/>
        <v>-7.2748810608469855E-2</v>
      </c>
    </row>
    <row r="81" spans="1:7" x14ac:dyDescent="0.35">
      <c r="A81" s="18">
        <v>31990</v>
      </c>
      <c r="B81" s="10">
        <v>3.9900000000000005E-2</v>
      </c>
      <c r="C81" s="10">
        <v>0.104698</v>
      </c>
      <c r="D81" s="14">
        <f t="shared" si="2"/>
        <v>3.6414120370370381E-2</v>
      </c>
      <c r="E81" s="14">
        <f t="shared" si="2"/>
        <v>0.10121212037037038</v>
      </c>
      <c r="F81" s="14">
        <f>[1]Regression!$B$17+[1]Regression!$B$18*Returns!D81</f>
        <v>2.4741550903462431E-2</v>
      </c>
      <c r="G81" s="14">
        <f t="shared" si="3"/>
        <v>7.6470569466907945E-2</v>
      </c>
    </row>
    <row r="82" spans="1:7" x14ac:dyDescent="0.35">
      <c r="A82" s="18">
        <v>32021</v>
      </c>
      <c r="B82" s="10">
        <v>-2.1399999999999995E-2</v>
      </c>
      <c r="C82" s="10">
        <v>-1.8225999999999999E-2</v>
      </c>
      <c r="D82" s="14">
        <f t="shared" si="2"/>
        <v>-2.4885879629629622E-2</v>
      </c>
      <c r="E82" s="14">
        <f t="shared" si="2"/>
        <v>-2.1711879629629626E-2</v>
      </c>
      <c r="F82" s="14">
        <f>[1]Regression!$B$17+[1]Regression!$B$18*Returns!D82</f>
        <v>-7.1417299154933021E-3</v>
      </c>
      <c r="G82" s="14">
        <f t="shared" si="3"/>
        <v>-1.4570149714136324E-2</v>
      </c>
    </row>
    <row r="83" spans="1:7" x14ac:dyDescent="0.35">
      <c r="A83" s="18">
        <v>32051</v>
      </c>
      <c r="B83" s="10">
        <v>-0.22639999999999996</v>
      </c>
      <c r="C83" s="10">
        <v>-0.11955399999999999</v>
      </c>
      <c r="D83" s="14">
        <f t="shared" si="2"/>
        <v>-0.22988587962962959</v>
      </c>
      <c r="E83" s="14">
        <f t="shared" si="2"/>
        <v>-0.12303987962962962</v>
      </c>
      <c r="F83" s="14">
        <f>[1]Regression!$B$17+[1]Regression!$B$18*Returns!D83</f>
        <v>-0.11376607849438276</v>
      </c>
      <c r="G83" s="14">
        <f t="shared" si="3"/>
        <v>-9.2738011352468536E-3</v>
      </c>
    </row>
    <row r="84" spans="1:7" x14ac:dyDescent="0.35">
      <c r="A84" s="18">
        <v>32082</v>
      </c>
      <c r="B84" s="10">
        <v>-7.4200000000000002E-2</v>
      </c>
      <c r="C84" s="10">
        <v>-7.7904000000000001E-2</v>
      </c>
      <c r="D84" s="14">
        <f t="shared" si="2"/>
        <v>-7.7685879629629626E-2</v>
      </c>
      <c r="E84" s="14">
        <f t="shared" si="2"/>
        <v>-8.1389879629629625E-2</v>
      </c>
      <c r="F84" s="14">
        <f>[1]Regression!$B$17+[1]Regression!$B$18*Returns!D84</f>
        <v>-3.4604001159226794E-2</v>
      </c>
      <c r="G84" s="14">
        <f t="shared" si="3"/>
        <v>-4.6785878470402831E-2</v>
      </c>
    </row>
    <row r="85" spans="1:7" x14ac:dyDescent="0.35">
      <c r="A85" s="18">
        <v>32112</v>
      </c>
      <c r="B85" s="10">
        <v>7.1999999999999995E-2</v>
      </c>
      <c r="C85" s="10">
        <v>4.9154999999999997E-2</v>
      </c>
      <c r="D85" s="14">
        <f t="shared" si="2"/>
        <v>6.8514120370370371E-2</v>
      </c>
      <c r="E85" s="14">
        <f t="shared" si="2"/>
        <v>4.5669120370370374E-2</v>
      </c>
      <c r="F85" s="14">
        <f>[1]Regression!$B$17+[1]Regression!$B$18*Returns!D85</f>
        <v>4.1437363534595852E-2</v>
      </c>
      <c r="G85" s="14">
        <f t="shared" si="3"/>
        <v>4.2317568357745222E-3</v>
      </c>
    </row>
    <row r="86" spans="1:7" x14ac:dyDescent="0.35">
      <c r="A86" s="18">
        <v>32143</v>
      </c>
      <c r="B86" s="10">
        <v>4.4999999999999998E-2</v>
      </c>
      <c r="C86" s="10">
        <v>2.343E-3</v>
      </c>
      <c r="D86" s="14">
        <f t="shared" si="2"/>
        <v>4.1514120370370375E-2</v>
      </c>
      <c r="E86" s="14">
        <f t="shared" si="2"/>
        <v>-1.1428796296296261E-3</v>
      </c>
      <c r="F86" s="14">
        <f>[1]Regression!$B$17+[1]Regression!$B$18*Returns!D86</f>
        <v>2.7394156648595777E-2</v>
      </c>
      <c r="G86" s="14">
        <f t="shared" si="3"/>
        <v>-2.8537036278225403E-2</v>
      </c>
    </row>
    <row r="87" spans="1:7" x14ac:dyDescent="0.35">
      <c r="A87" s="18">
        <v>32174</v>
      </c>
      <c r="B87" s="10">
        <v>5.21E-2</v>
      </c>
      <c r="C87" s="10">
        <v>-7.3639999999999999E-3</v>
      </c>
      <c r="D87" s="14">
        <f t="shared" si="2"/>
        <v>4.8614120370370377E-2</v>
      </c>
      <c r="E87" s="14">
        <f t="shared" si="2"/>
        <v>-1.0849879629629626E-2</v>
      </c>
      <c r="F87" s="14">
        <f>[1]Regression!$B$17+[1]Regression!$B$18*Returns!D87</f>
        <v>3.1086999940840243E-2</v>
      </c>
      <c r="G87" s="14">
        <f t="shared" si="3"/>
        <v>-4.1936879570469869E-2</v>
      </c>
    </row>
    <row r="88" spans="1:7" x14ac:dyDescent="0.35">
      <c r="A88" s="18">
        <v>32203</v>
      </c>
      <c r="B88" s="10">
        <v>-1.83E-2</v>
      </c>
      <c r="C88" s="10">
        <v>-7.5667999999999999E-2</v>
      </c>
      <c r="D88" s="14">
        <f t="shared" si="2"/>
        <v>-2.1785879629629627E-2</v>
      </c>
      <c r="E88" s="14">
        <f t="shared" si="2"/>
        <v>-7.9153879629629623E-2</v>
      </c>
      <c r="F88" s="14">
        <f>[1]Regression!$B$17+[1]Regression!$B$18*Returns!D88</f>
        <v>-5.5293617174710721E-3</v>
      </c>
      <c r="G88" s="14">
        <f t="shared" si="3"/>
        <v>-7.3624517912158544E-2</v>
      </c>
    </row>
    <row r="89" spans="1:7" x14ac:dyDescent="0.35">
      <c r="A89" s="18">
        <v>32234</v>
      </c>
      <c r="B89" s="10">
        <v>1.0200000000000001E-2</v>
      </c>
      <c r="C89" s="10">
        <v>-6.4199999999999999E-4</v>
      </c>
      <c r="D89" s="14">
        <f t="shared" si="2"/>
        <v>6.7141203703703746E-3</v>
      </c>
      <c r="E89" s="14">
        <f t="shared" si="2"/>
        <v>-4.1278796296296263E-3</v>
      </c>
      <c r="F89" s="14">
        <f>[1]Regression!$B$17+[1]Regression!$B$18*Returns!D89</f>
        <v>9.2940233288623438E-3</v>
      </c>
      <c r="G89" s="14">
        <f t="shared" si="3"/>
        <v>-1.3421902958491969E-2</v>
      </c>
    </row>
    <row r="90" spans="1:7" x14ac:dyDescent="0.35">
      <c r="A90" s="18">
        <v>32264</v>
      </c>
      <c r="B90" s="10">
        <v>2.2000000000000001E-3</v>
      </c>
      <c r="C90" s="10">
        <v>-9.724E-3</v>
      </c>
      <c r="D90" s="14">
        <f t="shared" si="2"/>
        <v>-1.285879629629626E-3</v>
      </c>
      <c r="E90" s="14">
        <f t="shared" si="2"/>
        <v>-1.3209879629629627E-2</v>
      </c>
      <c r="F90" s="14">
        <f>[1]Regression!$B$17+[1]Regression!$B$18*Returns!D90</f>
        <v>5.1330731404178763E-3</v>
      </c>
      <c r="G90" s="14">
        <f t="shared" si="3"/>
        <v>-1.8342952770047504E-2</v>
      </c>
    </row>
    <row r="91" spans="1:7" x14ac:dyDescent="0.35">
      <c r="A91" s="18">
        <v>32295</v>
      </c>
      <c r="B91" s="10">
        <v>5.28E-2</v>
      </c>
      <c r="C91" s="10">
        <v>1.473E-2</v>
      </c>
      <c r="D91" s="14">
        <f t="shared" si="2"/>
        <v>4.9314120370370376E-2</v>
      </c>
      <c r="E91" s="14">
        <f t="shared" si="2"/>
        <v>1.1244120370370373E-2</v>
      </c>
      <c r="F91" s="14">
        <f>[1]Regression!$B$17+[1]Regression!$B$18*Returns!D91</f>
        <v>3.1451083082329134E-2</v>
      </c>
      <c r="G91" s="14">
        <f t="shared" si="3"/>
        <v>-2.0206962711958761E-2</v>
      </c>
    </row>
    <row r="92" spans="1:7" x14ac:dyDescent="0.35">
      <c r="A92" s="18">
        <v>32325</v>
      </c>
      <c r="B92" s="10">
        <v>-7.4000000000000003E-3</v>
      </c>
      <c r="C92" s="10">
        <v>-2.1613E-2</v>
      </c>
      <c r="D92" s="14">
        <f t="shared" si="2"/>
        <v>-1.0885879629629627E-2</v>
      </c>
      <c r="E92" s="14">
        <f t="shared" si="2"/>
        <v>-2.5098879629629627E-2</v>
      </c>
      <c r="F92" s="14">
        <f>[1]Regression!$B$17+[1]Regression!$B$18*Returns!D92</f>
        <v>1.3993291428451415E-4</v>
      </c>
      <c r="G92" s="14">
        <f t="shared" si="3"/>
        <v>-2.5238812543914142E-2</v>
      </c>
    </row>
    <row r="93" spans="1:7" x14ac:dyDescent="0.35">
      <c r="A93" s="18">
        <v>32356</v>
      </c>
      <c r="B93" s="10">
        <v>-2.7200000000000002E-2</v>
      </c>
      <c r="C93" s="10">
        <v>-6.6559999999999996E-3</v>
      </c>
      <c r="D93" s="14">
        <f t="shared" si="2"/>
        <v>-3.0685879629629629E-2</v>
      </c>
      <c r="E93" s="14">
        <f t="shared" si="2"/>
        <v>-1.0141879629629626E-2</v>
      </c>
      <c r="F93" s="14">
        <f>[1]Regression!$B$17+[1]Regression!$B$18*Returns!D93</f>
        <v>-1.0158418802115545E-2</v>
      </c>
      <c r="G93" s="14">
        <f t="shared" si="3"/>
        <v>1.6539172485919088E-5</v>
      </c>
    </row>
    <row r="94" spans="1:7" x14ac:dyDescent="0.35">
      <c r="A94" s="18">
        <v>32387</v>
      </c>
      <c r="B94" s="10">
        <v>3.9199999999999999E-2</v>
      </c>
      <c r="C94" s="10">
        <v>7.2026999999999994E-2</v>
      </c>
      <c r="D94" s="14">
        <f t="shared" si="2"/>
        <v>3.5714120370370375E-2</v>
      </c>
      <c r="E94" s="14">
        <f t="shared" si="2"/>
        <v>6.854112037037037E-2</v>
      </c>
      <c r="F94" s="14">
        <f>[1]Regression!$B$17+[1]Regression!$B$18*Returns!D94</f>
        <v>2.437746776197354E-2</v>
      </c>
      <c r="G94" s="14">
        <f t="shared" si="3"/>
        <v>4.4163652608396831E-2</v>
      </c>
    </row>
    <row r="95" spans="1:7" x14ac:dyDescent="0.35">
      <c r="A95" s="18">
        <v>32417</v>
      </c>
      <c r="B95" s="10">
        <v>1.7599999999999998E-2</v>
      </c>
      <c r="C95" s="10">
        <v>4.1563000000000003E-2</v>
      </c>
      <c r="D95" s="14">
        <f t="shared" si="2"/>
        <v>1.4114120370370371E-2</v>
      </c>
      <c r="E95" s="14">
        <f t="shared" si="2"/>
        <v>3.8077120370370379E-2</v>
      </c>
      <c r="F95" s="14">
        <f>[1]Regression!$B$17+[1]Regression!$B$18*Returns!D95</f>
        <v>1.3142902253173475E-2</v>
      </c>
      <c r="G95" s="14">
        <f t="shared" si="3"/>
        <v>2.4934218117196906E-2</v>
      </c>
    </row>
    <row r="96" spans="1:7" x14ac:dyDescent="0.35">
      <c r="A96" s="18">
        <v>32448</v>
      </c>
      <c r="B96" s="10">
        <v>-1.7200000000000003E-2</v>
      </c>
      <c r="C96" s="10">
        <v>-9.077E-3</v>
      </c>
      <c r="D96" s="14">
        <f t="shared" si="2"/>
        <v>-2.068587962962963E-2</v>
      </c>
      <c r="E96" s="14">
        <f t="shared" si="2"/>
        <v>-1.2562879629629625E-2</v>
      </c>
      <c r="F96" s="14">
        <f>[1]Regression!$B$17+[1]Regression!$B$18*Returns!D96</f>
        <v>-4.9572310665599601E-3</v>
      </c>
      <c r="G96" s="14">
        <f t="shared" si="3"/>
        <v>-7.6056485630696651E-3</v>
      </c>
    </row>
    <row r="97" spans="1:7" x14ac:dyDescent="0.35">
      <c r="A97" s="18">
        <v>32478</v>
      </c>
      <c r="B97" s="10">
        <v>2.12E-2</v>
      </c>
      <c r="C97" s="10">
        <v>6.2594999999999998E-2</v>
      </c>
      <c r="D97" s="14">
        <f t="shared" si="2"/>
        <v>1.7714120370370373E-2</v>
      </c>
      <c r="E97" s="14">
        <f t="shared" si="2"/>
        <v>5.9109120370370374E-2</v>
      </c>
      <c r="F97" s="14">
        <f>[1]Regression!$B$17+[1]Regression!$B$18*Returns!D97</f>
        <v>1.5015329837973487E-2</v>
      </c>
      <c r="G97" s="14">
        <f t="shared" si="3"/>
        <v>4.4093790532396884E-2</v>
      </c>
    </row>
    <row r="98" spans="1:7" x14ac:dyDescent="0.35">
      <c r="A98" s="18">
        <v>32509</v>
      </c>
      <c r="B98" s="10">
        <v>6.649999999999999E-2</v>
      </c>
      <c r="C98" s="10">
        <v>6.8102999999999997E-2</v>
      </c>
      <c r="D98" s="14">
        <f t="shared" si="2"/>
        <v>6.3014120370370366E-2</v>
      </c>
      <c r="E98" s="14">
        <f t="shared" si="2"/>
        <v>6.4617120370370373E-2</v>
      </c>
      <c r="F98" s="14">
        <f>[1]Regression!$B$17+[1]Regression!$B$18*Returns!D98</f>
        <v>3.8576710280040283E-2</v>
      </c>
      <c r="G98" s="14">
        <f t="shared" si="3"/>
        <v>2.6040410090330091E-2</v>
      </c>
    </row>
    <row r="99" spans="1:7" x14ac:dyDescent="0.35">
      <c r="A99" s="18">
        <v>32540</v>
      </c>
      <c r="B99" s="10">
        <v>-1.6400000000000001E-2</v>
      </c>
      <c r="C99" s="10">
        <v>-3.7991999999999998E-2</v>
      </c>
      <c r="D99" s="14">
        <f t="shared" si="2"/>
        <v>-1.9885879629629628E-2</v>
      </c>
      <c r="E99" s="14">
        <f t="shared" si="2"/>
        <v>-4.1477879629629621E-2</v>
      </c>
      <c r="F99" s="14">
        <f>[1]Regression!$B$17+[1]Regression!$B$18*Returns!D99</f>
        <v>-4.5411360477155133E-3</v>
      </c>
      <c r="G99" s="14">
        <f t="shared" si="3"/>
        <v>-3.6936743581914108E-2</v>
      </c>
    </row>
    <row r="100" spans="1:7" x14ac:dyDescent="0.35">
      <c r="A100" s="18">
        <v>32568</v>
      </c>
      <c r="B100" s="10">
        <v>2.2400000000000003E-2</v>
      </c>
      <c r="C100" s="10">
        <v>4.3723999999999999E-2</v>
      </c>
      <c r="D100" s="14">
        <f t="shared" si="2"/>
        <v>1.8914120370370376E-2</v>
      </c>
      <c r="E100" s="14">
        <f t="shared" si="2"/>
        <v>4.0238120370370375E-2</v>
      </c>
      <c r="F100" s="14">
        <f>[1]Regression!$B$17+[1]Regression!$B$18*Returns!D100</f>
        <v>1.5639472366240158E-2</v>
      </c>
      <c r="G100" s="14">
        <f t="shared" si="3"/>
        <v>2.4598648004130218E-2</v>
      </c>
    </row>
    <row r="101" spans="1:7" x14ac:dyDescent="0.35">
      <c r="A101" s="18">
        <v>32599</v>
      </c>
      <c r="B101" s="10">
        <v>0.05</v>
      </c>
      <c r="C101" s="10">
        <v>4.2431999999999997E-2</v>
      </c>
      <c r="D101" s="14">
        <f t="shared" si="2"/>
        <v>4.6514120370370379E-2</v>
      </c>
      <c r="E101" s="14">
        <f t="shared" si="2"/>
        <v>3.8946120370370374E-2</v>
      </c>
      <c r="F101" s="14">
        <f>[1]Regression!$B$17+[1]Regression!$B$18*Returns!D101</f>
        <v>2.9994750516373576E-2</v>
      </c>
      <c r="G101" s="14">
        <f t="shared" si="3"/>
        <v>8.9513698539967976E-3</v>
      </c>
    </row>
    <row r="102" spans="1:7" x14ac:dyDescent="0.35">
      <c r="A102" s="18">
        <v>32629</v>
      </c>
      <c r="B102" s="10">
        <v>4.1400000000000006E-2</v>
      </c>
      <c r="C102" s="10">
        <v>7.4510000000000007E-2</v>
      </c>
      <c r="D102" s="14">
        <f t="shared" si="2"/>
        <v>3.7914120370370383E-2</v>
      </c>
      <c r="E102" s="14">
        <f t="shared" si="2"/>
        <v>7.1024120370370383E-2</v>
      </c>
      <c r="F102" s="14">
        <f>[1]Regression!$B$17+[1]Regression!$B$18*Returns!D102</f>
        <v>2.5521729063795774E-2</v>
      </c>
      <c r="G102" s="14">
        <f t="shared" si="3"/>
        <v>4.5502391306574609E-2</v>
      </c>
    </row>
    <row r="103" spans="1:7" x14ac:dyDescent="0.35">
      <c r="A103" s="18">
        <v>32660</v>
      </c>
      <c r="B103" s="10">
        <v>-6.4000000000000012E-3</v>
      </c>
      <c r="C103" s="10">
        <v>5.4745000000000002E-2</v>
      </c>
      <c r="D103" s="14">
        <f t="shared" si="2"/>
        <v>-9.8858796296296264E-3</v>
      </c>
      <c r="E103" s="14">
        <f t="shared" si="2"/>
        <v>5.1259120370370378E-2</v>
      </c>
      <c r="F103" s="14">
        <f>[1]Regression!$B$17+[1]Regression!$B$18*Returns!D103</f>
        <v>6.6005168784007313E-4</v>
      </c>
      <c r="G103" s="14">
        <f t="shared" si="3"/>
        <v>5.0599068682530307E-2</v>
      </c>
    </row>
    <row r="104" spans="1:7" x14ac:dyDescent="0.35">
      <c r="A104" s="18">
        <v>32690</v>
      </c>
      <c r="B104" s="10">
        <v>7.9000000000000001E-2</v>
      </c>
      <c r="C104" s="10">
        <v>0.10888100000000001</v>
      </c>
      <c r="D104" s="14">
        <f t="shared" si="2"/>
        <v>7.5514120370370377E-2</v>
      </c>
      <c r="E104" s="14">
        <f t="shared" si="2"/>
        <v>0.10539512037037038</v>
      </c>
      <c r="F104" s="14">
        <f>[1]Regression!$B$17+[1]Regression!$B$18*Returns!D104</f>
        <v>4.5078194949484764E-2</v>
      </c>
      <c r="G104" s="14">
        <f t="shared" si="3"/>
        <v>6.0316925420885618E-2</v>
      </c>
    </row>
    <row r="105" spans="1:7" x14ac:dyDescent="0.35">
      <c r="A105" s="18">
        <v>32721</v>
      </c>
      <c r="B105" s="10">
        <v>2.1799999999999996E-2</v>
      </c>
      <c r="C105" s="10">
        <v>7.6439999999999994E-2</v>
      </c>
      <c r="D105" s="14">
        <f t="shared" si="2"/>
        <v>1.8314120370370369E-2</v>
      </c>
      <c r="E105" s="14">
        <f t="shared" si="2"/>
        <v>7.2954120370370371E-2</v>
      </c>
      <c r="F105" s="14">
        <f>[1]Regression!$B$17+[1]Regression!$B$18*Returns!D105</f>
        <v>1.532740110210682E-2</v>
      </c>
      <c r="G105" s="14">
        <f t="shared" si="3"/>
        <v>5.762671926826355E-2</v>
      </c>
    </row>
    <row r="106" spans="1:7" x14ac:dyDescent="0.35">
      <c r="A106" s="18">
        <v>32752</v>
      </c>
      <c r="B106" s="10">
        <v>-1.0999999999999998E-3</v>
      </c>
      <c r="C106" s="10">
        <v>-6.6147999999999998E-2</v>
      </c>
      <c r="D106" s="14">
        <f t="shared" si="2"/>
        <v>-4.5858796296296255E-3</v>
      </c>
      <c r="E106" s="14">
        <f t="shared" si="2"/>
        <v>-6.9633879629629622E-2</v>
      </c>
      <c r="F106" s="14">
        <f>[1]Regression!$B$17+[1]Regression!$B$18*Returns!D106</f>
        <v>3.4166811876845337E-3</v>
      </c>
      <c r="G106" s="14">
        <f t="shared" si="3"/>
        <v>-7.3050560817314161E-2</v>
      </c>
    </row>
    <row r="107" spans="1:7" x14ac:dyDescent="0.35">
      <c r="A107" s="18">
        <v>32782</v>
      </c>
      <c r="B107" s="10">
        <v>-2.9899999999999996E-2</v>
      </c>
      <c r="C107" s="10">
        <v>8.3542000000000005E-2</v>
      </c>
      <c r="D107" s="14">
        <f t="shared" si="2"/>
        <v>-3.338587962962962E-2</v>
      </c>
      <c r="E107" s="14">
        <f t="shared" si="2"/>
        <v>8.0056120370370382E-2</v>
      </c>
      <c r="F107" s="14">
        <f>[1]Regression!$B$17+[1]Regression!$B$18*Returns!D107</f>
        <v>-1.1562739490715549E-2</v>
      </c>
      <c r="G107" s="14">
        <f t="shared" si="3"/>
        <v>9.1618859861085936E-2</v>
      </c>
    </row>
    <row r="108" spans="1:7" x14ac:dyDescent="0.35">
      <c r="A108" s="18">
        <v>32813</v>
      </c>
      <c r="B108" s="10">
        <v>1.72E-2</v>
      </c>
      <c r="C108" s="10">
        <v>2.9039999999999999E-3</v>
      </c>
      <c r="D108" s="14">
        <f t="shared" si="2"/>
        <v>1.3714120370370373E-2</v>
      </c>
      <c r="E108" s="14">
        <f t="shared" si="2"/>
        <v>-5.818796296296262E-4</v>
      </c>
      <c r="F108" s="14">
        <f>[1]Regression!$B$17+[1]Regression!$B$18*Returns!D108</f>
        <v>1.2934854743751252E-2</v>
      </c>
      <c r="G108" s="14">
        <f t="shared" si="3"/>
        <v>-1.3516734373380879E-2</v>
      </c>
    </row>
    <row r="109" spans="1:7" x14ac:dyDescent="0.35">
      <c r="A109" s="18">
        <v>32843</v>
      </c>
      <c r="B109" s="10">
        <v>1.77E-2</v>
      </c>
      <c r="C109" s="10">
        <v>8.4942000000000004E-2</v>
      </c>
      <c r="D109" s="14">
        <f t="shared" si="2"/>
        <v>1.4214120370370373E-2</v>
      </c>
      <c r="E109" s="14">
        <f t="shared" si="2"/>
        <v>8.145612037037038E-2</v>
      </c>
      <c r="F109" s="14">
        <f>[1]Regression!$B$17+[1]Regression!$B$18*Returns!D109</f>
        <v>1.3194914130529032E-2</v>
      </c>
      <c r="G109" s="14">
        <f t="shared" si="3"/>
        <v>6.8261206239841346E-2</v>
      </c>
    </row>
    <row r="110" spans="1:7" x14ac:dyDescent="0.35">
      <c r="A110" s="18">
        <v>32874</v>
      </c>
      <c r="B110" s="10">
        <v>-7.279999999999999E-2</v>
      </c>
      <c r="C110" s="10">
        <v>-8.2561999999999997E-2</v>
      </c>
      <c r="D110" s="14">
        <f t="shared" si="2"/>
        <v>-7.6285879629629613E-2</v>
      </c>
      <c r="E110" s="14">
        <f t="shared" si="2"/>
        <v>-8.604787962962962E-2</v>
      </c>
      <c r="F110" s="14">
        <f>[1]Regression!$B$17+[1]Regression!$B$18*Returns!D110</f>
        <v>-3.3875834876249004E-2</v>
      </c>
      <c r="G110" s="14">
        <f t="shared" si="3"/>
        <v>-5.2172044753380616E-2</v>
      </c>
    </row>
    <row r="111" spans="1:7" x14ac:dyDescent="0.35">
      <c r="A111" s="18">
        <v>32905</v>
      </c>
      <c r="B111" s="10">
        <v>1.6800000000000002E-2</v>
      </c>
      <c r="C111" s="10">
        <v>-1.9530000000000001E-3</v>
      </c>
      <c r="D111" s="14">
        <f t="shared" si="2"/>
        <v>1.3314120370370375E-2</v>
      </c>
      <c r="E111" s="14">
        <f t="shared" si="2"/>
        <v>-5.438879629629626E-3</v>
      </c>
      <c r="F111" s="14">
        <f>[1]Regression!$B$17+[1]Regression!$B$18*Returns!D111</f>
        <v>1.2726807234329032E-2</v>
      </c>
      <c r="G111" s="14">
        <f t="shared" si="3"/>
        <v>-1.8165686863958658E-2</v>
      </c>
    </row>
    <row r="112" spans="1:7" x14ac:dyDescent="0.35">
      <c r="A112" s="18">
        <v>32933</v>
      </c>
      <c r="B112" s="10">
        <v>2.4700000000000003E-2</v>
      </c>
      <c r="C112" s="10">
        <v>6.0664999999999997E-2</v>
      </c>
      <c r="D112" s="14">
        <f t="shared" si="2"/>
        <v>2.1214120370370376E-2</v>
      </c>
      <c r="E112" s="14">
        <f t="shared" si="2"/>
        <v>5.7179120370370373E-2</v>
      </c>
      <c r="F112" s="14">
        <f>[1]Regression!$B$17+[1]Regression!$B$18*Returns!D112</f>
        <v>1.6835745545417943E-2</v>
      </c>
      <c r="G112" s="14">
        <f t="shared" si="3"/>
        <v>4.0343374824952427E-2</v>
      </c>
    </row>
    <row r="113" spans="1:7" x14ac:dyDescent="0.35">
      <c r="A113" s="18">
        <v>32964</v>
      </c>
      <c r="B113" s="10">
        <v>-2.6699999999999998E-2</v>
      </c>
      <c r="C113" s="10">
        <v>4.9077000000000003E-2</v>
      </c>
      <c r="D113" s="14">
        <f t="shared" si="2"/>
        <v>-3.0185879629629625E-2</v>
      </c>
      <c r="E113" s="14">
        <f t="shared" si="2"/>
        <v>4.5591120370370379E-2</v>
      </c>
      <c r="F113" s="14">
        <f>[1]Regression!$B$17+[1]Regression!$B$18*Returns!D113</f>
        <v>-9.8983594153377614E-3</v>
      </c>
      <c r="G113" s="14">
        <f t="shared" si="3"/>
        <v>5.5489479785708139E-2</v>
      </c>
    </row>
    <row r="114" spans="1:7" x14ac:dyDescent="0.35">
      <c r="A114" s="18">
        <v>32994</v>
      </c>
      <c r="B114" s="10">
        <v>9.0999999999999998E-2</v>
      </c>
      <c r="C114" s="10">
        <v>0.16991200000000001</v>
      </c>
      <c r="D114" s="14">
        <f t="shared" si="2"/>
        <v>8.7514120370370374E-2</v>
      </c>
      <c r="E114" s="14">
        <f t="shared" si="2"/>
        <v>0.16642612037037038</v>
      </c>
      <c r="F114" s="14">
        <f>[1]Regression!$B$17+[1]Regression!$B$18*Returns!D114</f>
        <v>5.1319620232151468E-2</v>
      </c>
      <c r="G114" s="14">
        <f t="shared" si="3"/>
        <v>0.11510650013821891</v>
      </c>
    </row>
    <row r="115" spans="1:7" x14ac:dyDescent="0.35">
      <c r="A115" s="18">
        <v>33025</v>
      </c>
      <c r="B115" s="10">
        <v>-4.6000000000000008E-3</v>
      </c>
      <c r="C115" s="10">
        <v>5.4462999999999998E-2</v>
      </c>
      <c r="D115" s="14">
        <f t="shared" si="2"/>
        <v>-8.0858796296296269E-3</v>
      </c>
      <c r="E115" s="14">
        <f t="shared" si="2"/>
        <v>5.0977120370370374E-2</v>
      </c>
      <c r="F115" s="14">
        <f>[1]Regression!$B$17+[1]Regression!$B$18*Returns!D115</f>
        <v>1.5962654802400781E-3</v>
      </c>
      <c r="G115" s="14">
        <f t="shared" si="3"/>
        <v>4.9380854890130298E-2</v>
      </c>
    </row>
    <row r="116" spans="1:7" x14ac:dyDescent="0.35">
      <c r="A116" s="18">
        <v>33055</v>
      </c>
      <c r="B116" s="10">
        <v>-1.2199999999999997E-2</v>
      </c>
      <c r="C116" s="10">
        <v>8.61E-4</v>
      </c>
      <c r="D116" s="14">
        <f t="shared" si="2"/>
        <v>-1.5685879629629623E-2</v>
      </c>
      <c r="E116" s="14">
        <f t="shared" si="2"/>
        <v>-2.6248796296296263E-3</v>
      </c>
      <c r="F116" s="14">
        <f>[1]Regression!$B$17+[1]Regression!$B$18*Returns!D116</f>
        <v>-2.3566371987821643E-3</v>
      </c>
      <c r="G116" s="14">
        <f t="shared" si="3"/>
        <v>-2.6824243084746201E-4</v>
      </c>
    </row>
    <row r="117" spans="1:7" x14ac:dyDescent="0.35">
      <c r="A117" s="18">
        <v>33086</v>
      </c>
      <c r="B117" s="10">
        <v>-9.4899999999999998E-2</v>
      </c>
      <c r="C117" s="10">
        <v>-0.11239200000000001</v>
      </c>
      <c r="D117" s="14">
        <f t="shared" si="2"/>
        <v>-9.8385879629629622E-2</v>
      </c>
      <c r="E117" s="14">
        <f t="shared" si="2"/>
        <v>-0.11587787962962963</v>
      </c>
      <c r="F117" s="14">
        <f>[1]Regression!$B$17+[1]Regression!$B$18*Returns!D117</f>
        <v>-4.5370459771826847E-2</v>
      </c>
      <c r="G117" s="14">
        <f t="shared" si="3"/>
        <v>-7.0507419857802789E-2</v>
      </c>
    </row>
    <row r="118" spans="1:7" x14ac:dyDescent="0.35">
      <c r="A118" s="18">
        <v>33117</v>
      </c>
      <c r="B118" s="10">
        <v>-5.5200000000000006E-2</v>
      </c>
      <c r="C118" s="10">
        <v>-5.3571000000000001E-2</v>
      </c>
      <c r="D118" s="14">
        <f t="shared" si="2"/>
        <v>-5.868587962962963E-2</v>
      </c>
      <c r="E118" s="14">
        <f t="shared" si="2"/>
        <v>-5.7056879629629624E-2</v>
      </c>
      <c r="F118" s="14">
        <f>[1]Regression!$B$17+[1]Regression!$B$18*Returns!D118</f>
        <v>-2.4721744461671184E-2</v>
      </c>
      <c r="G118" s="14">
        <f t="shared" si="3"/>
        <v>-3.233513516795844E-2</v>
      </c>
    </row>
    <row r="119" spans="1:7" x14ac:dyDescent="0.35">
      <c r="A119" s="18">
        <v>33147</v>
      </c>
      <c r="B119" s="10">
        <v>-1.2399999999999998E-2</v>
      </c>
      <c r="C119" s="10">
        <v>8.5763000000000006E-2</v>
      </c>
      <c r="D119" s="14">
        <f t="shared" si="2"/>
        <v>-1.5885879629629625E-2</v>
      </c>
      <c r="E119" s="14">
        <f t="shared" si="2"/>
        <v>8.2277120370370382E-2</v>
      </c>
      <c r="F119" s="14">
        <f>[1]Regression!$B$17+[1]Regression!$B$18*Returns!D119</f>
        <v>-2.4606609534932773E-3</v>
      </c>
      <c r="G119" s="14">
        <f t="shared" si="3"/>
        <v>8.4737781323863656E-2</v>
      </c>
    </row>
    <row r="120" spans="1:7" x14ac:dyDescent="0.35">
      <c r="A120" s="18">
        <v>33178</v>
      </c>
      <c r="B120" s="10">
        <v>6.9199999999999998E-2</v>
      </c>
      <c r="C120" s="10">
        <v>5.4053999999999998E-2</v>
      </c>
      <c r="D120" s="14">
        <f t="shared" si="2"/>
        <v>6.5714120370370374E-2</v>
      </c>
      <c r="E120" s="14">
        <f t="shared" si="2"/>
        <v>5.0568120370370374E-2</v>
      </c>
      <c r="F120" s="14">
        <f>[1]Regression!$B$17+[1]Regression!$B$18*Returns!D120</f>
        <v>3.9981030968640294E-2</v>
      </c>
      <c r="G120" s="14">
        <f t="shared" si="3"/>
        <v>1.0587089401730081E-2</v>
      </c>
    </row>
    <row r="121" spans="1:7" x14ac:dyDescent="0.35">
      <c r="A121" s="18">
        <v>33208</v>
      </c>
      <c r="B121" s="10">
        <v>3.0600000000000002E-2</v>
      </c>
      <c r="C121" s="10">
        <v>4.5248999999999998E-2</v>
      </c>
      <c r="D121" s="14">
        <f t="shared" si="2"/>
        <v>2.7114120370370375E-2</v>
      </c>
      <c r="E121" s="14">
        <f t="shared" si="2"/>
        <v>4.1763120370370374E-2</v>
      </c>
      <c r="F121" s="14">
        <f>[1]Regression!$B$17+[1]Regression!$B$18*Returns!D121</f>
        <v>1.9904446309395737E-2</v>
      </c>
      <c r="G121" s="14">
        <f t="shared" si="3"/>
        <v>2.1858674060974637E-2</v>
      </c>
    </row>
    <row r="122" spans="1:7" x14ac:dyDescent="0.35">
      <c r="A122" s="18">
        <v>33239</v>
      </c>
      <c r="B122" s="10">
        <v>5.2100000000000007E-2</v>
      </c>
      <c r="C122" s="10">
        <v>-7.9365000000000005E-2</v>
      </c>
      <c r="D122" s="14">
        <f t="shared" si="2"/>
        <v>4.8614120370370384E-2</v>
      </c>
      <c r="E122" s="14">
        <f t="shared" si="2"/>
        <v>-8.2850879629629628E-2</v>
      </c>
      <c r="F122" s="14">
        <f>[1]Regression!$B$17+[1]Regression!$B$18*Returns!D122</f>
        <v>3.108699994084025E-2</v>
      </c>
      <c r="G122" s="14">
        <f t="shared" si="3"/>
        <v>-0.11393787957046989</v>
      </c>
    </row>
    <row r="123" spans="1:7" x14ac:dyDescent="0.35">
      <c r="A123" s="18">
        <v>33270</v>
      </c>
      <c r="B123" s="10">
        <v>7.6700000000000004E-2</v>
      </c>
      <c r="C123" s="10">
        <v>2.5236999999999999E-2</v>
      </c>
      <c r="D123" s="14">
        <f t="shared" si="2"/>
        <v>7.3214120370370381E-2</v>
      </c>
      <c r="E123" s="14">
        <f t="shared" si="2"/>
        <v>2.1751120370370372E-2</v>
      </c>
      <c r="F123" s="14">
        <f>[1]Regression!$B$17+[1]Regression!$B$18*Returns!D123</f>
        <v>4.3881921770306982E-2</v>
      </c>
      <c r="G123" s="14">
        <f t="shared" si="3"/>
        <v>-2.213080139993661E-2</v>
      </c>
    </row>
    <row r="124" spans="1:7" x14ac:dyDescent="0.35">
      <c r="A124" s="18">
        <v>33298</v>
      </c>
      <c r="B124" s="10">
        <v>3.0899999999999997E-2</v>
      </c>
      <c r="C124" s="10">
        <v>4.7691999999999998E-2</v>
      </c>
      <c r="D124" s="14">
        <f t="shared" si="2"/>
        <v>2.741412037037037E-2</v>
      </c>
      <c r="E124" s="14">
        <f t="shared" si="2"/>
        <v>4.4206120370370375E-2</v>
      </c>
      <c r="F124" s="14">
        <f>[1]Regression!$B$17+[1]Regression!$B$18*Returns!D124</f>
        <v>2.0060481941462403E-2</v>
      </c>
      <c r="G124" s="14">
        <f t="shared" si="3"/>
        <v>2.4145638428907972E-2</v>
      </c>
    </row>
    <row r="125" spans="1:7" x14ac:dyDescent="0.35">
      <c r="A125" s="18">
        <v>33329</v>
      </c>
      <c r="B125" s="10">
        <v>2.5000000000000001E-3</v>
      </c>
      <c r="C125" s="10">
        <v>-8.8109999999999994E-3</v>
      </c>
      <c r="D125" s="14">
        <f t="shared" si="2"/>
        <v>-9.8587962962962605E-4</v>
      </c>
      <c r="E125" s="14">
        <f t="shared" si="2"/>
        <v>-1.2296879629629626E-2</v>
      </c>
      <c r="F125" s="14">
        <f>[1]Regression!$B$17+[1]Regression!$B$18*Returns!D125</f>
        <v>5.289108772484544E-3</v>
      </c>
      <c r="G125" s="14">
        <f t="shared" si="3"/>
        <v>-1.7585988402114172E-2</v>
      </c>
    </row>
    <row r="126" spans="1:7" x14ac:dyDescent="0.35">
      <c r="A126" s="18">
        <v>33359</v>
      </c>
      <c r="B126" s="10">
        <v>4.1200000000000001E-2</v>
      </c>
      <c r="C126" s="10">
        <v>1.4903E-2</v>
      </c>
      <c r="D126" s="14">
        <f t="shared" si="2"/>
        <v>3.7714120370370377E-2</v>
      </c>
      <c r="E126" s="14">
        <f t="shared" si="2"/>
        <v>1.1417120370370373E-2</v>
      </c>
      <c r="F126" s="14">
        <f>[1]Regression!$B$17+[1]Regression!$B$18*Returns!D126</f>
        <v>2.5417705309084659E-2</v>
      </c>
      <c r="G126" s="14">
        <f t="shared" si="3"/>
        <v>-1.4000584938714287E-2</v>
      </c>
    </row>
    <row r="127" spans="1:7" x14ac:dyDescent="0.35">
      <c r="A127" s="18">
        <v>33390</v>
      </c>
      <c r="B127" s="10">
        <v>-4.5200000000000004E-2</v>
      </c>
      <c r="C127" s="10">
        <v>-9.1042999999999999E-2</v>
      </c>
      <c r="D127" s="14">
        <f t="shared" si="2"/>
        <v>-4.8685879629629628E-2</v>
      </c>
      <c r="E127" s="14">
        <f t="shared" si="2"/>
        <v>-9.4528879629629622E-2</v>
      </c>
      <c r="F127" s="14">
        <f>[1]Regression!$B$17+[1]Regression!$B$18*Returns!D127</f>
        <v>-1.9520556726115593E-2</v>
      </c>
      <c r="G127" s="14">
        <f t="shared" si="3"/>
        <v>-7.500832290351403E-2</v>
      </c>
    </row>
    <row r="128" spans="1:7" x14ac:dyDescent="0.35">
      <c r="A128" s="18">
        <v>33420</v>
      </c>
      <c r="B128" s="10">
        <v>4.7300000000000002E-2</v>
      </c>
      <c r="C128" s="10">
        <v>5.0081000000000001E-2</v>
      </c>
      <c r="D128" s="14">
        <f t="shared" si="2"/>
        <v>4.3814120370370378E-2</v>
      </c>
      <c r="E128" s="14">
        <f t="shared" si="2"/>
        <v>4.6595120370370377E-2</v>
      </c>
      <c r="F128" s="14">
        <f>[1]Regression!$B$17+[1]Regression!$B$18*Returns!D128</f>
        <v>2.8590429827773566E-2</v>
      </c>
      <c r="G128" s="14">
        <f t="shared" si="3"/>
        <v>1.8004690542596812E-2</v>
      </c>
    </row>
    <row r="129" spans="1:7" x14ac:dyDescent="0.35">
      <c r="A129" s="18">
        <v>33451</v>
      </c>
      <c r="B129" s="10">
        <v>2.7799999999999998E-2</v>
      </c>
      <c r="C129" s="10">
        <v>3.4056000000000003E-2</v>
      </c>
      <c r="D129" s="14">
        <f t="shared" si="2"/>
        <v>2.4314120370370371E-2</v>
      </c>
      <c r="E129" s="14">
        <f t="shared" si="2"/>
        <v>3.0570120370370376E-2</v>
      </c>
      <c r="F129" s="14">
        <f>[1]Regression!$B$17+[1]Regression!$B$18*Returns!D129</f>
        <v>1.8448113743440173E-2</v>
      </c>
      <c r="G129" s="14">
        <f t="shared" si="3"/>
        <v>1.2122006626930203E-2</v>
      </c>
    </row>
    <row r="130" spans="1:7" x14ac:dyDescent="0.35">
      <c r="A130" s="18">
        <v>33482</v>
      </c>
      <c r="B130" s="10">
        <v>-1.1300000000000001E-2</v>
      </c>
      <c r="C130" s="10">
        <v>1.6466999999999999E-2</v>
      </c>
      <c r="D130" s="14">
        <f t="shared" ref="D130:E193" si="4">B130-$J$2</f>
        <v>-1.4785879629629628E-2</v>
      </c>
      <c r="E130" s="14">
        <f t="shared" si="4"/>
        <v>1.2981120370370372E-2</v>
      </c>
      <c r="F130" s="14">
        <f>[1]Regression!$B$17+[1]Regression!$B$18*Returns!D130</f>
        <v>-1.8885303025821644E-3</v>
      </c>
      <c r="G130" s="14">
        <f t="shared" si="3"/>
        <v>1.4869650672952536E-2</v>
      </c>
    </row>
    <row r="131" spans="1:7" x14ac:dyDescent="0.35">
      <c r="A131" s="18">
        <v>33512</v>
      </c>
      <c r="B131" s="10">
        <v>1.7100000000000001E-2</v>
      </c>
      <c r="C131" s="10">
        <v>-8.8369999999999994E-3</v>
      </c>
      <c r="D131" s="14">
        <f t="shared" si="4"/>
        <v>1.3614120370370374E-2</v>
      </c>
      <c r="E131" s="14">
        <f t="shared" si="4"/>
        <v>-1.2322879629629625E-2</v>
      </c>
      <c r="F131" s="14">
        <f>[1]Regression!$B$17+[1]Regression!$B$18*Returns!D131</f>
        <v>1.2882842866395697E-2</v>
      </c>
      <c r="G131" s="14">
        <f t="shared" ref="G131:G194" si="5">E131-F131</f>
        <v>-2.5205722496025321E-2</v>
      </c>
    </row>
    <row r="132" spans="1:7" x14ac:dyDescent="0.35">
      <c r="A132" s="18">
        <v>33543</v>
      </c>
      <c r="B132" s="10">
        <v>-3.8000000000000006E-2</v>
      </c>
      <c r="C132" s="10">
        <v>-3.1390000000000001E-2</v>
      </c>
      <c r="D132" s="14">
        <f t="shared" si="4"/>
        <v>-4.1485879629629629E-2</v>
      </c>
      <c r="E132" s="14">
        <f t="shared" si="4"/>
        <v>-3.4875879629629625E-2</v>
      </c>
      <c r="F132" s="14">
        <f>[1]Regression!$B$17+[1]Regression!$B$18*Returns!D132</f>
        <v>-1.5775701556515573E-2</v>
      </c>
      <c r="G132" s="14">
        <f t="shared" si="5"/>
        <v>-1.9100178073114052E-2</v>
      </c>
    </row>
    <row r="133" spans="1:7" x14ac:dyDescent="0.35">
      <c r="A133" s="18">
        <v>33573</v>
      </c>
      <c r="B133" s="10">
        <v>0.11220000000000001</v>
      </c>
      <c r="C133" s="10">
        <v>0.15895100000000001</v>
      </c>
      <c r="D133" s="14">
        <f t="shared" si="4"/>
        <v>0.10871412037037038</v>
      </c>
      <c r="E133" s="14">
        <f t="shared" si="4"/>
        <v>0.15546512037037039</v>
      </c>
      <c r="F133" s="14">
        <f>[1]Regression!$B$17+[1]Regression!$B$18*Returns!D133</f>
        <v>6.2346138231529312E-2</v>
      </c>
      <c r="G133" s="14">
        <f t="shared" si="5"/>
        <v>9.3118982138841067E-2</v>
      </c>
    </row>
    <row r="134" spans="1:7" x14ac:dyDescent="0.35">
      <c r="A134" s="18">
        <v>33604</v>
      </c>
      <c r="B134" s="10">
        <v>-2.4999999999999996E-3</v>
      </c>
      <c r="C134" s="10">
        <v>0.11051900000000001</v>
      </c>
      <c r="D134" s="14">
        <f t="shared" si="4"/>
        <v>-5.9858796296296257E-3</v>
      </c>
      <c r="E134" s="14">
        <f t="shared" si="4"/>
        <v>0.10703312037037038</v>
      </c>
      <c r="F134" s="14">
        <f>[1]Regression!$B$17+[1]Regression!$B$18*Returns!D134</f>
        <v>2.6885149047067517E-3</v>
      </c>
      <c r="G134" s="14">
        <f t="shared" si="5"/>
        <v>0.10434460546566363</v>
      </c>
    </row>
    <row r="135" spans="1:7" x14ac:dyDescent="0.35">
      <c r="A135" s="18">
        <v>33635</v>
      </c>
      <c r="B135" s="10">
        <v>1.37E-2</v>
      </c>
      <c r="C135" s="10">
        <v>-2.0482E-2</v>
      </c>
      <c r="D135" s="14">
        <f t="shared" si="4"/>
        <v>1.0214120370370373E-2</v>
      </c>
      <c r="E135" s="14">
        <f t="shared" si="4"/>
        <v>-2.3967879629629627E-2</v>
      </c>
      <c r="F135" s="14">
        <f>[1]Regression!$B$17+[1]Regression!$B$18*Returns!D135</f>
        <v>1.1114439036306798E-2</v>
      </c>
      <c r="G135" s="14">
        <f t="shared" si="5"/>
        <v>-3.5082318665936425E-2</v>
      </c>
    </row>
    <row r="136" spans="1:7" x14ac:dyDescent="0.35">
      <c r="A136" s="18">
        <v>33664</v>
      </c>
      <c r="B136" s="10">
        <v>-2.3200000000000002E-2</v>
      </c>
      <c r="C136" s="10">
        <v>6.1500000000000001E-3</v>
      </c>
      <c r="D136" s="14">
        <f t="shared" si="4"/>
        <v>-2.6685879629629629E-2</v>
      </c>
      <c r="E136" s="14">
        <f t="shared" si="4"/>
        <v>2.664120370370374E-3</v>
      </c>
      <c r="F136" s="14">
        <f>[1]Regression!$B$17+[1]Regression!$B$18*Returns!D136</f>
        <v>-8.0779437078933106E-3</v>
      </c>
      <c r="G136" s="14">
        <f t="shared" si="5"/>
        <v>1.0742064078263685E-2</v>
      </c>
    </row>
    <row r="137" spans="1:7" x14ac:dyDescent="0.35">
      <c r="A137" s="18">
        <v>33695</v>
      </c>
      <c r="B137" s="10">
        <v>1.3900000000000001E-2</v>
      </c>
      <c r="C137" s="10">
        <v>1.5159000000000001E-2</v>
      </c>
      <c r="D137" s="14">
        <f t="shared" si="4"/>
        <v>1.0414120370370376E-2</v>
      </c>
      <c r="E137" s="14">
        <f t="shared" si="4"/>
        <v>1.1673120370370375E-2</v>
      </c>
      <c r="F137" s="14">
        <f>[1]Regression!$B$17+[1]Regression!$B$18*Returns!D137</f>
        <v>1.1218462791017911E-2</v>
      </c>
      <c r="G137" s="14">
        <f t="shared" si="5"/>
        <v>4.5465757935246424E-4</v>
      </c>
    </row>
    <row r="138" spans="1:7" x14ac:dyDescent="0.35">
      <c r="A138" s="18">
        <v>33725</v>
      </c>
      <c r="B138" s="10">
        <v>5.8000000000000005E-3</v>
      </c>
      <c r="C138" s="10">
        <v>-4.8430000000000001E-3</v>
      </c>
      <c r="D138" s="14">
        <f t="shared" si="4"/>
        <v>2.3141203703703744E-3</v>
      </c>
      <c r="E138" s="14">
        <f t="shared" si="4"/>
        <v>-8.3288796296296271E-3</v>
      </c>
      <c r="F138" s="14">
        <f>[1]Regression!$B$17+[1]Regression!$B$18*Returns!D138</f>
        <v>7.0055007252178871E-3</v>
      </c>
      <c r="G138" s="14">
        <f t="shared" si="5"/>
        <v>-1.5334380354847514E-2</v>
      </c>
    </row>
    <row r="139" spans="1:7" x14ac:dyDescent="0.35">
      <c r="A139" s="18">
        <v>33756</v>
      </c>
      <c r="B139" s="10">
        <v>-2.0199999999999999E-2</v>
      </c>
      <c r="C139" s="10">
        <v>-0.10462299999999999</v>
      </c>
      <c r="D139" s="14">
        <f t="shared" si="4"/>
        <v>-2.3685879629629626E-2</v>
      </c>
      <c r="E139" s="14">
        <f t="shared" si="4"/>
        <v>-0.10810887962962962</v>
      </c>
      <c r="F139" s="14">
        <f>[1]Regression!$B$17+[1]Regression!$B$18*Returns!D139</f>
        <v>-6.5175873872266327E-3</v>
      </c>
      <c r="G139" s="14">
        <f t="shared" si="5"/>
        <v>-0.10159129224240299</v>
      </c>
    </row>
    <row r="140" spans="1:7" x14ac:dyDescent="0.35">
      <c r="A140" s="18">
        <v>33786</v>
      </c>
      <c r="B140" s="10">
        <v>4.0800000000000003E-2</v>
      </c>
      <c r="C140" s="10">
        <v>0.10652200000000001</v>
      </c>
      <c r="D140" s="14">
        <f t="shared" si="4"/>
        <v>3.7314120370370379E-2</v>
      </c>
      <c r="E140" s="14">
        <f t="shared" si="4"/>
        <v>0.10303612037037038</v>
      </c>
      <c r="F140" s="14">
        <f>[1]Regression!$B$17+[1]Regression!$B$18*Returns!D140</f>
        <v>2.5209657799662437E-2</v>
      </c>
      <c r="G140" s="14">
        <f t="shared" si="5"/>
        <v>7.7826462570707938E-2</v>
      </c>
    </row>
    <row r="141" spans="1:7" x14ac:dyDescent="0.35">
      <c r="A141" s="18">
        <v>33817</v>
      </c>
      <c r="B141" s="10">
        <v>-2.12E-2</v>
      </c>
      <c r="C141" s="10">
        <v>-7.4074000000000001E-2</v>
      </c>
      <c r="D141" s="14">
        <f t="shared" si="4"/>
        <v>-2.4685879629629627E-2</v>
      </c>
      <c r="E141" s="14">
        <f t="shared" si="4"/>
        <v>-7.7559879629629624E-2</v>
      </c>
      <c r="F141" s="14">
        <f>[1]Regression!$B$17+[1]Regression!$B$18*Returns!D141</f>
        <v>-7.0377061607821926E-3</v>
      </c>
      <c r="G141" s="14">
        <f t="shared" si="5"/>
        <v>-7.0522173468847427E-2</v>
      </c>
    </row>
    <row r="142" spans="1:7" x14ac:dyDescent="0.35">
      <c r="A142" s="18">
        <v>33848</v>
      </c>
      <c r="B142" s="10">
        <v>1.4499999999999999E-2</v>
      </c>
      <c r="C142" s="10">
        <v>5.3332999999999998E-2</v>
      </c>
      <c r="D142" s="14">
        <f t="shared" si="4"/>
        <v>1.1014120370370372E-2</v>
      </c>
      <c r="E142" s="14">
        <f t="shared" si="4"/>
        <v>4.9847120370370375E-2</v>
      </c>
      <c r="F142" s="14">
        <f>[1]Regression!$B$17+[1]Regression!$B$18*Returns!D142</f>
        <v>1.1530534055151243E-2</v>
      </c>
      <c r="G142" s="14">
        <f t="shared" si="5"/>
        <v>3.8316586315219128E-2</v>
      </c>
    </row>
    <row r="143" spans="1:7" x14ac:dyDescent="0.35">
      <c r="A143" s="18">
        <v>33878</v>
      </c>
      <c r="B143" s="10">
        <v>1.2500000000000001E-2</v>
      </c>
      <c r="C143" s="10">
        <v>7.6455999999999996E-2</v>
      </c>
      <c r="D143" s="14">
        <f t="shared" si="4"/>
        <v>9.0141203703703737E-3</v>
      </c>
      <c r="E143" s="14">
        <f t="shared" si="4"/>
        <v>7.2970120370370373E-2</v>
      </c>
      <c r="F143" s="14">
        <f>[1]Regression!$B$17+[1]Regression!$B$18*Returns!D143</f>
        <v>1.0490296508040129E-2</v>
      </c>
      <c r="G143" s="14">
        <f t="shared" si="5"/>
        <v>6.2479823862330246E-2</v>
      </c>
    </row>
    <row r="144" spans="1:7" x14ac:dyDescent="0.35">
      <c r="A144" s="18">
        <v>33909</v>
      </c>
      <c r="B144" s="10">
        <v>4.36E-2</v>
      </c>
      <c r="C144" s="10">
        <v>2.6005E-2</v>
      </c>
      <c r="D144" s="14">
        <f t="shared" si="4"/>
        <v>4.0114120370370376E-2</v>
      </c>
      <c r="E144" s="14">
        <f t="shared" si="4"/>
        <v>2.2519120370370373E-2</v>
      </c>
      <c r="F144" s="14">
        <f>[1]Regression!$B$17+[1]Regression!$B$18*Returns!D144</f>
        <v>2.6665990365617995E-2</v>
      </c>
      <c r="G144" s="14">
        <f t="shared" si="5"/>
        <v>-4.1468699952476214E-3</v>
      </c>
    </row>
    <row r="145" spans="1:7" x14ac:dyDescent="0.35">
      <c r="A145" s="18">
        <v>33939</v>
      </c>
      <c r="B145" s="10">
        <v>1.8100000000000002E-2</v>
      </c>
      <c r="C145" s="10">
        <v>-1.1521E-2</v>
      </c>
      <c r="D145" s="14">
        <f t="shared" si="4"/>
        <v>1.4614120370370375E-2</v>
      </c>
      <c r="E145" s="14">
        <f t="shared" si="4"/>
        <v>-1.5006879629629627E-2</v>
      </c>
      <c r="F145" s="14">
        <f>[1]Regression!$B$17+[1]Regression!$B$18*Returns!D145</f>
        <v>1.3402961639951257E-2</v>
      </c>
      <c r="G145" s="14">
        <f t="shared" si="5"/>
        <v>-2.8409841269580884E-2</v>
      </c>
    </row>
    <row r="146" spans="1:7" x14ac:dyDescent="0.35">
      <c r="A146" s="18">
        <v>33970</v>
      </c>
      <c r="B146" s="10">
        <v>1.1600000000000001E-2</v>
      </c>
      <c r="C146" s="10">
        <v>-6.7132999999999998E-2</v>
      </c>
      <c r="D146" s="14">
        <f t="shared" si="4"/>
        <v>8.1141203703703757E-3</v>
      </c>
      <c r="E146" s="14">
        <f t="shared" si="4"/>
        <v>-7.0618879629629622E-2</v>
      </c>
      <c r="F146" s="14">
        <f>[1]Regression!$B$17+[1]Regression!$B$18*Returns!D146</f>
        <v>1.0022189611840128E-2</v>
      </c>
      <c r="G146" s="14">
        <f t="shared" si="5"/>
        <v>-8.0641069241469743E-2</v>
      </c>
    </row>
    <row r="147" spans="1:7" x14ac:dyDescent="0.35">
      <c r="A147" s="18">
        <v>34001</v>
      </c>
      <c r="B147" s="10">
        <v>3.3999999999999998E-3</v>
      </c>
      <c r="C147" s="10">
        <v>4.5226000000000002E-2</v>
      </c>
      <c r="D147" s="14">
        <f t="shared" si="4"/>
        <v>-8.5879629629626291E-5</v>
      </c>
      <c r="E147" s="14">
        <f t="shared" si="4"/>
        <v>4.1740120370370379E-2</v>
      </c>
      <c r="F147" s="14">
        <f>[1]Regression!$B$17+[1]Regression!$B$18*Returns!D147</f>
        <v>5.7572156686845465E-3</v>
      </c>
      <c r="G147" s="14">
        <f t="shared" si="5"/>
        <v>3.5982904701685831E-2</v>
      </c>
    </row>
    <row r="148" spans="1:7" x14ac:dyDescent="0.35">
      <c r="A148" s="18">
        <v>34029</v>
      </c>
      <c r="B148" s="10">
        <v>2.5499999999999998E-2</v>
      </c>
      <c r="C148" s="10">
        <v>-4.0864999999999999E-2</v>
      </c>
      <c r="D148" s="14">
        <f t="shared" si="4"/>
        <v>2.2014120370370371E-2</v>
      </c>
      <c r="E148" s="14">
        <f t="shared" si="4"/>
        <v>-4.4350879629629622E-2</v>
      </c>
      <c r="F148" s="14">
        <f>[1]Regression!$B$17+[1]Regression!$B$18*Returns!D148</f>
        <v>1.7251840564262388E-2</v>
      </c>
      <c r="G148" s="14">
        <f t="shared" si="5"/>
        <v>-6.1602720193892013E-2</v>
      </c>
    </row>
    <row r="149" spans="1:7" x14ac:dyDescent="0.35">
      <c r="A149" s="18">
        <v>34060</v>
      </c>
      <c r="B149" s="10">
        <v>-2.8099999999999997E-2</v>
      </c>
      <c r="C149" s="10">
        <v>-9.5239999999999995E-3</v>
      </c>
      <c r="D149" s="14">
        <f t="shared" si="4"/>
        <v>-3.1585879629629623E-2</v>
      </c>
      <c r="E149" s="14">
        <f t="shared" si="4"/>
        <v>-1.3009879629629625E-2</v>
      </c>
      <c r="F149" s="14">
        <f>[1]Regression!$B$17+[1]Regression!$B$18*Returns!D149</f>
        <v>-1.0626525698315544E-2</v>
      </c>
      <c r="G149" s="14">
        <f t="shared" si="5"/>
        <v>-2.3833539313140809E-3</v>
      </c>
    </row>
    <row r="150" spans="1:7" x14ac:dyDescent="0.35">
      <c r="A150" s="18">
        <v>34090</v>
      </c>
      <c r="B150" s="10">
        <v>3.1100000000000003E-2</v>
      </c>
      <c r="C150" s="10">
        <v>0</v>
      </c>
      <c r="D150" s="14">
        <f t="shared" si="4"/>
        <v>2.7614120370370376E-2</v>
      </c>
      <c r="E150" s="14">
        <f t="shared" si="4"/>
        <v>-3.4858796296296261E-3</v>
      </c>
      <c r="F150" s="14">
        <f>[1]Regression!$B$17+[1]Regression!$B$18*Returns!D150</f>
        <v>2.0164505696173517E-2</v>
      </c>
      <c r="G150" s="14">
        <f t="shared" si="5"/>
        <v>-2.3650385325803144E-2</v>
      </c>
    </row>
    <row r="151" spans="1:7" x14ac:dyDescent="0.35">
      <c r="A151" s="18">
        <v>34121</v>
      </c>
      <c r="B151" s="10">
        <v>5.6000000000000008E-3</v>
      </c>
      <c r="C151" s="10">
        <v>5.8524E-2</v>
      </c>
      <c r="D151" s="14">
        <f t="shared" si="4"/>
        <v>2.1141203703703747E-3</v>
      </c>
      <c r="E151" s="14">
        <f t="shared" si="4"/>
        <v>5.5038120370370376E-2</v>
      </c>
      <c r="F151" s="14">
        <f>[1]Regression!$B$17+[1]Regression!$B$18*Returns!D151</f>
        <v>6.9014769705067758E-3</v>
      </c>
      <c r="G151" s="14">
        <f t="shared" si="5"/>
        <v>4.81366433998636E-2</v>
      </c>
    </row>
    <row r="152" spans="1:7" x14ac:dyDescent="0.35">
      <c r="A152" s="18">
        <v>34151</v>
      </c>
      <c r="B152" s="10">
        <v>-1.0000000000000002E-3</v>
      </c>
      <c r="C152" s="10">
        <v>-5.6537999999999998E-2</v>
      </c>
      <c r="D152" s="14">
        <f t="shared" si="4"/>
        <v>-4.4858796296296261E-3</v>
      </c>
      <c r="E152" s="14">
        <f t="shared" si="4"/>
        <v>-6.0023879629629621E-2</v>
      </c>
      <c r="F152" s="14">
        <f>[1]Regression!$B$17+[1]Regression!$B$18*Returns!D152</f>
        <v>3.4686930650400889E-3</v>
      </c>
      <c r="G152" s="14">
        <f t="shared" si="5"/>
        <v>-6.3492572694669708E-2</v>
      </c>
    </row>
    <row r="153" spans="1:7" x14ac:dyDescent="0.35">
      <c r="A153" s="18">
        <v>34182</v>
      </c>
      <c r="B153" s="10">
        <v>3.9599999999999996E-2</v>
      </c>
      <c r="C153" s="10">
        <v>-7.6920000000000001E-3</v>
      </c>
      <c r="D153" s="14">
        <f t="shared" si="4"/>
        <v>3.6114120370370373E-2</v>
      </c>
      <c r="E153" s="14">
        <f t="shared" si="4"/>
        <v>-1.1177879629629626E-2</v>
      </c>
      <c r="F153" s="14">
        <f>[1]Regression!$B$17+[1]Regression!$B$18*Returns!D153</f>
        <v>2.4585515271395762E-2</v>
      </c>
      <c r="G153" s="14">
        <f t="shared" si="5"/>
        <v>-3.576339490102539E-2</v>
      </c>
    </row>
    <row r="154" spans="1:7" x14ac:dyDescent="0.35">
      <c r="A154" s="18">
        <v>34213</v>
      </c>
      <c r="B154" s="10">
        <v>1.4000000000000002E-3</v>
      </c>
      <c r="C154" s="10">
        <v>-1.8088E-2</v>
      </c>
      <c r="D154" s="14">
        <f t="shared" si="4"/>
        <v>-2.0858796296296259E-3</v>
      </c>
      <c r="E154" s="14">
        <f t="shared" si="4"/>
        <v>-2.1573879629629627E-2</v>
      </c>
      <c r="F154" s="14">
        <f>[1]Regression!$B$17+[1]Regression!$B$18*Returns!D154</f>
        <v>4.7169781215734294E-3</v>
      </c>
      <c r="G154" s="14">
        <f t="shared" si="5"/>
        <v>-2.6290857751203055E-2</v>
      </c>
    </row>
    <row r="155" spans="1:7" x14ac:dyDescent="0.35">
      <c r="A155" s="18">
        <v>34243</v>
      </c>
      <c r="B155" s="10">
        <v>1.6299999999999999E-2</v>
      </c>
      <c r="C155" s="10">
        <v>0.14863199999999999</v>
      </c>
      <c r="D155" s="14">
        <f t="shared" si="4"/>
        <v>1.2814120370370372E-2</v>
      </c>
      <c r="E155" s="14">
        <f t="shared" si="4"/>
        <v>0.14514612037037036</v>
      </c>
      <c r="F155" s="14">
        <f>[1]Regression!$B$17+[1]Regression!$B$18*Returns!D155</f>
        <v>1.2466747847551248E-2</v>
      </c>
      <c r="G155" s="14">
        <f t="shared" si="5"/>
        <v>0.13267937252281911</v>
      </c>
    </row>
    <row r="156" spans="1:7" x14ac:dyDescent="0.35">
      <c r="A156" s="18">
        <v>34274</v>
      </c>
      <c r="B156" s="10">
        <v>-1.6399999999999998E-2</v>
      </c>
      <c r="C156" s="10">
        <v>4.6082999999999999E-2</v>
      </c>
      <c r="D156" s="14">
        <f t="shared" si="4"/>
        <v>-1.9885879629629625E-2</v>
      </c>
      <c r="E156" s="14">
        <f t="shared" si="4"/>
        <v>4.2597120370370375E-2</v>
      </c>
      <c r="F156" s="14">
        <f>[1]Regression!$B$17+[1]Regression!$B$18*Returns!D156</f>
        <v>-4.5411360477155115E-3</v>
      </c>
      <c r="G156" s="14">
        <f t="shared" si="5"/>
        <v>4.7138256418085889E-2</v>
      </c>
    </row>
    <row r="157" spans="1:7" x14ac:dyDescent="0.35">
      <c r="A157" s="18">
        <v>34304</v>
      </c>
      <c r="B157" s="10">
        <v>1.8799999999999997E-2</v>
      </c>
      <c r="C157" s="10">
        <v>4.4050000000000001E-3</v>
      </c>
      <c r="D157" s="14">
        <f t="shared" si="4"/>
        <v>1.531412037037037E-2</v>
      </c>
      <c r="E157" s="14">
        <f t="shared" si="4"/>
        <v>9.1912037037037396E-4</v>
      </c>
      <c r="F157" s="14">
        <f>[1]Regression!$B$17+[1]Regression!$B$18*Returns!D157</f>
        <v>1.3767044781440144E-2</v>
      </c>
      <c r="G157" s="14">
        <f t="shared" si="5"/>
        <v>-1.284792441106977E-2</v>
      </c>
    </row>
    <row r="158" spans="1:7" x14ac:dyDescent="0.35">
      <c r="A158" s="18">
        <v>34335</v>
      </c>
      <c r="B158" s="10">
        <v>3.1200000000000002E-2</v>
      </c>
      <c r="C158" s="10">
        <v>4.9298000000000002E-2</v>
      </c>
      <c r="D158" s="14">
        <f t="shared" si="4"/>
        <v>2.7714120370370375E-2</v>
      </c>
      <c r="E158" s="14">
        <f t="shared" si="4"/>
        <v>4.5812120370370378E-2</v>
      </c>
      <c r="F158" s="14">
        <f>[1]Regression!$B$17+[1]Regression!$B$18*Returns!D158</f>
        <v>2.0216517573529075E-2</v>
      </c>
      <c r="G158" s="14">
        <f t="shared" si="5"/>
        <v>2.5595602796841303E-2</v>
      </c>
    </row>
    <row r="159" spans="1:7" x14ac:dyDescent="0.35">
      <c r="A159" s="18">
        <v>34366</v>
      </c>
      <c r="B159" s="10">
        <v>-2.3399999999999997E-2</v>
      </c>
      <c r="C159" s="10">
        <v>-3.3612999999999997E-2</v>
      </c>
      <c r="D159" s="14">
        <f t="shared" si="4"/>
        <v>-2.6885879629629624E-2</v>
      </c>
      <c r="E159" s="14">
        <f t="shared" si="4"/>
        <v>-3.7098879629629621E-2</v>
      </c>
      <c r="F159" s="14">
        <f>[1]Regression!$B$17+[1]Regression!$B$18*Returns!D159</f>
        <v>-8.1819674626044201E-3</v>
      </c>
      <c r="G159" s="14">
        <f t="shared" si="5"/>
        <v>-2.8916912167025202E-2</v>
      </c>
    </row>
    <row r="160" spans="1:7" x14ac:dyDescent="0.35">
      <c r="A160" s="18">
        <v>34394</v>
      </c>
      <c r="B160" s="10">
        <v>-4.5100000000000001E-2</v>
      </c>
      <c r="C160" s="10">
        <v>-6.9565000000000002E-2</v>
      </c>
      <c r="D160" s="14">
        <f t="shared" si="4"/>
        <v>-4.8585879629629625E-2</v>
      </c>
      <c r="E160" s="14">
        <f t="shared" si="4"/>
        <v>-7.3050879629629625E-2</v>
      </c>
      <c r="F160" s="14">
        <f>[1]Regression!$B$17+[1]Regression!$B$18*Returns!D160</f>
        <v>-1.9468544848760039E-2</v>
      </c>
      <c r="G160" s="14">
        <f t="shared" si="5"/>
        <v>-5.3582334780869587E-2</v>
      </c>
    </row>
    <row r="161" spans="1:7" x14ac:dyDescent="0.35">
      <c r="A161" s="18">
        <v>34425</v>
      </c>
      <c r="B161" s="10">
        <v>9.5000000000000015E-3</v>
      </c>
      <c r="C161" s="10">
        <v>6.8878999999999996E-2</v>
      </c>
      <c r="D161" s="14">
        <f t="shared" si="4"/>
        <v>6.0141203703703754E-3</v>
      </c>
      <c r="E161" s="14">
        <f t="shared" si="4"/>
        <v>6.5393120370370372E-2</v>
      </c>
      <c r="F161" s="14">
        <f>[1]Regression!$B$17+[1]Regression!$B$18*Returns!D161</f>
        <v>8.9299401873734544E-3</v>
      </c>
      <c r="G161" s="14">
        <f t="shared" si="5"/>
        <v>5.6463180182996918E-2</v>
      </c>
    </row>
    <row r="162" spans="1:7" x14ac:dyDescent="0.35">
      <c r="A162" s="18">
        <v>34455</v>
      </c>
      <c r="B162" s="10">
        <v>8.8999999999999982E-3</v>
      </c>
      <c r="C162" s="10">
        <v>-8.7910000000000002E-3</v>
      </c>
      <c r="D162" s="14">
        <f t="shared" si="4"/>
        <v>5.4141203703703721E-3</v>
      </c>
      <c r="E162" s="14">
        <f t="shared" si="4"/>
        <v>-1.2276879629629627E-2</v>
      </c>
      <c r="F162" s="14">
        <f>[1]Regression!$B$17+[1]Regression!$B$18*Returns!D162</f>
        <v>8.6178689232401171E-3</v>
      </c>
      <c r="G162" s="14">
        <f t="shared" si="5"/>
        <v>-2.0894748552869744E-2</v>
      </c>
    </row>
    <row r="163" spans="1:7" x14ac:dyDescent="0.35">
      <c r="A163" s="18">
        <v>34486</v>
      </c>
      <c r="B163" s="10">
        <v>-2.7199999999999998E-2</v>
      </c>
      <c r="C163" s="10">
        <v>-5.3214999999999998E-2</v>
      </c>
      <c r="D163" s="14">
        <f t="shared" si="4"/>
        <v>-3.0685879629629625E-2</v>
      </c>
      <c r="E163" s="14">
        <f t="shared" si="4"/>
        <v>-5.6700879629629622E-2</v>
      </c>
      <c r="F163" s="14">
        <f>[1]Regression!$B$17+[1]Regression!$B$18*Returns!D163</f>
        <v>-1.0158418802115541E-2</v>
      </c>
      <c r="G163" s="14">
        <f t="shared" si="5"/>
        <v>-4.6542460827514079E-2</v>
      </c>
    </row>
    <row r="164" spans="1:7" x14ac:dyDescent="0.35">
      <c r="A164" s="18">
        <v>34516</v>
      </c>
      <c r="B164" s="10">
        <v>3.0999999999999996E-2</v>
      </c>
      <c r="C164" s="10">
        <v>5.1054000000000002E-2</v>
      </c>
      <c r="D164" s="14">
        <f t="shared" si="4"/>
        <v>2.7514120370370369E-2</v>
      </c>
      <c r="E164" s="14">
        <f t="shared" si="4"/>
        <v>4.7568120370370379E-2</v>
      </c>
      <c r="F164" s="14">
        <f>[1]Regression!$B$17+[1]Regression!$B$18*Returns!D164</f>
        <v>2.011249381881796E-2</v>
      </c>
      <c r="G164" s="14">
        <f t="shared" si="5"/>
        <v>2.7455626551552419E-2</v>
      </c>
    </row>
    <row r="165" spans="1:7" x14ac:dyDescent="0.35">
      <c r="A165" s="18">
        <v>34547</v>
      </c>
      <c r="B165" s="10">
        <v>4.3799999999999999E-2</v>
      </c>
      <c r="C165" s="10">
        <v>9.1927999999999996E-2</v>
      </c>
      <c r="D165" s="14">
        <f t="shared" si="4"/>
        <v>4.0314120370370375E-2</v>
      </c>
      <c r="E165" s="14">
        <f t="shared" si="4"/>
        <v>8.8442120370370372E-2</v>
      </c>
      <c r="F165" s="14">
        <f>[1]Regression!$B$17+[1]Regression!$B$18*Returns!D165</f>
        <v>2.6770014120329109E-2</v>
      </c>
      <c r="G165" s="14">
        <f t="shared" si="5"/>
        <v>6.1672106250041263E-2</v>
      </c>
    </row>
    <row r="166" spans="1:7" x14ac:dyDescent="0.35">
      <c r="A166" s="18">
        <v>34578</v>
      </c>
      <c r="B166" s="10">
        <v>-1.9400000000000001E-2</v>
      </c>
      <c r="C166" s="10">
        <v>-2.0534E-2</v>
      </c>
      <c r="D166" s="14">
        <f t="shared" si="4"/>
        <v>-2.2885879629629628E-2</v>
      </c>
      <c r="E166" s="14">
        <f t="shared" si="4"/>
        <v>-2.4019879629629627E-2</v>
      </c>
      <c r="F166" s="14">
        <f>[1]Regression!$B$17+[1]Regression!$B$18*Returns!D166</f>
        <v>-6.1014923683821876E-3</v>
      </c>
      <c r="G166" s="14">
        <f t="shared" si="5"/>
        <v>-1.7918387261247441E-2</v>
      </c>
    </row>
    <row r="167" spans="1:7" x14ac:dyDescent="0.35">
      <c r="A167" s="18">
        <v>34608</v>
      </c>
      <c r="B167" s="10">
        <v>1.7200000000000003E-2</v>
      </c>
      <c r="C167" s="10">
        <v>6.0377E-2</v>
      </c>
      <c r="D167" s="14">
        <f t="shared" si="4"/>
        <v>1.3714120370370377E-2</v>
      </c>
      <c r="E167" s="14">
        <f t="shared" si="4"/>
        <v>5.6891120370370377E-2</v>
      </c>
      <c r="F167" s="14">
        <f>[1]Regression!$B$17+[1]Regression!$B$18*Returns!D167</f>
        <v>1.2934854743751254E-2</v>
      </c>
      <c r="G167" s="14">
        <f t="shared" si="5"/>
        <v>4.3956265626619126E-2</v>
      </c>
    </row>
    <row r="168" spans="1:7" x14ac:dyDescent="0.35">
      <c r="A168" s="18">
        <v>34639</v>
      </c>
      <c r="B168" s="10">
        <v>-3.6699999999999997E-2</v>
      </c>
      <c r="C168" s="10">
        <v>-5.9639999999999997E-3</v>
      </c>
      <c r="D168" s="14">
        <f t="shared" si="4"/>
        <v>-4.018587962962962E-2</v>
      </c>
      <c r="E168" s="14">
        <f t="shared" si="4"/>
        <v>-9.4498796296296258E-3</v>
      </c>
      <c r="F168" s="14">
        <f>[1]Regression!$B$17+[1]Regression!$B$18*Returns!D168</f>
        <v>-1.5099547150893346E-2</v>
      </c>
      <c r="G168" s="14">
        <f t="shared" si="5"/>
        <v>5.6496675212637203E-3</v>
      </c>
    </row>
    <row r="169" spans="1:7" x14ac:dyDescent="0.35">
      <c r="A169" s="18">
        <v>34669</v>
      </c>
      <c r="B169" s="10">
        <v>1.3000000000000001E-2</v>
      </c>
      <c r="C169" s="10">
        <v>-8.0000000000000002E-3</v>
      </c>
      <c r="D169" s="14">
        <f t="shared" si="4"/>
        <v>9.5141203703703742E-3</v>
      </c>
      <c r="E169" s="14">
        <f t="shared" si="4"/>
        <v>-1.1485879629629627E-2</v>
      </c>
      <c r="F169" s="14">
        <f>[1]Regression!$B$17+[1]Regression!$B$18*Returns!D169</f>
        <v>1.0750355894817907E-2</v>
      </c>
      <c r="G169" s="14">
        <f t="shared" si="5"/>
        <v>-2.2236235524447534E-2</v>
      </c>
    </row>
    <row r="170" spans="1:7" x14ac:dyDescent="0.35">
      <c r="A170" s="18">
        <v>34700</v>
      </c>
      <c r="B170" s="10">
        <v>2.2200000000000001E-2</v>
      </c>
      <c r="C170" s="10">
        <v>5.6048000000000001E-2</v>
      </c>
      <c r="D170" s="14">
        <f t="shared" si="4"/>
        <v>1.8714120370370374E-2</v>
      </c>
      <c r="E170" s="14">
        <f t="shared" si="4"/>
        <v>5.2562120370370377E-2</v>
      </c>
      <c r="F170" s="14">
        <f>[1]Regression!$B$17+[1]Regression!$B$18*Returns!D170</f>
        <v>1.5535448611529045E-2</v>
      </c>
      <c r="G170" s="14">
        <f t="shared" si="5"/>
        <v>3.7026671758841334E-2</v>
      </c>
    </row>
    <row r="171" spans="1:7" x14ac:dyDescent="0.35">
      <c r="A171" s="18">
        <v>34731</v>
      </c>
      <c r="B171" s="10">
        <v>4.0300000000000002E-2</v>
      </c>
      <c r="C171" s="10">
        <v>2.1113E-2</v>
      </c>
      <c r="D171" s="14">
        <f t="shared" si="4"/>
        <v>3.6814120370370379E-2</v>
      </c>
      <c r="E171" s="14">
        <f t="shared" si="4"/>
        <v>1.7627120370370373E-2</v>
      </c>
      <c r="F171" s="14">
        <f>[1]Regression!$B$17+[1]Regression!$B$18*Returns!D171</f>
        <v>2.4949598412884653E-2</v>
      </c>
      <c r="G171" s="14">
        <f t="shared" si="5"/>
        <v>-7.3224780425142806E-3</v>
      </c>
    </row>
    <row r="172" spans="1:7" x14ac:dyDescent="0.35">
      <c r="A172" s="18">
        <v>34759</v>
      </c>
      <c r="B172" s="10">
        <v>2.6499999999999999E-2</v>
      </c>
      <c r="C172" s="10">
        <v>-3.7590000000000002E-3</v>
      </c>
      <c r="D172" s="14">
        <f t="shared" si="4"/>
        <v>2.3014120370370372E-2</v>
      </c>
      <c r="E172" s="14">
        <f t="shared" si="4"/>
        <v>-7.2448796296296263E-3</v>
      </c>
      <c r="F172" s="14">
        <f>[1]Regression!$B$17+[1]Regression!$B$18*Returns!D172</f>
        <v>1.7771959337817944E-2</v>
      </c>
      <c r="G172" s="14">
        <f t="shared" si="5"/>
        <v>-2.501683896744757E-2</v>
      </c>
    </row>
    <row r="173" spans="1:7" x14ac:dyDescent="0.35">
      <c r="A173" s="18">
        <v>34790</v>
      </c>
      <c r="B173" s="10">
        <v>2.5499999999999998E-2</v>
      </c>
      <c r="C173" s="10">
        <v>0.06</v>
      </c>
      <c r="D173" s="14">
        <f t="shared" si="4"/>
        <v>2.2014120370370371E-2</v>
      </c>
      <c r="E173" s="14">
        <f t="shared" si="4"/>
        <v>5.6514120370370374E-2</v>
      </c>
      <c r="F173" s="14">
        <f>[1]Regression!$B$17+[1]Regression!$B$18*Returns!D173</f>
        <v>1.7251840564262388E-2</v>
      </c>
      <c r="G173" s="14">
        <f t="shared" si="5"/>
        <v>3.9262279806107983E-2</v>
      </c>
    </row>
    <row r="174" spans="1:7" x14ac:dyDescent="0.35">
      <c r="A174" s="18">
        <v>34820</v>
      </c>
      <c r="B174" s="10">
        <v>3.44E-2</v>
      </c>
      <c r="C174" s="10">
        <v>2.8622999999999999E-2</v>
      </c>
      <c r="D174" s="14">
        <f t="shared" si="4"/>
        <v>3.0914120370370373E-2</v>
      </c>
      <c r="E174" s="14">
        <f t="shared" si="4"/>
        <v>2.5137120370370372E-2</v>
      </c>
      <c r="F174" s="14">
        <f>[1]Regression!$B$17+[1]Regression!$B$18*Returns!D174</f>
        <v>2.1880897648906855E-2</v>
      </c>
      <c r="G174" s="14">
        <f t="shared" si="5"/>
        <v>3.256222721463517E-3</v>
      </c>
    </row>
    <row r="175" spans="1:7" x14ac:dyDescent="0.35">
      <c r="A175" s="18">
        <v>34851</v>
      </c>
      <c r="B175" s="10">
        <v>3.1900000000000005E-2</v>
      </c>
      <c r="C175" s="10">
        <v>0</v>
      </c>
      <c r="D175" s="14">
        <f t="shared" si="4"/>
        <v>2.8414120370370378E-2</v>
      </c>
      <c r="E175" s="14">
        <f t="shared" si="4"/>
        <v>-3.4858796296296261E-3</v>
      </c>
      <c r="F175" s="14">
        <f>[1]Regression!$B$17+[1]Regression!$B$18*Returns!D175</f>
        <v>2.0580600715017966E-2</v>
      </c>
      <c r="G175" s="14">
        <f t="shared" si="5"/>
        <v>-2.4066480344647593E-2</v>
      </c>
    </row>
    <row r="176" spans="1:7" x14ac:dyDescent="0.35">
      <c r="A176" s="18">
        <v>34881</v>
      </c>
      <c r="B176" s="10">
        <v>4.1700000000000001E-2</v>
      </c>
      <c r="C176" s="10">
        <v>-3.6173999999999998E-2</v>
      </c>
      <c r="D176" s="14">
        <f t="shared" si="4"/>
        <v>3.8214120370370377E-2</v>
      </c>
      <c r="E176" s="14">
        <f t="shared" si="4"/>
        <v>-3.9659879629629621E-2</v>
      </c>
      <c r="F176" s="14">
        <f>[1]Regression!$B$17+[1]Regression!$B$18*Returns!D176</f>
        <v>2.5677764695862436E-2</v>
      </c>
      <c r="G176" s="14">
        <f t="shared" si="5"/>
        <v>-6.533764432549205E-2</v>
      </c>
    </row>
    <row r="177" spans="1:7" x14ac:dyDescent="0.35">
      <c r="A177" s="18">
        <v>34912</v>
      </c>
      <c r="B177" s="10">
        <v>1.0200000000000001E-2</v>
      </c>
      <c r="C177" s="10">
        <v>7.26E-3</v>
      </c>
      <c r="D177" s="14">
        <f t="shared" si="4"/>
        <v>6.7141203703703746E-3</v>
      </c>
      <c r="E177" s="14">
        <f t="shared" si="4"/>
        <v>3.7741203703703739E-3</v>
      </c>
      <c r="F177" s="14">
        <f>[1]Regression!$B$17+[1]Regression!$B$18*Returns!D177</f>
        <v>9.2940233288623438E-3</v>
      </c>
      <c r="G177" s="14">
        <f t="shared" si="5"/>
        <v>-5.51990295849197E-3</v>
      </c>
    </row>
    <row r="178" spans="1:7" x14ac:dyDescent="0.35">
      <c r="A178" s="18">
        <v>34943</v>
      </c>
      <c r="B178" s="10">
        <v>3.78E-2</v>
      </c>
      <c r="C178" s="10">
        <v>0.10990999999999999</v>
      </c>
      <c r="D178" s="14">
        <f t="shared" si="4"/>
        <v>3.4314120370370377E-2</v>
      </c>
      <c r="E178" s="14">
        <f t="shared" si="4"/>
        <v>0.10642412037037037</v>
      </c>
      <c r="F178" s="14">
        <f>[1]Regression!$B$17+[1]Regression!$B$18*Returns!D178</f>
        <v>2.3649301478995757E-2</v>
      </c>
      <c r="G178" s="14">
        <f t="shared" si="5"/>
        <v>8.2774818891374613E-2</v>
      </c>
    </row>
    <row r="179" spans="1:7" x14ac:dyDescent="0.35">
      <c r="A179" s="18">
        <v>34973</v>
      </c>
      <c r="B179" s="10">
        <v>-1.0500000000000001E-2</v>
      </c>
      <c r="C179" s="10">
        <v>5.7142999999999999E-2</v>
      </c>
      <c r="D179" s="14">
        <f t="shared" si="4"/>
        <v>-1.3985879629629626E-2</v>
      </c>
      <c r="E179" s="14">
        <f t="shared" si="4"/>
        <v>5.3657120370370376E-2</v>
      </c>
      <c r="F179" s="14">
        <f>[1]Regression!$B$17+[1]Regression!$B$18*Returns!D179</f>
        <v>-1.4724352837377159E-3</v>
      </c>
      <c r="G179" s="14">
        <f t="shared" si="5"/>
        <v>5.5129555654108091E-2</v>
      </c>
    </row>
    <row r="180" spans="1:7" x14ac:dyDescent="0.35">
      <c r="A180" s="18">
        <v>35004</v>
      </c>
      <c r="B180" s="10">
        <v>4.3799999999999999E-2</v>
      </c>
      <c r="C180" s="10">
        <v>6.7901000000000003E-2</v>
      </c>
      <c r="D180" s="14">
        <f t="shared" si="4"/>
        <v>4.0314120370370375E-2</v>
      </c>
      <c r="E180" s="14">
        <f t="shared" si="4"/>
        <v>6.441512037037038E-2</v>
      </c>
      <c r="F180" s="14">
        <f>[1]Regression!$B$17+[1]Regression!$B$18*Returns!D180</f>
        <v>2.6770014120329109E-2</v>
      </c>
      <c r="G180" s="14">
        <f t="shared" si="5"/>
        <v>3.764510625004127E-2</v>
      </c>
    </row>
    <row r="181" spans="1:7" x14ac:dyDescent="0.35">
      <c r="A181" s="18">
        <v>35034</v>
      </c>
      <c r="B181" s="10">
        <v>1.52E-2</v>
      </c>
      <c r="C181" s="10">
        <v>-4.0461999999999998E-2</v>
      </c>
      <c r="D181" s="14">
        <f t="shared" si="4"/>
        <v>1.1714120370370375E-2</v>
      </c>
      <c r="E181" s="14">
        <f t="shared" si="4"/>
        <v>-4.3947879629629621E-2</v>
      </c>
      <c r="F181" s="14">
        <f>[1]Regression!$B$17+[1]Regression!$B$18*Returns!D181</f>
        <v>1.1894617196640138E-2</v>
      </c>
      <c r="G181" s="14">
        <f t="shared" si="5"/>
        <v>-5.5842496826269759E-2</v>
      </c>
    </row>
    <row r="182" spans="1:7" x14ac:dyDescent="0.35">
      <c r="A182" s="18">
        <v>35065</v>
      </c>
      <c r="B182" s="10">
        <v>2.69E-2</v>
      </c>
      <c r="C182" s="10">
        <v>1.6867E-2</v>
      </c>
      <c r="D182" s="14">
        <f t="shared" si="4"/>
        <v>2.3414120370370373E-2</v>
      </c>
      <c r="E182" s="14">
        <f t="shared" si="4"/>
        <v>1.3381120370370373E-2</v>
      </c>
      <c r="F182" s="14">
        <f>[1]Regression!$B$17+[1]Regression!$B$18*Returns!D182</f>
        <v>1.798000684724017E-2</v>
      </c>
      <c r="G182" s="14">
        <f t="shared" si="5"/>
        <v>-4.5988864768697971E-3</v>
      </c>
    </row>
    <row r="183" spans="1:7" x14ac:dyDescent="0.35">
      <c r="A183" s="18">
        <v>35096</v>
      </c>
      <c r="B183" s="10">
        <v>1.7200000000000003E-2</v>
      </c>
      <c r="C183" s="10">
        <v>-2.3810000000000001E-2</v>
      </c>
      <c r="D183" s="14">
        <f t="shared" si="4"/>
        <v>1.3714120370370377E-2</v>
      </c>
      <c r="E183" s="14">
        <f t="shared" si="4"/>
        <v>-2.7295879629629628E-2</v>
      </c>
      <c r="F183" s="14">
        <f>[1]Regression!$B$17+[1]Regression!$B$18*Returns!D183</f>
        <v>1.2934854743751254E-2</v>
      </c>
      <c r="G183" s="14">
        <f t="shared" si="5"/>
        <v>-4.0230734373380886E-2</v>
      </c>
    </row>
    <row r="184" spans="1:7" x14ac:dyDescent="0.35">
      <c r="A184" s="18">
        <v>35125</v>
      </c>
      <c r="B184" s="10">
        <v>1.1200000000000002E-2</v>
      </c>
      <c r="C184" s="10">
        <v>3.3536999999999997E-2</v>
      </c>
      <c r="D184" s="14">
        <f t="shared" si="4"/>
        <v>7.7141203703703755E-3</v>
      </c>
      <c r="E184" s="14">
        <f t="shared" si="4"/>
        <v>3.005112037037037E-2</v>
      </c>
      <c r="F184" s="14">
        <f>[1]Regression!$B$17+[1]Regression!$B$18*Returns!D184</f>
        <v>9.8141421024179019E-3</v>
      </c>
      <c r="G184" s="14">
        <f t="shared" si="5"/>
        <v>2.0236978267952468E-2</v>
      </c>
    </row>
    <row r="185" spans="1:7" x14ac:dyDescent="0.35">
      <c r="A185" s="18">
        <v>35156</v>
      </c>
      <c r="B185" s="10">
        <v>2.52E-2</v>
      </c>
      <c r="C185" s="10">
        <v>1.7700000000000001E-3</v>
      </c>
      <c r="D185" s="14">
        <f t="shared" si="4"/>
        <v>2.1714120370370373E-2</v>
      </c>
      <c r="E185" s="14">
        <f t="shared" si="4"/>
        <v>-1.715879629629626E-3</v>
      </c>
      <c r="F185" s="14">
        <f>[1]Regression!$B$17+[1]Regression!$B$18*Returns!D185</f>
        <v>1.7095804932195723E-2</v>
      </c>
      <c r="G185" s="14">
        <f t="shared" si="5"/>
        <v>-1.8811684561825349E-2</v>
      </c>
    </row>
    <row r="186" spans="1:7" x14ac:dyDescent="0.35">
      <c r="A186" s="18">
        <v>35186</v>
      </c>
      <c r="B186" s="10">
        <v>2.7799999999999998E-2</v>
      </c>
      <c r="C186" s="10">
        <v>3.9940999999999997E-2</v>
      </c>
      <c r="D186" s="14">
        <f t="shared" si="4"/>
        <v>2.4314120370370371E-2</v>
      </c>
      <c r="E186" s="14">
        <f t="shared" si="4"/>
        <v>3.6455120370370374E-2</v>
      </c>
      <c r="F186" s="14">
        <f>[1]Regression!$B$17+[1]Regression!$B$18*Returns!D186</f>
        <v>1.8448113743440173E-2</v>
      </c>
      <c r="G186" s="14">
        <f t="shared" si="5"/>
        <v>1.8007006626930201E-2</v>
      </c>
    </row>
    <row r="187" spans="1:7" x14ac:dyDescent="0.35">
      <c r="A187" s="18">
        <v>35217</v>
      </c>
      <c r="B187" s="10">
        <v>-7.3999999999999986E-3</v>
      </c>
      <c r="C187" s="10">
        <v>3.1294000000000002E-2</v>
      </c>
      <c r="D187" s="14">
        <f t="shared" si="4"/>
        <v>-1.0885879629629624E-2</v>
      </c>
      <c r="E187" s="14">
        <f t="shared" si="4"/>
        <v>2.7808120370370375E-2</v>
      </c>
      <c r="F187" s="14">
        <f>[1]Regression!$B$17+[1]Regression!$B$18*Returns!D187</f>
        <v>1.3993291428451588E-4</v>
      </c>
      <c r="G187" s="14">
        <f t="shared" si="5"/>
        <v>2.766818745608586E-2</v>
      </c>
    </row>
    <row r="188" spans="1:7" x14ac:dyDescent="0.35">
      <c r="A188" s="18">
        <v>35247</v>
      </c>
      <c r="B188" s="10">
        <v>-5.5199999999999999E-2</v>
      </c>
      <c r="C188" s="10">
        <v>-1.0207000000000001E-2</v>
      </c>
      <c r="D188" s="14">
        <f t="shared" si="4"/>
        <v>-5.8685879629629623E-2</v>
      </c>
      <c r="E188" s="14">
        <f t="shared" si="4"/>
        <v>-1.3692879629629628E-2</v>
      </c>
      <c r="F188" s="14">
        <f>[1]Regression!$B$17+[1]Regression!$B$18*Returns!D188</f>
        <v>-2.4721744461671177E-2</v>
      </c>
      <c r="G188" s="14">
        <f t="shared" si="5"/>
        <v>1.102886483204155E-2</v>
      </c>
    </row>
    <row r="189" spans="1:7" x14ac:dyDescent="0.35">
      <c r="A189" s="18">
        <v>35278</v>
      </c>
      <c r="B189" s="10">
        <v>3.1800000000000002E-2</v>
      </c>
      <c r="C189" s="10">
        <v>-4.202E-3</v>
      </c>
      <c r="D189" s="14">
        <f t="shared" si="4"/>
        <v>2.8314120370370375E-2</v>
      </c>
      <c r="E189" s="14">
        <f t="shared" si="4"/>
        <v>-7.6878796296296261E-3</v>
      </c>
      <c r="F189" s="14">
        <f>[1]Regression!$B$17+[1]Regression!$B$18*Returns!D189</f>
        <v>2.0528588837662405E-2</v>
      </c>
      <c r="G189" s="14">
        <f t="shared" si="5"/>
        <v>-2.8216468467292033E-2</v>
      </c>
    </row>
    <row r="190" spans="1:7" x14ac:dyDescent="0.35">
      <c r="A190" s="18">
        <v>35309</v>
      </c>
      <c r="B190" s="10">
        <v>5.45E-2</v>
      </c>
      <c r="C190" s="10">
        <v>9.7045999999999993E-2</v>
      </c>
      <c r="D190" s="14">
        <f t="shared" si="4"/>
        <v>5.1014120370370376E-2</v>
      </c>
      <c r="E190" s="14">
        <f t="shared" si="4"/>
        <v>9.356012037037037E-2</v>
      </c>
      <c r="F190" s="14">
        <f>[1]Regression!$B$17+[1]Regression!$B$18*Returns!D190</f>
        <v>3.2335284997373585E-2</v>
      </c>
      <c r="G190" s="14">
        <f t="shared" si="5"/>
        <v>6.1224835372996785E-2</v>
      </c>
    </row>
    <row r="191" spans="1:7" x14ac:dyDescent="0.35">
      <c r="A191" s="18">
        <v>35339</v>
      </c>
      <c r="B191" s="10">
        <v>1.2800000000000001E-2</v>
      </c>
      <c r="C191" s="10">
        <v>0.02</v>
      </c>
      <c r="D191" s="14">
        <f t="shared" si="4"/>
        <v>9.3141203703703754E-3</v>
      </c>
      <c r="E191" s="14">
        <f t="shared" si="4"/>
        <v>1.6514120370370373E-2</v>
      </c>
      <c r="F191" s="14">
        <f>[1]Regression!$B$17+[1]Regression!$B$18*Returns!D191</f>
        <v>1.0646332140106796E-2</v>
      </c>
      <c r="G191" s="14">
        <f t="shared" si="5"/>
        <v>5.8677882302635778E-3</v>
      </c>
    </row>
    <row r="192" spans="1:7" x14ac:dyDescent="0.35">
      <c r="A192" s="18">
        <v>35370</v>
      </c>
      <c r="B192" s="10">
        <v>6.6600000000000006E-2</v>
      </c>
      <c r="C192" s="10">
        <v>9.8485000000000003E-2</v>
      </c>
      <c r="D192" s="14">
        <f t="shared" si="4"/>
        <v>6.3114120370370383E-2</v>
      </c>
      <c r="E192" s="14">
        <f t="shared" si="4"/>
        <v>9.499912037037038E-2</v>
      </c>
      <c r="F192" s="14">
        <f>[1]Regression!$B$17+[1]Regression!$B$18*Returns!D192</f>
        <v>3.8628722157395844E-2</v>
      </c>
      <c r="G192" s="14">
        <f t="shared" si="5"/>
        <v>5.6370398212974536E-2</v>
      </c>
    </row>
    <row r="193" spans="1:7" x14ac:dyDescent="0.35">
      <c r="A193" s="18">
        <v>35400</v>
      </c>
      <c r="B193" s="10">
        <v>-1.24E-2</v>
      </c>
      <c r="C193" s="10">
        <v>-1.0345E-2</v>
      </c>
      <c r="D193" s="14">
        <f t="shared" si="4"/>
        <v>-1.5885879629629625E-2</v>
      </c>
      <c r="E193" s="14">
        <f t="shared" si="4"/>
        <v>-1.3830879629629627E-2</v>
      </c>
      <c r="F193" s="14">
        <f>[1]Regression!$B$17+[1]Regression!$B$18*Returns!D193</f>
        <v>-2.4606609534932773E-3</v>
      </c>
      <c r="G193" s="14">
        <f t="shared" si="5"/>
        <v>-1.137021867613635E-2</v>
      </c>
    </row>
    <row r="194" spans="1:7" x14ac:dyDescent="0.35">
      <c r="A194" s="18">
        <v>35431</v>
      </c>
      <c r="B194" s="10">
        <v>5.4300000000000008E-2</v>
      </c>
      <c r="C194" s="10">
        <v>7.4982999999999994E-2</v>
      </c>
      <c r="D194" s="14">
        <f t="shared" ref="D194:E257" si="6">B194-$J$2</f>
        <v>5.0814120370370384E-2</v>
      </c>
      <c r="E194" s="14">
        <f t="shared" si="6"/>
        <v>7.1497120370370371E-2</v>
      </c>
      <c r="F194" s="14">
        <f>[1]Regression!$B$17+[1]Regression!$B$18*Returns!D194</f>
        <v>3.2231261242662478E-2</v>
      </c>
      <c r="G194" s="14">
        <f t="shared" si="5"/>
        <v>3.9265859127707893E-2</v>
      </c>
    </row>
    <row r="195" spans="1:7" x14ac:dyDescent="0.35">
      <c r="A195" s="18">
        <v>35462</v>
      </c>
      <c r="B195" s="10">
        <v>-9.999999999999998E-4</v>
      </c>
      <c r="C195" s="10">
        <v>3.8919000000000002E-2</v>
      </c>
      <c r="D195" s="14">
        <f t="shared" si="6"/>
        <v>-4.4858796296296261E-3</v>
      </c>
      <c r="E195" s="14">
        <f t="shared" si="6"/>
        <v>3.5433120370370379E-2</v>
      </c>
      <c r="F195" s="14">
        <f>[1]Regression!$B$17+[1]Regression!$B$18*Returns!D195</f>
        <v>3.4686930650400889E-3</v>
      </c>
      <c r="G195" s="14">
        <f t="shared" ref="G195:G258" si="7">E195-F195</f>
        <v>3.1964427305330292E-2</v>
      </c>
    </row>
    <row r="196" spans="1:7" x14ac:dyDescent="0.35">
      <c r="A196" s="18">
        <v>35490</v>
      </c>
      <c r="B196" s="10">
        <v>-4.5899999999999996E-2</v>
      </c>
      <c r="C196" s="10">
        <v>-4.4745E-2</v>
      </c>
      <c r="D196" s="14">
        <f t="shared" si="6"/>
        <v>-4.938587962962962E-2</v>
      </c>
      <c r="E196" s="14">
        <f t="shared" si="6"/>
        <v>-4.8230879629629624E-2</v>
      </c>
      <c r="F196" s="14">
        <f>[1]Regression!$B$17+[1]Regression!$B$18*Returns!D196</f>
        <v>-1.9884639867604484E-2</v>
      </c>
      <c r="G196" s="14">
        <f t="shared" si="7"/>
        <v>-2.834623976202514E-2</v>
      </c>
    </row>
    <row r="197" spans="1:7" x14ac:dyDescent="0.35">
      <c r="A197" s="18">
        <v>35521</v>
      </c>
      <c r="B197" s="10">
        <v>4.4699999999999997E-2</v>
      </c>
      <c r="C197" s="10">
        <v>9.9781999999999996E-2</v>
      </c>
      <c r="D197" s="14">
        <f t="shared" si="6"/>
        <v>4.1214120370370373E-2</v>
      </c>
      <c r="E197" s="14">
        <f t="shared" si="6"/>
        <v>9.6296120370370372E-2</v>
      </c>
      <c r="F197" s="14">
        <f>[1]Regression!$B$17+[1]Regression!$B$18*Returns!D197</f>
        <v>2.7238121016529108E-2</v>
      </c>
      <c r="G197" s="14">
        <f t="shared" si="7"/>
        <v>6.9057999353841271E-2</v>
      </c>
    </row>
    <row r="198" spans="1:7" x14ac:dyDescent="0.35">
      <c r="A198" s="18">
        <v>35551</v>
      </c>
      <c r="B198" s="10">
        <v>7.2300000000000003E-2</v>
      </c>
      <c r="C198" s="10">
        <v>9.6421000000000007E-2</v>
      </c>
      <c r="D198" s="14">
        <f t="shared" si="6"/>
        <v>6.881412037037038E-2</v>
      </c>
      <c r="E198" s="14">
        <f t="shared" si="6"/>
        <v>9.2935120370370383E-2</v>
      </c>
      <c r="F198" s="14">
        <f>[1]Regression!$B$17+[1]Regression!$B$18*Returns!D198</f>
        <v>4.1593399166662527E-2</v>
      </c>
      <c r="G198" s="14">
        <f t="shared" si="7"/>
        <v>5.1341721203707856E-2</v>
      </c>
    </row>
    <row r="199" spans="1:7" x14ac:dyDescent="0.35">
      <c r="A199" s="18">
        <v>35582</v>
      </c>
      <c r="B199" s="10">
        <v>4.4699999999999997E-2</v>
      </c>
      <c r="C199" s="10">
        <v>2.4479000000000001E-2</v>
      </c>
      <c r="D199" s="14">
        <f t="shared" si="6"/>
        <v>4.1214120370370373E-2</v>
      </c>
      <c r="E199" s="14">
        <f t="shared" si="6"/>
        <v>2.0993120370370374E-2</v>
      </c>
      <c r="F199" s="14">
        <f>[1]Regression!$B$17+[1]Regression!$B$18*Returns!D199</f>
        <v>2.7238121016529108E-2</v>
      </c>
      <c r="G199" s="14">
        <f t="shared" si="7"/>
        <v>-6.2450006461587347E-3</v>
      </c>
    </row>
    <row r="200" spans="1:7" x14ac:dyDescent="0.35">
      <c r="A200" s="18">
        <v>35612</v>
      </c>
      <c r="B200" s="10">
        <v>7.7600000000000002E-2</v>
      </c>
      <c r="C200" s="10">
        <v>8.0565999999999999E-2</v>
      </c>
      <c r="D200" s="14">
        <f t="shared" si="6"/>
        <v>7.4114120370370379E-2</v>
      </c>
      <c r="E200" s="14">
        <f t="shared" si="6"/>
        <v>7.7080120370370375E-2</v>
      </c>
      <c r="F200" s="14">
        <f>[1]Regression!$B$17+[1]Regression!$B$18*Returns!D200</f>
        <v>4.4350028666506988E-2</v>
      </c>
      <c r="G200" s="14">
        <f t="shared" si="7"/>
        <v>3.2730091703863387E-2</v>
      </c>
    </row>
    <row r="201" spans="1:7" x14ac:dyDescent="0.35">
      <c r="A201" s="18">
        <v>35643</v>
      </c>
      <c r="B201" s="10">
        <v>-3.7400000000000003E-2</v>
      </c>
      <c r="C201" s="10">
        <v>-0.12489699999999999</v>
      </c>
      <c r="D201" s="14">
        <f t="shared" si="6"/>
        <v>-4.0885879629629626E-2</v>
      </c>
      <c r="E201" s="14">
        <f t="shared" si="6"/>
        <v>-0.12838287962962963</v>
      </c>
      <c r="F201" s="14">
        <f>[1]Regression!$B$17+[1]Regression!$B$18*Returns!D201</f>
        <v>-1.5463630292382241E-2</v>
      </c>
      <c r="G201" s="14">
        <f t="shared" si="7"/>
        <v>-0.1129192493372474</v>
      </c>
    </row>
    <row r="202" spans="1:7" x14ac:dyDescent="0.35">
      <c r="A202" s="18">
        <v>35674</v>
      </c>
      <c r="B202" s="10">
        <v>5.79E-2</v>
      </c>
      <c r="C202" s="10">
        <v>3.7559000000000002E-2</v>
      </c>
      <c r="D202" s="14">
        <f t="shared" si="6"/>
        <v>5.4414120370370377E-2</v>
      </c>
      <c r="E202" s="14">
        <f t="shared" si="6"/>
        <v>3.4073120370370379E-2</v>
      </c>
      <c r="F202" s="14">
        <f>[1]Regression!$B$17+[1]Regression!$B$18*Returns!D202</f>
        <v>3.4103688827462487E-2</v>
      </c>
      <c r="G202" s="14">
        <f t="shared" si="7"/>
        <v>-3.0568457092108869E-5</v>
      </c>
    </row>
    <row r="203" spans="1:7" x14ac:dyDescent="0.35">
      <c r="A203" s="18">
        <v>35704</v>
      </c>
      <c r="B203" s="10">
        <v>-3.3799999999999997E-2</v>
      </c>
      <c r="C203" s="10">
        <v>-1.1729E-2</v>
      </c>
      <c r="D203" s="14">
        <f t="shared" si="6"/>
        <v>-3.728587962962962E-2</v>
      </c>
      <c r="E203" s="14">
        <f t="shared" si="6"/>
        <v>-1.5214879629629627E-2</v>
      </c>
      <c r="F203" s="14">
        <f>[1]Regression!$B$17+[1]Regression!$B$18*Returns!D203</f>
        <v>-1.3591202707582224E-2</v>
      </c>
      <c r="G203" s="14">
        <f t="shared" si="7"/>
        <v>-1.623676922047403E-3</v>
      </c>
    </row>
    <row r="204" spans="1:7" x14ac:dyDescent="0.35">
      <c r="A204" s="18">
        <v>35735</v>
      </c>
      <c r="B204" s="10">
        <v>3.3700000000000001E-2</v>
      </c>
      <c r="C204" s="10">
        <v>0.120404</v>
      </c>
      <c r="D204" s="14">
        <f t="shared" si="6"/>
        <v>3.0214120370370374E-2</v>
      </c>
      <c r="E204" s="14">
        <f t="shared" si="6"/>
        <v>0.11691812037037037</v>
      </c>
      <c r="F204" s="14">
        <f>[1]Regression!$B$17+[1]Regression!$B$18*Returns!D204</f>
        <v>2.1516814507417971E-2</v>
      </c>
      <c r="G204" s="14">
        <f t="shared" si="7"/>
        <v>9.5401305862952396E-2</v>
      </c>
    </row>
    <row r="205" spans="1:7" x14ac:dyDescent="0.35">
      <c r="A205" s="18">
        <v>35765</v>
      </c>
      <c r="B205" s="10">
        <v>1.8000000000000002E-2</v>
      </c>
      <c r="C205" s="10">
        <v>4.7579999999999997E-2</v>
      </c>
      <c r="D205" s="14">
        <f t="shared" si="6"/>
        <v>1.4514120370370375E-2</v>
      </c>
      <c r="E205" s="14">
        <f t="shared" si="6"/>
        <v>4.4094120370370374E-2</v>
      </c>
      <c r="F205" s="14">
        <f>[1]Regression!$B$17+[1]Regression!$B$18*Returns!D205</f>
        <v>1.3350949762595701E-2</v>
      </c>
      <c r="G205" s="14">
        <f t="shared" si="7"/>
        <v>3.0743170607774671E-2</v>
      </c>
    </row>
    <row r="206" spans="1:7" x14ac:dyDescent="0.35">
      <c r="A206" s="18">
        <v>35796</v>
      </c>
      <c r="B206" s="10">
        <v>5.7999999999999996E-3</v>
      </c>
      <c r="C206" s="10">
        <v>-1.4847000000000001E-2</v>
      </c>
      <c r="D206" s="14">
        <f t="shared" si="6"/>
        <v>2.3141203703703735E-3</v>
      </c>
      <c r="E206" s="14">
        <f t="shared" si="6"/>
        <v>-1.8332879629629626E-2</v>
      </c>
      <c r="F206" s="14">
        <f>[1]Regression!$B$17+[1]Regression!$B$18*Returns!D206</f>
        <v>7.0055007252178862E-3</v>
      </c>
      <c r="G206" s="14">
        <f t="shared" si="7"/>
        <v>-2.5338380354847513E-2</v>
      </c>
    </row>
    <row r="207" spans="1:7" x14ac:dyDescent="0.35">
      <c r="A207" s="18">
        <v>35827</v>
      </c>
      <c r="B207" s="10">
        <v>7.4299999999999991E-2</v>
      </c>
      <c r="C207" s="10">
        <v>8.2934999999999995E-2</v>
      </c>
      <c r="D207" s="14">
        <f t="shared" si="6"/>
        <v>7.0814120370370368E-2</v>
      </c>
      <c r="E207" s="14">
        <f t="shared" si="6"/>
        <v>7.9449120370370371E-2</v>
      </c>
      <c r="F207" s="14">
        <f>[1]Regression!$B$17+[1]Regression!$B$18*Returns!D207</f>
        <v>4.263363671377364E-2</v>
      </c>
      <c r="G207" s="14">
        <f t="shared" si="7"/>
        <v>3.6815483656596731E-2</v>
      </c>
    </row>
    <row r="208" spans="1:7" x14ac:dyDescent="0.35">
      <c r="A208" s="18">
        <v>35855</v>
      </c>
      <c r="B208" s="10">
        <v>5.1499999999999997E-2</v>
      </c>
      <c r="C208" s="10">
        <v>-5.8910000000000004E-3</v>
      </c>
      <c r="D208" s="14">
        <f t="shared" si="6"/>
        <v>4.8014120370370374E-2</v>
      </c>
      <c r="E208" s="14">
        <f t="shared" si="6"/>
        <v>-9.3768796296296274E-3</v>
      </c>
      <c r="F208" s="14">
        <f>[1]Regression!$B$17+[1]Regression!$B$18*Returns!D208</f>
        <v>3.0774928676706906E-2</v>
      </c>
      <c r="G208" s="14">
        <f t="shared" si="7"/>
        <v>-4.0151808306336537E-2</v>
      </c>
    </row>
    <row r="209" spans="1:7" x14ac:dyDescent="0.35">
      <c r="A209" s="18">
        <v>35886</v>
      </c>
      <c r="B209" s="10">
        <v>1.1599999999999999E-2</v>
      </c>
      <c r="C209" s="10">
        <v>-2.2932999999999999E-2</v>
      </c>
      <c r="D209" s="14">
        <f t="shared" si="6"/>
        <v>8.1141203703703722E-3</v>
      </c>
      <c r="E209" s="14">
        <f t="shared" si="6"/>
        <v>-2.6418879629629625E-2</v>
      </c>
      <c r="F209" s="14">
        <f>[1]Regression!$B$17+[1]Regression!$B$18*Returns!D209</f>
        <v>1.0022189611840124E-2</v>
      </c>
      <c r="G209" s="14">
        <f t="shared" si="7"/>
        <v>-3.6441069241469753E-2</v>
      </c>
    </row>
    <row r="210" spans="1:7" x14ac:dyDescent="0.35">
      <c r="A210" s="18">
        <v>35916</v>
      </c>
      <c r="B210" s="10">
        <v>-2.6699999999999998E-2</v>
      </c>
      <c r="C210" s="10">
        <v>2.0532000000000002E-2</v>
      </c>
      <c r="D210" s="14">
        <f t="shared" si="6"/>
        <v>-3.0185879629629625E-2</v>
      </c>
      <c r="E210" s="14">
        <f t="shared" si="6"/>
        <v>1.7046120370370375E-2</v>
      </c>
      <c r="F210" s="14">
        <f>[1]Regression!$B$17+[1]Regression!$B$18*Returns!D210</f>
        <v>-9.8983594153377614E-3</v>
      </c>
      <c r="G210" s="14">
        <f t="shared" si="7"/>
        <v>2.6944479785708138E-2</v>
      </c>
    </row>
    <row r="211" spans="1:7" x14ac:dyDescent="0.35">
      <c r="A211" s="18">
        <v>35947</v>
      </c>
      <c r="B211" s="10">
        <v>3.5900000000000001E-2</v>
      </c>
      <c r="C211" s="10">
        <v>8.5693000000000005E-2</v>
      </c>
      <c r="D211" s="14">
        <f t="shared" si="6"/>
        <v>3.2414120370370378E-2</v>
      </c>
      <c r="E211" s="14">
        <f t="shared" si="6"/>
        <v>8.2207120370370382E-2</v>
      </c>
      <c r="F211" s="14">
        <f>[1]Regression!$B$17+[1]Regression!$B$18*Returns!D211</f>
        <v>2.2661075809240198E-2</v>
      </c>
      <c r="G211" s="14">
        <f t="shared" si="7"/>
        <v>5.9546044561130183E-2</v>
      </c>
    </row>
    <row r="212" spans="1:7" x14ac:dyDescent="0.35">
      <c r="A212" s="18">
        <v>35977</v>
      </c>
      <c r="B212" s="10">
        <v>-2.06E-2</v>
      </c>
      <c r="C212" s="10">
        <v>-0.12521599999999999</v>
      </c>
      <c r="D212" s="14">
        <f t="shared" si="6"/>
        <v>-2.4085879629629627E-2</v>
      </c>
      <c r="E212" s="14">
        <f t="shared" si="6"/>
        <v>-0.12870187962962962</v>
      </c>
      <c r="F212" s="14">
        <f>[1]Regression!$B$17+[1]Regression!$B$18*Returns!D212</f>
        <v>-6.725634896648857E-3</v>
      </c>
      <c r="G212" s="14">
        <f t="shared" si="7"/>
        <v>-0.12197624473298076</v>
      </c>
    </row>
    <row r="213" spans="1:7" x14ac:dyDescent="0.35">
      <c r="A213" s="18">
        <v>36008</v>
      </c>
      <c r="B213" s="10">
        <v>-0.15649999999999997</v>
      </c>
      <c r="C213" s="10">
        <v>-3.6220000000000002E-2</v>
      </c>
      <c r="D213" s="14">
        <f t="shared" si="6"/>
        <v>-0.1599858796296296</v>
      </c>
      <c r="E213" s="14">
        <f t="shared" si="6"/>
        <v>-3.9705879629629626E-2</v>
      </c>
      <c r="F213" s="14">
        <f>[1]Regression!$B$17+[1]Regression!$B$18*Returns!D213</f>
        <v>-7.7409776222849225E-2</v>
      </c>
      <c r="G213" s="14">
        <f t="shared" si="7"/>
        <v>3.7703896593219599E-2</v>
      </c>
    </row>
    <row r="214" spans="1:7" x14ac:dyDescent="0.35">
      <c r="A214" s="18">
        <v>36039</v>
      </c>
      <c r="B214" s="10">
        <v>6.6100000000000006E-2</v>
      </c>
      <c r="C214" s="10">
        <v>-7.0261000000000004E-2</v>
      </c>
      <c r="D214" s="14">
        <f t="shared" si="6"/>
        <v>6.2614120370370382E-2</v>
      </c>
      <c r="E214" s="14">
        <f t="shared" si="6"/>
        <v>-7.3746879629629628E-2</v>
      </c>
      <c r="F214" s="14">
        <f>[1]Regression!$B$17+[1]Regression!$B$18*Returns!D214</f>
        <v>3.8368662770618067E-2</v>
      </c>
      <c r="G214" s="14">
        <f t="shared" si="7"/>
        <v>-0.11211554240024769</v>
      </c>
    </row>
    <row r="215" spans="1:7" x14ac:dyDescent="0.35">
      <c r="A215" s="18">
        <v>36069</v>
      </c>
      <c r="B215" s="10">
        <v>7.4499999999999997E-2</v>
      </c>
      <c r="C215" s="10">
        <v>0.25093100000000002</v>
      </c>
      <c r="D215" s="14">
        <f t="shared" si="6"/>
        <v>7.1014120370370373E-2</v>
      </c>
      <c r="E215" s="14">
        <f t="shared" si="6"/>
        <v>0.24744512037037039</v>
      </c>
      <c r="F215" s="14">
        <f>[1]Regression!$B$17+[1]Regression!$B$18*Returns!D215</f>
        <v>4.2737660468484755E-2</v>
      </c>
      <c r="G215" s="14">
        <f t="shared" si="7"/>
        <v>0.20470745990188563</v>
      </c>
    </row>
    <row r="216" spans="1:7" x14ac:dyDescent="0.35">
      <c r="A216" s="18">
        <v>36100</v>
      </c>
      <c r="B216" s="10">
        <v>6.409999999999999E-2</v>
      </c>
      <c r="C216" s="10">
        <v>-1.1979999999999999E-2</v>
      </c>
      <c r="D216" s="14">
        <f t="shared" si="6"/>
        <v>6.0614120370370367E-2</v>
      </c>
      <c r="E216" s="14">
        <f t="shared" si="6"/>
        <v>-1.5465879629629625E-2</v>
      </c>
      <c r="F216" s="14">
        <f>[1]Regression!$B$17+[1]Regression!$B$18*Returns!D216</f>
        <v>3.7328425223506941E-2</v>
      </c>
      <c r="G216" s="14">
        <f t="shared" si="7"/>
        <v>-5.2794304853136562E-2</v>
      </c>
    </row>
    <row r="217" spans="1:7" x14ac:dyDescent="0.35">
      <c r="A217" s="18">
        <v>36130</v>
      </c>
      <c r="B217" s="10">
        <v>6.54E-2</v>
      </c>
      <c r="C217" s="10">
        <v>4.2083000000000002E-2</v>
      </c>
      <c r="D217" s="14">
        <f t="shared" si="6"/>
        <v>6.1914120370370376E-2</v>
      </c>
      <c r="E217" s="14">
        <f t="shared" si="6"/>
        <v>3.8597120370370379E-2</v>
      </c>
      <c r="F217" s="14">
        <f>[1]Regression!$B$17+[1]Regression!$B$18*Returns!D217</f>
        <v>3.8004579629129169E-2</v>
      </c>
      <c r="G217" s="14">
        <f t="shared" si="7"/>
        <v>5.9254074124120981E-4</v>
      </c>
    </row>
    <row r="218" spans="1:7" x14ac:dyDescent="0.35">
      <c r="A218" s="18">
        <v>36161</v>
      </c>
      <c r="B218" s="10">
        <v>3.85E-2</v>
      </c>
      <c r="C218" s="10">
        <v>-1.67E-3</v>
      </c>
      <c r="D218" s="14">
        <f t="shared" si="6"/>
        <v>3.5014120370370376E-2</v>
      </c>
      <c r="E218" s="14">
        <f t="shared" si="6"/>
        <v>-5.1558796296296266E-3</v>
      </c>
      <c r="F218" s="14">
        <f>[1]Regression!$B$17+[1]Regression!$B$18*Returns!D218</f>
        <v>2.4013384620484649E-2</v>
      </c>
      <c r="G218" s="14">
        <f t="shared" si="7"/>
        <v>-2.9169264250114277E-2</v>
      </c>
    </row>
    <row r="219" spans="1:7" x14ac:dyDescent="0.35">
      <c r="A219" s="18">
        <v>36192</v>
      </c>
      <c r="B219" s="10">
        <v>-3.73E-2</v>
      </c>
      <c r="C219" s="10">
        <v>-1.5131E-2</v>
      </c>
      <c r="D219" s="14">
        <f t="shared" si="6"/>
        <v>-4.0785879629629623E-2</v>
      </c>
      <c r="E219" s="14">
        <f t="shared" si="6"/>
        <v>-1.8616879629629626E-2</v>
      </c>
      <c r="F219" s="14">
        <f>[1]Regression!$B$17+[1]Regression!$B$18*Returns!D219</f>
        <v>-1.5411618415026683E-2</v>
      </c>
      <c r="G219" s="14">
        <f t="shared" si="7"/>
        <v>-3.2052612146029422E-3</v>
      </c>
    </row>
    <row r="220" spans="1:7" x14ac:dyDescent="0.35">
      <c r="A220" s="18">
        <v>36220</v>
      </c>
      <c r="B220" s="10">
        <v>3.8800000000000001E-2</v>
      </c>
      <c r="C220" s="10">
        <v>9.4273999999999997E-2</v>
      </c>
      <c r="D220" s="14">
        <f t="shared" si="6"/>
        <v>3.5314120370370378E-2</v>
      </c>
      <c r="E220" s="14">
        <f t="shared" si="6"/>
        <v>9.0788120370370373E-2</v>
      </c>
      <c r="F220" s="14">
        <f>[1]Regression!$B$17+[1]Regression!$B$18*Returns!D220</f>
        <v>2.4169420252551317E-2</v>
      </c>
      <c r="G220" s="14">
        <f t="shared" si="7"/>
        <v>6.6618700117819063E-2</v>
      </c>
    </row>
    <row r="221" spans="1:7" x14ac:dyDescent="0.35">
      <c r="A221" s="18">
        <v>36251</v>
      </c>
      <c r="B221" s="10">
        <v>4.7E-2</v>
      </c>
      <c r="C221" s="10">
        <v>-3.9209000000000001E-2</v>
      </c>
      <c r="D221" s="14">
        <f t="shared" si="6"/>
        <v>4.3514120370370377E-2</v>
      </c>
      <c r="E221" s="14">
        <f t="shared" si="6"/>
        <v>-4.2694879629629624E-2</v>
      </c>
      <c r="F221" s="14">
        <f>[1]Regression!$B$17+[1]Regression!$B$18*Returns!D221</f>
        <v>2.8434394195706897E-2</v>
      </c>
      <c r="G221" s="14">
        <f t="shared" si="7"/>
        <v>-7.1129273825336514E-2</v>
      </c>
    </row>
    <row r="222" spans="1:7" x14ac:dyDescent="0.35">
      <c r="A222" s="18">
        <v>36281</v>
      </c>
      <c r="B222" s="10">
        <v>-2.12E-2</v>
      </c>
      <c r="C222" s="10">
        <v>-4.6639999999999997E-3</v>
      </c>
      <c r="D222" s="14">
        <f t="shared" si="6"/>
        <v>-2.4685879629629627E-2</v>
      </c>
      <c r="E222" s="14">
        <f t="shared" si="6"/>
        <v>-8.149879629629625E-3</v>
      </c>
      <c r="F222" s="14">
        <f>[1]Regression!$B$17+[1]Regression!$B$18*Returns!D222</f>
        <v>-7.0377061607821926E-3</v>
      </c>
      <c r="G222" s="14">
        <f t="shared" si="7"/>
        <v>-1.1121734688474324E-3</v>
      </c>
    </row>
    <row r="223" spans="1:7" x14ac:dyDescent="0.35">
      <c r="A223" s="18">
        <v>36312</v>
      </c>
      <c r="B223" s="10">
        <v>5.1699999999999996E-2</v>
      </c>
      <c r="C223" s="10">
        <v>-4.4177000000000001E-2</v>
      </c>
      <c r="D223" s="14">
        <f t="shared" si="6"/>
        <v>4.8214120370370372E-2</v>
      </c>
      <c r="E223" s="14">
        <f t="shared" si="6"/>
        <v>-4.7662879629629624E-2</v>
      </c>
      <c r="F223" s="14">
        <f>[1]Regression!$B$17+[1]Regression!$B$18*Returns!D223</f>
        <v>3.0878952431418021E-2</v>
      </c>
      <c r="G223" s="14">
        <f t="shared" si="7"/>
        <v>-7.8541832061047645E-2</v>
      </c>
    </row>
    <row r="224" spans="1:7" x14ac:dyDescent="0.35">
      <c r="A224" s="18">
        <v>36342</v>
      </c>
      <c r="B224" s="10">
        <v>-3.0900000000000004E-2</v>
      </c>
      <c r="C224" s="10">
        <v>1.8291000000000002E-2</v>
      </c>
      <c r="D224" s="14">
        <f t="shared" si="6"/>
        <v>-3.4385879629629627E-2</v>
      </c>
      <c r="E224" s="14">
        <f t="shared" si="6"/>
        <v>1.4805120370370375E-2</v>
      </c>
      <c r="F224" s="14">
        <f>[1]Regression!$B$17+[1]Regression!$B$18*Returns!D224</f>
        <v>-1.2082858264271109E-2</v>
      </c>
      <c r="G224" s="14">
        <f t="shared" si="7"/>
        <v>2.6887978634641485E-2</v>
      </c>
    </row>
    <row r="225" spans="1:7" x14ac:dyDescent="0.35">
      <c r="A225" s="18">
        <v>36373</v>
      </c>
      <c r="B225" s="10">
        <v>-9.8999999999999991E-3</v>
      </c>
      <c r="C225" s="10">
        <v>9.5927999999999999E-2</v>
      </c>
      <c r="D225" s="14">
        <f t="shared" si="6"/>
        <v>-1.3385879629629626E-2</v>
      </c>
      <c r="E225" s="14">
        <f t="shared" si="6"/>
        <v>9.2442120370370376E-2</v>
      </c>
      <c r="F225" s="14">
        <f>[1]Regression!$B$17+[1]Regression!$B$18*Returns!D225</f>
        <v>-1.1603640196043812E-3</v>
      </c>
      <c r="G225" s="14">
        <f t="shared" si="7"/>
        <v>9.3602484389974761E-2</v>
      </c>
    </row>
    <row r="226" spans="1:7" x14ac:dyDescent="0.35">
      <c r="A226" s="18">
        <v>36404</v>
      </c>
      <c r="B226" s="10">
        <v>-2.4199999999999999E-2</v>
      </c>
      <c r="C226" s="10">
        <v>-5.5416E-2</v>
      </c>
      <c r="D226" s="14">
        <f t="shared" si="6"/>
        <v>-2.7685879629629626E-2</v>
      </c>
      <c r="E226" s="14">
        <f t="shared" si="6"/>
        <v>-5.8901879629629623E-2</v>
      </c>
      <c r="F226" s="14">
        <f>[1]Regression!$B$17+[1]Regression!$B$18*Returns!D226</f>
        <v>-8.598062481448867E-3</v>
      </c>
      <c r="G226" s="14">
        <f t="shared" si="7"/>
        <v>-5.030381714818076E-2</v>
      </c>
    </row>
    <row r="227" spans="1:7" x14ac:dyDescent="0.35">
      <c r="A227" s="18">
        <v>36434</v>
      </c>
      <c r="B227" s="10">
        <v>6.5199999999999994E-2</v>
      </c>
      <c r="C227" s="10">
        <v>0.12207999999999999</v>
      </c>
      <c r="D227" s="14">
        <f t="shared" si="6"/>
        <v>6.1714120370370371E-2</v>
      </c>
      <c r="E227" s="14">
        <f t="shared" si="6"/>
        <v>0.11859412037037037</v>
      </c>
      <c r="F227" s="14">
        <f>[1]Regression!$B$17+[1]Regression!$B$18*Returns!D227</f>
        <v>3.7900555874418054E-2</v>
      </c>
      <c r="G227" s="14">
        <f t="shared" si="7"/>
        <v>8.0693564495952316E-2</v>
      </c>
    </row>
    <row r="228" spans="1:7" x14ac:dyDescent="0.35">
      <c r="A228" s="18">
        <v>36465</v>
      </c>
      <c r="B228" s="10">
        <v>3.73E-2</v>
      </c>
      <c r="C228" s="10">
        <v>3.4564999999999999E-2</v>
      </c>
      <c r="D228" s="14">
        <f t="shared" si="6"/>
        <v>3.3814120370370376E-2</v>
      </c>
      <c r="E228" s="14">
        <f t="shared" si="6"/>
        <v>3.1079120370370372E-2</v>
      </c>
      <c r="F228" s="14">
        <f>[1]Regression!$B$17+[1]Regression!$B$18*Returns!D228</f>
        <v>2.3389242092217981E-2</v>
      </c>
      <c r="G228" s="14">
        <f t="shared" si="7"/>
        <v>7.6898782781523907E-3</v>
      </c>
    </row>
    <row r="229" spans="1:7" x14ac:dyDescent="0.35">
      <c r="A229" s="18">
        <v>36495</v>
      </c>
      <c r="B229" s="10">
        <v>8.1600000000000006E-2</v>
      </c>
      <c r="C229" s="10">
        <v>9.7929999999999996E-3</v>
      </c>
      <c r="D229" s="14">
        <f t="shared" si="6"/>
        <v>7.8114120370370382E-2</v>
      </c>
      <c r="E229" s="14">
        <f t="shared" si="6"/>
        <v>6.3071203703703735E-3</v>
      </c>
      <c r="F229" s="14">
        <f>[1]Regression!$B$17+[1]Regression!$B$18*Returns!D229</f>
        <v>4.6430503760729221E-2</v>
      </c>
      <c r="G229" s="14">
        <f t="shared" si="7"/>
        <v>-4.0123383390358848E-2</v>
      </c>
    </row>
    <row r="230" spans="1:7" x14ac:dyDescent="0.35">
      <c r="A230" s="18">
        <v>36526</v>
      </c>
      <c r="B230" s="10">
        <v>-4.3299999999999998E-2</v>
      </c>
      <c r="C230" s="10">
        <v>-7.4661000000000005E-2</v>
      </c>
      <c r="D230" s="14">
        <f t="shared" si="6"/>
        <v>-4.6785879629629622E-2</v>
      </c>
      <c r="E230" s="14">
        <f t="shared" si="6"/>
        <v>-7.8146879629629629E-2</v>
      </c>
      <c r="F230" s="14">
        <f>[1]Regression!$B$17+[1]Regression!$B$18*Returns!D230</f>
        <v>-1.8532331056360034E-2</v>
      </c>
      <c r="G230" s="14">
        <f t="shared" si="7"/>
        <v>-5.9614548573269595E-2</v>
      </c>
    </row>
    <row r="231" spans="1:7" x14ac:dyDescent="0.35">
      <c r="A231" s="18">
        <v>36557</v>
      </c>
      <c r="B231" s="10">
        <v>2.8800000000000003E-2</v>
      </c>
      <c r="C231" s="10">
        <v>-0.13048899999999999</v>
      </c>
      <c r="D231" s="14">
        <f t="shared" si="6"/>
        <v>2.5314120370370376E-2</v>
      </c>
      <c r="E231" s="14">
        <f t="shared" si="6"/>
        <v>-0.13397487962962962</v>
      </c>
      <c r="F231" s="14">
        <f>[1]Regression!$B$17+[1]Regression!$B$18*Returns!D231</f>
        <v>1.8968232516995732E-2</v>
      </c>
      <c r="G231" s="14">
        <f t="shared" si="7"/>
        <v>-0.15294311214662534</v>
      </c>
    </row>
    <row r="232" spans="1:7" x14ac:dyDescent="0.35">
      <c r="A232" s="18">
        <v>36586</v>
      </c>
      <c r="B232" s="10">
        <v>5.67E-2</v>
      </c>
      <c r="C232" s="10">
        <v>-0.357041</v>
      </c>
      <c r="D232" s="14">
        <f t="shared" si="6"/>
        <v>5.3214120370370377E-2</v>
      </c>
      <c r="E232" s="14">
        <f t="shared" si="6"/>
        <v>-0.36052687962962965</v>
      </c>
      <c r="F232" s="14">
        <f>[1]Regression!$B$17+[1]Regression!$B$18*Returns!D232</f>
        <v>3.3479546299195813E-2</v>
      </c>
      <c r="G232" s="14">
        <f t="shared" si="7"/>
        <v>-0.39400642592882545</v>
      </c>
    </row>
    <row r="233" spans="1:7" x14ac:dyDescent="0.35">
      <c r="A233" s="18">
        <v>36617</v>
      </c>
      <c r="B233" s="10">
        <v>-5.9400000000000001E-2</v>
      </c>
      <c r="C233" s="10">
        <v>6.3186000000000006E-2</v>
      </c>
      <c r="D233" s="14">
        <f t="shared" si="6"/>
        <v>-6.2885879629629632E-2</v>
      </c>
      <c r="E233" s="14">
        <f t="shared" si="6"/>
        <v>5.9700120370370383E-2</v>
      </c>
      <c r="F233" s="14">
        <f>[1]Regression!$B$17+[1]Regression!$B$18*Returns!D233</f>
        <v>-2.6906243310604532E-2</v>
      </c>
      <c r="G233" s="14">
        <f t="shared" si="7"/>
        <v>8.6606363680974907E-2</v>
      </c>
    </row>
    <row r="234" spans="1:7" x14ac:dyDescent="0.35">
      <c r="A234" s="18">
        <v>36647</v>
      </c>
      <c r="B234" s="10">
        <v>-3.9199999999999999E-2</v>
      </c>
      <c r="C234" s="10">
        <v>0.112971</v>
      </c>
      <c r="D234" s="14">
        <f t="shared" si="6"/>
        <v>-4.2685879629629622E-2</v>
      </c>
      <c r="E234" s="14">
        <f t="shared" si="6"/>
        <v>0.10948512037037038</v>
      </c>
      <c r="F234" s="14">
        <f>[1]Regression!$B$17+[1]Regression!$B$18*Returns!D234</f>
        <v>-1.639984408478224E-2</v>
      </c>
      <c r="G234" s="14">
        <f t="shared" si="7"/>
        <v>0.12588496445515263</v>
      </c>
    </row>
    <row r="235" spans="1:7" x14ac:dyDescent="0.35">
      <c r="A235" s="18">
        <v>36678</v>
      </c>
      <c r="B235" s="10">
        <v>5.04E-2</v>
      </c>
      <c r="C235" s="10">
        <v>-0.139098</v>
      </c>
      <c r="D235" s="14">
        <f t="shared" si="6"/>
        <v>4.6914120370370377E-2</v>
      </c>
      <c r="E235" s="14">
        <f t="shared" si="6"/>
        <v>-0.14258387962962962</v>
      </c>
      <c r="F235" s="14">
        <f>[1]Regression!$B$17+[1]Regression!$B$18*Returns!D235</f>
        <v>3.0202798025795799E-2</v>
      </c>
      <c r="G235" s="14">
        <f t="shared" si="7"/>
        <v>-0.17278667765542544</v>
      </c>
    </row>
    <row r="236" spans="1:7" x14ac:dyDescent="0.35">
      <c r="A236" s="18">
        <v>36708</v>
      </c>
      <c r="B236" s="10">
        <v>-2.0299999999999999E-2</v>
      </c>
      <c r="C236" s="10">
        <v>-4.37E-4</v>
      </c>
      <c r="D236" s="14">
        <f t="shared" si="6"/>
        <v>-2.3785879629629626E-2</v>
      </c>
      <c r="E236" s="14">
        <f t="shared" si="6"/>
        <v>-3.922879629629626E-3</v>
      </c>
      <c r="F236" s="14">
        <f>[1]Regression!$B$17+[1]Regression!$B$18*Returns!D236</f>
        <v>-6.5695992645821884E-3</v>
      </c>
      <c r="G236" s="14">
        <f t="shared" si="7"/>
        <v>2.6467196349525624E-3</v>
      </c>
    </row>
    <row r="237" spans="1:7" x14ac:dyDescent="0.35">
      <c r="A237" s="18">
        <v>36739</v>
      </c>
      <c r="B237" s="10">
        <v>7.5300000000000006E-2</v>
      </c>
      <c r="C237" s="10">
        <v>8.6813000000000001E-2</v>
      </c>
      <c r="D237" s="14">
        <f t="shared" si="6"/>
        <v>7.1814120370370382E-2</v>
      </c>
      <c r="E237" s="14">
        <f t="shared" si="6"/>
        <v>8.3327120370370378E-2</v>
      </c>
      <c r="F237" s="14">
        <f>[1]Regression!$B$17+[1]Regression!$B$18*Returns!D237</f>
        <v>4.31537554873292E-2</v>
      </c>
      <c r="G237" s="14">
        <f t="shared" si="7"/>
        <v>4.0173364883041178E-2</v>
      </c>
    </row>
    <row r="238" spans="1:7" x14ac:dyDescent="0.35">
      <c r="A238" s="18">
        <v>36770</v>
      </c>
      <c r="B238" s="10">
        <v>-4.9400000000000006E-2</v>
      </c>
      <c r="C238" s="10">
        <v>8.3922999999999998E-2</v>
      </c>
      <c r="D238" s="14">
        <f t="shared" si="6"/>
        <v>-5.288587962962963E-2</v>
      </c>
      <c r="E238" s="14">
        <f t="shared" si="6"/>
        <v>8.0437120370370374E-2</v>
      </c>
      <c r="F238" s="14">
        <f>[1]Regression!$B$17+[1]Regression!$B$18*Returns!D238</f>
        <v>-2.170505557504894E-2</v>
      </c>
      <c r="G238" s="14">
        <f t="shared" si="7"/>
        <v>0.10214217594541931</v>
      </c>
    </row>
    <row r="239" spans="1:7" x14ac:dyDescent="0.35">
      <c r="A239" s="18">
        <v>36800</v>
      </c>
      <c r="B239" s="10">
        <v>-2.1999999999999999E-2</v>
      </c>
      <c r="C239" s="10">
        <v>7.1455000000000005E-2</v>
      </c>
      <c r="D239" s="14">
        <f t="shared" si="6"/>
        <v>-2.5485879629629626E-2</v>
      </c>
      <c r="E239" s="14">
        <f t="shared" si="6"/>
        <v>6.7969120370370381E-2</v>
      </c>
      <c r="F239" s="14">
        <f>[1]Regression!$B$17+[1]Regression!$B$18*Returns!D239</f>
        <v>-7.4538011796266377E-3</v>
      </c>
      <c r="G239" s="14">
        <f t="shared" si="7"/>
        <v>7.5422921549997024E-2</v>
      </c>
    </row>
    <row r="240" spans="1:7" x14ac:dyDescent="0.35">
      <c r="A240" s="18">
        <v>36831</v>
      </c>
      <c r="B240" s="10">
        <v>-0.10210000000000001</v>
      </c>
      <c r="C240" s="10">
        <v>4.8119000000000002E-2</v>
      </c>
      <c r="D240" s="14">
        <f t="shared" si="6"/>
        <v>-0.10558587962962963</v>
      </c>
      <c r="E240" s="14">
        <f t="shared" si="6"/>
        <v>4.4633120370370379E-2</v>
      </c>
      <c r="F240" s="14">
        <f>[1]Regression!$B$17+[1]Regression!$B$18*Returns!D240</f>
        <v>-4.9115314941426874E-2</v>
      </c>
      <c r="G240" s="14">
        <f t="shared" si="7"/>
        <v>9.3748435311797246E-2</v>
      </c>
    </row>
    <row r="241" spans="1:7" x14ac:dyDescent="0.35">
      <c r="A241" s="18">
        <v>36861</v>
      </c>
      <c r="B241" s="10">
        <v>1.6899999999999998E-2</v>
      </c>
      <c r="C241" s="10">
        <v>4.7579000000000003E-2</v>
      </c>
      <c r="D241" s="14">
        <f t="shared" si="6"/>
        <v>1.3414120370370371E-2</v>
      </c>
      <c r="E241" s="14">
        <f t="shared" si="6"/>
        <v>4.409312037037038E-2</v>
      </c>
      <c r="F241" s="14">
        <f>[1]Regression!$B$17+[1]Regression!$B$18*Returns!D241</f>
        <v>1.2778819111684585E-2</v>
      </c>
      <c r="G241" s="14">
        <f t="shared" si="7"/>
        <v>3.1314301258685798E-2</v>
      </c>
    </row>
    <row r="242" spans="1:7" x14ac:dyDescent="0.35">
      <c r="A242" s="18">
        <v>36892</v>
      </c>
      <c r="B242" s="10">
        <v>3.6699999999999997E-2</v>
      </c>
      <c r="C242" s="10">
        <v>-7.9648999999999998E-2</v>
      </c>
      <c r="D242" s="14">
        <f t="shared" si="6"/>
        <v>3.3214120370370373E-2</v>
      </c>
      <c r="E242" s="14">
        <f t="shared" si="6"/>
        <v>-8.3134879629629621E-2</v>
      </c>
      <c r="F242" s="14">
        <f>[1]Regression!$B$17+[1]Regression!$B$18*Returns!D242</f>
        <v>2.3077170828084644E-2</v>
      </c>
      <c r="G242" s="14">
        <f t="shared" si="7"/>
        <v>-0.10621205045771426</v>
      </c>
    </row>
    <row r="243" spans="1:7" x14ac:dyDescent="0.35">
      <c r="A243" s="18">
        <v>36923</v>
      </c>
      <c r="B243" s="10">
        <v>-9.6699999999999994E-2</v>
      </c>
      <c r="C243" s="10">
        <v>-1.8652999999999999E-2</v>
      </c>
      <c r="D243" s="14">
        <f t="shared" si="6"/>
        <v>-0.10018587962962962</v>
      </c>
      <c r="E243" s="14">
        <f t="shared" si="6"/>
        <v>-2.2138879629629626E-2</v>
      </c>
      <c r="F243" s="14">
        <f>[1]Regression!$B$17+[1]Regression!$B$18*Returns!D243</f>
        <v>-4.6306673564226852E-2</v>
      </c>
      <c r="G243" s="14">
        <f t="shared" si="7"/>
        <v>2.4167793934597226E-2</v>
      </c>
    </row>
    <row r="244" spans="1:7" x14ac:dyDescent="0.35">
      <c r="A244" s="18">
        <v>36951</v>
      </c>
      <c r="B244" s="10">
        <v>-6.8400000000000002E-2</v>
      </c>
      <c r="C244" s="10">
        <v>-0.112057</v>
      </c>
      <c r="D244" s="14">
        <f t="shared" si="6"/>
        <v>-7.1885879629629626E-2</v>
      </c>
      <c r="E244" s="14">
        <f t="shared" si="6"/>
        <v>-0.11554287962962963</v>
      </c>
      <c r="F244" s="14">
        <f>[1]Regression!$B$17+[1]Regression!$B$18*Returns!D244</f>
        <v>-3.1587312272604556E-2</v>
      </c>
      <c r="G244" s="14">
        <f t="shared" si="7"/>
        <v>-8.3955567357025071E-2</v>
      </c>
    </row>
    <row r="245" spans="1:7" x14ac:dyDescent="0.35">
      <c r="A245" s="18">
        <v>36982</v>
      </c>
      <c r="B245" s="10">
        <v>8.3299999999999999E-2</v>
      </c>
      <c r="C245" s="10">
        <v>-3.5144000000000002E-2</v>
      </c>
      <c r="D245" s="14">
        <f t="shared" si="6"/>
        <v>7.9814120370370376E-2</v>
      </c>
      <c r="E245" s="14">
        <f t="shared" si="6"/>
        <v>-3.8629879629629625E-2</v>
      </c>
      <c r="F245" s="14">
        <f>[1]Regression!$B$17+[1]Regression!$B$18*Returns!D245</f>
        <v>4.7314705675773665E-2</v>
      </c>
      <c r="G245" s="14">
        <f t="shared" si="7"/>
        <v>-8.594458530540329E-2</v>
      </c>
    </row>
    <row r="246" spans="1:7" x14ac:dyDescent="0.35">
      <c r="A246" s="18">
        <v>37012</v>
      </c>
      <c r="B246" s="10">
        <v>1.04E-2</v>
      </c>
      <c r="C246" s="10">
        <v>6.9775000000000004E-2</v>
      </c>
      <c r="D246" s="14">
        <f t="shared" si="6"/>
        <v>6.9141203703703734E-3</v>
      </c>
      <c r="E246" s="14">
        <f t="shared" si="6"/>
        <v>6.628912037037038E-2</v>
      </c>
      <c r="F246" s="14">
        <f>[1]Regression!$B$17+[1]Regression!$B$18*Returns!D246</f>
        <v>9.3980470835734551E-3</v>
      </c>
      <c r="G246" s="14">
        <f t="shared" si="7"/>
        <v>5.6891073286796927E-2</v>
      </c>
    </row>
    <row r="247" spans="1:7" x14ac:dyDescent="0.35">
      <c r="A247" s="18">
        <v>37043</v>
      </c>
      <c r="B247" s="10">
        <v>-1.66E-2</v>
      </c>
      <c r="C247" s="10">
        <v>-6.8490000000000001E-3</v>
      </c>
      <c r="D247" s="14">
        <f t="shared" si="6"/>
        <v>-2.0085879629629627E-2</v>
      </c>
      <c r="E247" s="14">
        <f t="shared" si="6"/>
        <v>-1.0334879629629626E-2</v>
      </c>
      <c r="F247" s="14">
        <f>[1]Regression!$B$17+[1]Regression!$B$18*Returns!D247</f>
        <v>-4.6451598024266228E-3</v>
      </c>
      <c r="G247" s="14">
        <f t="shared" si="7"/>
        <v>-5.6897198272030033E-3</v>
      </c>
    </row>
    <row r="248" spans="1:7" x14ac:dyDescent="0.35">
      <c r="A248" s="18">
        <v>37073</v>
      </c>
      <c r="B248" s="10">
        <v>-1.8299999999999997E-2</v>
      </c>
      <c r="C248" s="10">
        <v>0.11912200000000001</v>
      </c>
      <c r="D248" s="14">
        <f t="shared" si="6"/>
        <v>-2.1785879629629624E-2</v>
      </c>
      <c r="E248" s="14">
        <f t="shared" si="6"/>
        <v>0.11563612037037038</v>
      </c>
      <c r="F248" s="14">
        <f>[1]Regression!$B$17+[1]Regression!$B$18*Returns!D248</f>
        <v>-5.5293617174710704E-3</v>
      </c>
      <c r="G248" s="14">
        <f t="shared" si="7"/>
        <v>0.12116548208784145</v>
      </c>
    </row>
    <row r="249" spans="1:7" x14ac:dyDescent="0.35">
      <c r="A249" s="18">
        <v>37104</v>
      </c>
      <c r="B249" s="10">
        <v>-6.1500000000000006E-2</v>
      </c>
      <c r="C249" s="10">
        <v>4.4072E-2</v>
      </c>
      <c r="D249" s="14">
        <f t="shared" si="6"/>
        <v>-6.4985879629629636E-2</v>
      </c>
      <c r="E249" s="14">
        <f t="shared" si="6"/>
        <v>4.0586120370370377E-2</v>
      </c>
      <c r="F249" s="14">
        <f>[1]Regression!$B$17+[1]Regression!$B$18*Returns!D249</f>
        <v>-2.7998492735071205E-2</v>
      </c>
      <c r="G249" s="14">
        <f t="shared" si="7"/>
        <v>6.8584613105441589E-2</v>
      </c>
    </row>
    <row r="250" spans="1:7" x14ac:dyDescent="0.35">
      <c r="A250" s="18">
        <v>37135</v>
      </c>
      <c r="B250" s="10">
        <v>-8.9700000000000002E-2</v>
      </c>
      <c r="C250" s="10">
        <v>-1.8341E-2</v>
      </c>
      <c r="D250" s="14">
        <f t="shared" si="6"/>
        <v>-9.3185879629629625E-2</v>
      </c>
      <c r="E250" s="14">
        <f t="shared" si="6"/>
        <v>-2.1826879629629627E-2</v>
      </c>
      <c r="F250" s="14">
        <f>[1]Regression!$B$17+[1]Regression!$B$18*Returns!D250</f>
        <v>-4.2665842149337947E-2</v>
      </c>
      <c r="G250" s="14">
        <f t="shared" si="7"/>
        <v>2.0838962519708321E-2</v>
      </c>
    </row>
    <row r="251" spans="1:7" x14ac:dyDescent="0.35">
      <c r="A251" s="18">
        <v>37165</v>
      </c>
      <c r="B251" s="10">
        <v>2.6800000000000001E-2</v>
      </c>
      <c r="C251" s="10">
        <v>1.8821000000000001E-2</v>
      </c>
      <c r="D251" s="14">
        <f t="shared" si="6"/>
        <v>2.3314120370370374E-2</v>
      </c>
      <c r="E251" s="14">
        <f t="shared" si="6"/>
        <v>1.5335120370370374E-2</v>
      </c>
      <c r="F251" s="14">
        <f>[1]Regression!$B$17+[1]Regression!$B$18*Returns!D251</f>
        <v>1.7927994969884613E-2</v>
      </c>
      <c r="G251" s="14">
        <f t="shared" si="7"/>
        <v>-2.5928745995142388E-3</v>
      </c>
    </row>
    <row r="252" spans="1:7" x14ac:dyDescent="0.35">
      <c r="A252" s="18">
        <v>37196</v>
      </c>
      <c r="B252" s="10">
        <v>7.7100000000000002E-2</v>
      </c>
      <c r="C252" s="10">
        <v>4.9877999999999999E-2</v>
      </c>
      <c r="D252" s="14">
        <f t="shared" si="6"/>
        <v>7.3614120370370378E-2</v>
      </c>
      <c r="E252" s="14">
        <f t="shared" si="6"/>
        <v>4.6392120370370375E-2</v>
      </c>
      <c r="F252" s="14">
        <f>[1]Regression!$B$17+[1]Regression!$B$18*Returns!D252</f>
        <v>4.4089969279729205E-2</v>
      </c>
      <c r="G252" s="14">
        <f t="shared" si="7"/>
        <v>2.3021510906411705E-3</v>
      </c>
    </row>
    <row r="253" spans="1:7" x14ac:dyDescent="0.35">
      <c r="A253" s="18">
        <v>37226</v>
      </c>
      <c r="B253" s="10">
        <v>1.7600000000000001E-2</v>
      </c>
      <c r="C253" s="10">
        <v>2.1558999999999998E-2</v>
      </c>
      <c r="D253" s="14">
        <f t="shared" si="6"/>
        <v>1.4114120370370374E-2</v>
      </c>
      <c r="E253" s="14">
        <f t="shared" si="6"/>
        <v>1.8073120370370371E-2</v>
      </c>
      <c r="F253" s="14">
        <f>[1]Regression!$B$17+[1]Regression!$B$18*Returns!D253</f>
        <v>1.3142902253173477E-2</v>
      </c>
      <c r="G253" s="14">
        <f t="shared" si="7"/>
        <v>4.9302181171968947E-3</v>
      </c>
    </row>
    <row r="254" spans="1:7" x14ac:dyDescent="0.35">
      <c r="A254" s="18">
        <v>37257</v>
      </c>
      <c r="B254" s="10">
        <v>-1.2999999999999998E-2</v>
      </c>
      <c r="C254" s="10">
        <v>3.7027999999999998E-2</v>
      </c>
      <c r="D254" s="14">
        <f t="shared" si="6"/>
        <v>-1.6485879629629625E-2</v>
      </c>
      <c r="E254" s="14">
        <f t="shared" si="6"/>
        <v>3.3542120370370375E-2</v>
      </c>
      <c r="F254" s="14">
        <f>[1]Regression!$B$17+[1]Regression!$B$18*Returns!D254</f>
        <v>-2.7727322176266112E-3</v>
      </c>
      <c r="G254" s="14">
        <f t="shared" si="7"/>
        <v>3.6314852587996986E-2</v>
      </c>
    </row>
    <row r="255" spans="1:7" x14ac:dyDescent="0.35">
      <c r="A255" s="18">
        <v>37288</v>
      </c>
      <c r="B255" s="10">
        <v>-2.1600000000000001E-2</v>
      </c>
      <c r="C255" s="10">
        <v>3.8074999999999998E-2</v>
      </c>
      <c r="D255" s="14">
        <f t="shared" si="6"/>
        <v>-2.5085879629629628E-2</v>
      </c>
      <c r="E255" s="14">
        <f t="shared" si="6"/>
        <v>3.4589120370370374E-2</v>
      </c>
      <c r="F255" s="14">
        <f>[1]Regression!$B$17+[1]Regression!$B$18*Returns!D255</f>
        <v>-7.2457536702044169E-3</v>
      </c>
      <c r="G255" s="14">
        <f t="shared" si="7"/>
        <v>4.1834874040574788E-2</v>
      </c>
    </row>
    <row r="256" spans="1:7" x14ac:dyDescent="0.35">
      <c r="A256" s="18">
        <v>37316</v>
      </c>
      <c r="B256" s="10">
        <v>4.3700000000000003E-2</v>
      </c>
      <c r="C256" s="10">
        <v>6.2506999999999993E-2</v>
      </c>
      <c r="D256" s="14">
        <f t="shared" si="6"/>
        <v>4.0214120370370379E-2</v>
      </c>
      <c r="E256" s="14">
        <f t="shared" si="6"/>
        <v>5.902112037037037E-2</v>
      </c>
      <c r="F256" s="14">
        <f>[1]Regression!$B$17+[1]Regression!$B$18*Returns!D256</f>
        <v>2.6718002242973556E-2</v>
      </c>
      <c r="G256" s="14">
        <f t="shared" si="7"/>
        <v>3.2303118127396814E-2</v>
      </c>
    </row>
    <row r="257" spans="1:7" x14ac:dyDescent="0.35">
      <c r="A257" s="18">
        <v>37347</v>
      </c>
      <c r="B257" s="10">
        <v>-5.0499999999999996E-2</v>
      </c>
      <c r="C257" s="10">
        <v>6.1050000000000002E-3</v>
      </c>
      <c r="D257" s="14">
        <f t="shared" si="6"/>
        <v>-5.398587962962962E-2</v>
      </c>
      <c r="E257" s="14">
        <f t="shared" si="6"/>
        <v>2.6191203703703741E-3</v>
      </c>
      <c r="F257" s="14">
        <f>[1]Regression!$B$17+[1]Regression!$B$18*Returns!D257</f>
        <v>-2.2277186225960054E-2</v>
      </c>
      <c r="G257" s="14">
        <f t="shared" si="7"/>
        <v>2.4896306596330429E-2</v>
      </c>
    </row>
    <row r="258" spans="1:7" x14ac:dyDescent="0.35">
      <c r="A258" s="18">
        <v>37377</v>
      </c>
      <c r="B258" s="10">
        <v>-1.2399999999999998E-2</v>
      </c>
      <c r="C258" s="10">
        <v>-7.8659999999999997E-3</v>
      </c>
      <c r="D258" s="14">
        <f t="shared" ref="D258:E321" si="8">B258-$J$2</f>
        <v>-1.5885879629629625E-2</v>
      </c>
      <c r="E258" s="14">
        <f t="shared" si="8"/>
        <v>-1.1351879629629625E-2</v>
      </c>
      <c r="F258" s="14">
        <f>[1]Regression!$B$17+[1]Regression!$B$18*Returns!D258</f>
        <v>-2.4606609534932773E-3</v>
      </c>
      <c r="G258" s="14">
        <f t="shared" si="7"/>
        <v>-8.8912186761363476E-3</v>
      </c>
    </row>
    <row r="259" spans="1:7" x14ac:dyDescent="0.35">
      <c r="A259" s="18">
        <v>37408</v>
      </c>
      <c r="B259" s="10">
        <v>-7.0800000000000002E-2</v>
      </c>
      <c r="C259" s="10">
        <v>5.4299999999999999E-3</v>
      </c>
      <c r="D259" s="14">
        <f t="shared" si="8"/>
        <v>-7.4285879629629625E-2</v>
      </c>
      <c r="E259" s="14">
        <f t="shared" si="8"/>
        <v>1.9441203703703738E-3</v>
      </c>
      <c r="F259" s="14">
        <f>[1]Regression!$B$17+[1]Regression!$B$18*Returns!D259</f>
        <v>-3.2835597329137892E-2</v>
      </c>
      <c r="G259" s="14">
        <f t="shared" ref="G259:G322" si="9">E259-F259</f>
        <v>3.4779717699508265E-2</v>
      </c>
    </row>
    <row r="260" spans="1:7" x14ac:dyDescent="0.35">
      <c r="A260" s="18">
        <v>37438</v>
      </c>
      <c r="B260" s="10">
        <v>-8.0299999999999996E-2</v>
      </c>
      <c r="C260" s="10">
        <v>1.1199999999999999E-3</v>
      </c>
      <c r="D260" s="14">
        <f t="shared" si="8"/>
        <v>-8.378587962962962E-2</v>
      </c>
      <c r="E260" s="14">
        <f t="shared" si="8"/>
        <v>-2.3658796296296262E-3</v>
      </c>
      <c r="F260" s="14">
        <f>[1]Regression!$B$17+[1]Regression!$B$18*Returns!D260</f>
        <v>-3.7776725677915693E-2</v>
      </c>
      <c r="G260" s="14">
        <f t="shared" si="9"/>
        <v>3.5410846048286065E-2</v>
      </c>
    </row>
    <row r="261" spans="1:7" x14ac:dyDescent="0.35">
      <c r="A261" s="18">
        <v>37469</v>
      </c>
      <c r="B261" s="10">
        <v>6.4000000000000003E-3</v>
      </c>
      <c r="C261" s="10">
        <v>-3.8210000000000002E-3</v>
      </c>
      <c r="D261" s="14">
        <f t="shared" si="8"/>
        <v>2.9141203703703742E-3</v>
      </c>
      <c r="E261" s="14">
        <f t="shared" si="8"/>
        <v>-7.3068796296296267E-3</v>
      </c>
      <c r="F261" s="14">
        <f>[1]Regression!$B$17+[1]Regression!$B$18*Returns!D261</f>
        <v>7.3175719893512218E-3</v>
      </c>
      <c r="G261" s="14">
        <f t="shared" si="9"/>
        <v>-1.4624451618980849E-2</v>
      </c>
    </row>
    <row r="262" spans="1:7" x14ac:dyDescent="0.35">
      <c r="A262" s="18">
        <v>37500</v>
      </c>
      <c r="B262" s="10">
        <v>-0.1021</v>
      </c>
      <c r="C262" s="10">
        <v>8.2349999999999993E-3</v>
      </c>
      <c r="D262" s="14">
        <f t="shared" si="8"/>
        <v>-0.10558587962962962</v>
      </c>
      <c r="E262" s="14">
        <f t="shared" si="8"/>
        <v>4.7491203703703732E-3</v>
      </c>
      <c r="F262" s="14">
        <f>[1]Regression!$B$17+[1]Regression!$B$18*Returns!D262</f>
        <v>-4.9115314941426867E-2</v>
      </c>
      <c r="G262" s="14">
        <f t="shared" si="9"/>
        <v>5.3864435311797243E-2</v>
      </c>
    </row>
    <row r="263" spans="1:7" x14ac:dyDescent="0.35">
      <c r="A263" s="18">
        <v>37530</v>
      </c>
      <c r="B263" s="10">
        <v>7.9799999999999996E-2</v>
      </c>
      <c r="C263" s="10">
        <v>-5.8180000000000003E-3</v>
      </c>
      <c r="D263" s="14">
        <f t="shared" si="8"/>
        <v>7.6314120370370372E-2</v>
      </c>
      <c r="E263" s="14">
        <f t="shared" si="8"/>
        <v>-9.3038796296296272E-3</v>
      </c>
      <c r="F263" s="14">
        <f>[1]Regression!$B$17+[1]Regression!$B$18*Returns!D263</f>
        <v>4.5494289968329209E-2</v>
      </c>
      <c r="G263" s="14">
        <f t="shared" si="9"/>
        <v>-5.4798169597958836E-2</v>
      </c>
    </row>
    <row r="264" spans="1:7" x14ac:dyDescent="0.35">
      <c r="A264" s="18">
        <v>37561</v>
      </c>
      <c r="B264" s="10">
        <v>6.08E-2</v>
      </c>
      <c r="C264" s="10">
        <v>-4.4318999999999997E-2</v>
      </c>
      <c r="D264" s="14">
        <f t="shared" si="8"/>
        <v>5.7314120370370376E-2</v>
      </c>
      <c r="E264" s="14">
        <f t="shared" si="8"/>
        <v>-4.7804879629629621E-2</v>
      </c>
      <c r="F264" s="14">
        <f>[1]Regression!$B$17+[1]Regression!$B$18*Returns!D264</f>
        <v>3.5612033270773606E-2</v>
      </c>
      <c r="G264" s="14">
        <f t="shared" si="9"/>
        <v>-8.3416912900403234E-2</v>
      </c>
    </row>
    <row r="265" spans="1:7" x14ac:dyDescent="0.35">
      <c r="A265" s="18">
        <v>37591</v>
      </c>
      <c r="B265" s="10">
        <v>-5.6499999999999995E-2</v>
      </c>
      <c r="C265" s="10">
        <v>1.6681000000000001E-2</v>
      </c>
      <c r="D265" s="14">
        <f t="shared" si="8"/>
        <v>-5.9985879629629618E-2</v>
      </c>
      <c r="E265" s="14">
        <f t="shared" si="8"/>
        <v>1.3195120370370374E-2</v>
      </c>
      <c r="F265" s="14">
        <f>[1]Regression!$B$17+[1]Regression!$B$18*Returns!D265</f>
        <v>-2.5397898867293399E-2</v>
      </c>
      <c r="G265" s="14">
        <f t="shared" si="9"/>
        <v>3.859301923766377E-2</v>
      </c>
    </row>
    <row r="266" spans="1:7" x14ac:dyDescent="0.35">
      <c r="A266" s="18">
        <v>37622</v>
      </c>
      <c r="B266" s="10">
        <v>-2.4699999999999996E-2</v>
      </c>
      <c r="C266" s="10">
        <v>4.6500000000000003E-4</v>
      </c>
      <c r="D266" s="14">
        <f t="shared" si="8"/>
        <v>-2.8185879629629623E-2</v>
      </c>
      <c r="E266" s="14">
        <f t="shared" si="8"/>
        <v>-3.020879629629626E-3</v>
      </c>
      <c r="F266" s="14">
        <f>[1]Regression!$B$17+[1]Regression!$B$18*Returns!D266</f>
        <v>-8.8581218682266451E-3</v>
      </c>
      <c r="G266" s="14">
        <f t="shared" si="9"/>
        <v>5.8372422385970192E-3</v>
      </c>
    </row>
    <row r="267" spans="1:7" x14ac:dyDescent="0.35">
      <c r="A267" s="18">
        <v>37653</v>
      </c>
      <c r="B267" s="10">
        <v>-1.7899999999999999E-2</v>
      </c>
      <c r="C267" s="10">
        <v>-4.3355999999999999E-2</v>
      </c>
      <c r="D267" s="14">
        <f t="shared" si="8"/>
        <v>-2.1385879629629626E-2</v>
      </c>
      <c r="E267" s="14">
        <f t="shared" si="8"/>
        <v>-4.6841879629629622E-2</v>
      </c>
      <c r="F267" s="14">
        <f>[1]Regression!$B$17+[1]Regression!$B$18*Returns!D267</f>
        <v>-5.3213142080488496E-3</v>
      </c>
      <c r="G267" s="14">
        <f t="shared" si="9"/>
        <v>-4.1520565421580773E-2</v>
      </c>
    </row>
    <row r="268" spans="1:7" x14ac:dyDescent="0.35">
      <c r="A268" s="18">
        <v>37681</v>
      </c>
      <c r="B268" s="10">
        <v>1.1900000000000001E-2</v>
      </c>
      <c r="C268" s="10">
        <v>8.7832999999999994E-2</v>
      </c>
      <c r="D268" s="14">
        <f t="shared" si="8"/>
        <v>8.4141203703703739E-3</v>
      </c>
      <c r="E268" s="14">
        <f t="shared" si="8"/>
        <v>8.4347120370370371E-2</v>
      </c>
      <c r="F268" s="14">
        <f>[1]Regression!$B$17+[1]Regression!$B$18*Returns!D268</f>
        <v>1.0178225243906793E-2</v>
      </c>
      <c r="G268" s="14">
        <f t="shared" si="9"/>
        <v>7.4168895126463574E-2</v>
      </c>
    </row>
    <row r="269" spans="1:7" x14ac:dyDescent="0.35">
      <c r="A269" s="18">
        <v>37712</v>
      </c>
      <c r="B269" s="10">
        <v>8.3199999999999996E-2</v>
      </c>
      <c r="C269" s="10">
        <v>1.3587999999999999E-2</v>
      </c>
      <c r="D269" s="14">
        <f t="shared" si="8"/>
        <v>7.9714120370370373E-2</v>
      </c>
      <c r="E269" s="14">
        <f t="shared" si="8"/>
        <v>1.0102120370370372E-2</v>
      </c>
      <c r="F269" s="14">
        <f>[1]Regression!$B$17+[1]Regression!$B$18*Returns!D269</f>
        <v>4.7262693798418111E-2</v>
      </c>
      <c r="G269" s="14">
        <f t="shared" si="9"/>
        <v>-3.7160573428047738E-2</v>
      </c>
    </row>
    <row r="270" spans="1:7" x14ac:dyDescent="0.35">
      <c r="A270" s="18">
        <v>37742</v>
      </c>
      <c r="B270" s="10">
        <v>6.1399999999999996E-2</v>
      </c>
      <c r="C270" s="10">
        <v>2.1925E-2</v>
      </c>
      <c r="D270" s="14">
        <f t="shared" si="8"/>
        <v>5.7914120370370373E-2</v>
      </c>
      <c r="E270" s="14">
        <f t="shared" si="8"/>
        <v>1.8439120370370373E-2</v>
      </c>
      <c r="F270" s="14">
        <f>[1]Regression!$B$17+[1]Regression!$B$18*Returns!D270</f>
        <v>3.5924104534906937E-2</v>
      </c>
      <c r="G270" s="14">
        <f t="shared" si="9"/>
        <v>-1.7484984164536563E-2</v>
      </c>
    </row>
    <row r="271" spans="1:7" x14ac:dyDescent="0.35">
      <c r="A271" s="18">
        <v>37773</v>
      </c>
      <c r="B271" s="10">
        <v>1.52E-2</v>
      </c>
      <c r="C271" s="10">
        <v>-2.8752E-2</v>
      </c>
      <c r="D271" s="14">
        <f t="shared" si="8"/>
        <v>1.1714120370370375E-2</v>
      </c>
      <c r="E271" s="14">
        <f t="shared" si="8"/>
        <v>-3.2237879629629623E-2</v>
      </c>
      <c r="F271" s="14">
        <f>[1]Regression!$B$17+[1]Regression!$B$18*Returns!D271</f>
        <v>1.1894617196640138E-2</v>
      </c>
      <c r="G271" s="14">
        <f t="shared" si="9"/>
        <v>-4.4132496826269761E-2</v>
      </c>
    </row>
    <row r="272" spans="1:7" x14ac:dyDescent="0.35">
      <c r="A272" s="18">
        <v>37803</v>
      </c>
      <c r="B272" s="10">
        <v>2.4199999999999999E-2</v>
      </c>
      <c r="C272" s="10">
        <v>-9.587E-3</v>
      </c>
      <c r="D272" s="14">
        <f t="shared" si="8"/>
        <v>2.0714120370370372E-2</v>
      </c>
      <c r="E272" s="14">
        <f t="shared" si="8"/>
        <v>-1.3072879629629625E-2</v>
      </c>
      <c r="F272" s="14">
        <f>[1]Regression!$B$17+[1]Regression!$B$18*Returns!D272</f>
        <v>1.6575686158640163E-2</v>
      </c>
      <c r="G272" s="14">
        <f t="shared" si="9"/>
        <v>-2.9648565788269788E-2</v>
      </c>
    </row>
    <row r="273" spans="1:7" x14ac:dyDescent="0.35">
      <c r="A273" s="18">
        <v>37834</v>
      </c>
      <c r="B273" s="10">
        <v>2.4099999999999996E-2</v>
      </c>
      <c r="C273" s="10">
        <v>-6.6010000000000001E-3</v>
      </c>
      <c r="D273" s="14">
        <f t="shared" si="8"/>
        <v>2.0614120370370369E-2</v>
      </c>
      <c r="E273" s="14">
        <f t="shared" si="8"/>
        <v>-1.0086879629629626E-2</v>
      </c>
      <c r="F273" s="14">
        <f>[1]Regression!$B$17+[1]Regression!$B$18*Returns!D273</f>
        <v>1.6523674281284602E-2</v>
      </c>
      <c r="G273" s="14">
        <f t="shared" si="9"/>
        <v>-2.6610553910914228E-2</v>
      </c>
    </row>
    <row r="274" spans="1:7" x14ac:dyDescent="0.35">
      <c r="A274" s="18">
        <v>37865</v>
      </c>
      <c r="B274" s="10">
        <v>-1.1599999999999999E-2</v>
      </c>
      <c r="C274" s="10">
        <v>6.3352000000000006E-2</v>
      </c>
      <c r="D274" s="14">
        <f t="shared" si="8"/>
        <v>-1.5085879629629626E-2</v>
      </c>
      <c r="E274" s="14">
        <f t="shared" si="8"/>
        <v>5.9866120370370382E-2</v>
      </c>
      <c r="F274" s="14">
        <f>[1]Regression!$B$17+[1]Regression!$B$18*Returns!D274</f>
        <v>-2.0445659346488305E-3</v>
      </c>
      <c r="G274" s="14">
        <f t="shared" si="9"/>
        <v>6.1910686305019211E-2</v>
      </c>
    </row>
    <row r="275" spans="1:7" x14ac:dyDescent="0.35">
      <c r="A275" s="18">
        <v>37895</v>
      </c>
      <c r="B275" s="10">
        <v>6.1500000000000006E-2</v>
      </c>
      <c r="C275" s="10">
        <v>6.3833000000000001E-2</v>
      </c>
      <c r="D275" s="14">
        <f t="shared" si="8"/>
        <v>5.8014120370370383E-2</v>
      </c>
      <c r="E275" s="14">
        <f t="shared" si="8"/>
        <v>6.0347120370370377E-2</v>
      </c>
      <c r="F275" s="14">
        <f>[1]Regression!$B$17+[1]Regression!$B$18*Returns!D275</f>
        <v>3.5976116412262497E-2</v>
      </c>
      <c r="G275" s="14">
        <f t="shared" si="9"/>
        <v>2.437100395810788E-2</v>
      </c>
    </row>
    <row r="276" spans="1:7" x14ac:dyDescent="0.35">
      <c r="A276" s="18">
        <v>37926</v>
      </c>
      <c r="B276" s="10">
        <v>1.4200000000000001E-2</v>
      </c>
      <c r="C276" s="10">
        <v>-2.0857000000000001E-2</v>
      </c>
      <c r="D276" s="14">
        <f t="shared" si="8"/>
        <v>1.0714120370370374E-2</v>
      </c>
      <c r="E276" s="14">
        <f t="shared" si="8"/>
        <v>-2.4342879629629628E-2</v>
      </c>
      <c r="F276" s="14">
        <f>[1]Regression!$B$17+[1]Regression!$B$18*Returns!D276</f>
        <v>1.1374498423084578E-2</v>
      </c>
      <c r="G276" s="14">
        <f t="shared" si="9"/>
        <v>-3.5717378052714202E-2</v>
      </c>
    </row>
    <row r="277" spans="1:7" x14ac:dyDescent="0.35">
      <c r="A277" s="18">
        <v>37956</v>
      </c>
      <c r="B277" s="10">
        <v>4.3700000000000003E-2</v>
      </c>
      <c r="C277" s="10">
        <v>3.7822000000000001E-2</v>
      </c>
      <c r="D277" s="14">
        <f t="shared" si="8"/>
        <v>4.0214120370370379E-2</v>
      </c>
      <c r="E277" s="14">
        <f t="shared" si="8"/>
        <v>3.4336120370370378E-2</v>
      </c>
      <c r="F277" s="14">
        <f>[1]Regression!$B$17+[1]Regression!$B$18*Returns!D277</f>
        <v>2.6718002242973556E-2</v>
      </c>
      <c r="G277" s="14">
        <f t="shared" si="9"/>
        <v>7.6181181273968224E-3</v>
      </c>
    </row>
    <row r="278" spans="1:7" x14ac:dyDescent="0.35">
      <c r="A278" s="18">
        <v>37987</v>
      </c>
      <c r="B278" s="10">
        <v>2.2199999999999998E-2</v>
      </c>
      <c r="C278" s="10">
        <v>1.6570000000000001E-2</v>
      </c>
      <c r="D278" s="14">
        <f t="shared" si="8"/>
        <v>1.8714120370370371E-2</v>
      </c>
      <c r="E278" s="14">
        <f t="shared" si="8"/>
        <v>1.3084120370370374E-2</v>
      </c>
      <c r="F278" s="14">
        <f>[1]Regression!$B$17+[1]Regression!$B$18*Returns!D278</f>
        <v>1.5535448611529043E-2</v>
      </c>
      <c r="G278" s="14">
        <f t="shared" si="9"/>
        <v>-2.4513282411586686E-3</v>
      </c>
    </row>
    <row r="279" spans="1:7" x14ac:dyDescent="0.35">
      <c r="A279" s="18">
        <v>38018</v>
      </c>
      <c r="B279" s="10">
        <v>1.46E-2</v>
      </c>
      <c r="C279" s="10">
        <v>1.4147E-2</v>
      </c>
      <c r="D279" s="14">
        <f t="shared" si="8"/>
        <v>1.1114120370370375E-2</v>
      </c>
      <c r="E279" s="14">
        <f t="shared" si="8"/>
        <v>1.0661120370370373E-2</v>
      </c>
      <c r="F279" s="14">
        <f>[1]Regression!$B$17+[1]Regression!$B$18*Returns!D279</f>
        <v>1.1582545932506801E-2</v>
      </c>
      <c r="G279" s="14">
        <f t="shared" si="9"/>
        <v>-9.2142556213642771E-4</v>
      </c>
    </row>
    <row r="280" spans="1:7" x14ac:dyDescent="0.35">
      <c r="A280" s="18">
        <v>38047</v>
      </c>
      <c r="B280" s="10">
        <v>-1.23E-2</v>
      </c>
      <c r="C280" s="10">
        <v>2.3120000000000002E-2</v>
      </c>
      <c r="D280" s="14">
        <f t="shared" si="8"/>
        <v>-1.5785879629629625E-2</v>
      </c>
      <c r="E280" s="14">
        <f t="shared" si="8"/>
        <v>1.9634120370370375E-2</v>
      </c>
      <c r="F280" s="14">
        <f>[1]Regression!$B$17+[1]Regression!$B$18*Returns!D280</f>
        <v>-2.4086490761377217E-3</v>
      </c>
      <c r="G280" s="14">
        <f t="shared" si="9"/>
        <v>2.2042769446508098E-2</v>
      </c>
    </row>
    <row r="281" spans="1:7" x14ac:dyDescent="0.35">
      <c r="A281" s="18">
        <v>38078</v>
      </c>
      <c r="B281" s="10">
        <v>-1.7500000000000002E-2</v>
      </c>
      <c r="C281" s="10">
        <v>1.3063E-2</v>
      </c>
      <c r="D281" s="14">
        <f t="shared" si="8"/>
        <v>-2.0985879629629629E-2</v>
      </c>
      <c r="E281" s="14">
        <f t="shared" si="8"/>
        <v>9.5771203703703747E-3</v>
      </c>
      <c r="F281" s="14">
        <f>[1]Regression!$B$17+[1]Regression!$B$18*Returns!D281</f>
        <v>-5.113266698626627E-3</v>
      </c>
      <c r="G281" s="14">
        <f t="shared" si="9"/>
        <v>1.4690387068997002E-2</v>
      </c>
    </row>
    <row r="282" spans="1:7" x14ac:dyDescent="0.35">
      <c r="A282" s="18">
        <v>38108</v>
      </c>
      <c r="B282" s="10">
        <v>1.23E-2</v>
      </c>
      <c r="C282" s="10">
        <v>1.9574000000000001E-2</v>
      </c>
      <c r="D282" s="14">
        <f t="shared" si="8"/>
        <v>8.8141203703703749E-3</v>
      </c>
      <c r="E282" s="14">
        <f t="shared" si="8"/>
        <v>1.6088120370370374E-2</v>
      </c>
      <c r="F282" s="14">
        <f>[1]Regression!$B$17+[1]Regression!$B$18*Returns!D282</f>
        <v>1.0386272753329017E-2</v>
      </c>
      <c r="G282" s="14">
        <f t="shared" si="9"/>
        <v>5.7018476170413567E-3</v>
      </c>
    </row>
    <row r="283" spans="1:7" x14ac:dyDescent="0.35">
      <c r="A283" s="18">
        <v>38139</v>
      </c>
      <c r="B283" s="10">
        <v>1.9400000000000001E-2</v>
      </c>
      <c r="C283" s="10">
        <v>9.8309999999999995E-3</v>
      </c>
      <c r="D283" s="14">
        <f t="shared" si="8"/>
        <v>1.5914120370370374E-2</v>
      </c>
      <c r="E283" s="14">
        <f t="shared" si="8"/>
        <v>6.3451203703703734E-3</v>
      </c>
      <c r="F283" s="14">
        <f>[1]Regression!$B$17+[1]Regression!$B$18*Returns!D283</f>
        <v>1.4079116045573482E-2</v>
      </c>
      <c r="G283" s="14">
        <f t="shared" si="9"/>
        <v>-7.7339956752031083E-3</v>
      </c>
    </row>
    <row r="284" spans="1:7" x14ac:dyDescent="0.35">
      <c r="A284" s="18">
        <v>38169</v>
      </c>
      <c r="B284" s="10">
        <v>-3.9599999999999996E-2</v>
      </c>
      <c r="C284" s="10">
        <v>-3.7471999999999998E-2</v>
      </c>
      <c r="D284" s="14">
        <f t="shared" si="8"/>
        <v>-4.308587962962962E-2</v>
      </c>
      <c r="E284" s="14">
        <f t="shared" si="8"/>
        <v>-4.0957879629629622E-2</v>
      </c>
      <c r="F284" s="14">
        <f>[1]Regression!$B$17+[1]Regression!$B$18*Returns!D284</f>
        <v>-1.6607891594204463E-2</v>
      </c>
      <c r="G284" s="14">
        <f t="shared" si="9"/>
        <v>-2.4349988035425159E-2</v>
      </c>
    </row>
    <row r="285" spans="1:7" x14ac:dyDescent="0.35">
      <c r="A285" s="18">
        <v>38200</v>
      </c>
      <c r="B285" s="10">
        <v>1.9E-3</v>
      </c>
      <c r="C285" s="10">
        <v>7.3249999999999996E-2</v>
      </c>
      <c r="D285" s="14">
        <f t="shared" si="8"/>
        <v>-1.5858796296296261E-3</v>
      </c>
      <c r="E285" s="14">
        <f t="shared" si="8"/>
        <v>6.9764120370370372E-2</v>
      </c>
      <c r="F285" s="14">
        <f>[1]Regression!$B$17+[1]Regression!$B$18*Returns!D285</f>
        <v>4.9770375083512085E-3</v>
      </c>
      <c r="G285" s="14">
        <f t="shared" si="9"/>
        <v>6.478708286201916E-2</v>
      </c>
    </row>
    <row r="286" spans="1:7" x14ac:dyDescent="0.35">
      <c r="A286" s="18">
        <v>38231</v>
      </c>
      <c r="B286" s="10">
        <v>1.7100000000000001E-2</v>
      </c>
      <c r="C286" s="10">
        <v>-3.3052999999999999E-2</v>
      </c>
      <c r="D286" s="14">
        <f t="shared" si="8"/>
        <v>1.3614120370370374E-2</v>
      </c>
      <c r="E286" s="14">
        <f t="shared" si="8"/>
        <v>-3.6538879629629623E-2</v>
      </c>
      <c r="F286" s="14">
        <f>[1]Regression!$B$17+[1]Regression!$B$18*Returns!D286</f>
        <v>1.2882842866395697E-2</v>
      </c>
      <c r="G286" s="14">
        <f t="shared" si="9"/>
        <v>-4.9421722496025319E-2</v>
      </c>
    </row>
    <row r="287" spans="1:7" x14ac:dyDescent="0.35">
      <c r="A287" s="18">
        <v>38261</v>
      </c>
      <c r="B287" s="10">
        <v>1.54E-2</v>
      </c>
      <c r="C287" s="10">
        <v>-4.9703999999999998E-2</v>
      </c>
      <c r="D287" s="14">
        <f t="shared" si="8"/>
        <v>1.1914120370370374E-2</v>
      </c>
      <c r="E287" s="14">
        <f t="shared" si="8"/>
        <v>-5.3189879629629622E-2</v>
      </c>
      <c r="F287" s="14">
        <f>[1]Regression!$B$17+[1]Regression!$B$18*Returns!D287</f>
        <v>1.1998640951351247E-2</v>
      </c>
      <c r="G287" s="14">
        <f t="shared" si="9"/>
        <v>-6.5188520580980874E-2</v>
      </c>
    </row>
    <row r="288" spans="1:7" x14ac:dyDescent="0.35">
      <c r="A288" s="18">
        <v>38292</v>
      </c>
      <c r="B288" s="10">
        <v>4.6900000000000004E-2</v>
      </c>
      <c r="C288" s="10">
        <v>4.4939E-2</v>
      </c>
      <c r="D288" s="14">
        <f t="shared" si="8"/>
        <v>4.3414120370370381E-2</v>
      </c>
      <c r="E288" s="14">
        <f t="shared" si="8"/>
        <v>4.1453120370370376E-2</v>
      </c>
      <c r="F288" s="14">
        <f>[1]Regression!$B$17+[1]Regression!$B$18*Returns!D288</f>
        <v>2.8382382318351343E-2</v>
      </c>
      <c r="G288" s="14">
        <f t="shared" si="9"/>
        <v>1.3070738052019033E-2</v>
      </c>
    </row>
    <row r="289" spans="1:7" x14ac:dyDescent="0.35">
      <c r="A289" s="18">
        <v>38322</v>
      </c>
      <c r="B289" s="10">
        <v>3.5900000000000001E-2</v>
      </c>
      <c r="C289" s="10">
        <v>2.9918E-2</v>
      </c>
      <c r="D289" s="14">
        <f t="shared" si="8"/>
        <v>3.2414120370370378E-2</v>
      </c>
      <c r="E289" s="14">
        <f t="shared" si="8"/>
        <v>2.6432120370370373E-2</v>
      </c>
      <c r="F289" s="14">
        <f>[1]Regression!$B$17+[1]Regression!$B$18*Returns!D289</f>
        <v>2.2661075809240198E-2</v>
      </c>
      <c r="G289" s="14">
        <f t="shared" si="9"/>
        <v>3.7710445611301747E-3</v>
      </c>
    </row>
    <row r="290" spans="1:7" x14ac:dyDescent="0.35">
      <c r="A290" s="18">
        <v>38353</v>
      </c>
      <c r="B290" s="10">
        <v>-2.5999999999999995E-2</v>
      </c>
      <c r="C290" s="10">
        <v>-2.9048999999999998E-2</v>
      </c>
      <c r="D290" s="14">
        <f t="shared" si="8"/>
        <v>-2.9485879629629622E-2</v>
      </c>
      <c r="E290" s="14">
        <f t="shared" si="8"/>
        <v>-3.2534879629629622E-2</v>
      </c>
      <c r="F290" s="14">
        <f>[1]Regression!$B$17+[1]Regression!$B$18*Returns!D290</f>
        <v>-9.5342762738488702E-3</v>
      </c>
      <c r="G290" s="14">
        <f t="shared" si="9"/>
        <v>-2.3000603355780753E-2</v>
      </c>
    </row>
    <row r="291" spans="1:7" x14ac:dyDescent="0.35">
      <c r="A291" s="18">
        <v>38384</v>
      </c>
      <c r="B291" s="10">
        <v>2.0499999999999997E-2</v>
      </c>
      <c r="C291" s="10">
        <v>-2.63E-3</v>
      </c>
      <c r="D291" s="14">
        <f t="shared" si="8"/>
        <v>1.701412037037037E-2</v>
      </c>
      <c r="E291" s="14">
        <f t="shared" si="8"/>
        <v>-6.1158796296296256E-3</v>
      </c>
      <c r="F291" s="14">
        <f>[1]Regression!$B$17+[1]Regression!$B$18*Returns!D291</f>
        <v>1.4651246696484594E-2</v>
      </c>
      <c r="G291" s="14">
        <f t="shared" si="9"/>
        <v>-2.0767126326114219E-2</v>
      </c>
    </row>
    <row r="292" spans="1:7" x14ac:dyDescent="0.35">
      <c r="A292" s="18">
        <v>38412</v>
      </c>
      <c r="B292" s="10">
        <v>-1.7600000000000001E-2</v>
      </c>
      <c r="C292" s="10">
        <v>-1.6949999999999999E-3</v>
      </c>
      <c r="D292" s="14">
        <f t="shared" si="8"/>
        <v>-2.1085879629629628E-2</v>
      </c>
      <c r="E292" s="14">
        <f t="shared" si="8"/>
        <v>-5.1808796296296256E-3</v>
      </c>
      <c r="F292" s="14">
        <f>[1]Regression!$B$17+[1]Regression!$B$18*Returns!D292</f>
        <v>-5.1652785759821827E-3</v>
      </c>
      <c r="G292" s="14">
        <f t="shared" si="9"/>
        <v>-1.5601053647442895E-5</v>
      </c>
    </row>
    <row r="293" spans="1:7" x14ac:dyDescent="0.35">
      <c r="A293" s="18">
        <v>38443</v>
      </c>
      <c r="B293" s="10">
        <v>-2.4E-2</v>
      </c>
      <c r="C293" s="10">
        <v>2.6981000000000002E-2</v>
      </c>
      <c r="D293" s="14">
        <f t="shared" si="8"/>
        <v>-2.7485879629629627E-2</v>
      </c>
      <c r="E293" s="14">
        <f t="shared" si="8"/>
        <v>2.3495120370370375E-2</v>
      </c>
      <c r="F293" s="14">
        <f>[1]Regression!$B$17+[1]Regression!$B$18*Returns!D293</f>
        <v>-8.4940387267377557E-3</v>
      </c>
      <c r="G293" s="14">
        <f t="shared" si="9"/>
        <v>3.198915909710813E-2</v>
      </c>
    </row>
    <row r="294" spans="1:7" x14ac:dyDescent="0.35">
      <c r="A294" s="18">
        <v>38473</v>
      </c>
      <c r="B294" s="10">
        <v>3.8899999999999997E-2</v>
      </c>
      <c r="C294" s="10">
        <v>1.8467000000000001E-2</v>
      </c>
      <c r="D294" s="14">
        <f t="shared" si="8"/>
        <v>3.5414120370370374E-2</v>
      </c>
      <c r="E294" s="14">
        <f t="shared" si="8"/>
        <v>1.4981120370370374E-2</v>
      </c>
      <c r="F294" s="14">
        <f>[1]Regression!$B$17+[1]Regression!$B$18*Returns!D294</f>
        <v>2.4221432129906871E-2</v>
      </c>
      <c r="G294" s="14">
        <f t="shared" si="9"/>
        <v>-9.2403117595364972E-3</v>
      </c>
    </row>
    <row r="295" spans="1:7" x14ac:dyDescent="0.35">
      <c r="A295" s="18">
        <v>38504</v>
      </c>
      <c r="B295" s="10">
        <v>8.0000000000000002E-3</v>
      </c>
      <c r="C295" s="10">
        <v>-4.3518000000000001E-2</v>
      </c>
      <c r="D295" s="14">
        <f t="shared" si="8"/>
        <v>4.5141203703703741E-3</v>
      </c>
      <c r="E295" s="14">
        <f t="shared" si="8"/>
        <v>-4.7003879629629625E-2</v>
      </c>
      <c r="F295" s="14">
        <f>[1]Regression!$B$17+[1]Regression!$B$18*Returns!D295</f>
        <v>8.1497620270401146E-3</v>
      </c>
      <c r="G295" s="14">
        <f t="shared" si="9"/>
        <v>-5.5153641656669736E-2</v>
      </c>
    </row>
    <row r="296" spans="1:7" x14ac:dyDescent="0.35">
      <c r="A296" s="18">
        <v>38534</v>
      </c>
      <c r="B296" s="10">
        <v>4.1599999999999998E-2</v>
      </c>
      <c r="C296" s="10">
        <v>5.9905E-2</v>
      </c>
      <c r="D296" s="14">
        <f t="shared" si="8"/>
        <v>3.8114120370370375E-2</v>
      </c>
      <c r="E296" s="14">
        <f t="shared" si="8"/>
        <v>5.6419120370370376E-2</v>
      </c>
      <c r="F296" s="14">
        <f>[1]Regression!$B$17+[1]Regression!$B$18*Returns!D296</f>
        <v>2.5625752818506882E-2</v>
      </c>
      <c r="G296" s="14">
        <f t="shared" si="9"/>
        <v>3.0793367551863494E-2</v>
      </c>
    </row>
    <row r="297" spans="1:7" x14ac:dyDescent="0.35">
      <c r="A297" s="18">
        <v>38565</v>
      </c>
      <c r="B297" s="10">
        <v>-9.1999999999999998E-3</v>
      </c>
      <c r="C297" s="10">
        <v>-2.696E-3</v>
      </c>
      <c r="D297" s="14">
        <f t="shared" si="8"/>
        <v>-1.2685879629629627E-2</v>
      </c>
      <c r="E297" s="14">
        <f t="shared" si="8"/>
        <v>-6.1818796296296257E-3</v>
      </c>
      <c r="F297" s="14">
        <f>[1]Regression!$B$17+[1]Regression!$B$18*Returns!D297</f>
        <v>-7.9628087811549082E-4</v>
      </c>
      <c r="G297" s="14">
        <f t="shared" si="9"/>
        <v>-5.3855987515141349E-3</v>
      </c>
    </row>
    <row r="298" spans="1:7" x14ac:dyDescent="0.35">
      <c r="A298" s="18">
        <v>38596</v>
      </c>
      <c r="B298" s="10">
        <v>7.8000000000000005E-3</v>
      </c>
      <c r="C298" s="10">
        <v>7.1737999999999996E-2</v>
      </c>
      <c r="D298" s="14">
        <f t="shared" si="8"/>
        <v>4.3141203703703744E-3</v>
      </c>
      <c r="E298" s="14">
        <f t="shared" si="8"/>
        <v>6.8252120370370373E-2</v>
      </c>
      <c r="F298" s="14">
        <f>[1]Regression!$B$17+[1]Regression!$B$18*Returns!D298</f>
        <v>8.0457382723290033E-3</v>
      </c>
      <c r="G298" s="14">
        <f t="shared" si="9"/>
        <v>6.0206382098041369E-2</v>
      </c>
    </row>
    <row r="299" spans="1:7" x14ac:dyDescent="0.35">
      <c r="A299" s="18">
        <v>38626</v>
      </c>
      <c r="B299" s="10">
        <v>-1.7500000000000002E-2</v>
      </c>
      <c r="C299" s="10">
        <v>-5.3649000000000002E-2</v>
      </c>
      <c r="D299" s="14">
        <f t="shared" si="8"/>
        <v>-2.0985879629629629E-2</v>
      </c>
      <c r="E299" s="14">
        <f t="shared" si="8"/>
        <v>-5.7134879629629626E-2</v>
      </c>
      <c r="F299" s="14">
        <f>[1]Regression!$B$17+[1]Regression!$B$18*Returns!D299</f>
        <v>-5.113266698626627E-3</v>
      </c>
      <c r="G299" s="14">
        <f t="shared" si="9"/>
        <v>-5.2021612931002999E-2</v>
      </c>
    </row>
    <row r="300" spans="1:7" x14ac:dyDescent="0.35">
      <c r="A300" s="18">
        <v>38657</v>
      </c>
      <c r="B300" s="10">
        <v>3.9199999999999999E-2</v>
      </c>
      <c r="C300" s="10">
        <v>2.1432E-2</v>
      </c>
      <c r="D300" s="14">
        <f t="shared" si="8"/>
        <v>3.5714120370370375E-2</v>
      </c>
      <c r="E300" s="14">
        <f t="shared" si="8"/>
        <v>1.7946120370370373E-2</v>
      </c>
      <c r="F300" s="14">
        <f>[1]Regression!$B$17+[1]Regression!$B$18*Returns!D300</f>
        <v>2.437746776197354E-2</v>
      </c>
      <c r="G300" s="14">
        <f t="shared" si="9"/>
        <v>-6.431347391603167E-3</v>
      </c>
    </row>
    <row r="301" spans="1:7" x14ac:dyDescent="0.35">
      <c r="A301" s="18">
        <v>38687</v>
      </c>
      <c r="B301" s="10">
        <v>7.000000000000001E-4</v>
      </c>
      <c r="C301" s="10">
        <v>1.2064999999999999E-2</v>
      </c>
      <c r="D301" s="14">
        <f t="shared" si="8"/>
        <v>-2.785879629629626E-3</v>
      </c>
      <c r="E301" s="14">
        <f t="shared" si="8"/>
        <v>8.5791203703703724E-3</v>
      </c>
      <c r="F301" s="14">
        <f>[1]Regression!$B$17+[1]Regression!$B$18*Returns!D301</f>
        <v>4.3528949800845382E-3</v>
      </c>
      <c r="G301" s="14">
        <f t="shared" si="9"/>
        <v>4.2262253902858342E-3</v>
      </c>
    </row>
    <row r="302" spans="1:7" x14ac:dyDescent="0.35">
      <c r="A302" s="18">
        <v>38718</v>
      </c>
      <c r="B302" s="10">
        <v>3.39E-2</v>
      </c>
      <c r="C302" s="10">
        <v>2.8162E-2</v>
      </c>
      <c r="D302" s="14">
        <f t="shared" si="8"/>
        <v>3.0414120370370373E-2</v>
      </c>
      <c r="E302" s="14">
        <f t="shared" si="8"/>
        <v>2.4676120370370373E-2</v>
      </c>
      <c r="F302" s="14">
        <f>[1]Regression!$B$17+[1]Regression!$B$18*Returns!D302</f>
        <v>2.1620838262129079E-2</v>
      </c>
      <c r="G302" s="14">
        <f t="shared" si="9"/>
        <v>3.0552821082412938E-3</v>
      </c>
    </row>
    <row r="303" spans="1:7" x14ac:dyDescent="0.35">
      <c r="A303" s="18">
        <v>38749</v>
      </c>
      <c r="B303" s="10">
        <v>4.0000000000000034E-4</v>
      </c>
      <c r="C303" s="10">
        <v>1.1818E-2</v>
      </c>
      <c r="D303" s="14">
        <f t="shared" si="8"/>
        <v>-3.0858796296296259E-3</v>
      </c>
      <c r="E303" s="14">
        <f t="shared" si="8"/>
        <v>8.3321203703703751E-3</v>
      </c>
      <c r="F303" s="14">
        <f>[1]Regression!$B$17+[1]Regression!$B$18*Returns!D303</f>
        <v>4.1968593480178713E-3</v>
      </c>
      <c r="G303" s="14">
        <f t="shared" si="9"/>
        <v>4.1352610223525038E-3</v>
      </c>
    </row>
    <row r="304" spans="1:7" x14ac:dyDescent="0.35">
      <c r="A304" s="18">
        <v>38777</v>
      </c>
      <c r="B304" s="10">
        <v>1.83E-2</v>
      </c>
      <c r="C304" s="10">
        <v>-3.8378000000000002E-2</v>
      </c>
      <c r="D304" s="14">
        <f t="shared" si="8"/>
        <v>1.4814120370370373E-2</v>
      </c>
      <c r="E304" s="14">
        <f t="shared" si="8"/>
        <v>-4.1863879629629626E-2</v>
      </c>
      <c r="F304" s="14">
        <f>[1]Regression!$B$17+[1]Regression!$B$18*Returns!D304</f>
        <v>1.3506985394662368E-2</v>
      </c>
      <c r="G304" s="14">
        <f t="shared" si="9"/>
        <v>-5.537086502429199E-2</v>
      </c>
    </row>
    <row r="305" spans="1:7" x14ac:dyDescent="0.35">
      <c r="A305" s="18">
        <v>38808</v>
      </c>
      <c r="B305" s="10">
        <v>1.0899999999999998E-2</v>
      </c>
      <c r="C305" s="10">
        <v>1.5443E-2</v>
      </c>
      <c r="D305" s="14">
        <f t="shared" si="8"/>
        <v>7.4141203703703721E-3</v>
      </c>
      <c r="E305" s="14">
        <f t="shared" si="8"/>
        <v>1.1957120370370375E-2</v>
      </c>
      <c r="F305" s="14">
        <f>[1]Regression!$B$17+[1]Regression!$B$18*Returns!D305</f>
        <v>9.6581064703512333E-3</v>
      </c>
      <c r="G305" s="14">
        <f t="shared" si="9"/>
        <v>2.2990139000191416E-3</v>
      </c>
    </row>
    <row r="306" spans="1:7" x14ac:dyDescent="0.35">
      <c r="A306" s="18">
        <v>38838</v>
      </c>
      <c r="B306" s="10">
        <v>-3.1399999999999997E-2</v>
      </c>
      <c r="C306" s="10">
        <v>-6.8029999999999993E-2</v>
      </c>
      <c r="D306" s="14">
        <f t="shared" si="8"/>
        <v>-3.4885879629629621E-2</v>
      </c>
      <c r="E306" s="14">
        <f t="shared" si="8"/>
        <v>-7.1515879629629617E-2</v>
      </c>
      <c r="F306" s="14">
        <f>[1]Regression!$B$17+[1]Regression!$B$18*Returns!D306</f>
        <v>-1.2342917651048885E-2</v>
      </c>
      <c r="G306" s="14">
        <f t="shared" si="9"/>
        <v>-5.9172961978580733E-2</v>
      </c>
    </row>
    <row r="307" spans="1:7" x14ac:dyDescent="0.35">
      <c r="A307" s="18">
        <v>38869</v>
      </c>
      <c r="B307" s="10">
        <v>5.0000000000000044E-4</v>
      </c>
      <c r="C307" s="10">
        <v>2.4885000000000001E-2</v>
      </c>
      <c r="D307" s="14">
        <f t="shared" si="8"/>
        <v>-2.9858796296296257E-3</v>
      </c>
      <c r="E307" s="14">
        <f t="shared" si="8"/>
        <v>2.1399120370370374E-2</v>
      </c>
      <c r="F307" s="14">
        <f>[1]Regression!$B$17+[1]Regression!$B$18*Returns!D307</f>
        <v>4.2488712253734269E-3</v>
      </c>
      <c r="G307" s="14">
        <f t="shared" si="9"/>
        <v>1.7150249144996948E-2</v>
      </c>
    </row>
    <row r="308" spans="1:7" x14ac:dyDescent="0.35">
      <c r="A308" s="18">
        <v>38899</v>
      </c>
      <c r="B308" s="10">
        <v>-3.8E-3</v>
      </c>
      <c r="C308" s="10">
        <v>1.6367E-2</v>
      </c>
      <c r="D308" s="14">
        <f t="shared" si="8"/>
        <v>-7.2858796296296265E-3</v>
      </c>
      <c r="E308" s="14">
        <f t="shared" si="8"/>
        <v>1.2881120370370373E-2</v>
      </c>
      <c r="F308" s="14">
        <f>[1]Regression!$B$17+[1]Regression!$B$18*Returns!D308</f>
        <v>2.0123604990845249E-3</v>
      </c>
      <c r="G308" s="14">
        <f t="shared" si="9"/>
        <v>1.0868759871285848E-2</v>
      </c>
    </row>
    <row r="309" spans="1:7" x14ac:dyDescent="0.35">
      <c r="A309" s="18">
        <v>38930</v>
      </c>
      <c r="B309" s="10">
        <v>2.4499999999999997E-2</v>
      </c>
      <c r="C309" s="10">
        <v>0.101424</v>
      </c>
      <c r="D309" s="14">
        <f t="shared" si="8"/>
        <v>2.1014120370370371E-2</v>
      </c>
      <c r="E309" s="14">
        <f t="shared" si="8"/>
        <v>9.7938120370370377E-2</v>
      </c>
      <c r="F309" s="14">
        <f>[1]Regression!$B$17+[1]Regression!$B$18*Returns!D309</f>
        <v>1.6731721790706828E-2</v>
      </c>
      <c r="G309" s="14">
        <f t="shared" si="9"/>
        <v>8.1206398579663552E-2</v>
      </c>
    </row>
    <row r="310" spans="1:7" x14ac:dyDescent="0.35">
      <c r="A310" s="18">
        <v>38961</v>
      </c>
      <c r="B310" s="10">
        <v>2.2499999999999999E-2</v>
      </c>
      <c r="C310" s="10">
        <v>1.292E-3</v>
      </c>
      <c r="D310" s="14">
        <f t="shared" si="8"/>
        <v>1.9014120370370372E-2</v>
      </c>
      <c r="E310" s="14">
        <f t="shared" si="8"/>
        <v>-2.1938796296296264E-3</v>
      </c>
      <c r="F310" s="14">
        <f>[1]Regression!$B$17+[1]Regression!$B$18*Returns!D310</f>
        <v>1.5691484243595712E-2</v>
      </c>
      <c r="G310" s="14">
        <f t="shared" si="9"/>
        <v>-1.7885363873225337E-2</v>
      </c>
    </row>
    <row r="311" spans="1:7" x14ac:dyDescent="0.35">
      <c r="A311" s="18">
        <v>38991</v>
      </c>
      <c r="B311" s="10">
        <v>3.6400000000000002E-2</v>
      </c>
      <c r="C311" s="10">
        <v>2.7751000000000001E-2</v>
      </c>
      <c r="D311" s="14">
        <f t="shared" si="8"/>
        <v>3.2914120370370378E-2</v>
      </c>
      <c r="E311" s="14">
        <f t="shared" si="8"/>
        <v>2.4265120370370374E-2</v>
      </c>
      <c r="F311" s="14">
        <f>[1]Regression!$B$17+[1]Regression!$B$18*Returns!D311</f>
        <v>2.2921135196017975E-2</v>
      </c>
      <c r="G311" s="14">
        <f t="shared" si="9"/>
        <v>1.3439851743523995E-3</v>
      </c>
    </row>
    <row r="312" spans="1:7" x14ac:dyDescent="0.35">
      <c r="A312" s="18">
        <v>39022</v>
      </c>
      <c r="B312" s="10">
        <v>2.1299999999999999E-2</v>
      </c>
      <c r="C312" s="10">
        <v>-9.4649999999999995E-3</v>
      </c>
      <c r="D312" s="14">
        <f t="shared" si="8"/>
        <v>1.7814120370370373E-2</v>
      </c>
      <c r="E312" s="14">
        <f t="shared" si="8"/>
        <v>-1.2950879629629625E-2</v>
      </c>
      <c r="F312" s="14">
        <f>[1]Regression!$B$17+[1]Regression!$B$18*Returns!D312</f>
        <v>1.5067341715329042E-2</v>
      </c>
      <c r="G312" s="14">
        <f t="shared" si="9"/>
        <v>-2.8018221344958669E-2</v>
      </c>
    </row>
    <row r="313" spans="1:7" x14ac:dyDescent="0.35">
      <c r="A313" s="18">
        <v>39052</v>
      </c>
      <c r="B313" s="10">
        <v>1.2699999999999999E-2</v>
      </c>
      <c r="C313" s="10">
        <v>2.3571000000000002E-2</v>
      </c>
      <c r="D313" s="14">
        <f t="shared" si="8"/>
        <v>9.2141203703703725E-3</v>
      </c>
      <c r="E313" s="14">
        <f t="shared" si="8"/>
        <v>2.0085120370370375E-2</v>
      </c>
      <c r="F313" s="14">
        <f>[1]Regression!$B$17+[1]Regression!$B$18*Returns!D313</f>
        <v>1.0594320262751238E-2</v>
      </c>
      <c r="G313" s="14">
        <f t="shared" si="9"/>
        <v>9.4908001076191364E-3</v>
      </c>
    </row>
    <row r="314" spans="1:7" x14ac:dyDescent="0.35">
      <c r="A314" s="18">
        <v>39083</v>
      </c>
      <c r="B314" s="10">
        <v>1.84E-2</v>
      </c>
      <c r="C314" s="10">
        <v>1.4159E-2</v>
      </c>
      <c r="D314" s="14">
        <f t="shared" si="8"/>
        <v>1.4914120370370373E-2</v>
      </c>
      <c r="E314" s="14">
        <f t="shared" si="8"/>
        <v>1.0673120370370374E-2</v>
      </c>
      <c r="F314" s="14">
        <f>[1]Regression!$B$17+[1]Regression!$B$18*Returns!D314</f>
        <v>1.3558997272017922E-2</v>
      </c>
      <c r="G314" s="14">
        <f t="shared" si="9"/>
        <v>-2.8858769016475473E-3</v>
      </c>
    </row>
    <row r="315" spans="1:7" x14ac:dyDescent="0.35">
      <c r="A315" s="18">
        <v>39114</v>
      </c>
      <c r="B315" s="10">
        <v>-1.5800000000000002E-2</v>
      </c>
      <c r="C315" s="10">
        <v>-2.1273E-2</v>
      </c>
      <c r="D315" s="14">
        <f t="shared" si="8"/>
        <v>-1.9285879629629629E-2</v>
      </c>
      <c r="E315" s="14">
        <f t="shared" si="8"/>
        <v>-2.4758879629629627E-2</v>
      </c>
      <c r="F315" s="14">
        <f>[1]Regression!$B$17+[1]Regression!$B$18*Returns!D315</f>
        <v>-4.2290647835821777E-3</v>
      </c>
      <c r="G315" s="14">
        <f t="shared" si="9"/>
        <v>-2.0529814846047448E-2</v>
      </c>
    </row>
    <row r="316" spans="1:7" x14ac:dyDescent="0.35">
      <c r="A316" s="18">
        <v>39142</v>
      </c>
      <c r="B316" s="10">
        <v>1.11E-2</v>
      </c>
      <c r="C316" s="10">
        <v>-5.1980000000000004E-3</v>
      </c>
      <c r="D316" s="14">
        <f t="shared" si="8"/>
        <v>7.6141203703703744E-3</v>
      </c>
      <c r="E316" s="14">
        <f t="shared" si="8"/>
        <v>-8.6838796296296265E-3</v>
      </c>
      <c r="F316" s="14">
        <f>[1]Regression!$B$17+[1]Regression!$B$18*Returns!D316</f>
        <v>9.762130225062348E-3</v>
      </c>
      <c r="G316" s="14">
        <f t="shared" si="9"/>
        <v>-1.8446009854691976E-2</v>
      </c>
    </row>
    <row r="317" spans="1:7" x14ac:dyDescent="0.35">
      <c r="A317" s="18">
        <v>39173</v>
      </c>
      <c r="B317" s="10">
        <v>3.9300000000000002E-2</v>
      </c>
      <c r="C317" s="10">
        <v>2.5173999999999998E-2</v>
      </c>
      <c r="D317" s="14">
        <f t="shared" si="8"/>
        <v>3.5814120370370378E-2</v>
      </c>
      <c r="E317" s="14">
        <f t="shared" si="8"/>
        <v>2.1688120370370371E-2</v>
      </c>
      <c r="F317" s="14">
        <f>[1]Regression!$B$17+[1]Regression!$B$18*Returns!D317</f>
        <v>2.4429479639329101E-2</v>
      </c>
      <c r="G317" s="14">
        <f t="shared" si="9"/>
        <v>-2.7413592689587291E-3</v>
      </c>
    </row>
    <row r="318" spans="1:7" x14ac:dyDescent="0.35">
      <c r="A318" s="18">
        <v>39203</v>
      </c>
      <c r="B318" s="10">
        <v>3.6500000000000005E-2</v>
      </c>
      <c r="C318" s="10">
        <v>-1.3199000000000001E-2</v>
      </c>
      <c r="D318" s="14">
        <f t="shared" si="8"/>
        <v>3.3014120370370381E-2</v>
      </c>
      <c r="E318" s="14">
        <f t="shared" si="8"/>
        <v>-1.6684879629629626E-2</v>
      </c>
      <c r="F318" s="14">
        <f>[1]Regression!$B$17+[1]Regression!$B$18*Returns!D318</f>
        <v>2.2973147073373536E-2</v>
      </c>
      <c r="G318" s="14">
        <f t="shared" si="9"/>
        <v>-3.9658026703003162E-2</v>
      </c>
    </row>
    <row r="319" spans="1:7" x14ac:dyDescent="0.35">
      <c r="A319" s="18">
        <v>39234</v>
      </c>
      <c r="B319" s="10">
        <v>-1.5600000000000001E-2</v>
      </c>
      <c r="C319" s="10">
        <v>-3.7136000000000002E-2</v>
      </c>
      <c r="D319" s="14">
        <f t="shared" si="8"/>
        <v>-1.9085879629629626E-2</v>
      </c>
      <c r="E319" s="14">
        <f t="shared" si="8"/>
        <v>-4.0621879629629626E-2</v>
      </c>
      <c r="F319" s="14">
        <f>[1]Regression!$B$17+[1]Regression!$B$18*Returns!D319</f>
        <v>-4.1250410288710647E-3</v>
      </c>
      <c r="G319" s="14">
        <f t="shared" si="9"/>
        <v>-3.6496838600758558E-2</v>
      </c>
    </row>
    <row r="320" spans="1:7" x14ac:dyDescent="0.35">
      <c r="A320" s="18">
        <v>39264</v>
      </c>
      <c r="B320" s="10">
        <v>-3.3300000000000003E-2</v>
      </c>
      <c r="C320" s="10">
        <v>1.6669E-2</v>
      </c>
      <c r="D320" s="14">
        <f t="shared" si="8"/>
        <v>-3.6785879629629627E-2</v>
      </c>
      <c r="E320" s="14">
        <f t="shared" si="8"/>
        <v>1.3183120370370373E-2</v>
      </c>
      <c r="F320" s="14">
        <f>[1]Regression!$B$17+[1]Regression!$B$18*Returns!D320</f>
        <v>-1.3331143320804451E-2</v>
      </c>
      <c r="G320" s="14">
        <f t="shared" si="9"/>
        <v>2.6514263691174822E-2</v>
      </c>
    </row>
    <row r="321" spans="1:7" x14ac:dyDescent="0.35">
      <c r="A321" s="18">
        <v>39295</v>
      </c>
      <c r="B321" s="10">
        <v>1.34E-2</v>
      </c>
      <c r="C321" s="10">
        <v>5.5771000000000001E-2</v>
      </c>
      <c r="D321" s="14">
        <f t="shared" si="8"/>
        <v>9.9141203703703752E-3</v>
      </c>
      <c r="E321" s="14">
        <f t="shared" si="8"/>
        <v>5.2285120370370378E-2</v>
      </c>
      <c r="F321" s="14">
        <f>[1]Regression!$B$17+[1]Regression!$B$18*Returns!D321</f>
        <v>1.0958403404240133E-2</v>
      </c>
      <c r="G321" s="14">
        <f t="shared" si="9"/>
        <v>4.1326716966130245E-2</v>
      </c>
    </row>
    <row r="322" spans="1:7" x14ac:dyDescent="0.35">
      <c r="A322" s="18">
        <v>39326</v>
      </c>
      <c r="B322" s="10">
        <v>3.5400000000000001E-2</v>
      </c>
      <c r="C322" s="10">
        <v>7.7017000000000002E-2</v>
      </c>
      <c r="D322" s="14">
        <f t="shared" ref="D322:E385" si="10">B322-$J$2</f>
        <v>3.1914120370370377E-2</v>
      </c>
      <c r="E322" s="14">
        <f t="shared" si="10"/>
        <v>7.3531120370370379E-2</v>
      </c>
      <c r="F322" s="14">
        <f>[1]Regression!$B$17+[1]Regression!$B$18*Returns!D322</f>
        <v>2.2401016422462422E-2</v>
      </c>
      <c r="G322" s="14">
        <f t="shared" si="9"/>
        <v>5.1130103947907957E-2</v>
      </c>
    </row>
    <row r="323" spans="1:7" x14ac:dyDescent="0.35">
      <c r="A323" s="18">
        <v>39356</v>
      </c>
      <c r="B323" s="10">
        <v>2.12E-2</v>
      </c>
      <c r="C323" s="10">
        <v>-6.6819999999999996E-3</v>
      </c>
      <c r="D323" s="14">
        <f t="shared" si="10"/>
        <v>1.7714120370370373E-2</v>
      </c>
      <c r="E323" s="14">
        <f t="shared" si="10"/>
        <v>-1.0167879629629626E-2</v>
      </c>
      <c r="F323" s="14">
        <f>[1]Regression!$B$17+[1]Regression!$B$18*Returns!D323</f>
        <v>1.5015329837973487E-2</v>
      </c>
      <c r="G323" s="14">
        <f t="shared" ref="G323:G386" si="11">E323-F323</f>
        <v>-2.5183209467603114E-2</v>
      </c>
    </row>
    <row r="324" spans="1:7" x14ac:dyDescent="0.35">
      <c r="A324" s="18">
        <v>39387</v>
      </c>
      <c r="B324" s="10">
        <v>-4.4900000000000002E-2</v>
      </c>
      <c r="C324" s="10">
        <v>6.4441999999999999E-2</v>
      </c>
      <c r="D324" s="14">
        <f t="shared" si="10"/>
        <v>-4.8385879629629626E-2</v>
      </c>
      <c r="E324" s="14">
        <f t="shared" si="10"/>
        <v>6.0956120370370376E-2</v>
      </c>
      <c r="F324" s="14">
        <f>[1]Regression!$B$17+[1]Regression!$B$18*Returns!D324</f>
        <v>-1.9364521094048931E-2</v>
      </c>
      <c r="G324" s="14">
        <f t="shared" si="11"/>
        <v>8.0320641464419307E-2</v>
      </c>
    </row>
    <row r="325" spans="1:7" x14ac:dyDescent="0.35">
      <c r="A325" s="18">
        <v>39417</v>
      </c>
      <c r="B325" s="10">
        <v>-6.0000000000000001E-3</v>
      </c>
      <c r="C325" s="10">
        <v>-7.8379999999999995E-3</v>
      </c>
      <c r="D325" s="14">
        <f t="shared" si="10"/>
        <v>-9.4858796296296254E-3</v>
      </c>
      <c r="E325" s="14">
        <f t="shared" si="10"/>
        <v>-1.1323879629629625E-2</v>
      </c>
      <c r="F325" s="14">
        <f>[1]Regression!$B$17+[1]Regression!$B$18*Returns!D325</f>
        <v>8.6809919726229742E-4</v>
      </c>
      <c r="G325" s="14">
        <f t="shared" si="11"/>
        <v>-1.2191978826891922E-2</v>
      </c>
    </row>
    <row r="326" spans="1:7" x14ac:dyDescent="0.35">
      <c r="A326" s="18">
        <v>39448</v>
      </c>
      <c r="B326" s="10">
        <v>-6.1500000000000006E-2</v>
      </c>
      <c r="C326" s="10">
        <v>-0.104195</v>
      </c>
      <c r="D326" s="14">
        <f t="shared" si="10"/>
        <v>-6.4985879629629636E-2</v>
      </c>
      <c r="E326" s="14">
        <f t="shared" si="10"/>
        <v>-0.10768087962962962</v>
      </c>
      <c r="F326" s="14">
        <f>[1]Regression!$B$17+[1]Regression!$B$18*Returns!D326</f>
        <v>-2.7998492735071205E-2</v>
      </c>
      <c r="G326" s="14">
        <f t="shared" si="11"/>
        <v>-7.9682386894558421E-2</v>
      </c>
    </row>
    <row r="327" spans="1:7" x14ac:dyDescent="0.35">
      <c r="A327" s="18">
        <v>39479</v>
      </c>
      <c r="B327" s="10">
        <v>-2.9600000000000001E-2</v>
      </c>
      <c r="C327" s="10">
        <v>1.1617000000000001E-2</v>
      </c>
      <c r="D327" s="14">
        <f t="shared" si="10"/>
        <v>-3.3085879629629625E-2</v>
      </c>
      <c r="E327" s="14">
        <f t="shared" si="10"/>
        <v>8.1311203703703754E-3</v>
      </c>
      <c r="F327" s="14">
        <f>[1]Regression!$B$17+[1]Regression!$B$18*Returns!D327</f>
        <v>-1.1406703858648884E-2</v>
      </c>
      <c r="G327" s="14">
        <f t="shared" si="11"/>
        <v>1.9537824229019257E-2</v>
      </c>
    </row>
    <row r="328" spans="1:7" x14ac:dyDescent="0.35">
      <c r="A328" s="18">
        <v>39508</v>
      </c>
      <c r="B328" s="10">
        <v>-7.6E-3</v>
      </c>
      <c r="C328" s="10">
        <v>5.8778999999999998E-2</v>
      </c>
      <c r="D328" s="14">
        <f t="shared" si="10"/>
        <v>-1.1085879629629626E-2</v>
      </c>
      <c r="E328" s="14">
        <f t="shared" si="10"/>
        <v>5.5293120370370374E-2</v>
      </c>
      <c r="F328" s="14">
        <f>[1]Regression!$B$17+[1]Regression!$B$18*Returns!D328</f>
        <v>3.590915957340287E-5</v>
      </c>
      <c r="G328" s="14">
        <f t="shared" si="11"/>
        <v>5.5257211210796971E-2</v>
      </c>
    </row>
    <row r="329" spans="1:7" x14ac:dyDescent="0.35">
      <c r="A329" s="18">
        <v>39539</v>
      </c>
      <c r="B329" s="10">
        <v>4.7799999999999995E-2</v>
      </c>
      <c r="C329" s="10">
        <v>-3.7391000000000001E-2</v>
      </c>
      <c r="D329" s="14">
        <f t="shared" si="10"/>
        <v>4.4314120370370372E-2</v>
      </c>
      <c r="E329" s="14">
        <f t="shared" si="10"/>
        <v>-4.0876879629629624E-2</v>
      </c>
      <c r="F329" s="14">
        <f>[1]Regression!$B$17+[1]Regression!$B$18*Returns!D329</f>
        <v>2.8850489214551342E-2</v>
      </c>
      <c r="G329" s="14">
        <f t="shared" si="11"/>
        <v>-6.9727368844180959E-2</v>
      </c>
    </row>
    <row r="330" spans="1:7" x14ac:dyDescent="0.35">
      <c r="A330" s="18">
        <v>39569</v>
      </c>
      <c r="B330" s="10">
        <v>2.0400000000000001E-2</v>
      </c>
      <c r="C330" s="10">
        <v>-1.4914E-2</v>
      </c>
      <c r="D330" s="14">
        <f t="shared" si="10"/>
        <v>1.6914120370370374E-2</v>
      </c>
      <c r="E330" s="14">
        <f t="shared" si="10"/>
        <v>-1.8399879629629627E-2</v>
      </c>
      <c r="F330" s="14">
        <f>[1]Regression!$B$17+[1]Regression!$B$18*Returns!D330</f>
        <v>1.459923481912904E-2</v>
      </c>
      <c r="G330" s="14">
        <f t="shared" si="11"/>
        <v>-3.2999114448758665E-2</v>
      </c>
    </row>
    <row r="331" spans="1:7" x14ac:dyDescent="0.35">
      <c r="A331" s="18">
        <v>39600</v>
      </c>
      <c r="B331" s="10">
        <v>-8.2699999999999996E-2</v>
      </c>
      <c r="C331" s="10">
        <v>-7.9334000000000002E-2</v>
      </c>
      <c r="D331" s="14">
        <f t="shared" si="10"/>
        <v>-8.6185879629629619E-2</v>
      </c>
      <c r="E331" s="14">
        <f t="shared" si="10"/>
        <v>-8.2819879629629625E-2</v>
      </c>
      <c r="F331" s="14">
        <f>[1]Regression!$B$17+[1]Regression!$B$18*Returns!D331</f>
        <v>-3.9025010734449035E-2</v>
      </c>
      <c r="G331" s="14">
        <f t="shared" si="11"/>
        <v>-4.379486889518059E-2</v>
      </c>
    </row>
    <row r="332" spans="1:7" x14ac:dyDescent="0.35">
      <c r="A332" s="18">
        <v>39630</v>
      </c>
      <c r="B332" s="10">
        <v>-6.1999999999999998E-3</v>
      </c>
      <c r="C332" s="10">
        <v>8.3374000000000004E-2</v>
      </c>
      <c r="D332" s="14">
        <f t="shared" si="10"/>
        <v>-9.6858796296296259E-3</v>
      </c>
      <c r="E332" s="14">
        <f t="shared" si="10"/>
        <v>7.988812037037038E-2</v>
      </c>
      <c r="F332" s="14">
        <f>[1]Regression!$B$17+[1]Regression!$B$18*Returns!D332</f>
        <v>7.6407544255118528E-4</v>
      </c>
      <c r="G332" s="14">
        <f t="shared" si="11"/>
        <v>7.9124044927819201E-2</v>
      </c>
    </row>
    <row r="333" spans="1:7" x14ac:dyDescent="0.35">
      <c r="A333" s="18">
        <v>39661</v>
      </c>
      <c r="B333" s="10">
        <v>1.66E-2</v>
      </c>
      <c r="C333" s="10">
        <v>6.5516000000000005E-2</v>
      </c>
      <c r="D333" s="14">
        <f t="shared" si="10"/>
        <v>1.3114120370370373E-2</v>
      </c>
      <c r="E333" s="14">
        <f t="shared" si="10"/>
        <v>6.2030120370370381E-2</v>
      </c>
      <c r="F333" s="14">
        <f>[1]Regression!$B$17+[1]Regression!$B$18*Returns!D333</f>
        <v>1.2622783479617917E-2</v>
      </c>
      <c r="G333" s="14">
        <f t="shared" si="11"/>
        <v>4.9407336890752468E-2</v>
      </c>
    </row>
    <row r="334" spans="1:7" x14ac:dyDescent="0.35">
      <c r="A334" s="18">
        <v>39692</v>
      </c>
      <c r="B334" s="10">
        <v>-9.0899999999999995E-2</v>
      </c>
      <c r="C334" s="10">
        <v>-1.147E-3</v>
      </c>
      <c r="D334" s="14">
        <f t="shared" si="10"/>
        <v>-9.4385879629629618E-2</v>
      </c>
      <c r="E334" s="14">
        <f t="shared" si="10"/>
        <v>-4.6328796296296257E-3</v>
      </c>
      <c r="F334" s="14">
        <f>[1]Regression!$B$17+[1]Regression!$B$18*Returns!D334</f>
        <v>-4.3289984677604615E-2</v>
      </c>
      <c r="G334" s="14">
        <f t="shared" si="11"/>
        <v>3.8657105047974989E-2</v>
      </c>
    </row>
    <row r="335" spans="1:7" x14ac:dyDescent="0.35">
      <c r="A335" s="18">
        <v>39722</v>
      </c>
      <c r="B335" s="10">
        <v>-0.17150000000000001</v>
      </c>
      <c r="C335" s="10">
        <v>-6.8158999999999997E-2</v>
      </c>
      <c r="D335" s="14">
        <f t="shared" si="10"/>
        <v>-0.17498587962962964</v>
      </c>
      <c r="E335" s="14">
        <f t="shared" si="10"/>
        <v>-7.1644879629629621E-2</v>
      </c>
      <c r="F335" s="14">
        <f>[1]Regression!$B$17+[1]Regression!$B$18*Returns!D335</f>
        <v>-8.521155782618263E-2</v>
      </c>
      <c r="G335" s="14">
        <f t="shared" si="11"/>
        <v>1.3566678196553009E-2</v>
      </c>
    </row>
    <row r="336" spans="1:7" x14ac:dyDescent="0.35">
      <c r="A336" s="18">
        <v>39753</v>
      </c>
      <c r="B336" s="10">
        <v>-7.8299999999999995E-2</v>
      </c>
      <c r="C336" s="10">
        <v>-2.944E-3</v>
      </c>
      <c r="D336" s="14">
        <f t="shared" si="10"/>
        <v>-8.1785879629629618E-2</v>
      </c>
      <c r="E336" s="14">
        <f t="shared" si="10"/>
        <v>-6.4298796296296257E-3</v>
      </c>
      <c r="F336" s="14">
        <f>[1]Regression!$B$17+[1]Regression!$B$18*Returns!D336</f>
        <v>-3.673648813080458E-2</v>
      </c>
      <c r="G336" s="14">
        <f t="shared" si="11"/>
        <v>3.0306608501174954E-2</v>
      </c>
    </row>
    <row r="337" spans="1:7" x14ac:dyDescent="0.35">
      <c r="A337" s="18">
        <v>39783</v>
      </c>
      <c r="B337" s="10">
        <v>1.7399999999999999E-2</v>
      </c>
      <c r="C337" s="10">
        <v>-3.9315999999999997E-2</v>
      </c>
      <c r="D337" s="14">
        <f t="shared" si="10"/>
        <v>1.3914120370370372E-2</v>
      </c>
      <c r="E337" s="14">
        <f t="shared" si="10"/>
        <v>-4.280187962962962E-2</v>
      </c>
      <c r="F337" s="14">
        <f>[1]Regression!$B$17+[1]Regression!$B$18*Returns!D337</f>
        <v>1.3038878498462364E-2</v>
      </c>
      <c r="G337" s="14">
        <f t="shared" si="11"/>
        <v>-5.5840758128091986E-2</v>
      </c>
    </row>
    <row r="338" spans="1:7" x14ac:dyDescent="0.35">
      <c r="A338" s="18">
        <v>39814</v>
      </c>
      <c r="B338" s="10">
        <v>-8.1199999999999994E-2</v>
      </c>
      <c r="C338" s="10">
        <v>-0.111938</v>
      </c>
      <c r="D338" s="14">
        <f t="shared" si="10"/>
        <v>-8.4685879629629618E-2</v>
      </c>
      <c r="E338" s="14">
        <f t="shared" si="10"/>
        <v>-0.11542387962962962</v>
      </c>
      <c r="F338" s="14">
        <f>[1]Regression!$B$17+[1]Regression!$B$18*Returns!D338</f>
        <v>-3.8244832574115699E-2</v>
      </c>
      <c r="G338" s="14">
        <f t="shared" si="11"/>
        <v>-7.7179047055513927E-2</v>
      </c>
    </row>
    <row r="339" spans="1:7" x14ac:dyDescent="0.35">
      <c r="A339" s="18">
        <v>39845</v>
      </c>
      <c r="B339" s="10">
        <v>-0.1009</v>
      </c>
      <c r="C339" s="10">
        <v>-0.116147</v>
      </c>
      <c r="D339" s="14">
        <f t="shared" si="10"/>
        <v>-0.10438587962962963</v>
      </c>
      <c r="E339" s="14">
        <f t="shared" si="10"/>
        <v>-0.11963287962962962</v>
      </c>
      <c r="F339" s="14">
        <f>[1]Regression!$B$17+[1]Regression!$B$18*Returns!D339</f>
        <v>-4.8491172413160206E-2</v>
      </c>
      <c r="G339" s="14">
        <f t="shared" si="11"/>
        <v>-7.1141707216469424E-2</v>
      </c>
    </row>
    <row r="340" spans="1:7" x14ac:dyDescent="0.35">
      <c r="A340" s="18">
        <v>39873</v>
      </c>
      <c r="B340" s="10">
        <v>8.9699999999999988E-2</v>
      </c>
      <c r="C340" s="10">
        <v>-2.2421E-2</v>
      </c>
      <c r="D340" s="14">
        <f t="shared" si="10"/>
        <v>8.6214120370370365E-2</v>
      </c>
      <c r="E340" s="14">
        <f t="shared" si="10"/>
        <v>-2.5906879629629627E-2</v>
      </c>
      <c r="F340" s="14">
        <f>[1]Regression!$B$17+[1]Regression!$B$18*Returns!D340</f>
        <v>5.0643465826529233E-2</v>
      </c>
      <c r="G340" s="14">
        <f t="shared" si="11"/>
        <v>-7.6550345456158853E-2</v>
      </c>
    </row>
    <row r="341" spans="1:7" x14ac:dyDescent="0.35">
      <c r="A341" s="18">
        <v>39904</v>
      </c>
      <c r="B341" s="10">
        <v>0.10199999999999999</v>
      </c>
      <c r="C341" s="10">
        <v>5.9248000000000002E-2</v>
      </c>
      <c r="D341" s="14">
        <f t="shared" si="10"/>
        <v>9.851412037037037E-2</v>
      </c>
      <c r="E341" s="14">
        <f t="shared" si="10"/>
        <v>5.5762120370370379E-2</v>
      </c>
      <c r="F341" s="14">
        <f>[1]Regression!$B$17+[1]Regression!$B$18*Returns!D341</f>
        <v>5.7040926741262606E-2</v>
      </c>
      <c r="G341" s="14">
        <f t="shared" si="11"/>
        <v>-1.278806370892227E-3</v>
      </c>
    </row>
    <row r="342" spans="1:7" x14ac:dyDescent="0.35">
      <c r="A342" s="18">
        <v>39934</v>
      </c>
      <c r="B342" s="10">
        <v>5.21E-2</v>
      </c>
      <c r="C342" s="10">
        <v>5.0566E-2</v>
      </c>
      <c r="D342" s="14">
        <f t="shared" si="10"/>
        <v>4.8614120370370377E-2</v>
      </c>
      <c r="E342" s="14">
        <f t="shared" si="10"/>
        <v>4.7080120370370376E-2</v>
      </c>
      <c r="F342" s="14">
        <f>[1]Regression!$B$17+[1]Regression!$B$18*Returns!D342</f>
        <v>3.1086999940840243E-2</v>
      </c>
      <c r="G342" s="14">
        <f t="shared" si="11"/>
        <v>1.5993120429530133E-2</v>
      </c>
    </row>
    <row r="343" spans="1:7" x14ac:dyDescent="0.35">
      <c r="A343" s="18">
        <v>39965</v>
      </c>
      <c r="B343" s="10">
        <v>4.4000000000000003E-3</v>
      </c>
      <c r="C343" s="10">
        <v>-1.6173E-2</v>
      </c>
      <c r="D343" s="14">
        <f t="shared" si="10"/>
        <v>9.1412037037037416E-4</v>
      </c>
      <c r="E343" s="14">
        <f t="shared" si="10"/>
        <v>-1.9658879629629627E-2</v>
      </c>
      <c r="F343" s="14">
        <f>[1]Regression!$B$17+[1]Regression!$B$18*Returns!D343</f>
        <v>6.2773344422401046E-3</v>
      </c>
      <c r="G343" s="14">
        <f t="shared" si="11"/>
        <v>-2.5936214071869731E-2</v>
      </c>
    </row>
    <row r="344" spans="1:7" x14ac:dyDescent="0.35">
      <c r="A344" s="18">
        <v>39995</v>
      </c>
      <c r="B344" s="10">
        <v>7.7299999999999994E-2</v>
      </c>
      <c r="C344" s="10">
        <v>9.4911999999999996E-2</v>
      </c>
      <c r="D344" s="14">
        <f t="shared" si="10"/>
        <v>7.381412037037037E-2</v>
      </c>
      <c r="E344" s="14">
        <f t="shared" si="10"/>
        <v>9.1426120370370373E-2</v>
      </c>
      <c r="F344" s="14">
        <f>[1]Regression!$B$17+[1]Regression!$B$18*Returns!D344</f>
        <v>4.4193993034440313E-2</v>
      </c>
      <c r="G344" s="14">
        <f t="shared" si="11"/>
        <v>4.723212733593006E-2</v>
      </c>
    </row>
    <row r="345" spans="1:7" x14ac:dyDescent="0.35">
      <c r="A345" s="18">
        <v>40026</v>
      </c>
      <c r="B345" s="10">
        <v>3.3399999999999999E-2</v>
      </c>
      <c r="C345" s="10">
        <v>-2.5221E-2</v>
      </c>
      <c r="D345" s="14">
        <f t="shared" si="10"/>
        <v>2.9914120370370372E-2</v>
      </c>
      <c r="E345" s="14">
        <f t="shared" si="10"/>
        <v>-2.8706879629629627E-2</v>
      </c>
      <c r="F345" s="14">
        <f>[1]Regression!$B$17+[1]Regression!$B$18*Returns!D345</f>
        <v>2.1360778875351299E-2</v>
      </c>
      <c r="G345" s="14">
        <f t="shared" si="11"/>
        <v>-5.0067658504980926E-2</v>
      </c>
    </row>
    <row r="346" spans="1:7" x14ac:dyDescent="0.35">
      <c r="A346" s="18">
        <v>40057</v>
      </c>
      <c r="B346" s="10">
        <v>4.0899999999999999E-2</v>
      </c>
      <c r="C346" s="10">
        <v>7.0412000000000002E-2</v>
      </c>
      <c r="D346" s="14">
        <f t="shared" si="10"/>
        <v>3.7414120370370375E-2</v>
      </c>
      <c r="E346" s="14">
        <f t="shared" si="10"/>
        <v>6.6926120370370379E-2</v>
      </c>
      <c r="F346" s="14">
        <f>[1]Regression!$B$17+[1]Regression!$B$18*Returns!D346</f>
        <v>2.5261669677017991E-2</v>
      </c>
      <c r="G346" s="14">
        <f t="shared" si="11"/>
        <v>4.1664450693352388E-2</v>
      </c>
    </row>
    <row r="347" spans="1:7" x14ac:dyDescent="0.35">
      <c r="A347" s="18">
        <v>40087</v>
      </c>
      <c r="B347" s="10">
        <v>-2.5899999999999999E-2</v>
      </c>
      <c r="C347" s="10">
        <v>8.9779999999999999E-3</v>
      </c>
      <c r="D347" s="14">
        <f t="shared" si="10"/>
        <v>-2.9385879629629626E-2</v>
      </c>
      <c r="E347" s="14">
        <f t="shared" si="10"/>
        <v>5.4921203703703738E-3</v>
      </c>
      <c r="F347" s="14">
        <f>[1]Regression!$B$17+[1]Regression!$B$18*Returns!D347</f>
        <v>-9.4822643964933163E-3</v>
      </c>
      <c r="G347" s="14">
        <f t="shared" si="11"/>
        <v>1.4974384766863691E-2</v>
      </c>
    </row>
    <row r="348" spans="1:7" x14ac:dyDescent="0.35">
      <c r="A348" s="18">
        <v>40118</v>
      </c>
      <c r="B348" s="10">
        <v>5.5599999999999997E-2</v>
      </c>
      <c r="C348" s="10">
        <v>7.4999999999999997E-2</v>
      </c>
      <c r="D348" s="14">
        <f t="shared" si="10"/>
        <v>5.2114120370370373E-2</v>
      </c>
      <c r="E348" s="14">
        <f t="shared" si="10"/>
        <v>7.1514120370370374E-2</v>
      </c>
      <c r="F348" s="14">
        <f>[1]Regression!$B$17+[1]Regression!$B$18*Returns!D348</f>
        <v>3.2907415648284699E-2</v>
      </c>
      <c r="G348" s="14">
        <f t="shared" si="11"/>
        <v>3.8606704722085675E-2</v>
      </c>
    </row>
    <row r="349" spans="1:7" x14ac:dyDescent="0.35">
      <c r="A349" s="18">
        <v>40148</v>
      </c>
      <c r="B349" s="10">
        <v>2.76E-2</v>
      </c>
      <c r="C349" s="10">
        <v>-2.7585999999999999E-2</v>
      </c>
      <c r="D349" s="14">
        <f t="shared" si="10"/>
        <v>2.4114120370370373E-2</v>
      </c>
      <c r="E349" s="14">
        <f t="shared" si="10"/>
        <v>-3.1071879629629626E-2</v>
      </c>
      <c r="F349" s="14">
        <f>[1]Regression!$B$17+[1]Regression!$B$18*Returns!D349</f>
        <v>1.8344089988729061E-2</v>
      </c>
      <c r="G349" s="14">
        <f t="shared" si="11"/>
        <v>-4.9415969618358688E-2</v>
      </c>
    </row>
    <row r="350" spans="1:7" x14ac:dyDescent="0.35">
      <c r="A350" s="18">
        <v>40179</v>
      </c>
      <c r="B350" s="10">
        <v>-3.3599999999999998E-2</v>
      </c>
      <c r="C350" s="10">
        <v>2.2431E-2</v>
      </c>
      <c r="D350" s="14">
        <f t="shared" si="10"/>
        <v>-3.7085879629629621E-2</v>
      </c>
      <c r="E350" s="14">
        <f t="shared" si="10"/>
        <v>1.8945120370370373E-2</v>
      </c>
      <c r="F350" s="14">
        <f>[1]Regression!$B$17+[1]Regression!$B$18*Returns!D350</f>
        <v>-1.3487178952871116E-2</v>
      </c>
      <c r="G350" s="14">
        <f t="shared" si="11"/>
        <v>3.2432299323241487E-2</v>
      </c>
    </row>
    <row r="351" spans="1:7" x14ac:dyDescent="0.35">
      <c r="A351" s="18">
        <v>40210</v>
      </c>
      <c r="B351" s="10">
        <v>3.4000000000000002E-2</v>
      </c>
      <c r="C351" s="10">
        <v>2.8107E-2</v>
      </c>
      <c r="D351" s="14">
        <f t="shared" si="10"/>
        <v>3.0514120370370375E-2</v>
      </c>
      <c r="E351" s="14">
        <f t="shared" si="10"/>
        <v>2.4621120370370373E-2</v>
      </c>
      <c r="F351" s="14">
        <f>[1]Regression!$B$17+[1]Regression!$B$18*Returns!D351</f>
        <v>2.167285013948464E-2</v>
      </c>
      <c r="G351" s="14">
        <f t="shared" si="11"/>
        <v>2.9482702308857335E-3</v>
      </c>
    </row>
    <row r="352" spans="1:7" x14ac:dyDescent="0.35">
      <c r="A352" s="18">
        <v>40238</v>
      </c>
      <c r="B352" s="10">
        <v>6.3199999999999992E-2</v>
      </c>
      <c r="C352" s="10">
        <v>-1.5799999999999999E-4</v>
      </c>
      <c r="D352" s="14">
        <f t="shared" si="10"/>
        <v>5.9714120370370369E-2</v>
      </c>
      <c r="E352" s="14">
        <f t="shared" si="10"/>
        <v>-3.6438796296296263E-3</v>
      </c>
      <c r="F352" s="14">
        <f>[1]Regression!$B$17+[1]Regression!$B$18*Returns!D352</f>
        <v>3.6860318327306942E-2</v>
      </c>
      <c r="G352" s="14">
        <f t="shared" si="11"/>
        <v>-4.050419795693657E-2</v>
      </c>
    </row>
    <row r="353" spans="1:7" x14ac:dyDescent="0.35">
      <c r="A353" s="18">
        <v>40269</v>
      </c>
      <c r="B353" s="10">
        <v>2.0099999999999996E-2</v>
      </c>
      <c r="C353" s="10">
        <v>-9.9290000000000003E-3</v>
      </c>
      <c r="D353" s="14">
        <f t="shared" si="10"/>
        <v>1.6614120370370369E-2</v>
      </c>
      <c r="E353" s="14">
        <f t="shared" si="10"/>
        <v>-1.3414879629629627E-2</v>
      </c>
      <c r="F353" s="14">
        <f>[1]Regression!$B$17+[1]Regression!$B$18*Returns!D353</f>
        <v>1.4443199187062371E-2</v>
      </c>
      <c r="G353" s="14">
        <f t="shared" si="11"/>
        <v>-2.7858078816692E-2</v>
      </c>
    </row>
    <row r="354" spans="1:7" x14ac:dyDescent="0.35">
      <c r="A354" s="18">
        <v>40299</v>
      </c>
      <c r="B354" s="10">
        <v>-7.8799999999999995E-2</v>
      </c>
      <c r="C354" s="10">
        <v>-1.7214E-2</v>
      </c>
      <c r="D354" s="14">
        <f t="shared" si="10"/>
        <v>-8.2285879629629619E-2</v>
      </c>
      <c r="E354" s="14">
        <f t="shared" si="10"/>
        <v>-2.0699879629629627E-2</v>
      </c>
      <c r="F354" s="14">
        <f>[1]Regression!$B$17+[1]Regression!$B$18*Returns!D354</f>
        <v>-3.6996547517582357E-2</v>
      </c>
      <c r="G354" s="14">
        <f t="shared" si="11"/>
        <v>1.6296667887952729E-2</v>
      </c>
    </row>
    <row r="355" spans="1:7" x14ac:dyDescent="0.35">
      <c r="A355" s="18">
        <v>40330</v>
      </c>
      <c r="B355" s="10">
        <v>-5.5500000000000001E-2</v>
      </c>
      <c r="C355" s="10">
        <v>-1.8169999999999999E-2</v>
      </c>
      <c r="D355" s="14">
        <f t="shared" si="10"/>
        <v>-5.8985879629629624E-2</v>
      </c>
      <c r="E355" s="14">
        <f t="shared" si="10"/>
        <v>-2.1655879629629626E-2</v>
      </c>
      <c r="F355" s="14">
        <f>[1]Regression!$B$17+[1]Regression!$B$18*Returns!D355</f>
        <v>-2.4877780093737846E-2</v>
      </c>
      <c r="G355" s="14">
        <f t="shared" si="11"/>
        <v>3.2219004641082204E-3</v>
      </c>
    </row>
    <row r="356" spans="1:7" x14ac:dyDescent="0.35">
      <c r="A356" s="18">
        <v>40360</v>
      </c>
      <c r="B356" s="10">
        <v>6.9399999999999989E-2</v>
      </c>
      <c r="C356" s="10">
        <v>2.7706000000000001E-2</v>
      </c>
      <c r="D356" s="14">
        <f t="shared" si="10"/>
        <v>6.5914120370370366E-2</v>
      </c>
      <c r="E356" s="14">
        <f t="shared" si="10"/>
        <v>2.4220120370370374E-2</v>
      </c>
      <c r="F356" s="14">
        <f>[1]Regression!$B$17+[1]Regression!$B$18*Returns!D356</f>
        <v>4.0085054723351402E-2</v>
      </c>
      <c r="G356" s="14">
        <f t="shared" si="11"/>
        <v>-1.5864934352981027E-2</v>
      </c>
    </row>
    <row r="357" spans="1:7" x14ac:dyDescent="0.35">
      <c r="A357" s="18">
        <v>40391</v>
      </c>
      <c r="B357" s="10">
        <v>-4.7599999999999996E-2</v>
      </c>
      <c r="C357" s="10">
        <v>-2.4362000000000002E-2</v>
      </c>
      <c r="D357" s="14">
        <f t="shared" si="10"/>
        <v>-5.108587962962962E-2</v>
      </c>
      <c r="E357" s="14">
        <f t="shared" si="10"/>
        <v>-2.7847879629629629E-2</v>
      </c>
      <c r="F357" s="14">
        <f>[1]Regression!$B$17+[1]Regression!$B$18*Returns!D357</f>
        <v>-2.0768841782648935E-2</v>
      </c>
      <c r="G357" s="14">
        <f t="shared" si="11"/>
        <v>-7.0790378469806937E-3</v>
      </c>
    </row>
    <row r="358" spans="1:7" x14ac:dyDescent="0.35">
      <c r="A358" s="18">
        <v>40422</v>
      </c>
      <c r="B358" s="10">
        <v>9.5499999999999988E-2</v>
      </c>
      <c r="C358" s="10">
        <v>5.0280000000000004E-3</v>
      </c>
      <c r="D358" s="14">
        <f t="shared" si="10"/>
        <v>9.2014120370370364E-2</v>
      </c>
      <c r="E358" s="14">
        <f t="shared" si="10"/>
        <v>1.5421203703703742E-3</v>
      </c>
      <c r="F358" s="14">
        <f>[1]Regression!$B$17+[1]Regression!$B$18*Returns!D358</f>
        <v>5.3660154713151477E-2</v>
      </c>
      <c r="G358" s="14">
        <f t="shared" si="11"/>
        <v>-5.2118034342781103E-2</v>
      </c>
    </row>
    <row r="359" spans="1:7" x14ac:dyDescent="0.35">
      <c r="A359" s="18">
        <v>40452</v>
      </c>
      <c r="B359" s="10">
        <v>3.8899999999999997E-2</v>
      </c>
      <c r="C359" s="10">
        <v>6.8064E-2</v>
      </c>
      <c r="D359" s="14">
        <f t="shared" si="10"/>
        <v>3.5414120370370374E-2</v>
      </c>
      <c r="E359" s="14">
        <f t="shared" si="10"/>
        <v>6.4578120370370376E-2</v>
      </c>
      <c r="F359" s="14">
        <f>[1]Regression!$B$17+[1]Regression!$B$18*Returns!D359</f>
        <v>2.4221432129906871E-2</v>
      </c>
      <c r="G359" s="14">
        <f t="shared" si="11"/>
        <v>4.0356688240463505E-2</v>
      </c>
    </row>
    <row r="360" spans="1:7" x14ac:dyDescent="0.35">
      <c r="A360" s="18">
        <v>40483</v>
      </c>
      <c r="B360" s="10">
        <v>6.0999999999999995E-3</v>
      </c>
      <c r="C360" s="10">
        <v>-3.9327000000000001E-2</v>
      </c>
      <c r="D360" s="14">
        <f t="shared" si="10"/>
        <v>2.6141203703703734E-3</v>
      </c>
      <c r="E360" s="14">
        <f t="shared" si="10"/>
        <v>-4.2812879629629624E-2</v>
      </c>
      <c r="F360" s="14">
        <f>[1]Regression!$B$17+[1]Regression!$B$18*Returns!D360</f>
        <v>7.161536357284554E-3</v>
      </c>
      <c r="G360" s="14">
        <f t="shared" si="11"/>
        <v>-4.9974415986914177E-2</v>
      </c>
    </row>
    <row r="361" spans="1:7" x14ac:dyDescent="0.35">
      <c r="A361" s="18">
        <v>40513</v>
      </c>
      <c r="B361" s="10">
        <v>6.83E-2</v>
      </c>
      <c r="C361" s="10">
        <v>5.3380999999999998E-2</v>
      </c>
      <c r="D361" s="14">
        <f t="shared" si="10"/>
        <v>6.4814120370370376E-2</v>
      </c>
      <c r="E361" s="14">
        <f t="shared" si="10"/>
        <v>4.9895120370370374E-2</v>
      </c>
      <c r="F361" s="14">
        <f>[1]Regression!$B$17+[1]Regression!$B$18*Returns!D361</f>
        <v>3.9512924072440288E-2</v>
      </c>
      <c r="G361" s="14">
        <f t="shared" si="11"/>
        <v>1.0382196297930087E-2</v>
      </c>
    </row>
    <row r="362" spans="1:7" x14ac:dyDescent="0.35">
      <c r="A362" s="18">
        <v>40544</v>
      </c>
      <c r="B362" s="10">
        <v>0.02</v>
      </c>
      <c r="C362" s="10">
        <v>-1.1164E-2</v>
      </c>
      <c r="D362" s="14">
        <f t="shared" si="10"/>
        <v>1.6514120370370373E-2</v>
      </c>
      <c r="E362" s="14">
        <f t="shared" si="10"/>
        <v>-1.4649879629629627E-2</v>
      </c>
      <c r="F362" s="14">
        <f>[1]Regression!$B$17+[1]Regression!$B$18*Returns!D362</f>
        <v>1.4391187309706817E-2</v>
      </c>
      <c r="G362" s="14">
        <f t="shared" si="11"/>
        <v>-2.9041066939336446E-2</v>
      </c>
    </row>
    <row r="363" spans="1:7" x14ac:dyDescent="0.35">
      <c r="A363" s="18">
        <v>40575</v>
      </c>
      <c r="B363" s="10">
        <v>3.5000000000000003E-2</v>
      </c>
      <c r="C363" s="10">
        <v>-1.2669999999999999E-3</v>
      </c>
      <c r="D363" s="14">
        <f t="shared" si="10"/>
        <v>3.151412037037038E-2</v>
      </c>
      <c r="E363" s="14">
        <f t="shared" si="10"/>
        <v>-4.752879629629626E-3</v>
      </c>
      <c r="F363" s="14">
        <f>[1]Regression!$B$17+[1]Regression!$B$18*Returns!D363</f>
        <v>2.2192968913040199E-2</v>
      </c>
      <c r="G363" s="14">
        <f t="shared" si="11"/>
        <v>-2.6945848542669827E-2</v>
      </c>
    </row>
    <row r="364" spans="1:7" x14ac:dyDescent="0.35">
      <c r="A364" s="18">
        <v>40603</v>
      </c>
      <c r="B364" s="10">
        <v>4.5999999999999999E-3</v>
      </c>
      <c r="C364" s="10">
        <v>-2.2998000000000001E-2</v>
      </c>
      <c r="D364" s="14">
        <f t="shared" si="10"/>
        <v>1.1141203703703738E-3</v>
      </c>
      <c r="E364" s="14">
        <f t="shared" si="10"/>
        <v>-2.6483879629629628E-2</v>
      </c>
      <c r="F364" s="14">
        <f>[1]Regression!$B$17+[1]Regression!$B$18*Returns!D364</f>
        <v>6.3813581969512168E-3</v>
      </c>
      <c r="G364" s="14">
        <f t="shared" si="11"/>
        <v>-3.2865237826580844E-2</v>
      </c>
    </row>
    <row r="365" spans="1:7" x14ac:dyDescent="0.35">
      <c r="A365" s="18">
        <v>40634</v>
      </c>
      <c r="B365" s="10">
        <v>2.8999999999999998E-2</v>
      </c>
      <c r="C365" s="10">
        <v>6.2094000000000003E-2</v>
      </c>
      <c r="D365" s="14">
        <f t="shared" si="10"/>
        <v>2.5514120370370371E-2</v>
      </c>
      <c r="E365" s="14">
        <f t="shared" si="10"/>
        <v>5.860812037037038E-2</v>
      </c>
      <c r="F365" s="14">
        <f>[1]Regression!$B$17+[1]Regression!$B$18*Returns!D365</f>
        <v>1.907225627170684E-2</v>
      </c>
      <c r="G365" s="14">
        <f t="shared" si="11"/>
        <v>3.953586409866354E-2</v>
      </c>
    </row>
    <row r="366" spans="1:7" x14ac:dyDescent="0.35">
      <c r="A366" s="18">
        <v>40664</v>
      </c>
      <c r="B366" s="10">
        <v>-1.2699999999999999E-2</v>
      </c>
      <c r="C366" s="10">
        <v>3.2356999999999997E-2</v>
      </c>
      <c r="D366" s="14">
        <f t="shared" si="10"/>
        <v>-1.6185879629629626E-2</v>
      </c>
      <c r="E366" s="14">
        <f t="shared" si="10"/>
        <v>2.887112037037037E-2</v>
      </c>
      <c r="F366" s="14">
        <f>[1]Regression!$B$17+[1]Regression!$B$18*Returns!D366</f>
        <v>-2.616696585559946E-3</v>
      </c>
      <c r="G366" s="14">
        <f t="shared" si="11"/>
        <v>3.1487816955930316E-2</v>
      </c>
    </row>
    <row r="367" spans="1:7" x14ac:dyDescent="0.35">
      <c r="A367" s="18">
        <v>40695</v>
      </c>
      <c r="B367" s="10">
        <v>-1.7500000000000002E-2</v>
      </c>
      <c r="C367" s="10">
        <v>-5.1194000000000003E-2</v>
      </c>
      <c r="D367" s="14">
        <f t="shared" si="10"/>
        <v>-2.0985879629629629E-2</v>
      </c>
      <c r="E367" s="14">
        <f t="shared" si="10"/>
        <v>-5.4679879629629627E-2</v>
      </c>
      <c r="F367" s="14">
        <f>[1]Regression!$B$17+[1]Regression!$B$18*Returns!D367</f>
        <v>-5.113266698626627E-3</v>
      </c>
      <c r="G367" s="14">
        <f t="shared" si="11"/>
        <v>-4.9566612931003E-2</v>
      </c>
    </row>
    <row r="368" spans="1:7" x14ac:dyDescent="0.35">
      <c r="A368" s="18">
        <v>40725</v>
      </c>
      <c r="B368" s="10">
        <v>-2.3599999999999999E-2</v>
      </c>
      <c r="C368" s="10">
        <v>-2.4461E-2</v>
      </c>
      <c r="D368" s="14">
        <f t="shared" si="10"/>
        <v>-2.7085879629629626E-2</v>
      </c>
      <c r="E368" s="14">
        <f t="shared" si="10"/>
        <v>-2.7946879629629627E-2</v>
      </c>
      <c r="F368" s="14">
        <f>[1]Regression!$B$17+[1]Regression!$B$18*Returns!D368</f>
        <v>-8.2859912173155331E-3</v>
      </c>
      <c r="G368" s="14">
        <f t="shared" si="11"/>
        <v>-1.9660888412314094E-2</v>
      </c>
    </row>
    <row r="369" spans="1:7" x14ac:dyDescent="0.35">
      <c r="A369" s="18">
        <v>40756</v>
      </c>
      <c r="B369" s="10">
        <v>-5.9800000000000006E-2</v>
      </c>
      <c r="C369" s="10">
        <v>3.5616000000000002E-2</v>
      </c>
      <c r="D369" s="14">
        <f t="shared" si="10"/>
        <v>-6.3285879629629629E-2</v>
      </c>
      <c r="E369" s="14">
        <f t="shared" si="10"/>
        <v>3.2130120370370378E-2</v>
      </c>
      <c r="F369" s="14">
        <f>[1]Regression!$B$17+[1]Regression!$B$18*Returns!D369</f>
        <v>-2.7114290820026754E-2</v>
      </c>
      <c r="G369" s="14">
        <f t="shared" si="11"/>
        <v>5.9244411190397132E-2</v>
      </c>
    </row>
    <row r="370" spans="1:7" x14ac:dyDescent="0.35">
      <c r="A370" s="18">
        <v>40787</v>
      </c>
      <c r="B370" s="10">
        <v>-7.5899999999999995E-2</v>
      </c>
      <c r="C370" s="10">
        <v>-7.8519999999999996E-3</v>
      </c>
      <c r="D370" s="14">
        <f t="shared" si="10"/>
        <v>-7.9385879629629619E-2</v>
      </c>
      <c r="E370" s="14">
        <f t="shared" si="10"/>
        <v>-1.1337879629629625E-2</v>
      </c>
      <c r="F370" s="14">
        <f>[1]Regression!$B$17+[1]Regression!$B$18*Returns!D370</f>
        <v>-3.5488203074271238E-2</v>
      </c>
      <c r="G370" s="14">
        <f t="shared" si="11"/>
        <v>2.4150323444641613E-2</v>
      </c>
    </row>
    <row r="371" spans="1:7" x14ac:dyDescent="0.35">
      <c r="A371" s="18">
        <v>40817</v>
      </c>
      <c r="B371" s="10">
        <v>0.11349999999999999</v>
      </c>
      <c r="C371" s="10">
        <v>2.1129999999999999E-2</v>
      </c>
      <c r="D371" s="14">
        <f t="shared" si="10"/>
        <v>0.11001412037037037</v>
      </c>
      <c r="E371" s="14">
        <f t="shared" si="10"/>
        <v>1.7644120370370373E-2</v>
      </c>
      <c r="F371" s="14">
        <f>[1]Regression!$B$17+[1]Regression!$B$18*Returns!D371</f>
        <v>6.3022292637151534E-2</v>
      </c>
      <c r="G371" s="14">
        <f t="shared" si="11"/>
        <v>-4.5378172266781161E-2</v>
      </c>
    </row>
    <row r="372" spans="1:7" x14ac:dyDescent="0.35">
      <c r="A372" s="18">
        <v>40848</v>
      </c>
      <c r="B372" s="10">
        <v>-2.8000000000000004E-3</v>
      </c>
      <c r="C372" s="10">
        <v>9.0639999999999991E-3</v>
      </c>
      <c r="D372" s="14">
        <f t="shared" si="10"/>
        <v>-6.2858796296296265E-3</v>
      </c>
      <c r="E372" s="14">
        <f t="shared" si="10"/>
        <v>5.578120370370373E-3</v>
      </c>
      <c r="F372" s="14">
        <f>[1]Regression!$B$17+[1]Regression!$B$18*Returns!D372</f>
        <v>2.5324792726400835E-3</v>
      </c>
      <c r="G372" s="14">
        <f t="shared" si="11"/>
        <v>3.0456410977302895E-3</v>
      </c>
    </row>
    <row r="373" spans="1:7" x14ac:dyDescent="0.35">
      <c r="A373" s="18">
        <v>40878</v>
      </c>
      <c r="B373" s="10">
        <v>7.4000000000000003E-3</v>
      </c>
      <c r="C373" s="10">
        <v>3.3141999999999998E-2</v>
      </c>
      <c r="D373" s="14">
        <f t="shared" si="10"/>
        <v>3.9141203703703742E-3</v>
      </c>
      <c r="E373" s="14">
        <f t="shared" si="10"/>
        <v>2.9656120370370371E-2</v>
      </c>
      <c r="F373" s="14">
        <f>[1]Regression!$B$17+[1]Regression!$B$18*Returns!D373</f>
        <v>7.8376907629067807E-3</v>
      </c>
      <c r="G373" s="14">
        <f t="shared" si="11"/>
        <v>2.181842960746359E-2</v>
      </c>
    </row>
    <row r="374" spans="1:7" x14ac:dyDescent="0.35">
      <c r="A374" s="18">
        <v>40909</v>
      </c>
      <c r="B374" s="10">
        <v>5.0499999999999996E-2</v>
      </c>
      <c r="C374" s="10">
        <v>-4.7143999999999998E-2</v>
      </c>
      <c r="D374" s="14">
        <f t="shared" si="10"/>
        <v>4.7014120370370373E-2</v>
      </c>
      <c r="E374" s="14">
        <f t="shared" si="10"/>
        <v>-5.0629879629629622E-2</v>
      </c>
      <c r="F374" s="14">
        <f>[1]Regression!$B$17+[1]Regression!$B$18*Returns!D374</f>
        <v>3.0254809903151353E-2</v>
      </c>
      <c r="G374" s="14">
        <f t="shared" si="11"/>
        <v>-8.0884689532780968E-2</v>
      </c>
    </row>
    <row r="375" spans="1:7" x14ac:dyDescent="0.35">
      <c r="A375" s="18">
        <v>40940</v>
      </c>
      <c r="B375" s="10">
        <v>4.4199999999999996E-2</v>
      </c>
      <c r="C375" s="10">
        <v>7.2651999999999994E-2</v>
      </c>
      <c r="D375" s="14">
        <f t="shared" si="10"/>
        <v>4.0714120370370373E-2</v>
      </c>
      <c r="E375" s="14">
        <f t="shared" si="10"/>
        <v>6.9166120370370371E-2</v>
      </c>
      <c r="F375" s="14">
        <f>[1]Regression!$B$17+[1]Regression!$B$18*Returns!D375</f>
        <v>2.6978061629751332E-2</v>
      </c>
      <c r="G375" s="14">
        <f t="shared" si="11"/>
        <v>4.2188058740619039E-2</v>
      </c>
    </row>
    <row r="376" spans="1:7" x14ac:dyDescent="0.35">
      <c r="A376" s="18">
        <v>40969</v>
      </c>
      <c r="B376" s="10">
        <v>3.1099999999999999E-2</v>
      </c>
      <c r="C376" s="10">
        <v>-6.0629999999999998E-3</v>
      </c>
      <c r="D376" s="14">
        <f t="shared" si="10"/>
        <v>2.7614120370370372E-2</v>
      </c>
      <c r="E376" s="14">
        <f t="shared" si="10"/>
        <v>-9.5488796296296259E-3</v>
      </c>
      <c r="F376" s="14">
        <f>[1]Regression!$B$17+[1]Regression!$B$18*Returns!D376</f>
        <v>2.0164505696173514E-2</v>
      </c>
      <c r="G376" s="14">
        <f t="shared" si="11"/>
        <v>-2.971338532580314E-2</v>
      </c>
    </row>
    <row r="377" spans="1:7" x14ac:dyDescent="0.35">
      <c r="A377" s="18">
        <v>41000</v>
      </c>
      <c r="B377" s="10">
        <v>-8.5000000000000006E-3</v>
      </c>
      <c r="C377" s="10">
        <v>-4.4755000000000003E-2</v>
      </c>
      <c r="D377" s="14">
        <f t="shared" si="10"/>
        <v>-1.1985879629629628E-2</v>
      </c>
      <c r="E377" s="14">
        <f t="shared" si="10"/>
        <v>-4.8240879629629627E-2</v>
      </c>
      <c r="F377" s="14">
        <f>[1]Regression!$B$17+[1]Regression!$B$18*Returns!D377</f>
        <v>-4.3219773662660048E-4</v>
      </c>
      <c r="G377" s="14">
        <f t="shared" si="11"/>
        <v>-4.7808681893003024E-2</v>
      </c>
    </row>
    <row r="378" spans="1:7" x14ac:dyDescent="0.35">
      <c r="A378" s="18">
        <v>41030</v>
      </c>
      <c r="B378" s="10">
        <v>-6.1800000000000008E-2</v>
      </c>
      <c r="C378" s="10">
        <v>-2.1212999999999999E-2</v>
      </c>
      <c r="D378" s="14">
        <f t="shared" si="10"/>
        <v>-6.5285879629629631E-2</v>
      </c>
      <c r="E378" s="14">
        <f t="shared" si="10"/>
        <v>-2.4698879629629626E-2</v>
      </c>
      <c r="F378" s="14">
        <f>[1]Regression!$B$17+[1]Regression!$B$18*Returns!D378</f>
        <v>-2.8154528367137867E-2</v>
      </c>
      <c r="G378" s="14">
        <f t="shared" si="11"/>
        <v>3.4556487375082406E-3</v>
      </c>
    </row>
    <row r="379" spans="1:7" x14ac:dyDescent="0.35">
      <c r="A379" s="18">
        <v>41061</v>
      </c>
      <c r="B379" s="10">
        <v>3.8900000000000004E-2</v>
      </c>
      <c r="C379" s="10">
        <v>-1.6695999999999999E-2</v>
      </c>
      <c r="D379" s="14">
        <f t="shared" si="10"/>
        <v>3.5414120370370381E-2</v>
      </c>
      <c r="E379" s="14">
        <f t="shared" si="10"/>
        <v>-2.0181879629629626E-2</v>
      </c>
      <c r="F379" s="14">
        <f>[1]Regression!$B$17+[1]Regression!$B$18*Returns!D379</f>
        <v>2.4221432129906878E-2</v>
      </c>
      <c r="G379" s="14">
        <f t="shared" si="11"/>
        <v>-4.4403311759536504E-2</v>
      </c>
    </row>
    <row r="380" spans="1:7" x14ac:dyDescent="0.35">
      <c r="A380" s="18">
        <v>41091</v>
      </c>
      <c r="B380" s="10">
        <v>7.9000000000000008E-3</v>
      </c>
      <c r="C380" s="10">
        <v>6.2890000000000001E-2</v>
      </c>
      <c r="D380" s="14">
        <f t="shared" si="10"/>
        <v>4.4141203703703747E-3</v>
      </c>
      <c r="E380" s="14">
        <f t="shared" si="10"/>
        <v>5.9404120370370378E-2</v>
      </c>
      <c r="F380" s="14">
        <f>[1]Regression!$B$17+[1]Regression!$B$18*Returns!D380</f>
        <v>8.0977501496845607E-3</v>
      </c>
      <c r="G380" s="14">
        <f t="shared" si="11"/>
        <v>5.1306370220685821E-2</v>
      </c>
    </row>
    <row r="381" spans="1:7" x14ac:dyDescent="0.35">
      <c r="A381" s="18">
        <v>41122</v>
      </c>
      <c r="B381" s="10">
        <v>2.5599999999999998E-2</v>
      </c>
      <c r="C381" s="10">
        <v>4.1059999999999999E-2</v>
      </c>
      <c r="D381" s="14">
        <f t="shared" si="10"/>
        <v>2.2114120370370371E-2</v>
      </c>
      <c r="E381" s="14">
        <f t="shared" si="10"/>
        <v>3.7574120370370376E-2</v>
      </c>
      <c r="F381" s="14">
        <f>[1]Regression!$B$17+[1]Regression!$B$18*Returns!D381</f>
        <v>1.7303852441617945E-2</v>
      </c>
      <c r="G381" s="14">
        <f t="shared" si="11"/>
        <v>2.0270267928752431E-2</v>
      </c>
    </row>
    <row r="382" spans="1:7" x14ac:dyDescent="0.35">
      <c r="A382" s="18">
        <v>41153</v>
      </c>
      <c r="B382" s="10">
        <v>2.7399999999999997E-2</v>
      </c>
      <c r="C382" s="10">
        <v>3.2295999999999998E-2</v>
      </c>
      <c r="D382" s="14">
        <f t="shared" si="10"/>
        <v>2.391412037037037E-2</v>
      </c>
      <c r="E382" s="14">
        <f t="shared" si="10"/>
        <v>2.8810120370370371E-2</v>
      </c>
      <c r="F382" s="14">
        <f>[1]Regression!$B$17+[1]Regression!$B$18*Returns!D382</f>
        <v>1.824006623401795E-2</v>
      </c>
      <c r="G382" s="14">
        <f t="shared" si="11"/>
        <v>1.0570054136352421E-2</v>
      </c>
    </row>
    <row r="383" spans="1:7" x14ac:dyDescent="0.35">
      <c r="A383" s="18">
        <v>41183</v>
      </c>
      <c r="B383" s="10">
        <v>-1.7500000000000002E-2</v>
      </c>
      <c r="C383" s="10">
        <v>6.3730000000000002E-3</v>
      </c>
      <c r="D383" s="14">
        <f t="shared" si="10"/>
        <v>-2.0985879629629629E-2</v>
      </c>
      <c r="E383" s="14">
        <f t="shared" si="10"/>
        <v>2.8871203703703741E-3</v>
      </c>
      <c r="F383" s="14">
        <f>[1]Regression!$B$17+[1]Regression!$B$18*Returns!D383</f>
        <v>-5.113266698626627E-3</v>
      </c>
      <c r="G383" s="14">
        <f t="shared" si="11"/>
        <v>8.0003870689970003E-3</v>
      </c>
    </row>
    <row r="384" spans="1:7" x14ac:dyDescent="0.35">
      <c r="A384" s="18">
        <v>41214</v>
      </c>
      <c r="B384" s="10">
        <v>7.9000000000000008E-3</v>
      </c>
      <c r="C384" s="10">
        <v>8.5210000000000008E-3</v>
      </c>
      <c r="D384" s="14">
        <f t="shared" si="10"/>
        <v>4.4141203703703747E-3</v>
      </c>
      <c r="E384" s="14">
        <f t="shared" si="10"/>
        <v>5.0351203703703747E-3</v>
      </c>
      <c r="F384" s="14">
        <f>[1]Regression!$B$17+[1]Regression!$B$18*Returns!D384</f>
        <v>8.0977501496845607E-3</v>
      </c>
      <c r="G384" s="14">
        <f t="shared" si="11"/>
        <v>-3.062629779314186E-3</v>
      </c>
    </row>
    <row r="385" spans="1:7" x14ac:dyDescent="0.35">
      <c r="A385" s="18">
        <v>41244</v>
      </c>
      <c r="B385" s="10">
        <v>1.1899999999999999E-2</v>
      </c>
      <c r="C385" s="10">
        <v>-2.7782000000000001E-2</v>
      </c>
      <c r="D385" s="14">
        <f t="shared" si="10"/>
        <v>8.4141203703703739E-3</v>
      </c>
      <c r="E385" s="14">
        <f t="shared" si="10"/>
        <v>-3.1267879629629625E-2</v>
      </c>
      <c r="F385" s="14">
        <f>[1]Regression!$B$17+[1]Regression!$B$18*Returns!D385</f>
        <v>1.0178225243906793E-2</v>
      </c>
      <c r="G385" s="14">
        <f t="shared" si="11"/>
        <v>-4.1446104873536421E-2</v>
      </c>
    </row>
    <row r="386" spans="1:7" x14ac:dyDescent="0.35">
      <c r="A386" s="18">
        <v>41275</v>
      </c>
      <c r="B386" s="10">
        <v>5.57E-2</v>
      </c>
      <c r="C386" s="10">
        <v>0.11536299999999999</v>
      </c>
      <c r="D386" s="14">
        <f t="shared" ref="D386:E433" si="12">B386-$J$2</f>
        <v>5.2214120370370376E-2</v>
      </c>
      <c r="E386" s="14">
        <f t="shared" si="12"/>
        <v>0.11187712037037037</v>
      </c>
      <c r="F386" s="14">
        <f>[1]Regression!$B$17+[1]Regression!$B$18*Returns!D386</f>
        <v>3.2959427525640253E-2</v>
      </c>
      <c r="G386" s="14">
        <f t="shared" si="11"/>
        <v>7.8917692844730117E-2</v>
      </c>
    </row>
    <row r="387" spans="1:7" x14ac:dyDescent="0.35">
      <c r="A387" s="18">
        <v>41306</v>
      </c>
      <c r="B387" s="10">
        <v>1.29E-2</v>
      </c>
      <c r="C387" s="10">
        <v>1.3571E-2</v>
      </c>
      <c r="D387" s="14">
        <f t="shared" si="12"/>
        <v>9.4141203703703748E-3</v>
      </c>
      <c r="E387" s="14">
        <f t="shared" si="12"/>
        <v>1.0085120370370373E-2</v>
      </c>
      <c r="F387" s="14">
        <f>[1]Regression!$B$17+[1]Regression!$B$18*Returns!D387</f>
        <v>1.0698344017462353E-2</v>
      </c>
      <c r="G387" s="14">
        <f t="shared" ref="G387:G433" si="13">E387-F387</f>
        <v>-6.1322364709198024E-4</v>
      </c>
    </row>
    <row r="388" spans="1:7" x14ac:dyDescent="0.35">
      <c r="A388" s="18">
        <v>41334</v>
      </c>
      <c r="B388" s="10">
        <v>4.0300000000000002E-2</v>
      </c>
      <c r="C388" s="10">
        <v>1.1552E-2</v>
      </c>
      <c r="D388" s="14">
        <f t="shared" si="12"/>
        <v>3.6814120370370379E-2</v>
      </c>
      <c r="E388" s="14">
        <f t="shared" si="12"/>
        <v>8.0661203703703728E-3</v>
      </c>
      <c r="F388" s="14">
        <f>[1]Regression!$B$17+[1]Regression!$B$18*Returns!D388</f>
        <v>2.4949598412884653E-2</v>
      </c>
      <c r="G388" s="14">
        <f t="shared" si="13"/>
        <v>-1.6883478042514281E-2</v>
      </c>
    </row>
    <row r="389" spans="1:7" x14ac:dyDescent="0.35">
      <c r="A389" s="18">
        <v>41365</v>
      </c>
      <c r="B389" s="10">
        <v>1.55E-2</v>
      </c>
      <c r="C389" s="10">
        <v>4.0419999999999996E-3</v>
      </c>
      <c r="D389" s="14">
        <f t="shared" si="12"/>
        <v>1.2014120370370373E-2</v>
      </c>
      <c r="E389" s="14">
        <f t="shared" si="12"/>
        <v>5.5612037037037348E-4</v>
      </c>
      <c r="F389" s="14">
        <f>[1]Regression!$B$17+[1]Regression!$B$18*Returns!D389</f>
        <v>1.2050652828706803E-2</v>
      </c>
      <c r="G389" s="14">
        <f t="shared" si="13"/>
        <v>-1.149453245833643E-2</v>
      </c>
    </row>
    <row r="390" spans="1:7" x14ac:dyDescent="0.35">
      <c r="A390" s="18">
        <v>41395</v>
      </c>
      <c r="B390" s="10">
        <v>2.7999999999999997E-2</v>
      </c>
      <c r="C390" s="10">
        <v>-1.2999999999999999E-4</v>
      </c>
      <c r="D390" s="14">
        <f t="shared" si="12"/>
        <v>2.451412037037037E-2</v>
      </c>
      <c r="E390" s="14">
        <f t="shared" si="12"/>
        <v>-3.615879629629626E-3</v>
      </c>
      <c r="F390" s="14">
        <f>[1]Regression!$B$17+[1]Regression!$B$18*Returns!D390</f>
        <v>1.855213749815128E-2</v>
      </c>
      <c r="G390" s="14">
        <f t="shared" si="13"/>
        <v>-2.2168017127780906E-2</v>
      </c>
    </row>
    <row r="391" spans="1:7" x14ac:dyDescent="0.35">
      <c r="A391" s="18">
        <v>41426</v>
      </c>
      <c r="B391" s="10">
        <v>-1.2E-2</v>
      </c>
      <c r="C391" s="10">
        <v>2.996E-3</v>
      </c>
      <c r="D391" s="14">
        <f t="shared" si="12"/>
        <v>-1.5485879629629627E-2</v>
      </c>
      <c r="E391" s="14">
        <f t="shared" si="12"/>
        <v>-4.8987962962962614E-4</v>
      </c>
      <c r="F391" s="14">
        <f>[1]Regression!$B$17+[1]Regression!$B$18*Returns!D391</f>
        <v>-2.2526134440710548E-3</v>
      </c>
      <c r="G391" s="14">
        <f t="shared" si="13"/>
        <v>1.7627338144414286E-3</v>
      </c>
    </row>
    <row r="392" spans="1:7" x14ac:dyDescent="0.35">
      <c r="A392" s="18">
        <v>41456</v>
      </c>
      <c r="B392" s="10">
        <v>5.6500000000000002E-2</v>
      </c>
      <c r="C392" s="10">
        <v>5.0805000000000003E-2</v>
      </c>
      <c r="D392" s="14">
        <f t="shared" si="12"/>
        <v>5.3014120370370378E-2</v>
      </c>
      <c r="E392" s="14">
        <f t="shared" si="12"/>
        <v>4.7319120370370379E-2</v>
      </c>
      <c r="F392" s="14">
        <f>[1]Regression!$B$17+[1]Regression!$B$18*Returns!D392</f>
        <v>3.3375522544484705E-2</v>
      </c>
      <c r="G392" s="14">
        <f t="shared" si="13"/>
        <v>1.3943597825885674E-2</v>
      </c>
    </row>
    <row r="393" spans="1:7" x14ac:dyDescent="0.35">
      <c r="A393" s="18">
        <v>41487</v>
      </c>
      <c r="B393" s="10">
        <v>-2.7099999999999999E-2</v>
      </c>
      <c r="C393" s="10">
        <v>-3.0012E-2</v>
      </c>
      <c r="D393" s="14">
        <f t="shared" si="12"/>
        <v>-3.0585879629629626E-2</v>
      </c>
      <c r="E393" s="14">
        <f t="shared" si="12"/>
        <v>-3.3497879629629627E-2</v>
      </c>
      <c r="F393" s="14">
        <f>[1]Regression!$B$17+[1]Regression!$B$18*Returns!D393</f>
        <v>-1.0106406924759987E-2</v>
      </c>
      <c r="G393" s="14">
        <f t="shared" si="13"/>
        <v>-2.3391472704869638E-2</v>
      </c>
    </row>
    <row r="394" spans="1:7" x14ac:dyDescent="0.35">
      <c r="A394" s="18">
        <v>41518</v>
      </c>
      <c r="B394" s="10">
        <v>3.7699999999999997E-2</v>
      </c>
      <c r="C394" s="10">
        <v>-2.9529E-2</v>
      </c>
      <c r="D394" s="14">
        <f t="shared" si="12"/>
        <v>3.4214120370370374E-2</v>
      </c>
      <c r="E394" s="14">
        <f t="shared" si="12"/>
        <v>-3.3014879629629623E-2</v>
      </c>
      <c r="F394" s="14">
        <f>[1]Regression!$B$17+[1]Regression!$B$18*Returns!D394</f>
        <v>2.3597289601640203E-2</v>
      </c>
      <c r="G394" s="14">
        <f t="shared" si="13"/>
        <v>-5.6612169231269827E-2</v>
      </c>
    </row>
    <row r="395" spans="1:7" x14ac:dyDescent="0.35">
      <c r="A395" s="18">
        <v>41548</v>
      </c>
      <c r="B395" s="10">
        <v>4.1799999999999997E-2</v>
      </c>
      <c r="C395" s="10">
        <v>7.6219999999999996E-2</v>
      </c>
      <c r="D395" s="14">
        <f t="shared" si="12"/>
        <v>3.8314120370370373E-2</v>
      </c>
      <c r="E395" s="14">
        <f t="shared" si="12"/>
        <v>7.2734120370370373E-2</v>
      </c>
      <c r="F395" s="14">
        <f>[1]Regression!$B$17+[1]Regression!$B$18*Returns!D395</f>
        <v>2.572977657321799E-2</v>
      </c>
      <c r="G395" s="14">
        <f t="shared" si="13"/>
        <v>4.7004343797152383E-2</v>
      </c>
    </row>
    <row r="396" spans="1:7" x14ac:dyDescent="0.35">
      <c r="A396" s="18">
        <v>41579</v>
      </c>
      <c r="B396" s="10">
        <v>3.1200000000000002E-2</v>
      </c>
      <c r="C396" s="10">
        <v>4.2972000000000003E-2</v>
      </c>
      <c r="D396" s="14">
        <f t="shared" si="12"/>
        <v>2.7714120370370375E-2</v>
      </c>
      <c r="E396" s="14">
        <f t="shared" si="12"/>
        <v>3.948612037037038E-2</v>
      </c>
      <c r="F396" s="14">
        <f>[1]Regression!$B$17+[1]Regression!$B$18*Returns!D396</f>
        <v>2.0216517573529075E-2</v>
      </c>
      <c r="G396" s="14">
        <f t="shared" si="13"/>
        <v>1.9269602796841305E-2</v>
      </c>
    </row>
    <row r="397" spans="1:7" x14ac:dyDescent="0.35">
      <c r="A397" s="18">
        <v>41609</v>
      </c>
      <c r="B397" s="10">
        <v>2.81E-2</v>
      </c>
      <c r="C397" s="10">
        <v>-3.3364999999999999E-2</v>
      </c>
      <c r="D397" s="14">
        <f t="shared" si="12"/>
        <v>2.4614120370370373E-2</v>
      </c>
      <c r="E397" s="14">
        <f t="shared" si="12"/>
        <v>-3.6850879629629622E-2</v>
      </c>
      <c r="F397" s="14">
        <f>[1]Regression!$B$17+[1]Regression!$B$18*Returns!D397</f>
        <v>1.8604149375506841E-2</v>
      </c>
      <c r="G397" s="14">
        <f t="shared" si="13"/>
        <v>-5.5455029005136464E-2</v>
      </c>
    </row>
    <row r="398" spans="1:7" x14ac:dyDescent="0.35">
      <c r="A398" s="18">
        <v>41640</v>
      </c>
      <c r="B398" s="10">
        <v>-3.32E-2</v>
      </c>
      <c r="C398" s="10">
        <v>-5.1449000000000002E-2</v>
      </c>
      <c r="D398" s="14">
        <f t="shared" si="12"/>
        <v>-3.6685879629629624E-2</v>
      </c>
      <c r="E398" s="14">
        <f t="shared" si="12"/>
        <v>-5.4934879629629625E-2</v>
      </c>
      <c r="F398" s="14">
        <f>[1]Regression!$B$17+[1]Regression!$B$18*Returns!D398</f>
        <v>-1.3279131443448893E-2</v>
      </c>
      <c r="G398" s="14">
        <f t="shared" si="13"/>
        <v>-4.165574818618073E-2</v>
      </c>
    </row>
    <row r="399" spans="1:7" x14ac:dyDescent="0.35">
      <c r="A399" s="18">
        <v>41671</v>
      </c>
      <c r="B399" s="10">
        <v>4.6500000000000007E-2</v>
      </c>
      <c r="C399" s="10">
        <v>2.6624999999999999E-2</v>
      </c>
      <c r="D399" s="14">
        <f t="shared" si="12"/>
        <v>4.3014120370370383E-2</v>
      </c>
      <c r="E399" s="14">
        <f t="shared" si="12"/>
        <v>2.3139120370370372E-2</v>
      </c>
      <c r="F399" s="14">
        <f>[1]Regression!$B$17+[1]Regression!$B$18*Returns!D399</f>
        <v>2.817433480892912E-2</v>
      </c>
      <c r="G399" s="14">
        <f t="shared" si="13"/>
        <v>-5.035214438558748E-3</v>
      </c>
    </row>
    <row r="400" spans="1:7" x14ac:dyDescent="0.35">
      <c r="A400" s="18">
        <v>41699</v>
      </c>
      <c r="B400" s="10">
        <v>4.3E-3</v>
      </c>
      <c r="C400" s="10">
        <v>2.4663000000000001E-2</v>
      </c>
      <c r="D400" s="14">
        <f t="shared" si="12"/>
        <v>8.141203703703739E-4</v>
      </c>
      <c r="E400" s="14">
        <f t="shared" si="12"/>
        <v>2.1177120370370374E-2</v>
      </c>
      <c r="F400" s="14">
        <f>[1]Regression!$B$17+[1]Regression!$B$18*Returns!D400</f>
        <v>6.225322564884549E-3</v>
      </c>
      <c r="G400" s="14">
        <f t="shared" si="13"/>
        <v>1.4951797805485825E-2</v>
      </c>
    </row>
    <row r="401" spans="1:7" x14ac:dyDescent="0.35">
      <c r="A401" s="18">
        <v>41730</v>
      </c>
      <c r="B401" s="10">
        <v>-1.9E-3</v>
      </c>
      <c r="C401" s="10">
        <v>3.2178999999999999E-2</v>
      </c>
      <c r="D401" s="14">
        <f t="shared" si="12"/>
        <v>-5.3858796296296259E-3</v>
      </c>
      <c r="E401" s="14">
        <f t="shared" si="12"/>
        <v>2.8693120370370372E-2</v>
      </c>
      <c r="F401" s="14">
        <f>[1]Regression!$B$17+[1]Regression!$B$18*Returns!D401</f>
        <v>3.0005861688400864E-3</v>
      </c>
      <c r="G401" s="14">
        <f t="shared" si="13"/>
        <v>2.5692534201530285E-2</v>
      </c>
    </row>
    <row r="402" spans="1:7" x14ac:dyDescent="0.35">
      <c r="A402" s="18">
        <v>41760</v>
      </c>
      <c r="B402" s="10">
        <v>2.06E-2</v>
      </c>
      <c r="C402" s="10">
        <v>-2.1319999999999999E-2</v>
      </c>
      <c r="D402" s="14">
        <f t="shared" si="12"/>
        <v>1.7114120370370373E-2</v>
      </c>
      <c r="E402" s="14">
        <f t="shared" si="12"/>
        <v>-2.4805879629629626E-2</v>
      </c>
      <c r="F402" s="14">
        <f>[1]Regression!$B$17+[1]Regression!$B$18*Returns!D402</f>
        <v>1.4703258573840151E-2</v>
      </c>
      <c r="G402" s="14">
        <f t="shared" si="13"/>
        <v>-3.9509138203469775E-2</v>
      </c>
    </row>
    <row r="403" spans="1:7" x14ac:dyDescent="0.35">
      <c r="A403" s="18">
        <v>41791</v>
      </c>
      <c r="B403" s="10">
        <v>2.6099999999999998E-2</v>
      </c>
      <c r="C403" s="10">
        <v>-2.7231000000000002E-2</v>
      </c>
      <c r="D403" s="14">
        <f t="shared" si="12"/>
        <v>2.2614120370370371E-2</v>
      </c>
      <c r="E403" s="14">
        <f t="shared" si="12"/>
        <v>-3.0716879629629629E-2</v>
      </c>
      <c r="F403" s="14">
        <f>[1]Regression!$B$17+[1]Regression!$B$18*Returns!D403</f>
        <v>1.7563911828395722E-2</v>
      </c>
      <c r="G403" s="14">
        <f t="shared" si="13"/>
        <v>-4.828079145802535E-2</v>
      </c>
    </row>
    <row r="404" spans="1:7" x14ac:dyDescent="0.35">
      <c r="A404" s="18">
        <v>41821</v>
      </c>
      <c r="B404" s="10">
        <v>-2.0400000000000001E-2</v>
      </c>
      <c r="C404" s="10">
        <v>-7.9699999999999997E-3</v>
      </c>
      <c r="D404" s="14">
        <f t="shared" si="12"/>
        <v>-2.3885879629629628E-2</v>
      </c>
      <c r="E404" s="14">
        <f t="shared" si="12"/>
        <v>-1.1455879629629625E-2</v>
      </c>
      <c r="F404" s="14">
        <f>[1]Regression!$B$17+[1]Regression!$B$18*Returns!D404</f>
        <v>-6.6216111419377457E-3</v>
      </c>
      <c r="G404" s="14">
        <f t="shared" si="13"/>
        <v>-4.8342684876918791E-3</v>
      </c>
    </row>
    <row r="405" spans="1:7" x14ac:dyDescent="0.35">
      <c r="A405" s="18">
        <v>41852</v>
      </c>
      <c r="B405" s="10">
        <v>4.24E-2</v>
      </c>
      <c r="C405" s="10">
        <v>7.4884000000000006E-2</v>
      </c>
      <c r="D405" s="14">
        <f t="shared" si="12"/>
        <v>3.8914120370370377E-2</v>
      </c>
      <c r="E405" s="14">
        <f t="shared" si="12"/>
        <v>7.1398120370370383E-2</v>
      </c>
      <c r="F405" s="14">
        <f>[1]Regression!$B$17+[1]Regression!$B$18*Returns!D405</f>
        <v>2.6041847837351327E-2</v>
      </c>
      <c r="G405" s="14">
        <f t="shared" si="13"/>
        <v>4.5356272533019056E-2</v>
      </c>
    </row>
    <row r="406" spans="1:7" x14ac:dyDescent="0.35">
      <c r="A406" s="18">
        <v>41883</v>
      </c>
      <c r="B406" s="10">
        <v>-1.9699999999999999E-2</v>
      </c>
      <c r="C406" s="10">
        <v>7.5799999999999999E-3</v>
      </c>
      <c r="D406" s="14">
        <f t="shared" si="12"/>
        <v>-2.3185879629629626E-2</v>
      </c>
      <c r="E406" s="14">
        <f t="shared" si="12"/>
        <v>4.0941203703703738E-3</v>
      </c>
      <c r="F406" s="14">
        <f>[1]Regression!$B$17+[1]Regression!$B$18*Returns!D406</f>
        <v>-6.2575280004488545E-3</v>
      </c>
      <c r="G406" s="14">
        <f t="shared" si="13"/>
        <v>1.0351648370819228E-2</v>
      </c>
    </row>
    <row r="407" spans="1:7" x14ac:dyDescent="0.35">
      <c r="A407" s="18">
        <v>41913</v>
      </c>
      <c r="B407" s="10">
        <v>2.52E-2</v>
      </c>
      <c r="C407" s="10">
        <v>4.9840000000000002E-2</v>
      </c>
      <c r="D407" s="14">
        <f t="shared" si="12"/>
        <v>2.1714120370370373E-2</v>
      </c>
      <c r="E407" s="14">
        <f t="shared" si="12"/>
        <v>4.6354120370370379E-2</v>
      </c>
      <c r="F407" s="14">
        <f>[1]Regression!$B$17+[1]Regression!$B$18*Returns!D407</f>
        <v>1.7095804932195723E-2</v>
      </c>
      <c r="G407" s="14">
        <f t="shared" si="13"/>
        <v>2.9258315438174656E-2</v>
      </c>
    </row>
    <row r="408" spans="1:7" x14ac:dyDescent="0.35">
      <c r="A408" s="18">
        <v>41944</v>
      </c>
      <c r="B408" s="10">
        <v>2.5499999999999998E-2</v>
      </c>
      <c r="C408" s="10">
        <v>3.6209999999999999E-2</v>
      </c>
      <c r="D408" s="14">
        <f t="shared" si="12"/>
        <v>2.2014120370370371E-2</v>
      </c>
      <c r="E408" s="14">
        <f t="shared" si="12"/>
        <v>3.2724120370370376E-2</v>
      </c>
      <c r="F408" s="14">
        <f>[1]Regression!$B$17+[1]Regression!$B$18*Returns!D408</f>
        <v>1.7251840564262388E-2</v>
      </c>
      <c r="G408" s="14">
        <f t="shared" si="13"/>
        <v>1.5472279806107988E-2</v>
      </c>
    </row>
    <row r="409" spans="1:7" x14ac:dyDescent="0.35">
      <c r="A409" s="18">
        <v>41974</v>
      </c>
      <c r="B409" s="10">
        <v>-5.9999999999999995E-4</v>
      </c>
      <c r="C409" s="10">
        <v>7.2979999999999998E-3</v>
      </c>
      <c r="D409" s="14">
        <f t="shared" si="12"/>
        <v>-4.0858796296296259E-3</v>
      </c>
      <c r="E409" s="14">
        <f t="shared" si="12"/>
        <v>3.8121203703703737E-3</v>
      </c>
      <c r="F409" s="14">
        <f>[1]Regression!$B$17+[1]Regression!$B$18*Returns!D409</f>
        <v>3.6767405744623127E-3</v>
      </c>
      <c r="G409" s="14">
        <f t="shared" si="13"/>
        <v>1.3537979590806095E-4</v>
      </c>
    </row>
    <row r="410" spans="1:7" x14ac:dyDescent="0.35">
      <c r="A410" s="18">
        <v>42005</v>
      </c>
      <c r="B410" s="10">
        <v>-3.1099999999999999E-2</v>
      </c>
      <c r="C410" s="10">
        <v>-6.7585999999999993E-2</v>
      </c>
      <c r="D410" s="14">
        <f t="shared" si="12"/>
        <v>-3.4585879629629626E-2</v>
      </c>
      <c r="E410" s="14">
        <f t="shared" si="12"/>
        <v>-7.1071879629629617E-2</v>
      </c>
      <c r="F410" s="14">
        <f>[1]Regression!$B$17+[1]Regression!$B$18*Returns!D410</f>
        <v>-1.218688201898222E-2</v>
      </c>
      <c r="G410" s="14">
        <f t="shared" si="13"/>
        <v>-5.8884997610647395E-2</v>
      </c>
    </row>
    <row r="411" spans="1:7" x14ac:dyDescent="0.35">
      <c r="A411" s="18">
        <v>42036</v>
      </c>
      <c r="B411" s="10">
        <v>6.13E-2</v>
      </c>
      <c r="C411" s="10">
        <v>9.9659999999999992E-3</v>
      </c>
      <c r="D411" s="14">
        <f t="shared" si="12"/>
        <v>5.7814120370370377E-2</v>
      </c>
      <c r="E411" s="14">
        <f t="shared" si="12"/>
        <v>6.4801203703703731E-3</v>
      </c>
      <c r="F411" s="14">
        <f>[1]Regression!$B$17+[1]Regression!$B$18*Returns!D411</f>
        <v>3.5872092657551383E-2</v>
      </c>
      <c r="G411" s="14">
        <f t="shared" si="13"/>
        <v>-2.939197228718101E-2</v>
      </c>
    </row>
    <row r="412" spans="1:7" x14ac:dyDescent="0.35">
      <c r="A412" s="18">
        <v>42064</v>
      </c>
      <c r="B412" s="10">
        <v>-1.1200000000000002E-2</v>
      </c>
      <c r="C412" s="10">
        <v>-3.7471999999999998E-2</v>
      </c>
      <c r="D412" s="14">
        <f t="shared" si="12"/>
        <v>-1.4685879629629629E-2</v>
      </c>
      <c r="E412" s="14">
        <f t="shared" si="12"/>
        <v>-4.0957879629629622E-2</v>
      </c>
      <c r="F412" s="14">
        <f>[1]Regression!$B$17+[1]Regression!$B$18*Returns!D412</f>
        <v>-1.8365184252266088E-3</v>
      </c>
      <c r="G412" s="14">
        <f t="shared" si="13"/>
        <v>-3.9121361204403016E-2</v>
      </c>
    </row>
    <row r="413" spans="1:7" x14ac:dyDescent="0.35">
      <c r="A413" s="18">
        <v>42095</v>
      </c>
      <c r="B413" s="10">
        <v>5.8999999999999999E-3</v>
      </c>
      <c r="C413" s="10">
        <v>-2.1565999999999998E-2</v>
      </c>
      <c r="D413" s="14">
        <f t="shared" si="12"/>
        <v>2.4141203703703738E-3</v>
      </c>
      <c r="E413" s="14">
        <f t="shared" si="12"/>
        <v>-2.5051879629629625E-2</v>
      </c>
      <c r="F413" s="14">
        <f>[1]Regression!$B$17+[1]Regression!$B$18*Returns!D413</f>
        <v>7.0575126025734427E-3</v>
      </c>
      <c r="G413" s="14">
        <f t="shared" si="13"/>
        <v>-3.210939223220307E-2</v>
      </c>
    </row>
    <row r="414" spans="1:7" x14ac:dyDescent="0.35">
      <c r="A414" s="18">
        <v>42125</v>
      </c>
      <c r="B414" s="10">
        <v>1.3600000000000001E-2</v>
      </c>
      <c r="C414" s="10">
        <v>-1.4086E-2</v>
      </c>
      <c r="D414" s="14">
        <f t="shared" si="12"/>
        <v>1.0114120370370374E-2</v>
      </c>
      <c r="E414" s="14">
        <f t="shared" si="12"/>
        <v>-1.7571879629629625E-2</v>
      </c>
      <c r="F414" s="14">
        <f>[1]Regression!$B$17+[1]Regression!$B$18*Returns!D414</f>
        <v>1.1062427158951242E-2</v>
      </c>
      <c r="G414" s="14">
        <f t="shared" si="13"/>
        <v>-2.8634306788580866E-2</v>
      </c>
    </row>
    <row r="415" spans="1:7" x14ac:dyDescent="0.35">
      <c r="A415" s="18">
        <v>42156</v>
      </c>
      <c r="B415" s="10">
        <v>-1.5300000000000001E-2</v>
      </c>
      <c r="C415" s="10">
        <v>-1.9139999999999999E-3</v>
      </c>
      <c r="D415" s="14">
        <f t="shared" si="12"/>
        <v>-1.8785879629629628E-2</v>
      </c>
      <c r="E415" s="14">
        <f t="shared" si="12"/>
        <v>-5.399879629629626E-3</v>
      </c>
      <c r="F415" s="14">
        <f>[1]Regression!$B$17+[1]Regression!$B$18*Returns!D415</f>
        <v>-3.9690053968043978E-3</v>
      </c>
      <c r="G415" s="14">
        <f t="shared" si="13"/>
        <v>-1.4308742328252282E-3</v>
      </c>
    </row>
    <row r="416" spans="1:7" x14ac:dyDescent="0.35">
      <c r="A416" s="18">
        <v>42186</v>
      </c>
      <c r="B416" s="10">
        <v>1.54E-2</v>
      </c>
      <c r="C416" s="10">
        <v>-1.1209999999999999E-2</v>
      </c>
      <c r="D416" s="14">
        <f t="shared" si="12"/>
        <v>1.1914120370370374E-2</v>
      </c>
      <c r="E416" s="14">
        <f t="shared" si="12"/>
        <v>-1.4695879629629625E-2</v>
      </c>
      <c r="F416" s="14">
        <f>[1]Regression!$B$17+[1]Regression!$B$18*Returns!D416</f>
        <v>1.1998640951351247E-2</v>
      </c>
      <c r="G416" s="14">
        <f t="shared" si="13"/>
        <v>-2.6694520580980874E-2</v>
      </c>
    </row>
    <row r="417" spans="1:7" x14ac:dyDescent="0.35">
      <c r="A417" s="18">
        <v>42217</v>
      </c>
      <c r="B417" s="10">
        <v>-6.0400000000000002E-2</v>
      </c>
      <c r="C417" s="10">
        <v>-7.8617999999999993E-2</v>
      </c>
      <c r="D417" s="14">
        <f t="shared" si="12"/>
        <v>-6.3885879629629633E-2</v>
      </c>
      <c r="E417" s="14">
        <f t="shared" si="12"/>
        <v>-8.2103879629629617E-2</v>
      </c>
      <c r="F417" s="14">
        <f>[1]Regression!$B$17+[1]Regression!$B$18*Returns!D417</f>
        <v>-2.7426362084160091E-2</v>
      </c>
      <c r="G417" s="14">
        <f t="shared" si="13"/>
        <v>-5.4677517545469526E-2</v>
      </c>
    </row>
    <row r="418" spans="1:7" x14ac:dyDescent="0.35">
      <c r="A418" s="18">
        <v>42248</v>
      </c>
      <c r="B418" s="10">
        <v>-3.0800000000000001E-2</v>
      </c>
      <c r="C418" s="10">
        <v>1.7971000000000001E-2</v>
      </c>
      <c r="D418" s="14">
        <f t="shared" si="12"/>
        <v>-3.4285879629629624E-2</v>
      </c>
      <c r="E418" s="14">
        <f t="shared" si="12"/>
        <v>1.4485120370370374E-2</v>
      </c>
      <c r="F418" s="14">
        <f>[1]Regression!$B$17+[1]Regression!$B$18*Returns!D418</f>
        <v>-1.2030846386915551E-2</v>
      </c>
      <c r="G418" s="14">
        <f t="shared" si="13"/>
        <v>2.6515966757285923E-2</v>
      </c>
    </row>
    <row r="419" spans="1:7" x14ac:dyDescent="0.35">
      <c r="A419" s="18">
        <v>42278</v>
      </c>
      <c r="B419" s="10">
        <v>7.7499999999999999E-2</v>
      </c>
      <c r="C419" s="10">
        <v>7.0932999999999996E-2</v>
      </c>
      <c r="D419" s="14">
        <f t="shared" si="12"/>
        <v>7.4014120370370376E-2</v>
      </c>
      <c r="E419" s="14">
        <f t="shared" si="12"/>
        <v>6.7447120370370373E-2</v>
      </c>
      <c r="F419" s="14">
        <f>[1]Regression!$B$17+[1]Regression!$B$18*Returns!D419</f>
        <v>4.4298016789151427E-2</v>
      </c>
      <c r="G419" s="14">
        <f t="shared" si="13"/>
        <v>2.3149103581218945E-2</v>
      </c>
    </row>
    <row r="420" spans="1:7" x14ac:dyDescent="0.35">
      <c r="A420" s="18">
        <v>42309</v>
      </c>
      <c r="B420" s="10">
        <v>5.6000000000000008E-3</v>
      </c>
      <c r="C420" s="10">
        <v>-2.0161999999999999E-2</v>
      </c>
      <c r="D420" s="14">
        <f t="shared" si="12"/>
        <v>2.1141203703703747E-3</v>
      </c>
      <c r="E420" s="14">
        <f t="shared" si="12"/>
        <v>-2.3647879629629626E-2</v>
      </c>
      <c r="F420" s="14">
        <f>[1]Regression!$B$17+[1]Regression!$B$18*Returns!D420</f>
        <v>6.9014769705067758E-3</v>
      </c>
      <c r="G420" s="14">
        <f t="shared" si="13"/>
        <v>-3.0549356600136402E-2</v>
      </c>
    </row>
    <row r="421" spans="1:7" x14ac:dyDescent="0.35">
      <c r="A421" s="18">
        <v>42339</v>
      </c>
      <c r="B421" s="10">
        <v>-2.1600000000000001E-2</v>
      </c>
      <c r="C421" s="10">
        <v>6.1064E-2</v>
      </c>
      <c r="D421" s="14">
        <f t="shared" si="12"/>
        <v>-2.5085879629629628E-2</v>
      </c>
      <c r="E421" s="14">
        <f t="shared" si="12"/>
        <v>5.7578120370370377E-2</v>
      </c>
      <c r="F421" s="14">
        <f>[1]Regression!$B$17+[1]Regression!$B$18*Returns!D421</f>
        <v>-7.2457536702044169E-3</v>
      </c>
      <c r="G421" s="14">
        <f t="shared" si="13"/>
        <v>6.4823874040574797E-2</v>
      </c>
    </row>
    <row r="422" spans="1:7" x14ac:dyDescent="0.35">
      <c r="A422" s="18">
        <v>42370</v>
      </c>
      <c r="B422" s="10">
        <v>-5.7599999999999998E-2</v>
      </c>
      <c r="C422" s="10">
        <v>3.7060000000000003E-2</v>
      </c>
      <c r="D422" s="14">
        <f t="shared" si="12"/>
        <v>-6.1085879629629622E-2</v>
      </c>
      <c r="E422" s="14">
        <f t="shared" si="12"/>
        <v>3.3574120370370379E-2</v>
      </c>
      <c r="F422" s="14">
        <f>[1]Regression!$B$17+[1]Regression!$B$18*Returns!D422</f>
        <v>-2.597002951820452E-2</v>
      </c>
      <c r="G422" s="14">
        <f t="shared" si="13"/>
        <v>5.9544149888574899E-2</v>
      </c>
    </row>
    <row r="423" spans="1:7" x14ac:dyDescent="0.35">
      <c r="A423" s="18">
        <v>42401</v>
      </c>
      <c r="B423" s="10">
        <v>-5.0000000000000001E-4</v>
      </c>
      <c r="C423" s="10">
        <v>-1.7138E-2</v>
      </c>
      <c r="D423" s="14">
        <f t="shared" si="12"/>
        <v>-3.9858796296296257E-3</v>
      </c>
      <c r="E423" s="14">
        <f t="shared" si="12"/>
        <v>-2.0623879629629627E-2</v>
      </c>
      <c r="F423" s="14">
        <f>[1]Regression!$B$17+[1]Regression!$B$18*Returns!D423</f>
        <v>3.7287524518178684E-3</v>
      </c>
      <c r="G423" s="14">
        <f t="shared" si="13"/>
        <v>-2.4352632081447497E-2</v>
      </c>
    </row>
    <row r="424" spans="1:7" x14ac:dyDescent="0.35">
      <c r="A424" s="18">
        <v>42430</v>
      </c>
      <c r="B424" s="10">
        <v>6.9800000000000001E-2</v>
      </c>
      <c r="C424" s="10">
        <v>2.5159000000000001E-2</v>
      </c>
      <c r="D424" s="14">
        <f t="shared" si="12"/>
        <v>6.6314120370370377E-2</v>
      </c>
      <c r="E424" s="14">
        <f t="shared" si="12"/>
        <v>2.1673120370370374E-2</v>
      </c>
      <c r="F424" s="14">
        <f>[1]Regression!$B$17+[1]Regression!$B$18*Returns!D424</f>
        <v>4.0293102232773631E-2</v>
      </c>
      <c r="G424" s="14">
        <f t="shared" si="13"/>
        <v>-1.8619981862403257E-2</v>
      </c>
    </row>
    <row r="425" spans="1:7" x14ac:dyDescent="0.35">
      <c r="A425" s="18">
        <v>42461</v>
      </c>
      <c r="B425" s="10">
        <v>9.300000000000001E-3</v>
      </c>
      <c r="C425" s="10">
        <v>-1.8473E-2</v>
      </c>
      <c r="D425" s="14">
        <f t="shared" si="12"/>
        <v>5.8141203703703749E-3</v>
      </c>
      <c r="E425" s="14">
        <f t="shared" si="12"/>
        <v>-2.1958879629629627E-2</v>
      </c>
      <c r="F425" s="14">
        <f>[1]Regression!$B$17+[1]Regression!$B$18*Returns!D425</f>
        <v>8.8259164326623413E-3</v>
      </c>
      <c r="G425" s="14">
        <f t="shared" si="13"/>
        <v>-3.0784796062291966E-2</v>
      </c>
    </row>
    <row r="426" spans="1:7" x14ac:dyDescent="0.35">
      <c r="A426" s="18">
        <v>42491</v>
      </c>
      <c r="B426" s="10">
        <v>1.7899999999999999E-2</v>
      </c>
      <c r="C426" s="10">
        <v>1.1483E-2</v>
      </c>
      <c r="D426" s="14">
        <f t="shared" si="12"/>
        <v>1.4414120370370372E-2</v>
      </c>
      <c r="E426" s="14">
        <f t="shared" si="12"/>
        <v>7.9971203703703732E-3</v>
      </c>
      <c r="F426" s="14">
        <f>[1]Regression!$B$17+[1]Regression!$B$18*Returns!D426</f>
        <v>1.3298937885240144E-2</v>
      </c>
      <c r="G426" s="14">
        <f t="shared" si="13"/>
        <v>-5.3018175148697704E-3</v>
      </c>
    </row>
    <row r="427" spans="1:7" x14ac:dyDescent="0.35">
      <c r="A427" s="18">
        <v>42522</v>
      </c>
      <c r="B427" s="10">
        <v>-3.0000000000000003E-4</v>
      </c>
      <c r="C427" s="10">
        <v>4.4792999999999999E-2</v>
      </c>
      <c r="D427" s="14">
        <f t="shared" si="12"/>
        <v>-3.785879629629626E-3</v>
      </c>
      <c r="E427" s="14">
        <f t="shared" si="12"/>
        <v>4.1307120370370376E-2</v>
      </c>
      <c r="F427" s="14">
        <f>[1]Regression!$B$17+[1]Regression!$B$18*Returns!D427</f>
        <v>3.8327762065289801E-3</v>
      </c>
      <c r="G427" s="14">
        <f t="shared" si="13"/>
        <v>3.7474344163841398E-2</v>
      </c>
    </row>
    <row r="428" spans="1:7" x14ac:dyDescent="0.35">
      <c r="A428" s="18">
        <v>42552</v>
      </c>
      <c r="B428" s="10">
        <v>3.9699999999999999E-2</v>
      </c>
      <c r="C428" s="10">
        <v>1.8773000000000001E-2</v>
      </c>
      <c r="D428" s="14">
        <f t="shared" si="12"/>
        <v>3.6214120370370376E-2</v>
      </c>
      <c r="E428" s="14">
        <f t="shared" si="12"/>
        <v>1.5287120370370375E-2</v>
      </c>
      <c r="F428" s="14">
        <f>[1]Regression!$B$17+[1]Regression!$B$18*Returns!D428</f>
        <v>2.4637527148751316E-2</v>
      </c>
      <c r="G428" s="14">
        <f t="shared" si="13"/>
        <v>-9.3504067783809416E-3</v>
      </c>
    </row>
    <row r="429" spans="1:7" x14ac:dyDescent="0.35">
      <c r="A429" s="18">
        <v>42583</v>
      </c>
      <c r="B429" s="10">
        <v>5.1999999999999998E-3</v>
      </c>
      <c r="C429" s="10">
        <v>2.0095999999999999E-2</v>
      </c>
      <c r="D429" s="14">
        <f t="shared" si="12"/>
        <v>1.7141203703703737E-3</v>
      </c>
      <c r="E429" s="14">
        <f t="shared" si="12"/>
        <v>1.6610120370370372E-2</v>
      </c>
      <c r="F429" s="14">
        <f>[1]Regression!$B$17+[1]Regression!$B$18*Returns!D429</f>
        <v>6.6934294610845515E-3</v>
      </c>
      <c r="G429" s="14">
        <f t="shared" si="13"/>
        <v>9.9166909092858208E-3</v>
      </c>
    </row>
    <row r="430" spans="1:7" x14ac:dyDescent="0.35">
      <c r="A430" s="18">
        <v>42614</v>
      </c>
      <c r="B430" s="10">
        <v>2.7000000000000001E-3</v>
      </c>
      <c r="C430" s="10">
        <v>2.7945999999999999E-2</v>
      </c>
      <c r="D430" s="14">
        <f t="shared" si="12"/>
        <v>-7.8587962962962596E-4</v>
      </c>
      <c r="E430" s="14">
        <f t="shared" si="12"/>
        <v>2.4460120370370372E-2</v>
      </c>
      <c r="F430" s="14">
        <f>[1]Regression!$B$17+[1]Regression!$B$18*Returns!D430</f>
        <v>5.3931325271956553E-3</v>
      </c>
      <c r="G430" s="14">
        <f t="shared" si="13"/>
        <v>1.9066987843174718E-2</v>
      </c>
    </row>
    <row r="431" spans="1:7" x14ac:dyDescent="0.35">
      <c r="A431" s="18">
        <v>42644</v>
      </c>
      <c r="B431" s="10">
        <v>-0.02</v>
      </c>
      <c r="C431" s="10">
        <v>-2.5409000000000001E-2</v>
      </c>
      <c r="D431" s="14">
        <f t="shared" si="12"/>
        <v>-2.3485879629629627E-2</v>
      </c>
      <c r="E431" s="14">
        <f t="shared" si="12"/>
        <v>-2.8894879629629628E-2</v>
      </c>
      <c r="F431" s="14">
        <f>[1]Regression!$B$17+[1]Regression!$B$18*Returns!D431</f>
        <v>-6.4135636325155232E-3</v>
      </c>
      <c r="G431" s="14">
        <f t="shared" si="13"/>
        <v>-2.2481315997114105E-2</v>
      </c>
    </row>
    <row r="432" spans="1:7" x14ac:dyDescent="0.35">
      <c r="A432" s="18">
        <v>42675</v>
      </c>
      <c r="B432" s="10">
        <v>4.87E-2</v>
      </c>
      <c r="C432" s="10">
        <v>-0.05</v>
      </c>
      <c r="D432" s="14">
        <f t="shared" si="12"/>
        <v>4.5214120370370377E-2</v>
      </c>
      <c r="E432" s="14">
        <f t="shared" si="12"/>
        <v>-5.3485879629629626E-2</v>
      </c>
      <c r="F432" s="14">
        <f>[1]Regression!$B$17+[1]Regression!$B$18*Returns!D432</f>
        <v>2.9318596110751348E-2</v>
      </c>
      <c r="G432" s="14">
        <f t="shared" si="13"/>
        <v>-8.2804475740380967E-2</v>
      </c>
    </row>
    <row r="433" spans="1:7" x14ac:dyDescent="0.35">
      <c r="A433" s="18">
        <v>42705</v>
      </c>
      <c r="B433" s="10">
        <v>1.8500000000000003E-2</v>
      </c>
      <c r="C433" s="10">
        <v>1.9646E-2</v>
      </c>
      <c r="D433" s="14">
        <f t="shared" si="12"/>
        <v>1.5014120370370376E-2</v>
      </c>
      <c r="E433" s="14">
        <f t="shared" si="12"/>
        <v>1.6160120370370373E-2</v>
      </c>
      <c r="F433" s="14">
        <f>[1]Regression!$B$17+[1]Regression!$B$18*Returns!D433</f>
        <v>1.3611009149373479E-2</v>
      </c>
      <c r="G433" s="14">
        <f t="shared" si="13"/>
        <v>2.5491112209968941E-3</v>
      </c>
    </row>
    <row r="434" spans="1:7" x14ac:dyDescent="0.35">
      <c r="D434" s="10"/>
    </row>
    <row r="435" spans="1:7" x14ac:dyDescent="0.35">
      <c r="D435" s="10"/>
    </row>
    <row r="436" spans="1:7" x14ac:dyDescent="0.35">
      <c r="D436" s="10"/>
    </row>
    <row r="437" spans="1:7" x14ac:dyDescent="0.35">
      <c r="D437" s="10"/>
    </row>
    <row r="438" spans="1:7" x14ac:dyDescent="0.35">
      <c r="D438" s="10"/>
    </row>
    <row r="439" spans="1:7" x14ac:dyDescent="0.35">
      <c r="D43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ECA3-EE44-4EF4-B247-8CB1C919911D}">
  <dimension ref="A1:E18"/>
  <sheetViews>
    <sheetView tabSelected="1" workbookViewId="0">
      <selection activeCell="F16" sqref="F16"/>
    </sheetView>
  </sheetViews>
  <sheetFormatPr defaultRowHeight="15.5" x14ac:dyDescent="0.35"/>
  <cols>
    <col min="1" max="1" width="19.08203125" bestFit="1" customWidth="1"/>
    <col min="2" max="2" width="25.58203125" bestFit="1" customWidth="1"/>
    <col min="3" max="3" width="13.5" bestFit="1" customWidth="1"/>
    <col min="4" max="4" width="6" bestFit="1" customWidth="1"/>
    <col min="5" max="5" width="7.5" bestFit="1" customWidth="1"/>
    <col min="6" max="6" width="11.6640625" bestFit="1" customWidth="1"/>
    <col min="7" max="7" width="11.83203125" bestFit="1" customWidth="1"/>
  </cols>
  <sheetData>
    <row r="1" spans="1:5" x14ac:dyDescent="0.35">
      <c r="A1" s="17" t="s">
        <v>5</v>
      </c>
      <c r="B1" s="17"/>
    </row>
    <row r="2" spans="1:5" ht="16" thickBot="1" x14ac:dyDescent="0.4"/>
    <row r="3" spans="1:5" x14ac:dyDescent="0.35">
      <c r="A3" s="12" t="s">
        <v>6</v>
      </c>
      <c r="B3" s="12"/>
    </row>
    <row r="4" spans="1:5" x14ac:dyDescent="0.35">
      <c r="A4" s="1"/>
      <c r="B4" s="3"/>
    </row>
    <row r="5" spans="1:5" x14ac:dyDescent="0.35">
      <c r="A5" s="1" t="s">
        <v>7</v>
      </c>
      <c r="B5" s="3">
        <v>0.16461889982018607</v>
      </c>
      <c r="C5" s="13"/>
    </row>
    <row r="6" spans="1:5" x14ac:dyDescent="0.35">
      <c r="A6" s="1"/>
      <c r="B6" s="3"/>
    </row>
    <row r="7" spans="1:5" x14ac:dyDescent="0.35">
      <c r="A7" s="1" t="s">
        <v>8</v>
      </c>
      <c r="B7" s="3">
        <v>5.1685131622489729E-2</v>
      </c>
    </row>
    <row r="8" spans="1:5" ht="16" thickBot="1" x14ac:dyDescent="0.4">
      <c r="A8" s="2" t="s">
        <v>9</v>
      </c>
      <c r="B8" s="6">
        <v>432</v>
      </c>
    </row>
    <row r="10" spans="1:5" ht="16" thickBot="1" x14ac:dyDescent="0.4">
      <c r="A10" t="s">
        <v>10</v>
      </c>
    </row>
    <row r="11" spans="1:5" x14ac:dyDescent="0.35">
      <c r="A11" s="9"/>
      <c r="B11" s="9" t="s">
        <v>15</v>
      </c>
      <c r="C11" s="9" t="s">
        <v>16</v>
      </c>
      <c r="D11" s="9" t="s">
        <v>17</v>
      </c>
    </row>
    <row r="12" spans="1:5" x14ac:dyDescent="0.35">
      <c r="A12" s="1" t="s">
        <v>11</v>
      </c>
      <c r="B12" s="8">
        <v>1</v>
      </c>
      <c r="C12" s="7">
        <v>0.2263574319528896</v>
      </c>
      <c r="D12" s="7">
        <v>0.2263574319528896</v>
      </c>
    </row>
    <row r="13" spans="1:5" x14ac:dyDescent="0.35">
      <c r="A13" s="1" t="s">
        <v>12</v>
      </c>
      <c r="B13" s="8">
        <v>430</v>
      </c>
      <c r="C13" s="7">
        <v>1.1486817172586576</v>
      </c>
      <c r="D13" s="7">
        <v>2.6713528308340874E-3</v>
      </c>
    </row>
    <row r="14" spans="1:5" ht="16" thickBot="1" x14ac:dyDescent="0.4">
      <c r="A14" s="2" t="s">
        <v>13</v>
      </c>
      <c r="B14" s="6">
        <v>431</v>
      </c>
      <c r="C14" s="5">
        <v>1.3750391492115472</v>
      </c>
      <c r="D14" s="5"/>
    </row>
    <row r="15" spans="1:5" ht="16" thickBot="1" x14ac:dyDescent="0.4"/>
    <row r="16" spans="1:5" x14ac:dyDescent="0.35">
      <c r="A16" s="9"/>
      <c r="B16" s="9" t="s">
        <v>18</v>
      </c>
      <c r="C16" s="9" t="s">
        <v>8</v>
      </c>
      <c r="D16" s="9" t="s">
        <v>19</v>
      </c>
      <c r="E16" s="9" t="s">
        <v>20</v>
      </c>
    </row>
    <row r="17" spans="1:5" x14ac:dyDescent="0.35">
      <c r="A17" s="1" t="s">
        <v>14</v>
      </c>
      <c r="B17" s="3">
        <v>5.8018832763209131E-3</v>
      </c>
      <c r="C17" s="3">
        <v>2.5109963919824293E-3</v>
      </c>
      <c r="D17" s="3">
        <v>2.3105900489726836</v>
      </c>
      <c r="E17" s="3">
        <v>2.1327930701642517E-2</v>
      </c>
    </row>
    <row r="18" spans="1:5" ht="16" thickBot="1" x14ac:dyDescent="0.4">
      <c r="A18" s="2" t="s">
        <v>2</v>
      </c>
      <c r="B18" s="4">
        <v>0.52011877355555847</v>
      </c>
      <c r="C18" s="4">
        <v>5.6502905053765679E-2</v>
      </c>
      <c r="D18" s="4">
        <v>9.2051687087705734</v>
      </c>
      <c r="E18" s="4">
        <v>1.5029750214834742E-18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2020-09-29T21:05:47Z</dcterms:modified>
</cp:coreProperties>
</file>