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2 Portfolio Theory\3 Practice\Numerical Optimization - Analytical Questions\"/>
    </mc:Choice>
  </mc:AlternateContent>
  <xr:revisionPtr revIDLastSave="0" documentId="13_ncr:1_{6A9E39F1-9753-4428-BA9E-675BE0206FE6}" xr6:coauthVersionLast="37" xr6:coauthVersionMax="37" xr10:uidLastSave="{00000000-0000-0000-0000-000000000000}"/>
  <bookViews>
    <workbookView xWindow="0" yWindow="0" windowWidth="19200" windowHeight="8844" xr2:uid="{CE040042-029B-4747-BD3E-3DAEB8DF9094}"/>
  </bookViews>
  <sheets>
    <sheet name="Analytical Solutions" sheetId="14" r:id="rId1"/>
  </sheets>
  <definedNames>
    <definedName name="solver_adj" localSheetId="0" hidden="1">'Analytical Solutions'!$B$7:$C$7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'Analytical Solutions'!$B$7:$C$7</definedName>
    <definedName name="solver_lhs2" localSheetId="0" hidden="1">'Analytical Solutions'!$B$7:$C$7</definedName>
    <definedName name="solver_lhs3" localSheetId="0" hidden="1">'Analytical Solutions'!$D$7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'Analytical Solutions'!$D$6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hs1" localSheetId="0" hidden="1">1</definedName>
    <definedName name="solver_rhs2" localSheetId="0" hidden="1">0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" i="14" l="1"/>
  <c r="B6" i="14"/>
  <c r="C5" i="14"/>
  <c r="B5" i="14"/>
  <c r="C4" i="14"/>
  <c r="B4" i="14"/>
  <c r="D3" i="14"/>
  <c r="D6" i="14" s="1"/>
  <c r="D2" i="14"/>
  <c r="D7" i="14"/>
  <c r="B10" i="14"/>
  <c r="D4" i="14" l="1"/>
  <c r="D5" i="14"/>
</calcChain>
</file>

<file path=xl/sharedStrings.xml><?xml version="1.0" encoding="utf-8"?>
<sst xmlns="http://schemas.openxmlformats.org/spreadsheetml/2006/main" count="18" uniqueCount="15">
  <si>
    <t>Variance</t>
  </si>
  <si>
    <t>Standard Deviation</t>
  </si>
  <si>
    <t>Apple</t>
  </si>
  <si>
    <t>Google</t>
  </si>
  <si>
    <t>Mean</t>
  </si>
  <si>
    <t>Portfolio</t>
  </si>
  <si>
    <t>Sharpe</t>
  </si>
  <si>
    <t>Weights</t>
  </si>
  <si>
    <t>Risk Premium</t>
  </si>
  <si>
    <t>Rf</t>
  </si>
  <si>
    <t>Corr</t>
  </si>
  <si>
    <t>Cov</t>
  </si>
  <si>
    <t>Problem 1</t>
  </si>
  <si>
    <t>Problem 2</t>
  </si>
  <si>
    <t>Problem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</si>
</sst>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165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D01E-780E-49EE-98EF-812554456912}">
  <dimension ref="A1:J10"/>
  <sheetViews>
    <sheetView tabSelected="1" workbookViewId="0"/>
  </sheetViews>
  <sheetFormatPr defaultRowHeight="15.6" x14ac:dyDescent="0.3"/>
  <sheetData>
    <row r="1" spans="1:10" x14ac:dyDescent="0.3">
      <c r="B1" t="s">
        <v>2</v>
      </c>
      <c r="C1" t="s">
        <v>3</v>
      </c>
      <c r="D1" t="s">
        <v>5</v>
      </c>
      <c r="E1" t="s">
        <v>9</v>
      </c>
      <c r="H1" t="s">
        <v>7</v>
      </c>
      <c r="I1" t="s">
        <v>2</v>
      </c>
      <c r="J1" t="s">
        <v>3</v>
      </c>
    </row>
    <row r="2" spans="1:10" x14ac:dyDescent="0.3">
      <c r="A2" t="s">
        <v>4</v>
      </c>
      <c r="B2" s="2">
        <v>0.05</v>
      </c>
      <c r="C2" s="2">
        <v>7.0000000000000007E-2</v>
      </c>
      <c r="D2" s="2">
        <f>B7*B2+C7*C2</f>
        <v>5.7441860465116276E-2</v>
      </c>
      <c r="E2" s="2">
        <v>0.02</v>
      </c>
      <c r="H2" t="s">
        <v>12</v>
      </c>
      <c r="I2" s="1">
        <v>0.39130434782204959</v>
      </c>
      <c r="J2" s="1">
        <v>0.6086956521779503</v>
      </c>
    </row>
    <row r="3" spans="1:10" x14ac:dyDescent="0.3">
      <c r="A3" t="s">
        <v>1</v>
      </c>
      <c r="B3" s="2">
        <v>0.1</v>
      </c>
      <c r="C3" s="2">
        <v>0.12</v>
      </c>
      <c r="D3" s="2">
        <f>SQRT(B7^2*B3^2+C7^2*C3^2+2*B7*C7*B10)</f>
        <v>8.7284618640186482E-2</v>
      </c>
      <c r="H3" t="s">
        <v>13</v>
      </c>
      <c r="I3" s="1">
        <v>0</v>
      </c>
      <c r="J3" s="1">
        <v>1</v>
      </c>
    </row>
    <row r="4" spans="1:10" x14ac:dyDescent="0.3">
      <c r="A4" t="s">
        <v>6</v>
      </c>
      <c r="B4" s="3">
        <f>(B2-$E$2)/B3</f>
        <v>0.3</v>
      </c>
      <c r="C4" s="3">
        <f t="shared" ref="C4:D4" si="0">(C2-$E$2)/C3</f>
        <v>0.41666666666666669</v>
      </c>
      <c r="D4" s="3">
        <f t="shared" si="0"/>
        <v>0.42896286938553185</v>
      </c>
      <c r="H4" t="s">
        <v>14</v>
      </c>
      <c r="I4" s="1">
        <v>0.62790697674418583</v>
      </c>
      <c r="J4" s="1">
        <v>0.37209302325581406</v>
      </c>
    </row>
    <row r="5" spans="1:10" x14ac:dyDescent="0.3">
      <c r="A5" t="s">
        <v>8</v>
      </c>
      <c r="B5" s="4">
        <f>B2-$E$2</f>
        <v>3.0000000000000002E-2</v>
      </c>
      <c r="C5" s="4">
        <f t="shared" ref="C5:D5" si="1">C2-$E$2</f>
        <v>0.05</v>
      </c>
      <c r="D5" s="4">
        <f t="shared" si="1"/>
        <v>3.7441860465116272E-2</v>
      </c>
    </row>
    <row r="6" spans="1:10" x14ac:dyDescent="0.3">
      <c r="A6" t="s">
        <v>0</v>
      </c>
      <c r="B6" s="5">
        <f>B3^2</f>
        <v>1.0000000000000002E-2</v>
      </c>
      <c r="C6" s="5">
        <f t="shared" ref="C6:D6" si="2">C3^2</f>
        <v>1.44E-2</v>
      </c>
      <c r="D6" s="5">
        <f t="shared" si="2"/>
        <v>7.6186046511627897E-3</v>
      </c>
    </row>
    <row r="7" spans="1:10" x14ac:dyDescent="0.3">
      <c r="A7" t="s">
        <v>7</v>
      </c>
      <c r="B7" s="1">
        <v>0.62790697674418583</v>
      </c>
      <c r="C7" s="1">
        <v>0.37209302325581406</v>
      </c>
      <c r="D7" s="1">
        <f>SUM(B7:C7)</f>
        <v>0.99999999999999989</v>
      </c>
    </row>
    <row r="9" spans="1:10" x14ac:dyDescent="0.3">
      <c r="A9" t="s">
        <v>10</v>
      </c>
      <c r="B9">
        <v>0.3</v>
      </c>
    </row>
    <row r="10" spans="1:10" x14ac:dyDescent="0.3">
      <c r="A10" t="s">
        <v>11</v>
      </c>
      <c r="B10">
        <f>B9*B3*C3</f>
        <v>3.5999999999999999E-3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Analytical 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2018-09-30T03:15:14Z</dcterms:modified>
</cp:coreProperties>
</file>