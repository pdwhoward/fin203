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Spring 2019\2 Portfolio Theory\2 Exercises\1 Security Selection\"/>
    </mc:Choice>
  </mc:AlternateContent>
  <xr:revisionPtr revIDLastSave="0" documentId="13_ncr:1_{A24D0499-8851-438F-8A5C-C46446CEE5B9}" xr6:coauthVersionLast="40" xr6:coauthVersionMax="40" xr10:uidLastSave="{00000000-0000-0000-0000-000000000000}"/>
  <bookViews>
    <workbookView xWindow="0" yWindow="0" windowWidth="17280" windowHeight="6900" xr2:uid="{00000000-000D-0000-FFFF-FFFF00000000}"/>
  </bookViews>
  <sheets>
    <sheet name="Portfolio Returns" sheetId="1" r:id="rId1"/>
    <sheet name="Efficient Frontier" sheetId="4" r:id="rId2"/>
    <sheet name="Sharpe" sheetId="5" r:id="rId3"/>
  </sheets>
  <definedNames>
    <definedName name="solver_adj" localSheetId="0" hidden="1">'Portfolio Returns'!$F$5:$G$5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'Portfolio Returns'!$F$5:$G$5</definedName>
    <definedName name="solver_lhs2" localSheetId="0" hidden="1">'Portfolio Returns'!$F$5:$G$5</definedName>
    <definedName name="solver_lhs3" localSheetId="0" hidden="1">'Portfolio Returns'!$H$5</definedName>
    <definedName name="solver_lhs4" localSheetId="0" hidden="1">'Portfolio Returns'!$F$5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1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'Portfolio Returns'!$H$4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el4" localSheetId="0" hidden="1">3</definedName>
    <definedName name="solver_rhs1" localSheetId="0" hidden="1">1</definedName>
    <definedName name="solver_rhs2" localSheetId="0" hidden="1">0</definedName>
    <definedName name="solver_rhs3" localSheetId="0" hidden="1">1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" l="1"/>
  <c r="G3" i="1"/>
  <c r="F3" i="1"/>
  <c r="G2" i="1"/>
  <c r="F2" i="1"/>
  <c r="F4" i="1" l="1"/>
  <c r="G4" i="1"/>
  <c r="C3" i="1" l="1"/>
  <c r="C7" i="1"/>
  <c r="C11" i="1"/>
  <c r="C15" i="1"/>
  <c r="C19" i="1"/>
  <c r="C23" i="1"/>
  <c r="C27" i="1"/>
  <c r="C31" i="1"/>
  <c r="C35" i="1"/>
  <c r="C39" i="1"/>
  <c r="C43" i="1"/>
  <c r="C47" i="1"/>
  <c r="C51" i="1"/>
  <c r="C55" i="1"/>
  <c r="C59" i="1"/>
  <c r="C63" i="1"/>
  <c r="C67" i="1"/>
  <c r="C71" i="1"/>
  <c r="C75" i="1"/>
  <c r="C79" i="1"/>
  <c r="C83" i="1"/>
  <c r="C87" i="1"/>
  <c r="C91" i="1"/>
  <c r="C95" i="1"/>
  <c r="C99" i="1"/>
  <c r="C103" i="1"/>
  <c r="C107" i="1"/>
  <c r="C111" i="1"/>
  <c r="C115" i="1"/>
  <c r="C119" i="1"/>
  <c r="C123" i="1"/>
  <c r="C127" i="1"/>
  <c r="C131" i="1"/>
  <c r="C135" i="1"/>
  <c r="C139" i="1"/>
  <c r="C143" i="1"/>
  <c r="C147" i="1"/>
  <c r="C151" i="1"/>
  <c r="C155" i="1"/>
  <c r="C159" i="1"/>
  <c r="C163" i="1"/>
  <c r="C167" i="1"/>
  <c r="C171" i="1"/>
  <c r="C175" i="1"/>
  <c r="C179" i="1"/>
  <c r="C183" i="1"/>
  <c r="C187" i="1"/>
  <c r="C191" i="1"/>
  <c r="C195" i="1"/>
  <c r="C199" i="1"/>
  <c r="C203" i="1"/>
  <c r="C207" i="1"/>
  <c r="C211" i="1"/>
  <c r="C215" i="1"/>
  <c r="C219" i="1"/>
  <c r="C223" i="1"/>
  <c r="C227" i="1"/>
  <c r="C231" i="1"/>
  <c r="C235" i="1"/>
  <c r="C239" i="1"/>
  <c r="C243" i="1"/>
  <c r="C247" i="1"/>
  <c r="C251" i="1"/>
  <c r="C4" i="1"/>
  <c r="C8" i="1"/>
  <c r="C12" i="1"/>
  <c r="C16" i="1"/>
  <c r="C20" i="1"/>
  <c r="C24" i="1"/>
  <c r="C28" i="1"/>
  <c r="C32" i="1"/>
  <c r="C36" i="1"/>
  <c r="C40" i="1"/>
  <c r="C44" i="1"/>
  <c r="C48" i="1"/>
  <c r="C52" i="1"/>
  <c r="C56" i="1"/>
  <c r="C60" i="1"/>
  <c r="C64" i="1"/>
  <c r="C68" i="1"/>
  <c r="C72" i="1"/>
  <c r="C76" i="1"/>
  <c r="C80" i="1"/>
  <c r="C84" i="1"/>
  <c r="C88" i="1"/>
  <c r="C92" i="1"/>
  <c r="C96" i="1"/>
  <c r="C100" i="1"/>
  <c r="C104" i="1"/>
  <c r="C108" i="1"/>
  <c r="C112" i="1"/>
  <c r="C116" i="1"/>
  <c r="C120" i="1"/>
  <c r="C124" i="1"/>
  <c r="C128" i="1"/>
  <c r="C132" i="1"/>
  <c r="C136" i="1"/>
  <c r="C140" i="1"/>
  <c r="C144" i="1"/>
  <c r="C148" i="1"/>
  <c r="C152" i="1"/>
  <c r="C156" i="1"/>
  <c r="C160" i="1"/>
  <c r="C164" i="1"/>
  <c r="C168" i="1"/>
  <c r="C172" i="1"/>
  <c r="C176" i="1"/>
  <c r="C180" i="1"/>
  <c r="C184" i="1"/>
  <c r="C188" i="1"/>
  <c r="C192" i="1"/>
  <c r="C196" i="1"/>
  <c r="C200" i="1"/>
  <c r="C204" i="1"/>
  <c r="C208" i="1"/>
  <c r="C212" i="1"/>
  <c r="C216" i="1"/>
  <c r="C220" i="1"/>
  <c r="C224" i="1"/>
  <c r="C228" i="1"/>
  <c r="C232" i="1"/>
  <c r="C236" i="1"/>
  <c r="C240" i="1"/>
  <c r="C244" i="1"/>
  <c r="C248" i="1"/>
  <c r="C5" i="1"/>
  <c r="C9" i="1"/>
  <c r="C13" i="1"/>
  <c r="C17" i="1"/>
  <c r="C21" i="1"/>
  <c r="C25" i="1"/>
  <c r="C29" i="1"/>
  <c r="C33" i="1"/>
  <c r="C37" i="1"/>
  <c r="C41" i="1"/>
  <c r="C45" i="1"/>
  <c r="C49" i="1"/>
  <c r="C53" i="1"/>
  <c r="C57" i="1"/>
  <c r="C61" i="1"/>
  <c r="C65" i="1"/>
  <c r="C69" i="1"/>
  <c r="C73" i="1"/>
  <c r="C77" i="1"/>
  <c r="C81" i="1"/>
  <c r="C85" i="1"/>
  <c r="C89" i="1"/>
  <c r="C93" i="1"/>
  <c r="C97" i="1"/>
  <c r="C101" i="1"/>
  <c r="C105" i="1"/>
  <c r="C109" i="1"/>
  <c r="C113" i="1"/>
  <c r="C117" i="1"/>
  <c r="C121" i="1"/>
  <c r="C125" i="1"/>
  <c r="C129" i="1"/>
  <c r="C133" i="1"/>
  <c r="C137" i="1"/>
  <c r="C141" i="1"/>
  <c r="C145" i="1"/>
  <c r="C149" i="1"/>
  <c r="C153" i="1"/>
  <c r="C157" i="1"/>
  <c r="C161" i="1"/>
  <c r="C165" i="1"/>
  <c r="C169" i="1"/>
  <c r="C173" i="1"/>
  <c r="C177" i="1"/>
  <c r="C181" i="1"/>
  <c r="C185" i="1"/>
  <c r="C189" i="1"/>
  <c r="C193" i="1"/>
  <c r="C197" i="1"/>
  <c r="C201" i="1"/>
  <c r="C205" i="1"/>
  <c r="C209" i="1"/>
  <c r="C213" i="1"/>
  <c r="C217" i="1"/>
  <c r="C221" i="1"/>
  <c r="C225" i="1"/>
  <c r="C229" i="1"/>
  <c r="C233" i="1"/>
  <c r="C237" i="1"/>
  <c r="C241" i="1"/>
  <c r="C245" i="1"/>
  <c r="C249" i="1"/>
  <c r="C6" i="1"/>
  <c r="C10" i="1"/>
  <c r="C14" i="1"/>
  <c r="C18" i="1"/>
  <c r="C22" i="1"/>
  <c r="C26" i="1"/>
  <c r="C30" i="1"/>
  <c r="C34" i="1"/>
  <c r="C38" i="1"/>
  <c r="C42" i="1"/>
  <c r="C46" i="1"/>
  <c r="C50" i="1"/>
  <c r="C54" i="1"/>
  <c r="C58" i="1"/>
  <c r="C62" i="1"/>
  <c r="C66" i="1"/>
  <c r="C70" i="1"/>
  <c r="C74" i="1"/>
  <c r="C78" i="1"/>
  <c r="C82" i="1"/>
  <c r="C86" i="1"/>
  <c r="C90" i="1"/>
  <c r="C94" i="1"/>
  <c r="C98" i="1"/>
  <c r="C102" i="1"/>
  <c r="C106" i="1"/>
  <c r="C110" i="1"/>
  <c r="C114" i="1"/>
  <c r="C118" i="1"/>
  <c r="C122" i="1"/>
  <c r="C126" i="1"/>
  <c r="C130" i="1"/>
  <c r="C134" i="1"/>
  <c r="C138" i="1"/>
  <c r="C142" i="1"/>
  <c r="C146" i="1"/>
  <c r="C150" i="1"/>
  <c r="C154" i="1"/>
  <c r="C158" i="1"/>
  <c r="C162" i="1"/>
  <c r="C166" i="1"/>
  <c r="C170" i="1"/>
  <c r="C174" i="1"/>
  <c r="C178" i="1"/>
  <c r="C182" i="1"/>
  <c r="C186" i="1"/>
  <c r="C190" i="1"/>
  <c r="C194" i="1"/>
  <c r="C198" i="1"/>
  <c r="C202" i="1"/>
  <c r="C206" i="1"/>
  <c r="C210" i="1"/>
  <c r="C214" i="1"/>
  <c r="C218" i="1"/>
  <c r="C222" i="1"/>
  <c r="C226" i="1"/>
  <c r="C230" i="1"/>
  <c r="C234" i="1"/>
  <c r="C238" i="1"/>
  <c r="C242" i="1"/>
  <c r="C246" i="1"/>
  <c r="C250" i="1"/>
  <c r="C2" i="1"/>
  <c r="H5" i="1"/>
  <c r="H3" i="1" l="1"/>
  <c r="H2" i="1"/>
  <c r="L2" i="1" l="1"/>
  <c r="H4" i="1"/>
  <c r="N2" i="1" s="1"/>
  <c r="M2" i="1"/>
</calcChain>
</file>

<file path=xl/sharedStrings.xml><?xml version="1.0" encoding="utf-8"?>
<sst xmlns="http://schemas.openxmlformats.org/spreadsheetml/2006/main" count="15" uniqueCount="12">
  <si>
    <t>Google</t>
  </si>
  <si>
    <t>Apple</t>
  </si>
  <si>
    <t>Portfolio</t>
  </si>
  <si>
    <t>Sharpe</t>
  </si>
  <si>
    <t>Weights</t>
  </si>
  <si>
    <t>Portfolio Standard Deviation</t>
  </si>
  <si>
    <t>Apple Weight</t>
  </si>
  <si>
    <t>Portfolio Sharpe Ratio</t>
  </si>
  <si>
    <t>Risk-free</t>
  </si>
  <si>
    <t>Mean</t>
  </si>
  <si>
    <t>Std Dev</t>
  </si>
  <si>
    <t>Portfolio Expected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</si>
</sst>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2" fillId="0" borderId="4" xfId="0" applyFont="1" applyBorder="1" applyAlignment="1">
      <alignment vertical="top"/>
    </xf>
    <xf numFmtId="9" fontId="3" fillId="0" borderId="2" xfId="1" applyFont="1" applyBorder="1"/>
    <xf numFmtId="9" fontId="3" fillId="0" borderId="0" xfId="1" applyFont="1"/>
    <xf numFmtId="1" fontId="2" fillId="0" borderId="0" xfId="1" applyNumberFormat="1" applyFont="1" applyAlignment="1">
      <alignment horizontal="center"/>
    </xf>
    <xf numFmtId="1" fontId="3" fillId="0" borderId="0" xfId="1" applyNumberFormat="1" applyFont="1" applyAlignment="1">
      <alignment horizontal="center"/>
    </xf>
    <xf numFmtId="1" fontId="3" fillId="2" borderId="0" xfId="1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164" fontId="3" fillId="2" borderId="0" xfId="1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9" fontId="3" fillId="0" borderId="0" xfId="1" applyFont="1" applyFill="1" applyAlignment="1">
      <alignment horizontal="center"/>
    </xf>
    <xf numFmtId="9" fontId="3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9" fontId="3" fillId="0" borderId="0" xfId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3" fillId="2" borderId="0" xfId="0" applyNumberFormat="1" applyFont="1" applyFill="1" applyBorder="1" applyAlignment="1">
      <alignment horizontal="center"/>
    </xf>
    <xf numFmtId="2" fontId="3" fillId="2" borderId="0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'Portfolio Returns'!$A$1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yVal>
            <c:numRef>
              <c:f>'Portfolio Returns'!$A$2:$A$101</c:f>
              <c:numCache>
                <c:formatCode>0</c:formatCode>
                <c:ptCount val="100"/>
                <c:pt idx="0">
                  <c:v>17.489581146059436</c:v>
                </c:pt>
                <c:pt idx="1">
                  <c:v>-3.8949270577864219</c:v>
                </c:pt>
                <c:pt idx="2">
                  <c:v>1.7755598398984498</c:v>
                </c:pt>
                <c:pt idx="3">
                  <c:v>22.138123880363651</c:v>
                </c:pt>
                <c:pt idx="4">
                  <c:v>-17.897066916413067</c:v>
                </c:pt>
                <c:pt idx="5">
                  <c:v>24.721467705779439</c:v>
                </c:pt>
                <c:pt idx="6">
                  <c:v>27.121588710953496</c:v>
                </c:pt>
                <c:pt idx="7">
                  <c:v>4.3297583652554863</c:v>
                </c:pt>
                <c:pt idx="8">
                  <c:v>18.20147962023286</c:v>
                </c:pt>
                <c:pt idx="9">
                  <c:v>-15.320619718355058</c:v>
                </c:pt>
                <c:pt idx="10">
                  <c:v>38.634432619301094</c:v>
                </c:pt>
                <c:pt idx="11">
                  <c:v>43.306594561263083</c:v>
                </c:pt>
                <c:pt idx="12">
                  <c:v>-11.422759225512216</c:v>
                </c:pt>
                <c:pt idx="13">
                  <c:v>-9.0683615769845858</c:v>
                </c:pt>
                <c:pt idx="14">
                  <c:v>12.901432684840449</c:v>
                </c:pt>
                <c:pt idx="15">
                  <c:v>-17.736857265213978</c:v>
                </c:pt>
                <c:pt idx="16">
                  <c:v>-8.9859737304695955</c:v>
                </c:pt>
                <c:pt idx="17">
                  <c:v>8.638181266985697</c:v>
                </c:pt>
                <c:pt idx="18">
                  <c:v>15.943112624444359</c:v>
                </c:pt>
                <c:pt idx="19">
                  <c:v>5.967550599020969</c:v>
                </c:pt>
                <c:pt idx="20">
                  <c:v>4.4928945074041264</c:v>
                </c:pt>
                <c:pt idx="21">
                  <c:v>42.954049069782556</c:v>
                </c:pt>
                <c:pt idx="22">
                  <c:v>3.1445279811038711</c:v>
                </c:pt>
                <c:pt idx="23">
                  <c:v>-5.8255892149716235</c:v>
                </c:pt>
                <c:pt idx="24">
                  <c:v>-16.224047625073723</c:v>
                </c:pt>
                <c:pt idx="25">
                  <c:v>-9.4405765338100771</c:v>
                </c:pt>
                <c:pt idx="26">
                  <c:v>0.79825808639448503</c:v>
                </c:pt>
                <c:pt idx="27">
                  <c:v>19.855395169527565</c:v>
                </c:pt>
                <c:pt idx="28">
                  <c:v>-1.8512538939116556</c:v>
                </c:pt>
                <c:pt idx="29">
                  <c:v>-21.531853925043912</c:v>
                </c:pt>
                <c:pt idx="30">
                  <c:v>-1.765650462418737</c:v>
                </c:pt>
                <c:pt idx="31">
                  <c:v>-16.633790890897732</c:v>
                </c:pt>
                <c:pt idx="32">
                  <c:v>41.635749545962668</c:v>
                </c:pt>
                <c:pt idx="33">
                  <c:v>14.967570898930932</c:v>
                </c:pt>
                <c:pt idx="34">
                  <c:v>-15.09613558244661</c:v>
                </c:pt>
                <c:pt idx="35">
                  <c:v>-3.4983423922572747</c:v>
                </c:pt>
                <c:pt idx="36">
                  <c:v>-4.3868014491136105</c:v>
                </c:pt>
                <c:pt idx="37">
                  <c:v>-19.648172837261189</c:v>
                </c:pt>
                <c:pt idx="38">
                  <c:v>-5.3655998706329342</c:v>
                </c:pt>
                <c:pt idx="39">
                  <c:v>11.207632015224695</c:v>
                </c:pt>
                <c:pt idx="40">
                  <c:v>-32.669341862741788</c:v>
                </c:pt>
                <c:pt idx="41">
                  <c:v>22.641804959428391</c:v>
                </c:pt>
                <c:pt idx="42">
                  <c:v>42.905438312624625</c:v>
                </c:pt>
                <c:pt idx="43">
                  <c:v>9.3751663334518405</c:v>
                </c:pt>
                <c:pt idx="44">
                  <c:v>1.6612944530704068</c:v>
                </c:pt>
                <c:pt idx="45">
                  <c:v>-4.0977744002935879</c:v>
                </c:pt>
                <c:pt idx="46">
                  <c:v>4.5771003492312632</c:v>
                </c:pt>
                <c:pt idx="47">
                  <c:v>31.953215991250797</c:v>
                </c:pt>
                <c:pt idx="48">
                  <c:v>-3.6984298889110452</c:v>
                </c:pt>
                <c:pt idx="49">
                  <c:v>12.736969913019838</c:v>
                </c:pt>
                <c:pt idx="50">
                  <c:v>3.1276754569109295</c:v>
                </c:pt>
                <c:pt idx="51">
                  <c:v>2.5412309887309883</c:v>
                </c:pt>
                <c:pt idx="52">
                  <c:v>19.076016272334876</c:v>
                </c:pt>
                <c:pt idx="53">
                  <c:v>28.571209610166516</c:v>
                </c:pt>
                <c:pt idx="54">
                  <c:v>13.07128608977956</c:v>
                </c:pt>
                <c:pt idx="55">
                  <c:v>8.4538325320021013</c:v>
                </c:pt>
                <c:pt idx="56">
                  <c:v>11.944650516290203</c:v>
                </c:pt>
                <c:pt idx="57">
                  <c:v>-8.3038169756699389</c:v>
                </c:pt>
                <c:pt idx="58">
                  <c:v>28.521982477934969</c:v>
                </c:pt>
                <c:pt idx="59">
                  <c:v>23.694430856143118</c:v>
                </c:pt>
                <c:pt idx="60">
                  <c:v>-39.616214958041468</c:v>
                </c:pt>
                <c:pt idx="61">
                  <c:v>11.582305683236772</c:v>
                </c:pt>
                <c:pt idx="62">
                  <c:v>2.7516449473570752</c:v>
                </c:pt>
                <c:pt idx="63">
                  <c:v>-10.455460320341675</c:v>
                </c:pt>
                <c:pt idx="64">
                  <c:v>15.022792882966032</c:v>
                </c:pt>
                <c:pt idx="65">
                  <c:v>8.7788309789279886</c:v>
                </c:pt>
                <c:pt idx="66">
                  <c:v>17.562548197133459</c:v>
                </c:pt>
                <c:pt idx="67">
                  <c:v>8.5502548243557968</c:v>
                </c:pt>
                <c:pt idx="68">
                  <c:v>17.762118002458848</c:v>
                </c:pt>
                <c:pt idx="69">
                  <c:v>15.193218373696265</c:v>
                </c:pt>
                <c:pt idx="70">
                  <c:v>11.383737528354908</c:v>
                </c:pt>
                <c:pt idx="71">
                  <c:v>-2.4999874233422918</c:v>
                </c:pt>
                <c:pt idx="72">
                  <c:v>19.717120132385944</c:v>
                </c:pt>
                <c:pt idx="73">
                  <c:v>4.9901660317913468</c:v>
                </c:pt>
                <c:pt idx="74">
                  <c:v>35.300605999304459</c:v>
                </c:pt>
                <c:pt idx="75">
                  <c:v>8.3711084328390104</c:v>
                </c:pt>
                <c:pt idx="76">
                  <c:v>19.25632128835413</c:v>
                </c:pt>
                <c:pt idx="77">
                  <c:v>1.334170883005374</c:v>
                </c:pt>
                <c:pt idx="78">
                  <c:v>-0.76203355233436376</c:v>
                </c:pt>
                <c:pt idx="79">
                  <c:v>-11.706501062461765</c:v>
                </c:pt>
                <c:pt idx="80">
                  <c:v>-13.939653536052532</c:v>
                </c:pt>
                <c:pt idx="81">
                  <c:v>-6.3766894584580989</c:v>
                </c:pt>
                <c:pt idx="82">
                  <c:v>22.539172968655897</c:v>
                </c:pt>
                <c:pt idx="83">
                  <c:v>36.455067557402614</c:v>
                </c:pt>
                <c:pt idx="84">
                  <c:v>-13.550381961940111</c:v>
                </c:pt>
                <c:pt idx="85">
                  <c:v>20.193923206522904</c:v>
                </c:pt>
                <c:pt idx="86">
                  <c:v>34.086525608420935</c:v>
                </c:pt>
                <c:pt idx="87">
                  <c:v>37.008317248474214</c:v>
                </c:pt>
                <c:pt idx="88">
                  <c:v>6.7083874271386357</c:v>
                </c:pt>
                <c:pt idx="89">
                  <c:v>10.611900124251315</c:v>
                </c:pt>
                <c:pt idx="90">
                  <c:v>-3.8098171210561969</c:v>
                </c:pt>
                <c:pt idx="91">
                  <c:v>9.7688491055754927</c:v>
                </c:pt>
                <c:pt idx="92">
                  <c:v>25.893654329272856</c:v>
                </c:pt>
                <c:pt idx="93">
                  <c:v>5.0303409049946008</c:v>
                </c:pt>
                <c:pt idx="94">
                  <c:v>-10.55297591320566</c:v>
                </c:pt>
                <c:pt idx="95">
                  <c:v>-15.981006968757779</c:v>
                </c:pt>
                <c:pt idx="96">
                  <c:v>-10.25236062198681</c:v>
                </c:pt>
                <c:pt idx="97">
                  <c:v>19.616627205725301</c:v>
                </c:pt>
                <c:pt idx="98">
                  <c:v>9.084374585954258E-2</c:v>
                </c:pt>
                <c:pt idx="99">
                  <c:v>2.0083719206122499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D3-4D08-A31E-54D9CA743C02}"/>
            </c:ext>
          </c:extLst>
        </c:ser>
        <c:ser>
          <c:idx val="1"/>
          <c:order val="1"/>
          <c:tx>
            <c:strRef>
              <c:f>'Portfolio Returns'!$B$1</c:f>
              <c:strCache>
                <c:ptCount val="1"/>
                <c:pt idx="0">
                  <c:v>Google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yVal>
            <c:numRef>
              <c:f>'Portfolio Returns'!$B$2:$B$101</c:f>
              <c:numCache>
                <c:formatCode>0</c:formatCode>
                <c:ptCount val="100"/>
                <c:pt idx="0">
                  <c:v>2.8701498664569494</c:v>
                </c:pt>
                <c:pt idx="1">
                  <c:v>21.576527919310944</c:v>
                </c:pt>
                <c:pt idx="2">
                  <c:v>12.49968974595649</c:v>
                </c:pt>
                <c:pt idx="3">
                  <c:v>7.9650415105382972</c:v>
                </c:pt>
                <c:pt idx="4">
                  <c:v>17.205872595323271</c:v>
                </c:pt>
                <c:pt idx="5">
                  <c:v>5.7797621840666951</c:v>
                </c:pt>
                <c:pt idx="6">
                  <c:v>-5.5834758301503609</c:v>
                </c:pt>
                <c:pt idx="7">
                  <c:v>32.600432534846263</c:v>
                </c:pt>
                <c:pt idx="8">
                  <c:v>2.5210706500137579</c:v>
                </c:pt>
                <c:pt idx="9">
                  <c:v>-11.929363745042885</c:v>
                </c:pt>
                <c:pt idx="10">
                  <c:v>29.044367683091387</c:v>
                </c:pt>
                <c:pt idx="11">
                  <c:v>30.718703699575677</c:v>
                </c:pt>
                <c:pt idx="12">
                  <c:v>-17.762816230644624</c:v>
                </c:pt>
                <c:pt idx="13">
                  <c:v>-5.090123792350024</c:v>
                </c:pt>
                <c:pt idx="14">
                  <c:v>1.9632695472206612</c:v>
                </c:pt>
                <c:pt idx="15">
                  <c:v>-4.044201189668744</c:v>
                </c:pt>
                <c:pt idx="16">
                  <c:v>-5.1126697345342151</c:v>
                </c:pt>
                <c:pt idx="17">
                  <c:v>-9.8800424242573683</c:v>
                </c:pt>
                <c:pt idx="18">
                  <c:v>0.48455193588942702</c:v>
                </c:pt>
                <c:pt idx="19">
                  <c:v>17.416070023413027</c:v>
                </c:pt>
                <c:pt idx="20">
                  <c:v>4.2720844407970366</c:v>
                </c:pt>
                <c:pt idx="21">
                  <c:v>18.816834532797543</c:v>
                </c:pt>
                <c:pt idx="22">
                  <c:v>4.0522298294274046</c:v>
                </c:pt>
                <c:pt idx="23">
                  <c:v>4.911989874583309</c:v>
                </c:pt>
                <c:pt idx="24">
                  <c:v>1.8576548512602269</c:v>
                </c:pt>
                <c:pt idx="25">
                  <c:v>15.905153148598119</c:v>
                </c:pt>
                <c:pt idx="26">
                  <c:v>4.2320710755748179</c:v>
                </c:pt>
                <c:pt idx="27">
                  <c:v>9.6089488822232987</c:v>
                </c:pt>
                <c:pt idx="28">
                  <c:v>5.251269637230731</c:v>
                </c:pt>
                <c:pt idx="29">
                  <c:v>5.3857870356945483</c:v>
                </c:pt>
                <c:pt idx="30">
                  <c:v>14.843981984265191</c:v>
                </c:pt>
                <c:pt idx="31">
                  <c:v>5.799890067435479</c:v>
                </c:pt>
                <c:pt idx="32">
                  <c:v>13.86994177333192</c:v>
                </c:pt>
                <c:pt idx="33">
                  <c:v>25.908342840986236</c:v>
                </c:pt>
                <c:pt idx="34">
                  <c:v>-6.6820034878325849</c:v>
                </c:pt>
                <c:pt idx="35">
                  <c:v>-0.47321060125328085</c:v>
                </c:pt>
                <c:pt idx="36">
                  <c:v>-3.8621332403019117</c:v>
                </c:pt>
                <c:pt idx="37">
                  <c:v>5.2230370839493689</c:v>
                </c:pt>
                <c:pt idx="38">
                  <c:v>3.5048943905199206</c:v>
                </c:pt>
                <c:pt idx="39">
                  <c:v>4.7649320800087231</c:v>
                </c:pt>
                <c:pt idx="40">
                  <c:v>-6.1014763474510509</c:v>
                </c:pt>
                <c:pt idx="41">
                  <c:v>9.1919490689419412</c:v>
                </c:pt>
                <c:pt idx="42">
                  <c:v>4.1654662719737718</c:v>
                </c:pt>
                <c:pt idx="43">
                  <c:v>2.4272573128457093</c:v>
                </c:pt>
                <c:pt idx="44">
                  <c:v>17.12492393227479</c:v>
                </c:pt>
                <c:pt idx="45">
                  <c:v>-3.4852093790935843</c:v>
                </c:pt>
                <c:pt idx="46">
                  <c:v>-3.9814420164883941</c:v>
                </c:pt>
                <c:pt idx="47">
                  <c:v>-2.6646317055355091</c:v>
                </c:pt>
                <c:pt idx="48">
                  <c:v>4.2180900180245207</c:v>
                </c:pt>
                <c:pt idx="49">
                  <c:v>21.318794472422834</c:v>
                </c:pt>
                <c:pt idx="50">
                  <c:v>-4.7602402751442092</c:v>
                </c:pt>
                <c:pt idx="51">
                  <c:v>-0.97265339627660019</c:v>
                </c:pt>
                <c:pt idx="52">
                  <c:v>15.311095395221463</c:v>
                </c:pt>
                <c:pt idx="53">
                  <c:v>13.075634174253569</c:v>
                </c:pt>
                <c:pt idx="54">
                  <c:v>12.998276917849886</c:v>
                </c:pt>
                <c:pt idx="55">
                  <c:v>0.78725125280943242</c:v>
                </c:pt>
                <c:pt idx="56">
                  <c:v>5.0646591569501007</c:v>
                </c:pt>
                <c:pt idx="57">
                  <c:v>4.8937309604895658</c:v>
                </c:pt>
                <c:pt idx="58">
                  <c:v>11.57538093584828</c:v>
                </c:pt>
                <c:pt idx="59">
                  <c:v>15.28907745083311</c:v>
                </c:pt>
                <c:pt idx="60">
                  <c:v>-11.273418747095263</c:v>
                </c:pt>
                <c:pt idx="61">
                  <c:v>-13.778789437451056</c:v>
                </c:pt>
                <c:pt idx="62">
                  <c:v>3.0196855322186034</c:v>
                </c:pt>
                <c:pt idx="63">
                  <c:v>-12.603341081033125</c:v>
                </c:pt>
                <c:pt idx="64">
                  <c:v>5.6336479120906908</c:v>
                </c:pt>
                <c:pt idx="65">
                  <c:v>-6.5323883097612754</c:v>
                </c:pt>
                <c:pt idx="66">
                  <c:v>3.2282018346498305</c:v>
                </c:pt>
                <c:pt idx="67">
                  <c:v>-4.7557873225567633</c:v>
                </c:pt>
                <c:pt idx="68">
                  <c:v>5.4901843112790658</c:v>
                </c:pt>
                <c:pt idx="69">
                  <c:v>26.164349616901376</c:v>
                </c:pt>
                <c:pt idx="70">
                  <c:v>8.2203508654666173</c:v>
                </c:pt>
                <c:pt idx="71">
                  <c:v>-2.8254145245623867</c:v>
                </c:pt>
                <c:pt idx="72">
                  <c:v>-7.4763772772872343</c:v>
                </c:pt>
                <c:pt idx="73">
                  <c:v>7.1046914964775478</c:v>
                </c:pt>
                <c:pt idx="74">
                  <c:v>17.516480333149595</c:v>
                </c:pt>
                <c:pt idx="75">
                  <c:v>7.4891375549467316</c:v>
                </c:pt>
                <c:pt idx="76">
                  <c:v>-9.6942748691626122</c:v>
                </c:pt>
                <c:pt idx="77">
                  <c:v>18.915623117922884</c:v>
                </c:pt>
                <c:pt idx="78">
                  <c:v>-7.0170668202665425</c:v>
                </c:pt>
                <c:pt idx="79">
                  <c:v>1.931813559868738</c:v>
                </c:pt>
                <c:pt idx="80">
                  <c:v>1.6004080684519595</c:v>
                </c:pt>
                <c:pt idx="81">
                  <c:v>-3.0114578617002543</c:v>
                </c:pt>
                <c:pt idx="82">
                  <c:v>8.0472135789357413</c:v>
                </c:pt>
                <c:pt idx="83">
                  <c:v>24.586666518606837</c:v>
                </c:pt>
                <c:pt idx="84">
                  <c:v>-10.448867892326199</c:v>
                </c:pt>
                <c:pt idx="85">
                  <c:v>3.3531671534886862</c:v>
                </c:pt>
                <c:pt idx="86">
                  <c:v>19.938016764266685</c:v>
                </c:pt>
                <c:pt idx="87">
                  <c:v>7.5277020683491003</c:v>
                </c:pt>
                <c:pt idx="88">
                  <c:v>-3.1921857951298094E-3</c:v>
                </c:pt>
                <c:pt idx="89">
                  <c:v>-10.460203210816601</c:v>
                </c:pt>
                <c:pt idx="90">
                  <c:v>-0.12587675140485732</c:v>
                </c:pt>
                <c:pt idx="91">
                  <c:v>10.369935043466969</c:v>
                </c:pt>
                <c:pt idx="92">
                  <c:v>1.3441164966687857</c:v>
                </c:pt>
                <c:pt idx="93">
                  <c:v>15.400009022047156</c:v>
                </c:pt>
                <c:pt idx="94">
                  <c:v>-5.3176360116876182</c:v>
                </c:pt>
                <c:pt idx="95">
                  <c:v>-3.5631570439943285</c:v>
                </c:pt>
                <c:pt idx="96">
                  <c:v>-2.895140564540533</c:v>
                </c:pt>
                <c:pt idx="97">
                  <c:v>20.072542141899717</c:v>
                </c:pt>
                <c:pt idx="98">
                  <c:v>-10.800239341817289</c:v>
                </c:pt>
                <c:pt idx="99">
                  <c:v>4.4161213488218234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D3-4D08-A31E-54D9CA743C02}"/>
            </c:ext>
          </c:extLst>
        </c:ser>
        <c:ser>
          <c:idx val="2"/>
          <c:order val="2"/>
          <c:tx>
            <c:strRef>
              <c:f>'Portfolio Returns'!$C$1</c:f>
              <c:strCache>
                <c:ptCount val="1"/>
                <c:pt idx="0">
                  <c:v>Portfolio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yVal>
            <c:numRef>
              <c:f>'Portfolio Returns'!$C$2:$C$101</c:f>
              <c:numCache>
                <c:formatCode>0</c:formatCode>
                <c:ptCount val="100"/>
                <c:pt idx="0">
                  <c:v>8.2189862031274519</c:v>
                </c:pt>
                <c:pt idx="1">
                  <c:v>12.257243104213154</c:v>
                </c:pt>
                <c:pt idx="2">
                  <c:v>8.576033987833334</c:v>
                </c:pt>
                <c:pt idx="3">
                  <c:v>13.150571407868698</c:v>
                </c:pt>
                <c:pt idx="4">
                  <c:v>4.3627000537011611</c:v>
                </c:pt>
                <c:pt idx="5">
                  <c:v>12.709996393273517</c:v>
                </c:pt>
                <c:pt idx="6">
                  <c:v>6.3823820931112678</c:v>
                </c:pt>
                <c:pt idx="7">
                  <c:v>22.256992604220525</c:v>
                </c:pt>
                <c:pt idx="8">
                  <c:v>8.2580887097232996</c:v>
                </c:pt>
                <c:pt idx="9">
                  <c:v>-13.17012837056642</c:v>
                </c:pt>
                <c:pt idx="10">
                  <c:v>32.553101150267885</c:v>
                </c:pt>
                <c:pt idx="11">
                  <c:v>35.32425686750075</c:v>
                </c:pt>
                <c:pt idx="12">
                  <c:v>-15.443168726098424</c:v>
                </c:pt>
                <c:pt idx="13">
                  <c:v>-6.5456484575302616</c:v>
                </c:pt>
                <c:pt idx="14">
                  <c:v>5.9652340099943038</c:v>
                </c:pt>
                <c:pt idx="15">
                  <c:v>-9.053956696683235</c:v>
                </c:pt>
                <c:pt idx="16">
                  <c:v>-6.5298020948973843</c:v>
                </c:pt>
                <c:pt idx="17">
                  <c:v>-3.1047482369579882</c:v>
                </c:pt>
                <c:pt idx="18">
                  <c:v>6.1404019851956599</c:v>
                </c:pt>
                <c:pt idx="19">
                  <c:v>13.227380632759017</c:v>
                </c:pt>
                <c:pt idx="20">
                  <c:v>4.3528725976809852</c:v>
                </c:pt>
                <c:pt idx="21">
                  <c:v>27.647958515135343</c:v>
                </c:pt>
                <c:pt idx="22">
                  <c:v>3.7201274010689254</c:v>
                </c:pt>
                <c:pt idx="23">
                  <c:v>0.98341344068208159</c:v>
                </c:pt>
                <c:pt idx="24">
                  <c:v>-4.7579285722359721</c:v>
                </c:pt>
                <c:pt idx="25">
                  <c:v>6.6318676621890118</c:v>
                </c:pt>
                <c:pt idx="26">
                  <c:v>2.9757360418389278</c:v>
                </c:pt>
                <c:pt idx="27">
                  <c:v>13.357833717418192</c:v>
                </c:pt>
                <c:pt idx="28">
                  <c:v>2.6526572002040654</c:v>
                </c:pt>
                <c:pt idx="29">
                  <c:v>-4.4626163197171707</c:v>
                </c:pt>
                <c:pt idx="30">
                  <c:v>8.7669873412847927</c:v>
                </c:pt>
                <c:pt idx="31">
                  <c:v>-2.4079591696703129</c:v>
                </c:pt>
                <c:pt idx="32">
                  <c:v>24.028665371456306</c:v>
                </c:pt>
                <c:pt idx="33">
                  <c:v>21.905423890470004</c:v>
                </c:pt>
                <c:pt idx="34">
                  <c:v>-9.7604963941887029</c:v>
                </c:pt>
                <c:pt idx="35">
                  <c:v>-1.5800207457433373</c:v>
                </c:pt>
                <c:pt idx="36">
                  <c:v>-4.054094495587087</c:v>
                </c:pt>
                <c:pt idx="37">
                  <c:v>-3.8766350455090199</c:v>
                </c:pt>
                <c:pt idx="38">
                  <c:v>0.259431477439237</c:v>
                </c:pt>
                <c:pt idx="39">
                  <c:v>7.1221337290105504</c:v>
                </c:pt>
                <c:pt idx="40">
                  <c:v>-15.821906762157735</c:v>
                </c:pt>
                <c:pt idx="41">
                  <c:v>14.112870856808634</c:v>
                </c:pt>
                <c:pt idx="42">
                  <c:v>18.339326128050669</c:v>
                </c:pt>
                <c:pt idx="43">
                  <c:v>4.9693006743511736</c:v>
                </c:pt>
                <c:pt idx="44">
                  <c:v>11.467219355860749</c:v>
                </c:pt>
                <c:pt idx="45">
                  <c:v>-3.709329591522053</c:v>
                </c:pt>
                <c:pt idx="46">
                  <c:v>-0.85011347715139962</c:v>
                </c:pt>
                <c:pt idx="47">
                  <c:v>10.001059463740308</c:v>
                </c:pt>
                <c:pt idx="48">
                  <c:v>1.3216593342076801</c:v>
                </c:pt>
                <c:pt idx="49">
                  <c:v>18.178947637046196</c:v>
                </c:pt>
                <c:pt idx="50">
                  <c:v>-1.8742750497337002</c:v>
                </c:pt>
                <c:pt idx="51">
                  <c:v>0.31297749605580838</c:v>
                </c:pt>
                <c:pt idx="52">
                  <c:v>16.688573438453606</c:v>
                </c:pt>
                <c:pt idx="53">
                  <c:v>18.745026872509317</c:v>
                </c:pt>
                <c:pt idx="54">
                  <c:v>13.024988908505263</c:v>
                </c:pt>
                <c:pt idx="55">
                  <c:v>3.5922364632394914</c:v>
                </c:pt>
                <c:pt idx="56">
                  <c:v>7.5818533675184643</c:v>
                </c:pt>
                <c:pt idx="57">
                  <c:v>6.5121515580967682E-2</c:v>
                </c:pt>
                <c:pt idx="58">
                  <c:v>17.77566303833061</c:v>
                </c:pt>
                <c:pt idx="59">
                  <c:v>18.364358483112895</c:v>
                </c:pt>
                <c:pt idx="60">
                  <c:v>-21.643246092395266</c:v>
                </c:pt>
                <c:pt idx="61">
                  <c:v>-4.4998821718477302</c:v>
                </c:pt>
                <c:pt idx="62">
                  <c:v>2.921617064807692</c:v>
                </c:pt>
                <c:pt idx="63">
                  <c:v>-11.817492272013361</c:v>
                </c:pt>
                <c:pt idx="64">
                  <c:v>9.0688704477686102</c:v>
                </c:pt>
                <c:pt idx="65">
                  <c:v>-0.93044631053062776</c:v>
                </c:pt>
                <c:pt idx="66">
                  <c:v>8.4727336649029326</c:v>
                </c:pt>
                <c:pt idx="67">
                  <c:v>0.11251708487777146</c:v>
                </c:pt>
                <c:pt idx="68">
                  <c:v>9.9801376886157946</c:v>
                </c:pt>
                <c:pt idx="69">
                  <c:v>22.150323056927547</c:v>
                </c:pt>
                <c:pt idx="70">
                  <c:v>9.3777445564923205</c:v>
                </c:pt>
                <c:pt idx="71">
                  <c:v>-2.7063499542208569</c:v>
                </c:pt>
                <c:pt idx="72">
                  <c:v>2.4729541490970943</c:v>
                </c:pt>
                <c:pt idx="73">
                  <c:v>6.3310464466794025</c:v>
                </c:pt>
                <c:pt idx="74">
                  <c:v>24.023188819940344</c:v>
                </c:pt>
                <c:pt idx="75">
                  <c:v>7.811825749126859</c:v>
                </c:pt>
                <c:pt idx="76">
                  <c:v>0.89792928255795434</c:v>
                </c:pt>
                <c:pt idx="77">
                  <c:v>12.483067106200886</c:v>
                </c:pt>
                <c:pt idx="78">
                  <c:v>-4.7285270959286345</c:v>
                </c:pt>
                <c:pt idx="79">
                  <c:v>-3.0580599466777887</c:v>
                </c:pt>
                <c:pt idx="80">
                  <c:v>-4.0852608604239018</c:v>
                </c:pt>
                <c:pt idx="81">
                  <c:v>-4.2427009040451606</c:v>
                </c:pt>
                <c:pt idx="82">
                  <c:v>13.34941155714575</c:v>
                </c:pt>
                <c:pt idx="83">
                  <c:v>28.928978713956131</c:v>
                </c:pt>
                <c:pt idx="84">
                  <c:v>-11.583624151784246</c:v>
                </c:pt>
                <c:pt idx="85">
                  <c:v>9.5147233857857358</c:v>
                </c:pt>
                <c:pt idx="86">
                  <c:v>25.114555903713565</c:v>
                </c:pt>
                <c:pt idx="87">
                  <c:v>18.313825186754077</c:v>
                </c:pt>
                <c:pt idx="88">
                  <c:v>2.4523849309566512</c:v>
                </c:pt>
                <c:pt idx="89">
                  <c:v>-2.7505167084459257</c:v>
                </c:pt>
                <c:pt idx="90">
                  <c:v>-1.4737263178111257</c:v>
                </c:pt>
                <c:pt idx="91">
                  <c:v>10.150014702889738</c:v>
                </c:pt>
                <c:pt idx="92">
                  <c:v>10.326097908675555</c:v>
                </c:pt>
                <c:pt idx="93">
                  <c:v>11.606040805165025</c:v>
                </c:pt>
                <c:pt idx="94">
                  <c:v>-7.2330987793214963</c:v>
                </c:pt>
                <c:pt idx="95">
                  <c:v>-8.1064970433805321</c:v>
                </c:pt>
                <c:pt idx="96">
                  <c:v>-5.5869392554414361</c:v>
                </c:pt>
                <c:pt idx="97">
                  <c:v>19.905735764113807</c:v>
                </c:pt>
                <c:pt idx="98">
                  <c:v>-6.8155001374720294</c:v>
                </c:pt>
                <c:pt idx="99">
                  <c:v>3.5351939457720398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D3-4D08-A31E-54D9CA743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114528"/>
        <c:axId val="602114856"/>
      </c:scatterChart>
      <c:valAx>
        <c:axId val="602114528"/>
        <c:scaling>
          <c:orientation val="minMax"/>
          <c:max val="1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one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114856"/>
        <c:crosses val="autoZero"/>
        <c:crossBetween val="midCat"/>
      </c:valAx>
      <c:valAx>
        <c:axId val="602114856"/>
        <c:scaling>
          <c:orientation val="minMax"/>
          <c:max val="4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114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Efficient Frontier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6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AB-4E49-96B6-797A73937C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'Portfolio Returns'!$M$3:$M$103</c:f>
              <c:numCache>
                <c:formatCode>0.0</c:formatCode>
                <c:ptCount val="101"/>
                <c:pt idx="0">
                  <c:v>10.491204102586583</c:v>
                </c:pt>
                <c:pt idx="1">
                  <c:v>10.457603312990978</c:v>
                </c:pt>
                <c:pt idx="2">
                  <c:v>10.425919757419624</c:v>
                </c:pt>
                <c:pt idx="3">
                  <c:v>10.396170964876866</c:v>
                </c:pt>
                <c:pt idx="4">
                  <c:v>10.368373588961147</c:v>
                </c:pt>
                <c:pt idx="5">
                  <c:v>10.342543363994572</c:v>
                </c:pt>
                <c:pt idx="6">
                  <c:v>10.318695062771837</c:v>
                </c:pt>
                <c:pt idx="7">
                  <c:v>10.296842456178419</c:v>
                </c:pt>
                <c:pt idx="8">
                  <c:v>10.276998274922866</c:v>
                </c:pt>
                <c:pt idx="9">
                  <c:v>10.259174173621354</c:v>
                </c:pt>
                <c:pt idx="10">
                  <c:v>10.243380697462818</c:v>
                </c:pt>
                <c:pt idx="11">
                  <c:v>10.229627251671053</c:v>
                </c:pt>
                <c:pt idx="12">
                  <c:v>10.217922073965473</c:v>
                </c:pt>
                <c:pt idx="13">
                  <c:v>10.208272210205475</c:v>
                </c:pt>
                <c:pt idx="14">
                  <c:v>10.200683493384089</c:v>
                </c:pt>
                <c:pt idx="15">
                  <c:v>10.195160526115631</c:v>
                </c:pt>
                <c:pt idx="16">
                  <c:v>10.191706666739234</c:v>
                </c:pt>
                <c:pt idx="17">
                  <c:v>10.190324019135506</c:v>
                </c:pt>
                <c:pt idx="18">
                  <c:v>10.191013426328416</c:v>
                </c:pt>
                <c:pt idx="19">
                  <c:v>10.193774467917409</c:v>
                </c:pt>
                <c:pt idx="20">
                  <c:v>10.198605461358234</c:v>
                </c:pt>
                <c:pt idx="21">
                  <c:v>10.205503467083336</c:v>
                </c:pt>
                <c:pt idx="22">
                  <c:v>10.214464297425318</c:v>
                </c:pt>
                <c:pt idx="23">
                  <c:v>10.225482529280743</c:v>
                </c:pt>
                <c:pt idx="24">
                  <c:v>10.238551520425037</c:v>
                </c:pt>
                <c:pt idx="25">
                  <c:v>10.253663429364771</c:v>
                </c:pt>
                <c:pt idx="26">
                  <c:v>10.270809238590202</c:v>
                </c:pt>
                <c:pt idx="27">
                  <c:v>10.289978781068982</c:v>
                </c:pt>
                <c:pt idx="28">
                  <c:v>10.311160769802424</c:v>
                </c:pt>
                <c:pt idx="29">
                  <c:v>10.334342830247975</c:v>
                </c:pt>
                <c:pt idx="30">
                  <c:v>10.359511535396145</c:v>
                </c:pt>
                <c:pt idx="31">
                  <c:v>10.386652443277221</c:v>
                </c:pt>
                <c:pt idx="32">
                  <c:v>10.415750136662744</c:v>
                </c:pt>
                <c:pt idx="33">
                  <c:v>10.446788264718789</c:v>
                </c:pt>
                <c:pt idx="34">
                  <c:v>10.479749586362495</c:v>
                </c:pt>
                <c:pt idx="35">
                  <c:v>10.51461601507094</c:v>
                </c:pt>
                <c:pt idx="36">
                  <c:v>10.55136866489036</c:v>
                </c:pt>
                <c:pt idx="37">
                  <c:v>10.589987897396162</c:v>
                </c:pt>
                <c:pt idx="38">
                  <c:v>10.630453369357614</c:v>
                </c:pt>
                <c:pt idx="39">
                  <c:v>10.672744080867806</c:v>
                </c:pt>
                <c:pt idx="40">
                  <c:v>10.716838423706577</c:v>
                </c:pt>
                <c:pt idx="41">
                  <c:v>10.762714229714135</c:v>
                </c:pt>
                <c:pt idx="42">
                  <c:v>10.810348818963773</c:v>
                </c:pt>
                <c:pt idx="43">
                  <c:v>10.859719047534064</c:v>
                </c:pt>
                <c:pt idx="44">
                  <c:v>10.910801354694332</c:v>
                </c:pt>
                <c:pt idx="45">
                  <c:v>10.963571809330569</c:v>
                </c:pt>
                <c:pt idx="46">
                  <c:v>11.018006155453843</c:v>
                </c:pt>
                <c:pt idx="47">
                  <c:v>11.07407985664779</c:v>
                </c:pt>
                <c:pt idx="48">
                  <c:v>11.131768139326685</c:v>
                </c:pt>
                <c:pt idx="49">
                  <c:v>11.191046034690753</c:v>
                </c:pt>
                <c:pt idx="50">
                  <c:v>11.25188841928008</c:v>
                </c:pt>
                <c:pt idx="51">
                  <c:v>11.314270054042964</c:v>
                </c:pt>
                <c:pt idx="52">
                  <c:v>11.378165621848725</c:v>
                </c:pt>
                <c:pt idx="53">
                  <c:v>11.443549763388546</c:v>
                </c:pt>
                <c:pt idx="54">
                  <c:v>11.510397111420707</c:v>
                </c:pt>
                <c:pt idx="55">
                  <c:v>11.578682323329252</c:v>
                </c:pt>
                <c:pt idx="56">
                  <c:v>11.648380111975866</c:v>
                </c:pt>
                <c:pt idx="57">
                  <c:v>11.719465274836361</c:v>
                </c:pt>
                <c:pt idx="58">
                  <c:v>11.791912721422172</c:v>
                </c:pt>
                <c:pt idx="59">
                  <c:v>11.86569749899701</c:v>
                </c:pt>
                <c:pt idx="60">
                  <c:v>11.94079481660633</c:v>
                </c:pt>
                <c:pt idx="61">
                  <c:v>12.017180067445256</c:v>
                </c:pt>
                <c:pt idx="62">
                  <c:v>12.094828849596722</c:v>
                </c:pt>
                <c:pt idx="63">
                  <c:v>12.173716985177272</c:v>
                </c:pt>
                <c:pt idx="64">
                  <c:v>12.253820537933166</c:v>
                </c:pt>
                <c:pt idx="65">
                  <c:v>12.33511582933351</c:v>
                </c:pt>
                <c:pt idx="66">
                  <c:v>12.41757945321063</c:v>
                </c:pt>
                <c:pt idx="67">
                  <c:v>12.501188289000613</c:v>
                </c:pt>
                <c:pt idx="68">
                  <c:v>12.585919513639674</c:v>
                </c:pt>
                <c:pt idx="69">
                  <c:v>12.671750612173057</c:v>
                </c:pt>
                <c:pt idx="70">
                  <c:v>12.758659387134813</c:v>
                </c:pt>
                <c:pt idx="71">
                  <c:v>12.84662396675723</c:v>
                </c:pt>
                <c:pt idx="72">
                  <c:v>12.935622812069074</c:v>
                </c:pt>
                <c:pt idx="73">
                  <c:v>13.025634722941716</c:v>
                </c:pt>
                <c:pt idx="74">
                  <c:v>13.116638843141596</c:v>
                </c:pt>
                <c:pt idx="75">
                  <c:v>13.208614664446811</c:v>
                </c:pt>
                <c:pt idx="76">
                  <c:v>13.301542029884757</c:v>
                </c:pt>
                <c:pt idx="77">
                  <c:v>13.395401136146113</c:v>
                </c:pt>
                <c:pt idx="78">
                  <c:v>13.490172535229531</c:v>
                </c:pt>
                <c:pt idx="79">
                  <c:v>13.585837135369335</c:v>
                </c:pt>
                <c:pt idx="80">
                  <c:v>13.682376201297139</c:v>
                </c:pt>
                <c:pt idx="81">
                  <c:v>13.779771353886352</c:v>
                </c:pt>
                <c:pt idx="82">
                  <c:v>13.878004569226601</c:v>
                </c:pt>
                <c:pt idx="83">
                  <c:v>13.977058177173189</c:v>
                </c:pt>
                <c:pt idx="84">
                  <c:v>14.076914859414927</c:v>
                </c:pt>
                <c:pt idx="85">
                  <c:v>14.177557647101006</c:v>
                </c:pt>
                <c:pt idx="86">
                  <c:v>14.278969918066569</c:v>
                </c:pt>
                <c:pt idx="87">
                  <c:v>14.381135393693736</c:v>
                </c:pt>
                <c:pt idx="88">
                  <c:v>14.484038135443242</c:v>
                </c:pt>
                <c:pt idx="89">
                  <c:v>14.587662541089992</c:v>
                </c:pt>
                <c:pt idx="90">
                  <c:v>14.691993340693728</c:v>
                </c:pt>
                <c:pt idx="91">
                  <c:v>14.797015592334166</c:v>
                </c:pt>
                <c:pt idx="92">
                  <c:v>14.902714677638244</c:v>
                </c:pt>
                <c:pt idx="93">
                  <c:v>15.009076297125382</c:v>
                </c:pt>
                <c:pt idx="94">
                  <c:v>15.116086465394769</c:v>
                </c:pt>
                <c:pt idx="95">
                  <c:v>15.223731506177209</c:v>
                </c:pt>
                <c:pt idx="96">
                  <c:v>15.33199804727281</c:v>
                </c:pt>
                <c:pt idx="97">
                  <c:v>15.440873015393427</c:v>
                </c:pt>
                <c:pt idx="98">
                  <c:v>15.550343630928385</c:v>
                </c:pt>
                <c:pt idx="99">
                  <c:v>15.660397402650036</c:v>
                </c:pt>
                <c:pt idx="100">
                  <c:v>15.771022122374417</c:v>
                </c:pt>
              </c:numCache>
            </c:numRef>
          </c:xVal>
          <c:yVal>
            <c:numRef>
              <c:f>'Portfolio Returns'!$L$3:$L$103</c:f>
              <c:numCache>
                <c:formatCode>0.0</c:formatCode>
                <c:ptCount val="101"/>
                <c:pt idx="0">
                  <c:v>6.1338956755348599</c:v>
                </c:pt>
                <c:pt idx="1">
                  <c:v>6.1556437566036477</c:v>
                </c:pt>
                <c:pt idx="2">
                  <c:v>6.1773918376724284</c:v>
                </c:pt>
                <c:pt idx="3">
                  <c:v>6.1991399187412108</c:v>
                </c:pt>
                <c:pt idx="4">
                  <c:v>6.2208879998100004</c:v>
                </c:pt>
                <c:pt idx="5">
                  <c:v>6.2426360808787793</c:v>
                </c:pt>
                <c:pt idx="6">
                  <c:v>6.2643841619475626</c:v>
                </c:pt>
                <c:pt idx="7">
                  <c:v>6.2861322430163415</c:v>
                </c:pt>
                <c:pt idx="8">
                  <c:v>6.3078803240851284</c:v>
                </c:pt>
                <c:pt idx="9">
                  <c:v>6.3296284051539153</c:v>
                </c:pt>
                <c:pt idx="10">
                  <c:v>6.3513764862226996</c:v>
                </c:pt>
                <c:pt idx="11">
                  <c:v>6.3731245672914794</c:v>
                </c:pt>
                <c:pt idx="12">
                  <c:v>6.3948726483602671</c:v>
                </c:pt>
                <c:pt idx="13">
                  <c:v>6.4166207294290487</c:v>
                </c:pt>
                <c:pt idx="14">
                  <c:v>6.4383688104978356</c:v>
                </c:pt>
                <c:pt idx="15">
                  <c:v>6.4601168915666189</c:v>
                </c:pt>
                <c:pt idx="16">
                  <c:v>6.481864972635397</c:v>
                </c:pt>
                <c:pt idx="17">
                  <c:v>6.503613053704191</c:v>
                </c:pt>
                <c:pt idx="18">
                  <c:v>6.5253611347729681</c:v>
                </c:pt>
                <c:pt idx="19">
                  <c:v>6.5471092158417461</c:v>
                </c:pt>
                <c:pt idx="20">
                  <c:v>6.5688572969105383</c:v>
                </c:pt>
                <c:pt idx="21">
                  <c:v>6.5906053779793181</c:v>
                </c:pt>
                <c:pt idx="22">
                  <c:v>6.6123534590481059</c:v>
                </c:pt>
                <c:pt idx="23">
                  <c:v>6.6341015401168901</c:v>
                </c:pt>
                <c:pt idx="24">
                  <c:v>6.6558496211856664</c:v>
                </c:pt>
                <c:pt idx="25">
                  <c:v>6.6775977022544488</c:v>
                </c:pt>
                <c:pt idx="26">
                  <c:v>6.699345783323241</c:v>
                </c:pt>
                <c:pt idx="27">
                  <c:v>6.7210938643920191</c:v>
                </c:pt>
                <c:pt idx="28">
                  <c:v>6.7428419454608068</c:v>
                </c:pt>
                <c:pt idx="29">
                  <c:v>6.7645900265295928</c:v>
                </c:pt>
                <c:pt idx="30">
                  <c:v>6.7863381075983753</c:v>
                </c:pt>
                <c:pt idx="31">
                  <c:v>6.8080861886671542</c:v>
                </c:pt>
                <c:pt idx="32">
                  <c:v>6.8298342697359411</c:v>
                </c:pt>
                <c:pt idx="33">
                  <c:v>6.8515823508047262</c:v>
                </c:pt>
                <c:pt idx="34">
                  <c:v>6.8733304318735042</c:v>
                </c:pt>
                <c:pt idx="35">
                  <c:v>6.8950785129422911</c:v>
                </c:pt>
                <c:pt idx="36">
                  <c:v>6.9168265940110816</c:v>
                </c:pt>
                <c:pt idx="37">
                  <c:v>6.9385746750798587</c:v>
                </c:pt>
                <c:pt idx="38">
                  <c:v>6.9603227561486403</c:v>
                </c:pt>
                <c:pt idx="39">
                  <c:v>6.9820708372174263</c:v>
                </c:pt>
                <c:pt idx="40">
                  <c:v>7.0038189182862114</c:v>
                </c:pt>
                <c:pt idx="41">
                  <c:v>7.0255669993549983</c:v>
                </c:pt>
                <c:pt idx="42">
                  <c:v>7.0473150804237745</c:v>
                </c:pt>
                <c:pt idx="43">
                  <c:v>7.0690631614925614</c:v>
                </c:pt>
                <c:pt idx="44">
                  <c:v>7.0908112425613474</c:v>
                </c:pt>
                <c:pt idx="45">
                  <c:v>7.1125593236301263</c:v>
                </c:pt>
                <c:pt idx="46">
                  <c:v>7.134307404698915</c:v>
                </c:pt>
                <c:pt idx="47">
                  <c:v>7.1560554857676939</c:v>
                </c:pt>
                <c:pt idx="48">
                  <c:v>7.1778035668364808</c:v>
                </c:pt>
                <c:pt idx="49">
                  <c:v>7.1995516479052624</c:v>
                </c:pt>
                <c:pt idx="50">
                  <c:v>7.2212997289740439</c:v>
                </c:pt>
                <c:pt idx="51">
                  <c:v>7.243047810042829</c:v>
                </c:pt>
                <c:pt idx="52">
                  <c:v>7.2647958911116177</c:v>
                </c:pt>
                <c:pt idx="53">
                  <c:v>7.2865439721804002</c:v>
                </c:pt>
                <c:pt idx="54">
                  <c:v>7.3082920532491835</c:v>
                </c:pt>
                <c:pt idx="55">
                  <c:v>7.3300401343179677</c:v>
                </c:pt>
                <c:pt idx="56">
                  <c:v>7.3517882153867564</c:v>
                </c:pt>
                <c:pt idx="57">
                  <c:v>7.3735362964555327</c:v>
                </c:pt>
                <c:pt idx="58">
                  <c:v>7.395284377524324</c:v>
                </c:pt>
                <c:pt idx="59">
                  <c:v>7.4170324585931047</c:v>
                </c:pt>
                <c:pt idx="60">
                  <c:v>7.4387805396618853</c:v>
                </c:pt>
                <c:pt idx="61">
                  <c:v>7.4605286207306687</c:v>
                </c:pt>
                <c:pt idx="62">
                  <c:v>7.4822767017994503</c:v>
                </c:pt>
                <c:pt idx="63">
                  <c:v>7.5040247828682389</c:v>
                </c:pt>
                <c:pt idx="64">
                  <c:v>7.5257728639370178</c:v>
                </c:pt>
                <c:pt idx="65">
                  <c:v>7.547520945005803</c:v>
                </c:pt>
                <c:pt idx="66">
                  <c:v>7.5692690260745854</c:v>
                </c:pt>
                <c:pt idx="67">
                  <c:v>7.591017107143375</c:v>
                </c:pt>
                <c:pt idx="68">
                  <c:v>7.6127651882121539</c:v>
                </c:pt>
                <c:pt idx="69">
                  <c:v>7.634513269280939</c:v>
                </c:pt>
                <c:pt idx="70">
                  <c:v>7.656261350349725</c:v>
                </c:pt>
                <c:pt idx="71">
                  <c:v>7.6780094314185074</c:v>
                </c:pt>
                <c:pt idx="72">
                  <c:v>7.6997575124872917</c:v>
                </c:pt>
                <c:pt idx="73">
                  <c:v>7.7215055935560732</c:v>
                </c:pt>
                <c:pt idx="74">
                  <c:v>7.743253674624853</c:v>
                </c:pt>
                <c:pt idx="75">
                  <c:v>7.7650017556936408</c:v>
                </c:pt>
                <c:pt idx="76">
                  <c:v>7.7867498367624197</c:v>
                </c:pt>
                <c:pt idx="77">
                  <c:v>7.8084979178312066</c:v>
                </c:pt>
                <c:pt idx="78">
                  <c:v>7.8302459988999935</c:v>
                </c:pt>
                <c:pt idx="79">
                  <c:v>7.851994079968776</c:v>
                </c:pt>
                <c:pt idx="80">
                  <c:v>7.8737421610375629</c:v>
                </c:pt>
                <c:pt idx="81">
                  <c:v>7.8954902421063418</c:v>
                </c:pt>
                <c:pt idx="82">
                  <c:v>7.917238323175126</c:v>
                </c:pt>
                <c:pt idx="83">
                  <c:v>7.9389864042439102</c:v>
                </c:pt>
                <c:pt idx="84">
                  <c:v>7.9607344853126962</c:v>
                </c:pt>
                <c:pt idx="85">
                  <c:v>7.9824825663814769</c:v>
                </c:pt>
                <c:pt idx="86">
                  <c:v>8.0042306474502602</c:v>
                </c:pt>
                <c:pt idx="87">
                  <c:v>8.025978728519048</c:v>
                </c:pt>
                <c:pt idx="88">
                  <c:v>8.0477268095878305</c:v>
                </c:pt>
                <c:pt idx="89">
                  <c:v>8.0694748906566218</c:v>
                </c:pt>
                <c:pt idx="90">
                  <c:v>8.0912229717254025</c:v>
                </c:pt>
                <c:pt idx="91">
                  <c:v>8.1129710527941814</c:v>
                </c:pt>
                <c:pt idx="92">
                  <c:v>8.134719133862971</c:v>
                </c:pt>
                <c:pt idx="93">
                  <c:v>8.1564672149317499</c:v>
                </c:pt>
                <c:pt idx="94">
                  <c:v>8.1782152960005323</c:v>
                </c:pt>
                <c:pt idx="95">
                  <c:v>8.1999633770693183</c:v>
                </c:pt>
                <c:pt idx="96">
                  <c:v>8.2217114581381026</c:v>
                </c:pt>
                <c:pt idx="97">
                  <c:v>8.2434595392068832</c:v>
                </c:pt>
                <c:pt idx="98">
                  <c:v>8.2652076202756692</c:v>
                </c:pt>
                <c:pt idx="99">
                  <c:v>8.2869557013444552</c:v>
                </c:pt>
                <c:pt idx="100">
                  <c:v>8.3087037824132342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7-C038-4F13-B874-36CC1482B8CD}"/>
            </c:ext>
          </c:extLst>
        </c:ser>
        <c:ser>
          <c:idx val="1"/>
          <c:order val="1"/>
          <c:tx>
            <c:strRef>
              <c:f>'Portfolio Returns'!$F$1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'Portfolio Returns'!$F$3</c:f>
              <c:numCache>
                <c:formatCode>0.0</c:formatCode>
                <c:ptCount val="1"/>
                <c:pt idx="0">
                  <c:v>15.771022122374417</c:v>
                </c:pt>
              </c:numCache>
            </c:numRef>
          </c:xVal>
          <c:yVal>
            <c:numRef>
              <c:f>'Portfolio Returns'!$F$2</c:f>
              <c:numCache>
                <c:formatCode>0.0</c:formatCode>
                <c:ptCount val="1"/>
                <c:pt idx="0">
                  <c:v>8.3087037824132342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6F-4FBF-8273-1860473E538F}"/>
            </c:ext>
          </c:extLst>
        </c:ser>
        <c:ser>
          <c:idx val="2"/>
          <c:order val="2"/>
          <c:tx>
            <c:strRef>
              <c:f>'Portfolio Returns'!$G$1</c:f>
              <c:strCache>
                <c:ptCount val="1"/>
                <c:pt idx="0">
                  <c:v>Google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'Portfolio Returns'!$G$3</c:f>
              <c:numCache>
                <c:formatCode>0.0</c:formatCode>
                <c:ptCount val="1"/>
                <c:pt idx="0">
                  <c:v>10.491204102586583</c:v>
                </c:pt>
              </c:numCache>
            </c:numRef>
          </c:xVal>
          <c:yVal>
            <c:numRef>
              <c:f>'Portfolio Returns'!$G$2</c:f>
              <c:numCache>
                <c:formatCode>0.0</c:formatCode>
                <c:ptCount val="1"/>
                <c:pt idx="0">
                  <c:v>6.1338956755348599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6F-4FBF-8273-1860473E538F}"/>
            </c:ext>
          </c:extLst>
        </c:ser>
        <c:ser>
          <c:idx val="3"/>
          <c:order val="3"/>
          <c:tx>
            <c:v>Optimal Portfolio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'Portfolio Returns'!$H$3</c:f>
              <c:numCache>
                <c:formatCode>0.0</c:formatCode>
                <c:ptCount val="1"/>
                <c:pt idx="0">
                  <c:v>10.573819820377334</c:v>
                </c:pt>
              </c:numCache>
            </c:numRef>
          </c:xVal>
          <c:yVal>
            <c:numRef>
              <c:f>'Portfolio Returns'!$H$2</c:f>
              <c:numCache>
                <c:formatCode>0.0</c:formatCode>
                <c:ptCount val="1"/>
                <c:pt idx="0">
                  <c:v>6.9295964387777484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F6F-4FBF-8273-1860473E5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660280"/>
        <c:axId val="604658968"/>
      </c:scatterChart>
      <c:valAx>
        <c:axId val="604660280"/>
        <c:scaling>
          <c:orientation val="minMax"/>
          <c:max val="16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Standard Deviation (Risk)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8968"/>
        <c:crosses val="autoZero"/>
        <c:crossBetween val="midCat"/>
      </c:valAx>
      <c:valAx>
        <c:axId val="604658968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Expected Return (Reward)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60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'Portfolio Returns'!$N$1</c:f>
              <c:strCache>
                <c:ptCount val="1"/>
                <c:pt idx="0">
                  <c:v>Portfolio Sharpe Ratio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'Portfolio Returns'!$K$3:$K$103</c:f>
              <c:numCache>
                <c:formatCode>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'Portfolio Returns'!$N$3:$N$103</c:f>
              <c:numCache>
                <c:formatCode>0.00</c:formatCode>
                <c:ptCount val="101"/>
                <c:pt idx="0">
                  <c:v>0.48935237798577474</c:v>
                </c:pt>
                <c:pt idx="1">
                  <c:v>0.49300433400443094</c:v>
                </c:pt>
                <c:pt idx="2">
                  <c:v>0.49658849848599002</c:v>
                </c:pt>
                <c:pt idx="3">
                  <c:v>0.50010142544849834</c:v>
                </c:pt>
                <c:pt idx="4">
                  <c:v>0.50353972636253208</c:v>
                </c:pt>
                <c:pt idx="5">
                  <c:v>0.50690008215289994</c:v>
                </c:pt>
                <c:pt idx="6">
                  <c:v>0.51017925521809426</c:v>
                </c:pt>
                <c:pt idx="7">
                  <c:v>0.51337410138236128</c:v>
                </c:pt>
                <c:pt idx="8">
                  <c:v>0.51648158169268221</c:v>
                </c:pt>
                <c:pt idx="9">
                  <c:v>0.51949877397126076</c:v>
                </c:pt>
                <c:pt idx="10">
                  <c:v>0.52242288403360637</c:v>
                </c:pt>
                <c:pt idx="11">
                  <c:v>0.52525125648285542</c:v>
                </c:pt>
                <c:pt idx="12">
                  <c:v>0.52798138499274838</c:v>
                </c:pt>
                <c:pt idx="13">
                  <c:v>0.53061092199460669</c:v>
                </c:pt>
                <c:pt idx="14">
                  <c:v>0.53313768768779335</c:v>
                </c:pt>
                <c:pt idx="15">
                  <c:v>0.53555967829835938</c:v>
                </c:pt>
                <c:pt idx="16">
                  <c:v>0.53787507351693453</c:v>
                </c:pt>
                <c:pt idx="17">
                  <c:v>0.54008224305423891</c:v>
                </c:pt>
                <c:pt idx="18">
                  <c:v>0.54217975226077453</c:v>
                </c:pt>
                <c:pt idx="19">
                  <c:v>0.54416636676630559</c:v>
                </c:pt>
                <c:pt idx="20">
                  <c:v>0.54604105610424181</c:v>
                </c:pt>
                <c:pt idx="21">
                  <c:v>0.54780299629618134</c:v>
                </c:pt>
                <c:pt idx="22">
                  <c:v>0.54945157138223777</c:v>
                </c:pt>
                <c:pt idx="23">
                  <c:v>0.55098637389322214</c:v>
                </c:pt>
                <c:pt idx="24">
                  <c:v>0.5524072042713003</c:v>
                </c:pt>
                <c:pt idx="25">
                  <c:v>0.55371406925594635</c:v>
                </c:pt>
                <c:pt idx="26">
                  <c:v>0.55490717926190869</c:v>
                </c:pt>
                <c:pt idx="27">
                  <c:v>0.55598694478529131</c:v>
                </c:pt>
                <c:pt idx="28">
                  <c:v>0.55695397188253204</c:v>
                </c:pt>
                <c:pt idx="29">
                  <c:v>0.5578090567749503</c:v>
                </c:pt>
                <c:pt idx="30">
                  <c:v>0.55855317963860995</c:v>
                </c:pt>
                <c:pt idx="31">
                  <c:v>0.55918749764525411</c:v>
                </c:pt>
                <c:pt idx="32">
                  <c:v>0.55971333732510675</c:v>
                </c:pt>
                <c:pt idx="33">
                  <c:v>0.56013218632628636</c:v>
                </c:pt>
                <c:pt idx="34">
                  <c:v>0.56044568464847533</c:v>
                </c:pt>
                <c:pt idx="35">
                  <c:v>0.56065561543024334</c:v>
                </c:pt>
                <c:pt idx="36">
                  <c:v>0.56076389537020921</c:v>
                </c:pt>
                <c:pt idx="37">
                  <c:v>0.56077256486195037</c:v>
                </c:pt>
                <c:pt idx="38">
                  <c:v>0.56068377792139412</c:v>
                </c:pt>
                <c:pt idx="39">
                  <c:v>0.56049979198330224</c:v>
                </c:pt>
                <c:pt idx="40">
                  <c:v>0.56022295764068286</c:v>
                </c:pt>
                <c:pt idx="41">
                  <c:v>0.55985570839736409</c:v>
                </c:pt>
                <c:pt idx="42">
                  <c:v>0.55940055049985338</c:v>
                </c:pt>
                <c:pt idx="43">
                  <c:v>0.55886005290999441</c:v>
                </c:pt>
                <c:pt idx="44">
                  <c:v>0.5582368374748935</c:v>
                </c:pt>
                <c:pt idx="45">
                  <c:v>0.5575335693453497</c:v>
                </c:pt>
                <c:pt idx="46">
                  <c:v>0.55675294768849548</c:v>
                </c:pt>
                <c:pt idx="47">
                  <c:v>0.55589769673479483</c:v>
                </c:pt>
                <c:pt idx="48">
                  <c:v>0.55497055719399413</c:v>
                </c:pt>
                <c:pt idx="49">
                  <c:v>0.55397427806904531</c:v>
                </c:pt>
                <c:pt idx="50">
                  <c:v>0.55291160889170066</c:v>
                </c:pt>
                <c:pt idx="51">
                  <c:v>0.55178529239824714</c:v>
                </c:pt>
                <c:pt idx="52">
                  <c:v>0.55059805765893866</c:v>
                </c:pt>
                <c:pt idx="53">
                  <c:v>0.54935261367001675</c:v>
                </c:pt>
                <c:pt idx="54">
                  <c:v>0.54805164341289725</c:v>
                </c:pt>
                <c:pt idx="55">
                  <c:v>0.54669779838107457</c:v>
                </c:pt>
                <c:pt idx="56">
                  <c:v>0.54529369357172608</c:v>
                </c:pt>
                <c:pt idx="57">
                  <c:v>0.54384190293567181</c:v>
                </c:pt>
                <c:pt idx="58">
                  <c:v>0.54234495527651905</c:v>
                </c:pt>
                <c:pt idx="59">
                  <c:v>0.54080533058722646</c:v>
                </c:pt>
                <c:pt idx="60">
                  <c:v>0.53922545681023926</c:v>
                </c:pt>
                <c:pt idx="61">
                  <c:v>0.53760770700543548</c:v>
                </c:pt>
                <c:pt idx="62">
                  <c:v>0.53595439690869118</c:v>
                </c:pt>
                <c:pt idx="63">
                  <c:v>0.53426778286266596</c:v>
                </c:pt>
                <c:pt idx="64">
                  <c:v>0.53255006010049744</c:v>
                </c:pt>
                <c:pt idx="65">
                  <c:v>0.53080336136248329</c:v>
                </c:pt>
                <c:pt idx="66">
                  <c:v>0.52902975582540501</c:v>
                </c:pt>
                <c:pt idx="67">
                  <c:v>0.52723124832401702</c:v>
                </c:pt>
                <c:pt idx="68">
                  <c:v>0.5254097788441866</c:v>
                </c:pt>
                <c:pt idx="69">
                  <c:v>0.52356722226742103</c:v>
                </c:pt>
                <c:pt idx="70">
                  <c:v>0.52170538834680091</c:v>
                </c:pt>
                <c:pt idx="71">
                  <c:v>0.51982602189485461</c:v>
                </c:pt>
                <c:pt idx="72">
                  <c:v>0.51793080316444806</c:v>
                </c:pt>
                <c:pt idx="73">
                  <c:v>0.51602134840443958</c:v>
                </c:pt>
                <c:pt idx="74">
                  <c:v>0.51409921057258912</c:v>
                </c:pt>
                <c:pt idx="75">
                  <c:v>0.51216588018899289</c:v>
                </c:pt>
                <c:pt idx="76">
                  <c:v>0.51022278631413831</c:v>
                </c:pt>
                <c:pt idx="77">
                  <c:v>0.50827129763655787</c:v>
                </c:pt>
                <c:pt idx="78">
                  <c:v>0.50631272365589353</c:v>
                </c:pt>
                <c:pt idx="79">
                  <c:v>0.50434831594810681</c:v>
                </c:pt>
                <c:pt idx="80">
                  <c:v>0.50237926950041811</c:v>
                </c:pt>
                <c:pt idx="81">
                  <c:v>0.50040672410443043</c:v>
                </c:pt>
                <c:pt idx="82">
                  <c:v>0.49843176579676057</c:v>
                </c:pt>
                <c:pt idx="83">
                  <c:v>0.49645542833730233</c:v>
                </c:pt>
                <c:pt idx="84">
                  <c:v>0.49447869471606665</c:v>
                </c:pt>
                <c:pt idx="85">
                  <c:v>0.4925024986803167</c:v>
                </c:pt>
                <c:pt idx="86">
                  <c:v>0.49052772627443575</c:v>
                </c:pt>
                <c:pt idx="87">
                  <c:v>0.48855521738568752</c:v>
                </c:pt>
                <c:pt idx="88">
                  <c:v>0.48658576728969344</c:v>
                </c:pt>
                <c:pt idx="89">
                  <c:v>0.48462012819007738</c:v>
                </c:pt>
                <c:pt idx="90">
                  <c:v>0.48265901074731693</c:v>
                </c:pt>
                <c:pt idx="91">
                  <c:v>0.48070308559241987</c:v>
                </c:pt>
                <c:pt idx="92">
                  <c:v>0.47875298482153245</c:v>
                </c:pt>
                <c:pt idx="93">
                  <c:v>0.47680930346808847</c:v>
                </c:pt>
                <c:pt idx="94">
                  <c:v>0.47487260094956513</c:v>
                </c:pt>
                <c:pt idx="95">
                  <c:v>0.47294340248629896</c:v>
                </c:pt>
                <c:pt idx="96">
                  <c:v>0.47102220049021398</c:v>
                </c:pt>
                <c:pt idx="97">
                  <c:v>0.46910945592167497</c:v>
                </c:pt>
                <c:pt idx="98">
                  <c:v>0.46720559961297281</c:v>
                </c:pt>
                <c:pt idx="99">
                  <c:v>0.465311033557256</c:v>
                </c:pt>
                <c:pt idx="100">
                  <c:v>0.46342613216199507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C8-4FFD-B7EC-26546D2F15CF}"/>
            </c:ext>
          </c:extLst>
        </c:ser>
        <c:ser>
          <c:idx val="1"/>
          <c:order val="1"/>
          <c:tx>
            <c:v>Optimal Portfolio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'Portfolio Returns'!$F$5</c:f>
              <c:numCache>
                <c:formatCode>0%</c:formatCode>
                <c:ptCount val="1"/>
                <c:pt idx="0">
                  <c:v>0.36587171103799199</c:v>
                </c:pt>
              </c:numCache>
            </c:numRef>
          </c:xVal>
          <c:yVal>
            <c:numRef>
              <c:f>'Portfolio Returns'!$H$4</c:f>
              <c:numCache>
                <c:formatCode>0.00</c:formatCode>
                <c:ptCount val="1"/>
                <c:pt idx="0">
                  <c:v>0.56078092302561544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A9-4968-8034-726DCD67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666640"/>
        <c:axId val="393667952"/>
      </c:scatterChart>
      <c:valAx>
        <c:axId val="393666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Apple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67952"/>
        <c:crosses val="autoZero"/>
        <c:crossBetween val="midCat"/>
      </c:valAx>
      <c:valAx>
        <c:axId val="393667952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Portfolio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Sharpe Ratio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6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649818</xdr:colOff>
      <xdr:row>13</xdr:row>
      <xdr:rowOff>156633</xdr:rowOff>
    </xdr:from>
    <xdr:to>
      <xdr:col>9</xdr:col>
      <xdr:colOff>640928</xdr:colOff>
      <xdr:row>28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626F6C-350E-442E-B58B-6D5B0EF8F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03E07-2B6B-4592-B176-D7F6967673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7D6084-F82B-42FB-AC78-A83F8228F7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1"/>
  <sheetViews>
    <sheetView tabSelected="1" workbookViewId="0">
      <pane ySplit="1" topLeftCell="A2" activePane="bottomLeft" state="frozen"/>
      <selection pane="bottomLeft"/>
    </sheetView>
  </sheetViews>
  <sheetFormatPr defaultColWidth="8.83203125" defaultRowHeight="15.5" x14ac:dyDescent="0.35"/>
  <cols>
    <col min="1" max="3" width="8.08203125" style="10" customWidth="1"/>
    <col min="4" max="4" width="9.08203125" style="3" customWidth="1"/>
    <col min="5" max="5" width="9.6640625" style="3" bestFit="1" customWidth="1"/>
    <col min="6" max="9" width="8.08203125" style="15" customWidth="1"/>
    <col min="10" max="10" width="9.1640625" style="3" customWidth="1"/>
    <col min="11" max="11" width="11.83203125" style="3" bestFit="1" customWidth="1"/>
    <col min="12" max="12" width="22.33203125" style="14" bestFit="1" customWidth="1"/>
    <col min="13" max="13" width="24.58203125" style="14" bestFit="1" customWidth="1"/>
    <col min="14" max="14" width="19.1640625" style="30" bestFit="1" customWidth="1"/>
    <col min="15" max="16384" width="8.83203125" style="3"/>
  </cols>
  <sheetData>
    <row r="1" spans="1:14" s="1" customFormat="1" x14ac:dyDescent="0.35">
      <c r="A1" s="7" t="s">
        <v>1</v>
      </c>
      <c r="B1" s="7" t="s">
        <v>0</v>
      </c>
      <c r="C1" s="7" t="s">
        <v>2</v>
      </c>
      <c r="F1" s="11" t="s">
        <v>1</v>
      </c>
      <c r="G1" s="11" t="s">
        <v>0</v>
      </c>
      <c r="H1" s="11" t="s">
        <v>2</v>
      </c>
      <c r="I1" s="12" t="s">
        <v>8</v>
      </c>
      <c r="K1" s="2" t="s">
        <v>6</v>
      </c>
      <c r="L1" s="21" t="s">
        <v>11</v>
      </c>
      <c r="M1" s="21" t="s">
        <v>5</v>
      </c>
      <c r="N1" s="22" t="s">
        <v>7</v>
      </c>
    </row>
    <row r="2" spans="1:14" ht="16" thickBot="1" x14ac:dyDescent="0.4">
      <c r="A2" s="8">
        <v>17.489581146059436</v>
      </c>
      <c r="B2" s="8">
        <v>2.8701498664569494</v>
      </c>
      <c r="C2" s="9">
        <f>SUMPRODUCT(A2:B2,$F$5:$G$5)</f>
        <v>8.2189862031274519</v>
      </c>
      <c r="E2" s="3" t="s">
        <v>9</v>
      </c>
      <c r="F2" s="13">
        <f>AVERAGE(A2:A251)</f>
        <v>8.3087037824132342</v>
      </c>
      <c r="G2" s="13">
        <f>AVERAGE(B2:B251)</f>
        <v>6.1338956755348599</v>
      </c>
      <c r="H2" s="13">
        <f>AVERAGE(C2:C251)</f>
        <v>6.9295964387777484</v>
      </c>
      <c r="I2" s="14">
        <v>1</v>
      </c>
      <c r="K2" s="4"/>
      <c r="L2" s="23">
        <f>H2</f>
        <v>6.9295964387777484</v>
      </c>
      <c r="M2" s="23">
        <f>H3</f>
        <v>10.573819820377334</v>
      </c>
      <c r="N2" s="24">
        <f>H4</f>
        <v>0.56078092302561544</v>
      </c>
    </row>
    <row r="3" spans="1:14" ht="16" thickTop="1" x14ac:dyDescent="0.35">
      <c r="A3" s="8">
        <v>-3.8949270577864219</v>
      </c>
      <c r="B3" s="8">
        <v>21.576527919310944</v>
      </c>
      <c r="C3" s="9">
        <f t="shared" ref="C3:C66" si="0">SUMPRODUCT(A3:B3,$F$5:$G$5)</f>
        <v>12.257243104213154</v>
      </c>
      <c r="E3" s="3" t="s">
        <v>10</v>
      </c>
      <c r="F3" s="13">
        <f>_xlfn.STDEV.S(A2:A251)</f>
        <v>15.771022122374417</v>
      </c>
      <c r="G3" s="13">
        <f>_xlfn.STDEV.S(B2:B251)</f>
        <v>10.491204102586583</v>
      </c>
      <c r="H3" s="13">
        <f>_xlfn.STDEV.S(C2:C251)</f>
        <v>10.573819820377334</v>
      </c>
      <c r="K3" s="5">
        <v>0</v>
      </c>
      <c r="L3" s="25">
        <f t="dataTable" ref="L3:N103" dt2D="0" dtr="0" r1="F5"/>
        <v>6.1338956755348599</v>
      </c>
      <c r="M3" s="26">
        <v>10.491204102586583</v>
      </c>
      <c r="N3" s="27">
        <v>0.48935237798577474</v>
      </c>
    </row>
    <row r="4" spans="1:14" x14ac:dyDescent="0.35">
      <c r="A4" s="8">
        <v>1.7755598398984498</v>
      </c>
      <c r="B4" s="8">
        <v>12.49968974595649</v>
      </c>
      <c r="C4" s="9">
        <f t="shared" si="0"/>
        <v>8.576033987833334</v>
      </c>
      <c r="E4" s="3" t="s">
        <v>3</v>
      </c>
      <c r="F4" s="16">
        <f>(F2-$I$2)/F3</f>
        <v>0.46342613216199507</v>
      </c>
      <c r="G4" s="16">
        <f>(G2-$I$2)/G3</f>
        <v>0.48935237798577474</v>
      </c>
      <c r="H4" s="16">
        <f>(H2-$I$2)/H3</f>
        <v>0.56078092302561544</v>
      </c>
      <c r="K4" s="6">
        <v>0.01</v>
      </c>
      <c r="L4" s="28">
        <v>6.1556437566036477</v>
      </c>
      <c r="M4" s="29">
        <v>10.457603312990978</v>
      </c>
      <c r="N4" s="16">
        <v>0.49300433400443094</v>
      </c>
    </row>
    <row r="5" spans="1:14" x14ac:dyDescent="0.35">
      <c r="A5" s="8">
        <v>22.138123880363651</v>
      </c>
      <c r="B5" s="8">
        <v>7.9650415105382972</v>
      </c>
      <c r="C5" s="9">
        <f t="shared" si="0"/>
        <v>13.150571407868698</v>
      </c>
      <c r="E5" s="3" t="s">
        <v>4</v>
      </c>
      <c r="F5" s="17">
        <v>0.36587171103799199</v>
      </c>
      <c r="G5" s="17">
        <f>1-F5</f>
        <v>0.63412828896200801</v>
      </c>
      <c r="H5" s="18">
        <f>SUM(F5:G5)</f>
        <v>1</v>
      </c>
      <c r="K5" s="6">
        <v>0.02</v>
      </c>
      <c r="L5" s="28">
        <v>6.1773918376724284</v>
      </c>
      <c r="M5" s="29">
        <v>10.425919757419624</v>
      </c>
      <c r="N5" s="16">
        <v>0.49658849848599002</v>
      </c>
    </row>
    <row r="6" spans="1:14" x14ac:dyDescent="0.35">
      <c r="A6" s="8">
        <v>-17.897066916413067</v>
      </c>
      <c r="B6" s="8">
        <v>17.205872595323271</v>
      </c>
      <c r="C6" s="9">
        <f t="shared" si="0"/>
        <v>4.3627000537011611</v>
      </c>
      <c r="F6" s="12"/>
      <c r="G6" s="12"/>
      <c r="H6" s="12"/>
      <c r="K6" s="6">
        <v>0.03</v>
      </c>
      <c r="L6" s="28">
        <v>6.1991399187412108</v>
      </c>
      <c r="M6" s="29">
        <v>10.396170964876866</v>
      </c>
      <c r="N6" s="16">
        <v>0.50010142544849834</v>
      </c>
    </row>
    <row r="7" spans="1:14" x14ac:dyDescent="0.35">
      <c r="A7" s="8">
        <v>24.721467705779439</v>
      </c>
      <c r="B7" s="8">
        <v>5.7797621840666951</v>
      </c>
      <c r="C7" s="9">
        <f t="shared" si="0"/>
        <v>12.709996393273517</v>
      </c>
      <c r="E7"/>
      <c r="F7" s="19"/>
      <c r="G7" s="19"/>
      <c r="H7" s="19"/>
      <c r="I7" s="19"/>
      <c r="K7" s="6">
        <v>0.04</v>
      </c>
      <c r="L7" s="28">
        <v>6.2208879998100004</v>
      </c>
      <c r="M7" s="29">
        <v>10.368373588961147</v>
      </c>
      <c r="N7" s="16">
        <v>0.50353972636253208</v>
      </c>
    </row>
    <row r="8" spans="1:14" x14ac:dyDescent="0.35">
      <c r="A8" s="8">
        <v>27.121588710953496</v>
      </c>
      <c r="B8" s="8">
        <v>-5.5834758301503609</v>
      </c>
      <c r="C8" s="9">
        <f t="shared" si="0"/>
        <v>6.3823820931112678</v>
      </c>
      <c r="E8"/>
      <c r="F8" s="19"/>
      <c r="G8" s="19"/>
      <c r="H8" s="19"/>
      <c r="I8" s="19"/>
      <c r="K8" s="6">
        <v>0.05</v>
      </c>
      <c r="L8" s="28">
        <v>6.2426360808787793</v>
      </c>
      <c r="M8" s="29">
        <v>10.342543363994572</v>
      </c>
      <c r="N8" s="16">
        <v>0.50690008215289994</v>
      </c>
    </row>
    <row r="9" spans="1:14" x14ac:dyDescent="0.35">
      <c r="A9" s="8">
        <v>4.3297583652554863</v>
      </c>
      <c r="B9" s="8">
        <v>32.600432534846263</v>
      </c>
      <c r="C9" s="9">
        <f t="shared" si="0"/>
        <v>22.256992604220525</v>
      </c>
      <c r="E9"/>
      <c r="F9" s="19"/>
      <c r="G9" s="19"/>
      <c r="H9" s="19"/>
      <c r="I9" s="19"/>
      <c r="K9" s="6">
        <v>0.06</v>
      </c>
      <c r="L9" s="28">
        <v>6.2643841619475626</v>
      </c>
      <c r="M9" s="29">
        <v>10.318695062771837</v>
      </c>
      <c r="N9" s="16">
        <v>0.51017925521809426</v>
      </c>
    </row>
    <row r="10" spans="1:14" ht="15.65" customHeight="1" x14ac:dyDescent="0.35">
      <c r="A10" s="8">
        <v>18.20147962023286</v>
      </c>
      <c r="B10" s="8">
        <v>2.5210706500137579</v>
      </c>
      <c r="C10" s="9">
        <f t="shared" si="0"/>
        <v>8.2580887097232996</v>
      </c>
      <c r="F10" s="20"/>
      <c r="G10" s="20"/>
      <c r="H10" s="19"/>
      <c r="I10" s="19"/>
      <c r="K10" s="6">
        <v>7.0000000000000007E-2</v>
      </c>
      <c r="L10" s="28">
        <v>6.2861322430163415</v>
      </c>
      <c r="M10" s="29">
        <v>10.296842456178419</v>
      </c>
      <c r="N10" s="16">
        <v>0.51337410138236128</v>
      </c>
    </row>
    <row r="11" spans="1:14" ht="15.65" customHeight="1" x14ac:dyDescent="0.35">
      <c r="A11" s="8">
        <v>-15.320619718355058</v>
      </c>
      <c r="B11" s="8">
        <v>-11.929363745042885</v>
      </c>
      <c r="C11" s="9">
        <f t="shared" si="0"/>
        <v>-13.17012837056642</v>
      </c>
      <c r="F11" s="20"/>
      <c r="G11" s="20"/>
      <c r="H11" s="19"/>
      <c r="I11" s="19"/>
      <c r="K11" s="6">
        <v>0.08</v>
      </c>
      <c r="L11" s="28">
        <v>6.3078803240851284</v>
      </c>
      <c r="M11" s="29">
        <v>10.276998274922866</v>
      </c>
      <c r="N11" s="16">
        <v>0.51648158169268221</v>
      </c>
    </row>
    <row r="12" spans="1:14" x14ac:dyDescent="0.35">
      <c r="A12" s="8">
        <v>38.634432619301094</v>
      </c>
      <c r="B12" s="8">
        <v>29.044367683091387</v>
      </c>
      <c r="C12" s="9">
        <f t="shared" si="0"/>
        <v>32.553101150267885</v>
      </c>
      <c r="H12" s="19"/>
      <c r="I12" s="19"/>
      <c r="K12" s="6">
        <v>0.09</v>
      </c>
      <c r="L12" s="28">
        <v>6.3296284051539153</v>
      </c>
      <c r="M12" s="29">
        <v>10.259174173621354</v>
      </c>
      <c r="N12" s="16">
        <v>0.51949877397126076</v>
      </c>
    </row>
    <row r="13" spans="1:14" x14ac:dyDescent="0.35">
      <c r="A13" s="8">
        <v>43.306594561263083</v>
      </c>
      <c r="B13" s="8">
        <v>30.718703699575677</v>
      </c>
      <c r="C13" s="9">
        <f t="shared" si="0"/>
        <v>35.32425686750075</v>
      </c>
      <c r="K13" s="6">
        <v>0.1</v>
      </c>
      <c r="L13" s="28">
        <v>6.3513764862226996</v>
      </c>
      <c r="M13" s="29">
        <v>10.243380697462818</v>
      </c>
      <c r="N13" s="16">
        <v>0.52242288403360637</v>
      </c>
    </row>
    <row r="14" spans="1:14" x14ac:dyDescent="0.35">
      <c r="A14" s="8">
        <v>-11.422759225512216</v>
      </c>
      <c r="B14" s="8">
        <v>-17.762816230644624</v>
      </c>
      <c r="C14" s="9">
        <f t="shared" si="0"/>
        <v>-15.443168726098424</v>
      </c>
      <c r="K14" s="6">
        <v>0.11</v>
      </c>
      <c r="L14" s="28">
        <v>6.3731245672914794</v>
      </c>
      <c r="M14" s="29">
        <v>10.229627251671053</v>
      </c>
      <c r="N14" s="16">
        <v>0.52525125648285542</v>
      </c>
    </row>
    <row r="15" spans="1:14" x14ac:dyDescent="0.35">
      <c r="A15" s="8">
        <v>-9.0683615769845858</v>
      </c>
      <c r="B15" s="8">
        <v>-5.090123792350024</v>
      </c>
      <c r="C15" s="9">
        <f t="shared" si="0"/>
        <v>-6.5456484575302616</v>
      </c>
      <c r="K15" s="6">
        <v>0.12</v>
      </c>
      <c r="L15" s="28">
        <v>6.3948726483602671</v>
      </c>
      <c r="M15" s="29">
        <v>10.217922073965473</v>
      </c>
      <c r="N15" s="16">
        <v>0.52798138499274838</v>
      </c>
    </row>
    <row r="16" spans="1:14" x14ac:dyDescent="0.35">
      <c r="A16" s="8">
        <v>12.901432684840449</v>
      </c>
      <c r="B16" s="8">
        <v>1.9632695472206612</v>
      </c>
      <c r="C16" s="9">
        <f t="shared" si="0"/>
        <v>5.9652340099943038</v>
      </c>
      <c r="K16" s="6">
        <v>0.13</v>
      </c>
      <c r="L16" s="28">
        <v>6.4166207294290487</v>
      </c>
      <c r="M16" s="29">
        <v>10.208272210205475</v>
      </c>
      <c r="N16" s="16">
        <v>0.53061092199460669</v>
      </c>
    </row>
    <row r="17" spans="1:14" x14ac:dyDescent="0.35">
      <c r="A17" s="8">
        <v>-17.736857265213978</v>
      </c>
      <c r="B17" s="8">
        <v>-4.044201189668744</v>
      </c>
      <c r="C17" s="9">
        <f t="shared" si="0"/>
        <v>-9.053956696683235</v>
      </c>
      <c r="K17" s="6">
        <v>0.14000000000000001</v>
      </c>
      <c r="L17" s="28">
        <v>6.4383688104978356</v>
      </c>
      <c r="M17" s="29">
        <v>10.200683493384089</v>
      </c>
      <c r="N17" s="16">
        <v>0.53313768768779335</v>
      </c>
    </row>
    <row r="18" spans="1:14" x14ac:dyDescent="0.35">
      <c r="A18" s="8">
        <v>-8.9859737304695955</v>
      </c>
      <c r="B18" s="8">
        <v>-5.1126697345342151</v>
      </c>
      <c r="C18" s="9">
        <f t="shared" si="0"/>
        <v>-6.5298020948973843</v>
      </c>
      <c r="K18" s="6">
        <v>0.15</v>
      </c>
      <c r="L18" s="28">
        <v>6.4601168915666189</v>
      </c>
      <c r="M18" s="29">
        <v>10.195160526115631</v>
      </c>
      <c r="N18" s="16">
        <v>0.53555967829835938</v>
      </c>
    </row>
    <row r="19" spans="1:14" x14ac:dyDescent="0.35">
      <c r="A19" s="8">
        <v>8.638181266985697</v>
      </c>
      <c r="B19" s="8">
        <v>-9.8800424242573683</v>
      </c>
      <c r="C19" s="9">
        <f t="shared" si="0"/>
        <v>-3.1047482369579882</v>
      </c>
      <c r="K19" s="6">
        <v>0.16</v>
      </c>
      <c r="L19" s="28">
        <v>6.481864972635397</v>
      </c>
      <c r="M19" s="29">
        <v>10.191706666739234</v>
      </c>
      <c r="N19" s="16">
        <v>0.53787507351693453</v>
      </c>
    </row>
    <row r="20" spans="1:14" x14ac:dyDescent="0.35">
      <c r="A20" s="8">
        <v>15.943112624444359</v>
      </c>
      <c r="B20" s="8">
        <v>0.48455193588942702</v>
      </c>
      <c r="C20" s="9">
        <f t="shared" si="0"/>
        <v>6.1404019851956599</v>
      </c>
      <c r="K20" s="6">
        <v>0.17</v>
      </c>
      <c r="L20" s="28">
        <v>6.503613053704191</v>
      </c>
      <c r="M20" s="29">
        <v>10.190324019135506</v>
      </c>
      <c r="N20" s="16">
        <v>0.54008224305423891</v>
      </c>
    </row>
    <row r="21" spans="1:14" x14ac:dyDescent="0.35">
      <c r="A21" s="8">
        <v>5.967550599020969</v>
      </c>
      <c r="B21" s="8">
        <v>17.416070023413027</v>
      </c>
      <c r="C21" s="9">
        <f t="shared" si="0"/>
        <v>13.227380632759017</v>
      </c>
      <c r="K21" s="6">
        <v>0.18</v>
      </c>
      <c r="L21" s="28">
        <v>6.5253611347729681</v>
      </c>
      <c r="M21" s="29">
        <v>10.191013426328416</v>
      </c>
      <c r="N21" s="16">
        <v>0.54217975226077453</v>
      </c>
    </row>
    <row r="22" spans="1:14" x14ac:dyDescent="0.35">
      <c r="A22" s="8">
        <v>4.4928945074041264</v>
      </c>
      <c r="B22" s="8">
        <v>4.2720844407970366</v>
      </c>
      <c r="C22" s="9">
        <f t="shared" si="0"/>
        <v>4.3528725976809852</v>
      </c>
      <c r="K22" s="6">
        <v>0.19</v>
      </c>
      <c r="L22" s="28">
        <v>6.5471092158417461</v>
      </c>
      <c r="M22" s="29">
        <v>10.193774467917409</v>
      </c>
      <c r="N22" s="16">
        <v>0.54416636676630559</v>
      </c>
    </row>
    <row r="23" spans="1:14" x14ac:dyDescent="0.35">
      <c r="A23" s="8">
        <v>42.954049069782556</v>
      </c>
      <c r="B23" s="8">
        <v>18.816834532797543</v>
      </c>
      <c r="C23" s="9">
        <f t="shared" si="0"/>
        <v>27.647958515135343</v>
      </c>
      <c r="K23" s="6">
        <v>0.2</v>
      </c>
      <c r="L23" s="28">
        <v>6.5688572969105383</v>
      </c>
      <c r="M23" s="29">
        <v>10.198605461358234</v>
      </c>
      <c r="N23" s="16">
        <v>0.54604105610424181</v>
      </c>
    </row>
    <row r="24" spans="1:14" x14ac:dyDescent="0.35">
      <c r="A24" s="8">
        <v>3.1445279811038711</v>
      </c>
      <c r="B24" s="8">
        <v>4.0522298294274046</v>
      </c>
      <c r="C24" s="9">
        <f t="shared" si="0"/>
        <v>3.7201274010689254</v>
      </c>
      <c r="K24" s="6">
        <v>0.21</v>
      </c>
      <c r="L24" s="28">
        <v>6.5906053779793181</v>
      </c>
      <c r="M24" s="29">
        <v>10.205503467083336</v>
      </c>
      <c r="N24" s="16">
        <v>0.54780299629618134</v>
      </c>
    </row>
    <row r="25" spans="1:14" x14ac:dyDescent="0.35">
      <c r="A25" s="8">
        <v>-5.8255892149716235</v>
      </c>
      <c r="B25" s="8">
        <v>4.911989874583309</v>
      </c>
      <c r="C25" s="9">
        <f t="shared" si="0"/>
        <v>0.98341344068208159</v>
      </c>
      <c r="K25" s="6">
        <v>0.22</v>
      </c>
      <c r="L25" s="28">
        <v>6.6123534590481059</v>
      </c>
      <c r="M25" s="29">
        <v>10.214464297425318</v>
      </c>
      <c r="N25" s="16">
        <v>0.54945157138223777</v>
      </c>
    </row>
    <row r="26" spans="1:14" x14ac:dyDescent="0.35">
      <c r="A26" s="8">
        <v>-16.224047625073723</v>
      </c>
      <c r="B26" s="8">
        <v>1.8576548512602269</v>
      </c>
      <c r="C26" s="9">
        <f t="shared" si="0"/>
        <v>-4.7579285722359721</v>
      </c>
      <c r="K26" s="6">
        <v>0.23</v>
      </c>
      <c r="L26" s="28">
        <v>6.6341015401168901</v>
      </c>
      <c r="M26" s="29">
        <v>10.225482529280743</v>
      </c>
      <c r="N26" s="16">
        <v>0.55098637389322214</v>
      </c>
    </row>
    <row r="27" spans="1:14" x14ac:dyDescent="0.35">
      <c r="A27" s="8">
        <v>-9.4405765338100771</v>
      </c>
      <c r="B27" s="8">
        <v>15.905153148598119</v>
      </c>
      <c r="C27" s="9">
        <f t="shared" si="0"/>
        <v>6.6318676621890118</v>
      </c>
      <c r="K27" s="6">
        <v>0.24</v>
      </c>
      <c r="L27" s="28">
        <v>6.6558496211856664</v>
      </c>
      <c r="M27" s="29">
        <v>10.238551520425037</v>
      </c>
      <c r="N27" s="16">
        <v>0.5524072042713003</v>
      </c>
    </row>
    <row r="28" spans="1:14" x14ac:dyDescent="0.35">
      <c r="A28" s="8">
        <v>0.79825808639448503</v>
      </c>
      <c r="B28" s="8">
        <v>4.2320710755748179</v>
      </c>
      <c r="C28" s="9">
        <f t="shared" si="0"/>
        <v>2.9757360418389278</v>
      </c>
      <c r="K28" s="6">
        <v>0.25</v>
      </c>
      <c r="L28" s="28">
        <v>6.6775977022544488</v>
      </c>
      <c r="M28" s="29">
        <v>10.253663429364771</v>
      </c>
      <c r="N28" s="16">
        <v>0.55371406925594635</v>
      </c>
    </row>
    <row r="29" spans="1:14" x14ac:dyDescent="0.35">
      <c r="A29" s="8">
        <v>19.855395169527565</v>
      </c>
      <c r="B29" s="8">
        <v>9.6089488822232987</v>
      </c>
      <c r="C29" s="9">
        <f t="shared" si="0"/>
        <v>13.357833717418192</v>
      </c>
      <c r="K29" s="6">
        <v>0.26</v>
      </c>
      <c r="L29" s="28">
        <v>6.699345783323241</v>
      </c>
      <c r="M29" s="29">
        <v>10.270809238590202</v>
      </c>
      <c r="N29" s="16">
        <v>0.55490717926190869</v>
      </c>
    </row>
    <row r="30" spans="1:14" x14ac:dyDescent="0.35">
      <c r="A30" s="8">
        <v>-1.8512538939116556</v>
      </c>
      <c r="B30" s="8">
        <v>5.251269637230731</v>
      </c>
      <c r="C30" s="9">
        <f t="shared" si="0"/>
        <v>2.6526572002040654</v>
      </c>
      <c r="K30" s="6">
        <v>0.27</v>
      </c>
      <c r="L30" s="28">
        <v>6.7210938643920191</v>
      </c>
      <c r="M30" s="29">
        <v>10.289978781068982</v>
      </c>
      <c r="N30" s="16">
        <v>0.55598694478529131</v>
      </c>
    </row>
    <row r="31" spans="1:14" x14ac:dyDescent="0.35">
      <c r="A31" s="8">
        <v>-21.531853925043912</v>
      </c>
      <c r="B31" s="8">
        <v>5.3857870356945483</v>
      </c>
      <c r="C31" s="9">
        <f t="shared" si="0"/>
        <v>-4.4626163197171707</v>
      </c>
      <c r="K31" s="6">
        <v>0.28000000000000003</v>
      </c>
      <c r="L31" s="28">
        <v>6.7428419454608068</v>
      </c>
      <c r="M31" s="29">
        <v>10.311160769802424</v>
      </c>
      <c r="N31" s="16">
        <v>0.55695397188253204</v>
      </c>
    </row>
    <row r="32" spans="1:14" x14ac:dyDescent="0.35">
      <c r="A32" s="8">
        <v>-1.765650462418737</v>
      </c>
      <c r="B32" s="8">
        <v>14.843981984265191</v>
      </c>
      <c r="C32" s="9">
        <f t="shared" si="0"/>
        <v>8.7669873412847927</v>
      </c>
      <c r="K32" s="6">
        <v>0.28999999999999998</v>
      </c>
      <c r="L32" s="28">
        <v>6.7645900265295928</v>
      </c>
      <c r="M32" s="29">
        <v>10.334342830247975</v>
      </c>
      <c r="N32" s="16">
        <v>0.5578090567749503</v>
      </c>
    </row>
    <row r="33" spans="1:14" x14ac:dyDescent="0.35">
      <c r="A33" s="8">
        <v>-16.633790890897732</v>
      </c>
      <c r="B33" s="8">
        <v>5.799890067435479</v>
      </c>
      <c r="C33" s="9">
        <f t="shared" si="0"/>
        <v>-2.4079591696703129</v>
      </c>
      <c r="K33" s="6">
        <v>0.3</v>
      </c>
      <c r="L33" s="28">
        <v>6.7863381075983753</v>
      </c>
      <c r="M33" s="29">
        <v>10.359511535396145</v>
      </c>
      <c r="N33" s="16">
        <v>0.55855317963860995</v>
      </c>
    </row>
    <row r="34" spans="1:14" x14ac:dyDescent="0.35">
      <c r="A34" s="8">
        <v>41.635749545962668</v>
      </c>
      <c r="B34" s="8">
        <v>13.86994177333192</v>
      </c>
      <c r="C34" s="9">
        <f t="shared" si="0"/>
        <v>24.028665371456306</v>
      </c>
      <c r="K34" s="6">
        <v>0.31</v>
      </c>
      <c r="L34" s="28">
        <v>6.8080861886671542</v>
      </c>
      <c r="M34" s="29">
        <v>10.386652443277221</v>
      </c>
      <c r="N34" s="16">
        <v>0.55918749764525411</v>
      </c>
    </row>
    <row r="35" spans="1:14" x14ac:dyDescent="0.35">
      <c r="A35" s="8">
        <v>14.967570898930932</v>
      </c>
      <c r="B35" s="8">
        <v>25.908342840986236</v>
      </c>
      <c r="C35" s="9">
        <f t="shared" si="0"/>
        <v>21.905423890470004</v>
      </c>
      <c r="K35" s="6">
        <v>0.32</v>
      </c>
      <c r="L35" s="28">
        <v>6.8298342697359411</v>
      </c>
      <c r="M35" s="29">
        <v>10.415750136662744</v>
      </c>
      <c r="N35" s="16">
        <v>0.55971333732510675</v>
      </c>
    </row>
    <row r="36" spans="1:14" x14ac:dyDescent="0.35">
      <c r="A36" s="8">
        <v>-15.09613558244661</v>
      </c>
      <c r="B36" s="8">
        <v>-6.6820034878325849</v>
      </c>
      <c r="C36" s="9">
        <f t="shared" si="0"/>
        <v>-9.7604963941887029</v>
      </c>
      <c r="K36" s="6">
        <v>0.33</v>
      </c>
      <c r="L36" s="28">
        <v>6.8515823508047262</v>
      </c>
      <c r="M36" s="29">
        <v>10.446788264718789</v>
      </c>
      <c r="N36" s="16">
        <v>0.56013218632628636</v>
      </c>
    </row>
    <row r="37" spans="1:14" x14ac:dyDescent="0.35">
      <c r="A37" s="8">
        <v>-3.4983423922572747</v>
      </c>
      <c r="B37" s="8">
        <v>-0.47321060125328085</v>
      </c>
      <c r="C37" s="9">
        <f t="shared" si="0"/>
        <v>-1.5800207457433373</v>
      </c>
      <c r="K37" s="6">
        <v>0.34</v>
      </c>
      <c r="L37" s="28">
        <v>6.8733304318735042</v>
      </c>
      <c r="M37" s="29">
        <v>10.479749586362495</v>
      </c>
      <c r="N37" s="16">
        <v>0.56044568464847533</v>
      </c>
    </row>
    <row r="38" spans="1:14" x14ac:dyDescent="0.35">
      <c r="A38" s="8">
        <v>-4.3868014491136105</v>
      </c>
      <c r="B38" s="8">
        <v>-3.8621332403019117</v>
      </c>
      <c r="C38" s="9">
        <f t="shared" si="0"/>
        <v>-4.054094495587087</v>
      </c>
      <c r="K38" s="6">
        <v>0.35</v>
      </c>
      <c r="L38" s="28">
        <v>6.8950785129422911</v>
      </c>
      <c r="M38" s="29">
        <v>10.51461601507094</v>
      </c>
      <c r="N38" s="16">
        <v>0.56065561543024334</v>
      </c>
    </row>
    <row r="39" spans="1:14" x14ac:dyDescent="0.35">
      <c r="A39" s="8">
        <v>-19.648172837261189</v>
      </c>
      <c r="B39" s="8">
        <v>5.2230370839493689</v>
      </c>
      <c r="C39" s="9">
        <f t="shared" si="0"/>
        <v>-3.8766350455090199</v>
      </c>
      <c r="K39" s="6">
        <v>0.36</v>
      </c>
      <c r="L39" s="28">
        <v>6.9168265940110816</v>
      </c>
      <c r="M39" s="29">
        <v>10.55136866489036</v>
      </c>
      <c r="N39" s="16">
        <v>0.56076389537020921</v>
      </c>
    </row>
    <row r="40" spans="1:14" x14ac:dyDescent="0.35">
      <c r="A40" s="8">
        <v>-5.3655998706329342</v>
      </c>
      <c r="B40" s="8">
        <v>3.5048943905199206</v>
      </c>
      <c r="C40" s="9">
        <f t="shared" si="0"/>
        <v>0.259431477439237</v>
      </c>
      <c r="K40" s="6">
        <v>0.37</v>
      </c>
      <c r="L40" s="28">
        <v>6.9385746750798587</v>
      </c>
      <c r="M40" s="29">
        <v>10.589987897396162</v>
      </c>
      <c r="N40" s="16">
        <v>0.56077256486195037</v>
      </c>
    </row>
    <row r="41" spans="1:14" x14ac:dyDescent="0.35">
      <c r="A41" s="8">
        <v>11.207632015224695</v>
      </c>
      <c r="B41" s="8">
        <v>4.7649320800087231</v>
      </c>
      <c r="C41" s="9">
        <f t="shared" si="0"/>
        <v>7.1221337290105504</v>
      </c>
      <c r="K41" s="6">
        <v>0.38</v>
      </c>
      <c r="L41" s="28">
        <v>6.9603227561486403</v>
      </c>
      <c r="M41" s="29">
        <v>10.630453369357614</v>
      </c>
      <c r="N41" s="16">
        <v>0.56068377792139412</v>
      </c>
    </row>
    <row r="42" spans="1:14" x14ac:dyDescent="0.35">
      <c r="A42" s="8">
        <v>-32.669341862741788</v>
      </c>
      <c r="B42" s="8">
        <v>-6.1014763474510509</v>
      </c>
      <c r="C42" s="9">
        <f t="shared" si="0"/>
        <v>-15.821906762157735</v>
      </c>
      <c r="K42" s="6">
        <v>0.39</v>
      </c>
      <c r="L42" s="28">
        <v>6.9820708372174263</v>
      </c>
      <c r="M42" s="29">
        <v>10.672744080867806</v>
      </c>
      <c r="N42" s="16">
        <v>0.56049979198330224</v>
      </c>
    </row>
    <row r="43" spans="1:14" x14ac:dyDescent="0.35">
      <c r="A43" s="8">
        <v>22.641804959428391</v>
      </c>
      <c r="B43" s="8">
        <v>9.1919490689419412</v>
      </c>
      <c r="C43" s="9">
        <f t="shared" si="0"/>
        <v>14.112870856808634</v>
      </c>
      <c r="K43" s="6">
        <v>0.4</v>
      </c>
      <c r="L43" s="28">
        <v>7.0038189182862114</v>
      </c>
      <c r="M43" s="29">
        <v>10.716838423706577</v>
      </c>
      <c r="N43" s="16">
        <v>0.56022295764068286</v>
      </c>
    </row>
    <row r="44" spans="1:14" x14ac:dyDescent="0.35">
      <c r="A44" s="8">
        <v>42.905438312624625</v>
      </c>
      <c r="B44" s="8">
        <v>4.1654662719737718</v>
      </c>
      <c r="C44" s="9">
        <f t="shared" si="0"/>
        <v>18.339326128050669</v>
      </c>
      <c r="K44" s="6">
        <v>0.41</v>
      </c>
      <c r="L44" s="28">
        <v>7.0255669993549983</v>
      </c>
      <c r="M44" s="29">
        <v>10.762714229714135</v>
      </c>
      <c r="N44" s="16">
        <v>0.55985570839736409</v>
      </c>
    </row>
    <row r="45" spans="1:14" x14ac:dyDescent="0.35">
      <c r="A45" s="8">
        <v>9.3751663334518405</v>
      </c>
      <c r="B45" s="8">
        <v>2.4272573128457093</v>
      </c>
      <c r="C45" s="9">
        <f t="shared" si="0"/>
        <v>4.9693006743511736</v>
      </c>
      <c r="K45" s="6">
        <v>0.42</v>
      </c>
      <c r="L45" s="28">
        <v>7.0473150804237745</v>
      </c>
      <c r="M45" s="29">
        <v>10.810348818963773</v>
      </c>
      <c r="N45" s="16">
        <v>0.55940055049985338</v>
      </c>
    </row>
    <row r="46" spans="1:14" x14ac:dyDescent="0.35">
      <c r="A46" s="8">
        <v>1.6612944530704068</v>
      </c>
      <c r="B46" s="8">
        <v>17.12492393227479</v>
      </c>
      <c r="C46" s="9">
        <f t="shared" si="0"/>
        <v>11.467219355860749</v>
      </c>
      <c r="K46" s="6">
        <v>0.43</v>
      </c>
      <c r="L46" s="28">
        <v>7.0690631614925614</v>
      </c>
      <c r="M46" s="29">
        <v>10.859719047534064</v>
      </c>
      <c r="N46" s="16">
        <v>0.55886005290999441</v>
      </c>
    </row>
    <row r="47" spans="1:14" x14ac:dyDescent="0.35">
      <c r="A47" s="8">
        <v>-4.0977744002935879</v>
      </c>
      <c r="B47" s="8">
        <v>-3.4852093790935843</v>
      </c>
      <c r="C47" s="9">
        <f t="shared" si="0"/>
        <v>-3.709329591522053</v>
      </c>
      <c r="K47" s="6">
        <v>0.44</v>
      </c>
      <c r="L47" s="28">
        <v>7.0908112425613474</v>
      </c>
      <c r="M47" s="29">
        <v>10.910801354694332</v>
      </c>
      <c r="N47" s="16">
        <v>0.5582368374748935</v>
      </c>
    </row>
    <row r="48" spans="1:14" x14ac:dyDescent="0.35">
      <c r="A48" s="8">
        <v>4.5771003492312632</v>
      </c>
      <c r="B48" s="8">
        <v>-3.9814420164883941</v>
      </c>
      <c r="C48" s="9">
        <f t="shared" si="0"/>
        <v>-0.85011347715139962</v>
      </c>
      <c r="K48" s="6">
        <v>0.45</v>
      </c>
      <c r="L48" s="28">
        <v>7.1125593236301263</v>
      </c>
      <c r="M48" s="29">
        <v>10.963571809330569</v>
      </c>
      <c r="N48" s="16">
        <v>0.5575335693453497</v>
      </c>
    </row>
    <row r="49" spans="1:14" x14ac:dyDescent="0.35">
      <c r="A49" s="8">
        <v>31.953215991250797</v>
      </c>
      <c r="B49" s="8">
        <v>-2.6646317055355091</v>
      </c>
      <c r="C49" s="9">
        <f t="shared" si="0"/>
        <v>10.001059463740308</v>
      </c>
      <c r="K49" s="6">
        <v>0.46</v>
      </c>
      <c r="L49" s="28">
        <v>7.134307404698915</v>
      </c>
      <c r="M49" s="29">
        <v>11.018006155453843</v>
      </c>
      <c r="N49" s="16">
        <v>0.55675294768849548</v>
      </c>
    </row>
    <row r="50" spans="1:14" x14ac:dyDescent="0.35">
      <c r="A50" s="8">
        <v>-3.6984298889110452</v>
      </c>
      <c r="B50" s="8">
        <v>4.2180900180245207</v>
      </c>
      <c r="C50" s="9">
        <f t="shared" si="0"/>
        <v>1.3216593342076801</v>
      </c>
      <c r="K50" s="6">
        <v>0.47</v>
      </c>
      <c r="L50" s="28">
        <v>7.1560554857676939</v>
      </c>
      <c r="M50" s="29">
        <v>11.07407985664779</v>
      </c>
      <c r="N50" s="16">
        <v>0.55589769673479483</v>
      </c>
    </row>
    <row r="51" spans="1:14" x14ac:dyDescent="0.35">
      <c r="A51" s="8">
        <v>12.736969913019838</v>
      </c>
      <c r="B51" s="8">
        <v>21.318794472422834</v>
      </c>
      <c r="C51" s="9">
        <f t="shared" si="0"/>
        <v>18.178947637046196</v>
      </c>
      <c r="K51" s="6">
        <v>0.48</v>
      </c>
      <c r="L51" s="28">
        <v>7.1778035668364808</v>
      </c>
      <c r="M51" s="29">
        <v>11.131768139326685</v>
      </c>
      <c r="N51" s="16">
        <v>0.55497055719399413</v>
      </c>
    </row>
    <row r="52" spans="1:14" x14ac:dyDescent="0.35">
      <c r="A52" s="8">
        <v>3.1276754569109295</v>
      </c>
      <c r="B52" s="8">
        <v>-4.7602402751442092</v>
      </c>
      <c r="C52" s="9">
        <f t="shared" si="0"/>
        <v>-1.8742750497337002</v>
      </c>
      <c r="K52" s="6">
        <v>0.49</v>
      </c>
      <c r="L52" s="28">
        <v>7.1995516479052624</v>
      </c>
      <c r="M52" s="29">
        <v>11.191046034690753</v>
      </c>
      <c r="N52" s="16">
        <v>0.55397427806904531</v>
      </c>
    </row>
    <row r="53" spans="1:14" x14ac:dyDescent="0.35">
      <c r="A53" s="8">
        <v>2.5412309887309883</v>
      </c>
      <c r="B53" s="8">
        <v>-0.97265339627660019</v>
      </c>
      <c r="C53" s="9">
        <f t="shared" si="0"/>
        <v>0.31297749605580838</v>
      </c>
      <c r="K53" s="6">
        <v>0.5</v>
      </c>
      <c r="L53" s="28">
        <v>7.2212997289740439</v>
      </c>
      <c r="M53" s="29">
        <v>11.25188841928008</v>
      </c>
      <c r="N53" s="16">
        <v>0.55291160889170066</v>
      </c>
    </row>
    <row r="54" spans="1:14" x14ac:dyDescent="0.35">
      <c r="A54" s="8">
        <v>19.076016272334876</v>
      </c>
      <c r="B54" s="8">
        <v>15.311095395221463</v>
      </c>
      <c r="C54" s="9">
        <f t="shared" si="0"/>
        <v>16.688573438453606</v>
      </c>
      <c r="K54" s="6">
        <v>0.51</v>
      </c>
      <c r="L54" s="28">
        <v>7.243047810042829</v>
      </c>
      <c r="M54" s="29">
        <v>11.314270054042964</v>
      </c>
      <c r="N54" s="16">
        <v>0.55178529239824714</v>
      </c>
    </row>
    <row r="55" spans="1:14" x14ac:dyDescent="0.35">
      <c r="A55" s="8">
        <v>28.571209610166516</v>
      </c>
      <c r="B55" s="8">
        <v>13.075634174253569</v>
      </c>
      <c r="C55" s="9">
        <f t="shared" si="0"/>
        <v>18.745026872509317</v>
      </c>
      <c r="K55" s="6">
        <v>0.52</v>
      </c>
      <c r="L55" s="28">
        <v>7.2647958911116177</v>
      </c>
      <c r="M55" s="29">
        <v>11.378165621848725</v>
      </c>
      <c r="N55" s="16">
        <v>0.55059805765893866</v>
      </c>
    </row>
    <row r="56" spans="1:14" x14ac:dyDescent="0.35">
      <c r="A56" s="8">
        <v>13.07128608977956</v>
      </c>
      <c r="B56" s="8">
        <v>12.998276917849886</v>
      </c>
      <c r="C56" s="9">
        <f t="shared" si="0"/>
        <v>13.024988908505263</v>
      </c>
      <c r="K56" s="6">
        <v>0.53</v>
      </c>
      <c r="L56" s="28">
        <v>7.2865439721804002</v>
      </c>
      <c r="M56" s="29">
        <v>11.443549763388546</v>
      </c>
      <c r="N56" s="16">
        <v>0.54935261367001675</v>
      </c>
    </row>
    <row r="57" spans="1:14" x14ac:dyDescent="0.35">
      <c r="A57" s="8">
        <v>8.4538325320021013</v>
      </c>
      <c r="B57" s="8">
        <v>0.78725125280943242</v>
      </c>
      <c r="C57" s="9">
        <f t="shared" si="0"/>
        <v>3.5922364632394914</v>
      </c>
      <c r="K57" s="6">
        <v>0.54</v>
      </c>
      <c r="L57" s="28">
        <v>7.3082920532491835</v>
      </c>
      <c r="M57" s="29">
        <v>11.510397111420707</v>
      </c>
      <c r="N57" s="16">
        <v>0.54805164341289725</v>
      </c>
    </row>
    <row r="58" spans="1:14" x14ac:dyDescent="0.35">
      <c r="A58" s="8">
        <v>11.944650516290203</v>
      </c>
      <c r="B58" s="8">
        <v>5.0646591569501007</v>
      </c>
      <c r="C58" s="9">
        <f t="shared" si="0"/>
        <v>7.5818533675184643</v>
      </c>
      <c r="K58" s="6">
        <v>0.55000000000000004</v>
      </c>
      <c r="L58" s="28">
        <v>7.3300401343179677</v>
      </c>
      <c r="M58" s="29">
        <v>11.578682323329252</v>
      </c>
      <c r="N58" s="16">
        <v>0.54669779838107457</v>
      </c>
    </row>
    <row r="59" spans="1:14" x14ac:dyDescent="0.35">
      <c r="A59" s="8">
        <v>-8.3038169756699389</v>
      </c>
      <c r="B59" s="8">
        <v>4.8937309604895658</v>
      </c>
      <c r="C59" s="9">
        <f t="shared" si="0"/>
        <v>6.5121515580967682E-2</v>
      </c>
      <c r="K59" s="6">
        <v>0.56000000000000005</v>
      </c>
      <c r="L59" s="28">
        <v>7.3517882153867564</v>
      </c>
      <c r="M59" s="29">
        <v>11.648380111975866</v>
      </c>
      <c r="N59" s="16">
        <v>0.54529369357172608</v>
      </c>
    </row>
    <row r="60" spans="1:14" x14ac:dyDescent="0.35">
      <c r="A60" s="8">
        <v>28.521982477934969</v>
      </c>
      <c r="B60" s="8">
        <v>11.57538093584828</v>
      </c>
      <c r="C60" s="9">
        <f t="shared" si="0"/>
        <v>17.77566303833061</v>
      </c>
      <c r="K60" s="6">
        <v>0.56999999999999995</v>
      </c>
      <c r="L60" s="28">
        <v>7.3735362964555327</v>
      </c>
      <c r="M60" s="29">
        <v>11.719465274836361</v>
      </c>
      <c r="N60" s="16">
        <v>0.54384190293567181</v>
      </c>
    </row>
    <row r="61" spans="1:14" x14ac:dyDescent="0.35">
      <c r="A61" s="8">
        <v>23.694430856143118</v>
      </c>
      <c r="B61" s="8">
        <v>15.28907745083311</v>
      </c>
      <c r="C61" s="9">
        <f t="shared" si="0"/>
        <v>18.364358483112895</v>
      </c>
      <c r="K61" s="6">
        <v>0.57999999999999996</v>
      </c>
      <c r="L61" s="28">
        <v>7.395284377524324</v>
      </c>
      <c r="M61" s="29">
        <v>11.791912721422172</v>
      </c>
      <c r="N61" s="16">
        <v>0.54234495527651905</v>
      </c>
    </row>
    <row r="62" spans="1:14" x14ac:dyDescent="0.35">
      <c r="A62" s="8">
        <v>-39.616214958041468</v>
      </c>
      <c r="B62" s="8">
        <v>-11.273418747095263</v>
      </c>
      <c r="C62" s="9">
        <f t="shared" si="0"/>
        <v>-21.643246092395266</v>
      </c>
      <c r="K62" s="6">
        <v>0.59</v>
      </c>
      <c r="L62" s="28">
        <v>7.4170324585931047</v>
      </c>
      <c r="M62" s="29">
        <v>11.86569749899701</v>
      </c>
      <c r="N62" s="16">
        <v>0.54080533058722646</v>
      </c>
    </row>
    <row r="63" spans="1:14" x14ac:dyDescent="0.35">
      <c r="A63" s="8">
        <v>11.582305683236772</v>
      </c>
      <c r="B63" s="8">
        <v>-13.778789437451056</v>
      </c>
      <c r="C63" s="9">
        <f t="shared" si="0"/>
        <v>-4.4998821718477302</v>
      </c>
      <c r="K63" s="6">
        <v>0.6</v>
      </c>
      <c r="L63" s="28">
        <v>7.4387805396618853</v>
      </c>
      <c r="M63" s="29">
        <v>11.94079481660633</v>
      </c>
      <c r="N63" s="16">
        <v>0.53922545681023926</v>
      </c>
    </row>
    <row r="64" spans="1:14" x14ac:dyDescent="0.35">
      <c r="A64" s="8">
        <v>2.7516449473570752</v>
      </c>
      <c r="B64" s="8">
        <v>3.0196855322186034</v>
      </c>
      <c r="C64" s="9">
        <f t="shared" si="0"/>
        <v>2.921617064807692</v>
      </c>
      <c r="K64" s="6">
        <v>0.61</v>
      </c>
      <c r="L64" s="28">
        <v>7.4605286207306687</v>
      </c>
      <c r="M64" s="29">
        <v>12.017180067445256</v>
      </c>
      <c r="N64" s="16">
        <v>0.53760770700543548</v>
      </c>
    </row>
    <row r="65" spans="1:14" x14ac:dyDescent="0.35">
      <c r="A65" s="8">
        <v>-10.455460320341675</v>
      </c>
      <c r="B65" s="8">
        <v>-12.603341081033125</v>
      </c>
      <c r="C65" s="9">
        <f t="shared" si="0"/>
        <v>-11.817492272013361</v>
      </c>
      <c r="K65" s="6">
        <v>0.62</v>
      </c>
      <c r="L65" s="28">
        <v>7.4822767017994503</v>
      </c>
      <c r="M65" s="29">
        <v>12.094828849596722</v>
      </c>
      <c r="N65" s="16">
        <v>0.53595439690869118</v>
      </c>
    </row>
    <row r="66" spans="1:14" x14ac:dyDescent="0.35">
      <c r="A66" s="8">
        <v>15.022792882966032</v>
      </c>
      <c r="B66" s="8">
        <v>5.6336479120906908</v>
      </c>
      <c r="C66" s="9">
        <f t="shared" si="0"/>
        <v>9.0688704477686102</v>
      </c>
      <c r="K66" s="6">
        <v>0.63</v>
      </c>
      <c r="L66" s="28">
        <v>7.5040247828682389</v>
      </c>
      <c r="M66" s="29">
        <v>12.173716985177272</v>
      </c>
      <c r="N66" s="16">
        <v>0.53426778286266596</v>
      </c>
    </row>
    <row r="67" spans="1:14" x14ac:dyDescent="0.35">
      <c r="A67" s="8">
        <v>8.7788309789279886</v>
      </c>
      <c r="B67" s="8">
        <v>-6.5323883097612754</v>
      </c>
      <c r="C67" s="9">
        <f t="shared" ref="C67:C130" si="1">SUMPRODUCT(A67:B67,$F$5:$G$5)</f>
        <v>-0.93044631053062776</v>
      </c>
      <c r="K67" s="6">
        <v>0.64</v>
      </c>
      <c r="L67" s="28">
        <v>7.5257728639370178</v>
      </c>
      <c r="M67" s="29">
        <v>12.253820537933166</v>
      </c>
      <c r="N67" s="16">
        <v>0.53255006010049744</v>
      </c>
    </row>
    <row r="68" spans="1:14" x14ac:dyDescent="0.35">
      <c r="A68" s="8">
        <v>17.562548197133459</v>
      </c>
      <c r="B68" s="8">
        <v>3.2282018346498305</v>
      </c>
      <c r="C68" s="9">
        <f t="shared" si="1"/>
        <v>8.4727336649029326</v>
      </c>
      <c r="K68" s="6">
        <v>0.65</v>
      </c>
      <c r="L68" s="28">
        <v>7.547520945005803</v>
      </c>
      <c r="M68" s="29">
        <v>12.33511582933351</v>
      </c>
      <c r="N68" s="16">
        <v>0.53080336136248329</v>
      </c>
    </row>
    <row r="69" spans="1:14" x14ac:dyDescent="0.35">
      <c r="A69" s="8">
        <v>8.5502548243557968</v>
      </c>
      <c r="B69" s="8">
        <v>-4.7557873225567633</v>
      </c>
      <c r="C69" s="9">
        <f t="shared" si="1"/>
        <v>0.11251708487777146</v>
      </c>
      <c r="K69" s="6">
        <v>0.66</v>
      </c>
      <c r="L69" s="28">
        <v>7.5692690260745854</v>
      </c>
      <c r="M69" s="29">
        <v>12.41757945321063</v>
      </c>
      <c r="N69" s="16">
        <v>0.52902975582540501</v>
      </c>
    </row>
    <row r="70" spans="1:14" x14ac:dyDescent="0.35">
      <c r="A70" s="8">
        <v>17.762118002458848</v>
      </c>
      <c r="B70" s="8">
        <v>5.4901843112790658</v>
      </c>
      <c r="C70" s="9">
        <f t="shared" si="1"/>
        <v>9.9801376886157946</v>
      </c>
      <c r="K70" s="6">
        <v>0.67</v>
      </c>
      <c r="L70" s="28">
        <v>7.591017107143375</v>
      </c>
      <c r="M70" s="29">
        <v>12.501188289000613</v>
      </c>
      <c r="N70" s="16">
        <v>0.52723124832401702</v>
      </c>
    </row>
    <row r="71" spans="1:14" x14ac:dyDescent="0.35">
      <c r="A71" s="8">
        <v>15.193218373696265</v>
      </c>
      <c r="B71" s="8">
        <v>26.164349616901376</v>
      </c>
      <c r="C71" s="9">
        <f t="shared" si="1"/>
        <v>22.150323056927547</v>
      </c>
      <c r="K71" s="6">
        <v>0.68</v>
      </c>
      <c r="L71" s="28">
        <v>7.6127651882121539</v>
      </c>
      <c r="M71" s="29">
        <v>12.585919513639674</v>
      </c>
      <c r="N71" s="16">
        <v>0.5254097788441866</v>
      </c>
    </row>
    <row r="72" spans="1:14" x14ac:dyDescent="0.35">
      <c r="A72" s="8">
        <v>11.383737528354908</v>
      </c>
      <c r="B72" s="8">
        <v>8.2203508654666173</v>
      </c>
      <c r="C72" s="9">
        <f t="shared" si="1"/>
        <v>9.3777445564923205</v>
      </c>
      <c r="K72" s="6">
        <v>0.69</v>
      </c>
      <c r="L72" s="28">
        <v>7.634513269280939</v>
      </c>
      <c r="M72" s="29">
        <v>12.671750612173057</v>
      </c>
      <c r="N72" s="16">
        <v>0.52356722226742103</v>
      </c>
    </row>
    <row r="73" spans="1:14" x14ac:dyDescent="0.35">
      <c r="A73" s="8">
        <v>-2.4999874233422918</v>
      </c>
      <c r="B73" s="8">
        <v>-2.8254145245623867</v>
      </c>
      <c r="C73" s="9">
        <f t="shared" si="1"/>
        <v>-2.7063499542208569</v>
      </c>
      <c r="K73" s="6">
        <v>0.7</v>
      </c>
      <c r="L73" s="28">
        <v>7.656261350349725</v>
      </c>
      <c r="M73" s="29">
        <v>12.758659387134813</v>
      </c>
      <c r="N73" s="16">
        <v>0.52170538834680091</v>
      </c>
    </row>
    <row r="74" spans="1:14" x14ac:dyDescent="0.35">
      <c r="A74" s="8">
        <v>19.717120132385944</v>
      </c>
      <c r="B74" s="8">
        <v>-7.4763772772872343</v>
      </c>
      <c r="C74" s="9">
        <f t="shared" si="1"/>
        <v>2.4729541490970943</v>
      </c>
      <c r="K74" s="6">
        <v>0.71</v>
      </c>
      <c r="L74" s="28">
        <v>7.6780094314185074</v>
      </c>
      <c r="M74" s="29">
        <v>12.84662396675723</v>
      </c>
      <c r="N74" s="16">
        <v>0.51982602189485461</v>
      </c>
    </row>
    <row r="75" spans="1:14" x14ac:dyDescent="0.35">
      <c r="A75" s="8">
        <v>4.9901660317913468</v>
      </c>
      <c r="B75" s="8">
        <v>7.1046914964775478</v>
      </c>
      <c r="C75" s="9">
        <f t="shared" si="1"/>
        <v>6.3310464466794025</v>
      </c>
      <c r="K75" s="6">
        <v>0.72</v>
      </c>
      <c r="L75" s="28">
        <v>7.6997575124872917</v>
      </c>
      <c r="M75" s="29">
        <v>12.935622812069074</v>
      </c>
      <c r="N75" s="16">
        <v>0.51793080316444806</v>
      </c>
    </row>
    <row r="76" spans="1:14" x14ac:dyDescent="0.35">
      <c r="A76" s="8">
        <v>35.300605999304459</v>
      </c>
      <c r="B76" s="8">
        <v>17.516480333149595</v>
      </c>
      <c r="C76" s="9">
        <f t="shared" si="1"/>
        <v>24.023188819940344</v>
      </c>
      <c r="K76" s="6">
        <v>0.73</v>
      </c>
      <c r="L76" s="28">
        <v>7.7215055935560732</v>
      </c>
      <c r="M76" s="29">
        <v>13.025634722941716</v>
      </c>
      <c r="N76" s="16">
        <v>0.51602134840443958</v>
      </c>
    </row>
    <row r="77" spans="1:14" x14ac:dyDescent="0.35">
      <c r="A77" s="8">
        <v>8.3711084328390104</v>
      </c>
      <c r="B77" s="8">
        <v>7.4891375549467316</v>
      </c>
      <c r="C77" s="9">
        <f t="shared" si="1"/>
        <v>7.811825749126859</v>
      </c>
      <c r="K77" s="6">
        <v>0.74</v>
      </c>
      <c r="L77" s="28">
        <v>7.743253674624853</v>
      </c>
      <c r="M77" s="29">
        <v>13.116638843141596</v>
      </c>
      <c r="N77" s="16">
        <v>0.51409921057258912</v>
      </c>
    </row>
    <row r="78" spans="1:14" x14ac:dyDescent="0.35">
      <c r="A78" s="8">
        <v>19.25632128835413</v>
      </c>
      <c r="B78" s="8">
        <v>-9.6942748691626122</v>
      </c>
      <c r="C78" s="9">
        <f t="shared" si="1"/>
        <v>0.89792928255795434</v>
      </c>
      <c r="K78" s="6">
        <v>0.75</v>
      </c>
      <c r="L78" s="28">
        <v>7.7650017556936408</v>
      </c>
      <c r="M78" s="29">
        <v>13.208614664446811</v>
      </c>
      <c r="N78" s="16">
        <v>0.51216588018899289</v>
      </c>
    </row>
    <row r="79" spans="1:14" x14ac:dyDescent="0.35">
      <c r="A79" s="8">
        <v>1.334170883005374</v>
      </c>
      <c r="B79" s="8">
        <v>18.915623117922884</v>
      </c>
      <c r="C79" s="9">
        <f t="shared" si="1"/>
        <v>12.483067106200886</v>
      </c>
      <c r="K79" s="6">
        <v>0.76</v>
      </c>
      <c r="L79" s="28">
        <v>7.7867498367624197</v>
      </c>
      <c r="M79" s="29">
        <v>13.301542029884757</v>
      </c>
      <c r="N79" s="16">
        <v>0.51022278631413831</v>
      </c>
    </row>
    <row r="80" spans="1:14" x14ac:dyDescent="0.35">
      <c r="A80" s="8">
        <v>-0.76203355233436376</v>
      </c>
      <c r="B80" s="8">
        <v>-7.0170668202665425</v>
      </c>
      <c r="C80" s="9">
        <f t="shared" si="1"/>
        <v>-4.7285270959286345</v>
      </c>
      <c r="K80" s="6">
        <v>0.77</v>
      </c>
      <c r="L80" s="28">
        <v>7.8084979178312066</v>
      </c>
      <c r="M80" s="29">
        <v>13.395401136146113</v>
      </c>
      <c r="N80" s="16">
        <v>0.50827129763655787</v>
      </c>
    </row>
    <row r="81" spans="1:14" x14ac:dyDescent="0.35">
      <c r="A81" s="8">
        <v>-11.706501062461765</v>
      </c>
      <c r="B81" s="8">
        <v>1.931813559868738</v>
      </c>
      <c r="C81" s="9">
        <f t="shared" si="1"/>
        <v>-3.0580599466777887</v>
      </c>
      <c r="K81" s="6">
        <v>0.78</v>
      </c>
      <c r="L81" s="28">
        <v>7.8302459988999935</v>
      </c>
      <c r="M81" s="29">
        <v>13.490172535229531</v>
      </c>
      <c r="N81" s="16">
        <v>0.50631272365589353</v>
      </c>
    </row>
    <row r="82" spans="1:14" x14ac:dyDescent="0.35">
      <c r="A82" s="8">
        <v>-13.939653536052532</v>
      </c>
      <c r="B82" s="8">
        <v>1.6004080684519595</v>
      </c>
      <c r="C82" s="9">
        <f t="shared" si="1"/>
        <v>-4.0852608604239018</v>
      </c>
      <c r="K82" s="6">
        <v>0.79</v>
      </c>
      <c r="L82" s="28">
        <v>7.851994079968776</v>
      </c>
      <c r="M82" s="29">
        <v>13.585837135369335</v>
      </c>
      <c r="N82" s="16">
        <v>0.50434831594810681</v>
      </c>
    </row>
    <row r="83" spans="1:14" x14ac:dyDescent="0.35">
      <c r="A83" s="8">
        <v>-6.3766894584580989</v>
      </c>
      <c r="B83" s="8">
        <v>-3.0114578617002543</v>
      </c>
      <c r="C83" s="9">
        <f t="shared" si="1"/>
        <v>-4.2427009040451606</v>
      </c>
      <c r="K83" s="6">
        <v>0.8</v>
      </c>
      <c r="L83" s="28">
        <v>7.8737421610375629</v>
      </c>
      <c r="M83" s="29">
        <v>13.682376201297139</v>
      </c>
      <c r="N83" s="16">
        <v>0.50237926950041811</v>
      </c>
    </row>
    <row r="84" spans="1:14" x14ac:dyDescent="0.35">
      <c r="A84" s="8">
        <v>22.539172968655897</v>
      </c>
      <c r="B84" s="8">
        <v>8.0472135789357413</v>
      </c>
      <c r="C84" s="9">
        <f t="shared" si="1"/>
        <v>13.34941155714575</v>
      </c>
      <c r="K84" s="6">
        <v>0.81</v>
      </c>
      <c r="L84" s="28">
        <v>7.8954902421063418</v>
      </c>
      <c r="M84" s="29">
        <v>13.779771353886352</v>
      </c>
      <c r="N84" s="16">
        <v>0.50040672410443043</v>
      </c>
    </row>
    <row r="85" spans="1:14" x14ac:dyDescent="0.35">
      <c r="A85" s="8">
        <v>36.455067557402614</v>
      </c>
      <c r="B85" s="8">
        <v>24.586666518606837</v>
      </c>
      <c r="C85" s="9">
        <f t="shared" si="1"/>
        <v>28.928978713956131</v>
      </c>
      <c r="K85" s="6">
        <v>0.82</v>
      </c>
      <c r="L85" s="28">
        <v>7.917238323175126</v>
      </c>
      <c r="M85" s="29">
        <v>13.878004569226601</v>
      </c>
      <c r="N85" s="16">
        <v>0.49843176579676057</v>
      </c>
    </row>
    <row r="86" spans="1:14" x14ac:dyDescent="0.35">
      <c r="A86" s="8">
        <v>-13.550381961940111</v>
      </c>
      <c r="B86" s="8">
        <v>-10.448867892326199</v>
      </c>
      <c r="C86" s="9">
        <f t="shared" si="1"/>
        <v>-11.583624151784246</v>
      </c>
      <c r="K86" s="6">
        <v>0.83</v>
      </c>
      <c r="L86" s="28">
        <v>7.9389864042439102</v>
      </c>
      <c r="M86" s="29">
        <v>13.977058177173189</v>
      </c>
      <c r="N86" s="16">
        <v>0.49645542833730233</v>
      </c>
    </row>
    <row r="87" spans="1:14" x14ac:dyDescent="0.35">
      <c r="A87" s="8">
        <v>20.193923206522904</v>
      </c>
      <c r="B87" s="8">
        <v>3.3531671534886862</v>
      </c>
      <c r="C87" s="9">
        <f t="shared" si="1"/>
        <v>9.5147233857857358</v>
      </c>
      <c r="K87" s="6">
        <v>0.84</v>
      </c>
      <c r="L87" s="28">
        <v>7.9607344853126962</v>
      </c>
      <c r="M87" s="29">
        <v>14.076914859414927</v>
      </c>
      <c r="N87" s="16">
        <v>0.49447869471606665</v>
      </c>
    </row>
    <row r="88" spans="1:14" x14ac:dyDescent="0.35">
      <c r="A88" s="8">
        <v>34.086525608420935</v>
      </c>
      <c r="B88" s="8">
        <v>19.938016764266685</v>
      </c>
      <c r="C88" s="9">
        <f t="shared" si="1"/>
        <v>25.114555903713565</v>
      </c>
      <c r="K88" s="6">
        <v>0.85</v>
      </c>
      <c r="L88" s="28">
        <v>7.9824825663814769</v>
      </c>
      <c r="M88" s="29">
        <v>14.177557647101006</v>
      </c>
      <c r="N88" s="16">
        <v>0.4925024986803167</v>
      </c>
    </row>
    <row r="89" spans="1:14" x14ac:dyDescent="0.35">
      <c r="A89" s="8">
        <v>37.008317248474214</v>
      </c>
      <c r="B89" s="8">
        <v>7.5277020683491003</v>
      </c>
      <c r="C89" s="9">
        <f t="shared" si="1"/>
        <v>18.313825186754077</v>
      </c>
      <c r="K89" s="6">
        <v>0.86</v>
      </c>
      <c r="L89" s="28">
        <v>8.0042306474502602</v>
      </c>
      <c r="M89" s="29">
        <v>14.278969918066569</v>
      </c>
      <c r="N89" s="16">
        <v>0.49052772627443575</v>
      </c>
    </row>
    <row r="90" spans="1:14" x14ac:dyDescent="0.35">
      <c r="A90" s="8">
        <v>6.7083874271386357</v>
      </c>
      <c r="B90" s="8">
        <v>-3.1921857951298094E-3</v>
      </c>
      <c r="C90" s="9">
        <f t="shared" si="1"/>
        <v>2.4523849309566512</v>
      </c>
      <c r="K90" s="6">
        <v>0.87</v>
      </c>
      <c r="L90" s="28">
        <v>8.025978728519048</v>
      </c>
      <c r="M90" s="29">
        <v>14.381135393693736</v>
      </c>
      <c r="N90" s="16">
        <v>0.48855521738568752</v>
      </c>
    </row>
    <row r="91" spans="1:14" x14ac:dyDescent="0.35">
      <c r="A91" s="8">
        <v>10.611900124251315</v>
      </c>
      <c r="B91" s="8">
        <v>-10.460203210816601</v>
      </c>
      <c r="C91" s="9">
        <f t="shared" si="1"/>
        <v>-2.7505167084459257</v>
      </c>
      <c r="K91" s="6">
        <v>0.88</v>
      </c>
      <c r="L91" s="28">
        <v>8.0477268095878305</v>
      </c>
      <c r="M91" s="29">
        <v>14.484038135443242</v>
      </c>
      <c r="N91" s="16">
        <v>0.48658576728969344</v>
      </c>
    </row>
    <row r="92" spans="1:14" x14ac:dyDescent="0.35">
      <c r="A92" s="8">
        <v>-3.8098171210561969</v>
      </c>
      <c r="B92" s="8">
        <v>-0.12587675140485732</v>
      </c>
      <c r="C92" s="9">
        <f t="shared" si="1"/>
        <v>-1.4737263178111257</v>
      </c>
      <c r="K92" s="6">
        <v>0.89</v>
      </c>
      <c r="L92" s="28">
        <v>8.0694748906566218</v>
      </c>
      <c r="M92" s="29">
        <v>14.587662541089992</v>
      </c>
      <c r="N92" s="16">
        <v>0.48462012819007738</v>
      </c>
    </row>
    <row r="93" spans="1:14" x14ac:dyDescent="0.35">
      <c r="A93" s="8">
        <v>9.7688491055754927</v>
      </c>
      <c r="B93" s="8">
        <v>10.369935043466969</v>
      </c>
      <c r="C93" s="9">
        <f t="shared" si="1"/>
        <v>10.150014702889738</v>
      </c>
      <c r="K93" s="6">
        <v>0.9</v>
      </c>
      <c r="L93" s="28">
        <v>8.0912229717254025</v>
      </c>
      <c r="M93" s="29">
        <v>14.691993340693728</v>
      </c>
      <c r="N93" s="16">
        <v>0.48265901074731693</v>
      </c>
    </row>
    <row r="94" spans="1:14" x14ac:dyDescent="0.35">
      <c r="A94" s="8">
        <v>25.893654329272856</v>
      </c>
      <c r="B94" s="8">
        <v>1.3441164966687857</v>
      </c>
      <c r="C94" s="9">
        <f t="shared" si="1"/>
        <v>10.326097908675555</v>
      </c>
      <c r="K94" s="6">
        <v>0.91</v>
      </c>
      <c r="L94" s="28">
        <v>8.1129710527941814</v>
      </c>
      <c r="M94" s="29">
        <v>14.797015592334166</v>
      </c>
      <c r="N94" s="16">
        <v>0.48070308559241987</v>
      </c>
    </row>
    <row r="95" spans="1:14" x14ac:dyDescent="0.35">
      <c r="A95" s="8">
        <v>5.0303409049946008</v>
      </c>
      <c r="B95" s="8">
        <v>15.400009022047156</v>
      </c>
      <c r="C95" s="9">
        <f t="shared" si="1"/>
        <v>11.606040805165025</v>
      </c>
      <c r="K95" s="6">
        <v>0.92</v>
      </c>
      <c r="L95" s="28">
        <v>8.134719133862971</v>
      </c>
      <c r="M95" s="29">
        <v>14.902714677638244</v>
      </c>
      <c r="N95" s="16">
        <v>0.47875298482153245</v>
      </c>
    </row>
    <row r="96" spans="1:14" x14ac:dyDescent="0.35">
      <c r="A96" s="8">
        <v>-10.55297591320566</v>
      </c>
      <c r="B96" s="8">
        <v>-5.3176360116876182</v>
      </c>
      <c r="C96" s="9">
        <f t="shared" si="1"/>
        <v>-7.2330987793214963</v>
      </c>
      <c r="K96" s="6">
        <v>0.93</v>
      </c>
      <c r="L96" s="28">
        <v>8.1564672149317499</v>
      </c>
      <c r="M96" s="29">
        <v>15.009076297125382</v>
      </c>
      <c r="N96" s="16">
        <v>0.47680930346808847</v>
      </c>
    </row>
    <row r="97" spans="1:14" x14ac:dyDescent="0.35">
      <c r="A97" s="8">
        <v>-15.981006968757779</v>
      </c>
      <c r="B97" s="8">
        <v>-3.5631570439943285</v>
      </c>
      <c r="C97" s="9">
        <f t="shared" si="1"/>
        <v>-8.1064970433805321</v>
      </c>
      <c r="K97" s="6">
        <v>0.94</v>
      </c>
      <c r="L97" s="28">
        <v>8.1782152960005323</v>
      </c>
      <c r="M97" s="29">
        <v>15.116086465394769</v>
      </c>
      <c r="N97" s="16">
        <v>0.47487260094956513</v>
      </c>
    </row>
    <row r="98" spans="1:14" x14ac:dyDescent="0.35">
      <c r="A98" s="8">
        <v>-10.25236062198681</v>
      </c>
      <c r="B98" s="8">
        <v>-2.895140564540533</v>
      </c>
      <c r="C98" s="9">
        <f t="shared" si="1"/>
        <v>-5.5869392554414361</v>
      </c>
      <c r="K98" s="6">
        <v>0.95</v>
      </c>
      <c r="L98" s="28">
        <v>8.1999633770693183</v>
      </c>
      <c r="M98" s="29">
        <v>15.223731506177209</v>
      </c>
      <c r="N98" s="16">
        <v>0.47294340248629896</v>
      </c>
    </row>
    <row r="99" spans="1:14" x14ac:dyDescent="0.35">
      <c r="A99" s="8">
        <v>19.616627205725301</v>
      </c>
      <c r="B99" s="8">
        <v>20.072542141899717</v>
      </c>
      <c r="C99" s="9">
        <f t="shared" si="1"/>
        <v>19.905735764113807</v>
      </c>
      <c r="K99" s="6">
        <v>0.96</v>
      </c>
      <c r="L99" s="28">
        <v>8.2217114581381026</v>
      </c>
      <c r="M99" s="29">
        <v>15.33199804727281</v>
      </c>
      <c r="N99" s="16">
        <v>0.47102220049021398</v>
      </c>
    </row>
    <row r="100" spans="1:14" x14ac:dyDescent="0.35">
      <c r="A100" s="8">
        <v>9.084374585954258E-2</v>
      </c>
      <c r="B100" s="8">
        <v>-10.800239341817289</v>
      </c>
      <c r="C100" s="9">
        <f t="shared" si="1"/>
        <v>-6.8155001374720294</v>
      </c>
      <c r="K100" s="6">
        <v>0.97</v>
      </c>
      <c r="L100" s="28">
        <v>8.2434595392068832</v>
      </c>
      <c r="M100" s="29">
        <v>15.440873015393427</v>
      </c>
      <c r="N100" s="16">
        <v>0.46910945592167497</v>
      </c>
    </row>
    <row r="101" spans="1:14" x14ac:dyDescent="0.35">
      <c r="A101" s="8">
        <v>2.0083719206122499</v>
      </c>
      <c r="B101" s="8">
        <v>4.4161213488218234</v>
      </c>
      <c r="C101" s="9">
        <f t="shared" si="1"/>
        <v>3.5351939457720398</v>
      </c>
      <c r="K101" s="6">
        <v>0.98</v>
      </c>
      <c r="L101" s="28">
        <v>8.2652076202756692</v>
      </c>
      <c r="M101" s="29">
        <v>15.550343630928385</v>
      </c>
      <c r="N101" s="16">
        <v>0.46720559961297281</v>
      </c>
    </row>
    <row r="102" spans="1:14" x14ac:dyDescent="0.35">
      <c r="A102" s="10">
        <v>20.289268918304554</v>
      </c>
      <c r="B102" s="10">
        <v>16.428474378815</v>
      </c>
      <c r="C102" s="9">
        <f t="shared" si="1"/>
        <v>17.841029882944177</v>
      </c>
      <c r="K102" s="6">
        <v>0.99</v>
      </c>
      <c r="L102" s="28">
        <v>8.2869557013444552</v>
      </c>
      <c r="M102" s="29">
        <v>15.660397402650036</v>
      </c>
      <c r="N102" s="16">
        <v>0.465311033557256</v>
      </c>
    </row>
    <row r="103" spans="1:14" x14ac:dyDescent="0.35">
      <c r="A103" s="10">
        <v>24.056196640479001</v>
      </c>
      <c r="B103" s="10">
        <v>16.104381155596045</v>
      </c>
      <c r="C103" s="9">
        <f t="shared" si="1"/>
        <v>19.01372549290857</v>
      </c>
      <c r="K103" s="6">
        <v>1</v>
      </c>
      <c r="L103" s="28">
        <v>8.3087037824132342</v>
      </c>
      <c r="M103" s="29">
        <v>15.771022122374417</v>
      </c>
      <c r="N103" s="16">
        <v>0.46342613216199507</v>
      </c>
    </row>
    <row r="104" spans="1:14" x14ac:dyDescent="0.35">
      <c r="A104" s="10">
        <v>0.62938189281500279</v>
      </c>
      <c r="B104" s="10">
        <v>6.4331769725971339</v>
      </c>
      <c r="C104" s="9">
        <f t="shared" si="1"/>
        <v>4.3097325362433665</v>
      </c>
    </row>
    <row r="105" spans="1:14" x14ac:dyDescent="0.35">
      <c r="A105" s="10">
        <v>7.0135183187785248</v>
      </c>
      <c r="B105" s="10">
        <v>2.4713915002276408</v>
      </c>
      <c r="C105" s="9">
        <f t="shared" si="1"/>
        <v>4.1332272110824038</v>
      </c>
    </row>
    <row r="106" spans="1:14" x14ac:dyDescent="0.35">
      <c r="A106" s="10">
        <v>3.3891792497240782</v>
      </c>
      <c r="B106" s="10">
        <v>26.620087188028258</v>
      </c>
      <c r="C106" s="9">
        <f t="shared" si="1"/>
        <v>18.120555151674836</v>
      </c>
    </row>
    <row r="107" spans="1:14" x14ac:dyDescent="0.35">
      <c r="A107" s="10">
        <v>13.489807290154465</v>
      </c>
      <c r="B107" s="10">
        <v>3.8735137303751244</v>
      </c>
      <c r="C107" s="9">
        <f t="shared" si="1"/>
        <v>7.3918435089352146</v>
      </c>
    </row>
    <row r="108" spans="1:14" x14ac:dyDescent="0.35">
      <c r="A108" s="10">
        <v>-19.794709554039414</v>
      </c>
      <c r="B108" s="10">
        <v>-5.8370984206354635</v>
      </c>
      <c r="C108" s="9">
        <f t="shared" si="1"/>
        <v>-10.943793488016894</v>
      </c>
    </row>
    <row r="109" spans="1:14" x14ac:dyDescent="0.35">
      <c r="A109" s="10">
        <v>19.383490302556254</v>
      </c>
      <c r="B109" s="10">
        <v>9.0191184178053145</v>
      </c>
      <c r="C109" s="9">
        <f t="shared" si="1"/>
        <v>12.811148893113199</v>
      </c>
    </row>
    <row r="110" spans="1:14" x14ac:dyDescent="0.35">
      <c r="A110" s="10">
        <v>11.682847453350657</v>
      </c>
      <c r="B110" s="10">
        <v>22.651930493594257</v>
      </c>
      <c r="C110" s="9">
        <f t="shared" si="1"/>
        <v>18.638653313142513</v>
      </c>
    </row>
    <row r="111" spans="1:14" x14ac:dyDescent="0.35">
      <c r="A111" s="10">
        <v>-8.3420433252267827</v>
      </c>
      <c r="B111" s="10">
        <v>-6.6880251235206423</v>
      </c>
      <c r="C111" s="9">
        <f t="shared" si="1"/>
        <v>-7.2931835930668498</v>
      </c>
    </row>
    <row r="112" spans="1:14" x14ac:dyDescent="0.35">
      <c r="A112" s="10">
        <v>-18.614705006588061</v>
      </c>
      <c r="B112" s="10">
        <v>-13.051223436012442</v>
      </c>
      <c r="C112" s="9">
        <f t="shared" si="1"/>
        <v>-15.086743957567279</v>
      </c>
    </row>
    <row r="113" spans="1:3" x14ac:dyDescent="0.35">
      <c r="A113" s="10">
        <v>28.329259667630279</v>
      </c>
      <c r="B113" s="10">
        <v>23.565537251134916</v>
      </c>
      <c r="C113" s="9">
        <f t="shared" si="1"/>
        <v>25.308448522568114</v>
      </c>
    </row>
    <row r="114" spans="1:3" x14ac:dyDescent="0.35">
      <c r="A114" s="10">
        <v>0.85936935948210191</v>
      </c>
      <c r="B114" s="10">
        <v>0.87766236965827993</v>
      </c>
      <c r="C114" s="9">
        <f t="shared" si="1"/>
        <v>0.87096947472508623</v>
      </c>
    </row>
    <row r="115" spans="1:3" x14ac:dyDescent="0.35">
      <c r="A115" s="10">
        <v>28.693182364732607</v>
      </c>
      <c r="B115" s="10">
        <v>22.53126802526214</v>
      </c>
      <c r="C115" s="9">
        <f t="shared" si="1"/>
        <v>24.785738167913738</v>
      </c>
    </row>
    <row r="116" spans="1:3" x14ac:dyDescent="0.35">
      <c r="A116" s="10">
        <v>33.39680362265625</v>
      </c>
      <c r="B116" s="10">
        <v>12.652239344583297</v>
      </c>
      <c r="C116" s="9">
        <f t="shared" si="1"/>
        <v>20.242088571739455</v>
      </c>
    </row>
    <row r="117" spans="1:3" x14ac:dyDescent="0.35">
      <c r="A117" s="10">
        <v>-2.0230849069581964</v>
      </c>
      <c r="B117" s="10">
        <v>10.559907669198642</v>
      </c>
      <c r="C117" s="9">
        <f t="shared" si="1"/>
        <v>5.9561466453817893</v>
      </c>
    </row>
    <row r="118" spans="1:3" x14ac:dyDescent="0.35">
      <c r="A118" s="10">
        <v>29.25924217017349</v>
      </c>
      <c r="B118" s="10">
        <v>8.8240686255691827</v>
      </c>
      <c r="C118" s="9">
        <f t="shared" si="1"/>
        <v>16.30072053569187</v>
      </c>
    </row>
    <row r="119" spans="1:3" x14ac:dyDescent="0.35">
      <c r="A119" s="10">
        <v>6.9601721336279549</v>
      </c>
      <c r="B119" s="10">
        <v>6.8588066656774638</v>
      </c>
      <c r="C119" s="9">
        <f t="shared" si="1"/>
        <v>6.8958934228766768</v>
      </c>
    </row>
    <row r="120" spans="1:3" x14ac:dyDescent="0.35">
      <c r="A120" s="10">
        <v>6.0141107377096841</v>
      </c>
      <c r="B120" s="10">
        <v>13.622332452915437</v>
      </c>
      <c r="C120" s="9">
        <f t="shared" si="1"/>
        <v>10.838699356016701</v>
      </c>
    </row>
    <row r="121" spans="1:3" x14ac:dyDescent="0.35">
      <c r="A121" s="10">
        <v>23.500739328068143</v>
      </c>
      <c r="B121" s="10">
        <v>-0.52092625436264228</v>
      </c>
      <c r="C121" s="9">
        <f t="shared" si="1"/>
        <v>8.2679216342637503</v>
      </c>
    </row>
    <row r="122" spans="1:3" x14ac:dyDescent="0.35">
      <c r="A122" s="10">
        <v>7.57963918840841</v>
      </c>
      <c r="B122" s="10">
        <v>0.69229761579733839</v>
      </c>
      <c r="C122" s="9">
        <f t="shared" si="1"/>
        <v>3.2121810614716457</v>
      </c>
    </row>
    <row r="123" spans="1:3" x14ac:dyDescent="0.35">
      <c r="A123" s="10">
        <v>-6.0301232661585491</v>
      </c>
      <c r="B123" s="10">
        <v>3.4771031367340859</v>
      </c>
      <c r="C123" s="9">
        <f t="shared" si="1"/>
        <v>-1.3220545178160847E-3</v>
      </c>
    </row>
    <row r="124" spans="1:3" x14ac:dyDescent="0.35">
      <c r="A124" s="10">
        <v>-0.37912052906821714</v>
      </c>
      <c r="B124" s="10">
        <v>-7.9067757060614028</v>
      </c>
      <c r="C124" s="9">
        <f t="shared" si="1"/>
        <v>-5.1526196263509076</v>
      </c>
    </row>
    <row r="125" spans="1:3" x14ac:dyDescent="0.35">
      <c r="A125" s="10">
        <v>2.612982824643761</v>
      </c>
      <c r="B125" s="10">
        <v>11.73580564790878</v>
      </c>
      <c r="C125" s="9">
        <f t="shared" si="1"/>
        <v>8.3980228520643632</v>
      </c>
    </row>
    <row r="126" spans="1:3" x14ac:dyDescent="0.35">
      <c r="A126" s="10">
        <v>13.257020813004818</v>
      </c>
      <c r="B126" s="10">
        <v>10.622144442761286</v>
      </c>
      <c r="C126" s="9">
        <f t="shared" si="1"/>
        <v>11.586171168715861</v>
      </c>
    </row>
    <row r="127" spans="1:3" x14ac:dyDescent="0.35">
      <c r="A127" s="10">
        <v>29.379268560229004</v>
      </c>
      <c r="B127" s="10">
        <v>14.066105792520405</v>
      </c>
      <c r="C127" s="9">
        <f t="shared" si="1"/>
        <v>19.668758855745224</v>
      </c>
    </row>
    <row r="128" spans="1:3" x14ac:dyDescent="0.35">
      <c r="A128" s="10">
        <v>18.021913486678223</v>
      </c>
      <c r="B128" s="10">
        <v>9.0491847162905046</v>
      </c>
      <c r="C128" s="9">
        <f t="shared" si="1"/>
        <v>12.332052344192078</v>
      </c>
    </row>
    <row r="129" spans="1:3" x14ac:dyDescent="0.35">
      <c r="A129" s="10">
        <v>18.312499235148</v>
      </c>
      <c r="B129" s="10">
        <v>13.226637663050649</v>
      </c>
      <c r="C129" s="9">
        <f t="shared" si="1"/>
        <v>15.087410538536279</v>
      </c>
    </row>
    <row r="130" spans="1:3" x14ac:dyDescent="0.35">
      <c r="A130" s="10">
        <v>-0.84128808966820934</v>
      </c>
      <c r="B130" s="10">
        <v>10.324729216662984</v>
      </c>
      <c r="C130" s="9">
        <f t="shared" si="1"/>
        <v>6.23939935931576</v>
      </c>
    </row>
    <row r="131" spans="1:3" x14ac:dyDescent="0.35">
      <c r="A131" s="10">
        <v>-4.5277145659298821</v>
      </c>
      <c r="B131" s="10">
        <v>19.32080138278743</v>
      </c>
      <c r="C131" s="9">
        <f t="shared" ref="C131:C194" si="2">SUMPRODUCT(A131:B131,$F$5:$G$5)</f>
        <v>10.595304046913386</v>
      </c>
    </row>
    <row r="132" spans="1:3" x14ac:dyDescent="0.35">
      <c r="A132" s="10">
        <v>14.278624004483381</v>
      </c>
      <c r="B132" s="10">
        <v>15.021281209938936</v>
      </c>
      <c r="C132" s="9">
        <f t="shared" si="2"/>
        <v>14.749563947464218</v>
      </c>
    </row>
    <row r="133" spans="1:3" x14ac:dyDescent="0.35">
      <c r="A133" s="10">
        <v>21.283439327361801</v>
      </c>
      <c r="B133" s="10">
        <v>8.0078392246963723</v>
      </c>
      <c r="C133" s="9">
        <f t="shared" si="2"/>
        <v>12.865005749314715</v>
      </c>
    </row>
    <row r="134" spans="1:3" x14ac:dyDescent="0.35">
      <c r="A134" s="10">
        <v>-9.4334017646572796</v>
      </c>
      <c r="B134" s="10">
        <v>-6.6405670829477383</v>
      </c>
      <c r="C134" s="9">
        <f t="shared" si="2"/>
        <v>-7.6623862865910546</v>
      </c>
    </row>
    <row r="135" spans="1:3" x14ac:dyDescent="0.35">
      <c r="A135" s="10">
        <v>11.484936015273798</v>
      </c>
      <c r="B135" s="10">
        <v>8.9865177511492451</v>
      </c>
      <c r="C135" s="9">
        <f t="shared" si="2"/>
        <v>9.9006183163330661</v>
      </c>
    </row>
    <row r="136" spans="1:3" x14ac:dyDescent="0.35">
      <c r="A136" s="10">
        <v>10.341558877036526</v>
      </c>
      <c r="B136" s="10">
        <v>7.2682253891444191</v>
      </c>
      <c r="C136" s="9">
        <f t="shared" si="2"/>
        <v>8.392671170949864</v>
      </c>
    </row>
    <row r="137" spans="1:3" x14ac:dyDescent="0.35">
      <c r="A137" s="10">
        <v>-21.109088109948868</v>
      </c>
      <c r="B137" s="10">
        <v>2.196375122523281</v>
      </c>
      <c r="C137" s="9">
        <f t="shared" si="2"/>
        <v>-6.3304345868743157</v>
      </c>
    </row>
    <row r="138" spans="1:3" x14ac:dyDescent="0.35">
      <c r="A138" s="10">
        <v>35.62203609847748</v>
      </c>
      <c r="B138" s="10">
        <v>10.849190154796361</v>
      </c>
      <c r="C138" s="9">
        <f t="shared" si="2"/>
        <v>19.912873687491551</v>
      </c>
    </row>
    <row r="139" spans="1:3" x14ac:dyDescent="0.35">
      <c r="A139" s="10">
        <v>5.9711914589926582</v>
      </c>
      <c r="B139" s="10">
        <v>-1.3302156487013184</v>
      </c>
      <c r="C139" s="9">
        <f t="shared" si="2"/>
        <v>1.3411626627756332</v>
      </c>
    </row>
    <row r="140" spans="1:3" x14ac:dyDescent="0.35">
      <c r="A140" s="10">
        <v>36.280644660097892</v>
      </c>
      <c r="B140" s="10">
        <v>8.2801630159760933</v>
      </c>
      <c r="C140" s="9">
        <f t="shared" si="2"/>
        <v>18.524747144998823</v>
      </c>
    </row>
    <row r="141" spans="1:3" x14ac:dyDescent="0.35">
      <c r="A141" s="10">
        <v>7.093092655695977</v>
      </c>
      <c r="B141" s="10">
        <v>12.46134453552121</v>
      </c>
      <c r="C141" s="9">
        <f t="shared" si="2"/>
        <v>10.497253034966635</v>
      </c>
    </row>
    <row r="142" spans="1:3" x14ac:dyDescent="0.35">
      <c r="A142" s="10">
        <v>-3.791668681174075</v>
      </c>
      <c r="B142" s="10">
        <v>0.62846464205032948</v>
      </c>
      <c r="C142" s="9">
        <f t="shared" si="2"/>
        <v>-0.98873709993382897</v>
      </c>
    </row>
    <row r="143" spans="1:3" x14ac:dyDescent="0.35">
      <c r="A143" s="10">
        <v>1.95607425917244</v>
      </c>
      <c r="B143" s="10">
        <v>0.26486366245401705</v>
      </c>
      <c r="C143" s="9">
        <f t="shared" si="2"/>
        <v>0.88362977720096991</v>
      </c>
    </row>
    <row r="144" spans="1:3" x14ac:dyDescent="0.35">
      <c r="A144" s="10">
        <v>-7.8941984864928649</v>
      </c>
      <c r="B144" s="10">
        <v>5.8425820225428335</v>
      </c>
      <c r="C144" s="9">
        <f t="shared" si="2"/>
        <v>0.81668263354860438</v>
      </c>
    </row>
    <row r="145" spans="1:3" x14ac:dyDescent="0.35">
      <c r="A145" s="10">
        <v>17.431195636960446</v>
      </c>
      <c r="B145" s="10">
        <v>12.351658680330326</v>
      </c>
      <c r="C145" s="9">
        <f t="shared" si="2"/>
        <v>14.210117557933302</v>
      </c>
    </row>
    <row r="146" spans="1:3" x14ac:dyDescent="0.35">
      <c r="A146" s="10">
        <v>7.2733860474910177</v>
      </c>
      <c r="B146" s="10">
        <v>-5.9844560480036026</v>
      </c>
      <c r="C146" s="9">
        <f t="shared" si="2"/>
        <v>-1.1337866758534685</v>
      </c>
    </row>
    <row r="147" spans="1:3" x14ac:dyDescent="0.35">
      <c r="A147" s="10">
        <v>20.148623447108793</v>
      </c>
      <c r="B147" s="10">
        <v>-4.8249936047995163</v>
      </c>
      <c r="C147" s="9">
        <f t="shared" si="2"/>
        <v>4.3121463967897498</v>
      </c>
    </row>
    <row r="148" spans="1:3" x14ac:dyDescent="0.35">
      <c r="A148" s="10">
        <v>-2.9313036634665544</v>
      </c>
      <c r="B148" s="10">
        <v>-13.02706362946638</v>
      </c>
      <c r="C148" s="9">
        <f t="shared" si="2"/>
        <v>-9.3333106564771633</v>
      </c>
    </row>
    <row r="149" spans="1:3" x14ac:dyDescent="0.35">
      <c r="A149" s="10">
        <v>26.994445644299603</v>
      </c>
      <c r="B149" s="10">
        <v>9.6847971051330148</v>
      </c>
      <c r="C149" s="9">
        <f t="shared" si="2"/>
        <v>16.017907833624172</v>
      </c>
    </row>
    <row r="150" spans="1:3" x14ac:dyDescent="0.35">
      <c r="A150" s="10">
        <v>-17.495457689794492</v>
      </c>
      <c r="B150" s="10">
        <v>-9.9746327016243956</v>
      </c>
      <c r="C150" s="9">
        <f t="shared" si="2"/>
        <v>-12.726289808463473</v>
      </c>
    </row>
    <row r="151" spans="1:3" x14ac:dyDescent="0.35">
      <c r="A151" s="10">
        <v>20.176806889601885</v>
      </c>
      <c r="B151" s="10">
        <v>11.124537570580189</v>
      </c>
      <c r="C151" s="9">
        <f t="shared" si="2"/>
        <v>14.436506835107377</v>
      </c>
    </row>
    <row r="152" spans="1:3" x14ac:dyDescent="0.35">
      <c r="A152" s="10">
        <v>10.555309216497761</v>
      </c>
      <c r="B152" s="10">
        <v>4.0545078893386979</v>
      </c>
      <c r="C152" s="9">
        <f t="shared" si="2"/>
        <v>6.4329671940244335</v>
      </c>
    </row>
    <row r="153" spans="1:3" x14ac:dyDescent="0.35">
      <c r="A153" s="10">
        <v>22.827697900623548</v>
      </c>
      <c r="B153" s="10">
        <v>10.248247184411099</v>
      </c>
      <c r="C153" s="9">
        <f t="shared" si="2"/>
        <v>14.850712341869841</v>
      </c>
    </row>
    <row r="154" spans="1:3" x14ac:dyDescent="0.35">
      <c r="A154" s="10">
        <v>36.348222793578344</v>
      </c>
      <c r="B154" s="10">
        <v>8.9297638817507128</v>
      </c>
      <c r="C154" s="9">
        <f t="shared" si="2"/>
        <v>18.961402357845969</v>
      </c>
    </row>
    <row r="155" spans="1:3" x14ac:dyDescent="0.35">
      <c r="A155" s="10">
        <v>27.448895378071313</v>
      </c>
      <c r="B155" s="10">
        <v>-1.1999374835628753</v>
      </c>
      <c r="C155" s="9">
        <f t="shared" si="2"/>
        <v>9.2818600147646766</v>
      </c>
    </row>
    <row r="156" spans="1:3" x14ac:dyDescent="0.35">
      <c r="A156" s="10">
        <v>9.534332165727859</v>
      </c>
      <c r="B156" s="10">
        <v>14.93997871418968</v>
      </c>
      <c r="C156" s="9">
        <f t="shared" si="2"/>
        <v>12.962205562237338</v>
      </c>
    </row>
    <row r="157" spans="1:3" x14ac:dyDescent="0.35">
      <c r="A157" s="10">
        <v>6.299697937771942</v>
      </c>
      <c r="B157" s="10">
        <v>3.3803370282493406</v>
      </c>
      <c r="C157" s="9">
        <f t="shared" si="2"/>
        <v>4.448448599353803</v>
      </c>
    </row>
    <row r="158" spans="1:3" x14ac:dyDescent="0.35">
      <c r="A158" s="10">
        <v>4.4445191896028611</v>
      </c>
      <c r="B158" s="10">
        <v>9.6114583414785315</v>
      </c>
      <c r="C158" s="9">
        <f t="shared" si="2"/>
        <v>7.7210214731525886</v>
      </c>
    </row>
    <row r="159" spans="1:3" x14ac:dyDescent="0.35">
      <c r="A159" s="10">
        <v>2.0573182982293625</v>
      </c>
      <c r="B159" s="10">
        <v>-5.9921483287315027</v>
      </c>
      <c r="C159" s="9">
        <f t="shared" si="2"/>
        <v>-3.0470762009821168</v>
      </c>
    </row>
    <row r="160" spans="1:3" x14ac:dyDescent="0.35">
      <c r="A160" s="10">
        <v>-21.096025251872359</v>
      </c>
      <c r="B160" s="10">
        <v>-1.9537506495067571</v>
      </c>
      <c r="C160" s="9">
        <f t="shared" si="2"/>
        <v>-8.9573674114333564</v>
      </c>
    </row>
    <row r="161" spans="1:3" x14ac:dyDescent="0.35">
      <c r="A161" s="10">
        <v>11.971405344426941</v>
      </c>
      <c r="B161" s="10">
        <v>8.9668592678137031</v>
      </c>
      <c r="C161" s="9">
        <f t="shared" si="2"/>
        <v>10.066137681756674</v>
      </c>
    </row>
    <row r="162" spans="1:3" x14ac:dyDescent="0.35">
      <c r="A162" s="10">
        <v>26.643513474940992</v>
      </c>
      <c r="B162" s="10">
        <v>3.1018742862310038</v>
      </c>
      <c r="C162" s="9">
        <f t="shared" si="2"/>
        <v>11.715094096843373</v>
      </c>
    </row>
    <row r="163" spans="1:3" x14ac:dyDescent="0.35">
      <c r="A163" s="10">
        <v>16.927521232689948</v>
      </c>
      <c r="B163" s="10">
        <v>-0.86510822647041863</v>
      </c>
      <c r="C163" s="9">
        <f t="shared" si="2"/>
        <v>5.6447115576175664</v>
      </c>
    </row>
    <row r="164" spans="1:3" x14ac:dyDescent="0.35">
      <c r="A164" s="10">
        <v>16.29626929662696</v>
      </c>
      <c r="B164" s="10">
        <v>-1.6056007396959782</v>
      </c>
      <c r="C164" s="9">
        <f t="shared" si="2"/>
        <v>4.9441870812732551</v>
      </c>
    </row>
    <row r="165" spans="1:3" x14ac:dyDescent="0.35">
      <c r="A165" s="10">
        <v>20.981039433982353</v>
      </c>
      <c r="B165" s="10">
        <v>34.364419498380045</v>
      </c>
      <c r="C165" s="9">
        <f t="shared" si="2"/>
        <v>29.467819334747112</v>
      </c>
    </row>
    <row r="166" spans="1:3" x14ac:dyDescent="0.35">
      <c r="A166" s="10">
        <v>-9.8265305882454861</v>
      </c>
      <c r="B166" s="10">
        <v>-13.131209637039028</v>
      </c>
      <c r="C166" s="9">
        <f t="shared" si="2"/>
        <v>-11.92212105902553</v>
      </c>
    </row>
    <row r="167" spans="1:3" x14ac:dyDescent="0.35">
      <c r="A167" s="10">
        <v>10.264347823459646</v>
      </c>
      <c r="B167" s="10">
        <v>14.042041849775037</v>
      </c>
      <c r="C167" s="9">
        <f t="shared" si="2"/>
        <v>12.659890472589025</v>
      </c>
    </row>
    <row r="168" spans="1:3" x14ac:dyDescent="0.35">
      <c r="A168" s="10">
        <v>-9.2591609791639549</v>
      </c>
      <c r="B168" s="10">
        <v>9.9881220297135958</v>
      </c>
      <c r="C168" s="9">
        <f t="shared" si="2"/>
        <v>2.946085662423096</v>
      </c>
    </row>
    <row r="169" spans="1:3" x14ac:dyDescent="0.35">
      <c r="A169" s="10">
        <v>7.0116983150735406</v>
      </c>
      <c r="B169" s="10">
        <v>21.59976331484603</v>
      </c>
      <c r="C169" s="9">
        <f t="shared" si="2"/>
        <v>16.262403012645823</v>
      </c>
    </row>
    <row r="170" spans="1:3" x14ac:dyDescent="0.35">
      <c r="A170" s="10">
        <v>31.328400519059379</v>
      </c>
      <c r="B170" s="10">
        <v>0.94658541656569994</v>
      </c>
      <c r="C170" s="9">
        <f t="shared" si="2"/>
        <v>12.062432092554968</v>
      </c>
    </row>
    <row r="171" spans="1:3" x14ac:dyDescent="0.35">
      <c r="A171" s="10">
        <v>-5.1862201813611559</v>
      </c>
      <c r="B171" s="10">
        <v>1.8297530939969002</v>
      </c>
      <c r="C171" s="9">
        <f t="shared" si="2"/>
        <v>-0.73719305285517667</v>
      </c>
    </row>
    <row r="172" spans="1:3" x14ac:dyDescent="0.35">
      <c r="A172" s="10">
        <v>4.5511805378196222</v>
      </c>
      <c r="B172" s="10">
        <v>5.6300640609586656</v>
      </c>
      <c r="C172" s="9">
        <f t="shared" si="2"/>
        <v>5.2353311003370866</v>
      </c>
    </row>
    <row r="173" spans="1:3" x14ac:dyDescent="0.35">
      <c r="A173" s="10">
        <v>19.824435949958598</v>
      </c>
      <c r="B173" s="10">
        <v>14.654266883097259</v>
      </c>
      <c r="C173" s="9">
        <f t="shared" si="2"/>
        <v>16.545885485945515</v>
      </c>
    </row>
    <row r="174" spans="1:3" x14ac:dyDescent="0.35">
      <c r="A174" s="10">
        <v>13.909232713546578</v>
      </c>
      <c r="B174" s="10">
        <v>12.280578990222367</v>
      </c>
      <c r="C174" s="9">
        <f t="shared" si="2"/>
        <v>12.876457314663391</v>
      </c>
    </row>
    <row r="175" spans="1:3" x14ac:dyDescent="0.35">
      <c r="A175" s="10">
        <v>-15.179254349930844</v>
      </c>
      <c r="B175" s="10">
        <v>-7.5955218725497637</v>
      </c>
      <c r="C175" s="9">
        <f t="shared" si="2"/>
        <v>-10.370195050103568</v>
      </c>
    </row>
    <row r="176" spans="1:3" x14ac:dyDescent="0.35">
      <c r="A176" s="10">
        <v>-2.0106867761686456</v>
      </c>
      <c r="B176" s="10">
        <v>-7.3247727456518721</v>
      </c>
      <c r="C176" s="9">
        <f t="shared" si="2"/>
        <v>-5.3804990193940574</v>
      </c>
    </row>
    <row r="177" spans="1:3" x14ac:dyDescent="0.35">
      <c r="A177" s="10">
        <v>16.252298288358826</v>
      </c>
      <c r="B177" s="10">
        <v>4.8246060669950683</v>
      </c>
      <c r="C177" s="9">
        <f t="shared" si="2"/>
        <v>9.0056753732409778</v>
      </c>
    </row>
    <row r="178" spans="1:3" x14ac:dyDescent="0.35">
      <c r="A178" s="10">
        <v>33.346508653867652</v>
      </c>
      <c r="B178" s="10">
        <v>18.94872198432369</v>
      </c>
      <c r="C178" s="9">
        <f t="shared" si="2"/>
        <v>24.216464828269732</v>
      </c>
    </row>
    <row r="179" spans="1:3" x14ac:dyDescent="0.35">
      <c r="A179" s="10">
        <v>1.1074982457351119</v>
      </c>
      <c r="B179" s="10">
        <v>11.707811140995174</v>
      </c>
      <c r="C179" s="9">
        <f t="shared" si="2"/>
        <v>7.8294565244682843</v>
      </c>
    </row>
    <row r="180" spans="1:3" x14ac:dyDescent="0.35">
      <c r="A180" s="10">
        <v>12.0323729019042</v>
      </c>
      <c r="B180" s="10">
        <v>3.5268118943297919</v>
      </c>
      <c r="C180" s="9">
        <f t="shared" si="2"/>
        <v>6.6387560535090682</v>
      </c>
    </row>
    <row r="181" spans="1:3" x14ac:dyDescent="0.35">
      <c r="A181" s="10">
        <v>3.2423349784854327</v>
      </c>
      <c r="B181" s="10">
        <v>9.3519832464790369</v>
      </c>
      <c r="C181" s="9">
        <f t="shared" si="2"/>
        <v>7.116635780827913</v>
      </c>
    </row>
    <row r="182" spans="1:3" x14ac:dyDescent="0.35">
      <c r="A182" s="10">
        <v>15.945418220353844</v>
      </c>
      <c r="B182" s="10">
        <v>-7.8488006861523694</v>
      </c>
      <c r="C182" s="9">
        <f t="shared" si="2"/>
        <v>0.85683089798359724</v>
      </c>
    </row>
    <row r="183" spans="1:3" x14ac:dyDescent="0.35">
      <c r="A183" s="10">
        <v>12.489557668003602</v>
      </c>
      <c r="B183" s="10">
        <v>-1.5146196370696972</v>
      </c>
      <c r="C183" s="9">
        <f t="shared" si="2"/>
        <v>3.6091126752168865</v>
      </c>
    </row>
    <row r="184" spans="1:3" x14ac:dyDescent="0.35">
      <c r="A184" s="10">
        <v>4.6985521930107197</v>
      </c>
      <c r="B184" s="10">
        <v>8.4007225112974311</v>
      </c>
      <c r="C184" s="9">
        <f t="shared" si="2"/>
        <v>7.0462031223918045</v>
      </c>
    </row>
    <row r="185" spans="1:3" x14ac:dyDescent="0.35">
      <c r="A185" s="10">
        <v>-7.0321799853553877</v>
      </c>
      <c r="B185" s="10">
        <v>-9.8154884912320259</v>
      </c>
      <c r="C185" s="9">
        <f t="shared" si="2"/>
        <v>-8.7971546458403438</v>
      </c>
    </row>
    <row r="186" spans="1:3" x14ac:dyDescent="0.35">
      <c r="A186" s="10">
        <v>0.78959524742260889</v>
      </c>
      <c r="B186" s="10">
        <v>5.8200430272864994</v>
      </c>
      <c r="C186" s="9">
        <f t="shared" si="2"/>
        <v>3.9795444907804298</v>
      </c>
    </row>
    <row r="187" spans="1:3" x14ac:dyDescent="0.35">
      <c r="A187" s="10">
        <v>15.792999121410933</v>
      </c>
      <c r="B187" s="10">
        <v>0.61730435281205942</v>
      </c>
      <c r="C187" s="9">
        <f t="shared" si="2"/>
        <v>6.1696617639896338</v>
      </c>
    </row>
    <row r="188" spans="1:3" x14ac:dyDescent="0.35">
      <c r="A188" s="10">
        <v>15.426267033448365</v>
      </c>
      <c r="B188" s="10">
        <v>14.082826555366681</v>
      </c>
      <c r="C188" s="9">
        <f t="shared" si="2"/>
        <v>14.574353421760126</v>
      </c>
    </row>
    <row r="189" spans="1:3" x14ac:dyDescent="0.35">
      <c r="A189" s="10">
        <v>1.3520037941774889</v>
      </c>
      <c r="B189" s="10">
        <v>4.8586230980213081</v>
      </c>
      <c r="C189" s="9">
        <f t="shared" si="2"/>
        <v>3.5756502933651175</v>
      </c>
    </row>
    <row r="190" spans="1:3" x14ac:dyDescent="0.35">
      <c r="A190" s="10">
        <v>-9.3407479674413061</v>
      </c>
      <c r="B190" s="10">
        <v>-2.1988520608108075E-2</v>
      </c>
      <c r="C190" s="9">
        <f t="shared" si="2"/>
        <v>-3.4314589841724223</v>
      </c>
    </row>
    <row r="191" spans="1:3" x14ac:dyDescent="0.35">
      <c r="A191" s="10">
        <v>-14.354890696421144</v>
      </c>
      <c r="B191" s="10">
        <v>10.200341097703248</v>
      </c>
      <c r="C191" s="9">
        <f t="shared" si="2"/>
        <v>1.2162764262524552</v>
      </c>
    </row>
    <row r="192" spans="1:3" x14ac:dyDescent="0.35">
      <c r="A192" s="10">
        <v>22.724012871753565</v>
      </c>
      <c r="B192" s="10">
        <v>-0.20979568265773274</v>
      </c>
      <c r="C192" s="9">
        <f t="shared" si="2"/>
        <v>8.1810360937624669</v>
      </c>
    </row>
    <row r="193" spans="1:3" x14ac:dyDescent="0.35">
      <c r="A193" s="10">
        <v>38.286539404523751</v>
      </c>
      <c r="B193" s="10">
        <v>3.7778021277560661</v>
      </c>
      <c r="C193" s="9">
        <f t="shared" si="2"/>
        <v>16.403572880967594</v>
      </c>
    </row>
    <row r="194" spans="1:3" x14ac:dyDescent="0.35">
      <c r="A194" s="10">
        <v>10.719898983289056</v>
      </c>
      <c r="B194" s="10">
        <v>11.458815956704953</v>
      </c>
      <c r="C194" s="9">
        <f t="shared" si="2"/>
        <v>11.188467139326264</v>
      </c>
    </row>
    <row r="195" spans="1:3" x14ac:dyDescent="0.35">
      <c r="A195" s="10">
        <v>-1.2917202535850638</v>
      </c>
      <c r="B195" s="10">
        <v>-4.959375106936097</v>
      </c>
      <c r="C195" s="9">
        <f t="shared" ref="C195:C251" si="3">SUMPRODUCT(A195:B195,$F$5:$G$5)</f>
        <v>-3.6174839502437588</v>
      </c>
    </row>
    <row r="196" spans="1:3" x14ac:dyDescent="0.35">
      <c r="A196" s="10">
        <v>4.5680714847520871</v>
      </c>
      <c r="B196" s="10">
        <v>13.234897756637878</v>
      </c>
      <c r="C196" s="9">
        <f t="shared" si="3"/>
        <v>10.063951199274003</v>
      </c>
    </row>
    <row r="197" spans="1:3" x14ac:dyDescent="0.35">
      <c r="A197" s="10">
        <v>-17.761142250728675</v>
      </c>
      <c r="B197" s="10">
        <v>-1.5885859431475193</v>
      </c>
      <c r="C197" s="9">
        <f t="shared" si="3"/>
        <v>-7.5056667912605066</v>
      </c>
    </row>
    <row r="198" spans="1:3" x14ac:dyDescent="0.35">
      <c r="A198" s="10">
        <v>17.960507612645522</v>
      </c>
      <c r="B198" s="10">
        <v>16.124723101892151</v>
      </c>
      <c r="C198" s="9">
        <f t="shared" si="3"/>
        <v>16.79638472193853</v>
      </c>
    </row>
    <row r="199" spans="1:3" x14ac:dyDescent="0.35">
      <c r="A199" s="10">
        <v>-3.5228082723434504</v>
      </c>
      <c r="B199" s="10">
        <v>2.3642342447917133</v>
      </c>
      <c r="C199" s="9">
        <f t="shared" si="3"/>
        <v>0.2103319260940637</v>
      </c>
    </row>
    <row r="200" spans="1:3" x14ac:dyDescent="0.35">
      <c r="A200" s="10">
        <v>6.4378230779597336</v>
      </c>
      <c r="B200" s="10">
        <v>1.982713463304739</v>
      </c>
      <c r="C200" s="9">
        <f t="shared" si="3"/>
        <v>3.6127120408803712</v>
      </c>
    </row>
    <row r="201" spans="1:3" x14ac:dyDescent="0.35">
      <c r="A201" s="10">
        <v>22.812868605431028</v>
      </c>
      <c r="B201" s="10">
        <v>17.287986031866588</v>
      </c>
      <c r="C201" s="9">
        <f t="shared" si="3"/>
        <v>19.309384272340594</v>
      </c>
    </row>
    <row r="202" spans="1:3" x14ac:dyDescent="0.35">
      <c r="A202" s="10">
        <v>-16.306073106843883</v>
      </c>
      <c r="B202" s="10">
        <v>6.7497037396550006</v>
      </c>
      <c r="C202" s="9">
        <f t="shared" si="3"/>
        <v>-1.6857527844836646</v>
      </c>
    </row>
    <row r="203" spans="1:3" x14ac:dyDescent="0.35">
      <c r="A203" s="10">
        <v>5.3239752374871543</v>
      </c>
      <c r="B203" s="10">
        <v>9.0994565654908346</v>
      </c>
      <c r="C203" s="9">
        <f t="shared" si="3"/>
        <v>7.7181147520221369</v>
      </c>
    </row>
    <row r="204" spans="1:3" x14ac:dyDescent="0.35">
      <c r="A204" s="10">
        <v>-24.91825521752142</v>
      </c>
      <c r="B204" s="10">
        <v>-10.17948129702631</v>
      </c>
      <c r="C204" s="9">
        <f t="shared" si="3"/>
        <v>-15.57198172991999</v>
      </c>
    </row>
    <row r="205" spans="1:3" x14ac:dyDescent="0.35">
      <c r="A205" s="10">
        <v>15.459461700384391</v>
      </c>
      <c r="B205" s="10">
        <v>20.299693939336318</v>
      </c>
      <c r="C205" s="9">
        <f t="shared" si="3"/>
        <v>18.528789888249726</v>
      </c>
    </row>
    <row r="206" spans="1:3" x14ac:dyDescent="0.35">
      <c r="A206" s="10">
        <v>11.909301328131406</v>
      </c>
      <c r="B206" s="10">
        <v>3.1318561695623965</v>
      </c>
      <c r="C206" s="9">
        <f t="shared" si="3"/>
        <v>6.3432750482701792</v>
      </c>
    </row>
    <row r="207" spans="1:3" x14ac:dyDescent="0.35">
      <c r="A207" s="10">
        <v>9.7781009512825889</v>
      </c>
      <c r="B207" s="10">
        <v>22.015749081716727</v>
      </c>
      <c r="C207" s="9">
        <f t="shared" si="3"/>
        <v>17.538339821153905</v>
      </c>
    </row>
    <row r="208" spans="1:3" x14ac:dyDescent="0.35">
      <c r="A208" s="10">
        <v>-11.721548477840042</v>
      </c>
      <c r="B208" s="10">
        <v>6.8933794051577735E-2</v>
      </c>
      <c r="C208" s="9">
        <f t="shared" si="3"/>
        <v>-4.24487012872852</v>
      </c>
    </row>
    <row r="209" spans="1:3" x14ac:dyDescent="0.35">
      <c r="A209" s="10">
        <v>8.5902604449889726</v>
      </c>
      <c r="B209" s="10">
        <v>17.780559674963964</v>
      </c>
      <c r="C209" s="9">
        <f t="shared" si="3"/>
        <v>14.418089170741872</v>
      </c>
    </row>
    <row r="210" spans="1:3" x14ac:dyDescent="0.35">
      <c r="A210" s="10">
        <v>5.3734860037356391</v>
      </c>
      <c r="B210" s="10">
        <v>-11.566298724242369</v>
      </c>
      <c r="C210" s="9">
        <f t="shared" si="3"/>
        <v>-5.3685107012018092</v>
      </c>
    </row>
    <row r="211" spans="1:3" x14ac:dyDescent="0.35">
      <c r="A211" s="10">
        <v>6.5431359189416254</v>
      </c>
      <c r="B211" s="10">
        <v>25.723754955241823</v>
      </c>
      <c r="C211" s="9">
        <f t="shared" si="3"/>
        <v>18.706109049662789</v>
      </c>
    </row>
    <row r="212" spans="1:3" x14ac:dyDescent="0.35">
      <c r="A212" s="10">
        <v>-9.5373923068761073</v>
      </c>
      <c r="B212" s="10">
        <v>-3.3340722735451376</v>
      </c>
      <c r="C212" s="9">
        <f t="shared" si="3"/>
        <v>-5.6036915882561935</v>
      </c>
    </row>
    <row r="213" spans="1:3" x14ac:dyDescent="0.35">
      <c r="A213" s="10">
        <v>38.36875365148488</v>
      </c>
      <c r="B213" s="10">
        <v>16.750226287498755</v>
      </c>
      <c r="C213" s="9">
        <f t="shared" si="3"/>
        <v>24.659833884282008</v>
      </c>
    </row>
    <row r="214" spans="1:3" x14ac:dyDescent="0.35">
      <c r="A214" s="10">
        <v>26.499148692378725</v>
      </c>
      <c r="B214" s="10">
        <v>20.441131961362231</v>
      </c>
      <c r="C214" s="9">
        <f t="shared" si="3"/>
        <v>22.657588908236018</v>
      </c>
    </row>
    <row r="215" spans="1:3" x14ac:dyDescent="0.35">
      <c r="A215" s="10">
        <v>12.89036454516917</v>
      </c>
      <c r="B215" s="10">
        <v>17.543137912387955</v>
      </c>
      <c r="C215" s="9">
        <f t="shared" si="3"/>
        <v>15.84081975945162</v>
      </c>
    </row>
    <row r="216" spans="1:3" x14ac:dyDescent="0.35">
      <c r="A216" s="10">
        <v>-6.8634619330028759</v>
      </c>
      <c r="B216" s="10">
        <v>1.8620763048513425</v>
      </c>
      <c r="C216" s="9">
        <f t="shared" si="3"/>
        <v>-1.3303512999598057</v>
      </c>
    </row>
    <row r="217" spans="1:3" x14ac:dyDescent="0.35">
      <c r="A217" s="10">
        <v>23.465761408820882</v>
      </c>
      <c r="B217" s="10">
        <v>11.709691020341381</v>
      </c>
      <c r="C217" s="9">
        <f t="shared" si="3"/>
        <v>16.010904608457448</v>
      </c>
    </row>
    <row r="218" spans="1:3" x14ac:dyDescent="0.35">
      <c r="A218" s="10">
        <v>-3.4344094370990259</v>
      </c>
      <c r="B218" s="10">
        <v>13.7496420453087</v>
      </c>
      <c r="C218" s="9">
        <f t="shared" si="3"/>
        <v>7.4624837268752433</v>
      </c>
    </row>
    <row r="219" spans="1:3" x14ac:dyDescent="0.35">
      <c r="A219" s="10">
        <v>3.3192094371691994</v>
      </c>
      <c r="B219" s="10">
        <v>-4.4743699815514635</v>
      </c>
      <c r="C219" s="9">
        <f t="shared" si="3"/>
        <v>-1.6229197445136556</v>
      </c>
    </row>
    <row r="220" spans="1:3" x14ac:dyDescent="0.35">
      <c r="A220" s="10">
        <v>-3.1227972701205946</v>
      </c>
      <c r="B220" s="10">
        <v>8.7650854390409823</v>
      </c>
      <c r="C220" s="9">
        <f t="shared" si="3"/>
        <v>4.415645451621077</v>
      </c>
    </row>
    <row r="221" spans="1:3" x14ac:dyDescent="0.35">
      <c r="A221" s="10">
        <v>9.413984494720383</v>
      </c>
      <c r="B221" s="10">
        <v>30.224107733768953</v>
      </c>
      <c r="C221" s="9">
        <f t="shared" si="3"/>
        <v>22.610272337386771</v>
      </c>
    </row>
    <row r="222" spans="1:3" x14ac:dyDescent="0.35">
      <c r="A222" s="10">
        <v>16.882327269913041</v>
      </c>
      <c r="B222" s="10">
        <v>20.04288051829737</v>
      </c>
      <c r="C222" s="9">
        <f t="shared" si="3"/>
        <v>18.886523493484312</v>
      </c>
    </row>
    <row r="223" spans="1:3" x14ac:dyDescent="0.35">
      <c r="A223" s="10">
        <v>34.711596825478388</v>
      </c>
      <c r="B223" s="10">
        <v>12.629766779382535</v>
      </c>
      <c r="C223" s="9">
        <f t="shared" si="3"/>
        <v>20.708883721197765</v>
      </c>
    </row>
    <row r="224" spans="1:3" x14ac:dyDescent="0.35">
      <c r="A224" s="10">
        <v>21.127313573283381</v>
      </c>
      <c r="B224" s="10">
        <v>-8.2965579421342355</v>
      </c>
      <c r="C224" s="9">
        <f t="shared" si="3"/>
        <v>2.4688042745736416</v>
      </c>
    </row>
    <row r="225" spans="1:3" x14ac:dyDescent="0.35">
      <c r="A225" s="10">
        <v>11.950522858812059</v>
      </c>
      <c r="B225" s="10">
        <v>18.055065476422726</v>
      </c>
      <c r="C225" s="9">
        <f t="shared" si="3"/>
        <v>15.821586023813168</v>
      </c>
    </row>
    <row r="226" spans="1:3" x14ac:dyDescent="0.35">
      <c r="A226" s="10">
        <v>22.830630837195365</v>
      </c>
      <c r="B226" s="10">
        <v>-5.7258825709227548</v>
      </c>
      <c r="C226" s="9">
        <f t="shared" si="3"/>
        <v>4.7221378509847813</v>
      </c>
    </row>
    <row r="227" spans="1:3" x14ac:dyDescent="0.35">
      <c r="A227" s="10">
        <v>13.26928053099126</v>
      </c>
      <c r="B227" s="10">
        <v>12.035720202441681</v>
      </c>
      <c r="C227" s="9">
        <f t="shared" si="3"/>
        <v>12.487045030516704</v>
      </c>
    </row>
    <row r="228" spans="1:3" x14ac:dyDescent="0.35">
      <c r="A228" s="10">
        <v>-4.5716556073703831</v>
      </c>
      <c r="B228" s="10">
        <v>-14.741098805249145</v>
      </c>
      <c r="C228" s="9">
        <f t="shared" si="3"/>
        <v>-11.020387222137574</v>
      </c>
    </row>
    <row r="229" spans="1:3" x14ac:dyDescent="0.35">
      <c r="A229" s="10">
        <v>21.302883496826176</v>
      </c>
      <c r="B229" s="10">
        <v>-0.64046320268175005</v>
      </c>
      <c r="C229" s="9">
        <f t="shared" si="3"/>
        <v>7.3879866001670891</v>
      </c>
    </row>
    <row r="230" spans="1:3" x14ac:dyDescent="0.35">
      <c r="A230" s="10">
        <v>-4.895620307213953</v>
      </c>
      <c r="B230" s="10">
        <v>11.64927202524426</v>
      </c>
      <c r="C230" s="9">
        <f t="shared" si="3"/>
        <v>5.5959639586284196</v>
      </c>
    </row>
    <row r="231" spans="1:3" x14ac:dyDescent="0.35">
      <c r="A231" s="10">
        <v>-3.5114481668406352</v>
      </c>
      <c r="B231" s="10">
        <v>5.5105566966449899</v>
      </c>
      <c r="C231" s="9">
        <f t="shared" si="3"/>
        <v>2.2096603402484192</v>
      </c>
    </row>
    <row r="232" spans="1:3" x14ac:dyDescent="0.35">
      <c r="A232" s="10">
        <v>4.7068302432193416</v>
      </c>
      <c r="B232" s="10">
        <v>17.908580543286629</v>
      </c>
      <c r="C232" s="9">
        <f t="shared" si="3"/>
        <v>13.078433572304686</v>
      </c>
    </row>
    <row r="233" spans="1:3" x14ac:dyDescent="0.35">
      <c r="A233" s="10">
        <v>4.4358527725563084</v>
      </c>
      <c r="B233" s="10">
        <v>-7.884217548444969</v>
      </c>
      <c r="C233" s="9">
        <f t="shared" si="3"/>
        <v>-3.3766523399918489</v>
      </c>
    </row>
    <row r="234" spans="1:3" x14ac:dyDescent="0.35">
      <c r="A234" s="10">
        <v>2.150432133769403</v>
      </c>
      <c r="B234" s="10">
        <v>5.6418758988850346</v>
      </c>
      <c r="C234" s="9">
        <f t="shared" si="3"/>
        <v>4.3644553945492497</v>
      </c>
    </row>
    <row r="235" spans="1:3" x14ac:dyDescent="0.35">
      <c r="A235" s="10">
        <v>1.8689001248414678</v>
      </c>
      <c r="B235" s="10">
        <v>8.2976147591511857</v>
      </c>
      <c r="C235" s="9">
        <f t="shared" si="3"/>
        <v>5.9455299361213099</v>
      </c>
    </row>
    <row r="236" spans="1:3" x14ac:dyDescent="0.35">
      <c r="A236" s="10">
        <v>15.161999197189164</v>
      </c>
      <c r="B236" s="10">
        <v>12.695409162588021</v>
      </c>
      <c r="C236" s="9">
        <f t="shared" si="3"/>
        <v>13.597864678976801</v>
      </c>
    </row>
    <row r="237" spans="1:3" x14ac:dyDescent="0.35">
      <c r="A237" s="10">
        <v>12.988169290183876</v>
      </c>
      <c r="B237" s="10">
        <v>3.8538917570212403</v>
      </c>
      <c r="C237" s="9">
        <f t="shared" si="3"/>
        <v>7.1958655071753421</v>
      </c>
    </row>
    <row r="238" spans="1:3" x14ac:dyDescent="0.35">
      <c r="A238" s="10">
        <v>7.5902891671193418</v>
      </c>
      <c r="B238" s="10">
        <v>19.538086237135648</v>
      </c>
      <c r="C238" s="9">
        <f t="shared" si="3"/>
        <v>15.166725279994075</v>
      </c>
    </row>
    <row r="239" spans="1:3" x14ac:dyDescent="0.35">
      <c r="A239" s="10">
        <v>4.68346999481221</v>
      </c>
      <c r="B239" s="10">
        <v>13.448374266367452</v>
      </c>
      <c r="C239" s="9">
        <f t="shared" si="3"/>
        <v>10.241543743449331</v>
      </c>
    </row>
    <row r="240" spans="1:3" x14ac:dyDescent="0.35">
      <c r="A240" s="10">
        <v>-5.3159569181683715</v>
      </c>
      <c r="B240" s="10">
        <v>3.8233361280496978</v>
      </c>
      <c r="C240" s="9">
        <f t="shared" si="3"/>
        <v>0.47952734355227089</v>
      </c>
    </row>
    <row r="241" spans="1:3" x14ac:dyDescent="0.35">
      <c r="A241" s="10">
        <v>18.568463299138685</v>
      </c>
      <c r="B241" s="10">
        <v>21.343790737422076</v>
      </c>
      <c r="C241" s="9">
        <f t="shared" si="3"/>
        <v>20.328376938886642</v>
      </c>
    </row>
    <row r="242" spans="1:3" x14ac:dyDescent="0.35">
      <c r="A242" s="10">
        <v>19.085850518372908</v>
      </c>
      <c r="B242" s="10">
        <v>20.089499366923455</v>
      </c>
      <c r="C242" s="9">
        <f t="shared" si="3"/>
        <v>19.722292645422957</v>
      </c>
    </row>
    <row r="243" spans="1:3" x14ac:dyDescent="0.35">
      <c r="A243" s="10">
        <v>21.697380275389868</v>
      </c>
      <c r="B243" s="10">
        <v>21.946042306495439</v>
      </c>
      <c r="C243" s="9">
        <f t="shared" si="3"/>
        <v>21.855063903704661</v>
      </c>
    </row>
    <row r="244" spans="1:3" x14ac:dyDescent="0.35">
      <c r="A244" s="10">
        <v>40.330367471410725</v>
      </c>
      <c r="B244" s="10">
        <v>11.169358506662078</v>
      </c>
      <c r="C244" s="9">
        <f t="shared" si="3"/>
        <v>21.83854675218889</v>
      </c>
    </row>
    <row r="245" spans="1:3" x14ac:dyDescent="0.35">
      <c r="A245" s="10">
        <v>-8.6089310941586774</v>
      </c>
      <c r="B245" s="10">
        <v>-2.3362258038404917</v>
      </c>
      <c r="C245" s="9">
        <f t="shared" si="3"/>
        <v>-4.6312312212462707</v>
      </c>
    </row>
    <row r="246" spans="1:3" x14ac:dyDescent="0.35">
      <c r="A246" s="10">
        <v>-2.1470371826158221</v>
      </c>
      <c r="B246" s="10">
        <v>-2.9314186153972379</v>
      </c>
      <c r="C246" s="9">
        <f t="shared" si="3"/>
        <v>-2.6444356384790693</v>
      </c>
    </row>
    <row r="247" spans="1:3" x14ac:dyDescent="0.35">
      <c r="A247" s="10">
        <v>23.352244297389277</v>
      </c>
      <c r="B247" s="10">
        <v>29.75360573395939</v>
      </c>
      <c r="C247" s="9">
        <f t="shared" si="3"/>
        <v>27.411528672188865</v>
      </c>
    </row>
    <row r="248" spans="1:3" x14ac:dyDescent="0.35">
      <c r="A248" s="10">
        <v>1.9895151932901447</v>
      </c>
      <c r="B248" s="10">
        <v>3.2676564944075626</v>
      </c>
      <c r="C248" s="9">
        <f t="shared" si="3"/>
        <v>2.8000207496194078</v>
      </c>
    </row>
    <row r="249" spans="1:3" x14ac:dyDescent="0.35">
      <c r="A249" s="10">
        <v>59.277456397837526</v>
      </c>
      <c r="B249" s="10">
        <v>30.68200336666338</v>
      </c>
      <c r="C249" s="9">
        <f t="shared" si="3"/>
        <v>41.144270695085602</v>
      </c>
    </row>
    <row r="250" spans="1:3" x14ac:dyDescent="0.35">
      <c r="A250" s="10">
        <v>23.588824429559786</v>
      </c>
      <c r="B250" s="10">
        <v>15.622292417397878</v>
      </c>
      <c r="C250" s="9">
        <f t="shared" si="3"/>
        <v>18.537021115726493</v>
      </c>
    </row>
    <row r="251" spans="1:3" x14ac:dyDescent="0.35">
      <c r="A251" s="10">
        <v>24.277803962860318</v>
      </c>
      <c r="B251" s="10">
        <v>-18.33681671731755</v>
      </c>
      <c r="C251" s="9">
        <f t="shared" si="3"/>
        <v>-2.7453325338258754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Portfolio Returns</vt:lpstr>
      <vt:lpstr>Efficient Frontier</vt:lpstr>
      <vt:lpstr>Sharpe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2016-11-08T18:30:13Z</dcterms:created>
  <dcterms:modified xsi:type="dcterms:W3CDTF">2019-02-02T05:26:39Z</dcterms:modified>
</cp:coreProperties>
</file>