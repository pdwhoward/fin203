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2 Portfolio Theory\3 Practice\Numerical Optimization - Computational Questions\"/>
    </mc:Choice>
  </mc:AlternateContent>
  <xr:revisionPtr revIDLastSave="0" documentId="13_ncr:1_{E42FBD02-7544-4087-AB78-38D2627E7987}" xr6:coauthVersionLast="37" xr6:coauthVersionMax="37" xr10:uidLastSave="{00000000-0000-0000-0000-000000000000}"/>
  <bookViews>
    <workbookView xWindow="0" yWindow="0" windowWidth="19200" windowHeight="8844" xr2:uid="{CE040042-029B-4747-BD3E-3DAEB8DF9094}"/>
  </bookViews>
  <sheets>
    <sheet name="Computational Solutions" sheetId="13" r:id="rId1"/>
  </sheets>
  <definedNames>
    <definedName name="solver_adj" localSheetId="0" hidden="1">'Computational Solutions'!$I$6:$M$6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'Computational Solutions'!$I$6:$M$6</definedName>
    <definedName name="solver_lhs2" localSheetId="0" hidden="1">'Computational Solutions'!$I$6:$M$6</definedName>
    <definedName name="solver_lhs3" localSheetId="0" hidden="1">'Computational Solutions'!$N$6</definedName>
    <definedName name="solver_lhs4" localSheetId="0" hidden="1">'Computational Solutions'!$L$5</definedName>
    <definedName name="solver_lhs5" localSheetId="0" hidden="1">'Computational Solutions'!$N$5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'Computational Solutions'!$N$4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el4" localSheetId="0" hidden="1">3</definedName>
    <definedName name="solver_rel5" localSheetId="0" hidden="1">2</definedName>
    <definedName name="solver_rhs1" localSheetId="0" hidden="1">1</definedName>
    <definedName name="solver_rhs2" localSheetId="0" hidden="1">0</definedName>
    <definedName name="solver_rhs3" localSheetId="0" hidden="1">'Computational Solutions'!$O$6</definedName>
    <definedName name="solver_rhs4" localSheetId="0" hidden="1">2*'Computational Solutions'!$J$5</definedName>
    <definedName name="solver_rhs5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7" i="13" l="1"/>
  <c r="M7" i="13"/>
  <c r="N6" i="13"/>
  <c r="O6" i="13"/>
  <c r="N5" i="13"/>
  <c r="K5" i="13"/>
  <c r="K7" i="13" s="1"/>
  <c r="J5" i="13"/>
  <c r="J7" i="13" s="1"/>
  <c r="I5" i="13"/>
  <c r="I7" i="13" s="1"/>
  <c r="N7" i="13" l="1"/>
  <c r="F2" i="13"/>
  <c r="F54" i="13"/>
  <c r="F86" i="13"/>
  <c r="F70" i="13"/>
  <c r="F6" i="13"/>
  <c r="F10" i="13"/>
  <c r="F14" i="13"/>
  <c r="F18" i="13"/>
  <c r="F22" i="13"/>
  <c r="F26" i="13"/>
  <c r="F30" i="13"/>
  <c r="F34" i="13"/>
  <c r="F38" i="13"/>
  <c r="F98" i="13"/>
  <c r="F82" i="13"/>
  <c r="F66" i="13"/>
  <c r="F50" i="13"/>
  <c r="F5" i="13"/>
  <c r="F94" i="13"/>
  <c r="F78" i="13"/>
  <c r="F62" i="13"/>
  <c r="F46" i="13"/>
  <c r="F3" i="13"/>
  <c r="F90" i="13"/>
  <c r="F74" i="13"/>
  <c r="F58" i="13"/>
  <c r="F42" i="13"/>
  <c r="F101" i="13"/>
  <c r="F97" i="13"/>
  <c r="F93" i="13"/>
  <c r="F89" i="13"/>
  <c r="F85" i="13"/>
  <c r="F81" i="13"/>
  <c r="F77" i="13"/>
  <c r="F73" i="13"/>
  <c r="F69" i="13"/>
  <c r="F65" i="13"/>
  <c r="F61" i="13"/>
  <c r="F57" i="13"/>
  <c r="F53" i="13"/>
  <c r="F49" i="13"/>
  <c r="F45" i="13"/>
  <c r="F41" i="13"/>
  <c r="F37" i="13"/>
  <c r="F33" i="13"/>
  <c r="F29" i="13"/>
  <c r="F25" i="13"/>
  <c r="F21" i="13"/>
  <c r="F17" i="13"/>
  <c r="F13" i="13"/>
  <c r="F9" i="13"/>
  <c r="F100" i="13"/>
  <c r="F96" i="13"/>
  <c r="F92" i="13"/>
  <c r="F88" i="13"/>
  <c r="F84" i="13"/>
  <c r="F80" i="13"/>
  <c r="F76" i="13"/>
  <c r="F72" i="13"/>
  <c r="F68" i="13"/>
  <c r="F64" i="13"/>
  <c r="F60" i="13"/>
  <c r="F56" i="13"/>
  <c r="F52" i="13"/>
  <c r="F48" i="13"/>
  <c r="F44" i="13"/>
  <c r="F40" i="13"/>
  <c r="F36" i="13"/>
  <c r="F32" i="13"/>
  <c r="F28" i="13"/>
  <c r="F24" i="13"/>
  <c r="F20" i="13"/>
  <c r="F16" i="13"/>
  <c r="F12" i="13"/>
  <c r="F8" i="13"/>
  <c r="F4" i="13"/>
  <c r="F99" i="13"/>
  <c r="F95" i="13"/>
  <c r="F91" i="13"/>
  <c r="F87" i="13"/>
  <c r="F83" i="13"/>
  <c r="F79" i="13"/>
  <c r="F75" i="13"/>
  <c r="F71" i="13"/>
  <c r="F67" i="13"/>
  <c r="F63" i="13"/>
  <c r="F59" i="13"/>
  <c r="F55" i="13"/>
  <c r="F51" i="13"/>
  <c r="F47" i="13"/>
  <c r="F43" i="13"/>
  <c r="F39" i="13"/>
  <c r="F35" i="13"/>
  <c r="F31" i="13"/>
  <c r="F27" i="13"/>
  <c r="F23" i="13"/>
  <c r="F19" i="13"/>
  <c r="F15" i="13"/>
  <c r="F11" i="13"/>
  <c r="F7" i="13"/>
  <c r="J2" i="13"/>
  <c r="K2" i="13"/>
  <c r="L2" i="13"/>
  <c r="M2" i="13"/>
  <c r="J3" i="13"/>
  <c r="K3" i="13"/>
  <c r="K4" i="13" s="1"/>
  <c r="L3" i="13"/>
  <c r="L4" i="13" s="1"/>
  <c r="M3" i="13"/>
  <c r="J4" i="13"/>
  <c r="I4" i="13"/>
  <c r="I3" i="13"/>
  <c r="I2" i="13"/>
  <c r="M4" i="13" l="1"/>
  <c r="N2" i="13"/>
  <c r="N3" i="13"/>
  <c r="N4" i="13" l="1"/>
</calcChain>
</file>

<file path=xl/sharedStrings.xml><?xml version="1.0" encoding="utf-8"?>
<sst xmlns="http://schemas.openxmlformats.org/spreadsheetml/2006/main" count="28" uniqueCount="17">
  <si>
    <t>Standard Deviation</t>
  </si>
  <si>
    <t>Portfolio</t>
  </si>
  <si>
    <t>Sharpe</t>
  </si>
  <si>
    <t>Weights</t>
  </si>
  <si>
    <t>Rf</t>
  </si>
  <si>
    <t>Asset 1</t>
  </si>
  <si>
    <t>Asset 2</t>
  </si>
  <si>
    <t>Asset 3</t>
  </si>
  <si>
    <t>Asset 4</t>
  </si>
  <si>
    <t>Asset 5</t>
  </si>
  <si>
    <t>Problem 1</t>
  </si>
  <si>
    <t>Problem 2</t>
  </si>
  <si>
    <t>Problem 3</t>
  </si>
  <si>
    <t>Expected Return</t>
  </si>
  <si>
    <t>Current Weights</t>
  </si>
  <si>
    <t>New Weights</t>
  </si>
  <si>
    <t>Total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</si>
</sst>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2" fillId="0" borderId="0" xfId="1" applyFont="1" applyAlignment="1">
      <alignment horizontal="center"/>
    </xf>
    <xf numFmtId="0" fontId="2" fillId="0" borderId="0" xfId="0" applyFont="1"/>
    <xf numFmtId="2" fontId="2" fillId="0" borderId="0" xfId="0" applyNumberFormat="1" applyFont="1"/>
    <xf numFmtId="9" fontId="2" fillId="0" borderId="0" xfId="1" applyFont="1"/>
    <xf numFmtId="2" fontId="2" fillId="0" borderId="0" xfId="1" applyNumberFormat="1" applyFont="1"/>
    <xf numFmtId="9" fontId="2" fillId="2" borderId="0" xfId="1" applyFont="1" applyFill="1"/>
    <xf numFmtId="9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54B8-9E46-448A-93C4-9F2D7DF554A5}">
  <dimension ref="A1:O101"/>
  <sheetViews>
    <sheetView tabSelected="1" workbookViewId="0">
      <pane ySplit="1" topLeftCell="A2" activePane="bottomLeft" state="frozen"/>
      <selection pane="bottomLeft" activeCell="N9" sqref="N9"/>
    </sheetView>
  </sheetViews>
  <sheetFormatPr defaultColWidth="8.796875" defaultRowHeight="15.6" x14ac:dyDescent="0.3"/>
  <cols>
    <col min="1" max="5" width="6.8984375" style="4" bestFit="1" customWidth="1"/>
    <col min="6" max="6" width="8.19921875" style="4" bestFit="1" customWidth="1"/>
    <col min="7" max="7" width="8.796875" style="2"/>
    <col min="8" max="8" width="17.19921875" style="2" bestFit="1" customWidth="1"/>
    <col min="9" max="13" width="6.8984375" style="2" bestFit="1" customWidth="1"/>
    <col min="14" max="14" width="8.19921875" style="2" bestFit="1" customWidth="1"/>
    <col min="15" max="15" width="4.19921875" style="2" bestFit="1" customWidth="1"/>
    <col min="16" max="16384" width="8.796875" style="2"/>
  </cols>
  <sheetData>
    <row r="1" spans="1:15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</v>
      </c>
      <c r="O1" s="3" t="s">
        <v>4</v>
      </c>
    </row>
    <row r="2" spans="1:15" x14ac:dyDescent="0.3">
      <c r="A2" s="4">
        <v>0.15065007093191499</v>
      </c>
      <c r="B2" s="4">
        <v>0.24370444161329399</v>
      </c>
      <c r="C2" s="4">
        <v>0.19221457378474299</v>
      </c>
      <c r="D2" s="4">
        <v>0.218696968294498</v>
      </c>
      <c r="E2" s="4">
        <v>0.29976915373299901</v>
      </c>
      <c r="F2" s="4">
        <f>SUMPRODUCT(A2:E2,$I$7:$M$7)</f>
        <v>0.20530239703944742</v>
      </c>
      <c r="H2" s="2" t="s">
        <v>13</v>
      </c>
      <c r="I2" s="4">
        <f>AVERAGE(A2:A101)</f>
        <v>8.8462800625150897E-2</v>
      </c>
      <c r="J2" s="4">
        <f t="shared" ref="J2:N2" si="0">AVERAGE(B2:B101)</f>
        <v>7.4490624525740359E-2</v>
      </c>
      <c r="K2" s="4">
        <f t="shared" si="0"/>
        <v>7.7868759209502411E-2</v>
      </c>
      <c r="L2" s="4">
        <f t="shared" si="0"/>
        <v>9.6416275281988303E-2</v>
      </c>
      <c r="M2" s="4">
        <f t="shared" si="0"/>
        <v>0.11923712441312219</v>
      </c>
      <c r="N2" s="4">
        <f t="shared" si="0"/>
        <v>8.3136257067475836E-2</v>
      </c>
      <c r="O2" s="4">
        <v>0.01</v>
      </c>
    </row>
    <row r="3" spans="1:15" x14ac:dyDescent="0.3">
      <c r="A3" s="4">
        <v>0.34508275218926299</v>
      </c>
      <c r="B3" s="4">
        <v>2.9516271117923602E-2</v>
      </c>
      <c r="C3" s="4">
        <v>2.20581120161445E-2</v>
      </c>
      <c r="D3" s="4">
        <v>6.7472578730450802E-2</v>
      </c>
      <c r="E3" s="4">
        <v>0.32127052948538698</v>
      </c>
      <c r="F3" s="4">
        <f t="shared" ref="F3:F66" si="1">SUMPRODUCT(A3:E3,$I$7:$M$7)</f>
        <v>0.14461947880918982</v>
      </c>
      <c r="H3" s="2" t="s">
        <v>0</v>
      </c>
      <c r="I3" s="4">
        <f>_xlfn.STDEV.S(A2:A101)</f>
        <v>0.17435983842680072</v>
      </c>
      <c r="J3" s="4">
        <f t="shared" ref="J3:N3" si="2">_xlfn.STDEV.S(B2:B101)</f>
        <v>0.17758742399529637</v>
      </c>
      <c r="K3" s="4">
        <f t="shared" si="2"/>
        <v>0.20328461556850932</v>
      </c>
      <c r="L3" s="4">
        <f t="shared" si="2"/>
        <v>0.21551530848904324</v>
      </c>
      <c r="M3" s="4">
        <f t="shared" si="2"/>
        <v>0.24666987018366301</v>
      </c>
      <c r="N3" s="4">
        <f t="shared" si="2"/>
        <v>0.14431108799876072</v>
      </c>
    </row>
    <row r="4" spans="1:15" x14ac:dyDescent="0.3">
      <c r="A4" s="4">
        <v>-0.26882702915054701</v>
      </c>
      <c r="B4" s="4">
        <v>-1.89691687680636E-2</v>
      </c>
      <c r="C4" s="4">
        <v>8.3670523336880506E-2</v>
      </c>
      <c r="D4" s="4">
        <v>-4.9274834714788801E-2</v>
      </c>
      <c r="E4" s="4">
        <v>-0.39930664442048402</v>
      </c>
      <c r="F4" s="4">
        <f t="shared" si="1"/>
        <v>-0.10297366842247249</v>
      </c>
      <c r="H4" s="2" t="s">
        <v>2</v>
      </c>
      <c r="I4" s="5">
        <f>(I2-$O$2)/I3</f>
        <v>0.45000500879731514</v>
      </c>
      <c r="J4" s="5">
        <f t="shared" ref="J4:N4" si="3">(J2-$O$2)/J3</f>
        <v>0.3631486006996108</v>
      </c>
      <c r="K4" s="5">
        <f t="shared" si="3"/>
        <v>0.3338607745583671</v>
      </c>
      <c r="L4" s="5">
        <f t="shared" si="3"/>
        <v>0.400975113498175</v>
      </c>
      <c r="M4" s="5">
        <f t="shared" si="3"/>
        <v>0.44284745571799061</v>
      </c>
      <c r="N4" s="5">
        <f t="shared" si="3"/>
        <v>0.50679582616759078</v>
      </c>
    </row>
    <row r="5" spans="1:15" x14ac:dyDescent="0.3">
      <c r="A5" s="4">
        <v>0.199325998055218</v>
      </c>
      <c r="B5" s="4">
        <v>3.5664765592761001E-2</v>
      </c>
      <c r="C5" s="4">
        <v>0.18832870245775399</v>
      </c>
      <c r="D5" s="4">
        <v>0.28126670357601802</v>
      </c>
      <c r="E5" s="4">
        <v>4.8816799692278298E-2</v>
      </c>
      <c r="F5" s="4">
        <f t="shared" si="1"/>
        <v>0.1369853751171819</v>
      </c>
      <c r="H5" s="2" t="s">
        <v>14</v>
      </c>
      <c r="I5" s="4">
        <f>40/120</f>
        <v>0.33333333333333331</v>
      </c>
      <c r="J5" s="4">
        <f>50/120</f>
        <v>0.41666666666666669</v>
      </c>
      <c r="K5" s="4">
        <f>10/120</f>
        <v>8.3333333333333329E-2</v>
      </c>
      <c r="L5" s="4">
        <v>0</v>
      </c>
      <c r="M5" s="4">
        <v>0</v>
      </c>
      <c r="N5" s="4">
        <f>SUM(I5:M5)</f>
        <v>0.83333333333333337</v>
      </c>
    </row>
    <row r="6" spans="1:15" x14ac:dyDescent="0.3">
      <c r="A6" s="4">
        <v>0.11781478597884699</v>
      </c>
      <c r="B6" s="4">
        <v>0.14547889259121899</v>
      </c>
      <c r="C6" s="4">
        <v>0.148142596033182</v>
      </c>
      <c r="D6" s="4">
        <v>0.30010538384614699</v>
      </c>
      <c r="E6" s="4">
        <v>0.13351175762943401</v>
      </c>
      <c r="F6" s="4">
        <f t="shared" si="1"/>
        <v>0.15538911731266661</v>
      </c>
      <c r="H6" s="2" t="s">
        <v>15</v>
      </c>
      <c r="I6" s="6">
        <v>0</v>
      </c>
      <c r="J6" s="6">
        <v>0</v>
      </c>
      <c r="K6" s="6">
        <v>2.2545507859148134E-2</v>
      </c>
      <c r="L6" s="6">
        <v>0.12349968937763325</v>
      </c>
      <c r="M6" s="6">
        <v>2.0621619429885281E-2</v>
      </c>
      <c r="N6" s="4">
        <f>SUM(I6:M6)</f>
        <v>0.16666681666666666</v>
      </c>
      <c r="O6" s="4">
        <f>20/120</f>
        <v>0.16666666666666666</v>
      </c>
    </row>
    <row r="7" spans="1:15" x14ac:dyDescent="0.3">
      <c r="A7" s="4">
        <v>-0.12615324444579101</v>
      </c>
      <c r="B7" s="4">
        <v>-8.4046860127678896E-2</v>
      </c>
      <c r="C7" s="4">
        <v>5.68949643451679E-2</v>
      </c>
      <c r="D7" s="4">
        <v>-0.18377252407536701</v>
      </c>
      <c r="E7" s="4">
        <v>-0.106643769867977</v>
      </c>
      <c r="F7" s="4">
        <f t="shared" si="1"/>
        <v>-9.5941650516813082E-2</v>
      </c>
      <c r="H7" s="2" t="s">
        <v>16</v>
      </c>
      <c r="I7" s="7">
        <f>SUM(I5:I6)</f>
        <v>0.33333333333333331</v>
      </c>
      <c r="J7" s="7">
        <f t="shared" ref="J7:M7" si="4">SUM(J5:J6)</f>
        <v>0.41666666666666669</v>
      </c>
      <c r="K7" s="7">
        <f t="shared" si="4"/>
        <v>0.10587884119248146</v>
      </c>
      <c r="L7" s="7">
        <f t="shared" si="4"/>
        <v>0.12349968937763325</v>
      </c>
      <c r="M7" s="7">
        <f t="shared" si="4"/>
        <v>2.0621619429885281E-2</v>
      </c>
      <c r="N7" s="7">
        <f>SUM(N5:N6)</f>
        <v>1.00000015</v>
      </c>
    </row>
    <row r="8" spans="1:15" x14ac:dyDescent="0.3">
      <c r="A8" s="4">
        <v>4.9611966541474699E-3</v>
      </c>
      <c r="B8" s="4">
        <v>0.13734431848686501</v>
      </c>
      <c r="C8" s="4">
        <v>0.119158491838741</v>
      </c>
      <c r="D8" s="4">
        <v>0.162244569156409</v>
      </c>
      <c r="E8" s="4">
        <v>0.29119341431430501</v>
      </c>
      <c r="F8" s="4">
        <f t="shared" si="1"/>
        <v>9.7538928286208873E-2</v>
      </c>
    </row>
    <row r="9" spans="1:15" x14ac:dyDescent="0.3">
      <c r="A9" s="4">
        <v>0.12139366998079699</v>
      </c>
      <c r="B9" s="4">
        <v>0.217376117300498</v>
      </c>
      <c r="C9" s="4">
        <v>-1.7889521321522699E-2</v>
      </c>
      <c r="D9" s="4">
        <v>0.182925961090356</v>
      </c>
      <c r="E9" s="4">
        <v>0.14683472849280199</v>
      </c>
      <c r="F9" s="4">
        <f t="shared" si="1"/>
        <v>0.15476308634562858</v>
      </c>
    </row>
    <row r="10" spans="1:15" x14ac:dyDescent="0.3">
      <c r="A10" s="4">
        <v>0.60675954095886397</v>
      </c>
      <c r="B10" s="4">
        <v>0.54011451091019802</v>
      </c>
      <c r="C10" s="4">
        <v>0.39566810036047401</v>
      </c>
      <c r="D10" s="4">
        <v>0.71087927686477503</v>
      </c>
      <c r="E10" s="4">
        <v>0.96135323798487804</v>
      </c>
      <c r="F10" s="4">
        <f t="shared" si="1"/>
        <v>0.57681180365107632</v>
      </c>
      <c r="H10" s="2" t="s">
        <v>3</v>
      </c>
      <c r="I10" s="1" t="s">
        <v>5</v>
      </c>
      <c r="J10" s="1" t="s">
        <v>6</v>
      </c>
      <c r="K10" s="1" t="s">
        <v>7</v>
      </c>
      <c r="L10" s="1" t="s">
        <v>8</v>
      </c>
      <c r="M10" s="1" t="s">
        <v>9</v>
      </c>
    </row>
    <row r="11" spans="1:15" x14ac:dyDescent="0.3">
      <c r="A11" s="4">
        <v>0.48541555448273199</v>
      </c>
      <c r="B11" s="4">
        <v>0.18976033990895799</v>
      </c>
      <c r="C11" s="4">
        <v>0.268628834900695</v>
      </c>
      <c r="D11" s="4">
        <v>0.471098250955786</v>
      </c>
      <c r="E11" s="4">
        <v>0.56672221891683106</v>
      </c>
      <c r="F11" s="4">
        <f t="shared" si="1"/>
        <v>0.33918132045349741</v>
      </c>
      <c r="H11" s="2" t="s">
        <v>10</v>
      </c>
      <c r="I11" s="4">
        <v>0.14800924730949711</v>
      </c>
      <c r="J11" s="4">
        <v>0.15237927590519224</v>
      </c>
      <c r="K11" s="4">
        <v>0.15199075240032969</v>
      </c>
      <c r="L11" s="4">
        <v>0.30475855182025452</v>
      </c>
      <c r="M11" s="4">
        <v>0.2428621728526705</v>
      </c>
    </row>
    <row r="12" spans="1:15" x14ac:dyDescent="0.3">
      <c r="A12" s="4">
        <v>-0.13248304102347799</v>
      </c>
      <c r="B12" s="4">
        <v>-0.33562059002077599</v>
      </c>
      <c r="C12" s="4">
        <v>-0.17991298675332701</v>
      </c>
      <c r="D12" s="4">
        <v>-1.04440699113397E-2</v>
      </c>
      <c r="E12" s="4">
        <v>-3.7061245614494101E-2</v>
      </c>
      <c r="F12" s="4">
        <f t="shared" si="1"/>
        <v>-0.2051060070286182</v>
      </c>
      <c r="H12" s="2" t="s">
        <v>11</v>
      </c>
      <c r="I12" s="4">
        <v>0</v>
      </c>
      <c r="J12" s="4">
        <v>0</v>
      </c>
      <c r="K12" s="4">
        <v>0</v>
      </c>
      <c r="L12" s="4">
        <v>0</v>
      </c>
      <c r="M12" s="4">
        <v>0.99999997108358618</v>
      </c>
    </row>
    <row r="13" spans="1:15" x14ac:dyDescent="0.3">
      <c r="A13" s="4">
        <v>0.52523851994977799</v>
      </c>
      <c r="B13" s="4">
        <v>9.8625271526924296E-2</v>
      </c>
      <c r="C13" s="4">
        <v>0.57719669747062297</v>
      </c>
      <c r="D13" s="4">
        <v>0.36955292360791903</v>
      </c>
      <c r="E13" s="4">
        <v>0.52248100752179705</v>
      </c>
      <c r="F13" s="4">
        <f t="shared" si="1"/>
        <v>0.33370036302509304</v>
      </c>
      <c r="H13" s="2" t="s">
        <v>12</v>
      </c>
      <c r="I13" s="4">
        <v>0.33333333333333331</v>
      </c>
      <c r="J13" s="4">
        <v>0.41666666666666669</v>
      </c>
      <c r="K13" s="4">
        <v>0.10587884119248146</v>
      </c>
      <c r="L13" s="4">
        <v>0.12349968937763325</v>
      </c>
      <c r="M13" s="4">
        <v>2.0621619429885281E-2</v>
      </c>
    </row>
    <row r="14" spans="1:15" x14ac:dyDescent="0.3">
      <c r="A14" s="4">
        <v>0.178810633741916</v>
      </c>
      <c r="B14" s="4">
        <v>0.33666972282736601</v>
      </c>
      <c r="C14" s="4">
        <v>4.4463985532202703E-2</v>
      </c>
      <c r="D14" s="4">
        <v>0.21489635169637</v>
      </c>
      <c r="E14" s="4">
        <v>0.18179871289423</v>
      </c>
      <c r="F14" s="4">
        <f t="shared" si="1"/>
        <v>0.23487900757469285</v>
      </c>
    </row>
    <row r="15" spans="1:15" x14ac:dyDescent="0.3">
      <c r="A15" s="4">
        <v>6.0541769021551603E-2</v>
      </c>
      <c r="B15" s="4">
        <v>-9.7086861664031202E-2</v>
      </c>
      <c r="C15" s="4">
        <v>-3.5676039495906198E-2</v>
      </c>
      <c r="D15" s="4">
        <v>0.20292482669563</v>
      </c>
      <c r="E15" s="4">
        <v>-0.20433364057373199</v>
      </c>
      <c r="F15" s="4">
        <f t="shared" si="1"/>
        <v>-3.2021445817069852E-3</v>
      </c>
    </row>
    <row r="16" spans="1:15" x14ac:dyDescent="0.3">
      <c r="A16" s="4">
        <v>0.177211435573914</v>
      </c>
      <c r="B16" s="4">
        <v>0.27228945450193398</v>
      </c>
      <c r="C16" s="4">
        <v>5.7441103342467097E-2</v>
      </c>
      <c r="D16" s="4">
        <v>-0.147744752725499</v>
      </c>
      <c r="E16" s="4">
        <v>0.22750975980777499</v>
      </c>
      <c r="F16" s="4">
        <f t="shared" si="1"/>
        <v>0.165051403973728</v>
      </c>
    </row>
    <row r="17" spans="1:6" x14ac:dyDescent="0.3">
      <c r="A17" s="4">
        <v>3.9255091255033799E-2</v>
      </c>
      <c r="B17" s="4">
        <v>8.9663845442377599E-2</v>
      </c>
      <c r="C17" s="4">
        <v>-0.121224536889396</v>
      </c>
      <c r="D17" s="4">
        <v>-1.5852203609832399E-2</v>
      </c>
      <c r="E17" s="4">
        <v>0.180254349955729</v>
      </c>
      <c r="F17" s="4">
        <f t="shared" si="1"/>
        <v>3.9369246912993906E-2</v>
      </c>
    </row>
    <row r="18" spans="1:6" x14ac:dyDescent="0.3">
      <c r="A18" s="4">
        <v>5.1378347767553199E-2</v>
      </c>
      <c r="B18" s="4">
        <v>0.306657247163306</v>
      </c>
      <c r="C18" s="4">
        <v>9.9313494676657094E-2</v>
      </c>
      <c r="D18" s="4">
        <v>-5.5970552744195302E-2</v>
      </c>
      <c r="E18" s="4">
        <v>0.113776318363863</v>
      </c>
      <c r="F18" s="4">
        <f t="shared" si="1"/>
        <v>0.15084907269759917</v>
      </c>
    </row>
    <row r="19" spans="1:6" x14ac:dyDescent="0.3">
      <c r="A19" s="4">
        <v>0.29345464116782</v>
      </c>
      <c r="B19" s="4">
        <v>-0.16202391650991199</v>
      </c>
      <c r="C19" s="4">
        <v>8.62125280594183E-2</v>
      </c>
      <c r="D19" s="4">
        <v>7.9094536251710701E-2</v>
      </c>
      <c r="E19" s="4">
        <v>5.82762238516824E-2</v>
      </c>
      <c r="F19" s="4">
        <f t="shared" si="1"/>
        <v>5.0406231845983251E-2</v>
      </c>
    </row>
    <row r="20" spans="1:6" x14ac:dyDescent="0.3">
      <c r="A20" s="4">
        <v>0.281355173470072</v>
      </c>
      <c r="B20" s="4">
        <v>0.119800104052579</v>
      </c>
      <c r="C20" s="4">
        <v>0.45073455067715901</v>
      </c>
      <c r="D20" s="4">
        <v>0.36735658410351002</v>
      </c>
      <c r="E20" s="4">
        <v>0.29618496136522399</v>
      </c>
      <c r="F20" s="4">
        <f t="shared" si="1"/>
        <v>0.24290125733811749</v>
      </c>
    </row>
    <row r="21" spans="1:6" x14ac:dyDescent="0.3">
      <c r="A21" s="4">
        <v>0.28257886201444199</v>
      </c>
      <c r="B21" s="4">
        <v>-4.3599083714534997E-2</v>
      </c>
      <c r="C21" s="4">
        <v>0.111968084122909</v>
      </c>
      <c r="D21" s="4">
        <v>0.322180106968385</v>
      </c>
      <c r="E21" s="4">
        <v>5.2441217964907402E-2</v>
      </c>
      <c r="F21" s="4">
        <f t="shared" si="1"/>
        <v>0.12875228609479381</v>
      </c>
    </row>
    <row r="22" spans="1:6" x14ac:dyDescent="0.3">
      <c r="A22" s="4">
        <v>0.170724570041212</v>
      </c>
      <c r="B22" s="4">
        <v>0.58583703976717805</v>
      </c>
      <c r="C22" s="4">
        <v>6.39399322170872E-2</v>
      </c>
      <c r="D22" s="4">
        <v>0.14243541272624899</v>
      </c>
      <c r="E22" s="4">
        <v>0.29046559232450903</v>
      </c>
      <c r="F22" s="4">
        <f t="shared" si="1"/>
        <v>0.33135744264292488</v>
      </c>
    </row>
    <row r="23" spans="1:6" x14ac:dyDescent="0.3">
      <c r="A23" s="4">
        <v>-0.111123038402756</v>
      </c>
      <c r="B23" s="4">
        <v>0.152243637945328</v>
      </c>
      <c r="C23" s="4">
        <v>0.30105718429272399</v>
      </c>
      <c r="D23" s="4">
        <v>-4.3855764483515997E-2</v>
      </c>
      <c r="E23" s="4">
        <v>3.4788261304983001E-3</v>
      </c>
      <c r="F23" s="4">
        <f t="shared" si="1"/>
        <v>5.2924987885945969E-2</v>
      </c>
    </row>
    <row r="24" spans="1:6" x14ac:dyDescent="0.3">
      <c r="A24" s="4">
        <v>0.177585797699326</v>
      </c>
      <c r="B24" s="4">
        <v>0.34020659387409102</v>
      </c>
      <c r="C24" s="4">
        <v>0.40434659356330599</v>
      </c>
      <c r="D24" s="4">
        <v>0.289511462064791</v>
      </c>
      <c r="E24" s="4">
        <v>0.35749768421782302</v>
      </c>
      <c r="F24" s="4">
        <f t="shared" si="1"/>
        <v>0.28688651894119477</v>
      </c>
    </row>
    <row r="25" spans="1:6" x14ac:dyDescent="0.3">
      <c r="A25" s="4">
        <v>0.31453529337470898</v>
      </c>
      <c r="B25" s="4">
        <v>-8.4627373967378506E-3</v>
      </c>
      <c r="C25" s="4">
        <v>0.13683065423003499</v>
      </c>
      <c r="D25" s="4">
        <v>0.15974695610412301</v>
      </c>
      <c r="E25" s="4">
        <v>0.228627887312738</v>
      </c>
      <c r="F25" s="4">
        <f t="shared" si="1"/>
        <v>0.14024980506018433</v>
      </c>
    </row>
    <row r="26" spans="1:6" x14ac:dyDescent="0.3">
      <c r="A26" s="4">
        <v>0.143334065546768</v>
      </c>
      <c r="B26" s="4">
        <v>2.8938350840767801E-2</v>
      </c>
      <c r="C26" s="4">
        <v>-0.14630532688769901</v>
      </c>
      <c r="D26" s="4">
        <v>0.159911469985691</v>
      </c>
      <c r="E26" s="4">
        <v>0.21224915052155099</v>
      </c>
      <c r="F26" s="4">
        <f t="shared" si="1"/>
        <v>6.8470967638944558E-2</v>
      </c>
    </row>
    <row r="27" spans="1:6" x14ac:dyDescent="0.3">
      <c r="A27" s="4">
        <v>0.22520395148767899</v>
      </c>
      <c r="B27" s="4">
        <v>8.8583070891796803E-2</v>
      </c>
      <c r="C27" s="4">
        <v>8.3100405624857002E-2</v>
      </c>
      <c r="D27" s="4">
        <v>0.257546397941115</v>
      </c>
      <c r="E27" s="4">
        <v>0.250346606097612</v>
      </c>
      <c r="F27" s="4">
        <f t="shared" si="1"/>
        <v>0.15774562393355773</v>
      </c>
    </row>
    <row r="28" spans="1:6" x14ac:dyDescent="0.3">
      <c r="A28" s="4">
        <v>0.17903277000748599</v>
      </c>
      <c r="B28" s="4">
        <v>0.29520229327946101</v>
      </c>
      <c r="C28" s="4">
        <v>0.15804975998169499</v>
      </c>
      <c r="D28" s="4">
        <v>7.4107290553393407E-2</v>
      </c>
      <c r="E28" s="4">
        <v>0.55846325364946303</v>
      </c>
      <c r="F28" s="4">
        <f t="shared" si="1"/>
        <v>0.22008131501951259</v>
      </c>
    </row>
    <row r="29" spans="1:6" x14ac:dyDescent="0.3">
      <c r="A29" s="4">
        <v>2.4483861282097601E-2</v>
      </c>
      <c r="B29" s="4">
        <v>1.9462114793777199E-2</v>
      </c>
      <c r="C29" s="4">
        <v>0.104020481027573</v>
      </c>
      <c r="D29" s="4">
        <v>2.5533634475634299E-2</v>
      </c>
      <c r="E29" s="4">
        <v>9.9005847976603695E-2</v>
      </c>
      <c r="F29" s="4">
        <f t="shared" si="1"/>
        <v>3.2479126427653097E-2</v>
      </c>
    </row>
    <row r="30" spans="1:6" x14ac:dyDescent="0.3">
      <c r="A30" s="4">
        <v>0.114080720064499</v>
      </c>
      <c r="B30" s="4">
        <v>0.208756187543327</v>
      </c>
      <c r="C30" s="4">
        <v>9.2981216484816095E-2</v>
      </c>
      <c r="D30" s="4">
        <v>-0.20233631190467499</v>
      </c>
      <c r="E30" s="4">
        <v>0.42833599396159799</v>
      </c>
      <c r="F30" s="4">
        <f t="shared" si="1"/>
        <v>0.11869790513751996</v>
      </c>
    </row>
    <row r="31" spans="1:6" x14ac:dyDescent="0.3">
      <c r="A31" s="4">
        <v>-4.8092420563795597E-2</v>
      </c>
      <c r="B31" s="4">
        <v>-0.29289378343224798</v>
      </c>
      <c r="C31" s="4">
        <v>3.21685146509538E-2</v>
      </c>
      <c r="D31" s="4">
        <v>0.107733624364018</v>
      </c>
      <c r="E31" s="4">
        <v>-0.22956060110573701</v>
      </c>
      <c r="F31" s="4">
        <f t="shared" si="1"/>
        <v>-0.12609276043819087</v>
      </c>
    </row>
    <row r="32" spans="1:6" x14ac:dyDescent="0.3">
      <c r="A32" s="4">
        <v>0.20325934476364599</v>
      </c>
      <c r="B32" s="4">
        <v>6.7924441888923506E-2</v>
      </c>
      <c r="C32" s="4">
        <v>0.21161374348338899</v>
      </c>
      <c r="D32" s="4">
        <v>6.9654844724298795E-2</v>
      </c>
      <c r="E32" s="4">
        <v>0.28196243595187298</v>
      </c>
      <c r="F32" s="4">
        <f t="shared" si="1"/>
        <v>0.13287725738351214</v>
      </c>
    </row>
    <row r="33" spans="1:6" x14ac:dyDescent="0.3">
      <c r="A33" s="4">
        <v>-0.102060516045373</v>
      </c>
      <c r="B33" s="4">
        <v>-0.112061325713427</v>
      </c>
      <c r="C33" s="4">
        <v>-0.23982894816811601</v>
      </c>
      <c r="D33" s="4">
        <v>-0.28875753827811201</v>
      </c>
      <c r="E33" s="4">
        <v>-0.22079347975729299</v>
      </c>
      <c r="F33" s="4">
        <f t="shared" si="1"/>
        <v>-0.14631978757378927</v>
      </c>
    </row>
    <row r="34" spans="1:6" x14ac:dyDescent="0.3">
      <c r="A34" s="4">
        <v>-9.0330568725204799E-2</v>
      </c>
      <c r="B34" s="4">
        <v>-0.23026320124263899</v>
      </c>
      <c r="C34" s="4">
        <v>-0.20931331882871901</v>
      </c>
      <c r="D34" s="4">
        <v>-0.15416021352859299</v>
      </c>
      <c r="E34" s="4">
        <v>-9.26743455341342E-2</v>
      </c>
      <c r="F34" s="4">
        <f t="shared" si="1"/>
        <v>-0.16916487530626115</v>
      </c>
    </row>
    <row r="35" spans="1:6" x14ac:dyDescent="0.3">
      <c r="A35" s="4">
        <v>-5.1424804163731297E-2</v>
      </c>
      <c r="B35" s="4">
        <v>0.12109364516462701</v>
      </c>
      <c r="C35" s="4">
        <v>-7.9600289301933996E-2</v>
      </c>
      <c r="D35" s="4">
        <v>-0.21287384332894399</v>
      </c>
      <c r="E35" s="4">
        <v>7.3325979674323402E-2</v>
      </c>
      <c r="F35" s="4">
        <f t="shared" si="1"/>
        <v>1.0834462689562354E-4</v>
      </c>
    </row>
    <row r="36" spans="1:6" x14ac:dyDescent="0.3">
      <c r="A36" s="4">
        <v>-0.371642624299234</v>
      </c>
      <c r="B36" s="4">
        <v>-2.4429231335006501E-2</v>
      </c>
      <c r="C36" s="4">
        <v>-0.210191956810828</v>
      </c>
      <c r="D36" s="4">
        <v>-0.20324831436062099</v>
      </c>
      <c r="E36" s="4">
        <v>-0.64303075424959999</v>
      </c>
      <c r="F36" s="4">
        <f t="shared" si="1"/>
        <v>-0.19467604115701956</v>
      </c>
    </row>
    <row r="37" spans="1:6" x14ac:dyDescent="0.3">
      <c r="A37" s="4">
        <v>0.28575704392226497</v>
      </c>
      <c r="B37" s="4">
        <v>0.15878681619597701</v>
      </c>
      <c r="C37" s="4">
        <v>0.14588876297654499</v>
      </c>
      <c r="D37" s="4">
        <v>0.15212032446089799</v>
      </c>
      <c r="E37" s="4">
        <v>7.0862608077896003E-2</v>
      </c>
      <c r="F37" s="4">
        <f t="shared" si="1"/>
        <v>0.19710816911057708</v>
      </c>
    </row>
    <row r="38" spans="1:6" x14ac:dyDescent="0.3">
      <c r="A38" s="4">
        <v>0.11877858091842999</v>
      </c>
      <c r="B38" s="4">
        <v>-0.119697386778938</v>
      </c>
      <c r="C38" s="4">
        <v>6.9025154604911002E-2</v>
      </c>
      <c r="D38" s="4">
        <v>0.43750502078225101</v>
      </c>
      <c r="E38" s="4">
        <v>-0.11742033042200101</v>
      </c>
      <c r="F38" s="4">
        <f t="shared" si="1"/>
        <v>4.8637589331421441E-2</v>
      </c>
    </row>
    <row r="39" spans="1:6" x14ac:dyDescent="0.3">
      <c r="A39" s="4">
        <v>-4.3239247875455501E-2</v>
      </c>
      <c r="B39" s="4">
        <v>0.22434369993518699</v>
      </c>
      <c r="C39" s="4">
        <v>-0.44314667069863001</v>
      </c>
      <c r="D39" s="4">
        <v>0.24381003977078</v>
      </c>
      <c r="E39" s="4">
        <v>0.116704354300007</v>
      </c>
      <c r="F39" s="4">
        <f t="shared" si="1"/>
        <v>6.4660700001657287E-2</v>
      </c>
    </row>
    <row r="40" spans="1:6" x14ac:dyDescent="0.3">
      <c r="A40" s="4">
        <v>0.27554478101428398</v>
      </c>
      <c r="B40" s="4">
        <v>0.20667370298646501</v>
      </c>
      <c r="C40" s="4">
        <v>0.128818414820498</v>
      </c>
      <c r="D40" s="4">
        <v>-0.174051548734909</v>
      </c>
      <c r="E40" s="4">
        <v>0.479788062341231</v>
      </c>
      <c r="F40" s="4">
        <f t="shared" si="1"/>
        <v>0.18000014235871414</v>
      </c>
    </row>
    <row r="41" spans="1:6" x14ac:dyDescent="0.3">
      <c r="A41" s="4">
        <v>-0.186727462828055</v>
      </c>
      <c r="B41" s="4">
        <v>-5.5786775086491401E-2</v>
      </c>
      <c r="C41" s="4">
        <v>0.160925233983195</v>
      </c>
      <c r="D41" s="4">
        <v>-5.1425270848069696E-3</v>
      </c>
      <c r="E41" s="4">
        <v>-0.158497497799478</v>
      </c>
      <c r="F41" s="4">
        <f t="shared" si="1"/>
        <v>-7.2351975513753108E-2</v>
      </c>
    </row>
    <row r="42" spans="1:6" x14ac:dyDescent="0.3">
      <c r="A42" s="4">
        <v>5.4663633087176401E-2</v>
      </c>
      <c r="B42" s="4">
        <v>7.8497665254715104E-2</v>
      </c>
      <c r="C42" s="4">
        <v>-9.8723606051541402E-2</v>
      </c>
      <c r="D42" s="4">
        <v>-0.163886237610534</v>
      </c>
      <c r="E42" s="4">
        <v>0.161822461277011</v>
      </c>
      <c r="F42" s="4">
        <f t="shared" si="1"/>
        <v>2.3572972318268427E-2</v>
      </c>
    </row>
    <row r="43" spans="1:6" x14ac:dyDescent="0.3">
      <c r="A43" s="4">
        <v>3.3782943758896303E-2</v>
      </c>
      <c r="B43" s="4">
        <v>2.5198489156930098E-2</v>
      </c>
      <c r="C43" s="4">
        <v>0.22137132375959501</v>
      </c>
      <c r="D43" s="4">
        <v>2.7173020302194598E-2</v>
      </c>
      <c r="E43" s="4">
        <v>0.16072938006710899</v>
      </c>
      <c r="F43" s="4">
        <f t="shared" si="1"/>
        <v>5.1869250641649663E-2</v>
      </c>
    </row>
    <row r="44" spans="1:6" x14ac:dyDescent="0.3">
      <c r="A44" s="4">
        <v>0.117881010874825</v>
      </c>
      <c r="B44" s="4">
        <v>-0.187551808443812</v>
      </c>
      <c r="C44" s="4">
        <v>0.111209541337193</v>
      </c>
      <c r="D44" s="4">
        <v>6.9771216254934001E-2</v>
      </c>
      <c r="E44" s="4">
        <v>-0.13833722875167501</v>
      </c>
      <c r="F44" s="4">
        <f t="shared" si="1"/>
        <v>-2.1314193342968638E-2</v>
      </c>
    </row>
    <row r="45" spans="1:6" x14ac:dyDescent="0.3">
      <c r="A45" s="4">
        <v>0.116928789495614</v>
      </c>
      <c r="B45" s="4">
        <v>4.9631866274812801E-2</v>
      </c>
      <c r="C45" s="4">
        <v>9.8593486113218401E-2</v>
      </c>
      <c r="D45" s="4">
        <v>0.24609446991346501</v>
      </c>
      <c r="E45" s="4">
        <v>0.217150468631197</v>
      </c>
      <c r="F45" s="4">
        <f t="shared" si="1"/>
        <v>0.10496575642017128</v>
      </c>
    </row>
    <row r="46" spans="1:6" x14ac:dyDescent="0.3">
      <c r="A46" s="4">
        <v>-5.9731987598668497E-2</v>
      </c>
      <c r="B46" s="4">
        <v>-9.8931303825581199E-2</v>
      </c>
      <c r="C46" s="4">
        <v>2.55547207732265E-2</v>
      </c>
      <c r="D46" s="4">
        <v>-8.1626145353544594E-2</v>
      </c>
      <c r="E46" s="4">
        <v>-0.19925174904913001</v>
      </c>
      <c r="F46" s="4">
        <f t="shared" si="1"/>
        <v>-7.261603224030147E-2</v>
      </c>
    </row>
    <row r="47" spans="1:6" x14ac:dyDescent="0.3">
      <c r="A47" s="4">
        <v>6.5492305570559697E-2</v>
      </c>
      <c r="B47" s="4">
        <v>-8.0330173837544497E-2</v>
      </c>
      <c r="C47" s="4">
        <v>-0.21408688128707001</v>
      </c>
      <c r="D47" s="4">
        <v>0.29702563159469703</v>
      </c>
      <c r="E47" s="4">
        <v>0.284582200290459</v>
      </c>
      <c r="F47" s="4">
        <f t="shared" si="1"/>
        <v>8.2437109227386784E-3</v>
      </c>
    </row>
    <row r="48" spans="1:6" x14ac:dyDescent="0.3">
      <c r="A48" s="4">
        <v>4.5268147118644297E-2</v>
      </c>
      <c r="B48" s="4">
        <v>-0.11594209820629101</v>
      </c>
      <c r="C48" s="4">
        <v>2.1604491178653099E-2</v>
      </c>
      <c r="D48" s="4">
        <v>-6.5125651256581402E-2</v>
      </c>
      <c r="E48" s="4">
        <v>-2.36030217078208E-2</v>
      </c>
      <c r="F48" s="4">
        <f t="shared" si="1"/>
        <v>-3.9462096954282051E-2</v>
      </c>
    </row>
    <row r="49" spans="1:6" x14ac:dyDescent="0.3">
      <c r="A49" s="4">
        <v>0.16415609312930901</v>
      </c>
      <c r="B49" s="4">
        <v>2.54862943928564E-2</v>
      </c>
      <c r="C49" s="4">
        <v>0.39190134001930099</v>
      </c>
      <c r="D49" s="4">
        <v>0.21216698927372199</v>
      </c>
      <c r="E49" s="4">
        <v>0.47080817659149099</v>
      </c>
      <c r="F49" s="4">
        <f t="shared" si="1"/>
        <v>0.14274343109679102</v>
      </c>
    </row>
    <row r="50" spans="1:6" x14ac:dyDescent="0.3">
      <c r="A50" s="4">
        <v>0.23398985035592301</v>
      </c>
      <c r="B50" s="4">
        <v>-0.18901021576393101</v>
      </c>
      <c r="C50" s="4">
        <v>0.11805020173108</v>
      </c>
      <c r="D50" s="4">
        <v>0.22069689602713799</v>
      </c>
      <c r="E50" s="4">
        <v>5.9401514535882098E-2</v>
      </c>
      <c r="F50" s="4">
        <f t="shared" si="1"/>
        <v>4.022233231110562E-2</v>
      </c>
    </row>
    <row r="51" spans="1:6" x14ac:dyDescent="0.3">
      <c r="A51" s="4">
        <v>0.23639099464216001</v>
      </c>
      <c r="B51" s="4">
        <v>0.29294169989768398</v>
      </c>
      <c r="C51" s="4">
        <v>0.215924058676432</v>
      </c>
      <c r="D51" s="4">
        <v>0.284761690381657</v>
      </c>
      <c r="E51" s="4">
        <v>0.43681467477681901</v>
      </c>
      <c r="F51" s="4">
        <f t="shared" si="1"/>
        <v>0.26789363524974741</v>
      </c>
    </row>
    <row r="52" spans="1:6" x14ac:dyDescent="0.3">
      <c r="A52" s="4">
        <v>-5.9547923298307201E-2</v>
      </c>
      <c r="B52" s="4">
        <v>0.12029167811668599</v>
      </c>
      <c r="C52" s="4">
        <v>-8.2100610458741202E-2</v>
      </c>
      <c r="D52" s="4">
        <v>0.18159482035900901</v>
      </c>
      <c r="E52" s="4">
        <v>2.8613020176224701E-2</v>
      </c>
      <c r="F52" s="4">
        <f t="shared" si="1"/>
        <v>4.4596458005688386E-2</v>
      </c>
    </row>
    <row r="53" spans="1:6" x14ac:dyDescent="0.3">
      <c r="A53" s="4">
        <v>8.1603863669563695E-2</v>
      </c>
      <c r="B53" s="4">
        <v>8.0697403671315102E-2</v>
      </c>
      <c r="C53" s="4">
        <v>8.9910378022464807E-2</v>
      </c>
      <c r="D53" s="4">
        <v>0.16255020951362401</v>
      </c>
      <c r="E53" s="4">
        <v>-0.20066575681500301</v>
      </c>
      <c r="F53" s="4">
        <f t="shared" si="1"/>
        <v>8.6281660235985255E-2</v>
      </c>
    </row>
    <row r="54" spans="1:6" x14ac:dyDescent="0.3">
      <c r="A54" s="4">
        <v>-0.11211755654231099</v>
      </c>
      <c r="B54" s="4">
        <v>1.24412154290843E-2</v>
      </c>
      <c r="C54" s="4">
        <v>3.6074164480449797E-2</v>
      </c>
      <c r="D54" s="4">
        <v>-0.16225118430681701</v>
      </c>
      <c r="E54" s="4">
        <v>-0.237299029332661</v>
      </c>
      <c r="F54" s="4">
        <f t="shared" si="1"/>
        <v>-5.3300649490165879E-2</v>
      </c>
    </row>
    <row r="55" spans="1:6" x14ac:dyDescent="0.3">
      <c r="A55" s="4">
        <v>-9.7025111223014701E-2</v>
      </c>
      <c r="B55" s="4">
        <v>-0.10622645833388999</v>
      </c>
      <c r="C55" s="4">
        <v>4.94183027006668E-2</v>
      </c>
      <c r="D55" s="4">
        <v>-0.36800769672969103</v>
      </c>
      <c r="E55" s="4">
        <v>-4.85818129654891E-2</v>
      </c>
      <c r="F55" s="4">
        <f t="shared" si="1"/>
        <v>-0.1178210473160298</v>
      </c>
    </row>
    <row r="56" spans="1:6" x14ac:dyDescent="0.3">
      <c r="A56" s="4">
        <v>6.8972600784497795E-2</v>
      </c>
      <c r="B56" s="4">
        <v>0.244850534436647</v>
      </c>
      <c r="C56" s="4">
        <v>6.2471317252373003E-2</v>
      </c>
      <c r="D56" s="4">
        <v>0.47234495581401598</v>
      </c>
      <c r="E56" s="4">
        <v>0.22451537254491499</v>
      </c>
      <c r="F56" s="4">
        <f t="shared" si="1"/>
        <v>0.19459063951278768</v>
      </c>
    </row>
    <row r="57" spans="1:6" x14ac:dyDescent="0.3">
      <c r="A57" s="4">
        <v>0.299894546242712</v>
      </c>
      <c r="B57" s="4">
        <v>0.13656031179973699</v>
      </c>
      <c r="C57" s="4">
        <v>0.16141026770828301</v>
      </c>
      <c r="D57" s="4">
        <v>0.14625228755367201</v>
      </c>
      <c r="E57" s="4">
        <v>0.10564912510345401</v>
      </c>
      <c r="F57" s="4">
        <f t="shared" si="1"/>
        <v>0.1941956789002795</v>
      </c>
    </row>
    <row r="58" spans="1:6" x14ac:dyDescent="0.3">
      <c r="A58" s="4">
        <v>-4.5449887063052301E-2</v>
      </c>
      <c r="B58" s="4">
        <v>-7.5128078352782804E-2</v>
      </c>
      <c r="C58" s="4">
        <v>0.35074042419489099</v>
      </c>
      <c r="D58" s="4">
        <v>2.1687504957129799E-2</v>
      </c>
      <c r="E58" s="4">
        <v>-9.9893619185938601E-2</v>
      </c>
      <c r="F58" s="4">
        <f t="shared" si="1"/>
        <v>-8.6989067343073885E-3</v>
      </c>
    </row>
    <row r="59" spans="1:6" x14ac:dyDescent="0.3">
      <c r="A59" s="4">
        <v>0.125706821914009</v>
      </c>
      <c r="B59" s="4">
        <v>0.31809409577641901</v>
      </c>
      <c r="C59" s="4">
        <v>-0.21816644170633101</v>
      </c>
      <c r="D59" s="4">
        <v>0.28402914841211202</v>
      </c>
      <c r="E59" s="4">
        <v>0.26673520394387801</v>
      </c>
      <c r="F59" s="4">
        <f t="shared" si="1"/>
        <v>0.1919202939772639</v>
      </c>
    </row>
    <row r="60" spans="1:6" x14ac:dyDescent="0.3">
      <c r="A60" s="4">
        <v>3.6162339659312197E-2</v>
      </c>
      <c r="B60" s="4">
        <v>3.2044148793050398E-2</v>
      </c>
      <c r="C60" s="4">
        <v>0.44471127911257502</v>
      </c>
      <c r="D60" s="4">
        <v>0.109975594301342</v>
      </c>
      <c r="E60" s="4">
        <v>-4.1203137626510102E-2</v>
      </c>
      <c r="F60" s="4">
        <f t="shared" si="1"/>
        <v>8.5223633093092638E-2</v>
      </c>
    </row>
    <row r="61" spans="1:6" x14ac:dyDescent="0.3">
      <c r="A61" s="4">
        <v>0.23760342082217001</v>
      </c>
      <c r="B61" s="4">
        <v>4.1462522939414E-2</v>
      </c>
      <c r="C61" s="4">
        <v>0.21132493757169499</v>
      </c>
      <c r="D61" s="4">
        <v>3.2442921530371503E-2</v>
      </c>
      <c r="E61" s="4">
        <v>0.358778459327937</v>
      </c>
      <c r="F61" s="4">
        <f t="shared" si="1"/>
        <v>0.13025731458338216</v>
      </c>
    </row>
    <row r="62" spans="1:6" x14ac:dyDescent="0.3">
      <c r="A62" s="4">
        <v>-9.3359644257835397E-2</v>
      </c>
      <c r="B62" s="4">
        <v>-2.31802013619672E-2</v>
      </c>
      <c r="C62" s="4">
        <v>0.16711741523437701</v>
      </c>
      <c r="D62" s="4">
        <v>-9.9565472286683901E-2</v>
      </c>
      <c r="E62" s="4">
        <v>-0.15612884841955499</v>
      </c>
      <c r="F62" s="4">
        <f t="shared" si="1"/>
        <v>-3.8600034979610003E-2</v>
      </c>
    </row>
    <row r="63" spans="1:6" x14ac:dyDescent="0.3">
      <c r="A63" s="4">
        <v>7.4883619624746003E-2</v>
      </c>
      <c r="B63" s="4">
        <v>-5.5847483559381399E-2</v>
      </c>
      <c r="C63" s="4">
        <v>-0.22151086413096199</v>
      </c>
      <c r="D63" s="4">
        <v>1.54584046828792E-2</v>
      </c>
      <c r="E63" s="4">
        <v>0.29807493559965698</v>
      </c>
      <c r="F63" s="4">
        <f t="shared" si="1"/>
        <v>-1.3705995820425358E-2</v>
      </c>
    </row>
    <row r="64" spans="1:6" x14ac:dyDescent="0.3">
      <c r="A64" s="4">
        <v>0.15287905316683401</v>
      </c>
      <c r="B64" s="4">
        <v>-7.3471952442680094E-2</v>
      </c>
      <c r="C64" s="4">
        <v>-8.7123034134709895E-3</v>
      </c>
      <c r="D64" s="4">
        <v>0.34514731232218598</v>
      </c>
      <c r="E64" s="4">
        <v>-4.6511899914513703E-2</v>
      </c>
      <c r="F64" s="4">
        <f t="shared" si="1"/>
        <v>6.1090357443942603E-2</v>
      </c>
    </row>
    <row r="65" spans="1:6" x14ac:dyDescent="0.3">
      <c r="A65" s="4">
        <v>0.23509153268213001</v>
      </c>
      <c r="B65" s="4">
        <v>0.545771643055319</v>
      </c>
      <c r="C65" s="4">
        <v>0.21682266329237301</v>
      </c>
      <c r="D65" s="4">
        <v>0.20242716820609499</v>
      </c>
      <c r="E65" s="4">
        <v>0.45676290214134302</v>
      </c>
      <c r="F65" s="4">
        <f t="shared" si="1"/>
        <v>0.36314451096678563</v>
      </c>
    </row>
    <row r="66" spans="1:6" x14ac:dyDescent="0.3">
      <c r="A66" s="4">
        <v>0.30163178432559301</v>
      </c>
      <c r="B66" s="4">
        <v>0.42722629546082902</v>
      </c>
      <c r="C66" s="4">
        <v>0.33874579454043202</v>
      </c>
      <c r="D66" s="4">
        <v>0.49395132239121398</v>
      </c>
      <c r="E66" s="4">
        <v>0.23735296871623501</v>
      </c>
      <c r="F66" s="4">
        <f t="shared" si="1"/>
        <v>0.38031833420971622</v>
      </c>
    </row>
    <row r="67" spans="1:6" x14ac:dyDescent="0.3">
      <c r="A67" s="4">
        <v>8.2889669976313807E-2</v>
      </c>
      <c r="B67" s="4">
        <v>0.13425536130787999</v>
      </c>
      <c r="C67" s="4">
        <v>-0.177058241071125</v>
      </c>
      <c r="D67" s="4">
        <v>0.15955098432588199</v>
      </c>
      <c r="E67" s="4">
        <v>-4.2974699194398801E-3</v>
      </c>
      <c r="F67" s="4">
        <f t="shared" ref="F67:F101" si="5">SUMPRODUCT(A67:E67,$I$7:$M$7)</f>
        <v>8.4438778697150191E-2</v>
      </c>
    </row>
    <row r="68" spans="1:6" x14ac:dyDescent="0.3">
      <c r="A68" s="4">
        <v>-0.15373854659564101</v>
      </c>
      <c r="B68" s="4">
        <v>-0.19993756808968699</v>
      </c>
      <c r="C68" s="4">
        <v>1.19397352976715E-2</v>
      </c>
      <c r="D68" s="4">
        <v>-0.16066250501967999</v>
      </c>
      <c r="E68" s="4">
        <v>-0.284472092989213</v>
      </c>
      <c r="F68" s="4">
        <f t="shared" si="5"/>
        <v>-0.15899738160306356</v>
      </c>
    </row>
    <row r="69" spans="1:6" x14ac:dyDescent="0.3">
      <c r="A69" s="4">
        <v>-4.1345275588978499E-2</v>
      </c>
      <c r="B69" s="4">
        <v>-9.8210053626541602E-2</v>
      </c>
      <c r="C69" s="4">
        <v>-0.204121265038745</v>
      </c>
      <c r="D69" s="4">
        <v>-0.22271402187936201</v>
      </c>
      <c r="E69" s="4">
        <v>-5.5360870657283602E-2</v>
      </c>
      <c r="F69" s="4">
        <f t="shared" si="5"/>
        <v>-0.10496148054057708</v>
      </c>
    </row>
    <row r="70" spans="1:6" x14ac:dyDescent="0.3">
      <c r="A70" s="4">
        <v>-8.9237259997998003E-2</v>
      </c>
      <c r="B70" s="4">
        <v>-2.7691464312949998E-3</v>
      </c>
      <c r="C70" s="4">
        <v>1.4270077397311899E-2</v>
      </c>
      <c r="D70" s="4">
        <v>-6.9535758173448203E-2</v>
      </c>
      <c r="E70" s="4">
        <v>9.6222152219452795E-2</v>
      </c>
      <c r="F70" s="4">
        <f t="shared" si="5"/>
        <v>-3.5992053018416209E-2</v>
      </c>
    </row>
    <row r="71" spans="1:6" x14ac:dyDescent="0.3">
      <c r="A71" s="4">
        <v>0.42256858360030602</v>
      </c>
      <c r="B71" s="4">
        <v>0.32821699541325999</v>
      </c>
      <c r="C71" s="4">
        <v>0.40817434605729203</v>
      </c>
      <c r="D71" s="4">
        <v>0.38308309546076902</v>
      </c>
      <c r="E71" s="4">
        <v>0.55786877206047203</v>
      </c>
      <c r="F71" s="4">
        <f t="shared" si="5"/>
        <v>0.37964510352514774</v>
      </c>
    </row>
    <row r="72" spans="1:6" x14ac:dyDescent="0.3">
      <c r="A72" s="4">
        <v>-2.2340282220034199E-2</v>
      </c>
      <c r="B72" s="4">
        <v>-0.16740640572687401</v>
      </c>
      <c r="C72" s="4">
        <v>5.1193549753601297E-2</v>
      </c>
      <c r="D72" s="4">
        <v>-0.28818188513827397</v>
      </c>
      <c r="E72" s="4">
        <v>-0.17374837323296299</v>
      </c>
      <c r="F72" s="4">
        <f t="shared" si="5"/>
        <v>-0.11095246219664408</v>
      </c>
    </row>
    <row r="73" spans="1:6" x14ac:dyDescent="0.3">
      <c r="A73" s="4">
        <v>0.182211517555598</v>
      </c>
      <c r="B73" s="4">
        <v>-0.25968185841386199</v>
      </c>
      <c r="C73" s="4">
        <v>0.24781373123084</v>
      </c>
      <c r="D73" s="4">
        <v>9.6372648099418701E-2</v>
      </c>
      <c r="E73" s="4">
        <v>0.19854545656572101</v>
      </c>
      <c r="F73" s="4">
        <f t="shared" si="5"/>
        <v>-5.229050176660829E-3</v>
      </c>
    </row>
    <row r="74" spans="1:6" x14ac:dyDescent="0.3">
      <c r="A74" s="4">
        <v>4.1137223411760501E-2</v>
      </c>
      <c r="B74" s="4">
        <v>-0.164812965472029</v>
      </c>
      <c r="C74" s="4">
        <v>0.19486709412234701</v>
      </c>
      <c r="D74" s="4">
        <v>-0.13024935026201501</v>
      </c>
      <c r="E74" s="4">
        <v>0.102078054472346</v>
      </c>
      <c r="F74" s="4">
        <f t="shared" si="5"/>
        <v>-4.8308098538063851E-2</v>
      </c>
    </row>
    <row r="75" spans="1:6" x14ac:dyDescent="0.3">
      <c r="A75" s="4">
        <v>0.20329156381310801</v>
      </c>
      <c r="B75" s="4">
        <v>0.17940447151543501</v>
      </c>
      <c r="C75" s="4">
        <v>5.8571709293623798E-2</v>
      </c>
      <c r="D75" s="4">
        <v>0.18765740234027001</v>
      </c>
      <c r="E75" s="4">
        <v>0.25896300671065198</v>
      </c>
      <c r="F75" s="4">
        <f t="shared" si="5"/>
        <v>0.17723308991171513</v>
      </c>
    </row>
    <row r="76" spans="1:6" x14ac:dyDescent="0.3">
      <c r="A76" s="4">
        <v>-4.4727385485181098E-2</v>
      </c>
      <c r="B76" s="4">
        <v>0.10445837156538</v>
      </c>
      <c r="C76" s="4">
        <v>8.9706280655176995E-2</v>
      </c>
      <c r="D76" s="4">
        <v>0.102414063930404</v>
      </c>
      <c r="E76" s="4">
        <v>0.143811964216815</v>
      </c>
      <c r="F76" s="4">
        <f t="shared" si="5"/>
        <v>5.3726930712821704E-2</v>
      </c>
    </row>
    <row r="77" spans="1:6" x14ac:dyDescent="0.3">
      <c r="A77" s="4">
        <v>-0.140340345400814</v>
      </c>
      <c r="B77" s="4">
        <v>8.17329822758317E-2</v>
      </c>
      <c r="C77" s="4">
        <v>-0.16130809340030999</v>
      </c>
      <c r="D77" s="4">
        <v>-0.190002813062292</v>
      </c>
      <c r="E77" s="4">
        <v>-3.1783345283845903E-2</v>
      </c>
      <c r="F77" s="4">
        <f t="shared" si="5"/>
        <v>-5.39245323009232E-2</v>
      </c>
    </row>
    <row r="78" spans="1:6" x14ac:dyDescent="0.3">
      <c r="A78" s="4">
        <v>-0.143356388763724</v>
      </c>
      <c r="B78" s="4">
        <v>-1.3669390636047401E-2</v>
      </c>
      <c r="C78" s="4">
        <v>-0.24801399262400001</v>
      </c>
      <c r="D78" s="4">
        <v>-0.12201346436695901</v>
      </c>
      <c r="E78" s="4">
        <v>-0.29805140347616399</v>
      </c>
      <c r="F78" s="4">
        <f t="shared" si="5"/>
        <v>-0.10095540405371453</v>
      </c>
    </row>
    <row r="79" spans="1:6" x14ac:dyDescent="0.3">
      <c r="A79" s="4">
        <v>0.14322908647899099</v>
      </c>
      <c r="B79" s="4">
        <v>0.13468668840349901</v>
      </c>
      <c r="C79" s="4">
        <v>0.29128541863839602</v>
      </c>
      <c r="D79" s="4">
        <v>0.23285346759362999</v>
      </c>
      <c r="E79" s="4">
        <v>0.34828514237327801</v>
      </c>
      <c r="F79" s="4">
        <f t="shared" si="5"/>
        <v>0.17064297948691171</v>
      </c>
    </row>
    <row r="80" spans="1:6" x14ac:dyDescent="0.3">
      <c r="A80" s="4">
        <v>4.3393726507176197E-2</v>
      </c>
      <c r="B80" s="4">
        <v>-6.2637078199578198E-3</v>
      </c>
      <c r="C80" s="4">
        <v>5.9457258383163097E-2</v>
      </c>
      <c r="D80" s="4">
        <v>-0.26231078015284198</v>
      </c>
      <c r="E80" s="4">
        <v>-0.112376885539844</v>
      </c>
      <c r="F80" s="4">
        <f t="shared" si="5"/>
        <v>-1.6562730373431502E-2</v>
      </c>
    </row>
    <row r="81" spans="1:6" x14ac:dyDescent="0.3">
      <c r="A81" s="4">
        <v>4.0591976828900103E-2</v>
      </c>
      <c r="B81" s="4">
        <v>0.209795027436395</v>
      </c>
      <c r="C81" s="4">
        <v>9.66459766867548E-2</v>
      </c>
      <c r="D81" s="4">
        <v>0.30536083912400203</v>
      </c>
      <c r="E81" s="4">
        <v>8.0617949999780697E-2</v>
      </c>
      <c r="F81" s="4">
        <f t="shared" si="5"/>
        <v>0.15055245918966115</v>
      </c>
    </row>
    <row r="82" spans="1:6" x14ac:dyDescent="0.3">
      <c r="A82" s="4">
        <v>0.28289652259638198</v>
      </c>
      <c r="B82" s="4">
        <v>-6.8440717457004002E-2</v>
      </c>
      <c r="C82" s="4">
        <v>0.30431182472475399</v>
      </c>
      <c r="D82" s="4">
        <v>0.60414181783965704</v>
      </c>
      <c r="E82" s="4">
        <v>0.32394173096485801</v>
      </c>
      <c r="F82" s="4">
        <f t="shared" si="5"/>
        <v>0.17929358855805405</v>
      </c>
    </row>
    <row r="83" spans="1:6" x14ac:dyDescent="0.3">
      <c r="A83" s="4">
        <v>0.113737656097627</v>
      </c>
      <c r="B83" s="4">
        <v>0.168662793461448</v>
      </c>
      <c r="C83" s="4">
        <v>0.229795293218476</v>
      </c>
      <c r="D83" s="4">
        <v>0.32860899927327297</v>
      </c>
      <c r="E83" s="4">
        <v>0.17852308455537799</v>
      </c>
      <c r="F83" s="4">
        <f t="shared" si="5"/>
        <v>0.17678371977836541</v>
      </c>
    </row>
    <row r="84" spans="1:6" x14ac:dyDescent="0.3">
      <c r="A84" s="4">
        <v>9.9671658019654094E-2</v>
      </c>
      <c r="B84" s="4">
        <v>-4.7546551455245202E-2</v>
      </c>
      <c r="C84" s="4">
        <v>0.13428314116318199</v>
      </c>
      <c r="D84" s="4">
        <v>2.3598800924877698E-2</v>
      </c>
      <c r="E84" s="4">
        <v>4.9728879208438603E-2</v>
      </c>
      <c r="F84" s="4">
        <f t="shared" si="5"/>
        <v>3.1570500883861471E-2</v>
      </c>
    </row>
    <row r="85" spans="1:6" x14ac:dyDescent="0.3">
      <c r="A85" s="4">
        <v>0.30815486349610899</v>
      </c>
      <c r="B85" s="4">
        <v>0.106664151138221</v>
      </c>
      <c r="C85" s="4">
        <v>0.41171104360899602</v>
      </c>
      <c r="D85" s="4">
        <v>0.337199059304083</v>
      </c>
      <c r="E85" s="4">
        <v>0.443716086670428</v>
      </c>
      <c r="F85" s="4">
        <f t="shared" si="5"/>
        <v>0.24154729569981603</v>
      </c>
    </row>
    <row r="86" spans="1:6" x14ac:dyDescent="0.3">
      <c r="A86" s="4">
        <v>-5.0669893452432099E-2</v>
      </c>
      <c r="B86" s="4">
        <v>0.128616925835951</v>
      </c>
      <c r="C86" s="4">
        <v>0.20712161417226599</v>
      </c>
      <c r="D86" s="4">
        <v>-0.122198318281682</v>
      </c>
      <c r="E86" s="4">
        <v>0.20414446526252</v>
      </c>
      <c r="F86" s="4">
        <f t="shared" si="5"/>
        <v>4.7748552896415553E-2</v>
      </c>
    </row>
    <row r="87" spans="1:6" x14ac:dyDescent="0.3">
      <c r="A87" s="4">
        <v>0.17449366237744099</v>
      </c>
      <c r="B87" s="4">
        <v>0.28403682760306598</v>
      </c>
      <c r="C87" s="4">
        <v>0.22105368217476901</v>
      </c>
      <c r="D87" s="4">
        <v>0.55791590873991004</v>
      </c>
      <c r="E87" s="4">
        <v>0.315679256950266</v>
      </c>
      <c r="F87" s="4">
        <f t="shared" si="5"/>
        <v>0.27533039893070971</v>
      </c>
    </row>
    <row r="88" spans="1:6" x14ac:dyDescent="0.3">
      <c r="A88" s="4">
        <v>0.19526322476090199</v>
      </c>
      <c r="B88" s="4">
        <v>-5.8657593589032102E-2</v>
      </c>
      <c r="C88" s="4">
        <v>-4.2447847811725699E-3</v>
      </c>
      <c r="D88" s="4">
        <v>0.28068352212737202</v>
      </c>
      <c r="E88" s="4">
        <v>0.20299795496713299</v>
      </c>
      <c r="F88" s="4">
        <f t="shared" si="5"/>
        <v>7.9048119066322947E-2</v>
      </c>
    </row>
    <row r="89" spans="1:6" x14ac:dyDescent="0.3">
      <c r="A89" s="4">
        <v>3.3442728943307201E-2</v>
      </c>
      <c r="B89" s="4">
        <v>0.27201112742120198</v>
      </c>
      <c r="C89" s="4">
        <v>5.64439432394696E-3</v>
      </c>
      <c r="D89" s="4">
        <v>0.27223710867533502</v>
      </c>
      <c r="E89" s="4">
        <v>0.14205826928662901</v>
      </c>
      <c r="F89" s="4">
        <f t="shared" si="5"/>
        <v>0.16163383792808869</v>
      </c>
    </row>
    <row r="90" spans="1:6" x14ac:dyDescent="0.3">
      <c r="A90" s="4">
        <v>0.102350512960562</v>
      </c>
      <c r="B90" s="4">
        <v>0.19805436594110001</v>
      </c>
      <c r="C90" s="4">
        <v>0.33320092169725601</v>
      </c>
      <c r="D90" s="4">
        <v>2.1617712709783899E-2</v>
      </c>
      <c r="E90" s="4">
        <v>0.23163781501508299</v>
      </c>
      <c r="F90" s="4">
        <f t="shared" si="5"/>
        <v>0.15936494527407566</v>
      </c>
    </row>
    <row r="91" spans="1:6" x14ac:dyDescent="0.3">
      <c r="A91" s="4">
        <v>-0.104876589722307</v>
      </c>
      <c r="B91" s="4">
        <v>9.5362254628763906E-3</v>
      </c>
      <c r="C91" s="4">
        <v>-0.27570503259582602</v>
      </c>
      <c r="D91" s="4">
        <v>1.01039522701279E-2</v>
      </c>
      <c r="E91" s="4">
        <v>-1.5114134525313299E-2</v>
      </c>
      <c r="F91" s="4">
        <f t="shared" si="5"/>
        <v>-5.9240608290097752E-2</v>
      </c>
    </row>
    <row r="92" spans="1:6" x14ac:dyDescent="0.3">
      <c r="A92" s="4">
        <v>-0.102192916834789</v>
      </c>
      <c r="B92" s="4">
        <v>-1.02045478397718E-2</v>
      </c>
      <c r="C92" s="4">
        <v>-8.41184798778199E-3</v>
      </c>
      <c r="D92" s="4">
        <v>-0.12811645813422701</v>
      </c>
      <c r="E92" s="4">
        <v>-0.18086742278013401</v>
      </c>
      <c r="F92" s="4">
        <f t="shared" si="5"/>
        <v>-5.8758959205643918E-2</v>
      </c>
    </row>
    <row r="93" spans="1:6" x14ac:dyDescent="0.3">
      <c r="A93" s="4">
        <v>8.5731207402474099E-2</v>
      </c>
      <c r="B93" s="4">
        <v>5.0059461777436198E-2</v>
      </c>
      <c r="C93" s="4">
        <v>-0.241928977797088</v>
      </c>
      <c r="D93" s="4">
        <v>2.21129080183196E-2</v>
      </c>
      <c r="E93" s="4">
        <v>9.4798626826117699E-2</v>
      </c>
      <c r="F93" s="4">
        <f t="shared" si="5"/>
        <v>2.8505856864435082E-2</v>
      </c>
    </row>
    <row r="94" spans="1:6" x14ac:dyDescent="0.3">
      <c r="A94" s="4">
        <v>0.17833810483375001</v>
      </c>
      <c r="B94" s="4">
        <v>6.7680094460011206E-2</v>
      </c>
      <c r="C94" s="4">
        <v>0.30792490301381098</v>
      </c>
      <c r="D94" s="4">
        <v>7.2659735268406994E-2</v>
      </c>
      <c r="E94" s="4">
        <v>0.29240433420544398</v>
      </c>
      <c r="F94" s="4">
        <f t="shared" si="5"/>
        <v>0.13525211184387387</v>
      </c>
    </row>
    <row r="95" spans="1:6" x14ac:dyDescent="0.3">
      <c r="A95" s="4">
        <v>0.45782368789243599</v>
      </c>
      <c r="B95" s="4">
        <v>0.215597355058669</v>
      </c>
      <c r="C95" s="4">
        <v>0.43416638471788799</v>
      </c>
      <c r="D95" s="4">
        <v>0.20556016278633499</v>
      </c>
      <c r="E95" s="4">
        <v>0.47457657452979402</v>
      </c>
      <c r="F95" s="4">
        <f t="shared" si="5"/>
        <v>0.32358231470006993</v>
      </c>
    </row>
    <row r="96" spans="1:6" x14ac:dyDescent="0.3">
      <c r="A96" s="4">
        <v>-3.0033600605207801E-2</v>
      </c>
      <c r="B96" s="4">
        <v>5.4306315581020399E-2</v>
      </c>
      <c r="C96" s="4">
        <v>4.1353164708343097E-2</v>
      </c>
      <c r="D96" s="4">
        <v>-0.124339743027944</v>
      </c>
      <c r="E96" s="4">
        <v>0.27617634038344402</v>
      </c>
      <c r="F96" s="4">
        <f t="shared" si="5"/>
        <v>7.3341401949971064E-3</v>
      </c>
    </row>
    <row r="97" spans="1:6" x14ac:dyDescent="0.3">
      <c r="A97" s="4">
        <v>9.8099653686840996E-2</v>
      </c>
      <c r="B97" s="4">
        <v>0.22351620758402599</v>
      </c>
      <c r="C97" s="4">
        <v>0.121781431809278</v>
      </c>
      <c r="D97" s="4">
        <v>0.127995340585802</v>
      </c>
      <c r="E97" s="4">
        <v>9.2713403547701606E-2</v>
      </c>
      <c r="F97" s="4">
        <f t="shared" si="5"/>
        <v>0.15644499992915972</v>
      </c>
    </row>
    <row r="98" spans="1:6" x14ac:dyDescent="0.3">
      <c r="A98" s="4">
        <v>5.7625836194356697E-2</v>
      </c>
      <c r="B98" s="4">
        <v>0.32342208089728502</v>
      </c>
      <c r="C98" s="4">
        <v>-0.28520658760069201</v>
      </c>
      <c r="D98" s="4">
        <v>-0.147843060662082</v>
      </c>
      <c r="E98" s="4">
        <v>-1.53150448571381E-2</v>
      </c>
      <c r="F98" s="4">
        <f t="shared" si="5"/>
        <v>0.10519607634802985</v>
      </c>
    </row>
    <row r="99" spans="1:6" x14ac:dyDescent="0.3">
      <c r="A99" s="4">
        <v>-0.21995343767764799</v>
      </c>
      <c r="B99" s="4">
        <v>5.71351884538078E-2</v>
      </c>
      <c r="C99" s="4">
        <v>5.8865830429455597E-2</v>
      </c>
      <c r="D99" s="4">
        <v>3.4682516701618801E-2</v>
      </c>
      <c r="E99" s="4">
        <v>-0.37271463172415797</v>
      </c>
      <c r="F99" s="4">
        <f t="shared" si="5"/>
        <v>-4.6681537376973135E-2</v>
      </c>
    </row>
    <row r="100" spans="1:6" x14ac:dyDescent="0.3">
      <c r="A100" s="4">
        <v>4.1550769097839996E-3</v>
      </c>
      <c r="B100" s="4">
        <v>2.36035844759909E-2</v>
      </c>
      <c r="C100" s="4">
        <v>-0.32448706235317898</v>
      </c>
      <c r="D100" s="4">
        <v>-3.9537211488320399E-3</v>
      </c>
      <c r="E100" s="4">
        <v>0.123352952985648</v>
      </c>
      <c r="F100" s="4">
        <f t="shared" si="5"/>
        <v>-2.1081007324060163E-2</v>
      </c>
    </row>
    <row r="101" spans="1:6" x14ac:dyDescent="0.3">
      <c r="A101" s="4">
        <v>-0.19920182621826901</v>
      </c>
      <c r="B101" s="4">
        <v>8.9858289381325299E-2</v>
      </c>
      <c r="C101" s="4">
        <v>-0.419204201470323</v>
      </c>
      <c r="D101" s="4">
        <v>3.9423684855576603E-2</v>
      </c>
      <c r="E101" s="4">
        <v>1.4670717198085E-2</v>
      </c>
      <c r="F101" s="4">
        <f t="shared" si="5"/>
        <v>-6.8173163124626984E-2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Computational 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2017-09-15T18:29:26Z</dcterms:created>
  <dcterms:modified xsi:type="dcterms:W3CDTF">2018-09-30T03:16:43Z</dcterms:modified>
</cp:coreProperties>
</file>