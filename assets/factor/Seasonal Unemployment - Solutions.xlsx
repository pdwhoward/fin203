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HW\HW 2\"/>
    </mc:Choice>
  </mc:AlternateContent>
  <bookViews>
    <workbookView xWindow="0" yWindow="0" windowWidth="23040" windowHeight="10284" activeTab="2" xr2:uid="{00000000-000D-0000-FFFF-FFFF00000000}"/>
  </bookViews>
  <sheets>
    <sheet name="Note" sheetId="2" r:id="rId1"/>
    <sheet name="Unemployment" sheetId="1" r:id="rId2"/>
    <sheet name="Regression" sheetId="8" r:id="rId3"/>
    <sheet name="Chart Data" sheetId="3" r:id="rId4"/>
    <sheet name="Chart" sheetId="10" r:id="rId5"/>
    <sheet name="Chart Recession" sheetId="12" r:id="rId6"/>
  </sheets>
  <calcPr calcId="171027"/>
</workbook>
</file>

<file path=xl/calcChain.xml><?xml version="1.0" encoding="utf-8"?>
<calcChain xmlns="http://schemas.openxmlformats.org/spreadsheetml/2006/main">
  <c r="H5" i="3" l="1"/>
  <c r="H2" i="3"/>
  <c r="H3" i="3"/>
  <c r="G3" i="3"/>
  <c r="G2" i="3"/>
  <c r="R2" i="1"/>
  <c r="P98" i="1" s="1"/>
  <c r="P758" i="1" l="1"/>
  <c r="P630" i="1"/>
  <c r="P408" i="1"/>
  <c r="P826" i="1"/>
  <c r="P742" i="1"/>
  <c r="P614" i="1"/>
  <c r="P376" i="1"/>
  <c r="P818" i="1"/>
  <c r="P786" i="1"/>
  <c r="P726" i="1"/>
  <c r="P662" i="1"/>
  <c r="P598" i="1"/>
  <c r="P472" i="1"/>
  <c r="P344" i="1"/>
  <c r="P802" i="1"/>
  <c r="P694" i="1"/>
  <c r="P536" i="1"/>
  <c r="P794" i="1"/>
  <c r="P678" i="1"/>
  <c r="P504" i="1"/>
  <c r="P810" i="1"/>
  <c r="P774" i="1"/>
  <c r="P710" i="1"/>
  <c r="P646" i="1"/>
  <c r="P568" i="1"/>
  <c r="P440" i="1"/>
  <c r="P226" i="1"/>
  <c r="P824" i="1"/>
  <c r="P808" i="1"/>
  <c r="P792" i="1"/>
  <c r="P770" i="1"/>
  <c r="P738" i="1"/>
  <c r="P706" i="1"/>
  <c r="P674" i="1"/>
  <c r="P642" i="1"/>
  <c r="P610" i="1"/>
  <c r="P592" i="1"/>
  <c r="P528" i="1"/>
  <c r="P464" i="1"/>
  <c r="P400" i="1"/>
  <c r="P322" i="1"/>
  <c r="P2" i="1"/>
  <c r="P822" i="1"/>
  <c r="P814" i="1"/>
  <c r="P806" i="1"/>
  <c r="P798" i="1"/>
  <c r="P790" i="1"/>
  <c r="P781" i="1"/>
  <c r="P766" i="1"/>
  <c r="P750" i="1"/>
  <c r="P734" i="1"/>
  <c r="P718" i="1"/>
  <c r="P702" i="1"/>
  <c r="P686" i="1"/>
  <c r="P670" i="1"/>
  <c r="P654" i="1"/>
  <c r="P638" i="1"/>
  <c r="P622" i="1"/>
  <c r="P606" i="1"/>
  <c r="P584" i="1"/>
  <c r="P552" i="1"/>
  <c r="P520" i="1"/>
  <c r="P488" i="1"/>
  <c r="P456" i="1"/>
  <c r="P424" i="1"/>
  <c r="P392" i="1"/>
  <c r="P360" i="1"/>
  <c r="P290" i="1"/>
  <c r="P130" i="1"/>
  <c r="P816" i="1"/>
  <c r="P800" i="1"/>
  <c r="P784" i="1"/>
  <c r="P754" i="1"/>
  <c r="P722" i="1"/>
  <c r="P690" i="1"/>
  <c r="P658" i="1"/>
  <c r="P626" i="1"/>
  <c r="P560" i="1"/>
  <c r="P496" i="1"/>
  <c r="P432" i="1"/>
  <c r="P368" i="1"/>
  <c r="P194" i="1"/>
  <c r="P828" i="1"/>
  <c r="P820" i="1"/>
  <c r="P812" i="1"/>
  <c r="P804" i="1"/>
  <c r="P796" i="1"/>
  <c r="P788" i="1"/>
  <c r="P778" i="1"/>
  <c r="P762" i="1"/>
  <c r="P746" i="1"/>
  <c r="P730" i="1"/>
  <c r="P714" i="1"/>
  <c r="P698" i="1"/>
  <c r="P682" i="1"/>
  <c r="P666" i="1"/>
  <c r="P650" i="1"/>
  <c r="P634" i="1"/>
  <c r="P618" i="1"/>
  <c r="P602" i="1"/>
  <c r="P576" i="1"/>
  <c r="P544" i="1"/>
  <c r="P512" i="1"/>
  <c r="P480" i="1"/>
  <c r="P448" i="1"/>
  <c r="P416" i="1"/>
  <c r="P384" i="1"/>
  <c r="P352" i="1"/>
  <c r="P258" i="1"/>
  <c r="P66" i="1"/>
  <c r="P829" i="1"/>
  <c r="P825" i="1"/>
  <c r="P821" i="1"/>
  <c r="P817" i="1"/>
  <c r="P813" i="1"/>
  <c r="P809" i="1"/>
  <c r="P805" i="1"/>
  <c r="P801" i="1"/>
  <c r="P797" i="1"/>
  <c r="P793" i="1"/>
  <c r="P789" i="1"/>
  <c r="P785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0" i="1"/>
  <c r="P564" i="1"/>
  <c r="P548" i="1"/>
  <c r="P532" i="1"/>
  <c r="P516" i="1"/>
  <c r="P500" i="1"/>
  <c r="P484" i="1"/>
  <c r="P468" i="1"/>
  <c r="P452" i="1"/>
  <c r="P436" i="1"/>
  <c r="P420" i="1"/>
  <c r="P404" i="1"/>
  <c r="P388" i="1"/>
  <c r="P372" i="1"/>
  <c r="P356" i="1"/>
  <c r="P338" i="1"/>
  <c r="P274" i="1"/>
  <c r="P210" i="1"/>
  <c r="P3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51" i="1"/>
  <c r="P155" i="1"/>
  <c r="P159" i="1"/>
  <c r="P163" i="1"/>
  <c r="P167" i="1"/>
  <c r="P171" i="1"/>
  <c r="P175" i="1"/>
  <c r="P179" i="1"/>
  <c r="P183" i="1"/>
  <c r="P187" i="1"/>
  <c r="P191" i="1"/>
  <c r="P195" i="1"/>
  <c r="P199" i="1"/>
  <c r="P203" i="1"/>
  <c r="P207" i="1"/>
  <c r="P211" i="1"/>
  <c r="P215" i="1"/>
  <c r="P219" i="1"/>
  <c r="P223" i="1"/>
  <c r="P227" i="1"/>
  <c r="P231" i="1"/>
  <c r="P235" i="1"/>
  <c r="P239" i="1"/>
  <c r="P243" i="1"/>
  <c r="P247" i="1"/>
  <c r="P251" i="1"/>
  <c r="P255" i="1"/>
  <c r="P259" i="1"/>
  <c r="P263" i="1"/>
  <c r="P267" i="1"/>
  <c r="P271" i="1"/>
  <c r="P275" i="1"/>
  <c r="P279" i="1"/>
  <c r="P283" i="1"/>
  <c r="P287" i="1"/>
  <c r="P291" i="1"/>
  <c r="P295" i="1"/>
  <c r="P299" i="1"/>
  <c r="P303" i="1"/>
  <c r="P307" i="1"/>
  <c r="P311" i="1"/>
  <c r="P315" i="1"/>
  <c r="P319" i="1"/>
  <c r="P323" i="1"/>
  <c r="P327" i="1"/>
  <c r="P331" i="1"/>
  <c r="P335" i="1"/>
  <c r="P4" i="1"/>
  <c r="P8" i="1"/>
  <c r="P12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52" i="1"/>
  <c r="P156" i="1"/>
  <c r="P160" i="1"/>
  <c r="P164" i="1"/>
  <c r="P168" i="1"/>
  <c r="P172" i="1"/>
  <c r="P176" i="1"/>
  <c r="P180" i="1"/>
  <c r="P184" i="1"/>
  <c r="P188" i="1"/>
  <c r="P192" i="1"/>
  <c r="P196" i="1"/>
  <c r="P200" i="1"/>
  <c r="P204" i="1"/>
  <c r="P208" i="1"/>
  <c r="P212" i="1"/>
  <c r="P216" i="1"/>
  <c r="P220" i="1"/>
  <c r="P224" i="1"/>
  <c r="P228" i="1"/>
  <c r="P232" i="1"/>
  <c r="P236" i="1"/>
  <c r="P240" i="1"/>
  <c r="P244" i="1"/>
  <c r="P248" i="1"/>
  <c r="P252" i="1"/>
  <c r="P256" i="1"/>
  <c r="P260" i="1"/>
  <c r="P264" i="1"/>
  <c r="P268" i="1"/>
  <c r="P272" i="1"/>
  <c r="P276" i="1"/>
  <c r="P280" i="1"/>
  <c r="P284" i="1"/>
  <c r="P288" i="1"/>
  <c r="P292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5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177" i="1"/>
  <c r="P181" i="1"/>
  <c r="P185" i="1"/>
  <c r="P189" i="1"/>
  <c r="P193" i="1"/>
  <c r="P197" i="1"/>
  <c r="P201" i="1"/>
  <c r="P205" i="1"/>
  <c r="P209" i="1"/>
  <c r="P213" i="1"/>
  <c r="P217" i="1"/>
  <c r="P221" i="1"/>
  <c r="P225" i="1"/>
  <c r="P229" i="1"/>
  <c r="P233" i="1"/>
  <c r="P237" i="1"/>
  <c r="P241" i="1"/>
  <c r="P245" i="1"/>
  <c r="P249" i="1"/>
  <c r="P253" i="1"/>
  <c r="P257" i="1"/>
  <c r="P261" i="1"/>
  <c r="P265" i="1"/>
  <c r="P269" i="1"/>
  <c r="P273" i="1"/>
  <c r="P277" i="1"/>
  <c r="P281" i="1"/>
  <c r="P285" i="1"/>
  <c r="P289" i="1"/>
  <c r="P293" i="1"/>
  <c r="P297" i="1"/>
  <c r="P301" i="1"/>
  <c r="P305" i="1"/>
  <c r="P309" i="1"/>
  <c r="P313" i="1"/>
  <c r="P317" i="1"/>
  <c r="P321" i="1"/>
  <c r="P325" i="1"/>
  <c r="P329" i="1"/>
  <c r="P333" i="1"/>
  <c r="P337" i="1"/>
  <c r="P341" i="1"/>
  <c r="P6" i="1"/>
  <c r="P22" i="1"/>
  <c r="P38" i="1"/>
  <c r="P54" i="1"/>
  <c r="P70" i="1"/>
  <c r="P86" i="1"/>
  <c r="P102" i="1"/>
  <c r="P118" i="1"/>
  <c r="P134" i="1"/>
  <c r="P150" i="1"/>
  <c r="P166" i="1"/>
  <c r="P182" i="1"/>
  <c r="P198" i="1"/>
  <c r="P214" i="1"/>
  <c r="P230" i="1"/>
  <c r="P246" i="1"/>
  <c r="P262" i="1"/>
  <c r="P278" i="1"/>
  <c r="P294" i="1"/>
  <c r="P310" i="1"/>
  <c r="P326" i="1"/>
  <c r="P339" i="1"/>
  <c r="P345" i="1"/>
  <c r="P349" i="1"/>
  <c r="P353" i="1"/>
  <c r="P357" i="1"/>
  <c r="P361" i="1"/>
  <c r="P365" i="1"/>
  <c r="P369" i="1"/>
  <c r="P373" i="1"/>
  <c r="P377" i="1"/>
  <c r="P381" i="1"/>
  <c r="P385" i="1"/>
  <c r="P389" i="1"/>
  <c r="P393" i="1"/>
  <c r="P397" i="1"/>
  <c r="P401" i="1"/>
  <c r="P405" i="1"/>
  <c r="P409" i="1"/>
  <c r="P413" i="1"/>
  <c r="P417" i="1"/>
  <c r="P421" i="1"/>
  <c r="P425" i="1"/>
  <c r="P429" i="1"/>
  <c r="P433" i="1"/>
  <c r="P437" i="1"/>
  <c r="P441" i="1"/>
  <c r="P445" i="1"/>
  <c r="P449" i="1"/>
  <c r="P453" i="1"/>
  <c r="P457" i="1"/>
  <c r="P461" i="1"/>
  <c r="P465" i="1"/>
  <c r="P469" i="1"/>
  <c r="P473" i="1"/>
  <c r="P477" i="1"/>
  <c r="P481" i="1"/>
  <c r="P485" i="1"/>
  <c r="P489" i="1"/>
  <c r="P493" i="1"/>
  <c r="P497" i="1"/>
  <c r="P501" i="1"/>
  <c r="P505" i="1"/>
  <c r="P509" i="1"/>
  <c r="P513" i="1"/>
  <c r="P517" i="1"/>
  <c r="P521" i="1"/>
  <c r="P525" i="1"/>
  <c r="P529" i="1"/>
  <c r="P533" i="1"/>
  <c r="P537" i="1"/>
  <c r="P541" i="1"/>
  <c r="P545" i="1"/>
  <c r="P549" i="1"/>
  <c r="P553" i="1"/>
  <c r="P557" i="1"/>
  <c r="P561" i="1"/>
  <c r="P565" i="1"/>
  <c r="P569" i="1"/>
  <c r="P573" i="1"/>
  <c r="P577" i="1"/>
  <c r="P581" i="1"/>
  <c r="P585" i="1"/>
  <c r="P589" i="1"/>
  <c r="P593" i="1"/>
  <c r="P10" i="1"/>
  <c r="P26" i="1"/>
  <c r="P42" i="1"/>
  <c r="P58" i="1"/>
  <c r="P74" i="1"/>
  <c r="P90" i="1"/>
  <c r="P106" i="1"/>
  <c r="P122" i="1"/>
  <c r="P138" i="1"/>
  <c r="P154" i="1"/>
  <c r="P170" i="1"/>
  <c r="P186" i="1"/>
  <c r="P14" i="1"/>
  <c r="P30" i="1"/>
  <c r="P46" i="1"/>
  <c r="P62" i="1"/>
  <c r="P78" i="1"/>
  <c r="P94" i="1"/>
  <c r="P110" i="1"/>
  <c r="P126" i="1"/>
  <c r="P142" i="1"/>
  <c r="P158" i="1"/>
  <c r="P174" i="1"/>
  <c r="P190" i="1"/>
  <c r="P206" i="1"/>
  <c r="P222" i="1"/>
  <c r="P238" i="1"/>
  <c r="P254" i="1"/>
  <c r="P270" i="1"/>
  <c r="P286" i="1"/>
  <c r="P302" i="1"/>
  <c r="P318" i="1"/>
  <c r="P334" i="1"/>
  <c r="P343" i="1"/>
  <c r="P347" i="1"/>
  <c r="P351" i="1"/>
  <c r="P355" i="1"/>
  <c r="P359" i="1"/>
  <c r="P363" i="1"/>
  <c r="P367" i="1"/>
  <c r="P371" i="1"/>
  <c r="P375" i="1"/>
  <c r="P379" i="1"/>
  <c r="P383" i="1"/>
  <c r="P387" i="1"/>
  <c r="P391" i="1"/>
  <c r="P395" i="1"/>
  <c r="P399" i="1"/>
  <c r="P403" i="1"/>
  <c r="P407" i="1"/>
  <c r="P411" i="1"/>
  <c r="P415" i="1"/>
  <c r="P419" i="1"/>
  <c r="P423" i="1"/>
  <c r="P427" i="1"/>
  <c r="P431" i="1"/>
  <c r="P435" i="1"/>
  <c r="P439" i="1"/>
  <c r="P443" i="1"/>
  <c r="P447" i="1"/>
  <c r="P451" i="1"/>
  <c r="P455" i="1"/>
  <c r="P459" i="1"/>
  <c r="P463" i="1"/>
  <c r="P467" i="1"/>
  <c r="P471" i="1"/>
  <c r="P475" i="1"/>
  <c r="P479" i="1"/>
  <c r="P483" i="1"/>
  <c r="P487" i="1"/>
  <c r="P491" i="1"/>
  <c r="P495" i="1"/>
  <c r="P499" i="1"/>
  <c r="P503" i="1"/>
  <c r="P507" i="1"/>
  <c r="P511" i="1"/>
  <c r="P515" i="1"/>
  <c r="P519" i="1"/>
  <c r="P523" i="1"/>
  <c r="P527" i="1"/>
  <c r="P531" i="1"/>
  <c r="P535" i="1"/>
  <c r="P539" i="1"/>
  <c r="P543" i="1"/>
  <c r="P547" i="1"/>
  <c r="P551" i="1"/>
  <c r="P555" i="1"/>
  <c r="P559" i="1"/>
  <c r="P563" i="1"/>
  <c r="P567" i="1"/>
  <c r="P571" i="1"/>
  <c r="P575" i="1"/>
  <c r="P579" i="1"/>
  <c r="P583" i="1"/>
  <c r="P587" i="1"/>
  <c r="P591" i="1"/>
  <c r="P595" i="1"/>
  <c r="P18" i="1"/>
  <c r="P82" i="1"/>
  <c r="P146" i="1"/>
  <c r="P202" i="1"/>
  <c r="P234" i="1"/>
  <c r="P266" i="1"/>
  <c r="P298" i="1"/>
  <c r="P330" i="1"/>
  <c r="P346" i="1"/>
  <c r="P354" i="1"/>
  <c r="P362" i="1"/>
  <c r="P370" i="1"/>
  <c r="P378" i="1"/>
  <c r="P386" i="1"/>
  <c r="P394" i="1"/>
  <c r="P402" i="1"/>
  <c r="P410" i="1"/>
  <c r="P418" i="1"/>
  <c r="P426" i="1"/>
  <c r="P434" i="1"/>
  <c r="P442" i="1"/>
  <c r="P450" i="1"/>
  <c r="P458" i="1"/>
  <c r="P466" i="1"/>
  <c r="P474" i="1"/>
  <c r="P482" i="1"/>
  <c r="P490" i="1"/>
  <c r="P498" i="1"/>
  <c r="P506" i="1"/>
  <c r="P514" i="1"/>
  <c r="P522" i="1"/>
  <c r="P530" i="1"/>
  <c r="P538" i="1"/>
  <c r="P546" i="1"/>
  <c r="P554" i="1"/>
  <c r="P562" i="1"/>
  <c r="P570" i="1"/>
  <c r="P578" i="1"/>
  <c r="P586" i="1"/>
  <c r="P594" i="1"/>
  <c r="P599" i="1"/>
  <c r="P603" i="1"/>
  <c r="P607" i="1"/>
  <c r="P611" i="1"/>
  <c r="P615" i="1"/>
  <c r="P619" i="1"/>
  <c r="P623" i="1"/>
  <c r="P627" i="1"/>
  <c r="P631" i="1"/>
  <c r="P635" i="1"/>
  <c r="P639" i="1"/>
  <c r="P643" i="1"/>
  <c r="P647" i="1"/>
  <c r="P651" i="1"/>
  <c r="P655" i="1"/>
  <c r="P659" i="1"/>
  <c r="P663" i="1"/>
  <c r="P667" i="1"/>
  <c r="P671" i="1"/>
  <c r="P675" i="1"/>
  <c r="P679" i="1"/>
  <c r="P683" i="1"/>
  <c r="P687" i="1"/>
  <c r="P691" i="1"/>
  <c r="P695" i="1"/>
  <c r="P699" i="1"/>
  <c r="P703" i="1"/>
  <c r="P707" i="1"/>
  <c r="P711" i="1"/>
  <c r="P715" i="1"/>
  <c r="P719" i="1"/>
  <c r="P723" i="1"/>
  <c r="P727" i="1"/>
  <c r="P731" i="1"/>
  <c r="P735" i="1"/>
  <c r="P739" i="1"/>
  <c r="P743" i="1"/>
  <c r="P747" i="1"/>
  <c r="P751" i="1"/>
  <c r="P755" i="1"/>
  <c r="P759" i="1"/>
  <c r="P763" i="1"/>
  <c r="P767" i="1"/>
  <c r="P771" i="1"/>
  <c r="P775" i="1"/>
  <c r="P779" i="1"/>
  <c r="P783" i="1"/>
  <c r="P50" i="1"/>
  <c r="P114" i="1"/>
  <c r="P178" i="1"/>
  <c r="P218" i="1"/>
  <c r="P250" i="1"/>
  <c r="P282" i="1"/>
  <c r="P314" i="1"/>
  <c r="P342" i="1"/>
  <c r="P350" i="1"/>
  <c r="P358" i="1"/>
  <c r="P366" i="1"/>
  <c r="P374" i="1"/>
  <c r="P382" i="1"/>
  <c r="P390" i="1"/>
  <c r="P398" i="1"/>
  <c r="P406" i="1"/>
  <c r="P414" i="1"/>
  <c r="P422" i="1"/>
  <c r="P430" i="1"/>
  <c r="P438" i="1"/>
  <c r="P446" i="1"/>
  <c r="P454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597" i="1"/>
  <c r="P601" i="1"/>
  <c r="P605" i="1"/>
  <c r="P609" i="1"/>
  <c r="P613" i="1"/>
  <c r="P617" i="1"/>
  <c r="P621" i="1"/>
  <c r="P625" i="1"/>
  <c r="P629" i="1"/>
  <c r="P633" i="1"/>
  <c r="P637" i="1"/>
  <c r="P641" i="1"/>
  <c r="P645" i="1"/>
  <c r="P649" i="1"/>
  <c r="P653" i="1"/>
  <c r="P657" i="1"/>
  <c r="P661" i="1"/>
  <c r="P665" i="1"/>
  <c r="P669" i="1"/>
  <c r="P673" i="1"/>
  <c r="P677" i="1"/>
  <c r="P681" i="1"/>
  <c r="P685" i="1"/>
  <c r="P689" i="1"/>
  <c r="P693" i="1"/>
  <c r="P697" i="1"/>
  <c r="P701" i="1"/>
  <c r="P705" i="1"/>
  <c r="P709" i="1"/>
  <c r="P713" i="1"/>
  <c r="P717" i="1"/>
  <c r="P721" i="1"/>
  <c r="P725" i="1"/>
  <c r="P729" i="1"/>
  <c r="P733" i="1"/>
  <c r="P737" i="1"/>
  <c r="P741" i="1"/>
  <c r="P745" i="1"/>
  <c r="P749" i="1"/>
  <c r="P753" i="1"/>
  <c r="P757" i="1"/>
  <c r="P761" i="1"/>
  <c r="P765" i="1"/>
  <c r="P769" i="1"/>
  <c r="P773" i="1"/>
  <c r="P777" i="1"/>
  <c r="P827" i="1"/>
  <c r="P823" i="1"/>
  <c r="P819" i="1"/>
  <c r="P815" i="1"/>
  <c r="P811" i="1"/>
  <c r="P807" i="1"/>
  <c r="P803" i="1"/>
  <c r="P799" i="1"/>
  <c r="P795" i="1"/>
  <c r="P791" i="1"/>
  <c r="P787" i="1"/>
  <c r="P782" i="1"/>
  <c r="P776" i="1"/>
  <c r="P768" i="1"/>
  <c r="P760" i="1"/>
  <c r="P752" i="1"/>
  <c r="P744" i="1"/>
  <c r="P736" i="1"/>
  <c r="P728" i="1"/>
  <c r="P720" i="1"/>
  <c r="P712" i="1"/>
  <c r="P704" i="1"/>
  <c r="P696" i="1"/>
  <c r="P688" i="1"/>
  <c r="P680" i="1"/>
  <c r="P672" i="1"/>
  <c r="P664" i="1"/>
  <c r="P656" i="1"/>
  <c r="P648" i="1"/>
  <c r="P640" i="1"/>
  <c r="P632" i="1"/>
  <c r="P624" i="1"/>
  <c r="P616" i="1"/>
  <c r="P608" i="1"/>
  <c r="P600" i="1"/>
  <c r="P588" i="1"/>
  <c r="P572" i="1"/>
  <c r="P556" i="1"/>
  <c r="P540" i="1"/>
  <c r="P524" i="1"/>
  <c r="P508" i="1"/>
  <c r="P492" i="1"/>
  <c r="P476" i="1"/>
  <c r="P460" i="1"/>
  <c r="P444" i="1"/>
  <c r="P428" i="1"/>
  <c r="P412" i="1"/>
  <c r="P396" i="1"/>
  <c r="P380" i="1"/>
  <c r="P364" i="1"/>
  <c r="P348" i="1"/>
  <c r="P306" i="1"/>
  <c r="P242" i="1"/>
  <c r="P162" i="1"/>
  <c r="P34" i="1"/>
  <c r="C3" i="1" l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C33" i="1"/>
  <c r="D33" i="1"/>
  <c r="E33" i="1"/>
  <c r="F33" i="1"/>
  <c r="G33" i="1"/>
  <c r="H33" i="1"/>
  <c r="I33" i="1"/>
  <c r="J33" i="1"/>
  <c r="K33" i="1"/>
  <c r="L33" i="1"/>
  <c r="M33" i="1"/>
  <c r="C34" i="1"/>
  <c r="D34" i="1"/>
  <c r="E34" i="1"/>
  <c r="F34" i="1"/>
  <c r="G34" i="1"/>
  <c r="H34" i="1"/>
  <c r="I34" i="1"/>
  <c r="J34" i="1"/>
  <c r="K34" i="1"/>
  <c r="L34" i="1"/>
  <c r="M34" i="1"/>
  <c r="C35" i="1"/>
  <c r="D35" i="1"/>
  <c r="E35" i="1"/>
  <c r="F35" i="1"/>
  <c r="G35" i="1"/>
  <c r="H35" i="1"/>
  <c r="I35" i="1"/>
  <c r="J35" i="1"/>
  <c r="K35" i="1"/>
  <c r="L35" i="1"/>
  <c r="M35" i="1"/>
  <c r="C36" i="1"/>
  <c r="D36" i="1"/>
  <c r="E36" i="1"/>
  <c r="F36" i="1"/>
  <c r="G36" i="1"/>
  <c r="H36" i="1"/>
  <c r="I36" i="1"/>
  <c r="J36" i="1"/>
  <c r="K36" i="1"/>
  <c r="L36" i="1"/>
  <c r="M36" i="1"/>
  <c r="C37" i="1"/>
  <c r="D37" i="1"/>
  <c r="E37" i="1"/>
  <c r="F37" i="1"/>
  <c r="G37" i="1"/>
  <c r="H37" i="1"/>
  <c r="I37" i="1"/>
  <c r="J37" i="1"/>
  <c r="K37" i="1"/>
  <c r="L37" i="1"/>
  <c r="M37" i="1"/>
  <c r="C38" i="1"/>
  <c r="D38" i="1"/>
  <c r="E38" i="1"/>
  <c r="F38" i="1"/>
  <c r="G38" i="1"/>
  <c r="H38" i="1"/>
  <c r="I38" i="1"/>
  <c r="J38" i="1"/>
  <c r="K38" i="1"/>
  <c r="L38" i="1"/>
  <c r="M38" i="1"/>
  <c r="C39" i="1"/>
  <c r="D39" i="1"/>
  <c r="E39" i="1"/>
  <c r="F39" i="1"/>
  <c r="G39" i="1"/>
  <c r="H39" i="1"/>
  <c r="I39" i="1"/>
  <c r="J39" i="1"/>
  <c r="K39" i="1"/>
  <c r="L39" i="1"/>
  <c r="M39" i="1"/>
  <c r="C40" i="1"/>
  <c r="D40" i="1"/>
  <c r="E40" i="1"/>
  <c r="F40" i="1"/>
  <c r="G40" i="1"/>
  <c r="H40" i="1"/>
  <c r="I40" i="1"/>
  <c r="J40" i="1"/>
  <c r="K40" i="1"/>
  <c r="L40" i="1"/>
  <c r="M40" i="1"/>
  <c r="C41" i="1"/>
  <c r="D41" i="1"/>
  <c r="E41" i="1"/>
  <c r="F41" i="1"/>
  <c r="G41" i="1"/>
  <c r="H41" i="1"/>
  <c r="I41" i="1"/>
  <c r="J41" i="1"/>
  <c r="K41" i="1"/>
  <c r="L41" i="1"/>
  <c r="M41" i="1"/>
  <c r="C42" i="1"/>
  <c r="D42" i="1"/>
  <c r="E42" i="1"/>
  <c r="F42" i="1"/>
  <c r="G42" i="1"/>
  <c r="H42" i="1"/>
  <c r="I42" i="1"/>
  <c r="J42" i="1"/>
  <c r="K42" i="1"/>
  <c r="L42" i="1"/>
  <c r="M42" i="1"/>
  <c r="C43" i="1"/>
  <c r="D43" i="1"/>
  <c r="E43" i="1"/>
  <c r="F43" i="1"/>
  <c r="G43" i="1"/>
  <c r="H43" i="1"/>
  <c r="I43" i="1"/>
  <c r="J43" i="1"/>
  <c r="K43" i="1"/>
  <c r="L43" i="1"/>
  <c r="M43" i="1"/>
  <c r="C44" i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/>
  <c r="J45" i="1"/>
  <c r="K45" i="1"/>
  <c r="L45" i="1"/>
  <c r="M45" i="1"/>
  <c r="C46" i="1"/>
  <c r="D46" i="1"/>
  <c r="E46" i="1"/>
  <c r="F46" i="1"/>
  <c r="G46" i="1"/>
  <c r="H46" i="1"/>
  <c r="I46" i="1"/>
  <c r="J46" i="1"/>
  <c r="K46" i="1"/>
  <c r="L46" i="1"/>
  <c r="M46" i="1"/>
  <c r="C47" i="1"/>
  <c r="D47" i="1"/>
  <c r="E47" i="1"/>
  <c r="F47" i="1"/>
  <c r="G47" i="1"/>
  <c r="H47" i="1"/>
  <c r="I47" i="1"/>
  <c r="J47" i="1"/>
  <c r="K47" i="1"/>
  <c r="L47" i="1"/>
  <c r="M47" i="1"/>
  <c r="C48" i="1"/>
  <c r="D48" i="1"/>
  <c r="E48" i="1"/>
  <c r="F48" i="1"/>
  <c r="G48" i="1"/>
  <c r="H48" i="1"/>
  <c r="I48" i="1"/>
  <c r="J48" i="1"/>
  <c r="K48" i="1"/>
  <c r="L48" i="1"/>
  <c r="M48" i="1"/>
  <c r="C49" i="1"/>
  <c r="D49" i="1"/>
  <c r="E49" i="1"/>
  <c r="F49" i="1"/>
  <c r="G49" i="1"/>
  <c r="H49" i="1"/>
  <c r="I49" i="1"/>
  <c r="J49" i="1"/>
  <c r="K49" i="1"/>
  <c r="L49" i="1"/>
  <c r="M49" i="1"/>
  <c r="C50" i="1"/>
  <c r="D50" i="1"/>
  <c r="E50" i="1"/>
  <c r="F50" i="1"/>
  <c r="G50" i="1"/>
  <c r="H50" i="1"/>
  <c r="I50" i="1"/>
  <c r="J50" i="1"/>
  <c r="K50" i="1"/>
  <c r="L50" i="1"/>
  <c r="M50" i="1"/>
  <c r="C51" i="1"/>
  <c r="D51" i="1"/>
  <c r="E51" i="1"/>
  <c r="F51" i="1"/>
  <c r="G51" i="1"/>
  <c r="H51" i="1"/>
  <c r="I51" i="1"/>
  <c r="J51" i="1"/>
  <c r="K51" i="1"/>
  <c r="L51" i="1"/>
  <c r="M51" i="1"/>
  <c r="C52" i="1"/>
  <c r="D52" i="1"/>
  <c r="E52" i="1"/>
  <c r="F52" i="1"/>
  <c r="G52" i="1"/>
  <c r="H52" i="1"/>
  <c r="I52" i="1"/>
  <c r="J52" i="1"/>
  <c r="K52" i="1"/>
  <c r="L52" i="1"/>
  <c r="M52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C55" i="1"/>
  <c r="D55" i="1"/>
  <c r="E55" i="1"/>
  <c r="F55" i="1"/>
  <c r="G55" i="1"/>
  <c r="H55" i="1"/>
  <c r="I55" i="1"/>
  <c r="J55" i="1"/>
  <c r="K55" i="1"/>
  <c r="L55" i="1"/>
  <c r="M55" i="1"/>
  <c r="C56" i="1"/>
  <c r="D56" i="1"/>
  <c r="E56" i="1"/>
  <c r="F56" i="1"/>
  <c r="G56" i="1"/>
  <c r="H56" i="1"/>
  <c r="I56" i="1"/>
  <c r="J56" i="1"/>
  <c r="K56" i="1"/>
  <c r="L56" i="1"/>
  <c r="M56" i="1"/>
  <c r="C57" i="1"/>
  <c r="D57" i="1"/>
  <c r="E57" i="1"/>
  <c r="F57" i="1"/>
  <c r="G57" i="1"/>
  <c r="H57" i="1"/>
  <c r="I57" i="1"/>
  <c r="J57" i="1"/>
  <c r="K57" i="1"/>
  <c r="L57" i="1"/>
  <c r="M57" i="1"/>
  <c r="C58" i="1"/>
  <c r="D58" i="1"/>
  <c r="E58" i="1"/>
  <c r="F58" i="1"/>
  <c r="G58" i="1"/>
  <c r="H58" i="1"/>
  <c r="I58" i="1"/>
  <c r="J58" i="1"/>
  <c r="K58" i="1"/>
  <c r="L58" i="1"/>
  <c r="M58" i="1"/>
  <c r="C59" i="1"/>
  <c r="D59" i="1"/>
  <c r="E59" i="1"/>
  <c r="F59" i="1"/>
  <c r="G59" i="1"/>
  <c r="H59" i="1"/>
  <c r="I59" i="1"/>
  <c r="J59" i="1"/>
  <c r="K59" i="1"/>
  <c r="L59" i="1"/>
  <c r="M59" i="1"/>
  <c r="C60" i="1"/>
  <c r="D60" i="1"/>
  <c r="E60" i="1"/>
  <c r="F60" i="1"/>
  <c r="G60" i="1"/>
  <c r="H60" i="1"/>
  <c r="I60" i="1"/>
  <c r="J60" i="1"/>
  <c r="K60" i="1"/>
  <c r="L60" i="1"/>
  <c r="M60" i="1"/>
  <c r="C61" i="1"/>
  <c r="D61" i="1"/>
  <c r="E61" i="1"/>
  <c r="F61" i="1"/>
  <c r="G61" i="1"/>
  <c r="H61" i="1"/>
  <c r="I61" i="1"/>
  <c r="J61" i="1"/>
  <c r="K61" i="1"/>
  <c r="L61" i="1"/>
  <c r="M61" i="1"/>
  <c r="C62" i="1"/>
  <c r="D62" i="1"/>
  <c r="E62" i="1"/>
  <c r="F62" i="1"/>
  <c r="G62" i="1"/>
  <c r="H62" i="1"/>
  <c r="I62" i="1"/>
  <c r="J62" i="1"/>
  <c r="K62" i="1"/>
  <c r="L62" i="1"/>
  <c r="M62" i="1"/>
  <c r="C63" i="1"/>
  <c r="D63" i="1"/>
  <c r="E63" i="1"/>
  <c r="F63" i="1"/>
  <c r="G63" i="1"/>
  <c r="H63" i="1"/>
  <c r="I63" i="1"/>
  <c r="J63" i="1"/>
  <c r="K63" i="1"/>
  <c r="L63" i="1"/>
  <c r="M63" i="1"/>
  <c r="C64" i="1"/>
  <c r="D64" i="1"/>
  <c r="E64" i="1"/>
  <c r="F64" i="1"/>
  <c r="G64" i="1"/>
  <c r="H64" i="1"/>
  <c r="I64" i="1"/>
  <c r="J64" i="1"/>
  <c r="K64" i="1"/>
  <c r="L64" i="1"/>
  <c r="M64" i="1"/>
  <c r="C65" i="1"/>
  <c r="D65" i="1"/>
  <c r="E65" i="1"/>
  <c r="F65" i="1"/>
  <c r="G65" i="1"/>
  <c r="H65" i="1"/>
  <c r="I65" i="1"/>
  <c r="J65" i="1"/>
  <c r="K65" i="1"/>
  <c r="L65" i="1"/>
  <c r="M65" i="1"/>
  <c r="C66" i="1"/>
  <c r="D66" i="1"/>
  <c r="E66" i="1"/>
  <c r="F66" i="1"/>
  <c r="G66" i="1"/>
  <c r="H66" i="1"/>
  <c r="I66" i="1"/>
  <c r="J66" i="1"/>
  <c r="K66" i="1"/>
  <c r="L66" i="1"/>
  <c r="M66" i="1"/>
  <c r="C67" i="1"/>
  <c r="D67" i="1"/>
  <c r="E67" i="1"/>
  <c r="F67" i="1"/>
  <c r="G67" i="1"/>
  <c r="H67" i="1"/>
  <c r="I67" i="1"/>
  <c r="J67" i="1"/>
  <c r="K67" i="1"/>
  <c r="L67" i="1"/>
  <c r="M67" i="1"/>
  <c r="C68" i="1"/>
  <c r="D68" i="1"/>
  <c r="E68" i="1"/>
  <c r="F68" i="1"/>
  <c r="G68" i="1"/>
  <c r="H68" i="1"/>
  <c r="I68" i="1"/>
  <c r="J68" i="1"/>
  <c r="K68" i="1"/>
  <c r="L68" i="1"/>
  <c r="M68" i="1"/>
  <c r="C69" i="1"/>
  <c r="D69" i="1"/>
  <c r="E69" i="1"/>
  <c r="F69" i="1"/>
  <c r="G69" i="1"/>
  <c r="H69" i="1"/>
  <c r="I69" i="1"/>
  <c r="J69" i="1"/>
  <c r="K69" i="1"/>
  <c r="L69" i="1"/>
  <c r="M69" i="1"/>
  <c r="C70" i="1"/>
  <c r="D70" i="1"/>
  <c r="E70" i="1"/>
  <c r="F70" i="1"/>
  <c r="G70" i="1"/>
  <c r="H70" i="1"/>
  <c r="I70" i="1"/>
  <c r="J70" i="1"/>
  <c r="K70" i="1"/>
  <c r="L70" i="1"/>
  <c r="M70" i="1"/>
  <c r="C71" i="1"/>
  <c r="D71" i="1"/>
  <c r="E71" i="1"/>
  <c r="F71" i="1"/>
  <c r="G71" i="1"/>
  <c r="H71" i="1"/>
  <c r="I71" i="1"/>
  <c r="J71" i="1"/>
  <c r="K71" i="1"/>
  <c r="L71" i="1"/>
  <c r="M71" i="1"/>
  <c r="C72" i="1"/>
  <c r="D72" i="1"/>
  <c r="E72" i="1"/>
  <c r="F72" i="1"/>
  <c r="G72" i="1"/>
  <c r="H72" i="1"/>
  <c r="I72" i="1"/>
  <c r="J72" i="1"/>
  <c r="K72" i="1"/>
  <c r="L72" i="1"/>
  <c r="M72" i="1"/>
  <c r="C73" i="1"/>
  <c r="D73" i="1"/>
  <c r="E73" i="1"/>
  <c r="F73" i="1"/>
  <c r="G73" i="1"/>
  <c r="H73" i="1"/>
  <c r="I73" i="1"/>
  <c r="J73" i="1"/>
  <c r="K73" i="1"/>
  <c r="L73" i="1"/>
  <c r="M73" i="1"/>
  <c r="C74" i="1"/>
  <c r="D74" i="1"/>
  <c r="E74" i="1"/>
  <c r="F74" i="1"/>
  <c r="G74" i="1"/>
  <c r="H74" i="1"/>
  <c r="I74" i="1"/>
  <c r="J74" i="1"/>
  <c r="K74" i="1"/>
  <c r="L74" i="1"/>
  <c r="M74" i="1"/>
  <c r="C75" i="1"/>
  <c r="D75" i="1"/>
  <c r="E75" i="1"/>
  <c r="F75" i="1"/>
  <c r="G75" i="1"/>
  <c r="H75" i="1"/>
  <c r="I75" i="1"/>
  <c r="J75" i="1"/>
  <c r="K75" i="1"/>
  <c r="L75" i="1"/>
  <c r="M75" i="1"/>
  <c r="C76" i="1"/>
  <c r="D76" i="1"/>
  <c r="E76" i="1"/>
  <c r="F76" i="1"/>
  <c r="G76" i="1"/>
  <c r="H76" i="1"/>
  <c r="I76" i="1"/>
  <c r="J76" i="1"/>
  <c r="K76" i="1"/>
  <c r="L76" i="1"/>
  <c r="M76" i="1"/>
  <c r="C77" i="1"/>
  <c r="D77" i="1"/>
  <c r="E77" i="1"/>
  <c r="F77" i="1"/>
  <c r="G77" i="1"/>
  <c r="H77" i="1"/>
  <c r="I77" i="1"/>
  <c r="J77" i="1"/>
  <c r="K77" i="1"/>
  <c r="L77" i="1"/>
  <c r="M77" i="1"/>
  <c r="C78" i="1"/>
  <c r="D78" i="1"/>
  <c r="E78" i="1"/>
  <c r="F78" i="1"/>
  <c r="G78" i="1"/>
  <c r="H78" i="1"/>
  <c r="I78" i="1"/>
  <c r="J78" i="1"/>
  <c r="K78" i="1"/>
  <c r="L78" i="1"/>
  <c r="M78" i="1"/>
  <c r="C79" i="1"/>
  <c r="D79" i="1"/>
  <c r="E79" i="1"/>
  <c r="F79" i="1"/>
  <c r="G79" i="1"/>
  <c r="H79" i="1"/>
  <c r="I79" i="1"/>
  <c r="J79" i="1"/>
  <c r="K79" i="1"/>
  <c r="L79" i="1"/>
  <c r="M79" i="1"/>
  <c r="C80" i="1"/>
  <c r="D80" i="1"/>
  <c r="E80" i="1"/>
  <c r="F80" i="1"/>
  <c r="G80" i="1"/>
  <c r="H80" i="1"/>
  <c r="I80" i="1"/>
  <c r="J80" i="1"/>
  <c r="K80" i="1"/>
  <c r="L80" i="1"/>
  <c r="M80" i="1"/>
  <c r="C81" i="1"/>
  <c r="D81" i="1"/>
  <c r="E81" i="1"/>
  <c r="F81" i="1"/>
  <c r="G81" i="1"/>
  <c r="H81" i="1"/>
  <c r="I81" i="1"/>
  <c r="J81" i="1"/>
  <c r="K81" i="1"/>
  <c r="L81" i="1"/>
  <c r="M81" i="1"/>
  <c r="C82" i="1"/>
  <c r="D82" i="1"/>
  <c r="E82" i="1"/>
  <c r="F82" i="1"/>
  <c r="G82" i="1"/>
  <c r="H82" i="1"/>
  <c r="I82" i="1"/>
  <c r="J82" i="1"/>
  <c r="K82" i="1"/>
  <c r="L82" i="1"/>
  <c r="M82" i="1"/>
  <c r="C83" i="1"/>
  <c r="D83" i="1"/>
  <c r="E83" i="1"/>
  <c r="F83" i="1"/>
  <c r="G83" i="1"/>
  <c r="H83" i="1"/>
  <c r="I83" i="1"/>
  <c r="J83" i="1"/>
  <c r="K83" i="1"/>
  <c r="L83" i="1"/>
  <c r="M83" i="1"/>
  <c r="C84" i="1"/>
  <c r="D84" i="1"/>
  <c r="E84" i="1"/>
  <c r="F84" i="1"/>
  <c r="G84" i="1"/>
  <c r="H84" i="1"/>
  <c r="I84" i="1"/>
  <c r="J84" i="1"/>
  <c r="K84" i="1"/>
  <c r="L84" i="1"/>
  <c r="M84" i="1"/>
  <c r="C85" i="1"/>
  <c r="D85" i="1"/>
  <c r="E85" i="1"/>
  <c r="F85" i="1"/>
  <c r="G85" i="1"/>
  <c r="H85" i="1"/>
  <c r="I85" i="1"/>
  <c r="J85" i="1"/>
  <c r="K85" i="1"/>
  <c r="L85" i="1"/>
  <c r="M85" i="1"/>
  <c r="C86" i="1"/>
  <c r="D86" i="1"/>
  <c r="E86" i="1"/>
  <c r="F86" i="1"/>
  <c r="G86" i="1"/>
  <c r="H86" i="1"/>
  <c r="I86" i="1"/>
  <c r="J86" i="1"/>
  <c r="K86" i="1"/>
  <c r="L86" i="1"/>
  <c r="M86" i="1"/>
  <c r="C87" i="1"/>
  <c r="D87" i="1"/>
  <c r="E87" i="1"/>
  <c r="F87" i="1"/>
  <c r="G87" i="1"/>
  <c r="H87" i="1"/>
  <c r="I87" i="1"/>
  <c r="J87" i="1"/>
  <c r="K87" i="1"/>
  <c r="L87" i="1"/>
  <c r="M87" i="1"/>
  <c r="C88" i="1"/>
  <c r="D88" i="1"/>
  <c r="E88" i="1"/>
  <c r="F88" i="1"/>
  <c r="G88" i="1"/>
  <c r="H88" i="1"/>
  <c r="I88" i="1"/>
  <c r="J88" i="1"/>
  <c r="K88" i="1"/>
  <c r="L88" i="1"/>
  <c r="M88" i="1"/>
  <c r="C89" i="1"/>
  <c r="D89" i="1"/>
  <c r="E89" i="1"/>
  <c r="F89" i="1"/>
  <c r="G89" i="1"/>
  <c r="H89" i="1"/>
  <c r="I89" i="1"/>
  <c r="J89" i="1"/>
  <c r="K89" i="1"/>
  <c r="L89" i="1"/>
  <c r="M89" i="1"/>
  <c r="C90" i="1"/>
  <c r="D90" i="1"/>
  <c r="E90" i="1"/>
  <c r="F90" i="1"/>
  <c r="G90" i="1"/>
  <c r="H90" i="1"/>
  <c r="I90" i="1"/>
  <c r="J90" i="1"/>
  <c r="K90" i="1"/>
  <c r="L90" i="1"/>
  <c r="M90" i="1"/>
  <c r="C91" i="1"/>
  <c r="D91" i="1"/>
  <c r="E91" i="1"/>
  <c r="F91" i="1"/>
  <c r="G91" i="1"/>
  <c r="H91" i="1"/>
  <c r="I91" i="1"/>
  <c r="J91" i="1"/>
  <c r="K91" i="1"/>
  <c r="L91" i="1"/>
  <c r="M91" i="1"/>
  <c r="C92" i="1"/>
  <c r="D92" i="1"/>
  <c r="E92" i="1"/>
  <c r="F92" i="1"/>
  <c r="G92" i="1"/>
  <c r="H92" i="1"/>
  <c r="I92" i="1"/>
  <c r="J92" i="1"/>
  <c r="K92" i="1"/>
  <c r="L92" i="1"/>
  <c r="M92" i="1"/>
  <c r="C93" i="1"/>
  <c r="D93" i="1"/>
  <c r="E93" i="1"/>
  <c r="F93" i="1"/>
  <c r="G93" i="1"/>
  <c r="H93" i="1"/>
  <c r="I93" i="1"/>
  <c r="J93" i="1"/>
  <c r="K93" i="1"/>
  <c r="L93" i="1"/>
  <c r="M93" i="1"/>
  <c r="C94" i="1"/>
  <c r="D94" i="1"/>
  <c r="E94" i="1"/>
  <c r="F94" i="1"/>
  <c r="G94" i="1"/>
  <c r="H94" i="1"/>
  <c r="I94" i="1"/>
  <c r="J94" i="1"/>
  <c r="K94" i="1"/>
  <c r="L94" i="1"/>
  <c r="M94" i="1"/>
  <c r="C95" i="1"/>
  <c r="D95" i="1"/>
  <c r="E95" i="1"/>
  <c r="F95" i="1"/>
  <c r="G95" i="1"/>
  <c r="H95" i="1"/>
  <c r="I95" i="1"/>
  <c r="J95" i="1"/>
  <c r="K95" i="1"/>
  <c r="L95" i="1"/>
  <c r="M95" i="1"/>
  <c r="C96" i="1"/>
  <c r="D96" i="1"/>
  <c r="E96" i="1"/>
  <c r="F96" i="1"/>
  <c r="G96" i="1"/>
  <c r="H96" i="1"/>
  <c r="I96" i="1"/>
  <c r="J96" i="1"/>
  <c r="K96" i="1"/>
  <c r="L96" i="1"/>
  <c r="M96" i="1"/>
  <c r="C97" i="1"/>
  <c r="D97" i="1"/>
  <c r="E97" i="1"/>
  <c r="F97" i="1"/>
  <c r="G97" i="1"/>
  <c r="H97" i="1"/>
  <c r="I97" i="1"/>
  <c r="J97" i="1"/>
  <c r="K97" i="1"/>
  <c r="L97" i="1"/>
  <c r="M97" i="1"/>
  <c r="C98" i="1"/>
  <c r="D98" i="1"/>
  <c r="E98" i="1"/>
  <c r="F98" i="1"/>
  <c r="G98" i="1"/>
  <c r="H98" i="1"/>
  <c r="I98" i="1"/>
  <c r="J98" i="1"/>
  <c r="K98" i="1"/>
  <c r="L98" i="1"/>
  <c r="M98" i="1"/>
  <c r="C99" i="1"/>
  <c r="D99" i="1"/>
  <c r="E99" i="1"/>
  <c r="F99" i="1"/>
  <c r="G99" i="1"/>
  <c r="H99" i="1"/>
  <c r="I99" i="1"/>
  <c r="J99" i="1"/>
  <c r="K99" i="1"/>
  <c r="L99" i="1"/>
  <c r="M99" i="1"/>
  <c r="C100" i="1"/>
  <c r="D100" i="1"/>
  <c r="E100" i="1"/>
  <c r="F100" i="1"/>
  <c r="G100" i="1"/>
  <c r="H100" i="1"/>
  <c r="I100" i="1"/>
  <c r="J100" i="1"/>
  <c r="K100" i="1"/>
  <c r="L100" i="1"/>
  <c r="M100" i="1"/>
  <c r="C101" i="1"/>
  <c r="D101" i="1"/>
  <c r="E101" i="1"/>
  <c r="F101" i="1"/>
  <c r="G101" i="1"/>
  <c r="H101" i="1"/>
  <c r="I101" i="1"/>
  <c r="J101" i="1"/>
  <c r="K101" i="1"/>
  <c r="L101" i="1"/>
  <c r="M101" i="1"/>
  <c r="C102" i="1"/>
  <c r="D102" i="1"/>
  <c r="E102" i="1"/>
  <c r="F102" i="1"/>
  <c r="G102" i="1"/>
  <c r="H102" i="1"/>
  <c r="I102" i="1"/>
  <c r="J102" i="1"/>
  <c r="K102" i="1"/>
  <c r="L102" i="1"/>
  <c r="M102" i="1"/>
  <c r="C103" i="1"/>
  <c r="D103" i="1"/>
  <c r="E103" i="1"/>
  <c r="F103" i="1"/>
  <c r="G103" i="1"/>
  <c r="H103" i="1"/>
  <c r="I103" i="1"/>
  <c r="J103" i="1"/>
  <c r="K103" i="1"/>
  <c r="L103" i="1"/>
  <c r="M103" i="1"/>
  <c r="C104" i="1"/>
  <c r="D104" i="1"/>
  <c r="E104" i="1"/>
  <c r="F104" i="1"/>
  <c r="G104" i="1"/>
  <c r="H104" i="1"/>
  <c r="I104" i="1"/>
  <c r="J104" i="1"/>
  <c r="K104" i="1"/>
  <c r="L104" i="1"/>
  <c r="M104" i="1"/>
  <c r="C105" i="1"/>
  <c r="D105" i="1"/>
  <c r="E105" i="1"/>
  <c r="F105" i="1"/>
  <c r="G105" i="1"/>
  <c r="H105" i="1"/>
  <c r="I105" i="1"/>
  <c r="J105" i="1"/>
  <c r="K105" i="1"/>
  <c r="L105" i="1"/>
  <c r="M105" i="1"/>
  <c r="C106" i="1"/>
  <c r="D106" i="1"/>
  <c r="E106" i="1"/>
  <c r="F106" i="1"/>
  <c r="G106" i="1"/>
  <c r="H106" i="1"/>
  <c r="I106" i="1"/>
  <c r="J106" i="1"/>
  <c r="K106" i="1"/>
  <c r="L106" i="1"/>
  <c r="M106" i="1"/>
  <c r="C107" i="1"/>
  <c r="D107" i="1"/>
  <c r="E107" i="1"/>
  <c r="F107" i="1"/>
  <c r="G107" i="1"/>
  <c r="H107" i="1"/>
  <c r="I107" i="1"/>
  <c r="J107" i="1"/>
  <c r="K107" i="1"/>
  <c r="L107" i="1"/>
  <c r="M107" i="1"/>
  <c r="C108" i="1"/>
  <c r="D108" i="1"/>
  <c r="E108" i="1"/>
  <c r="F108" i="1"/>
  <c r="G108" i="1"/>
  <c r="H108" i="1"/>
  <c r="I108" i="1"/>
  <c r="J108" i="1"/>
  <c r="K108" i="1"/>
  <c r="L108" i="1"/>
  <c r="M108" i="1"/>
  <c r="C109" i="1"/>
  <c r="D109" i="1"/>
  <c r="E109" i="1"/>
  <c r="F109" i="1"/>
  <c r="G109" i="1"/>
  <c r="H109" i="1"/>
  <c r="I109" i="1"/>
  <c r="J109" i="1"/>
  <c r="K109" i="1"/>
  <c r="L109" i="1"/>
  <c r="M109" i="1"/>
  <c r="C110" i="1"/>
  <c r="D110" i="1"/>
  <c r="E110" i="1"/>
  <c r="F110" i="1"/>
  <c r="G110" i="1"/>
  <c r="H110" i="1"/>
  <c r="I110" i="1"/>
  <c r="J110" i="1"/>
  <c r="K110" i="1"/>
  <c r="L110" i="1"/>
  <c r="M110" i="1"/>
  <c r="C111" i="1"/>
  <c r="D111" i="1"/>
  <c r="E111" i="1"/>
  <c r="F111" i="1"/>
  <c r="G111" i="1"/>
  <c r="H111" i="1"/>
  <c r="I111" i="1"/>
  <c r="J111" i="1"/>
  <c r="K111" i="1"/>
  <c r="L111" i="1"/>
  <c r="M111" i="1"/>
  <c r="C112" i="1"/>
  <c r="D112" i="1"/>
  <c r="E112" i="1"/>
  <c r="F112" i="1"/>
  <c r="G112" i="1"/>
  <c r="H112" i="1"/>
  <c r="I112" i="1"/>
  <c r="J112" i="1"/>
  <c r="K112" i="1"/>
  <c r="L112" i="1"/>
  <c r="M112" i="1"/>
  <c r="C113" i="1"/>
  <c r="D113" i="1"/>
  <c r="E113" i="1"/>
  <c r="F113" i="1"/>
  <c r="G113" i="1"/>
  <c r="H113" i="1"/>
  <c r="I113" i="1"/>
  <c r="J113" i="1"/>
  <c r="K113" i="1"/>
  <c r="L113" i="1"/>
  <c r="M113" i="1"/>
  <c r="C114" i="1"/>
  <c r="D114" i="1"/>
  <c r="E114" i="1"/>
  <c r="F114" i="1"/>
  <c r="G114" i="1"/>
  <c r="H114" i="1"/>
  <c r="I114" i="1"/>
  <c r="J114" i="1"/>
  <c r="K114" i="1"/>
  <c r="L114" i="1"/>
  <c r="M114" i="1"/>
  <c r="C115" i="1"/>
  <c r="D115" i="1"/>
  <c r="E115" i="1"/>
  <c r="F115" i="1"/>
  <c r="G115" i="1"/>
  <c r="H115" i="1"/>
  <c r="I115" i="1"/>
  <c r="J115" i="1"/>
  <c r="K115" i="1"/>
  <c r="L115" i="1"/>
  <c r="M115" i="1"/>
  <c r="C116" i="1"/>
  <c r="D116" i="1"/>
  <c r="E116" i="1"/>
  <c r="F116" i="1"/>
  <c r="G116" i="1"/>
  <c r="H116" i="1"/>
  <c r="I116" i="1"/>
  <c r="J116" i="1"/>
  <c r="K116" i="1"/>
  <c r="L116" i="1"/>
  <c r="M116" i="1"/>
  <c r="C117" i="1"/>
  <c r="D117" i="1"/>
  <c r="E117" i="1"/>
  <c r="F117" i="1"/>
  <c r="G117" i="1"/>
  <c r="H117" i="1"/>
  <c r="I117" i="1"/>
  <c r="J117" i="1"/>
  <c r="K117" i="1"/>
  <c r="L117" i="1"/>
  <c r="M117" i="1"/>
  <c r="C118" i="1"/>
  <c r="D118" i="1"/>
  <c r="E118" i="1"/>
  <c r="F118" i="1"/>
  <c r="G118" i="1"/>
  <c r="H118" i="1"/>
  <c r="I118" i="1"/>
  <c r="J118" i="1"/>
  <c r="K118" i="1"/>
  <c r="L118" i="1"/>
  <c r="M118" i="1"/>
  <c r="C119" i="1"/>
  <c r="D119" i="1"/>
  <c r="E119" i="1"/>
  <c r="F119" i="1"/>
  <c r="G119" i="1"/>
  <c r="H119" i="1"/>
  <c r="I119" i="1"/>
  <c r="J119" i="1"/>
  <c r="K119" i="1"/>
  <c r="L119" i="1"/>
  <c r="M119" i="1"/>
  <c r="C120" i="1"/>
  <c r="D120" i="1"/>
  <c r="E120" i="1"/>
  <c r="F120" i="1"/>
  <c r="G120" i="1"/>
  <c r="H120" i="1"/>
  <c r="I120" i="1"/>
  <c r="J120" i="1"/>
  <c r="K120" i="1"/>
  <c r="L120" i="1"/>
  <c r="M120" i="1"/>
  <c r="C121" i="1"/>
  <c r="D121" i="1"/>
  <c r="E121" i="1"/>
  <c r="F121" i="1"/>
  <c r="G121" i="1"/>
  <c r="H121" i="1"/>
  <c r="I121" i="1"/>
  <c r="J121" i="1"/>
  <c r="K121" i="1"/>
  <c r="L121" i="1"/>
  <c r="M121" i="1"/>
  <c r="C122" i="1"/>
  <c r="D122" i="1"/>
  <c r="E122" i="1"/>
  <c r="F122" i="1"/>
  <c r="G122" i="1"/>
  <c r="H122" i="1"/>
  <c r="I122" i="1"/>
  <c r="J122" i="1"/>
  <c r="K122" i="1"/>
  <c r="L122" i="1"/>
  <c r="M122" i="1"/>
  <c r="C123" i="1"/>
  <c r="D123" i="1"/>
  <c r="E123" i="1"/>
  <c r="F123" i="1"/>
  <c r="G123" i="1"/>
  <c r="H123" i="1"/>
  <c r="I123" i="1"/>
  <c r="J123" i="1"/>
  <c r="K123" i="1"/>
  <c r="L123" i="1"/>
  <c r="M123" i="1"/>
  <c r="C124" i="1"/>
  <c r="D124" i="1"/>
  <c r="E124" i="1"/>
  <c r="F124" i="1"/>
  <c r="G124" i="1"/>
  <c r="H124" i="1"/>
  <c r="I124" i="1"/>
  <c r="J124" i="1"/>
  <c r="K124" i="1"/>
  <c r="L124" i="1"/>
  <c r="M124" i="1"/>
  <c r="C125" i="1"/>
  <c r="D125" i="1"/>
  <c r="E125" i="1"/>
  <c r="F125" i="1"/>
  <c r="G125" i="1"/>
  <c r="H125" i="1"/>
  <c r="I125" i="1"/>
  <c r="J125" i="1"/>
  <c r="K125" i="1"/>
  <c r="L125" i="1"/>
  <c r="M125" i="1"/>
  <c r="C126" i="1"/>
  <c r="D126" i="1"/>
  <c r="E126" i="1"/>
  <c r="F126" i="1"/>
  <c r="G126" i="1"/>
  <c r="H126" i="1"/>
  <c r="I126" i="1"/>
  <c r="J126" i="1"/>
  <c r="K126" i="1"/>
  <c r="L126" i="1"/>
  <c r="M126" i="1"/>
  <c r="C127" i="1"/>
  <c r="D127" i="1"/>
  <c r="E127" i="1"/>
  <c r="F127" i="1"/>
  <c r="G127" i="1"/>
  <c r="H127" i="1"/>
  <c r="I127" i="1"/>
  <c r="J127" i="1"/>
  <c r="K127" i="1"/>
  <c r="L127" i="1"/>
  <c r="M127" i="1"/>
  <c r="C128" i="1"/>
  <c r="D128" i="1"/>
  <c r="E128" i="1"/>
  <c r="F128" i="1"/>
  <c r="G128" i="1"/>
  <c r="H128" i="1"/>
  <c r="I128" i="1"/>
  <c r="J128" i="1"/>
  <c r="K128" i="1"/>
  <c r="L128" i="1"/>
  <c r="M128" i="1"/>
  <c r="C129" i="1"/>
  <c r="D129" i="1"/>
  <c r="E129" i="1"/>
  <c r="F129" i="1"/>
  <c r="G129" i="1"/>
  <c r="H129" i="1"/>
  <c r="I129" i="1"/>
  <c r="J129" i="1"/>
  <c r="K129" i="1"/>
  <c r="L129" i="1"/>
  <c r="M129" i="1"/>
  <c r="C130" i="1"/>
  <c r="D130" i="1"/>
  <c r="E130" i="1"/>
  <c r="F130" i="1"/>
  <c r="G130" i="1"/>
  <c r="H130" i="1"/>
  <c r="I130" i="1"/>
  <c r="J130" i="1"/>
  <c r="K130" i="1"/>
  <c r="L130" i="1"/>
  <c r="M130" i="1"/>
  <c r="C131" i="1"/>
  <c r="D131" i="1"/>
  <c r="E131" i="1"/>
  <c r="F131" i="1"/>
  <c r="G131" i="1"/>
  <c r="H131" i="1"/>
  <c r="I131" i="1"/>
  <c r="J131" i="1"/>
  <c r="K131" i="1"/>
  <c r="L131" i="1"/>
  <c r="M131" i="1"/>
  <c r="C132" i="1"/>
  <c r="D132" i="1"/>
  <c r="E132" i="1"/>
  <c r="F132" i="1"/>
  <c r="G132" i="1"/>
  <c r="H132" i="1"/>
  <c r="I132" i="1"/>
  <c r="J132" i="1"/>
  <c r="K132" i="1"/>
  <c r="L132" i="1"/>
  <c r="M132" i="1"/>
  <c r="C133" i="1"/>
  <c r="D133" i="1"/>
  <c r="E133" i="1"/>
  <c r="F133" i="1"/>
  <c r="G133" i="1"/>
  <c r="H133" i="1"/>
  <c r="I133" i="1"/>
  <c r="J133" i="1"/>
  <c r="K133" i="1"/>
  <c r="L133" i="1"/>
  <c r="M133" i="1"/>
  <c r="C134" i="1"/>
  <c r="D134" i="1"/>
  <c r="E134" i="1"/>
  <c r="F134" i="1"/>
  <c r="G134" i="1"/>
  <c r="H134" i="1"/>
  <c r="I134" i="1"/>
  <c r="J134" i="1"/>
  <c r="K134" i="1"/>
  <c r="L134" i="1"/>
  <c r="M134" i="1"/>
  <c r="C135" i="1"/>
  <c r="D135" i="1"/>
  <c r="E135" i="1"/>
  <c r="F135" i="1"/>
  <c r="G135" i="1"/>
  <c r="H135" i="1"/>
  <c r="I135" i="1"/>
  <c r="J135" i="1"/>
  <c r="K135" i="1"/>
  <c r="L135" i="1"/>
  <c r="M135" i="1"/>
  <c r="C136" i="1"/>
  <c r="D136" i="1"/>
  <c r="E136" i="1"/>
  <c r="F136" i="1"/>
  <c r="G136" i="1"/>
  <c r="H136" i="1"/>
  <c r="I136" i="1"/>
  <c r="J136" i="1"/>
  <c r="K136" i="1"/>
  <c r="L136" i="1"/>
  <c r="M136" i="1"/>
  <c r="C137" i="1"/>
  <c r="D137" i="1"/>
  <c r="E137" i="1"/>
  <c r="F137" i="1"/>
  <c r="G137" i="1"/>
  <c r="H137" i="1"/>
  <c r="I137" i="1"/>
  <c r="J137" i="1"/>
  <c r="K137" i="1"/>
  <c r="L137" i="1"/>
  <c r="M137" i="1"/>
  <c r="C138" i="1"/>
  <c r="D138" i="1"/>
  <c r="E138" i="1"/>
  <c r="F138" i="1"/>
  <c r="G138" i="1"/>
  <c r="H138" i="1"/>
  <c r="I138" i="1"/>
  <c r="J138" i="1"/>
  <c r="K138" i="1"/>
  <c r="L138" i="1"/>
  <c r="M138" i="1"/>
  <c r="C139" i="1"/>
  <c r="D139" i="1"/>
  <c r="E139" i="1"/>
  <c r="F139" i="1"/>
  <c r="G139" i="1"/>
  <c r="H139" i="1"/>
  <c r="I139" i="1"/>
  <c r="J139" i="1"/>
  <c r="K139" i="1"/>
  <c r="L139" i="1"/>
  <c r="M139" i="1"/>
  <c r="C140" i="1"/>
  <c r="D140" i="1"/>
  <c r="E140" i="1"/>
  <c r="F140" i="1"/>
  <c r="G140" i="1"/>
  <c r="H140" i="1"/>
  <c r="I140" i="1"/>
  <c r="J140" i="1"/>
  <c r="K140" i="1"/>
  <c r="L140" i="1"/>
  <c r="M140" i="1"/>
  <c r="C141" i="1"/>
  <c r="D141" i="1"/>
  <c r="E141" i="1"/>
  <c r="F141" i="1"/>
  <c r="G141" i="1"/>
  <c r="H141" i="1"/>
  <c r="I141" i="1"/>
  <c r="J141" i="1"/>
  <c r="K141" i="1"/>
  <c r="L141" i="1"/>
  <c r="M141" i="1"/>
  <c r="C142" i="1"/>
  <c r="D142" i="1"/>
  <c r="E142" i="1"/>
  <c r="F142" i="1"/>
  <c r="G142" i="1"/>
  <c r="H142" i="1"/>
  <c r="I142" i="1"/>
  <c r="J142" i="1"/>
  <c r="K142" i="1"/>
  <c r="L142" i="1"/>
  <c r="M142" i="1"/>
  <c r="C143" i="1"/>
  <c r="D143" i="1"/>
  <c r="E143" i="1"/>
  <c r="F143" i="1"/>
  <c r="G143" i="1"/>
  <c r="H143" i="1"/>
  <c r="I143" i="1"/>
  <c r="J143" i="1"/>
  <c r="K143" i="1"/>
  <c r="L143" i="1"/>
  <c r="M143" i="1"/>
  <c r="C144" i="1"/>
  <c r="D144" i="1"/>
  <c r="E144" i="1"/>
  <c r="F144" i="1"/>
  <c r="G144" i="1"/>
  <c r="H144" i="1"/>
  <c r="I144" i="1"/>
  <c r="J144" i="1"/>
  <c r="K144" i="1"/>
  <c r="L144" i="1"/>
  <c r="M144" i="1"/>
  <c r="C145" i="1"/>
  <c r="D145" i="1"/>
  <c r="E145" i="1"/>
  <c r="F145" i="1"/>
  <c r="G145" i="1"/>
  <c r="H145" i="1"/>
  <c r="I145" i="1"/>
  <c r="J145" i="1"/>
  <c r="K145" i="1"/>
  <c r="L145" i="1"/>
  <c r="M145" i="1"/>
  <c r="C146" i="1"/>
  <c r="D146" i="1"/>
  <c r="E146" i="1"/>
  <c r="F146" i="1"/>
  <c r="G146" i="1"/>
  <c r="H146" i="1"/>
  <c r="I146" i="1"/>
  <c r="J146" i="1"/>
  <c r="K146" i="1"/>
  <c r="L146" i="1"/>
  <c r="M146" i="1"/>
  <c r="C147" i="1"/>
  <c r="D147" i="1"/>
  <c r="E147" i="1"/>
  <c r="F147" i="1"/>
  <c r="G147" i="1"/>
  <c r="H147" i="1"/>
  <c r="I147" i="1"/>
  <c r="J147" i="1"/>
  <c r="K147" i="1"/>
  <c r="L147" i="1"/>
  <c r="M147" i="1"/>
  <c r="C148" i="1"/>
  <c r="D148" i="1"/>
  <c r="E148" i="1"/>
  <c r="F148" i="1"/>
  <c r="G148" i="1"/>
  <c r="H148" i="1"/>
  <c r="I148" i="1"/>
  <c r="J148" i="1"/>
  <c r="K148" i="1"/>
  <c r="L148" i="1"/>
  <c r="M148" i="1"/>
  <c r="C149" i="1"/>
  <c r="D149" i="1"/>
  <c r="E149" i="1"/>
  <c r="F149" i="1"/>
  <c r="G149" i="1"/>
  <c r="H149" i="1"/>
  <c r="I149" i="1"/>
  <c r="J149" i="1"/>
  <c r="K149" i="1"/>
  <c r="L149" i="1"/>
  <c r="M149" i="1"/>
  <c r="C150" i="1"/>
  <c r="D150" i="1"/>
  <c r="E150" i="1"/>
  <c r="F150" i="1"/>
  <c r="G150" i="1"/>
  <c r="H150" i="1"/>
  <c r="I150" i="1"/>
  <c r="J150" i="1"/>
  <c r="K150" i="1"/>
  <c r="L150" i="1"/>
  <c r="M150" i="1"/>
  <c r="C151" i="1"/>
  <c r="D151" i="1"/>
  <c r="E151" i="1"/>
  <c r="F151" i="1"/>
  <c r="G151" i="1"/>
  <c r="H151" i="1"/>
  <c r="I151" i="1"/>
  <c r="J151" i="1"/>
  <c r="K151" i="1"/>
  <c r="L151" i="1"/>
  <c r="M151" i="1"/>
  <c r="C152" i="1"/>
  <c r="D152" i="1"/>
  <c r="E152" i="1"/>
  <c r="F152" i="1"/>
  <c r="G152" i="1"/>
  <c r="H152" i="1"/>
  <c r="I152" i="1"/>
  <c r="J152" i="1"/>
  <c r="K152" i="1"/>
  <c r="L152" i="1"/>
  <c r="M152" i="1"/>
  <c r="C153" i="1"/>
  <c r="D153" i="1"/>
  <c r="E153" i="1"/>
  <c r="F153" i="1"/>
  <c r="G153" i="1"/>
  <c r="H153" i="1"/>
  <c r="I153" i="1"/>
  <c r="J153" i="1"/>
  <c r="K153" i="1"/>
  <c r="L153" i="1"/>
  <c r="M153" i="1"/>
  <c r="C154" i="1"/>
  <c r="D154" i="1"/>
  <c r="E154" i="1"/>
  <c r="F154" i="1"/>
  <c r="G154" i="1"/>
  <c r="H154" i="1"/>
  <c r="I154" i="1"/>
  <c r="J154" i="1"/>
  <c r="K154" i="1"/>
  <c r="L154" i="1"/>
  <c r="M154" i="1"/>
  <c r="C155" i="1"/>
  <c r="D155" i="1"/>
  <c r="E155" i="1"/>
  <c r="F155" i="1"/>
  <c r="G155" i="1"/>
  <c r="H155" i="1"/>
  <c r="I155" i="1"/>
  <c r="J155" i="1"/>
  <c r="K155" i="1"/>
  <c r="L155" i="1"/>
  <c r="M155" i="1"/>
  <c r="C156" i="1"/>
  <c r="D156" i="1"/>
  <c r="E156" i="1"/>
  <c r="F156" i="1"/>
  <c r="G156" i="1"/>
  <c r="H156" i="1"/>
  <c r="I156" i="1"/>
  <c r="J156" i="1"/>
  <c r="K156" i="1"/>
  <c r="L156" i="1"/>
  <c r="M156" i="1"/>
  <c r="C157" i="1"/>
  <c r="D157" i="1"/>
  <c r="E157" i="1"/>
  <c r="F157" i="1"/>
  <c r="G157" i="1"/>
  <c r="H157" i="1"/>
  <c r="I157" i="1"/>
  <c r="J157" i="1"/>
  <c r="K157" i="1"/>
  <c r="L157" i="1"/>
  <c r="M157" i="1"/>
  <c r="C158" i="1"/>
  <c r="D158" i="1"/>
  <c r="E158" i="1"/>
  <c r="F158" i="1"/>
  <c r="G158" i="1"/>
  <c r="H158" i="1"/>
  <c r="I158" i="1"/>
  <c r="J158" i="1"/>
  <c r="K158" i="1"/>
  <c r="L158" i="1"/>
  <c r="M158" i="1"/>
  <c r="C159" i="1"/>
  <c r="D159" i="1"/>
  <c r="E159" i="1"/>
  <c r="F159" i="1"/>
  <c r="G159" i="1"/>
  <c r="H159" i="1"/>
  <c r="I159" i="1"/>
  <c r="J159" i="1"/>
  <c r="K159" i="1"/>
  <c r="L159" i="1"/>
  <c r="M159" i="1"/>
  <c r="C160" i="1"/>
  <c r="D160" i="1"/>
  <c r="E160" i="1"/>
  <c r="F160" i="1"/>
  <c r="G160" i="1"/>
  <c r="H160" i="1"/>
  <c r="I160" i="1"/>
  <c r="J160" i="1"/>
  <c r="K160" i="1"/>
  <c r="L160" i="1"/>
  <c r="M160" i="1"/>
  <c r="C161" i="1"/>
  <c r="D161" i="1"/>
  <c r="E161" i="1"/>
  <c r="F161" i="1"/>
  <c r="G161" i="1"/>
  <c r="H161" i="1"/>
  <c r="I161" i="1"/>
  <c r="J161" i="1"/>
  <c r="K161" i="1"/>
  <c r="L161" i="1"/>
  <c r="M161" i="1"/>
  <c r="C162" i="1"/>
  <c r="D162" i="1"/>
  <c r="E162" i="1"/>
  <c r="F162" i="1"/>
  <c r="G162" i="1"/>
  <c r="H162" i="1"/>
  <c r="I162" i="1"/>
  <c r="J162" i="1"/>
  <c r="K162" i="1"/>
  <c r="L162" i="1"/>
  <c r="M162" i="1"/>
  <c r="C163" i="1"/>
  <c r="D163" i="1"/>
  <c r="E163" i="1"/>
  <c r="F163" i="1"/>
  <c r="G163" i="1"/>
  <c r="H163" i="1"/>
  <c r="I163" i="1"/>
  <c r="J163" i="1"/>
  <c r="K163" i="1"/>
  <c r="L163" i="1"/>
  <c r="M163" i="1"/>
  <c r="C164" i="1"/>
  <c r="D164" i="1"/>
  <c r="E164" i="1"/>
  <c r="F164" i="1"/>
  <c r="G164" i="1"/>
  <c r="H164" i="1"/>
  <c r="I164" i="1"/>
  <c r="J164" i="1"/>
  <c r="K164" i="1"/>
  <c r="L164" i="1"/>
  <c r="M164" i="1"/>
  <c r="C165" i="1"/>
  <c r="D165" i="1"/>
  <c r="E165" i="1"/>
  <c r="F165" i="1"/>
  <c r="G165" i="1"/>
  <c r="H165" i="1"/>
  <c r="I165" i="1"/>
  <c r="J165" i="1"/>
  <c r="K165" i="1"/>
  <c r="L165" i="1"/>
  <c r="M165" i="1"/>
  <c r="C166" i="1"/>
  <c r="D166" i="1"/>
  <c r="E166" i="1"/>
  <c r="F166" i="1"/>
  <c r="G166" i="1"/>
  <c r="H166" i="1"/>
  <c r="I166" i="1"/>
  <c r="J166" i="1"/>
  <c r="K166" i="1"/>
  <c r="L166" i="1"/>
  <c r="M166" i="1"/>
  <c r="C167" i="1"/>
  <c r="D167" i="1"/>
  <c r="E167" i="1"/>
  <c r="F167" i="1"/>
  <c r="G167" i="1"/>
  <c r="H167" i="1"/>
  <c r="I167" i="1"/>
  <c r="J167" i="1"/>
  <c r="K167" i="1"/>
  <c r="L167" i="1"/>
  <c r="M167" i="1"/>
  <c r="C168" i="1"/>
  <c r="D168" i="1"/>
  <c r="E168" i="1"/>
  <c r="F168" i="1"/>
  <c r="G168" i="1"/>
  <c r="H168" i="1"/>
  <c r="I168" i="1"/>
  <c r="J168" i="1"/>
  <c r="K168" i="1"/>
  <c r="L168" i="1"/>
  <c r="M168" i="1"/>
  <c r="C169" i="1"/>
  <c r="D169" i="1"/>
  <c r="E169" i="1"/>
  <c r="F169" i="1"/>
  <c r="G169" i="1"/>
  <c r="H169" i="1"/>
  <c r="I169" i="1"/>
  <c r="J169" i="1"/>
  <c r="K169" i="1"/>
  <c r="L169" i="1"/>
  <c r="M169" i="1"/>
  <c r="C170" i="1"/>
  <c r="D170" i="1"/>
  <c r="E170" i="1"/>
  <c r="F170" i="1"/>
  <c r="G170" i="1"/>
  <c r="H170" i="1"/>
  <c r="I170" i="1"/>
  <c r="J170" i="1"/>
  <c r="K170" i="1"/>
  <c r="L170" i="1"/>
  <c r="M170" i="1"/>
  <c r="C171" i="1"/>
  <c r="D171" i="1"/>
  <c r="E171" i="1"/>
  <c r="F171" i="1"/>
  <c r="G171" i="1"/>
  <c r="H171" i="1"/>
  <c r="I171" i="1"/>
  <c r="J171" i="1"/>
  <c r="K171" i="1"/>
  <c r="L171" i="1"/>
  <c r="M171" i="1"/>
  <c r="C172" i="1"/>
  <c r="D172" i="1"/>
  <c r="E172" i="1"/>
  <c r="F172" i="1"/>
  <c r="G172" i="1"/>
  <c r="H172" i="1"/>
  <c r="I172" i="1"/>
  <c r="J172" i="1"/>
  <c r="K172" i="1"/>
  <c r="L172" i="1"/>
  <c r="M172" i="1"/>
  <c r="C173" i="1"/>
  <c r="D173" i="1"/>
  <c r="E173" i="1"/>
  <c r="F173" i="1"/>
  <c r="G173" i="1"/>
  <c r="H173" i="1"/>
  <c r="I173" i="1"/>
  <c r="J173" i="1"/>
  <c r="K173" i="1"/>
  <c r="L173" i="1"/>
  <c r="M173" i="1"/>
  <c r="C174" i="1"/>
  <c r="D174" i="1"/>
  <c r="E174" i="1"/>
  <c r="F174" i="1"/>
  <c r="G174" i="1"/>
  <c r="H174" i="1"/>
  <c r="I174" i="1"/>
  <c r="J174" i="1"/>
  <c r="K174" i="1"/>
  <c r="L174" i="1"/>
  <c r="M174" i="1"/>
  <c r="C175" i="1"/>
  <c r="D175" i="1"/>
  <c r="E175" i="1"/>
  <c r="F175" i="1"/>
  <c r="G175" i="1"/>
  <c r="H175" i="1"/>
  <c r="I175" i="1"/>
  <c r="J175" i="1"/>
  <c r="K175" i="1"/>
  <c r="L175" i="1"/>
  <c r="M175" i="1"/>
  <c r="C176" i="1"/>
  <c r="D176" i="1"/>
  <c r="E176" i="1"/>
  <c r="F176" i="1"/>
  <c r="G176" i="1"/>
  <c r="H176" i="1"/>
  <c r="I176" i="1"/>
  <c r="J176" i="1"/>
  <c r="K176" i="1"/>
  <c r="L176" i="1"/>
  <c r="M176" i="1"/>
  <c r="C177" i="1"/>
  <c r="D177" i="1"/>
  <c r="E177" i="1"/>
  <c r="F177" i="1"/>
  <c r="G177" i="1"/>
  <c r="H177" i="1"/>
  <c r="I177" i="1"/>
  <c r="J177" i="1"/>
  <c r="K177" i="1"/>
  <c r="L177" i="1"/>
  <c r="M177" i="1"/>
  <c r="C178" i="1"/>
  <c r="D178" i="1"/>
  <c r="E178" i="1"/>
  <c r="F178" i="1"/>
  <c r="G178" i="1"/>
  <c r="H178" i="1"/>
  <c r="I178" i="1"/>
  <c r="J178" i="1"/>
  <c r="K178" i="1"/>
  <c r="L178" i="1"/>
  <c r="M178" i="1"/>
  <c r="C179" i="1"/>
  <c r="D179" i="1"/>
  <c r="E179" i="1"/>
  <c r="F179" i="1"/>
  <c r="G179" i="1"/>
  <c r="H179" i="1"/>
  <c r="I179" i="1"/>
  <c r="J179" i="1"/>
  <c r="K179" i="1"/>
  <c r="L179" i="1"/>
  <c r="M179" i="1"/>
  <c r="C180" i="1"/>
  <c r="D180" i="1"/>
  <c r="E180" i="1"/>
  <c r="F180" i="1"/>
  <c r="G180" i="1"/>
  <c r="H180" i="1"/>
  <c r="I180" i="1"/>
  <c r="J180" i="1"/>
  <c r="K180" i="1"/>
  <c r="L180" i="1"/>
  <c r="M180" i="1"/>
  <c r="C181" i="1"/>
  <c r="D181" i="1"/>
  <c r="E181" i="1"/>
  <c r="F181" i="1"/>
  <c r="G181" i="1"/>
  <c r="H181" i="1"/>
  <c r="I181" i="1"/>
  <c r="J181" i="1"/>
  <c r="K181" i="1"/>
  <c r="L181" i="1"/>
  <c r="M181" i="1"/>
  <c r="C182" i="1"/>
  <c r="D182" i="1"/>
  <c r="E182" i="1"/>
  <c r="F182" i="1"/>
  <c r="G182" i="1"/>
  <c r="H182" i="1"/>
  <c r="I182" i="1"/>
  <c r="J182" i="1"/>
  <c r="K182" i="1"/>
  <c r="L182" i="1"/>
  <c r="M182" i="1"/>
  <c r="C183" i="1"/>
  <c r="D183" i="1"/>
  <c r="E183" i="1"/>
  <c r="F183" i="1"/>
  <c r="G183" i="1"/>
  <c r="H183" i="1"/>
  <c r="I183" i="1"/>
  <c r="J183" i="1"/>
  <c r="K183" i="1"/>
  <c r="L183" i="1"/>
  <c r="M183" i="1"/>
  <c r="C184" i="1"/>
  <c r="D184" i="1"/>
  <c r="E184" i="1"/>
  <c r="F184" i="1"/>
  <c r="G184" i="1"/>
  <c r="H184" i="1"/>
  <c r="I184" i="1"/>
  <c r="J184" i="1"/>
  <c r="K184" i="1"/>
  <c r="L184" i="1"/>
  <c r="M184" i="1"/>
  <c r="C185" i="1"/>
  <c r="D185" i="1"/>
  <c r="E185" i="1"/>
  <c r="F185" i="1"/>
  <c r="G185" i="1"/>
  <c r="H185" i="1"/>
  <c r="I185" i="1"/>
  <c r="J185" i="1"/>
  <c r="K185" i="1"/>
  <c r="L185" i="1"/>
  <c r="M185" i="1"/>
  <c r="C186" i="1"/>
  <c r="D186" i="1"/>
  <c r="E186" i="1"/>
  <c r="F186" i="1"/>
  <c r="G186" i="1"/>
  <c r="H186" i="1"/>
  <c r="I186" i="1"/>
  <c r="J186" i="1"/>
  <c r="K186" i="1"/>
  <c r="L186" i="1"/>
  <c r="M186" i="1"/>
  <c r="C187" i="1"/>
  <c r="D187" i="1"/>
  <c r="E187" i="1"/>
  <c r="F187" i="1"/>
  <c r="G187" i="1"/>
  <c r="H187" i="1"/>
  <c r="I187" i="1"/>
  <c r="J187" i="1"/>
  <c r="K187" i="1"/>
  <c r="L187" i="1"/>
  <c r="M187" i="1"/>
  <c r="C188" i="1"/>
  <c r="D188" i="1"/>
  <c r="E188" i="1"/>
  <c r="F188" i="1"/>
  <c r="G188" i="1"/>
  <c r="H188" i="1"/>
  <c r="I188" i="1"/>
  <c r="J188" i="1"/>
  <c r="K188" i="1"/>
  <c r="L188" i="1"/>
  <c r="M188" i="1"/>
  <c r="C189" i="1"/>
  <c r="D189" i="1"/>
  <c r="E189" i="1"/>
  <c r="F189" i="1"/>
  <c r="G189" i="1"/>
  <c r="H189" i="1"/>
  <c r="I189" i="1"/>
  <c r="J189" i="1"/>
  <c r="K189" i="1"/>
  <c r="L189" i="1"/>
  <c r="M189" i="1"/>
  <c r="C190" i="1"/>
  <c r="D190" i="1"/>
  <c r="E190" i="1"/>
  <c r="F190" i="1"/>
  <c r="G190" i="1"/>
  <c r="H190" i="1"/>
  <c r="I190" i="1"/>
  <c r="J190" i="1"/>
  <c r="K190" i="1"/>
  <c r="L190" i="1"/>
  <c r="M190" i="1"/>
  <c r="C191" i="1"/>
  <c r="D191" i="1"/>
  <c r="E191" i="1"/>
  <c r="F191" i="1"/>
  <c r="G191" i="1"/>
  <c r="H191" i="1"/>
  <c r="I191" i="1"/>
  <c r="J191" i="1"/>
  <c r="K191" i="1"/>
  <c r="L191" i="1"/>
  <c r="M191" i="1"/>
  <c r="C192" i="1"/>
  <c r="D192" i="1"/>
  <c r="E192" i="1"/>
  <c r="F192" i="1"/>
  <c r="G192" i="1"/>
  <c r="H192" i="1"/>
  <c r="I192" i="1"/>
  <c r="J192" i="1"/>
  <c r="K192" i="1"/>
  <c r="L192" i="1"/>
  <c r="M192" i="1"/>
  <c r="C193" i="1"/>
  <c r="D193" i="1"/>
  <c r="E193" i="1"/>
  <c r="F193" i="1"/>
  <c r="G193" i="1"/>
  <c r="H193" i="1"/>
  <c r="I193" i="1"/>
  <c r="J193" i="1"/>
  <c r="K193" i="1"/>
  <c r="L193" i="1"/>
  <c r="M193" i="1"/>
  <c r="C194" i="1"/>
  <c r="D194" i="1"/>
  <c r="E194" i="1"/>
  <c r="F194" i="1"/>
  <c r="G194" i="1"/>
  <c r="H194" i="1"/>
  <c r="I194" i="1"/>
  <c r="J194" i="1"/>
  <c r="K194" i="1"/>
  <c r="L194" i="1"/>
  <c r="M194" i="1"/>
  <c r="C195" i="1"/>
  <c r="D195" i="1"/>
  <c r="E195" i="1"/>
  <c r="F195" i="1"/>
  <c r="G195" i="1"/>
  <c r="H195" i="1"/>
  <c r="I195" i="1"/>
  <c r="J195" i="1"/>
  <c r="K195" i="1"/>
  <c r="L195" i="1"/>
  <c r="M195" i="1"/>
  <c r="C196" i="1"/>
  <c r="D196" i="1"/>
  <c r="E196" i="1"/>
  <c r="F196" i="1"/>
  <c r="G196" i="1"/>
  <c r="H196" i="1"/>
  <c r="I196" i="1"/>
  <c r="J196" i="1"/>
  <c r="K196" i="1"/>
  <c r="L196" i="1"/>
  <c r="M196" i="1"/>
  <c r="C197" i="1"/>
  <c r="D197" i="1"/>
  <c r="E197" i="1"/>
  <c r="F197" i="1"/>
  <c r="G197" i="1"/>
  <c r="H197" i="1"/>
  <c r="I197" i="1"/>
  <c r="J197" i="1"/>
  <c r="K197" i="1"/>
  <c r="L197" i="1"/>
  <c r="M197" i="1"/>
  <c r="C198" i="1"/>
  <c r="D198" i="1"/>
  <c r="E198" i="1"/>
  <c r="F198" i="1"/>
  <c r="G198" i="1"/>
  <c r="H198" i="1"/>
  <c r="I198" i="1"/>
  <c r="J198" i="1"/>
  <c r="K198" i="1"/>
  <c r="L198" i="1"/>
  <c r="M198" i="1"/>
  <c r="C199" i="1"/>
  <c r="D199" i="1"/>
  <c r="E199" i="1"/>
  <c r="F199" i="1"/>
  <c r="G199" i="1"/>
  <c r="H199" i="1"/>
  <c r="I199" i="1"/>
  <c r="J199" i="1"/>
  <c r="K199" i="1"/>
  <c r="L199" i="1"/>
  <c r="M199" i="1"/>
  <c r="C200" i="1"/>
  <c r="D200" i="1"/>
  <c r="E200" i="1"/>
  <c r="F200" i="1"/>
  <c r="G200" i="1"/>
  <c r="H200" i="1"/>
  <c r="I200" i="1"/>
  <c r="J200" i="1"/>
  <c r="K200" i="1"/>
  <c r="L200" i="1"/>
  <c r="M200" i="1"/>
  <c r="C201" i="1"/>
  <c r="D201" i="1"/>
  <c r="E201" i="1"/>
  <c r="F201" i="1"/>
  <c r="G201" i="1"/>
  <c r="H201" i="1"/>
  <c r="I201" i="1"/>
  <c r="J201" i="1"/>
  <c r="K201" i="1"/>
  <c r="L201" i="1"/>
  <c r="M201" i="1"/>
  <c r="C202" i="1"/>
  <c r="D202" i="1"/>
  <c r="E202" i="1"/>
  <c r="F202" i="1"/>
  <c r="G202" i="1"/>
  <c r="H202" i="1"/>
  <c r="I202" i="1"/>
  <c r="J202" i="1"/>
  <c r="K202" i="1"/>
  <c r="L202" i="1"/>
  <c r="M202" i="1"/>
  <c r="C203" i="1"/>
  <c r="D203" i="1"/>
  <c r="E203" i="1"/>
  <c r="F203" i="1"/>
  <c r="G203" i="1"/>
  <c r="H203" i="1"/>
  <c r="I203" i="1"/>
  <c r="J203" i="1"/>
  <c r="K203" i="1"/>
  <c r="L203" i="1"/>
  <c r="M203" i="1"/>
  <c r="C204" i="1"/>
  <c r="D204" i="1"/>
  <c r="E204" i="1"/>
  <c r="F204" i="1"/>
  <c r="G204" i="1"/>
  <c r="H204" i="1"/>
  <c r="I204" i="1"/>
  <c r="J204" i="1"/>
  <c r="K204" i="1"/>
  <c r="L204" i="1"/>
  <c r="M204" i="1"/>
  <c r="C205" i="1"/>
  <c r="D205" i="1"/>
  <c r="E205" i="1"/>
  <c r="F205" i="1"/>
  <c r="G205" i="1"/>
  <c r="H205" i="1"/>
  <c r="I205" i="1"/>
  <c r="J205" i="1"/>
  <c r="K205" i="1"/>
  <c r="L205" i="1"/>
  <c r="M205" i="1"/>
  <c r="C206" i="1"/>
  <c r="D206" i="1"/>
  <c r="E206" i="1"/>
  <c r="F206" i="1"/>
  <c r="G206" i="1"/>
  <c r="H206" i="1"/>
  <c r="I206" i="1"/>
  <c r="J206" i="1"/>
  <c r="K206" i="1"/>
  <c r="L206" i="1"/>
  <c r="M206" i="1"/>
  <c r="C207" i="1"/>
  <c r="D207" i="1"/>
  <c r="E207" i="1"/>
  <c r="F207" i="1"/>
  <c r="G207" i="1"/>
  <c r="H207" i="1"/>
  <c r="I207" i="1"/>
  <c r="J207" i="1"/>
  <c r="K207" i="1"/>
  <c r="L207" i="1"/>
  <c r="M207" i="1"/>
  <c r="C208" i="1"/>
  <c r="D208" i="1"/>
  <c r="E208" i="1"/>
  <c r="F208" i="1"/>
  <c r="G208" i="1"/>
  <c r="H208" i="1"/>
  <c r="I208" i="1"/>
  <c r="J208" i="1"/>
  <c r="K208" i="1"/>
  <c r="L208" i="1"/>
  <c r="M208" i="1"/>
  <c r="C209" i="1"/>
  <c r="D209" i="1"/>
  <c r="E209" i="1"/>
  <c r="F209" i="1"/>
  <c r="G209" i="1"/>
  <c r="H209" i="1"/>
  <c r="I209" i="1"/>
  <c r="J209" i="1"/>
  <c r="K209" i="1"/>
  <c r="L209" i="1"/>
  <c r="M209" i="1"/>
  <c r="C210" i="1"/>
  <c r="D210" i="1"/>
  <c r="E210" i="1"/>
  <c r="F210" i="1"/>
  <c r="G210" i="1"/>
  <c r="H210" i="1"/>
  <c r="I210" i="1"/>
  <c r="J210" i="1"/>
  <c r="K210" i="1"/>
  <c r="L210" i="1"/>
  <c r="M210" i="1"/>
  <c r="C211" i="1"/>
  <c r="D211" i="1"/>
  <c r="E211" i="1"/>
  <c r="F211" i="1"/>
  <c r="G211" i="1"/>
  <c r="H211" i="1"/>
  <c r="I211" i="1"/>
  <c r="J211" i="1"/>
  <c r="K211" i="1"/>
  <c r="L211" i="1"/>
  <c r="M211" i="1"/>
  <c r="C212" i="1"/>
  <c r="D212" i="1"/>
  <c r="E212" i="1"/>
  <c r="F212" i="1"/>
  <c r="G212" i="1"/>
  <c r="H212" i="1"/>
  <c r="I212" i="1"/>
  <c r="J212" i="1"/>
  <c r="K212" i="1"/>
  <c r="L212" i="1"/>
  <c r="M212" i="1"/>
  <c r="C213" i="1"/>
  <c r="D213" i="1"/>
  <c r="E213" i="1"/>
  <c r="F213" i="1"/>
  <c r="G213" i="1"/>
  <c r="H213" i="1"/>
  <c r="I213" i="1"/>
  <c r="J213" i="1"/>
  <c r="K213" i="1"/>
  <c r="L213" i="1"/>
  <c r="M213" i="1"/>
  <c r="C214" i="1"/>
  <c r="D214" i="1"/>
  <c r="E214" i="1"/>
  <c r="F214" i="1"/>
  <c r="G214" i="1"/>
  <c r="H214" i="1"/>
  <c r="I214" i="1"/>
  <c r="J214" i="1"/>
  <c r="K214" i="1"/>
  <c r="L214" i="1"/>
  <c r="M214" i="1"/>
  <c r="C215" i="1"/>
  <c r="D215" i="1"/>
  <c r="E215" i="1"/>
  <c r="F215" i="1"/>
  <c r="G215" i="1"/>
  <c r="H215" i="1"/>
  <c r="I215" i="1"/>
  <c r="J215" i="1"/>
  <c r="K215" i="1"/>
  <c r="L215" i="1"/>
  <c r="M215" i="1"/>
  <c r="C216" i="1"/>
  <c r="D216" i="1"/>
  <c r="E216" i="1"/>
  <c r="F216" i="1"/>
  <c r="G216" i="1"/>
  <c r="H216" i="1"/>
  <c r="I216" i="1"/>
  <c r="J216" i="1"/>
  <c r="K216" i="1"/>
  <c r="L216" i="1"/>
  <c r="M216" i="1"/>
  <c r="C217" i="1"/>
  <c r="D217" i="1"/>
  <c r="E217" i="1"/>
  <c r="F217" i="1"/>
  <c r="G217" i="1"/>
  <c r="H217" i="1"/>
  <c r="I217" i="1"/>
  <c r="J217" i="1"/>
  <c r="K217" i="1"/>
  <c r="L217" i="1"/>
  <c r="M217" i="1"/>
  <c r="C218" i="1"/>
  <c r="D218" i="1"/>
  <c r="E218" i="1"/>
  <c r="F218" i="1"/>
  <c r="G218" i="1"/>
  <c r="H218" i="1"/>
  <c r="I218" i="1"/>
  <c r="J218" i="1"/>
  <c r="K218" i="1"/>
  <c r="L218" i="1"/>
  <c r="M218" i="1"/>
  <c r="C219" i="1"/>
  <c r="D219" i="1"/>
  <c r="E219" i="1"/>
  <c r="F219" i="1"/>
  <c r="G219" i="1"/>
  <c r="H219" i="1"/>
  <c r="I219" i="1"/>
  <c r="J219" i="1"/>
  <c r="K219" i="1"/>
  <c r="L219" i="1"/>
  <c r="M219" i="1"/>
  <c r="C220" i="1"/>
  <c r="D220" i="1"/>
  <c r="E220" i="1"/>
  <c r="F220" i="1"/>
  <c r="G220" i="1"/>
  <c r="H220" i="1"/>
  <c r="I220" i="1"/>
  <c r="J220" i="1"/>
  <c r="K220" i="1"/>
  <c r="L220" i="1"/>
  <c r="M220" i="1"/>
  <c r="C221" i="1"/>
  <c r="D221" i="1"/>
  <c r="E221" i="1"/>
  <c r="F221" i="1"/>
  <c r="G221" i="1"/>
  <c r="H221" i="1"/>
  <c r="I221" i="1"/>
  <c r="J221" i="1"/>
  <c r="K221" i="1"/>
  <c r="L221" i="1"/>
  <c r="M221" i="1"/>
  <c r="C222" i="1"/>
  <c r="D222" i="1"/>
  <c r="E222" i="1"/>
  <c r="F222" i="1"/>
  <c r="G222" i="1"/>
  <c r="H222" i="1"/>
  <c r="I222" i="1"/>
  <c r="J222" i="1"/>
  <c r="K222" i="1"/>
  <c r="L222" i="1"/>
  <c r="M222" i="1"/>
  <c r="C223" i="1"/>
  <c r="D223" i="1"/>
  <c r="E223" i="1"/>
  <c r="F223" i="1"/>
  <c r="G223" i="1"/>
  <c r="H223" i="1"/>
  <c r="I223" i="1"/>
  <c r="J223" i="1"/>
  <c r="K223" i="1"/>
  <c r="L223" i="1"/>
  <c r="M223" i="1"/>
  <c r="C224" i="1"/>
  <c r="D224" i="1"/>
  <c r="E224" i="1"/>
  <c r="F224" i="1"/>
  <c r="G224" i="1"/>
  <c r="H224" i="1"/>
  <c r="I224" i="1"/>
  <c r="J224" i="1"/>
  <c r="K224" i="1"/>
  <c r="L224" i="1"/>
  <c r="M224" i="1"/>
  <c r="C225" i="1"/>
  <c r="D225" i="1"/>
  <c r="E225" i="1"/>
  <c r="F225" i="1"/>
  <c r="G225" i="1"/>
  <c r="H225" i="1"/>
  <c r="I225" i="1"/>
  <c r="J225" i="1"/>
  <c r="K225" i="1"/>
  <c r="L225" i="1"/>
  <c r="M225" i="1"/>
  <c r="C226" i="1"/>
  <c r="D226" i="1"/>
  <c r="E226" i="1"/>
  <c r="F226" i="1"/>
  <c r="G226" i="1"/>
  <c r="H226" i="1"/>
  <c r="I226" i="1"/>
  <c r="J226" i="1"/>
  <c r="K226" i="1"/>
  <c r="L226" i="1"/>
  <c r="M226" i="1"/>
  <c r="C227" i="1"/>
  <c r="D227" i="1"/>
  <c r="E227" i="1"/>
  <c r="F227" i="1"/>
  <c r="G227" i="1"/>
  <c r="H227" i="1"/>
  <c r="I227" i="1"/>
  <c r="J227" i="1"/>
  <c r="K227" i="1"/>
  <c r="L227" i="1"/>
  <c r="M227" i="1"/>
  <c r="C228" i="1"/>
  <c r="D228" i="1"/>
  <c r="E228" i="1"/>
  <c r="F228" i="1"/>
  <c r="G228" i="1"/>
  <c r="H228" i="1"/>
  <c r="I228" i="1"/>
  <c r="J228" i="1"/>
  <c r="K228" i="1"/>
  <c r="L228" i="1"/>
  <c r="M228" i="1"/>
  <c r="C229" i="1"/>
  <c r="D229" i="1"/>
  <c r="E229" i="1"/>
  <c r="F229" i="1"/>
  <c r="G229" i="1"/>
  <c r="H229" i="1"/>
  <c r="I229" i="1"/>
  <c r="J229" i="1"/>
  <c r="K229" i="1"/>
  <c r="L229" i="1"/>
  <c r="M229" i="1"/>
  <c r="C230" i="1"/>
  <c r="D230" i="1"/>
  <c r="E230" i="1"/>
  <c r="F230" i="1"/>
  <c r="G230" i="1"/>
  <c r="H230" i="1"/>
  <c r="I230" i="1"/>
  <c r="J230" i="1"/>
  <c r="K230" i="1"/>
  <c r="L230" i="1"/>
  <c r="M230" i="1"/>
  <c r="C231" i="1"/>
  <c r="D231" i="1"/>
  <c r="E231" i="1"/>
  <c r="F231" i="1"/>
  <c r="G231" i="1"/>
  <c r="H231" i="1"/>
  <c r="I231" i="1"/>
  <c r="J231" i="1"/>
  <c r="K231" i="1"/>
  <c r="L231" i="1"/>
  <c r="M231" i="1"/>
  <c r="C232" i="1"/>
  <c r="D232" i="1"/>
  <c r="E232" i="1"/>
  <c r="F232" i="1"/>
  <c r="G232" i="1"/>
  <c r="H232" i="1"/>
  <c r="I232" i="1"/>
  <c r="J232" i="1"/>
  <c r="K232" i="1"/>
  <c r="L232" i="1"/>
  <c r="M232" i="1"/>
  <c r="C233" i="1"/>
  <c r="D233" i="1"/>
  <c r="E233" i="1"/>
  <c r="F233" i="1"/>
  <c r="G233" i="1"/>
  <c r="H233" i="1"/>
  <c r="I233" i="1"/>
  <c r="J233" i="1"/>
  <c r="K233" i="1"/>
  <c r="L233" i="1"/>
  <c r="M233" i="1"/>
  <c r="C234" i="1"/>
  <c r="D234" i="1"/>
  <c r="E234" i="1"/>
  <c r="F234" i="1"/>
  <c r="G234" i="1"/>
  <c r="H234" i="1"/>
  <c r="I234" i="1"/>
  <c r="J234" i="1"/>
  <c r="K234" i="1"/>
  <c r="L234" i="1"/>
  <c r="M234" i="1"/>
  <c r="C235" i="1"/>
  <c r="D235" i="1"/>
  <c r="E235" i="1"/>
  <c r="F235" i="1"/>
  <c r="G235" i="1"/>
  <c r="H235" i="1"/>
  <c r="I235" i="1"/>
  <c r="J235" i="1"/>
  <c r="K235" i="1"/>
  <c r="L235" i="1"/>
  <c r="M235" i="1"/>
  <c r="C236" i="1"/>
  <c r="D236" i="1"/>
  <c r="E236" i="1"/>
  <c r="F236" i="1"/>
  <c r="G236" i="1"/>
  <c r="H236" i="1"/>
  <c r="I236" i="1"/>
  <c r="J236" i="1"/>
  <c r="K236" i="1"/>
  <c r="L236" i="1"/>
  <c r="M236" i="1"/>
  <c r="C237" i="1"/>
  <c r="D237" i="1"/>
  <c r="E237" i="1"/>
  <c r="F237" i="1"/>
  <c r="G237" i="1"/>
  <c r="H237" i="1"/>
  <c r="I237" i="1"/>
  <c r="J237" i="1"/>
  <c r="K237" i="1"/>
  <c r="L237" i="1"/>
  <c r="M237" i="1"/>
  <c r="C238" i="1"/>
  <c r="D238" i="1"/>
  <c r="E238" i="1"/>
  <c r="F238" i="1"/>
  <c r="G238" i="1"/>
  <c r="H238" i="1"/>
  <c r="I238" i="1"/>
  <c r="J238" i="1"/>
  <c r="K238" i="1"/>
  <c r="L238" i="1"/>
  <c r="M238" i="1"/>
  <c r="C239" i="1"/>
  <c r="D239" i="1"/>
  <c r="E239" i="1"/>
  <c r="F239" i="1"/>
  <c r="G239" i="1"/>
  <c r="H239" i="1"/>
  <c r="I239" i="1"/>
  <c r="J239" i="1"/>
  <c r="K239" i="1"/>
  <c r="L239" i="1"/>
  <c r="M239" i="1"/>
  <c r="C240" i="1"/>
  <c r="D240" i="1"/>
  <c r="E240" i="1"/>
  <c r="F240" i="1"/>
  <c r="G240" i="1"/>
  <c r="H240" i="1"/>
  <c r="I240" i="1"/>
  <c r="J240" i="1"/>
  <c r="K240" i="1"/>
  <c r="L240" i="1"/>
  <c r="M240" i="1"/>
  <c r="C241" i="1"/>
  <c r="D241" i="1"/>
  <c r="E241" i="1"/>
  <c r="F241" i="1"/>
  <c r="G241" i="1"/>
  <c r="H241" i="1"/>
  <c r="I241" i="1"/>
  <c r="J241" i="1"/>
  <c r="K241" i="1"/>
  <c r="L241" i="1"/>
  <c r="M241" i="1"/>
  <c r="C242" i="1"/>
  <c r="D242" i="1"/>
  <c r="E242" i="1"/>
  <c r="F242" i="1"/>
  <c r="G242" i="1"/>
  <c r="H242" i="1"/>
  <c r="I242" i="1"/>
  <c r="J242" i="1"/>
  <c r="K242" i="1"/>
  <c r="L242" i="1"/>
  <c r="M242" i="1"/>
  <c r="C243" i="1"/>
  <c r="D243" i="1"/>
  <c r="E243" i="1"/>
  <c r="F243" i="1"/>
  <c r="G243" i="1"/>
  <c r="H243" i="1"/>
  <c r="I243" i="1"/>
  <c r="J243" i="1"/>
  <c r="K243" i="1"/>
  <c r="L243" i="1"/>
  <c r="M243" i="1"/>
  <c r="C244" i="1"/>
  <c r="D244" i="1"/>
  <c r="E244" i="1"/>
  <c r="F244" i="1"/>
  <c r="G244" i="1"/>
  <c r="H244" i="1"/>
  <c r="I244" i="1"/>
  <c r="J244" i="1"/>
  <c r="K244" i="1"/>
  <c r="L244" i="1"/>
  <c r="M244" i="1"/>
  <c r="C245" i="1"/>
  <c r="D245" i="1"/>
  <c r="E245" i="1"/>
  <c r="F245" i="1"/>
  <c r="G245" i="1"/>
  <c r="H245" i="1"/>
  <c r="I245" i="1"/>
  <c r="J245" i="1"/>
  <c r="K245" i="1"/>
  <c r="L245" i="1"/>
  <c r="M245" i="1"/>
  <c r="C246" i="1"/>
  <c r="D246" i="1"/>
  <c r="E246" i="1"/>
  <c r="F246" i="1"/>
  <c r="G246" i="1"/>
  <c r="H246" i="1"/>
  <c r="I246" i="1"/>
  <c r="J246" i="1"/>
  <c r="K246" i="1"/>
  <c r="L246" i="1"/>
  <c r="M246" i="1"/>
  <c r="C247" i="1"/>
  <c r="D247" i="1"/>
  <c r="E247" i="1"/>
  <c r="F247" i="1"/>
  <c r="G247" i="1"/>
  <c r="H247" i="1"/>
  <c r="I247" i="1"/>
  <c r="J247" i="1"/>
  <c r="K247" i="1"/>
  <c r="L247" i="1"/>
  <c r="M247" i="1"/>
  <c r="C248" i="1"/>
  <c r="D248" i="1"/>
  <c r="E248" i="1"/>
  <c r="F248" i="1"/>
  <c r="G248" i="1"/>
  <c r="H248" i="1"/>
  <c r="I248" i="1"/>
  <c r="J248" i="1"/>
  <c r="K248" i="1"/>
  <c r="L248" i="1"/>
  <c r="M248" i="1"/>
  <c r="C249" i="1"/>
  <c r="D249" i="1"/>
  <c r="E249" i="1"/>
  <c r="F249" i="1"/>
  <c r="G249" i="1"/>
  <c r="H249" i="1"/>
  <c r="I249" i="1"/>
  <c r="J249" i="1"/>
  <c r="K249" i="1"/>
  <c r="L249" i="1"/>
  <c r="M249" i="1"/>
  <c r="C250" i="1"/>
  <c r="D250" i="1"/>
  <c r="E250" i="1"/>
  <c r="F250" i="1"/>
  <c r="G250" i="1"/>
  <c r="H250" i="1"/>
  <c r="I250" i="1"/>
  <c r="J250" i="1"/>
  <c r="K250" i="1"/>
  <c r="L250" i="1"/>
  <c r="M250" i="1"/>
  <c r="C251" i="1"/>
  <c r="D251" i="1"/>
  <c r="E251" i="1"/>
  <c r="F251" i="1"/>
  <c r="G251" i="1"/>
  <c r="H251" i="1"/>
  <c r="I251" i="1"/>
  <c r="J251" i="1"/>
  <c r="K251" i="1"/>
  <c r="L251" i="1"/>
  <c r="M251" i="1"/>
  <c r="C252" i="1"/>
  <c r="D252" i="1"/>
  <c r="E252" i="1"/>
  <c r="F252" i="1"/>
  <c r="G252" i="1"/>
  <c r="H252" i="1"/>
  <c r="I252" i="1"/>
  <c r="J252" i="1"/>
  <c r="K252" i="1"/>
  <c r="L252" i="1"/>
  <c r="M252" i="1"/>
  <c r="C253" i="1"/>
  <c r="D253" i="1"/>
  <c r="E253" i="1"/>
  <c r="F253" i="1"/>
  <c r="G253" i="1"/>
  <c r="H253" i="1"/>
  <c r="I253" i="1"/>
  <c r="J253" i="1"/>
  <c r="K253" i="1"/>
  <c r="L253" i="1"/>
  <c r="M253" i="1"/>
  <c r="C254" i="1"/>
  <c r="D254" i="1"/>
  <c r="E254" i="1"/>
  <c r="F254" i="1"/>
  <c r="G254" i="1"/>
  <c r="H254" i="1"/>
  <c r="I254" i="1"/>
  <c r="J254" i="1"/>
  <c r="K254" i="1"/>
  <c r="L254" i="1"/>
  <c r="M254" i="1"/>
  <c r="C255" i="1"/>
  <c r="D255" i="1"/>
  <c r="E255" i="1"/>
  <c r="F255" i="1"/>
  <c r="G255" i="1"/>
  <c r="H255" i="1"/>
  <c r="I255" i="1"/>
  <c r="J255" i="1"/>
  <c r="K255" i="1"/>
  <c r="L255" i="1"/>
  <c r="M255" i="1"/>
  <c r="C256" i="1"/>
  <c r="D256" i="1"/>
  <c r="E256" i="1"/>
  <c r="F256" i="1"/>
  <c r="G256" i="1"/>
  <c r="H256" i="1"/>
  <c r="I256" i="1"/>
  <c r="J256" i="1"/>
  <c r="K256" i="1"/>
  <c r="L256" i="1"/>
  <c r="M256" i="1"/>
  <c r="C257" i="1"/>
  <c r="D257" i="1"/>
  <c r="E257" i="1"/>
  <c r="F257" i="1"/>
  <c r="G257" i="1"/>
  <c r="H257" i="1"/>
  <c r="I257" i="1"/>
  <c r="J257" i="1"/>
  <c r="K257" i="1"/>
  <c r="L257" i="1"/>
  <c r="M257" i="1"/>
  <c r="C258" i="1"/>
  <c r="D258" i="1"/>
  <c r="E258" i="1"/>
  <c r="F258" i="1"/>
  <c r="G258" i="1"/>
  <c r="H258" i="1"/>
  <c r="I258" i="1"/>
  <c r="J258" i="1"/>
  <c r="K258" i="1"/>
  <c r="L258" i="1"/>
  <c r="M258" i="1"/>
  <c r="C259" i="1"/>
  <c r="D259" i="1"/>
  <c r="E259" i="1"/>
  <c r="F259" i="1"/>
  <c r="G259" i="1"/>
  <c r="H259" i="1"/>
  <c r="I259" i="1"/>
  <c r="J259" i="1"/>
  <c r="K259" i="1"/>
  <c r="L259" i="1"/>
  <c r="M259" i="1"/>
  <c r="C260" i="1"/>
  <c r="D260" i="1"/>
  <c r="E260" i="1"/>
  <c r="F260" i="1"/>
  <c r="G260" i="1"/>
  <c r="H260" i="1"/>
  <c r="I260" i="1"/>
  <c r="J260" i="1"/>
  <c r="K260" i="1"/>
  <c r="L260" i="1"/>
  <c r="M260" i="1"/>
  <c r="C261" i="1"/>
  <c r="D261" i="1"/>
  <c r="E261" i="1"/>
  <c r="F261" i="1"/>
  <c r="G261" i="1"/>
  <c r="H261" i="1"/>
  <c r="I261" i="1"/>
  <c r="J261" i="1"/>
  <c r="K261" i="1"/>
  <c r="L261" i="1"/>
  <c r="M261" i="1"/>
  <c r="C262" i="1"/>
  <c r="D262" i="1"/>
  <c r="E262" i="1"/>
  <c r="F262" i="1"/>
  <c r="G262" i="1"/>
  <c r="H262" i="1"/>
  <c r="I262" i="1"/>
  <c r="J262" i="1"/>
  <c r="K262" i="1"/>
  <c r="L262" i="1"/>
  <c r="M262" i="1"/>
  <c r="C263" i="1"/>
  <c r="D263" i="1"/>
  <c r="E263" i="1"/>
  <c r="F263" i="1"/>
  <c r="G263" i="1"/>
  <c r="H263" i="1"/>
  <c r="I263" i="1"/>
  <c r="J263" i="1"/>
  <c r="K263" i="1"/>
  <c r="L263" i="1"/>
  <c r="M263" i="1"/>
  <c r="C264" i="1"/>
  <c r="D264" i="1"/>
  <c r="E264" i="1"/>
  <c r="F264" i="1"/>
  <c r="G264" i="1"/>
  <c r="H264" i="1"/>
  <c r="I264" i="1"/>
  <c r="J264" i="1"/>
  <c r="K264" i="1"/>
  <c r="L264" i="1"/>
  <c r="M264" i="1"/>
  <c r="C265" i="1"/>
  <c r="D265" i="1"/>
  <c r="E265" i="1"/>
  <c r="F265" i="1"/>
  <c r="G265" i="1"/>
  <c r="H265" i="1"/>
  <c r="I265" i="1"/>
  <c r="J265" i="1"/>
  <c r="K265" i="1"/>
  <c r="L265" i="1"/>
  <c r="M265" i="1"/>
  <c r="C266" i="1"/>
  <c r="D266" i="1"/>
  <c r="E266" i="1"/>
  <c r="F266" i="1"/>
  <c r="G266" i="1"/>
  <c r="H266" i="1"/>
  <c r="I266" i="1"/>
  <c r="J266" i="1"/>
  <c r="K266" i="1"/>
  <c r="L266" i="1"/>
  <c r="M266" i="1"/>
  <c r="C267" i="1"/>
  <c r="D267" i="1"/>
  <c r="E267" i="1"/>
  <c r="F267" i="1"/>
  <c r="G267" i="1"/>
  <c r="H267" i="1"/>
  <c r="I267" i="1"/>
  <c r="J267" i="1"/>
  <c r="K267" i="1"/>
  <c r="L267" i="1"/>
  <c r="M267" i="1"/>
  <c r="C268" i="1"/>
  <c r="D268" i="1"/>
  <c r="E268" i="1"/>
  <c r="F268" i="1"/>
  <c r="G268" i="1"/>
  <c r="H268" i="1"/>
  <c r="I268" i="1"/>
  <c r="J268" i="1"/>
  <c r="K268" i="1"/>
  <c r="L268" i="1"/>
  <c r="M268" i="1"/>
  <c r="C269" i="1"/>
  <c r="D269" i="1"/>
  <c r="E269" i="1"/>
  <c r="F269" i="1"/>
  <c r="G269" i="1"/>
  <c r="H269" i="1"/>
  <c r="I269" i="1"/>
  <c r="J269" i="1"/>
  <c r="K269" i="1"/>
  <c r="L269" i="1"/>
  <c r="M269" i="1"/>
  <c r="C270" i="1"/>
  <c r="D270" i="1"/>
  <c r="E270" i="1"/>
  <c r="F270" i="1"/>
  <c r="G270" i="1"/>
  <c r="H270" i="1"/>
  <c r="I270" i="1"/>
  <c r="J270" i="1"/>
  <c r="K270" i="1"/>
  <c r="L270" i="1"/>
  <c r="M270" i="1"/>
  <c r="C271" i="1"/>
  <c r="D271" i="1"/>
  <c r="E271" i="1"/>
  <c r="F271" i="1"/>
  <c r="G271" i="1"/>
  <c r="H271" i="1"/>
  <c r="I271" i="1"/>
  <c r="J271" i="1"/>
  <c r="K271" i="1"/>
  <c r="L271" i="1"/>
  <c r="M271" i="1"/>
  <c r="C272" i="1"/>
  <c r="D272" i="1"/>
  <c r="E272" i="1"/>
  <c r="F272" i="1"/>
  <c r="G272" i="1"/>
  <c r="H272" i="1"/>
  <c r="I272" i="1"/>
  <c r="J272" i="1"/>
  <c r="K272" i="1"/>
  <c r="L272" i="1"/>
  <c r="M272" i="1"/>
  <c r="C273" i="1"/>
  <c r="D273" i="1"/>
  <c r="E273" i="1"/>
  <c r="F273" i="1"/>
  <c r="G273" i="1"/>
  <c r="H273" i="1"/>
  <c r="I273" i="1"/>
  <c r="J273" i="1"/>
  <c r="K273" i="1"/>
  <c r="L273" i="1"/>
  <c r="M273" i="1"/>
  <c r="C274" i="1"/>
  <c r="D274" i="1"/>
  <c r="E274" i="1"/>
  <c r="F274" i="1"/>
  <c r="G274" i="1"/>
  <c r="H274" i="1"/>
  <c r="I274" i="1"/>
  <c r="J274" i="1"/>
  <c r="K274" i="1"/>
  <c r="L274" i="1"/>
  <c r="M274" i="1"/>
  <c r="C275" i="1"/>
  <c r="D275" i="1"/>
  <c r="E275" i="1"/>
  <c r="F275" i="1"/>
  <c r="G275" i="1"/>
  <c r="H275" i="1"/>
  <c r="I275" i="1"/>
  <c r="J275" i="1"/>
  <c r="K275" i="1"/>
  <c r="L275" i="1"/>
  <c r="M275" i="1"/>
  <c r="C276" i="1"/>
  <c r="D276" i="1"/>
  <c r="E276" i="1"/>
  <c r="F276" i="1"/>
  <c r="G276" i="1"/>
  <c r="H276" i="1"/>
  <c r="I276" i="1"/>
  <c r="J276" i="1"/>
  <c r="K276" i="1"/>
  <c r="L276" i="1"/>
  <c r="M276" i="1"/>
  <c r="C277" i="1"/>
  <c r="D277" i="1"/>
  <c r="E277" i="1"/>
  <c r="F277" i="1"/>
  <c r="G277" i="1"/>
  <c r="H277" i="1"/>
  <c r="I277" i="1"/>
  <c r="J277" i="1"/>
  <c r="K277" i="1"/>
  <c r="L277" i="1"/>
  <c r="M277" i="1"/>
  <c r="C278" i="1"/>
  <c r="D278" i="1"/>
  <c r="E278" i="1"/>
  <c r="F278" i="1"/>
  <c r="G278" i="1"/>
  <c r="H278" i="1"/>
  <c r="I278" i="1"/>
  <c r="J278" i="1"/>
  <c r="K278" i="1"/>
  <c r="L278" i="1"/>
  <c r="M278" i="1"/>
  <c r="C279" i="1"/>
  <c r="D279" i="1"/>
  <c r="E279" i="1"/>
  <c r="F279" i="1"/>
  <c r="G279" i="1"/>
  <c r="H279" i="1"/>
  <c r="I279" i="1"/>
  <c r="J279" i="1"/>
  <c r="K279" i="1"/>
  <c r="L279" i="1"/>
  <c r="M279" i="1"/>
  <c r="C280" i="1"/>
  <c r="D280" i="1"/>
  <c r="E280" i="1"/>
  <c r="F280" i="1"/>
  <c r="G280" i="1"/>
  <c r="H280" i="1"/>
  <c r="I280" i="1"/>
  <c r="J280" i="1"/>
  <c r="K280" i="1"/>
  <c r="L280" i="1"/>
  <c r="M280" i="1"/>
  <c r="C281" i="1"/>
  <c r="D281" i="1"/>
  <c r="E281" i="1"/>
  <c r="F281" i="1"/>
  <c r="G281" i="1"/>
  <c r="H281" i="1"/>
  <c r="I281" i="1"/>
  <c r="J281" i="1"/>
  <c r="K281" i="1"/>
  <c r="L281" i="1"/>
  <c r="M281" i="1"/>
  <c r="C282" i="1"/>
  <c r="D282" i="1"/>
  <c r="E282" i="1"/>
  <c r="F282" i="1"/>
  <c r="G282" i="1"/>
  <c r="H282" i="1"/>
  <c r="I282" i="1"/>
  <c r="J282" i="1"/>
  <c r="K282" i="1"/>
  <c r="L282" i="1"/>
  <c r="M282" i="1"/>
  <c r="C283" i="1"/>
  <c r="D283" i="1"/>
  <c r="E283" i="1"/>
  <c r="F283" i="1"/>
  <c r="G283" i="1"/>
  <c r="H283" i="1"/>
  <c r="I283" i="1"/>
  <c r="J283" i="1"/>
  <c r="K283" i="1"/>
  <c r="L283" i="1"/>
  <c r="M283" i="1"/>
  <c r="C284" i="1"/>
  <c r="D284" i="1"/>
  <c r="E284" i="1"/>
  <c r="F284" i="1"/>
  <c r="G284" i="1"/>
  <c r="H284" i="1"/>
  <c r="I284" i="1"/>
  <c r="J284" i="1"/>
  <c r="K284" i="1"/>
  <c r="L284" i="1"/>
  <c r="M284" i="1"/>
  <c r="C285" i="1"/>
  <c r="D285" i="1"/>
  <c r="E285" i="1"/>
  <c r="F285" i="1"/>
  <c r="G285" i="1"/>
  <c r="H285" i="1"/>
  <c r="I285" i="1"/>
  <c r="J285" i="1"/>
  <c r="K285" i="1"/>
  <c r="L285" i="1"/>
  <c r="M285" i="1"/>
  <c r="C286" i="1"/>
  <c r="D286" i="1"/>
  <c r="E286" i="1"/>
  <c r="F286" i="1"/>
  <c r="G286" i="1"/>
  <c r="H286" i="1"/>
  <c r="I286" i="1"/>
  <c r="J286" i="1"/>
  <c r="K286" i="1"/>
  <c r="L286" i="1"/>
  <c r="M286" i="1"/>
  <c r="C287" i="1"/>
  <c r="D287" i="1"/>
  <c r="E287" i="1"/>
  <c r="F287" i="1"/>
  <c r="G287" i="1"/>
  <c r="H287" i="1"/>
  <c r="I287" i="1"/>
  <c r="J287" i="1"/>
  <c r="K287" i="1"/>
  <c r="L287" i="1"/>
  <c r="M287" i="1"/>
  <c r="C288" i="1"/>
  <c r="D288" i="1"/>
  <c r="E288" i="1"/>
  <c r="F288" i="1"/>
  <c r="G288" i="1"/>
  <c r="H288" i="1"/>
  <c r="I288" i="1"/>
  <c r="J288" i="1"/>
  <c r="K288" i="1"/>
  <c r="L288" i="1"/>
  <c r="M288" i="1"/>
  <c r="C289" i="1"/>
  <c r="D289" i="1"/>
  <c r="E289" i="1"/>
  <c r="F289" i="1"/>
  <c r="G289" i="1"/>
  <c r="H289" i="1"/>
  <c r="I289" i="1"/>
  <c r="J289" i="1"/>
  <c r="K289" i="1"/>
  <c r="L289" i="1"/>
  <c r="M289" i="1"/>
  <c r="C290" i="1"/>
  <c r="D290" i="1"/>
  <c r="E290" i="1"/>
  <c r="F290" i="1"/>
  <c r="G290" i="1"/>
  <c r="H290" i="1"/>
  <c r="I290" i="1"/>
  <c r="J290" i="1"/>
  <c r="K290" i="1"/>
  <c r="L290" i="1"/>
  <c r="M290" i="1"/>
  <c r="C291" i="1"/>
  <c r="D291" i="1"/>
  <c r="E291" i="1"/>
  <c r="F291" i="1"/>
  <c r="G291" i="1"/>
  <c r="H291" i="1"/>
  <c r="I291" i="1"/>
  <c r="J291" i="1"/>
  <c r="K291" i="1"/>
  <c r="L291" i="1"/>
  <c r="M291" i="1"/>
  <c r="C292" i="1"/>
  <c r="D292" i="1"/>
  <c r="E292" i="1"/>
  <c r="F292" i="1"/>
  <c r="G292" i="1"/>
  <c r="H292" i="1"/>
  <c r="I292" i="1"/>
  <c r="J292" i="1"/>
  <c r="K292" i="1"/>
  <c r="L292" i="1"/>
  <c r="M292" i="1"/>
  <c r="C293" i="1"/>
  <c r="D293" i="1"/>
  <c r="E293" i="1"/>
  <c r="F293" i="1"/>
  <c r="G293" i="1"/>
  <c r="H293" i="1"/>
  <c r="I293" i="1"/>
  <c r="J293" i="1"/>
  <c r="K293" i="1"/>
  <c r="L293" i="1"/>
  <c r="M293" i="1"/>
  <c r="C294" i="1"/>
  <c r="D294" i="1"/>
  <c r="E294" i="1"/>
  <c r="F294" i="1"/>
  <c r="G294" i="1"/>
  <c r="H294" i="1"/>
  <c r="I294" i="1"/>
  <c r="J294" i="1"/>
  <c r="K294" i="1"/>
  <c r="L294" i="1"/>
  <c r="M294" i="1"/>
  <c r="C295" i="1"/>
  <c r="D295" i="1"/>
  <c r="E295" i="1"/>
  <c r="F295" i="1"/>
  <c r="G295" i="1"/>
  <c r="H295" i="1"/>
  <c r="I295" i="1"/>
  <c r="J295" i="1"/>
  <c r="K295" i="1"/>
  <c r="L295" i="1"/>
  <c r="M295" i="1"/>
  <c r="C296" i="1"/>
  <c r="D296" i="1"/>
  <c r="E296" i="1"/>
  <c r="F296" i="1"/>
  <c r="G296" i="1"/>
  <c r="H296" i="1"/>
  <c r="I296" i="1"/>
  <c r="J296" i="1"/>
  <c r="K296" i="1"/>
  <c r="L296" i="1"/>
  <c r="M296" i="1"/>
  <c r="C297" i="1"/>
  <c r="D297" i="1"/>
  <c r="E297" i="1"/>
  <c r="F297" i="1"/>
  <c r="G297" i="1"/>
  <c r="H297" i="1"/>
  <c r="I297" i="1"/>
  <c r="J297" i="1"/>
  <c r="K297" i="1"/>
  <c r="L297" i="1"/>
  <c r="M297" i="1"/>
  <c r="C298" i="1"/>
  <c r="D298" i="1"/>
  <c r="E298" i="1"/>
  <c r="F298" i="1"/>
  <c r="G298" i="1"/>
  <c r="H298" i="1"/>
  <c r="I298" i="1"/>
  <c r="J298" i="1"/>
  <c r="K298" i="1"/>
  <c r="L298" i="1"/>
  <c r="M298" i="1"/>
  <c r="C299" i="1"/>
  <c r="D299" i="1"/>
  <c r="E299" i="1"/>
  <c r="F299" i="1"/>
  <c r="G299" i="1"/>
  <c r="H299" i="1"/>
  <c r="I299" i="1"/>
  <c r="J299" i="1"/>
  <c r="K299" i="1"/>
  <c r="L299" i="1"/>
  <c r="M299" i="1"/>
  <c r="C300" i="1"/>
  <c r="D300" i="1"/>
  <c r="E300" i="1"/>
  <c r="F300" i="1"/>
  <c r="G300" i="1"/>
  <c r="H300" i="1"/>
  <c r="I300" i="1"/>
  <c r="J300" i="1"/>
  <c r="K300" i="1"/>
  <c r="L300" i="1"/>
  <c r="M300" i="1"/>
  <c r="C301" i="1"/>
  <c r="D301" i="1"/>
  <c r="E301" i="1"/>
  <c r="F301" i="1"/>
  <c r="G301" i="1"/>
  <c r="H301" i="1"/>
  <c r="I301" i="1"/>
  <c r="J301" i="1"/>
  <c r="K301" i="1"/>
  <c r="L301" i="1"/>
  <c r="M301" i="1"/>
  <c r="C302" i="1"/>
  <c r="D302" i="1"/>
  <c r="E302" i="1"/>
  <c r="F302" i="1"/>
  <c r="G302" i="1"/>
  <c r="H302" i="1"/>
  <c r="I302" i="1"/>
  <c r="J302" i="1"/>
  <c r="K302" i="1"/>
  <c r="L302" i="1"/>
  <c r="M302" i="1"/>
  <c r="C303" i="1"/>
  <c r="D303" i="1"/>
  <c r="E303" i="1"/>
  <c r="F303" i="1"/>
  <c r="G303" i="1"/>
  <c r="H303" i="1"/>
  <c r="I303" i="1"/>
  <c r="J303" i="1"/>
  <c r="K303" i="1"/>
  <c r="L303" i="1"/>
  <c r="M303" i="1"/>
  <c r="C304" i="1"/>
  <c r="D304" i="1"/>
  <c r="E304" i="1"/>
  <c r="F304" i="1"/>
  <c r="G304" i="1"/>
  <c r="H304" i="1"/>
  <c r="I304" i="1"/>
  <c r="J304" i="1"/>
  <c r="K304" i="1"/>
  <c r="L304" i="1"/>
  <c r="M304" i="1"/>
  <c r="C305" i="1"/>
  <c r="D305" i="1"/>
  <c r="E305" i="1"/>
  <c r="F305" i="1"/>
  <c r="G305" i="1"/>
  <c r="H305" i="1"/>
  <c r="I305" i="1"/>
  <c r="J305" i="1"/>
  <c r="K305" i="1"/>
  <c r="L305" i="1"/>
  <c r="M305" i="1"/>
  <c r="C306" i="1"/>
  <c r="D306" i="1"/>
  <c r="E306" i="1"/>
  <c r="F306" i="1"/>
  <c r="G306" i="1"/>
  <c r="H306" i="1"/>
  <c r="I306" i="1"/>
  <c r="J306" i="1"/>
  <c r="K306" i="1"/>
  <c r="L306" i="1"/>
  <c r="M306" i="1"/>
  <c r="C307" i="1"/>
  <c r="D307" i="1"/>
  <c r="E307" i="1"/>
  <c r="F307" i="1"/>
  <c r="G307" i="1"/>
  <c r="H307" i="1"/>
  <c r="I307" i="1"/>
  <c r="J307" i="1"/>
  <c r="K307" i="1"/>
  <c r="L307" i="1"/>
  <c r="M307" i="1"/>
  <c r="C308" i="1"/>
  <c r="D308" i="1"/>
  <c r="E308" i="1"/>
  <c r="F308" i="1"/>
  <c r="G308" i="1"/>
  <c r="H308" i="1"/>
  <c r="I308" i="1"/>
  <c r="J308" i="1"/>
  <c r="K308" i="1"/>
  <c r="L308" i="1"/>
  <c r="M308" i="1"/>
  <c r="C309" i="1"/>
  <c r="D309" i="1"/>
  <c r="E309" i="1"/>
  <c r="F309" i="1"/>
  <c r="G309" i="1"/>
  <c r="H309" i="1"/>
  <c r="I309" i="1"/>
  <c r="J309" i="1"/>
  <c r="K309" i="1"/>
  <c r="L309" i="1"/>
  <c r="M309" i="1"/>
  <c r="C310" i="1"/>
  <c r="D310" i="1"/>
  <c r="E310" i="1"/>
  <c r="F310" i="1"/>
  <c r="G310" i="1"/>
  <c r="H310" i="1"/>
  <c r="I310" i="1"/>
  <c r="J310" i="1"/>
  <c r="K310" i="1"/>
  <c r="L310" i="1"/>
  <c r="M310" i="1"/>
  <c r="C311" i="1"/>
  <c r="D311" i="1"/>
  <c r="E311" i="1"/>
  <c r="F311" i="1"/>
  <c r="G311" i="1"/>
  <c r="H311" i="1"/>
  <c r="I311" i="1"/>
  <c r="J311" i="1"/>
  <c r="K311" i="1"/>
  <c r="L311" i="1"/>
  <c r="M311" i="1"/>
  <c r="C312" i="1"/>
  <c r="D312" i="1"/>
  <c r="E312" i="1"/>
  <c r="F312" i="1"/>
  <c r="G312" i="1"/>
  <c r="H312" i="1"/>
  <c r="I312" i="1"/>
  <c r="J312" i="1"/>
  <c r="K312" i="1"/>
  <c r="L312" i="1"/>
  <c r="M312" i="1"/>
  <c r="C313" i="1"/>
  <c r="D313" i="1"/>
  <c r="E313" i="1"/>
  <c r="F313" i="1"/>
  <c r="G313" i="1"/>
  <c r="H313" i="1"/>
  <c r="I313" i="1"/>
  <c r="J313" i="1"/>
  <c r="K313" i="1"/>
  <c r="L313" i="1"/>
  <c r="M313" i="1"/>
  <c r="C314" i="1"/>
  <c r="D314" i="1"/>
  <c r="E314" i="1"/>
  <c r="F314" i="1"/>
  <c r="G314" i="1"/>
  <c r="H314" i="1"/>
  <c r="I314" i="1"/>
  <c r="J314" i="1"/>
  <c r="K314" i="1"/>
  <c r="L314" i="1"/>
  <c r="M314" i="1"/>
  <c r="C315" i="1"/>
  <c r="D315" i="1"/>
  <c r="E315" i="1"/>
  <c r="F315" i="1"/>
  <c r="G315" i="1"/>
  <c r="H315" i="1"/>
  <c r="I315" i="1"/>
  <c r="J315" i="1"/>
  <c r="K315" i="1"/>
  <c r="L315" i="1"/>
  <c r="M315" i="1"/>
  <c r="C316" i="1"/>
  <c r="D316" i="1"/>
  <c r="E316" i="1"/>
  <c r="F316" i="1"/>
  <c r="G316" i="1"/>
  <c r="H316" i="1"/>
  <c r="I316" i="1"/>
  <c r="J316" i="1"/>
  <c r="K316" i="1"/>
  <c r="L316" i="1"/>
  <c r="M316" i="1"/>
  <c r="C317" i="1"/>
  <c r="D317" i="1"/>
  <c r="E317" i="1"/>
  <c r="F317" i="1"/>
  <c r="G317" i="1"/>
  <c r="H317" i="1"/>
  <c r="I317" i="1"/>
  <c r="J317" i="1"/>
  <c r="K317" i="1"/>
  <c r="L317" i="1"/>
  <c r="M317" i="1"/>
  <c r="C318" i="1"/>
  <c r="D318" i="1"/>
  <c r="E318" i="1"/>
  <c r="F318" i="1"/>
  <c r="G318" i="1"/>
  <c r="H318" i="1"/>
  <c r="I318" i="1"/>
  <c r="J318" i="1"/>
  <c r="K318" i="1"/>
  <c r="L318" i="1"/>
  <c r="M318" i="1"/>
  <c r="C319" i="1"/>
  <c r="D319" i="1"/>
  <c r="E319" i="1"/>
  <c r="F319" i="1"/>
  <c r="G319" i="1"/>
  <c r="H319" i="1"/>
  <c r="I319" i="1"/>
  <c r="J319" i="1"/>
  <c r="K319" i="1"/>
  <c r="L319" i="1"/>
  <c r="M319" i="1"/>
  <c r="C320" i="1"/>
  <c r="D320" i="1"/>
  <c r="E320" i="1"/>
  <c r="F320" i="1"/>
  <c r="G320" i="1"/>
  <c r="H320" i="1"/>
  <c r="I320" i="1"/>
  <c r="J320" i="1"/>
  <c r="K320" i="1"/>
  <c r="L320" i="1"/>
  <c r="M320" i="1"/>
  <c r="C321" i="1"/>
  <c r="D321" i="1"/>
  <c r="E321" i="1"/>
  <c r="F321" i="1"/>
  <c r="G321" i="1"/>
  <c r="H321" i="1"/>
  <c r="I321" i="1"/>
  <c r="J321" i="1"/>
  <c r="K321" i="1"/>
  <c r="L321" i="1"/>
  <c r="M321" i="1"/>
  <c r="C322" i="1"/>
  <c r="D322" i="1"/>
  <c r="E322" i="1"/>
  <c r="F322" i="1"/>
  <c r="G322" i="1"/>
  <c r="H322" i="1"/>
  <c r="I322" i="1"/>
  <c r="J322" i="1"/>
  <c r="K322" i="1"/>
  <c r="L322" i="1"/>
  <c r="M322" i="1"/>
  <c r="C323" i="1"/>
  <c r="D323" i="1"/>
  <c r="E323" i="1"/>
  <c r="F323" i="1"/>
  <c r="G323" i="1"/>
  <c r="H323" i="1"/>
  <c r="I323" i="1"/>
  <c r="J323" i="1"/>
  <c r="K323" i="1"/>
  <c r="L323" i="1"/>
  <c r="M323" i="1"/>
  <c r="C324" i="1"/>
  <c r="D324" i="1"/>
  <c r="E324" i="1"/>
  <c r="F324" i="1"/>
  <c r="G324" i="1"/>
  <c r="H324" i="1"/>
  <c r="I324" i="1"/>
  <c r="J324" i="1"/>
  <c r="K324" i="1"/>
  <c r="L324" i="1"/>
  <c r="M324" i="1"/>
  <c r="C325" i="1"/>
  <c r="D325" i="1"/>
  <c r="E325" i="1"/>
  <c r="F325" i="1"/>
  <c r="G325" i="1"/>
  <c r="H325" i="1"/>
  <c r="I325" i="1"/>
  <c r="J325" i="1"/>
  <c r="K325" i="1"/>
  <c r="L325" i="1"/>
  <c r="M325" i="1"/>
  <c r="C326" i="1"/>
  <c r="D326" i="1"/>
  <c r="E326" i="1"/>
  <c r="F326" i="1"/>
  <c r="G326" i="1"/>
  <c r="H326" i="1"/>
  <c r="I326" i="1"/>
  <c r="J326" i="1"/>
  <c r="K326" i="1"/>
  <c r="L326" i="1"/>
  <c r="M326" i="1"/>
  <c r="C327" i="1"/>
  <c r="D327" i="1"/>
  <c r="E327" i="1"/>
  <c r="F327" i="1"/>
  <c r="G327" i="1"/>
  <c r="H327" i="1"/>
  <c r="I327" i="1"/>
  <c r="J327" i="1"/>
  <c r="K327" i="1"/>
  <c r="L327" i="1"/>
  <c r="M327" i="1"/>
  <c r="C328" i="1"/>
  <c r="D328" i="1"/>
  <c r="E328" i="1"/>
  <c r="F328" i="1"/>
  <c r="G328" i="1"/>
  <c r="H328" i="1"/>
  <c r="I328" i="1"/>
  <c r="J328" i="1"/>
  <c r="K328" i="1"/>
  <c r="L328" i="1"/>
  <c r="M328" i="1"/>
  <c r="C329" i="1"/>
  <c r="D329" i="1"/>
  <c r="E329" i="1"/>
  <c r="F329" i="1"/>
  <c r="G329" i="1"/>
  <c r="H329" i="1"/>
  <c r="I329" i="1"/>
  <c r="J329" i="1"/>
  <c r="K329" i="1"/>
  <c r="L329" i="1"/>
  <c r="M329" i="1"/>
  <c r="C330" i="1"/>
  <c r="D330" i="1"/>
  <c r="E330" i="1"/>
  <c r="F330" i="1"/>
  <c r="G330" i="1"/>
  <c r="H330" i="1"/>
  <c r="I330" i="1"/>
  <c r="J330" i="1"/>
  <c r="K330" i="1"/>
  <c r="L330" i="1"/>
  <c r="M330" i="1"/>
  <c r="C331" i="1"/>
  <c r="D331" i="1"/>
  <c r="E331" i="1"/>
  <c r="F331" i="1"/>
  <c r="G331" i="1"/>
  <c r="H331" i="1"/>
  <c r="I331" i="1"/>
  <c r="J331" i="1"/>
  <c r="K331" i="1"/>
  <c r="L331" i="1"/>
  <c r="M331" i="1"/>
  <c r="C332" i="1"/>
  <c r="D332" i="1"/>
  <c r="E332" i="1"/>
  <c r="F332" i="1"/>
  <c r="G332" i="1"/>
  <c r="H332" i="1"/>
  <c r="I332" i="1"/>
  <c r="J332" i="1"/>
  <c r="K332" i="1"/>
  <c r="L332" i="1"/>
  <c r="M332" i="1"/>
  <c r="C333" i="1"/>
  <c r="D333" i="1"/>
  <c r="E333" i="1"/>
  <c r="F333" i="1"/>
  <c r="G333" i="1"/>
  <c r="H333" i="1"/>
  <c r="I333" i="1"/>
  <c r="J333" i="1"/>
  <c r="K333" i="1"/>
  <c r="L333" i="1"/>
  <c r="M333" i="1"/>
  <c r="C334" i="1"/>
  <c r="D334" i="1"/>
  <c r="E334" i="1"/>
  <c r="F334" i="1"/>
  <c r="G334" i="1"/>
  <c r="H334" i="1"/>
  <c r="I334" i="1"/>
  <c r="J334" i="1"/>
  <c r="K334" i="1"/>
  <c r="L334" i="1"/>
  <c r="M334" i="1"/>
  <c r="C335" i="1"/>
  <c r="D335" i="1"/>
  <c r="E335" i="1"/>
  <c r="F335" i="1"/>
  <c r="G335" i="1"/>
  <c r="H335" i="1"/>
  <c r="I335" i="1"/>
  <c r="J335" i="1"/>
  <c r="K335" i="1"/>
  <c r="L335" i="1"/>
  <c r="M335" i="1"/>
  <c r="C336" i="1"/>
  <c r="D336" i="1"/>
  <c r="E336" i="1"/>
  <c r="F336" i="1"/>
  <c r="G336" i="1"/>
  <c r="H336" i="1"/>
  <c r="I336" i="1"/>
  <c r="J336" i="1"/>
  <c r="K336" i="1"/>
  <c r="L336" i="1"/>
  <c r="M336" i="1"/>
  <c r="C337" i="1"/>
  <c r="D337" i="1"/>
  <c r="E337" i="1"/>
  <c r="F337" i="1"/>
  <c r="G337" i="1"/>
  <c r="H337" i="1"/>
  <c r="I337" i="1"/>
  <c r="J337" i="1"/>
  <c r="K337" i="1"/>
  <c r="L337" i="1"/>
  <c r="M337" i="1"/>
  <c r="C338" i="1"/>
  <c r="D338" i="1"/>
  <c r="E338" i="1"/>
  <c r="F338" i="1"/>
  <c r="G338" i="1"/>
  <c r="H338" i="1"/>
  <c r="I338" i="1"/>
  <c r="J338" i="1"/>
  <c r="K338" i="1"/>
  <c r="L338" i="1"/>
  <c r="M338" i="1"/>
  <c r="C339" i="1"/>
  <c r="D339" i="1"/>
  <c r="E339" i="1"/>
  <c r="F339" i="1"/>
  <c r="G339" i="1"/>
  <c r="H339" i="1"/>
  <c r="I339" i="1"/>
  <c r="J339" i="1"/>
  <c r="K339" i="1"/>
  <c r="L339" i="1"/>
  <c r="M339" i="1"/>
  <c r="C340" i="1"/>
  <c r="D340" i="1"/>
  <c r="E340" i="1"/>
  <c r="F340" i="1"/>
  <c r="G340" i="1"/>
  <c r="H340" i="1"/>
  <c r="I340" i="1"/>
  <c r="J340" i="1"/>
  <c r="K340" i="1"/>
  <c r="L340" i="1"/>
  <c r="M340" i="1"/>
  <c r="C341" i="1"/>
  <c r="D341" i="1"/>
  <c r="E341" i="1"/>
  <c r="F341" i="1"/>
  <c r="G341" i="1"/>
  <c r="H341" i="1"/>
  <c r="I341" i="1"/>
  <c r="J341" i="1"/>
  <c r="K341" i="1"/>
  <c r="L341" i="1"/>
  <c r="M341" i="1"/>
  <c r="C342" i="1"/>
  <c r="D342" i="1"/>
  <c r="E342" i="1"/>
  <c r="F342" i="1"/>
  <c r="G342" i="1"/>
  <c r="H342" i="1"/>
  <c r="I342" i="1"/>
  <c r="J342" i="1"/>
  <c r="K342" i="1"/>
  <c r="L342" i="1"/>
  <c r="M342" i="1"/>
  <c r="C343" i="1"/>
  <c r="D343" i="1"/>
  <c r="E343" i="1"/>
  <c r="F343" i="1"/>
  <c r="G343" i="1"/>
  <c r="H343" i="1"/>
  <c r="I343" i="1"/>
  <c r="J343" i="1"/>
  <c r="K343" i="1"/>
  <c r="L343" i="1"/>
  <c r="M343" i="1"/>
  <c r="C344" i="1"/>
  <c r="D344" i="1"/>
  <c r="E344" i="1"/>
  <c r="F344" i="1"/>
  <c r="G344" i="1"/>
  <c r="H344" i="1"/>
  <c r="I344" i="1"/>
  <c r="J344" i="1"/>
  <c r="K344" i="1"/>
  <c r="L344" i="1"/>
  <c r="M344" i="1"/>
  <c r="C345" i="1"/>
  <c r="D345" i="1"/>
  <c r="E345" i="1"/>
  <c r="F345" i="1"/>
  <c r="G345" i="1"/>
  <c r="H345" i="1"/>
  <c r="I345" i="1"/>
  <c r="J345" i="1"/>
  <c r="K345" i="1"/>
  <c r="L345" i="1"/>
  <c r="M345" i="1"/>
  <c r="C346" i="1"/>
  <c r="D346" i="1"/>
  <c r="E346" i="1"/>
  <c r="F346" i="1"/>
  <c r="G346" i="1"/>
  <c r="H346" i="1"/>
  <c r="I346" i="1"/>
  <c r="J346" i="1"/>
  <c r="K346" i="1"/>
  <c r="L346" i="1"/>
  <c r="M346" i="1"/>
  <c r="C347" i="1"/>
  <c r="D347" i="1"/>
  <c r="E347" i="1"/>
  <c r="F347" i="1"/>
  <c r="G347" i="1"/>
  <c r="H347" i="1"/>
  <c r="I347" i="1"/>
  <c r="J347" i="1"/>
  <c r="K347" i="1"/>
  <c r="L347" i="1"/>
  <c r="M347" i="1"/>
  <c r="C348" i="1"/>
  <c r="D348" i="1"/>
  <c r="E348" i="1"/>
  <c r="F348" i="1"/>
  <c r="G348" i="1"/>
  <c r="H348" i="1"/>
  <c r="I348" i="1"/>
  <c r="J348" i="1"/>
  <c r="K348" i="1"/>
  <c r="L348" i="1"/>
  <c r="M348" i="1"/>
  <c r="C349" i="1"/>
  <c r="D349" i="1"/>
  <c r="E349" i="1"/>
  <c r="F349" i="1"/>
  <c r="G349" i="1"/>
  <c r="H349" i="1"/>
  <c r="I349" i="1"/>
  <c r="J349" i="1"/>
  <c r="K349" i="1"/>
  <c r="L349" i="1"/>
  <c r="M349" i="1"/>
  <c r="C350" i="1"/>
  <c r="D350" i="1"/>
  <c r="E350" i="1"/>
  <c r="F350" i="1"/>
  <c r="G350" i="1"/>
  <c r="H350" i="1"/>
  <c r="I350" i="1"/>
  <c r="J350" i="1"/>
  <c r="K350" i="1"/>
  <c r="L350" i="1"/>
  <c r="M350" i="1"/>
  <c r="C351" i="1"/>
  <c r="D351" i="1"/>
  <c r="E351" i="1"/>
  <c r="F351" i="1"/>
  <c r="G351" i="1"/>
  <c r="H351" i="1"/>
  <c r="I351" i="1"/>
  <c r="J351" i="1"/>
  <c r="K351" i="1"/>
  <c r="L351" i="1"/>
  <c r="M351" i="1"/>
  <c r="C352" i="1"/>
  <c r="D352" i="1"/>
  <c r="E352" i="1"/>
  <c r="F352" i="1"/>
  <c r="G352" i="1"/>
  <c r="H352" i="1"/>
  <c r="I352" i="1"/>
  <c r="J352" i="1"/>
  <c r="K352" i="1"/>
  <c r="L352" i="1"/>
  <c r="M352" i="1"/>
  <c r="C353" i="1"/>
  <c r="D353" i="1"/>
  <c r="E353" i="1"/>
  <c r="F353" i="1"/>
  <c r="G353" i="1"/>
  <c r="H353" i="1"/>
  <c r="I353" i="1"/>
  <c r="J353" i="1"/>
  <c r="K353" i="1"/>
  <c r="L353" i="1"/>
  <c r="M353" i="1"/>
  <c r="C354" i="1"/>
  <c r="D354" i="1"/>
  <c r="E354" i="1"/>
  <c r="F354" i="1"/>
  <c r="G354" i="1"/>
  <c r="H354" i="1"/>
  <c r="I354" i="1"/>
  <c r="J354" i="1"/>
  <c r="K354" i="1"/>
  <c r="L354" i="1"/>
  <c r="M354" i="1"/>
  <c r="C355" i="1"/>
  <c r="D355" i="1"/>
  <c r="E355" i="1"/>
  <c r="F355" i="1"/>
  <c r="G355" i="1"/>
  <c r="H355" i="1"/>
  <c r="I355" i="1"/>
  <c r="J355" i="1"/>
  <c r="K355" i="1"/>
  <c r="L355" i="1"/>
  <c r="M355" i="1"/>
  <c r="C356" i="1"/>
  <c r="D356" i="1"/>
  <c r="E356" i="1"/>
  <c r="F356" i="1"/>
  <c r="G356" i="1"/>
  <c r="H356" i="1"/>
  <c r="I356" i="1"/>
  <c r="J356" i="1"/>
  <c r="K356" i="1"/>
  <c r="L356" i="1"/>
  <c r="M356" i="1"/>
  <c r="C357" i="1"/>
  <c r="D357" i="1"/>
  <c r="E357" i="1"/>
  <c r="F357" i="1"/>
  <c r="G357" i="1"/>
  <c r="H357" i="1"/>
  <c r="I357" i="1"/>
  <c r="J357" i="1"/>
  <c r="K357" i="1"/>
  <c r="L357" i="1"/>
  <c r="M357" i="1"/>
  <c r="C358" i="1"/>
  <c r="D358" i="1"/>
  <c r="E358" i="1"/>
  <c r="F358" i="1"/>
  <c r="G358" i="1"/>
  <c r="H358" i="1"/>
  <c r="I358" i="1"/>
  <c r="J358" i="1"/>
  <c r="K358" i="1"/>
  <c r="L358" i="1"/>
  <c r="M358" i="1"/>
  <c r="C359" i="1"/>
  <c r="D359" i="1"/>
  <c r="E359" i="1"/>
  <c r="F359" i="1"/>
  <c r="G359" i="1"/>
  <c r="H359" i="1"/>
  <c r="I359" i="1"/>
  <c r="J359" i="1"/>
  <c r="K359" i="1"/>
  <c r="L359" i="1"/>
  <c r="M359" i="1"/>
  <c r="C360" i="1"/>
  <c r="D360" i="1"/>
  <c r="E360" i="1"/>
  <c r="F360" i="1"/>
  <c r="G360" i="1"/>
  <c r="H360" i="1"/>
  <c r="I360" i="1"/>
  <c r="J360" i="1"/>
  <c r="K360" i="1"/>
  <c r="L360" i="1"/>
  <c r="M360" i="1"/>
  <c r="C361" i="1"/>
  <c r="D361" i="1"/>
  <c r="E361" i="1"/>
  <c r="F361" i="1"/>
  <c r="G361" i="1"/>
  <c r="H361" i="1"/>
  <c r="I361" i="1"/>
  <c r="J361" i="1"/>
  <c r="K361" i="1"/>
  <c r="L361" i="1"/>
  <c r="M361" i="1"/>
  <c r="C362" i="1"/>
  <c r="D362" i="1"/>
  <c r="E362" i="1"/>
  <c r="F362" i="1"/>
  <c r="G362" i="1"/>
  <c r="H362" i="1"/>
  <c r="I362" i="1"/>
  <c r="J362" i="1"/>
  <c r="K362" i="1"/>
  <c r="L362" i="1"/>
  <c r="M362" i="1"/>
  <c r="C363" i="1"/>
  <c r="D363" i="1"/>
  <c r="E363" i="1"/>
  <c r="F363" i="1"/>
  <c r="G363" i="1"/>
  <c r="H363" i="1"/>
  <c r="I363" i="1"/>
  <c r="J363" i="1"/>
  <c r="K363" i="1"/>
  <c r="L363" i="1"/>
  <c r="M363" i="1"/>
  <c r="C364" i="1"/>
  <c r="D364" i="1"/>
  <c r="E364" i="1"/>
  <c r="F364" i="1"/>
  <c r="G364" i="1"/>
  <c r="H364" i="1"/>
  <c r="I364" i="1"/>
  <c r="J364" i="1"/>
  <c r="K364" i="1"/>
  <c r="L364" i="1"/>
  <c r="M364" i="1"/>
  <c r="C365" i="1"/>
  <c r="D365" i="1"/>
  <c r="E365" i="1"/>
  <c r="F365" i="1"/>
  <c r="G365" i="1"/>
  <c r="H365" i="1"/>
  <c r="I365" i="1"/>
  <c r="J365" i="1"/>
  <c r="K365" i="1"/>
  <c r="L365" i="1"/>
  <c r="M365" i="1"/>
  <c r="C366" i="1"/>
  <c r="D366" i="1"/>
  <c r="E366" i="1"/>
  <c r="F366" i="1"/>
  <c r="G366" i="1"/>
  <c r="H366" i="1"/>
  <c r="I366" i="1"/>
  <c r="J366" i="1"/>
  <c r="K366" i="1"/>
  <c r="L366" i="1"/>
  <c r="M366" i="1"/>
  <c r="C367" i="1"/>
  <c r="D367" i="1"/>
  <c r="E367" i="1"/>
  <c r="F367" i="1"/>
  <c r="G367" i="1"/>
  <c r="H367" i="1"/>
  <c r="I367" i="1"/>
  <c r="J367" i="1"/>
  <c r="K367" i="1"/>
  <c r="L367" i="1"/>
  <c r="M367" i="1"/>
  <c r="C368" i="1"/>
  <c r="D368" i="1"/>
  <c r="E368" i="1"/>
  <c r="F368" i="1"/>
  <c r="G368" i="1"/>
  <c r="H368" i="1"/>
  <c r="I368" i="1"/>
  <c r="J368" i="1"/>
  <c r="K368" i="1"/>
  <c r="L368" i="1"/>
  <c r="M368" i="1"/>
  <c r="C369" i="1"/>
  <c r="D369" i="1"/>
  <c r="E369" i="1"/>
  <c r="F369" i="1"/>
  <c r="G369" i="1"/>
  <c r="H369" i="1"/>
  <c r="I369" i="1"/>
  <c r="J369" i="1"/>
  <c r="K369" i="1"/>
  <c r="L369" i="1"/>
  <c r="M369" i="1"/>
  <c r="C370" i="1"/>
  <c r="D370" i="1"/>
  <c r="E370" i="1"/>
  <c r="F370" i="1"/>
  <c r="G370" i="1"/>
  <c r="H370" i="1"/>
  <c r="I370" i="1"/>
  <c r="J370" i="1"/>
  <c r="K370" i="1"/>
  <c r="L370" i="1"/>
  <c r="M370" i="1"/>
  <c r="C371" i="1"/>
  <c r="D371" i="1"/>
  <c r="E371" i="1"/>
  <c r="F371" i="1"/>
  <c r="G371" i="1"/>
  <c r="H371" i="1"/>
  <c r="I371" i="1"/>
  <c r="J371" i="1"/>
  <c r="K371" i="1"/>
  <c r="L371" i="1"/>
  <c r="M371" i="1"/>
  <c r="C372" i="1"/>
  <c r="D372" i="1"/>
  <c r="E372" i="1"/>
  <c r="F372" i="1"/>
  <c r="G372" i="1"/>
  <c r="H372" i="1"/>
  <c r="I372" i="1"/>
  <c r="J372" i="1"/>
  <c r="K372" i="1"/>
  <c r="L372" i="1"/>
  <c r="M372" i="1"/>
  <c r="C373" i="1"/>
  <c r="D373" i="1"/>
  <c r="E373" i="1"/>
  <c r="F373" i="1"/>
  <c r="G373" i="1"/>
  <c r="H373" i="1"/>
  <c r="I373" i="1"/>
  <c r="J373" i="1"/>
  <c r="K373" i="1"/>
  <c r="L373" i="1"/>
  <c r="M373" i="1"/>
  <c r="C374" i="1"/>
  <c r="D374" i="1"/>
  <c r="E374" i="1"/>
  <c r="F374" i="1"/>
  <c r="G374" i="1"/>
  <c r="H374" i="1"/>
  <c r="I374" i="1"/>
  <c r="J374" i="1"/>
  <c r="K374" i="1"/>
  <c r="L374" i="1"/>
  <c r="M374" i="1"/>
  <c r="C375" i="1"/>
  <c r="D375" i="1"/>
  <c r="E375" i="1"/>
  <c r="F375" i="1"/>
  <c r="G375" i="1"/>
  <c r="H375" i="1"/>
  <c r="I375" i="1"/>
  <c r="J375" i="1"/>
  <c r="K375" i="1"/>
  <c r="L375" i="1"/>
  <c r="M375" i="1"/>
  <c r="C376" i="1"/>
  <c r="D376" i="1"/>
  <c r="E376" i="1"/>
  <c r="F376" i="1"/>
  <c r="G376" i="1"/>
  <c r="H376" i="1"/>
  <c r="I376" i="1"/>
  <c r="J376" i="1"/>
  <c r="K376" i="1"/>
  <c r="L376" i="1"/>
  <c r="M376" i="1"/>
  <c r="C377" i="1"/>
  <c r="D377" i="1"/>
  <c r="E377" i="1"/>
  <c r="F377" i="1"/>
  <c r="G377" i="1"/>
  <c r="H377" i="1"/>
  <c r="I377" i="1"/>
  <c r="J377" i="1"/>
  <c r="K377" i="1"/>
  <c r="L377" i="1"/>
  <c r="M377" i="1"/>
  <c r="C378" i="1"/>
  <c r="D378" i="1"/>
  <c r="E378" i="1"/>
  <c r="F378" i="1"/>
  <c r="G378" i="1"/>
  <c r="H378" i="1"/>
  <c r="I378" i="1"/>
  <c r="J378" i="1"/>
  <c r="K378" i="1"/>
  <c r="L378" i="1"/>
  <c r="M378" i="1"/>
  <c r="C379" i="1"/>
  <c r="D379" i="1"/>
  <c r="E379" i="1"/>
  <c r="F379" i="1"/>
  <c r="G379" i="1"/>
  <c r="H379" i="1"/>
  <c r="I379" i="1"/>
  <c r="J379" i="1"/>
  <c r="K379" i="1"/>
  <c r="L379" i="1"/>
  <c r="M379" i="1"/>
  <c r="C380" i="1"/>
  <c r="D380" i="1"/>
  <c r="E380" i="1"/>
  <c r="F380" i="1"/>
  <c r="G380" i="1"/>
  <c r="H380" i="1"/>
  <c r="I380" i="1"/>
  <c r="J380" i="1"/>
  <c r="K380" i="1"/>
  <c r="L380" i="1"/>
  <c r="M380" i="1"/>
  <c r="C381" i="1"/>
  <c r="D381" i="1"/>
  <c r="E381" i="1"/>
  <c r="F381" i="1"/>
  <c r="G381" i="1"/>
  <c r="H381" i="1"/>
  <c r="I381" i="1"/>
  <c r="J381" i="1"/>
  <c r="K381" i="1"/>
  <c r="L381" i="1"/>
  <c r="M381" i="1"/>
  <c r="C382" i="1"/>
  <c r="D382" i="1"/>
  <c r="E382" i="1"/>
  <c r="F382" i="1"/>
  <c r="G382" i="1"/>
  <c r="H382" i="1"/>
  <c r="I382" i="1"/>
  <c r="J382" i="1"/>
  <c r="K382" i="1"/>
  <c r="L382" i="1"/>
  <c r="M382" i="1"/>
  <c r="C383" i="1"/>
  <c r="D383" i="1"/>
  <c r="E383" i="1"/>
  <c r="F383" i="1"/>
  <c r="G383" i="1"/>
  <c r="H383" i="1"/>
  <c r="I383" i="1"/>
  <c r="J383" i="1"/>
  <c r="K383" i="1"/>
  <c r="L383" i="1"/>
  <c r="M383" i="1"/>
  <c r="C384" i="1"/>
  <c r="D384" i="1"/>
  <c r="E384" i="1"/>
  <c r="F384" i="1"/>
  <c r="G384" i="1"/>
  <c r="H384" i="1"/>
  <c r="I384" i="1"/>
  <c r="J384" i="1"/>
  <c r="K384" i="1"/>
  <c r="L384" i="1"/>
  <c r="M384" i="1"/>
  <c r="C385" i="1"/>
  <c r="D385" i="1"/>
  <c r="E385" i="1"/>
  <c r="F385" i="1"/>
  <c r="G385" i="1"/>
  <c r="H385" i="1"/>
  <c r="I385" i="1"/>
  <c r="J385" i="1"/>
  <c r="K385" i="1"/>
  <c r="L385" i="1"/>
  <c r="M385" i="1"/>
  <c r="C386" i="1"/>
  <c r="D386" i="1"/>
  <c r="E386" i="1"/>
  <c r="F386" i="1"/>
  <c r="G386" i="1"/>
  <c r="H386" i="1"/>
  <c r="I386" i="1"/>
  <c r="J386" i="1"/>
  <c r="K386" i="1"/>
  <c r="L386" i="1"/>
  <c r="M386" i="1"/>
  <c r="C387" i="1"/>
  <c r="D387" i="1"/>
  <c r="E387" i="1"/>
  <c r="F387" i="1"/>
  <c r="G387" i="1"/>
  <c r="H387" i="1"/>
  <c r="I387" i="1"/>
  <c r="J387" i="1"/>
  <c r="K387" i="1"/>
  <c r="L387" i="1"/>
  <c r="M387" i="1"/>
  <c r="C388" i="1"/>
  <c r="D388" i="1"/>
  <c r="E388" i="1"/>
  <c r="F388" i="1"/>
  <c r="G388" i="1"/>
  <c r="H388" i="1"/>
  <c r="I388" i="1"/>
  <c r="J388" i="1"/>
  <c r="K388" i="1"/>
  <c r="L388" i="1"/>
  <c r="M388" i="1"/>
  <c r="C389" i="1"/>
  <c r="D389" i="1"/>
  <c r="E389" i="1"/>
  <c r="F389" i="1"/>
  <c r="G389" i="1"/>
  <c r="H389" i="1"/>
  <c r="I389" i="1"/>
  <c r="J389" i="1"/>
  <c r="K389" i="1"/>
  <c r="L389" i="1"/>
  <c r="M389" i="1"/>
  <c r="C390" i="1"/>
  <c r="D390" i="1"/>
  <c r="E390" i="1"/>
  <c r="F390" i="1"/>
  <c r="G390" i="1"/>
  <c r="H390" i="1"/>
  <c r="I390" i="1"/>
  <c r="J390" i="1"/>
  <c r="K390" i="1"/>
  <c r="L390" i="1"/>
  <c r="M390" i="1"/>
  <c r="C391" i="1"/>
  <c r="D391" i="1"/>
  <c r="E391" i="1"/>
  <c r="F391" i="1"/>
  <c r="G391" i="1"/>
  <c r="H391" i="1"/>
  <c r="I391" i="1"/>
  <c r="J391" i="1"/>
  <c r="K391" i="1"/>
  <c r="L391" i="1"/>
  <c r="M391" i="1"/>
  <c r="C392" i="1"/>
  <c r="D392" i="1"/>
  <c r="E392" i="1"/>
  <c r="F392" i="1"/>
  <c r="G392" i="1"/>
  <c r="H392" i="1"/>
  <c r="I392" i="1"/>
  <c r="J392" i="1"/>
  <c r="K392" i="1"/>
  <c r="L392" i="1"/>
  <c r="M392" i="1"/>
  <c r="C393" i="1"/>
  <c r="D393" i="1"/>
  <c r="E393" i="1"/>
  <c r="F393" i="1"/>
  <c r="G393" i="1"/>
  <c r="H393" i="1"/>
  <c r="I393" i="1"/>
  <c r="J393" i="1"/>
  <c r="K393" i="1"/>
  <c r="L393" i="1"/>
  <c r="M393" i="1"/>
  <c r="C394" i="1"/>
  <c r="D394" i="1"/>
  <c r="E394" i="1"/>
  <c r="F394" i="1"/>
  <c r="G394" i="1"/>
  <c r="H394" i="1"/>
  <c r="I394" i="1"/>
  <c r="J394" i="1"/>
  <c r="K394" i="1"/>
  <c r="L394" i="1"/>
  <c r="M394" i="1"/>
  <c r="C395" i="1"/>
  <c r="D395" i="1"/>
  <c r="E395" i="1"/>
  <c r="F395" i="1"/>
  <c r="G395" i="1"/>
  <c r="H395" i="1"/>
  <c r="I395" i="1"/>
  <c r="J395" i="1"/>
  <c r="K395" i="1"/>
  <c r="L395" i="1"/>
  <c r="M395" i="1"/>
  <c r="C396" i="1"/>
  <c r="D396" i="1"/>
  <c r="E396" i="1"/>
  <c r="F396" i="1"/>
  <c r="G396" i="1"/>
  <c r="H396" i="1"/>
  <c r="I396" i="1"/>
  <c r="J396" i="1"/>
  <c r="K396" i="1"/>
  <c r="L396" i="1"/>
  <c r="M396" i="1"/>
  <c r="C397" i="1"/>
  <c r="D397" i="1"/>
  <c r="E397" i="1"/>
  <c r="F397" i="1"/>
  <c r="G397" i="1"/>
  <c r="H397" i="1"/>
  <c r="I397" i="1"/>
  <c r="J397" i="1"/>
  <c r="K397" i="1"/>
  <c r="L397" i="1"/>
  <c r="M397" i="1"/>
  <c r="C398" i="1"/>
  <c r="D398" i="1"/>
  <c r="E398" i="1"/>
  <c r="F398" i="1"/>
  <c r="G398" i="1"/>
  <c r="H398" i="1"/>
  <c r="I398" i="1"/>
  <c r="J398" i="1"/>
  <c r="K398" i="1"/>
  <c r="L398" i="1"/>
  <c r="M398" i="1"/>
  <c r="C399" i="1"/>
  <c r="D399" i="1"/>
  <c r="E399" i="1"/>
  <c r="F399" i="1"/>
  <c r="G399" i="1"/>
  <c r="H399" i="1"/>
  <c r="I399" i="1"/>
  <c r="J399" i="1"/>
  <c r="K399" i="1"/>
  <c r="L399" i="1"/>
  <c r="M399" i="1"/>
  <c r="C400" i="1"/>
  <c r="D400" i="1"/>
  <c r="E400" i="1"/>
  <c r="F400" i="1"/>
  <c r="G400" i="1"/>
  <c r="H400" i="1"/>
  <c r="I400" i="1"/>
  <c r="J400" i="1"/>
  <c r="K400" i="1"/>
  <c r="L400" i="1"/>
  <c r="M400" i="1"/>
  <c r="C401" i="1"/>
  <c r="D401" i="1"/>
  <c r="E401" i="1"/>
  <c r="F401" i="1"/>
  <c r="G401" i="1"/>
  <c r="H401" i="1"/>
  <c r="I401" i="1"/>
  <c r="J401" i="1"/>
  <c r="K401" i="1"/>
  <c r="L401" i="1"/>
  <c r="M401" i="1"/>
  <c r="C402" i="1"/>
  <c r="D402" i="1"/>
  <c r="E402" i="1"/>
  <c r="F402" i="1"/>
  <c r="G402" i="1"/>
  <c r="H402" i="1"/>
  <c r="I402" i="1"/>
  <c r="J402" i="1"/>
  <c r="K402" i="1"/>
  <c r="L402" i="1"/>
  <c r="M402" i="1"/>
  <c r="C403" i="1"/>
  <c r="D403" i="1"/>
  <c r="E403" i="1"/>
  <c r="F403" i="1"/>
  <c r="G403" i="1"/>
  <c r="H403" i="1"/>
  <c r="I403" i="1"/>
  <c r="J403" i="1"/>
  <c r="K403" i="1"/>
  <c r="L403" i="1"/>
  <c r="M403" i="1"/>
  <c r="C404" i="1"/>
  <c r="D404" i="1"/>
  <c r="E404" i="1"/>
  <c r="F404" i="1"/>
  <c r="G404" i="1"/>
  <c r="H404" i="1"/>
  <c r="I404" i="1"/>
  <c r="J404" i="1"/>
  <c r="K404" i="1"/>
  <c r="L404" i="1"/>
  <c r="M404" i="1"/>
  <c r="C405" i="1"/>
  <c r="D405" i="1"/>
  <c r="E405" i="1"/>
  <c r="F405" i="1"/>
  <c r="G405" i="1"/>
  <c r="H405" i="1"/>
  <c r="I405" i="1"/>
  <c r="J405" i="1"/>
  <c r="K405" i="1"/>
  <c r="L405" i="1"/>
  <c r="M405" i="1"/>
  <c r="C406" i="1"/>
  <c r="D406" i="1"/>
  <c r="E406" i="1"/>
  <c r="F406" i="1"/>
  <c r="G406" i="1"/>
  <c r="H406" i="1"/>
  <c r="I406" i="1"/>
  <c r="J406" i="1"/>
  <c r="K406" i="1"/>
  <c r="L406" i="1"/>
  <c r="M406" i="1"/>
  <c r="C407" i="1"/>
  <c r="D407" i="1"/>
  <c r="E407" i="1"/>
  <c r="F407" i="1"/>
  <c r="G407" i="1"/>
  <c r="H407" i="1"/>
  <c r="I407" i="1"/>
  <c r="J407" i="1"/>
  <c r="K407" i="1"/>
  <c r="L407" i="1"/>
  <c r="M407" i="1"/>
  <c r="C408" i="1"/>
  <c r="D408" i="1"/>
  <c r="E408" i="1"/>
  <c r="F408" i="1"/>
  <c r="G408" i="1"/>
  <c r="H408" i="1"/>
  <c r="I408" i="1"/>
  <c r="J408" i="1"/>
  <c r="K408" i="1"/>
  <c r="L408" i="1"/>
  <c r="M408" i="1"/>
  <c r="C409" i="1"/>
  <c r="D409" i="1"/>
  <c r="E409" i="1"/>
  <c r="F409" i="1"/>
  <c r="G409" i="1"/>
  <c r="H409" i="1"/>
  <c r="I409" i="1"/>
  <c r="J409" i="1"/>
  <c r="K409" i="1"/>
  <c r="L409" i="1"/>
  <c r="M409" i="1"/>
  <c r="C410" i="1"/>
  <c r="D410" i="1"/>
  <c r="E410" i="1"/>
  <c r="F410" i="1"/>
  <c r="G410" i="1"/>
  <c r="H410" i="1"/>
  <c r="I410" i="1"/>
  <c r="J410" i="1"/>
  <c r="K410" i="1"/>
  <c r="L410" i="1"/>
  <c r="M410" i="1"/>
  <c r="C411" i="1"/>
  <c r="D411" i="1"/>
  <c r="E411" i="1"/>
  <c r="F411" i="1"/>
  <c r="G411" i="1"/>
  <c r="H411" i="1"/>
  <c r="I411" i="1"/>
  <c r="J411" i="1"/>
  <c r="K411" i="1"/>
  <c r="L411" i="1"/>
  <c r="M411" i="1"/>
  <c r="C412" i="1"/>
  <c r="D412" i="1"/>
  <c r="E412" i="1"/>
  <c r="F412" i="1"/>
  <c r="G412" i="1"/>
  <c r="H412" i="1"/>
  <c r="I412" i="1"/>
  <c r="J412" i="1"/>
  <c r="K412" i="1"/>
  <c r="L412" i="1"/>
  <c r="M412" i="1"/>
  <c r="C413" i="1"/>
  <c r="D413" i="1"/>
  <c r="E413" i="1"/>
  <c r="F413" i="1"/>
  <c r="G413" i="1"/>
  <c r="H413" i="1"/>
  <c r="I413" i="1"/>
  <c r="J413" i="1"/>
  <c r="K413" i="1"/>
  <c r="L413" i="1"/>
  <c r="M413" i="1"/>
  <c r="C414" i="1"/>
  <c r="D414" i="1"/>
  <c r="E414" i="1"/>
  <c r="F414" i="1"/>
  <c r="G414" i="1"/>
  <c r="H414" i="1"/>
  <c r="I414" i="1"/>
  <c r="J414" i="1"/>
  <c r="K414" i="1"/>
  <c r="L414" i="1"/>
  <c r="M414" i="1"/>
  <c r="C415" i="1"/>
  <c r="D415" i="1"/>
  <c r="E415" i="1"/>
  <c r="F415" i="1"/>
  <c r="G415" i="1"/>
  <c r="H415" i="1"/>
  <c r="I415" i="1"/>
  <c r="J415" i="1"/>
  <c r="K415" i="1"/>
  <c r="L415" i="1"/>
  <c r="M415" i="1"/>
  <c r="C416" i="1"/>
  <c r="D416" i="1"/>
  <c r="E416" i="1"/>
  <c r="F416" i="1"/>
  <c r="G416" i="1"/>
  <c r="H416" i="1"/>
  <c r="I416" i="1"/>
  <c r="J416" i="1"/>
  <c r="K416" i="1"/>
  <c r="L416" i="1"/>
  <c r="M416" i="1"/>
  <c r="C417" i="1"/>
  <c r="D417" i="1"/>
  <c r="E417" i="1"/>
  <c r="F417" i="1"/>
  <c r="G417" i="1"/>
  <c r="H417" i="1"/>
  <c r="I417" i="1"/>
  <c r="J417" i="1"/>
  <c r="K417" i="1"/>
  <c r="L417" i="1"/>
  <c r="M417" i="1"/>
  <c r="C418" i="1"/>
  <c r="D418" i="1"/>
  <c r="E418" i="1"/>
  <c r="F418" i="1"/>
  <c r="G418" i="1"/>
  <c r="H418" i="1"/>
  <c r="I418" i="1"/>
  <c r="J418" i="1"/>
  <c r="K418" i="1"/>
  <c r="L418" i="1"/>
  <c r="M418" i="1"/>
  <c r="C419" i="1"/>
  <c r="D419" i="1"/>
  <c r="E419" i="1"/>
  <c r="F419" i="1"/>
  <c r="G419" i="1"/>
  <c r="H419" i="1"/>
  <c r="I419" i="1"/>
  <c r="J419" i="1"/>
  <c r="K419" i="1"/>
  <c r="L419" i="1"/>
  <c r="M419" i="1"/>
  <c r="C420" i="1"/>
  <c r="D420" i="1"/>
  <c r="E420" i="1"/>
  <c r="F420" i="1"/>
  <c r="G420" i="1"/>
  <c r="H420" i="1"/>
  <c r="I420" i="1"/>
  <c r="J420" i="1"/>
  <c r="K420" i="1"/>
  <c r="L420" i="1"/>
  <c r="M420" i="1"/>
  <c r="C421" i="1"/>
  <c r="D421" i="1"/>
  <c r="E421" i="1"/>
  <c r="F421" i="1"/>
  <c r="G421" i="1"/>
  <c r="H421" i="1"/>
  <c r="I421" i="1"/>
  <c r="J421" i="1"/>
  <c r="K421" i="1"/>
  <c r="L421" i="1"/>
  <c r="M421" i="1"/>
  <c r="C422" i="1"/>
  <c r="D422" i="1"/>
  <c r="E422" i="1"/>
  <c r="F422" i="1"/>
  <c r="G422" i="1"/>
  <c r="H422" i="1"/>
  <c r="I422" i="1"/>
  <c r="J422" i="1"/>
  <c r="K422" i="1"/>
  <c r="L422" i="1"/>
  <c r="M422" i="1"/>
  <c r="C423" i="1"/>
  <c r="D423" i="1"/>
  <c r="E423" i="1"/>
  <c r="F423" i="1"/>
  <c r="G423" i="1"/>
  <c r="H423" i="1"/>
  <c r="I423" i="1"/>
  <c r="J423" i="1"/>
  <c r="K423" i="1"/>
  <c r="L423" i="1"/>
  <c r="M423" i="1"/>
  <c r="C424" i="1"/>
  <c r="D424" i="1"/>
  <c r="E424" i="1"/>
  <c r="F424" i="1"/>
  <c r="G424" i="1"/>
  <c r="H424" i="1"/>
  <c r="I424" i="1"/>
  <c r="J424" i="1"/>
  <c r="K424" i="1"/>
  <c r="L424" i="1"/>
  <c r="M424" i="1"/>
  <c r="C425" i="1"/>
  <c r="D425" i="1"/>
  <c r="E425" i="1"/>
  <c r="F425" i="1"/>
  <c r="G425" i="1"/>
  <c r="H425" i="1"/>
  <c r="I425" i="1"/>
  <c r="J425" i="1"/>
  <c r="K425" i="1"/>
  <c r="L425" i="1"/>
  <c r="M425" i="1"/>
  <c r="C426" i="1"/>
  <c r="D426" i="1"/>
  <c r="E426" i="1"/>
  <c r="F426" i="1"/>
  <c r="G426" i="1"/>
  <c r="H426" i="1"/>
  <c r="I426" i="1"/>
  <c r="J426" i="1"/>
  <c r="K426" i="1"/>
  <c r="L426" i="1"/>
  <c r="M426" i="1"/>
  <c r="C427" i="1"/>
  <c r="D427" i="1"/>
  <c r="E427" i="1"/>
  <c r="F427" i="1"/>
  <c r="G427" i="1"/>
  <c r="H427" i="1"/>
  <c r="I427" i="1"/>
  <c r="J427" i="1"/>
  <c r="K427" i="1"/>
  <c r="L427" i="1"/>
  <c r="M427" i="1"/>
  <c r="C428" i="1"/>
  <c r="D428" i="1"/>
  <c r="E428" i="1"/>
  <c r="F428" i="1"/>
  <c r="G428" i="1"/>
  <c r="H428" i="1"/>
  <c r="I428" i="1"/>
  <c r="J428" i="1"/>
  <c r="K428" i="1"/>
  <c r="L428" i="1"/>
  <c r="M428" i="1"/>
  <c r="C429" i="1"/>
  <c r="D429" i="1"/>
  <c r="E429" i="1"/>
  <c r="F429" i="1"/>
  <c r="G429" i="1"/>
  <c r="H429" i="1"/>
  <c r="I429" i="1"/>
  <c r="J429" i="1"/>
  <c r="K429" i="1"/>
  <c r="L429" i="1"/>
  <c r="M429" i="1"/>
  <c r="C430" i="1"/>
  <c r="D430" i="1"/>
  <c r="E430" i="1"/>
  <c r="F430" i="1"/>
  <c r="G430" i="1"/>
  <c r="H430" i="1"/>
  <c r="I430" i="1"/>
  <c r="J430" i="1"/>
  <c r="K430" i="1"/>
  <c r="L430" i="1"/>
  <c r="M430" i="1"/>
  <c r="C431" i="1"/>
  <c r="D431" i="1"/>
  <c r="E431" i="1"/>
  <c r="F431" i="1"/>
  <c r="G431" i="1"/>
  <c r="H431" i="1"/>
  <c r="I431" i="1"/>
  <c r="J431" i="1"/>
  <c r="K431" i="1"/>
  <c r="L431" i="1"/>
  <c r="M431" i="1"/>
  <c r="C432" i="1"/>
  <c r="D432" i="1"/>
  <c r="E432" i="1"/>
  <c r="F432" i="1"/>
  <c r="G432" i="1"/>
  <c r="H432" i="1"/>
  <c r="I432" i="1"/>
  <c r="J432" i="1"/>
  <c r="K432" i="1"/>
  <c r="L432" i="1"/>
  <c r="M432" i="1"/>
  <c r="C433" i="1"/>
  <c r="D433" i="1"/>
  <c r="E433" i="1"/>
  <c r="F433" i="1"/>
  <c r="G433" i="1"/>
  <c r="H433" i="1"/>
  <c r="I433" i="1"/>
  <c r="J433" i="1"/>
  <c r="K433" i="1"/>
  <c r="L433" i="1"/>
  <c r="M433" i="1"/>
  <c r="C434" i="1"/>
  <c r="D434" i="1"/>
  <c r="E434" i="1"/>
  <c r="F434" i="1"/>
  <c r="G434" i="1"/>
  <c r="H434" i="1"/>
  <c r="I434" i="1"/>
  <c r="J434" i="1"/>
  <c r="K434" i="1"/>
  <c r="L434" i="1"/>
  <c r="M434" i="1"/>
  <c r="C435" i="1"/>
  <c r="D435" i="1"/>
  <c r="E435" i="1"/>
  <c r="F435" i="1"/>
  <c r="G435" i="1"/>
  <c r="H435" i="1"/>
  <c r="I435" i="1"/>
  <c r="J435" i="1"/>
  <c r="K435" i="1"/>
  <c r="L435" i="1"/>
  <c r="M435" i="1"/>
  <c r="C436" i="1"/>
  <c r="D436" i="1"/>
  <c r="E436" i="1"/>
  <c r="F436" i="1"/>
  <c r="G436" i="1"/>
  <c r="H436" i="1"/>
  <c r="I436" i="1"/>
  <c r="J436" i="1"/>
  <c r="K436" i="1"/>
  <c r="L436" i="1"/>
  <c r="M436" i="1"/>
  <c r="C437" i="1"/>
  <c r="D437" i="1"/>
  <c r="E437" i="1"/>
  <c r="F437" i="1"/>
  <c r="G437" i="1"/>
  <c r="H437" i="1"/>
  <c r="I437" i="1"/>
  <c r="J437" i="1"/>
  <c r="K437" i="1"/>
  <c r="L437" i="1"/>
  <c r="M437" i="1"/>
  <c r="C438" i="1"/>
  <c r="D438" i="1"/>
  <c r="E438" i="1"/>
  <c r="F438" i="1"/>
  <c r="G438" i="1"/>
  <c r="H438" i="1"/>
  <c r="I438" i="1"/>
  <c r="J438" i="1"/>
  <c r="K438" i="1"/>
  <c r="L438" i="1"/>
  <c r="M438" i="1"/>
  <c r="C439" i="1"/>
  <c r="D439" i="1"/>
  <c r="E439" i="1"/>
  <c r="F439" i="1"/>
  <c r="G439" i="1"/>
  <c r="H439" i="1"/>
  <c r="I439" i="1"/>
  <c r="J439" i="1"/>
  <c r="K439" i="1"/>
  <c r="L439" i="1"/>
  <c r="M439" i="1"/>
  <c r="C440" i="1"/>
  <c r="D440" i="1"/>
  <c r="E440" i="1"/>
  <c r="F440" i="1"/>
  <c r="G440" i="1"/>
  <c r="H440" i="1"/>
  <c r="I440" i="1"/>
  <c r="J440" i="1"/>
  <c r="K440" i="1"/>
  <c r="L440" i="1"/>
  <c r="M440" i="1"/>
  <c r="C441" i="1"/>
  <c r="D441" i="1"/>
  <c r="E441" i="1"/>
  <c r="F441" i="1"/>
  <c r="G441" i="1"/>
  <c r="H441" i="1"/>
  <c r="I441" i="1"/>
  <c r="J441" i="1"/>
  <c r="K441" i="1"/>
  <c r="L441" i="1"/>
  <c r="M441" i="1"/>
  <c r="C442" i="1"/>
  <c r="D442" i="1"/>
  <c r="E442" i="1"/>
  <c r="F442" i="1"/>
  <c r="G442" i="1"/>
  <c r="H442" i="1"/>
  <c r="I442" i="1"/>
  <c r="J442" i="1"/>
  <c r="K442" i="1"/>
  <c r="L442" i="1"/>
  <c r="M442" i="1"/>
  <c r="C443" i="1"/>
  <c r="D443" i="1"/>
  <c r="E443" i="1"/>
  <c r="F443" i="1"/>
  <c r="G443" i="1"/>
  <c r="H443" i="1"/>
  <c r="I443" i="1"/>
  <c r="J443" i="1"/>
  <c r="K443" i="1"/>
  <c r="L443" i="1"/>
  <c r="M443" i="1"/>
  <c r="C444" i="1"/>
  <c r="D444" i="1"/>
  <c r="E444" i="1"/>
  <c r="F444" i="1"/>
  <c r="G444" i="1"/>
  <c r="H444" i="1"/>
  <c r="I444" i="1"/>
  <c r="J444" i="1"/>
  <c r="K444" i="1"/>
  <c r="L444" i="1"/>
  <c r="M444" i="1"/>
  <c r="C445" i="1"/>
  <c r="D445" i="1"/>
  <c r="E445" i="1"/>
  <c r="F445" i="1"/>
  <c r="G445" i="1"/>
  <c r="H445" i="1"/>
  <c r="I445" i="1"/>
  <c r="J445" i="1"/>
  <c r="K445" i="1"/>
  <c r="L445" i="1"/>
  <c r="M445" i="1"/>
  <c r="C446" i="1"/>
  <c r="D446" i="1"/>
  <c r="E446" i="1"/>
  <c r="F446" i="1"/>
  <c r="G446" i="1"/>
  <c r="H446" i="1"/>
  <c r="I446" i="1"/>
  <c r="J446" i="1"/>
  <c r="K446" i="1"/>
  <c r="L446" i="1"/>
  <c r="M446" i="1"/>
  <c r="C447" i="1"/>
  <c r="D447" i="1"/>
  <c r="E447" i="1"/>
  <c r="F447" i="1"/>
  <c r="G447" i="1"/>
  <c r="H447" i="1"/>
  <c r="I447" i="1"/>
  <c r="J447" i="1"/>
  <c r="K447" i="1"/>
  <c r="L447" i="1"/>
  <c r="M447" i="1"/>
  <c r="C448" i="1"/>
  <c r="D448" i="1"/>
  <c r="E448" i="1"/>
  <c r="F448" i="1"/>
  <c r="G448" i="1"/>
  <c r="H448" i="1"/>
  <c r="I448" i="1"/>
  <c r="J448" i="1"/>
  <c r="K448" i="1"/>
  <c r="L448" i="1"/>
  <c r="M448" i="1"/>
  <c r="C449" i="1"/>
  <c r="D449" i="1"/>
  <c r="E449" i="1"/>
  <c r="F449" i="1"/>
  <c r="G449" i="1"/>
  <c r="H449" i="1"/>
  <c r="I449" i="1"/>
  <c r="J449" i="1"/>
  <c r="K449" i="1"/>
  <c r="L449" i="1"/>
  <c r="M449" i="1"/>
  <c r="C450" i="1"/>
  <c r="D450" i="1"/>
  <c r="E450" i="1"/>
  <c r="F450" i="1"/>
  <c r="G450" i="1"/>
  <c r="H450" i="1"/>
  <c r="I450" i="1"/>
  <c r="J450" i="1"/>
  <c r="K450" i="1"/>
  <c r="L450" i="1"/>
  <c r="M450" i="1"/>
  <c r="C451" i="1"/>
  <c r="D451" i="1"/>
  <c r="E451" i="1"/>
  <c r="F451" i="1"/>
  <c r="G451" i="1"/>
  <c r="H451" i="1"/>
  <c r="I451" i="1"/>
  <c r="J451" i="1"/>
  <c r="K451" i="1"/>
  <c r="L451" i="1"/>
  <c r="M451" i="1"/>
  <c r="C452" i="1"/>
  <c r="D452" i="1"/>
  <c r="E452" i="1"/>
  <c r="F452" i="1"/>
  <c r="G452" i="1"/>
  <c r="H452" i="1"/>
  <c r="I452" i="1"/>
  <c r="J452" i="1"/>
  <c r="K452" i="1"/>
  <c r="L452" i="1"/>
  <c r="M452" i="1"/>
  <c r="C453" i="1"/>
  <c r="D453" i="1"/>
  <c r="E453" i="1"/>
  <c r="F453" i="1"/>
  <c r="G453" i="1"/>
  <c r="H453" i="1"/>
  <c r="I453" i="1"/>
  <c r="J453" i="1"/>
  <c r="K453" i="1"/>
  <c r="L453" i="1"/>
  <c r="M453" i="1"/>
  <c r="C454" i="1"/>
  <c r="D454" i="1"/>
  <c r="E454" i="1"/>
  <c r="F454" i="1"/>
  <c r="G454" i="1"/>
  <c r="H454" i="1"/>
  <c r="I454" i="1"/>
  <c r="J454" i="1"/>
  <c r="K454" i="1"/>
  <c r="L454" i="1"/>
  <c r="M454" i="1"/>
  <c r="C455" i="1"/>
  <c r="D455" i="1"/>
  <c r="E455" i="1"/>
  <c r="F455" i="1"/>
  <c r="G455" i="1"/>
  <c r="H455" i="1"/>
  <c r="I455" i="1"/>
  <c r="J455" i="1"/>
  <c r="K455" i="1"/>
  <c r="L455" i="1"/>
  <c r="M455" i="1"/>
  <c r="C456" i="1"/>
  <c r="D456" i="1"/>
  <c r="E456" i="1"/>
  <c r="F456" i="1"/>
  <c r="G456" i="1"/>
  <c r="H456" i="1"/>
  <c r="I456" i="1"/>
  <c r="J456" i="1"/>
  <c r="K456" i="1"/>
  <c r="L456" i="1"/>
  <c r="M456" i="1"/>
  <c r="C457" i="1"/>
  <c r="D457" i="1"/>
  <c r="E457" i="1"/>
  <c r="F457" i="1"/>
  <c r="G457" i="1"/>
  <c r="H457" i="1"/>
  <c r="I457" i="1"/>
  <c r="J457" i="1"/>
  <c r="K457" i="1"/>
  <c r="L457" i="1"/>
  <c r="M457" i="1"/>
  <c r="C458" i="1"/>
  <c r="D458" i="1"/>
  <c r="E458" i="1"/>
  <c r="F458" i="1"/>
  <c r="G458" i="1"/>
  <c r="H458" i="1"/>
  <c r="I458" i="1"/>
  <c r="J458" i="1"/>
  <c r="K458" i="1"/>
  <c r="L458" i="1"/>
  <c r="M458" i="1"/>
  <c r="C459" i="1"/>
  <c r="D459" i="1"/>
  <c r="E459" i="1"/>
  <c r="F459" i="1"/>
  <c r="G459" i="1"/>
  <c r="H459" i="1"/>
  <c r="I459" i="1"/>
  <c r="J459" i="1"/>
  <c r="K459" i="1"/>
  <c r="L459" i="1"/>
  <c r="M459" i="1"/>
  <c r="C460" i="1"/>
  <c r="D460" i="1"/>
  <c r="E460" i="1"/>
  <c r="F460" i="1"/>
  <c r="G460" i="1"/>
  <c r="H460" i="1"/>
  <c r="I460" i="1"/>
  <c r="J460" i="1"/>
  <c r="K460" i="1"/>
  <c r="L460" i="1"/>
  <c r="M460" i="1"/>
  <c r="C461" i="1"/>
  <c r="D461" i="1"/>
  <c r="E461" i="1"/>
  <c r="F461" i="1"/>
  <c r="G461" i="1"/>
  <c r="H461" i="1"/>
  <c r="I461" i="1"/>
  <c r="J461" i="1"/>
  <c r="K461" i="1"/>
  <c r="L461" i="1"/>
  <c r="M461" i="1"/>
  <c r="C462" i="1"/>
  <c r="D462" i="1"/>
  <c r="E462" i="1"/>
  <c r="F462" i="1"/>
  <c r="G462" i="1"/>
  <c r="H462" i="1"/>
  <c r="I462" i="1"/>
  <c r="J462" i="1"/>
  <c r="K462" i="1"/>
  <c r="L462" i="1"/>
  <c r="M462" i="1"/>
  <c r="C463" i="1"/>
  <c r="D463" i="1"/>
  <c r="E463" i="1"/>
  <c r="F463" i="1"/>
  <c r="G463" i="1"/>
  <c r="H463" i="1"/>
  <c r="I463" i="1"/>
  <c r="J463" i="1"/>
  <c r="K463" i="1"/>
  <c r="L463" i="1"/>
  <c r="M463" i="1"/>
  <c r="C464" i="1"/>
  <c r="D464" i="1"/>
  <c r="E464" i="1"/>
  <c r="F464" i="1"/>
  <c r="G464" i="1"/>
  <c r="H464" i="1"/>
  <c r="I464" i="1"/>
  <c r="J464" i="1"/>
  <c r="K464" i="1"/>
  <c r="L464" i="1"/>
  <c r="M464" i="1"/>
  <c r="C465" i="1"/>
  <c r="D465" i="1"/>
  <c r="E465" i="1"/>
  <c r="F465" i="1"/>
  <c r="G465" i="1"/>
  <c r="H465" i="1"/>
  <c r="I465" i="1"/>
  <c r="J465" i="1"/>
  <c r="K465" i="1"/>
  <c r="L465" i="1"/>
  <c r="M465" i="1"/>
  <c r="C466" i="1"/>
  <c r="D466" i="1"/>
  <c r="E466" i="1"/>
  <c r="F466" i="1"/>
  <c r="G466" i="1"/>
  <c r="H466" i="1"/>
  <c r="I466" i="1"/>
  <c r="J466" i="1"/>
  <c r="K466" i="1"/>
  <c r="L466" i="1"/>
  <c r="M466" i="1"/>
  <c r="C467" i="1"/>
  <c r="D467" i="1"/>
  <c r="E467" i="1"/>
  <c r="F467" i="1"/>
  <c r="G467" i="1"/>
  <c r="H467" i="1"/>
  <c r="I467" i="1"/>
  <c r="J467" i="1"/>
  <c r="K467" i="1"/>
  <c r="L467" i="1"/>
  <c r="M467" i="1"/>
  <c r="C468" i="1"/>
  <c r="D468" i="1"/>
  <c r="E468" i="1"/>
  <c r="F468" i="1"/>
  <c r="G468" i="1"/>
  <c r="H468" i="1"/>
  <c r="I468" i="1"/>
  <c r="J468" i="1"/>
  <c r="K468" i="1"/>
  <c r="L468" i="1"/>
  <c r="M468" i="1"/>
  <c r="C469" i="1"/>
  <c r="D469" i="1"/>
  <c r="E469" i="1"/>
  <c r="F469" i="1"/>
  <c r="G469" i="1"/>
  <c r="H469" i="1"/>
  <c r="I469" i="1"/>
  <c r="J469" i="1"/>
  <c r="K469" i="1"/>
  <c r="L469" i="1"/>
  <c r="M469" i="1"/>
  <c r="C470" i="1"/>
  <c r="D470" i="1"/>
  <c r="E470" i="1"/>
  <c r="F470" i="1"/>
  <c r="G470" i="1"/>
  <c r="H470" i="1"/>
  <c r="I470" i="1"/>
  <c r="J470" i="1"/>
  <c r="K470" i="1"/>
  <c r="L470" i="1"/>
  <c r="M470" i="1"/>
  <c r="C471" i="1"/>
  <c r="D471" i="1"/>
  <c r="E471" i="1"/>
  <c r="F471" i="1"/>
  <c r="G471" i="1"/>
  <c r="H471" i="1"/>
  <c r="I471" i="1"/>
  <c r="J471" i="1"/>
  <c r="K471" i="1"/>
  <c r="L471" i="1"/>
  <c r="M471" i="1"/>
  <c r="C472" i="1"/>
  <c r="D472" i="1"/>
  <c r="E472" i="1"/>
  <c r="F472" i="1"/>
  <c r="G472" i="1"/>
  <c r="H472" i="1"/>
  <c r="I472" i="1"/>
  <c r="J472" i="1"/>
  <c r="K472" i="1"/>
  <c r="L472" i="1"/>
  <c r="M472" i="1"/>
  <c r="C473" i="1"/>
  <c r="D473" i="1"/>
  <c r="E473" i="1"/>
  <c r="F473" i="1"/>
  <c r="G473" i="1"/>
  <c r="H473" i="1"/>
  <c r="I473" i="1"/>
  <c r="J473" i="1"/>
  <c r="K473" i="1"/>
  <c r="L473" i="1"/>
  <c r="M473" i="1"/>
  <c r="C474" i="1"/>
  <c r="D474" i="1"/>
  <c r="E474" i="1"/>
  <c r="F474" i="1"/>
  <c r="G474" i="1"/>
  <c r="H474" i="1"/>
  <c r="I474" i="1"/>
  <c r="J474" i="1"/>
  <c r="K474" i="1"/>
  <c r="L474" i="1"/>
  <c r="M474" i="1"/>
  <c r="C475" i="1"/>
  <c r="D475" i="1"/>
  <c r="E475" i="1"/>
  <c r="F475" i="1"/>
  <c r="G475" i="1"/>
  <c r="H475" i="1"/>
  <c r="I475" i="1"/>
  <c r="J475" i="1"/>
  <c r="K475" i="1"/>
  <c r="L475" i="1"/>
  <c r="M475" i="1"/>
  <c r="C476" i="1"/>
  <c r="D476" i="1"/>
  <c r="E476" i="1"/>
  <c r="F476" i="1"/>
  <c r="G476" i="1"/>
  <c r="H476" i="1"/>
  <c r="I476" i="1"/>
  <c r="J476" i="1"/>
  <c r="K476" i="1"/>
  <c r="L476" i="1"/>
  <c r="M476" i="1"/>
  <c r="C477" i="1"/>
  <c r="D477" i="1"/>
  <c r="E477" i="1"/>
  <c r="F477" i="1"/>
  <c r="G477" i="1"/>
  <c r="H477" i="1"/>
  <c r="I477" i="1"/>
  <c r="J477" i="1"/>
  <c r="K477" i="1"/>
  <c r="L477" i="1"/>
  <c r="M477" i="1"/>
  <c r="C478" i="1"/>
  <c r="D478" i="1"/>
  <c r="E478" i="1"/>
  <c r="F478" i="1"/>
  <c r="G478" i="1"/>
  <c r="H478" i="1"/>
  <c r="I478" i="1"/>
  <c r="J478" i="1"/>
  <c r="K478" i="1"/>
  <c r="L478" i="1"/>
  <c r="M478" i="1"/>
  <c r="C479" i="1"/>
  <c r="D479" i="1"/>
  <c r="E479" i="1"/>
  <c r="F479" i="1"/>
  <c r="G479" i="1"/>
  <c r="H479" i="1"/>
  <c r="I479" i="1"/>
  <c r="J479" i="1"/>
  <c r="K479" i="1"/>
  <c r="L479" i="1"/>
  <c r="M479" i="1"/>
  <c r="C480" i="1"/>
  <c r="D480" i="1"/>
  <c r="E480" i="1"/>
  <c r="F480" i="1"/>
  <c r="G480" i="1"/>
  <c r="H480" i="1"/>
  <c r="I480" i="1"/>
  <c r="J480" i="1"/>
  <c r="K480" i="1"/>
  <c r="L480" i="1"/>
  <c r="M480" i="1"/>
  <c r="C481" i="1"/>
  <c r="D481" i="1"/>
  <c r="E481" i="1"/>
  <c r="F481" i="1"/>
  <c r="G481" i="1"/>
  <c r="H481" i="1"/>
  <c r="I481" i="1"/>
  <c r="J481" i="1"/>
  <c r="K481" i="1"/>
  <c r="L481" i="1"/>
  <c r="M481" i="1"/>
  <c r="C482" i="1"/>
  <c r="D482" i="1"/>
  <c r="E482" i="1"/>
  <c r="F482" i="1"/>
  <c r="G482" i="1"/>
  <c r="H482" i="1"/>
  <c r="I482" i="1"/>
  <c r="J482" i="1"/>
  <c r="K482" i="1"/>
  <c r="L482" i="1"/>
  <c r="M482" i="1"/>
  <c r="C483" i="1"/>
  <c r="D483" i="1"/>
  <c r="E483" i="1"/>
  <c r="F483" i="1"/>
  <c r="G483" i="1"/>
  <c r="H483" i="1"/>
  <c r="I483" i="1"/>
  <c r="J483" i="1"/>
  <c r="K483" i="1"/>
  <c r="L483" i="1"/>
  <c r="M483" i="1"/>
  <c r="C484" i="1"/>
  <c r="D484" i="1"/>
  <c r="E484" i="1"/>
  <c r="F484" i="1"/>
  <c r="G484" i="1"/>
  <c r="H484" i="1"/>
  <c r="I484" i="1"/>
  <c r="J484" i="1"/>
  <c r="K484" i="1"/>
  <c r="L484" i="1"/>
  <c r="M484" i="1"/>
  <c r="C485" i="1"/>
  <c r="D485" i="1"/>
  <c r="E485" i="1"/>
  <c r="F485" i="1"/>
  <c r="G485" i="1"/>
  <c r="H485" i="1"/>
  <c r="I485" i="1"/>
  <c r="J485" i="1"/>
  <c r="K485" i="1"/>
  <c r="L485" i="1"/>
  <c r="M485" i="1"/>
  <c r="C486" i="1"/>
  <c r="D486" i="1"/>
  <c r="E486" i="1"/>
  <c r="F486" i="1"/>
  <c r="G486" i="1"/>
  <c r="H486" i="1"/>
  <c r="I486" i="1"/>
  <c r="J486" i="1"/>
  <c r="K486" i="1"/>
  <c r="L486" i="1"/>
  <c r="M486" i="1"/>
  <c r="C487" i="1"/>
  <c r="D487" i="1"/>
  <c r="E487" i="1"/>
  <c r="F487" i="1"/>
  <c r="G487" i="1"/>
  <c r="H487" i="1"/>
  <c r="I487" i="1"/>
  <c r="J487" i="1"/>
  <c r="K487" i="1"/>
  <c r="L487" i="1"/>
  <c r="M487" i="1"/>
  <c r="C488" i="1"/>
  <c r="D488" i="1"/>
  <c r="E488" i="1"/>
  <c r="F488" i="1"/>
  <c r="G488" i="1"/>
  <c r="H488" i="1"/>
  <c r="I488" i="1"/>
  <c r="J488" i="1"/>
  <c r="K488" i="1"/>
  <c r="L488" i="1"/>
  <c r="M488" i="1"/>
  <c r="C489" i="1"/>
  <c r="D489" i="1"/>
  <c r="E489" i="1"/>
  <c r="F489" i="1"/>
  <c r="G489" i="1"/>
  <c r="H489" i="1"/>
  <c r="I489" i="1"/>
  <c r="J489" i="1"/>
  <c r="K489" i="1"/>
  <c r="L489" i="1"/>
  <c r="M489" i="1"/>
  <c r="C490" i="1"/>
  <c r="D490" i="1"/>
  <c r="E490" i="1"/>
  <c r="F490" i="1"/>
  <c r="G490" i="1"/>
  <c r="H490" i="1"/>
  <c r="I490" i="1"/>
  <c r="J490" i="1"/>
  <c r="K490" i="1"/>
  <c r="L490" i="1"/>
  <c r="M490" i="1"/>
  <c r="C491" i="1"/>
  <c r="D491" i="1"/>
  <c r="E491" i="1"/>
  <c r="F491" i="1"/>
  <c r="G491" i="1"/>
  <c r="H491" i="1"/>
  <c r="I491" i="1"/>
  <c r="J491" i="1"/>
  <c r="K491" i="1"/>
  <c r="L491" i="1"/>
  <c r="M491" i="1"/>
  <c r="C492" i="1"/>
  <c r="D492" i="1"/>
  <c r="E492" i="1"/>
  <c r="F492" i="1"/>
  <c r="G492" i="1"/>
  <c r="H492" i="1"/>
  <c r="I492" i="1"/>
  <c r="J492" i="1"/>
  <c r="K492" i="1"/>
  <c r="L492" i="1"/>
  <c r="M492" i="1"/>
  <c r="C493" i="1"/>
  <c r="D493" i="1"/>
  <c r="E493" i="1"/>
  <c r="F493" i="1"/>
  <c r="G493" i="1"/>
  <c r="H493" i="1"/>
  <c r="I493" i="1"/>
  <c r="J493" i="1"/>
  <c r="K493" i="1"/>
  <c r="L493" i="1"/>
  <c r="M493" i="1"/>
  <c r="C494" i="1"/>
  <c r="D494" i="1"/>
  <c r="E494" i="1"/>
  <c r="F494" i="1"/>
  <c r="G494" i="1"/>
  <c r="H494" i="1"/>
  <c r="I494" i="1"/>
  <c r="J494" i="1"/>
  <c r="K494" i="1"/>
  <c r="L494" i="1"/>
  <c r="M494" i="1"/>
  <c r="C495" i="1"/>
  <c r="D495" i="1"/>
  <c r="E495" i="1"/>
  <c r="F495" i="1"/>
  <c r="G495" i="1"/>
  <c r="H495" i="1"/>
  <c r="I495" i="1"/>
  <c r="J495" i="1"/>
  <c r="K495" i="1"/>
  <c r="L495" i="1"/>
  <c r="M495" i="1"/>
  <c r="C496" i="1"/>
  <c r="D496" i="1"/>
  <c r="E496" i="1"/>
  <c r="F496" i="1"/>
  <c r="G496" i="1"/>
  <c r="H496" i="1"/>
  <c r="I496" i="1"/>
  <c r="J496" i="1"/>
  <c r="K496" i="1"/>
  <c r="L496" i="1"/>
  <c r="M496" i="1"/>
  <c r="C497" i="1"/>
  <c r="D497" i="1"/>
  <c r="E497" i="1"/>
  <c r="F497" i="1"/>
  <c r="G497" i="1"/>
  <c r="H497" i="1"/>
  <c r="I497" i="1"/>
  <c r="J497" i="1"/>
  <c r="K497" i="1"/>
  <c r="L497" i="1"/>
  <c r="M497" i="1"/>
  <c r="C498" i="1"/>
  <c r="D498" i="1"/>
  <c r="E498" i="1"/>
  <c r="F498" i="1"/>
  <c r="G498" i="1"/>
  <c r="H498" i="1"/>
  <c r="I498" i="1"/>
  <c r="J498" i="1"/>
  <c r="K498" i="1"/>
  <c r="L498" i="1"/>
  <c r="M498" i="1"/>
  <c r="C499" i="1"/>
  <c r="D499" i="1"/>
  <c r="E499" i="1"/>
  <c r="F499" i="1"/>
  <c r="G499" i="1"/>
  <c r="H499" i="1"/>
  <c r="I499" i="1"/>
  <c r="J499" i="1"/>
  <c r="K499" i="1"/>
  <c r="L499" i="1"/>
  <c r="M499" i="1"/>
  <c r="C500" i="1"/>
  <c r="D500" i="1"/>
  <c r="E500" i="1"/>
  <c r="F500" i="1"/>
  <c r="G500" i="1"/>
  <c r="H500" i="1"/>
  <c r="I500" i="1"/>
  <c r="J500" i="1"/>
  <c r="K500" i="1"/>
  <c r="L500" i="1"/>
  <c r="M500" i="1"/>
  <c r="C501" i="1"/>
  <c r="D501" i="1"/>
  <c r="E501" i="1"/>
  <c r="F501" i="1"/>
  <c r="G501" i="1"/>
  <c r="H501" i="1"/>
  <c r="I501" i="1"/>
  <c r="J501" i="1"/>
  <c r="K501" i="1"/>
  <c r="L501" i="1"/>
  <c r="M501" i="1"/>
  <c r="C502" i="1"/>
  <c r="D502" i="1"/>
  <c r="E502" i="1"/>
  <c r="F502" i="1"/>
  <c r="G502" i="1"/>
  <c r="H502" i="1"/>
  <c r="I502" i="1"/>
  <c r="J502" i="1"/>
  <c r="K502" i="1"/>
  <c r="L502" i="1"/>
  <c r="M502" i="1"/>
  <c r="C503" i="1"/>
  <c r="D503" i="1"/>
  <c r="E503" i="1"/>
  <c r="F503" i="1"/>
  <c r="G503" i="1"/>
  <c r="H503" i="1"/>
  <c r="I503" i="1"/>
  <c r="J503" i="1"/>
  <c r="K503" i="1"/>
  <c r="L503" i="1"/>
  <c r="M503" i="1"/>
  <c r="C504" i="1"/>
  <c r="D504" i="1"/>
  <c r="E504" i="1"/>
  <c r="F504" i="1"/>
  <c r="G504" i="1"/>
  <c r="H504" i="1"/>
  <c r="I504" i="1"/>
  <c r="J504" i="1"/>
  <c r="K504" i="1"/>
  <c r="L504" i="1"/>
  <c r="M504" i="1"/>
  <c r="C505" i="1"/>
  <c r="D505" i="1"/>
  <c r="E505" i="1"/>
  <c r="F505" i="1"/>
  <c r="G505" i="1"/>
  <c r="H505" i="1"/>
  <c r="I505" i="1"/>
  <c r="J505" i="1"/>
  <c r="K505" i="1"/>
  <c r="L505" i="1"/>
  <c r="M505" i="1"/>
  <c r="C506" i="1"/>
  <c r="D506" i="1"/>
  <c r="E506" i="1"/>
  <c r="F506" i="1"/>
  <c r="G506" i="1"/>
  <c r="H506" i="1"/>
  <c r="I506" i="1"/>
  <c r="J506" i="1"/>
  <c r="K506" i="1"/>
  <c r="L506" i="1"/>
  <c r="M506" i="1"/>
  <c r="C507" i="1"/>
  <c r="D507" i="1"/>
  <c r="E507" i="1"/>
  <c r="F507" i="1"/>
  <c r="G507" i="1"/>
  <c r="H507" i="1"/>
  <c r="I507" i="1"/>
  <c r="J507" i="1"/>
  <c r="K507" i="1"/>
  <c r="L507" i="1"/>
  <c r="M507" i="1"/>
  <c r="C508" i="1"/>
  <c r="D508" i="1"/>
  <c r="E508" i="1"/>
  <c r="F508" i="1"/>
  <c r="G508" i="1"/>
  <c r="H508" i="1"/>
  <c r="I508" i="1"/>
  <c r="J508" i="1"/>
  <c r="K508" i="1"/>
  <c r="L508" i="1"/>
  <c r="M508" i="1"/>
  <c r="C509" i="1"/>
  <c r="D509" i="1"/>
  <c r="E509" i="1"/>
  <c r="F509" i="1"/>
  <c r="G509" i="1"/>
  <c r="H509" i="1"/>
  <c r="I509" i="1"/>
  <c r="J509" i="1"/>
  <c r="K509" i="1"/>
  <c r="L509" i="1"/>
  <c r="M509" i="1"/>
  <c r="C510" i="1"/>
  <c r="D510" i="1"/>
  <c r="E510" i="1"/>
  <c r="F510" i="1"/>
  <c r="G510" i="1"/>
  <c r="H510" i="1"/>
  <c r="I510" i="1"/>
  <c r="J510" i="1"/>
  <c r="K510" i="1"/>
  <c r="L510" i="1"/>
  <c r="M510" i="1"/>
  <c r="C511" i="1"/>
  <c r="D511" i="1"/>
  <c r="E511" i="1"/>
  <c r="F511" i="1"/>
  <c r="G511" i="1"/>
  <c r="H511" i="1"/>
  <c r="I511" i="1"/>
  <c r="J511" i="1"/>
  <c r="K511" i="1"/>
  <c r="L511" i="1"/>
  <c r="M511" i="1"/>
  <c r="C512" i="1"/>
  <c r="D512" i="1"/>
  <c r="E512" i="1"/>
  <c r="F512" i="1"/>
  <c r="G512" i="1"/>
  <c r="H512" i="1"/>
  <c r="I512" i="1"/>
  <c r="J512" i="1"/>
  <c r="K512" i="1"/>
  <c r="L512" i="1"/>
  <c r="M512" i="1"/>
  <c r="C513" i="1"/>
  <c r="D513" i="1"/>
  <c r="E513" i="1"/>
  <c r="F513" i="1"/>
  <c r="G513" i="1"/>
  <c r="H513" i="1"/>
  <c r="I513" i="1"/>
  <c r="J513" i="1"/>
  <c r="K513" i="1"/>
  <c r="L513" i="1"/>
  <c r="M513" i="1"/>
  <c r="C514" i="1"/>
  <c r="D514" i="1"/>
  <c r="E514" i="1"/>
  <c r="F514" i="1"/>
  <c r="G514" i="1"/>
  <c r="H514" i="1"/>
  <c r="I514" i="1"/>
  <c r="J514" i="1"/>
  <c r="K514" i="1"/>
  <c r="L514" i="1"/>
  <c r="M514" i="1"/>
  <c r="C515" i="1"/>
  <c r="D515" i="1"/>
  <c r="E515" i="1"/>
  <c r="F515" i="1"/>
  <c r="G515" i="1"/>
  <c r="H515" i="1"/>
  <c r="I515" i="1"/>
  <c r="J515" i="1"/>
  <c r="K515" i="1"/>
  <c r="L515" i="1"/>
  <c r="M515" i="1"/>
  <c r="C516" i="1"/>
  <c r="D516" i="1"/>
  <c r="E516" i="1"/>
  <c r="F516" i="1"/>
  <c r="G516" i="1"/>
  <c r="H516" i="1"/>
  <c r="I516" i="1"/>
  <c r="J516" i="1"/>
  <c r="K516" i="1"/>
  <c r="L516" i="1"/>
  <c r="M516" i="1"/>
  <c r="C517" i="1"/>
  <c r="D517" i="1"/>
  <c r="E517" i="1"/>
  <c r="F517" i="1"/>
  <c r="G517" i="1"/>
  <c r="H517" i="1"/>
  <c r="I517" i="1"/>
  <c r="J517" i="1"/>
  <c r="K517" i="1"/>
  <c r="L517" i="1"/>
  <c r="M517" i="1"/>
  <c r="C518" i="1"/>
  <c r="D518" i="1"/>
  <c r="E518" i="1"/>
  <c r="F518" i="1"/>
  <c r="G518" i="1"/>
  <c r="H518" i="1"/>
  <c r="I518" i="1"/>
  <c r="J518" i="1"/>
  <c r="K518" i="1"/>
  <c r="L518" i="1"/>
  <c r="M518" i="1"/>
  <c r="C519" i="1"/>
  <c r="D519" i="1"/>
  <c r="E519" i="1"/>
  <c r="F519" i="1"/>
  <c r="G519" i="1"/>
  <c r="H519" i="1"/>
  <c r="I519" i="1"/>
  <c r="J519" i="1"/>
  <c r="K519" i="1"/>
  <c r="L519" i="1"/>
  <c r="M519" i="1"/>
  <c r="C520" i="1"/>
  <c r="D520" i="1"/>
  <c r="E520" i="1"/>
  <c r="F520" i="1"/>
  <c r="G520" i="1"/>
  <c r="H520" i="1"/>
  <c r="I520" i="1"/>
  <c r="J520" i="1"/>
  <c r="K520" i="1"/>
  <c r="L520" i="1"/>
  <c r="M520" i="1"/>
  <c r="C521" i="1"/>
  <c r="D521" i="1"/>
  <c r="E521" i="1"/>
  <c r="F521" i="1"/>
  <c r="G521" i="1"/>
  <c r="H521" i="1"/>
  <c r="I521" i="1"/>
  <c r="J521" i="1"/>
  <c r="K521" i="1"/>
  <c r="L521" i="1"/>
  <c r="M521" i="1"/>
  <c r="C522" i="1"/>
  <c r="D522" i="1"/>
  <c r="E522" i="1"/>
  <c r="F522" i="1"/>
  <c r="G522" i="1"/>
  <c r="H522" i="1"/>
  <c r="I522" i="1"/>
  <c r="J522" i="1"/>
  <c r="K522" i="1"/>
  <c r="L522" i="1"/>
  <c r="M522" i="1"/>
  <c r="C523" i="1"/>
  <c r="D523" i="1"/>
  <c r="E523" i="1"/>
  <c r="F523" i="1"/>
  <c r="G523" i="1"/>
  <c r="H523" i="1"/>
  <c r="I523" i="1"/>
  <c r="J523" i="1"/>
  <c r="K523" i="1"/>
  <c r="L523" i="1"/>
  <c r="M523" i="1"/>
  <c r="C524" i="1"/>
  <c r="D524" i="1"/>
  <c r="E524" i="1"/>
  <c r="F524" i="1"/>
  <c r="G524" i="1"/>
  <c r="H524" i="1"/>
  <c r="I524" i="1"/>
  <c r="J524" i="1"/>
  <c r="K524" i="1"/>
  <c r="L524" i="1"/>
  <c r="M524" i="1"/>
  <c r="C525" i="1"/>
  <c r="D525" i="1"/>
  <c r="E525" i="1"/>
  <c r="F525" i="1"/>
  <c r="G525" i="1"/>
  <c r="H525" i="1"/>
  <c r="I525" i="1"/>
  <c r="J525" i="1"/>
  <c r="K525" i="1"/>
  <c r="L525" i="1"/>
  <c r="M525" i="1"/>
  <c r="C526" i="1"/>
  <c r="D526" i="1"/>
  <c r="E526" i="1"/>
  <c r="F526" i="1"/>
  <c r="G526" i="1"/>
  <c r="H526" i="1"/>
  <c r="I526" i="1"/>
  <c r="J526" i="1"/>
  <c r="K526" i="1"/>
  <c r="L526" i="1"/>
  <c r="M526" i="1"/>
  <c r="C527" i="1"/>
  <c r="D527" i="1"/>
  <c r="E527" i="1"/>
  <c r="F527" i="1"/>
  <c r="G527" i="1"/>
  <c r="H527" i="1"/>
  <c r="I527" i="1"/>
  <c r="J527" i="1"/>
  <c r="K527" i="1"/>
  <c r="L527" i="1"/>
  <c r="M527" i="1"/>
  <c r="C528" i="1"/>
  <c r="D528" i="1"/>
  <c r="E528" i="1"/>
  <c r="F528" i="1"/>
  <c r="G528" i="1"/>
  <c r="H528" i="1"/>
  <c r="I528" i="1"/>
  <c r="J528" i="1"/>
  <c r="K528" i="1"/>
  <c r="L528" i="1"/>
  <c r="M528" i="1"/>
  <c r="C529" i="1"/>
  <c r="D529" i="1"/>
  <c r="E529" i="1"/>
  <c r="F529" i="1"/>
  <c r="G529" i="1"/>
  <c r="H529" i="1"/>
  <c r="I529" i="1"/>
  <c r="J529" i="1"/>
  <c r="K529" i="1"/>
  <c r="L529" i="1"/>
  <c r="M529" i="1"/>
  <c r="C530" i="1"/>
  <c r="D530" i="1"/>
  <c r="E530" i="1"/>
  <c r="F530" i="1"/>
  <c r="G530" i="1"/>
  <c r="H530" i="1"/>
  <c r="I530" i="1"/>
  <c r="J530" i="1"/>
  <c r="K530" i="1"/>
  <c r="L530" i="1"/>
  <c r="M530" i="1"/>
  <c r="C531" i="1"/>
  <c r="D531" i="1"/>
  <c r="E531" i="1"/>
  <c r="F531" i="1"/>
  <c r="G531" i="1"/>
  <c r="H531" i="1"/>
  <c r="I531" i="1"/>
  <c r="J531" i="1"/>
  <c r="K531" i="1"/>
  <c r="L531" i="1"/>
  <c r="M531" i="1"/>
  <c r="C532" i="1"/>
  <c r="D532" i="1"/>
  <c r="E532" i="1"/>
  <c r="F532" i="1"/>
  <c r="G532" i="1"/>
  <c r="H532" i="1"/>
  <c r="I532" i="1"/>
  <c r="J532" i="1"/>
  <c r="K532" i="1"/>
  <c r="L532" i="1"/>
  <c r="M532" i="1"/>
  <c r="C533" i="1"/>
  <c r="D533" i="1"/>
  <c r="E533" i="1"/>
  <c r="F533" i="1"/>
  <c r="G533" i="1"/>
  <c r="H533" i="1"/>
  <c r="I533" i="1"/>
  <c r="J533" i="1"/>
  <c r="K533" i="1"/>
  <c r="L533" i="1"/>
  <c r="M533" i="1"/>
  <c r="C534" i="1"/>
  <c r="D534" i="1"/>
  <c r="E534" i="1"/>
  <c r="F534" i="1"/>
  <c r="G534" i="1"/>
  <c r="H534" i="1"/>
  <c r="I534" i="1"/>
  <c r="J534" i="1"/>
  <c r="K534" i="1"/>
  <c r="L534" i="1"/>
  <c r="M534" i="1"/>
  <c r="C535" i="1"/>
  <c r="D535" i="1"/>
  <c r="E535" i="1"/>
  <c r="F535" i="1"/>
  <c r="G535" i="1"/>
  <c r="H535" i="1"/>
  <c r="I535" i="1"/>
  <c r="J535" i="1"/>
  <c r="K535" i="1"/>
  <c r="L535" i="1"/>
  <c r="M535" i="1"/>
  <c r="C536" i="1"/>
  <c r="D536" i="1"/>
  <c r="E536" i="1"/>
  <c r="F536" i="1"/>
  <c r="G536" i="1"/>
  <c r="H536" i="1"/>
  <c r="I536" i="1"/>
  <c r="J536" i="1"/>
  <c r="K536" i="1"/>
  <c r="L536" i="1"/>
  <c r="M536" i="1"/>
  <c r="C537" i="1"/>
  <c r="D537" i="1"/>
  <c r="E537" i="1"/>
  <c r="F537" i="1"/>
  <c r="G537" i="1"/>
  <c r="H537" i="1"/>
  <c r="I537" i="1"/>
  <c r="J537" i="1"/>
  <c r="K537" i="1"/>
  <c r="L537" i="1"/>
  <c r="M537" i="1"/>
  <c r="C538" i="1"/>
  <c r="D538" i="1"/>
  <c r="E538" i="1"/>
  <c r="F538" i="1"/>
  <c r="G538" i="1"/>
  <c r="H538" i="1"/>
  <c r="I538" i="1"/>
  <c r="J538" i="1"/>
  <c r="K538" i="1"/>
  <c r="L538" i="1"/>
  <c r="M538" i="1"/>
  <c r="C539" i="1"/>
  <c r="D539" i="1"/>
  <c r="E539" i="1"/>
  <c r="F539" i="1"/>
  <c r="G539" i="1"/>
  <c r="H539" i="1"/>
  <c r="I539" i="1"/>
  <c r="J539" i="1"/>
  <c r="K539" i="1"/>
  <c r="L539" i="1"/>
  <c r="M539" i="1"/>
  <c r="C540" i="1"/>
  <c r="D540" i="1"/>
  <c r="E540" i="1"/>
  <c r="F540" i="1"/>
  <c r="G540" i="1"/>
  <c r="H540" i="1"/>
  <c r="I540" i="1"/>
  <c r="J540" i="1"/>
  <c r="K540" i="1"/>
  <c r="L540" i="1"/>
  <c r="M540" i="1"/>
  <c r="C541" i="1"/>
  <c r="D541" i="1"/>
  <c r="E541" i="1"/>
  <c r="F541" i="1"/>
  <c r="G541" i="1"/>
  <c r="H541" i="1"/>
  <c r="I541" i="1"/>
  <c r="J541" i="1"/>
  <c r="K541" i="1"/>
  <c r="L541" i="1"/>
  <c r="M541" i="1"/>
  <c r="C542" i="1"/>
  <c r="D542" i="1"/>
  <c r="E542" i="1"/>
  <c r="F542" i="1"/>
  <c r="G542" i="1"/>
  <c r="H542" i="1"/>
  <c r="I542" i="1"/>
  <c r="J542" i="1"/>
  <c r="K542" i="1"/>
  <c r="L542" i="1"/>
  <c r="M542" i="1"/>
  <c r="C543" i="1"/>
  <c r="D543" i="1"/>
  <c r="E543" i="1"/>
  <c r="F543" i="1"/>
  <c r="G543" i="1"/>
  <c r="H543" i="1"/>
  <c r="I543" i="1"/>
  <c r="J543" i="1"/>
  <c r="K543" i="1"/>
  <c r="L543" i="1"/>
  <c r="M543" i="1"/>
  <c r="C544" i="1"/>
  <c r="D544" i="1"/>
  <c r="E544" i="1"/>
  <c r="F544" i="1"/>
  <c r="G544" i="1"/>
  <c r="H544" i="1"/>
  <c r="I544" i="1"/>
  <c r="J544" i="1"/>
  <c r="K544" i="1"/>
  <c r="L544" i="1"/>
  <c r="M544" i="1"/>
  <c r="C545" i="1"/>
  <c r="D545" i="1"/>
  <c r="E545" i="1"/>
  <c r="F545" i="1"/>
  <c r="G545" i="1"/>
  <c r="H545" i="1"/>
  <c r="I545" i="1"/>
  <c r="J545" i="1"/>
  <c r="K545" i="1"/>
  <c r="L545" i="1"/>
  <c r="M545" i="1"/>
  <c r="C546" i="1"/>
  <c r="D546" i="1"/>
  <c r="E546" i="1"/>
  <c r="F546" i="1"/>
  <c r="G546" i="1"/>
  <c r="H546" i="1"/>
  <c r="I546" i="1"/>
  <c r="J546" i="1"/>
  <c r="K546" i="1"/>
  <c r="L546" i="1"/>
  <c r="M546" i="1"/>
  <c r="C547" i="1"/>
  <c r="D547" i="1"/>
  <c r="E547" i="1"/>
  <c r="F547" i="1"/>
  <c r="G547" i="1"/>
  <c r="H547" i="1"/>
  <c r="I547" i="1"/>
  <c r="J547" i="1"/>
  <c r="K547" i="1"/>
  <c r="L547" i="1"/>
  <c r="M547" i="1"/>
  <c r="C548" i="1"/>
  <c r="D548" i="1"/>
  <c r="E548" i="1"/>
  <c r="F548" i="1"/>
  <c r="G548" i="1"/>
  <c r="H548" i="1"/>
  <c r="I548" i="1"/>
  <c r="J548" i="1"/>
  <c r="K548" i="1"/>
  <c r="L548" i="1"/>
  <c r="M548" i="1"/>
  <c r="C549" i="1"/>
  <c r="D549" i="1"/>
  <c r="E549" i="1"/>
  <c r="F549" i="1"/>
  <c r="G549" i="1"/>
  <c r="H549" i="1"/>
  <c r="I549" i="1"/>
  <c r="J549" i="1"/>
  <c r="K549" i="1"/>
  <c r="L549" i="1"/>
  <c r="M549" i="1"/>
  <c r="C550" i="1"/>
  <c r="D550" i="1"/>
  <c r="E550" i="1"/>
  <c r="F550" i="1"/>
  <c r="G550" i="1"/>
  <c r="H550" i="1"/>
  <c r="I550" i="1"/>
  <c r="J550" i="1"/>
  <c r="K550" i="1"/>
  <c r="L550" i="1"/>
  <c r="M550" i="1"/>
  <c r="C551" i="1"/>
  <c r="D551" i="1"/>
  <c r="E551" i="1"/>
  <c r="F551" i="1"/>
  <c r="G551" i="1"/>
  <c r="H551" i="1"/>
  <c r="I551" i="1"/>
  <c r="J551" i="1"/>
  <c r="K551" i="1"/>
  <c r="L551" i="1"/>
  <c r="M551" i="1"/>
  <c r="C552" i="1"/>
  <c r="D552" i="1"/>
  <c r="E552" i="1"/>
  <c r="F552" i="1"/>
  <c r="G552" i="1"/>
  <c r="H552" i="1"/>
  <c r="I552" i="1"/>
  <c r="J552" i="1"/>
  <c r="K552" i="1"/>
  <c r="L552" i="1"/>
  <c r="M552" i="1"/>
  <c r="C553" i="1"/>
  <c r="D553" i="1"/>
  <c r="E553" i="1"/>
  <c r="F553" i="1"/>
  <c r="G553" i="1"/>
  <c r="H553" i="1"/>
  <c r="I553" i="1"/>
  <c r="J553" i="1"/>
  <c r="K553" i="1"/>
  <c r="L553" i="1"/>
  <c r="M553" i="1"/>
  <c r="C554" i="1"/>
  <c r="D554" i="1"/>
  <c r="E554" i="1"/>
  <c r="F554" i="1"/>
  <c r="G554" i="1"/>
  <c r="H554" i="1"/>
  <c r="I554" i="1"/>
  <c r="J554" i="1"/>
  <c r="K554" i="1"/>
  <c r="L554" i="1"/>
  <c r="M554" i="1"/>
  <c r="C555" i="1"/>
  <c r="D555" i="1"/>
  <c r="E555" i="1"/>
  <c r="F555" i="1"/>
  <c r="G555" i="1"/>
  <c r="H555" i="1"/>
  <c r="I555" i="1"/>
  <c r="J555" i="1"/>
  <c r="K555" i="1"/>
  <c r="L555" i="1"/>
  <c r="M555" i="1"/>
  <c r="C556" i="1"/>
  <c r="D556" i="1"/>
  <c r="E556" i="1"/>
  <c r="F556" i="1"/>
  <c r="G556" i="1"/>
  <c r="H556" i="1"/>
  <c r="I556" i="1"/>
  <c r="J556" i="1"/>
  <c r="K556" i="1"/>
  <c r="L556" i="1"/>
  <c r="M556" i="1"/>
  <c r="C557" i="1"/>
  <c r="D557" i="1"/>
  <c r="E557" i="1"/>
  <c r="F557" i="1"/>
  <c r="G557" i="1"/>
  <c r="H557" i="1"/>
  <c r="I557" i="1"/>
  <c r="J557" i="1"/>
  <c r="K557" i="1"/>
  <c r="L557" i="1"/>
  <c r="M557" i="1"/>
  <c r="C558" i="1"/>
  <c r="D558" i="1"/>
  <c r="E558" i="1"/>
  <c r="F558" i="1"/>
  <c r="G558" i="1"/>
  <c r="H558" i="1"/>
  <c r="I558" i="1"/>
  <c r="J558" i="1"/>
  <c r="K558" i="1"/>
  <c r="L558" i="1"/>
  <c r="M558" i="1"/>
  <c r="C559" i="1"/>
  <c r="D559" i="1"/>
  <c r="E559" i="1"/>
  <c r="F559" i="1"/>
  <c r="G559" i="1"/>
  <c r="H559" i="1"/>
  <c r="I559" i="1"/>
  <c r="J559" i="1"/>
  <c r="K559" i="1"/>
  <c r="L559" i="1"/>
  <c r="M559" i="1"/>
  <c r="C560" i="1"/>
  <c r="D560" i="1"/>
  <c r="E560" i="1"/>
  <c r="F560" i="1"/>
  <c r="G560" i="1"/>
  <c r="H560" i="1"/>
  <c r="I560" i="1"/>
  <c r="J560" i="1"/>
  <c r="K560" i="1"/>
  <c r="L560" i="1"/>
  <c r="M560" i="1"/>
  <c r="C561" i="1"/>
  <c r="D561" i="1"/>
  <c r="E561" i="1"/>
  <c r="F561" i="1"/>
  <c r="G561" i="1"/>
  <c r="H561" i="1"/>
  <c r="I561" i="1"/>
  <c r="J561" i="1"/>
  <c r="K561" i="1"/>
  <c r="L561" i="1"/>
  <c r="M561" i="1"/>
  <c r="C562" i="1"/>
  <c r="D562" i="1"/>
  <c r="E562" i="1"/>
  <c r="F562" i="1"/>
  <c r="G562" i="1"/>
  <c r="H562" i="1"/>
  <c r="I562" i="1"/>
  <c r="J562" i="1"/>
  <c r="K562" i="1"/>
  <c r="L562" i="1"/>
  <c r="M562" i="1"/>
  <c r="C563" i="1"/>
  <c r="D563" i="1"/>
  <c r="E563" i="1"/>
  <c r="F563" i="1"/>
  <c r="G563" i="1"/>
  <c r="H563" i="1"/>
  <c r="I563" i="1"/>
  <c r="J563" i="1"/>
  <c r="K563" i="1"/>
  <c r="L563" i="1"/>
  <c r="M563" i="1"/>
  <c r="C564" i="1"/>
  <c r="D564" i="1"/>
  <c r="E564" i="1"/>
  <c r="F564" i="1"/>
  <c r="G564" i="1"/>
  <c r="H564" i="1"/>
  <c r="I564" i="1"/>
  <c r="J564" i="1"/>
  <c r="K564" i="1"/>
  <c r="L564" i="1"/>
  <c r="M564" i="1"/>
  <c r="C565" i="1"/>
  <c r="D565" i="1"/>
  <c r="E565" i="1"/>
  <c r="F565" i="1"/>
  <c r="G565" i="1"/>
  <c r="H565" i="1"/>
  <c r="I565" i="1"/>
  <c r="J565" i="1"/>
  <c r="K565" i="1"/>
  <c r="L565" i="1"/>
  <c r="M565" i="1"/>
  <c r="C566" i="1"/>
  <c r="D566" i="1"/>
  <c r="E566" i="1"/>
  <c r="F566" i="1"/>
  <c r="G566" i="1"/>
  <c r="H566" i="1"/>
  <c r="I566" i="1"/>
  <c r="J566" i="1"/>
  <c r="K566" i="1"/>
  <c r="L566" i="1"/>
  <c r="M566" i="1"/>
  <c r="C567" i="1"/>
  <c r="D567" i="1"/>
  <c r="E567" i="1"/>
  <c r="F567" i="1"/>
  <c r="G567" i="1"/>
  <c r="H567" i="1"/>
  <c r="I567" i="1"/>
  <c r="J567" i="1"/>
  <c r="K567" i="1"/>
  <c r="L567" i="1"/>
  <c r="M567" i="1"/>
  <c r="C568" i="1"/>
  <c r="D568" i="1"/>
  <c r="E568" i="1"/>
  <c r="F568" i="1"/>
  <c r="G568" i="1"/>
  <c r="H568" i="1"/>
  <c r="I568" i="1"/>
  <c r="J568" i="1"/>
  <c r="K568" i="1"/>
  <c r="L568" i="1"/>
  <c r="M568" i="1"/>
  <c r="C569" i="1"/>
  <c r="D569" i="1"/>
  <c r="E569" i="1"/>
  <c r="F569" i="1"/>
  <c r="G569" i="1"/>
  <c r="H569" i="1"/>
  <c r="I569" i="1"/>
  <c r="J569" i="1"/>
  <c r="K569" i="1"/>
  <c r="L569" i="1"/>
  <c r="M569" i="1"/>
  <c r="C570" i="1"/>
  <c r="D570" i="1"/>
  <c r="E570" i="1"/>
  <c r="F570" i="1"/>
  <c r="G570" i="1"/>
  <c r="H570" i="1"/>
  <c r="I570" i="1"/>
  <c r="J570" i="1"/>
  <c r="K570" i="1"/>
  <c r="L570" i="1"/>
  <c r="M570" i="1"/>
  <c r="C571" i="1"/>
  <c r="D571" i="1"/>
  <c r="E571" i="1"/>
  <c r="F571" i="1"/>
  <c r="G571" i="1"/>
  <c r="H571" i="1"/>
  <c r="I571" i="1"/>
  <c r="J571" i="1"/>
  <c r="K571" i="1"/>
  <c r="L571" i="1"/>
  <c r="M571" i="1"/>
  <c r="C572" i="1"/>
  <c r="D572" i="1"/>
  <c r="E572" i="1"/>
  <c r="F572" i="1"/>
  <c r="G572" i="1"/>
  <c r="H572" i="1"/>
  <c r="I572" i="1"/>
  <c r="J572" i="1"/>
  <c r="K572" i="1"/>
  <c r="L572" i="1"/>
  <c r="M572" i="1"/>
  <c r="C573" i="1"/>
  <c r="D573" i="1"/>
  <c r="E573" i="1"/>
  <c r="F573" i="1"/>
  <c r="G573" i="1"/>
  <c r="H573" i="1"/>
  <c r="I573" i="1"/>
  <c r="J573" i="1"/>
  <c r="K573" i="1"/>
  <c r="L573" i="1"/>
  <c r="M573" i="1"/>
  <c r="C574" i="1"/>
  <c r="D574" i="1"/>
  <c r="E574" i="1"/>
  <c r="F574" i="1"/>
  <c r="G574" i="1"/>
  <c r="H574" i="1"/>
  <c r="I574" i="1"/>
  <c r="J574" i="1"/>
  <c r="K574" i="1"/>
  <c r="L574" i="1"/>
  <c r="M574" i="1"/>
  <c r="C575" i="1"/>
  <c r="D575" i="1"/>
  <c r="E575" i="1"/>
  <c r="F575" i="1"/>
  <c r="G575" i="1"/>
  <c r="H575" i="1"/>
  <c r="I575" i="1"/>
  <c r="J575" i="1"/>
  <c r="K575" i="1"/>
  <c r="L575" i="1"/>
  <c r="M575" i="1"/>
  <c r="C576" i="1"/>
  <c r="D576" i="1"/>
  <c r="E576" i="1"/>
  <c r="F576" i="1"/>
  <c r="G576" i="1"/>
  <c r="H576" i="1"/>
  <c r="I576" i="1"/>
  <c r="J576" i="1"/>
  <c r="K576" i="1"/>
  <c r="L576" i="1"/>
  <c r="M576" i="1"/>
  <c r="C577" i="1"/>
  <c r="D577" i="1"/>
  <c r="E577" i="1"/>
  <c r="F577" i="1"/>
  <c r="G577" i="1"/>
  <c r="H577" i="1"/>
  <c r="I577" i="1"/>
  <c r="J577" i="1"/>
  <c r="K577" i="1"/>
  <c r="L577" i="1"/>
  <c r="M577" i="1"/>
  <c r="C578" i="1"/>
  <c r="D578" i="1"/>
  <c r="E578" i="1"/>
  <c r="F578" i="1"/>
  <c r="G578" i="1"/>
  <c r="H578" i="1"/>
  <c r="I578" i="1"/>
  <c r="J578" i="1"/>
  <c r="K578" i="1"/>
  <c r="L578" i="1"/>
  <c r="M578" i="1"/>
  <c r="C579" i="1"/>
  <c r="D579" i="1"/>
  <c r="E579" i="1"/>
  <c r="F579" i="1"/>
  <c r="G579" i="1"/>
  <c r="H579" i="1"/>
  <c r="I579" i="1"/>
  <c r="J579" i="1"/>
  <c r="K579" i="1"/>
  <c r="L579" i="1"/>
  <c r="M579" i="1"/>
  <c r="C580" i="1"/>
  <c r="D580" i="1"/>
  <c r="E580" i="1"/>
  <c r="F580" i="1"/>
  <c r="G580" i="1"/>
  <c r="H580" i="1"/>
  <c r="I580" i="1"/>
  <c r="J580" i="1"/>
  <c r="K580" i="1"/>
  <c r="L580" i="1"/>
  <c r="M580" i="1"/>
  <c r="C581" i="1"/>
  <c r="D581" i="1"/>
  <c r="E581" i="1"/>
  <c r="F581" i="1"/>
  <c r="G581" i="1"/>
  <c r="H581" i="1"/>
  <c r="I581" i="1"/>
  <c r="J581" i="1"/>
  <c r="K581" i="1"/>
  <c r="L581" i="1"/>
  <c r="M581" i="1"/>
  <c r="C582" i="1"/>
  <c r="D582" i="1"/>
  <c r="E582" i="1"/>
  <c r="F582" i="1"/>
  <c r="G582" i="1"/>
  <c r="H582" i="1"/>
  <c r="I582" i="1"/>
  <c r="J582" i="1"/>
  <c r="K582" i="1"/>
  <c r="L582" i="1"/>
  <c r="M582" i="1"/>
  <c r="C583" i="1"/>
  <c r="D583" i="1"/>
  <c r="E583" i="1"/>
  <c r="F583" i="1"/>
  <c r="G583" i="1"/>
  <c r="H583" i="1"/>
  <c r="I583" i="1"/>
  <c r="J583" i="1"/>
  <c r="K583" i="1"/>
  <c r="L583" i="1"/>
  <c r="M583" i="1"/>
  <c r="C584" i="1"/>
  <c r="D584" i="1"/>
  <c r="E584" i="1"/>
  <c r="F584" i="1"/>
  <c r="G584" i="1"/>
  <c r="H584" i="1"/>
  <c r="I584" i="1"/>
  <c r="J584" i="1"/>
  <c r="K584" i="1"/>
  <c r="L584" i="1"/>
  <c r="M584" i="1"/>
  <c r="C585" i="1"/>
  <c r="D585" i="1"/>
  <c r="E585" i="1"/>
  <c r="F585" i="1"/>
  <c r="G585" i="1"/>
  <c r="H585" i="1"/>
  <c r="I585" i="1"/>
  <c r="J585" i="1"/>
  <c r="K585" i="1"/>
  <c r="L585" i="1"/>
  <c r="M585" i="1"/>
  <c r="C586" i="1"/>
  <c r="D586" i="1"/>
  <c r="E586" i="1"/>
  <c r="F586" i="1"/>
  <c r="G586" i="1"/>
  <c r="H586" i="1"/>
  <c r="I586" i="1"/>
  <c r="J586" i="1"/>
  <c r="K586" i="1"/>
  <c r="L586" i="1"/>
  <c r="M586" i="1"/>
  <c r="C587" i="1"/>
  <c r="D587" i="1"/>
  <c r="E587" i="1"/>
  <c r="F587" i="1"/>
  <c r="G587" i="1"/>
  <c r="H587" i="1"/>
  <c r="I587" i="1"/>
  <c r="J587" i="1"/>
  <c r="K587" i="1"/>
  <c r="L587" i="1"/>
  <c r="M587" i="1"/>
  <c r="C588" i="1"/>
  <c r="D588" i="1"/>
  <c r="E588" i="1"/>
  <c r="F588" i="1"/>
  <c r="G588" i="1"/>
  <c r="H588" i="1"/>
  <c r="I588" i="1"/>
  <c r="J588" i="1"/>
  <c r="K588" i="1"/>
  <c r="L588" i="1"/>
  <c r="M588" i="1"/>
  <c r="C589" i="1"/>
  <c r="D589" i="1"/>
  <c r="E589" i="1"/>
  <c r="F589" i="1"/>
  <c r="G589" i="1"/>
  <c r="H589" i="1"/>
  <c r="I589" i="1"/>
  <c r="J589" i="1"/>
  <c r="K589" i="1"/>
  <c r="L589" i="1"/>
  <c r="M589" i="1"/>
  <c r="C590" i="1"/>
  <c r="D590" i="1"/>
  <c r="E590" i="1"/>
  <c r="F590" i="1"/>
  <c r="G590" i="1"/>
  <c r="H590" i="1"/>
  <c r="I590" i="1"/>
  <c r="J590" i="1"/>
  <c r="K590" i="1"/>
  <c r="L590" i="1"/>
  <c r="M590" i="1"/>
  <c r="C591" i="1"/>
  <c r="D591" i="1"/>
  <c r="E591" i="1"/>
  <c r="F591" i="1"/>
  <c r="G591" i="1"/>
  <c r="H591" i="1"/>
  <c r="I591" i="1"/>
  <c r="J591" i="1"/>
  <c r="K591" i="1"/>
  <c r="L591" i="1"/>
  <c r="M591" i="1"/>
  <c r="C592" i="1"/>
  <c r="D592" i="1"/>
  <c r="E592" i="1"/>
  <c r="F592" i="1"/>
  <c r="G592" i="1"/>
  <c r="H592" i="1"/>
  <c r="I592" i="1"/>
  <c r="J592" i="1"/>
  <c r="K592" i="1"/>
  <c r="L592" i="1"/>
  <c r="M592" i="1"/>
  <c r="C593" i="1"/>
  <c r="D593" i="1"/>
  <c r="E593" i="1"/>
  <c r="F593" i="1"/>
  <c r="G593" i="1"/>
  <c r="H593" i="1"/>
  <c r="I593" i="1"/>
  <c r="J593" i="1"/>
  <c r="K593" i="1"/>
  <c r="L593" i="1"/>
  <c r="M593" i="1"/>
  <c r="C594" i="1"/>
  <c r="D594" i="1"/>
  <c r="E594" i="1"/>
  <c r="F594" i="1"/>
  <c r="G594" i="1"/>
  <c r="H594" i="1"/>
  <c r="I594" i="1"/>
  <c r="J594" i="1"/>
  <c r="K594" i="1"/>
  <c r="L594" i="1"/>
  <c r="M594" i="1"/>
  <c r="C595" i="1"/>
  <c r="D595" i="1"/>
  <c r="E595" i="1"/>
  <c r="F595" i="1"/>
  <c r="G595" i="1"/>
  <c r="H595" i="1"/>
  <c r="I595" i="1"/>
  <c r="J595" i="1"/>
  <c r="K595" i="1"/>
  <c r="L595" i="1"/>
  <c r="M595" i="1"/>
  <c r="C596" i="1"/>
  <c r="D596" i="1"/>
  <c r="E596" i="1"/>
  <c r="F596" i="1"/>
  <c r="G596" i="1"/>
  <c r="H596" i="1"/>
  <c r="I596" i="1"/>
  <c r="J596" i="1"/>
  <c r="K596" i="1"/>
  <c r="L596" i="1"/>
  <c r="M596" i="1"/>
  <c r="C597" i="1"/>
  <c r="D597" i="1"/>
  <c r="E597" i="1"/>
  <c r="F597" i="1"/>
  <c r="G597" i="1"/>
  <c r="H597" i="1"/>
  <c r="I597" i="1"/>
  <c r="J597" i="1"/>
  <c r="K597" i="1"/>
  <c r="L597" i="1"/>
  <c r="M597" i="1"/>
  <c r="C598" i="1"/>
  <c r="D598" i="1"/>
  <c r="E598" i="1"/>
  <c r="F598" i="1"/>
  <c r="G598" i="1"/>
  <c r="H598" i="1"/>
  <c r="I598" i="1"/>
  <c r="J598" i="1"/>
  <c r="K598" i="1"/>
  <c r="L598" i="1"/>
  <c r="M598" i="1"/>
  <c r="C599" i="1"/>
  <c r="D599" i="1"/>
  <c r="E599" i="1"/>
  <c r="F599" i="1"/>
  <c r="G599" i="1"/>
  <c r="H599" i="1"/>
  <c r="I599" i="1"/>
  <c r="J599" i="1"/>
  <c r="K599" i="1"/>
  <c r="L599" i="1"/>
  <c r="M599" i="1"/>
  <c r="C600" i="1"/>
  <c r="D600" i="1"/>
  <c r="E600" i="1"/>
  <c r="F600" i="1"/>
  <c r="G600" i="1"/>
  <c r="H600" i="1"/>
  <c r="I600" i="1"/>
  <c r="J600" i="1"/>
  <c r="K600" i="1"/>
  <c r="L600" i="1"/>
  <c r="M600" i="1"/>
  <c r="C601" i="1"/>
  <c r="D601" i="1"/>
  <c r="E601" i="1"/>
  <c r="F601" i="1"/>
  <c r="G601" i="1"/>
  <c r="H601" i="1"/>
  <c r="I601" i="1"/>
  <c r="J601" i="1"/>
  <c r="K601" i="1"/>
  <c r="L601" i="1"/>
  <c r="M601" i="1"/>
  <c r="C602" i="1"/>
  <c r="D602" i="1"/>
  <c r="E602" i="1"/>
  <c r="F602" i="1"/>
  <c r="G602" i="1"/>
  <c r="H602" i="1"/>
  <c r="I602" i="1"/>
  <c r="J602" i="1"/>
  <c r="K602" i="1"/>
  <c r="L602" i="1"/>
  <c r="M602" i="1"/>
  <c r="C603" i="1"/>
  <c r="D603" i="1"/>
  <c r="E603" i="1"/>
  <c r="F603" i="1"/>
  <c r="G603" i="1"/>
  <c r="H603" i="1"/>
  <c r="I603" i="1"/>
  <c r="J603" i="1"/>
  <c r="K603" i="1"/>
  <c r="L603" i="1"/>
  <c r="M603" i="1"/>
  <c r="C604" i="1"/>
  <c r="D604" i="1"/>
  <c r="E604" i="1"/>
  <c r="F604" i="1"/>
  <c r="G604" i="1"/>
  <c r="H604" i="1"/>
  <c r="I604" i="1"/>
  <c r="J604" i="1"/>
  <c r="K604" i="1"/>
  <c r="L604" i="1"/>
  <c r="M604" i="1"/>
  <c r="C605" i="1"/>
  <c r="D605" i="1"/>
  <c r="E605" i="1"/>
  <c r="F605" i="1"/>
  <c r="G605" i="1"/>
  <c r="H605" i="1"/>
  <c r="I605" i="1"/>
  <c r="J605" i="1"/>
  <c r="K605" i="1"/>
  <c r="L605" i="1"/>
  <c r="M605" i="1"/>
  <c r="C606" i="1"/>
  <c r="D606" i="1"/>
  <c r="E606" i="1"/>
  <c r="F606" i="1"/>
  <c r="G606" i="1"/>
  <c r="H606" i="1"/>
  <c r="I606" i="1"/>
  <c r="J606" i="1"/>
  <c r="K606" i="1"/>
  <c r="L606" i="1"/>
  <c r="M606" i="1"/>
  <c r="C607" i="1"/>
  <c r="D607" i="1"/>
  <c r="E607" i="1"/>
  <c r="F607" i="1"/>
  <c r="G607" i="1"/>
  <c r="H607" i="1"/>
  <c r="I607" i="1"/>
  <c r="J607" i="1"/>
  <c r="K607" i="1"/>
  <c r="L607" i="1"/>
  <c r="M607" i="1"/>
  <c r="C608" i="1"/>
  <c r="D608" i="1"/>
  <c r="E608" i="1"/>
  <c r="F608" i="1"/>
  <c r="G608" i="1"/>
  <c r="H608" i="1"/>
  <c r="I608" i="1"/>
  <c r="J608" i="1"/>
  <c r="K608" i="1"/>
  <c r="L608" i="1"/>
  <c r="M608" i="1"/>
  <c r="C609" i="1"/>
  <c r="D609" i="1"/>
  <c r="E609" i="1"/>
  <c r="F609" i="1"/>
  <c r="G609" i="1"/>
  <c r="H609" i="1"/>
  <c r="I609" i="1"/>
  <c r="J609" i="1"/>
  <c r="K609" i="1"/>
  <c r="L609" i="1"/>
  <c r="M609" i="1"/>
  <c r="C610" i="1"/>
  <c r="D610" i="1"/>
  <c r="E610" i="1"/>
  <c r="F610" i="1"/>
  <c r="G610" i="1"/>
  <c r="H610" i="1"/>
  <c r="I610" i="1"/>
  <c r="J610" i="1"/>
  <c r="K610" i="1"/>
  <c r="L610" i="1"/>
  <c r="M610" i="1"/>
  <c r="C611" i="1"/>
  <c r="D611" i="1"/>
  <c r="E611" i="1"/>
  <c r="F611" i="1"/>
  <c r="G611" i="1"/>
  <c r="H611" i="1"/>
  <c r="I611" i="1"/>
  <c r="J611" i="1"/>
  <c r="K611" i="1"/>
  <c r="L611" i="1"/>
  <c r="M611" i="1"/>
  <c r="C612" i="1"/>
  <c r="D612" i="1"/>
  <c r="E612" i="1"/>
  <c r="F612" i="1"/>
  <c r="G612" i="1"/>
  <c r="H612" i="1"/>
  <c r="I612" i="1"/>
  <c r="J612" i="1"/>
  <c r="K612" i="1"/>
  <c r="L612" i="1"/>
  <c r="M612" i="1"/>
  <c r="C613" i="1"/>
  <c r="D613" i="1"/>
  <c r="E613" i="1"/>
  <c r="F613" i="1"/>
  <c r="G613" i="1"/>
  <c r="H613" i="1"/>
  <c r="I613" i="1"/>
  <c r="J613" i="1"/>
  <c r="K613" i="1"/>
  <c r="L613" i="1"/>
  <c r="M613" i="1"/>
  <c r="C614" i="1"/>
  <c r="D614" i="1"/>
  <c r="E614" i="1"/>
  <c r="F614" i="1"/>
  <c r="G614" i="1"/>
  <c r="H614" i="1"/>
  <c r="I614" i="1"/>
  <c r="J614" i="1"/>
  <c r="K614" i="1"/>
  <c r="L614" i="1"/>
  <c r="M614" i="1"/>
  <c r="C615" i="1"/>
  <c r="D615" i="1"/>
  <c r="E615" i="1"/>
  <c r="F615" i="1"/>
  <c r="G615" i="1"/>
  <c r="H615" i="1"/>
  <c r="I615" i="1"/>
  <c r="J615" i="1"/>
  <c r="K615" i="1"/>
  <c r="L615" i="1"/>
  <c r="M615" i="1"/>
  <c r="C616" i="1"/>
  <c r="D616" i="1"/>
  <c r="E616" i="1"/>
  <c r="F616" i="1"/>
  <c r="G616" i="1"/>
  <c r="H616" i="1"/>
  <c r="I616" i="1"/>
  <c r="J616" i="1"/>
  <c r="K616" i="1"/>
  <c r="L616" i="1"/>
  <c r="M616" i="1"/>
  <c r="C617" i="1"/>
  <c r="D617" i="1"/>
  <c r="E617" i="1"/>
  <c r="F617" i="1"/>
  <c r="G617" i="1"/>
  <c r="H617" i="1"/>
  <c r="I617" i="1"/>
  <c r="J617" i="1"/>
  <c r="K617" i="1"/>
  <c r="L617" i="1"/>
  <c r="M617" i="1"/>
  <c r="C618" i="1"/>
  <c r="D618" i="1"/>
  <c r="E618" i="1"/>
  <c r="F618" i="1"/>
  <c r="G618" i="1"/>
  <c r="H618" i="1"/>
  <c r="I618" i="1"/>
  <c r="J618" i="1"/>
  <c r="K618" i="1"/>
  <c r="L618" i="1"/>
  <c r="M618" i="1"/>
  <c r="C619" i="1"/>
  <c r="D619" i="1"/>
  <c r="E619" i="1"/>
  <c r="F619" i="1"/>
  <c r="G619" i="1"/>
  <c r="H619" i="1"/>
  <c r="I619" i="1"/>
  <c r="J619" i="1"/>
  <c r="K619" i="1"/>
  <c r="L619" i="1"/>
  <c r="M619" i="1"/>
  <c r="C620" i="1"/>
  <c r="D620" i="1"/>
  <c r="E620" i="1"/>
  <c r="F620" i="1"/>
  <c r="G620" i="1"/>
  <c r="H620" i="1"/>
  <c r="I620" i="1"/>
  <c r="J620" i="1"/>
  <c r="K620" i="1"/>
  <c r="L620" i="1"/>
  <c r="M620" i="1"/>
  <c r="C621" i="1"/>
  <c r="D621" i="1"/>
  <c r="E621" i="1"/>
  <c r="F621" i="1"/>
  <c r="G621" i="1"/>
  <c r="H621" i="1"/>
  <c r="I621" i="1"/>
  <c r="J621" i="1"/>
  <c r="K621" i="1"/>
  <c r="L621" i="1"/>
  <c r="M621" i="1"/>
  <c r="C622" i="1"/>
  <c r="D622" i="1"/>
  <c r="E622" i="1"/>
  <c r="F622" i="1"/>
  <c r="G622" i="1"/>
  <c r="H622" i="1"/>
  <c r="I622" i="1"/>
  <c r="J622" i="1"/>
  <c r="K622" i="1"/>
  <c r="L622" i="1"/>
  <c r="M622" i="1"/>
  <c r="C623" i="1"/>
  <c r="D623" i="1"/>
  <c r="E623" i="1"/>
  <c r="F623" i="1"/>
  <c r="G623" i="1"/>
  <c r="H623" i="1"/>
  <c r="I623" i="1"/>
  <c r="J623" i="1"/>
  <c r="K623" i="1"/>
  <c r="L623" i="1"/>
  <c r="M623" i="1"/>
  <c r="C624" i="1"/>
  <c r="D624" i="1"/>
  <c r="E624" i="1"/>
  <c r="F624" i="1"/>
  <c r="G624" i="1"/>
  <c r="H624" i="1"/>
  <c r="I624" i="1"/>
  <c r="J624" i="1"/>
  <c r="K624" i="1"/>
  <c r="L624" i="1"/>
  <c r="M624" i="1"/>
  <c r="C625" i="1"/>
  <c r="D625" i="1"/>
  <c r="E625" i="1"/>
  <c r="F625" i="1"/>
  <c r="G625" i="1"/>
  <c r="H625" i="1"/>
  <c r="I625" i="1"/>
  <c r="J625" i="1"/>
  <c r="K625" i="1"/>
  <c r="L625" i="1"/>
  <c r="M625" i="1"/>
  <c r="C626" i="1"/>
  <c r="D626" i="1"/>
  <c r="E626" i="1"/>
  <c r="F626" i="1"/>
  <c r="G626" i="1"/>
  <c r="H626" i="1"/>
  <c r="I626" i="1"/>
  <c r="J626" i="1"/>
  <c r="K626" i="1"/>
  <c r="L626" i="1"/>
  <c r="M626" i="1"/>
  <c r="C627" i="1"/>
  <c r="D627" i="1"/>
  <c r="E627" i="1"/>
  <c r="F627" i="1"/>
  <c r="G627" i="1"/>
  <c r="H627" i="1"/>
  <c r="I627" i="1"/>
  <c r="J627" i="1"/>
  <c r="K627" i="1"/>
  <c r="L627" i="1"/>
  <c r="M627" i="1"/>
  <c r="C628" i="1"/>
  <c r="D628" i="1"/>
  <c r="E628" i="1"/>
  <c r="F628" i="1"/>
  <c r="G628" i="1"/>
  <c r="H628" i="1"/>
  <c r="I628" i="1"/>
  <c r="J628" i="1"/>
  <c r="K628" i="1"/>
  <c r="L628" i="1"/>
  <c r="M628" i="1"/>
  <c r="C629" i="1"/>
  <c r="D629" i="1"/>
  <c r="E629" i="1"/>
  <c r="F629" i="1"/>
  <c r="G629" i="1"/>
  <c r="H629" i="1"/>
  <c r="I629" i="1"/>
  <c r="J629" i="1"/>
  <c r="K629" i="1"/>
  <c r="L629" i="1"/>
  <c r="M629" i="1"/>
  <c r="C630" i="1"/>
  <c r="D630" i="1"/>
  <c r="E630" i="1"/>
  <c r="F630" i="1"/>
  <c r="G630" i="1"/>
  <c r="H630" i="1"/>
  <c r="I630" i="1"/>
  <c r="J630" i="1"/>
  <c r="K630" i="1"/>
  <c r="L630" i="1"/>
  <c r="M630" i="1"/>
  <c r="C631" i="1"/>
  <c r="D631" i="1"/>
  <c r="E631" i="1"/>
  <c r="F631" i="1"/>
  <c r="G631" i="1"/>
  <c r="H631" i="1"/>
  <c r="I631" i="1"/>
  <c r="J631" i="1"/>
  <c r="K631" i="1"/>
  <c r="L631" i="1"/>
  <c r="M631" i="1"/>
  <c r="C632" i="1"/>
  <c r="D632" i="1"/>
  <c r="E632" i="1"/>
  <c r="F632" i="1"/>
  <c r="G632" i="1"/>
  <c r="H632" i="1"/>
  <c r="I632" i="1"/>
  <c r="J632" i="1"/>
  <c r="K632" i="1"/>
  <c r="L632" i="1"/>
  <c r="M632" i="1"/>
  <c r="C633" i="1"/>
  <c r="D633" i="1"/>
  <c r="E633" i="1"/>
  <c r="F633" i="1"/>
  <c r="G633" i="1"/>
  <c r="H633" i="1"/>
  <c r="I633" i="1"/>
  <c r="J633" i="1"/>
  <c r="K633" i="1"/>
  <c r="L633" i="1"/>
  <c r="M633" i="1"/>
  <c r="C634" i="1"/>
  <c r="D634" i="1"/>
  <c r="E634" i="1"/>
  <c r="F634" i="1"/>
  <c r="G634" i="1"/>
  <c r="H634" i="1"/>
  <c r="I634" i="1"/>
  <c r="J634" i="1"/>
  <c r="K634" i="1"/>
  <c r="L634" i="1"/>
  <c r="M634" i="1"/>
  <c r="C635" i="1"/>
  <c r="D635" i="1"/>
  <c r="E635" i="1"/>
  <c r="F635" i="1"/>
  <c r="G635" i="1"/>
  <c r="H635" i="1"/>
  <c r="I635" i="1"/>
  <c r="J635" i="1"/>
  <c r="K635" i="1"/>
  <c r="L635" i="1"/>
  <c r="M635" i="1"/>
  <c r="C636" i="1"/>
  <c r="D636" i="1"/>
  <c r="E636" i="1"/>
  <c r="F636" i="1"/>
  <c r="G636" i="1"/>
  <c r="H636" i="1"/>
  <c r="I636" i="1"/>
  <c r="J636" i="1"/>
  <c r="K636" i="1"/>
  <c r="L636" i="1"/>
  <c r="M636" i="1"/>
  <c r="C637" i="1"/>
  <c r="D637" i="1"/>
  <c r="E637" i="1"/>
  <c r="F637" i="1"/>
  <c r="G637" i="1"/>
  <c r="H637" i="1"/>
  <c r="I637" i="1"/>
  <c r="J637" i="1"/>
  <c r="K637" i="1"/>
  <c r="L637" i="1"/>
  <c r="M637" i="1"/>
  <c r="C638" i="1"/>
  <c r="D638" i="1"/>
  <c r="E638" i="1"/>
  <c r="F638" i="1"/>
  <c r="G638" i="1"/>
  <c r="H638" i="1"/>
  <c r="I638" i="1"/>
  <c r="J638" i="1"/>
  <c r="K638" i="1"/>
  <c r="L638" i="1"/>
  <c r="M638" i="1"/>
  <c r="C639" i="1"/>
  <c r="D639" i="1"/>
  <c r="E639" i="1"/>
  <c r="F639" i="1"/>
  <c r="G639" i="1"/>
  <c r="H639" i="1"/>
  <c r="I639" i="1"/>
  <c r="J639" i="1"/>
  <c r="K639" i="1"/>
  <c r="L639" i="1"/>
  <c r="M639" i="1"/>
  <c r="C640" i="1"/>
  <c r="D640" i="1"/>
  <c r="E640" i="1"/>
  <c r="F640" i="1"/>
  <c r="G640" i="1"/>
  <c r="H640" i="1"/>
  <c r="I640" i="1"/>
  <c r="J640" i="1"/>
  <c r="K640" i="1"/>
  <c r="L640" i="1"/>
  <c r="M640" i="1"/>
  <c r="C641" i="1"/>
  <c r="D641" i="1"/>
  <c r="E641" i="1"/>
  <c r="F641" i="1"/>
  <c r="G641" i="1"/>
  <c r="H641" i="1"/>
  <c r="I641" i="1"/>
  <c r="J641" i="1"/>
  <c r="K641" i="1"/>
  <c r="L641" i="1"/>
  <c r="M641" i="1"/>
  <c r="C642" i="1"/>
  <c r="D642" i="1"/>
  <c r="E642" i="1"/>
  <c r="F642" i="1"/>
  <c r="G642" i="1"/>
  <c r="H642" i="1"/>
  <c r="I642" i="1"/>
  <c r="J642" i="1"/>
  <c r="K642" i="1"/>
  <c r="L642" i="1"/>
  <c r="M642" i="1"/>
  <c r="C643" i="1"/>
  <c r="D643" i="1"/>
  <c r="E643" i="1"/>
  <c r="F643" i="1"/>
  <c r="G643" i="1"/>
  <c r="H643" i="1"/>
  <c r="I643" i="1"/>
  <c r="J643" i="1"/>
  <c r="K643" i="1"/>
  <c r="L643" i="1"/>
  <c r="M643" i="1"/>
  <c r="C644" i="1"/>
  <c r="D644" i="1"/>
  <c r="E644" i="1"/>
  <c r="F644" i="1"/>
  <c r="G644" i="1"/>
  <c r="H644" i="1"/>
  <c r="I644" i="1"/>
  <c r="J644" i="1"/>
  <c r="K644" i="1"/>
  <c r="L644" i="1"/>
  <c r="M644" i="1"/>
  <c r="C645" i="1"/>
  <c r="D645" i="1"/>
  <c r="E645" i="1"/>
  <c r="F645" i="1"/>
  <c r="G645" i="1"/>
  <c r="H645" i="1"/>
  <c r="I645" i="1"/>
  <c r="J645" i="1"/>
  <c r="K645" i="1"/>
  <c r="L645" i="1"/>
  <c r="M645" i="1"/>
  <c r="C646" i="1"/>
  <c r="D646" i="1"/>
  <c r="E646" i="1"/>
  <c r="F646" i="1"/>
  <c r="G646" i="1"/>
  <c r="H646" i="1"/>
  <c r="I646" i="1"/>
  <c r="J646" i="1"/>
  <c r="K646" i="1"/>
  <c r="L646" i="1"/>
  <c r="M646" i="1"/>
  <c r="C647" i="1"/>
  <c r="D647" i="1"/>
  <c r="E647" i="1"/>
  <c r="F647" i="1"/>
  <c r="G647" i="1"/>
  <c r="H647" i="1"/>
  <c r="I647" i="1"/>
  <c r="J647" i="1"/>
  <c r="K647" i="1"/>
  <c r="L647" i="1"/>
  <c r="M647" i="1"/>
  <c r="C648" i="1"/>
  <c r="D648" i="1"/>
  <c r="E648" i="1"/>
  <c r="F648" i="1"/>
  <c r="G648" i="1"/>
  <c r="H648" i="1"/>
  <c r="I648" i="1"/>
  <c r="J648" i="1"/>
  <c r="K648" i="1"/>
  <c r="L648" i="1"/>
  <c r="M648" i="1"/>
  <c r="C649" i="1"/>
  <c r="D649" i="1"/>
  <c r="E649" i="1"/>
  <c r="F649" i="1"/>
  <c r="G649" i="1"/>
  <c r="H649" i="1"/>
  <c r="I649" i="1"/>
  <c r="J649" i="1"/>
  <c r="K649" i="1"/>
  <c r="L649" i="1"/>
  <c r="M649" i="1"/>
  <c r="C650" i="1"/>
  <c r="D650" i="1"/>
  <c r="E650" i="1"/>
  <c r="F650" i="1"/>
  <c r="G650" i="1"/>
  <c r="H650" i="1"/>
  <c r="I650" i="1"/>
  <c r="J650" i="1"/>
  <c r="K650" i="1"/>
  <c r="L650" i="1"/>
  <c r="M650" i="1"/>
  <c r="C651" i="1"/>
  <c r="D651" i="1"/>
  <c r="E651" i="1"/>
  <c r="F651" i="1"/>
  <c r="G651" i="1"/>
  <c r="H651" i="1"/>
  <c r="I651" i="1"/>
  <c r="J651" i="1"/>
  <c r="K651" i="1"/>
  <c r="L651" i="1"/>
  <c r="M651" i="1"/>
  <c r="C652" i="1"/>
  <c r="D652" i="1"/>
  <c r="E652" i="1"/>
  <c r="F652" i="1"/>
  <c r="G652" i="1"/>
  <c r="H652" i="1"/>
  <c r="I652" i="1"/>
  <c r="J652" i="1"/>
  <c r="K652" i="1"/>
  <c r="L652" i="1"/>
  <c r="M652" i="1"/>
  <c r="C653" i="1"/>
  <c r="D653" i="1"/>
  <c r="E653" i="1"/>
  <c r="F653" i="1"/>
  <c r="G653" i="1"/>
  <c r="H653" i="1"/>
  <c r="I653" i="1"/>
  <c r="J653" i="1"/>
  <c r="K653" i="1"/>
  <c r="L653" i="1"/>
  <c r="M653" i="1"/>
  <c r="C654" i="1"/>
  <c r="D654" i="1"/>
  <c r="E654" i="1"/>
  <c r="F654" i="1"/>
  <c r="G654" i="1"/>
  <c r="H654" i="1"/>
  <c r="I654" i="1"/>
  <c r="J654" i="1"/>
  <c r="K654" i="1"/>
  <c r="L654" i="1"/>
  <c r="M654" i="1"/>
  <c r="C655" i="1"/>
  <c r="D655" i="1"/>
  <c r="E655" i="1"/>
  <c r="F655" i="1"/>
  <c r="G655" i="1"/>
  <c r="H655" i="1"/>
  <c r="I655" i="1"/>
  <c r="J655" i="1"/>
  <c r="K655" i="1"/>
  <c r="L655" i="1"/>
  <c r="M655" i="1"/>
  <c r="C656" i="1"/>
  <c r="D656" i="1"/>
  <c r="E656" i="1"/>
  <c r="F656" i="1"/>
  <c r="G656" i="1"/>
  <c r="H656" i="1"/>
  <c r="I656" i="1"/>
  <c r="J656" i="1"/>
  <c r="K656" i="1"/>
  <c r="L656" i="1"/>
  <c r="M656" i="1"/>
  <c r="C657" i="1"/>
  <c r="D657" i="1"/>
  <c r="E657" i="1"/>
  <c r="F657" i="1"/>
  <c r="G657" i="1"/>
  <c r="H657" i="1"/>
  <c r="I657" i="1"/>
  <c r="J657" i="1"/>
  <c r="K657" i="1"/>
  <c r="L657" i="1"/>
  <c r="M657" i="1"/>
  <c r="C658" i="1"/>
  <c r="D658" i="1"/>
  <c r="E658" i="1"/>
  <c r="F658" i="1"/>
  <c r="G658" i="1"/>
  <c r="H658" i="1"/>
  <c r="I658" i="1"/>
  <c r="J658" i="1"/>
  <c r="K658" i="1"/>
  <c r="L658" i="1"/>
  <c r="M658" i="1"/>
  <c r="C659" i="1"/>
  <c r="D659" i="1"/>
  <c r="E659" i="1"/>
  <c r="F659" i="1"/>
  <c r="G659" i="1"/>
  <c r="H659" i="1"/>
  <c r="I659" i="1"/>
  <c r="J659" i="1"/>
  <c r="K659" i="1"/>
  <c r="L659" i="1"/>
  <c r="M659" i="1"/>
  <c r="C660" i="1"/>
  <c r="D660" i="1"/>
  <c r="E660" i="1"/>
  <c r="F660" i="1"/>
  <c r="G660" i="1"/>
  <c r="H660" i="1"/>
  <c r="I660" i="1"/>
  <c r="J660" i="1"/>
  <c r="K660" i="1"/>
  <c r="L660" i="1"/>
  <c r="M660" i="1"/>
  <c r="C661" i="1"/>
  <c r="D661" i="1"/>
  <c r="E661" i="1"/>
  <c r="F661" i="1"/>
  <c r="G661" i="1"/>
  <c r="H661" i="1"/>
  <c r="I661" i="1"/>
  <c r="J661" i="1"/>
  <c r="K661" i="1"/>
  <c r="L661" i="1"/>
  <c r="M661" i="1"/>
  <c r="C662" i="1"/>
  <c r="D662" i="1"/>
  <c r="E662" i="1"/>
  <c r="F662" i="1"/>
  <c r="G662" i="1"/>
  <c r="H662" i="1"/>
  <c r="I662" i="1"/>
  <c r="J662" i="1"/>
  <c r="K662" i="1"/>
  <c r="L662" i="1"/>
  <c r="M662" i="1"/>
  <c r="C663" i="1"/>
  <c r="D663" i="1"/>
  <c r="E663" i="1"/>
  <c r="F663" i="1"/>
  <c r="G663" i="1"/>
  <c r="H663" i="1"/>
  <c r="I663" i="1"/>
  <c r="J663" i="1"/>
  <c r="K663" i="1"/>
  <c r="L663" i="1"/>
  <c r="M663" i="1"/>
  <c r="C664" i="1"/>
  <c r="D664" i="1"/>
  <c r="E664" i="1"/>
  <c r="F664" i="1"/>
  <c r="G664" i="1"/>
  <c r="H664" i="1"/>
  <c r="I664" i="1"/>
  <c r="J664" i="1"/>
  <c r="K664" i="1"/>
  <c r="L664" i="1"/>
  <c r="M664" i="1"/>
  <c r="C665" i="1"/>
  <c r="D665" i="1"/>
  <c r="E665" i="1"/>
  <c r="F665" i="1"/>
  <c r="G665" i="1"/>
  <c r="H665" i="1"/>
  <c r="I665" i="1"/>
  <c r="J665" i="1"/>
  <c r="K665" i="1"/>
  <c r="L665" i="1"/>
  <c r="M665" i="1"/>
  <c r="C666" i="1"/>
  <c r="D666" i="1"/>
  <c r="E666" i="1"/>
  <c r="F666" i="1"/>
  <c r="G666" i="1"/>
  <c r="H666" i="1"/>
  <c r="I666" i="1"/>
  <c r="J666" i="1"/>
  <c r="K666" i="1"/>
  <c r="L666" i="1"/>
  <c r="M666" i="1"/>
  <c r="C667" i="1"/>
  <c r="D667" i="1"/>
  <c r="E667" i="1"/>
  <c r="F667" i="1"/>
  <c r="G667" i="1"/>
  <c r="H667" i="1"/>
  <c r="I667" i="1"/>
  <c r="J667" i="1"/>
  <c r="K667" i="1"/>
  <c r="L667" i="1"/>
  <c r="M667" i="1"/>
  <c r="C668" i="1"/>
  <c r="D668" i="1"/>
  <c r="E668" i="1"/>
  <c r="F668" i="1"/>
  <c r="G668" i="1"/>
  <c r="H668" i="1"/>
  <c r="I668" i="1"/>
  <c r="J668" i="1"/>
  <c r="K668" i="1"/>
  <c r="L668" i="1"/>
  <c r="M668" i="1"/>
  <c r="C669" i="1"/>
  <c r="D669" i="1"/>
  <c r="E669" i="1"/>
  <c r="F669" i="1"/>
  <c r="G669" i="1"/>
  <c r="H669" i="1"/>
  <c r="I669" i="1"/>
  <c r="J669" i="1"/>
  <c r="K669" i="1"/>
  <c r="L669" i="1"/>
  <c r="M669" i="1"/>
  <c r="C670" i="1"/>
  <c r="D670" i="1"/>
  <c r="E670" i="1"/>
  <c r="F670" i="1"/>
  <c r="G670" i="1"/>
  <c r="H670" i="1"/>
  <c r="I670" i="1"/>
  <c r="J670" i="1"/>
  <c r="K670" i="1"/>
  <c r="L670" i="1"/>
  <c r="M670" i="1"/>
  <c r="C671" i="1"/>
  <c r="D671" i="1"/>
  <c r="E671" i="1"/>
  <c r="F671" i="1"/>
  <c r="G671" i="1"/>
  <c r="H671" i="1"/>
  <c r="I671" i="1"/>
  <c r="J671" i="1"/>
  <c r="K671" i="1"/>
  <c r="L671" i="1"/>
  <c r="M671" i="1"/>
  <c r="C672" i="1"/>
  <c r="D672" i="1"/>
  <c r="E672" i="1"/>
  <c r="F672" i="1"/>
  <c r="G672" i="1"/>
  <c r="H672" i="1"/>
  <c r="I672" i="1"/>
  <c r="J672" i="1"/>
  <c r="K672" i="1"/>
  <c r="L672" i="1"/>
  <c r="M672" i="1"/>
  <c r="C673" i="1"/>
  <c r="D673" i="1"/>
  <c r="E673" i="1"/>
  <c r="F673" i="1"/>
  <c r="G673" i="1"/>
  <c r="H673" i="1"/>
  <c r="I673" i="1"/>
  <c r="J673" i="1"/>
  <c r="K673" i="1"/>
  <c r="L673" i="1"/>
  <c r="M673" i="1"/>
  <c r="C674" i="1"/>
  <c r="D674" i="1"/>
  <c r="E674" i="1"/>
  <c r="F674" i="1"/>
  <c r="G674" i="1"/>
  <c r="H674" i="1"/>
  <c r="I674" i="1"/>
  <c r="J674" i="1"/>
  <c r="K674" i="1"/>
  <c r="L674" i="1"/>
  <c r="M674" i="1"/>
  <c r="C675" i="1"/>
  <c r="D675" i="1"/>
  <c r="E675" i="1"/>
  <c r="F675" i="1"/>
  <c r="G675" i="1"/>
  <c r="H675" i="1"/>
  <c r="I675" i="1"/>
  <c r="J675" i="1"/>
  <c r="K675" i="1"/>
  <c r="L675" i="1"/>
  <c r="M675" i="1"/>
  <c r="C676" i="1"/>
  <c r="D676" i="1"/>
  <c r="E676" i="1"/>
  <c r="F676" i="1"/>
  <c r="G676" i="1"/>
  <c r="H676" i="1"/>
  <c r="I676" i="1"/>
  <c r="J676" i="1"/>
  <c r="K676" i="1"/>
  <c r="L676" i="1"/>
  <c r="M676" i="1"/>
  <c r="C677" i="1"/>
  <c r="D677" i="1"/>
  <c r="E677" i="1"/>
  <c r="F677" i="1"/>
  <c r="G677" i="1"/>
  <c r="H677" i="1"/>
  <c r="I677" i="1"/>
  <c r="J677" i="1"/>
  <c r="K677" i="1"/>
  <c r="L677" i="1"/>
  <c r="M677" i="1"/>
  <c r="C678" i="1"/>
  <c r="D678" i="1"/>
  <c r="E678" i="1"/>
  <c r="F678" i="1"/>
  <c r="G678" i="1"/>
  <c r="H678" i="1"/>
  <c r="I678" i="1"/>
  <c r="J678" i="1"/>
  <c r="K678" i="1"/>
  <c r="L678" i="1"/>
  <c r="M678" i="1"/>
  <c r="C679" i="1"/>
  <c r="D679" i="1"/>
  <c r="E679" i="1"/>
  <c r="F679" i="1"/>
  <c r="G679" i="1"/>
  <c r="H679" i="1"/>
  <c r="I679" i="1"/>
  <c r="J679" i="1"/>
  <c r="K679" i="1"/>
  <c r="L679" i="1"/>
  <c r="M679" i="1"/>
  <c r="C680" i="1"/>
  <c r="D680" i="1"/>
  <c r="E680" i="1"/>
  <c r="F680" i="1"/>
  <c r="G680" i="1"/>
  <c r="H680" i="1"/>
  <c r="I680" i="1"/>
  <c r="J680" i="1"/>
  <c r="K680" i="1"/>
  <c r="L680" i="1"/>
  <c r="M680" i="1"/>
  <c r="C681" i="1"/>
  <c r="D681" i="1"/>
  <c r="E681" i="1"/>
  <c r="F681" i="1"/>
  <c r="G681" i="1"/>
  <c r="H681" i="1"/>
  <c r="I681" i="1"/>
  <c r="J681" i="1"/>
  <c r="K681" i="1"/>
  <c r="L681" i="1"/>
  <c r="M681" i="1"/>
  <c r="C682" i="1"/>
  <c r="D682" i="1"/>
  <c r="E682" i="1"/>
  <c r="F682" i="1"/>
  <c r="G682" i="1"/>
  <c r="H682" i="1"/>
  <c r="I682" i="1"/>
  <c r="J682" i="1"/>
  <c r="K682" i="1"/>
  <c r="L682" i="1"/>
  <c r="M682" i="1"/>
  <c r="C683" i="1"/>
  <c r="D683" i="1"/>
  <c r="E683" i="1"/>
  <c r="F683" i="1"/>
  <c r="G683" i="1"/>
  <c r="H683" i="1"/>
  <c r="I683" i="1"/>
  <c r="J683" i="1"/>
  <c r="K683" i="1"/>
  <c r="L683" i="1"/>
  <c r="M683" i="1"/>
  <c r="C684" i="1"/>
  <c r="D684" i="1"/>
  <c r="E684" i="1"/>
  <c r="F684" i="1"/>
  <c r="G684" i="1"/>
  <c r="H684" i="1"/>
  <c r="I684" i="1"/>
  <c r="J684" i="1"/>
  <c r="K684" i="1"/>
  <c r="L684" i="1"/>
  <c r="M684" i="1"/>
  <c r="C685" i="1"/>
  <c r="D685" i="1"/>
  <c r="E685" i="1"/>
  <c r="F685" i="1"/>
  <c r="G685" i="1"/>
  <c r="H685" i="1"/>
  <c r="I685" i="1"/>
  <c r="J685" i="1"/>
  <c r="K685" i="1"/>
  <c r="L685" i="1"/>
  <c r="M685" i="1"/>
  <c r="C686" i="1"/>
  <c r="D686" i="1"/>
  <c r="E686" i="1"/>
  <c r="F686" i="1"/>
  <c r="G686" i="1"/>
  <c r="H686" i="1"/>
  <c r="I686" i="1"/>
  <c r="J686" i="1"/>
  <c r="K686" i="1"/>
  <c r="L686" i="1"/>
  <c r="M686" i="1"/>
  <c r="C687" i="1"/>
  <c r="D687" i="1"/>
  <c r="E687" i="1"/>
  <c r="F687" i="1"/>
  <c r="G687" i="1"/>
  <c r="H687" i="1"/>
  <c r="I687" i="1"/>
  <c r="J687" i="1"/>
  <c r="K687" i="1"/>
  <c r="L687" i="1"/>
  <c r="M687" i="1"/>
  <c r="C688" i="1"/>
  <c r="D688" i="1"/>
  <c r="E688" i="1"/>
  <c r="F688" i="1"/>
  <c r="G688" i="1"/>
  <c r="H688" i="1"/>
  <c r="I688" i="1"/>
  <c r="J688" i="1"/>
  <c r="K688" i="1"/>
  <c r="L688" i="1"/>
  <c r="M688" i="1"/>
  <c r="C689" i="1"/>
  <c r="D689" i="1"/>
  <c r="E689" i="1"/>
  <c r="F689" i="1"/>
  <c r="G689" i="1"/>
  <c r="H689" i="1"/>
  <c r="I689" i="1"/>
  <c r="J689" i="1"/>
  <c r="K689" i="1"/>
  <c r="L689" i="1"/>
  <c r="M689" i="1"/>
  <c r="C690" i="1"/>
  <c r="D690" i="1"/>
  <c r="E690" i="1"/>
  <c r="F690" i="1"/>
  <c r="G690" i="1"/>
  <c r="H690" i="1"/>
  <c r="I690" i="1"/>
  <c r="J690" i="1"/>
  <c r="K690" i="1"/>
  <c r="L690" i="1"/>
  <c r="M690" i="1"/>
  <c r="C691" i="1"/>
  <c r="D691" i="1"/>
  <c r="E691" i="1"/>
  <c r="F691" i="1"/>
  <c r="G691" i="1"/>
  <c r="H691" i="1"/>
  <c r="I691" i="1"/>
  <c r="J691" i="1"/>
  <c r="K691" i="1"/>
  <c r="L691" i="1"/>
  <c r="M691" i="1"/>
  <c r="C692" i="1"/>
  <c r="D692" i="1"/>
  <c r="E692" i="1"/>
  <c r="F692" i="1"/>
  <c r="G692" i="1"/>
  <c r="H692" i="1"/>
  <c r="I692" i="1"/>
  <c r="J692" i="1"/>
  <c r="K692" i="1"/>
  <c r="L692" i="1"/>
  <c r="M692" i="1"/>
  <c r="C693" i="1"/>
  <c r="D693" i="1"/>
  <c r="E693" i="1"/>
  <c r="F693" i="1"/>
  <c r="G693" i="1"/>
  <c r="H693" i="1"/>
  <c r="I693" i="1"/>
  <c r="J693" i="1"/>
  <c r="K693" i="1"/>
  <c r="L693" i="1"/>
  <c r="M693" i="1"/>
  <c r="C694" i="1"/>
  <c r="D694" i="1"/>
  <c r="E694" i="1"/>
  <c r="F694" i="1"/>
  <c r="G694" i="1"/>
  <c r="H694" i="1"/>
  <c r="I694" i="1"/>
  <c r="J694" i="1"/>
  <c r="K694" i="1"/>
  <c r="L694" i="1"/>
  <c r="M694" i="1"/>
  <c r="C695" i="1"/>
  <c r="D695" i="1"/>
  <c r="E695" i="1"/>
  <c r="F695" i="1"/>
  <c r="G695" i="1"/>
  <c r="H695" i="1"/>
  <c r="I695" i="1"/>
  <c r="J695" i="1"/>
  <c r="K695" i="1"/>
  <c r="L695" i="1"/>
  <c r="M695" i="1"/>
  <c r="C696" i="1"/>
  <c r="D696" i="1"/>
  <c r="E696" i="1"/>
  <c r="F696" i="1"/>
  <c r="G696" i="1"/>
  <c r="H696" i="1"/>
  <c r="I696" i="1"/>
  <c r="J696" i="1"/>
  <c r="K696" i="1"/>
  <c r="L696" i="1"/>
  <c r="M696" i="1"/>
  <c r="C697" i="1"/>
  <c r="D697" i="1"/>
  <c r="E697" i="1"/>
  <c r="F697" i="1"/>
  <c r="G697" i="1"/>
  <c r="H697" i="1"/>
  <c r="I697" i="1"/>
  <c r="J697" i="1"/>
  <c r="K697" i="1"/>
  <c r="L697" i="1"/>
  <c r="M697" i="1"/>
  <c r="C698" i="1"/>
  <c r="D698" i="1"/>
  <c r="E698" i="1"/>
  <c r="F698" i="1"/>
  <c r="G698" i="1"/>
  <c r="H698" i="1"/>
  <c r="I698" i="1"/>
  <c r="J698" i="1"/>
  <c r="K698" i="1"/>
  <c r="L698" i="1"/>
  <c r="M698" i="1"/>
  <c r="C699" i="1"/>
  <c r="D699" i="1"/>
  <c r="E699" i="1"/>
  <c r="F699" i="1"/>
  <c r="G699" i="1"/>
  <c r="H699" i="1"/>
  <c r="I699" i="1"/>
  <c r="J699" i="1"/>
  <c r="K699" i="1"/>
  <c r="L699" i="1"/>
  <c r="M699" i="1"/>
  <c r="C700" i="1"/>
  <c r="D700" i="1"/>
  <c r="E700" i="1"/>
  <c r="F700" i="1"/>
  <c r="G700" i="1"/>
  <c r="H700" i="1"/>
  <c r="I700" i="1"/>
  <c r="J700" i="1"/>
  <c r="K700" i="1"/>
  <c r="L700" i="1"/>
  <c r="M700" i="1"/>
  <c r="C701" i="1"/>
  <c r="D701" i="1"/>
  <c r="E701" i="1"/>
  <c r="F701" i="1"/>
  <c r="G701" i="1"/>
  <c r="H701" i="1"/>
  <c r="I701" i="1"/>
  <c r="J701" i="1"/>
  <c r="K701" i="1"/>
  <c r="L701" i="1"/>
  <c r="M701" i="1"/>
  <c r="C702" i="1"/>
  <c r="D702" i="1"/>
  <c r="E702" i="1"/>
  <c r="F702" i="1"/>
  <c r="G702" i="1"/>
  <c r="H702" i="1"/>
  <c r="I702" i="1"/>
  <c r="J702" i="1"/>
  <c r="K702" i="1"/>
  <c r="L702" i="1"/>
  <c r="M702" i="1"/>
  <c r="C703" i="1"/>
  <c r="D703" i="1"/>
  <c r="E703" i="1"/>
  <c r="F703" i="1"/>
  <c r="G703" i="1"/>
  <c r="H703" i="1"/>
  <c r="I703" i="1"/>
  <c r="J703" i="1"/>
  <c r="K703" i="1"/>
  <c r="L703" i="1"/>
  <c r="M703" i="1"/>
  <c r="C704" i="1"/>
  <c r="D704" i="1"/>
  <c r="E704" i="1"/>
  <c r="F704" i="1"/>
  <c r="G704" i="1"/>
  <c r="H704" i="1"/>
  <c r="I704" i="1"/>
  <c r="J704" i="1"/>
  <c r="K704" i="1"/>
  <c r="L704" i="1"/>
  <c r="M704" i="1"/>
  <c r="C705" i="1"/>
  <c r="D705" i="1"/>
  <c r="E705" i="1"/>
  <c r="F705" i="1"/>
  <c r="G705" i="1"/>
  <c r="H705" i="1"/>
  <c r="I705" i="1"/>
  <c r="J705" i="1"/>
  <c r="K705" i="1"/>
  <c r="L705" i="1"/>
  <c r="M705" i="1"/>
  <c r="C706" i="1"/>
  <c r="D706" i="1"/>
  <c r="E706" i="1"/>
  <c r="F706" i="1"/>
  <c r="G706" i="1"/>
  <c r="H706" i="1"/>
  <c r="I706" i="1"/>
  <c r="J706" i="1"/>
  <c r="K706" i="1"/>
  <c r="L706" i="1"/>
  <c r="M706" i="1"/>
  <c r="C707" i="1"/>
  <c r="D707" i="1"/>
  <c r="E707" i="1"/>
  <c r="F707" i="1"/>
  <c r="G707" i="1"/>
  <c r="H707" i="1"/>
  <c r="I707" i="1"/>
  <c r="J707" i="1"/>
  <c r="K707" i="1"/>
  <c r="L707" i="1"/>
  <c r="M707" i="1"/>
  <c r="C708" i="1"/>
  <c r="D708" i="1"/>
  <c r="E708" i="1"/>
  <c r="F708" i="1"/>
  <c r="G708" i="1"/>
  <c r="H708" i="1"/>
  <c r="I708" i="1"/>
  <c r="J708" i="1"/>
  <c r="K708" i="1"/>
  <c r="L708" i="1"/>
  <c r="M708" i="1"/>
  <c r="C709" i="1"/>
  <c r="D709" i="1"/>
  <c r="E709" i="1"/>
  <c r="F709" i="1"/>
  <c r="G709" i="1"/>
  <c r="H709" i="1"/>
  <c r="I709" i="1"/>
  <c r="J709" i="1"/>
  <c r="K709" i="1"/>
  <c r="L709" i="1"/>
  <c r="M709" i="1"/>
  <c r="C710" i="1"/>
  <c r="D710" i="1"/>
  <c r="E710" i="1"/>
  <c r="F710" i="1"/>
  <c r="G710" i="1"/>
  <c r="H710" i="1"/>
  <c r="I710" i="1"/>
  <c r="J710" i="1"/>
  <c r="K710" i="1"/>
  <c r="L710" i="1"/>
  <c r="M710" i="1"/>
  <c r="C711" i="1"/>
  <c r="D711" i="1"/>
  <c r="E711" i="1"/>
  <c r="F711" i="1"/>
  <c r="G711" i="1"/>
  <c r="H711" i="1"/>
  <c r="I711" i="1"/>
  <c r="J711" i="1"/>
  <c r="K711" i="1"/>
  <c r="L711" i="1"/>
  <c r="M711" i="1"/>
  <c r="C712" i="1"/>
  <c r="D712" i="1"/>
  <c r="E712" i="1"/>
  <c r="F712" i="1"/>
  <c r="G712" i="1"/>
  <c r="H712" i="1"/>
  <c r="I712" i="1"/>
  <c r="J712" i="1"/>
  <c r="K712" i="1"/>
  <c r="L712" i="1"/>
  <c r="M712" i="1"/>
  <c r="C713" i="1"/>
  <c r="D713" i="1"/>
  <c r="E713" i="1"/>
  <c r="F713" i="1"/>
  <c r="G713" i="1"/>
  <c r="H713" i="1"/>
  <c r="I713" i="1"/>
  <c r="J713" i="1"/>
  <c r="K713" i="1"/>
  <c r="L713" i="1"/>
  <c r="M713" i="1"/>
  <c r="C714" i="1"/>
  <c r="D714" i="1"/>
  <c r="E714" i="1"/>
  <c r="F714" i="1"/>
  <c r="G714" i="1"/>
  <c r="H714" i="1"/>
  <c r="I714" i="1"/>
  <c r="J714" i="1"/>
  <c r="K714" i="1"/>
  <c r="L714" i="1"/>
  <c r="M714" i="1"/>
  <c r="C715" i="1"/>
  <c r="D715" i="1"/>
  <c r="E715" i="1"/>
  <c r="F715" i="1"/>
  <c r="G715" i="1"/>
  <c r="H715" i="1"/>
  <c r="I715" i="1"/>
  <c r="J715" i="1"/>
  <c r="K715" i="1"/>
  <c r="L715" i="1"/>
  <c r="M715" i="1"/>
  <c r="C716" i="1"/>
  <c r="D716" i="1"/>
  <c r="E716" i="1"/>
  <c r="F716" i="1"/>
  <c r="G716" i="1"/>
  <c r="H716" i="1"/>
  <c r="I716" i="1"/>
  <c r="J716" i="1"/>
  <c r="K716" i="1"/>
  <c r="L716" i="1"/>
  <c r="M716" i="1"/>
  <c r="C717" i="1"/>
  <c r="D717" i="1"/>
  <c r="E717" i="1"/>
  <c r="F717" i="1"/>
  <c r="G717" i="1"/>
  <c r="H717" i="1"/>
  <c r="I717" i="1"/>
  <c r="J717" i="1"/>
  <c r="K717" i="1"/>
  <c r="L717" i="1"/>
  <c r="M717" i="1"/>
  <c r="C718" i="1"/>
  <c r="D718" i="1"/>
  <c r="E718" i="1"/>
  <c r="F718" i="1"/>
  <c r="G718" i="1"/>
  <c r="H718" i="1"/>
  <c r="I718" i="1"/>
  <c r="J718" i="1"/>
  <c r="K718" i="1"/>
  <c r="L718" i="1"/>
  <c r="M718" i="1"/>
  <c r="C719" i="1"/>
  <c r="D719" i="1"/>
  <c r="E719" i="1"/>
  <c r="F719" i="1"/>
  <c r="G719" i="1"/>
  <c r="H719" i="1"/>
  <c r="I719" i="1"/>
  <c r="J719" i="1"/>
  <c r="K719" i="1"/>
  <c r="L719" i="1"/>
  <c r="M719" i="1"/>
  <c r="C720" i="1"/>
  <c r="D720" i="1"/>
  <c r="E720" i="1"/>
  <c r="F720" i="1"/>
  <c r="G720" i="1"/>
  <c r="H720" i="1"/>
  <c r="I720" i="1"/>
  <c r="J720" i="1"/>
  <c r="K720" i="1"/>
  <c r="L720" i="1"/>
  <c r="M720" i="1"/>
  <c r="C721" i="1"/>
  <c r="D721" i="1"/>
  <c r="E721" i="1"/>
  <c r="F721" i="1"/>
  <c r="G721" i="1"/>
  <c r="H721" i="1"/>
  <c r="I721" i="1"/>
  <c r="J721" i="1"/>
  <c r="K721" i="1"/>
  <c r="L721" i="1"/>
  <c r="M721" i="1"/>
  <c r="C722" i="1"/>
  <c r="D722" i="1"/>
  <c r="E722" i="1"/>
  <c r="F722" i="1"/>
  <c r="G722" i="1"/>
  <c r="H722" i="1"/>
  <c r="I722" i="1"/>
  <c r="J722" i="1"/>
  <c r="K722" i="1"/>
  <c r="L722" i="1"/>
  <c r="M722" i="1"/>
  <c r="C723" i="1"/>
  <c r="D723" i="1"/>
  <c r="E723" i="1"/>
  <c r="F723" i="1"/>
  <c r="G723" i="1"/>
  <c r="H723" i="1"/>
  <c r="I723" i="1"/>
  <c r="J723" i="1"/>
  <c r="K723" i="1"/>
  <c r="L723" i="1"/>
  <c r="M723" i="1"/>
  <c r="C724" i="1"/>
  <c r="D724" i="1"/>
  <c r="E724" i="1"/>
  <c r="F724" i="1"/>
  <c r="G724" i="1"/>
  <c r="H724" i="1"/>
  <c r="I724" i="1"/>
  <c r="J724" i="1"/>
  <c r="K724" i="1"/>
  <c r="L724" i="1"/>
  <c r="M724" i="1"/>
  <c r="C725" i="1"/>
  <c r="D725" i="1"/>
  <c r="E725" i="1"/>
  <c r="F725" i="1"/>
  <c r="G725" i="1"/>
  <c r="H725" i="1"/>
  <c r="I725" i="1"/>
  <c r="J725" i="1"/>
  <c r="K725" i="1"/>
  <c r="L725" i="1"/>
  <c r="M725" i="1"/>
  <c r="C726" i="1"/>
  <c r="D726" i="1"/>
  <c r="E726" i="1"/>
  <c r="F726" i="1"/>
  <c r="G726" i="1"/>
  <c r="H726" i="1"/>
  <c r="I726" i="1"/>
  <c r="J726" i="1"/>
  <c r="K726" i="1"/>
  <c r="L726" i="1"/>
  <c r="M726" i="1"/>
  <c r="C727" i="1"/>
  <c r="D727" i="1"/>
  <c r="E727" i="1"/>
  <c r="F727" i="1"/>
  <c r="G727" i="1"/>
  <c r="H727" i="1"/>
  <c r="I727" i="1"/>
  <c r="J727" i="1"/>
  <c r="K727" i="1"/>
  <c r="L727" i="1"/>
  <c r="M727" i="1"/>
  <c r="C728" i="1"/>
  <c r="D728" i="1"/>
  <c r="E728" i="1"/>
  <c r="F728" i="1"/>
  <c r="G728" i="1"/>
  <c r="H728" i="1"/>
  <c r="I728" i="1"/>
  <c r="J728" i="1"/>
  <c r="K728" i="1"/>
  <c r="L728" i="1"/>
  <c r="M728" i="1"/>
  <c r="C729" i="1"/>
  <c r="D729" i="1"/>
  <c r="E729" i="1"/>
  <c r="F729" i="1"/>
  <c r="G729" i="1"/>
  <c r="H729" i="1"/>
  <c r="I729" i="1"/>
  <c r="J729" i="1"/>
  <c r="K729" i="1"/>
  <c r="L729" i="1"/>
  <c r="M729" i="1"/>
  <c r="C730" i="1"/>
  <c r="D730" i="1"/>
  <c r="E730" i="1"/>
  <c r="F730" i="1"/>
  <c r="G730" i="1"/>
  <c r="H730" i="1"/>
  <c r="I730" i="1"/>
  <c r="J730" i="1"/>
  <c r="K730" i="1"/>
  <c r="L730" i="1"/>
  <c r="M730" i="1"/>
  <c r="C731" i="1"/>
  <c r="D731" i="1"/>
  <c r="E731" i="1"/>
  <c r="F731" i="1"/>
  <c r="G731" i="1"/>
  <c r="H731" i="1"/>
  <c r="I731" i="1"/>
  <c r="J731" i="1"/>
  <c r="K731" i="1"/>
  <c r="L731" i="1"/>
  <c r="M731" i="1"/>
  <c r="C732" i="1"/>
  <c r="D732" i="1"/>
  <c r="E732" i="1"/>
  <c r="F732" i="1"/>
  <c r="G732" i="1"/>
  <c r="H732" i="1"/>
  <c r="I732" i="1"/>
  <c r="J732" i="1"/>
  <c r="K732" i="1"/>
  <c r="L732" i="1"/>
  <c r="M732" i="1"/>
  <c r="C733" i="1"/>
  <c r="D733" i="1"/>
  <c r="E733" i="1"/>
  <c r="F733" i="1"/>
  <c r="G733" i="1"/>
  <c r="H733" i="1"/>
  <c r="I733" i="1"/>
  <c r="J733" i="1"/>
  <c r="K733" i="1"/>
  <c r="L733" i="1"/>
  <c r="M733" i="1"/>
  <c r="C734" i="1"/>
  <c r="D734" i="1"/>
  <c r="E734" i="1"/>
  <c r="F734" i="1"/>
  <c r="G734" i="1"/>
  <c r="H734" i="1"/>
  <c r="I734" i="1"/>
  <c r="J734" i="1"/>
  <c r="K734" i="1"/>
  <c r="L734" i="1"/>
  <c r="M734" i="1"/>
  <c r="C735" i="1"/>
  <c r="D735" i="1"/>
  <c r="E735" i="1"/>
  <c r="F735" i="1"/>
  <c r="G735" i="1"/>
  <c r="H735" i="1"/>
  <c r="I735" i="1"/>
  <c r="J735" i="1"/>
  <c r="K735" i="1"/>
  <c r="L735" i="1"/>
  <c r="M735" i="1"/>
  <c r="C736" i="1"/>
  <c r="D736" i="1"/>
  <c r="E736" i="1"/>
  <c r="F736" i="1"/>
  <c r="G736" i="1"/>
  <c r="H736" i="1"/>
  <c r="I736" i="1"/>
  <c r="J736" i="1"/>
  <c r="K736" i="1"/>
  <c r="L736" i="1"/>
  <c r="M736" i="1"/>
  <c r="C737" i="1"/>
  <c r="D737" i="1"/>
  <c r="E737" i="1"/>
  <c r="F737" i="1"/>
  <c r="G737" i="1"/>
  <c r="H737" i="1"/>
  <c r="I737" i="1"/>
  <c r="J737" i="1"/>
  <c r="K737" i="1"/>
  <c r="L737" i="1"/>
  <c r="M737" i="1"/>
  <c r="C738" i="1"/>
  <c r="D738" i="1"/>
  <c r="E738" i="1"/>
  <c r="F738" i="1"/>
  <c r="G738" i="1"/>
  <c r="H738" i="1"/>
  <c r="I738" i="1"/>
  <c r="J738" i="1"/>
  <c r="K738" i="1"/>
  <c r="L738" i="1"/>
  <c r="M738" i="1"/>
  <c r="C739" i="1"/>
  <c r="D739" i="1"/>
  <c r="E739" i="1"/>
  <c r="F739" i="1"/>
  <c r="G739" i="1"/>
  <c r="H739" i="1"/>
  <c r="I739" i="1"/>
  <c r="J739" i="1"/>
  <c r="K739" i="1"/>
  <c r="L739" i="1"/>
  <c r="M739" i="1"/>
  <c r="C740" i="1"/>
  <c r="D740" i="1"/>
  <c r="E740" i="1"/>
  <c r="F740" i="1"/>
  <c r="G740" i="1"/>
  <c r="H740" i="1"/>
  <c r="I740" i="1"/>
  <c r="J740" i="1"/>
  <c r="K740" i="1"/>
  <c r="L740" i="1"/>
  <c r="M740" i="1"/>
  <c r="C741" i="1"/>
  <c r="D741" i="1"/>
  <c r="E741" i="1"/>
  <c r="F741" i="1"/>
  <c r="G741" i="1"/>
  <c r="H741" i="1"/>
  <c r="I741" i="1"/>
  <c r="J741" i="1"/>
  <c r="K741" i="1"/>
  <c r="L741" i="1"/>
  <c r="M741" i="1"/>
  <c r="C742" i="1"/>
  <c r="D742" i="1"/>
  <c r="E742" i="1"/>
  <c r="F742" i="1"/>
  <c r="G742" i="1"/>
  <c r="H742" i="1"/>
  <c r="I742" i="1"/>
  <c r="J742" i="1"/>
  <c r="K742" i="1"/>
  <c r="L742" i="1"/>
  <c r="M742" i="1"/>
  <c r="C743" i="1"/>
  <c r="D743" i="1"/>
  <c r="E743" i="1"/>
  <c r="F743" i="1"/>
  <c r="G743" i="1"/>
  <c r="H743" i="1"/>
  <c r="I743" i="1"/>
  <c r="J743" i="1"/>
  <c r="K743" i="1"/>
  <c r="L743" i="1"/>
  <c r="M743" i="1"/>
  <c r="C744" i="1"/>
  <c r="D744" i="1"/>
  <c r="E744" i="1"/>
  <c r="F744" i="1"/>
  <c r="G744" i="1"/>
  <c r="H744" i="1"/>
  <c r="I744" i="1"/>
  <c r="J744" i="1"/>
  <c r="K744" i="1"/>
  <c r="L744" i="1"/>
  <c r="M744" i="1"/>
  <c r="C745" i="1"/>
  <c r="D745" i="1"/>
  <c r="E745" i="1"/>
  <c r="F745" i="1"/>
  <c r="G745" i="1"/>
  <c r="H745" i="1"/>
  <c r="I745" i="1"/>
  <c r="J745" i="1"/>
  <c r="K745" i="1"/>
  <c r="L745" i="1"/>
  <c r="M745" i="1"/>
  <c r="C746" i="1"/>
  <c r="D746" i="1"/>
  <c r="E746" i="1"/>
  <c r="F746" i="1"/>
  <c r="G746" i="1"/>
  <c r="H746" i="1"/>
  <c r="I746" i="1"/>
  <c r="J746" i="1"/>
  <c r="K746" i="1"/>
  <c r="L746" i="1"/>
  <c r="M746" i="1"/>
  <c r="C747" i="1"/>
  <c r="D747" i="1"/>
  <c r="E747" i="1"/>
  <c r="F747" i="1"/>
  <c r="G747" i="1"/>
  <c r="H747" i="1"/>
  <c r="I747" i="1"/>
  <c r="J747" i="1"/>
  <c r="K747" i="1"/>
  <c r="L747" i="1"/>
  <c r="M747" i="1"/>
  <c r="C748" i="1"/>
  <c r="D748" i="1"/>
  <c r="E748" i="1"/>
  <c r="F748" i="1"/>
  <c r="G748" i="1"/>
  <c r="H748" i="1"/>
  <c r="I748" i="1"/>
  <c r="J748" i="1"/>
  <c r="K748" i="1"/>
  <c r="L748" i="1"/>
  <c r="M748" i="1"/>
  <c r="C749" i="1"/>
  <c r="D749" i="1"/>
  <c r="E749" i="1"/>
  <c r="F749" i="1"/>
  <c r="G749" i="1"/>
  <c r="H749" i="1"/>
  <c r="I749" i="1"/>
  <c r="J749" i="1"/>
  <c r="K749" i="1"/>
  <c r="L749" i="1"/>
  <c r="M749" i="1"/>
  <c r="C750" i="1"/>
  <c r="D750" i="1"/>
  <c r="E750" i="1"/>
  <c r="F750" i="1"/>
  <c r="G750" i="1"/>
  <c r="H750" i="1"/>
  <c r="I750" i="1"/>
  <c r="J750" i="1"/>
  <c r="K750" i="1"/>
  <c r="L750" i="1"/>
  <c r="M750" i="1"/>
  <c r="C751" i="1"/>
  <c r="D751" i="1"/>
  <c r="E751" i="1"/>
  <c r="F751" i="1"/>
  <c r="G751" i="1"/>
  <c r="H751" i="1"/>
  <c r="I751" i="1"/>
  <c r="J751" i="1"/>
  <c r="K751" i="1"/>
  <c r="L751" i="1"/>
  <c r="M751" i="1"/>
  <c r="C752" i="1"/>
  <c r="D752" i="1"/>
  <c r="E752" i="1"/>
  <c r="F752" i="1"/>
  <c r="G752" i="1"/>
  <c r="H752" i="1"/>
  <c r="I752" i="1"/>
  <c r="J752" i="1"/>
  <c r="K752" i="1"/>
  <c r="L752" i="1"/>
  <c r="M752" i="1"/>
  <c r="C753" i="1"/>
  <c r="D753" i="1"/>
  <c r="E753" i="1"/>
  <c r="F753" i="1"/>
  <c r="G753" i="1"/>
  <c r="H753" i="1"/>
  <c r="I753" i="1"/>
  <c r="J753" i="1"/>
  <c r="K753" i="1"/>
  <c r="L753" i="1"/>
  <c r="M753" i="1"/>
  <c r="C754" i="1"/>
  <c r="D754" i="1"/>
  <c r="E754" i="1"/>
  <c r="F754" i="1"/>
  <c r="G754" i="1"/>
  <c r="H754" i="1"/>
  <c r="I754" i="1"/>
  <c r="J754" i="1"/>
  <c r="K754" i="1"/>
  <c r="L754" i="1"/>
  <c r="M754" i="1"/>
  <c r="C755" i="1"/>
  <c r="D755" i="1"/>
  <c r="E755" i="1"/>
  <c r="F755" i="1"/>
  <c r="G755" i="1"/>
  <c r="H755" i="1"/>
  <c r="I755" i="1"/>
  <c r="J755" i="1"/>
  <c r="K755" i="1"/>
  <c r="L755" i="1"/>
  <c r="M755" i="1"/>
  <c r="C756" i="1"/>
  <c r="D756" i="1"/>
  <c r="E756" i="1"/>
  <c r="F756" i="1"/>
  <c r="G756" i="1"/>
  <c r="H756" i="1"/>
  <c r="I756" i="1"/>
  <c r="J756" i="1"/>
  <c r="K756" i="1"/>
  <c r="L756" i="1"/>
  <c r="M756" i="1"/>
  <c r="C757" i="1"/>
  <c r="D757" i="1"/>
  <c r="E757" i="1"/>
  <c r="F757" i="1"/>
  <c r="G757" i="1"/>
  <c r="H757" i="1"/>
  <c r="I757" i="1"/>
  <c r="J757" i="1"/>
  <c r="K757" i="1"/>
  <c r="L757" i="1"/>
  <c r="M757" i="1"/>
  <c r="C758" i="1"/>
  <c r="D758" i="1"/>
  <c r="E758" i="1"/>
  <c r="F758" i="1"/>
  <c r="G758" i="1"/>
  <c r="H758" i="1"/>
  <c r="I758" i="1"/>
  <c r="J758" i="1"/>
  <c r="K758" i="1"/>
  <c r="L758" i="1"/>
  <c r="M758" i="1"/>
  <c r="C759" i="1"/>
  <c r="D759" i="1"/>
  <c r="E759" i="1"/>
  <c r="F759" i="1"/>
  <c r="G759" i="1"/>
  <c r="H759" i="1"/>
  <c r="I759" i="1"/>
  <c r="J759" i="1"/>
  <c r="K759" i="1"/>
  <c r="L759" i="1"/>
  <c r="M759" i="1"/>
  <c r="C760" i="1"/>
  <c r="D760" i="1"/>
  <c r="E760" i="1"/>
  <c r="F760" i="1"/>
  <c r="G760" i="1"/>
  <c r="H760" i="1"/>
  <c r="I760" i="1"/>
  <c r="J760" i="1"/>
  <c r="K760" i="1"/>
  <c r="L760" i="1"/>
  <c r="M760" i="1"/>
  <c r="C761" i="1"/>
  <c r="D761" i="1"/>
  <c r="E761" i="1"/>
  <c r="F761" i="1"/>
  <c r="G761" i="1"/>
  <c r="H761" i="1"/>
  <c r="I761" i="1"/>
  <c r="J761" i="1"/>
  <c r="K761" i="1"/>
  <c r="L761" i="1"/>
  <c r="M761" i="1"/>
  <c r="C762" i="1"/>
  <c r="D762" i="1"/>
  <c r="E762" i="1"/>
  <c r="F762" i="1"/>
  <c r="G762" i="1"/>
  <c r="H762" i="1"/>
  <c r="I762" i="1"/>
  <c r="J762" i="1"/>
  <c r="K762" i="1"/>
  <c r="L762" i="1"/>
  <c r="M762" i="1"/>
  <c r="C763" i="1"/>
  <c r="D763" i="1"/>
  <c r="E763" i="1"/>
  <c r="F763" i="1"/>
  <c r="G763" i="1"/>
  <c r="H763" i="1"/>
  <c r="I763" i="1"/>
  <c r="J763" i="1"/>
  <c r="K763" i="1"/>
  <c r="L763" i="1"/>
  <c r="M763" i="1"/>
  <c r="C764" i="1"/>
  <c r="D764" i="1"/>
  <c r="E764" i="1"/>
  <c r="F764" i="1"/>
  <c r="G764" i="1"/>
  <c r="H764" i="1"/>
  <c r="I764" i="1"/>
  <c r="J764" i="1"/>
  <c r="K764" i="1"/>
  <c r="L764" i="1"/>
  <c r="M764" i="1"/>
  <c r="C765" i="1"/>
  <c r="D765" i="1"/>
  <c r="E765" i="1"/>
  <c r="F765" i="1"/>
  <c r="G765" i="1"/>
  <c r="H765" i="1"/>
  <c r="I765" i="1"/>
  <c r="J765" i="1"/>
  <c r="K765" i="1"/>
  <c r="L765" i="1"/>
  <c r="M765" i="1"/>
  <c r="C766" i="1"/>
  <c r="D766" i="1"/>
  <c r="E766" i="1"/>
  <c r="F766" i="1"/>
  <c r="G766" i="1"/>
  <c r="H766" i="1"/>
  <c r="I766" i="1"/>
  <c r="J766" i="1"/>
  <c r="K766" i="1"/>
  <c r="L766" i="1"/>
  <c r="M766" i="1"/>
  <c r="C767" i="1"/>
  <c r="D767" i="1"/>
  <c r="E767" i="1"/>
  <c r="F767" i="1"/>
  <c r="G767" i="1"/>
  <c r="H767" i="1"/>
  <c r="I767" i="1"/>
  <c r="J767" i="1"/>
  <c r="K767" i="1"/>
  <c r="L767" i="1"/>
  <c r="M767" i="1"/>
  <c r="C768" i="1"/>
  <c r="D768" i="1"/>
  <c r="E768" i="1"/>
  <c r="F768" i="1"/>
  <c r="G768" i="1"/>
  <c r="H768" i="1"/>
  <c r="I768" i="1"/>
  <c r="J768" i="1"/>
  <c r="K768" i="1"/>
  <c r="L768" i="1"/>
  <c r="M768" i="1"/>
  <c r="C769" i="1"/>
  <c r="D769" i="1"/>
  <c r="E769" i="1"/>
  <c r="F769" i="1"/>
  <c r="G769" i="1"/>
  <c r="H769" i="1"/>
  <c r="I769" i="1"/>
  <c r="J769" i="1"/>
  <c r="K769" i="1"/>
  <c r="L769" i="1"/>
  <c r="M769" i="1"/>
  <c r="C770" i="1"/>
  <c r="D770" i="1"/>
  <c r="E770" i="1"/>
  <c r="F770" i="1"/>
  <c r="G770" i="1"/>
  <c r="H770" i="1"/>
  <c r="I770" i="1"/>
  <c r="J770" i="1"/>
  <c r="K770" i="1"/>
  <c r="L770" i="1"/>
  <c r="M770" i="1"/>
  <c r="C771" i="1"/>
  <c r="D771" i="1"/>
  <c r="E771" i="1"/>
  <c r="F771" i="1"/>
  <c r="G771" i="1"/>
  <c r="H771" i="1"/>
  <c r="I771" i="1"/>
  <c r="J771" i="1"/>
  <c r="K771" i="1"/>
  <c r="L771" i="1"/>
  <c r="M771" i="1"/>
  <c r="C772" i="1"/>
  <c r="D772" i="1"/>
  <c r="E772" i="1"/>
  <c r="F772" i="1"/>
  <c r="G772" i="1"/>
  <c r="H772" i="1"/>
  <c r="I772" i="1"/>
  <c r="J772" i="1"/>
  <c r="K772" i="1"/>
  <c r="L772" i="1"/>
  <c r="M772" i="1"/>
  <c r="C773" i="1"/>
  <c r="D773" i="1"/>
  <c r="E773" i="1"/>
  <c r="F773" i="1"/>
  <c r="G773" i="1"/>
  <c r="H773" i="1"/>
  <c r="I773" i="1"/>
  <c r="J773" i="1"/>
  <c r="K773" i="1"/>
  <c r="L773" i="1"/>
  <c r="M773" i="1"/>
  <c r="C774" i="1"/>
  <c r="D774" i="1"/>
  <c r="E774" i="1"/>
  <c r="F774" i="1"/>
  <c r="G774" i="1"/>
  <c r="H774" i="1"/>
  <c r="I774" i="1"/>
  <c r="J774" i="1"/>
  <c r="K774" i="1"/>
  <c r="L774" i="1"/>
  <c r="M774" i="1"/>
  <c r="C775" i="1"/>
  <c r="D775" i="1"/>
  <c r="E775" i="1"/>
  <c r="F775" i="1"/>
  <c r="G775" i="1"/>
  <c r="H775" i="1"/>
  <c r="I775" i="1"/>
  <c r="J775" i="1"/>
  <c r="K775" i="1"/>
  <c r="L775" i="1"/>
  <c r="M775" i="1"/>
  <c r="C776" i="1"/>
  <c r="D776" i="1"/>
  <c r="E776" i="1"/>
  <c r="F776" i="1"/>
  <c r="G776" i="1"/>
  <c r="H776" i="1"/>
  <c r="I776" i="1"/>
  <c r="J776" i="1"/>
  <c r="K776" i="1"/>
  <c r="L776" i="1"/>
  <c r="M776" i="1"/>
  <c r="C777" i="1"/>
  <c r="D777" i="1"/>
  <c r="E777" i="1"/>
  <c r="F777" i="1"/>
  <c r="G777" i="1"/>
  <c r="H777" i="1"/>
  <c r="I777" i="1"/>
  <c r="J777" i="1"/>
  <c r="K777" i="1"/>
  <c r="L777" i="1"/>
  <c r="M777" i="1"/>
  <c r="C778" i="1"/>
  <c r="D778" i="1"/>
  <c r="E778" i="1"/>
  <c r="F778" i="1"/>
  <c r="G778" i="1"/>
  <c r="H778" i="1"/>
  <c r="I778" i="1"/>
  <c r="J778" i="1"/>
  <c r="K778" i="1"/>
  <c r="L778" i="1"/>
  <c r="M778" i="1"/>
  <c r="C779" i="1"/>
  <c r="D779" i="1"/>
  <c r="E779" i="1"/>
  <c r="F779" i="1"/>
  <c r="G779" i="1"/>
  <c r="H779" i="1"/>
  <c r="I779" i="1"/>
  <c r="J779" i="1"/>
  <c r="K779" i="1"/>
  <c r="L779" i="1"/>
  <c r="M779" i="1"/>
  <c r="C780" i="1"/>
  <c r="D780" i="1"/>
  <c r="E780" i="1"/>
  <c r="F780" i="1"/>
  <c r="G780" i="1"/>
  <c r="H780" i="1"/>
  <c r="I780" i="1"/>
  <c r="J780" i="1"/>
  <c r="K780" i="1"/>
  <c r="L780" i="1"/>
  <c r="M780" i="1"/>
  <c r="C781" i="1"/>
  <c r="D781" i="1"/>
  <c r="E781" i="1"/>
  <c r="F781" i="1"/>
  <c r="G781" i="1"/>
  <c r="H781" i="1"/>
  <c r="I781" i="1"/>
  <c r="J781" i="1"/>
  <c r="K781" i="1"/>
  <c r="L781" i="1"/>
  <c r="M781" i="1"/>
  <c r="C782" i="1"/>
  <c r="D782" i="1"/>
  <c r="E782" i="1"/>
  <c r="F782" i="1"/>
  <c r="G782" i="1"/>
  <c r="H782" i="1"/>
  <c r="I782" i="1"/>
  <c r="J782" i="1"/>
  <c r="K782" i="1"/>
  <c r="L782" i="1"/>
  <c r="M782" i="1"/>
  <c r="C783" i="1"/>
  <c r="D783" i="1"/>
  <c r="E783" i="1"/>
  <c r="F783" i="1"/>
  <c r="G783" i="1"/>
  <c r="H783" i="1"/>
  <c r="I783" i="1"/>
  <c r="J783" i="1"/>
  <c r="K783" i="1"/>
  <c r="L783" i="1"/>
  <c r="M783" i="1"/>
  <c r="C784" i="1"/>
  <c r="D784" i="1"/>
  <c r="E784" i="1"/>
  <c r="F784" i="1"/>
  <c r="G784" i="1"/>
  <c r="H784" i="1"/>
  <c r="I784" i="1"/>
  <c r="J784" i="1"/>
  <c r="K784" i="1"/>
  <c r="L784" i="1"/>
  <c r="M784" i="1"/>
  <c r="C785" i="1"/>
  <c r="D785" i="1"/>
  <c r="E785" i="1"/>
  <c r="F785" i="1"/>
  <c r="G785" i="1"/>
  <c r="H785" i="1"/>
  <c r="I785" i="1"/>
  <c r="J785" i="1"/>
  <c r="K785" i="1"/>
  <c r="L785" i="1"/>
  <c r="M785" i="1"/>
  <c r="C786" i="1"/>
  <c r="D786" i="1"/>
  <c r="E786" i="1"/>
  <c r="F786" i="1"/>
  <c r="G786" i="1"/>
  <c r="H786" i="1"/>
  <c r="I786" i="1"/>
  <c r="J786" i="1"/>
  <c r="K786" i="1"/>
  <c r="L786" i="1"/>
  <c r="M786" i="1"/>
  <c r="C787" i="1"/>
  <c r="D787" i="1"/>
  <c r="E787" i="1"/>
  <c r="F787" i="1"/>
  <c r="G787" i="1"/>
  <c r="H787" i="1"/>
  <c r="I787" i="1"/>
  <c r="J787" i="1"/>
  <c r="K787" i="1"/>
  <c r="L787" i="1"/>
  <c r="M787" i="1"/>
  <c r="C788" i="1"/>
  <c r="D788" i="1"/>
  <c r="E788" i="1"/>
  <c r="F788" i="1"/>
  <c r="G788" i="1"/>
  <c r="H788" i="1"/>
  <c r="I788" i="1"/>
  <c r="J788" i="1"/>
  <c r="K788" i="1"/>
  <c r="L788" i="1"/>
  <c r="M788" i="1"/>
  <c r="C789" i="1"/>
  <c r="D789" i="1"/>
  <c r="E789" i="1"/>
  <c r="F789" i="1"/>
  <c r="G789" i="1"/>
  <c r="H789" i="1"/>
  <c r="I789" i="1"/>
  <c r="J789" i="1"/>
  <c r="K789" i="1"/>
  <c r="L789" i="1"/>
  <c r="M789" i="1"/>
  <c r="C790" i="1"/>
  <c r="D790" i="1"/>
  <c r="E790" i="1"/>
  <c r="F790" i="1"/>
  <c r="G790" i="1"/>
  <c r="H790" i="1"/>
  <c r="I790" i="1"/>
  <c r="J790" i="1"/>
  <c r="K790" i="1"/>
  <c r="L790" i="1"/>
  <c r="M790" i="1"/>
  <c r="C791" i="1"/>
  <c r="D791" i="1"/>
  <c r="E791" i="1"/>
  <c r="F791" i="1"/>
  <c r="G791" i="1"/>
  <c r="H791" i="1"/>
  <c r="I791" i="1"/>
  <c r="J791" i="1"/>
  <c r="K791" i="1"/>
  <c r="L791" i="1"/>
  <c r="M791" i="1"/>
  <c r="C792" i="1"/>
  <c r="D792" i="1"/>
  <c r="E792" i="1"/>
  <c r="F792" i="1"/>
  <c r="G792" i="1"/>
  <c r="H792" i="1"/>
  <c r="I792" i="1"/>
  <c r="J792" i="1"/>
  <c r="K792" i="1"/>
  <c r="L792" i="1"/>
  <c r="M792" i="1"/>
  <c r="C793" i="1"/>
  <c r="D793" i="1"/>
  <c r="E793" i="1"/>
  <c r="F793" i="1"/>
  <c r="G793" i="1"/>
  <c r="H793" i="1"/>
  <c r="I793" i="1"/>
  <c r="J793" i="1"/>
  <c r="K793" i="1"/>
  <c r="L793" i="1"/>
  <c r="M793" i="1"/>
  <c r="C794" i="1"/>
  <c r="D794" i="1"/>
  <c r="E794" i="1"/>
  <c r="F794" i="1"/>
  <c r="G794" i="1"/>
  <c r="H794" i="1"/>
  <c r="I794" i="1"/>
  <c r="J794" i="1"/>
  <c r="K794" i="1"/>
  <c r="L794" i="1"/>
  <c r="M794" i="1"/>
  <c r="C795" i="1"/>
  <c r="D795" i="1"/>
  <c r="E795" i="1"/>
  <c r="F795" i="1"/>
  <c r="G795" i="1"/>
  <c r="H795" i="1"/>
  <c r="I795" i="1"/>
  <c r="J795" i="1"/>
  <c r="K795" i="1"/>
  <c r="L795" i="1"/>
  <c r="M795" i="1"/>
  <c r="C796" i="1"/>
  <c r="D796" i="1"/>
  <c r="E796" i="1"/>
  <c r="F796" i="1"/>
  <c r="G796" i="1"/>
  <c r="H796" i="1"/>
  <c r="I796" i="1"/>
  <c r="J796" i="1"/>
  <c r="K796" i="1"/>
  <c r="L796" i="1"/>
  <c r="M796" i="1"/>
  <c r="C797" i="1"/>
  <c r="D797" i="1"/>
  <c r="E797" i="1"/>
  <c r="F797" i="1"/>
  <c r="G797" i="1"/>
  <c r="H797" i="1"/>
  <c r="I797" i="1"/>
  <c r="J797" i="1"/>
  <c r="K797" i="1"/>
  <c r="L797" i="1"/>
  <c r="M797" i="1"/>
  <c r="C798" i="1"/>
  <c r="D798" i="1"/>
  <c r="E798" i="1"/>
  <c r="F798" i="1"/>
  <c r="G798" i="1"/>
  <c r="H798" i="1"/>
  <c r="I798" i="1"/>
  <c r="J798" i="1"/>
  <c r="K798" i="1"/>
  <c r="L798" i="1"/>
  <c r="M798" i="1"/>
  <c r="C799" i="1"/>
  <c r="D799" i="1"/>
  <c r="E799" i="1"/>
  <c r="F799" i="1"/>
  <c r="G799" i="1"/>
  <c r="H799" i="1"/>
  <c r="I799" i="1"/>
  <c r="J799" i="1"/>
  <c r="K799" i="1"/>
  <c r="L799" i="1"/>
  <c r="M799" i="1"/>
  <c r="C800" i="1"/>
  <c r="D800" i="1"/>
  <c r="E800" i="1"/>
  <c r="F800" i="1"/>
  <c r="G800" i="1"/>
  <c r="H800" i="1"/>
  <c r="I800" i="1"/>
  <c r="J800" i="1"/>
  <c r="K800" i="1"/>
  <c r="L800" i="1"/>
  <c r="M800" i="1"/>
  <c r="C801" i="1"/>
  <c r="D801" i="1"/>
  <c r="E801" i="1"/>
  <c r="F801" i="1"/>
  <c r="G801" i="1"/>
  <c r="H801" i="1"/>
  <c r="I801" i="1"/>
  <c r="J801" i="1"/>
  <c r="K801" i="1"/>
  <c r="L801" i="1"/>
  <c r="M801" i="1"/>
  <c r="C802" i="1"/>
  <c r="D802" i="1"/>
  <c r="E802" i="1"/>
  <c r="F802" i="1"/>
  <c r="G802" i="1"/>
  <c r="H802" i="1"/>
  <c r="I802" i="1"/>
  <c r="J802" i="1"/>
  <c r="K802" i="1"/>
  <c r="L802" i="1"/>
  <c r="M802" i="1"/>
  <c r="C803" i="1"/>
  <c r="D803" i="1"/>
  <c r="E803" i="1"/>
  <c r="F803" i="1"/>
  <c r="G803" i="1"/>
  <c r="H803" i="1"/>
  <c r="I803" i="1"/>
  <c r="J803" i="1"/>
  <c r="K803" i="1"/>
  <c r="L803" i="1"/>
  <c r="M803" i="1"/>
  <c r="C804" i="1"/>
  <c r="D804" i="1"/>
  <c r="E804" i="1"/>
  <c r="F804" i="1"/>
  <c r="G804" i="1"/>
  <c r="H804" i="1"/>
  <c r="I804" i="1"/>
  <c r="J804" i="1"/>
  <c r="K804" i="1"/>
  <c r="L804" i="1"/>
  <c r="M804" i="1"/>
  <c r="C805" i="1"/>
  <c r="D805" i="1"/>
  <c r="E805" i="1"/>
  <c r="F805" i="1"/>
  <c r="G805" i="1"/>
  <c r="H805" i="1"/>
  <c r="I805" i="1"/>
  <c r="J805" i="1"/>
  <c r="K805" i="1"/>
  <c r="L805" i="1"/>
  <c r="M805" i="1"/>
  <c r="C806" i="1"/>
  <c r="D806" i="1"/>
  <c r="E806" i="1"/>
  <c r="F806" i="1"/>
  <c r="G806" i="1"/>
  <c r="H806" i="1"/>
  <c r="I806" i="1"/>
  <c r="J806" i="1"/>
  <c r="K806" i="1"/>
  <c r="L806" i="1"/>
  <c r="M806" i="1"/>
  <c r="C807" i="1"/>
  <c r="D807" i="1"/>
  <c r="E807" i="1"/>
  <c r="F807" i="1"/>
  <c r="G807" i="1"/>
  <c r="H807" i="1"/>
  <c r="I807" i="1"/>
  <c r="J807" i="1"/>
  <c r="K807" i="1"/>
  <c r="L807" i="1"/>
  <c r="M807" i="1"/>
  <c r="C808" i="1"/>
  <c r="D808" i="1"/>
  <c r="E808" i="1"/>
  <c r="F808" i="1"/>
  <c r="G808" i="1"/>
  <c r="H808" i="1"/>
  <c r="I808" i="1"/>
  <c r="J808" i="1"/>
  <c r="K808" i="1"/>
  <c r="L808" i="1"/>
  <c r="M808" i="1"/>
  <c r="C809" i="1"/>
  <c r="D809" i="1"/>
  <c r="E809" i="1"/>
  <c r="F809" i="1"/>
  <c r="G809" i="1"/>
  <c r="H809" i="1"/>
  <c r="I809" i="1"/>
  <c r="J809" i="1"/>
  <c r="K809" i="1"/>
  <c r="L809" i="1"/>
  <c r="M809" i="1"/>
  <c r="C810" i="1"/>
  <c r="D810" i="1"/>
  <c r="E810" i="1"/>
  <c r="F810" i="1"/>
  <c r="G810" i="1"/>
  <c r="H810" i="1"/>
  <c r="I810" i="1"/>
  <c r="J810" i="1"/>
  <c r="K810" i="1"/>
  <c r="L810" i="1"/>
  <c r="M810" i="1"/>
  <c r="C811" i="1"/>
  <c r="D811" i="1"/>
  <c r="E811" i="1"/>
  <c r="F811" i="1"/>
  <c r="G811" i="1"/>
  <c r="H811" i="1"/>
  <c r="I811" i="1"/>
  <c r="J811" i="1"/>
  <c r="K811" i="1"/>
  <c r="L811" i="1"/>
  <c r="M811" i="1"/>
  <c r="C812" i="1"/>
  <c r="D812" i="1"/>
  <c r="E812" i="1"/>
  <c r="F812" i="1"/>
  <c r="G812" i="1"/>
  <c r="H812" i="1"/>
  <c r="I812" i="1"/>
  <c r="J812" i="1"/>
  <c r="K812" i="1"/>
  <c r="L812" i="1"/>
  <c r="M812" i="1"/>
  <c r="C813" i="1"/>
  <c r="D813" i="1"/>
  <c r="E813" i="1"/>
  <c r="F813" i="1"/>
  <c r="G813" i="1"/>
  <c r="H813" i="1"/>
  <c r="I813" i="1"/>
  <c r="J813" i="1"/>
  <c r="K813" i="1"/>
  <c r="L813" i="1"/>
  <c r="M813" i="1"/>
  <c r="C814" i="1"/>
  <c r="D814" i="1"/>
  <c r="E814" i="1"/>
  <c r="F814" i="1"/>
  <c r="G814" i="1"/>
  <c r="H814" i="1"/>
  <c r="I814" i="1"/>
  <c r="J814" i="1"/>
  <c r="K814" i="1"/>
  <c r="L814" i="1"/>
  <c r="M814" i="1"/>
  <c r="C815" i="1"/>
  <c r="D815" i="1"/>
  <c r="E815" i="1"/>
  <c r="F815" i="1"/>
  <c r="G815" i="1"/>
  <c r="H815" i="1"/>
  <c r="I815" i="1"/>
  <c r="J815" i="1"/>
  <c r="K815" i="1"/>
  <c r="L815" i="1"/>
  <c r="M815" i="1"/>
  <c r="C816" i="1"/>
  <c r="D816" i="1"/>
  <c r="E816" i="1"/>
  <c r="F816" i="1"/>
  <c r="G816" i="1"/>
  <c r="H816" i="1"/>
  <c r="I816" i="1"/>
  <c r="J816" i="1"/>
  <c r="K816" i="1"/>
  <c r="L816" i="1"/>
  <c r="M816" i="1"/>
  <c r="C817" i="1"/>
  <c r="D817" i="1"/>
  <c r="E817" i="1"/>
  <c r="F817" i="1"/>
  <c r="G817" i="1"/>
  <c r="H817" i="1"/>
  <c r="I817" i="1"/>
  <c r="J817" i="1"/>
  <c r="K817" i="1"/>
  <c r="L817" i="1"/>
  <c r="M817" i="1"/>
  <c r="C818" i="1"/>
  <c r="D818" i="1"/>
  <c r="E818" i="1"/>
  <c r="F818" i="1"/>
  <c r="G818" i="1"/>
  <c r="H818" i="1"/>
  <c r="I818" i="1"/>
  <c r="J818" i="1"/>
  <c r="K818" i="1"/>
  <c r="L818" i="1"/>
  <c r="M818" i="1"/>
  <c r="C819" i="1"/>
  <c r="D819" i="1"/>
  <c r="E819" i="1"/>
  <c r="F819" i="1"/>
  <c r="G819" i="1"/>
  <c r="H819" i="1"/>
  <c r="I819" i="1"/>
  <c r="J819" i="1"/>
  <c r="K819" i="1"/>
  <c r="L819" i="1"/>
  <c r="M819" i="1"/>
  <c r="C820" i="1"/>
  <c r="D820" i="1"/>
  <c r="E820" i="1"/>
  <c r="F820" i="1"/>
  <c r="G820" i="1"/>
  <c r="H820" i="1"/>
  <c r="I820" i="1"/>
  <c r="J820" i="1"/>
  <c r="K820" i="1"/>
  <c r="L820" i="1"/>
  <c r="M820" i="1"/>
  <c r="C821" i="1"/>
  <c r="D821" i="1"/>
  <c r="E821" i="1"/>
  <c r="F821" i="1"/>
  <c r="G821" i="1"/>
  <c r="H821" i="1"/>
  <c r="I821" i="1"/>
  <c r="J821" i="1"/>
  <c r="K821" i="1"/>
  <c r="L821" i="1"/>
  <c r="M821" i="1"/>
  <c r="C822" i="1"/>
  <c r="D822" i="1"/>
  <c r="E822" i="1"/>
  <c r="F822" i="1"/>
  <c r="G822" i="1"/>
  <c r="H822" i="1"/>
  <c r="I822" i="1"/>
  <c r="J822" i="1"/>
  <c r="K822" i="1"/>
  <c r="L822" i="1"/>
  <c r="M822" i="1"/>
  <c r="C823" i="1"/>
  <c r="D823" i="1"/>
  <c r="E823" i="1"/>
  <c r="F823" i="1"/>
  <c r="G823" i="1"/>
  <c r="H823" i="1"/>
  <c r="I823" i="1"/>
  <c r="J823" i="1"/>
  <c r="K823" i="1"/>
  <c r="L823" i="1"/>
  <c r="M823" i="1"/>
  <c r="C824" i="1"/>
  <c r="D824" i="1"/>
  <c r="E824" i="1"/>
  <c r="F824" i="1"/>
  <c r="G824" i="1"/>
  <c r="H824" i="1"/>
  <c r="I824" i="1"/>
  <c r="J824" i="1"/>
  <c r="K824" i="1"/>
  <c r="L824" i="1"/>
  <c r="M824" i="1"/>
  <c r="C825" i="1"/>
  <c r="D825" i="1"/>
  <c r="E825" i="1"/>
  <c r="F825" i="1"/>
  <c r="G825" i="1"/>
  <c r="H825" i="1"/>
  <c r="I825" i="1"/>
  <c r="J825" i="1"/>
  <c r="K825" i="1"/>
  <c r="L825" i="1"/>
  <c r="M825" i="1"/>
  <c r="C826" i="1"/>
  <c r="D826" i="1"/>
  <c r="E826" i="1"/>
  <c r="F826" i="1"/>
  <c r="G826" i="1"/>
  <c r="H826" i="1"/>
  <c r="I826" i="1"/>
  <c r="J826" i="1"/>
  <c r="K826" i="1"/>
  <c r="L826" i="1"/>
  <c r="M826" i="1"/>
  <c r="C827" i="1"/>
  <c r="D827" i="1"/>
  <c r="E827" i="1"/>
  <c r="F827" i="1"/>
  <c r="G827" i="1"/>
  <c r="H827" i="1"/>
  <c r="I827" i="1"/>
  <c r="J827" i="1"/>
  <c r="K827" i="1"/>
  <c r="L827" i="1"/>
  <c r="M827" i="1"/>
  <c r="C828" i="1"/>
  <c r="D828" i="1"/>
  <c r="E828" i="1"/>
  <c r="F828" i="1"/>
  <c r="G828" i="1"/>
  <c r="H828" i="1"/>
  <c r="I828" i="1"/>
  <c r="J828" i="1"/>
  <c r="K828" i="1"/>
  <c r="L828" i="1"/>
  <c r="M828" i="1"/>
  <c r="C829" i="1"/>
  <c r="D829" i="1"/>
  <c r="E829" i="1"/>
  <c r="F829" i="1"/>
  <c r="G829" i="1"/>
  <c r="H829" i="1"/>
  <c r="I829" i="1"/>
  <c r="J829" i="1"/>
  <c r="K829" i="1"/>
  <c r="L829" i="1"/>
  <c r="M829" i="1"/>
  <c r="D2" i="1"/>
  <c r="E2" i="1"/>
  <c r="F2" i="1"/>
  <c r="G2" i="1"/>
  <c r="H2" i="1"/>
  <c r="I2" i="1"/>
  <c r="J2" i="1"/>
  <c r="K2" i="1"/>
  <c r="L2" i="1"/>
  <c r="M2" i="1"/>
  <c r="C2" i="1"/>
</calcChain>
</file>

<file path=xl/sharedStrings.xml><?xml version="1.0" encoding="utf-8"?>
<sst xmlns="http://schemas.openxmlformats.org/spreadsheetml/2006/main" count="41" uniqueCount="36">
  <si>
    <t>Unemployment Rate</t>
  </si>
  <si>
    <t>Variable</t>
  </si>
  <si>
    <t>Description</t>
  </si>
  <si>
    <t>Explanation</t>
  </si>
  <si>
    <t>Percentage of adults unable to find jobs</t>
  </si>
  <si>
    <t>Recession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</si>
  <si>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</si>
  <si>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</si>
  <si>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</si>
  <si>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</si>
  <si>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</si>
  <si>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</si>
  <si>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</si>
  <si>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</si>
  <si>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</si>
  <si>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</si>
  <si>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</si>
  <si>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</si>
  <si>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</si>
  <si>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</si>
  <si>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</si>
  <si>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</si>
  <si>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</si>
  <si>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</si>
  <si>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</si>
  <si>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</si>
  <si>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</si>
  <si>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RESIDUAL OUTPUT</t>
  </si>
  <si>
    <t>Observation</t>
  </si>
  <si>
    <t>Residuals</t>
  </si>
  <si>
    <t>Average</t>
  </si>
  <si>
    <t>Unemployment</t>
  </si>
  <si>
    <t>Seasonal Unenemployment</t>
  </si>
  <si>
    <t>Seasonally Adjusted Unemployment</t>
  </si>
  <si>
    <t>Seasonal Unemployment</t>
  </si>
  <si>
    <t>Predicted 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</si>
</sst>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yy"/>
  </numFmts>
  <fonts count="7" x14ac:knownFonts="1">
    <font>
      <sz val="10"/>
      <name val="Arial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2" fontId="6" fillId="0" borderId="2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2" fontId="3" fillId="0" borderId="0" xfId="0" applyNumberFormat="1" applyFont="1"/>
    <xf numFmtId="164" fontId="4" fillId="0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5" fontId="5" fillId="0" borderId="0" xfId="0" applyNumberFormat="1" applyFont="1"/>
    <xf numFmtId="0" fontId="4" fillId="0" borderId="0" xfId="0" applyFont="1"/>
    <xf numFmtId="9" fontId="4" fillId="0" borderId="0" xfId="1" applyFont="1" applyAlignment="1">
      <alignment horizontal="center"/>
    </xf>
    <xf numFmtId="9" fontId="3" fillId="0" borderId="0" xfId="1" applyFont="1" applyFill="1" applyBorder="1" applyAlignment="1" applyProtection="1">
      <alignment horizontal="center"/>
    </xf>
    <xf numFmtId="9" fontId="3" fillId="0" borderId="0" xfId="1" applyFont="1" applyAlignment="1">
      <alignment horizontal="center"/>
    </xf>
    <xf numFmtId="10" fontId="3" fillId="0" borderId="0" xfId="1" applyNumberFormat="1" applyFont="1" applyAlignment="1">
      <alignment horizontal="center"/>
    </xf>
    <xf numFmtId="2" fontId="0" fillId="0" borderId="0" xfId="0" applyNumberFormat="1"/>
    <xf numFmtId="1" fontId="0" fillId="0" borderId="1" xfId="0" applyNumberFormat="1" applyFill="1" applyBorder="1" applyAlignment="1"/>
    <xf numFmtId="1" fontId="0" fillId="0" borderId="0" xfId="0" applyNumberFormat="1" applyFill="1" applyBorder="1" applyAlignment="1"/>
    <xf numFmtId="9" fontId="0" fillId="0" borderId="0" xfId="1" applyFont="1" applyFill="1" applyBorder="1" applyAlignment="1"/>
    <xf numFmtId="9" fontId="0" fillId="0" borderId="1" xfId="1" applyFont="1" applyFill="1" applyBorder="1" applyAlignment="1"/>
    <xf numFmtId="9" fontId="4" fillId="0" borderId="2" xfId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3" fillId="0" borderId="0" xfId="1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strRef>
              <c:f>'Chart Data'!$E$1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cat>
          <c:val>
            <c:numRef>
              <c:f>'Chart Data'!$E$2:$E$830</c:f>
              <c:numCache>
                <c:formatCode>0</c:formatCode>
                <c:ptCount val="8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4-4E73-9DF2-F2A455BCD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781008"/>
        <c:axId val="526060424"/>
      </c:areaChart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Data'!$B$2:$B$830</c:f>
              <c:numCache>
                <c:formatCode>0%</c:formatCode>
                <c:ptCount val="829"/>
                <c:pt idx="0">
                  <c:v>0.04</c:v>
                </c:pt>
                <c:pt idx="1">
                  <c:v>4.7E-2</c:v>
                </c:pt>
                <c:pt idx="2">
                  <c:v>4.4999999999999998E-2</c:v>
                </c:pt>
                <c:pt idx="3">
                  <c:v>0.04</c:v>
                </c:pt>
                <c:pt idx="4">
                  <c:v>3.4000000000000002E-2</c:v>
                </c:pt>
                <c:pt idx="5">
                  <c:v>3.9E-2</c:v>
                </c:pt>
                <c:pt idx="6">
                  <c:v>3.9E-2</c:v>
                </c:pt>
                <c:pt idx="7">
                  <c:v>3.6000000000000004E-2</c:v>
                </c:pt>
                <c:pt idx="8">
                  <c:v>3.4000000000000002E-2</c:v>
                </c:pt>
                <c:pt idx="9">
                  <c:v>2.8999999999999998E-2</c:v>
                </c:pt>
                <c:pt idx="10">
                  <c:v>3.3000000000000002E-2</c:v>
                </c:pt>
                <c:pt idx="11">
                  <c:v>3.6000000000000004E-2</c:v>
                </c:pt>
                <c:pt idx="12">
                  <c:v>0.05</c:v>
                </c:pt>
                <c:pt idx="13">
                  <c:v>5.7999999999999996E-2</c:v>
                </c:pt>
                <c:pt idx="14">
                  <c:v>5.5999999999999994E-2</c:v>
                </c:pt>
                <c:pt idx="15">
                  <c:v>5.4000000000000006E-2</c:v>
                </c:pt>
                <c:pt idx="16">
                  <c:v>5.7000000000000002E-2</c:v>
                </c:pt>
                <c:pt idx="17">
                  <c:v>6.4000000000000001E-2</c:v>
                </c:pt>
                <c:pt idx="18">
                  <c:v>7.0000000000000007E-2</c:v>
                </c:pt>
                <c:pt idx="19">
                  <c:v>6.3E-2</c:v>
                </c:pt>
                <c:pt idx="20">
                  <c:v>5.9000000000000004E-2</c:v>
                </c:pt>
                <c:pt idx="21">
                  <c:v>6.0999999999999999E-2</c:v>
                </c:pt>
                <c:pt idx="22">
                  <c:v>5.7000000000000002E-2</c:v>
                </c:pt>
                <c:pt idx="23">
                  <c:v>0.06</c:v>
                </c:pt>
                <c:pt idx="24">
                  <c:v>7.5999999999999998E-2</c:v>
                </c:pt>
                <c:pt idx="25">
                  <c:v>7.9000000000000001E-2</c:v>
                </c:pt>
                <c:pt idx="26">
                  <c:v>7.0999999999999994E-2</c:v>
                </c:pt>
                <c:pt idx="27">
                  <c:v>0.06</c:v>
                </c:pt>
                <c:pt idx="28">
                  <c:v>5.2999999999999999E-2</c:v>
                </c:pt>
                <c:pt idx="29">
                  <c:v>5.5999999999999994E-2</c:v>
                </c:pt>
                <c:pt idx="30">
                  <c:v>5.2999999999999999E-2</c:v>
                </c:pt>
                <c:pt idx="31">
                  <c:v>4.0999999999999995E-2</c:v>
                </c:pt>
                <c:pt idx="32">
                  <c:v>0.04</c:v>
                </c:pt>
                <c:pt idx="33">
                  <c:v>3.3000000000000002E-2</c:v>
                </c:pt>
                <c:pt idx="34">
                  <c:v>3.7999999999999999E-2</c:v>
                </c:pt>
                <c:pt idx="35">
                  <c:v>3.9E-2</c:v>
                </c:pt>
                <c:pt idx="36">
                  <c:v>4.4000000000000004E-2</c:v>
                </c:pt>
                <c:pt idx="37">
                  <c:v>4.2000000000000003E-2</c:v>
                </c:pt>
                <c:pt idx="38">
                  <c:v>3.7999999999999999E-2</c:v>
                </c:pt>
                <c:pt idx="39">
                  <c:v>3.2000000000000001E-2</c:v>
                </c:pt>
                <c:pt idx="40">
                  <c:v>2.8999999999999998E-2</c:v>
                </c:pt>
                <c:pt idx="41">
                  <c:v>3.4000000000000002E-2</c:v>
                </c:pt>
                <c:pt idx="42">
                  <c:v>3.3000000000000002E-2</c:v>
                </c:pt>
                <c:pt idx="43">
                  <c:v>2.8999999999999998E-2</c:v>
                </c:pt>
                <c:pt idx="44">
                  <c:v>0.03</c:v>
                </c:pt>
                <c:pt idx="45">
                  <c:v>2.7999999999999997E-2</c:v>
                </c:pt>
                <c:pt idx="46">
                  <c:v>3.2000000000000001E-2</c:v>
                </c:pt>
                <c:pt idx="47">
                  <c:v>2.8999999999999998E-2</c:v>
                </c:pt>
                <c:pt idx="48">
                  <c:v>3.7000000000000005E-2</c:v>
                </c:pt>
                <c:pt idx="49">
                  <c:v>3.7999999999999999E-2</c:v>
                </c:pt>
                <c:pt idx="50">
                  <c:v>3.3000000000000002E-2</c:v>
                </c:pt>
                <c:pt idx="51">
                  <c:v>0.03</c:v>
                </c:pt>
                <c:pt idx="52">
                  <c:v>2.8999999999999998E-2</c:v>
                </c:pt>
                <c:pt idx="53">
                  <c:v>3.2000000000000001E-2</c:v>
                </c:pt>
                <c:pt idx="54">
                  <c:v>3.3000000000000002E-2</c:v>
                </c:pt>
                <c:pt idx="55">
                  <c:v>3.1E-2</c:v>
                </c:pt>
                <c:pt idx="56">
                  <c:v>2.7000000000000003E-2</c:v>
                </c:pt>
                <c:pt idx="57">
                  <c:v>2.4E-2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3.4000000000000002E-2</c:v>
                </c:pt>
                <c:pt idx="61">
                  <c:v>3.2000000000000001E-2</c:v>
                </c:pt>
                <c:pt idx="62">
                  <c:v>2.8999999999999998E-2</c:v>
                </c:pt>
                <c:pt idx="63">
                  <c:v>2.7999999999999997E-2</c:v>
                </c:pt>
                <c:pt idx="64">
                  <c:v>2.5000000000000001E-2</c:v>
                </c:pt>
                <c:pt idx="65">
                  <c:v>2.7000000000000003E-2</c:v>
                </c:pt>
                <c:pt idx="66">
                  <c:v>2.7000000000000003E-2</c:v>
                </c:pt>
                <c:pt idx="67">
                  <c:v>2.4E-2</c:v>
                </c:pt>
                <c:pt idx="68">
                  <c:v>2.6000000000000002E-2</c:v>
                </c:pt>
                <c:pt idx="69">
                  <c:v>2.5000000000000001E-2</c:v>
                </c:pt>
                <c:pt idx="70">
                  <c:v>3.2000000000000001E-2</c:v>
                </c:pt>
                <c:pt idx="71">
                  <c:v>4.2000000000000003E-2</c:v>
                </c:pt>
                <c:pt idx="72">
                  <c:v>5.7000000000000002E-2</c:v>
                </c:pt>
                <c:pt idx="73">
                  <c:v>6.3E-2</c:v>
                </c:pt>
                <c:pt idx="74">
                  <c:v>6.4000000000000001E-2</c:v>
                </c:pt>
                <c:pt idx="75">
                  <c:v>6.0999999999999999E-2</c:v>
                </c:pt>
                <c:pt idx="76">
                  <c:v>5.7000000000000002E-2</c:v>
                </c:pt>
                <c:pt idx="77">
                  <c:v>5.7000000000000002E-2</c:v>
                </c:pt>
                <c:pt idx="78">
                  <c:v>5.7000000000000002E-2</c:v>
                </c:pt>
                <c:pt idx="79">
                  <c:v>5.4000000000000006E-2</c:v>
                </c:pt>
                <c:pt idx="80">
                  <c:v>5.2999999999999999E-2</c:v>
                </c:pt>
                <c:pt idx="81">
                  <c:v>4.5999999999999999E-2</c:v>
                </c:pt>
                <c:pt idx="82">
                  <c:v>4.9000000000000002E-2</c:v>
                </c:pt>
                <c:pt idx="83">
                  <c:v>4.8000000000000001E-2</c:v>
                </c:pt>
                <c:pt idx="84">
                  <c:v>5.7999999999999996E-2</c:v>
                </c:pt>
                <c:pt idx="85">
                  <c:v>5.7000000000000002E-2</c:v>
                </c:pt>
                <c:pt idx="86">
                  <c:v>5.2000000000000005E-2</c:v>
                </c:pt>
                <c:pt idx="87">
                  <c:v>4.9000000000000002E-2</c:v>
                </c:pt>
                <c:pt idx="88">
                  <c:v>4.2000000000000003E-2</c:v>
                </c:pt>
                <c:pt idx="89">
                  <c:v>4.4000000000000004E-2</c:v>
                </c:pt>
                <c:pt idx="90">
                  <c:v>0.04</c:v>
                </c:pt>
                <c:pt idx="91">
                  <c:v>3.7999999999999999E-2</c:v>
                </c:pt>
                <c:pt idx="92">
                  <c:v>3.5000000000000003E-2</c:v>
                </c:pt>
                <c:pt idx="93">
                  <c:v>3.4000000000000002E-2</c:v>
                </c:pt>
                <c:pt idx="94">
                  <c:v>3.7999999999999999E-2</c:v>
                </c:pt>
                <c:pt idx="95">
                  <c:v>3.9E-2</c:v>
                </c:pt>
                <c:pt idx="96">
                  <c:v>4.7E-2</c:v>
                </c:pt>
                <c:pt idx="97">
                  <c:v>4.8000000000000001E-2</c:v>
                </c:pt>
                <c:pt idx="98">
                  <c:v>4.7E-2</c:v>
                </c:pt>
                <c:pt idx="99">
                  <c:v>4.0999999999999995E-2</c:v>
                </c:pt>
                <c:pt idx="100">
                  <c:v>4.2000000000000003E-2</c:v>
                </c:pt>
                <c:pt idx="101">
                  <c:v>4.7E-2</c:v>
                </c:pt>
                <c:pt idx="102">
                  <c:v>4.4000000000000004E-2</c:v>
                </c:pt>
                <c:pt idx="103">
                  <c:v>3.7000000000000005E-2</c:v>
                </c:pt>
                <c:pt idx="104">
                  <c:v>3.4000000000000002E-2</c:v>
                </c:pt>
                <c:pt idx="105">
                  <c:v>3.1E-2</c:v>
                </c:pt>
                <c:pt idx="106">
                  <c:v>3.9E-2</c:v>
                </c:pt>
                <c:pt idx="107">
                  <c:v>0.04</c:v>
                </c:pt>
                <c:pt idx="108">
                  <c:v>4.9000000000000002E-2</c:v>
                </c:pt>
                <c:pt idx="109">
                  <c:v>4.7E-2</c:v>
                </c:pt>
                <c:pt idx="110">
                  <c:v>4.2999999999999997E-2</c:v>
                </c:pt>
                <c:pt idx="111">
                  <c:v>0.04</c:v>
                </c:pt>
                <c:pt idx="112">
                  <c:v>3.9E-2</c:v>
                </c:pt>
                <c:pt idx="113">
                  <c:v>4.5999999999999999E-2</c:v>
                </c:pt>
                <c:pt idx="114">
                  <c:v>4.0999999999999995E-2</c:v>
                </c:pt>
                <c:pt idx="115">
                  <c:v>3.7000000000000005E-2</c:v>
                </c:pt>
                <c:pt idx="116">
                  <c:v>3.7000000000000005E-2</c:v>
                </c:pt>
                <c:pt idx="117">
                  <c:v>3.6000000000000004E-2</c:v>
                </c:pt>
                <c:pt idx="118">
                  <c:v>4.5999999999999999E-2</c:v>
                </c:pt>
                <c:pt idx="119">
                  <c:v>0.05</c:v>
                </c:pt>
                <c:pt idx="120">
                  <c:v>6.8000000000000005E-2</c:v>
                </c:pt>
                <c:pt idx="121">
                  <c:v>7.6999999999999999E-2</c:v>
                </c:pt>
                <c:pt idx="122">
                  <c:v>7.6999999999999999E-2</c:v>
                </c:pt>
                <c:pt idx="123">
                  <c:v>7.4999999999999997E-2</c:v>
                </c:pt>
                <c:pt idx="124">
                  <c:v>7.0999999999999994E-2</c:v>
                </c:pt>
                <c:pt idx="125">
                  <c:v>7.5999999999999998E-2</c:v>
                </c:pt>
                <c:pt idx="126">
                  <c:v>7.400000000000001E-2</c:v>
                </c:pt>
                <c:pt idx="127">
                  <c:v>6.7000000000000004E-2</c:v>
                </c:pt>
                <c:pt idx="128">
                  <c:v>0.06</c:v>
                </c:pt>
                <c:pt idx="129">
                  <c:v>5.5E-2</c:v>
                </c:pt>
                <c:pt idx="130">
                  <c:v>5.5999999999999994E-2</c:v>
                </c:pt>
                <c:pt idx="131">
                  <c:v>0.06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6.4000000000000001E-2</c:v>
                </c:pt>
                <c:pt idx="135">
                  <c:v>5.2000000000000005E-2</c:v>
                </c:pt>
                <c:pt idx="136">
                  <c:v>4.9000000000000002E-2</c:v>
                </c:pt>
                <c:pt idx="137">
                  <c:v>5.4000000000000006E-2</c:v>
                </c:pt>
                <c:pt idx="138">
                  <c:v>5.2000000000000005E-2</c:v>
                </c:pt>
                <c:pt idx="139">
                  <c:v>4.8000000000000001E-2</c:v>
                </c:pt>
                <c:pt idx="140">
                  <c:v>4.7E-2</c:v>
                </c:pt>
                <c:pt idx="141">
                  <c:v>4.7E-2</c:v>
                </c:pt>
                <c:pt idx="142">
                  <c:v>5.2999999999999999E-2</c:v>
                </c:pt>
                <c:pt idx="143">
                  <c:v>5.0999999999999997E-2</c:v>
                </c:pt>
                <c:pt idx="144">
                  <c:v>6.0999999999999999E-2</c:v>
                </c:pt>
                <c:pt idx="145">
                  <c:v>5.7000000000000002E-2</c:v>
                </c:pt>
                <c:pt idx="146">
                  <c:v>6.0999999999999999E-2</c:v>
                </c:pt>
                <c:pt idx="147">
                  <c:v>5.2000000000000005E-2</c:v>
                </c:pt>
                <c:pt idx="148">
                  <c:v>4.8000000000000001E-2</c:v>
                </c:pt>
                <c:pt idx="149">
                  <c:v>5.7999999999999996E-2</c:v>
                </c:pt>
                <c:pt idx="150">
                  <c:v>5.5E-2</c:v>
                </c:pt>
                <c:pt idx="151">
                  <c:v>5.2000000000000005E-2</c:v>
                </c:pt>
                <c:pt idx="152">
                  <c:v>4.7E-2</c:v>
                </c:pt>
                <c:pt idx="153">
                  <c:v>0.05</c:v>
                </c:pt>
                <c:pt idx="154">
                  <c:v>5.5999999999999994E-2</c:v>
                </c:pt>
                <c:pt idx="155">
                  <c:v>6.4000000000000001E-2</c:v>
                </c:pt>
                <c:pt idx="156">
                  <c:v>7.6999999999999999E-2</c:v>
                </c:pt>
                <c:pt idx="157">
                  <c:v>8.1000000000000003E-2</c:v>
                </c:pt>
                <c:pt idx="158">
                  <c:v>7.6999999999999999E-2</c:v>
                </c:pt>
                <c:pt idx="159">
                  <c:v>7.0000000000000007E-2</c:v>
                </c:pt>
                <c:pt idx="160">
                  <c:v>6.6000000000000003E-2</c:v>
                </c:pt>
                <c:pt idx="161">
                  <c:v>7.2999999999999995E-2</c:v>
                </c:pt>
                <c:pt idx="162">
                  <c:v>6.9000000000000006E-2</c:v>
                </c:pt>
                <c:pt idx="163">
                  <c:v>6.2E-2</c:v>
                </c:pt>
                <c:pt idx="164">
                  <c:v>5.7999999999999996E-2</c:v>
                </c:pt>
                <c:pt idx="165">
                  <c:v>5.5E-2</c:v>
                </c:pt>
                <c:pt idx="166">
                  <c:v>5.5999999999999994E-2</c:v>
                </c:pt>
                <c:pt idx="167">
                  <c:v>5.7999999999999996E-2</c:v>
                </c:pt>
                <c:pt idx="168">
                  <c:v>6.7000000000000004E-2</c:v>
                </c:pt>
                <c:pt idx="169">
                  <c:v>6.5000000000000002E-2</c:v>
                </c:pt>
                <c:pt idx="170">
                  <c:v>6.2E-2</c:v>
                </c:pt>
                <c:pt idx="171">
                  <c:v>5.5E-2</c:v>
                </c:pt>
                <c:pt idx="172">
                  <c:v>5.0999999999999997E-2</c:v>
                </c:pt>
                <c:pt idx="173">
                  <c:v>5.9000000000000004E-2</c:v>
                </c:pt>
                <c:pt idx="174">
                  <c:v>5.2999999999999999E-2</c:v>
                </c:pt>
                <c:pt idx="175">
                  <c:v>5.2999999999999999E-2</c:v>
                </c:pt>
                <c:pt idx="176">
                  <c:v>4.9000000000000002E-2</c:v>
                </c:pt>
                <c:pt idx="177">
                  <c:v>4.4999999999999998E-2</c:v>
                </c:pt>
                <c:pt idx="178">
                  <c:v>5.2999999999999999E-2</c:v>
                </c:pt>
                <c:pt idx="179">
                  <c:v>5.2999999999999999E-2</c:v>
                </c:pt>
                <c:pt idx="180">
                  <c:v>6.6000000000000003E-2</c:v>
                </c:pt>
                <c:pt idx="181">
                  <c:v>6.9000000000000006E-2</c:v>
                </c:pt>
                <c:pt idx="182">
                  <c:v>6.3E-2</c:v>
                </c:pt>
                <c:pt idx="183">
                  <c:v>5.5999999999999994E-2</c:v>
                </c:pt>
                <c:pt idx="184">
                  <c:v>5.5E-2</c:v>
                </c:pt>
                <c:pt idx="185">
                  <c:v>6.2E-2</c:v>
                </c:pt>
                <c:pt idx="186">
                  <c:v>5.5999999999999994E-2</c:v>
                </c:pt>
                <c:pt idx="187">
                  <c:v>5.2000000000000005E-2</c:v>
                </c:pt>
                <c:pt idx="188">
                  <c:v>4.8000000000000001E-2</c:v>
                </c:pt>
                <c:pt idx="189">
                  <c:v>4.7E-2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6.4000000000000001E-2</c:v>
                </c:pt>
                <c:pt idx="193">
                  <c:v>6.2E-2</c:v>
                </c:pt>
                <c:pt idx="194">
                  <c:v>5.9000000000000004E-2</c:v>
                </c:pt>
                <c:pt idx="195">
                  <c:v>5.2999999999999999E-2</c:v>
                </c:pt>
                <c:pt idx="196">
                  <c:v>4.8000000000000001E-2</c:v>
                </c:pt>
                <c:pt idx="197">
                  <c:v>5.9000000000000004E-2</c:v>
                </c:pt>
                <c:pt idx="198">
                  <c:v>4.9000000000000002E-2</c:v>
                </c:pt>
                <c:pt idx="199">
                  <c:v>4.8000000000000001E-2</c:v>
                </c:pt>
                <c:pt idx="200">
                  <c:v>4.4999999999999998E-2</c:v>
                </c:pt>
                <c:pt idx="201">
                  <c:v>4.4000000000000004E-2</c:v>
                </c:pt>
                <c:pt idx="202">
                  <c:v>4.4999999999999998E-2</c:v>
                </c:pt>
                <c:pt idx="203">
                  <c:v>4.7E-2</c:v>
                </c:pt>
                <c:pt idx="204">
                  <c:v>5.5E-2</c:v>
                </c:pt>
                <c:pt idx="205">
                  <c:v>5.7000000000000002E-2</c:v>
                </c:pt>
                <c:pt idx="206">
                  <c:v>5.0999999999999997E-2</c:v>
                </c:pt>
                <c:pt idx="207">
                  <c:v>4.7E-2</c:v>
                </c:pt>
                <c:pt idx="208">
                  <c:v>4.2999999999999997E-2</c:v>
                </c:pt>
                <c:pt idx="209">
                  <c:v>5.2999999999999999E-2</c:v>
                </c:pt>
                <c:pt idx="210">
                  <c:v>4.4999999999999998E-2</c:v>
                </c:pt>
                <c:pt idx="211">
                  <c:v>4.2000000000000003E-2</c:v>
                </c:pt>
                <c:pt idx="212">
                  <c:v>3.7999999999999999E-2</c:v>
                </c:pt>
                <c:pt idx="213">
                  <c:v>3.6000000000000004E-2</c:v>
                </c:pt>
                <c:pt idx="214">
                  <c:v>3.9E-2</c:v>
                </c:pt>
                <c:pt idx="215">
                  <c:v>3.7000000000000005E-2</c:v>
                </c:pt>
                <c:pt idx="216">
                  <c:v>4.4000000000000004E-2</c:v>
                </c:pt>
                <c:pt idx="217">
                  <c:v>4.2000000000000003E-2</c:v>
                </c:pt>
                <c:pt idx="218">
                  <c:v>0.04</c:v>
                </c:pt>
                <c:pt idx="219">
                  <c:v>3.6000000000000004E-2</c:v>
                </c:pt>
                <c:pt idx="220">
                  <c:v>3.7000000000000005E-2</c:v>
                </c:pt>
                <c:pt idx="221">
                  <c:v>4.5999999999999999E-2</c:v>
                </c:pt>
                <c:pt idx="222">
                  <c:v>3.9E-2</c:v>
                </c:pt>
                <c:pt idx="223">
                  <c:v>3.6000000000000004E-2</c:v>
                </c:pt>
                <c:pt idx="224">
                  <c:v>3.3000000000000002E-2</c:v>
                </c:pt>
                <c:pt idx="225">
                  <c:v>3.2000000000000001E-2</c:v>
                </c:pt>
                <c:pt idx="226">
                  <c:v>3.4000000000000002E-2</c:v>
                </c:pt>
                <c:pt idx="227">
                  <c:v>3.5000000000000003E-2</c:v>
                </c:pt>
                <c:pt idx="228">
                  <c:v>4.2000000000000003E-2</c:v>
                </c:pt>
                <c:pt idx="229">
                  <c:v>4.2000000000000003E-2</c:v>
                </c:pt>
                <c:pt idx="230">
                  <c:v>3.9E-2</c:v>
                </c:pt>
                <c:pt idx="231">
                  <c:v>3.5000000000000003E-2</c:v>
                </c:pt>
                <c:pt idx="232">
                  <c:v>3.2000000000000001E-2</c:v>
                </c:pt>
                <c:pt idx="233">
                  <c:v>4.5999999999999999E-2</c:v>
                </c:pt>
                <c:pt idx="234">
                  <c:v>4.0999999999999995E-2</c:v>
                </c:pt>
                <c:pt idx="235">
                  <c:v>3.7000000000000005E-2</c:v>
                </c:pt>
                <c:pt idx="236">
                  <c:v>3.7000000000000005E-2</c:v>
                </c:pt>
                <c:pt idx="237">
                  <c:v>3.7999999999999999E-2</c:v>
                </c:pt>
                <c:pt idx="238">
                  <c:v>3.7000000000000005E-2</c:v>
                </c:pt>
                <c:pt idx="239">
                  <c:v>3.5000000000000003E-2</c:v>
                </c:pt>
                <c:pt idx="240">
                  <c:v>0.04</c:v>
                </c:pt>
                <c:pt idx="241">
                  <c:v>4.2000000000000003E-2</c:v>
                </c:pt>
                <c:pt idx="242">
                  <c:v>3.7999999999999999E-2</c:v>
                </c:pt>
                <c:pt idx="243">
                  <c:v>3.2000000000000001E-2</c:v>
                </c:pt>
                <c:pt idx="244">
                  <c:v>2.8999999999999998E-2</c:v>
                </c:pt>
                <c:pt idx="245">
                  <c:v>4.4999999999999998E-2</c:v>
                </c:pt>
                <c:pt idx="246">
                  <c:v>0.04</c:v>
                </c:pt>
                <c:pt idx="247">
                  <c:v>3.5000000000000003E-2</c:v>
                </c:pt>
                <c:pt idx="248">
                  <c:v>3.3000000000000002E-2</c:v>
                </c:pt>
                <c:pt idx="249">
                  <c:v>3.2000000000000001E-2</c:v>
                </c:pt>
                <c:pt idx="250">
                  <c:v>3.3000000000000002E-2</c:v>
                </c:pt>
                <c:pt idx="251">
                  <c:v>3.1E-2</c:v>
                </c:pt>
                <c:pt idx="252">
                  <c:v>3.7000000000000005E-2</c:v>
                </c:pt>
                <c:pt idx="253">
                  <c:v>3.7000000000000005E-2</c:v>
                </c:pt>
                <c:pt idx="254">
                  <c:v>3.5000000000000003E-2</c:v>
                </c:pt>
                <c:pt idx="255">
                  <c:v>3.2000000000000001E-2</c:v>
                </c:pt>
                <c:pt idx="256">
                  <c:v>2.8999999999999998E-2</c:v>
                </c:pt>
                <c:pt idx="257">
                  <c:v>4.0999999999999995E-2</c:v>
                </c:pt>
                <c:pt idx="258">
                  <c:v>3.7999999999999999E-2</c:v>
                </c:pt>
                <c:pt idx="259">
                  <c:v>3.5000000000000003E-2</c:v>
                </c:pt>
                <c:pt idx="260">
                  <c:v>3.7000000000000005E-2</c:v>
                </c:pt>
                <c:pt idx="261">
                  <c:v>3.5000000000000003E-2</c:v>
                </c:pt>
                <c:pt idx="262">
                  <c:v>3.3000000000000002E-2</c:v>
                </c:pt>
                <c:pt idx="263">
                  <c:v>3.2000000000000001E-2</c:v>
                </c:pt>
                <c:pt idx="264">
                  <c:v>4.2000000000000003E-2</c:v>
                </c:pt>
                <c:pt idx="265">
                  <c:v>4.7E-2</c:v>
                </c:pt>
                <c:pt idx="266">
                  <c:v>4.5999999999999999E-2</c:v>
                </c:pt>
                <c:pt idx="267">
                  <c:v>4.2999999999999997E-2</c:v>
                </c:pt>
                <c:pt idx="268">
                  <c:v>4.0999999999999995E-2</c:v>
                </c:pt>
                <c:pt idx="269">
                  <c:v>5.5999999999999994E-2</c:v>
                </c:pt>
                <c:pt idx="270">
                  <c:v>5.2999999999999999E-2</c:v>
                </c:pt>
                <c:pt idx="271">
                  <c:v>0.05</c:v>
                </c:pt>
                <c:pt idx="272">
                  <c:v>5.2000000000000005E-2</c:v>
                </c:pt>
                <c:pt idx="273">
                  <c:v>5.0999999999999997E-2</c:v>
                </c:pt>
                <c:pt idx="274">
                  <c:v>5.5E-2</c:v>
                </c:pt>
                <c:pt idx="275">
                  <c:v>5.5999999999999994E-2</c:v>
                </c:pt>
                <c:pt idx="276">
                  <c:v>6.6000000000000003E-2</c:v>
                </c:pt>
                <c:pt idx="277">
                  <c:v>6.6000000000000003E-2</c:v>
                </c:pt>
                <c:pt idx="278">
                  <c:v>6.3E-2</c:v>
                </c:pt>
                <c:pt idx="279">
                  <c:v>5.7000000000000002E-2</c:v>
                </c:pt>
                <c:pt idx="280">
                  <c:v>5.2999999999999999E-2</c:v>
                </c:pt>
                <c:pt idx="281">
                  <c:v>6.5000000000000002E-2</c:v>
                </c:pt>
                <c:pt idx="282">
                  <c:v>6.2E-2</c:v>
                </c:pt>
                <c:pt idx="283">
                  <c:v>5.9000000000000004E-2</c:v>
                </c:pt>
                <c:pt idx="284">
                  <c:v>5.7999999999999996E-2</c:v>
                </c:pt>
                <c:pt idx="285">
                  <c:v>5.4000000000000006E-2</c:v>
                </c:pt>
                <c:pt idx="286">
                  <c:v>5.7000000000000002E-2</c:v>
                </c:pt>
                <c:pt idx="287">
                  <c:v>5.5E-2</c:v>
                </c:pt>
                <c:pt idx="288">
                  <c:v>6.5000000000000002E-2</c:v>
                </c:pt>
                <c:pt idx="289">
                  <c:v>6.4000000000000001E-2</c:v>
                </c:pt>
                <c:pt idx="290">
                  <c:v>6.0999999999999999E-2</c:v>
                </c:pt>
                <c:pt idx="291">
                  <c:v>5.5E-2</c:v>
                </c:pt>
                <c:pt idx="292">
                  <c:v>5.0999999999999997E-2</c:v>
                </c:pt>
                <c:pt idx="293">
                  <c:v>6.2E-2</c:v>
                </c:pt>
                <c:pt idx="294">
                  <c:v>5.9000000000000004E-2</c:v>
                </c:pt>
                <c:pt idx="295">
                  <c:v>5.5E-2</c:v>
                </c:pt>
                <c:pt idx="296">
                  <c:v>5.4000000000000006E-2</c:v>
                </c:pt>
                <c:pt idx="297">
                  <c:v>5.0999999999999997E-2</c:v>
                </c:pt>
                <c:pt idx="298">
                  <c:v>4.9000000000000002E-2</c:v>
                </c:pt>
                <c:pt idx="299">
                  <c:v>4.8000000000000001E-2</c:v>
                </c:pt>
                <c:pt idx="300">
                  <c:v>5.5E-2</c:v>
                </c:pt>
                <c:pt idx="301">
                  <c:v>5.5999999999999994E-2</c:v>
                </c:pt>
                <c:pt idx="302">
                  <c:v>5.2000000000000005E-2</c:v>
                </c:pt>
                <c:pt idx="303">
                  <c:v>4.8000000000000001E-2</c:v>
                </c:pt>
                <c:pt idx="304">
                  <c:v>4.4000000000000004E-2</c:v>
                </c:pt>
                <c:pt idx="305">
                  <c:v>5.4000000000000006E-2</c:v>
                </c:pt>
                <c:pt idx="306">
                  <c:v>0.05</c:v>
                </c:pt>
                <c:pt idx="307">
                  <c:v>4.7E-2</c:v>
                </c:pt>
                <c:pt idx="308">
                  <c:v>4.7E-2</c:v>
                </c:pt>
                <c:pt idx="309">
                  <c:v>4.2000000000000003E-2</c:v>
                </c:pt>
                <c:pt idx="310">
                  <c:v>4.5999999999999999E-2</c:v>
                </c:pt>
                <c:pt idx="311">
                  <c:v>4.5999999999999999E-2</c:v>
                </c:pt>
                <c:pt idx="312">
                  <c:v>5.7000000000000002E-2</c:v>
                </c:pt>
                <c:pt idx="313">
                  <c:v>5.7999999999999996E-2</c:v>
                </c:pt>
                <c:pt idx="314">
                  <c:v>5.2999999999999999E-2</c:v>
                </c:pt>
                <c:pt idx="315">
                  <c:v>4.8000000000000001E-2</c:v>
                </c:pt>
                <c:pt idx="316">
                  <c:v>4.5999999999999999E-2</c:v>
                </c:pt>
                <c:pt idx="317">
                  <c:v>5.7999999999999996E-2</c:v>
                </c:pt>
                <c:pt idx="318">
                  <c:v>5.7000000000000002E-2</c:v>
                </c:pt>
                <c:pt idx="319">
                  <c:v>5.2999999999999999E-2</c:v>
                </c:pt>
                <c:pt idx="320">
                  <c:v>5.7000000000000002E-2</c:v>
                </c:pt>
                <c:pt idx="321">
                  <c:v>5.5E-2</c:v>
                </c:pt>
                <c:pt idx="322">
                  <c:v>6.2E-2</c:v>
                </c:pt>
                <c:pt idx="323">
                  <c:v>6.7000000000000004E-2</c:v>
                </c:pt>
                <c:pt idx="324">
                  <c:v>0.09</c:v>
                </c:pt>
                <c:pt idx="325">
                  <c:v>9.0999999999999998E-2</c:v>
                </c:pt>
                <c:pt idx="326">
                  <c:v>9.0999999999999998E-2</c:v>
                </c:pt>
                <c:pt idx="327">
                  <c:v>8.5999999999999993E-2</c:v>
                </c:pt>
                <c:pt idx="328">
                  <c:v>8.3000000000000004E-2</c:v>
                </c:pt>
                <c:pt idx="329">
                  <c:v>9.0999999999999998E-2</c:v>
                </c:pt>
                <c:pt idx="330">
                  <c:v>8.6999999999999994E-2</c:v>
                </c:pt>
                <c:pt idx="331">
                  <c:v>8.199999999999999E-2</c:v>
                </c:pt>
                <c:pt idx="332">
                  <c:v>8.1000000000000003E-2</c:v>
                </c:pt>
                <c:pt idx="333">
                  <c:v>7.8E-2</c:v>
                </c:pt>
                <c:pt idx="334">
                  <c:v>7.8E-2</c:v>
                </c:pt>
                <c:pt idx="335">
                  <c:v>7.8E-2</c:v>
                </c:pt>
                <c:pt idx="336">
                  <c:v>8.8000000000000009E-2</c:v>
                </c:pt>
                <c:pt idx="337">
                  <c:v>8.6999999999999994E-2</c:v>
                </c:pt>
                <c:pt idx="338">
                  <c:v>8.1000000000000003E-2</c:v>
                </c:pt>
                <c:pt idx="339">
                  <c:v>7.400000000000001E-2</c:v>
                </c:pt>
                <c:pt idx="340">
                  <c:v>6.8000000000000005E-2</c:v>
                </c:pt>
                <c:pt idx="341">
                  <c:v>0.08</c:v>
                </c:pt>
                <c:pt idx="342">
                  <c:v>7.8E-2</c:v>
                </c:pt>
                <c:pt idx="343">
                  <c:v>7.5999999999999998E-2</c:v>
                </c:pt>
                <c:pt idx="344">
                  <c:v>7.400000000000001E-2</c:v>
                </c:pt>
                <c:pt idx="345">
                  <c:v>7.2000000000000008E-2</c:v>
                </c:pt>
                <c:pt idx="346">
                  <c:v>7.400000000000001E-2</c:v>
                </c:pt>
                <c:pt idx="347">
                  <c:v>7.400000000000001E-2</c:v>
                </c:pt>
                <c:pt idx="348">
                  <c:v>8.3000000000000004E-2</c:v>
                </c:pt>
                <c:pt idx="349">
                  <c:v>8.5000000000000006E-2</c:v>
                </c:pt>
                <c:pt idx="350">
                  <c:v>7.9000000000000001E-2</c:v>
                </c:pt>
                <c:pt idx="351">
                  <c:v>6.9000000000000006E-2</c:v>
                </c:pt>
                <c:pt idx="352">
                  <c:v>6.4000000000000001E-2</c:v>
                </c:pt>
                <c:pt idx="353">
                  <c:v>7.4999999999999997E-2</c:v>
                </c:pt>
                <c:pt idx="354">
                  <c:v>7.0000000000000007E-2</c:v>
                </c:pt>
                <c:pt idx="355">
                  <c:v>6.8000000000000005E-2</c:v>
                </c:pt>
                <c:pt idx="356">
                  <c:v>6.6000000000000003E-2</c:v>
                </c:pt>
                <c:pt idx="357">
                  <c:v>6.4000000000000001E-2</c:v>
                </c:pt>
                <c:pt idx="358">
                  <c:v>6.5000000000000002E-2</c:v>
                </c:pt>
                <c:pt idx="359">
                  <c:v>0.06</c:v>
                </c:pt>
                <c:pt idx="360">
                  <c:v>7.0999999999999994E-2</c:v>
                </c:pt>
                <c:pt idx="361">
                  <c:v>6.9000000000000006E-2</c:v>
                </c:pt>
                <c:pt idx="362">
                  <c:v>6.6000000000000003E-2</c:v>
                </c:pt>
                <c:pt idx="363">
                  <c:v>5.7999999999999996E-2</c:v>
                </c:pt>
                <c:pt idx="364">
                  <c:v>5.5E-2</c:v>
                </c:pt>
                <c:pt idx="365">
                  <c:v>6.2E-2</c:v>
                </c:pt>
                <c:pt idx="366">
                  <c:v>6.3E-2</c:v>
                </c:pt>
                <c:pt idx="367">
                  <c:v>5.9000000000000004E-2</c:v>
                </c:pt>
                <c:pt idx="368">
                  <c:v>5.7999999999999996E-2</c:v>
                </c:pt>
                <c:pt idx="369">
                  <c:v>5.4000000000000006E-2</c:v>
                </c:pt>
                <c:pt idx="370">
                  <c:v>5.5999999999999994E-2</c:v>
                </c:pt>
                <c:pt idx="371">
                  <c:v>5.7000000000000002E-2</c:v>
                </c:pt>
                <c:pt idx="372">
                  <c:v>6.4000000000000001E-2</c:v>
                </c:pt>
                <c:pt idx="373">
                  <c:v>6.4000000000000001E-2</c:v>
                </c:pt>
                <c:pt idx="374">
                  <c:v>6.0999999999999999E-2</c:v>
                </c:pt>
                <c:pt idx="375">
                  <c:v>5.5E-2</c:v>
                </c:pt>
                <c:pt idx="376">
                  <c:v>5.2000000000000005E-2</c:v>
                </c:pt>
                <c:pt idx="377">
                  <c:v>0.06</c:v>
                </c:pt>
                <c:pt idx="378">
                  <c:v>5.9000000000000004E-2</c:v>
                </c:pt>
                <c:pt idx="379">
                  <c:v>5.9000000000000004E-2</c:v>
                </c:pt>
                <c:pt idx="380">
                  <c:v>5.7000000000000002E-2</c:v>
                </c:pt>
                <c:pt idx="381">
                  <c:v>5.5999999999999994E-2</c:v>
                </c:pt>
                <c:pt idx="382">
                  <c:v>5.5999999999999994E-2</c:v>
                </c:pt>
                <c:pt idx="383">
                  <c:v>5.7000000000000002E-2</c:v>
                </c:pt>
                <c:pt idx="384">
                  <c:v>6.9000000000000006E-2</c:v>
                </c:pt>
                <c:pt idx="385">
                  <c:v>6.8000000000000005E-2</c:v>
                </c:pt>
                <c:pt idx="386">
                  <c:v>6.6000000000000003E-2</c:v>
                </c:pt>
                <c:pt idx="387">
                  <c:v>6.7000000000000004E-2</c:v>
                </c:pt>
                <c:pt idx="388">
                  <c:v>7.0999999999999994E-2</c:v>
                </c:pt>
                <c:pt idx="389">
                  <c:v>7.8E-2</c:v>
                </c:pt>
                <c:pt idx="390">
                  <c:v>7.9000000000000001E-2</c:v>
                </c:pt>
                <c:pt idx="391">
                  <c:v>7.5999999999999998E-2</c:v>
                </c:pt>
                <c:pt idx="392">
                  <c:v>7.2000000000000008E-2</c:v>
                </c:pt>
                <c:pt idx="393">
                  <c:v>7.0999999999999994E-2</c:v>
                </c:pt>
                <c:pt idx="394">
                  <c:v>7.0999999999999994E-2</c:v>
                </c:pt>
                <c:pt idx="395">
                  <c:v>6.9000000000000006E-2</c:v>
                </c:pt>
                <c:pt idx="396">
                  <c:v>8.199999999999999E-2</c:v>
                </c:pt>
                <c:pt idx="397">
                  <c:v>0.08</c:v>
                </c:pt>
                <c:pt idx="398">
                  <c:v>7.6999999999999999E-2</c:v>
                </c:pt>
                <c:pt idx="399">
                  <c:v>7.0000000000000007E-2</c:v>
                </c:pt>
                <c:pt idx="400">
                  <c:v>7.0999999999999994E-2</c:v>
                </c:pt>
                <c:pt idx="401">
                  <c:v>7.6999999999999999E-2</c:v>
                </c:pt>
                <c:pt idx="402">
                  <c:v>7.2999999999999995E-2</c:v>
                </c:pt>
                <c:pt idx="403">
                  <c:v>7.2000000000000008E-2</c:v>
                </c:pt>
                <c:pt idx="404">
                  <c:v>7.2999999999999995E-2</c:v>
                </c:pt>
                <c:pt idx="405">
                  <c:v>7.4999999999999997E-2</c:v>
                </c:pt>
                <c:pt idx="406">
                  <c:v>7.9000000000000001E-2</c:v>
                </c:pt>
                <c:pt idx="407">
                  <c:v>8.3000000000000004E-2</c:v>
                </c:pt>
                <c:pt idx="408">
                  <c:v>9.4E-2</c:v>
                </c:pt>
                <c:pt idx="409">
                  <c:v>9.6000000000000002E-2</c:v>
                </c:pt>
                <c:pt idx="410">
                  <c:v>9.5000000000000001E-2</c:v>
                </c:pt>
                <c:pt idx="411">
                  <c:v>9.1999999999999998E-2</c:v>
                </c:pt>
                <c:pt idx="412">
                  <c:v>9.0999999999999998E-2</c:v>
                </c:pt>
                <c:pt idx="413">
                  <c:v>9.8000000000000004E-2</c:v>
                </c:pt>
                <c:pt idx="414">
                  <c:v>9.8000000000000004E-2</c:v>
                </c:pt>
                <c:pt idx="415">
                  <c:v>9.6000000000000002E-2</c:v>
                </c:pt>
                <c:pt idx="416">
                  <c:v>9.6999999999999989E-2</c:v>
                </c:pt>
                <c:pt idx="417">
                  <c:v>9.9000000000000005E-2</c:v>
                </c:pt>
                <c:pt idx="418">
                  <c:v>0.10400000000000001</c:v>
                </c:pt>
                <c:pt idx="419">
                  <c:v>0.105</c:v>
                </c:pt>
                <c:pt idx="420">
                  <c:v>0.114</c:v>
                </c:pt>
                <c:pt idx="421">
                  <c:v>0.113</c:v>
                </c:pt>
                <c:pt idx="422">
                  <c:v>0.10800000000000001</c:v>
                </c:pt>
                <c:pt idx="423">
                  <c:v>0.1</c:v>
                </c:pt>
                <c:pt idx="424">
                  <c:v>9.8000000000000004E-2</c:v>
                </c:pt>
                <c:pt idx="425">
                  <c:v>0.10199999999999999</c:v>
                </c:pt>
                <c:pt idx="426">
                  <c:v>9.4E-2</c:v>
                </c:pt>
                <c:pt idx="427">
                  <c:v>9.1999999999999998E-2</c:v>
                </c:pt>
                <c:pt idx="428">
                  <c:v>8.8000000000000009E-2</c:v>
                </c:pt>
                <c:pt idx="429">
                  <c:v>8.4000000000000005E-2</c:v>
                </c:pt>
                <c:pt idx="430">
                  <c:v>8.1000000000000003E-2</c:v>
                </c:pt>
                <c:pt idx="431">
                  <c:v>0.08</c:v>
                </c:pt>
                <c:pt idx="432">
                  <c:v>8.8000000000000009E-2</c:v>
                </c:pt>
                <c:pt idx="433">
                  <c:v>8.4000000000000005E-2</c:v>
                </c:pt>
                <c:pt idx="434">
                  <c:v>8.1000000000000003E-2</c:v>
                </c:pt>
                <c:pt idx="435">
                  <c:v>7.5999999999999998E-2</c:v>
                </c:pt>
                <c:pt idx="436">
                  <c:v>7.2000000000000008E-2</c:v>
                </c:pt>
                <c:pt idx="437">
                  <c:v>7.400000000000001E-2</c:v>
                </c:pt>
                <c:pt idx="438">
                  <c:v>7.4999999999999997E-2</c:v>
                </c:pt>
                <c:pt idx="439">
                  <c:v>7.2999999999999995E-2</c:v>
                </c:pt>
                <c:pt idx="440">
                  <c:v>7.0999999999999994E-2</c:v>
                </c:pt>
                <c:pt idx="441">
                  <c:v>7.0000000000000007E-2</c:v>
                </c:pt>
                <c:pt idx="442">
                  <c:v>6.9000000000000006E-2</c:v>
                </c:pt>
                <c:pt idx="443">
                  <c:v>7.0000000000000007E-2</c:v>
                </c:pt>
                <c:pt idx="444">
                  <c:v>0.08</c:v>
                </c:pt>
                <c:pt idx="445">
                  <c:v>7.8E-2</c:v>
                </c:pt>
                <c:pt idx="446">
                  <c:v>7.4999999999999997E-2</c:v>
                </c:pt>
                <c:pt idx="447">
                  <c:v>7.0999999999999994E-2</c:v>
                </c:pt>
                <c:pt idx="448">
                  <c:v>7.0000000000000007E-2</c:v>
                </c:pt>
                <c:pt idx="449">
                  <c:v>7.4999999999999997E-2</c:v>
                </c:pt>
                <c:pt idx="450">
                  <c:v>7.400000000000001E-2</c:v>
                </c:pt>
                <c:pt idx="451">
                  <c:v>6.9000000000000006E-2</c:v>
                </c:pt>
                <c:pt idx="452">
                  <c:v>6.9000000000000006E-2</c:v>
                </c:pt>
                <c:pt idx="453">
                  <c:v>6.8000000000000005E-2</c:v>
                </c:pt>
                <c:pt idx="454">
                  <c:v>6.7000000000000004E-2</c:v>
                </c:pt>
                <c:pt idx="455">
                  <c:v>6.7000000000000004E-2</c:v>
                </c:pt>
                <c:pt idx="456">
                  <c:v>7.2999999999999995E-2</c:v>
                </c:pt>
                <c:pt idx="457">
                  <c:v>7.8E-2</c:v>
                </c:pt>
                <c:pt idx="458">
                  <c:v>7.4999999999999997E-2</c:v>
                </c:pt>
                <c:pt idx="459">
                  <c:v>7.0000000000000007E-2</c:v>
                </c:pt>
                <c:pt idx="460">
                  <c:v>7.0000000000000007E-2</c:v>
                </c:pt>
                <c:pt idx="461">
                  <c:v>7.2999999999999995E-2</c:v>
                </c:pt>
                <c:pt idx="462">
                  <c:v>7.0000000000000007E-2</c:v>
                </c:pt>
                <c:pt idx="463">
                  <c:v>6.7000000000000004E-2</c:v>
                </c:pt>
                <c:pt idx="464">
                  <c:v>6.8000000000000005E-2</c:v>
                </c:pt>
                <c:pt idx="465">
                  <c:v>6.6000000000000003E-2</c:v>
                </c:pt>
                <c:pt idx="466">
                  <c:v>6.6000000000000003E-2</c:v>
                </c:pt>
                <c:pt idx="467">
                  <c:v>6.3E-2</c:v>
                </c:pt>
                <c:pt idx="468">
                  <c:v>7.2999999999999995E-2</c:v>
                </c:pt>
                <c:pt idx="469">
                  <c:v>7.2000000000000008E-2</c:v>
                </c:pt>
                <c:pt idx="470">
                  <c:v>6.9000000000000006E-2</c:v>
                </c:pt>
                <c:pt idx="471">
                  <c:v>6.2E-2</c:v>
                </c:pt>
                <c:pt idx="472">
                  <c:v>6.0999999999999999E-2</c:v>
                </c:pt>
                <c:pt idx="473">
                  <c:v>6.3E-2</c:v>
                </c:pt>
                <c:pt idx="474">
                  <c:v>6.0999999999999999E-2</c:v>
                </c:pt>
                <c:pt idx="475">
                  <c:v>5.7999999999999996E-2</c:v>
                </c:pt>
                <c:pt idx="476">
                  <c:v>5.7000000000000002E-2</c:v>
                </c:pt>
                <c:pt idx="477">
                  <c:v>5.7000000000000002E-2</c:v>
                </c:pt>
                <c:pt idx="478">
                  <c:v>5.5999999999999994E-2</c:v>
                </c:pt>
                <c:pt idx="479">
                  <c:v>5.4000000000000006E-2</c:v>
                </c:pt>
                <c:pt idx="480">
                  <c:v>6.3E-2</c:v>
                </c:pt>
                <c:pt idx="481">
                  <c:v>6.2E-2</c:v>
                </c:pt>
                <c:pt idx="482">
                  <c:v>5.9000000000000004E-2</c:v>
                </c:pt>
                <c:pt idx="483">
                  <c:v>5.2999999999999999E-2</c:v>
                </c:pt>
                <c:pt idx="484">
                  <c:v>5.4000000000000006E-2</c:v>
                </c:pt>
                <c:pt idx="485">
                  <c:v>5.5E-2</c:v>
                </c:pt>
                <c:pt idx="486">
                  <c:v>5.5E-2</c:v>
                </c:pt>
                <c:pt idx="487">
                  <c:v>5.4000000000000006E-2</c:v>
                </c:pt>
                <c:pt idx="488">
                  <c:v>5.2000000000000005E-2</c:v>
                </c:pt>
                <c:pt idx="489">
                  <c:v>0.05</c:v>
                </c:pt>
                <c:pt idx="490">
                  <c:v>5.2000000000000005E-2</c:v>
                </c:pt>
                <c:pt idx="491">
                  <c:v>0.05</c:v>
                </c:pt>
                <c:pt idx="492">
                  <c:v>0.06</c:v>
                </c:pt>
                <c:pt idx="493">
                  <c:v>5.5999999999999994E-2</c:v>
                </c:pt>
                <c:pt idx="494">
                  <c:v>5.2000000000000005E-2</c:v>
                </c:pt>
                <c:pt idx="495">
                  <c:v>5.0999999999999997E-2</c:v>
                </c:pt>
                <c:pt idx="496">
                  <c:v>0.05</c:v>
                </c:pt>
                <c:pt idx="497">
                  <c:v>5.5E-2</c:v>
                </c:pt>
                <c:pt idx="498">
                  <c:v>5.2999999999999999E-2</c:v>
                </c:pt>
                <c:pt idx="499">
                  <c:v>5.0999999999999997E-2</c:v>
                </c:pt>
                <c:pt idx="500">
                  <c:v>5.0999999999999997E-2</c:v>
                </c:pt>
                <c:pt idx="501">
                  <c:v>0.05</c:v>
                </c:pt>
                <c:pt idx="502">
                  <c:v>5.2000000000000005E-2</c:v>
                </c:pt>
                <c:pt idx="503">
                  <c:v>5.0999999999999997E-2</c:v>
                </c:pt>
                <c:pt idx="504">
                  <c:v>0.06</c:v>
                </c:pt>
                <c:pt idx="505">
                  <c:v>5.9000000000000004E-2</c:v>
                </c:pt>
                <c:pt idx="506">
                  <c:v>5.5E-2</c:v>
                </c:pt>
                <c:pt idx="507">
                  <c:v>5.2999999999999999E-2</c:v>
                </c:pt>
                <c:pt idx="508">
                  <c:v>5.2000000000000005E-2</c:v>
                </c:pt>
                <c:pt idx="509">
                  <c:v>5.4000000000000006E-2</c:v>
                </c:pt>
                <c:pt idx="510">
                  <c:v>5.5999999999999994E-2</c:v>
                </c:pt>
                <c:pt idx="511">
                  <c:v>5.5E-2</c:v>
                </c:pt>
                <c:pt idx="512">
                  <c:v>5.5999999999999994E-2</c:v>
                </c:pt>
                <c:pt idx="513">
                  <c:v>5.5E-2</c:v>
                </c:pt>
                <c:pt idx="514">
                  <c:v>5.9000000000000004E-2</c:v>
                </c:pt>
                <c:pt idx="515">
                  <c:v>0.06</c:v>
                </c:pt>
                <c:pt idx="516">
                  <c:v>7.0999999999999994E-2</c:v>
                </c:pt>
                <c:pt idx="517">
                  <c:v>7.2999999999999995E-2</c:v>
                </c:pt>
                <c:pt idx="518">
                  <c:v>7.2000000000000008E-2</c:v>
                </c:pt>
                <c:pt idx="519">
                  <c:v>6.5000000000000002E-2</c:v>
                </c:pt>
                <c:pt idx="520">
                  <c:v>6.7000000000000004E-2</c:v>
                </c:pt>
                <c:pt idx="521">
                  <c:v>7.0000000000000007E-2</c:v>
                </c:pt>
                <c:pt idx="522">
                  <c:v>6.8000000000000005E-2</c:v>
                </c:pt>
                <c:pt idx="523">
                  <c:v>6.6000000000000003E-2</c:v>
                </c:pt>
                <c:pt idx="524">
                  <c:v>6.5000000000000002E-2</c:v>
                </c:pt>
                <c:pt idx="525">
                  <c:v>6.5000000000000002E-2</c:v>
                </c:pt>
                <c:pt idx="526">
                  <c:v>6.7000000000000004E-2</c:v>
                </c:pt>
                <c:pt idx="527">
                  <c:v>6.9000000000000006E-2</c:v>
                </c:pt>
                <c:pt idx="528">
                  <c:v>8.1000000000000003E-2</c:v>
                </c:pt>
                <c:pt idx="529">
                  <c:v>8.199999999999999E-2</c:v>
                </c:pt>
                <c:pt idx="530">
                  <c:v>7.8E-2</c:v>
                </c:pt>
                <c:pt idx="531">
                  <c:v>7.2000000000000008E-2</c:v>
                </c:pt>
                <c:pt idx="532">
                  <c:v>7.2999999999999995E-2</c:v>
                </c:pt>
                <c:pt idx="533">
                  <c:v>0.08</c:v>
                </c:pt>
                <c:pt idx="534">
                  <c:v>7.6999999999999999E-2</c:v>
                </c:pt>
                <c:pt idx="535">
                  <c:v>7.400000000000001E-2</c:v>
                </c:pt>
                <c:pt idx="536">
                  <c:v>7.2999999999999995E-2</c:v>
                </c:pt>
                <c:pt idx="537">
                  <c:v>6.9000000000000006E-2</c:v>
                </c:pt>
                <c:pt idx="538">
                  <c:v>7.0999999999999994E-2</c:v>
                </c:pt>
                <c:pt idx="539">
                  <c:v>7.0999999999999994E-2</c:v>
                </c:pt>
                <c:pt idx="540">
                  <c:v>0.08</c:v>
                </c:pt>
                <c:pt idx="541">
                  <c:v>7.8E-2</c:v>
                </c:pt>
                <c:pt idx="542">
                  <c:v>7.400000000000001E-2</c:v>
                </c:pt>
                <c:pt idx="543">
                  <c:v>6.9000000000000006E-2</c:v>
                </c:pt>
                <c:pt idx="544">
                  <c:v>6.8000000000000005E-2</c:v>
                </c:pt>
                <c:pt idx="545">
                  <c:v>7.2000000000000008E-2</c:v>
                </c:pt>
                <c:pt idx="546">
                  <c:v>7.0000000000000007E-2</c:v>
                </c:pt>
                <c:pt idx="547">
                  <c:v>6.6000000000000003E-2</c:v>
                </c:pt>
                <c:pt idx="548">
                  <c:v>6.4000000000000001E-2</c:v>
                </c:pt>
                <c:pt idx="549">
                  <c:v>6.4000000000000001E-2</c:v>
                </c:pt>
                <c:pt idx="550">
                  <c:v>6.2E-2</c:v>
                </c:pt>
                <c:pt idx="551">
                  <c:v>6.0999999999999999E-2</c:v>
                </c:pt>
                <c:pt idx="552">
                  <c:v>7.2999999999999995E-2</c:v>
                </c:pt>
                <c:pt idx="553">
                  <c:v>7.0999999999999994E-2</c:v>
                </c:pt>
                <c:pt idx="554">
                  <c:v>6.8000000000000005E-2</c:v>
                </c:pt>
                <c:pt idx="555">
                  <c:v>6.2E-2</c:v>
                </c:pt>
                <c:pt idx="556">
                  <c:v>5.9000000000000004E-2</c:v>
                </c:pt>
                <c:pt idx="557">
                  <c:v>6.2E-2</c:v>
                </c:pt>
                <c:pt idx="558">
                  <c:v>6.2E-2</c:v>
                </c:pt>
                <c:pt idx="559">
                  <c:v>5.9000000000000004E-2</c:v>
                </c:pt>
                <c:pt idx="560">
                  <c:v>5.5999999999999994E-2</c:v>
                </c:pt>
                <c:pt idx="561">
                  <c:v>5.4000000000000006E-2</c:v>
                </c:pt>
                <c:pt idx="562">
                  <c:v>5.2999999999999999E-2</c:v>
                </c:pt>
                <c:pt idx="563">
                  <c:v>5.0999999999999997E-2</c:v>
                </c:pt>
                <c:pt idx="564">
                  <c:v>6.2E-2</c:v>
                </c:pt>
                <c:pt idx="565">
                  <c:v>5.9000000000000004E-2</c:v>
                </c:pt>
                <c:pt idx="566">
                  <c:v>5.7000000000000002E-2</c:v>
                </c:pt>
                <c:pt idx="567">
                  <c:v>5.5999999999999994E-2</c:v>
                </c:pt>
                <c:pt idx="568">
                  <c:v>5.5E-2</c:v>
                </c:pt>
                <c:pt idx="569">
                  <c:v>5.7999999999999996E-2</c:v>
                </c:pt>
                <c:pt idx="570">
                  <c:v>5.9000000000000004E-2</c:v>
                </c:pt>
                <c:pt idx="571">
                  <c:v>5.5999999999999994E-2</c:v>
                </c:pt>
                <c:pt idx="572">
                  <c:v>5.4000000000000006E-2</c:v>
                </c:pt>
                <c:pt idx="573">
                  <c:v>5.2000000000000005E-2</c:v>
                </c:pt>
                <c:pt idx="574">
                  <c:v>5.2999999999999999E-2</c:v>
                </c:pt>
                <c:pt idx="575">
                  <c:v>5.2000000000000005E-2</c:v>
                </c:pt>
                <c:pt idx="576">
                  <c:v>6.3E-2</c:v>
                </c:pt>
                <c:pt idx="577">
                  <c:v>0.06</c:v>
                </c:pt>
                <c:pt idx="578">
                  <c:v>5.7999999999999996E-2</c:v>
                </c:pt>
                <c:pt idx="579">
                  <c:v>5.4000000000000006E-2</c:v>
                </c:pt>
                <c:pt idx="580">
                  <c:v>5.4000000000000006E-2</c:v>
                </c:pt>
                <c:pt idx="581">
                  <c:v>5.5E-2</c:v>
                </c:pt>
                <c:pt idx="582">
                  <c:v>5.5999999999999994E-2</c:v>
                </c:pt>
                <c:pt idx="583">
                  <c:v>5.0999999999999997E-2</c:v>
                </c:pt>
                <c:pt idx="584">
                  <c:v>0.05</c:v>
                </c:pt>
                <c:pt idx="585">
                  <c:v>4.9000000000000002E-2</c:v>
                </c:pt>
                <c:pt idx="586">
                  <c:v>0.05</c:v>
                </c:pt>
                <c:pt idx="587">
                  <c:v>0.05</c:v>
                </c:pt>
                <c:pt idx="588">
                  <c:v>5.9000000000000004E-2</c:v>
                </c:pt>
                <c:pt idx="589">
                  <c:v>5.7000000000000002E-2</c:v>
                </c:pt>
                <c:pt idx="590">
                  <c:v>5.5E-2</c:v>
                </c:pt>
                <c:pt idx="591">
                  <c:v>4.8000000000000001E-2</c:v>
                </c:pt>
                <c:pt idx="592">
                  <c:v>4.7E-2</c:v>
                </c:pt>
                <c:pt idx="593">
                  <c:v>5.2000000000000005E-2</c:v>
                </c:pt>
                <c:pt idx="594">
                  <c:v>0.05</c:v>
                </c:pt>
                <c:pt idx="595">
                  <c:v>4.8000000000000001E-2</c:v>
                </c:pt>
                <c:pt idx="596">
                  <c:v>4.7E-2</c:v>
                </c:pt>
                <c:pt idx="597">
                  <c:v>4.4000000000000004E-2</c:v>
                </c:pt>
                <c:pt idx="598">
                  <c:v>4.2999999999999997E-2</c:v>
                </c:pt>
                <c:pt idx="599">
                  <c:v>4.4000000000000004E-2</c:v>
                </c:pt>
                <c:pt idx="600">
                  <c:v>5.2000000000000005E-2</c:v>
                </c:pt>
                <c:pt idx="601">
                  <c:v>0.05</c:v>
                </c:pt>
                <c:pt idx="602">
                  <c:v>0.05</c:v>
                </c:pt>
                <c:pt idx="603">
                  <c:v>4.0999999999999995E-2</c:v>
                </c:pt>
                <c:pt idx="604">
                  <c:v>4.2000000000000003E-2</c:v>
                </c:pt>
                <c:pt idx="605">
                  <c:v>4.7E-2</c:v>
                </c:pt>
                <c:pt idx="606">
                  <c:v>4.7E-2</c:v>
                </c:pt>
                <c:pt idx="607">
                  <c:v>4.4999999999999998E-2</c:v>
                </c:pt>
                <c:pt idx="608">
                  <c:v>4.4000000000000004E-2</c:v>
                </c:pt>
                <c:pt idx="609">
                  <c:v>4.2000000000000003E-2</c:v>
                </c:pt>
                <c:pt idx="610">
                  <c:v>4.0999999999999995E-2</c:v>
                </c:pt>
                <c:pt idx="611">
                  <c:v>0.04</c:v>
                </c:pt>
                <c:pt idx="612">
                  <c:v>4.8000000000000001E-2</c:v>
                </c:pt>
                <c:pt idx="613">
                  <c:v>4.7E-2</c:v>
                </c:pt>
                <c:pt idx="614">
                  <c:v>4.4000000000000004E-2</c:v>
                </c:pt>
                <c:pt idx="615">
                  <c:v>4.0999999999999995E-2</c:v>
                </c:pt>
                <c:pt idx="616">
                  <c:v>0.04</c:v>
                </c:pt>
                <c:pt idx="617">
                  <c:v>4.4999999999999998E-2</c:v>
                </c:pt>
                <c:pt idx="618">
                  <c:v>4.4999999999999998E-2</c:v>
                </c:pt>
                <c:pt idx="619">
                  <c:v>4.2000000000000003E-2</c:v>
                </c:pt>
                <c:pt idx="620">
                  <c:v>4.0999999999999995E-2</c:v>
                </c:pt>
                <c:pt idx="621">
                  <c:v>3.7999999999999999E-2</c:v>
                </c:pt>
                <c:pt idx="622">
                  <c:v>3.7999999999999999E-2</c:v>
                </c:pt>
                <c:pt idx="623">
                  <c:v>3.7000000000000005E-2</c:v>
                </c:pt>
                <c:pt idx="624">
                  <c:v>4.4999999999999998E-2</c:v>
                </c:pt>
                <c:pt idx="625">
                  <c:v>4.4000000000000004E-2</c:v>
                </c:pt>
                <c:pt idx="626">
                  <c:v>4.2999999999999997E-2</c:v>
                </c:pt>
                <c:pt idx="627">
                  <c:v>3.7000000000000005E-2</c:v>
                </c:pt>
                <c:pt idx="628">
                  <c:v>3.7999999999999999E-2</c:v>
                </c:pt>
                <c:pt idx="629">
                  <c:v>4.0999999999999995E-2</c:v>
                </c:pt>
                <c:pt idx="630">
                  <c:v>4.2000000000000003E-2</c:v>
                </c:pt>
                <c:pt idx="631">
                  <c:v>4.0999999999999995E-2</c:v>
                </c:pt>
                <c:pt idx="632">
                  <c:v>3.7999999999999999E-2</c:v>
                </c:pt>
                <c:pt idx="633">
                  <c:v>3.6000000000000004E-2</c:v>
                </c:pt>
                <c:pt idx="634">
                  <c:v>3.7000000000000005E-2</c:v>
                </c:pt>
                <c:pt idx="635">
                  <c:v>3.7000000000000005E-2</c:v>
                </c:pt>
                <c:pt idx="636">
                  <c:v>4.7E-2</c:v>
                </c:pt>
                <c:pt idx="637">
                  <c:v>4.5999999999999999E-2</c:v>
                </c:pt>
                <c:pt idx="638">
                  <c:v>4.4999999999999998E-2</c:v>
                </c:pt>
                <c:pt idx="639">
                  <c:v>4.2000000000000003E-2</c:v>
                </c:pt>
                <c:pt idx="640">
                  <c:v>4.0999999999999995E-2</c:v>
                </c:pt>
                <c:pt idx="641">
                  <c:v>4.7E-2</c:v>
                </c:pt>
                <c:pt idx="642">
                  <c:v>4.7E-2</c:v>
                </c:pt>
                <c:pt idx="643">
                  <c:v>4.9000000000000002E-2</c:v>
                </c:pt>
                <c:pt idx="644">
                  <c:v>4.7E-2</c:v>
                </c:pt>
                <c:pt idx="645">
                  <c:v>0.05</c:v>
                </c:pt>
                <c:pt idx="646">
                  <c:v>5.2999999999999999E-2</c:v>
                </c:pt>
                <c:pt idx="647">
                  <c:v>5.4000000000000006E-2</c:v>
                </c:pt>
                <c:pt idx="648">
                  <c:v>6.3E-2</c:v>
                </c:pt>
                <c:pt idx="649">
                  <c:v>6.0999999999999999E-2</c:v>
                </c:pt>
                <c:pt idx="650">
                  <c:v>6.0999999999999999E-2</c:v>
                </c:pt>
                <c:pt idx="651">
                  <c:v>5.7000000000000002E-2</c:v>
                </c:pt>
                <c:pt idx="652">
                  <c:v>5.5E-2</c:v>
                </c:pt>
                <c:pt idx="653">
                  <c:v>0.06</c:v>
                </c:pt>
                <c:pt idx="654">
                  <c:v>5.9000000000000004E-2</c:v>
                </c:pt>
                <c:pt idx="655">
                  <c:v>5.7000000000000002E-2</c:v>
                </c:pt>
                <c:pt idx="656">
                  <c:v>5.4000000000000006E-2</c:v>
                </c:pt>
                <c:pt idx="657">
                  <c:v>5.2999999999999999E-2</c:v>
                </c:pt>
                <c:pt idx="658">
                  <c:v>5.5999999999999994E-2</c:v>
                </c:pt>
                <c:pt idx="659">
                  <c:v>5.7000000000000002E-2</c:v>
                </c:pt>
                <c:pt idx="660">
                  <c:v>6.5000000000000002E-2</c:v>
                </c:pt>
                <c:pt idx="661">
                  <c:v>6.4000000000000001E-2</c:v>
                </c:pt>
                <c:pt idx="662">
                  <c:v>6.2E-2</c:v>
                </c:pt>
                <c:pt idx="663">
                  <c:v>5.7999999999999996E-2</c:v>
                </c:pt>
                <c:pt idx="664">
                  <c:v>5.7999999999999996E-2</c:v>
                </c:pt>
                <c:pt idx="665">
                  <c:v>6.5000000000000002E-2</c:v>
                </c:pt>
                <c:pt idx="666">
                  <c:v>6.3E-2</c:v>
                </c:pt>
                <c:pt idx="667">
                  <c:v>0.06</c:v>
                </c:pt>
                <c:pt idx="668">
                  <c:v>5.7999999999999996E-2</c:v>
                </c:pt>
                <c:pt idx="669">
                  <c:v>5.5999999999999994E-2</c:v>
                </c:pt>
                <c:pt idx="670">
                  <c:v>5.5999999999999994E-2</c:v>
                </c:pt>
                <c:pt idx="671">
                  <c:v>5.4000000000000006E-2</c:v>
                </c:pt>
                <c:pt idx="672">
                  <c:v>6.3E-2</c:v>
                </c:pt>
                <c:pt idx="673">
                  <c:v>0.06</c:v>
                </c:pt>
                <c:pt idx="674">
                  <c:v>0.06</c:v>
                </c:pt>
                <c:pt idx="675">
                  <c:v>5.4000000000000006E-2</c:v>
                </c:pt>
                <c:pt idx="676">
                  <c:v>5.2999999999999999E-2</c:v>
                </c:pt>
                <c:pt idx="677">
                  <c:v>5.7999999999999996E-2</c:v>
                </c:pt>
                <c:pt idx="678">
                  <c:v>5.7000000000000002E-2</c:v>
                </c:pt>
                <c:pt idx="679">
                  <c:v>5.4000000000000006E-2</c:v>
                </c:pt>
                <c:pt idx="680">
                  <c:v>5.0999999999999997E-2</c:v>
                </c:pt>
                <c:pt idx="681">
                  <c:v>5.0999999999999997E-2</c:v>
                </c:pt>
                <c:pt idx="682">
                  <c:v>5.2000000000000005E-2</c:v>
                </c:pt>
                <c:pt idx="683">
                  <c:v>5.0999999999999997E-2</c:v>
                </c:pt>
                <c:pt idx="684">
                  <c:v>5.7000000000000002E-2</c:v>
                </c:pt>
                <c:pt idx="685">
                  <c:v>5.7999999999999996E-2</c:v>
                </c:pt>
                <c:pt idx="686">
                  <c:v>5.4000000000000006E-2</c:v>
                </c:pt>
                <c:pt idx="687">
                  <c:v>4.9000000000000002E-2</c:v>
                </c:pt>
                <c:pt idx="688">
                  <c:v>4.9000000000000002E-2</c:v>
                </c:pt>
                <c:pt idx="689">
                  <c:v>5.2000000000000005E-2</c:v>
                </c:pt>
                <c:pt idx="690">
                  <c:v>5.2000000000000005E-2</c:v>
                </c:pt>
                <c:pt idx="691">
                  <c:v>4.9000000000000002E-2</c:v>
                </c:pt>
                <c:pt idx="692">
                  <c:v>4.8000000000000001E-2</c:v>
                </c:pt>
                <c:pt idx="693">
                  <c:v>4.5999999999999999E-2</c:v>
                </c:pt>
                <c:pt idx="694">
                  <c:v>4.8000000000000001E-2</c:v>
                </c:pt>
                <c:pt idx="695">
                  <c:v>4.5999999999999999E-2</c:v>
                </c:pt>
                <c:pt idx="696">
                  <c:v>5.0999999999999997E-2</c:v>
                </c:pt>
                <c:pt idx="697">
                  <c:v>5.0999999999999997E-2</c:v>
                </c:pt>
                <c:pt idx="698">
                  <c:v>4.8000000000000001E-2</c:v>
                </c:pt>
                <c:pt idx="699">
                  <c:v>4.4999999999999998E-2</c:v>
                </c:pt>
                <c:pt idx="700">
                  <c:v>4.4000000000000004E-2</c:v>
                </c:pt>
                <c:pt idx="701">
                  <c:v>4.8000000000000001E-2</c:v>
                </c:pt>
                <c:pt idx="702">
                  <c:v>0.05</c:v>
                </c:pt>
                <c:pt idx="703">
                  <c:v>4.5999999999999999E-2</c:v>
                </c:pt>
                <c:pt idx="704">
                  <c:v>4.4000000000000004E-2</c:v>
                </c:pt>
                <c:pt idx="705">
                  <c:v>4.0999999999999995E-2</c:v>
                </c:pt>
                <c:pt idx="706">
                  <c:v>4.2999999999999997E-2</c:v>
                </c:pt>
                <c:pt idx="707">
                  <c:v>4.2999999999999997E-2</c:v>
                </c:pt>
                <c:pt idx="708">
                  <c:v>0.05</c:v>
                </c:pt>
                <c:pt idx="709">
                  <c:v>4.9000000000000002E-2</c:v>
                </c:pt>
                <c:pt idx="710">
                  <c:v>4.4999999999999998E-2</c:v>
                </c:pt>
                <c:pt idx="711">
                  <c:v>4.2999999999999997E-2</c:v>
                </c:pt>
                <c:pt idx="712">
                  <c:v>4.2999999999999997E-2</c:v>
                </c:pt>
                <c:pt idx="713">
                  <c:v>4.7E-2</c:v>
                </c:pt>
                <c:pt idx="714">
                  <c:v>4.9000000000000002E-2</c:v>
                </c:pt>
                <c:pt idx="715">
                  <c:v>4.5999999999999999E-2</c:v>
                </c:pt>
                <c:pt idx="716">
                  <c:v>4.4999999999999998E-2</c:v>
                </c:pt>
                <c:pt idx="717">
                  <c:v>4.4000000000000004E-2</c:v>
                </c:pt>
                <c:pt idx="718">
                  <c:v>4.4999999999999998E-2</c:v>
                </c:pt>
                <c:pt idx="719">
                  <c:v>4.8000000000000001E-2</c:v>
                </c:pt>
                <c:pt idx="720">
                  <c:v>5.4000000000000006E-2</c:v>
                </c:pt>
                <c:pt idx="721">
                  <c:v>5.2000000000000005E-2</c:v>
                </c:pt>
                <c:pt idx="722">
                  <c:v>5.2000000000000005E-2</c:v>
                </c:pt>
                <c:pt idx="723">
                  <c:v>4.8000000000000001E-2</c:v>
                </c:pt>
                <c:pt idx="724">
                  <c:v>5.2000000000000005E-2</c:v>
                </c:pt>
                <c:pt idx="725">
                  <c:v>5.7000000000000002E-2</c:v>
                </c:pt>
                <c:pt idx="726">
                  <c:v>0.06</c:v>
                </c:pt>
                <c:pt idx="727">
                  <c:v>6.0999999999999999E-2</c:v>
                </c:pt>
                <c:pt idx="728">
                  <c:v>0.06</c:v>
                </c:pt>
                <c:pt idx="729">
                  <c:v>6.0999999999999999E-2</c:v>
                </c:pt>
                <c:pt idx="730">
                  <c:v>6.5000000000000002E-2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8.900000000000001E-2</c:v>
                </c:pt>
                <c:pt idx="734">
                  <c:v>0.09</c:v>
                </c:pt>
                <c:pt idx="735">
                  <c:v>8.5999999999999993E-2</c:v>
                </c:pt>
                <c:pt idx="736">
                  <c:v>9.0999999999999998E-2</c:v>
                </c:pt>
                <c:pt idx="737">
                  <c:v>9.6999999999999989E-2</c:v>
                </c:pt>
                <c:pt idx="738">
                  <c:v>9.6999999999999989E-2</c:v>
                </c:pt>
                <c:pt idx="739">
                  <c:v>9.6000000000000002E-2</c:v>
                </c:pt>
                <c:pt idx="740">
                  <c:v>9.5000000000000001E-2</c:v>
                </c:pt>
                <c:pt idx="741">
                  <c:v>9.5000000000000001E-2</c:v>
                </c:pt>
                <c:pt idx="742">
                  <c:v>9.4E-2</c:v>
                </c:pt>
                <c:pt idx="743">
                  <c:v>9.6999999999999989E-2</c:v>
                </c:pt>
                <c:pt idx="744">
                  <c:v>0.106</c:v>
                </c:pt>
                <c:pt idx="745">
                  <c:v>0.10400000000000001</c:v>
                </c:pt>
                <c:pt idx="746">
                  <c:v>0.10199999999999999</c:v>
                </c:pt>
                <c:pt idx="747">
                  <c:v>9.5000000000000001E-2</c:v>
                </c:pt>
                <c:pt idx="748">
                  <c:v>9.3000000000000013E-2</c:v>
                </c:pt>
                <c:pt idx="749">
                  <c:v>9.6000000000000002E-2</c:v>
                </c:pt>
                <c:pt idx="750">
                  <c:v>9.6999999999999989E-2</c:v>
                </c:pt>
                <c:pt idx="751">
                  <c:v>9.5000000000000001E-2</c:v>
                </c:pt>
                <c:pt idx="752">
                  <c:v>9.1999999999999998E-2</c:v>
                </c:pt>
                <c:pt idx="753">
                  <c:v>0.09</c:v>
                </c:pt>
                <c:pt idx="754">
                  <c:v>9.3000000000000013E-2</c:v>
                </c:pt>
                <c:pt idx="755">
                  <c:v>9.0999999999999998E-2</c:v>
                </c:pt>
                <c:pt idx="756">
                  <c:v>9.8000000000000004E-2</c:v>
                </c:pt>
                <c:pt idx="757">
                  <c:v>9.5000000000000001E-2</c:v>
                </c:pt>
                <c:pt idx="758">
                  <c:v>9.1999999999999998E-2</c:v>
                </c:pt>
                <c:pt idx="759">
                  <c:v>8.6999999999999994E-2</c:v>
                </c:pt>
                <c:pt idx="760">
                  <c:v>8.6999999999999994E-2</c:v>
                </c:pt>
                <c:pt idx="761">
                  <c:v>9.3000000000000013E-2</c:v>
                </c:pt>
                <c:pt idx="762">
                  <c:v>9.3000000000000013E-2</c:v>
                </c:pt>
                <c:pt idx="763">
                  <c:v>9.0999999999999998E-2</c:v>
                </c:pt>
                <c:pt idx="764">
                  <c:v>8.8000000000000009E-2</c:v>
                </c:pt>
                <c:pt idx="765">
                  <c:v>8.5000000000000006E-2</c:v>
                </c:pt>
                <c:pt idx="766">
                  <c:v>8.199999999999999E-2</c:v>
                </c:pt>
                <c:pt idx="767">
                  <c:v>8.3000000000000004E-2</c:v>
                </c:pt>
                <c:pt idx="768">
                  <c:v>8.8000000000000009E-2</c:v>
                </c:pt>
                <c:pt idx="769">
                  <c:v>8.6999999999999994E-2</c:v>
                </c:pt>
                <c:pt idx="770">
                  <c:v>8.4000000000000005E-2</c:v>
                </c:pt>
                <c:pt idx="771">
                  <c:v>7.6999999999999999E-2</c:v>
                </c:pt>
                <c:pt idx="772">
                  <c:v>7.9000000000000001E-2</c:v>
                </c:pt>
                <c:pt idx="773">
                  <c:v>8.4000000000000005E-2</c:v>
                </c:pt>
                <c:pt idx="774">
                  <c:v>8.5999999999999993E-2</c:v>
                </c:pt>
                <c:pt idx="775">
                  <c:v>8.199999999999999E-2</c:v>
                </c:pt>
                <c:pt idx="776">
                  <c:v>7.5999999999999998E-2</c:v>
                </c:pt>
                <c:pt idx="777">
                  <c:v>7.4999999999999997E-2</c:v>
                </c:pt>
                <c:pt idx="778">
                  <c:v>7.400000000000001E-2</c:v>
                </c:pt>
                <c:pt idx="779">
                  <c:v>7.5999999999999998E-2</c:v>
                </c:pt>
                <c:pt idx="780">
                  <c:v>8.5000000000000006E-2</c:v>
                </c:pt>
                <c:pt idx="781">
                  <c:v>8.1000000000000003E-2</c:v>
                </c:pt>
                <c:pt idx="782">
                  <c:v>7.5999999999999998E-2</c:v>
                </c:pt>
                <c:pt idx="783">
                  <c:v>7.0999999999999994E-2</c:v>
                </c:pt>
                <c:pt idx="784">
                  <c:v>7.2999999999999995E-2</c:v>
                </c:pt>
                <c:pt idx="785">
                  <c:v>7.8E-2</c:v>
                </c:pt>
                <c:pt idx="786">
                  <c:v>7.6999999999999999E-2</c:v>
                </c:pt>
                <c:pt idx="787">
                  <c:v>7.2999999999999995E-2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6.6000000000000003E-2</c:v>
                </c:pt>
                <c:pt idx="791">
                  <c:v>6.5000000000000002E-2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6.8000000000000005E-2</c:v>
                </c:pt>
                <c:pt idx="795">
                  <c:v>5.9000000000000004E-2</c:v>
                </c:pt>
                <c:pt idx="796">
                  <c:v>6.0999999999999999E-2</c:v>
                </c:pt>
                <c:pt idx="797">
                  <c:v>6.3E-2</c:v>
                </c:pt>
                <c:pt idx="798">
                  <c:v>6.5000000000000002E-2</c:v>
                </c:pt>
                <c:pt idx="799">
                  <c:v>6.3E-2</c:v>
                </c:pt>
                <c:pt idx="800">
                  <c:v>5.7000000000000002E-2</c:v>
                </c:pt>
                <c:pt idx="801">
                  <c:v>5.5E-2</c:v>
                </c:pt>
                <c:pt idx="802">
                  <c:v>5.5E-2</c:v>
                </c:pt>
                <c:pt idx="803">
                  <c:v>5.4000000000000006E-2</c:v>
                </c:pt>
                <c:pt idx="804">
                  <c:v>6.0999999999999999E-2</c:v>
                </c:pt>
                <c:pt idx="805">
                  <c:v>5.7999999999999996E-2</c:v>
                </c:pt>
                <c:pt idx="806">
                  <c:v>5.5999999999999994E-2</c:v>
                </c:pt>
                <c:pt idx="807">
                  <c:v>5.0999999999999997E-2</c:v>
                </c:pt>
                <c:pt idx="808">
                  <c:v>5.2999999999999999E-2</c:v>
                </c:pt>
                <c:pt idx="809">
                  <c:v>5.5E-2</c:v>
                </c:pt>
                <c:pt idx="810">
                  <c:v>5.5999999999999994E-2</c:v>
                </c:pt>
                <c:pt idx="811">
                  <c:v>5.2000000000000005E-2</c:v>
                </c:pt>
                <c:pt idx="812">
                  <c:v>4.9000000000000002E-2</c:v>
                </c:pt>
                <c:pt idx="813">
                  <c:v>4.8000000000000001E-2</c:v>
                </c:pt>
                <c:pt idx="814">
                  <c:v>4.8000000000000001E-2</c:v>
                </c:pt>
                <c:pt idx="815">
                  <c:v>4.8000000000000001E-2</c:v>
                </c:pt>
                <c:pt idx="816">
                  <c:v>5.2999999999999999E-2</c:v>
                </c:pt>
                <c:pt idx="817">
                  <c:v>5.2000000000000005E-2</c:v>
                </c:pt>
                <c:pt idx="818">
                  <c:v>5.0999999999999997E-2</c:v>
                </c:pt>
                <c:pt idx="819">
                  <c:v>4.7E-2</c:v>
                </c:pt>
                <c:pt idx="820">
                  <c:v>4.4999999999999998E-2</c:v>
                </c:pt>
                <c:pt idx="821">
                  <c:v>5.0999999999999997E-2</c:v>
                </c:pt>
                <c:pt idx="822">
                  <c:v>5.0999999999999997E-2</c:v>
                </c:pt>
                <c:pt idx="823">
                  <c:v>0.05</c:v>
                </c:pt>
                <c:pt idx="824">
                  <c:v>4.8000000000000001E-2</c:v>
                </c:pt>
                <c:pt idx="825">
                  <c:v>4.7E-2</c:v>
                </c:pt>
                <c:pt idx="826">
                  <c:v>4.4000000000000004E-2</c:v>
                </c:pt>
                <c:pt idx="827">
                  <c:v>4.4999999999999998E-2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4-4E73-9DF2-F2A455BCDEDC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Seasonal Unenemployment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Data'!$C$2:$C$830</c:f>
              <c:numCache>
                <c:formatCode>0%</c:formatCode>
                <c:ptCount val="829"/>
                <c:pt idx="0">
                  <c:v>6.4492753623188417E-2</c:v>
                </c:pt>
                <c:pt idx="1">
                  <c:v>6.4391304347825973E-2</c:v>
                </c:pt>
                <c:pt idx="2">
                  <c:v>6.1652173913043402E-2</c:v>
                </c:pt>
                <c:pt idx="3">
                  <c:v>5.6550724637681071E-2</c:v>
                </c:pt>
                <c:pt idx="4">
                  <c:v>5.5101449275362209E-2</c:v>
                </c:pt>
                <c:pt idx="5">
                  <c:v>6.1130434782608579E-2</c:v>
                </c:pt>
                <c:pt idx="6">
                  <c:v>5.9550724637681039E-2</c:v>
                </c:pt>
                <c:pt idx="7">
                  <c:v>5.6521739130434699E-2</c:v>
                </c:pt>
                <c:pt idx="8">
                  <c:v>5.4768115942028898E-2</c:v>
                </c:pt>
                <c:pt idx="9">
                  <c:v>5.3115942028985473E-2</c:v>
                </c:pt>
                <c:pt idx="10">
                  <c:v>5.4782608695652081E-2</c:v>
                </c:pt>
                <c:pt idx="11">
                  <c:v>5.5202898550724598E-2</c:v>
                </c:pt>
                <c:pt idx="12">
                  <c:v>6.4492753623188417E-2</c:v>
                </c:pt>
                <c:pt idx="13">
                  <c:v>6.4391304347825973E-2</c:v>
                </c:pt>
                <c:pt idx="14">
                  <c:v>6.1652173913043402E-2</c:v>
                </c:pt>
                <c:pt idx="15">
                  <c:v>5.6550724637681071E-2</c:v>
                </c:pt>
                <c:pt idx="16">
                  <c:v>5.5101449275362209E-2</c:v>
                </c:pt>
                <c:pt idx="17">
                  <c:v>6.1130434782608579E-2</c:v>
                </c:pt>
                <c:pt idx="18">
                  <c:v>5.9550724637681039E-2</c:v>
                </c:pt>
                <c:pt idx="19">
                  <c:v>5.6521739130434699E-2</c:v>
                </c:pt>
                <c:pt idx="20">
                  <c:v>5.4768115942028898E-2</c:v>
                </c:pt>
                <c:pt idx="21">
                  <c:v>5.3115942028985473E-2</c:v>
                </c:pt>
                <c:pt idx="22">
                  <c:v>5.4782608695652081E-2</c:v>
                </c:pt>
                <c:pt idx="23">
                  <c:v>5.5202898550724598E-2</c:v>
                </c:pt>
                <c:pt idx="24">
                  <c:v>6.4492753623188417E-2</c:v>
                </c:pt>
                <c:pt idx="25">
                  <c:v>6.4391304347825973E-2</c:v>
                </c:pt>
                <c:pt idx="26">
                  <c:v>6.1652173913043402E-2</c:v>
                </c:pt>
                <c:pt idx="27">
                  <c:v>5.6550724637681071E-2</c:v>
                </c:pt>
                <c:pt idx="28">
                  <c:v>5.5101449275362209E-2</c:v>
                </c:pt>
                <c:pt idx="29">
                  <c:v>6.1130434782608579E-2</c:v>
                </c:pt>
                <c:pt idx="30">
                  <c:v>5.9550724637681039E-2</c:v>
                </c:pt>
                <c:pt idx="31">
                  <c:v>5.6521739130434699E-2</c:v>
                </c:pt>
                <c:pt idx="32">
                  <c:v>5.4768115942028898E-2</c:v>
                </c:pt>
                <c:pt idx="33">
                  <c:v>5.3115942028985473E-2</c:v>
                </c:pt>
                <c:pt idx="34">
                  <c:v>5.4782608695652081E-2</c:v>
                </c:pt>
                <c:pt idx="35">
                  <c:v>5.5202898550724598E-2</c:v>
                </c:pt>
                <c:pt idx="36">
                  <c:v>6.4492753623188417E-2</c:v>
                </c:pt>
                <c:pt idx="37">
                  <c:v>6.4391304347825973E-2</c:v>
                </c:pt>
                <c:pt idx="38">
                  <c:v>6.1652173913043402E-2</c:v>
                </c:pt>
                <c:pt idx="39">
                  <c:v>5.6550724637681071E-2</c:v>
                </c:pt>
                <c:pt idx="40">
                  <c:v>5.5101449275362209E-2</c:v>
                </c:pt>
                <c:pt idx="41">
                  <c:v>6.1130434782608579E-2</c:v>
                </c:pt>
                <c:pt idx="42">
                  <c:v>5.9550724637681039E-2</c:v>
                </c:pt>
                <c:pt idx="43">
                  <c:v>5.6521739130434699E-2</c:v>
                </c:pt>
                <c:pt idx="44">
                  <c:v>5.4768115942028898E-2</c:v>
                </c:pt>
                <c:pt idx="45">
                  <c:v>5.3115942028985473E-2</c:v>
                </c:pt>
                <c:pt idx="46">
                  <c:v>5.4782608695652081E-2</c:v>
                </c:pt>
                <c:pt idx="47">
                  <c:v>5.5202898550724598E-2</c:v>
                </c:pt>
                <c:pt idx="48">
                  <c:v>6.4492753623188417E-2</c:v>
                </c:pt>
                <c:pt idx="49">
                  <c:v>6.4391304347825973E-2</c:v>
                </c:pt>
                <c:pt idx="50">
                  <c:v>6.1652173913043402E-2</c:v>
                </c:pt>
                <c:pt idx="51">
                  <c:v>5.6550724637681071E-2</c:v>
                </c:pt>
                <c:pt idx="52">
                  <c:v>5.5101449275362209E-2</c:v>
                </c:pt>
                <c:pt idx="53">
                  <c:v>6.1130434782608579E-2</c:v>
                </c:pt>
                <c:pt idx="54">
                  <c:v>5.9550724637681039E-2</c:v>
                </c:pt>
                <c:pt idx="55">
                  <c:v>5.6521739130434699E-2</c:v>
                </c:pt>
                <c:pt idx="56">
                  <c:v>5.4768115942028898E-2</c:v>
                </c:pt>
                <c:pt idx="57">
                  <c:v>5.3115942028985473E-2</c:v>
                </c:pt>
                <c:pt idx="58">
                  <c:v>5.4782608695652081E-2</c:v>
                </c:pt>
                <c:pt idx="59">
                  <c:v>5.5202898550724598E-2</c:v>
                </c:pt>
                <c:pt idx="60">
                  <c:v>6.4492753623188417E-2</c:v>
                </c:pt>
                <c:pt idx="61">
                  <c:v>6.4391304347825973E-2</c:v>
                </c:pt>
                <c:pt idx="62">
                  <c:v>6.1652173913043402E-2</c:v>
                </c:pt>
                <c:pt idx="63">
                  <c:v>5.6550724637681071E-2</c:v>
                </c:pt>
                <c:pt idx="64">
                  <c:v>5.5101449275362209E-2</c:v>
                </c:pt>
                <c:pt idx="65">
                  <c:v>6.1130434782608579E-2</c:v>
                </c:pt>
                <c:pt idx="66">
                  <c:v>5.9550724637681039E-2</c:v>
                </c:pt>
                <c:pt idx="67">
                  <c:v>5.6521739130434699E-2</c:v>
                </c:pt>
                <c:pt idx="68">
                  <c:v>5.4768115942028898E-2</c:v>
                </c:pt>
                <c:pt idx="69">
                  <c:v>5.3115942028985473E-2</c:v>
                </c:pt>
                <c:pt idx="70">
                  <c:v>5.4782608695652081E-2</c:v>
                </c:pt>
                <c:pt idx="71">
                  <c:v>5.5202898550724598E-2</c:v>
                </c:pt>
                <c:pt idx="72">
                  <c:v>6.4492753623188417E-2</c:v>
                </c:pt>
                <c:pt idx="73">
                  <c:v>6.4391304347825973E-2</c:v>
                </c:pt>
                <c:pt idx="74">
                  <c:v>6.1652173913043402E-2</c:v>
                </c:pt>
                <c:pt idx="75">
                  <c:v>5.6550724637681071E-2</c:v>
                </c:pt>
                <c:pt idx="76">
                  <c:v>5.5101449275362209E-2</c:v>
                </c:pt>
                <c:pt idx="77">
                  <c:v>6.1130434782608579E-2</c:v>
                </c:pt>
                <c:pt idx="78">
                  <c:v>5.9550724637681039E-2</c:v>
                </c:pt>
                <c:pt idx="79">
                  <c:v>5.6521739130434699E-2</c:v>
                </c:pt>
                <c:pt idx="80">
                  <c:v>5.4768115942028898E-2</c:v>
                </c:pt>
                <c:pt idx="81">
                  <c:v>5.3115942028985473E-2</c:v>
                </c:pt>
                <c:pt idx="82">
                  <c:v>5.4782608695652081E-2</c:v>
                </c:pt>
                <c:pt idx="83">
                  <c:v>5.5202898550724598E-2</c:v>
                </c:pt>
                <c:pt idx="84">
                  <c:v>6.4492753623188417E-2</c:v>
                </c:pt>
                <c:pt idx="85">
                  <c:v>6.4391304347825973E-2</c:v>
                </c:pt>
                <c:pt idx="86">
                  <c:v>6.1652173913043402E-2</c:v>
                </c:pt>
                <c:pt idx="87">
                  <c:v>5.6550724637681071E-2</c:v>
                </c:pt>
                <c:pt idx="88">
                  <c:v>5.5101449275362209E-2</c:v>
                </c:pt>
                <c:pt idx="89">
                  <c:v>6.1130434782608579E-2</c:v>
                </c:pt>
                <c:pt idx="90">
                  <c:v>5.9550724637681039E-2</c:v>
                </c:pt>
                <c:pt idx="91">
                  <c:v>5.6521739130434699E-2</c:v>
                </c:pt>
                <c:pt idx="92">
                  <c:v>5.4768115942028898E-2</c:v>
                </c:pt>
                <c:pt idx="93">
                  <c:v>5.3115942028985473E-2</c:v>
                </c:pt>
                <c:pt idx="94">
                  <c:v>5.4782608695652081E-2</c:v>
                </c:pt>
                <c:pt idx="95">
                  <c:v>5.5202898550724598E-2</c:v>
                </c:pt>
                <c:pt idx="96">
                  <c:v>6.4492753623188417E-2</c:v>
                </c:pt>
                <c:pt idx="97">
                  <c:v>6.4391304347825973E-2</c:v>
                </c:pt>
                <c:pt idx="98">
                  <c:v>6.1652173913043402E-2</c:v>
                </c:pt>
                <c:pt idx="99">
                  <c:v>5.6550724637681071E-2</c:v>
                </c:pt>
                <c:pt idx="100">
                  <c:v>5.5101449275362209E-2</c:v>
                </c:pt>
                <c:pt idx="101">
                  <c:v>6.1130434782608579E-2</c:v>
                </c:pt>
                <c:pt idx="102">
                  <c:v>5.9550724637681039E-2</c:v>
                </c:pt>
                <c:pt idx="103">
                  <c:v>5.6521739130434699E-2</c:v>
                </c:pt>
                <c:pt idx="104">
                  <c:v>5.4768115942028898E-2</c:v>
                </c:pt>
                <c:pt idx="105">
                  <c:v>5.3115942028985473E-2</c:v>
                </c:pt>
                <c:pt idx="106">
                  <c:v>5.4782608695652081E-2</c:v>
                </c:pt>
                <c:pt idx="107">
                  <c:v>5.5202898550724598E-2</c:v>
                </c:pt>
                <c:pt idx="108">
                  <c:v>6.4492753623188417E-2</c:v>
                </c:pt>
                <c:pt idx="109">
                  <c:v>6.4391304347825973E-2</c:v>
                </c:pt>
                <c:pt idx="110">
                  <c:v>6.1652173913043402E-2</c:v>
                </c:pt>
                <c:pt idx="111">
                  <c:v>5.6550724637681071E-2</c:v>
                </c:pt>
                <c:pt idx="112">
                  <c:v>5.5101449275362209E-2</c:v>
                </c:pt>
                <c:pt idx="113">
                  <c:v>6.1130434782608579E-2</c:v>
                </c:pt>
                <c:pt idx="114">
                  <c:v>5.9550724637681039E-2</c:v>
                </c:pt>
                <c:pt idx="115">
                  <c:v>5.6521739130434699E-2</c:v>
                </c:pt>
                <c:pt idx="116">
                  <c:v>5.4768115942028898E-2</c:v>
                </c:pt>
                <c:pt idx="117">
                  <c:v>5.3115942028985473E-2</c:v>
                </c:pt>
                <c:pt idx="118">
                  <c:v>5.4782608695652081E-2</c:v>
                </c:pt>
                <c:pt idx="119">
                  <c:v>5.5202898550724598E-2</c:v>
                </c:pt>
                <c:pt idx="120">
                  <c:v>6.4492753623188417E-2</c:v>
                </c:pt>
                <c:pt idx="121">
                  <c:v>6.4391304347825973E-2</c:v>
                </c:pt>
                <c:pt idx="122">
                  <c:v>6.1652173913043402E-2</c:v>
                </c:pt>
                <c:pt idx="123">
                  <c:v>5.6550724637681071E-2</c:v>
                </c:pt>
                <c:pt idx="124">
                  <c:v>5.5101449275362209E-2</c:v>
                </c:pt>
                <c:pt idx="125">
                  <c:v>6.1130434782608579E-2</c:v>
                </c:pt>
                <c:pt idx="126">
                  <c:v>5.9550724637681039E-2</c:v>
                </c:pt>
                <c:pt idx="127">
                  <c:v>5.6521739130434699E-2</c:v>
                </c:pt>
                <c:pt idx="128">
                  <c:v>5.4768115942028898E-2</c:v>
                </c:pt>
                <c:pt idx="129">
                  <c:v>5.3115942028985473E-2</c:v>
                </c:pt>
                <c:pt idx="130">
                  <c:v>5.4782608695652081E-2</c:v>
                </c:pt>
                <c:pt idx="131">
                  <c:v>5.5202898550724598E-2</c:v>
                </c:pt>
                <c:pt idx="132">
                  <c:v>6.4492753623188417E-2</c:v>
                </c:pt>
                <c:pt idx="133">
                  <c:v>6.4391304347825973E-2</c:v>
                </c:pt>
                <c:pt idx="134">
                  <c:v>6.1652173913043402E-2</c:v>
                </c:pt>
                <c:pt idx="135">
                  <c:v>5.6550724637681071E-2</c:v>
                </c:pt>
                <c:pt idx="136">
                  <c:v>5.5101449275362209E-2</c:v>
                </c:pt>
                <c:pt idx="137">
                  <c:v>6.1130434782608579E-2</c:v>
                </c:pt>
                <c:pt idx="138">
                  <c:v>5.9550724637681039E-2</c:v>
                </c:pt>
                <c:pt idx="139">
                  <c:v>5.6521739130434699E-2</c:v>
                </c:pt>
                <c:pt idx="140">
                  <c:v>5.4768115942028898E-2</c:v>
                </c:pt>
                <c:pt idx="141">
                  <c:v>5.3115942028985473E-2</c:v>
                </c:pt>
                <c:pt idx="142">
                  <c:v>5.4782608695652081E-2</c:v>
                </c:pt>
                <c:pt idx="143">
                  <c:v>5.5202898550724598E-2</c:v>
                </c:pt>
                <c:pt idx="144">
                  <c:v>6.4492753623188417E-2</c:v>
                </c:pt>
                <c:pt idx="145">
                  <c:v>6.4391304347825973E-2</c:v>
                </c:pt>
                <c:pt idx="146">
                  <c:v>6.1652173913043402E-2</c:v>
                </c:pt>
                <c:pt idx="147">
                  <c:v>5.6550724637681071E-2</c:v>
                </c:pt>
                <c:pt idx="148">
                  <c:v>5.5101449275362209E-2</c:v>
                </c:pt>
                <c:pt idx="149">
                  <c:v>6.1130434782608579E-2</c:v>
                </c:pt>
                <c:pt idx="150">
                  <c:v>5.9550724637681039E-2</c:v>
                </c:pt>
                <c:pt idx="151">
                  <c:v>5.6521739130434699E-2</c:v>
                </c:pt>
                <c:pt idx="152">
                  <c:v>5.4768115942028898E-2</c:v>
                </c:pt>
                <c:pt idx="153">
                  <c:v>5.3115942028985473E-2</c:v>
                </c:pt>
                <c:pt idx="154">
                  <c:v>5.4782608695652081E-2</c:v>
                </c:pt>
                <c:pt idx="155">
                  <c:v>5.5202898550724598E-2</c:v>
                </c:pt>
                <c:pt idx="156">
                  <c:v>6.4492753623188417E-2</c:v>
                </c:pt>
                <c:pt idx="157">
                  <c:v>6.4391304347825973E-2</c:v>
                </c:pt>
                <c:pt idx="158">
                  <c:v>6.1652173913043402E-2</c:v>
                </c:pt>
                <c:pt idx="159">
                  <c:v>5.6550724637681071E-2</c:v>
                </c:pt>
                <c:pt idx="160">
                  <c:v>5.5101449275362209E-2</c:v>
                </c:pt>
                <c:pt idx="161">
                  <c:v>6.1130434782608579E-2</c:v>
                </c:pt>
                <c:pt idx="162">
                  <c:v>5.9550724637681039E-2</c:v>
                </c:pt>
                <c:pt idx="163">
                  <c:v>5.6521739130434699E-2</c:v>
                </c:pt>
                <c:pt idx="164">
                  <c:v>5.4768115942028898E-2</c:v>
                </c:pt>
                <c:pt idx="165">
                  <c:v>5.3115942028985473E-2</c:v>
                </c:pt>
                <c:pt idx="166">
                  <c:v>5.4782608695652081E-2</c:v>
                </c:pt>
                <c:pt idx="167">
                  <c:v>5.5202898550724598E-2</c:v>
                </c:pt>
                <c:pt idx="168">
                  <c:v>6.4492753623188417E-2</c:v>
                </c:pt>
                <c:pt idx="169">
                  <c:v>6.4391304347825973E-2</c:v>
                </c:pt>
                <c:pt idx="170">
                  <c:v>6.1652173913043402E-2</c:v>
                </c:pt>
                <c:pt idx="171">
                  <c:v>5.6550724637681071E-2</c:v>
                </c:pt>
                <c:pt idx="172">
                  <c:v>5.5101449275362209E-2</c:v>
                </c:pt>
                <c:pt idx="173">
                  <c:v>6.1130434782608579E-2</c:v>
                </c:pt>
                <c:pt idx="174">
                  <c:v>5.9550724637681039E-2</c:v>
                </c:pt>
                <c:pt idx="175">
                  <c:v>5.6521739130434699E-2</c:v>
                </c:pt>
                <c:pt idx="176">
                  <c:v>5.4768115942028898E-2</c:v>
                </c:pt>
                <c:pt idx="177">
                  <c:v>5.3115942028985473E-2</c:v>
                </c:pt>
                <c:pt idx="178">
                  <c:v>5.4782608695652081E-2</c:v>
                </c:pt>
                <c:pt idx="179">
                  <c:v>5.5202898550724598E-2</c:v>
                </c:pt>
                <c:pt idx="180">
                  <c:v>6.4492753623188417E-2</c:v>
                </c:pt>
                <c:pt idx="181">
                  <c:v>6.4391304347825973E-2</c:v>
                </c:pt>
                <c:pt idx="182">
                  <c:v>6.1652173913043402E-2</c:v>
                </c:pt>
                <c:pt idx="183">
                  <c:v>5.6550724637681071E-2</c:v>
                </c:pt>
                <c:pt idx="184">
                  <c:v>5.5101449275362209E-2</c:v>
                </c:pt>
                <c:pt idx="185">
                  <c:v>6.1130434782608579E-2</c:v>
                </c:pt>
                <c:pt idx="186">
                  <c:v>5.9550724637681039E-2</c:v>
                </c:pt>
                <c:pt idx="187">
                  <c:v>5.6521739130434699E-2</c:v>
                </c:pt>
                <c:pt idx="188">
                  <c:v>5.4768115942028898E-2</c:v>
                </c:pt>
                <c:pt idx="189">
                  <c:v>5.3115942028985473E-2</c:v>
                </c:pt>
                <c:pt idx="190">
                  <c:v>5.4782608695652081E-2</c:v>
                </c:pt>
                <c:pt idx="191">
                  <c:v>5.5202898550724598E-2</c:v>
                </c:pt>
                <c:pt idx="192">
                  <c:v>6.4492753623188417E-2</c:v>
                </c:pt>
                <c:pt idx="193">
                  <c:v>6.4391304347825973E-2</c:v>
                </c:pt>
                <c:pt idx="194">
                  <c:v>6.1652173913043402E-2</c:v>
                </c:pt>
                <c:pt idx="195">
                  <c:v>5.6550724637681071E-2</c:v>
                </c:pt>
                <c:pt idx="196">
                  <c:v>5.5101449275362209E-2</c:v>
                </c:pt>
                <c:pt idx="197">
                  <c:v>6.1130434782608579E-2</c:v>
                </c:pt>
                <c:pt idx="198">
                  <c:v>5.9550724637681039E-2</c:v>
                </c:pt>
                <c:pt idx="199">
                  <c:v>5.6521739130434699E-2</c:v>
                </c:pt>
                <c:pt idx="200">
                  <c:v>5.4768115942028898E-2</c:v>
                </c:pt>
                <c:pt idx="201">
                  <c:v>5.3115942028985473E-2</c:v>
                </c:pt>
                <c:pt idx="202">
                  <c:v>5.4782608695652081E-2</c:v>
                </c:pt>
                <c:pt idx="203">
                  <c:v>5.5202898550724598E-2</c:v>
                </c:pt>
                <c:pt idx="204">
                  <c:v>6.4492753623188417E-2</c:v>
                </c:pt>
                <c:pt idx="205">
                  <c:v>6.4391304347825973E-2</c:v>
                </c:pt>
                <c:pt idx="206">
                  <c:v>6.1652173913043402E-2</c:v>
                </c:pt>
                <c:pt idx="207">
                  <c:v>5.6550724637681071E-2</c:v>
                </c:pt>
                <c:pt idx="208">
                  <c:v>5.5101449275362209E-2</c:v>
                </c:pt>
                <c:pt idx="209">
                  <c:v>6.1130434782608579E-2</c:v>
                </c:pt>
                <c:pt idx="210">
                  <c:v>5.9550724637681039E-2</c:v>
                </c:pt>
                <c:pt idx="211">
                  <c:v>5.6521739130434699E-2</c:v>
                </c:pt>
                <c:pt idx="212">
                  <c:v>5.4768115942028898E-2</c:v>
                </c:pt>
                <c:pt idx="213">
                  <c:v>5.3115942028985473E-2</c:v>
                </c:pt>
                <c:pt idx="214">
                  <c:v>5.4782608695652081E-2</c:v>
                </c:pt>
                <c:pt idx="215">
                  <c:v>5.5202898550724598E-2</c:v>
                </c:pt>
                <c:pt idx="216">
                  <c:v>6.4492753623188417E-2</c:v>
                </c:pt>
                <c:pt idx="217">
                  <c:v>6.4391304347825973E-2</c:v>
                </c:pt>
                <c:pt idx="218">
                  <c:v>6.1652173913043402E-2</c:v>
                </c:pt>
                <c:pt idx="219">
                  <c:v>5.6550724637681071E-2</c:v>
                </c:pt>
                <c:pt idx="220">
                  <c:v>5.5101449275362209E-2</c:v>
                </c:pt>
                <c:pt idx="221">
                  <c:v>6.1130434782608579E-2</c:v>
                </c:pt>
                <c:pt idx="222">
                  <c:v>5.9550724637681039E-2</c:v>
                </c:pt>
                <c:pt idx="223">
                  <c:v>5.6521739130434699E-2</c:v>
                </c:pt>
                <c:pt idx="224">
                  <c:v>5.4768115942028898E-2</c:v>
                </c:pt>
                <c:pt idx="225">
                  <c:v>5.3115942028985473E-2</c:v>
                </c:pt>
                <c:pt idx="226">
                  <c:v>5.4782608695652081E-2</c:v>
                </c:pt>
                <c:pt idx="227">
                  <c:v>5.5202898550724598E-2</c:v>
                </c:pt>
                <c:pt idx="228">
                  <c:v>6.4492753623188417E-2</c:v>
                </c:pt>
                <c:pt idx="229">
                  <c:v>6.4391304347825973E-2</c:v>
                </c:pt>
                <c:pt idx="230">
                  <c:v>6.1652173913043402E-2</c:v>
                </c:pt>
                <c:pt idx="231">
                  <c:v>5.6550724637681071E-2</c:v>
                </c:pt>
                <c:pt idx="232">
                  <c:v>5.5101449275362209E-2</c:v>
                </c:pt>
                <c:pt idx="233">
                  <c:v>6.1130434782608579E-2</c:v>
                </c:pt>
                <c:pt idx="234">
                  <c:v>5.9550724637681039E-2</c:v>
                </c:pt>
                <c:pt idx="235">
                  <c:v>5.6521739130434699E-2</c:v>
                </c:pt>
                <c:pt idx="236">
                  <c:v>5.4768115942028898E-2</c:v>
                </c:pt>
                <c:pt idx="237">
                  <c:v>5.3115942028985473E-2</c:v>
                </c:pt>
                <c:pt idx="238">
                  <c:v>5.4782608695652081E-2</c:v>
                </c:pt>
                <c:pt idx="239">
                  <c:v>5.5202898550724598E-2</c:v>
                </c:pt>
                <c:pt idx="240">
                  <c:v>6.4492753623188417E-2</c:v>
                </c:pt>
                <c:pt idx="241">
                  <c:v>6.4391304347825973E-2</c:v>
                </c:pt>
                <c:pt idx="242">
                  <c:v>6.1652173913043402E-2</c:v>
                </c:pt>
                <c:pt idx="243">
                  <c:v>5.6550724637681071E-2</c:v>
                </c:pt>
                <c:pt idx="244">
                  <c:v>5.5101449275362209E-2</c:v>
                </c:pt>
                <c:pt idx="245">
                  <c:v>6.1130434782608579E-2</c:v>
                </c:pt>
                <c:pt idx="246">
                  <c:v>5.9550724637681039E-2</c:v>
                </c:pt>
                <c:pt idx="247">
                  <c:v>5.6521739130434699E-2</c:v>
                </c:pt>
                <c:pt idx="248">
                  <c:v>5.4768115942028898E-2</c:v>
                </c:pt>
                <c:pt idx="249">
                  <c:v>5.3115942028985473E-2</c:v>
                </c:pt>
                <c:pt idx="250">
                  <c:v>5.4782608695652081E-2</c:v>
                </c:pt>
                <c:pt idx="251">
                  <c:v>5.5202898550724598E-2</c:v>
                </c:pt>
                <c:pt idx="252">
                  <c:v>6.4492753623188417E-2</c:v>
                </c:pt>
                <c:pt idx="253">
                  <c:v>6.4391304347825973E-2</c:v>
                </c:pt>
                <c:pt idx="254">
                  <c:v>6.1652173913043402E-2</c:v>
                </c:pt>
                <c:pt idx="255">
                  <c:v>5.6550724637681071E-2</c:v>
                </c:pt>
                <c:pt idx="256">
                  <c:v>5.5101449275362209E-2</c:v>
                </c:pt>
                <c:pt idx="257">
                  <c:v>6.1130434782608579E-2</c:v>
                </c:pt>
                <c:pt idx="258">
                  <c:v>5.9550724637681039E-2</c:v>
                </c:pt>
                <c:pt idx="259">
                  <c:v>5.6521739130434699E-2</c:v>
                </c:pt>
                <c:pt idx="260">
                  <c:v>5.4768115942028898E-2</c:v>
                </c:pt>
                <c:pt idx="261">
                  <c:v>5.3115942028985473E-2</c:v>
                </c:pt>
                <c:pt idx="262">
                  <c:v>5.4782608695652081E-2</c:v>
                </c:pt>
                <c:pt idx="263">
                  <c:v>5.5202898550724598E-2</c:v>
                </c:pt>
                <c:pt idx="264">
                  <c:v>6.4492753623188417E-2</c:v>
                </c:pt>
                <c:pt idx="265">
                  <c:v>6.4391304347825973E-2</c:v>
                </c:pt>
                <c:pt idx="266">
                  <c:v>6.1652173913043402E-2</c:v>
                </c:pt>
                <c:pt idx="267">
                  <c:v>5.6550724637681071E-2</c:v>
                </c:pt>
                <c:pt idx="268">
                  <c:v>5.5101449275362209E-2</c:v>
                </c:pt>
                <c:pt idx="269">
                  <c:v>6.1130434782608579E-2</c:v>
                </c:pt>
                <c:pt idx="270">
                  <c:v>5.9550724637681039E-2</c:v>
                </c:pt>
                <c:pt idx="271">
                  <c:v>5.6521739130434699E-2</c:v>
                </c:pt>
                <c:pt idx="272">
                  <c:v>5.4768115942028898E-2</c:v>
                </c:pt>
                <c:pt idx="273">
                  <c:v>5.3115942028985473E-2</c:v>
                </c:pt>
                <c:pt idx="274">
                  <c:v>5.4782608695652081E-2</c:v>
                </c:pt>
                <c:pt idx="275">
                  <c:v>5.5202898550724598E-2</c:v>
                </c:pt>
                <c:pt idx="276">
                  <c:v>6.4492753623188417E-2</c:v>
                </c:pt>
                <c:pt idx="277">
                  <c:v>6.4391304347825973E-2</c:v>
                </c:pt>
                <c:pt idx="278">
                  <c:v>6.1652173913043402E-2</c:v>
                </c:pt>
                <c:pt idx="279">
                  <c:v>5.6550724637681071E-2</c:v>
                </c:pt>
                <c:pt idx="280">
                  <c:v>5.5101449275362209E-2</c:v>
                </c:pt>
                <c:pt idx="281">
                  <c:v>6.1130434782608579E-2</c:v>
                </c:pt>
                <c:pt idx="282">
                  <c:v>5.9550724637681039E-2</c:v>
                </c:pt>
                <c:pt idx="283">
                  <c:v>5.6521739130434699E-2</c:v>
                </c:pt>
                <c:pt idx="284">
                  <c:v>5.4768115942028898E-2</c:v>
                </c:pt>
                <c:pt idx="285">
                  <c:v>5.3115942028985473E-2</c:v>
                </c:pt>
                <c:pt idx="286">
                  <c:v>5.4782608695652081E-2</c:v>
                </c:pt>
                <c:pt idx="287">
                  <c:v>5.5202898550724598E-2</c:v>
                </c:pt>
                <c:pt idx="288">
                  <c:v>6.4492753623188417E-2</c:v>
                </c:pt>
                <c:pt idx="289">
                  <c:v>6.4391304347825973E-2</c:v>
                </c:pt>
                <c:pt idx="290">
                  <c:v>6.1652173913043402E-2</c:v>
                </c:pt>
                <c:pt idx="291">
                  <c:v>5.6550724637681071E-2</c:v>
                </c:pt>
                <c:pt idx="292">
                  <c:v>5.5101449275362209E-2</c:v>
                </c:pt>
                <c:pt idx="293">
                  <c:v>6.1130434782608579E-2</c:v>
                </c:pt>
                <c:pt idx="294">
                  <c:v>5.9550724637681039E-2</c:v>
                </c:pt>
                <c:pt idx="295">
                  <c:v>5.6521739130434699E-2</c:v>
                </c:pt>
                <c:pt idx="296">
                  <c:v>5.4768115942028898E-2</c:v>
                </c:pt>
                <c:pt idx="297">
                  <c:v>5.3115942028985473E-2</c:v>
                </c:pt>
                <c:pt idx="298">
                  <c:v>5.4782608695652081E-2</c:v>
                </c:pt>
                <c:pt idx="299">
                  <c:v>5.5202898550724598E-2</c:v>
                </c:pt>
                <c:pt idx="300">
                  <c:v>6.4492753623188417E-2</c:v>
                </c:pt>
                <c:pt idx="301">
                  <c:v>6.4391304347825973E-2</c:v>
                </c:pt>
                <c:pt idx="302">
                  <c:v>6.1652173913043402E-2</c:v>
                </c:pt>
                <c:pt idx="303">
                  <c:v>5.6550724637681071E-2</c:v>
                </c:pt>
                <c:pt idx="304">
                  <c:v>5.5101449275362209E-2</c:v>
                </c:pt>
                <c:pt idx="305">
                  <c:v>6.1130434782608579E-2</c:v>
                </c:pt>
                <c:pt idx="306">
                  <c:v>5.9550724637681039E-2</c:v>
                </c:pt>
                <c:pt idx="307">
                  <c:v>5.6521739130434699E-2</c:v>
                </c:pt>
                <c:pt idx="308">
                  <c:v>5.4768115942028898E-2</c:v>
                </c:pt>
                <c:pt idx="309">
                  <c:v>5.3115942028985473E-2</c:v>
                </c:pt>
                <c:pt idx="310">
                  <c:v>5.4782608695652081E-2</c:v>
                </c:pt>
                <c:pt idx="311">
                  <c:v>5.5202898550724598E-2</c:v>
                </c:pt>
                <c:pt idx="312">
                  <c:v>6.4492753623188417E-2</c:v>
                </c:pt>
                <c:pt idx="313">
                  <c:v>6.4391304347825973E-2</c:v>
                </c:pt>
                <c:pt idx="314">
                  <c:v>6.1652173913043402E-2</c:v>
                </c:pt>
                <c:pt idx="315">
                  <c:v>5.6550724637681071E-2</c:v>
                </c:pt>
                <c:pt idx="316">
                  <c:v>5.5101449275362209E-2</c:v>
                </c:pt>
                <c:pt idx="317">
                  <c:v>6.1130434782608579E-2</c:v>
                </c:pt>
                <c:pt idx="318">
                  <c:v>5.9550724637681039E-2</c:v>
                </c:pt>
                <c:pt idx="319">
                  <c:v>5.6521739130434699E-2</c:v>
                </c:pt>
                <c:pt idx="320">
                  <c:v>5.4768115942028898E-2</c:v>
                </c:pt>
                <c:pt idx="321">
                  <c:v>5.3115942028985473E-2</c:v>
                </c:pt>
                <c:pt idx="322">
                  <c:v>5.4782608695652081E-2</c:v>
                </c:pt>
                <c:pt idx="323">
                  <c:v>5.5202898550724598E-2</c:v>
                </c:pt>
                <c:pt idx="324">
                  <c:v>6.4492753623188417E-2</c:v>
                </c:pt>
                <c:pt idx="325">
                  <c:v>6.4391304347825973E-2</c:v>
                </c:pt>
                <c:pt idx="326">
                  <c:v>6.1652173913043402E-2</c:v>
                </c:pt>
                <c:pt idx="327">
                  <c:v>5.6550724637681071E-2</c:v>
                </c:pt>
                <c:pt idx="328">
                  <c:v>5.5101449275362209E-2</c:v>
                </c:pt>
                <c:pt idx="329">
                  <c:v>6.1130434782608579E-2</c:v>
                </c:pt>
                <c:pt idx="330">
                  <c:v>5.9550724637681039E-2</c:v>
                </c:pt>
                <c:pt idx="331">
                  <c:v>5.6521739130434699E-2</c:v>
                </c:pt>
                <c:pt idx="332">
                  <c:v>5.4768115942028898E-2</c:v>
                </c:pt>
                <c:pt idx="333">
                  <c:v>5.3115942028985473E-2</c:v>
                </c:pt>
                <c:pt idx="334">
                  <c:v>5.4782608695652081E-2</c:v>
                </c:pt>
                <c:pt idx="335">
                  <c:v>5.5202898550724598E-2</c:v>
                </c:pt>
                <c:pt idx="336">
                  <c:v>6.4492753623188417E-2</c:v>
                </c:pt>
                <c:pt idx="337">
                  <c:v>6.4391304347825973E-2</c:v>
                </c:pt>
                <c:pt idx="338">
                  <c:v>6.1652173913043402E-2</c:v>
                </c:pt>
                <c:pt idx="339">
                  <c:v>5.6550724637681071E-2</c:v>
                </c:pt>
                <c:pt idx="340">
                  <c:v>5.5101449275362209E-2</c:v>
                </c:pt>
                <c:pt idx="341">
                  <c:v>6.1130434782608579E-2</c:v>
                </c:pt>
                <c:pt idx="342">
                  <c:v>5.9550724637681039E-2</c:v>
                </c:pt>
                <c:pt idx="343">
                  <c:v>5.6521739130434699E-2</c:v>
                </c:pt>
                <c:pt idx="344">
                  <c:v>5.4768115942028898E-2</c:v>
                </c:pt>
                <c:pt idx="345">
                  <c:v>5.3115942028985473E-2</c:v>
                </c:pt>
                <c:pt idx="346">
                  <c:v>5.4782608695652081E-2</c:v>
                </c:pt>
                <c:pt idx="347">
                  <c:v>5.5202898550724598E-2</c:v>
                </c:pt>
                <c:pt idx="348">
                  <c:v>6.4492753623188417E-2</c:v>
                </c:pt>
                <c:pt idx="349">
                  <c:v>6.4391304347825973E-2</c:v>
                </c:pt>
                <c:pt idx="350">
                  <c:v>6.1652173913043402E-2</c:v>
                </c:pt>
                <c:pt idx="351">
                  <c:v>5.6550724637681071E-2</c:v>
                </c:pt>
                <c:pt idx="352">
                  <c:v>5.5101449275362209E-2</c:v>
                </c:pt>
                <c:pt idx="353">
                  <c:v>6.1130434782608579E-2</c:v>
                </c:pt>
                <c:pt idx="354">
                  <c:v>5.9550724637681039E-2</c:v>
                </c:pt>
                <c:pt idx="355">
                  <c:v>5.6521739130434699E-2</c:v>
                </c:pt>
                <c:pt idx="356">
                  <c:v>5.4768115942028898E-2</c:v>
                </c:pt>
                <c:pt idx="357">
                  <c:v>5.3115942028985473E-2</c:v>
                </c:pt>
                <c:pt idx="358">
                  <c:v>5.4782608695652081E-2</c:v>
                </c:pt>
                <c:pt idx="359">
                  <c:v>5.5202898550724598E-2</c:v>
                </c:pt>
                <c:pt idx="360">
                  <c:v>6.4492753623188417E-2</c:v>
                </c:pt>
                <c:pt idx="361">
                  <c:v>6.4391304347825973E-2</c:v>
                </c:pt>
                <c:pt idx="362">
                  <c:v>6.1652173913043402E-2</c:v>
                </c:pt>
                <c:pt idx="363">
                  <c:v>5.6550724637681071E-2</c:v>
                </c:pt>
                <c:pt idx="364">
                  <c:v>5.5101449275362209E-2</c:v>
                </c:pt>
                <c:pt idx="365">
                  <c:v>6.1130434782608579E-2</c:v>
                </c:pt>
                <c:pt idx="366">
                  <c:v>5.9550724637681039E-2</c:v>
                </c:pt>
                <c:pt idx="367">
                  <c:v>5.6521739130434699E-2</c:v>
                </c:pt>
                <c:pt idx="368">
                  <c:v>5.4768115942028898E-2</c:v>
                </c:pt>
                <c:pt idx="369">
                  <c:v>5.3115942028985473E-2</c:v>
                </c:pt>
                <c:pt idx="370">
                  <c:v>5.4782608695652081E-2</c:v>
                </c:pt>
                <c:pt idx="371">
                  <c:v>5.5202898550724598E-2</c:v>
                </c:pt>
                <c:pt idx="372">
                  <c:v>6.4492753623188417E-2</c:v>
                </c:pt>
                <c:pt idx="373">
                  <c:v>6.4391304347825973E-2</c:v>
                </c:pt>
                <c:pt idx="374">
                  <c:v>6.1652173913043402E-2</c:v>
                </c:pt>
                <c:pt idx="375">
                  <c:v>5.6550724637681071E-2</c:v>
                </c:pt>
                <c:pt idx="376">
                  <c:v>5.5101449275362209E-2</c:v>
                </c:pt>
                <c:pt idx="377">
                  <c:v>6.1130434782608579E-2</c:v>
                </c:pt>
                <c:pt idx="378">
                  <c:v>5.9550724637681039E-2</c:v>
                </c:pt>
                <c:pt idx="379">
                  <c:v>5.6521739130434699E-2</c:v>
                </c:pt>
                <c:pt idx="380">
                  <c:v>5.4768115942028898E-2</c:v>
                </c:pt>
                <c:pt idx="381">
                  <c:v>5.3115942028985473E-2</c:v>
                </c:pt>
                <c:pt idx="382">
                  <c:v>5.4782608695652081E-2</c:v>
                </c:pt>
                <c:pt idx="383">
                  <c:v>5.5202898550724598E-2</c:v>
                </c:pt>
                <c:pt idx="384">
                  <c:v>6.4492753623188417E-2</c:v>
                </c:pt>
                <c:pt idx="385">
                  <c:v>6.4391304347825973E-2</c:v>
                </c:pt>
                <c:pt idx="386">
                  <c:v>6.1652173913043402E-2</c:v>
                </c:pt>
                <c:pt idx="387">
                  <c:v>5.6550724637681071E-2</c:v>
                </c:pt>
                <c:pt idx="388">
                  <c:v>5.5101449275362209E-2</c:v>
                </c:pt>
                <c:pt idx="389">
                  <c:v>6.1130434782608579E-2</c:v>
                </c:pt>
                <c:pt idx="390">
                  <c:v>5.9550724637681039E-2</c:v>
                </c:pt>
                <c:pt idx="391">
                  <c:v>5.6521739130434699E-2</c:v>
                </c:pt>
                <c:pt idx="392">
                  <c:v>5.4768115942028898E-2</c:v>
                </c:pt>
                <c:pt idx="393">
                  <c:v>5.3115942028985473E-2</c:v>
                </c:pt>
                <c:pt idx="394">
                  <c:v>5.4782608695652081E-2</c:v>
                </c:pt>
                <c:pt idx="395">
                  <c:v>5.5202898550724598E-2</c:v>
                </c:pt>
                <c:pt idx="396">
                  <c:v>6.4492753623188417E-2</c:v>
                </c:pt>
                <c:pt idx="397">
                  <c:v>6.4391304347825973E-2</c:v>
                </c:pt>
                <c:pt idx="398">
                  <c:v>6.1652173913043402E-2</c:v>
                </c:pt>
                <c:pt idx="399">
                  <c:v>5.6550724637681071E-2</c:v>
                </c:pt>
                <c:pt idx="400">
                  <c:v>5.5101449275362209E-2</c:v>
                </c:pt>
                <c:pt idx="401">
                  <c:v>6.1130434782608579E-2</c:v>
                </c:pt>
                <c:pt idx="402">
                  <c:v>5.9550724637681039E-2</c:v>
                </c:pt>
                <c:pt idx="403">
                  <c:v>5.6521739130434699E-2</c:v>
                </c:pt>
                <c:pt idx="404">
                  <c:v>5.4768115942028898E-2</c:v>
                </c:pt>
                <c:pt idx="405">
                  <c:v>5.3115942028985473E-2</c:v>
                </c:pt>
                <c:pt idx="406">
                  <c:v>5.4782608695652081E-2</c:v>
                </c:pt>
                <c:pt idx="407">
                  <c:v>5.5202898550724598E-2</c:v>
                </c:pt>
                <c:pt idx="408">
                  <c:v>6.4492753623188417E-2</c:v>
                </c:pt>
                <c:pt idx="409">
                  <c:v>6.4391304347825973E-2</c:v>
                </c:pt>
                <c:pt idx="410">
                  <c:v>6.1652173913043402E-2</c:v>
                </c:pt>
                <c:pt idx="411">
                  <c:v>5.6550724637681071E-2</c:v>
                </c:pt>
                <c:pt idx="412">
                  <c:v>5.5101449275362209E-2</c:v>
                </c:pt>
                <c:pt idx="413">
                  <c:v>6.1130434782608579E-2</c:v>
                </c:pt>
                <c:pt idx="414">
                  <c:v>5.9550724637681039E-2</c:v>
                </c:pt>
                <c:pt idx="415">
                  <c:v>5.6521739130434699E-2</c:v>
                </c:pt>
                <c:pt idx="416">
                  <c:v>5.4768115942028898E-2</c:v>
                </c:pt>
                <c:pt idx="417">
                  <c:v>5.3115942028985473E-2</c:v>
                </c:pt>
                <c:pt idx="418">
                  <c:v>5.4782608695652081E-2</c:v>
                </c:pt>
                <c:pt idx="419">
                  <c:v>5.5202898550724598E-2</c:v>
                </c:pt>
                <c:pt idx="420">
                  <c:v>6.4492753623188417E-2</c:v>
                </c:pt>
                <c:pt idx="421">
                  <c:v>6.4391304347825973E-2</c:v>
                </c:pt>
                <c:pt idx="422">
                  <c:v>6.1652173913043402E-2</c:v>
                </c:pt>
                <c:pt idx="423">
                  <c:v>5.6550724637681071E-2</c:v>
                </c:pt>
                <c:pt idx="424">
                  <c:v>5.5101449275362209E-2</c:v>
                </c:pt>
                <c:pt idx="425">
                  <c:v>6.1130434782608579E-2</c:v>
                </c:pt>
                <c:pt idx="426">
                  <c:v>5.9550724637681039E-2</c:v>
                </c:pt>
                <c:pt idx="427">
                  <c:v>5.6521739130434699E-2</c:v>
                </c:pt>
                <c:pt idx="428">
                  <c:v>5.4768115942028898E-2</c:v>
                </c:pt>
                <c:pt idx="429">
                  <c:v>5.3115942028985473E-2</c:v>
                </c:pt>
                <c:pt idx="430">
                  <c:v>5.4782608695652081E-2</c:v>
                </c:pt>
                <c:pt idx="431">
                  <c:v>5.5202898550724598E-2</c:v>
                </c:pt>
                <c:pt idx="432">
                  <c:v>6.4492753623188417E-2</c:v>
                </c:pt>
                <c:pt idx="433">
                  <c:v>6.4391304347825973E-2</c:v>
                </c:pt>
                <c:pt idx="434">
                  <c:v>6.1652173913043402E-2</c:v>
                </c:pt>
                <c:pt idx="435">
                  <c:v>5.6550724637681071E-2</c:v>
                </c:pt>
                <c:pt idx="436">
                  <c:v>5.5101449275362209E-2</c:v>
                </c:pt>
                <c:pt idx="437">
                  <c:v>6.1130434782608579E-2</c:v>
                </c:pt>
                <c:pt idx="438">
                  <c:v>5.9550724637681039E-2</c:v>
                </c:pt>
                <c:pt idx="439">
                  <c:v>5.6521739130434699E-2</c:v>
                </c:pt>
                <c:pt idx="440">
                  <c:v>5.4768115942028898E-2</c:v>
                </c:pt>
                <c:pt idx="441">
                  <c:v>5.3115942028985473E-2</c:v>
                </c:pt>
                <c:pt idx="442">
                  <c:v>5.4782608695652081E-2</c:v>
                </c:pt>
                <c:pt idx="443">
                  <c:v>5.5202898550724598E-2</c:v>
                </c:pt>
                <c:pt idx="444">
                  <c:v>6.4492753623188417E-2</c:v>
                </c:pt>
                <c:pt idx="445">
                  <c:v>6.4391304347825973E-2</c:v>
                </c:pt>
                <c:pt idx="446">
                  <c:v>6.1652173913043402E-2</c:v>
                </c:pt>
                <c:pt idx="447">
                  <c:v>5.6550724637681071E-2</c:v>
                </c:pt>
                <c:pt idx="448">
                  <c:v>5.5101449275362209E-2</c:v>
                </c:pt>
                <c:pt idx="449">
                  <c:v>6.1130434782608579E-2</c:v>
                </c:pt>
                <c:pt idx="450">
                  <c:v>5.9550724637681039E-2</c:v>
                </c:pt>
                <c:pt idx="451">
                  <c:v>5.6521739130434699E-2</c:v>
                </c:pt>
                <c:pt idx="452">
                  <c:v>5.4768115942028898E-2</c:v>
                </c:pt>
                <c:pt idx="453">
                  <c:v>5.3115942028985473E-2</c:v>
                </c:pt>
                <c:pt idx="454">
                  <c:v>5.4782608695652081E-2</c:v>
                </c:pt>
                <c:pt idx="455">
                  <c:v>5.5202898550724598E-2</c:v>
                </c:pt>
                <c:pt idx="456">
                  <c:v>6.4492753623188417E-2</c:v>
                </c:pt>
                <c:pt idx="457">
                  <c:v>6.4391304347825973E-2</c:v>
                </c:pt>
                <c:pt idx="458">
                  <c:v>6.1652173913043402E-2</c:v>
                </c:pt>
                <c:pt idx="459">
                  <c:v>5.6550724637681071E-2</c:v>
                </c:pt>
                <c:pt idx="460">
                  <c:v>5.5101449275362209E-2</c:v>
                </c:pt>
                <c:pt idx="461">
                  <c:v>6.1130434782608579E-2</c:v>
                </c:pt>
                <c:pt idx="462">
                  <c:v>5.9550724637681039E-2</c:v>
                </c:pt>
                <c:pt idx="463">
                  <c:v>5.6521739130434699E-2</c:v>
                </c:pt>
                <c:pt idx="464">
                  <c:v>5.4768115942028898E-2</c:v>
                </c:pt>
                <c:pt idx="465">
                  <c:v>5.3115942028985473E-2</c:v>
                </c:pt>
                <c:pt idx="466">
                  <c:v>5.4782608695652081E-2</c:v>
                </c:pt>
                <c:pt idx="467">
                  <c:v>5.5202898550724598E-2</c:v>
                </c:pt>
                <c:pt idx="468">
                  <c:v>6.4492753623188417E-2</c:v>
                </c:pt>
                <c:pt idx="469">
                  <c:v>6.4391304347825973E-2</c:v>
                </c:pt>
                <c:pt idx="470">
                  <c:v>6.1652173913043402E-2</c:v>
                </c:pt>
                <c:pt idx="471">
                  <c:v>5.6550724637681071E-2</c:v>
                </c:pt>
                <c:pt idx="472">
                  <c:v>5.5101449275362209E-2</c:v>
                </c:pt>
                <c:pt idx="473">
                  <c:v>6.1130434782608579E-2</c:v>
                </c:pt>
                <c:pt idx="474">
                  <c:v>5.9550724637681039E-2</c:v>
                </c:pt>
                <c:pt idx="475">
                  <c:v>5.6521739130434699E-2</c:v>
                </c:pt>
                <c:pt idx="476">
                  <c:v>5.4768115942028898E-2</c:v>
                </c:pt>
                <c:pt idx="477">
                  <c:v>5.3115942028985473E-2</c:v>
                </c:pt>
                <c:pt idx="478">
                  <c:v>5.4782608695652081E-2</c:v>
                </c:pt>
                <c:pt idx="479">
                  <c:v>5.5202898550724598E-2</c:v>
                </c:pt>
                <c:pt idx="480">
                  <c:v>6.4492753623188417E-2</c:v>
                </c:pt>
                <c:pt idx="481">
                  <c:v>6.4391304347825973E-2</c:v>
                </c:pt>
                <c:pt idx="482">
                  <c:v>6.1652173913043402E-2</c:v>
                </c:pt>
                <c:pt idx="483">
                  <c:v>5.6550724637681071E-2</c:v>
                </c:pt>
                <c:pt idx="484">
                  <c:v>5.5101449275362209E-2</c:v>
                </c:pt>
                <c:pt idx="485">
                  <c:v>6.1130434782608579E-2</c:v>
                </c:pt>
                <c:pt idx="486">
                  <c:v>5.9550724637681039E-2</c:v>
                </c:pt>
                <c:pt idx="487">
                  <c:v>5.6521739130434699E-2</c:v>
                </c:pt>
                <c:pt idx="488">
                  <c:v>5.4768115942028898E-2</c:v>
                </c:pt>
                <c:pt idx="489">
                  <c:v>5.3115942028985473E-2</c:v>
                </c:pt>
                <c:pt idx="490">
                  <c:v>5.4782608695652081E-2</c:v>
                </c:pt>
                <c:pt idx="491">
                  <c:v>5.5202898550724598E-2</c:v>
                </c:pt>
                <c:pt idx="492">
                  <c:v>6.4492753623188417E-2</c:v>
                </c:pt>
                <c:pt idx="493">
                  <c:v>6.4391304347825973E-2</c:v>
                </c:pt>
                <c:pt idx="494">
                  <c:v>6.1652173913043402E-2</c:v>
                </c:pt>
                <c:pt idx="495">
                  <c:v>5.6550724637681071E-2</c:v>
                </c:pt>
                <c:pt idx="496">
                  <c:v>5.5101449275362209E-2</c:v>
                </c:pt>
                <c:pt idx="497">
                  <c:v>6.1130434782608579E-2</c:v>
                </c:pt>
                <c:pt idx="498">
                  <c:v>5.9550724637681039E-2</c:v>
                </c:pt>
                <c:pt idx="499">
                  <c:v>5.6521739130434699E-2</c:v>
                </c:pt>
                <c:pt idx="500">
                  <c:v>5.4768115942028898E-2</c:v>
                </c:pt>
                <c:pt idx="501">
                  <c:v>5.3115942028985473E-2</c:v>
                </c:pt>
                <c:pt idx="502">
                  <c:v>5.4782608695652081E-2</c:v>
                </c:pt>
                <c:pt idx="503">
                  <c:v>5.5202898550724598E-2</c:v>
                </c:pt>
                <c:pt idx="504">
                  <c:v>6.4492753623188417E-2</c:v>
                </c:pt>
                <c:pt idx="505">
                  <c:v>6.4391304347825973E-2</c:v>
                </c:pt>
                <c:pt idx="506">
                  <c:v>6.1652173913043402E-2</c:v>
                </c:pt>
                <c:pt idx="507">
                  <c:v>5.6550724637681071E-2</c:v>
                </c:pt>
                <c:pt idx="508">
                  <c:v>5.5101449275362209E-2</c:v>
                </c:pt>
                <c:pt idx="509">
                  <c:v>6.1130434782608579E-2</c:v>
                </c:pt>
                <c:pt idx="510">
                  <c:v>5.9550724637681039E-2</c:v>
                </c:pt>
                <c:pt idx="511">
                  <c:v>5.6521739130434699E-2</c:v>
                </c:pt>
                <c:pt idx="512">
                  <c:v>5.4768115942028898E-2</c:v>
                </c:pt>
                <c:pt idx="513">
                  <c:v>5.3115942028985473E-2</c:v>
                </c:pt>
                <c:pt idx="514">
                  <c:v>5.4782608695652081E-2</c:v>
                </c:pt>
                <c:pt idx="515">
                  <c:v>5.5202898550724598E-2</c:v>
                </c:pt>
                <c:pt idx="516">
                  <c:v>6.4492753623188417E-2</c:v>
                </c:pt>
                <c:pt idx="517">
                  <c:v>6.4391304347825973E-2</c:v>
                </c:pt>
                <c:pt idx="518">
                  <c:v>6.1652173913043402E-2</c:v>
                </c:pt>
                <c:pt idx="519">
                  <c:v>5.6550724637681071E-2</c:v>
                </c:pt>
                <c:pt idx="520">
                  <c:v>5.5101449275362209E-2</c:v>
                </c:pt>
                <c:pt idx="521">
                  <c:v>6.1130434782608579E-2</c:v>
                </c:pt>
                <c:pt idx="522">
                  <c:v>5.9550724637681039E-2</c:v>
                </c:pt>
                <c:pt idx="523">
                  <c:v>5.6521739130434699E-2</c:v>
                </c:pt>
                <c:pt idx="524">
                  <c:v>5.4768115942028898E-2</c:v>
                </c:pt>
                <c:pt idx="525">
                  <c:v>5.3115942028985473E-2</c:v>
                </c:pt>
                <c:pt idx="526">
                  <c:v>5.4782608695652081E-2</c:v>
                </c:pt>
                <c:pt idx="527">
                  <c:v>5.5202898550724598E-2</c:v>
                </c:pt>
                <c:pt idx="528">
                  <c:v>6.4492753623188417E-2</c:v>
                </c:pt>
                <c:pt idx="529">
                  <c:v>6.4391304347825973E-2</c:v>
                </c:pt>
                <c:pt idx="530">
                  <c:v>6.1652173913043402E-2</c:v>
                </c:pt>
                <c:pt idx="531">
                  <c:v>5.6550724637681071E-2</c:v>
                </c:pt>
                <c:pt idx="532">
                  <c:v>5.5101449275362209E-2</c:v>
                </c:pt>
                <c:pt idx="533">
                  <c:v>6.1130434782608579E-2</c:v>
                </c:pt>
                <c:pt idx="534">
                  <c:v>5.9550724637681039E-2</c:v>
                </c:pt>
                <c:pt idx="535">
                  <c:v>5.6521739130434699E-2</c:v>
                </c:pt>
                <c:pt idx="536">
                  <c:v>5.4768115942028898E-2</c:v>
                </c:pt>
                <c:pt idx="537">
                  <c:v>5.3115942028985473E-2</c:v>
                </c:pt>
                <c:pt idx="538">
                  <c:v>5.4782608695652081E-2</c:v>
                </c:pt>
                <c:pt idx="539">
                  <c:v>5.5202898550724598E-2</c:v>
                </c:pt>
                <c:pt idx="540">
                  <c:v>6.4492753623188417E-2</c:v>
                </c:pt>
                <c:pt idx="541">
                  <c:v>6.4391304347825973E-2</c:v>
                </c:pt>
                <c:pt idx="542">
                  <c:v>6.1652173913043402E-2</c:v>
                </c:pt>
                <c:pt idx="543">
                  <c:v>5.6550724637681071E-2</c:v>
                </c:pt>
                <c:pt idx="544">
                  <c:v>5.5101449275362209E-2</c:v>
                </c:pt>
                <c:pt idx="545">
                  <c:v>6.1130434782608579E-2</c:v>
                </c:pt>
                <c:pt idx="546">
                  <c:v>5.9550724637681039E-2</c:v>
                </c:pt>
                <c:pt idx="547">
                  <c:v>5.6521739130434699E-2</c:v>
                </c:pt>
                <c:pt idx="548">
                  <c:v>5.4768115942028898E-2</c:v>
                </c:pt>
                <c:pt idx="549">
                  <c:v>5.3115942028985473E-2</c:v>
                </c:pt>
                <c:pt idx="550">
                  <c:v>5.4782608695652081E-2</c:v>
                </c:pt>
                <c:pt idx="551">
                  <c:v>5.5202898550724598E-2</c:v>
                </c:pt>
                <c:pt idx="552">
                  <c:v>6.4492753623188417E-2</c:v>
                </c:pt>
                <c:pt idx="553">
                  <c:v>6.4391304347825973E-2</c:v>
                </c:pt>
                <c:pt idx="554">
                  <c:v>6.1652173913043402E-2</c:v>
                </c:pt>
                <c:pt idx="555">
                  <c:v>5.6550724637681071E-2</c:v>
                </c:pt>
                <c:pt idx="556">
                  <c:v>5.5101449275362209E-2</c:v>
                </c:pt>
                <c:pt idx="557">
                  <c:v>6.1130434782608579E-2</c:v>
                </c:pt>
                <c:pt idx="558">
                  <c:v>5.9550724637681039E-2</c:v>
                </c:pt>
                <c:pt idx="559">
                  <c:v>5.6521739130434699E-2</c:v>
                </c:pt>
                <c:pt idx="560">
                  <c:v>5.4768115942028898E-2</c:v>
                </c:pt>
                <c:pt idx="561">
                  <c:v>5.3115942028985473E-2</c:v>
                </c:pt>
                <c:pt idx="562">
                  <c:v>5.4782608695652081E-2</c:v>
                </c:pt>
                <c:pt idx="563">
                  <c:v>5.5202898550724598E-2</c:v>
                </c:pt>
                <c:pt idx="564">
                  <c:v>6.4492753623188417E-2</c:v>
                </c:pt>
                <c:pt idx="565">
                  <c:v>6.4391304347825973E-2</c:v>
                </c:pt>
                <c:pt idx="566">
                  <c:v>6.1652173913043402E-2</c:v>
                </c:pt>
                <c:pt idx="567">
                  <c:v>5.6550724637681071E-2</c:v>
                </c:pt>
                <c:pt idx="568">
                  <c:v>5.5101449275362209E-2</c:v>
                </c:pt>
                <c:pt idx="569">
                  <c:v>6.1130434782608579E-2</c:v>
                </c:pt>
                <c:pt idx="570">
                  <c:v>5.9550724637681039E-2</c:v>
                </c:pt>
                <c:pt idx="571">
                  <c:v>5.6521739130434699E-2</c:v>
                </c:pt>
                <c:pt idx="572">
                  <c:v>5.4768115942028898E-2</c:v>
                </c:pt>
                <c:pt idx="573">
                  <c:v>5.3115942028985473E-2</c:v>
                </c:pt>
                <c:pt idx="574">
                  <c:v>5.4782608695652081E-2</c:v>
                </c:pt>
                <c:pt idx="575">
                  <c:v>5.5202898550724598E-2</c:v>
                </c:pt>
                <c:pt idx="576">
                  <c:v>6.4492753623188417E-2</c:v>
                </c:pt>
                <c:pt idx="577">
                  <c:v>6.4391304347825973E-2</c:v>
                </c:pt>
                <c:pt idx="578">
                  <c:v>6.1652173913043402E-2</c:v>
                </c:pt>
                <c:pt idx="579">
                  <c:v>5.6550724637681071E-2</c:v>
                </c:pt>
                <c:pt idx="580">
                  <c:v>5.5101449275362209E-2</c:v>
                </c:pt>
                <c:pt idx="581">
                  <c:v>6.1130434782608579E-2</c:v>
                </c:pt>
                <c:pt idx="582">
                  <c:v>5.9550724637681039E-2</c:v>
                </c:pt>
                <c:pt idx="583">
                  <c:v>5.6521739130434699E-2</c:v>
                </c:pt>
                <c:pt idx="584">
                  <c:v>5.4768115942028898E-2</c:v>
                </c:pt>
                <c:pt idx="585">
                  <c:v>5.3115942028985473E-2</c:v>
                </c:pt>
                <c:pt idx="586">
                  <c:v>5.4782608695652081E-2</c:v>
                </c:pt>
                <c:pt idx="587">
                  <c:v>5.5202898550724598E-2</c:v>
                </c:pt>
                <c:pt idx="588">
                  <c:v>6.4492753623188417E-2</c:v>
                </c:pt>
                <c:pt idx="589">
                  <c:v>6.4391304347825973E-2</c:v>
                </c:pt>
                <c:pt idx="590">
                  <c:v>6.1652173913043402E-2</c:v>
                </c:pt>
                <c:pt idx="591">
                  <c:v>5.6550724637681071E-2</c:v>
                </c:pt>
                <c:pt idx="592">
                  <c:v>5.5101449275362209E-2</c:v>
                </c:pt>
                <c:pt idx="593">
                  <c:v>6.1130434782608579E-2</c:v>
                </c:pt>
                <c:pt idx="594">
                  <c:v>5.9550724637681039E-2</c:v>
                </c:pt>
                <c:pt idx="595">
                  <c:v>5.6521739130434699E-2</c:v>
                </c:pt>
                <c:pt idx="596">
                  <c:v>5.4768115942028898E-2</c:v>
                </c:pt>
                <c:pt idx="597">
                  <c:v>5.3115942028985473E-2</c:v>
                </c:pt>
                <c:pt idx="598">
                  <c:v>5.4782608695652081E-2</c:v>
                </c:pt>
                <c:pt idx="599">
                  <c:v>5.5202898550724598E-2</c:v>
                </c:pt>
                <c:pt idx="600">
                  <c:v>6.4492753623188417E-2</c:v>
                </c:pt>
                <c:pt idx="601">
                  <c:v>6.4391304347825973E-2</c:v>
                </c:pt>
                <c:pt idx="602">
                  <c:v>6.1652173913043402E-2</c:v>
                </c:pt>
                <c:pt idx="603">
                  <c:v>5.6550724637681071E-2</c:v>
                </c:pt>
                <c:pt idx="604">
                  <c:v>5.5101449275362209E-2</c:v>
                </c:pt>
                <c:pt idx="605">
                  <c:v>6.1130434782608579E-2</c:v>
                </c:pt>
                <c:pt idx="606">
                  <c:v>5.9550724637681039E-2</c:v>
                </c:pt>
                <c:pt idx="607">
                  <c:v>5.6521739130434699E-2</c:v>
                </c:pt>
                <c:pt idx="608">
                  <c:v>5.4768115942028898E-2</c:v>
                </c:pt>
                <c:pt idx="609">
                  <c:v>5.3115942028985473E-2</c:v>
                </c:pt>
                <c:pt idx="610">
                  <c:v>5.4782608695652081E-2</c:v>
                </c:pt>
                <c:pt idx="611">
                  <c:v>5.5202898550724598E-2</c:v>
                </c:pt>
                <c:pt idx="612">
                  <c:v>6.4492753623188417E-2</c:v>
                </c:pt>
                <c:pt idx="613">
                  <c:v>6.4391304347825973E-2</c:v>
                </c:pt>
                <c:pt idx="614">
                  <c:v>6.1652173913043402E-2</c:v>
                </c:pt>
                <c:pt idx="615">
                  <c:v>5.6550724637681071E-2</c:v>
                </c:pt>
                <c:pt idx="616">
                  <c:v>5.5101449275362209E-2</c:v>
                </c:pt>
                <c:pt idx="617">
                  <c:v>6.1130434782608579E-2</c:v>
                </c:pt>
                <c:pt idx="618">
                  <c:v>5.9550724637681039E-2</c:v>
                </c:pt>
                <c:pt idx="619">
                  <c:v>5.6521739130434699E-2</c:v>
                </c:pt>
                <c:pt idx="620">
                  <c:v>5.4768115942028898E-2</c:v>
                </c:pt>
                <c:pt idx="621">
                  <c:v>5.3115942028985473E-2</c:v>
                </c:pt>
                <c:pt idx="622">
                  <c:v>5.4782608695652081E-2</c:v>
                </c:pt>
                <c:pt idx="623">
                  <c:v>5.5202898550724598E-2</c:v>
                </c:pt>
                <c:pt idx="624">
                  <c:v>6.4492753623188417E-2</c:v>
                </c:pt>
                <c:pt idx="625">
                  <c:v>6.4391304347825973E-2</c:v>
                </c:pt>
                <c:pt idx="626">
                  <c:v>6.1652173913043402E-2</c:v>
                </c:pt>
                <c:pt idx="627">
                  <c:v>5.6550724637681071E-2</c:v>
                </c:pt>
                <c:pt idx="628">
                  <c:v>5.5101449275362209E-2</c:v>
                </c:pt>
                <c:pt idx="629">
                  <c:v>6.1130434782608579E-2</c:v>
                </c:pt>
                <c:pt idx="630">
                  <c:v>5.9550724637681039E-2</c:v>
                </c:pt>
                <c:pt idx="631">
                  <c:v>5.6521739130434699E-2</c:v>
                </c:pt>
                <c:pt idx="632">
                  <c:v>5.4768115942028898E-2</c:v>
                </c:pt>
                <c:pt idx="633">
                  <c:v>5.3115942028985473E-2</c:v>
                </c:pt>
                <c:pt idx="634">
                  <c:v>5.4782608695652081E-2</c:v>
                </c:pt>
                <c:pt idx="635">
                  <c:v>5.5202898550724598E-2</c:v>
                </c:pt>
                <c:pt idx="636">
                  <c:v>6.4492753623188417E-2</c:v>
                </c:pt>
                <c:pt idx="637">
                  <c:v>6.4391304347825973E-2</c:v>
                </c:pt>
                <c:pt idx="638">
                  <c:v>6.1652173913043402E-2</c:v>
                </c:pt>
                <c:pt idx="639">
                  <c:v>5.6550724637681071E-2</c:v>
                </c:pt>
                <c:pt idx="640">
                  <c:v>5.5101449275362209E-2</c:v>
                </c:pt>
                <c:pt idx="641">
                  <c:v>6.1130434782608579E-2</c:v>
                </c:pt>
                <c:pt idx="642">
                  <c:v>5.9550724637681039E-2</c:v>
                </c:pt>
                <c:pt idx="643">
                  <c:v>5.6521739130434699E-2</c:v>
                </c:pt>
                <c:pt idx="644">
                  <c:v>5.4768115942028898E-2</c:v>
                </c:pt>
                <c:pt idx="645">
                  <c:v>5.3115942028985473E-2</c:v>
                </c:pt>
                <c:pt idx="646">
                  <c:v>5.4782608695652081E-2</c:v>
                </c:pt>
                <c:pt idx="647">
                  <c:v>5.5202898550724598E-2</c:v>
                </c:pt>
                <c:pt idx="648">
                  <c:v>6.4492753623188417E-2</c:v>
                </c:pt>
                <c:pt idx="649">
                  <c:v>6.4391304347825973E-2</c:v>
                </c:pt>
                <c:pt idx="650">
                  <c:v>6.1652173913043402E-2</c:v>
                </c:pt>
                <c:pt idx="651">
                  <c:v>5.6550724637681071E-2</c:v>
                </c:pt>
                <c:pt idx="652">
                  <c:v>5.5101449275362209E-2</c:v>
                </c:pt>
                <c:pt idx="653">
                  <c:v>6.1130434782608579E-2</c:v>
                </c:pt>
                <c:pt idx="654">
                  <c:v>5.9550724637681039E-2</c:v>
                </c:pt>
                <c:pt idx="655">
                  <c:v>5.6521739130434699E-2</c:v>
                </c:pt>
                <c:pt idx="656">
                  <c:v>5.4768115942028898E-2</c:v>
                </c:pt>
                <c:pt idx="657">
                  <c:v>5.3115942028985473E-2</c:v>
                </c:pt>
                <c:pt idx="658">
                  <c:v>5.4782608695652081E-2</c:v>
                </c:pt>
                <c:pt idx="659">
                  <c:v>5.5202898550724598E-2</c:v>
                </c:pt>
                <c:pt idx="660">
                  <c:v>6.4492753623188417E-2</c:v>
                </c:pt>
                <c:pt idx="661">
                  <c:v>6.4391304347825973E-2</c:v>
                </c:pt>
                <c:pt idx="662">
                  <c:v>6.1652173913043402E-2</c:v>
                </c:pt>
                <c:pt idx="663">
                  <c:v>5.6550724637681071E-2</c:v>
                </c:pt>
                <c:pt idx="664">
                  <c:v>5.5101449275362209E-2</c:v>
                </c:pt>
                <c:pt idx="665">
                  <c:v>6.1130434782608579E-2</c:v>
                </c:pt>
                <c:pt idx="666">
                  <c:v>5.9550724637681039E-2</c:v>
                </c:pt>
                <c:pt idx="667">
                  <c:v>5.6521739130434699E-2</c:v>
                </c:pt>
                <c:pt idx="668">
                  <c:v>5.4768115942028898E-2</c:v>
                </c:pt>
                <c:pt idx="669">
                  <c:v>5.3115942028985473E-2</c:v>
                </c:pt>
                <c:pt idx="670">
                  <c:v>5.4782608695652081E-2</c:v>
                </c:pt>
                <c:pt idx="671">
                  <c:v>5.5202898550724598E-2</c:v>
                </c:pt>
                <c:pt idx="672">
                  <c:v>6.4492753623188417E-2</c:v>
                </c:pt>
                <c:pt idx="673">
                  <c:v>6.4391304347825973E-2</c:v>
                </c:pt>
                <c:pt idx="674">
                  <c:v>6.1652173913043402E-2</c:v>
                </c:pt>
                <c:pt idx="675">
                  <c:v>5.6550724637681071E-2</c:v>
                </c:pt>
                <c:pt idx="676">
                  <c:v>5.5101449275362209E-2</c:v>
                </c:pt>
                <c:pt idx="677">
                  <c:v>6.1130434782608579E-2</c:v>
                </c:pt>
                <c:pt idx="678">
                  <c:v>5.9550724637681039E-2</c:v>
                </c:pt>
                <c:pt idx="679">
                  <c:v>5.6521739130434699E-2</c:v>
                </c:pt>
                <c:pt idx="680">
                  <c:v>5.4768115942028898E-2</c:v>
                </c:pt>
                <c:pt idx="681">
                  <c:v>5.3115942028985473E-2</c:v>
                </c:pt>
                <c:pt idx="682">
                  <c:v>5.4782608695652081E-2</c:v>
                </c:pt>
                <c:pt idx="683">
                  <c:v>5.5202898550724598E-2</c:v>
                </c:pt>
                <c:pt idx="684">
                  <c:v>6.4492753623188417E-2</c:v>
                </c:pt>
                <c:pt idx="685">
                  <c:v>6.4391304347825973E-2</c:v>
                </c:pt>
                <c:pt idx="686">
                  <c:v>6.1652173913043402E-2</c:v>
                </c:pt>
                <c:pt idx="687">
                  <c:v>5.6550724637681071E-2</c:v>
                </c:pt>
                <c:pt idx="688">
                  <c:v>5.5101449275362209E-2</c:v>
                </c:pt>
                <c:pt idx="689">
                  <c:v>6.1130434782608579E-2</c:v>
                </c:pt>
                <c:pt idx="690">
                  <c:v>5.9550724637681039E-2</c:v>
                </c:pt>
                <c:pt idx="691">
                  <c:v>5.6521739130434699E-2</c:v>
                </c:pt>
                <c:pt idx="692">
                  <c:v>5.4768115942028898E-2</c:v>
                </c:pt>
                <c:pt idx="693">
                  <c:v>5.3115942028985473E-2</c:v>
                </c:pt>
                <c:pt idx="694">
                  <c:v>5.4782608695652081E-2</c:v>
                </c:pt>
                <c:pt idx="695">
                  <c:v>5.5202898550724598E-2</c:v>
                </c:pt>
                <c:pt idx="696">
                  <c:v>6.4492753623188417E-2</c:v>
                </c:pt>
                <c:pt idx="697">
                  <c:v>6.4391304347825973E-2</c:v>
                </c:pt>
                <c:pt idx="698">
                  <c:v>6.1652173913043402E-2</c:v>
                </c:pt>
                <c:pt idx="699">
                  <c:v>5.6550724637681071E-2</c:v>
                </c:pt>
                <c:pt idx="700">
                  <c:v>5.5101449275362209E-2</c:v>
                </c:pt>
                <c:pt idx="701">
                  <c:v>6.1130434782608579E-2</c:v>
                </c:pt>
                <c:pt idx="702">
                  <c:v>5.9550724637681039E-2</c:v>
                </c:pt>
                <c:pt idx="703">
                  <c:v>5.6521739130434699E-2</c:v>
                </c:pt>
                <c:pt idx="704">
                  <c:v>5.4768115942028898E-2</c:v>
                </c:pt>
                <c:pt idx="705">
                  <c:v>5.3115942028985473E-2</c:v>
                </c:pt>
                <c:pt idx="706">
                  <c:v>5.4782608695652081E-2</c:v>
                </c:pt>
                <c:pt idx="707">
                  <c:v>5.5202898550724598E-2</c:v>
                </c:pt>
                <c:pt idx="708">
                  <c:v>6.4492753623188417E-2</c:v>
                </c:pt>
                <c:pt idx="709">
                  <c:v>6.4391304347825973E-2</c:v>
                </c:pt>
                <c:pt idx="710">
                  <c:v>6.1652173913043402E-2</c:v>
                </c:pt>
                <c:pt idx="711">
                  <c:v>5.6550724637681071E-2</c:v>
                </c:pt>
                <c:pt idx="712">
                  <c:v>5.5101449275362209E-2</c:v>
                </c:pt>
                <c:pt idx="713">
                  <c:v>6.1130434782608579E-2</c:v>
                </c:pt>
                <c:pt idx="714">
                  <c:v>5.9550724637681039E-2</c:v>
                </c:pt>
                <c:pt idx="715">
                  <c:v>5.6521739130434699E-2</c:v>
                </c:pt>
                <c:pt idx="716">
                  <c:v>5.4768115942028898E-2</c:v>
                </c:pt>
                <c:pt idx="717">
                  <c:v>5.3115942028985473E-2</c:v>
                </c:pt>
                <c:pt idx="718">
                  <c:v>5.4782608695652081E-2</c:v>
                </c:pt>
                <c:pt idx="719">
                  <c:v>5.5202898550724598E-2</c:v>
                </c:pt>
                <c:pt idx="720">
                  <c:v>6.4492753623188417E-2</c:v>
                </c:pt>
                <c:pt idx="721">
                  <c:v>6.4391304347825973E-2</c:v>
                </c:pt>
                <c:pt idx="722">
                  <c:v>6.1652173913043402E-2</c:v>
                </c:pt>
                <c:pt idx="723">
                  <c:v>5.6550724637681071E-2</c:v>
                </c:pt>
                <c:pt idx="724">
                  <c:v>5.5101449275362209E-2</c:v>
                </c:pt>
                <c:pt idx="725">
                  <c:v>6.1130434782608579E-2</c:v>
                </c:pt>
                <c:pt idx="726">
                  <c:v>5.9550724637681039E-2</c:v>
                </c:pt>
                <c:pt idx="727">
                  <c:v>5.6521739130434699E-2</c:v>
                </c:pt>
                <c:pt idx="728">
                  <c:v>5.4768115942028898E-2</c:v>
                </c:pt>
                <c:pt idx="729">
                  <c:v>5.3115942028985473E-2</c:v>
                </c:pt>
                <c:pt idx="730">
                  <c:v>5.4782608695652081E-2</c:v>
                </c:pt>
                <c:pt idx="731">
                  <c:v>5.5202898550724598E-2</c:v>
                </c:pt>
                <c:pt idx="732">
                  <c:v>6.4492753623188417E-2</c:v>
                </c:pt>
                <c:pt idx="733">
                  <c:v>6.4391304347825973E-2</c:v>
                </c:pt>
                <c:pt idx="734">
                  <c:v>6.1652173913043402E-2</c:v>
                </c:pt>
                <c:pt idx="735">
                  <c:v>5.6550724637681071E-2</c:v>
                </c:pt>
                <c:pt idx="736">
                  <c:v>5.5101449275362209E-2</c:v>
                </c:pt>
                <c:pt idx="737">
                  <c:v>6.1130434782608579E-2</c:v>
                </c:pt>
                <c:pt idx="738">
                  <c:v>5.9550724637681039E-2</c:v>
                </c:pt>
                <c:pt idx="739">
                  <c:v>5.6521739130434699E-2</c:v>
                </c:pt>
                <c:pt idx="740">
                  <c:v>5.4768115942028898E-2</c:v>
                </c:pt>
                <c:pt idx="741">
                  <c:v>5.3115942028985473E-2</c:v>
                </c:pt>
                <c:pt idx="742">
                  <c:v>5.4782608695652081E-2</c:v>
                </c:pt>
                <c:pt idx="743">
                  <c:v>5.5202898550724598E-2</c:v>
                </c:pt>
                <c:pt idx="744">
                  <c:v>6.4492753623188417E-2</c:v>
                </c:pt>
                <c:pt idx="745">
                  <c:v>6.4391304347825973E-2</c:v>
                </c:pt>
                <c:pt idx="746">
                  <c:v>6.1652173913043402E-2</c:v>
                </c:pt>
                <c:pt idx="747">
                  <c:v>5.6550724637681071E-2</c:v>
                </c:pt>
                <c:pt idx="748">
                  <c:v>5.5101449275362209E-2</c:v>
                </c:pt>
                <c:pt idx="749">
                  <c:v>6.1130434782608579E-2</c:v>
                </c:pt>
                <c:pt idx="750">
                  <c:v>5.9550724637681039E-2</c:v>
                </c:pt>
                <c:pt idx="751">
                  <c:v>5.6521739130434699E-2</c:v>
                </c:pt>
                <c:pt idx="752">
                  <c:v>5.4768115942028898E-2</c:v>
                </c:pt>
                <c:pt idx="753">
                  <c:v>5.3115942028985473E-2</c:v>
                </c:pt>
                <c:pt idx="754">
                  <c:v>5.4782608695652081E-2</c:v>
                </c:pt>
                <c:pt idx="755">
                  <c:v>5.5202898550724598E-2</c:v>
                </c:pt>
                <c:pt idx="756">
                  <c:v>6.4492753623188417E-2</c:v>
                </c:pt>
                <c:pt idx="757">
                  <c:v>6.4391304347825973E-2</c:v>
                </c:pt>
                <c:pt idx="758">
                  <c:v>6.1652173913043402E-2</c:v>
                </c:pt>
                <c:pt idx="759">
                  <c:v>5.6550724637681071E-2</c:v>
                </c:pt>
                <c:pt idx="760">
                  <c:v>5.5101449275362209E-2</c:v>
                </c:pt>
                <c:pt idx="761">
                  <c:v>6.1130434782608579E-2</c:v>
                </c:pt>
                <c:pt idx="762">
                  <c:v>5.9550724637681039E-2</c:v>
                </c:pt>
                <c:pt idx="763">
                  <c:v>5.6521739130434699E-2</c:v>
                </c:pt>
                <c:pt idx="764">
                  <c:v>5.4768115942028898E-2</c:v>
                </c:pt>
                <c:pt idx="765">
                  <c:v>5.3115942028985473E-2</c:v>
                </c:pt>
                <c:pt idx="766">
                  <c:v>5.4782608695652081E-2</c:v>
                </c:pt>
                <c:pt idx="767">
                  <c:v>5.5202898550724598E-2</c:v>
                </c:pt>
                <c:pt idx="768">
                  <c:v>6.4492753623188417E-2</c:v>
                </c:pt>
                <c:pt idx="769">
                  <c:v>6.4391304347825973E-2</c:v>
                </c:pt>
                <c:pt idx="770">
                  <c:v>6.1652173913043402E-2</c:v>
                </c:pt>
                <c:pt idx="771">
                  <c:v>5.6550724637681071E-2</c:v>
                </c:pt>
                <c:pt idx="772">
                  <c:v>5.5101449275362209E-2</c:v>
                </c:pt>
                <c:pt idx="773">
                  <c:v>6.1130434782608579E-2</c:v>
                </c:pt>
                <c:pt idx="774">
                  <c:v>5.9550724637681039E-2</c:v>
                </c:pt>
                <c:pt idx="775">
                  <c:v>5.6521739130434699E-2</c:v>
                </c:pt>
                <c:pt idx="776">
                  <c:v>5.4768115942028898E-2</c:v>
                </c:pt>
                <c:pt idx="777">
                  <c:v>5.3115942028985473E-2</c:v>
                </c:pt>
                <c:pt idx="778">
                  <c:v>5.4782608695652081E-2</c:v>
                </c:pt>
                <c:pt idx="779">
                  <c:v>5.5202898550724598E-2</c:v>
                </c:pt>
                <c:pt idx="780">
                  <c:v>6.4492753623188417E-2</c:v>
                </c:pt>
                <c:pt idx="781">
                  <c:v>6.4391304347825973E-2</c:v>
                </c:pt>
                <c:pt idx="782">
                  <c:v>6.1652173913043402E-2</c:v>
                </c:pt>
                <c:pt idx="783">
                  <c:v>5.6550724637681071E-2</c:v>
                </c:pt>
                <c:pt idx="784">
                  <c:v>5.5101449275362209E-2</c:v>
                </c:pt>
                <c:pt idx="785">
                  <c:v>6.1130434782608579E-2</c:v>
                </c:pt>
                <c:pt idx="786">
                  <c:v>5.9550724637681039E-2</c:v>
                </c:pt>
                <c:pt idx="787">
                  <c:v>5.6521739130434699E-2</c:v>
                </c:pt>
                <c:pt idx="788">
                  <c:v>5.4768115942028898E-2</c:v>
                </c:pt>
                <c:pt idx="789">
                  <c:v>5.3115942028985473E-2</c:v>
                </c:pt>
                <c:pt idx="790">
                  <c:v>5.4782608695652081E-2</c:v>
                </c:pt>
                <c:pt idx="791">
                  <c:v>5.5202898550724598E-2</c:v>
                </c:pt>
                <c:pt idx="792">
                  <c:v>6.4492753623188417E-2</c:v>
                </c:pt>
                <c:pt idx="793">
                  <c:v>6.4391304347825973E-2</c:v>
                </c:pt>
                <c:pt idx="794">
                  <c:v>6.1652173913043402E-2</c:v>
                </c:pt>
                <c:pt idx="795">
                  <c:v>5.6550724637681071E-2</c:v>
                </c:pt>
                <c:pt idx="796">
                  <c:v>5.5101449275362209E-2</c:v>
                </c:pt>
                <c:pt idx="797">
                  <c:v>6.1130434782608579E-2</c:v>
                </c:pt>
                <c:pt idx="798">
                  <c:v>5.9550724637681039E-2</c:v>
                </c:pt>
                <c:pt idx="799">
                  <c:v>5.6521739130434699E-2</c:v>
                </c:pt>
                <c:pt idx="800">
                  <c:v>5.4768115942028898E-2</c:v>
                </c:pt>
                <c:pt idx="801">
                  <c:v>5.3115942028985473E-2</c:v>
                </c:pt>
                <c:pt idx="802">
                  <c:v>5.4782608695652081E-2</c:v>
                </c:pt>
                <c:pt idx="803">
                  <c:v>5.5202898550724598E-2</c:v>
                </c:pt>
                <c:pt idx="804">
                  <c:v>6.4492753623188417E-2</c:v>
                </c:pt>
                <c:pt idx="805">
                  <c:v>6.4391304347825973E-2</c:v>
                </c:pt>
                <c:pt idx="806">
                  <c:v>6.1652173913043402E-2</c:v>
                </c:pt>
                <c:pt idx="807">
                  <c:v>5.6550724637681071E-2</c:v>
                </c:pt>
                <c:pt idx="808">
                  <c:v>5.5101449275362209E-2</c:v>
                </c:pt>
                <c:pt idx="809">
                  <c:v>6.1130434782608579E-2</c:v>
                </c:pt>
                <c:pt idx="810">
                  <c:v>5.9550724637681039E-2</c:v>
                </c:pt>
                <c:pt idx="811">
                  <c:v>5.6521739130434699E-2</c:v>
                </c:pt>
                <c:pt idx="812">
                  <c:v>5.4768115942028898E-2</c:v>
                </c:pt>
                <c:pt idx="813">
                  <c:v>5.3115942028985473E-2</c:v>
                </c:pt>
                <c:pt idx="814">
                  <c:v>5.4782608695652081E-2</c:v>
                </c:pt>
                <c:pt idx="815">
                  <c:v>5.5202898550724598E-2</c:v>
                </c:pt>
                <c:pt idx="816">
                  <c:v>6.4492753623188417E-2</c:v>
                </c:pt>
                <c:pt idx="817">
                  <c:v>6.4391304347825973E-2</c:v>
                </c:pt>
                <c:pt idx="818">
                  <c:v>6.1652173913043402E-2</c:v>
                </c:pt>
                <c:pt idx="819">
                  <c:v>5.6550724637681071E-2</c:v>
                </c:pt>
                <c:pt idx="820">
                  <c:v>5.5101449275362209E-2</c:v>
                </c:pt>
                <c:pt idx="821">
                  <c:v>6.1130434782608579E-2</c:v>
                </c:pt>
                <c:pt idx="822">
                  <c:v>5.9550724637681039E-2</c:v>
                </c:pt>
                <c:pt idx="823">
                  <c:v>5.6521739130434699E-2</c:v>
                </c:pt>
                <c:pt idx="824">
                  <c:v>5.4768115942028898E-2</c:v>
                </c:pt>
                <c:pt idx="825">
                  <c:v>5.3115942028985473E-2</c:v>
                </c:pt>
                <c:pt idx="826">
                  <c:v>5.4782608695652081E-2</c:v>
                </c:pt>
                <c:pt idx="827">
                  <c:v>5.5202898550724598E-2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4-4E73-9DF2-F2A455BCDEDC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Seasonally Adjusted Unemployment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Data'!$D$2:$D$830</c:f>
              <c:numCache>
                <c:formatCode>0%</c:formatCode>
                <c:ptCount val="829"/>
                <c:pt idx="0">
                  <c:v>3.3612318840579629E-2</c:v>
                </c:pt>
                <c:pt idx="1">
                  <c:v>4.0713768115942073E-2</c:v>
                </c:pt>
                <c:pt idx="2">
                  <c:v>4.1452898550724641E-2</c:v>
                </c:pt>
                <c:pt idx="3">
                  <c:v>4.1554347826086975E-2</c:v>
                </c:pt>
                <c:pt idx="4">
                  <c:v>3.7003623188405839E-2</c:v>
                </c:pt>
                <c:pt idx="5">
                  <c:v>3.5974637681159466E-2</c:v>
                </c:pt>
                <c:pt idx="6">
                  <c:v>3.7554347826087006E-2</c:v>
                </c:pt>
                <c:pt idx="7">
                  <c:v>3.7583333333333351E-2</c:v>
                </c:pt>
                <c:pt idx="8">
                  <c:v>3.7336956521739149E-2</c:v>
                </c:pt>
                <c:pt idx="9">
                  <c:v>3.398913043478257E-2</c:v>
                </c:pt>
                <c:pt idx="10">
                  <c:v>3.6322463768115966E-2</c:v>
                </c:pt>
                <c:pt idx="11">
                  <c:v>3.8902173913043452E-2</c:v>
                </c:pt>
                <c:pt idx="12">
                  <c:v>4.3612318840579631E-2</c:v>
                </c:pt>
                <c:pt idx="13">
                  <c:v>5.1713768115942069E-2</c:v>
                </c:pt>
                <c:pt idx="14">
                  <c:v>5.2452898550724637E-2</c:v>
                </c:pt>
                <c:pt idx="15">
                  <c:v>5.5554347826086981E-2</c:v>
                </c:pt>
                <c:pt idx="16">
                  <c:v>6.0003623188405839E-2</c:v>
                </c:pt>
                <c:pt idx="17">
                  <c:v>6.0974637681159467E-2</c:v>
                </c:pt>
                <c:pt idx="18">
                  <c:v>6.855434782608702E-2</c:v>
                </c:pt>
                <c:pt idx="19">
                  <c:v>6.4583333333333354E-2</c:v>
                </c:pt>
                <c:pt idx="20">
                  <c:v>6.2336956521739151E-2</c:v>
                </c:pt>
                <c:pt idx="21">
                  <c:v>6.5989130434782578E-2</c:v>
                </c:pt>
                <c:pt idx="22">
                  <c:v>6.0322463768115966E-2</c:v>
                </c:pt>
                <c:pt idx="23">
                  <c:v>6.2902173913043452E-2</c:v>
                </c:pt>
                <c:pt idx="24">
                  <c:v>6.9612318840579626E-2</c:v>
                </c:pt>
                <c:pt idx="25">
                  <c:v>7.2713768115942073E-2</c:v>
                </c:pt>
                <c:pt idx="26">
                  <c:v>6.7452898550724644E-2</c:v>
                </c:pt>
                <c:pt idx="27">
                  <c:v>6.1554347826086972E-2</c:v>
                </c:pt>
                <c:pt idx="28">
                  <c:v>5.6003623188405835E-2</c:v>
                </c:pt>
                <c:pt idx="29">
                  <c:v>5.297463768115946E-2</c:v>
                </c:pt>
                <c:pt idx="30">
                  <c:v>5.1554347826087005E-2</c:v>
                </c:pt>
                <c:pt idx="31">
                  <c:v>4.2583333333333341E-2</c:v>
                </c:pt>
                <c:pt idx="32">
                  <c:v>4.3336956521739148E-2</c:v>
                </c:pt>
                <c:pt idx="33">
                  <c:v>3.7989130434782574E-2</c:v>
                </c:pt>
                <c:pt idx="34">
                  <c:v>4.1322463768115963E-2</c:v>
                </c:pt>
                <c:pt idx="35">
                  <c:v>4.1902173913043447E-2</c:v>
                </c:pt>
                <c:pt idx="36">
                  <c:v>3.7612318840579632E-2</c:v>
                </c:pt>
                <c:pt idx="37">
                  <c:v>3.5713768115942075E-2</c:v>
                </c:pt>
                <c:pt idx="38">
                  <c:v>3.4452898550724642E-2</c:v>
                </c:pt>
                <c:pt idx="39">
                  <c:v>3.3554347826086975E-2</c:v>
                </c:pt>
                <c:pt idx="40">
                  <c:v>3.2003623188405834E-2</c:v>
                </c:pt>
                <c:pt idx="41">
                  <c:v>3.0974637681159468E-2</c:v>
                </c:pt>
                <c:pt idx="42">
                  <c:v>3.1554347826087008E-2</c:v>
                </c:pt>
                <c:pt idx="43">
                  <c:v>3.0583333333333344E-2</c:v>
                </c:pt>
                <c:pt idx="44">
                  <c:v>3.3336956521739146E-2</c:v>
                </c:pt>
                <c:pt idx="45">
                  <c:v>3.298913043478257E-2</c:v>
                </c:pt>
                <c:pt idx="46">
                  <c:v>3.5322463768115965E-2</c:v>
                </c:pt>
                <c:pt idx="47">
                  <c:v>3.1902173913043445E-2</c:v>
                </c:pt>
                <c:pt idx="48">
                  <c:v>3.0612318840579633E-2</c:v>
                </c:pt>
                <c:pt idx="49">
                  <c:v>3.1713768115942072E-2</c:v>
                </c:pt>
                <c:pt idx="50">
                  <c:v>2.9452898550724645E-2</c:v>
                </c:pt>
                <c:pt idx="51">
                  <c:v>3.1554347826086973E-2</c:v>
                </c:pt>
                <c:pt idx="52">
                  <c:v>3.2003623188405834E-2</c:v>
                </c:pt>
                <c:pt idx="53">
                  <c:v>2.8974637681159467E-2</c:v>
                </c:pt>
                <c:pt idx="54">
                  <c:v>3.1554347826087008E-2</c:v>
                </c:pt>
                <c:pt idx="55">
                  <c:v>3.2583333333333346E-2</c:v>
                </c:pt>
                <c:pt idx="56">
                  <c:v>3.033695652173915E-2</c:v>
                </c:pt>
                <c:pt idx="57">
                  <c:v>2.8989130434782573E-2</c:v>
                </c:pt>
                <c:pt idx="58">
                  <c:v>2.8322463768115966E-2</c:v>
                </c:pt>
                <c:pt idx="59">
                  <c:v>2.7902173913043449E-2</c:v>
                </c:pt>
                <c:pt idx="60">
                  <c:v>2.761231884057963E-2</c:v>
                </c:pt>
                <c:pt idx="61">
                  <c:v>2.5713768115942073E-2</c:v>
                </c:pt>
                <c:pt idx="62">
                  <c:v>2.5452898550724641E-2</c:v>
                </c:pt>
                <c:pt idx="63">
                  <c:v>2.9554347826086971E-2</c:v>
                </c:pt>
                <c:pt idx="64">
                  <c:v>2.8003623188405838E-2</c:v>
                </c:pt>
                <c:pt idx="65">
                  <c:v>2.3974637681159469E-2</c:v>
                </c:pt>
                <c:pt idx="66">
                  <c:v>2.5554347826087009E-2</c:v>
                </c:pt>
                <c:pt idx="67">
                  <c:v>2.5583333333333347E-2</c:v>
                </c:pt>
                <c:pt idx="68">
                  <c:v>2.9336956521739149E-2</c:v>
                </c:pt>
                <c:pt idx="69">
                  <c:v>2.9989130434782574E-2</c:v>
                </c:pt>
                <c:pt idx="70">
                  <c:v>3.5322463768115965E-2</c:v>
                </c:pt>
                <c:pt idx="71">
                  <c:v>4.490217391304345E-2</c:v>
                </c:pt>
                <c:pt idx="72">
                  <c:v>5.061231884057963E-2</c:v>
                </c:pt>
                <c:pt idx="73">
                  <c:v>5.6713768115942073E-2</c:v>
                </c:pt>
                <c:pt idx="74">
                  <c:v>6.0452898550724644E-2</c:v>
                </c:pt>
                <c:pt idx="75">
                  <c:v>6.2554347826086973E-2</c:v>
                </c:pt>
                <c:pt idx="76">
                  <c:v>6.0003623188405839E-2</c:v>
                </c:pt>
                <c:pt idx="77">
                  <c:v>5.3974637681159468E-2</c:v>
                </c:pt>
                <c:pt idx="78">
                  <c:v>5.5554347826087008E-2</c:v>
                </c:pt>
                <c:pt idx="79">
                  <c:v>5.5583333333333353E-2</c:v>
                </c:pt>
                <c:pt idx="80">
                  <c:v>5.6336956521739145E-2</c:v>
                </c:pt>
                <c:pt idx="81">
                  <c:v>5.0989130434782572E-2</c:v>
                </c:pt>
                <c:pt idx="82">
                  <c:v>5.2322463768115966E-2</c:v>
                </c:pt>
                <c:pt idx="83">
                  <c:v>5.0902173913043448E-2</c:v>
                </c:pt>
                <c:pt idx="84">
                  <c:v>5.1612318840579624E-2</c:v>
                </c:pt>
                <c:pt idx="85">
                  <c:v>5.0713768115942075E-2</c:v>
                </c:pt>
                <c:pt idx="86">
                  <c:v>4.8452898550724648E-2</c:v>
                </c:pt>
                <c:pt idx="87">
                  <c:v>5.0554347826086976E-2</c:v>
                </c:pt>
                <c:pt idx="88">
                  <c:v>4.5003623188405839E-2</c:v>
                </c:pt>
                <c:pt idx="89">
                  <c:v>4.097463768115947E-2</c:v>
                </c:pt>
                <c:pt idx="90">
                  <c:v>3.8554347826087007E-2</c:v>
                </c:pt>
                <c:pt idx="91">
                  <c:v>3.9583333333333345E-2</c:v>
                </c:pt>
                <c:pt idx="92">
                  <c:v>3.833695652173915E-2</c:v>
                </c:pt>
                <c:pt idx="93">
                  <c:v>3.8989130434782575E-2</c:v>
                </c:pt>
                <c:pt idx="94">
                  <c:v>4.1322463768115963E-2</c:v>
                </c:pt>
                <c:pt idx="95">
                  <c:v>4.1902173913043447E-2</c:v>
                </c:pt>
                <c:pt idx="96">
                  <c:v>4.0612318840579628E-2</c:v>
                </c:pt>
                <c:pt idx="97">
                  <c:v>4.1713768115942074E-2</c:v>
                </c:pt>
                <c:pt idx="98">
                  <c:v>4.3452898550724643E-2</c:v>
                </c:pt>
                <c:pt idx="99">
                  <c:v>4.2554347826086969E-2</c:v>
                </c:pt>
                <c:pt idx="100">
                  <c:v>4.5003623188405839E-2</c:v>
                </c:pt>
                <c:pt idx="101">
                  <c:v>4.3974637681159466E-2</c:v>
                </c:pt>
                <c:pt idx="102">
                  <c:v>4.2554347826087011E-2</c:v>
                </c:pt>
                <c:pt idx="103">
                  <c:v>3.8583333333333351E-2</c:v>
                </c:pt>
                <c:pt idx="104">
                  <c:v>3.7336956521739149E-2</c:v>
                </c:pt>
                <c:pt idx="105">
                  <c:v>3.5989130434782572E-2</c:v>
                </c:pt>
                <c:pt idx="106">
                  <c:v>4.2322463768115964E-2</c:v>
                </c:pt>
                <c:pt idx="107">
                  <c:v>4.2902173913043448E-2</c:v>
                </c:pt>
                <c:pt idx="108">
                  <c:v>4.261231884057963E-2</c:v>
                </c:pt>
                <c:pt idx="109">
                  <c:v>4.0713768115942073E-2</c:v>
                </c:pt>
                <c:pt idx="110">
                  <c:v>3.945289855072464E-2</c:v>
                </c:pt>
                <c:pt idx="111">
                  <c:v>4.1554347826086975E-2</c:v>
                </c:pt>
                <c:pt idx="112">
                  <c:v>4.2003623188405836E-2</c:v>
                </c:pt>
                <c:pt idx="113">
                  <c:v>4.2974637681159465E-2</c:v>
                </c:pt>
                <c:pt idx="114">
                  <c:v>3.9554347826087001E-2</c:v>
                </c:pt>
                <c:pt idx="115">
                  <c:v>3.8583333333333351E-2</c:v>
                </c:pt>
                <c:pt idx="116">
                  <c:v>4.0336956521739152E-2</c:v>
                </c:pt>
                <c:pt idx="117">
                  <c:v>4.0989130434782577E-2</c:v>
                </c:pt>
                <c:pt idx="118">
                  <c:v>4.9322463768115964E-2</c:v>
                </c:pt>
                <c:pt idx="119">
                  <c:v>5.290217391304345E-2</c:v>
                </c:pt>
                <c:pt idx="120">
                  <c:v>6.1612318840579633E-2</c:v>
                </c:pt>
                <c:pt idx="121">
                  <c:v>7.0713768115942072E-2</c:v>
                </c:pt>
                <c:pt idx="122">
                  <c:v>7.3452898550724649E-2</c:v>
                </c:pt>
                <c:pt idx="123">
                  <c:v>7.6554347826086971E-2</c:v>
                </c:pt>
                <c:pt idx="124">
                  <c:v>7.4003623188405837E-2</c:v>
                </c:pt>
                <c:pt idx="125">
                  <c:v>7.2974637681159471E-2</c:v>
                </c:pt>
                <c:pt idx="126">
                  <c:v>7.2554347826087023E-2</c:v>
                </c:pt>
                <c:pt idx="127">
                  <c:v>6.8583333333333357E-2</c:v>
                </c:pt>
                <c:pt idx="128">
                  <c:v>6.3336956521739152E-2</c:v>
                </c:pt>
                <c:pt idx="129">
                  <c:v>5.9989130434782573E-2</c:v>
                </c:pt>
                <c:pt idx="130">
                  <c:v>5.9322463768115959E-2</c:v>
                </c:pt>
                <c:pt idx="131">
                  <c:v>6.2902173913043452E-2</c:v>
                </c:pt>
                <c:pt idx="132">
                  <c:v>6.3612318840579635E-2</c:v>
                </c:pt>
                <c:pt idx="133">
                  <c:v>6.3713768115942079E-2</c:v>
                </c:pt>
                <c:pt idx="134">
                  <c:v>6.0452898550724644E-2</c:v>
                </c:pt>
                <c:pt idx="135">
                  <c:v>5.3554347826086979E-2</c:v>
                </c:pt>
                <c:pt idx="136">
                  <c:v>5.2003623188405838E-2</c:v>
                </c:pt>
                <c:pt idx="137">
                  <c:v>5.0974637681159472E-2</c:v>
                </c:pt>
                <c:pt idx="138">
                  <c:v>5.0554347826087011E-2</c:v>
                </c:pt>
                <c:pt idx="139">
                  <c:v>4.9583333333333347E-2</c:v>
                </c:pt>
                <c:pt idx="140">
                  <c:v>5.0336956521739147E-2</c:v>
                </c:pt>
                <c:pt idx="141">
                  <c:v>5.1989130434782573E-2</c:v>
                </c:pt>
                <c:pt idx="142">
                  <c:v>5.6322463768115963E-2</c:v>
                </c:pt>
                <c:pt idx="143">
                  <c:v>5.3902173913043444E-2</c:v>
                </c:pt>
                <c:pt idx="144">
                  <c:v>5.4612318840579627E-2</c:v>
                </c:pt>
                <c:pt idx="145">
                  <c:v>5.0713768115942075E-2</c:v>
                </c:pt>
                <c:pt idx="146">
                  <c:v>5.7452898550724642E-2</c:v>
                </c:pt>
                <c:pt idx="147">
                  <c:v>5.3554347826086979E-2</c:v>
                </c:pt>
                <c:pt idx="148">
                  <c:v>5.1003623188405837E-2</c:v>
                </c:pt>
                <c:pt idx="149">
                  <c:v>5.4974637681159462E-2</c:v>
                </c:pt>
                <c:pt idx="150">
                  <c:v>5.3554347826087007E-2</c:v>
                </c:pt>
                <c:pt idx="151">
                  <c:v>5.3583333333333351E-2</c:v>
                </c:pt>
                <c:pt idx="152">
                  <c:v>5.0336956521739147E-2</c:v>
                </c:pt>
                <c:pt idx="153">
                  <c:v>5.4989130434782575E-2</c:v>
                </c:pt>
                <c:pt idx="154">
                  <c:v>5.9322463768115959E-2</c:v>
                </c:pt>
                <c:pt idx="155">
                  <c:v>6.6902173913043456E-2</c:v>
                </c:pt>
                <c:pt idx="156">
                  <c:v>7.0612318840579627E-2</c:v>
                </c:pt>
                <c:pt idx="157">
                  <c:v>7.4713768115942075E-2</c:v>
                </c:pt>
                <c:pt idx="158">
                  <c:v>7.3452898550724649E-2</c:v>
                </c:pt>
                <c:pt idx="159">
                  <c:v>7.1554347826086981E-2</c:v>
                </c:pt>
                <c:pt idx="160">
                  <c:v>6.9003623188405833E-2</c:v>
                </c:pt>
                <c:pt idx="161">
                  <c:v>6.9974637681159468E-2</c:v>
                </c:pt>
                <c:pt idx="162">
                  <c:v>6.7554347826087019E-2</c:v>
                </c:pt>
                <c:pt idx="163">
                  <c:v>6.3583333333333353E-2</c:v>
                </c:pt>
                <c:pt idx="164">
                  <c:v>6.1336956521739143E-2</c:v>
                </c:pt>
                <c:pt idx="165">
                  <c:v>5.9989130434782573E-2</c:v>
                </c:pt>
                <c:pt idx="166">
                  <c:v>5.9322463768115959E-2</c:v>
                </c:pt>
                <c:pt idx="167">
                  <c:v>6.0902173913043443E-2</c:v>
                </c:pt>
                <c:pt idx="168">
                  <c:v>6.0612318840579632E-2</c:v>
                </c:pt>
                <c:pt idx="169">
                  <c:v>5.8713768115942075E-2</c:v>
                </c:pt>
                <c:pt idx="170">
                  <c:v>5.8452898550724643E-2</c:v>
                </c:pt>
                <c:pt idx="171">
                  <c:v>5.6554347826086974E-2</c:v>
                </c:pt>
                <c:pt idx="172">
                  <c:v>5.4003623188405833E-2</c:v>
                </c:pt>
                <c:pt idx="173">
                  <c:v>5.597463768115947E-2</c:v>
                </c:pt>
                <c:pt idx="174">
                  <c:v>5.1554347826087005E-2</c:v>
                </c:pt>
                <c:pt idx="175">
                  <c:v>5.4583333333333345E-2</c:v>
                </c:pt>
                <c:pt idx="176">
                  <c:v>5.2336956521739149E-2</c:v>
                </c:pt>
                <c:pt idx="177">
                  <c:v>4.9989130434782571E-2</c:v>
                </c:pt>
                <c:pt idx="178">
                  <c:v>5.6322463768115963E-2</c:v>
                </c:pt>
                <c:pt idx="179">
                  <c:v>5.5902173913043446E-2</c:v>
                </c:pt>
                <c:pt idx="180">
                  <c:v>5.9612318840579631E-2</c:v>
                </c:pt>
                <c:pt idx="181">
                  <c:v>6.2713768115942078E-2</c:v>
                </c:pt>
                <c:pt idx="182">
                  <c:v>5.9452898550724644E-2</c:v>
                </c:pt>
                <c:pt idx="183">
                  <c:v>5.7554347826086968E-2</c:v>
                </c:pt>
                <c:pt idx="184">
                  <c:v>5.8003623188405837E-2</c:v>
                </c:pt>
                <c:pt idx="185">
                  <c:v>5.8974637681159466E-2</c:v>
                </c:pt>
                <c:pt idx="186">
                  <c:v>5.4554347826087E-2</c:v>
                </c:pt>
                <c:pt idx="187">
                  <c:v>5.3583333333333351E-2</c:v>
                </c:pt>
                <c:pt idx="188">
                  <c:v>5.1336956521739148E-2</c:v>
                </c:pt>
                <c:pt idx="189">
                  <c:v>5.1989130434782573E-2</c:v>
                </c:pt>
                <c:pt idx="190">
                  <c:v>5.6322463768115963E-2</c:v>
                </c:pt>
                <c:pt idx="191">
                  <c:v>5.5902173913043446E-2</c:v>
                </c:pt>
                <c:pt idx="192">
                  <c:v>5.7612318840579629E-2</c:v>
                </c:pt>
                <c:pt idx="193">
                  <c:v>5.5713768115942072E-2</c:v>
                </c:pt>
                <c:pt idx="194">
                  <c:v>5.5452898550724647E-2</c:v>
                </c:pt>
                <c:pt idx="195">
                  <c:v>5.4554347826086973E-2</c:v>
                </c:pt>
                <c:pt idx="196">
                  <c:v>5.1003623188405837E-2</c:v>
                </c:pt>
                <c:pt idx="197">
                  <c:v>5.597463768115947E-2</c:v>
                </c:pt>
                <c:pt idx="198">
                  <c:v>4.7554347826087008E-2</c:v>
                </c:pt>
                <c:pt idx="199">
                  <c:v>4.9583333333333347E-2</c:v>
                </c:pt>
                <c:pt idx="200">
                  <c:v>4.8336956521739145E-2</c:v>
                </c:pt>
                <c:pt idx="201">
                  <c:v>4.8989130434782577E-2</c:v>
                </c:pt>
                <c:pt idx="202">
                  <c:v>4.8322463768115963E-2</c:v>
                </c:pt>
                <c:pt idx="203">
                  <c:v>4.9902173913043447E-2</c:v>
                </c:pt>
                <c:pt idx="204">
                  <c:v>4.8612318840579628E-2</c:v>
                </c:pt>
                <c:pt idx="205">
                  <c:v>5.0713768115942075E-2</c:v>
                </c:pt>
                <c:pt idx="206">
                  <c:v>4.745289855072464E-2</c:v>
                </c:pt>
                <c:pt idx="207">
                  <c:v>4.8554347826086974E-2</c:v>
                </c:pt>
                <c:pt idx="208">
                  <c:v>4.6003623188405833E-2</c:v>
                </c:pt>
                <c:pt idx="209">
                  <c:v>4.9974637681159464E-2</c:v>
                </c:pt>
                <c:pt idx="210">
                  <c:v>4.3554347826087005E-2</c:v>
                </c:pt>
                <c:pt idx="211">
                  <c:v>4.3583333333333349E-2</c:v>
                </c:pt>
                <c:pt idx="212">
                  <c:v>4.1336956521739146E-2</c:v>
                </c:pt>
                <c:pt idx="213">
                  <c:v>4.0989130434782577E-2</c:v>
                </c:pt>
                <c:pt idx="214">
                  <c:v>4.2322463768115964E-2</c:v>
                </c:pt>
                <c:pt idx="215">
                  <c:v>3.9902173913043452E-2</c:v>
                </c:pt>
                <c:pt idx="216">
                  <c:v>3.7612318840579632E-2</c:v>
                </c:pt>
                <c:pt idx="217">
                  <c:v>3.5713768115942075E-2</c:v>
                </c:pt>
                <c:pt idx="218">
                  <c:v>3.6452898550724644E-2</c:v>
                </c:pt>
                <c:pt idx="219">
                  <c:v>3.7554347826086978E-2</c:v>
                </c:pt>
                <c:pt idx="220">
                  <c:v>4.0003623188405842E-2</c:v>
                </c:pt>
                <c:pt idx="221">
                  <c:v>4.2974637681159465E-2</c:v>
                </c:pt>
                <c:pt idx="222">
                  <c:v>3.7554347826087006E-2</c:v>
                </c:pt>
                <c:pt idx="223">
                  <c:v>3.7583333333333351E-2</c:v>
                </c:pt>
                <c:pt idx="224">
                  <c:v>3.6336956521739149E-2</c:v>
                </c:pt>
                <c:pt idx="225">
                  <c:v>3.6989130434782573E-2</c:v>
                </c:pt>
                <c:pt idx="226">
                  <c:v>3.7322463768115967E-2</c:v>
                </c:pt>
                <c:pt idx="227">
                  <c:v>3.7902173913043451E-2</c:v>
                </c:pt>
                <c:pt idx="228">
                  <c:v>3.5612318840579631E-2</c:v>
                </c:pt>
                <c:pt idx="229">
                  <c:v>3.5713768115942075E-2</c:v>
                </c:pt>
                <c:pt idx="230">
                  <c:v>3.5452898550724643E-2</c:v>
                </c:pt>
                <c:pt idx="231">
                  <c:v>3.6554347826086978E-2</c:v>
                </c:pt>
                <c:pt idx="232">
                  <c:v>3.5003623188405837E-2</c:v>
                </c:pt>
                <c:pt idx="233">
                  <c:v>4.2974637681159465E-2</c:v>
                </c:pt>
                <c:pt idx="234">
                  <c:v>3.9554347826087001E-2</c:v>
                </c:pt>
                <c:pt idx="235">
                  <c:v>3.8583333333333351E-2</c:v>
                </c:pt>
                <c:pt idx="236">
                  <c:v>4.0336956521739152E-2</c:v>
                </c:pt>
                <c:pt idx="237">
                  <c:v>4.2989130434782571E-2</c:v>
                </c:pt>
                <c:pt idx="238">
                  <c:v>4.0322463768115969E-2</c:v>
                </c:pt>
                <c:pt idx="239">
                  <c:v>3.7902173913043451E-2</c:v>
                </c:pt>
                <c:pt idx="240">
                  <c:v>3.3612318840579629E-2</c:v>
                </c:pt>
                <c:pt idx="241">
                  <c:v>3.5713768115942075E-2</c:v>
                </c:pt>
                <c:pt idx="242">
                  <c:v>3.4452898550724642E-2</c:v>
                </c:pt>
                <c:pt idx="243">
                  <c:v>3.3554347826086975E-2</c:v>
                </c:pt>
                <c:pt idx="244">
                  <c:v>3.2003623188405834E-2</c:v>
                </c:pt>
                <c:pt idx="245">
                  <c:v>4.1974637681159464E-2</c:v>
                </c:pt>
                <c:pt idx="246">
                  <c:v>3.8554347826087007E-2</c:v>
                </c:pt>
                <c:pt idx="247">
                  <c:v>3.658333333333335E-2</c:v>
                </c:pt>
                <c:pt idx="248">
                  <c:v>3.6336956521739149E-2</c:v>
                </c:pt>
                <c:pt idx="249">
                  <c:v>3.6989130434782573E-2</c:v>
                </c:pt>
                <c:pt idx="250">
                  <c:v>3.6322463768115966E-2</c:v>
                </c:pt>
                <c:pt idx="251">
                  <c:v>3.3902173913043447E-2</c:v>
                </c:pt>
                <c:pt idx="252">
                  <c:v>3.0612318840579633E-2</c:v>
                </c:pt>
                <c:pt idx="253">
                  <c:v>3.0713768115942078E-2</c:v>
                </c:pt>
                <c:pt idx="254">
                  <c:v>3.1452898550724646E-2</c:v>
                </c:pt>
                <c:pt idx="255">
                  <c:v>3.3554347826086975E-2</c:v>
                </c:pt>
                <c:pt idx="256">
                  <c:v>3.2003623188405834E-2</c:v>
                </c:pt>
                <c:pt idx="257">
                  <c:v>3.7974637681159461E-2</c:v>
                </c:pt>
                <c:pt idx="258">
                  <c:v>3.6554347826087005E-2</c:v>
                </c:pt>
                <c:pt idx="259">
                  <c:v>3.658333333333335E-2</c:v>
                </c:pt>
                <c:pt idx="260">
                  <c:v>4.0336956521739152E-2</c:v>
                </c:pt>
                <c:pt idx="261">
                  <c:v>3.9989130434782576E-2</c:v>
                </c:pt>
                <c:pt idx="262">
                  <c:v>3.6322463768115966E-2</c:v>
                </c:pt>
                <c:pt idx="263">
                  <c:v>3.4902173913043448E-2</c:v>
                </c:pt>
                <c:pt idx="264">
                  <c:v>3.5612318840579631E-2</c:v>
                </c:pt>
                <c:pt idx="265">
                  <c:v>4.0713768115942073E-2</c:v>
                </c:pt>
                <c:pt idx="266">
                  <c:v>4.2452898550724642E-2</c:v>
                </c:pt>
                <c:pt idx="267">
                  <c:v>4.4554347826086971E-2</c:v>
                </c:pt>
                <c:pt idx="268">
                  <c:v>4.4003623188405831E-2</c:v>
                </c:pt>
                <c:pt idx="269">
                  <c:v>5.297463768115946E-2</c:v>
                </c:pt>
                <c:pt idx="270">
                  <c:v>5.1554347826087005E-2</c:v>
                </c:pt>
                <c:pt idx="271">
                  <c:v>5.1583333333333349E-2</c:v>
                </c:pt>
                <c:pt idx="272">
                  <c:v>5.5336956521739152E-2</c:v>
                </c:pt>
                <c:pt idx="273">
                  <c:v>5.5989130434782569E-2</c:v>
                </c:pt>
                <c:pt idx="274">
                  <c:v>5.8322463768115965E-2</c:v>
                </c:pt>
                <c:pt idx="275">
                  <c:v>5.8902173913043442E-2</c:v>
                </c:pt>
                <c:pt idx="276">
                  <c:v>5.9612318840579631E-2</c:v>
                </c:pt>
                <c:pt idx="277">
                  <c:v>5.9713768115942076E-2</c:v>
                </c:pt>
                <c:pt idx="278">
                  <c:v>5.9452898550724644E-2</c:v>
                </c:pt>
                <c:pt idx="279">
                  <c:v>5.8554347826086976E-2</c:v>
                </c:pt>
                <c:pt idx="280">
                  <c:v>5.6003623188405835E-2</c:v>
                </c:pt>
                <c:pt idx="281">
                  <c:v>6.1974637681159468E-2</c:v>
                </c:pt>
                <c:pt idx="282">
                  <c:v>6.0554347826087006E-2</c:v>
                </c:pt>
                <c:pt idx="283">
                  <c:v>6.058333333333335E-2</c:v>
                </c:pt>
                <c:pt idx="284">
                  <c:v>6.1336956521739143E-2</c:v>
                </c:pt>
                <c:pt idx="285">
                  <c:v>5.8989130434782579E-2</c:v>
                </c:pt>
                <c:pt idx="286">
                  <c:v>6.0322463768115966E-2</c:v>
                </c:pt>
                <c:pt idx="287">
                  <c:v>5.7902173913043448E-2</c:v>
                </c:pt>
                <c:pt idx="288">
                  <c:v>5.861231884057963E-2</c:v>
                </c:pt>
                <c:pt idx="289">
                  <c:v>5.7713768115942074E-2</c:v>
                </c:pt>
                <c:pt idx="290">
                  <c:v>5.7452898550724642E-2</c:v>
                </c:pt>
                <c:pt idx="291">
                  <c:v>5.6554347826086974E-2</c:v>
                </c:pt>
                <c:pt idx="292">
                  <c:v>5.4003623188405833E-2</c:v>
                </c:pt>
                <c:pt idx="293">
                  <c:v>5.8974637681159466E-2</c:v>
                </c:pt>
                <c:pt idx="294">
                  <c:v>5.755434782608701E-2</c:v>
                </c:pt>
                <c:pt idx="295">
                  <c:v>5.6583333333333347E-2</c:v>
                </c:pt>
                <c:pt idx="296">
                  <c:v>5.7336956521739153E-2</c:v>
                </c:pt>
                <c:pt idx="297">
                  <c:v>5.5989130434782569E-2</c:v>
                </c:pt>
                <c:pt idx="298">
                  <c:v>5.2322463768115966E-2</c:v>
                </c:pt>
                <c:pt idx="299">
                  <c:v>5.0902173913043448E-2</c:v>
                </c:pt>
                <c:pt idx="300">
                  <c:v>4.8612318840579628E-2</c:v>
                </c:pt>
                <c:pt idx="301">
                  <c:v>4.9713768115942067E-2</c:v>
                </c:pt>
                <c:pt idx="302">
                  <c:v>4.8452898550724648E-2</c:v>
                </c:pt>
                <c:pt idx="303">
                  <c:v>4.9554347826086975E-2</c:v>
                </c:pt>
                <c:pt idx="304">
                  <c:v>4.7003623188405841E-2</c:v>
                </c:pt>
                <c:pt idx="305">
                  <c:v>5.0974637681159472E-2</c:v>
                </c:pt>
                <c:pt idx="306">
                  <c:v>4.8554347826087009E-2</c:v>
                </c:pt>
                <c:pt idx="307">
                  <c:v>4.8583333333333346E-2</c:v>
                </c:pt>
                <c:pt idx="308">
                  <c:v>5.0336956521739147E-2</c:v>
                </c:pt>
                <c:pt idx="309">
                  <c:v>4.6989130434782575E-2</c:v>
                </c:pt>
                <c:pt idx="310">
                  <c:v>4.9322463768115964E-2</c:v>
                </c:pt>
                <c:pt idx="311">
                  <c:v>4.8902173913043447E-2</c:v>
                </c:pt>
                <c:pt idx="312">
                  <c:v>5.061231884057963E-2</c:v>
                </c:pt>
                <c:pt idx="313">
                  <c:v>5.1713768115942069E-2</c:v>
                </c:pt>
                <c:pt idx="314">
                  <c:v>4.9452898550724642E-2</c:v>
                </c:pt>
                <c:pt idx="315">
                  <c:v>4.9554347826086975E-2</c:v>
                </c:pt>
                <c:pt idx="316">
                  <c:v>4.9003623188405836E-2</c:v>
                </c:pt>
                <c:pt idx="317">
                  <c:v>5.4974637681159462E-2</c:v>
                </c:pt>
                <c:pt idx="318">
                  <c:v>5.5554347826087008E-2</c:v>
                </c:pt>
                <c:pt idx="319">
                  <c:v>5.4583333333333345E-2</c:v>
                </c:pt>
                <c:pt idx="320">
                  <c:v>6.0336956521739149E-2</c:v>
                </c:pt>
                <c:pt idx="321">
                  <c:v>5.9989130434782573E-2</c:v>
                </c:pt>
                <c:pt idx="322">
                  <c:v>6.5322463768115957E-2</c:v>
                </c:pt>
                <c:pt idx="323">
                  <c:v>6.9902173913043458E-2</c:v>
                </c:pt>
                <c:pt idx="324">
                  <c:v>8.3612318840579625E-2</c:v>
                </c:pt>
                <c:pt idx="325">
                  <c:v>8.471376811594207E-2</c:v>
                </c:pt>
                <c:pt idx="326">
                  <c:v>8.7452898550724634E-2</c:v>
                </c:pt>
                <c:pt idx="327">
                  <c:v>8.7554347826086967E-2</c:v>
                </c:pt>
                <c:pt idx="328">
                  <c:v>8.6003623188405848E-2</c:v>
                </c:pt>
                <c:pt idx="329">
                  <c:v>8.7974637681159457E-2</c:v>
                </c:pt>
                <c:pt idx="330">
                  <c:v>8.5554347826087007E-2</c:v>
                </c:pt>
                <c:pt idx="331">
                  <c:v>8.3583333333333343E-2</c:v>
                </c:pt>
                <c:pt idx="332">
                  <c:v>8.4336956521739143E-2</c:v>
                </c:pt>
                <c:pt idx="333">
                  <c:v>8.2989130434782565E-2</c:v>
                </c:pt>
                <c:pt idx="334">
                  <c:v>8.1322463768115971E-2</c:v>
                </c:pt>
                <c:pt idx="335">
                  <c:v>8.090217391304344E-2</c:v>
                </c:pt>
                <c:pt idx="336">
                  <c:v>8.1612318840579637E-2</c:v>
                </c:pt>
                <c:pt idx="337">
                  <c:v>8.0713768115942067E-2</c:v>
                </c:pt>
                <c:pt idx="338">
                  <c:v>7.7452898550724653E-2</c:v>
                </c:pt>
                <c:pt idx="339">
                  <c:v>7.5554347826086984E-2</c:v>
                </c:pt>
                <c:pt idx="340">
                  <c:v>7.1003623188405834E-2</c:v>
                </c:pt>
                <c:pt idx="341">
                  <c:v>7.6974637681159475E-2</c:v>
                </c:pt>
                <c:pt idx="342">
                  <c:v>7.6554347826086999E-2</c:v>
                </c:pt>
                <c:pt idx="343">
                  <c:v>7.7583333333333337E-2</c:v>
                </c:pt>
                <c:pt idx="344">
                  <c:v>7.7336956521739164E-2</c:v>
                </c:pt>
                <c:pt idx="345">
                  <c:v>7.6989130434782588E-2</c:v>
                </c:pt>
                <c:pt idx="346">
                  <c:v>7.7322463768115968E-2</c:v>
                </c:pt>
                <c:pt idx="347">
                  <c:v>7.6902173913043465E-2</c:v>
                </c:pt>
                <c:pt idx="348">
                  <c:v>7.6612318840579632E-2</c:v>
                </c:pt>
                <c:pt idx="349">
                  <c:v>7.8713768115942079E-2</c:v>
                </c:pt>
                <c:pt idx="350">
                  <c:v>7.5452898550724651E-2</c:v>
                </c:pt>
                <c:pt idx="351">
                  <c:v>7.055434782608698E-2</c:v>
                </c:pt>
                <c:pt idx="352">
                  <c:v>6.7003623188405831E-2</c:v>
                </c:pt>
                <c:pt idx="353">
                  <c:v>7.197463768115947E-2</c:v>
                </c:pt>
                <c:pt idx="354">
                  <c:v>6.855434782608702E-2</c:v>
                </c:pt>
                <c:pt idx="355">
                  <c:v>6.9583333333333358E-2</c:v>
                </c:pt>
                <c:pt idx="356">
                  <c:v>6.9336956521739157E-2</c:v>
                </c:pt>
                <c:pt idx="357">
                  <c:v>6.8989130434782581E-2</c:v>
                </c:pt>
                <c:pt idx="358">
                  <c:v>6.832246376811596E-2</c:v>
                </c:pt>
                <c:pt idx="359">
                  <c:v>6.2902173913043452E-2</c:v>
                </c:pt>
                <c:pt idx="360">
                  <c:v>6.4612318840579622E-2</c:v>
                </c:pt>
                <c:pt idx="361">
                  <c:v>6.2713768115942078E-2</c:v>
                </c:pt>
                <c:pt idx="362">
                  <c:v>6.2452898550724646E-2</c:v>
                </c:pt>
                <c:pt idx="363">
                  <c:v>5.955434782608697E-2</c:v>
                </c:pt>
                <c:pt idx="364">
                  <c:v>5.8003623188405837E-2</c:v>
                </c:pt>
                <c:pt idx="365">
                  <c:v>5.8974637681159466E-2</c:v>
                </c:pt>
                <c:pt idx="366">
                  <c:v>6.1554347826087007E-2</c:v>
                </c:pt>
                <c:pt idx="367">
                  <c:v>6.058333333333335E-2</c:v>
                </c:pt>
                <c:pt idx="368">
                  <c:v>6.1336956521739143E-2</c:v>
                </c:pt>
                <c:pt idx="369">
                  <c:v>5.8989130434782579E-2</c:v>
                </c:pt>
                <c:pt idx="370">
                  <c:v>5.9322463768115959E-2</c:v>
                </c:pt>
                <c:pt idx="371">
                  <c:v>5.9902173913043449E-2</c:v>
                </c:pt>
                <c:pt idx="372">
                  <c:v>5.7612318840579629E-2</c:v>
                </c:pt>
                <c:pt idx="373">
                  <c:v>5.7713768115942074E-2</c:v>
                </c:pt>
                <c:pt idx="374">
                  <c:v>5.7452898550724642E-2</c:v>
                </c:pt>
                <c:pt idx="375">
                  <c:v>5.6554347826086974E-2</c:v>
                </c:pt>
                <c:pt idx="376">
                  <c:v>5.5003623188405841E-2</c:v>
                </c:pt>
                <c:pt idx="377">
                  <c:v>5.6974637681159464E-2</c:v>
                </c:pt>
                <c:pt idx="378">
                  <c:v>5.755434782608701E-2</c:v>
                </c:pt>
                <c:pt idx="379">
                  <c:v>6.058333333333335E-2</c:v>
                </c:pt>
                <c:pt idx="380">
                  <c:v>6.0336956521739149E-2</c:v>
                </c:pt>
                <c:pt idx="381">
                  <c:v>6.0989130434782567E-2</c:v>
                </c:pt>
                <c:pt idx="382">
                  <c:v>5.9322463768115959E-2</c:v>
                </c:pt>
                <c:pt idx="383">
                  <c:v>5.9902173913043449E-2</c:v>
                </c:pt>
                <c:pt idx="384">
                  <c:v>6.2612318840579634E-2</c:v>
                </c:pt>
                <c:pt idx="385">
                  <c:v>6.1713768115942078E-2</c:v>
                </c:pt>
                <c:pt idx="386">
                  <c:v>6.2452898550724646E-2</c:v>
                </c:pt>
                <c:pt idx="387">
                  <c:v>6.8554347826086978E-2</c:v>
                </c:pt>
                <c:pt idx="388">
                  <c:v>7.4003623188405837E-2</c:v>
                </c:pt>
                <c:pt idx="389">
                  <c:v>7.4974637681159473E-2</c:v>
                </c:pt>
                <c:pt idx="390">
                  <c:v>7.7554347826087E-2</c:v>
                </c:pt>
                <c:pt idx="391">
                  <c:v>7.7583333333333337E-2</c:v>
                </c:pt>
                <c:pt idx="392">
                  <c:v>7.5336956521739162E-2</c:v>
                </c:pt>
                <c:pt idx="393">
                  <c:v>7.5989130434782559E-2</c:v>
                </c:pt>
                <c:pt idx="394">
                  <c:v>7.4322463768115965E-2</c:v>
                </c:pt>
                <c:pt idx="395">
                  <c:v>7.190217391304346E-2</c:v>
                </c:pt>
                <c:pt idx="396">
                  <c:v>7.5612318840579618E-2</c:v>
                </c:pt>
                <c:pt idx="397">
                  <c:v>7.3713768115942074E-2</c:v>
                </c:pt>
                <c:pt idx="398">
                  <c:v>7.3452898550724649E-2</c:v>
                </c:pt>
                <c:pt idx="399">
                  <c:v>7.1554347826086981E-2</c:v>
                </c:pt>
                <c:pt idx="400">
                  <c:v>7.4003623188405837E-2</c:v>
                </c:pt>
                <c:pt idx="401">
                  <c:v>7.3974637681159472E-2</c:v>
                </c:pt>
                <c:pt idx="402">
                  <c:v>7.1554347826086995E-2</c:v>
                </c:pt>
                <c:pt idx="403">
                  <c:v>7.3583333333333362E-2</c:v>
                </c:pt>
                <c:pt idx="404">
                  <c:v>7.6336956521739135E-2</c:v>
                </c:pt>
                <c:pt idx="405">
                  <c:v>7.9989130434782563E-2</c:v>
                </c:pt>
                <c:pt idx="406">
                  <c:v>8.2322463768115972E-2</c:v>
                </c:pt>
                <c:pt idx="407">
                  <c:v>8.5902173913043445E-2</c:v>
                </c:pt>
                <c:pt idx="408">
                  <c:v>8.7612318840579628E-2</c:v>
                </c:pt>
                <c:pt idx="409">
                  <c:v>8.9713768115942075E-2</c:v>
                </c:pt>
                <c:pt idx="410">
                  <c:v>9.1452898550724637E-2</c:v>
                </c:pt>
                <c:pt idx="411">
                  <c:v>9.3554347826086973E-2</c:v>
                </c:pt>
                <c:pt idx="412">
                  <c:v>9.4003623188405827E-2</c:v>
                </c:pt>
                <c:pt idx="413">
                  <c:v>9.4974637681159463E-2</c:v>
                </c:pt>
                <c:pt idx="414">
                  <c:v>9.6554347826087017E-2</c:v>
                </c:pt>
                <c:pt idx="415">
                  <c:v>9.7583333333333355E-2</c:v>
                </c:pt>
                <c:pt idx="416">
                  <c:v>0.10033695652173913</c:v>
                </c:pt>
                <c:pt idx="417">
                  <c:v>0.10398913043478258</c:v>
                </c:pt>
                <c:pt idx="418">
                  <c:v>0.10732246376811597</c:v>
                </c:pt>
                <c:pt idx="419">
                  <c:v>0.10790217391304344</c:v>
                </c:pt>
                <c:pt idx="420">
                  <c:v>0.10761231884057963</c:v>
                </c:pt>
                <c:pt idx="421">
                  <c:v>0.10671376811594208</c:v>
                </c:pt>
                <c:pt idx="422">
                  <c:v>0.10445289855072465</c:v>
                </c:pt>
                <c:pt idx="423">
                  <c:v>0.10155434782608698</c:v>
                </c:pt>
                <c:pt idx="424">
                  <c:v>0.10100362318840583</c:v>
                </c:pt>
                <c:pt idx="425">
                  <c:v>9.8974637681159466E-2</c:v>
                </c:pt>
                <c:pt idx="426">
                  <c:v>9.2554347826087013E-2</c:v>
                </c:pt>
                <c:pt idx="427">
                  <c:v>9.3583333333333352E-2</c:v>
                </c:pt>
                <c:pt idx="428">
                  <c:v>9.1336956521739149E-2</c:v>
                </c:pt>
                <c:pt idx="429">
                  <c:v>8.8989130434782571E-2</c:v>
                </c:pt>
                <c:pt idx="430">
                  <c:v>8.4322463768115974E-2</c:v>
                </c:pt>
                <c:pt idx="431">
                  <c:v>8.2902173913043442E-2</c:v>
                </c:pt>
                <c:pt idx="432">
                  <c:v>8.1612318840579637E-2</c:v>
                </c:pt>
                <c:pt idx="433">
                  <c:v>7.7713768115942078E-2</c:v>
                </c:pt>
                <c:pt idx="434">
                  <c:v>7.7452898550724653E-2</c:v>
                </c:pt>
                <c:pt idx="435">
                  <c:v>7.7554347826086972E-2</c:v>
                </c:pt>
                <c:pt idx="436">
                  <c:v>7.5003623188405838E-2</c:v>
                </c:pt>
                <c:pt idx="437">
                  <c:v>7.0974637681159469E-2</c:v>
                </c:pt>
                <c:pt idx="438">
                  <c:v>7.3554347826086997E-2</c:v>
                </c:pt>
                <c:pt idx="439">
                  <c:v>7.4583333333333335E-2</c:v>
                </c:pt>
                <c:pt idx="440">
                  <c:v>7.4336956521739134E-2</c:v>
                </c:pt>
                <c:pt idx="441">
                  <c:v>7.4989130434782586E-2</c:v>
                </c:pt>
                <c:pt idx="442">
                  <c:v>7.2322463768115963E-2</c:v>
                </c:pt>
                <c:pt idx="443">
                  <c:v>7.2902173913043461E-2</c:v>
                </c:pt>
                <c:pt idx="444">
                  <c:v>7.361231884057963E-2</c:v>
                </c:pt>
                <c:pt idx="445">
                  <c:v>7.1713768115942073E-2</c:v>
                </c:pt>
                <c:pt idx="446">
                  <c:v>7.1452898550724647E-2</c:v>
                </c:pt>
                <c:pt idx="447">
                  <c:v>7.2554347826086968E-2</c:v>
                </c:pt>
                <c:pt idx="448">
                  <c:v>7.3003623188405836E-2</c:v>
                </c:pt>
                <c:pt idx="449">
                  <c:v>7.197463768115947E-2</c:v>
                </c:pt>
                <c:pt idx="450">
                  <c:v>7.2554347826087023E-2</c:v>
                </c:pt>
                <c:pt idx="451">
                  <c:v>7.0583333333333359E-2</c:v>
                </c:pt>
                <c:pt idx="452">
                  <c:v>7.233695652173916E-2</c:v>
                </c:pt>
                <c:pt idx="453">
                  <c:v>7.2989130434782584E-2</c:v>
                </c:pt>
                <c:pt idx="454">
                  <c:v>7.0322463768115961E-2</c:v>
                </c:pt>
                <c:pt idx="455">
                  <c:v>6.9902173913043458E-2</c:v>
                </c:pt>
                <c:pt idx="456">
                  <c:v>6.6612318840579623E-2</c:v>
                </c:pt>
                <c:pt idx="457">
                  <c:v>7.1713768115942073E-2</c:v>
                </c:pt>
                <c:pt idx="458">
                  <c:v>7.1452898550724647E-2</c:v>
                </c:pt>
                <c:pt idx="459">
                  <c:v>7.1554347826086981E-2</c:v>
                </c:pt>
                <c:pt idx="460">
                  <c:v>7.3003623188405836E-2</c:v>
                </c:pt>
                <c:pt idx="461">
                  <c:v>6.9974637681159468E-2</c:v>
                </c:pt>
                <c:pt idx="462">
                  <c:v>6.855434782608702E-2</c:v>
                </c:pt>
                <c:pt idx="463">
                  <c:v>6.8583333333333357E-2</c:v>
                </c:pt>
                <c:pt idx="464">
                  <c:v>7.1336956521739159E-2</c:v>
                </c:pt>
                <c:pt idx="465">
                  <c:v>7.0989130434782582E-2</c:v>
                </c:pt>
                <c:pt idx="466">
                  <c:v>6.9322463768115961E-2</c:v>
                </c:pt>
                <c:pt idx="467">
                  <c:v>6.5902173913043455E-2</c:v>
                </c:pt>
                <c:pt idx="468">
                  <c:v>6.6612318840579623E-2</c:v>
                </c:pt>
                <c:pt idx="469">
                  <c:v>6.5713768115942081E-2</c:v>
                </c:pt>
                <c:pt idx="470">
                  <c:v>6.5452898550724642E-2</c:v>
                </c:pt>
                <c:pt idx="471">
                  <c:v>6.3554347826086974E-2</c:v>
                </c:pt>
                <c:pt idx="472">
                  <c:v>6.4003623188405828E-2</c:v>
                </c:pt>
                <c:pt idx="473">
                  <c:v>5.9974637681159466E-2</c:v>
                </c:pt>
                <c:pt idx="474">
                  <c:v>5.9554347826087005E-2</c:v>
                </c:pt>
                <c:pt idx="475">
                  <c:v>5.9583333333333342E-2</c:v>
                </c:pt>
                <c:pt idx="476">
                  <c:v>6.0336956521739149E-2</c:v>
                </c:pt>
                <c:pt idx="477">
                  <c:v>6.1989130434782574E-2</c:v>
                </c:pt>
                <c:pt idx="478">
                  <c:v>5.9322463768115959E-2</c:v>
                </c:pt>
                <c:pt idx="479">
                  <c:v>5.6902173913043454E-2</c:v>
                </c:pt>
                <c:pt idx="480">
                  <c:v>5.6612318840579628E-2</c:v>
                </c:pt>
                <c:pt idx="481">
                  <c:v>5.5713768115942072E-2</c:v>
                </c:pt>
                <c:pt idx="482">
                  <c:v>5.5452898550724647E-2</c:v>
                </c:pt>
                <c:pt idx="483">
                  <c:v>5.4554347826086973E-2</c:v>
                </c:pt>
                <c:pt idx="484">
                  <c:v>5.7003623188405843E-2</c:v>
                </c:pt>
                <c:pt idx="485">
                  <c:v>5.1974637681159466E-2</c:v>
                </c:pt>
                <c:pt idx="486">
                  <c:v>5.3554347826087007E-2</c:v>
                </c:pt>
                <c:pt idx="487">
                  <c:v>5.5583333333333353E-2</c:v>
                </c:pt>
                <c:pt idx="488">
                  <c:v>5.5336956521739152E-2</c:v>
                </c:pt>
                <c:pt idx="489">
                  <c:v>5.4989130434782575E-2</c:v>
                </c:pt>
                <c:pt idx="490">
                  <c:v>5.5322463768115969E-2</c:v>
                </c:pt>
                <c:pt idx="491">
                  <c:v>5.290217391304345E-2</c:v>
                </c:pt>
                <c:pt idx="492">
                  <c:v>5.3612318840579626E-2</c:v>
                </c:pt>
                <c:pt idx="493">
                  <c:v>4.9713768115942067E-2</c:v>
                </c:pt>
                <c:pt idx="494">
                  <c:v>4.8452898550724648E-2</c:v>
                </c:pt>
                <c:pt idx="495">
                  <c:v>5.2554347826086971E-2</c:v>
                </c:pt>
                <c:pt idx="496">
                  <c:v>5.3003623188405839E-2</c:v>
                </c:pt>
                <c:pt idx="497">
                  <c:v>5.1974637681159466E-2</c:v>
                </c:pt>
                <c:pt idx="498">
                  <c:v>5.1554347826087005E-2</c:v>
                </c:pt>
                <c:pt idx="499">
                  <c:v>5.2583333333333343E-2</c:v>
                </c:pt>
                <c:pt idx="500">
                  <c:v>5.4336956521739144E-2</c:v>
                </c:pt>
                <c:pt idx="501">
                  <c:v>5.4989130434782575E-2</c:v>
                </c:pt>
                <c:pt idx="502">
                  <c:v>5.5322463768115969E-2</c:v>
                </c:pt>
                <c:pt idx="503">
                  <c:v>5.3902173913043444E-2</c:v>
                </c:pt>
                <c:pt idx="504">
                  <c:v>5.3612318840579626E-2</c:v>
                </c:pt>
                <c:pt idx="505">
                  <c:v>5.2713768115942077E-2</c:v>
                </c:pt>
                <c:pt idx="506">
                  <c:v>5.1452898550724643E-2</c:v>
                </c:pt>
                <c:pt idx="507">
                  <c:v>5.4554347826086973E-2</c:v>
                </c:pt>
                <c:pt idx="508">
                  <c:v>5.5003623188405841E-2</c:v>
                </c:pt>
                <c:pt idx="509">
                  <c:v>5.0974637681159472E-2</c:v>
                </c:pt>
                <c:pt idx="510">
                  <c:v>5.4554347826087E-2</c:v>
                </c:pt>
                <c:pt idx="511">
                  <c:v>5.6583333333333347E-2</c:v>
                </c:pt>
                <c:pt idx="512">
                  <c:v>5.9336956521739141E-2</c:v>
                </c:pt>
                <c:pt idx="513">
                  <c:v>5.9989130434782573E-2</c:v>
                </c:pt>
                <c:pt idx="514">
                  <c:v>6.2322463768115968E-2</c:v>
                </c:pt>
                <c:pt idx="515">
                  <c:v>6.2902173913043452E-2</c:v>
                </c:pt>
                <c:pt idx="516">
                  <c:v>6.4612318840579622E-2</c:v>
                </c:pt>
                <c:pt idx="517">
                  <c:v>6.6713768115942068E-2</c:v>
                </c:pt>
                <c:pt idx="518">
                  <c:v>6.8452898550724645E-2</c:v>
                </c:pt>
                <c:pt idx="519">
                  <c:v>6.6554347826086976E-2</c:v>
                </c:pt>
                <c:pt idx="520">
                  <c:v>7.0003623188405834E-2</c:v>
                </c:pt>
                <c:pt idx="521">
                  <c:v>6.6974637681159466E-2</c:v>
                </c:pt>
                <c:pt idx="522">
                  <c:v>6.6554347826087018E-2</c:v>
                </c:pt>
                <c:pt idx="523">
                  <c:v>6.7583333333333356E-2</c:v>
                </c:pt>
                <c:pt idx="524">
                  <c:v>6.8336956521739156E-2</c:v>
                </c:pt>
                <c:pt idx="525">
                  <c:v>6.9989130434782582E-2</c:v>
                </c:pt>
                <c:pt idx="526">
                  <c:v>7.0322463768115961E-2</c:v>
                </c:pt>
                <c:pt idx="527">
                  <c:v>7.190217391304346E-2</c:v>
                </c:pt>
                <c:pt idx="528">
                  <c:v>7.4612318840579631E-2</c:v>
                </c:pt>
                <c:pt idx="529">
                  <c:v>7.5713768115942062E-2</c:v>
                </c:pt>
                <c:pt idx="530">
                  <c:v>7.445289855072465E-2</c:v>
                </c:pt>
                <c:pt idx="531">
                  <c:v>7.3554347826086983E-2</c:v>
                </c:pt>
                <c:pt idx="532">
                  <c:v>7.6003623188405839E-2</c:v>
                </c:pt>
                <c:pt idx="533">
                  <c:v>7.6974637681159475E-2</c:v>
                </c:pt>
                <c:pt idx="534">
                  <c:v>7.5554347826086998E-2</c:v>
                </c:pt>
                <c:pt idx="535">
                  <c:v>7.5583333333333363E-2</c:v>
                </c:pt>
                <c:pt idx="536">
                  <c:v>7.6336956521739135E-2</c:v>
                </c:pt>
                <c:pt idx="537">
                  <c:v>7.3989130434782585E-2</c:v>
                </c:pt>
                <c:pt idx="538">
                  <c:v>7.4322463768115965E-2</c:v>
                </c:pt>
                <c:pt idx="539">
                  <c:v>7.3902173913043434E-2</c:v>
                </c:pt>
                <c:pt idx="540">
                  <c:v>7.361231884057963E-2</c:v>
                </c:pt>
                <c:pt idx="541">
                  <c:v>7.1713768115942073E-2</c:v>
                </c:pt>
                <c:pt idx="542">
                  <c:v>7.0452898550724646E-2</c:v>
                </c:pt>
                <c:pt idx="543">
                  <c:v>7.055434782608698E-2</c:v>
                </c:pt>
                <c:pt idx="544">
                  <c:v>7.1003623188405834E-2</c:v>
                </c:pt>
                <c:pt idx="545">
                  <c:v>6.8974637681159467E-2</c:v>
                </c:pt>
                <c:pt idx="546">
                  <c:v>6.855434782608702E-2</c:v>
                </c:pt>
                <c:pt idx="547">
                  <c:v>6.7583333333333356E-2</c:v>
                </c:pt>
                <c:pt idx="548">
                  <c:v>6.7336956521739155E-2</c:v>
                </c:pt>
                <c:pt idx="549">
                  <c:v>6.8989130434782581E-2</c:v>
                </c:pt>
                <c:pt idx="550">
                  <c:v>6.5322463768115957E-2</c:v>
                </c:pt>
                <c:pt idx="551">
                  <c:v>6.3902173913043453E-2</c:v>
                </c:pt>
                <c:pt idx="552">
                  <c:v>6.6612318840579623E-2</c:v>
                </c:pt>
                <c:pt idx="553">
                  <c:v>6.4713768115942066E-2</c:v>
                </c:pt>
                <c:pt idx="554">
                  <c:v>6.4452898550724641E-2</c:v>
                </c:pt>
                <c:pt idx="555">
                  <c:v>6.3554347826086974E-2</c:v>
                </c:pt>
                <c:pt idx="556">
                  <c:v>6.200362318840584E-2</c:v>
                </c:pt>
                <c:pt idx="557">
                  <c:v>5.8974637681159466E-2</c:v>
                </c:pt>
                <c:pt idx="558">
                  <c:v>6.0554347826087006E-2</c:v>
                </c:pt>
                <c:pt idx="559">
                  <c:v>6.058333333333335E-2</c:v>
                </c:pt>
                <c:pt idx="560">
                  <c:v>5.9336956521739141E-2</c:v>
                </c:pt>
                <c:pt idx="561">
                  <c:v>5.8989130434782579E-2</c:v>
                </c:pt>
                <c:pt idx="562">
                  <c:v>5.6322463768115963E-2</c:v>
                </c:pt>
                <c:pt idx="563">
                  <c:v>5.3902173913043444E-2</c:v>
                </c:pt>
                <c:pt idx="564">
                  <c:v>5.5612318840579628E-2</c:v>
                </c:pt>
                <c:pt idx="565">
                  <c:v>5.2713768115942077E-2</c:v>
                </c:pt>
                <c:pt idx="566">
                  <c:v>5.3452898550724645E-2</c:v>
                </c:pt>
                <c:pt idx="567">
                  <c:v>5.7554347826086968E-2</c:v>
                </c:pt>
                <c:pt idx="568">
                  <c:v>5.8003623188405837E-2</c:v>
                </c:pt>
                <c:pt idx="569">
                  <c:v>5.4974637681159462E-2</c:v>
                </c:pt>
                <c:pt idx="570">
                  <c:v>5.755434782608701E-2</c:v>
                </c:pt>
                <c:pt idx="571">
                  <c:v>5.7583333333333341E-2</c:v>
                </c:pt>
                <c:pt idx="572">
                  <c:v>5.7336956521739153E-2</c:v>
                </c:pt>
                <c:pt idx="573">
                  <c:v>5.6989130434782577E-2</c:v>
                </c:pt>
                <c:pt idx="574">
                  <c:v>5.6322463768115963E-2</c:v>
                </c:pt>
                <c:pt idx="575">
                  <c:v>5.4902173913043452E-2</c:v>
                </c:pt>
                <c:pt idx="576">
                  <c:v>5.6612318840579628E-2</c:v>
                </c:pt>
                <c:pt idx="577">
                  <c:v>5.371376811594207E-2</c:v>
                </c:pt>
                <c:pt idx="578">
                  <c:v>5.4452898550724639E-2</c:v>
                </c:pt>
                <c:pt idx="579">
                  <c:v>5.5554347826086981E-2</c:v>
                </c:pt>
                <c:pt idx="580">
                  <c:v>5.7003623188405843E-2</c:v>
                </c:pt>
                <c:pt idx="581">
                  <c:v>5.1974637681159466E-2</c:v>
                </c:pt>
                <c:pt idx="582">
                  <c:v>5.4554347826087E-2</c:v>
                </c:pt>
                <c:pt idx="583">
                  <c:v>5.2583333333333343E-2</c:v>
                </c:pt>
                <c:pt idx="584">
                  <c:v>5.333695652173915E-2</c:v>
                </c:pt>
                <c:pt idx="585">
                  <c:v>5.3989130434782574E-2</c:v>
                </c:pt>
                <c:pt idx="586">
                  <c:v>5.3322463768115967E-2</c:v>
                </c:pt>
                <c:pt idx="587">
                  <c:v>5.290217391304345E-2</c:v>
                </c:pt>
                <c:pt idx="588">
                  <c:v>5.2612318840579632E-2</c:v>
                </c:pt>
                <c:pt idx="589">
                  <c:v>5.0713768115942075E-2</c:v>
                </c:pt>
                <c:pt idx="590">
                  <c:v>5.1452898550724643E-2</c:v>
                </c:pt>
                <c:pt idx="591">
                  <c:v>4.9554347826086975E-2</c:v>
                </c:pt>
                <c:pt idx="592">
                  <c:v>5.0003623188405837E-2</c:v>
                </c:pt>
                <c:pt idx="593">
                  <c:v>4.8974637681159471E-2</c:v>
                </c:pt>
                <c:pt idx="594">
                  <c:v>4.8554347826087009E-2</c:v>
                </c:pt>
                <c:pt idx="595">
                  <c:v>4.9583333333333347E-2</c:v>
                </c:pt>
                <c:pt idx="596">
                  <c:v>5.0336956521739147E-2</c:v>
                </c:pt>
                <c:pt idx="597">
                  <c:v>4.8989130434782577E-2</c:v>
                </c:pt>
                <c:pt idx="598">
                  <c:v>4.6322463768115961E-2</c:v>
                </c:pt>
                <c:pt idx="599">
                  <c:v>4.6902173913043452E-2</c:v>
                </c:pt>
                <c:pt idx="600">
                  <c:v>4.5612318840579633E-2</c:v>
                </c:pt>
                <c:pt idx="601">
                  <c:v>4.3713768115942075E-2</c:v>
                </c:pt>
                <c:pt idx="602">
                  <c:v>4.6452898550724646E-2</c:v>
                </c:pt>
                <c:pt idx="603">
                  <c:v>4.2554347826086969E-2</c:v>
                </c:pt>
                <c:pt idx="604">
                  <c:v>4.5003623188405839E-2</c:v>
                </c:pt>
                <c:pt idx="605">
                  <c:v>4.3974637681159466E-2</c:v>
                </c:pt>
                <c:pt idx="606">
                  <c:v>4.5554347826087006E-2</c:v>
                </c:pt>
                <c:pt idx="607">
                  <c:v>4.6583333333333345E-2</c:v>
                </c:pt>
                <c:pt idx="608">
                  <c:v>4.7336956521739151E-2</c:v>
                </c:pt>
                <c:pt idx="609">
                  <c:v>4.6989130434782575E-2</c:v>
                </c:pt>
                <c:pt idx="610">
                  <c:v>4.4322463768115959E-2</c:v>
                </c:pt>
                <c:pt idx="611">
                  <c:v>4.2902173913043448E-2</c:v>
                </c:pt>
                <c:pt idx="612">
                  <c:v>4.1612318840579629E-2</c:v>
                </c:pt>
                <c:pt idx="613">
                  <c:v>4.0713768115942073E-2</c:v>
                </c:pt>
                <c:pt idx="614">
                  <c:v>4.0452898550724647E-2</c:v>
                </c:pt>
                <c:pt idx="615">
                  <c:v>4.2554347826086969E-2</c:v>
                </c:pt>
                <c:pt idx="616">
                  <c:v>4.3003623188405837E-2</c:v>
                </c:pt>
                <c:pt idx="617">
                  <c:v>4.1974637681159464E-2</c:v>
                </c:pt>
                <c:pt idx="618">
                  <c:v>4.3554347826087005E-2</c:v>
                </c:pt>
                <c:pt idx="619">
                  <c:v>4.3583333333333349E-2</c:v>
                </c:pt>
                <c:pt idx="620">
                  <c:v>4.4336956521739142E-2</c:v>
                </c:pt>
                <c:pt idx="621">
                  <c:v>4.2989130434782571E-2</c:v>
                </c:pt>
                <c:pt idx="622">
                  <c:v>4.1322463768115963E-2</c:v>
                </c:pt>
                <c:pt idx="623">
                  <c:v>3.9902173913043452E-2</c:v>
                </c:pt>
                <c:pt idx="624">
                  <c:v>3.8612318840579626E-2</c:v>
                </c:pt>
                <c:pt idx="625">
                  <c:v>3.7713768115942077E-2</c:v>
                </c:pt>
                <c:pt idx="626">
                  <c:v>3.945289855072464E-2</c:v>
                </c:pt>
                <c:pt idx="627">
                  <c:v>3.8554347826086979E-2</c:v>
                </c:pt>
                <c:pt idx="628">
                  <c:v>4.1003623188405836E-2</c:v>
                </c:pt>
                <c:pt idx="629">
                  <c:v>3.7974637681159461E-2</c:v>
                </c:pt>
                <c:pt idx="630">
                  <c:v>4.0554347826087009E-2</c:v>
                </c:pt>
                <c:pt idx="631">
                  <c:v>4.2583333333333341E-2</c:v>
                </c:pt>
                <c:pt idx="632">
                  <c:v>4.1336956521739146E-2</c:v>
                </c:pt>
                <c:pt idx="633">
                  <c:v>4.0989130434782577E-2</c:v>
                </c:pt>
                <c:pt idx="634">
                  <c:v>4.0322463768115969E-2</c:v>
                </c:pt>
                <c:pt idx="635">
                  <c:v>3.9902173913043452E-2</c:v>
                </c:pt>
                <c:pt idx="636">
                  <c:v>4.0612318840579628E-2</c:v>
                </c:pt>
                <c:pt idx="637">
                  <c:v>3.9713768115942072E-2</c:v>
                </c:pt>
                <c:pt idx="638">
                  <c:v>4.1452898550724641E-2</c:v>
                </c:pt>
                <c:pt idx="639">
                  <c:v>4.3554347826086977E-2</c:v>
                </c:pt>
                <c:pt idx="640">
                  <c:v>4.4003623188405831E-2</c:v>
                </c:pt>
                <c:pt idx="641">
                  <c:v>4.3974637681159466E-2</c:v>
                </c:pt>
                <c:pt idx="642">
                  <c:v>4.5554347826087006E-2</c:v>
                </c:pt>
                <c:pt idx="643">
                  <c:v>5.0583333333333348E-2</c:v>
                </c:pt>
                <c:pt idx="644">
                  <c:v>5.0336956521739147E-2</c:v>
                </c:pt>
                <c:pt idx="645">
                  <c:v>5.4989130434782575E-2</c:v>
                </c:pt>
                <c:pt idx="646">
                  <c:v>5.6322463768115963E-2</c:v>
                </c:pt>
                <c:pt idx="647">
                  <c:v>5.6902173913043454E-2</c:v>
                </c:pt>
                <c:pt idx="648">
                  <c:v>5.6612318840579628E-2</c:v>
                </c:pt>
                <c:pt idx="649">
                  <c:v>5.4713768115942071E-2</c:v>
                </c:pt>
                <c:pt idx="650">
                  <c:v>5.7452898550724642E-2</c:v>
                </c:pt>
                <c:pt idx="651">
                  <c:v>5.8554347826086976E-2</c:v>
                </c:pt>
                <c:pt idx="652">
                  <c:v>5.8003623188405837E-2</c:v>
                </c:pt>
                <c:pt idx="653">
                  <c:v>5.6974637681159464E-2</c:v>
                </c:pt>
                <c:pt idx="654">
                  <c:v>5.755434782608701E-2</c:v>
                </c:pt>
                <c:pt idx="655">
                  <c:v>5.8583333333333348E-2</c:v>
                </c:pt>
                <c:pt idx="656">
                  <c:v>5.7336956521739153E-2</c:v>
                </c:pt>
                <c:pt idx="657">
                  <c:v>5.7989130434782571E-2</c:v>
                </c:pt>
                <c:pt idx="658">
                  <c:v>5.9322463768115959E-2</c:v>
                </c:pt>
                <c:pt idx="659">
                  <c:v>5.9902173913043449E-2</c:v>
                </c:pt>
                <c:pt idx="660">
                  <c:v>5.861231884057963E-2</c:v>
                </c:pt>
                <c:pt idx="661">
                  <c:v>5.7713768115942074E-2</c:v>
                </c:pt>
                <c:pt idx="662">
                  <c:v>5.8452898550724643E-2</c:v>
                </c:pt>
                <c:pt idx="663">
                  <c:v>5.955434782608697E-2</c:v>
                </c:pt>
                <c:pt idx="664">
                  <c:v>6.1003623188405832E-2</c:v>
                </c:pt>
                <c:pt idx="665">
                  <c:v>6.1974637681159468E-2</c:v>
                </c:pt>
                <c:pt idx="666">
                  <c:v>6.1554347826087007E-2</c:v>
                </c:pt>
                <c:pt idx="667">
                  <c:v>6.1583333333333344E-2</c:v>
                </c:pt>
                <c:pt idx="668">
                  <c:v>6.1336956521739143E-2</c:v>
                </c:pt>
                <c:pt idx="669">
                  <c:v>6.0989130434782567E-2</c:v>
                </c:pt>
                <c:pt idx="670">
                  <c:v>5.9322463768115959E-2</c:v>
                </c:pt>
                <c:pt idx="671">
                  <c:v>5.6902173913043454E-2</c:v>
                </c:pt>
                <c:pt idx="672">
                  <c:v>5.6612318840579628E-2</c:v>
                </c:pt>
                <c:pt idx="673">
                  <c:v>5.371376811594207E-2</c:v>
                </c:pt>
                <c:pt idx="674">
                  <c:v>5.6452898550724641E-2</c:v>
                </c:pt>
                <c:pt idx="675">
                  <c:v>5.5554347826086981E-2</c:v>
                </c:pt>
                <c:pt idx="676">
                  <c:v>5.6003623188405835E-2</c:v>
                </c:pt>
                <c:pt idx="677">
                  <c:v>5.4974637681159462E-2</c:v>
                </c:pt>
                <c:pt idx="678">
                  <c:v>5.5554347826087008E-2</c:v>
                </c:pt>
                <c:pt idx="679">
                  <c:v>5.5583333333333353E-2</c:v>
                </c:pt>
                <c:pt idx="680">
                  <c:v>5.4336956521739144E-2</c:v>
                </c:pt>
                <c:pt idx="681">
                  <c:v>5.5989130434782569E-2</c:v>
                </c:pt>
                <c:pt idx="682">
                  <c:v>5.5322463768115969E-2</c:v>
                </c:pt>
                <c:pt idx="683">
                  <c:v>5.3902173913043444E-2</c:v>
                </c:pt>
                <c:pt idx="684">
                  <c:v>5.061231884057963E-2</c:v>
                </c:pt>
                <c:pt idx="685">
                  <c:v>5.1713768115942069E-2</c:v>
                </c:pt>
                <c:pt idx="686">
                  <c:v>5.0452898550724649E-2</c:v>
                </c:pt>
                <c:pt idx="687">
                  <c:v>5.0554347826086976E-2</c:v>
                </c:pt>
                <c:pt idx="688">
                  <c:v>5.2003623188405838E-2</c:v>
                </c:pt>
                <c:pt idx="689">
                  <c:v>4.8974637681159471E-2</c:v>
                </c:pt>
                <c:pt idx="690">
                  <c:v>5.0554347826087011E-2</c:v>
                </c:pt>
                <c:pt idx="691">
                  <c:v>5.0583333333333348E-2</c:v>
                </c:pt>
                <c:pt idx="692">
                  <c:v>5.1336956521739148E-2</c:v>
                </c:pt>
                <c:pt idx="693">
                  <c:v>5.0989130434782572E-2</c:v>
                </c:pt>
                <c:pt idx="694">
                  <c:v>5.1322463768115965E-2</c:v>
                </c:pt>
                <c:pt idx="695">
                  <c:v>4.8902173913043447E-2</c:v>
                </c:pt>
                <c:pt idx="696">
                  <c:v>4.4612318840579625E-2</c:v>
                </c:pt>
                <c:pt idx="697">
                  <c:v>4.4713768115942069E-2</c:v>
                </c:pt>
                <c:pt idx="698">
                  <c:v>4.4452898550724644E-2</c:v>
                </c:pt>
                <c:pt idx="699">
                  <c:v>4.6554347826086973E-2</c:v>
                </c:pt>
                <c:pt idx="700">
                  <c:v>4.7003623188405841E-2</c:v>
                </c:pt>
                <c:pt idx="701">
                  <c:v>4.4974637681159467E-2</c:v>
                </c:pt>
                <c:pt idx="702">
                  <c:v>4.8554347826087009E-2</c:v>
                </c:pt>
                <c:pt idx="703">
                  <c:v>4.7583333333333346E-2</c:v>
                </c:pt>
                <c:pt idx="704">
                  <c:v>4.7336956521739151E-2</c:v>
                </c:pt>
                <c:pt idx="705">
                  <c:v>4.5989130434782567E-2</c:v>
                </c:pt>
                <c:pt idx="706">
                  <c:v>4.6322463768115961E-2</c:v>
                </c:pt>
                <c:pt idx="707">
                  <c:v>4.5902173913043444E-2</c:v>
                </c:pt>
                <c:pt idx="708">
                  <c:v>4.3612318840579631E-2</c:v>
                </c:pt>
                <c:pt idx="709">
                  <c:v>4.2713768115942075E-2</c:v>
                </c:pt>
                <c:pt idx="710">
                  <c:v>4.1452898550724641E-2</c:v>
                </c:pt>
                <c:pt idx="711">
                  <c:v>4.4554347826086971E-2</c:v>
                </c:pt>
                <c:pt idx="712">
                  <c:v>4.6003623188405833E-2</c:v>
                </c:pt>
                <c:pt idx="713">
                  <c:v>4.3974637681159466E-2</c:v>
                </c:pt>
                <c:pt idx="714">
                  <c:v>4.7554347826087008E-2</c:v>
                </c:pt>
                <c:pt idx="715">
                  <c:v>4.7583333333333346E-2</c:v>
                </c:pt>
                <c:pt idx="716">
                  <c:v>4.8336956521739145E-2</c:v>
                </c:pt>
                <c:pt idx="717">
                  <c:v>4.8989130434782577E-2</c:v>
                </c:pt>
                <c:pt idx="718">
                  <c:v>4.8322463768115963E-2</c:v>
                </c:pt>
                <c:pt idx="719">
                  <c:v>5.0902173913043448E-2</c:v>
                </c:pt>
                <c:pt idx="720">
                  <c:v>4.7612318840579634E-2</c:v>
                </c:pt>
                <c:pt idx="721">
                  <c:v>4.5713768115942077E-2</c:v>
                </c:pt>
                <c:pt idx="722">
                  <c:v>4.8452898550724648E-2</c:v>
                </c:pt>
                <c:pt idx="723">
                  <c:v>4.9554347826086975E-2</c:v>
                </c:pt>
                <c:pt idx="724">
                  <c:v>5.5003623188405841E-2</c:v>
                </c:pt>
                <c:pt idx="725">
                  <c:v>5.3974637681159468E-2</c:v>
                </c:pt>
                <c:pt idx="726">
                  <c:v>5.8554347826087004E-2</c:v>
                </c:pt>
                <c:pt idx="727">
                  <c:v>6.2583333333333352E-2</c:v>
                </c:pt>
                <c:pt idx="728">
                  <c:v>6.3336956521739152E-2</c:v>
                </c:pt>
                <c:pt idx="729">
                  <c:v>6.5989130434782578E-2</c:v>
                </c:pt>
                <c:pt idx="730">
                  <c:v>6.832246376811596E-2</c:v>
                </c:pt>
                <c:pt idx="731">
                  <c:v>7.3902173913043434E-2</c:v>
                </c:pt>
                <c:pt idx="732">
                  <c:v>7.8612318840579634E-2</c:v>
                </c:pt>
                <c:pt idx="733">
                  <c:v>8.2713768115942082E-2</c:v>
                </c:pt>
                <c:pt idx="734">
                  <c:v>8.6452898550724633E-2</c:v>
                </c:pt>
                <c:pt idx="735">
                  <c:v>8.7554347826086967E-2</c:v>
                </c:pt>
                <c:pt idx="736">
                  <c:v>9.4003623188405827E-2</c:v>
                </c:pt>
                <c:pt idx="737">
                  <c:v>9.3974637681159462E-2</c:v>
                </c:pt>
                <c:pt idx="738">
                  <c:v>9.5554347826086988E-2</c:v>
                </c:pt>
                <c:pt idx="739">
                  <c:v>9.7583333333333355E-2</c:v>
                </c:pt>
                <c:pt idx="740">
                  <c:v>9.8336956521739155E-2</c:v>
                </c:pt>
                <c:pt idx="741">
                  <c:v>9.998913043478258E-2</c:v>
                </c:pt>
                <c:pt idx="742">
                  <c:v>9.7322463768115958E-2</c:v>
                </c:pt>
                <c:pt idx="743">
                  <c:v>9.9902173913043429E-2</c:v>
                </c:pt>
                <c:pt idx="744">
                  <c:v>9.9612318840579625E-2</c:v>
                </c:pt>
                <c:pt idx="745">
                  <c:v>9.7713768115942082E-2</c:v>
                </c:pt>
                <c:pt idx="746">
                  <c:v>9.8452898550724643E-2</c:v>
                </c:pt>
                <c:pt idx="747">
                  <c:v>9.6554347826086975E-2</c:v>
                </c:pt>
                <c:pt idx="748">
                  <c:v>9.6003623188405857E-2</c:v>
                </c:pt>
                <c:pt idx="749">
                  <c:v>9.2974637681159461E-2</c:v>
                </c:pt>
                <c:pt idx="750">
                  <c:v>9.5554347826086988E-2</c:v>
                </c:pt>
                <c:pt idx="751">
                  <c:v>9.6583333333333354E-2</c:v>
                </c:pt>
                <c:pt idx="752">
                  <c:v>9.5336956521739152E-2</c:v>
                </c:pt>
                <c:pt idx="753">
                  <c:v>9.4989130434782576E-2</c:v>
                </c:pt>
                <c:pt idx="754">
                  <c:v>9.6322463768115985E-2</c:v>
                </c:pt>
                <c:pt idx="755">
                  <c:v>9.3902173913043452E-2</c:v>
                </c:pt>
                <c:pt idx="756">
                  <c:v>9.1612318840579632E-2</c:v>
                </c:pt>
                <c:pt idx="757">
                  <c:v>8.8713768115942074E-2</c:v>
                </c:pt>
                <c:pt idx="758">
                  <c:v>8.8452898550724635E-2</c:v>
                </c:pt>
                <c:pt idx="759">
                  <c:v>8.8554347826086968E-2</c:v>
                </c:pt>
                <c:pt idx="760">
                  <c:v>9.0003623188405824E-2</c:v>
                </c:pt>
                <c:pt idx="761">
                  <c:v>8.9974637681159486E-2</c:v>
                </c:pt>
                <c:pt idx="762">
                  <c:v>9.1554347826087012E-2</c:v>
                </c:pt>
                <c:pt idx="763">
                  <c:v>9.2583333333333351E-2</c:v>
                </c:pt>
                <c:pt idx="764">
                  <c:v>9.1336956521739149E-2</c:v>
                </c:pt>
                <c:pt idx="765">
                  <c:v>8.9989130434782572E-2</c:v>
                </c:pt>
                <c:pt idx="766">
                  <c:v>8.5322463768115947E-2</c:v>
                </c:pt>
                <c:pt idx="767">
                  <c:v>8.5902173913043445E-2</c:v>
                </c:pt>
                <c:pt idx="768">
                  <c:v>8.1612318840579637E-2</c:v>
                </c:pt>
                <c:pt idx="769">
                  <c:v>8.0713768115942067E-2</c:v>
                </c:pt>
                <c:pt idx="770">
                  <c:v>8.0452898550724655E-2</c:v>
                </c:pt>
                <c:pt idx="771">
                  <c:v>7.8554347826086973E-2</c:v>
                </c:pt>
                <c:pt idx="772">
                  <c:v>8.2003623188405844E-2</c:v>
                </c:pt>
                <c:pt idx="773">
                  <c:v>8.0974637681159478E-2</c:v>
                </c:pt>
                <c:pt idx="774">
                  <c:v>8.4554347826087006E-2</c:v>
                </c:pt>
                <c:pt idx="775">
                  <c:v>8.3583333333333343E-2</c:v>
                </c:pt>
                <c:pt idx="776">
                  <c:v>7.9336956521739138E-2</c:v>
                </c:pt>
                <c:pt idx="777">
                  <c:v>7.9989130434782563E-2</c:v>
                </c:pt>
                <c:pt idx="778">
                  <c:v>7.7322463768115968E-2</c:v>
                </c:pt>
                <c:pt idx="779">
                  <c:v>7.8902173913043439E-2</c:v>
                </c:pt>
                <c:pt idx="780">
                  <c:v>7.8612318840579634E-2</c:v>
                </c:pt>
                <c:pt idx="781">
                  <c:v>7.4713768115942075E-2</c:v>
                </c:pt>
                <c:pt idx="782">
                  <c:v>7.2452898550724648E-2</c:v>
                </c:pt>
                <c:pt idx="783">
                  <c:v>7.2554347826086968E-2</c:v>
                </c:pt>
                <c:pt idx="784">
                  <c:v>7.6003623188405839E-2</c:v>
                </c:pt>
                <c:pt idx="785">
                  <c:v>7.4974637681159473E-2</c:v>
                </c:pt>
                <c:pt idx="786">
                  <c:v>7.5554347826086998E-2</c:v>
                </c:pt>
                <c:pt idx="787">
                  <c:v>7.4583333333333335E-2</c:v>
                </c:pt>
                <c:pt idx="788">
                  <c:v>7.3336956521739161E-2</c:v>
                </c:pt>
                <c:pt idx="789">
                  <c:v>7.4989130434782586E-2</c:v>
                </c:pt>
                <c:pt idx="790">
                  <c:v>6.9322463768115961E-2</c:v>
                </c:pt>
                <c:pt idx="791">
                  <c:v>6.7902173913043457E-2</c:v>
                </c:pt>
                <c:pt idx="792">
                  <c:v>6.3612318840579635E-2</c:v>
                </c:pt>
                <c:pt idx="793">
                  <c:v>6.3713768115942079E-2</c:v>
                </c:pt>
                <c:pt idx="794">
                  <c:v>6.4452898550724641E-2</c:v>
                </c:pt>
                <c:pt idx="795">
                  <c:v>6.0554347826086978E-2</c:v>
                </c:pt>
                <c:pt idx="796">
                  <c:v>6.4003623188405828E-2</c:v>
                </c:pt>
                <c:pt idx="797">
                  <c:v>5.9974637681159466E-2</c:v>
                </c:pt>
                <c:pt idx="798">
                  <c:v>6.3554347826087015E-2</c:v>
                </c:pt>
                <c:pt idx="799">
                  <c:v>6.4583333333333354E-2</c:v>
                </c:pt>
                <c:pt idx="800">
                  <c:v>6.0336956521739149E-2</c:v>
                </c:pt>
                <c:pt idx="801">
                  <c:v>5.9989130434782573E-2</c:v>
                </c:pt>
                <c:pt idx="802">
                  <c:v>5.8322463768115965E-2</c:v>
                </c:pt>
                <c:pt idx="803">
                  <c:v>5.6902173913043454E-2</c:v>
                </c:pt>
                <c:pt idx="804">
                  <c:v>5.4612318840579627E-2</c:v>
                </c:pt>
                <c:pt idx="805">
                  <c:v>5.1713768115942069E-2</c:v>
                </c:pt>
                <c:pt idx="806">
                  <c:v>5.2452898550724637E-2</c:v>
                </c:pt>
                <c:pt idx="807">
                  <c:v>5.2554347826086971E-2</c:v>
                </c:pt>
                <c:pt idx="808">
                  <c:v>5.6003623188405835E-2</c:v>
                </c:pt>
                <c:pt idx="809">
                  <c:v>5.1974637681159466E-2</c:v>
                </c:pt>
                <c:pt idx="810">
                  <c:v>5.4554347826087E-2</c:v>
                </c:pt>
                <c:pt idx="811">
                  <c:v>5.3583333333333351E-2</c:v>
                </c:pt>
                <c:pt idx="812">
                  <c:v>5.2336956521739149E-2</c:v>
                </c:pt>
                <c:pt idx="813">
                  <c:v>5.2989130434782573E-2</c:v>
                </c:pt>
                <c:pt idx="814">
                  <c:v>5.1322463768115965E-2</c:v>
                </c:pt>
                <c:pt idx="815">
                  <c:v>5.0902173913043448E-2</c:v>
                </c:pt>
                <c:pt idx="816">
                  <c:v>4.6612318840579627E-2</c:v>
                </c:pt>
                <c:pt idx="817">
                  <c:v>4.5713768115942077E-2</c:v>
                </c:pt>
                <c:pt idx="818">
                  <c:v>4.745289855072464E-2</c:v>
                </c:pt>
                <c:pt idx="819">
                  <c:v>4.8554347826086974E-2</c:v>
                </c:pt>
                <c:pt idx="820">
                  <c:v>4.8003623188405835E-2</c:v>
                </c:pt>
                <c:pt idx="821">
                  <c:v>4.7974637681159463E-2</c:v>
                </c:pt>
                <c:pt idx="822">
                  <c:v>4.9554347826087003E-2</c:v>
                </c:pt>
                <c:pt idx="823">
                  <c:v>5.1583333333333349E-2</c:v>
                </c:pt>
                <c:pt idx="824">
                  <c:v>5.1336956521739148E-2</c:v>
                </c:pt>
                <c:pt idx="825">
                  <c:v>5.1989130434782573E-2</c:v>
                </c:pt>
                <c:pt idx="826">
                  <c:v>4.7322463768115969E-2</c:v>
                </c:pt>
                <c:pt idx="827">
                  <c:v>4.7902173913043446E-2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4-4E73-9DF2-F2A455BCD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20552"/>
        <c:axId val="796815960"/>
      </c:scatterChart>
      <c:valAx>
        <c:axId val="796820552"/>
        <c:scaling>
          <c:orientation val="minMax"/>
          <c:max val="42705"/>
          <c:min val="175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5960"/>
        <c:crosses val="autoZero"/>
        <c:crossBetween val="midCat"/>
      </c:valAx>
      <c:valAx>
        <c:axId val="796815960"/>
        <c:scaling>
          <c:orientation val="minMax"/>
          <c:max val="0.1200000000000000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0552"/>
        <c:crosses val="autoZero"/>
        <c:crossBetween val="midCat"/>
      </c:valAx>
      <c:valAx>
        <c:axId val="526060424"/>
        <c:scaling>
          <c:orientation val="minMax"/>
          <c:max val="1"/>
          <c:min val="0"/>
        </c:scaling>
        <c:delete val="0"/>
        <c:axPos val="r"/>
        <c:numFmt formatCode="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81008"/>
        <c:crosses val="max"/>
        <c:crossBetween val="between"/>
      </c:valAx>
      <c:dateAx>
        <c:axId val="281781008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5260604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strRef>
              <c:f>'Chart Data'!$E$1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'Chart Data'!$A$698:$A$757</c:f>
              <c:numCache>
                <c:formatCode>mm/yy</c:formatCode>
                <c:ptCount val="60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</c:numCache>
            </c:numRef>
          </c:cat>
          <c:val>
            <c:numRef>
              <c:f>'Chart Data'!$E$698:$E$757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9-42A1-BDC2-FAF56235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506152"/>
        <c:axId val="798512712"/>
      </c:areaChart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Data'!$B$2:$B$830</c:f>
              <c:numCache>
                <c:formatCode>0%</c:formatCode>
                <c:ptCount val="829"/>
                <c:pt idx="0">
                  <c:v>0.04</c:v>
                </c:pt>
                <c:pt idx="1">
                  <c:v>4.7E-2</c:v>
                </c:pt>
                <c:pt idx="2">
                  <c:v>4.4999999999999998E-2</c:v>
                </c:pt>
                <c:pt idx="3">
                  <c:v>0.04</c:v>
                </c:pt>
                <c:pt idx="4">
                  <c:v>3.4000000000000002E-2</c:v>
                </c:pt>
                <c:pt idx="5">
                  <c:v>3.9E-2</c:v>
                </c:pt>
                <c:pt idx="6">
                  <c:v>3.9E-2</c:v>
                </c:pt>
                <c:pt idx="7">
                  <c:v>3.6000000000000004E-2</c:v>
                </c:pt>
                <c:pt idx="8">
                  <c:v>3.4000000000000002E-2</c:v>
                </c:pt>
                <c:pt idx="9">
                  <c:v>2.8999999999999998E-2</c:v>
                </c:pt>
                <c:pt idx="10">
                  <c:v>3.3000000000000002E-2</c:v>
                </c:pt>
                <c:pt idx="11">
                  <c:v>3.6000000000000004E-2</c:v>
                </c:pt>
                <c:pt idx="12">
                  <c:v>0.05</c:v>
                </c:pt>
                <c:pt idx="13">
                  <c:v>5.7999999999999996E-2</c:v>
                </c:pt>
                <c:pt idx="14">
                  <c:v>5.5999999999999994E-2</c:v>
                </c:pt>
                <c:pt idx="15">
                  <c:v>5.4000000000000006E-2</c:v>
                </c:pt>
                <c:pt idx="16">
                  <c:v>5.7000000000000002E-2</c:v>
                </c:pt>
                <c:pt idx="17">
                  <c:v>6.4000000000000001E-2</c:v>
                </c:pt>
                <c:pt idx="18">
                  <c:v>7.0000000000000007E-2</c:v>
                </c:pt>
                <c:pt idx="19">
                  <c:v>6.3E-2</c:v>
                </c:pt>
                <c:pt idx="20">
                  <c:v>5.9000000000000004E-2</c:v>
                </c:pt>
                <c:pt idx="21">
                  <c:v>6.0999999999999999E-2</c:v>
                </c:pt>
                <c:pt idx="22">
                  <c:v>5.7000000000000002E-2</c:v>
                </c:pt>
                <c:pt idx="23">
                  <c:v>0.06</c:v>
                </c:pt>
                <c:pt idx="24">
                  <c:v>7.5999999999999998E-2</c:v>
                </c:pt>
                <c:pt idx="25">
                  <c:v>7.9000000000000001E-2</c:v>
                </c:pt>
                <c:pt idx="26">
                  <c:v>7.0999999999999994E-2</c:v>
                </c:pt>
                <c:pt idx="27">
                  <c:v>0.06</c:v>
                </c:pt>
                <c:pt idx="28">
                  <c:v>5.2999999999999999E-2</c:v>
                </c:pt>
                <c:pt idx="29">
                  <c:v>5.5999999999999994E-2</c:v>
                </c:pt>
                <c:pt idx="30">
                  <c:v>5.2999999999999999E-2</c:v>
                </c:pt>
                <c:pt idx="31">
                  <c:v>4.0999999999999995E-2</c:v>
                </c:pt>
                <c:pt idx="32">
                  <c:v>0.04</c:v>
                </c:pt>
                <c:pt idx="33">
                  <c:v>3.3000000000000002E-2</c:v>
                </c:pt>
                <c:pt idx="34">
                  <c:v>3.7999999999999999E-2</c:v>
                </c:pt>
                <c:pt idx="35">
                  <c:v>3.9E-2</c:v>
                </c:pt>
                <c:pt idx="36">
                  <c:v>4.4000000000000004E-2</c:v>
                </c:pt>
                <c:pt idx="37">
                  <c:v>4.2000000000000003E-2</c:v>
                </c:pt>
                <c:pt idx="38">
                  <c:v>3.7999999999999999E-2</c:v>
                </c:pt>
                <c:pt idx="39">
                  <c:v>3.2000000000000001E-2</c:v>
                </c:pt>
                <c:pt idx="40">
                  <c:v>2.8999999999999998E-2</c:v>
                </c:pt>
                <c:pt idx="41">
                  <c:v>3.4000000000000002E-2</c:v>
                </c:pt>
                <c:pt idx="42">
                  <c:v>3.3000000000000002E-2</c:v>
                </c:pt>
                <c:pt idx="43">
                  <c:v>2.8999999999999998E-2</c:v>
                </c:pt>
                <c:pt idx="44">
                  <c:v>0.03</c:v>
                </c:pt>
                <c:pt idx="45">
                  <c:v>2.7999999999999997E-2</c:v>
                </c:pt>
                <c:pt idx="46">
                  <c:v>3.2000000000000001E-2</c:v>
                </c:pt>
                <c:pt idx="47">
                  <c:v>2.8999999999999998E-2</c:v>
                </c:pt>
                <c:pt idx="48">
                  <c:v>3.7000000000000005E-2</c:v>
                </c:pt>
                <c:pt idx="49">
                  <c:v>3.7999999999999999E-2</c:v>
                </c:pt>
                <c:pt idx="50">
                  <c:v>3.3000000000000002E-2</c:v>
                </c:pt>
                <c:pt idx="51">
                  <c:v>0.03</c:v>
                </c:pt>
                <c:pt idx="52">
                  <c:v>2.8999999999999998E-2</c:v>
                </c:pt>
                <c:pt idx="53">
                  <c:v>3.2000000000000001E-2</c:v>
                </c:pt>
                <c:pt idx="54">
                  <c:v>3.3000000000000002E-2</c:v>
                </c:pt>
                <c:pt idx="55">
                  <c:v>3.1E-2</c:v>
                </c:pt>
                <c:pt idx="56">
                  <c:v>2.7000000000000003E-2</c:v>
                </c:pt>
                <c:pt idx="57">
                  <c:v>2.4E-2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3.4000000000000002E-2</c:v>
                </c:pt>
                <c:pt idx="61">
                  <c:v>3.2000000000000001E-2</c:v>
                </c:pt>
                <c:pt idx="62">
                  <c:v>2.8999999999999998E-2</c:v>
                </c:pt>
                <c:pt idx="63">
                  <c:v>2.7999999999999997E-2</c:v>
                </c:pt>
                <c:pt idx="64">
                  <c:v>2.5000000000000001E-2</c:v>
                </c:pt>
                <c:pt idx="65">
                  <c:v>2.7000000000000003E-2</c:v>
                </c:pt>
                <c:pt idx="66">
                  <c:v>2.7000000000000003E-2</c:v>
                </c:pt>
                <c:pt idx="67">
                  <c:v>2.4E-2</c:v>
                </c:pt>
                <c:pt idx="68">
                  <c:v>2.6000000000000002E-2</c:v>
                </c:pt>
                <c:pt idx="69">
                  <c:v>2.5000000000000001E-2</c:v>
                </c:pt>
                <c:pt idx="70">
                  <c:v>3.2000000000000001E-2</c:v>
                </c:pt>
                <c:pt idx="71">
                  <c:v>4.2000000000000003E-2</c:v>
                </c:pt>
                <c:pt idx="72">
                  <c:v>5.7000000000000002E-2</c:v>
                </c:pt>
                <c:pt idx="73">
                  <c:v>6.3E-2</c:v>
                </c:pt>
                <c:pt idx="74">
                  <c:v>6.4000000000000001E-2</c:v>
                </c:pt>
                <c:pt idx="75">
                  <c:v>6.0999999999999999E-2</c:v>
                </c:pt>
                <c:pt idx="76">
                  <c:v>5.7000000000000002E-2</c:v>
                </c:pt>
                <c:pt idx="77">
                  <c:v>5.7000000000000002E-2</c:v>
                </c:pt>
                <c:pt idx="78">
                  <c:v>5.7000000000000002E-2</c:v>
                </c:pt>
                <c:pt idx="79">
                  <c:v>5.4000000000000006E-2</c:v>
                </c:pt>
                <c:pt idx="80">
                  <c:v>5.2999999999999999E-2</c:v>
                </c:pt>
                <c:pt idx="81">
                  <c:v>4.5999999999999999E-2</c:v>
                </c:pt>
                <c:pt idx="82">
                  <c:v>4.9000000000000002E-2</c:v>
                </c:pt>
                <c:pt idx="83">
                  <c:v>4.8000000000000001E-2</c:v>
                </c:pt>
                <c:pt idx="84">
                  <c:v>5.7999999999999996E-2</c:v>
                </c:pt>
                <c:pt idx="85">
                  <c:v>5.7000000000000002E-2</c:v>
                </c:pt>
                <c:pt idx="86">
                  <c:v>5.2000000000000005E-2</c:v>
                </c:pt>
                <c:pt idx="87">
                  <c:v>4.9000000000000002E-2</c:v>
                </c:pt>
                <c:pt idx="88">
                  <c:v>4.2000000000000003E-2</c:v>
                </c:pt>
                <c:pt idx="89">
                  <c:v>4.4000000000000004E-2</c:v>
                </c:pt>
                <c:pt idx="90">
                  <c:v>0.04</c:v>
                </c:pt>
                <c:pt idx="91">
                  <c:v>3.7999999999999999E-2</c:v>
                </c:pt>
                <c:pt idx="92">
                  <c:v>3.5000000000000003E-2</c:v>
                </c:pt>
                <c:pt idx="93">
                  <c:v>3.4000000000000002E-2</c:v>
                </c:pt>
                <c:pt idx="94">
                  <c:v>3.7999999999999999E-2</c:v>
                </c:pt>
                <c:pt idx="95">
                  <c:v>3.9E-2</c:v>
                </c:pt>
                <c:pt idx="96">
                  <c:v>4.7E-2</c:v>
                </c:pt>
                <c:pt idx="97">
                  <c:v>4.8000000000000001E-2</c:v>
                </c:pt>
                <c:pt idx="98">
                  <c:v>4.7E-2</c:v>
                </c:pt>
                <c:pt idx="99">
                  <c:v>4.0999999999999995E-2</c:v>
                </c:pt>
                <c:pt idx="100">
                  <c:v>4.2000000000000003E-2</c:v>
                </c:pt>
                <c:pt idx="101">
                  <c:v>4.7E-2</c:v>
                </c:pt>
                <c:pt idx="102">
                  <c:v>4.4000000000000004E-2</c:v>
                </c:pt>
                <c:pt idx="103">
                  <c:v>3.7000000000000005E-2</c:v>
                </c:pt>
                <c:pt idx="104">
                  <c:v>3.4000000000000002E-2</c:v>
                </c:pt>
                <c:pt idx="105">
                  <c:v>3.1E-2</c:v>
                </c:pt>
                <c:pt idx="106">
                  <c:v>3.9E-2</c:v>
                </c:pt>
                <c:pt idx="107">
                  <c:v>0.04</c:v>
                </c:pt>
                <c:pt idx="108">
                  <c:v>4.9000000000000002E-2</c:v>
                </c:pt>
                <c:pt idx="109">
                  <c:v>4.7E-2</c:v>
                </c:pt>
                <c:pt idx="110">
                  <c:v>4.2999999999999997E-2</c:v>
                </c:pt>
                <c:pt idx="111">
                  <c:v>0.04</c:v>
                </c:pt>
                <c:pt idx="112">
                  <c:v>3.9E-2</c:v>
                </c:pt>
                <c:pt idx="113">
                  <c:v>4.5999999999999999E-2</c:v>
                </c:pt>
                <c:pt idx="114">
                  <c:v>4.0999999999999995E-2</c:v>
                </c:pt>
                <c:pt idx="115">
                  <c:v>3.7000000000000005E-2</c:v>
                </c:pt>
                <c:pt idx="116">
                  <c:v>3.7000000000000005E-2</c:v>
                </c:pt>
                <c:pt idx="117">
                  <c:v>3.6000000000000004E-2</c:v>
                </c:pt>
                <c:pt idx="118">
                  <c:v>4.5999999999999999E-2</c:v>
                </c:pt>
                <c:pt idx="119">
                  <c:v>0.05</c:v>
                </c:pt>
                <c:pt idx="120">
                  <c:v>6.8000000000000005E-2</c:v>
                </c:pt>
                <c:pt idx="121">
                  <c:v>7.6999999999999999E-2</c:v>
                </c:pt>
                <c:pt idx="122">
                  <c:v>7.6999999999999999E-2</c:v>
                </c:pt>
                <c:pt idx="123">
                  <c:v>7.4999999999999997E-2</c:v>
                </c:pt>
                <c:pt idx="124">
                  <c:v>7.0999999999999994E-2</c:v>
                </c:pt>
                <c:pt idx="125">
                  <c:v>7.5999999999999998E-2</c:v>
                </c:pt>
                <c:pt idx="126">
                  <c:v>7.400000000000001E-2</c:v>
                </c:pt>
                <c:pt idx="127">
                  <c:v>6.7000000000000004E-2</c:v>
                </c:pt>
                <c:pt idx="128">
                  <c:v>0.06</c:v>
                </c:pt>
                <c:pt idx="129">
                  <c:v>5.5E-2</c:v>
                </c:pt>
                <c:pt idx="130">
                  <c:v>5.5999999999999994E-2</c:v>
                </c:pt>
                <c:pt idx="131">
                  <c:v>0.06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6.4000000000000001E-2</c:v>
                </c:pt>
                <c:pt idx="135">
                  <c:v>5.2000000000000005E-2</c:v>
                </c:pt>
                <c:pt idx="136">
                  <c:v>4.9000000000000002E-2</c:v>
                </c:pt>
                <c:pt idx="137">
                  <c:v>5.4000000000000006E-2</c:v>
                </c:pt>
                <c:pt idx="138">
                  <c:v>5.2000000000000005E-2</c:v>
                </c:pt>
                <c:pt idx="139">
                  <c:v>4.8000000000000001E-2</c:v>
                </c:pt>
                <c:pt idx="140">
                  <c:v>4.7E-2</c:v>
                </c:pt>
                <c:pt idx="141">
                  <c:v>4.7E-2</c:v>
                </c:pt>
                <c:pt idx="142">
                  <c:v>5.2999999999999999E-2</c:v>
                </c:pt>
                <c:pt idx="143">
                  <c:v>5.0999999999999997E-2</c:v>
                </c:pt>
                <c:pt idx="144">
                  <c:v>6.0999999999999999E-2</c:v>
                </c:pt>
                <c:pt idx="145">
                  <c:v>5.7000000000000002E-2</c:v>
                </c:pt>
                <c:pt idx="146">
                  <c:v>6.0999999999999999E-2</c:v>
                </c:pt>
                <c:pt idx="147">
                  <c:v>5.2000000000000005E-2</c:v>
                </c:pt>
                <c:pt idx="148">
                  <c:v>4.8000000000000001E-2</c:v>
                </c:pt>
                <c:pt idx="149">
                  <c:v>5.7999999999999996E-2</c:v>
                </c:pt>
                <c:pt idx="150">
                  <c:v>5.5E-2</c:v>
                </c:pt>
                <c:pt idx="151">
                  <c:v>5.2000000000000005E-2</c:v>
                </c:pt>
                <c:pt idx="152">
                  <c:v>4.7E-2</c:v>
                </c:pt>
                <c:pt idx="153">
                  <c:v>0.05</c:v>
                </c:pt>
                <c:pt idx="154">
                  <c:v>5.5999999999999994E-2</c:v>
                </c:pt>
                <c:pt idx="155">
                  <c:v>6.4000000000000001E-2</c:v>
                </c:pt>
                <c:pt idx="156">
                  <c:v>7.6999999999999999E-2</c:v>
                </c:pt>
                <c:pt idx="157">
                  <c:v>8.1000000000000003E-2</c:v>
                </c:pt>
                <c:pt idx="158">
                  <c:v>7.6999999999999999E-2</c:v>
                </c:pt>
                <c:pt idx="159">
                  <c:v>7.0000000000000007E-2</c:v>
                </c:pt>
                <c:pt idx="160">
                  <c:v>6.6000000000000003E-2</c:v>
                </c:pt>
                <c:pt idx="161">
                  <c:v>7.2999999999999995E-2</c:v>
                </c:pt>
                <c:pt idx="162">
                  <c:v>6.9000000000000006E-2</c:v>
                </c:pt>
                <c:pt idx="163">
                  <c:v>6.2E-2</c:v>
                </c:pt>
                <c:pt idx="164">
                  <c:v>5.7999999999999996E-2</c:v>
                </c:pt>
                <c:pt idx="165">
                  <c:v>5.5E-2</c:v>
                </c:pt>
                <c:pt idx="166">
                  <c:v>5.5999999999999994E-2</c:v>
                </c:pt>
                <c:pt idx="167">
                  <c:v>5.7999999999999996E-2</c:v>
                </c:pt>
                <c:pt idx="168">
                  <c:v>6.7000000000000004E-2</c:v>
                </c:pt>
                <c:pt idx="169">
                  <c:v>6.5000000000000002E-2</c:v>
                </c:pt>
                <c:pt idx="170">
                  <c:v>6.2E-2</c:v>
                </c:pt>
                <c:pt idx="171">
                  <c:v>5.5E-2</c:v>
                </c:pt>
                <c:pt idx="172">
                  <c:v>5.0999999999999997E-2</c:v>
                </c:pt>
                <c:pt idx="173">
                  <c:v>5.9000000000000004E-2</c:v>
                </c:pt>
                <c:pt idx="174">
                  <c:v>5.2999999999999999E-2</c:v>
                </c:pt>
                <c:pt idx="175">
                  <c:v>5.2999999999999999E-2</c:v>
                </c:pt>
                <c:pt idx="176">
                  <c:v>4.9000000000000002E-2</c:v>
                </c:pt>
                <c:pt idx="177">
                  <c:v>4.4999999999999998E-2</c:v>
                </c:pt>
                <c:pt idx="178">
                  <c:v>5.2999999999999999E-2</c:v>
                </c:pt>
                <c:pt idx="179">
                  <c:v>5.2999999999999999E-2</c:v>
                </c:pt>
                <c:pt idx="180">
                  <c:v>6.6000000000000003E-2</c:v>
                </c:pt>
                <c:pt idx="181">
                  <c:v>6.9000000000000006E-2</c:v>
                </c:pt>
                <c:pt idx="182">
                  <c:v>6.3E-2</c:v>
                </c:pt>
                <c:pt idx="183">
                  <c:v>5.5999999999999994E-2</c:v>
                </c:pt>
                <c:pt idx="184">
                  <c:v>5.5E-2</c:v>
                </c:pt>
                <c:pt idx="185">
                  <c:v>6.2E-2</c:v>
                </c:pt>
                <c:pt idx="186">
                  <c:v>5.5999999999999994E-2</c:v>
                </c:pt>
                <c:pt idx="187">
                  <c:v>5.2000000000000005E-2</c:v>
                </c:pt>
                <c:pt idx="188">
                  <c:v>4.8000000000000001E-2</c:v>
                </c:pt>
                <c:pt idx="189">
                  <c:v>4.7E-2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6.4000000000000001E-2</c:v>
                </c:pt>
                <c:pt idx="193">
                  <c:v>6.2E-2</c:v>
                </c:pt>
                <c:pt idx="194">
                  <c:v>5.9000000000000004E-2</c:v>
                </c:pt>
                <c:pt idx="195">
                  <c:v>5.2999999999999999E-2</c:v>
                </c:pt>
                <c:pt idx="196">
                  <c:v>4.8000000000000001E-2</c:v>
                </c:pt>
                <c:pt idx="197">
                  <c:v>5.9000000000000004E-2</c:v>
                </c:pt>
                <c:pt idx="198">
                  <c:v>4.9000000000000002E-2</c:v>
                </c:pt>
                <c:pt idx="199">
                  <c:v>4.8000000000000001E-2</c:v>
                </c:pt>
                <c:pt idx="200">
                  <c:v>4.4999999999999998E-2</c:v>
                </c:pt>
                <c:pt idx="201">
                  <c:v>4.4000000000000004E-2</c:v>
                </c:pt>
                <c:pt idx="202">
                  <c:v>4.4999999999999998E-2</c:v>
                </c:pt>
                <c:pt idx="203">
                  <c:v>4.7E-2</c:v>
                </c:pt>
                <c:pt idx="204">
                  <c:v>5.5E-2</c:v>
                </c:pt>
                <c:pt idx="205">
                  <c:v>5.7000000000000002E-2</c:v>
                </c:pt>
                <c:pt idx="206">
                  <c:v>5.0999999999999997E-2</c:v>
                </c:pt>
                <c:pt idx="207">
                  <c:v>4.7E-2</c:v>
                </c:pt>
                <c:pt idx="208">
                  <c:v>4.2999999999999997E-2</c:v>
                </c:pt>
                <c:pt idx="209">
                  <c:v>5.2999999999999999E-2</c:v>
                </c:pt>
                <c:pt idx="210">
                  <c:v>4.4999999999999998E-2</c:v>
                </c:pt>
                <c:pt idx="211">
                  <c:v>4.2000000000000003E-2</c:v>
                </c:pt>
                <c:pt idx="212">
                  <c:v>3.7999999999999999E-2</c:v>
                </c:pt>
                <c:pt idx="213">
                  <c:v>3.6000000000000004E-2</c:v>
                </c:pt>
                <c:pt idx="214">
                  <c:v>3.9E-2</c:v>
                </c:pt>
                <c:pt idx="215">
                  <c:v>3.7000000000000005E-2</c:v>
                </c:pt>
                <c:pt idx="216">
                  <c:v>4.4000000000000004E-2</c:v>
                </c:pt>
                <c:pt idx="217">
                  <c:v>4.2000000000000003E-2</c:v>
                </c:pt>
                <c:pt idx="218">
                  <c:v>0.04</c:v>
                </c:pt>
                <c:pt idx="219">
                  <c:v>3.6000000000000004E-2</c:v>
                </c:pt>
                <c:pt idx="220">
                  <c:v>3.7000000000000005E-2</c:v>
                </c:pt>
                <c:pt idx="221">
                  <c:v>4.5999999999999999E-2</c:v>
                </c:pt>
                <c:pt idx="222">
                  <c:v>3.9E-2</c:v>
                </c:pt>
                <c:pt idx="223">
                  <c:v>3.6000000000000004E-2</c:v>
                </c:pt>
                <c:pt idx="224">
                  <c:v>3.3000000000000002E-2</c:v>
                </c:pt>
                <c:pt idx="225">
                  <c:v>3.2000000000000001E-2</c:v>
                </c:pt>
                <c:pt idx="226">
                  <c:v>3.4000000000000002E-2</c:v>
                </c:pt>
                <c:pt idx="227">
                  <c:v>3.5000000000000003E-2</c:v>
                </c:pt>
                <c:pt idx="228">
                  <c:v>4.2000000000000003E-2</c:v>
                </c:pt>
                <c:pt idx="229">
                  <c:v>4.2000000000000003E-2</c:v>
                </c:pt>
                <c:pt idx="230">
                  <c:v>3.9E-2</c:v>
                </c:pt>
                <c:pt idx="231">
                  <c:v>3.5000000000000003E-2</c:v>
                </c:pt>
                <c:pt idx="232">
                  <c:v>3.2000000000000001E-2</c:v>
                </c:pt>
                <c:pt idx="233">
                  <c:v>4.5999999999999999E-2</c:v>
                </c:pt>
                <c:pt idx="234">
                  <c:v>4.0999999999999995E-2</c:v>
                </c:pt>
                <c:pt idx="235">
                  <c:v>3.7000000000000005E-2</c:v>
                </c:pt>
                <c:pt idx="236">
                  <c:v>3.7000000000000005E-2</c:v>
                </c:pt>
                <c:pt idx="237">
                  <c:v>3.7999999999999999E-2</c:v>
                </c:pt>
                <c:pt idx="238">
                  <c:v>3.7000000000000005E-2</c:v>
                </c:pt>
                <c:pt idx="239">
                  <c:v>3.5000000000000003E-2</c:v>
                </c:pt>
                <c:pt idx="240">
                  <c:v>0.04</c:v>
                </c:pt>
                <c:pt idx="241">
                  <c:v>4.2000000000000003E-2</c:v>
                </c:pt>
                <c:pt idx="242">
                  <c:v>3.7999999999999999E-2</c:v>
                </c:pt>
                <c:pt idx="243">
                  <c:v>3.2000000000000001E-2</c:v>
                </c:pt>
                <c:pt idx="244">
                  <c:v>2.8999999999999998E-2</c:v>
                </c:pt>
                <c:pt idx="245">
                  <c:v>4.4999999999999998E-2</c:v>
                </c:pt>
                <c:pt idx="246">
                  <c:v>0.04</c:v>
                </c:pt>
                <c:pt idx="247">
                  <c:v>3.5000000000000003E-2</c:v>
                </c:pt>
                <c:pt idx="248">
                  <c:v>3.3000000000000002E-2</c:v>
                </c:pt>
                <c:pt idx="249">
                  <c:v>3.2000000000000001E-2</c:v>
                </c:pt>
                <c:pt idx="250">
                  <c:v>3.3000000000000002E-2</c:v>
                </c:pt>
                <c:pt idx="251">
                  <c:v>3.1E-2</c:v>
                </c:pt>
                <c:pt idx="252">
                  <c:v>3.7000000000000005E-2</c:v>
                </c:pt>
                <c:pt idx="253">
                  <c:v>3.7000000000000005E-2</c:v>
                </c:pt>
                <c:pt idx="254">
                  <c:v>3.5000000000000003E-2</c:v>
                </c:pt>
                <c:pt idx="255">
                  <c:v>3.2000000000000001E-2</c:v>
                </c:pt>
                <c:pt idx="256">
                  <c:v>2.8999999999999998E-2</c:v>
                </c:pt>
                <c:pt idx="257">
                  <c:v>4.0999999999999995E-2</c:v>
                </c:pt>
                <c:pt idx="258">
                  <c:v>3.7999999999999999E-2</c:v>
                </c:pt>
                <c:pt idx="259">
                  <c:v>3.5000000000000003E-2</c:v>
                </c:pt>
                <c:pt idx="260">
                  <c:v>3.7000000000000005E-2</c:v>
                </c:pt>
                <c:pt idx="261">
                  <c:v>3.5000000000000003E-2</c:v>
                </c:pt>
                <c:pt idx="262">
                  <c:v>3.3000000000000002E-2</c:v>
                </c:pt>
                <c:pt idx="263">
                  <c:v>3.2000000000000001E-2</c:v>
                </c:pt>
                <c:pt idx="264">
                  <c:v>4.2000000000000003E-2</c:v>
                </c:pt>
                <c:pt idx="265">
                  <c:v>4.7E-2</c:v>
                </c:pt>
                <c:pt idx="266">
                  <c:v>4.5999999999999999E-2</c:v>
                </c:pt>
                <c:pt idx="267">
                  <c:v>4.2999999999999997E-2</c:v>
                </c:pt>
                <c:pt idx="268">
                  <c:v>4.0999999999999995E-2</c:v>
                </c:pt>
                <c:pt idx="269">
                  <c:v>5.5999999999999994E-2</c:v>
                </c:pt>
                <c:pt idx="270">
                  <c:v>5.2999999999999999E-2</c:v>
                </c:pt>
                <c:pt idx="271">
                  <c:v>0.05</c:v>
                </c:pt>
                <c:pt idx="272">
                  <c:v>5.2000000000000005E-2</c:v>
                </c:pt>
                <c:pt idx="273">
                  <c:v>5.0999999999999997E-2</c:v>
                </c:pt>
                <c:pt idx="274">
                  <c:v>5.5E-2</c:v>
                </c:pt>
                <c:pt idx="275">
                  <c:v>5.5999999999999994E-2</c:v>
                </c:pt>
                <c:pt idx="276">
                  <c:v>6.6000000000000003E-2</c:v>
                </c:pt>
                <c:pt idx="277">
                  <c:v>6.6000000000000003E-2</c:v>
                </c:pt>
                <c:pt idx="278">
                  <c:v>6.3E-2</c:v>
                </c:pt>
                <c:pt idx="279">
                  <c:v>5.7000000000000002E-2</c:v>
                </c:pt>
                <c:pt idx="280">
                  <c:v>5.2999999999999999E-2</c:v>
                </c:pt>
                <c:pt idx="281">
                  <c:v>6.5000000000000002E-2</c:v>
                </c:pt>
                <c:pt idx="282">
                  <c:v>6.2E-2</c:v>
                </c:pt>
                <c:pt idx="283">
                  <c:v>5.9000000000000004E-2</c:v>
                </c:pt>
                <c:pt idx="284">
                  <c:v>5.7999999999999996E-2</c:v>
                </c:pt>
                <c:pt idx="285">
                  <c:v>5.4000000000000006E-2</c:v>
                </c:pt>
                <c:pt idx="286">
                  <c:v>5.7000000000000002E-2</c:v>
                </c:pt>
                <c:pt idx="287">
                  <c:v>5.5E-2</c:v>
                </c:pt>
                <c:pt idx="288">
                  <c:v>6.5000000000000002E-2</c:v>
                </c:pt>
                <c:pt idx="289">
                  <c:v>6.4000000000000001E-2</c:v>
                </c:pt>
                <c:pt idx="290">
                  <c:v>6.0999999999999999E-2</c:v>
                </c:pt>
                <c:pt idx="291">
                  <c:v>5.5E-2</c:v>
                </c:pt>
                <c:pt idx="292">
                  <c:v>5.0999999999999997E-2</c:v>
                </c:pt>
                <c:pt idx="293">
                  <c:v>6.2E-2</c:v>
                </c:pt>
                <c:pt idx="294">
                  <c:v>5.9000000000000004E-2</c:v>
                </c:pt>
                <c:pt idx="295">
                  <c:v>5.5E-2</c:v>
                </c:pt>
                <c:pt idx="296">
                  <c:v>5.4000000000000006E-2</c:v>
                </c:pt>
                <c:pt idx="297">
                  <c:v>5.0999999999999997E-2</c:v>
                </c:pt>
                <c:pt idx="298">
                  <c:v>4.9000000000000002E-2</c:v>
                </c:pt>
                <c:pt idx="299">
                  <c:v>4.8000000000000001E-2</c:v>
                </c:pt>
                <c:pt idx="300">
                  <c:v>5.5E-2</c:v>
                </c:pt>
                <c:pt idx="301">
                  <c:v>5.5999999999999994E-2</c:v>
                </c:pt>
                <c:pt idx="302">
                  <c:v>5.2000000000000005E-2</c:v>
                </c:pt>
                <c:pt idx="303">
                  <c:v>4.8000000000000001E-2</c:v>
                </c:pt>
                <c:pt idx="304">
                  <c:v>4.4000000000000004E-2</c:v>
                </c:pt>
                <c:pt idx="305">
                  <c:v>5.4000000000000006E-2</c:v>
                </c:pt>
                <c:pt idx="306">
                  <c:v>0.05</c:v>
                </c:pt>
                <c:pt idx="307">
                  <c:v>4.7E-2</c:v>
                </c:pt>
                <c:pt idx="308">
                  <c:v>4.7E-2</c:v>
                </c:pt>
                <c:pt idx="309">
                  <c:v>4.2000000000000003E-2</c:v>
                </c:pt>
                <c:pt idx="310">
                  <c:v>4.5999999999999999E-2</c:v>
                </c:pt>
                <c:pt idx="311">
                  <c:v>4.5999999999999999E-2</c:v>
                </c:pt>
                <c:pt idx="312">
                  <c:v>5.7000000000000002E-2</c:v>
                </c:pt>
                <c:pt idx="313">
                  <c:v>5.7999999999999996E-2</c:v>
                </c:pt>
                <c:pt idx="314">
                  <c:v>5.2999999999999999E-2</c:v>
                </c:pt>
                <c:pt idx="315">
                  <c:v>4.8000000000000001E-2</c:v>
                </c:pt>
                <c:pt idx="316">
                  <c:v>4.5999999999999999E-2</c:v>
                </c:pt>
                <c:pt idx="317">
                  <c:v>5.7999999999999996E-2</c:v>
                </c:pt>
                <c:pt idx="318">
                  <c:v>5.7000000000000002E-2</c:v>
                </c:pt>
                <c:pt idx="319">
                  <c:v>5.2999999999999999E-2</c:v>
                </c:pt>
                <c:pt idx="320">
                  <c:v>5.7000000000000002E-2</c:v>
                </c:pt>
                <c:pt idx="321">
                  <c:v>5.5E-2</c:v>
                </c:pt>
                <c:pt idx="322">
                  <c:v>6.2E-2</c:v>
                </c:pt>
                <c:pt idx="323">
                  <c:v>6.7000000000000004E-2</c:v>
                </c:pt>
                <c:pt idx="324">
                  <c:v>0.09</c:v>
                </c:pt>
                <c:pt idx="325">
                  <c:v>9.0999999999999998E-2</c:v>
                </c:pt>
                <c:pt idx="326">
                  <c:v>9.0999999999999998E-2</c:v>
                </c:pt>
                <c:pt idx="327">
                  <c:v>8.5999999999999993E-2</c:v>
                </c:pt>
                <c:pt idx="328">
                  <c:v>8.3000000000000004E-2</c:v>
                </c:pt>
                <c:pt idx="329">
                  <c:v>9.0999999999999998E-2</c:v>
                </c:pt>
                <c:pt idx="330">
                  <c:v>8.6999999999999994E-2</c:v>
                </c:pt>
                <c:pt idx="331">
                  <c:v>8.199999999999999E-2</c:v>
                </c:pt>
                <c:pt idx="332">
                  <c:v>8.1000000000000003E-2</c:v>
                </c:pt>
                <c:pt idx="333">
                  <c:v>7.8E-2</c:v>
                </c:pt>
                <c:pt idx="334">
                  <c:v>7.8E-2</c:v>
                </c:pt>
                <c:pt idx="335">
                  <c:v>7.8E-2</c:v>
                </c:pt>
                <c:pt idx="336">
                  <c:v>8.8000000000000009E-2</c:v>
                </c:pt>
                <c:pt idx="337">
                  <c:v>8.6999999999999994E-2</c:v>
                </c:pt>
                <c:pt idx="338">
                  <c:v>8.1000000000000003E-2</c:v>
                </c:pt>
                <c:pt idx="339">
                  <c:v>7.400000000000001E-2</c:v>
                </c:pt>
                <c:pt idx="340">
                  <c:v>6.8000000000000005E-2</c:v>
                </c:pt>
                <c:pt idx="341">
                  <c:v>0.08</c:v>
                </c:pt>
                <c:pt idx="342">
                  <c:v>7.8E-2</c:v>
                </c:pt>
                <c:pt idx="343">
                  <c:v>7.5999999999999998E-2</c:v>
                </c:pt>
                <c:pt idx="344">
                  <c:v>7.400000000000001E-2</c:v>
                </c:pt>
                <c:pt idx="345">
                  <c:v>7.2000000000000008E-2</c:v>
                </c:pt>
                <c:pt idx="346">
                  <c:v>7.400000000000001E-2</c:v>
                </c:pt>
                <c:pt idx="347">
                  <c:v>7.400000000000001E-2</c:v>
                </c:pt>
                <c:pt idx="348">
                  <c:v>8.3000000000000004E-2</c:v>
                </c:pt>
                <c:pt idx="349">
                  <c:v>8.5000000000000006E-2</c:v>
                </c:pt>
                <c:pt idx="350">
                  <c:v>7.9000000000000001E-2</c:v>
                </c:pt>
                <c:pt idx="351">
                  <c:v>6.9000000000000006E-2</c:v>
                </c:pt>
                <c:pt idx="352">
                  <c:v>6.4000000000000001E-2</c:v>
                </c:pt>
                <c:pt idx="353">
                  <c:v>7.4999999999999997E-2</c:v>
                </c:pt>
                <c:pt idx="354">
                  <c:v>7.0000000000000007E-2</c:v>
                </c:pt>
                <c:pt idx="355">
                  <c:v>6.8000000000000005E-2</c:v>
                </c:pt>
                <c:pt idx="356">
                  <c:v>6.6000000000000003E-2</c:v>
                </c:pt>
                <c:pt idx="357">
                  <c:v>6.4000000000000001E-2</c:v>
                </c:pt>
                <c:pt idx="358">
                  <c:v>6.5000000000000002E-2</c:v>
                </c:pt>
                <c:pt idx="359">
                  <c:v>0.06</c:v>
                </c:pt>
                <c:pt idx="360">
                  <c:v>7.0999999999999994E-2</c:v>
                </c:pt>
                <c:pt idx="361">
                  <c:v>6.9000000000000006E-2</c:v>
                </c:pt>
                <c:pt idx="362">
                  <c:v>6.6000000000000003E-2</c:v>
                </c:pt>
                <c:pt idx="363">
                  <c:v>5.7999999999999996E-2</c:v>
                </c:pt>
                <c:pt idx="364">
                  <c:v>5.5E-2</c:v>
                </c:pt>
                <c:pt idx="365">
                  <c:v>6.2E-2</c:v>
                </c:pt>
                <c:pt idx="366">
                  <c:v>6.3E-2</c:v>
                </c:pt>
                <c:pt idx="367">
                  <c:v>5.9000000000000004E-2</c:v>
                </c:pt>
                <c:pt idx="368">
                  <c:v>5.7999999999999996E-2</c:v>
                </c:pt>
                <c:pt idx="369">
                  <c:v>5.4000000000000006E-2</c:v>
                </c:pt>
                <c:pt idx="370">
                  <c:v>5.5999999999999994E-2</c:v>
                </c:pt>
                <c:pt idx="371">
                  <c:v>5.7000000000000002E-2</c:v>
                </c:pt>
                <c:pt idx="372">
                  <c:v>6.4000000000000001E-2</c:v>
                </c:pt>
                <c:pt idx="373">
                  <c:v>6.4000000000000001E-2</c:v>
                </c:pt>
                <c:pt idx="374">
                  <c:v>6.0999999999999999E-2</c:v>
                </c:pt>
                <c:pt idx="375">
                  <c:v>5.5E-2</c:v>
                </c:pt>
                <c:pt idx="376">
                  <c:v>5.2000000000000005E-2</c:v>
                </c:pt>
                <c:pt idx="377">
                  <c:v>0.06</c:v>
                </c:pt>
                <c:pt idx="378">
                  <c:v>5.9000000000000004E-2</c:v>
                </c:pt>
                <c:pt idx="379">
                  <c:v>5.9000000000000004E-2</c:v>
                </c:pt>
                <c:pt idx="380">
                  <c:v>5.7000000000000002E-2</c:v>
                </c:pt>
                <c:pt idx="381">
                  <c:v>5.5999999999999994E-2</c:v>
                </c:pt>
                <c:pt idx="382">
                  <c:v>5.5999999999999994E-2</c:v>
                </c:pt>
                <c:pt idx="383">
                  <c:v>5.7000000000000002E-2</c:v>
                </c:pt>
                <c:pt idx="384">
                  <c:v>6.9000000000000006E-2</c:v>
                </c:pt>
                <c:pt idx="385">
                  <c:v>6.8000000000000005E-2</c:v>
                </c:pt>
                <c:pt idx="386">
                  <c:v>6.6000000000000003E-2</c:v>
                </c:pt>
                <c:pt idx="387">
                  <c:v>6.7000000000000004E-2</c:v>
                </c:pt>
                <c:pt idx="388">
                  <c:v>7.0999999999999994E-2</c:v>
                </c:pt>
                <c:pt idx="389">
                  <c:v>7.8E-2</c:v>
                </c:pt>
                <c:pt idx="390">
                  <c:v>7.9000000000000001E-2</c:v>
                </c:pt>
                <c:pt idx="391">
                  <c:v>7.5999999999999998E-2</c:v>
                </c:pt>
                <c:pt idx="392">
                  <c:v>7.2000000000000008E-2</c:v>
                </c:pt>
                <c:pt idx="393">
                  <c:v>7.0999999999999994E-2</c:v>
                </c:pt>
                <c:pt idx="394">
                  <c:v>7.0999999999999994E-2</c:v>
                </c:pt>
                <c:pt idx="395">
                  <c:v>6.9000000000000006E-2</c:v>
                </c:pt>
                <c:pt idx="396">
                  <c:v>8.199999999999999E-2</c:v>
                </c:pt>
                <c:pt idx="397">
                  <c:v>0.08</c:v>
                </c:pt>
                <c:pt idx="398">
                  <c:v>7.6999999999999999E-2</c:v>
                </c:pt>
                <c:pt idx="399">
                  <c:v>7.0000000000000007E-2</c:v>
                </c:pt>
                <c:pt idx="400">
                  <c:v>7.0999999999999994E-2</c:v>
                </c:pt>
                <c:pt idx="401">
                  <c:v>7.6999999999999999E-2</c:v>
                </c:pt>
                <c:pt idx="402">
                  <c:v>7.2999999999999995E-2</c:v>
                </c:pt>
                <c:pt idx="403">
                  <c:v>7.2000000000000008E-2</c:v>
                </c:pt>
                <c:pt idx="404">
                  <c:v>7.2999999999999995E-2</c:v>
                </c:pt>
                <c:pt idx="405">
                  <c:v>7.4999999999999997E-2</c:v>
                </c:pt>
                <c:pt idx="406">
                  <c:v>7.9000000000000001E-2</c:v>
                </c:pt>
                <c:pt idx="407">
                  <c:v>8.3000000000000004E-2</c:v>
                </c:pt>
                <c:pt idx="408">
                  <c:v>9.4E-2</c:v>
                </c:pt>
                <c:pt idx="409">
                  <c:v>9.6000000000000002E-2</c:v>
                </c:pt>
                <c:pt idx="410">
                  <c:v>9.5000000000000001E-2</c:v>
                </c:pt>
                <c:pt idx="411">
                  <c:v>9.1999999999999998E-2</c:v>
                </c:pt>
                <c:pt idx="412">
                  <c:v>9.0999999999999998E-2</c:v>
                </c:pt>
                <c:pt idx="413">
                  <c:v>9.8000000000000004E-2</c:v>
                </c:pt>
                <c:pt idx="414">
                  <c:v>9.8000000000000004E-2</c:v>
                </c:pt>
                <c:pt idx="415">
                  <c:v>9.6000000000000002E-2</c:v>
                </c:pt>
                <c:pt idx="416">
                  <c:v>9.6999999999999989E-2</c:v>
                </c:pt>
                <c:pt idx="417">
                  <c:v>9.9000000000000005E-2</c:v>
                </c:pt>
                <c:pt idx="418">
                  <c:v>0.10400000000000001</c:v>
                </c:pt>
                <c:pt idx="419">
                  <c:v>0.105</c:v>
                </c:pt>
                <c:pt idx="420">
                  <c:v>0.114</c:v>
                </c:pt>
                <c:pt idx="421">
                  <c:v>0.113</c:v>
                </c:pt>
                <c:pt idx="422">
                  <c:v>0.10800000000000001</c:v>
                </c:pt>
                <c:pt idx="423">
                  <c:v>0.1</c:v>
                </c:pt>
                <c:pt idx="424">
                  <c:v>9.8000000000000004E-2</c:v>
                </c:pt>
                <c:pt idx="425">
                  <c:v>0.10199999999999999</c:v>
                </c:pt>
                <c:pt idx="426">
                  <c:v>9.4E-2</c:v>
                </c:pt>
                <c:pt idx="427">
                  <c:v>9.1999999999999998E-2</c:v>
                </c:pt>
                <c:pt idx="428">
                  <c:v>8.8000000000000009E-2</c:v>
                </c:pt>
                <c:pt idx="429">
                  <c:v>8.4000000000000005E-2</c:v>
                </c:pt>
                <c:pt idx="430">
                  <c:v>8.1000000000000003E-2</c:v>
                </c:pt>
                <c:pt idx="431">
                  <c:v>0.08</c:v>
                </c:pt>
                <c:pt idx="432">
                  <c:v>8.8000000000000009E-2</c:v>
                </c:pt>
                <c:pt idx="433">
                  <c:v>8.4000000000000005E-2</c:v>
                </c:pt>
                <c:pt idx="434">
                  <c:v>8.1000000000000003E-2</c:v>
                </c:pt>
                <c:pt idx="435">
                  <c:v>7.5999999999999998E-2</c:v>
                </c:pt>
                <c:pt idx="436">
                  <c:v>7.2000000000000008E-2</c:v>
                </c:pt>
                <c:pt idx="437">
                  <c:v>7.400000000000001E-2</c:v>
                </c:pt>
                <c:pt idx="438">
                  <c:v>7.4999999999999997E-2</c:v>
                </c:pt>
                <c:pt idx="439">
                  <c:v>7.2999999999999995E-2</c:v>
                </c:pt>
                <c:pt idx="440">
                  <c:v>7.0999999999999994E-2</c:v>
                </c:pt>
                <c:pt idx="441">
                  <c:v>7.0000000000000007E-2</c:v>
                </c:pt>
                <c:pt idx="442">
                  <c:v>6.9000000000000006E-2</c:v>
                </c:pt>
                <c:pt idx="443">
                  <c:v>7.0000000000000007E-2</c:v>
                </c:pt>
                <c:pt idx="444">
                  <c:v>0.08</c:v>
                </c:pt>
                <c:pt idx="445">
                  <c:v>7.8E-2</c:v>
                </c:pt>
                <c:pt idx="446">
                  <c:v>7.4999999999999997E-2</c:v>
                </c:pt>
                <c:pt idx="447">
                  <c:v>7.0999999999999994E-2</c:v>
                </c:pt>
                <c:pt idx="448">
                  <c:v>7.0000000000000007E-2</c:v>
                </c:pt>
                <c:pt idx="449">
                  <c:v>7.4999999999999997E-2</c:v>
                </c:pt>
                <c:pt idx="450">
                  <c:v>7.400000000000001E-2</c:v>
                </c:pt>
                <c:pt idx="451">
                  <c:v>6.9000000000000006E-2</c:v>
                </c:pt>
                <c:pt idx="452">
                  <c:v>6.9000000000000006E-2</c:v>
                </c:pt>
                <c:pt idx="453">
                  <c:v>6.8000000000000005E-2</c:v>
                </c:pt>
                <c:pt idx="454">
                  <c:v>6.7000000000000004E-2</c:v>
                </c:pt>
                <c:pt idx="455">
                  <c:v>6.7000000000000004E-2</c:v>
                </c:pt>
                <c:pt idx="456">
                  <c:v>7.2999999999999995E-2</c:v>
                </c:pt>
                <c:pt idx="457">
                  <c:v>7.8E-2</c:v>
                </c:pt>
                <c:pt idx="458">
                  <c:v>7.4999999999999997E-2</c:v>
                </c:pt>
                <c:pt idx="459">
                  <c:v>7.0000000000000007E-2</c:v>
                </c:pt>
                <c:pt idx="460">
                  <c:v>7.0000000000000007E-2</c:v>
                </c:pt>
                <c:pt idx="461">
                  <c:v>7.2999999999999995E-2</c:v>
                </c:pt>
                <c:pt idx="462">
                  <c:v>7.0000000000000007E-2</c:v>
                </c:pt>
                <c:pt idx="463">
                  <c:v>6.7000000000000004E-2</c:v>
                </c:pt>
                <c:pt idx="464">
                  <c:v>6.8000000000000005E-2</c:v>
                </c:pt>
                <c:pt idx="465">
                  <c:v>6.6000000000000003E-2</c:v>
                </c:pt>
                <c:pt idx="466">
                  <c:v>6.6000000000000003E-2</c:v>
                </c:pt>
                <c:pt idx="467">
                  <c:v>6.3E-2</c:v>
                </c:pt>
                <c:pt idx="468">
                  <c:v>7.2999999999999995E-2</c:v>
                </c:pt>
                <c:pt idx="469">
                  <c:v>7.2000000000000008E-2</c:v>
                </c:pt>
                <c:pt idx="470">
                  <c:v>6.9000000000000006E-2</c:v>
                </c:pt>
                <c:pt idx="471">
                  <c:v>6.2E-2</c:v>
                </c:pt>
                <c:pt idx="472">
                  <c:v>6.0999999999999999E-2</c:v>
                </c:pt>
                <c:pt idx="473">
                  <c:v>6.3E-2</c:v>
                </c:pt>
                <c:pt idx="474">
                  <c:v>6.0999999999999999E-2</c:v>
                </c:pt>
                <c:pt idx="475">
                  <c:v>5.7999999999999996E-2</c:v>
                </c:pt>
                <c:pt idx="476">
                  <c:v>5.7000000000000002E-2</c:v>
                </c:pt>
                <c:pt idx="477">
                  <c:v>5.7000000000000002E-2</c:v>
                </c:pt>
                <c:pt idx="478">
                  <c:v>5.5999999999999994E-2</c:v>
                </c:pt>
                <c:pt idx="479">
                  <c:v>5.4000000000000006E-2</c:v>
                </c:pt>
                <c:pt idx="480">
                  <c:v>6.3E-2</c:v>
                </c:pt>
                <c:pt idx="481">
                  <c:v>6.2E-2</c:v>
                </c:pt>
                <c:pt idx="482">
                  <c:v>5.9000000000000004E-2</c:v>
                </c:pt>
                <c:pt idx="483">
                  <c:v>5.2999999999999999E-2</c:v>
                </c:pt>
                <c:pt idx="484">
                  <c:v>5.4000000000000006E-2</c:v>
                </c:pt>
                <c:pt idx="485">
                  <c:v>5.5E-2</c:v>
                </c:pt>
                <c:pt idx="486">
                  <c:v>5.5E-2</c:v>
                </c:pt>
                <c:pt idx="487">
                  <c:v>5.4000000000000006E-2</c:v>
                </c:pt>
                <c:pt idx="488">
                  <c:v>5.2000000000000005E-2</c:v>
                </c:pt>
                <c:pt idx="489">
                  <c:v>0.05</c:v>
                </c:pt>
                <c:pt idx="490">
                  <c:v>5.2000000000000005E-2</c:v>
                </c:pt>
                <c:pt idx="491">
                  <c:v>0.05</c:v>
                </c:pt>
                <c:pt idx="492">
                  <c:v>0.06</c:v>
                </c:pt>
                <c:pt idx="493">
                  <c:v>5.5999999999999994E-2</c:v>
                </c:pt>
                <c:pt idx="494">
                  <c:v>5.2000000000000005E-2</c:v>
                </c:pt>
                <c:pt idx="495">
                  <c:v>5.0999999999999997E-2</c:v>
                </c:pt>
                <c:pt idx="496">
                  <c:v>0.05</c:v>
                </c:pt>
                <c:pt idx="497">
                  <c:v>5.5E-2</c:v>
                </c:pt>
                <c:pt idx="498">
                  <c:v>5.2999999999999999E-2</c:v>
                </c:pt>
                <c:pt idx="499">
                  <c:v>5.0999999999999997E-2</c:v>
                </c:pt>
                <c:pt idx="500">
                  <c:v>5.0999999999999997E-2</c:v>
                </c:pt>
                <c:pt idx="501">
                  <c:v>0.05</c:v>
                </c:pt>
                <c:pt idx="502">
                  <c:v>5.2000000000000005E-2</c:v>
                </c:pt>
                <c:pt idx="503">
                  <c:v>5.0999999999999997E-2</c:v>
                </c:pt>
                <c:pt idx="504">
                  <c:v>0.06</c:v>
                </c:pt>
                <c:pt idx="505">
                  <c:v>5.9000000000000004E-2</c:v>
                </c:pt>
                <c:pt idx="506">
                  <c:v>5.5E-2</c:v>
                </c:pt>
                <c:pt idx="507">
                  <c:v>5.2999999999999999E-2</c:v>
                </c:pt>
                <c:pt idx="508">
                  <c:v>5.2000000000000005E-2</c:v>
                </c:pt>
                <c:pt idx="509">
                  <c:v>5.4000000000000006E-2</c:v>
                </c:pt>
                <c:pt idx="510">
                  <c:v>5.5999999999999994E-2</c:v>
                </c:pt>
                <c:pt idx="511">
                  <c:v>5.5E-2</c:v>
                </c:pt>
                <c:pt idx="512">
                  <c:v>5.5999999999999994E-2</c:v>
                </c:pt>
                <c:pt idx="513">
                  <c:v>5.5E-2</c:v>
                </c:pt>
                <c:pt idx="514">
                  <c:v>5.9000000000000004E-2</c:v>
                </c:pt>
                <c:pt idx="515">
                  <c:v>0.06</c:v>
                </c:pt>
                <c:pt idx="516">
                  <c:v>7.0999999999999994E-2</c:v>
                </c:pt>
                <c:pt idx="517">
                  <c:v>7.2999999999999995E-2</c:v>
                </c:pt>
                <c:pt idx="518">
                  <c:v>7.2000000000000008E-2</c:v>
                </c:pt>
                <c:pt idx="519">
                  <c:v>6.5000000000000002E-2</c:v>
                </c:pt>
                <c:pt idx="520">
                  <c:v>6.7000000000000004E-2</c:v>
                </c:pt>
                <c:pt idx="521">
                  <c:v>7.0000000000000007E-2</c:v>
                </c:pt>
                <c:pt idx="522">
                  <c:v>6.8000000000000005E-2</c:v>
                </c:pt>
                <c:pt idx="523">
                  <c:v>6.6000000000000003E-2</c:v>
                </c:pt>
                <c:pt idx="524">
                  <c:v>6.5000000000000002E-2</c:v>
                </c:pt>
                <c:pt idx="525">
                  <c:v>6.5000000000000002E-2</c:v>
                </c:pt>
                <c:pt idx="526">
                  <c:v>6.7000000000000004E-2</c:v>
                </c:pt>
                <c:pt idx="527">
                  <c:v>6.9000000000000006E-2</c:v>
                </c:pt>
                <c:pt idx="528">
                  <c:v>8.1000000000000003E-2</c:v>
                </c:pt>
                <c:pt idx="529">
                  <c:v>8.199999999999999E-2</c:v>
                </c:pt>
                <c:pt idx="530">
                  <c:v>7.8E-2</c:v>
                </c:pt>
                <c:pt idx="531">
                  <c:v>7.2000000000000008E-2</c:v>
                </c:pt>
                <c:pt idx="532">
                  <c:v>7.2999999999999995E-2</c:v>
                </c:pt>
                <c:pt idx="533">
                  <c:v>0.08</c:v>
                </c:pt>
                <c:pt idx="534">
                  <c:v>7.6999999999999999E-2</c:v>
                </c:pt>
                <c:pt idx="535">
                  <c:v>7.400000000000001E-2</c:v>
                </c:pt>
                <c:pt idx="536">
                  <c:v>7.2999999999999995E-2</c:v>
                </c:pt>
                <c:pt idx="537">
                  <c:v>6.9000000000000006E-2</c:v>
                </c:pt>
                <c:pt idx="538">
                  <c:v>7.0999999999999994E-2</c:v>
                </c:pt>
                <c:pt idx="539">
                  <c:v>7.0999999999999994E-2</c:v>
                </c:pt>
                <c:pt idx="540">
                  <c:v>0.08</c:v>
                </c:pt>
                <c:pt idx="541">
                  <c:v>7.8E-2</c:v>
                </c:pt>
                <c:pt idx="542">
                  <c:v>7.400000000000001E-2</c:v>
                </c:pt>
                <c:pt idx="543">
                  <c:v>6.9000000000000006E-2</c:v>
                </c:pt>
                <c:pt idx="544">
                  <c:v>6.8000000000000005E-2</c:v>
                </c:pt>
                <c:pt idx="545">
                  <c:v>7.2000000000000008E-2</c:v>
                </c:pt>
                <c:pt idx="546">
                  <c:v>7.0000000000000007E-2</c:v>
                </c:pt>
                <c:pt idx="547">
                  <c:v>6.6000000000000003E-2</c:v>
                </c:pt>
                <c:pt idx="548">
                  <c:v>6.4000000000000001E-2</c:v>
                </c:pt>
                <c:pt idx="549">
                  <c:v>6.4000000000000001E-2</c:v>
                </c:pt>
                <c:pt idx="550">
                  <c:v>6.2E-2</c:v>
                </c:pt>
                <c:pt idx="551">
                  <c:v>6.0999999999999999E-2</c:v>
                </c:pt>
                <c:pt idx="552">
                  <c:v>7.2999999999999995E-2</c:v>
                </c:pt>
                <c:pt idx="553">
                  <c:v>7.0999999999999994E-2</c:v>
                </c:pt>
                <c:pt idx="554">
                  <c:v>6.8000000000000005E-2</c:v>
                </c:pt>
                <c:pt idx="555">
                  <c:v>6.2E-2</c:v>
                </c:pt>
                <c:pt idx="556">
                  <c:v>5.9000000000000004E-2</c:v>
                </c:pt>
                <c:pt idx="557">
                  <c:v>6.2E-2</c:v>
                </c:pt>
                <c:pt idx="558">
                  <c:v>6.2E-2</c:v>
                </c:pt>
                <c:pt idx="559">
                  <c:v>5.9000000000000004E-2</c:v>
                </c:pt>
                <c:pt idx="560">
                  <c:v>5.5999999999999994E-2</c:v>
                </c:pt>
                <c:pt idx="561">
                  <c:v>5.4000000000000006E-2</c:v>
                </c:pt>
                <c:pt idx="562">
                  <c:v>5.2999999999999999E-2</c:v>
                </c:pt>
                <c:pt idx="563">
                  <c:v>5.0999999999999997E-2</c:v>
                </c:pt>
                <c:pt idx="564">
                  <c:v>6.2E-2</c:v>
                </c:pt>
                <c:pt idx="565">
                  <c:v>5.9000000000000004E-2</c:v>
                </c:pt>
                <c:pt idx="566">
                  <c:v>5.7000000000000002E-2</c:v>
                </c:pt>
                <c:pt idx="567">
                  <c:v>5.5999999999999994E-2</c:v>
                </c:pt>
                <c:pt idx="568">
                  <c:v>5.5E-2</c:v>
                </c:pt>
                <c:pt idx="569">
                  <c:v>5.7999999999999996E-2</c:v>
                </c:pt>
                <c:pt idx="570">
                  <c:v>5.9000000000000004E-2</c:v>
                </c:pt>
                <c:pt idx="571">
                  <c:v>5.5999999999999994E-2</c:v>
                </c:pt>
                <c:pt idx="572">
                  <c:v>5.4000000000000006E-2</c:v>
                </c:pt>
                <c:pt idx="573">
                  <c:v>5.2000000000000005E-2</c:v>
                </c:pt>
                <c:pt idx="574">
                  <c:v>5.2999999999999999E-2</c:v>
                </c:pt>
                <c:pt idx="575">
                  <c:v>5.2000000000000005E-2</c:v>
                </c:pt>
                <c:pt idx="576">
                  <c:v>6.3E-2</c:v>
                </c:pt>
                <c:pt idx="577">
                  <c:v>0.06</c:v>
                </c:pt>
                <c:pt idx="578">
                  <c:v>5.7999999999999996E-2</c:v>
                </c:pt>
                <c:pt idx="579">
                  <c:v>5.4000000000000006E-2</c:v>
                </c:pt>
                <c:pt idx="580">
                  <c:v>5.4000000000000006E-2</c:v>
                </c:pt>
                <c:pt idx="581">
                  <c:v>5.5E-2</c:v>
                </c:pt>
                <c:pt idx="582">
                  <c:v>5.5999999999999994E-2</c:v>
                </c:pt>
                <c:pt idx="583">
                  <c:v>5.0999999999999997E-2</c:v>
                </c:pt>
                <c:pt idx="584">
                  <c:v>0.05</c:v>
                </c:pt>
                <c:pt idx="585">
                  <c:v>4.9000000000000002E-2</c:v>
                </c:pt>
                <c:pt idx="586">
                  <c:v>0.05</c:v>
                </c:pt>
                <c:pt idx="587">
                  <c:v>0.05</c:v>
                </c:pt>
                <c:pt idx="588">
                  <c:v>5.9000000000000004E-2</c:v>
                </c:pt>
                <c:pt idx="589">
                  <c:v>5.7000000000000002E-2</c:v>
                </c:pt>
                <c:pt idx="590">
                  <c:v>5.5E-2</c:v>
                </c:pt>
                <c:pt idx="591">
                  <c:v>4.8000000000000001E-2</c:v>
                </c:pt>
                <c:pt idx="592">
                  <c:v>4.7E-2</c:v>
                </c:pt>
                <c:pt idx="593">
                  <c:v>5.2000000000000005E-2</c:v>
                </c:pt>
                <c:pt idx="594">
                  <c:v>0.05</c:v>
                </c:pt>
                <c:pt idx="595">
                  <c:v>4.8000000000000001E-2</c:v>
                </c:pt>
                <c:pt idx="596">
                  <c:v>4.7E-2</c:v>
                </c:pt>
                <c:pt idx="597">
                  <c:v>4.4000000000000004E-2</c:v>
                </c:pt>
                <c:pt idx="598">
                  <c:v>4.2999999999999997E-2</c:v>
                </c:pt>
                <c:pt idx="599">
                  <c:v>4.4000000000000004E-2</c:v>
                </c:pt>
                <c:pt idx="600">
                  <c:v>5.2000000000000005E-2</c:v>
                </c:pt>
                <c:pt idx="601">
                  <c:v>0.05</c:v>
                </c:pt>
                <c:pt idx="602">
                  <c:v>0.05</c:v>
                </c:pt>
                <c:pt idx="603">
                  <c:v>4.0999999999999995E-2</c:v>
                </c:pt>
                <c:pt idx="604">
                  <c:v>4.2000000000000003E-2</c:v>
                </c:pt>
                <c:pt idx="605">
                  <c:v>4.7E-2</c:v>
                </c:pt>
                <c:pt idx="606">
                  <c:v>4.7E-2</c:v>
                </c:pt>
                <c:pt idx="607">
                  <c:v>4.4999999999999998E-2</c:v>
                </c:pt>
                <c:pt idx="608">
                  <c:v>4.4000000000000004E-2</c:v>
                </c:pt>
                <c:pt idx="609">
                  <c:v>4.2000000000000003E-2</c:v>
                </c:pt>
                <c:pt idx="610">
                  <c:v>4.0999999999999995E-2</c:v>
                </c:pt>
                <c:pt idx="611">
                  <c:v>0.04</c:v>
                </c:pt>
                <c:pt idx="612">
                  <c:v>4.8000000000000001E-2</c:v>
                </c:pt>
                <c:pt idx="613">
                  <c:v>4.7E-2</c:v>
                </c:pt>
                <c:pt idx="614">
                  <c:v>4.4000000000000004E-2</c:v>
                </c:pt>
                <c:pt idx="615">
                  <c:v>4.0999999999999995E-2</c:v>
                </c:pt>
                <c:pt idx="616">
                  <c:v>0.04</c:v>
                </c:pt>
                <c:pt idx="617">
                  <c:v>4.4999999999999998E-2</c:v>
                </c:pt>
                <c:pt idx="618">
                  <c:v>4.4999999999999998E-2</c:v>
                </c:pt>
                <c:pt idx="619">
                  <c:v>4.2000000000000003E-2</c:v>
                </c:pt>
                <c:pt idx="620">
                  <c:v>4.0999999999999995E-2</c:v>
                </c:pt>
                <c:pt idx="621">
                  <c:v>3.7999999999999999E-2</c:v>
                </c:pt>
                <c:pt idx="622">
                  <c:v>3.7999999999999999E-2</c:v>
                </c:pt>
                <c:pt idx="623">
                  <c:v>3.7000000000000005E-2</c:v>
                </c:pt>
                <c:pt idx="624">
                  <c:v>4.4999999999999998E-2</c:v>
                </c:pt>
                <c:pt idx="625">
                  <c:v>4.4000000000000004E-2</c:v>
                </c:pt>
                <c:pt idx="626">
                  <c:v>4.2999999999999997E-2</c:v>
                </c:pt>
                <c:pt idx="627">
                  <c:v>3.7000000000000005E-2</c:v>
                </c:pt>
                <c:pt idx="628">
                  <c:v>3.7999999999999999E-2</c:v>
                </c:pt>
                <c:pt idx="629">
                  <c:v>4.0999999999999995E-2</c:v>
                </c:pt>
                <c:pt idx="630">
                  <c:v>4.2000000000000003E-2</c:v>
                </c:pt>
                <c:pt idx="631">
                  <c:v>4.0999999999999995E-2</c:v>
                </c:pt>
                <c:pt idx="632">
                  <c:v>3.7999999999999999E-2</c:v>
                </c:pt>
                <c:pt idx="633">
                  <c:v>3.6000000000000004E-2</c:v>
                </c:pt>
                <c:pt idx="634">
                  <c:v>3.7000000000000005E-2</c:v>
                </c:pt>
                <c:pt idx="635">
                  <c:v>3.7000000000000005E-2</c:v>
                </c:pt>
                <c:pt idx="636">
                  <c:v>4.7E-2</c:v>
                </c:pt>
                <c:pt idx="637">
                  <c:v>4.5999999999999999E-2</c:v>
                </c:pt>
                <c:pt idx="638">
                  <c:v>4.4999999999999998E-2</c:v>
                </c:pt>
                <c:pt idx="639">
                  <c:v>4.2000000000000003E-2</c:v>
                </c:pt>
                <c:pt idx="640">
                  <c:v>4.0999999999999995E-2</c:v>
                </c:pt>
                <c:pt idx="641">
                  <c:v>4.7E-2</c:v>
                </c:pt>
                <c:pt idx="642">
                  <c:v>4.7E-2</c:v>
                </c:pt>
                <c:pt idx="643">
                  <c:v>4.9000000000000002E-2</c:v>
                </c:pt>
                <c:pt idx="644">
                  <c:v>4.7E-2</c:v>
                </c:pt>
                <c:pt idx="645">
                  <c:v>0.05</c:v>
                </c:pt>
                <c:pt idx="646">
                  <c:v>5.2999999999999999E-2</c:v>
                </c:pt>
                <c:pt idx="647">
                  <c:v>5.4000000000000006E-2</c:v>
                </c:pt>
                <c:pt idx="648">
                  <c:v>6.3E-2</c:v>
                </c:pt>
                <c:pt idx="649">
                  <c:v>6.0999999999999999E-2</c:v>
                </c:pt>
                <c:pt idx="650">
                  <c:v>6.0999999999999999E-2</c:v>
                </c:pt>
                <c:pt idx="651">
                  <c:v>5.7000000000000002E-2</c:v>
                </c:pt>
                <c:pt idx="652">
                  <c:v>5.5E-2</c:v>
                </c:pt>
                <c:pt idx="653">
                  <c:v>0.06</c:v>
                </c:pt>
                <c:pt idx="654">
                  <c:v>5.9000000000000004E-2</c:v>
                </c:pt>
                <c:pt idx="655">
                  <c:v>5.7000000000000002E-2</c:v>
                </c:pt>
                <c:pt idx="656">
                  <c:v>5.4000000000000006E-2</c:v>
                </c:pt>
                <c:pt idx="657">
                  <c:v>5.2999999999999999E-2</c:v>
                </c:pt>
                <c:pt idx="658">
                  <c:v>5.5999999999999994E-2</c:v>
                </c:pt>
                <c:pt idx="659">
                  <c:v>5.7000000000000002E-2</c:v>
                </c:pt>
                <c:pt idx="660">
                  <c:v>6.5000000000000002E-2</c:v>
                </c:pt>
                <c:pt idx="661">
                  <c:v>6.4000000000000001E-2</c:v>
                </c:pt>
                <c:pt idx="662">
                  <c:v>6.2E-2</c:v>
                </c:pt>
                <c:pt idx="663">
                  <c:v>5.7999999999999996E-2</c:v>
                </c:pt>
                <c:pt idx="664">
                  <c:v>5.7999999999999996E-2</c:v>
                </c:pt>
                <c:pt idx="665">
                  <c:v>6.5000000000000002E-2</c:v>
                </c:pt>
                <c:pt idx="666">
                  <c:v>6.3E-2</c:v>
                </c:pt>
                <c:pt idx="667">
                  <c:v>0.06</c:v>
                </c:pt>
                <c:pt idx="668">
                  <c:v>5.7999999999999996E-2</c:v>
                </c:pt>
                <c:pt idx="669">
                  <c:v>5.5999999999999994E-2</c:v>
                </c:pt>
                <c:pt idx="670">
                  <c:v>5.5999999999999994E-2</c:v>
                </c:pt>
                <c:pt idx="671">
                  <c:v>5.4000000000000006E-2</c:v>
                </c:pt>
                <c:pt idx="672">
                  <c:v>6.3E-2</c:v>
                </c:pt>
                <c:pt idx="673">
                  <c:v>0.06</c:v>
                </c:pt>
                <c:pt idx="674">
                  <c:v>0.06</c:v>
                </c:pt>
                <c:pt idx="675">
                  <c:v>5.4000000000000006E-2</c:v>
                </c:pt>
                <c:pt idx="676">
                  <c:v>5.2999999999999999E-2</c:v>
                </c:pt>
                <c:pt idx="677">
                  <c:v>5.7999999999999996E-2</c:v>
                </c:pt>
                <c:pt idx="678">
                  <c:v>5.7000000000000002E-2</c:v>
                </c:pt>
                <c:pt idx="679">
                  <c:v>5.4000000000000006E-2</c:v>
                </c:pt>
                <c:pt idx="680">
                  <c:v>5.0999999999999997E-2</c:v>
                </c:pt>
                <c:pt idx="681">
                  <c:v>5.0999999999999997E-2</c:v>
                </c:pt>
                <c:pt idx="682">
                  <c:v>5.2000000000000005E-2</c:v>
                </c:pt>
                <c:pt idx="683">
                  <c:v>5.0999999999999997E-2</c:v>
                </c:pt>
                <c:pt idx="684">
                  <c:v>5.7000000000000002E-2</c:v>
                </c:pt>
                <c:pt idx="685">
                  <c:v>5.7999999999999996E-2</c:v>
                </c:pt>
                <c:pt idx="686">
                  <c:v>5.4000000000000006E-2</c:v>
                </c:pt>
                <c:pt idx="687">
                  <c:v>4.9000000000000002E-2</c:v>
                </c:pt>
                <c:pt idx="688">
                  <c:v>4.9000000000000002E-2</c:v>
                </c:pt>
                <c:pt idx="689">
                  <c:v>5.2000000000000005E-2</c:v>
                </c:pt>
                <c:pt idx="690">
                  <c:v>5.2000000000000005E-2</c:v>
                </c:pt>
                <c:pt idx="691">
                  <c:v>4.9000000000000002E-2</c:v>
                </c:pt>
                <c:pt idx="692">
                  <c:v>4.8000000000000001E-2</c:v>
                </c:pt>
                <c:pt idx="693">
                  <c:v>4.5999999999999999E-2</c:v>
                </c:pt>
                <c:pt idx="694">
                  <c:v>4.8000000000000001E-2</c:v>
                </c:pt>
                <c:pt idx="695">
                  <c:v>4.5999999999999999E-2</c:v>
                </c:pt>
                <c:pt idx="696">
                  <c:v>5.0999999999999997E-2</c:v>
                </c:pt>
                <c:pt idx="697">
                  <c:v>5.0999999999999997E-2</c:v>
                </c:pt>
                <c:pt idx="698">
                  <c:v>4.8000000000000001E-2</c:v>
                </c:pt>
                <c:pt idx="699">
                  <c:v>4.4999999999999998E-2</c:v>
                </c:pt>
                <c:pt idx="700">
                  <c:v>4.4000000000000004E-2</c:v>
                </c:pt>
                <c:pt idx="701">
                  <c:v>4.8000000000000001E-2</c:v>
                </c:pt>
                <c:pt idx="702">
                  <c:v>0.05</c:v>
                </c:pt>
                <c:pt idx="703">
                  <c:v>4.5999999999999999E-2</c:v>
                </c:pt>
                <c:pt idx="704">
                  <c:v>4.4000000000000004E-2</c:v>
                </c:pt>
                <c:pt idx="705">
                  <c:v>4.0999999999999995E-2</c:v>
                </c:pt>
                <c:pt idx="706">
                  <c:v>4.2999999999999997E-2</c:v>
                </c:pt>
                <c:pt idx="707">
                  <c:v>4.2999999999999997E-2</c:v>
                </c:pt>
                <c:pt idx="708">
                  <c:v>0.05</c:v>
                </c:pt>
                <c:pt idx="709">
                  <c:v>4.9000000000000002E-2</c:v>
                </c:pt>
                <c:pt idx="710">
                  <c:v>4.4999999999999998E-2</c:v>
                </c:pt>
                <c:pt idx="711">
                  <c:v>4.2999999999999997E-2</c:v>
                </c:pt>
                <c:pt idx="712">
                  <c:v>4.2999999999999997E-2</c:v>
                </c:pt>
                <c:pt idx="713">
                  <c:v>4.7E-2</c:v>
                </c:pt>
                <c:pt idx="714">
                  <c:v>4.9000000000000002E-2</c:v>
                </c:pt>
                <c:pt idx="715">
                  <c:v>4.5999999999999999E-2</c:v>
                </c:pt>
                <c:pt idx="716">
                  <c:v>4.4999999999999998E-2</c:v>
                </c:pt>
                <c:pt idx="717">
                  <c:v>4.4000000000000004E-2</c:v>
                </c:pt>
                <c:pt idx="718">
                  <c:v>4.4999999999999998E-2</c:v>
                </c:pt>
                <c:pt idx="719">
                  <c:v>4.8000000000000001E-2</c:v>
                </c:pt>
                <c:pt idx="720">
                  <c:v>5.4000000000000006E-2</c:v>
                </c:pt>
                <c:pt idx="721">
                  <c:v>5.2000000000000005E-2</c:v>
                </c:pt>
                <c:pt idx="722">
                  <c:v>5.2000000000000005E-2</c:v>
                </c:pt>
                <c:pt idx="723">
                  <c:v>4.8000000000000001E-2</c:v>
                </c:pt>
                <c:pt idx="724">
                  <c:v>5.2000000000000005E-2</c:v>
                </c:pt>
                <c:pt idx="725">
                  <c:v>5.7000000000000002E-2</c:v>
                </c:pt>
                <c:pt idx="726">
                  <c:v>0.06</c:v>
                </c:pt>
                <c:pt idx="727">
                  <c:v>6.0999999999999999E-2</c:v>
                </c:pt>
                <c:pt idx="728">
                  <c:v>0.06</c:v>
                </c:pt>
                <c:pt idx="729">
                  <c:v>6.0999999999999999E-2</c:v>
                </c:pt>
                <c:pt idx="730">
                  <c:v>6.5000000000000002E-2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8.900000000000001E-2</c:v>
                </c:pt>
                <c:pt idx="734">
                  <c:v>0.09</c:v>
                </c:pt>
                <c:pt idx="735">
                  <c:v>8.5999999999999993E-2</c:v>
                </c:pt>
                <c:pt idx="736">
                  <c:v>9.0999999999999998E-2</c:v>
                </c:pt>
                <c:pt idx="737">
                  <c:v>9.6999999999999989E-2</c:v>
                </c:pt>
                <c:pt idx="738">
                  <c:v>9.6999999999999989E-2</c:v>
                </c:pt>
                <c:pt idx="739">
                  <c:v>9.6000000000000002E-2</c:v>
                </c:pt>
                <c:pt idx="740">
                  <c:v>9.5000000000000001E-2</c:v>
                </c:pt>
                <c:pt idx="741">
                  <c:v>9.5000000000000001E-2</c:v>
                </c:pt>
                <c:pt idx="742">
                  <c:v>9.4E-2</c:v>
                </c:pt>
                <c:pt idx="743">
                  <c:v>9.6999999999999989E-2</c:v>
                </c:pt>
                <c:pt idx="744">
                  <c:v>0.106</c:v>
                </c:pt>
                <c:pt idx="745">
                  <c:v>0.10400000000000001</c:v>
                </c:pt>
                <c:pt idx="746">
                  <c:v>0.10199999999999999</c:v>
                </c:pt>
                <c:pt idx="747">
                  <c:v>9.5000000000000001E-2</c:v>
                </c:pt>
                <c:pt idx="748">
                  <c:v>9.3000000000000013E-2</c:v>
                </c:pt>
                <c:pt idx="749">
                  <c:v>9.6000000000000002E-2</c:v>
                </c:pt>
                <c:pt idx="750">
                  <c:v>9.6999999999999989E-2</c:v>
                </c:pt>
                <c:pt idx="751">
                  <c:v>9.5000000000000001E-2</c:v>
                </c:pt>
                <c:pt idx="752">
                  <c:v>9.1999999999999998E-2</c:v>
                </c:pt>
                <c:pt idx="753">
                  <c:v>0.09</c:v>
                </c:pt>
                <c:pt idx="754">
                  <c:v>9.3000000000000013E-2</c:v>
                </c:pt>
                <c:pt idx="755">
                  <c:v>9.0999999999999998E-2</c:v>
                </c:pt>
                <c:pt idx="756">
                  <c:v>9.8000000000000004E-2</c:v>
                </c:pt>
                <c:pt idx="757">
                  <c:v>9.5000000000000001E-2</c:v>
                </c:pt>
                <c:pt idx="758">
                  <c:v>9.1999999999999998E-2</c:v>
                </c:pt>
                <c:pt idx="759">
                  <c:v>8.6999999999999994E-2</c:v>
                </c:pt>
                <c:pt idx="760">
                  <c:v>8.6999999999999994E-2</c:v>
                </c:pt>
                <c:pt idx="761">
                  <c:v>9.3000000000000013E-2</c:v>
                </c:pt>
                <c:pt idx="762">
                  <c:v>9.3000000000000013E-2</c:v>
                </c:pt>
                <c:pt idx="763">
                  <c:v>9.0999999999999998E-2</c:v>
                </c:pt>
                <c:pt idx="764">
                  <c:v>8.8000000000000009E-2</c:v>
                </c:pt>
                <c:pt idx="765">
                  <c:v>8.5000000000000006E-2</c:v>
                </c:pt>
                <c:pt idx="766">
                  <c:v>8.199999999999999E-2</c:v>
                </c:pt>
                <c:pt idx="767">
                  <c:v>8.3000000000000004E-2</c:v>
                </c:pt>
                <c:pt idx="768">
                  <c:v>8.8000000000000009E-2</c:v>
                </c:pt>
                <c:pt idx="769">
                  <c:v>8.6999999999999994E-2</c:v>
                </c:pt>
                <c:pt idx="770">
                  <c:v>8.4000000000000005E-2</c:v>
                </c:pt>
                <c:pt idx="771">
                  <c:v>7.6999999999999999E-2</c:v>
                </c:pt>
                <c:pt idx="772">
                  <c:v>7.9000000000000001E-2</c:v>
                </c:pt>
                <c:pt idx="773">
                  <c:v>8.4000000000000005E-2</c:v>
                </c:pt>
                <c:pt idx="774">
                  <c:v>8.5999999999999993E-2</c:v>
                </c:pt>
                <c:pt idx="775">
                  <c:v>8.199999999999999E-2</c:v>
                </c:pt>
                <c:pt idx="776">
                  <c:v>7.5999999999999998E-2</c:v>
                </c:pt>
                <c:pt idx="777">
                  <c:v>7.4999999999999997E-2</c:v>
                </c:pt>
                <c:pt idx="778">
                  <c:v>7.400000000000001E-2</c:v>
                </c:pt>
                <c:pt idx="779">
                  <c:v>7.5999999999999998E-2</c:v>
                </c:pt>
                <c:pt idx="780">
                  <c:v>8.5000000000000006E-2</c:v>
                </c:pt>
                <c:pt idx="781">
                  <c:v>8.1000000000000003E-2</c:v>
                </c:pt>
                <c:pt idx="782">
                  <c:v>7.5999999999999998E-2</c:v>
                </c:pt>
                <c:pt idx="783">
                  <c:v>7.0999999999999994E-2</c:v>
                </c:pt>
                <c:pt idx="784">
                  <c:v>7.2999999999999995E-2</c:v>
                </c:pt>
                <c:pt idx="785">
                  <c:v>7.8E-2</c:v>
                </c:pt>
                <c:pt idx="786">
                  <c:v>7.6999999999999999E-2</c:v>
                </c:pt>
                <c:pt idx="787">
                  <c:v>7.2999999999999995E-2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6.6000000000000003E-2</c:v>
                </c:pt>
                <c:pt idx="791">
                  <c:v>6.5000000000000002E-2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6.8000000000000005E-2</c:v>
                </c:pt>
                <c:pt idx="795">
                  <c:v>5.9000000000000004E-2</c:v>
                </c:pt>
                <c:pt idx="796">
                  <c:v>6.0999999999999999E-2</c:v>
                </c:pt>
                <c:pt idx="797">
                  <c:v>6.3E-2</c:v>
                </c:pt>
                <c:pt idx="798">
                  <c:v>6.5000000000000002E-2</c:v>
                </c:pt>
                <c:pt idx="799">
                  <c:v>6.3E-2</c:v>
                </c:pt>
                <c:pt idx="800">
                  <c:v>5.7000000000000002E-2</c:v>
                </c:pt>
                <c:pt idx="801">
                  <c:v>5.5E-2</c:v>
                </c:pt>
                <c:pt idx="802">
                  <c:v>5.5E-2</c:v>
                </c:pt>
                <c:pt idx="803">
                  <c:v>5.4000000000000006E-2</c:v>
                </c:pt>
                <c:pt idx="804">
                  <c:v>6.0999999999999999E-2</c:v>
                </c:pt>
                <c:pt idx="805">
                  <c:v>5.7999999999999996E-2</c:v>
                </c:pt>
                <c:pt idx="806">
                  <c:v>5.5999999999999994E-2</c:v>
                </c:pt>
                <c:pt idx="807">
                  <c:v>5.0999999999999997E-2</c:v>
                </c:pt>
                <c:pt idx="808">
                  <c:v>5.2999999999999999E-2</c:v>
                </c:pt>
                <c:pt idx="809">
                  <c:v>5.5E-2</c:v>
                </c:pt>
                <c:pt idx="810">
                  <c:v>5.5999999999999994E-2</c:v>
                </c:pt>
                <c:pt idx="811">
                  <c:v>5.2000000000000005E-2</c:v>
                </c:pt>
                <c:pt idx="812">
                  <c:v>4.9000000000000002E-2</c:v>
                </c:pt>
                <c:pt idx="813">
                  <c:v>4.8000000000000001E-2</c:v>
                </c:pt>
                <c:pt idx="814">
                  <c:v>4.8000000000000001E-2</c:v>
                </c:pt>
                <c:pt idx="815">
                  <c:v>4.8000000000000001E-2</c:v>
                </c:pt>
                <c:pt idx="816">
                  <c:v>5.2999999999999999E-2</c:v>
                </c:pt>
                <c:pt idx="817">
                  <c:v>5.2000000000000005E-2</c:v>
                </c:pt>
                <c:pt idx="818">
                  <c:v>5.0999999999999997E-2</c:v>
                </c:pt>
                <c:pt idx="819">
                  <c:v>4.7E-2</c:v>
                </c:pt>
                <c:pt idx="820">
                  <c:v>4.4999999999999998E-2</c:v>
                </c:pt>
                <c:pt idx="821">
                  <c:v>5.0999999999999997E-2</c:v>
                </c:pt>
                <c:pt idx="822">
                  <c:v>5.0999999999999997E-2</c:v>
                </c:pt>
                <c:pt idx="823">
                  <c:v>0.05</c:v>
                </c:pt>
                <c:pt idx="824">
                  <c:v>4.8000000000000001E-2</c:v>
                </c:pt>
                <c:pt idx="825">
                  <c:v>4.7E-2</c:v>
                </c:pt>
                <c:pt idx="826">
                  <c:v>4.4000000000000004E-2</c:v>
                </c:pt>
                <c:pt idx="827">
                  <c:v>4.4999999999999998E-2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89-42A1-BDC2-FAF562350634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Seasonally Adjusted Unemployment</c:v>
                </c:pt>
              </c:strCache>
            </c:strRef>
          </c:tx>
          <c:spPr>
            <a:ln w="381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Data'!$D$2:$D$830</c:f>
              <c:numCache>
                <c:formatCode>0%</c:formatCode>
                <c:ptCount val="829"/>
                <c:pt idx="0">
                  <c:v>3.3612318840579629E-2</c:v>
                </c:pt>
                <c:pt idx="1">
                  <c:v>4.0713768115942073E-2</c:v>
                </c:pt>
                <c:pt idx="2">
                  <c:v>4.1452898550724641E-2</c:v>
                </c:pt>
                <c:pt idx="3">
                  <c:v>4.1554347826086975E-2</c:v>
                </c:pt>
                <c:pt idx="4">
                  <c:v>3.7003623188405839E-2</c:v>
                </c:pt>
                <c:pt idx="5">
                  <c:v>3.5974637681159466E-2</c:v>
                </c:pt>
                <c:pt idx="6">
                  <c:v>3.7554347826087006E-2</c:v>
                </c:pt>
                <c:pt idx="7">
                  <c:v>3.7583333333333351E-2</c:v>
                </c:pt>
                <c:pt idx="8">
                  <c:v>3.7336956521739149E-2</c:v>
                </c:pt>
                <c:pt idx="9">
                  <c:v>3.398913043478257E-2</c:v>
                </c:pt>
                <c:pt idx="10">
                  <c:v>3.6322463768115966E-2</c:v>
                </c:pt>
                <c:pt idx="11">
                  <c:v>3.8902173913043452E-2</c:v>
                </c:pt>
                <c:pt idx="12">
                  <c:v>4.3612318840579631E-2</c:v>
                </c:pt>
                <c:pt idx="13">
                  <c:v>5.1713768115942069E-2</c:v>
                </c:pt>
                <c:pt idx="14">
                  <c:v>5.2452898550724637E-2</c:v>
                </c:pt>
                <c:pt idx="15">
                  <c:v>5.5554347826086981E-2</c:v>
                </c:pt>
                <c:pt idx="16">
                  <c:v>6.0003623188405839E-2</c:v>
                </c:pt>
                <c:pt idx="17">
                  <c:v>6.0974637681159467E-2</c:v>
                </c:pt>
                <c:pt idx="18">
                  <c:v>6.855434782608702E-2</c:v>
                </c:pt>
                <c:pt idx="19">
                  <c:v>6.4583333333333354E-2</c:v>
                </c:pt>
                <c:pt idx="20">
                  <c:v>6.2336956521739151E-2</c:v>
                </c:pt>
                <c:pt idx="21">
                  <c:v>6.5989130434782578E-2</c:v>
                </c:pt>
                <c:pt idx="22">
                  <c:v>6.0322463768115966E-2</c:v>
                </c:pt>
                <c:pt idx="23">
                  <c:v>6.2902173913043452E-2</c:v>
                </c:pt>
                <c:pt idx="24">
                  <c:v>6.9612318840579626E-2</c:v>
                </c:pt>
                <c:pt idx="25">
                  <c:v>7.2713768115942073E-2</c:v>
                </c:pt>
                <c:pt idx="26">
                  <c:v>6.7452898550724644E-2</c:v>
                </c:pt>
                <c:pt idx="27">
                  <c:v>6.1554347826086972E-2</c:v>
                </c:pt>
                <c:pt idx="28">
                  <c:v>5.6003623188405835E-2</c:v>
                </c:pt>
                <c:pt idx="29">
                  <c:v>5.297463768115946E-2</c:v>
                </c:pt>
                <c:pt idx="30">
                  <c:v>5.1554347826087005E-2</c:v>
                </c:pt>
                <c:pt idx="31">
                  <c:v>4.2583333333333341E-2</c:v>
                </c:pt>
                <c:pt idx="32">
                  <c:v>4.3336956521739148E-2</c:v>
                </c:pt>
                <c:pt idx="33">
                  <c:v>3.7989130434782574E-2</c:v>
                </c:pt>
                <c:pt idx="34">
                  <c:v>4.1322463768115963E-2</c:v>
                </c:pt>
                <c:pt idx="35">
                  <c:v>4.1902173913043447E-2</c:v>
                </c:pt>
                <c:pt idx="36">
                  <c:v>3.7612318840579632E-2</c:v>
                </c:pt>
                <c:pt idx="37">
                  <c:v>3.5713768115942075E-2</c:v>
                </c:pt>
                <c:pt idx="38">
                  <c:v>3.4452898550724642E-2</c:v>
                </c:pt>
                <c:pt idx="39">
                  <c:v>3.3554347826086975E-2</c:v>
                </c:pt>
                <c:pt idx="40">
                  <c:v>3.2003623188405834E-2</c:v>
                </c:pt>
                <c:pt idx="41">
                  <c:v>3.0974637681159468E-2</c:v>
                </c:pt>
                <c:pt idx="42">
                  <c:v>3.1554347826087008E-2</c:v>
                </c:pt>
                <c:pt idx="43">
                  <c:v>3.0583333333333344E-2</c:v>
                </c:pt>
                <c:pt idx="44">
                  <c:v>3.3336956521739146E-2</c:v>
                </c:pt>
                <c:pt idx="45">
                  <c:v>3.298913043478257E-2</c:v>
                </c:pt>
                <c:pt idx="46">
                  <c:v>3.5322463768115965E-2</c:v>
                </c:pt>
                <c:pt idx="47">
                  <c:v>3.1902173913043445E-2</c:v>
                </c:pt>
                <c:pt idx="48">
                  <c:v>3.0612318840579633E-2</c:v>
                </c:pt>
                <c:pt idx="49">
                  <c:v>3.1713768115942072E-2</c:v>
                </c:pt>
                <c:pt idx="50">
                  <c:v>2.9452898550724645E-2</c:v>
                </c:pt>
                <c:pt idx="51">
                  <c:v>3.1554347826086973E-2</c:v>
                </c:pt>
                <c:pt idx="52">
                  <c:v>3.2003623188405834E-2</c:v>
                </c:pt>
                <c:pt idx="53">
                  <c:v>2.8974637681159467E-2</c:v>
                </c:pt>
                <c:pt idx="54">
                  <c:v>3.1554347826087008E-2</c:v>
                </c:pt>
                <c:pt idx="55">
                  <c:v>3.2583333333333346E-2</c:v>
                </c:pt>
                <c:pt idx="56">
                  <c:v>3.033695652173915E-2</c:v>
                </c:pt>
                <c:pt idx="57">
                  <c:v>2.8989130434782573E-2</c:v>
                </c:pt>
                <c:pt idx="58">
                  <c:v>2.8322463768115966E-2</c:v>
                </c:pt>
                <c:pt idx="59">
                  <c:v>2.7902173913043449E-2</c:v>
                </c:pt>
                <c:pt idx="60">
                  <c:v>2.761231884057963E-2</c:v>
                </c:pt>
                <c:pt idx="61">
                  <c:v>2.5713768115942073E-2</c:v>
                </c:pt>
                <c:pt idx="62">
                  <c:v>2.5452898550724641E-2</c:v>
                </c:pt>
                <c:pt idx="63">
                  <c:v>2.9554347826086971E-2</c:v>
                </c:pt>
                <c:pt idx="64">
                  <c:v>2.8003623188405838E-2</c:v>
                </c:pt>
                <c:pt idx="65">
                  <c:v>2.3974637681159469E-2</c:v>
                </c:pt>
                <c:pt idx="66">
                  <c:v>2.5554347826087009E-2</c:v>
                </c:pt>
                <c:pt idx="67">
                  <c:v>2.5583333333333347E-2</c:v>
                </c:pt>
                <c:pt idx="68">
                  <c:v>2.9336956521739149E-2</c:v>
                </c:pt>
                <c:pt idx="69">
                  <c:v>2.9989130434782574E-2</c:v>
                </c:pt>
                <c:pt idx="70">
                  <c:v>3.5322463768115965E-2</c:v>
                </c:pt>
                <c:pt idx="71">
                  <c:v>4.490217391304345E-2</c:v>
                </c:pt>
                <c:pt idx="72">
                  <c:v>5.061231884057963E-2</c:v>
                </c:pt>
                <c:pt idx="73">
                  <c:v>5.6713768115942073E-2</c:v>
                </c:pt>
                <c:pt idx="74">
                  <c:v>6.0452898550724644E-2</c:v>
                </c:pt>
                <c:pt idx="75">
                  <c:v>6.2554347826086973E-2</c:v>
                </c:pt>
                <c:pt idx="76">
                  <c:v>6.0003623188405839E-2</c:v>
                </c:pt>
                <c:pt idx="77">
                  <c:v>5.3974637681159468E-2</c:v>
                </c:pt>
                <c:pt idx="78">
                  <c:v>5.5554347826087008E-2</c:v>
                </c:pt>
                <c:pt idx="79">
                  <c:v>5.5583333333333353E-2</c:v>
                </c:pt>
                <c:pt idx="80">
                  <c:v>5.6336956521739145E-2</c:v>
                </c:pt>
                <c:pt idx="81">
                  <c:v>5.0989130434782572E-2</c:v>
                </c:pt>
                <c:pt idx="82">
                  <c:v>5.2322463768115966E-2</c:v>
                </c:pt>
                <c:pt idx="83">
                  <c:v>5.0902173913043448E-2</c:v>
                </c:pt>
                <c:pt idx="84">
                  <c:v>5.1612318840579624E-2</c:v>
                </c:pt>
                <c:pt idx="85">
                  <c:v>5.0713768115942075E-2</c:v>
                </c:pt>
                <c:pt idx="86">
                  <c:v>4.8452898550724648E-2</c:v>
                </c:pt>
                <c:pt idx="87">
                  <c:v>5.0554347826086976E-2</c:v>
                </c:pt>
                <c:pt idx="88">
                  <c:v>4.5003623188405839E-2</c:v>
                </c:pt>
                <c:pt idx="89">
                  <c:v>4.097463768115947E-2</c:v>
                </c:pt>
                <c:pt idx="90">
                  <c:v>3.8554347826087007E-2</c:v>
                </c:pt>
                <c:pt idx="91">
                  <c:v>3.9583333333333345E-2</c:v>
                </c:pt>
                <c:pt idx="92">
                  <c:v>3.833695652173915E-2</c:v>
                </c:pt>
                <c:pt idx="93">
                  <c:v>3.8989130434782575E-2</c:v>
                </c:pt>
                <c:pt idx="94">
                  <c:v>4.1322463768115963E-2</c:v>
                </c:pt>
                <c:pt idx="95">
                  <c:v>4.1902173913043447E-2</c:v>
                </c:pt>
                <c:pt idx="96">
                  <c:v>4.0612318840579628E-2</c:v>
                </c:pt>
                <c:pt idx="97">
                  <c:v>4.1713768115942074E-2</c:v>
                </c:pt>
                <c:pt idx="98">
                  <c:v>4.3452898550724643E-2</c:v>
                </c:pt>
                <c:pt idx="99">
                  <c:v>4.2554347826086969E-2</c:v>
                </c:pt>
                <c:pt idx="100">
                  <c:v>4.5003623188405839E-2</c:v>
                </c:pt>
                <c:pt idx="101">
                  <c:v>4.3974637681159466E-2</c:v>
                </c:pt>
                <c:pt idx="102">
                  <c:v>4.2554347826087011E-2</c:v>
                </c:pt>
                <c:pt idx="103">
                  <c:v>3.8583333333333351E-2</c:v>
                </c:pt>
                <c:pt idx="104">
                  <c:v>3.7336956521739149E-2</c:v>
                </c:pt>
                <c:pt idx="105">
                  <c:v>3.5989130434782572E-2</c:v>
                </c:pt>
                <c:pt idx="106">
                  <c:v>4.2322463768115964E-2</c:v>
                </c:pt>
                <c:pt idx="107">
                  <c:v>4.2902173913043448E-2</c:v>
                </c:pt>
                <c:pt idx="108">
                  <c:v>4.261231884057963E-2</c:v>
                </c:pt>
                <c:pt idx="109">
                  <c:v>4.0713768115942073E-2</c:v>
                </c:pt>
                <c:pt idx="110">
                  <c:v>3.945289855072464E-2</c:v>
                </c:pt>
                <c:pt idx="111">
                  <c:v>4.1554347826086975E-2</c:v>
                </c:pt>
                <c:pt idx="112">
                  <c:v>4.2003623188405836E-2</c:v>
                </c:pt>
                <c:pt idx="113">
                  <c:v>4.2974637681159465E-2</c:v>
                </c:pt>
                <c:pt idx="114">
                  <c:v>3.9554347826087001E-2</c:v>
                </c:pt>
                <c:pt idx="115">
                  <c:v>3.8583333333333351E-2</c:v>
                </c:pt>
                <c:pt idx="116">
                  <c:v>4.0336956521739152E-2</c:v>
                </c:pt>
                <c:pt idx="117">
                  <c:v>4.0989130434782577E-2</c:v>
                </c:pt>
                <c:pt idx="118">
                  <c:v>4.9322463768115964E-2</c:v>
                </c:pt>
                <c:pt idx="119">
                  <c:v>5.290217391304345E-2</c:v>
                </c:pt>
                <c:pt idx="120">
                  <c:v>6.1612318840579633E-2</c:v>
                </c:pt>
                <c:pt idx="121">
                  <c:v>7.0713768115942072E-2</c:v>
                </c:pt>
                <c:pt idx="122">
                  <c:v>7.3452898550724649E-2</c:v>
                </c:pt>
                <c:pt idx="123">
                  <c:v>7.6554347826086971E-2</c:v>
                </c:pt>
                <c:pt idx="124">
                  <c:v>7.4003623188405837E-2</c:v>
                </c:pt>
                <c:pt idx="125">
                  <c:v>7.2974637681159471E-2</c:v>
                </c:pt>
                <c:pt idx="126">
                  <c:v>7.2554347826087023E-2</c:v>
                </c:pt>
                <c:pt idx="127">
                  <c:v>6.8583333333333357E-2</c:v>
                </c:pt>
                <c:pt idx="128">
                  <c:v>6.3336956521739152E-2</c:v>
                </c:pt>
                <c:pt idx="129">
                  <c:v>5.9989130434782573E-2</c:v>
                </c:pt>
                <c:pt idx="130">
                  <c:v>5.9322463768115959E-2</c:v>
                </c:pt>
                <c:pt idx="131">
                  <c:v>6.2902173913043452E-2</c:v>
                </c:pt>
                <c:pt idx="132">
                  <c:v>6.3612318840579635E-2</c:v>
                </c:pt>
                <c:pt idx="133">
                  <c:v>6.3713768115942079E-2</c:v>
                </c:pt>
                <c:pt idx="134">
                  <c:v>6.0452898550724644E-2</c:v>
                </c:pt>
                <c:pt idx="135">
                  <c:v>5.3554347826086979E-2</c:v>
                </c:pt>
                <c:pt idx="136">
                  <c:v>5.2003623188405838E-2</c:v>
                </c:pt>
                <c:pt idx="137">
                  <c:v>5.0974637681159472E-2</c:v>
                </c:pt>
                <c:pt idx="138">
                  <c:v>5.0554347826087011E-2</c:v>
                </c:pt>
                <c:pt idx="139">
                  <c:v>4.9583333333333347E-2</c:v>
                </c:pt>
                <c:pt idx="140">
                  <c:v>5.0336956521739147E-2</c:v>
                </c:pt>
                <c:pt idx="141">
                  <c:v>5.1989130434782573E-2</c:v>
                </c:pt>
                <c:pt idx="142">
                  <c:v>5.6322463768115963E-2</c:v>
                </c:pt>
                <c:pt idx="143">
                  <c:v>5.3902173913043444E-2</c:v>
                </c:pt>
                <c:pt idx="144">
                  <c:v>5.4612318840579627E-2</c:v>
                </c:pt>
                <c:pt idx="145">
                  <c:v>5.0713768115942075E-2</c:v>
                </c:pt>
                <c:pt idx="146">
                  <c:v>5.7452898550724642E-2</c:v>
                </c:pt>
                <c:pt idx="147">
                  <c:v>5.3554347826086979E-2</c:v>
                </c:pt>
                <c:pt idx="148">
                  <c:v>5.1003623188405837E-2</c:v>
                </c:pt>
                <c:pt idx="149">
                  <c:v>5.4974637681159462E-2</c:v>
                </c:pt>
                <c:pt idx="150">
                  <c:v>5.3554347826087007E-2</c:v>
                </c:pt>
                <c:pt idx="151">
                  <c:v>5.3583333333333351E-2</c:v>
                </c:pt>
                <c:pt idx="152">
                  <c:v>5.0336956521739147E-2</c:v>
                </c:pt>
                <c:pt idx="153">
                  <c:v>5.4989130434782575E-2</c:v>
                </c:pt>
                <c:pt idx="154">
                  <c:v>5.9322463768115959E-2</c:v>
                </c:pt>
                <c:pt idx="155">
                  <c:v>6.6902173913043456E-2</c:v>
                </c:pt>
                <c:pt idx="156">
                  <c:v>7.0612318840579627E-2</c:v>
                </c:pt>
                <c:pt idx="157">
                  <c:v>7.4713768115942075E-2</c:v>
                </c:pt>
                <c:pt idx="158">
                  <c:v>7.3452898550724649E-2</c:v>
                </c:pt>
                <c:pt idx="159">
                  <c:v>7.1554347826086981E-2</c:v>
                </c:pt>
                <c:pt idx="160">
                  <c:v>6.9003623188405833E-2</c:v>
                </c:pt>
                <c:pt idx="161">
                  <c:v>6.9974637681159468E-2</c:v>
                </c:pt>
                <c:pt idx="162">
                  <c:v>6.7554347826087019E-2</c:v>
                </c:pt>
                <c:pt idx="163">
                  <c:v>6.3583333333333353E-2</c:v>
                </c:pt>
                <c:pt idx="164">
                  <c:v>6.1336956521739143E-2</c:v>
                </c:pt>
                <c:pt idx="165">
                  <c:v>5.9989130434782573E-2</c:v>
                </c:pt>
                <c:pt idx="166">
                  <c:v>5.9322463768115959E-2</c:v>
                </c:pt>
                <c:pt idx="167">
                  <c:v>6.0902173913043443E-2</c:v>
                </c:pt>
                <c:pt idx="168">
                  <c:v>6.0612318840579632E-2</c:v>
                </c:pt>
                <c:pt idx="169">
                  <c:v>5.8713768115942075E-2</c:v>
                </c:pt>
                <c:pt idx="170">
                  <c:v>5.8452898550724643E-2</c:v>
                </c:pt>
                <c:pt idx="171">
                  <c:v>5.6554347826086974E-2</c:v>
                </c:pt>
                <c:pt idx="172">
                  <c:v>5.4003623188405833E-2</c:v>
                </c:pt>
                <c:pt idx="173">
                  <c:v>5.597463768115947E-2</c:v>
                </c:pt>
                <c:pt idx="174">
                  <c:v>5.1554347826087005E-2</c:v>
                </c:pt>
                <c:pt idx="175">
                  <c:v>5.4583333333333345E-2</c:v>
                </c:pt>
                <c:pt idx="176">
                  <c:v>5.2336956521739149E-2</c:v>
                </c:pt>
                <c:pt idx="177">
                  <c:v>4.9989130434782571E-2</c:v>
                </c:pt>
                <c:pt idx="178">
                  <c:v>5.6322463768115963E-2</c:v>
                </c:pt>
                <c:pt idx="179">
                  <c:v>5.5902173913043446E-2</c:v>
                </c:pt>
                <c:pt idx="180">
                  <c:v>5.9612318840579631E-2</c:v>
                </c:pt>
                <c:pt idx="181">
                  <c:v>6.2713768115942078E-2</c:v>
                </c:pt>
                <c:pt idx="182">
                  <c:v>5.9452898550724644E-2</c:v>
                </c:pt>
                <c:pt idx="183">
                  <c:v>5.7554347826086968E-2</c:v>
                </c:pt>
                <c:pt idx="184">
                  <c:v>5.8003623188405837E-2</c:v>
                </c:pt>
                <c:pt idx="185">
                  <c:v>5.8974637681159466E-2</c:v>
                </c:pt>
                <c:pt idx="186">
                  <c:v>5.4554347826087E-2</c:v>
                </c:pt>
                <c:pt idx="187">
                  <c:v>5.3583333333333351E-2</c:v>
                </c:pt>
                <c:pt idx="188">
                  <c:v>5.1336956521739148E-2</c:v>
                </c:pt>
                <c:pt idx="189">
                  <c:v>5.1989130434782573E-2</c:v>
                </c:pt>
                <c:pt idx="190">
                  <c:v>5.6322463768115963E-2</c:v>
                </c:pt>
                <c:pt idx="191">
                  <c:v>5.5902173913043446E-2</c:v>
                </c:pt>
                <c:pt idx="192">
                  <c:v>5.7612318840579629E-2</c:v>
                </c:pt>
                <c:pt idx="193">
                  <c:v>5.5713768115942072E-2</c:v>
                </c:pt>
                <c:pt idx="194">
                  <c:v>5.5452898550724647E-2</c:v>
                </c:pt>
                <c:pt idx="195">
                  <c:v>5.4554347826086973E-2</c:v>
                </c:pt>
                <c:pt idx="196">
                  <c:v>5.1003623188405837E-2</c:v>
                </c:pt>
                <c:pt idx="197">
                  <c:v>5.597463768115947E-2</c:v>
                </c:pt>
                <c:pt idx="198">
                  <c:v>4.7554347826087008E-2</c:v>
                </c:pt>
                <c:pt idx="199">
                  <c:v>4.9583333333333347E-2</c:v>
                </c:pt>
                <c:pt idx="200">
                  <c:v>4.8336956521739145E-2</c:v>
                </c:pt>
                <c:pt idx="201">
                  <c:v>4.8989130434782577E-2</c:v>
                </c:pt>
                <c:pt idx="202">
                  <c:v>4.8322463768115963E-2</c:v>
                </c:pt>
                <c:pt idx="203">
                  <c:v>4.9902173913043447E-2</c:v>
                </c:pt>
                <c:pt idx="204">
                  <c:v>4.8612318840579628E-2</c:v>
                </c:pt>
                <c:pt idx="205">
                  <c:v>5.0713768115942075E-2</c:v>
                </c:pt>
                <c:pt idx="206">
                  <c:v>4.745289855072464E-2</c:v>
                </c:pt>
                <c:pt idx="207">
                  <c:v>4.8554347826086974E-2</c:v>
                </c:pt>
                <c:pt idx="208">
                  <c:v>4.6003623188405833E-2</c:v>
                </c:pt>
                <c:pt idx="209">
                  <c:v>4.9974637681159464E-2</c:v>
                </c:pt>
                <c:pt idx="210">
                  <c:v>4.3554347826087005E-2</c:v>
                </c:pt>
                <c:pt idx="211">
                  <c:v>4.3583333333333349E-2</c:v>
                </c:pt>
                <c:pt idx="212">
                  <c:v>4.1336956521739146E-2</c:v>
                </c:pt>
                <c:pt idx="213">
                  <c:v>4.0989130434782577E-2</c:v>
                </c:pt>
                <c:pt idx="214">
                  <c:v>4.2322463768115964E-2</c:v>
                </c:pt>
                <c:pt idx="215">
                  <c:v>3.9902173913043452E-2</c:v>
                </c:pt>
                <c:pt idx="216">
                  <c:v>3.7612318840579632E-2</c:v>
                </c:pt>
                <c:pt idx="217">
                  <c:v>3.5713768115942075E-2</c:v>
                </c:pt>
                <c:pt idx="218">
                  <c:v>3.6452898550724644E-2</c:v>
                </c:pt>
                <c:pt idx="219">
                  <c:v>3.7554347826086978E-2</c:v>
                </c:pt>
                <c:pt idx="220">
                  <c:v>4.0003623188405842E-2</c:v>
                </c:pt>
                <c:pt idx="221">
                  <c:v>4.2974637681159465E-2</c:v>
                </c:pt>
                <c:pt idx="222">
                  <c:v>3.7554347826087006E-2</c:v>
                </c:pt>
                <c:pt idx="223">
                  <c:v>3.7583333333333351E-2</c:v>
                </c:pt>
                <c:pt idx="224">
                  <c:v>3.6336956521739149E-2</c:v>
                </c:pt>
                <c:pt idx="225">
                  <c:v>3.6989130434782573E-2</c:v>
                </c:pt>
                <c:pt idx="226">
                  <c:v>3.7322463768115967E-2</c:v>
                </c:pt>
                <c:pt idx="227">
                  <c:v>3.7902173913043451E-2</c:v>
                </c:pt>
                <c:pt idx="228">
                  <c:v>3.5612318840579631E-2</c:v>
                </c:pt>
                <c:pt idx="229">
                  <c:v>3.5713768115942075E-2</c:v>
                </c:pt>
                <c:pt idx="230">
                  <c:v>3.5452898550724643E-2</c:v>
                </c:pt>
                <c:pt idx="231">
                  <c:v>3.6554347826086978E-2</c:v>
                </c:pt>
                <c:pt idx="232">
                  <c:v>3.5003623188405837E-2</c:v>
                </c:pt>
                <c:pt idx="233">
                  <c:v>4.2974637681159465E-2</c:v>
                </c:pt>
                <c:pt idx="234">
                  <c:v>3.9554347826087001E-2</c:v>
                </c:pt>
                <c:pt idx="235">
                  <c:v>3.8583333333333351E-2</c:v>
                </c:pt>
                <c:pt idx="236">
                  <c:v>4.0336956521739152E-2</c:v>
                </c:pt>
                <c:pt idx="237">
                  <c:v>4.2989130434782571E-2</c:v>
                </c:pt>
                <c:pt idx="238">
                  <c:v>4.0322463768115969E-2</c:v>
                </c:pt>
                <c:pt idx="239">
                  <c:v>3.7902173913043451E-2</c:v>
                </c:pt>
                <c:pt idx="240">
                  <c:v>3.3612318840579629E-2</c:v>
                </c:pt>
                <c:pt idx="241">
                  <c:v>3.5713768115942075E-2</c:v>
                </c:pt>
                <c:pt idx="242">
                  <c:v>3.4452898550724642E-2</c:v>
                </c:pt>
                <c:pt idx="243">
                  <c:v>3.3554347826086975E-2</c:v>
                </c:pt>
                <c:pt idx="244">
                  <c:v>3.2003623188405834E-2</c:v>
                </c:pt>
                <c:pt idx="245">
                  <c:v>4.1974637681159464E-2</c:v>
                </c:pt>
                <c:pt idx="246">
                  <c:v>3.8554347826087007E-2</c:v>
                </c:pt>
                <c:pt idx="247">
                  <c:v>3.658333333333335E-2</c:v>
                </c:pt>
                <c:pt idx="248">
                  <c:v>3.6336956521739149E-2</c:v>
                </c:pt>
                <c:pt idx="249">
                  <c:v>3.6989130434782573E-2</c:v>
                </c:pt>
                <c:pt idx="250">
                  <c:v>3.6322463768115966E-2</c:v>
                </c:pt>
                <c:pt idx="251">
                  <c:v>3.3902173913043447E-2</c:v>
                </c:pt>
                <c:pt idx="252">
                  <c:v>3.0612318840579633E-2</c:v>
                </c:pt>
                <c:pt idx="253">
                  <c:v>3.0713768115942078E-2</c:v>
                </c:pt>
                <c:pt idx="254">
                  <c:v>3.1452898550724646E-2</c:v>
                </c:pt>
                <c:pt idx="255">
                  <c:v>3.3554347826086975E-2</c:v>
                </c:pt>
                <c:pt idx="256">
                  <c:v>3.2003623188405834E-2</c:v>
                </c:pt>
                <c:pt idx="257">
                  <c:v>3.7974637681159461E-2</c:v>
                </c:pt>
                <c:pt idx="258">
                  <c:v>3.6554347826087005E-2</c:v>
                </c:pt>
                <c:pt idx="259">
                  <c:v>3.658333333333335E-2</c:v>
                </c:pt>
                <c:pt idx="260">
                  <c:v>4.0336956521739152E-2</c:v>
                </c:pt>
                <c:pt idx="261">
                  <c:v>3.9989130434782576E-2</c:v>
                </c:pt>
                <c:pt idx="262">
                  <c:v>3.6322463768115966E-2</c:v>
                </c:pt>
                <c:pt idx="263">
                  <c:v>3.4902173913043448E-2</c:v>
                </c:pt>
                <c:pt idx="264">
                  <c:v>3.5612318840579631E-2</c:v>
                </c:pt>
                <c:pt idx="265">
                  <c:v>4.0713768115942073E-2</c:v>
                </c:pt>
                <c:pt idx="266">
                  <c:v>4.2452898550724642E-2</c:v>
                </c:pt>
                <c:pt idx="267">
                  <c:v>4.4554347826086971E-2</c:v>
                </c:pt>
                <c:pt idx="268">
                  <c:v>4.4003623188405831E-2</c:v>
                </c:pt>
                <c:pt idx="269">
                  <c:v>5.297463768115946E-2</c:v>
                </c:pt>
                <c:pt idx="270">
                  <c:v>5.1554347826087005E-2</c:v>
                </c:pt>
                <c:pt idx="271">
                  <c:v>5.1583333333333349E-2</c:v>
                </c:pt>
                <c:pt idx="272">
                  <c:v>5.5336956521739152E-2</c:v>
                </c:pt>
                <c:pt idx="273">
                  <c:v>5.5989130434782569E-2</c:v>
                </c:pt>
                <c:pt idx="274">
                  <c:v>5.8322463768115965E-2</c:v>
                </c:pt>
                <c:pt idx="275">
                  <c:v>5.8902173913043442E-2</c:v>
                </c:pt>
                <c:pt idx="276">
                  <c:v>5.9612318840579631E-2</c:v>
                </c:pt>
                <c:pt idx="277">
                  <c:v>5.9713768115942076E-2</c:v>
                </c:pt>
                <c:pt idx="278">
                  <c:v>5.9452898550724644E-2</c:v>
                </c:pt>
                <c:pt idx="279">
                  <c:v>5.8554347826086976E-2</c:v>
                </c:pt>
                <c:pt idx="280">
                  <c:v>5.6003623188405835E-2</c:v>
                </c:pt>
                <c:pt idx="281">
                  <c:v>6.1974637681159468E-2</c:v>
                </c:pt>
                <c:pt idx="282">
                  <c:v>6.0554347826087006E-2</c:v>
                </c:pt>
                <c:pt idx="283">
                  <c:v>6.058333333333335E-2</c:v>
                </c:pt>
                <c:pt idx="284">
                  <c:v>6.1336956521739143E-2</c:v>
                </c:pt>
                <c:pt idx="285">
                  <c:v>5.8989130434782579E-2</c:v>
                </c:pt>
                <c:pt idx="286">
                  <c:v>6.0322463768115966E-2</c:v>
                </c:pt>
                <c:pt idx="287">
                  <c:v>5.7902173913043448E-2</c:v>
                </c:pt>
                <c:pt idx="288">
                  <c:v>5.861231884057963E-2</c:v>
                </c:pt>
                <c:pt idx="289">
                  <c:v>5.7713768115942074E-2</c:v>
                </c:pt>
                <c:pt idx="290">
                  <c:v>5.7452898550724642E-2</c:v>
                </c:pt>
                <c:pt idx="291">
                  <c:v>5.6554347826086974E-2</c:v>
                </c:pt>
                <c:pt idx="292">
                  <c:v>5.4003623188405833E-2</c:v>
                </c:pt>
                <c:pt idx="293">
                  <c:v>5.8974637681159466E-2</c:v>
                </c:pt>
                <c:pt idx="294">
                  <c:v>5.755434782608701E-2</c:v>
                </c:pt>
                <c:pt idx="295">
                  <c:v>5.6583333333333347E-2</c:v>
                </c:pt>
                <c:pt idx="296">
                  <c:v>5.7336956521739153E-2</c:v>
                </c:pt>
                <c:pt idx="297">
                  <c:v>5.5989130434782569E-2</c:v>
                </c:pt>
                <c:pt idx="298">
                  <c:v>5.2322463768115966E-2</c:v>
                </c:pt>
                <c:pt idx="299">
                  <c:v>5.0902173913043448E-2</c:v>
                </c:pt>
                <c:pt idx="300">
                  <c:v>4.8612318840579628E-2</c:v>
                </c:pt>
                <c:pt idx="301">
                  <c:v>4.9713768115942067E-2</c:v>
                </c:pt>
                <c:pt idx="302">
                  <c:v>4.8452898550724648E-2</c:v>
                </c:pt>
                <c:pt idx="303">
                  <c:v>4.9554347826086975E-2</c:v>
                </c:pt>
                <c:pt idx="304">
                  <c:v>4.7003623188405841E-2</c:v>
                </c:pt>
                <c:pt idx="305">
                  <c:v>5.0974637681159472E-2</c:v>
                </c:pt>
                <c:pt idx="306">
                  <c:v>4.8554347826087009E-2</c:v>
                </c:pt>
                <c:pt idx="307">
                  <c:v>4.8583333333333346E-2</c:v>
                </c:pt>
                <c:pt idx="308">
                  <c:v>5.0336956521739147E-2</c:v>
                </c:pt>
                <c:pt idx="309">
                  <c:v>4.6989130434782575E-2</c:v>
                </c:pt>
                <c:pt idx="310">
                  <c:v>4.9322463768115964E-2</c:v>
                </c:pt>
                <c:pt idx="311">
                  <c:v>4.8902173913043447E-2</c:v>
                </c:pt>
                <c:pt idx="312">
                  <c:v>5.061231884057963E-2</c:v>
                </c:pt>
                <c:pt idx="313">
                  <c:v>5.1713768115942069E-2</c:v>
                </c:pt>
                <c:pt idx="314">
                  <c:v>4.9452898550724642E-2</c:v>
                </c:pt>
                <c:pt idx="315">
                  <c:v>4.9554347826086975E-2</c:v>
                </c:pt>
                <c:pt idx="316">
                  <c:v>4.9003623188405836E-2</c:v>
                </c:pt>
                <c:pt idx="317">
                  <c:v>5.4974637681159462E-2</c:v>
                </c:pt>
                <c:pt idx="318">
                  <c:v>5.5554347826087008E-2</c:v>
                </c:pt>
                <c:pt idx="319">
                  <c:v>5.4583333333333345E-2</c:v>
                </c:pt>
                <c:pt idx="320">
                  <c:v>6.0336956521739149E-2</c:v>
                </c:pt>
                <c:pt idx="321">
                  <c:v>5.9989130434782573E-2</c:v>
                </c:pt>
                <c:pt idx="322">
                  <c:v>6.5322463768115957E-2</c:v>
                </c:pt>
                <c:pt idx="323">
                  <c:v>6.9902173913043458E-2</c:v>
                </c:pt>
                <c:pt idx="324">
                  <c:v>8.3612318840579625E-2</c:v>
                </c:pt>
                <c:pt idx="325">
                  <c:v>8.471376811594207E-2</c:v>
                </c:pt>
                <c:pt idx="326">
                  <c:v>8.7452898550724634E-2</c:v>
                </c:pt>
                <c:pt idx="327">
                  <c:v>8.7554347826086967E-2</c:v>
                </c:pt>
                <c:pt idx="328">
                  <c:v>8.6003623188405848E-2</c:v>
                </c:pt>
                <c:pt idx="329">
                  <c:v>8.7974637681159457E-2</c:v>
                </c:pt>
                <c:pt idx="330">
                  <c:v>8.5554347826087007E-2</c:v>
                </c:pt>
                <c:pt idx="331">
                  <c:v>8.3583333333333343E-2</c:v>
                </c:pt>
                <c:pt idx="332">
                  <c:v>8.4336956521739143E-2</c:v>
                </c:pt>
                <c:pt idx="333">
                  <c:v>8.2989130434782565E-2</c:v>
                </c:pt>
                <c:pt idx="334">
                  <c:v>8.1322463768115971E-2</c:v>
                </c:pt>
                <c:pt idx="335">
                  <c:v>8.090217391304344E-2</c:v>
                </c:pt>
                <c:pt idx="336">
                  <c:v>8.1612318840579637E-2</c:v>
                </c:pt>
                <c:pt idx="337">
                  <c:v>8.0713768115942067E-2</c:v>
                </c:pt>
                <c:pt idx="338">
                  <c:v>7.7452898550724653E-2</c:v>
                </c:pt>
                <c:pt idx="339">
                  <c:v>7.5554347826086984E-2</c:v>
                </c:pt>
                <c:pt idx="340">
                  <c:v>7.1003623188405834E-2</c:v>
                </c:pt>
                <c:pt idx="341">
                  <c:v>7.6974637681159475E-2</c:v>
                </c:pt>
                <c:pt idx="342">
                  <c:v>7.6554347826086999E-2</c:v>
                </c:pt>
                <c:pt idx="343">
                  <c:v>7.7583333333333337E-2</c:v>
                </c:pt>
                <c:pt idx="344">
                  <c:v>7.7336956521739164E-2</c:v>
                </c:pt>
                <c:pt idx="345">
                  <c:v>7.6989130434782588E-2</c:v>
                </c:pt>
                <c:pt idx="346">
                  <c:v>7.7322463768115968E-2</c:v>
                </c:pt>
                <c:pt idx="347">
                  <c:v>7.6902173913043465E-2</c:v>
                </c:pt>
                <c:pt idx="348">
                  <c:v>7.6612318840579632E-2</c:v>
                </c:pt>
                <c:pt idx="349">
                  <c:v>7.8713768115942079E-2</c:v>
                </c:pt>
                <c:pt idx="350">
                  <c:v>7.5452898550724651E-2</c:v>
                </c:pt>
                <c:pt idx="351">
                  <c:v>7.055434782608698E-2</c:v>
                </c:pt>
                <c:pt idx="352">
                  <c:v>6.7003623188405831E-2</c:v>
                </c:pt>
                <c:pt idx="353">
                  <c:v>7.197463768115947E-2</c:v>
                </c:pt>
                <c:pt idx="354">
                  <c:v>6.855434782608702E-2</c:v>
                </c:pt>
                <c:pt idx="355">
                  <c:v>6.9583333333333358E-2</c:v>
                </c:pt>
                <c:pt idx="356">
                  <c:v>6.9336956521739157E-2</c:v>
                </c:pt>
                <c:pt idx="357">
                  <c:v>6.8989130434782581E-2</c:v>
                </c:pt>
                <c:pt idx="358">
                  <c:v>6.832246376811596E-2</c:v>
                </c:pt>
                <c:pt idx="359">
                  <c:v>6.2902173913043452E-2</c:v>
                </c:pt>
                <c:pt idx="360">
                  <c:v>6.4612318840579622E-2</c:v>
                </c:pt>
                <c:pt idx="361">
                  <c:v>6.2713768115942078E-2</c:v>
                </c:pt>
                <c:pt idx="362">
                  <c:v>6.2452898550724646E-2</c:v>
                </c:pt>
                <c:pt idx="363">
                  <c:v>5.955434782608697E-2</c:v>
                </c:pt>
                <c:pt idx="364">
                  <c:v>5.8003623188405837E-2</c:v>
                </c:pt>
                <c:pt idx="365">
                  <c:v>5.8974637681159466E-2</c:v>
                </c:pt>
                <c:pt idx="366">
                  <c:v>6.1554347826087007E-2</c:v>
                </c:pt>
                <c:pt idx="367">
                  <c:v>6.058333333333335E-2</c:v>
                </c:pt>
                <c:pt idx="368">
                  <c:v>6.1336956521739143E-2</c:v>
                </c:pt>
                <c:pt idx="369">
                  <c:v>5.8989130434782579E-2</c:v>
                </c:pt>
                <c:pt idx="370">
                  <c:v>5.9322463768115959E-2</c:v>
                </c:pt>
                <c:pt idx="371">
                  <c:v>5.9902173913043449E-2</c:v>
                </c:pt>
                <c:pt idx="372">
                  <c:v>5.7612318840579629E-2</c:v>
                </c:pt>
                <c:pt idx="373">
                  <c:v>5.7713768115942074E-2</c:v>
                </c:pt>
                <c:pt idx="374">
                  <c:v>5.7452898550724642E-2</c:v>
                </c:pt>
                <c:pt idx="375">
                  <c:v>5.6554347826086974E-2</c:v>
                </c:pt>
                <c:pt idx="376">
                  <c:v>5.5003623188405841E-2</c:v>
                </c:pt>
                <c:pt idx="377">
                  <c:v>5.6974637681159464E-2</c:v>
                </c:pt>
                <c:pt idx="378">
                  <c:v>5.755434782608701E-2</c:v>
                </c:pt>
                <c:pt idx="379">
                  <c:v>6.058333333333335E-2</c:v>
                </c:pt>
                <c:pt idx="380">
                  <c:v>6.0336956521739149E-2</c:v>
                </c:pt>
                <c:pt idx="381">
                  <c:v>6.0989130434782567E-2</c:v>
                </c:pt>
                <c:pt idx="382">
                  <c:v>5.9322463768115959E-2</c:v>
                </c:pt>
                <c:pt idx="383">
                  <c:v>5.9902173913043449E-2</c:v>
                </c:pt>
                <c:pt idx="384">
                  <c:v>6.2612318840579634E-2</c:v>
                </c:pt>
                <c:pt idx="385">
                  <c:v>6.1713768115942078E-2</c:v>
                </c:pt>
                <c:pt idx="386">
                  <c:v>6.2452898550724646E-2</c:v>
                </c:pt>
                <c:pt idx="387">
                  <c:v>6.8554347826086978E-2</c:v>
                </c:pt>
                <c:pt idx="388">
                  <c:v>7.4003623188405837E-2</c:v>
                </c:pt>
                <c:pt idx="389">
                  <c:v>7.4974637681159473E-2</c:v>
                </c:pt>
                <c:pt idx="390">
                  <c:v>7.7554347826087E-2</c:v>
                </c:pt>
                <c:pt idx="391">
                  <c:v>7.7583333333333337E-2</c:v>
                </c:pt>
                <c:pt idx="392">
                  <c:v>7.5336956521739162E-2</c:v>
                </c:pt>
                <c:pt idx="393">
                  <c:v>7.5989130434782559E-2</c:v>
                </c:pt>
                <c:pt idx="394">
                  <c:v>7.4322463768115965E-2</c:v>
                </c:pt>
                <c:pt idx="395">
                  <c:v>7.190217391304346E-2</c:v>
                </c:pt>
                <c:pt idx="396">
                  <c:v>7.5612318840579618E-2</c:v>
                </c:pt>
                <c:pt idx="397">
                  <c:v>7.3713768115942074E-2</c:v>
                </c:pt>
                <c:pt idx="398">
                  <c:v>7.3452898550724649E-2</c:v>
                </c:pt>
                <c:pt idx="399">
                  <c:v>7.1554347826086981E-2</c:v>
                </c:pt>
                <c:pt idx="400">
                  <c:v>7.4003623188405837E-2</c:v>
                </c:pt>
                <c:pt idx="401">
                  <c:v>7.3974637681159472E-2</c:v>
                </c:pt>
                <c:pt idx="402">
                  <c:v>7.1554347826086995E-2</c:v>
                </c:pt>
                <c:pt idx="403">
                  <c:v>7.3583333333333362E-2</c:v>
                </c:pt>
                <c:pt idx="404">
                  <c:v>7.6336956521739135E-2</c:v>
                </c:pt>
                <c:pt idx="405">
                  <c:v>7.9989130434782563E-2</c:v>
                </c:pt>
                <c:pt idx="406">
                  <c:v>8.2322463768115972E-2</c:v>
                </c:pt>
                <c:pt idx="407">
                  <c:v>8.5902173913043445E-2</c:v>
                </c:pt>
                <c:pt idx="408">
                  <c:v>8.7612318840579628E-2</c:v>
                </c:pt>
                <c:pt idx="409">
                  <c:v>8.9713768115942075E-2</c:v>
                </c:pt>
                <c:pt idx="410">
                  <c:v>9.1452898550724637E-2</c:v>
                </c:pt>
                <c:pt idx="411">
                  <c:v>9.3554347826086973E-2</c:v>
                </c:pt>
                <c:pt idx="412">
                  <c:v>9.4003623188405827E-2</c:v>
                </c:pt>
                <c:pt idx="413">
                  <c:v>9.4974637681159463E-2</c:v>
                </c:pt>
                <c:pt idx="414">
                  <c:v>9.6554347826087017E-2</c:v>
                </c:pt>
                <c:pt idx="415">
                  <c:v>9.7583333333333355E-2</c:v>
                </c:pt>
                <c:pt idx="416">
                  <c:v>0.10033695652173913</c:v>
                </c:pt>
                <c:pt idx="417">
                  <c:v>0.10398913043478258</c:v>
                </c:pt>
                <c:pt idx="418">
                  <c:v>0.10732246376811597</c:v>
                </c:pt>
                <c:pt idx="419">
                  <c:v>0.10790217391304344</c:v>
                </c:pt>
                <c:pt idx="420">
                  <c:v>0.10761231884057963</c:v>
                </c:pt>
                <c:pt idx="421">
                  <c:v>0.10671376811594208</c:v>
                </c:pt>
                <c:pt idx="422">
                  <c:v>0.10445289855072465</c:v>
                </c:pt>
                <c:pt idx="423">
                  <c:v>0.10155434782608698</c:v>
                </c:pt>
                <c:pt idx="424">
                  <c:v>0.10100362318840583</c:v>
                </c:pt>
                <c:pt idx="425">
                  <c:v>9.8974637681159466E-2</c:v>
                </c:pt>
                <c:pt idx="426">
                  <c:v>9.2554347826087013E-2</c:v>
                </c:pt>
                <c:pt idx="427">
                  <c:v>9.3583333333333352E-2</c:v>
                </c:pt>
                <c:pt idx="428">
                  <c:v>9.1336956521739149E-2</c:v>
                </c:pt>
                <c:pt idx="429">
                  <c:v>8.8989130434782571E-2</c:v>
                </c:pt>
                <c:pt idx="430">
                  <c:v>8.4322463768115974E-2</c:v>
                </c:pt>
                <c:pt idx="431">
                  <c:v>8.2902173913043442E-2</c:v>
                </c:pt>
                <c:pt idx="432">
                  <c:v>8.1612318840579637E-2</c:v>
                </c:pt>
                <c:pt idx="433">
                  <c:v>7.7713768115942078E-2</c:v>
                </c:pt>
                <c:pt idx="434">
                  <c:v>7.7452898550724653E-2</c:v>
                </c:pt>
                <c:pt idx="435">
                  <c:v>7.7554347826086972E-2</c:v>
                </c:pt>
                <c:pt idx="436">
                  <c:v>7.5003623188405838E-2</c:v>
                </c:pt>
                <c:pt idx="437">
                  <c:v>7.0974637681159469E-2</c:v>
                </c:pt>
                <c:pt idx="438">
                  <c:v>7.3554347826086997E-2</c:v>
                </c:pt>
                <c:pt idx="439">
                  <c:v>7.4583333333333335E-2</c:v>
                </c:pt>
                <c:pt idx="440">
                  <c:v>7.4336956521739134E-2</c:v>
                </c:pt>
                <c:pt idx="441">
                  <c:v>7.4989130434782586E-2</c:v>
                </c:pt>
                <c:pt idx="442">
                  <c:v>7.2322463768115963E-2</c:v>
                </c:pt>
                <c:pt idx="443">
                  <c:v>7.2902173913043461E-2</c:v>
                </c:pt>
                <c:pt idx="444">
                  <c:v>7.361231884057963E-2</c:v>
                </c:pt>
                <c:pt idx="445">
                  <c:v>7.1713768115942073E-2</c:v>
                </c:pt>
                <c:pt idx="446">
                  <c:v>7.1452898550724647E-2</c:v>
                </c:pt>
                <c:pt idx="447">
                  <c:v>7.2554347826086968E-2</c:v>
                </c:pt>
                <c:pt idx="448">
                  <c:v>7.3003623188405836E-2</c:v>
                </c:pt>
                <c:pt idx="449">
                  <c:v>7.197463768115947E-2</c:v>
                </c:pt>
                <c:pt idx="450">
                  <c:v>7.2554347826087023E-2</c:v>
                </c:pt>
                <c:pt idx="451">
                  <c:v>7.0583333333333359E-2</c:v>
                </c:pt>
                <c:pt idx="452">
                  <c:v>7.233695652173916E-2</c:v>
                </c:pt>
                <c:pt idx="453">
                  <c:v>7.2989130434782584E-2</c:v>
                </c:pt>
                <c:pt idx="454">
                  <c:v>7.0322463768115961E-2</c:v>
                </c:pt>
                <c:pt idx="455">
                  <c:v>6.9902173913043458E-2</c:v>
                </c:pt>
                <c:pt idx="456">
                  <c:v>6.6612318840579623E-2</c:v>
                </c:pt>
                <c:pt idx="457">
                  <c:v>7.1713768115942073E-2</c:v>
                </c:pt>
                <c:pt idx="458">
                  <c:v>7.1452898550724647E-2</c:v>
                </c:pt>
                <c:pt idx="459">
                  <c:v>7.1554347826086981E-2</c:v>
                </c:pt>
                <c:pt idx="460">
                  <c:v>7.3003623188405836E-2</c:v>
                </c:pt>
                <c:pt idx="461">
                  <c:v>6.9974637681159468E-2</c:v>
                </c:pt>
                <c:pt idx="462">
                  <c:v>6.855434782608702E-2</c:v>
                </c:pt>
                <c:pt idx="463">
                  <c:v>6.8583333333333357E-2</c:v>
                </c:pt>
                <c:pt idx="464">
                  <c:v>7.1336956521739159E-2</c:v>
                </c:pt>
                <c:pt idx="465">
                  <c:v>7.0989130434782582E-2</c:v>
                </c:pt>
                <c:pt idx="466">
                  <c:v>6.9322463768115961E-2</c:v>
                </c:pt>
                <c:pt idx="467">
                  <c:v>6.5902173913043455E-2</c:v>
                </c:pt>
                <c:pt idx="468">
                  <c:v>6.6612318840579623E-2</c:v>
                </c:pt>
                <c:pt idx="469">
                  <c:v>6.5713768115942081E-2</c:v>
                </c:pt>
                <c:pt idx="470">
                  <c:v>6.5452898550724642E-2</c:v>
                </c:pt>
                <c:pt idx="471">
                  <c:v>6.3554347826086974E-2</c:v>
                </c:pt>
                <c:pt idx="472">
                  <c:v>6.4003623188405828E-2</c:v>
                </c:pt>
                <c:pt idx="473">
                  <c:v>5.9974637681159466E-2</c:v>
                </c:pt>
                <c:pt idx="474">
                  <c:v>5.9554347826087005E-2</c:v>
                </c:pt>
                <c:pt idx="475">
                  <c:v>5.9583333333333342E-2</c:v>
                </c:pt>
                <c:pt idx="476">
                  <c:v>6.0336956521739149E-2</c:v>
                </c:pt>
                <c:pt idx="477">
                  <c:v>6.1989130434782574E-2</c:v>
                </c:pt>
                <c:pt idx="478">
                  <c:v>5.9322463768115959E-2</c:v>
                </c:pt>
                <c:pt idx="479">
                  <c:v>5.6902173913043454E-2</c:v>
                </c:pt>
                <c:pt idx="480">
                  <c:v>5.6612318840579628E-2</c:v>
                </c:pt>
                <c:pt idx="481">
                  <c:v>5.5713768115942072E-2</c:v>
                </c:pt>
                <c:pt idx="482">
                  <c:v>5.5452898550724647E-2</c:v>
                </c:pt>
                <c:pt idx="483">
                  <c:v>5.4554347826086973E-2</c:v>
                </c:pt>
                <c:pt idx="484">
                  <c:v>5.7003623188405843E-2</c:v>
                </c:pt>
                <c:pt idx="485">
                  <c:v>5.1974637681159466E-2</c:v>
                </c:pt>
                <c:pt idx="486">
                  <c:v>5.3554347826087007E-2</c:v>
                </c:pt>
                <c:pt idx="487">
                  <c:v>5.5583333333333353E-2</c:v>
                </c:pt>
                <c:pt idx="488">
                  <c:v>5.5336956521739152E-2</c:v>
                </c:pt>
                <c:pt idx="489">
                  <c:v>5.4989130434782575E-2</c:v>
                </c:pt>
                <c:pt idx="490">
                  <c:v>5.5322463768115969E-2</c:v>
                </c:pt>
                <c:pt idx="491">
                  <c:v>5.290217391304345E-2</c:v>
                </c:pt>
                <c:pt idx="492">
                  <c:v>5.3612318840579626E-2</c:v>
                </c:pt>
                <c:pt idx="493">
                  <c:v>4.9713768115942067E-2</c:v>
                </c:pt>
                <c:pt idx="494">
                  <c:v>4.8452898550724648E-2</c:v>
                </c:pt>
                <c:pt idx="495">
                  <c:v>5.2554347826086971E-2</c:v>
                </c:pt>
                <c:pt idx="496">
                  <c:v>5.3003623188405839E-2</c:v>
                </c:pt>
                <c:pt idx="497">
                  <c:v>5.1974637681159466E-2</c:v>
                </c:pt>
                <c:pt idx="498">
                  <c:v>5.1554347826087005E-2</c:v>
                </c:pt>
                <c:pt idx="499">
                  <c:v>5.2583333333333343E-2</c:v>
                </c:pt>
                <c:pt idx="500">
                  <c:v>5.4336956521739144E-2</c:v>
                </c:pt>
                <c:pt idx="501">
                  <c:v>5.4989130434782575E-2</c:v>
                </c:pt>
                <c:pt idx="502">
                  <c:v>5.5322463768115969E-2</c:v>
                </c:pt>
                <c:pt idx="503">
                  <c:v>5.3902173913043444E-2</c:v>
                </c:pt>
                <c:pt idx="504">
                  <c:v>5.3612318840579626E-2</c:v>
                </c:pt>
                <c:pt idx="505">
                  <c:v>5.2713768115942077E-2</c:v>
                </c:pt>
                <c:pt idx="506">
                  <c:v>5.1452898550724643E-2</c:v>
                </c:pt>
                <c:pt idx="507">
                  <c:v>5.4554347826086973E-2</c:v>
                </c:pt>
                <c:pt idx="508">
                  <c:v>5.5003623188405841E-2</c:v>
                </c:pt>
                <c:pt idx="509">
                  <c:v>5.0974637681159472E-2</c:v>
                </c:pt>
                <c:pt idx="510">
                  <c:v>5.4554347826087E-2</c:v>
                </c:pt>
                <c:pt idx="511">
                  <c:v>5.6583333333333347E-2</c:v>
                </c:pt>
                <c:pt idx="512">
                  <c:v>5.9336956521739141E-2</c:v>
                </c:pt>
                <c:pt idx="513">
                  <c:v>5.9989130434782573E-2</c:v>
                </c:pt>
                <c:pt idx="514">
                  <c:v>6.2322463768115968E-2</c:v>
                </c:pt>
                <c:pt idx="515">
                  <c:v>6.2902173913043452E-2</c:v>
                </c:pt>
                <c:pt idx="516">
                  <c:v>6.4612318840579622E-2</c:v>
                </c:pt>
                <c:pt idx="517">
                  <c:v>6.6713768115942068E-2</c:v>
                </c:pt>
                <c:pt idx="518">
                  <c:v>6.8452898550724645E-2</c:v>
                </c:pt>
                <c:pt idx="519">
                  <c:v>6.6554347826086976E-2</c:v>
                </c:pt>
                <c:pt idx="520">
                  <c:v>7.0003623188405834E-2</c:v>
                </c:pt>
                <c:pt idx="521">
                  <c:v>6.6974637681159466E-2</c:v>
                </c:pt>
                <c:pt idx="522">
                  <c:v>6.6554347826087018E-2</c:v>
                </c:pt>
                <c:pt idx="523">
                  <c:v>6.7583333333333356E-2</c:v>
                </c:pt>
                <c:pt idx="524">
                  <c:v>6.8336956521739156E-2</c:v>
                </c:pt>
                <c:pt idx="525">
                  <c:v>6.9989130434782582E-2</c:v>
                </c:pt>
                <c:pt idx="526">
                  <c:v>7.0322463768115961E-2</c:v>
                </c:pt>
                <c:pt idx="527">
                  <c:v>7.190217391304346E-2</c:v>
                </c:pt>
                <c:pt idx="528">
                  <c:v>7.4612318840579631E-2</c:v>
                </c:pt>
                <c:pt idx="529">
                  <c:v>7.5713768115942062E-2</c:v>
                </c:pt>
                <c:pt idx="530">
                  <c:v>7.445289855072465E-2</c:v>
                </c:pt>
                <c:pt idx="531">
                  <c:v>7.3554347826086983E-2</c:v>
                </c:pt>
                <c:pt idx="532">
                  <c:v>7.6003623188405839E-2</c:v>
                </c:pt>
                <c:pt idx="533">
                  <c:v>7.6974637681159475E-2</c:v>
                </c:pt>
                <c:pt idx="534">
                  <c:v>7.5554347826086998E-2</c:v>
                </c:pt>
                <c:pt idx="535">
                  <c:v>7.5583333333333363E-2</c:v>
                </c:pt>
                <c:pt idx="536">
                  <c:v>7.6336956521739135E-2</c:v>
                </c:pt>
                <c:pt idx="537">
                  <c:v>7.3989130434782585E-2</c:v>
                </c:pt>
                <c:pt idx="538">
                  <c:v>7.4322463768115965E-2</c:v>
                </c:pt>
                <c:pt idx="539">
                  <c:v>7.3902173913043434E-2</c:v>
                </c:pt>
                <c:pt idx="540">
                  <c:v>7.361231884057963E-2</c:v>
                </c:pt>
                <c:pt idx="541">
                  <c:v>7.1713768115942073E-2</c:v>
                </c:pt>
                <c:pt idx="542">
                  <c:v>7.0452898550724646E-2</c:v>
                </c:pt>
                <c:pt idx="543">
                  <c:v>7.055434782608698E-2</c:v>
                </c:pt>
                <c:pt idx="544">
                  <c:v>7.1003623188405834E-2</c:v>
                </c:pt>
                <c:pt idx="545">
                  <c:v>6.8974637681159467E-2</c:v>
                </c:pt>
                <c:pt idx="546">
                  <c:v>6.855434782608702E-2</c:v>
                </c:pt>
                <c:pt idx="547">
                  <c:v>6.7583333333333356E-2</c:v>
                </c:pt>
                <c:pt idx="548">
                  <c:v>6.7336956521739155E-2</c:v>
                </c:pt>
                <c:pt idx="549">
                  <c:v>6.8989130434782581E-2</c:v>
                </c:pt>
                <c:pt idx="550">
                  <c:v>6.5322463768115957E-2</c:v>
                </c:pt>
                <c:pt idx="551">
                  <c:v>6.3902173913043453E-2</c:v>
                </c:pt>
                <c:pt idx="552">
                  <c:v>6.6612318840579623E-2</c:v>
                </c:pt>
                <c:pt idx="553">
                  <c:v>6.4713768115942066E-2</c:v>
                </c:pt>
                <c:pt idx="554">
                  <c:v>6.4452898550724641E-2</c:v>
                </c:pt>
                <c:pt idx="555">
                  <c:v>6.3554347826086974E-2</c:v>
                </c:pt>
                <c:pt idx="556">
                  <c:v>6.200362318840584E-2</c:v>
                </c:pt>
                <c:pt idx="557">
                  <c:v>5.8974637681159466E-2</c:v>
                </c:pt>
                <c:pt idx="558">
                  <c:v>6.0554347826087006E-2</c:v>
                </c:pt>
                <c:pt idx="559">
                  <c:v>6.058333333333335E-2</c:v>
                </c:pt>
                <c:pt idx="560">
                  <c:v>5.9336956521739141E-2</c:v>
                </c:pt>
                <c:pt idx="561">
                  <c:v>5.8989130434782579E-2</c:v>
                </c:pt>
                <c:pt idx="562">
                  <c:v>5.6322463768115963E-2</c:v>
                </c:pt>
                <c:pt idx="563">
                  <c:v>5.3902173913043444E-2</c:v>
                </c:pt>
                <c:pt idx="564">
                  <c:v>5.5612318840579628E-2</c:v>
                </c:pt>
                <c:pt idx="565">
                  <c:v>5.2713768115942077E-2</c:v>
                </c:pt>
                <c:pt idx="566">
                  <c:v>5.3452898550724645E-2</c:v>
                </c:pt>
                <c:pt idx="567">
                  <c:v>5.7554347826086968E-2</c:v>
                </c:pt>
                <c:pt idx="568">
                  <c:v>5.8003623188405837E-2</c:v>
                </c:pt>
                <c:pt idx="569">
                  <c:v>5.4974637681159462E-2</c:v>
                </c:pt>
                <c:pt idx="570">
                  <c:v>5.755434782608701E-2</c:v>
                </c:pt>
                <c:pt idx="571">
                  <c:v>5.7583333333333341E-2</c:v>
                </c:pt>
                <c:pt idx="572">
                  <c:v>5.7336956521739153E-2</c:v>
                </c:pt>
                <c:pt idx="573">
                  <c:v>5.6989130434782577E-2</c:v>
                </c:pt>
                <c:pt idx="574">
                  <c:v>5.6322463768115963E-2</c:v>
                </c:pt>
                <c:pt idx="575">
                  <c:v>5.4902173913043452E-2</c:v>
                </c:pt>
                <c:pt idx="576">
                  <c:v>5.6612318840579628E-2</c:v>
                </c:pt>
                <c:pt idx="577">
                  <c:v>5.371376811594207E-2</c:v>
                </c:pt>
                <c:pt idx="578">
                  <c:v>5.4452898550724639E-2</c:v>
                </c:pt>
                <c:pt idx="579">
                  <c:v>5.5554347826086981E-2</c:v>
                </c:pt>
                <c:pt idx="580">
                  <c:v>5.7003623188405843E-2</c:v>
                </c:pt>
                <c:pt idx="581">
                  <c:v>5.1974637681159466E-2</c:v>
                </c:pt>
                <c:pt idx="582">
                  <c:v>5.4554347826087E-2</c:v>
                </c:pt>
                <c:pt idx="583">
                  <c:v>5.2583333333333343E-2</c:v>
                </c:pt>
                <c:pt idx="584">
                  <c:v>5.333695652173915E-2</c:v>
                </c:pt>
                <c:pt idx="585">
                  <c:v>5.3989130434782574E-2</c:v>
                </c:pt>
                <c:pt idx="586">
                  <c:v>5.3322463768115967E-2</c:v>
                </c:pt>
                <c:pt idx="587">
                  <c:v>5.290217391304345E-2</c:v>
                </c:pt>
                <c:pt idx="588">
                  <c:v>5.2612318840579632E-2</c:v>
                </c:pt>
                <c:pt idx="589">
                  <c:v>5.0713768115942075E-2</c:v>
                </c:pt>
                <c:pt idx="590">
                  <c:v>5.1452898550724643E-2</c:v>
                </c:pt>
                <c:pt idx="591">
                  <c:v>4.9554347826086975E-2</c:v>
                </c:pt>
                <c:pt idx="592">
                  <c:v>5.0003623188405837E-2</c:v>
                </c:pt>
                <c:pt idx="593">
                  <c:v>4.8974637681159471E-2</c:v>
                </c:pt>
                <c:pt idx="594">
                  <c:v>4.8554347826087009E-2</c:v>
                </c:pt>
                <c:pt idx="595">
                  <c:v>4.9583333333333347E-2</c:v>
                </c:pt>
                <c:pt idx="596">
                  <c:v>5.0336956521739147E-2</c:v>
                </c:pt>
                <c:pt idx="597">
                  <c:v>4.8989130434782577E-2</c:v>
                </c:pt>
                <c:pt idx="598">
                  <c:v>4.6322463768115961E-2</c:v>
                </c:pt>
                <c:pt idx="599">
                  <c:v>4.6902173913043452E-2</c:v>
                </c:pt>
                <c:pt idx="600">
                  <c:v>4.5612318840579633E-2</c:v>
                </c:pt>
                <c:pt idx="601">
                  <c:v>4.3713768115942075E-2</c:v>
                </c:pt>
                <c:pt idx="602">
                  <c:v>4.6452898550724646E-2</c:v>
                </c:pt>
                <c:pt idx="603">
                  <c:v>4.2554347826086969E-2</c:v>
                </c:pt>
                <c:pt idx="604">
                  <c:v>4.5003623188405839E-2</c:v>
                </c:pt>
                <c:pt idx="605">
                  <c:v>4.3974637681159466E-2</c:v>
                </c:pt>
                <c:pt idx="606">
                  <c:v>4.5554347826087006E-2</c:v>
                </c:pt>
                <c:pt idx="607">
                  <c:v>4.6583333333333345E-2</c:v>
                </c:pt>
                <c:pt idx="608">
                  <c:v>4.7336956521739151E-2</c:v>
                </c:pt>
                <c:pt idx="609">
                  <c:v>4.6989130434782575E-2</c:v>
                </c:pt>
                <c:pt idx="610">
                  <c:v>4.4322463768115959E-2</c:v>
                </c:pt>
                <c:pt idx="611">
                  <c:v>4.2902173913043448E-2</c:v>
                </c:pt>
                <c:pt idx="612">
                  <c:v>4.1612318840579629E-2</c:v>
                </c:pt>
                <c:pt idx="613">
                  <c:v>4.0713768115942073E-2</c:v>
                </c:pt>
                <c:pt idx="614">
                  <c:v>4.0452898550724647E-2</c:v>
                </c:pt>
                <c:pt idx="615">
                  <c:v>4.2554347826086969E-2</c:v>
                </c:pt>
                <c:pt idx="616">
                  <c:v>4.3003623188405837E-2</c:v>
                </c:pt>
                <c:pt idx="617">
                  <c:v>4.1974637681159464E-2</c:v>
                </c:pt>
                <c:pt idx="618">
                  <c:v>4.3554347826087005E-2</c:v>
                </c:pt>
                <c:pt idx="619">
                  <c:v>4.3583333333333349E-2</c:v>
                </c:pt>
                <c:pt idx="620">
                  <c:v>4.4336956521739142E-2</c:v>
                </c:pt>
                <c:pt idx="621">
                  <c:v>4.2989130434782571E-2</c:v>
                </c:pt>
                <c:pt idx="622">
                  <c:v>4.1322463768115963E-2</c:v>
                </c:pt>
                <c:pt idx="623">
                  <c:v>3.9902173913043452E-2</c:v>
                </c:pt>
                <c:pt idx="624">
                  <c:v>3.8612318840579626E-2</c:v>
                </c:pt>
                <c:pt idx="625">
                  <c:v>3.7713768115942077E-2</c:v>
                </c:pt>
                <c:pt idx="626">
                  <c:v>3.945289855072464E-2</c:v>
                </c:pt>
                <c:pt idx="627">
                  <c:v>3.8554347826086979E-2</c:v>
                </c:pt>
                <c:pt idx="628">
                  <c:v>4.1003623188405836E-2</c:v>
                </c:pt>
                <c:pt idx="629">
                  <c:v>3.7974637681159461E-2</c:v>
                </c:pt>
                <c:pt idx="630">
                  <c:v>4.0554347826087009E-2</c:v>
                </c:pt>
                <c:pt idx="631">
                  <c:v>4.2583333333333341E-2</c:v>
                </c:pt>
                <c:pt idx="632">
                  <c:v>4.1336956521739146E-2</c:v>
                </c:pt>
                <c:pt idx="633">
                  <c:v>4.0989130434782577E-2</c:v>
                </c:pt>
                <c:pt idx="634">
                  <c:v>4.0322463768115969E-2</c:v>
                </c:pt>
                <c:pt idx="635">
                  <c:v>3.9902173913043452E-2</c:v>
                </c:pt>
                <c:pt idx="636">
                  <c:v>4.0612318840579628E-2</c:v>
                </c:pt>
                <c:pt idx="637">
                  <c:v>3.9713768115942072E-2</c:v>
                </c:pt>
                <c:pt idx="638">
                  <c:v>4.1452898550724641E-2</c:v>
                </c:pt>
                <c:pt idx="639">
                  <c:v>4.3554347826086977E-2</c:v>
                </c:pt>
                <c:pt idx="640">
                  <c:v>4.4003623188405831E-2</c:v>
                </c:pt>
                <c:pt idx="641">
                  <c:v>4.3974637681159466E-2</c:v>
                </c:pt>
                <c:pt idx="642">
                  <c:v>4.5554347826087006E-2</c:v>
                </c:pt>
                <c:pt idx="643">
                  <c:v>5.0583333333333348E-2</c:v>
                </c:pt>
                <c:pt idx="644">
                  <c:v>5.0336956521739147E-2</c:v>
                </c:pt>
                <c:pt idx="645">
                  <c:v>5.4989130434782575E-2</c:v>
                </c:pt>
                <c:pt idx="646">
                  <c:v>5.6322463768115963E-2</c:v>
                </c:pt>
                <c:pt idx="647">
                  <c:v>5.6902173913043454E-2</c:v>
                </c:pt>
                <c:pt idx="648">
                  <c:v>5.6612318840579628E-2</c:v>
                </c:pt>
                <c:pt idx="649">
                  <c:v>5.4713768115942071E-2</c:v>
                </c:pt>
                <c:pt idx="650">
                  <c:v>5.7452898550724642E-2</c:v>
                </c:pt>
                <c:pt idx="651">
                  <c:v>5.8554347826086976E-2</c:v>
                </c:pt>
                <c:pt idx="652">
                  <c:v>5.8003623188405837E-2</c:v>
                </c:pt>
                <c:pt idx="653">
                  <c:v>5.6974637681159464E-2</c:v>
                </c:pt>
                <c:pt idx="654">
                  <c:v>5.755434782608701E-2</c:v>
                </c:pt>
                <c:pt idx="655">
                  <c:v>5.8583333333333348E-2</c:v>
                </c:pt>
                <c:pt idx="656">
                  <c:v>5.7336956521739153E-2</c:v>
                </c:pt>
                <c:pt idx="657">
                  <c:v>5.7989130434782571E-2</c:v>
                </c:pt>
                <c:pt idx="658">
                  <c:v>5.9322463768115959E-2</c:v>
                </c:pt>
                <c:pt idx="659">
                  <c:v>5.9902173913043449E-2</c:v>
                </c:pt>
                <c:pt idx="660">
                  <c:v>5.861231884057963E-2</c:v>
                </c:pt>
                <c:pt idx="661">
                  <c:v>5.7713768115942074E-2</c:v>
                </c:pt>
                <c:pt idx="662">
                  <c:v>5.8452898550724643E-2</c:v>
                </c:pt>
                <c:pt idx="663">
                  <c:v>5.955434782608697E-2</c:v>
                </c:pt>
                <c:pt idx="664">
                  <c:v>6.1003623188405832E-2</c:v>
                </c:pt>
                <c:pt idx="665">
                  <c:v>6.1974637681159468E-2</c:v>
                </c:pt>
                <c:pt idx="666">
                  <c:v>6.1554347826087007E-2</c:v>
                </c:pt>
                <c:pt idx="667">
                  <c:v>6.1583333333333344E-2</c:v>
                </c:pt>
                <c:pt idx="668">
                  <c:v>6.1336956521739143E-2</c:v>
                </c:pt>
                <c:pt idx="669">
                  <c:v>6.0989130434782567E-2</c:v>
                </c:pt>
                <c:pt idx="670">
                  <c:v>5.9322463768115959E-2</c:v>
                </c:pt>
                <c:pt idx="671">
                  <c:v>5.6902173913043454E-2</c:v>
                </c:pt>
                <c:pt idx="672">
                  <c:v>5.6612318840579628E-2</c:v>
                </c:pt>
                <c:pt idx="673">
                  <c:v>5.371376811594207E-2</c:v>
                </c:pt>
                <c:pt idx="674">
                  <c:v>5.6452898550724641E-2</c:v>
                </c:pt>
                <c:pt idx="675">
                  <c:v>5.5554347826086981E-2</c:v>
                </c:pt>
                <c:pt idx="676">
                  <c:v>5.6003623188405835E-2</c:v>
                </c:pt>
                <c:pt idx="677">
                  <c:v>5.4974637681159462E-2</c:v>
                </c:pt>
                <c:pt idx="678">
                  <c:v>5.5554347826087008E-2</c:v>
                </c:pt>
                <c:pt idx="679">
                  <c:v>5.5583333333333353E-2</c:v>
                </c:pt>
                <c:pt idx="680">
                  <c:v>5.4336956521739144E-2</c:v>
                </c:pt>
                <c:pt idx="681">
                  <c:v>5.5989130434782569E-2</c:v>
                </c:pt>
                <c:pt idx="682">
                  <c:v>5.5322463768115969E-2</c:v>
                </c:pt>
                <c:pt idx="683">
                  <c:v>5.3902173913043444E-2</c:v>
                </c:pt>
                <c:pt idx="684">
                  <c:v>5.061231884057963E-2</c:v>
                </c:pt>
                <c:pt idx="685">
                  <c:v>5.1713768115942069E-2</c:v>
                </c:pt>
                <c:pt idx="686">
                  <c:v>5.0452898550724649E-2</c:v>
                </c:pt>
                <c:pt idx="687">
                  <c:v>5.0554347826086976E-2</c:v>
                </c:pt>
                <c:pt idx="688">
                  <c:v>5.2003623188405838E-2</c:v>
                </c:pt>
                <c:pt idx="689">
                  <c:v>4.8974637681159471E-2</c:v>
                </c:pt>
                <c:pt idx="690">
                  <c:v>5.0554347826087011E-2</c:v>
                </c:pt>
                <c:pt idx="691">
                  <c:v>5.0583333333333348E-2</c:v>
                </c:pt>
                <c:pt idx="692">
                  <c:v>5.1336956521739148E-2</c:v>
                </c:pt>
                <c:pt idx="693">
                  <c:v>5.0989130434782572E-2</c:v>
                </c:pt>
                <c:pt idx="694">
                  <c:v>5.1322463768115965E-2</c:v>
                </c:pt>
                <c:pt idx="695">
                  <c:v>4.8902173913043447E-2</c:v>
                </c:pt>
                <c:pt idx="696">
                  <c:v>4.4612318840579625E-2</c:v>
                </c:pt>
                <c:pt idx="697">
                  <c:v>4.4713768115942069E-2</c:v>
                </c:pt>
                <c:pt idx="698">
                  <c:v>4.4452898550724644E-2</c:v>
                </c:pt>
                <c:pt idx="699">
                  <c:v>4.6554347826086973E-2</c:v>
                </c:pt>
                <c:pt idx="700">
                  <c:v>4.7003623188405841E-2</c:v>
                </c:pt>
                <c:pt idx="701">
                  <c:v>4.4974637681159467E-2</c:v>
                </c:pt>
                <c:pt idx="702">
                  <c:v>4.8554347826087009E-2</c:v>
                </c:pt>
                <c:pt idx="703">
                  <c:v>4.7583333333333346E-2</c:v>
                </c:pt>
                <c:pt idx="704">
                  <c:v>4.7336956521739151E-2</c:v>
                </c:pt>
                <c:pt idx="705">
                  <c:v>4.5989130434782567E-2</c:v>
                </c:pt>
                <c:pt idx="706">
                  <c:v>4.6322463768115961E-2</c:v>
                </c:pt>
                <c:pt idx="707">
                  <c:v>4.5902173913043444E-2</c:v>
                </c:pt>
                <c:pt idx="708">
                  <c:v>4.3612318840579631E-2</c:v>
                </c:pt>
                <c:pt idx="709">
                  <c:v>4.2713768115942075E-2</c:v>
                </c:pt>
                <c:pt idx="710">
                  <c:v>4.1452898550724641E-2</c:v>
                </c:pt>
                <c:pt idx="711">
                  <c:v>4.4554347826086971E-2</c:v>
                </c:pt>
                <c:pt idx="712">
                  <c:v>4.6003623188405833E-2</c:v>
                </c:pt>
                <c:pt idx="713">
                  <c:v>4.3974637681159466E-2</c:v>
                </c:pt>
                <c:pt idx="714">
                  <c:v>4.7554347826087008E-2</c:v>
                </c:pt>
                <c:pt idx="715">
                  <c:v>4.7583333333333346E-2</c:v>
                </c:pt>
                <c:pt idx="716">
                  <c:v>4.8336956521739145E-2</c:v>
                </c:pt>
                <c:pt idx="717">
                  <c:v>4.8989130434782577E-2</c:v>
                </c:pt>
                <c:pt idx="718">
                  <c:v>4.8322463768115963E-2</c:v>
                </c:pt>
                <c:pt idx="719">
                  <c:v>5.0902173913043448E-2</c:v>
                </c:pt>
                <c:pt idx="720">
                  <c:v>4.7612318840579634E-2</c:v>
                </c:pt>
                <c:pt idx="721">
                  <c:v>4.5713768115942077E-2</c:v>
                </c:pt>
                <c:pt idx="722">
                  <c:v>4.8452898550724648E-2</c:v>
                </c:pt>
                <c:pt idx="723">
                  <c:v>4.9554347826086975E-2</c:v>
                </c:pt>
                <c:pt idx="724">
                  <c:v>5.5003623188405841E-2</c:v>
                </c:pt>
                <c:pt idx="725">
                  <c:v>5.3974637681159468E-2</c:v>
                </c:pt>
                <c:pt idx="726">
                  <c:v>5.8554347826087004E-2</c:v>
                </c:pt>
                <c:pt idx="727">
                  <c:v>6.2583333333333352E-2</c:v>
                </c:pt>
                <c:pt idx="728">
                  <c:v>6.3336956521739152E-2</c:v>
                </c:pt>
                <c:pt idx="729">
                  <c:v>6.5989130434782578E-2</c:v>
                </c:pt>
                <c:pt idx="730">
                  <c:v>6.832246376811596E-2</c:v>
                </c:pt>
                <c:pt idx="731">
                  <c:v>7.3902173913043434E-2</c:v>
                </c:pt>
                <c:pt idx="732">
                  <c:v>7.8612318840579634E-2</c:v>
                </c:pt>
                <c:pt idx="733">
                  <c:v>8.2713768115942082E-2</c:v>
                </c:pt>
                <c:pt idx="734">
                  <c:v>8.6452898550724633E-2</c:v>
                </c:pt>
                <c:pt idx="735">
                  <c:v>8.7554347826086967E-2</c:v>
                </c:pt>
                <c:pt idx="736">
                  <c:v>9.4003623188405827E-2</c:v>
                </c:pt>
                <c:pt idx="737">
                  <c:v>9.3974637681159462E-2</c:v>
                </c:pt>
                <c:pt idx="738">
                  <c:v>9.5554347826086988E-2</c:v>
                </c:pt>
                <c:pt idx="739">
                  <c:v>9.7583333333333355E-2</c:v>
                </c:pt>
                <c:pt idx="740">
                  <c:v>9.8336956521739155E-2</c:v>
                </c:pt>
                <c:pt idx="741">
                  <c:v>9.998913043478258E-2</c:v>
                </c:pt>
                <c:pt idx="742">
                  <c:v>9.7322463768115958E-2</c:v>
                </c:pt>
                <c:pt idx="743">
                  <c:v>9.9902173913043429E-2</c:v>
                </c:pt>
                <c:pt idx="744">
                  <c:v>9.9612318840579625E-2</c:v>
                </c:pt>
                <c:pt idx="745">
                  <c:v>9.7713768115942082E-2</c:v>
                </c:pt>
                <c:pt idx="746">
                  <c:v>9.8452898550724643E-2</c:v>
                </c:pt>
                <c:pt idx="747">
                  <c:v>9.6554347826086975E-2</c:v>
                </c:pt>
                <c:pt idx="748">
                  <c:v>9.6003623188405857E-2</c:v>
                </c:pt>
                <c:pt idx="749">
                  <c:v>9.2974637681159461E-2</c:v>
                </c:pt>
                <c:pt idx="750">
                  <c:v>9.5554347826086988E-2</c:v>
                </c:pt>
                <c:pt idx="751">
                  <c:v>9.6583333333333354E-2</c:v>
                </c:pt>
                <c:pt idx="752">
                  <c:v>9.5336956521739152E-2</c:v>
                </c:pt>
                <c:pt idx="753">
                  <c:v>9.4989130434782576E-2</c:v>
                </c:pt>
                <c:pt idx="754">
                  <c:v>9.6322463768115985E-2</c:v>
                </c:pt>
                <c:pt idx="755">
                  <c:v>9.3902173913043452E-2</c:v>
                </c:pt>
                <c:pt idx="756">
                  <c:v>9.1612318840579632E-2</c:v>
                </c:pt>
                <c:pt idx="757">
                  <c:v>8.8713768115942074E-2</c:v>
                </c:pt>
                <c:pt idx="758">
                  <c:v>8.8452898550724635E-2</c:v>
                </c:pt>
                <c:pt idx="759">
                  <c:v>8.8554347826086968E-2</c:v>
                </c:pt>
                <c:pt idx="760">
                  <c:v>9.0003623188405824E-2</c:v>
                </c:pt>
                <c:pt idx="761">
                  <c:v>8.9974637681159486E-2</c:v>
                </c:pt>
                <c:pt idx="762">
                  <c:v>9.1554347826087012E-2</c:v>
                </c:pt>
                <c:pt idx="763">
                  <c:v>9.2583333333333351E-2</c:v>
                </c:pt>
                <c:pt idx="764">
                  <c:v>9.1336956521739149E-2</c:v>
                </c:pt>
                <c:pt idx="765">
                  <c:v>8.9989130434782572E-2</c:v>
                </c:pt>
                <c:pt idx="766">
                  <c:v>8.5322463768115947E-2</c:v>
                </c:pt>
                <c:pt idx="767">
                  <c:v>8.5902173913043445E-2</c:v>
                </c:pt>
                <c:pt idx="768">
                  <c:v>8.1612318840579637E-2</c:v>
                </c:pt>
                <c:pt idx="769">
                  <c:v>8.0713768115942067E-2</c:v>
                </c:pt>
                <c:pt idx="770">
                  <c:v>8.0452898550724655E-2</c:v>
                </c:pt>
                <c:pt idx="771">
                  <c:v>7.8554347826086973E-2</c:v>
                </c:pt>
                <c:pt idx="772">
                  <c:v>8.2003623188405844E-2</c:v>
                </c:pt>
                <c:pt idx="773">
                  <c:v>8.0974637681159478E-2</c:v>
                </c:pt>
                <c:pt idx="774">
                  <c:v>8.4554347826087006E-2</c:v>
                </c:pt>
                <c:pt idx="775">
                  <c:v>8.3583333333333343E-2</c:v>
                </c:pt>
                <c:pt idx="776">
                  <c:v>7.9336956521739138E-2</c:v>
                </c:pt>
                <c:pt idx="777">
                  <c:v>7.9989130434782563E-2</c:v>
                </c:pt>
                <c:pt idx="778">
                  <c:v>7.7322463768115968E-2</c:v>
                </c:pt>
                <c:pt idx="779">
                  <c:v>7.8902173913043439E-2</c:v>
                </c:pt>
                <c:pt idx="780">
                  <c:v>7.8612318840579634E-2</c:v>
                </c:pt>
                <c:pt idx="781">
                  <c:v>7.4713768115942075E-2</c:v>
                </c:pt>
                <c:pt idx="782">
                  <c:v>7.2452898550724648E-2</c:v>
                </c:pt>
                <c:pt idx="783">
                  <c:v>7.2554347826086968E-2</c:v>
                </c:pt>
                <c:pt idx="784">
                  <c:v>7.6003623188405839E-2</c:v>
                </c:pt>
                <c:pt idx="785">
                  <c:v>7.4974637681159473E-2</c:v>
                </c:pt>
                <c:pt idx="786">
                  <c:v>7.5554347826086998E-2</c:v>
                </c:pt>
                <c:pt idx="787">
                  <c:v>7.4583333333333335E-2</c:v>
                </c:pt>
                <c:pt idx="788">
                  <c:v>7.3336956521739161E-2</c:v>
                </c:pt>
                <c:pt idx="789">
                  <c:v>7.4989130434782586E-2</c:v>
                </c:pt>
                <c:pt idx="790">
                  <c:v>6.9322463768115961E-2</c:v>
                </c:pt>
                <c:pt idx="791">
                  <c:v>6.7902173913043457E-2</c:v>
                </c:pt>
                <c:pt idx="792">
                  <c:v>6.3612318840579635E-2</c:v>
                </c:pt>
                <c:pt idx="793">
                  <c:v>6.3713768115942079E-2</c:v>
                </c:pt>
                <c:pt idx="794">
                  <c:v>6.4452898550724641E-2</c:v>
                </c:pt>
                <c:pt idx="795">
                  <c:v>6.0554347826086978E-2</c:v>
                </c:pt>
                <c:pt idx="796">
                  <c:v>6.4003623188405828E-2</c:v>
                </c:pt>
                <c:pt idx="797">
                  <c:v>5.9974637681159466E-2</c:v>
                </c:pt>
                <c:pt idx="798">
                  <c:v>6.3554347826087015E-2</c:v>
                </c:pt>
                <c:pt idx="799">
                  <c:v>6.4583333333333354E-2</c:v>
                </c:pt>
                <c:pt idx="800">
                  <c:v>6.0336956521739149E-2</c:v>
                </c:pt>
                <c:pt idx="801">
                  <c:v>5.9989130434782573E-2</c:v>
                </c:pt>
                <c:pt idx="802">
                  <c:v>5.8322463768115965E-2</c:v>
                </c:pt>
                <c:pt idx="803">
                  <c:v>5.6902173913043454E-2</c:v>
                </c:pt>
                <c:pt idx="804">
                  <c:v>5.4612318840579627E-2</c:v>
                </c:pt>
                <c:pt idx="805">
                  <c:v>5.1713768115942069E-2</c:v>
                </c:pt>
                <c:pt idx="806">
                  <c:v>5.2452898550724637E-2</c:v>
                </c:pt>
                <c:pt idx="807">
                  <c:v>5.2554347826086971E-2</c:v>
                </c:pt>
                <c:pt idx="808">
                  <c:v>5.6003623188405835E-2</c:v>
                </c:pt>
                <c:pt idx="809">
                  <c:v>5.1974637681159466E-2</c:v>
                </c:pt>
                <c:pt idx="810">
                  <c:v>5.4554347826087E-2</c:v>
                </c:pt>
                <c:pt idx="811">
                  <c:v>5.3583333333333351E-2</c:v>
                </c:pt>
                <c:pt idx="812">
                  <c:v>5.2336956521739149E-2</c:v>
                </c:pt>
                <c:pt idx="813">
                  <c:v>5.2989130434782573E-2</c:v>
                </c:pt>
                <c:pt idx="814">
                  <c:v>5.1322463768115965E-2</c:v>
                </c:pt>
                <c:pt idx="815">
                  <c:v>5.0902173913043448E-2</c:v>
                </c:pt>
                <c:pt idx="816">
                  <c:v>4.6612318840579627E-2</c:v>
                </c:pt>
                <c:pt idx="817">
                  <c:v>4.5713768115942077E-2</c:v>
                </c:pt>
                <c:pt idx="818">
                  <c:v>4.745289855072464E-2</c:v>
                </c:pt>
                <c:pt idx="819">
                  <c:v>4.8554347826086974E-2</c:v>
                </c:pt>
                <c:pt idx="820">
                  <c:v>4.8003623188405835E-2</c:v>
                </c:pt>
                <c:pt idx="821">
                  <c:v>4.7974637681159463E-2</c:v>
                </c:pt>
                <c:pt idx="822">
                  <c:v>4.9554347826087003E-2</c:v>
                </c:pt>
                <c:pt idx="823">
                  <c:v>5.1583333333333349E-2</c:v>
                </c:pt>
                <c:pt idx="824">
                  <c:v>5.1336956521739148E-2</c:v>
                </c:pt>
                <c:pt idx="825">
                  <c:v>5.1989130434782573E-2</c:v>
                </c:pt>
                <c:pt idx="826">
                  <c:v>4.7322463768115969E-2</c:v>
                </c:pt>
                <c:pt idx="827">
                  <c:v>4.7902173913043446E-2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89-42A1-BDC2-FAF56235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20552"/>
        <c:axId val="796815960"/>
      </c:scatterChart>
      <c:scatterChart>
        <c:scatterStyle val="lineMarker"/>
        <c:varyColors val="0"/>
        <c:ser>
          <c:idx val="1"/>
          <c:order val="1"/>
          <c:tx>
            <c:strRef>
              <c:f>'Chart Data'!$C$1</c:f>
              <c:strCache>
                <c:ptCount val="1"/>
                <c:pt idx="0">
                  <c:v>Seasonal Unenemployment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Data'!$A$2:$A$830</c:f>
              <c:numCache>
                <c:formatCode>mm/yy</c:formatCode>
                <c:ptCount val="82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</c:numCache>
            </c:numRef>
          </c:xVal>
          <c:yVal>
            <c:numRef>
              <c:f>'Chart Data'!$C$2:$C$830</c:f>
              <c:numCache>
                <c:formatCode>0%</c:formatCode>
                <c:ptCount val="829"/>
                <c:pt idx="0">
                  <c:v>6.4492753623188417E-2</c:v>
                </c:pt>
                <c:pt idx="1">
                  <c:v>6.4391304347825973E-2</c:v>
                </c:pt>
                <c:pt idx="2">
                  <c:v>6.1652173913043402E-2</c:v>
                </c:pt>
                <c:pt idx="3">
                  <c:v>5.6550724637681071E-2</c:v>
                </c:pt>
                <c:pt idx="4">
                  <c:v>5.5101449275362209E-2</c:v>
                </c:pt>
                <c:pt idx="5">
                  <c:v>6.1130434782608579E-2</c:v>
                </c:pt>
                <c:pt idx="6">
                  <c:v>5.9550724637681039E-2</c:v>
                </c:pt>
                <c:pt idx="7">
                  <c:v>5.6521739130434699E-2</c:v>
                </c:pt>
                <c:pt idx="8">
                  <c:v>5.4768115942028898E-2</c:v>
                </c:pt>
                <c:pt idx="9">
                  <c:v>5.3115942028985473E-2</c:v>
                </c:pt>
                <c:pt idx="10">
                  <c:v>5.4782608695652081E-2</c:v>
                </c:pt>
                <c:pt idx="11">
                  <c:v>5.5202898550724598E-2</c:v>
                </c:pt>
                <c:pt idx="12">
                  <c:v>6.4492753623188417E-2</c:v>
                </c:pt>
                <c:pt idx="13">
                  <c:v>6.4391304347825973E-2</c:v>
                </c:pt>
                <c:pt idx="14">
                  <c:v>6.1652173913043402E-2</c:v>
                </c:pt>
                <c:pt idx="15">
                  <c:v>5.6550724637681071E-2</c:v>
                </c:pt>
                <c:pt idx="16">
                  <c:v>5.5101449275362209E-2</c:v>
                </c:pt>
                <c:pt idx="17">
                  <c:v>6.1130434782608579E-2</c:v>
                </c:pt>
                <c:pt idx="18">
                  <c:v>5.9550724637681039E-2</c:v>
                </c:pt>
                <c:pt idx="19">
                  <c:v>5.6521739130434699E-2</c:v>
                </c:pt>
                <c:pt idx="20">
                  <c:v>5.4768115942028898E-2</c:v>
                </c:pt>
                <c:pt idx="21">
                  <c:v>5.3115942028985473E-2</c:v>
                </c:pt>
                <c:pt idx="22">
                  <c:v>5.4782608695652081E-2</c:v>
                </c:pt>
                <c:pt idx="23">
                  <c:v>5.5202898550724598E-2</c:v>
                </c:pt>
                <c:pt idx="24">
                  <c:v>6.4492753623188417E-2</c:v>
                </c:pt>
                <c:pt idx="25">
                  <c:v>6.4391304347825973E-2</c:v>
                </c:pt>
                <c:pt idx="26">
                  <c:v>6.1652173913043402E-2</c:v>
                </c:pt>
                <c:pt idx="27">
                  <c:v>5.6550724637681071E-2</c:v>
                </c:pt>
                <c:pt idx="28">
                  <c:v>5.5101449275362209E-2</c:v>
                </c:pt>
                <c:pt idx="29">
                  <c:v>6.1130434782608579E-2</c:v>
                </c:pt>
                <c:pt idx="30">
                  <c:v>5.9550724637681039E-2</c:v>
                </c:pt>
                <c:pt idx="31">
                  <c:v>5.6521739130434699E-2</c:v>
                </c:pt>
                <c:pt idx="32">
                  <c:v>5.4768115942028898E-2</c:v>
                </c:pt>
                <c:pt idx="33">
                  <c:v>5.3115942028985473E-2</c:v>
                </c:pt>
                <c:pt idx="34">
                  <c:v>5.4782608695652081E-2</c:v>
                </c:pt>
                <c:pt idx="35">
                  <c:v>5.5202898550724598E-2</c:v>
                </c:pt>
                <c:pt idx="36">
                  <c:v>6.4492753623188417E-2</c:v>
                </c:pt>
                <c:pt idx="37">
                  <c:v>6.4391304347825973E-2</c:v>
                </c:pt>
                <c:pt idx="38">
                  <c:v>6.1652173913043402E-2</c:v>
                </c:pt>
                <c:pt idx="39">
                  <c:v>5.6550724637681071E-2</c:v>
                </c:pt>
                <c:pt idx="40">
                  <c:v>5.5101449275362209E-2</c:v>
                </c:pt>
                <c:pt idx="41">
                  <c:v>6.1130434782608579E-2</c:v>
                </c:pt>
                <c:pt idx="42">
                  <c:v>5.9550724637681039E-2</c:v>
                </c:pt>
                <c:pt idx="43">
                  <c:v>5.6521739130434699E-2</c:v>
                </c:pt>
                <c:pt idx="44">
                  <c:v>5.4768115942028898E-2</c:v>
                </c:pt>
                <c:pt idx="45">
                  <c:v>5.3115942028985473E-2</c:v>
                </c:pt>
                <c:pt idx="46">
                  <c:v>5.4782608695652081E-2</c:v>
                </c:pt>
                <c:pt idx="47">
                  <c:v>5.5202898550724598E-2</c:v>
                </c:pt>
                <c:pt idx="48">
                  <c:v>6.4492753623188417E-2</c:v>
                </c:pt>
                <c:pt idx="49">
                  <c:v>6.4391304347825973E-2</c:v>
                </c:pt>
                <c:pt idx="50">
                  <c:v>6.1652173913043402E-2</c:v>
                </c:pt>
                <c:pt idx="51">
                  <c:v>5.6550724637681071E-2</c:v>
                </c:pt>
                <c:pt idx="52">
                  <c:v>5.5101449275362209E-2</c:v>
                </c:pt>
                <c:pt idx="53">
                  <c:v>6.1130434782608579E-2</c:v>
                </c:pt>
                <c:pt idx="54">
                  <c:v>5.9550724637681039E-2</c:v>
                </c:pt>
                <c:pt idx="55">
                  <c:v>5.6521739130434699E-2</c:v>
                </c:pt>
                <c:pt idx="56">
                  <c:v>5.4768115942028898E-2</c:v>
                </c:pt>
                <c:pt idx="57">
                  <c:v>5.3115942028985473E-2</c:v>
                </c:pt>
                <c:pt idx="58">
                  <c:v>5.4782608695652081E-2</c:v>
                </c:pt>
                <c:pt idx="59">
                  <c:v>5.5202898550724598E-2</c:v>
                </c:pt>
                <c:pt idx="60">
                  <c:v>6.4492753623188417E-2</c:v>
                </c:pt>
                <c:pt idx="61">
                  <c:v>6.4391304347825973E-2</c:v>
                </c:pt>
                <c:pt idx="62">
                  <c:v>6.1652173913043402E-2</c:v>
                </c:pt>
                <c:pt idx="63">
                  <c:v>5.6550724637681071E-2</c:v>
                </c:pt>
                <c:pt idx="64">
                  <c:v>5.5101449275362209E-2</c:v>
                </c:pt>
                <c:pt idx="65">
                  <c:v>6.1130434782608579E-2</c:v>
                </c:pt>
                <c:pt idx="66">
                  <c:v>5.9550724637681039E-2</c:v>
                </c:pt>
                <c:pt idx="67">
                  <c:v>5.6521739130434699E-2</c:v>
                </c:pt>
                <c:pt idx="68">
                  <c:v>5.4768115942028898E-2</c:v>
                </c:pt>
                <c:pt idx="69">
                  <c:v>5.3115942028985473E-2</c:v>
                </c:pt>
                <c:pt idx="70">
                  <c:v>5.4782608695652081E-2</c:v>
                </c:pt>
                <c:pt idx="71">
                  <c:v>5.5202898550724598E-2</c:v>
                </c:pt>
                <c:pt idx="72">
                  <c:v>6.4492753623188417E-2</c:v>
                </c:pt>
                <c:pt idx="73">
                  <c:v>6.4391304347825973E-2</c:v>
                </c:pt>
                <c:pt idx="74">
                  <c:v>6.1652173913043402E-2</c:v>
                </c:pt>
                <c:pt idx="75">
                  <c:v>5.6550724637681071E-2</c:v>
                </c:pt>
                <c:pt idx="76">
                  <c:v>5.5101449275362209E-2</c:v>
                </c:pt>
                <c:pt idx="77">
                  <c:v>6.1130434782608579E-2</c:v>
                </c:pt>
                <c:pt idx="78">
                  <c:v>5.9550724637681039E-2</c:v>
                </c:pt>
                <c:pt idx="79">
                  <c:v>5.6521739130434699E-2</c:v>
                </c:pt>
                <c:pt idx="80">
                  <c:v>5.4768115942028898E-2</c:v>
                </c:pt>
                <c:pt idx="81">
                  <c:v>5.3115942028985473E-2</c:v>
                </c:pt>
                <c:pt idx="82">
                  <c:v>5.4782608695652081E-2</c:v>
                </c:pt>
                <c:pt idx="83">
                  <c:v>5.5202898550724598E-2</c:v>
                </c:pt>
                <c:pt idx="84">
                  <c:v>6.4492753623188417E-2</c:v>
                </c:pt>
                <c:pt idx="85">
                  <c:v>6.4391304347825973E-2</c:v>
                </c:pt>
                <c:pt idx="86">
                  <c:v>6.1652173913043402E-2</c:v>
                </c:pt>
                <c:pt idx="87">
                  <c:v>5.6550724637681071E-2</c:v>
                </c:pt>
                <c:pt idx="88">
                  <c:v>5.5101449275362209E-2</c:v>
                </c:pt>
                <c:pt idx="89">
                  <c:v>6.1130434782608579E-2</c:v>
                </c:pt>
                <c:pt idx="90">
                  <c:v>5.9550724637681039E-2</c:v>
                </c:pt>
                <c:pt idx="91">
                  <c:v>5.6521739130434699E-2</c:v>
                </c:pt>
                <c:pt idx="92">
                  <c:v>5.4768115942028898E-2</c:v>
                </c:pt>
                <c:pt idx="93">
                  <c:v>5.3115942028985473E-2</c:v>
                </c:pt>
                <c:pt idx="94">
                  <c:v>5.4782608695652081E-2</c:v>
                </c:pt>
                <c:pt idx="95">
                  <c:v>5.5202898550724598E-2</c:v>
                </c:pt>
                <c:pt idx="96">
                  <c:v>6.4492753623188417E-2</c:v>
                </c:pt>
                <c:pt idx="97">
                  <c:v>6.4391304347825973E-2</c:v>
                </c:pt>
                <c:pt idx="98">
                  <c:v>6.1652173913043402E-2</c:v>
                </c:pt>
                <c:pt idx="99">
                  <c:v>5.6550724637681071E-2</c:v>
                </c:pt>
                <c:pt idx="100">
                  <c:v>5.5101449275362209E-2</c:v>
                </c:pt>
                <c:pt idx="101">
                  <c:v>6.1130434782608579E-2</c:v>
                </c:pt>
                <c:pt idx="102">
                  <c:v>5.9550724637681039E-2</c:v>
                </c:pt>
                <c:pt idx="103">
                  <c:v>5.6521739130434699E-2</c:v>
                </c:pt>
                <c:pt idx="104">
                  <c:v>5.4768115942028898E-2</c:v>
                </c:pt>
                <c:pt idx="105">
                  <c:v>5.3115942028985473E-2</c:v>
                </c:pt>
                <c:pt idx="106">
                  <c:v>5.4782608695652081E-2</c:v>
                </c:pt>
                <c:pt idx="107">
                  <c:v>5.5202898550724598E-2</c:v>
                </c:pt>
                <c:pt idx="108">
                  <c:v>6.4492753623188417E-2</c:v>
                </c:pt>
                <c:pt idx="109">
                  <c:v>6.4391304347825973E-2</c:v>
                </c:pt>
                <c:pt idx="110">
                  <c:v>6.1652173913043402E-2</c:v>
                </c:pt>
                <c:pt idx="111">
                  <c:v>5.6550724637681071E-2</c:v>
                </c:pt>
                <c:pt idx="112">
                  <c:v>5.5101449275362209E-2</c:v>
                </c:pt>
                <c:pt idx="113">
                  <c:v>6.1130434782608579E-2</c:v>
                </c:pt>
                <c:pt idx="114">
                  <c:v>5.9550724637681039E-2</c:v>
                </c:pt>
                <c:pt idx="115">
                  <c:v>5.6521739130434699E-2</c:v>
                </c:pt>
                <c:pt idx="116">
                  <c:v>5.4768115942028898E-2</c:v>
                </c:pt>
                <c:pt idx="117">
                  <c:v>5.3115942028985473E-2</c:v>
                </c:pt>
                <c:pt idx="118">
                  <c:v>5.4782608695652081E-2</c:v>
                </c:pt>
                <c:pt idx="119">
                  <c:v>5.5202898550724598E-2</c:v>
                </c:pt>
                <c:pt idx="120">
                  <c:v>6.4492753623188417E-2</c:v>
                </c:pt>
                <c:pt idx="121">
                  <c:v>6.4391304347825973E-2</c:v>
                </c:pt>
                <c:pt idx="122">
                  <c:v>6.1652173913043402E-2</c:v>
                </c:pt>
                <c:pt idx="123">
                  <c:v>5.6550724637681071E-2</c:v>
                </c:pt>
                <c:pt idx="124">
                  <c:v>5.5101449275362209E-2</c:v>
                </c:pt>
                <c:pt idx="125">
                  <c:v>6.1130434782608579E-2</c:v>
                </c:pt>
                <c:pt idx="126">
                  <c:v>5.9550724637681039E-2</c:v>
                </c:pt>
                <c:pt idx="127">
                  <c:v>5.6521739130434699E-2</c:v>
                </c:pt>
                <c:pt idx="128">
                  <c:v>5.4768115942028898E-2</c:v>
                </c:pt>
                <c:pt idx="129">
                  <c:v>5.3115942028985473E-2</c:v>
                </c:pt>
                <c:pt idx="130">
                  <c:v>5.4782608695652081E-2</c:v>
                </c:pt>
                <c:pt idx="131">
                  <c:v>5.5202898550724598E-2</c:v>
                </c:pt>
                <c:pt idx="132">
                  <c:v>6.4492753623188417E-2</c:v>
                </c:pt>
                <c:pt idx="133">
                  <c:v>6.4391304347825973E-2</c:v>
                </c:pt>
                <c:pt idx="134">
                  <c:v>6.1652173913043402E-2</c:v>
                </c:pt>
                <c:pt idx="135">
                  <c:v>5.6550724637681071E-2</c:v>
                </c:pt>
                <c:pt idx="136">
                  <c:v>5.5101449275362209E-2</c:v>
                </c:pt>
                <c:pt idx="137">
                  <c:v>6.1130434782608579E-2</c:v>
                </c:pt>
                <c:pt idx="138">
                  <c:v>5.9550724637681039E-2</c:v>
                </c:pt>
                <c:pt idx="139">
                  <c:v>5.6521739130434699E-2</c:v>
                </c:pt>
                <c:pt idx="140">
                  <c:v>5.4768115942028898E-2</c:v>
                </c:pt>
                <c:pt idx="141">
                  <c:v>5.3115942028985473E-2</c:v>
                </c:pt>
                <c:pt idx="142">
                  <c:v>5.4782608695652081E-2</c:v>
                </c:pt>
                <c:pt idx="143">
                  <c:v>5.5202898550724598E-2</c:v>
                </c:pt>
                <c:pt idx="144">
                  <c:v>6.4492753623188417E-2</c:v>
                </c:pt>
                <c:pt idx="145">
                  <c:v>6.4391304347825973E-2</c:v>
                </c:pt>
                <c:pt idx="146">
                  <c:v>6.1652173913043402E-2</c:v>
                </c:pt>
                <c:pt idx="147">
                  <c:v>5.6550724637681071E-2</c:v>
                </c:pt>
                <c:pt idx="148">
                  <c:v>5.5101449275362209E-2</c:v>
                </c:pt>
                <c:pt idx="149">
                  <c:v>6.1130434782608579E-2</c:v>
                </c:pt>
                <c:pt idx="150">
                  <c:v>5.9550724637681039E-2</c:v>
                </c:pt>
                <c:pt idx="151">
                  <c:v>5.6521739130434699E-2</c:v>
                </c:pt>
                <c:pt idx="152">
                  <c:v>5.4768115942028898E-2</c:v>
                </c:pt>
                <c:pt idx="153">
                  <c:v>5.3115942028985473E-2</c:v>
                </c:pt>
                <c:pt idx="154">
                  <c:v>5.4782608695652081E-2</c:v>
                </c:pt>
                <c:pt idx="155">
                  <c:v>5.5202898550724598E-2</c:v>
                </c:pt>
                <c:pt idx="156">
                  <c:v>6.4492753623188417E-2</c:v>
                </c:pt>
                <c:pt idx="157">
                  <c:v>6.4391304347825973E-2</c:v>
                </c:pt>
                <c:pt idx="158">
                  <c:v>6.1652173913043402E-2</c:v>
                </c:pt>
                <c:pt idx="159">
                  <c:v>5.6550724637681071E-2</c:v>
                </c:pt>
                <c:pt idx="160">
                  <c:v>5.5101449275362209E-2</c:v>
                </c:pt>
                <c:pt idx="161">
                  <c:v>6.1130434782608579E-2</c:v>
                </c:pt>
                <c:pt idx="162">
                  <c:v>5.9550724637681039E-2</c:v>
                </c:pt>
                <c:pt idx="163">
                  <c:v>5.6521739130434699E-2</c:v>
                </c:pt>
                <c:pt idx="164">
                  <c:v>5.4768115942028898E-2</c:v>
                </c:pt>
                <c:pt idx="165">
                  <c:v>5.3115942028985473E-2</c:v>
                </c:pt>
                <c:pt idx="166">
                  <c:v>5.4782608695652081E-2</c:v>
                </c:pt>
                <c:pt idx="167">
                  <c:v>5.5202898550724598E-2</c:v>
                </c:pt>
                <c:pt idx="168">
                  <c:v>6.4492753623188417E-2</c:v>
                </c:pt>
                <c:pt idx="169">
                  <c:v>6.4391304347825973E-2</c:v>
                </c:pt>
                <c:pt idx="170">
                  <c:v>6.1652173913043402E-2</c:v>
                </c:pt>
                <c:pt idx="171">
                  <c:v>5.6550724637681071E-2</c:v>
                </c:pt>
                <c:pt idx="172">
                  <c:v>5.5101449275362209E-2</c:v>
                </c:pt>
                <c:pt idx="173">
                  <c:v>6.1130434782608579E-2</c:v>
                </c:pt>
                <c:pt idx="174">
                  <c:v>5.9550724637681039E-2</c:v>
                </c:pt>
                <c:pt idx="175">
                  <c:v>5.6521739130434699E-2</c:v>
                </c:pt>
                <c:pt idx="176">
                  <c:v>5.4768115942028898E-2</c:v>
                </c:pt>
                <c:pt idx="177">
                  <c:v>5.3115942028985473E-2</c:v>
                </c:pt>
                <c:pt idx="178">
                  <c:v>5.4782608695652081E-2</c:v>
                </c:pt>
                <c:pt idx="179">
                  <c:v>5.5202898550724598E-2</c:v>
                </c:pt>
                <c:pt idx="180">
                  <c:v>6.4492753623188417E-2</c:v>
                </c:pt>
                <c:pt idx="181">
                  <c:v>6.4391304347825973E-2</c:v>
                </c:pt>
                <c:pt idx="182">
                  <c:v>6.1652173913043402E-2</c:v>
                </c:pt>
                <c:pt idx="183">
                  <c:v>5.6550724637681071E-2</c:v>
                </c:pt>
                <c:pt idx="184">
                  <c:v>5.5101449275362209E-2</c:v>
                </c:pt>
                <c:pt idx="185">
                  <c:v>6.1130434782608579E-2</c:v>
                </c:pt>
                <c:pt idx="186">
                  <c:v>5.9550724637681039E-2</c:v>
                </c:pt>
                <c:pt idx="187">
                  <c:v>5.6521739130434699E-2</c:v>
                </c:pt>
                <c:pt idx="188">
                  <c:v>5.4768115942028898E-2</c:v>
                </c:pt>
                <c:pt idx="189">
                  <c:v>5.3115942028985473E-2</c:v>
                </c:pt>
                <c:pt idx="190">
                  <c:v>5.4782608695652081E-2</c:v>
                </c:pt>
                <c:pt idx="191">
                  <c:v>5.5202898550724598E-2</c:v>
                </c:pt>
                <c:pt idx="192">
                  <c:v>6.4492753623188417E-2</c:v>
                </c:pt>
                <c:pt idx="193">
                  <c:v>6.4391304347825973E-2</c:v>
                </c:pt>
                <c:pt idx="194">
                  <c:v>6.1652173913043402E-2</c:v>
                </c:pt>
                <c:pt idx="195">
                  <c:v>5.6550724637681071E-2</c:v>
                </c:pt>
                <c:pt idx="196">
                  <c:v>5.5101449275362209E-2</c:v>
                </c:pt>
                <c:pt idx="197">
                  <c:v>6.1130434782608579E-2</c:v>
                </c:pt>
                <c:pt idx="198">
                  <c:v>5.9550724637681039E-2</c:v>
                </c:pt>
                <c:pt idx="199">
                  <c:v>5.6521739130434699E-2</c:v>
                </c:pt>
                <c:pt idx="200">
                  <c:v>5.4768115942028898E-2</c:v>
                </c:pt>
                <c:pt idx="201">
                  <c:v>5.3115942028985473E-2</c:v>
                </c:pt>
                <c:pt idx="202">
                  <c:v>5.4782608695652081E-2</c:v>
                </c:pt>
                <c:pt idx="203">
                  <c:v>5.5202898550724598E-2</c:v>
                </c:pt>
                <c:pt idx="204">
                  <c:v>6.4492753623188417E-2</c:v>
                </c:pt>
                <c:pt idx="205">
                  <c:v>6.4391304347825973E-2</c:v>
                </c:pt>
                <c:pt idx="206">
                  <c:v>6.1652173913043402E-2</c:v>
                </c:pt>
                <c:pt idx="207">
                  <c:v>5.6550724637681071E-2</c:v>
                </c:pt>
                <c:pt idx="208">
                  <c:v>5.5101449275362209E-2</c:v>
                </c:pt>
                <c:pt idx="209">
                  <c:v>6.1130434782608579E-2</c:v>
                </c:pt>
                <c:pt idx="210">
                  <c:v>5.9550724637681039E-2</c:v>
                </c:pt>
                <c:pt idx="211">
                  <c:v>5.6521739130434699E-2</c:v>
                </c:pt>
                <c:pt idx="212">
                  <c:v>5.4768115942028898E-2</c:v>
                </c:pt>
                <c:pt idx="213">
                  <c:v>5.3115942028985473E-2</c:v>
                </c:pt>
                <c:pt idx="214">
                  <c:v>5.4782608695652081E-2</c:v>
                </c:pt>
                <c:pt idx="215">
                  <c:v>5.5202898550724598E-2</c:v>
                </c:pt>
                <c:pt idx="216">
                  <c:v>6.4492753623188417E-2</c:v>
                </c:pt>
                <c:pt idx="217">
                  <c:v>6.4391304347825973E-2</c:v>
                </c:pt>
                <c:pt idx="218">
                  <c:v>6.1652173913043402E-2</c:v>
                </c:pt>
                <c:pt idx="219">
                  <c:v>5.6550724637681071E-2</c:v>
                </c:pt>
                <c:pt idx="220">
                  <c:v>5.5101449275362209E-2</c:v>
                </c:pt>
                <c:pt idx="221">
                  <c:v>6.1130434782608579E-2</c:v>
                </c:pt>
                <c:pt idx="222">
                  <c:v>5.9550724637681039E-2</c:v>
                </c:pt>
                <c:pt idx="223">
                  <c:v>5.6521739130434699E-2</c:v>
                </c:pt>
                <c:pt idx="224">
                  <c:v>5.4768115942028898E-2</c:v>
                </c:pt>
                <c:pt idx="225">
                  <c:v>5.3115942028985473E-2</c:v>
                </c:pt>
                <c:pt idx="226">
                  <c:v>5.4782608695652081E-2</c:v>
                </c:pt>
                <c:pt idx="227">
                  <c:v>5.5202898550724598E-2</c:v>
                </c:pt>
                <c:pt idx="228">
                  <c:v>6.4492753623188417E-2</c:v>
                </c:pt>
                <c:pt idx="229">
                  <c:v>6.4391304347825973E-2</c:v>
                </c:pt>
                <c:pt idx="230">
                  <c:v>6.1652173913043402E-2</c:v>
                </c:pt>
                <c:pt idx="231">
                  <c:v>5.6550724637681071E-2</c:v>
                </c:pt>
                <c:pt idx="232">
                  <c:v>5.5101449275362209E-2</c:v>
                </c:pt>
                <c:pt idx="233">
                  <c:v>6.1130434782608579E-2</c:v>
                </c:pt>
                <c:pt idx="234">
                  <c:v>5.9550724637681039E-2</c:v>
                </c:pt>
                <c:pt idx="235">
                  <c:v>5.6521739130434699E-2</c:v>
                </c:pt>
                <c:pt idx="236">
                  <c:v>5.4768115942028898E-2</c:v>
                </c:pt>
                <c:pt idx="237">
                  <c:v>5.3115942028985473E-2</c:v>
                </c:pt>
                <c:pt idx="238">
                  <c:v>5.4782608695652081E-2</c:v>
                </c:pt>
                <c:pt idx="239">
                  <c:v>5.5202898550724598E-2</c:v>
                </c:pt>
                <c:pt idx="240">
                  <c:v>6.4492753623188417E-2</c:v>
                </c:pt>
                <c:pt idx="241">
                  <c:v>6.4391304347825973E-2</c:v>
                </c:pt>
                <c:pt idx="242">
                  <c:v>6.1652173913043402E-2</c:v>
                </c:pt>
                <c:pt idx="243">
                  <c:v>5.6550724637681071E-2</c:v>
                </c:pt>
                <c:pt idx="244">
                  <c:v>5.5101449275362209E-2</c:v>
                </c:pt>
                <c:pt idx="245">
                  <c:v>6.1130434782608579E-2</c:v>
                </c:pt>
                <c:pt idx="246">
                  <c:v>5.9550724637681039E-2</c:v>
                </c:pt>
                <c:pt idx="247">
                  <c:v>5.6521739130434699E-2</c:v>
                </c:pt>
                <c:pt idx="248">
                  <c:v>5.4768115942028898E-2</c:v>
                </c:pt>
                <c:pt idx="249">
                  <c:v>5.3115942028985473E-2</c:v>
                </c:pt>
                <c:pt idx="250">
                  <c:v>5.4782608695652081E-2</c:v>
                </c:pt>
                <c:pt idx="251">
                  <c:v>5.5202898550724598E-2</c:v>
                </c:pt>
                <c:pt idx="252">
                  <c:v>6.4492753623188417E-2</c:v>
                </c:pt>
                <c:pt idx="253">
                  <c:v>6.4391304347825973E-2</c:v>
                </c:pt>
                <c:pt idx="254">
                  <c:v>6.1652173913043402E-2</c:v>
                </c:pt>
                <c:pt idx="255">
                  <c:v>5.6550724637681071E-2</c:v>
                </c:pt>
                <c:pt idx="256">
                  <c:v>5.5101449275362209E-2</c:v>
                </c:pt>
                <c:pt idx="257">
                  <c:v>6.1130434782608579E-2</c:v>
                </c:pt>
                <c:pt idx="258">
                  <c:v>5.9550724637681039E-2</c:v>
                </c:pt>
                <c:pt idx="259">
                  <c:v>5.6521739130434699E-2</c:v>
                </c:pt>
                <c:pt idx="260">
                  <c:v>5.4768115942028898E-2</c:v>
                </c:pt>
                <c:pt idx="261">
                  <c:v>5.3115942028985473E-2</c:v>
                </c:pt>
                <c:pt idx="262">
                  <c:v>5.4782608695652081E-2</c:v>
                </c:pt>
                <c:pt idx="263">
                  <c:v>5.5202898550724598E-2</c:v>
                </c:pt>
                <c:pt idx="264">
                  <c:v>6.4492753623188417E-2</c:v>
                </c:pt>
                <c:pt idx="265">
                  <c:v>6.4391304347825973E-2</c:v>
                </c:pt>
                <c:pt idx="266">
                  <c:v>6.1652173913043402E-2</c:v>
                </c:pt>
                <c:pt idx="267">
                  <c:v>5.6550724637681071E-2</c:v>
                </c:pt>
                <c:pt idx="268">
                  <c:v>5.5101449275362209E-2</c:v>
                </c:pt>
                <c:pt idx="269">
                  <c:v>6.1130434782608579E-2</c:v>
                </c:pt>
                <c:pt idx="270">
                  <c:v>5.9550724637681039E-2</c:v>
                </c:pt>
                <c:pt idx="271">
                  <c:v>5.6521739130434699E-2</c:v>
                </c:pt>
                <c:pt idx="272">
                  <c:v>5.4768115942028898E-2</c:v>
                </c:pt>
                <c:pt idx="273">
                  <c:v>5.3115942028985473E-2</c:v>
                </c:pt>
                <c:pt idx="274">
                  <c:v>5.4782608695652081E-2</c:v>
                </c:pt>
                <c:pt idx="275">
                  <c:v>5.5202898550724598E-2</c:v>
                </c:pt>
                <c:pt idx="276">
                  <c:v>6.4492753623188417E-2</c:v>
                </c:pt>
                <c:pt idx="277">
                  <c:v>6.4391304347825973E-2</c:v>
                </c:pt>
                <c:pt idx="278">
                  <c:v>6.1652173913043402E-2</c:v>
                </c:pt>
                <c:pt idx="279">
                  <c:v>5.6550724637681071E-2</c:v>
                </c:pt>
                <c:pt idx="280">
                  <c:v>5.5101449275362209E-2</c:v>
                </c:pt>
                <c:pt idx="281">
                  <c:v>6.1130434782608579E-2</c:v>
                </c:pt>
                <c:pt idx="282">
                  <c:v>5.9550724637681039E-2</c:v>
                </c:pt>
                <c:pt idx="283">
                  <c:v>5.6521739130434699E-2</c:v>
                </c:pt>
                <c:pt idx="284">
                  <c:v>5.4768115942028898E-2</c:v>
                </c:pt>
                <c:pt idx="285">
                  <c:v>5.3115942028985473E-2</c:v>
                </c:pt>
                <c:pt idx="286">
                  <c:v>5.4782608695652081E-2</c:v>
                </c:pt>
                <c:pt idx="287">
                  <c:v>5.5202898550724598E-2</c:v>
                </c:pt>
                <c:pt idx="288">
                  <c:v>6.4492753623188417E-2</c:v>
                </c:pt>
                <c:pt idx="289">
                  <c:v>6.4391304347825973E-2</c:v>
                </c:pt>
                <c:pt idx="290">
                  <c:v>6.1652173913043402E-2</c:v>
                </c:pt>
                <c:pt idx="291">
                  <c:v>5.6550724637681071E-2</c:v>
                </c:pt>
                <c:pt idx="292">
                  <c:v>5.5101449275362209E-2</c:v>
                </c:pt>
                <c:pt idx="293">
                  <c:v>6.1130434782608579E-2</c:v>
                </c:pt>
                <c:pt idx="294">
                  <c:v>5.9550724637681039E-2</c:v>
                </c:pt>
                <c:pt idx="295">
                  <c:v>5.6521739130434699E-2</c:v>
                </c:pt>
                <c:pt idx="296">
                  <c:v>5.4768115942028898E-2</c:v>
                </c:pt>
                <c:pt idx="297">
                  <c:v>5.3115942028985473E-2</c:v>
                </c:pt>
                <c:pt idx="298">
                  <c:v>5.4782608695652081E-2</c:v>
                </c:pt>
                <c:pt idx="299">
                  <c:v>5.5202898550724598E-2</c:v>
                </c:pt>
                <c:pt idx="300">
                  <c:v>6.4492753623188417E-2</c:v>
                </c:pt>
                <c:pt idx="301">
                  <c:v>6.4391304347825973E-2</c:v>
                </c:pt>
                <c:pt idx="302">
                  <c:v>6.1652173913043402E-2</c:v>
                </c:pt>
                <c:pt idx="303">
                  <c:v>5.6550724637681071E-2</c:v>
                </c:pt>
                <c:pt idx="304">
                  <c:v>5.5101449275362209E-2</c:v>
                </c:pt>
                <c:pt idx="305">
                  <c:v>6.1130434782608579E-2</c:v>
                </c:pt>
                <c:pt idx="306">
                  <c:v>5.9550724637681039E-2</c:v>
                </c:pt>
                <c:pt idx="307">
                  <c:v>5.6521739130434699E-2</c:v>
                </c:pt>
                <c:pt idx="308">
                  <c:v>5.4768115942028898E-2</c:v>
                </c:pt>
                <c:pt idx="309">
                  <c:v>5.3115942028985473E-2</c:v>
                </c:pt>
                <c:pt idx="310">
                  <c:v>5.4782608695652081E-2</c:v>
                </c:pt>
                <c:pt idx="311">
                  <c:v>5.5202898550724598E-2</c:v>
                </c:pt>
                <c:pt idx="312">
                  <c:v>6.4492753623188417E-2</c:v>
                </c:pt>
                <c:pt idx="313">
                  <c:v>6.4391304347825973E-2</c:v>
                </c:pt>
                <c:pt idx="314">
                  <c:v>6.1652173913043402E-2</c:v>
                </c:pt>
                <c:pt idx="315">
                  <c:v>5.6550724637681071E-2</c:v>
                </c:pt>
                <c:pt idx="316">
                  <c:v>5.5101449275362209E-2</c:v>
                </c:pt>
                <c:pt idx="317">
                  <c:v>6.1130434782608579E-2</c:v>
                </c:pt>
                <c:pt idx="318">
                  <c:v>5.9550724637681039E-2</c:v>
                </c:pt>
                <c:pt idx="319">
                  <c:v>5.6521739130434699E-2</c:v>
                </c:pt>
                <c:pt idx="320">
                  <c:v>5.4768115942028898E-2</c:v>
                </c:pt>
                <c:pt idx="321">
                  <c:v>5.3115942028985473E-2</c:v>
                </c:pt>
                <c:pt idx="322">
                  <c:v>5.4782608695652081E-2</c:v>
                </c:pt>
                <c:pt idx="323">
                  <c:v>5.5202898550724598E-2</c:v>
                </c:pt>
                <c:pt idx="324">
                  <c:v>6.4492753623188417E-2</c:v>
                </c:pt>
                <c:pt idx="325">
                  <c:v>6.4391304347825973E-2</c:v>
                </c:pt>
                <c:pt idx="326">
                  <c:v>6.1652173913043402E-2</c:v>
                </c:pt>
                <c:pt idx="327">
                  <c:v>5.6550724637681071E-2</c:v>
                </c:pt>
                <c:pt idx="328">
                  <c:v>5.5101449275362209E-2</c:v>
                </c:pt>
                <c:pt idx="329">
                  <c:v>6.1130434782608579E-2</c:v>
                </c:pt>
                <c:pt idx="330">
                  <c:v>5.9550724637681039E-2</c:v>
                </c:pt>
                <c:pt idx="331">
                  <c:v>5.6521739130434699E-2</c:v>
                </c:pt>
                <c:pt idx="332">
                  <c:v>5.4768115942028898E-2</c:v>
                </c:pt>
                <c:pt idx="333">
                  <c:v>5.3115942028985473E-2</c:v>
                </c:pt>
                <c:pt idx="334">
                  <c:v>5.4782608695652081E-2</c:v>
                </c:pt>
                <c:pt idx="335">
                  <c:v>5.5202898550724598E-2</c:v>
                </c:pt>
                <c:pt idx="336">
                  <c:v>6.4492753623188417E-2</c:v>
                </c:pt>
                <c:pt idx="337">
                  <c:v>6.4391304347825973E-2</c:v>
                </c:pt>
                <c:pt idx="338">
                  <c:v>6.1652173913043402E-2</c:v>
                </c:pt>
                <c:pt idx="339">
                  <c:v>5.6550724637681071E-2</c:v>
                </c:pt>
                <c:pt idx="340">
                  <c:v>5.5101449275362209E-2</c:v>
                </c:pt>
                <c:pt idx="341">
                  <c:v>6.1130434782608579E-2</c:v>
                </c:pt>
                <c:pt idx="342">
                  <c:v>5.9550724637681039E-2</c:v>
                </c:pt>
                <c:pt idx="343">
                  <c:v>5.6521739130434699E-2</c:v>
                </c:pt>
                <c:pt idx="344">
                  <c:v>5.4768115942028898E-2</c:v>
                </c:pt>
                <c:pt idx="345">
                  <c:v>5.3115942028985473E-2</c:v>
                </c:pt>
                <c:pt idx="346">
                  <c:v>5.4782608695652081E-2</c:v>
                </c:pt>
                <c:pt idx="347">
                  <c:v>5.5202898550724598E-2</c:v>
                </c:pt>
                <c:pt idx="348">
                  <c:v>6.4492753623188417E-2</c:v>
                </c:pt>
                <c:pt idx="349">
                  <c:v>6.4391304347825973E-2</c:v>
                </c:pt>
                <c:pt idx="350">
                  <c:v>6.1652173913043402E-2</c:v>
                </c:pt>
                <c:pt idx="351">
                  <c:v>5.6550724637681071E-2</c:v>
                </c:pt>
                <c:pt idx="352">
                  <c:v>5.5101449275362209E-2</c:v>
                </c:pt>
                <c:pt idx="353">
                  <c:v>6.1130434782608579E-2</c:v>
                </c:pt>
                <c:pt idx="354">
                  <c:v>5.9550724637681039E-2</c:v>
                </c:pt>
                <c:pt idx="355">
                  <c:v>5.6521739130434699E-2</c:v>
                </c:pt>
                <c:pt idx="356">
                  <c:v>5.4768115942028898E-2</c:v>
                </c:pt>
                <c:pt idx="357">
                  <c:v>5.3115942028985473E-2</c:v>
                </c:pt>
                <c:pt idx="358">
                  <c:v>5.4782608695652081E-2</c:v>
                </c:pt>
                <c:pt idx="359">
                  <c:v>5.5202898550724598E-2</c:v>
                </c:pt>
                <c:pt idx="360">
                  <c:v>6.4492753623188417E-2</c:v>
                </c:pt>
                <c:pt idx="361">
                  <c:v>6.4391304347825973E-2</c:v>
                </c:pt>
                <c:pt idx="362">
                  <c:v>6.1652173913043402E-2</c:v>
                </c:pt>
                <c:pt idx="363">
                  <c:v>5.6550724637681071E-2</c:v>
                </c:pt>
                <c:pt idx="364">
                  <c:v>5.5101449275362209E-2</c:v>
                </c:pt>
                <c:pt idx="365">
                  <c:v>6.1130434782608579E-2</c:v>
                </c:pt>
                <c:pt idx="366">
                  <c:v>5.9550724637681039E-2</c:v>
                </c:pt>
                <c:pt idx="367">
                  <c:v>5.6521739130434699E-2</c:v>
                </c:pt>
                <c:pt idx="368">
                  <c:v>5.4768115942028898E-2</c:v>
                </c:pt>
                <c:pt idx="369">
                  <c:v>5.3115942028985473E-2</c:v>
                </c:pt>
                <c:pt idx="370">
                  <c:v>5.4782608695652081E-2</c:v>
                </c:pt>
                <c:pt idx="371">
                  <c:v>5.5202898550724598E-2</c:v>
                </c:pt>
                <c:pt idx="372">
                  <c:v>6.4492753623188417E-2</c:v>
                </c:pt>
                <c:pt idx="373">
                  <c:v>6.4391304347825973E-2</c:v>
                </c:pt>
                <c:pt idx="374">
                  <c:v>6.1652173913043402E-2</c:v>
                </c:pt>
                <c:pt idx="375">
                  <c:v>5.6550724637681071E-2</c:v>
                </c:pt>
                <c:pt idx="376">
                  <c:v>5.5101449275362209E-2</c:v>
                </c:pt>
                <c:pt idx="377">
                  <c:v>6.1130434782608579E-2</c:v>
                </c:pt>
                <c:pt idx="378">
                  <c:v>5.9550724637681039E-2</c:v>
                </c:pt>
                <c:pt idx="379">
                  <c:v>5.6521739130434699E-2</c:v>
                </c:pt>
                <c:pt idx="380">
                  <c:v>5.4768115942028898E-2</c:v>
                </c:pt>
                <c:pt idx="381">
                  <c:v>5.3115942028985473E-2</c:v>
                </c:pt>
                <c:pt idx="382">
                  <c:v>5.4782608695652081E-2</c:v>
                </c:pt>
                <c:pt idx="383">
                  <c:v>5.5202898550724598E-2</c:v>
                </c:pt>
                <c:pt idx="384">
                  <c:v>6.4492753623188417E-2</c:v>
                </c:pt>
                <c:pt idx="385">
                  <c:v>6.4391304347825973E-2</c:v>
                </c:pt>
                <c:pt idx="386">
                  <c:v>6.1652173913043402E-2</c:v>
                </c:pt>
                <c:pt idx="387">
                  <c:v>5.6550724637681071E-2</c:v>
                </c:pt>
                <c:pt idx="388">
                  <c:v>5.5101449275362209E-2</c:v>
                </c:pt>
                <c:pt idx="389">
                  <c:v>6.1130434782608579E-2</c:v>
                </c:pt>
                <c:pt idx="390">
                  <c:v>5.9550724637681039E-2</c:v>
                </c:pt>
                <c:pt idx="391">
                  <c:v>5.6521739130434699E-2</c:v>
                </c:pt>
                <c:pt idx="392">
                  <c:v>5.4768115942028898E-2</c:v>
                </c:pt>
                <c:pt idx="393">
                  <c:v>5.3115942028985473E-2</c:v>
                </c:pt>
                <c:pt idx="394">
                  <c:v>5.4782608695652081E-2</c:v>
                </c:pt>
                <c:pt idx="395">
                  <c:v>5.5202898550724598E-2</c:v>
                </c:pt>
                <c:pt idx="396">
                  <c:v>6.4492753623188417E-2</c:v>
                </c:pt>
                <c:pt idx="397">
                  <c:v>6.4391304347825973E-2</c:v>
                </c:pt>
                <c:pt idx="398">
                  <c:v>6.1652173913043402E-2</c:v>
                </c:pt>
                <c:pt idx="399">
                  <c:v>5.6550724637681071E-2</c:v>
                </c:pt>
                <c:pt idx="400">
                  <c:v>5.5101449275362209E-2</c:v>
                </c:pt>
                <c:pt idx="401">
                  <c:v>6.1130434782608579E-2</c:v>
                </c:pt>
                <c:pt idx="402">
                  <c:v>5.9550724637681039E-2</c:v>
                </c:pt>
                <c:pt idx="403">
                  <c:v>5.6521739130434699E-2</c:v>
                </c:pt>
                <c:pt idx="404">
                  <c:v>5.4768115942028898E-2</c:v>
                </c:pt>
                <c:pt idx="405">
                  <c:v>5.3115942028985473E-2</c:v>
                </c:pt>
                <c:pt idx="406">
                  <c:v>5.4782608695652081E-2</c:v>
                </c:pt>
                <c:pt idx="407">
                  <c:v>5.5202898550724598E-2</c:v>
                </c:pt>
                <c:pt idx="408">
                  <c:v>6.4492753623188417E-2</c:v>
                </c:pt>
                <c:pt idx="409">
                  <c:v>6.4391304347825973E-2</c:v>
                </c:pt>
                <c:pt idx="410">
                  <c:v>6.1652173913043402E-2</c:v>
                </c:pt>
                <c:pt idx="411">
                  <c:v>5.6550724637681071E-2</c:v>
                </c:pt>
                <c:pt idx="412">
                  <c:v>5.5101449275362209E-2</c:v>
                </c:pt>
                <c:pt idx="413">
                  <c:v>6.1130434782608579E-2</c:v>
                </c:pt>
                <c:pt idx="414">
                  <c:v>5.9550724637681039E-2</c:v>
                </c:pt>
                <c:pt idx="415">
                  <c:v>5.6521739130434699E-2</c:v>
                </c:pt>
                <c:pt idx="416">
                  <c:v>5.4768115942028898E-2</c:v>
                </c:pt>
                <c:pt idx="417">
                  <c:v>5.3115942028985473E-2</c:v>
                </c:pt>
                <c:pt idx="418">
                  <c:v>5.4782608695652081E-2</c:v>
                </c:pt>
                <c:pt idx="419">
                  <c:v>5.5202898550724598E-2</c:v>
                </c:pt>
                <c:pt idx="420">
                  <c:v>6.4492753623188417E-2</c:v>
                </c:pt>
                <c:pt idx="421">
                  <c:v>6.4391304347825973E-2</c:v>
                </c:pt>
                <c:pt idx="422">
                  <c:v>6.1652173913043402E-2</c:v>
                </c:pt>
                <c:pt idx="423">
                  <c:v>5.6550724637681071E-2</c:v>
                </c:pt>
                <c:pt idx="424">
                  <c:v>5.5101449275362209E-2</c:v>
                </c:pt>
                <c:pt idx="425">
                  <c:v>6.1130434782608579E-2</c:v>
                </c:pt>
                <c:pt idx="426">
                  <c:v>5.9550724637681039E-2</c:v>
                </c:pt>
                <c:pt idx="427">
                  <c:v>5.6521739130434699E-2</c:v>
                </c:pt>
                <c:pt idx="428">
                  <c:v>5.4768115942028898E-2</c:v>
                </c:pt>
                <c:pt idx="429">
                  <c:v>5.3115942028985473E-2</c:v>
                </c:pt>
                <c:pt idx="430">
                  <c:v>5.4782608695652081E-2</c:v>
                </c:pt>
                <c:pt idx="431">
                  <c:v>5.5202898550724598E-2</c:v>
                </c:pt>
                <c:pt idx="432">
                  <c:v>6.4492753623188417E-2</c:v>
                </c:pt>
                <c:pt idx="433">
                  <c:v>6.4391304347825973E-2</c:v>
                </c:pt>
                <c:pt idx="434">
                  <c:v>6.1652173913043402E-2</c:v>
                </c:pt>
                <c:pt idx="435">
                  <c:v>5.6550724637681071E-2</c:v>
                </c:pt>
                <c:pt idx="436">
                  <c:v>5.5101449275362209E-2</c:v>
                </c:pt>
                <c:pt idx="437">
                  <c:v>6.1130434782608579E-2</c:v>
                </c:pt>
                <c:pt idx="438">
                  <c:v>5.9550724637681039E-2</c:v>
                </c:pt>
                <c:pt idx="439">
                  <c:v>5.6521739130434699E-2</c:v>
                </c:pt>
                <c:pt idx="440">
                  <c:v>5.4768115942028898E-2</c:v>
                </c:pt>
                <c:pt idx="441">
                  <c:v>5.3115942028985473E-2</c:v>
                </c:pt>
                <c:pt idx="442">
                  <c:v>5.4782608695652081E-2</c:v>
                </c:pt>
                <c:pt idx="443">
                  <c:v>5.5202898550724598E-2</c:v>
                </c:pt>
                <c:pt idx="444">
                  <c:v>6.4492753623188417E-2</c:v>
                </c:pt>
                <c:pt idx="445">
                  <c:v>6.4391304347825973E-2</c:v>
                </c:pt>
                <c:pt idx="446">
                  <c:v>6.1652173913043402E-2</c:v>
                </c:pt>
                <c:pt idx="447">
                  <c:v>5.6550724637681071E-2</c:v>
                </c:pt>
                <c:pt idx="448">
                  <c:v>5.5101449275362209E-2</c:v>
                </c:pt>
                <c:pt idx="449">
                  <c:v>6.1130434782608579E-2</c:v>
                </c:pt>
                <c:pt idx="450">
                  <c:v>5.9550724637681039E-2</c:v>
                </c:pt>
                <c:pt idx="451">
                  <c:v>5.6521739130434699E-2</c:v>
                </c:pt>
                <c:pt idx="452">
                  <c:v>5.4768115942028898E-2</c:v>
                </c:pt>
                <c:pt idx="453">
                  <c:v>5.3115942028985473E-2</c:v>
                </c:pt>
                <c:pt idx="454">
                  <c:v>5.4782608695652081E-2</c:v>
                </c:pt>
                <c:pt idx="455">
                  <c:v>5.5202898550724598E-2</c:v>
                </c:pt>
                <c:pt idx="456">
                  <c:v>6.4492753623188417E-2</c:v>
                </c:pt>
                <c:pt idx="457">
                  <c:v>6.4391304347825973E-2</c:v>
                </c:pt>
                <c:pt idx="458">
                  <c:v>6.1652173913043402E-2</c:v>
                </c:pt>
                <c:pt idx="459">
                  <c:v>5.6550724637681071E-2</c:v>
                </c:pt>
                <c:pt idx="460">
                  <c:v>5.5101449275362209E-2</c:v>
                </c:pt>
                <c:pt idx="461">
                  <c:v>6.1130434782608579E-2</c:v>
                </c:pt>
                <c:pt idx="462">
                  <c:v>5.9550724637681039E-2</c:v>
                </c:pt>
                <c:pt idx="463">
                  <c:v>5.6521739130434699E-2</c:v>
                </c:pt>
                <c:pt idx="464">
                  <c:v>5.4768115942028898E-2</c:v>
                </c:pt>
                <c:pt idx="465">
                  <c:v>5.3115942028985473E-2</c:v>
                </c:pt>
                <c:pt idx="466">
                  <c:v>5.4782608695652081E-2</c:v>
                </c:pt>
                <c:pt idx="467">
                  <c:v>5.5202898550724598E-2</c:v>
                </c:pt>
                <c:pt idx="468">
                  <c:v>6.4492753623188417E-2</c:v>
                </c:pt>
                <c:pt idx="469">
                  <c:v>6.4391304347825973E-2</c:v>
                </c:pt>
                <c:pt idx="470">
                  <c:v>6.1652173913043402E-2</c:v>
                </c:pt>
                <c:pt idx="471">
                  <c:v>5.6550724637681071E-2</c:v>
                </c:pt>
                <c:pt idx="472">
                  <c:v>5.5101449275362209E-2</c:v>
                </c:pt>
                <c:pt idx="473">
                  <c:v>6.1130434782608579E-2</c:v>
                </c:pt>
                <c:pt idx="474">
                  <c:v>5.9550724637681039E-2</c:v>
                </c:pt>
                <c:pt idx="475">
                  <c:v>5.6521739130434699E-2</c:v>
                </c:pt>
                <c:pt idx="476">
                  <c:v>5.4768115942028898E-2</c:v>
                </c:pt>
                <c:pt idx="477">
                  <c:v>5.3115942028985473E-2</c:v>
                </c:pt>
                <c:pt idx="478">
                  <c:v>5.4782608695652081E-2</c:v>
                </c:pt>
                <c:pt idx="479">
                  <c:v>5.5202898550724598E-2</c:v>
                </c:pt>
                <c:pt idx="480">
                  <c:v>6.4492753623188417E-2</c:v>
                </c:pt>
                <c:pt idx="481">
                  <c:v>6.4391304347825973E-2</c:v>
                </c:pt>
                <c:pt idx="482">
                  <c:v>6.1652173913043402E-2</c:v>
                </c:pt>
                <c:pt idx="483">
                  <c:v>5.6550724637681071E-2</c:v>
                </c:pt>
                <c:pt idx="484">
                  <c:v>5.5101449275362209E-2</c:v>
                </c:pt>
                <c:pt idx="485">
                  <c:v>6.1130434782608579E-2</c:v>
                </c:pt>
                <c:pt idx="486">
                  <c:v>5.9550724637681039E-2</c:v>
                </c:pt>
                <c:pt idx="487">
                  <c:v>5.6521739130434699E-2</c:v>
                </c:pt>
                <c:pt idx="488">
                  <c:v>5.4768115942028898E-2</c:v>
                </c:pt>
                <c:pt idx="489">
                  <c:v>5.3115942028985473E-2</c:v>
                </c:pt>
                <c:pt idx="490">
                  <c:v>5.4782608695652081E-2</c:v>
                </c:pt>
                <c:pt idx="491">
                  <c:v>5.5202898550724598E-2</c:v>
                </c:pt>
                <c:pt idx="492">
                  <c:v>6.4492753623188417E-2</c:v>
                </c:pt>
                <c:pt idx="493">
                  <c:v>6.4391304347825973E-2</c:v>
                </c:pt>
                <c:pt idx="494">
                  <c:v>6.1652173913043402E-2</c:v>
                </c:pt>
                <c:pt idx="495">
                  <c:v>5.6550724637681071E-2</c:v>
                </c:pt>
                <c:pt idx="496">
                  <c:v>5.5101449275362209E-2</c:v>
                </c:pt>
                <c:pt idx="497">
                  <c:v>6.1130434782608579E-2</c:v>
                </c:pt>
                <c:pt idx="498">
                  <c:v>5.9550724637681039E-2</c:v>
                </c:pt>
                <c:pt idx="499">
                  <c:v>5.6521739130434699E-2</c:v>
                </c:pt>
                <c:pt idx="500">
                  <c:v>5.4768115942028898E-2</c:v>
                </c:pt>
                <c:pt idx="501">
                  <c:v>5.3115942028985473E-2</c:v>
                </c:pt>
                <c:pt idx="502">
                  <c:v>5.4782608695652081E-2</c:v>
                </c:pt>
                <c:pt idx="503">
                  <c:v>5.5202898550724598E-2</c:v>
                </c:pt>
                <c:pt idx="504">
                  <c:v>6.4492753623188417E-2</c:v>
                </c:pt>
                <c:pt idx="505">
                  <c:v>6.4391304347825973E-2</c:v>
                </c:pt>
                <c:pt idx="506">
                  <c:v>6.1652173913043402E-2</c:v>
                </c:pt>
                <c:pt idx="507">
                  <c:v>5.6550724637681071E-2</c:v>
                </c:pt>
                <c:pt idx="508">
                  <c:v>5.5101449275362209E-2</c:v>
                </c:pt>
                <c:pt idx="509">
                  <c:v>6.1130434782608579E-2</c:v>
                </c:pt>
                <c:pt idx="510">
                  <c:v>5.9550724637681039E-2</c:v>
                </c:pt>
                <c:pt idx="511">
                  <c:v>5.6521739130434699E-2</c:v>
                </c:pt>
                <c:pt idx="512">
                  <c:v>5.4768115942028898E-2</c:v>
                </c:pt>
                <c:pt idx="513">
                  <c:v>5.3115942028985473E-2</c:v>
                </c:pt>
                <c:pt idx="514">
                  <c:v>5.4782608695652081E-2</c:v>
                </c:pt>
                <c:pt idx="515">
                  <c:v>5.5202898550724598E-2</c:v>
                </c:pt>
                <c:pt idx="516">
                  <c:v>6.4492753623188417E-2</c:v>
                </c:pt>
                <c:pt idx="517">
                  <c:v>6.4391304347825973E-2</c:v>
                </c:pt>
                <c:pt idx="518">
                  <c:v>6.1652173913043402E-2</c:v>
                </c:pt>
                <c:pt idx="519">
                  <c:v>5.6550724637681071E-2</c:v>
                </c:pt>
                <c:pt idx="520">
                  <c:v>5.5101449275362209E-2</c:v>
                </c:pt>
                <c:pt idx="521">
                  <c:v>6.1130434782608579E-2</c:v>
                </c:pt>
                <c:pt idx="522">
                  <c:v>5.9550724637681039E-2</c:v>
                </c:pt>
                <c:pt idx="523">
                  <c:v>5.6521739130434699E-2</c:v>
                </c:pt>
                <c:pt idx="524">
                  <c:v>5.4768115942028898E-2</c:v>
                </c:pt>
                <c:pt idx="525">
                  <c:v>5.3115942028985473E-2</c:v>
                </c:pt>
                <c:pt idx="526">
                  <c:v>5.4782608695652081E-2</c:v>
                </c:pt>
                <c:pt idx="527">
                  <c:v>5.5202898550724598E-2</c:v>
                </c:pt>
                <c:pt idx="528">
                  <c:v>6.4492753623188417E-2</c:v>
                </c:pt>
                <c:pt idx="529">
                  <c:v>6.4391304347825973E-2</c:v>
                </c:pt>
                <c:pt idx="530">
                  <c:v>6.1652173913043402E-2</c:v>
                </c:pt>
                <c:pt idx="531">
                  <c:v>5.6550724637681071E-2</c:v>
                </c:pt>
                <c:pt idx="532">
                  <c:v>5.5101449275362209E-2</c:v>
                </c:pt>
                <c:pt idx="533">
                  <c:v>6.1130434782608579E-2</c:v>
                </c:pt>
                <c:pt idx="534">
                  <c:v>5.9550724637681039E-2</c:v>
                </c:pt>
                <c:pt idx="535">
                  <c:v>5.6521739130434699E-2</c:v>
                </c:pt>
                <c:pt idx="536">
                  <c:v>5.4768115942028898E-2</c:v>
                </c:pt>
                <c:pt idx="537">
                  <c:v>5.3115942028985473E-2</c:v>
                </c:pt>
                <c:pt idx="538">
                  <c:v>5.4782608695652081E-2</c:v>
                </c:pt>
                <c:pt idx="539">
                  <c:v>5.5202898550724598E-2</c:v>
                </c:pt>
                <c:pt idx="540">
                  <c:v>6.4492753623188417E-2</c:v>
                </c:pt>
                <c:pt idx="541">
                  <c:v>6.4391304347825973E-2</c:v>
                </c:pt>
                <c:pt idx="542">
                  <c:v>6.1652173913043402E-2</c:v>
                </c:pt>
                <c:pt idx="543">
                  <c:v>5.6550724637681071E-2</c:v>
                </c:pt>
                <c:pt idx="544">
                  <c:v>5.5101449275362209E-2</c:v>
                </c:pt>
                <c:pt idx="545">
                  <c:v>6.1130434782608579E-2</c:v>
                </c:pt>
                <c:pt idx="546">
                  <c:v>5.9550724637681039E-2</c:v>
                </c:pt>
                <c:pt idx="547">
                  <c:v>5.6521739130434699E-2</c:v>
                </c:pt>
                <c:pt idx="548">
                  <c:v>5.4768115942028898E-2</c:v>
                </c:pt>
                <c:pt idx="549">
                  <c:v>5.3115942028985473E-2</c:v>
                </c:pt>
                <c:pt idx="550">
                  <c:v>5.4782608695652081E-2</c:v>
                </c:pt>
                <c:pt idx="551">
                  <c:v>5.5202898550724598E-2</c:v>
                </c:pt>
                <c:pt idx="552">
                  <c:v>6.4492753623188417E-2</c:v>
                </c:pt>
                <c:pt idx="553">
                  <c:v>6.4391304347825973E-2</c:v>
                </c:pt>
                <c:pt idx="554">
                  <c:v>6.1652173913043402E-2</c:v>
                </c:pt>
                <c:pt idx="555">
                  <c:v>5.6550724637681071E-2</c:v>
                </c:pt>
                <c:pt idx="556">
                  <c:v>5.5101449275362209E-2</c:v>
                </c:pt>
                <c:pt idx="557">
                  <c:v>6.1130434782608579E-2</c:v>
                </c:pt>
                <c:pt idx="558">
                  <c:v>5.9550724637681039E-2</c:v>
                </c:pt>
                <c:pt idx="559">
                  <c:v>5.6521739130434699E-2</c:v>
                </c:pt>
                <c:pt idx="560">
                  <c:v>5.4768115942028898E-2</c:v>
                </c:pt>
                <c:pt idx="561">
                  <c:v>5.3115942028985473E-2</c:v>
                </c:pt>
                <c:pt idx="562">
                  <c:v>5.4782608695652081E-2</c:v>
                </c:pt>
                <c:pt idx="563">
                  <c:v>5.5202898550724598E-2</c:v>
                </c:pt>
                <c:pt idx="564">
                  <c:v>6.4492753623188417E-2</c:v>
                </c:pt>
                <c:pt idx="565">
                  <c:v>6.4391304347825973E-2</c:v>
                </c:pt>
                <c:pt idx="566">
                  <c:v>6.1652173913043402E-2</c:v>
                </c:pt>
                <c:pt idx="567">
                  <c:v>5.6550724637681071E-2</c:v>
                </c:pt>
                <c:pt idx="568">
                  <c:v>5.5101449275362209E-2</c:v>
                </c:pt>
                <c:pt idx="569">
                  <c:v>6.1130434782608579E-2</c:v>
                </c:pt>
                <c:pt idx="570">
                  <c:v>5.9550724637681039E-2</c:v>
                </c:pt>
                <c:pt idx="571">
                  <c:v>5.6521739130434699E-2</c:v>
                </c:pt>
                <c:pt idx="572">
                  <c:v>5.4768115942028898E-2</c:v>
                </c:pt>
                <c:pt idx="573">
                  <c:v>5.3115942028985473E-2</c:v>
                </c:pt>
                <c:pt idx="574">
                  <c:v>5.4782608695652081E-2</c:v>
                </c:pt>
                <c:pt idx="575">
                  <c:v>5.5202898550724598E-2</c:v>
                </c:pt>
                <c:pt idx="576">
                  <c:v>6.4492753623188417E-2</c:v>
                </c:pt>
                <c:pt idx="577">
                  <c:v>6.4391304347825973E-2</c:v>
                </c:pt>
                <c:pt idx="578">
                  <c:v>6.1652173913043402E-2</c:v>
                </c:pt>
                <c:pt idx="579">
                  <c:v>5.6550724637681071E-2</c:v>
                </c:pt>
                <c:pt idx="580">
                  <c:v>5.5101449275362209E-2</c:v>
                </c:pt>
                <c:pt idx="581">
                  <c:v>6.1130434782608579E-2</c:v>
                </c:pt>
                <c:pt idx="582">
                  <c:v>5.9550724637681039E-2</c:v>
                </c:pt>
                <c:pt idx="583">
                  <c:v>5.6521739130434699E-2</c:v>
                </c:pt>
                <c:pt idx="584">
                  <c:v>5.4768115942028898E-2</c:v>
                </c:pt>
                <c:pt idx="585">
                  <c:v>5.3115942028985473E-2</c:v>
                </c:pt>
                <c:pt idx="586">
                  <c:v>5.4782608695652081E-2</c:v>
                </c:pt>
                <c:pt idx="587">
                  <c:v>5.5202898550724598E-2</c:v>
                </c:pt>
                <c:pt idx="588">
                  <c:v>6.4492753623188417E-2</c:v>
                </c:pt>
                <c:pt idx="589">
                  <c:v>6.4391304347825973E-2</c:v>
                </c:pt>
                <c:pt idx="590">
                  <c:v>6.1652173913043402E-2</c:v>
                </c:pt>
                <c:pt idx="591">
                  <c:v>5.6550724637681071E-2</c:v>
                </c:pt>
                <c:pt idx="592">
                  <c:v>5.5101449275362209E-2</c:v>
                </c:pt>
                <c:pt idx="593">
                  <c:v>6.1130434782608579E-2</c:v>
                </c:pt>
                <c:pt idx="594">
                  <c:v>5.9550724637681039E-2</c:v>
                </c:pt>
                <c:pt idx="595">
                  <c:v>5.6521739130434699E-2</c:v>
                </c:pt>
                <c:pt idx="596">
                  <c:v>5.4768115942028898E-2</c:v>
                </c:pt>
                <c:pt idx="597">
                  <c:v>5.3115942028985473E-2</c:v>
                </c:pt>
                <c:pt idx="598">
                  <c:v>5.4782608695652081E-2</c:v>
                </c:pt>
                <c:pt idx="599">
                  <c:v>5.5202898550724598E-2</c:v>
                </c:pt>
                <c:pt idx="600">
                  <c:v>6.4492753623188417E-2</c:v>
                </c:pt>
                <c:pt idx="601">
                  <c:v>6.4391304347825973E-2</c:v>
                </c:pt>
                <c:pt idx="602">
                  <c:v>6.1652173913043402E-2</c:v>
                </c:pt>
                <c:pt idx="603">
                  <c:v>5.6550724637681071E-2</c:v>
                </c:pt>
                <c:pt idx="604">
                  <c:v>5.5101449275362209E-2</c:v>
                </c:pt>
                <c:pt idx="605">
                  <c:v>6.1130434782608579E-2</c:v>
                </c:pt>
                <c:pt idx="606">
                  <c:v>5.9550724637681039E-2</c:v>
                </c:pt>
                <c:pt idx="607">
                  <c:v>5.6521739130434699E-2</c:v>
                </c:pt>
                <c:pt idx="608">
                  <c:v>5.4768115942028898E-2</c:v>
                </c:pt>
                <c:pt idx="609">
                  <c:v>5.3115942028985473E-2</c:v>
                </c:pt>
                <c:pt idx="610">
                  <c:v>5.4782608695652081E-2</c:v>
                </c:pt>
                <c:pt idx="611">
                  <c:v>5.5202898550724598E-2</c:v>
                </c:pt>
                <c:pt idx="612">
                  <c:v>6.4492753623188417E-2</c:v>
                </c:pt>
                <c:pt idx="613">
                  <c:v>6.4391304347825973E-2</c:v>
                </c:pt>
                <c:pt idx="614">
                  <c:v>6.1652173913043402E-2</c:v>
                </c:pt>
                <c:pt idx="615">
                  <c:v>5.6550724637681071E-2</c:v>
                </c:pt>
                <c:pt idx="616">
                  <c:v>5.5101449275362209E-2</c:v>
                </c:pt>
                <c:pt idx="617">
                  <c:v>6.1130434782608579E-2</c:v>
                </c:pt>
                <c:pt idx="618">
                  <c:v>5.9550724637681039E-2</c:v>
                </c:pt>
                <c:pt idx="619">
                  <c:v>5.6521739130434699E-2</c:v>
                </c:pt>
                <c:pt idx="620">
                  <c:v>5.4768115942028898E-2</c:v>
                </c:pt>
                <c:pt idx="621">
                  <c:v>5.3115942028985473E-2</c:v>
                </c:pt>
                <c:pt idx="622">
                  <c:v>5.4782608695652081E-2</c:v>
                </c:pt>
                <c:pt idx="623">
                  <c:v>5.5202898550724598E-2</c:v>
                </c:pt>
                <c:pt idx="624">
                  <c:v>6.4492753623188417E-2</c:v>
                </c:pt>
                <c:pt idx="625">
                  <c:v>6.4391304347825973E-2</c:v>
                </c:pt>
                <c:pt idx="626">
                  <c:v>6.1652173913043402E-2</c:v>
                </c:pt>
                <c:pt idx="627">
                  <c:v>5.6550724637681071E-2</c:v>
                </c:pt>
                <c:pt idx="628">
                  <c:v>5.5101449275362209E-2</c:v>
                </c:pt>
                <c:pt idx="629">
                  <c:v>6.1130434782608579E-2</c:v>
                </c:pt>
                <c:pt idx="630">
                  <c:v>5.9550724637681039E-2</c:v>
                </c:pt>
                <c:pt idx="631">
                  <c:v>5.6521739130434699E-2</c:v>
                </c:pt>
                <c:pt idx="632">
                  <c:v>5.4768115942028898E-2</c:v>
                </c:pt>
                <c:pt idx="633">
                  <c:v>5.3115942028985473E-2</c:v>
                </c:pt>
                <c:pt idx="634">
                  <c:v>5.4782608695652081E-2</c:v>
                </c:pt>
                <c:pt idx="635">
                  <c:v>5.5202898550724598E-2</c:v>
                </c:pt>
                <c:pt idx="636">
                  <c:v>6.4492753623188417E-2</c:v>
                </c:pt>
                <c:pt idx="637">
                  <c:v>6.4391304347825973E-2</c:v>
                </c:pt>
                <c:pt idx="638">
                  <c:v>6.1652173913043402E-2</c:v>
                </c:pt>
                <c:pt idx="639">
                  <c:v>5.6550724637681071E-2</c:v>
                </c:pt>
                <c:pt idx="640">
                  <c:v>5.5101449275362209E-2</c:v>
                </c:pt>
                <c:pt idx="641">
                  <c:v>6.1130434782608579E-2</c:v>
                </c:pt>
                <c:pt idx="642">
                  <c:v>5.9550724637681039E-2</c:v>
                </c:pt>
                <c:pt idx="643">
                  <c:v>5.6521739130434699E-2</c:v>
                </c:pt>
                <c:pt idx="644">
                  <c:v>5.4768115942028898E-2</c:v>
                </c:pt>
                <c:pt idx="645">
                  <c:v>5.3115942028985473E-2</c:v>
                </c:pt>
                <c:pt idx="646">
                  <c:v>5.4782608695652081E-2</c:v>
                </c:pt>
                <c:pt idx="647">
                  <c:v>5.5202898550724598E-2</c:v>
                </c:pt>
                <c:pt idx="648">
                  <c:v>6.4492753623188417E-2</c:v>
                </c:pt>
                <c:pt idx="649">
                  <c:v>6.4391304347825973E-2</c:v>
                </c:pt>
                <c:pt idx="650">
                  <c:v>6.1652173913043402E-2</c:v>
                </c:pt>
                <c:pt idx="651">
                  <c:v>5.6550724637681071E-2</c:v>
                </c:pt>
                <c:pt idx="652">
                  <c:v>5.5101449275362209E-2</c:v>
                </c:pt>
                <c:pt idx="653">
                  <c:v>6.1130434782608579E-2</c:v>
                </c:pt>
                <c:pt idx="654">
                  <c:v>5.9550724637681039E-2</c:v>
                </c:pt>
                <c:pt idx="655">
                  <c:v>5.6521739130434699E-2</c:v>
                </c:pt>
                <c:pt idx="656">
                  <c:v>5.4768115942028898E-2</c:v>
                </c:pt>
                <c:pt idx="657">
                  <c:v>5.3115942028985473E-2</c:v>
                </c:pt>
                <c:pt idx="658">
                  <c:v>5.4782608695652081E-2</c:v>
                </c:pt>
                <c:pt idx="659">
                  <c:v>5.5202898550724598E-2</c:v>
                </c:pt>
                <c:pt idx="660">
                  <c:v>6.4492753623188417E-2</c:v>
                </c:pt>
                <c:pt idx="661">
                  <c:v>6.4391304347825973E-2</c:v>
                </c:pt>
                <c:pt idx="662">
                  <c:v>6.1652173913043402E-2</c:v>
                </c:pt>
                <c:pt idx="663">
                  <c:v>5.6550724637681071E-2</c:v>
                </c:pt>
                <c:pt idx="664">
                  <c:v>5.5101449275362209E-2</c:v>
                </c:pt>
                <c:pt idx="665">
                  <c:v>6.1130434782608579E-2</c:v>
                </c:pt>
                <c:pt idx="666">
                  <c:v>5.9550724637681039E-2</c:v>
                </c:pt>
                <c:pt idx="667">
                  <c:v>5.6521739130434699E-2</c:v>
                </c:pt>
                <c:pt idx="668">
                  <c:v>5.4768115942028898E-2</c:v>
                </c:pt>
                <c:pt idx="669">
                  <c:v>5.3115942028985473E-2</c:v>
                </c:pt>
                <c:pt idx="670">
                  <c:v>5.4782608695652081E-2</c:v>
                </c:pt>
                <c:pt idx="671">
                  <c:v>5.5202898550724598E-2</c:v>
                </c:pt>
                <c:pt idx="672">
                  <c:v>6.4492753623188417E-2</c:v>
                </c:pt>
                <c:pt idx="673">
                  <c:v>6.4391304347825973E-2</c:v>
                </c:pt>
                <c:pt idx="674">
                  <c:v>6.1652173913043402E-2</c:v>
                </c:pt>
                <c:pt idx="675">
                  <c:v>5.6550724637681071E-2</c:v>
                </c:pt>
                <c:pt idx="676">
                  <c:v>5.5101449275362209E-2</c:v>
                </c:pt>
                <c:pt idx="677">
                  <c:v>6.1130434782608579E-2</c:v>
                </c:pt>
                <c:pt idx="678">
                  <c:v>5.9550724637681039E-2</c:v>
                </c:pt>
                <c:pt idx="679">
                  <c:v>5.6521739130434699E-2</c:v>
                </c:pt>
                <c:pt idx="680">
                  <c:v>5.4768115942028898E-2</c:v>
                </c:pt>
                <c:pt idx="681">
                  <c:v>5.3115942028985473E-2</c:v>
                </c:pt>
                <c:pt idx="682">
                  <c:v>5.4782608695652081E-2</c:v>
                </c:pt>
                <c:pt idx="683">
                  <c:v>5.5202898550724598E-2</c:v>
                </c:pt>
                <c:pt idx="684">
                  <c:v>6.4492753623188417E-2</c:v>
                </c:pt>
                <c:pt idx="685">
                  <c:v>6.4391304347825973E-2</c:v>
                </c:pt>
                <c:pt idx="686">
                  <c:v>6.1652173913043402E-2</c:v>
                </c:pt>
                <c:pt idx="687">
                  <c:v>5.6550724637681071E-2</c:v>
                </c:pt>
                <c:pt idx="688">
                  <c:v>5.5101449275362209E-2</c:v>
                </c:pt>
                <c:pt idx="689">
                  <c:v>6.1130434782608579E-2</c:v>
                </c:pt>
                <c:pt idx="690">
                  <c:v>5.9550724637681039E-2</c:v>
                </c:pt>
                <c:pt idx="691">
                  <c:v>5.6521739130434699E-2</c:v>
                </c:pt>
                <c:pt idx="692">
                  <c:v>5.4768115942028898E-2</c:v>
                </c:pt>
                <c:pt idx="693">
                  <c:v>5.3115942028985473E-2</c:v>
                </c:pt>
                <c:pt idx="694">
                  <c:v>5.4782608695652081E-2</c:v>
                </c:pt>
                <c:pt idx="695">
                  <c:v>5.5202898550724598E-2</c:v>
                </c:pt>
                <c:pt idx="696">
                  <c:v>6.4492753623188417E-2</c:v>
                </c:pt>
                <c:pt idx="697">
                  <c:v>6.4391304347825973E-2</c:v>
                </c:pt>
                <c:pt idx="698">
                  <c:v>6.1652173913043402E-2</c:v>
                </c:pt>
                <c:pt idx="699">
                  <c:v>5.6550724637681071E-2</c:v>
                </c:pt>
                <c:pt idx="700">
                  <c:v>5.5101449275362209E-2</c:v>
                </c:pt>
                <c:pt idx="701">
                  <c:v>6.1130434782608579E-2</c:v>
                </c:pt>
                <c:pt idx="702">
                  <c:v>5.9550724637681039E-2</c:v>
                </c:pt>
                <c:pt idx="703">
                  <c:v>5.6521739130434699E-2</c:v>
                </c:pt>
                <c:pt idx="704">
                  <c:v>5.4768115942028898E-2</c:v>
                </c:pt>
                <c:pt idx="705">
                  <c:v>5.3115942028985473E-2</c:v>
                </c:pt>
                <c:pt idx="706">
                  <c:v>5.4782608695652081E-2</c:v>
                </c:pt>
                <c:pt idx="707">
                  <c:v>5.5202898550724598E-2</c:v>
                </c:pt>
                <c:pt idx="708">
                  <c:v>6.4492753623188417E-2</c:v>
                </c:pt>
                <c:pt idx="709">
                  <c:v>6.4391304347825973E-2</c:v>
                </c:pt>
                <c:pt idx="710">
                  <c:v>6.1652173913043402E-2</c:v>
                </c:pt>
                <c:pt idx="711">
                  <c:v>5.6550724637681071E-2</c:v>
                </c:pt>
                <c:pt idx="712">
                  <c:v>5.5101449275362209E-2</c:v>
                </c:pt>
                <c:pt idx="713">
                  <c:v>6.1130434782608579E-2</c:v>
                </c:pt>
                <c:pt idx="714">
                  <c:v>5.9550724637681039E-2</c:v>
                </c:pt>
                <c:pt idx="715">
                  <c:v>5.6521739130434699E-2</c:v>
                </c:pt>
                <c:pt idx="716">
                  <c:v>5.4768115942028898E-2</c:v>
                </c:pt>
                <c:pt idx="717">
                  <c:v>5.3115942028985473E-2</c:v>
                </c:pt>
                <c:pt idx="718">
                  <c:v>5.4782608695652081E-2</c:v>
                </c:pt>
                <c:pt idx="719">
                  <c:v>5.5202898550724598E-2</c:v>
                </c:pt>
                <c:pt idx="720">
                  <c:v>6.4492753623188417E-2</c:v>
                </c:pt>
                <c:pt idx="721">
                  <c:v>6.4391304347825973E-2</c:v>
                </c:pt>
                <c:pt idx="722">
                  <c:v>6.1652173913043402E-2</c:v>
                </c:pt>
                <c:pt idx="723">
                  <c:v>5.6550724637681071E-2</c:v>
                </c:pt>
                <c:pt idx="724">
                  <c:v>5.5101449275362209E-2</c:v>
                </c:pt>
                <c:pt idx="725">
                  <c:v>6.1130434782608579E-2</c:v>
                </c:pt>
                <c:pt idx="726">
                  <c:v>5.9550724637681039E-2</c:v>
                </c:pt>
                <c:pt idx="727">
                  <c:v>5.6521739130434699E-2</c:v>
                </c:pt>
                <c:pt idx="728">
                  <c:v>5.4768115942028898E-2</c:v>
                </c:pt>
                <c:pt idx="729">
                  <c:v>5.3115942028985473E-2</c:v>
                </c:pt>
                <c:pt idx="730">
                  <c:v>5.4782608695652081E-2</c:v>
                </c:pt>
                <c:pt idx="731">
                  <c:v>5.5202898550724598E-2</c:v>
                </c:pt>
                <c:pt idx="732">
                  <c:v>6.4492753623188417E-2</c:v>
                </c:pt>
                <c:pt idx="733">
                  <c:v>6.4391304347825973E-2</c:v>
                </c:pt>
                <c:pt idx="734">
                  <c:v>6.1652173913043402E-2</c:v>
                </c:pt>
                <c:pt idx="735">
                  <c:v>5.6550724637681071E-2</c:v>
                </c:pt>
                <c:pt idx="736">
                  <c:v>5.5101449275362209E-2</c:v>
                </c:pt>
                <c:pt idx="737">
                  <c:v>6.1130434782608579E-2</c:v>
                </c:pt>
                <c:pt idx="738">
                  <c:v>5.9550724637681039E-2</c:v>
                </c:pt>
                <c:pt idx="739">
                  <c:v>5.6521739130434699E-2</c:v>
                </c:pt>
                <c:pt idx="740">
                  <c:v>5.4768115942028898E-2</c:v>
                </c:pt>
                <c:pt idx="741">
                  <c:v>5.3115942028985473E-2</c:v>
                </c:pt>
                <c:pt idx="742">
                  <c:v>5.4782608695652081E-2</c:v>
                </c:pt>
                <c:pt idx="743">
                  <c:v>5.5202898550724598E-2</c:v>
                </c:pt>
                <c:pt idx="744">
                  <c:v>6.4492753623188417E-2</c:v>
                </c:pt>
                <c:pt idx="745">
                  <c:v>6.4391304347825973E-2</c:v>
                </c:pt>
                <c:pt idx="746">
                  <c:v>6.1652173913043402E-2</c:v>
                </c:pt>
                <c:pt idx="747">
                  <c:v>5.6550724637681071E-2</c:v>
                </c:pt>
                <c:pt idx="748">
                  <c:v>5.5101449275362209E-2</c:v>
                </c:pt>
                <c:pt idx="749">
                  <c:v>6.1130434782608579E-2</c:v>
                </c:pt>
                <c:pt idx="750">
                  <c:v>5.9550724637681039E-2</c:v>
                </c:pt>
                <c:pt idx="751">
                  <c:v>5.6521739130434699E-2</c:v>
                </c:pt>
                <c:pt idx="752">
                  <c:v>5.4768115942028898E-2</c:v>
                </c:pt>
                <c:pt idx="753">
                  <c:v>5.3115942028985473E-2</c:v>
                </c:pt>
                <c:pt idx="754">
                  <c:v>5.4782608695652081E-2</c:v>
                </c:pt>
                <c:pt idx="755">
                  <c:v>5.5202898550724598E-2</c:v>
                </c:pt>
                <c:pt idx="756">
                  <c:v>6.4492753623188417E-2</c:v>
                </c:pt>
                <c:pt idx="757">
                  <c:v>6.4391304347825973E-2</c:v>
                </c:pt>
                <c:pt idx="758">
                  <c:v>6.1652173913043402E-2</c:v>
                </c:pt>
                <c:pt idx="759">
                  <c:v>5.6550724637681071E-2</c:v>
                </c:pt>
                <c:pt idx="760">
                  <c:v>5.5101449275362209E-2</c:v>
                </c:pt>
                <c:pt idx="761">
                  <c:v>6.1130434782608579E-2</c:v>
                </c:pt>
                <c:pt idx="762">
                  <c:v>5.9550724637681039E-2</c:v>
                </c:pt>
                <c:pt idx="763">
                  <c:v>5.6521739130434699E-2</c:v>
                </c:pt>
                <c:pt idx="764">
                  <c:v>5.4768115942028898E-2</c:v>
                </c:pt>
                <c:pt idx="765">
                  <c:v>5.3115942028985473E-2</c:v>
                </c:pt>
                <c:pt idx="766">
                  <c:v>5.4782608695652081E-2</c:v>
                </c:pt>
                <c:pt idx="767">
                  <c:v>5.5202898550724598E-2</c:v>
                </c:pt>
                <c:pt idx="768">
                  <c:v>6.4492753623188417E-2</c:v>
                </c:pt>
                <c:pt idx="769">
                  <c:v>6.4391304347825973E-2</c:v>
                </c:pt>
                <c:pt idx="770">
                  <c:v>6.1652173913043402E-2</c:v>
                </c:pt>
                <c:pt idx="771">
                  <c:v>5.6550724637681071E-2</c:v>
                </c:pt>
                <c:pt idx="772">
                  <c:v>5.5101449275362209E-2</c:v>
                </c:pt>
                <c:pt idx="773">
                  <c:v>6.1130434782608579E-2</c:v>
                </c:pt>
                <c:pt idx="774">
                  <c:v>5.9550724637681039E-2</c:v>
                </c:pt>
                <c:pt idx="775">
                  <c:v>5.6521739130434699E-2</c:v>
                </c:pt>
                <c:pt idx="776">
                  <c:v>5.4768115942028898E-2</c:v>
                </c:pt>
                <c:pt idx="777">
                  <c:v>5.3115942028985473E-2</c:v>
                </c:pt>
                <c:pt idx="778">
                  <c:v>5.4782608695652081E-2</c:v>
                </c:pt>
                <c:pt idx="779">
                  <c:v>5.5202898550724598E-2</c:v>
                </c:pt>
                <c:pt idx="780">
                  <c:v>6.4492753623188417E-2</c:v>
                </c:pt>
                <c:pt idx="781">
                  <c:v>6.4391304347825973E-2</c:v>
                </c:pt>
                <c:pt idx="782">
                  <c:v>6.1652173913043402E-2</c:v>
                </c:pt>
                <c:pt idx="783">
                  <c:v>5.6550724637681071E-2</c:v>
                </c:pt>
                <c:pt idx="784">
                  <c:v>5.5101449275362209E-2</c:v>
                </c:pt>
                <c:pt idx="785">
                  <c:v>6.1130434782608579E-2</c:v>
                </c:pt>
                <c:pt idx="786">
                  <c:v>5.9550724637681039E-2</c:v>
                </c:pt>
                <c:pt idx="787">
                  <c:v>5.6521739130434699E-2</c:v>
                </c:pt>
                <c:pt idx="788">
                  <c:v>5.4768115942028898E-2</c:v>
                </c:pt>
                <c:pt idx="789">
                  <c:v>5.3115942028985473E-2</c:v>
                </c:pt>
                <c:pt idx="790">
                  <c:v>5.4782608695652081E-2</c:v>
                </c:pt>
                <c:pt idx="791">
                  <c:v>5.5202898550724598E-2</c:v>
                </c:pt>
                <c:pt idx="792">
                  <c:v>6.4492753623188417E-2</c:v>
                </c:pt>
                <c:pt idx="793">
                  <c:v>6.4391304347825973E-2</c:v>
                </c:pt>
                <c:pt idx="794">
                  <c:v>6.1652173913043402E-2</c:v>
                </c:pt>
                <c:pt idx="795">
                  <c:v>5.6550724637681071E-2</c:v>
                </c:pt>
                <c:pt idx="796">
                  <c:v>5.5101449275362209E-2</c:v>
                </c:pt>
                <c:pt idx="797">
                  <c:v>6.1130434782608579E-2</c:v>
                </c:pt>
                <c:pt idx="798">
                  <c:v>5.9550724637681039E-2</c:v>
                </c:pt>
                <c:pt idx="799">
                  <c:v>5.6521739130434699E-2</c:v>
                </c:pt>
                <c:pt idx="800">
                  <c:v>5.4768115942028898E-2</c:v>
                </c:pt>
                <c:pt idx="801">
                  <c:v>5.3115942028985473E-2</c:v>
                </c:pt>
                <c:pt idx="802">
                  <c:v>5.4782608695652081E-2</c:v>
                </c:pt>
                <c:pt idx="803">
                  <c:v>5.5202898550724598E-2</c:v>
                </c:pt>
                <c:pt idx="804">
                  <c:v>6.4492753623188417E-2</c:v>
                </c:pt>
                <c:pt idx="805">
                  <c:v>6.4391304347825973E-2</c:v>
                </c:pt>
                <c:pt idx="806">
                  <c:v>6.1652173913043402E-2</c:v>
                </c:pt>
                <c:pt idx="807">
                  <c:v>5.6550724637681071E-2</c:v>
                </c:pt>
                <c:pt idx="808">
                  <c:v>5.5101449275362209E-2</c:v>
                </c:pt>
                <c:pt idx="809">
                  <c:v>6.1130434782608579E-2</c:v>
                </c:pt>
                <c:pt idx="810">
                  <c:v>5.9550724637681039E-2</c:v>
                </c:pt>
                <c:pt idx="811">
                  <c:v>5.6521739130434699E-2</c:v>
                </c:pt>
                <c:pt idx="812">
                  <c:v>5.4768115942028898E-2</c:v>
                </c:pt>
                <c:pt idx="813">
                  <c:v>5.3115942028985473E-2</c:v>
                </c:pt>
                <c:pt idx="814">
                  <c:v>5.4782608695652081E-2</c:v>
                </c:pt>
                <c:pt idx="815">
                  <c:v>5.5202898550724598E-2</c:v>
                </c:pt>
                <c:pt idx="816">
                  <c:v>6.4492753623188417E-2</c:v>
                </c:pt>
                <c:pt idx="817">
                  <c:v>6.4391304347825973E-2</c:v>
                </c:pt>
                <c:pt idx="818">
                  <c:v>6.1652173913043402E-2</c:v>
                </c:pt>
                <c:pt idx="819">
                  <c:v>5.6550724637681071E-2</c:v>
                </c:pt>
                <c:pt idx="820">
                  <c:v>5.5101449275362209E-2</c:v>
                </c:pt>
                <c:pt idx="821">
                  <c:v>6.1130434782608579E-2</c:v>
                </c:pt>
                <c:pt idx="822">
                  <c:v>5.9550724637681039E-2</c:v>
                </c:pt>
                <c:pt idx="823">
                  <c:v>5.6521739130434699E-2</c:v>
                </c:pt>
                <c:pt idx="824">
                  <c:v>5.4768115942028898E-2</c:v>
                </c:pt>
                <c:pt idx="825">
                  <c:v>5.3115942028985473E-2</c:v>
                </c:pt>
                <c:pt idx="826">
                  <c:v>5.4782608695652081E-2</c:v>
                </c:pt>
                <c:pt idx="827">
                  <c:v>5.5202898550724598E-2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89-42A1-BDC2-FAF56235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20552"/>
        <c:axId val="796815960"/>
      </c:scatterChart>
      <c:valAx>
        <c:axId val="796820552"/>
        <c:scaling>
          <c:orientation val="minMax"/>
          <c:max val="40513"/>
          <c:min val="38718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/yy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5960"/>
        <c:crosses val="autoZero"/>
        <c:crossBetween val="midCat"/>
        <c:minorUnit val="31"/>
      </c:valAx>
      <c:valAx>
        <c:axId val="796815960"/>
        <c:scaling>
          <c:orientation val="minMax"/>
          <c:max val="0.1100000000000000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0552"/>
        <c:crosses val="autoZero"/>
        <c:crossBetween val="midCat"/>
      </c:valAx>
      <c:valAx>
        <c:axId val="798512712"/>
        <c:scaling>
          <c:orientation val="minMax"/>
          <c:max val="1.0000000000000002E-2"/>
        </c:scaling>
        <c:delete val="0"/>
        <c:axPos val="r"/>
        <c:numFmt formatCode="0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06152"/>
        <c:crosses val="max"/>
        <c:crossBetween val="between"/>
      </c:valAx>
      <c:dateAx>
        <c:axId val="798506152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7985127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AFFDE-6D36-40C5-879E-85FF3F0BCB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338B5-9D28-4E76-801A-B8CE03674D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3.2" x14ac:dyDescent="0.25"/>
  <cols>
    <col min="1" max="1" width="12.88671875" bestFit="1" customWidth="1"/>
    <col min="2" max="2" width="17.33203125" bestFit="1" customWidth="1"/>
    <col min="3" max="3" width="33.44140625" bestFit="1" customWidth="1"/>
  </cols>
  <sheetData>
    <row r="1" spans="1:3" ht="15.6" x14ac:dyDescent="0.3">
      <c r="A1" s="4" t="s">
        <v>1</v>
      </c>
      <c r="B1" s="4" t="s">
        <v>2</v>
      </c>
      <c r="C1" s="4" t="s">
        <v>3</v>
      </c>
    </row>
    <row r="2" spans="1:3" x14ac:dyDescent="0.25">
      <c r="A2" t="s">
        <v>31</v>
      </c>
      <c r="B2" t="s">
        <v>0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5.77734375" style="2" bestFit="1" customWidth="1"/>
    <col min="2" max="2" width="14.109375" style="24" bestFit="1" customWidth="1"/>
    <col min="3" max="11" width="2" style="3" bestFit="1" customWidth="1"/>
    <col min="12" max="13" width="3" style="3" bestFit="1" customWidth="1"/>
    <col min="14" max="14" width="22.77734375" style="24" bestFit="1" customWidth="1"/>
    <col min="15" max="15" width="9.44140625" style="24" bestFit="1" customWidth="1"/>
    <col min="16" max="16" width="32.109375" style="24" bestFit="1" customWidth="1"/>
    <col min="17" max="17" width="8.5546875" style="1" bestFit="1" customWidth="1"/>
    <col min="18" max="18" width="7.88671875" style="1" bestFit="1" customWidth="1"/>
    <col min="19" max="256" width="20.6640625" style="1" customWidth="1"/>
    <col min="257" max="16384" width="8.88671875" style="1"/>
  </cols>
  <sheetData>
    <row r="1" spans="1:18" x14ac:dyDescent="0.3">
      <c r="B1" s="22" t="s">
        <v>31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31" t="s">
        <v>34</v>
      </c>
      <c r="O1" s="31" t="s">
        <v>29</v>
      </c>
      <c r="P1" s="17" t="s">
        <v>33</v>
      </c>
      <c r="R1" s="17" t="s">
        <v>30</v>
      </c>
    </row>
    <row r="2" spans="1:18" x14ac:dyDescent="0.3">
      <c r="A2" s="2">
        <v>17533</v>
      </c>
      <c r="B2" s="23">
        <v>0.04</v>
      </c>
      <c r="C2" s="5">
        <f>IF(MONTH($A2)=C$1,1,0)</f>
        <v>1</v>
      </c>
      <c r="D2" s="5">
        <f t="shared" ref="D2:M17" si="0">IF(MONTH($A2)=D$1,1,0)</f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32">
        <v>6.4492753623188417E-2</v>
      </c>
      <c r="O2" s="32">
        <v>-2.4492753623188417E-2</v>
      </c>
      <c r="P2" s="24">
        <f>O2+$R$2</f>
        <v>3.3612318840579629E-2</v>
      </c>
      <c r="Q2" s="15"/>
      <c r="R2" s="25">
        <f>AVERAGE(B2:B829)</f>
        <v>5.8105072463768045E-2</v>
      </c>
    </row>
    <row r="3" spans="1:18" x14ac:dyDescent="0.3">
      <c r="A3" s="2">
        <v>17564</v>
      </c>
      <c r="B3" s="23">
        <v>4.7E-2</v>
      </c>
      <c r="C3" s="5">
        <f t="shared" ref="C3:M39" si="1">IF(MONTH($A3)=C$1,1,0)</f>
        <v>0</v>
      </c>
      <c r="D3" s="5">
        <f t="shared" si="0"/>
        <v>1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32">
        <v>6.4391304347825973E-2</v>
      </c>
      <c r="O3" s="32">
        <v>-1.7391304347825973E-2</v>
      </c>
      <c r="P3" s="24">
        <f t="shared" ref="P3:P66" si="2">O3+$R$2</f>
        <v>4.0713768115942073E-2</v>
      </c>
      <c r="Q3" s="15"/>
    </row>
    <row r="4" spans="1:18" x14ac:dyDescent="0.3">
      <c r="A4" s="2">
        <v>17593</v>
      </c>
      <c r="B4" s="23">
        <v>4.4999999999999998E-2</v>
      </c>
      <c r="C4" s="5">
        <f t="shared" si="1"/>
        <v>0</v>
      </c>
      <c r="D4" s="5">
        <f t="shared" si="0"/>
        <v>0</v>
      </c>
      <c r="E4" s="5">
        <f t="shared" si="0"/>
        <v>1</v>
      </c>
      <c r="F4" s="5">
        <f t="shared" si="0"/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32">
        <v>6.1652173913043402E-2</v>
      </c>
      <c r="O4" s="32">
        <v>-1.6652173913043404E-2</v>
      </c>
      <c r="P4" s="24">
        <f t="shared" si="2"/>
        <v>4.1452898550724641E-2</v>
      </c>
    </row>
    <row r="5" spans="1:18" x14ac:dyDescent="0.3">
      <c r="A5" s="2">
        <v>17624</v>
      </c>
      <c r="B5" s="23">
        <v>0.04</v>
      </c>
      <c r="C5" s="5">
        <f t="shared" si="1"/>
        <v>0</v>
      </c>
      <c r="D5" s="5">
        <f t="shared" si="0"/>
        <v>0</v>
      </c>
      <c r="E5" s="5">
        <f t="shared" si="0"/>
        <v>0</v>
      </c>
      <c r="F5" s="5">
        <f t="shared" si="0"/>
        <v>1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32">
        <v>5.6550724637681071E-2</v>
      </c>
      <c r="O5" s="32">
        <v>-1.655072463768107E-2</v>
      </c>
      <c r="P5" s="24">
        <f t="shared" si="2"/>
        <v>4.1554347826086975E-2</v>
      </c>
    </row>
    <row r="6" spans="1:18" x14ac:dyDescent="0.3">
      <c r="A6" s="2">
        <v>17654</v>
      </c>
      <c r="B6" s="23">
        <v>3.4000000000000002E-2</v>
      </c>
      <c r="C6" s="5">
        <f t="shared" si="1"/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1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32">
        <v>5.5101449275362209E-2</v>
      </c>
      <c r="O6" s="32">
        <v>-2.1101449275362207E-2</v>
      </c>
      <c r="P6" s="24">
        <f t="shared" si="2"/>
        <v>3.7003623188405839E-2</v>
      </c>
    </row>
    <row r="7" spans="1:18" x14ac:dyDescent="0.3">
      <c r="A7" s="2">
        <v>17685</v>
      </c>
      <c r="B7" s="23">
        <v>3.9E-2</v>
      </c>
      <c r="C7" s="5">
        <f t="shared" si="1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1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32">
        <v>6.1130434782608579E-2</v>
      </c>
      <c r="O7" s="32">
        <v>-2.213043478260858E-2</v>
      </c>
      <c r="P7" s="24">
        <f t="shared" si="2"/>
        <v>3.5974637681159466E-2</v>
      </c>
    </row>
    <row r="8" spans="1:18" x14ac:dyDescent="0.3">
      <c r="A8" s="2">
        <v>17715</v>
      </c>
      <c r="B8" s="23">
        <v>3.9E-2</v>
      </c>
      <c r="C8" s="5">
        <f t="shared" si="1"/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1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32">
        <v>5.9550724637681039E-2</v>
      </c>
      <c r="O8" s="32">
        <v>-2.0550724637681039E-2</v>
      </c>
      <c r="P8" s="24">
        <f t="shared" si="2"/>
        <v>3.7554347826087006E-2</v>
      </c>
    </row>
    <row r="9" spans="1:18" x14ac:dyDescent="0.3">
      <c r="A9" s="2">
        <v>17746</v>
      </c>
      <c r="B9" s="23">
        <v>3.6000000000000004E-2</v>
      </c>
      <c r="C9" s="5">
        <f t="shared" si="1"/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1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32">
        <v>5.6521739130434699E-2</v>
      </c>
      <c r="O9" s="32">
        <v>-2.0521739130434695E-2</v>
      </c>
      <c r="P9" s="24">
        <f t="shared" si="2"/>
        <v>3.7583333333333351E-2</v>
      </c>
    </row>
    <row r="10" spans="1:18" x14ac:dyDescent="0.3">
      <c r="A10" s="2">
        <v>17777</v>
      </c>
      <c r="B10" s="23">
        <v>3.4000000000000002E-2</v>
      </c>
      <c r="C10" s="5">
        <f t="shared" si="1"/>
        <v>0</v>
      </c>
      <c r="D10" s="5">
        <f t="shared" si="0"/>
        <v>0</v>
      </c>
      <c r="E10" s="5">
        <f t="shared" si="0"/>
        <v>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1</v>
      </c>
      <c r="L10" s="5">
        <f t="shared" si="0"/>
        <v>0</v>
      </c>
      <c r="M10" s="5">
        <f t="shared" si="0"/>
        <v>0</v>
      </c>
      <c r="N10" s="32">
        <v>5.4768115942028898E-2</v>
      </c>
      <c r="O10" s="32">
        <v>-2.0768115942028896E-2</v>
      </c>
      <c r="P10" s="24">
        <f t="shared" si="2"/>
        <v>3.7336956521739149E-2</v>
      </c>
    </row>
    <row r="11" spans="1:18" x14ac:dyDescent="0.3">
      <c r="A11" s="2">
        <v>17807</v>
      </c>
      <c r="B11" s="23">
        <v>2.8999999999999998E-2</v>
      </c>
      <c r="C11" s="5">
        <f t="shared" si="1"/>
        <v>0</v>
      </c>
      <c r="D11" s="5">
        <f t="shared" si="0"/>
        <v>0</v>
      </c>
      <c r="E11" s="5">
        <f t="shared" si="0"/>
        <v>0</v>
      </c>
      <c r="F11" s="5">
        <f t="shared" si="0"/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1</v>
      </c>
      <c r="M11" s="5">
        <f t="shared" si="0"/>
        <v>0</v>
      </c>
      <c r="N11" s="32">
        <v>5.3115942028985473E-2</v>
      </c>
      <c r="O11" s="32">
        <v>-2.4115942028985475E-2</v>
      </c>
      <c r="P11" s="24">
        <f t="shared" si="2"/>
        <v>3.398913043478257E-2</v>
      </c>
    </row>
    <row r="12" spans="1:18" x14ac:dyDescent="0.3">
      <c r="A12" s="2">
        <v>17838</v>
      </c>
      <c r="B12" s="23">
        <v>3.3000000000000002E-2</v>
      </c>
      <c r="C12" s="5">
        <f t="shared" si="1"/>
        <v>0</v>
      </c>
      <c r="D12" s="5">
        <f t="shared" si="0"/>
        <v>0</v>
      </c>
      <c r="E12" s="5">
        <f t="shared" si="0"/>
        <v>0</v>
      </c>
      <c r="F12" s="5">
        <f t="shared" si="0"/>
        <v>0</v>
      </c>
      <c r="G12" s="5">
        <f t="shared" si="0"/>
        <v>0</v>
      </c>
      <c r="H12" s="5">
        <f t="shared" si="0"/>
        <v>0</v>
      </c>
      <c r="I12" s="5">
        <f t="shared" si="0"/>
        <v>0</v>
      </c>
      <c r="J12" s="5">
        <f t="shared" si="0"/>
        <v>0</v>
      </c>
      <c r="K12" s="5">
        <f t="shared" si="0"/>
        <v>0</v>
      </c>
      <c r="L12" s="5">
        <f t="shared" si="0"/>
        <v>0</v>
      </c>
      <c r="M12" s="5">
        <f t="shared" si="0"/>
        <v>1</v>
      </c>
      <c r="N12" s="32">
        <v>5.4782608695652081E-2</v>
      </c>
      <c r="O12" s="32">
        <v>-2.178260869565208E-2</v>
      </c>
      <c r="P12" s="24">
        <f t="shared" si="2"/>
        <v>3.6322463768115966E-2</v>
      </c>
    </row>
    <row r="13" spans="1:18" x14ac:dyDescent="0.3">
      <c r="A13" s="2">
        <v>17868</v>
      </c>
      <c r="B13" s="23">
        <v>3.6000000000000004E-2</v>
      </c>
      <c r="C13" s="5">
        <f t="shared" si="1"/>
        <v>0</v>
      </c>
      <c r="D13" s="5">
        <f t="shared" si="0"/>
        <v>0</v>
      </c>
      <c r="E13" s="5">
        <f t="shared" si="0"/>
        <v>0</v>
      </c>
      <c r="F13" s="5">
        <f t="shared" si="0"/>
        <v>0</v>
      </c>
      <c r="G13" s="5">
        <f t="shared" si="0"/>
        <v>0</v>
      </c>
      <c r="H13" s="5">
        <f t="shared" si="0"/>
        <v>0</v>
      </c>
      <c r="I13" s="5">
        <f t="shared" si="0"/>
        <v>0</v>
      </c>
      <c r="J13" s="5">
        <f t="shared" si="0"/>
        <v>0</v>
      </c>
      <c r="K13" s="5">
        <f t="shared" si="0"/>
        <v>0</v>
      </c>
      <c r="L13" s="5">
        <f t="shared" si="0"/>
        <v>0</v>
      </c>
      <c r="M13" s="5">
        <f t="shared" si="0"/>
        <v>0</v>
      </c>
      <c r="N13" s="32">
        <v>5.5202898550724598E-2</v>
      </c>
      <c r="O13" s="32">
        <v>-1.9202898550724594E-2</v>
      </c>
      <c r="P13" s="24">
        <f t="shared" si="2"/>
        <v>3.8902173913043452E-2</v>
      </c>
    </row>
    <row r="14" spans="1:18" x14ac:dyDescent="0.3">
      <c r="A14" s="2">
        <v>17899</v>
      </c>
      <c r="B14" s="23">
        <v>0.05</v>
      </c>
      <c r="C14" s="5">
        <f t="shared" si="1"/>
        <v>1</v>
      </c>
      <c r="D14" s="5">
        <f t="shared" si="0"/>
        <v>0</v>
      </c>
      <c r="E14" s="5">
        <f t="shared" si="0"/>
        <v>0</v>
      </c>
      <c r="F14" s="5">
        <f t="shared" si="0"/>
        <v>0</v>
      </c>
      <c r="G14" s="5">
        <f t="shared" si="0"/>
        <v>0</v>
      </c>
      <c r="H14" s="5">
        <f t="shared" si="0"/>
        <v>0</v>
      </c>
      <c r="I14" s="5">
        <f t="shared" si="0"/>
        <v>0</v>
      </c>
      <c r="J14" s="5">
        <f t="shared" si="0"/>
        <v>0</v>
      </c>
      <c r="K14" s="5">
        <f t="shared" si="0"/>
        <v>0</v>
      </c>
      <c r="L14" s="5">
        <f t="shared" si="0"/>
        <v>0</v>
      </c>
      <c r="M14" s="5">
        <f t="shared" si="0"/>
        <v>0</v>
      </c>
      <c r="N14" s="32">
        <v>6.4492753623188417E-2</v>
      </c>
      <c r="O14" s="32">
        <v>-1.4492753623188415E-2</v>
      </c>
      <c r="P14" s="24">
        <f t="shared" si="2"/>
        <v>4.3612318840579631E-2</v>
      </c>
    </row>
    <row r="15" spans="1:18" x14ac:dyDescent="0.3">
      <c r="A15" s="2">
        <v>17930</v>
      </c>
      <c r="B15" s="23">
        <v>5.7999999999999996E-2</v>
      </c>
      <c r="C15" s="5">
        <f t="shared" si="1"/>
        <v>0</v>
      </c>
      <c r="D15" s="5">
        <f t="shared" si="0"/>
        <v>1</v>
      </c>
      <c r="E15" s="5">
        <f t="shared" si="0"/>
        <v>0</v>
      </c>
      <c r="F15" s="5">
        <f t="shared" si="0"/>
        <v>0</v>
      </c>
      <c r="G15" s="5">
        <f t="shared" si="0"/>
        <v>0</v>
      </c>
      <c r="H15" s="5">
        <f t="shared" si="0"/>
        <v>0</v>
      </c>
      <c r="I15" s="5">
        <f t="shared" si="0"/>
        <v>0</v>
      </c>
      <c r="J15" s="5">
        <f t="shared" si="0"/>
        <v>0</v>
      </c>
      <c r="K15" s="5">
        <f t="shared" si="0"/>
        <v>0</v>
      </c>
      <c r="L15" s="5">
        <f t="shared" si="0"/>
        <v>0</v>
      </c>
      <c r="M15" s="5">
        <f t="shared" si="0"/>
        <v>0</v>
      </c>
      <c r="N15" s="32">
        <v>6.4391304347825973E-2</v>
      </c>
      <c r="O15" s="32">
        <v>-6.3913043478259768E-3</v>
      </c>
      <c r="P15" s="24">
        <f t="shared" si="2"/>
        <v>5.1713768115942069E-2</v>
      </c>
    </row>
    <row r="16" spans="1:18" x14ac:dyDescent="0.3">
      <c r="A16" s="2">
        <v>17958</v>
      </c>
      <c r="B16" s="23">
        <v>5.5999999999999994E-2</v>
      </c>
      <c r="C16" s="5">
        <f t="shared" si="1"/>
        <v>0</v>
      </c>
      <c r="D16" s="5">
        <f t="shared" si="0"/>
        <v>0</v>
      </c>
      <c r="E16" s="5">
        <f t="shared" si="0"/>
        <v>1</v>
      </c>
      <c r="F16" s="5">
        <f t="shared" si="0"/>
        <v>0</v>
      </c>
      <c r="G16" s="5">
        <f t="shared" si="0"/>
        <v>0</v>
      </c>
      <c r="H16" s="5">
        <f t="shared" si="0"/>
        <v>0</v>
      </c>
      <c r="I16" s="5">
        <f t="shared" si="0"/>
        <v>0</v>
      </c>
      <c r="J16" s="5">
        <f t="shared" si="0"/>
        <v>0</v>
      </c>
      <c r="K16" s="5">
        <f t="shared" si="0"/>
        <v>0</v>
      </c>
      <c r="L16" s="5">
        <f t="shared" si="0"/>
        <v>0</v>
      </c>
      <c r="M16" s="5">
        <f t="shared" si="0"/>
        <v>0</v>
      </c>
      <c r="N16" s="32">
        <v>6.1652173913043402E-2</v>
      </c>
      <c r="O16" s="32">
        <v>-5.6521739130434082E-3</v>
      </c>
      <c r="P16" s="24">
        <f t="shared" si="2"/>
        <v>5.2452898550724637E-2</v>
      </c>
    </row>
    <row r="17" spans="1:16" x14ac:dyDescent="0.3">
      <c r="A17" s="2">
        <v>17989</v>
      </c>
      <c r="B17" s="23">
        <v>5.4000000000000006E-2</v>
      </c>
      <c r="C17" s="5">
        <f t="shared" si="1"/>
        <v>0</v>
      </c>
      <c r="D17" s="5">
        <f t="shared" si="0"/>
        <v>0</v>
      </c>
      <c r="E17" s="5">
        <f t="shared" si="0"/>
        <v>0</v>
      </c>
      <c r="F17" s="5">
        <f t="shared" si="0"/>
        <v>1</v>
      </c>
      <c r="G17" s="5">
        <f t="shared" si="0"/>
        <v>0</v>
      </c>
      <c r="H17" s="5">
        <f t="shared" si="0"/>
        <v>0</v>
      </c>
      <c r="I17" s="5">
        <f t="shared" si="0"/>
        <v>0</v>
      </c>
      <c r="J17" s="5">
        <f t="shared" si="0"/>
        <v>0</v>
      </c>
      <c r="K17" s="5">
        <f t="shared" si="0"/>
        <v>0</v>
      </c>
      <c r="L17" s="5">
        <f t="shared" si="0"/>
        <v>0</v>
      </c>
      <c r="M17" s="5">
        <f t="shared" si="0"/>
        <v>0</v>
      </c>
      <c r="N17" s="32">
        <v>5.6550724637681071E-2</v>
      </c>
      <c r="O17" s="32">
        <v>-2.5507246376810649E-3</v>
      </c>
      <c r="P17" s="24">
        <f t="shared" si="2"/>
        <v>5.5554347826086981E-2</v>
      </c>
    </row>
    <row r="18" spans="1:16" x14ac:dyDescent="0.3">
      <c r="A18" s="2">
        <v>18019</v>
      </c>
      <c r="B18" s="23">
        <v>5.7000000000000002E-2</v>
      </c>
      <c r="C18" s="5">
        <f t="shared" si="1"/>
        <v>0</v>
      </c>
      <c r="D18" s="5">
        <f t="shared" si="1"/>
        <v>0</v>
      </c>
      <c r="E18" s="5">
        <f t="shared" si="1"/>
        <v>0</v>
      </c>
      <c r="F18" s="5">
        <f t="shared" si="1"/>
        <v>0</v>
      </c>
      <c r="G18" s="5">
        <f t="shared" si="1"/>
        <v>1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32">
        <v>5.5101449275362209E-2</v>
      </c>
      <c r="O18" s="32">
        <v>1.8985507246377931E-3</v>
      </c>
      <c r="P18" s="24">
        <f t="shared" si="2"/>
        <v>6.0003623188405839E-2</v>
      </c>
    </row>
    <row r="19" spans="1:16" x14ac:dyDescent="0.3">
      <c r="A19" s="2">
        <v>18050</v>
      </c>
      <c r="B19" s="23">
        <v>6.4000000000000001E-2</v>
      </c>
      <c r="C19" s="5">
        <f t="shared" si="1"/>
        <v>0</v>
      </c>
      <c r="D19" s="5">
        <f t="shared" si="1"/>
        <v>0</v>
      </c>
      <c r="E19" s="5">
        <f t="shared" si="1"/>
        <v>0</v>
      </c>
      <c r="F19" s="5">
        <f t="shared" si="1"/>
        <v>0</v>
      </c>
      <c r="G19" s="5">
        <f t="shared" si="1"/>
        <v>0</v>
      </c>
      <c r="H19" s="5">
        <f t="shared" si="1"/>
        <v>1</v>
      </c>
      <c r="I19" s="5">
        <f t="shared" si="1"/>
        <v>0</v>
      </c>
      <c r="J19" s="5">
        <f t="shared" si="1"/>
        <v>0</v>
      </c>
      <c r="K19" s="5">
        <f t="shared" si="1"/>
        <v>0</v>
      </c>
      <c r="L19" s="5">
        <f t="shared" si="1"/>
        <v>0</v>
      </c>
      <c r="M19" s="5">
        <f t="shared" si="1"/>
        <v>0</v>
      </c>
      <c r="N19" s="32">
        <v>6.1130434782608579E-2</v>
      </c>
      <c r="O19" s="32">
        <v>2.8695652173914218E-3</v>
      </c>
      <c r="P19" s="24">
        <f t="shared" si="2"/>
        <v>6.0974637681159467E-2</v>
      </c>
    </row>
    <row r="20" spans="1:16" x14ac:dyDescent="0.3">
      <c r="A20" s="2">
        <v>18080</v>
      </c>
      <c r="B20" s="23">
        <v>7.0000000000000007E-2</v>
      </c>
      <c r="C20" s="5">
        <f t="shared" si="1"/>
        <v>0</v>
      </c>
      <c r="D20" s="5">
        <f t="shared" si="1"/>
        <v>0</v>
      </c>
      <c r="E20" s="5">
        <f t="shared" si="1"/>
        <v>0</v>
      </c>
      <c r="F20" s="5">
        <f t="shared" si="1"/>
        <v>0</v>
      </c>
      <c r="G20" s="5">
        <f t="shared" si="1"/>
        <v>0</v>
      </c>
      <c r="H20" s="5">
        <f t="shared" si="1"/>
        <v>0</v>
      </c>
      <c r="I20" s="5">
        <f t="shared" si="1"/>
        <v>1</v>
      </c>
      <c r="J20" s="5">
        <f t="shared" si="1"/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32">
        <v>5.9550724637681039E-2</v>
      </c>
      <c r="O20" s="32">
        <v>1.0449275362318967E-2</v>
      </c>
      <c r="P20" s="24">
        <f t="shared" si="2"/>
        <v>6.855434782608702E-2</v>
      </c>
    </row>
    <row r="21" spans="1:16" x14ac:dyDescent="0.3">
      <c r="A21" s="2">
        <v>18111</v>
      </c>
      <c r="B21" s="23">
        <v>6.3E-2</v>
      </c>
      <c r="C21" s="5">
        <f t="shared" si="1"/>
        <v>0</v>
      </c>
      <c r="D21" s="5">
        <f t="shared" si="1"/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</v>
      </c>
      <c r="I21" s="5">
        <f t="shared" si="1"/>
        <v>0</v>
      </c>
      <c r="J21" s="5">
        <f t="shared" si="1"/>
        <v>1</v>
      </c>
      <c r="K21" s="5">
        <f t="shared" si="1"/>
        <v>0</v>
      </c>
      <c r="L21" s="5">
        <f t="shared" si="1"/>
        <v>0</v>
      </c>
      <c r="M21" s="5">
        <f t="shared" si="1"/>
        <v>0</v>
      </c>
      <c r="N21" s="32">
        <v>5.6521739130434699E-2</v>
      </c>
      <c r="O21" s="32">
        <v>6.4782608695653013E-3</v>
      </c>
      <c r="P21" s="24">
        <f t="shared" si="2"/>
        <v>6.4583333333333354E-2</v>
      </c>
    </row>
    <row r="22" spans="1:16" x14ac:dyDescent="0.3">
      <c r="A22" s="2">
        <v>18142</v>
      </c>
      <c r="B22" s="23">
        <v>5.9000000000000004E-2</v>
      </c>
      <c r="C22" s="5">
        <f t="shared" si="1"/>
        <v>0</v>
      </c>
      <c r="D22" s="5">
        <f t="shared" si="1"/>
        <v>0</v>
      </c>
      <c r="E22" s="5">
        <f t="shared" si="1"/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1</v>
      </c>
      <c r="L22" s="5">
        <f t="shared" si="1"/>
        <v>0</v>
      </c>
      <c r="M22" s="5">
        <f t="shared" si="1"/>
        <v>0</v>
      </c>
      <c r="N22" s="32">
        <v>5.4768115942028898E-2</v>
      </c>
      <c r="O22" s="32">
        <v>4.2318840579711053E-3</v>
      </c>
      <c r="P22" s="24">
        <f t="shared" si="2"/>
        <v>6.2336956521739151E-2</v>
      </c>
    </row>
    <row r="23" spans="1:16" x14ac:dyDescent="0.3">
      <c r="A23" s="2">
        <v>18172</v>
      </c>
      <c r="B23" s="23">
        <v>6.0999999999999999E-2</v>
      </c>
      <c r="C23" s="5">
        <f t="shared" si="1"/>
        <v>0</v>
      </c>
      <c r="D23" s="5">
        <f t="shared" si="1"/>
        <v>0</v>
      </c>
      <c r="E23" s="5">
        <f t="shared" si="1"/>
        <v>0</v>
      </c>
      <c r="F23" s="5">
        <f t="shared" si="1"/>
        <v>0</v>
      </c>
      <c r="G23" s="5">
        <f t="shared" si="1"/>
        <v>0</v>
      </c>
      <c r="H23" s="5">
        <f t="shared" si="1"/>
        <v>0</v>
      </c>
      <c r="I23" s="5">
        <f t="shared" si="1"/>
        <v>0</v>
      </c>
      <c r="J23" s="5">
        <f t="shared" si="1"/>
        <v>0</v>
      </c>
      <c r="K23" s="5">
        <f t="shared" si="1"/>
        <v>0</v>
      </c>
      <c r="L23" s="5">
        <f t="shared" si="1"/>
        <v>1</v>
      </c>
      <c r="M23" s="5">
        <f t="shared" si="1"/>
        <v>0</v>
      </c>
      <c r="N23" s="32">
        <v>5.3115942028985473E-2</v>
      </c>
      <c r="O23" s="32">
        <v>7.8840579710145256E-3</v>
      </c>
      <c r="P23" s="24">
        <f t="shared" si="2"/>
        <v>6.5989130434782578E-2</v>
      </c>
    </row>
    <row r="24" spans="1:16" x14ac:dyDescent="0.3">
      <c r="A24" s="2">
        <v>18203</v>
      </c>
      <c r="B24" s="23">
        <v>5.7000000000000002E-2</v>
      </c>
      <c r="C24" s="5">
        <f t="shared" si="1"/>
        <v>0</v>
      </c>
      <c r="D24" s="5">
        <f t="shared" si="1"/>
        <v>0</v>
      </c>
      <c r="E24" s="5">
        <f t="shared" si="1"/>
        <v>0</v>
      </c>
      <c r="F24" s="5">
        <f t="shared" si="1"/>
        <v>0</v>
      </c>
      <c r="G24" s="5">
        <f t="shared" si="1"/>
        <v>0</v>
      </c>
      <c r="H24" s="5">
        <f t="shared" si="1"/>
        <v>0</v>
      </c>
      <c r="I24" s="5">
        <f t="shared" si="1"/>
        <v>0</v>
      </c>
      <c r="J24" s="5">
        <f t="shared" si="1"/>
        <v>0</v>
      </c>
      <c r="K24" s="5">
        <f t="shared" si="1"/>
        <v>0</v>
      </c>
      <c r="L24" s="5">
        <f t="shared" si="1"/>
        <v>0</v>
      </c>
      <c r="M24" s="5">
        <f t="shared" si="1"/>
        <v>1</v>
      </c>
      <c r="N24" s="32">
        <v>5.4782608695652081E-2</v>
      </c>
      <c r="O24" s="32">
        <v>2.217391304347921E-3</v>
      </c>
      <c r="P24" s="24">
        <f t="shared" si="2"/>
        <v>6.0322463768115966E-2</v>
      </c>
    </row>
    <row r="25" spans="1:16" x14ac:dyDescent="0.3">
      <c r="A25" s="2">
        <v>18233</v>
      </c>
      <c r="B25" s="23">
        <v>0.06</v>
      </c>
      <c r="C25" s="5">
        <f t="shared" si="1"/>
        <v>0</v>
      </c>
      <c r="D25" s="5">
        <f t="shared" si="1"/>
        <v>0</v>
      </c>
      <c r="E25" s="5">
        <f t="shared" si="1"/>
        <v>0</v>
      </c>
      <c r="F25" s="5">
        <f t="shared" si="1"/>
        <v>0</v>
      </c>
      <c r="G25" s="5">
        <f t="shared" si="1"/>
        <v>0</v>
      </c>
      <c r="H25" s="5">
        <f t="shared" si="1"/>
        <v>0</v>
      </c>
      <c r="I25" s="5">
        <f t="shared" si="1"/>
        <v>0</v>
      </c>
      <c r="J25" s="5">
        <f t="shared" si="1"/>
        <v>0</v>
      </c>
      <c r="K25" s="5">
        <f t="shared" si="1"/>
        <v>0</v>
      </c>
      <c r="L25" s="5">
        <f t="shared" si="1"/>
        <v>0</v>
      </c>
      <c r="M25" s="5">
        <f t="shared" si="1"/>
        <v>0</v>
      </c>
      <c r="N25" s="32">
        <v>5.5202898550724598E-2</v>
      </c>
      <c r="O25" s="32">
        <v>4.7971014492753997E-3</v>
      </c>
      <c r="P25" s="24">
        <f t="shared" si="2"/>
        <v>6.2902173913043452E-2</v>
      </c>
    </row>
    <row r="26" spans="1:16" x14ac:dyDescent="0.3">
      <c r="A26" s="2">
        <v>18264</v>
      </c>
      <c r="B26" s="23">
        <v>7.5999999999999998E-2</v>
      </c>
      <c r="C26" s="5">
        <f t="shared" si="1"/>
        <v>1</v>
      </c>
      <c r="D26" s="5">
        <f t="shared" si="1"/>
        <v>0</v>
      </c>
      <c r="E26" s="5">
        <f t="shared" si="1"/>
        <v>0</v>
      </c>
      <c r="F26" s="5">
        <f t="shared" si="1"/>
        <v>0</v>
      </c>
      <c r="G26" s="5">
        <f t="shared" si="1"/>
        <v>0</v>
      </c>
      <c r="H26" s="5">
        <f t="shared" si="1"/>
        <v>0</v>
      </c>
      <c r="I26" s="5">
        <f t="shared" si="1"/>
        <v>0</v>
      </c>
      <c r="J26" s="5">
        <f t="shared" si="1"/>
        <v>0</v>
      </c>
      <c r="K26" s="5">
        <f t="shared" si="1"/>
        <v>0</v>
      </c>
      <c r="L26" s="5">
        <f t="shared" si="1"/>
        <v>0</v>
      </c>
      <c r="M26" s="5">
        <f t="shared" si="1"/>
        <v>0</v>
      </c>
      <c r="N26" s="32">
        <v>6.4492753623188417E-2</v>
      </c>
      <c r="O26" s="32">
        <v>1.1507246376811581E-2</v>
      </c>
      <c r="P26" s="24">
        <f t="shared" si="2"/>
        <v>6.9612318840579626E-2</v>
      </c>
    </row>
    <row r="27" spans="1:16" x14ac:dyDescent="0.3">
      <c r="A27" s="2">
        <v>18295</v>
      </c>
      <c r="B27" s="23">
        <v>7.9000000000000001E-2</v>
      </c>
      <c r="C27" s="5">
        <f t="shared" si="1"/>
        <v>0</v>
      </c>
      <c r="D27" s="5">
        <f t="shared" si="1"/>
        <v>1</v>
      </c>
      <c r="E27" s="5">
        <f t="shared" si="1"/>
        <v>0</v>
      </c>
      <c r="F27" s="5">
        <f t="shared" si="1"/>
        <v>0</v>
      </c>
      <c r="G27" s="5">
        <f t="shared" si="1"/>
        <v>0</v>
      </c>
      <c r="H27" s="5">
        <f t="shared" si="1"/>
        <v>0</v>
      </c>
      <c r="I27" s="5">
        <f t="shared" si="1"/>
        <v>0</v>
      </c>
      <c r="J27" s="5">
        <f t="shared" si="1"/>
        <v>0</v>
      </c>
      <c r="K27" s="5">
        <f t="shared" si="1"/>
        <v>0</v>
      </c>
      <c r="L27" s="5">
        <f t="shared" si="1"/>
        <v>0</v>
      </c>
      <c r="M27" s="5">
        <f t="shared" si="1"/>
        <v>0</v>
      </c>
      <c r="N27" s="32">
        <v>6.4391304347825973E-2</v>
      </c>
      <c r="O27" s="32">
        <v>1.4608695652174028E-2</v>
      </c>
      <c r="P27" s="24">
        <f t="shared" si="2"/>
        <v>7.2713768115942073E-2</v>
      </c>
    </row>
    <row r="28" spans="1:16" x14ac:dyDescent="0.3">
      <c r="A28" s="2">
        <v>18323</v>
      </c>
      <c r="B28" s="23">
        <v>7.0999999999999994E-2</v>
      </c>
      <c r="C28" s="5">
        <f t="shared" si="1"/>
        <v>0</v>
      </c>
      <c r="D28" s="5">
        <f t="shared" si="1"/>
        <v>0</v>
      </c>
      <c r="E28" s="5">
        <f t="shared" si="1"/>
        <v>1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32">
        <v>6.1652173913043402E-2</v>
      </c>
      <c r="O28" s="32">
        <v>9.3478260869565913E-3</v>
      </c>
      <c r="P28" s="24">
        <f t="shared" si="2"/>
        <v>6.7452898550724644E-2</v>
      </c>
    </row>
    <row r="29" spans="1:16" x14ac:dyDescent="0.3">
      <c r="A29" s="2">
        <v>18354</v>
      </c>
      <c r="B29" s="23">
        <v>0.06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1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32">
        <v>5.6550724637681071E-2</v>
      </c>
      <c r="O29" s="32">
        <v>3.4492753623189265E-3</v>
      </c>
      <c r="P29" s="24">
        <f t="shared" si="2"/>
        <v>6.1554347826086972E-2</v>
      </c>
    </row>
    <row r="30" spans="1:16" x14ac:dyDescent="0.3">
      <c r="A30" s="2">
        <v>18384</v>
      </c>
      <c r="B30" s="23">
        <v>5.2999999999999999E-2</v>
      </c>
      <c r="C30" s="5">
        <f t="shared" si="1"/>
        <v>0</v>
      </c>
      <c r="D30" s="5">
        <f t="shared" si="1"/>
        <v>0</v>
      </c>
      <c r="E30" s="5">
        <f t="shared" si="1"/>
        <v>0</v>
      </c>
      <c r="F30" s="5">
        <f t="shared" si="1"/>
        <v>0</v>
      </c>
      <c r="G30" s="5">
        <f t="shared" si="1"/>
        <v>1</v>
      </c>
      <c r="H30" s="5">
        <f t="shared" si="1"/>
        <v>0</v>
      </c>
      <c r="I30" s="5">
        <f t="shared" si="1"/>
        <v>0</v>
      </c>
      <c r="J30" s="5">
        <f t="shared" si="1"/>
        <v>0</v>
      </c>
      <c r="K30" s="5">
        <f t="shared" si="1"/>
        <v>0</v>
      </c>
      <c r="L30" s="5">
        <f t="shared" si="1"/>
        <v>0</v>
      </c>
      <c r="M30" s="5">
        <f t="shared" si="1"/>
        <v>0</v>
      </c>
      <c r="N30" s="32">
        <v>5.5101449275362209E-2</v>
      </c>
      <c r="O30" s="32">
        <v>-2.1014492753622105E-3</v>
      </c>
      <c r="P30" s="24">
        <f t="shared" si="2"/>
        <v>5.6003623188405835E-2</v>
      </c>
    </row>
    <row r="31" spans="1:16" x14ac:dyDescent="0.3">
      <c r="A31" s="2">
        <v>18415</v>
      </c>
      <c r="B31" s="23">
        <v>5.5999999999999994E-2</v>
      </c>
      <c r="C31" s="5">
        <f t="shared" si="1"/>
        <v>0</v>
      </c>
      <c r="D31" s="5">
        <f t="shared" si="1"/>
        <v>0</v>
      </c>
      <c r="E31" s="5">
        <f t="shared" si="1"/>
        <v>0</v>
      </c>
      <c r="F31" s="5">
        <f t="shared" si="1"/>
        <v>0</v>
      </c>
      <c r="G31" s="5">
        <f t="shared" si="1"/>
        <v>0</v>
      </c>
      <c r="H31" s="5">
        <f t="shared" si="1"/>
        <v>1</v>
      </c>
      <c r="I31" s="5">
        <f t="shared" si="1"/>
        <v>0</v>
      </c>
      <c r="J31" s="5">
        <f t="shared" si="1"/>
        <v>0</v>
      </c>
      <c r="K31" s="5">
        <f t="shared" si="1"/>
        <v>0</v>
      </c>
      <c r="L31" s="5">
        <f t="shared" si="1"/>
        <v>0</v>
      </c>
      <c r="M31" s="5">
        <f t="shared" si="1"/>
        <v>0</v>
      </c>
      <c r="N31" s="32">
        <v>6.1130434782608579E-2</v>
      </c>
      <c r="O31" s="32">
        <v>-5.1304347826085853E-3</v>
      </c>
      <c r="P31" s="24">
        <f t="shared" si="2"/>
        <v>5.297463768115946E-2</v>
      </c>
    </row>
    <row r="32" spans="1:16" x14ac:dyDescent="0.3">
      <c r="A32" s="2">
        <v>18445</v>
      </c>
      <c r="B32" s="23">
        <v>5.2999999999999999E-2</v>
      </c>
      <c r="C32" s="5">
        <f t="shared" si="1"/>
        <v>0</v>
      </c>
      <c r="D32" s="5">
        <f t="shared" si="1"/>
        <v>0</v>
      </c>
      <c r="E32" s="5">
        <f t="shared" si="1"/>
        <v>0</v>
      </c>
      <c r="F32" s="5">
        <f t="shared" si="1"/>
        <v>0</v>
      </c>
      <c r="G32" s="5">
        <f t="shared" si="1"/>
        <v>0</v>
      </c>
      <c r="H32" s="5">
        <f t="shared" si="1"/>
        <v>0</v>
      </c>
      <c r="I32" s="5">
        <f t="shared" si="1"/>
        <v>1</v>
      </c>
      <c r="J32" s="5">
        <f t="shared" si="1"/>
        <v>0</v>
      </c>
      <c r="K32" s="5">
        <f t="shared" si="1"/>
        <v>0</v>
      </c>
      <c r="L32" s="5">
        <f t="shared" si="1"/>
        <v>0</v>
      </c>
      <c r="M32" s="5">
        <f t="shared" si="1"/>
        <v>0</v>
      </c>
      <c r="N32" s="32">
        <v>5.9550724637681039E-2</v>
      </c>
      <c r="O32" s="32">
        <v>-6.5507246376810407E-3</v>
      </c>
      <c r="P32" s="24">
        <f t="shared" si="2"/>
        <v>5.1554347826087005E-2</v>
      </c>
    </row>
    <row r="33" spans="1:16" x14ac:dyDescent="0.3">
      <c r="A33" s="2">
        <v>18476</v>
      </c>
      <c r="B33" s="23">
        <v>4.0999999999999995E-2</v>
      </c>
      <c r="C33" s="5">
        <f t="shared" si="1"/>
        <v>0</v>
      </c>
      <c r="D33" s="5">
        <f t="shared" si="1"/>
        <v>0</v>
      </c>
      <c r="E33" s="5">
        <f t="shared" si="1"/>
        <v>0</v>
      </c>
      <c r="F33" s="5">
        <f t="shared" si="1"/>
        <v>0</v>
      </c>
      <c r="G33" s="5">
        <f t="shared" si="1"/>
        <v>0</v>
      </c>
      <c r="H33" s="5">
        <f t="shared" si="1"/>
        <v>0</v>
      </c>
      <c r="I33" s="5">
        <f t="shared" si="1"/>
        <v>0</v>
      </c>
      <c r="J33" s="5">
        <f t="shared" si="1"/>
        <v>1</v>
      </c>
      <c r="K33" s="5">
        <f t="shared" si="1"/>
        <v>0</v>
      </c>
      <c r="L33" s="5">
        <f t="shared" si="1"/>
        <v>0</v>
      </c>
      <c r="M33" s="5">
        <f t="shared" si="1"/>
        <v>0</v>
      </c>
      <c r="N33" s="32">
        <v>5.6521739130434699E-2</v>
      </c>
      <c r="O33" s="32">
        <v>-1.5521739130434704E-2</v>
      </c>
      <c r="P33" s="24">
        <f t="shared" si="2"/>
        <v>4.2583333333333341E-2</v>
      </c>
    </row>
    <row r="34" spans="1:16" x14ac:dyDescent="0.3">
      <c r="A34" s="2">
        <v>18507</v>
      </c>
      <c r="B34" s="23">
        <v>0.04</v>
      </c>
      <c r="C34" s="5">
        <f t="shared" si="1"/>
        <v>0</v>
      </c>
      <c r="D34" s="5">
        <f t="shared" si="1"/>
        <v>0</v>
      </c>
      <c r="E34" s="5">
        <f t="shared" si="1"/>
        <v>0</v>
      </c>
      <c r="F34" s="5">
        <f t="shared" si="1"/>
        <v>0</v>
      </c>
      <c r="G34" s="5">
        <f t="shared" si="1"/>
        <v>0</v>
      </c>
      <c r="H34" s="5">
        <f t="shared" si="1"/>
        <v>0</v>
      </c>
      <c r="I34" s="5">
        <f t="shared" si="1"/>
        <v>0</v>
      </c>
      <c r="J34" s="5">
        <f t="shared" si="1"/>
        <v>0</v>
      </c>
      <c r="K34" s="5">
        <f t="shared" si="1"/>
        <v>1</v>
      </c>
      <c r="L34" s="5">
        <f t="shared" si="1"/>
        <v>0</v>
      </c>
      <c r="M34" s="5">
        <f t="shared" si="1"/>
        <v>0</v>
      </c>
      <c r="N34" s="32">
        <v>5.4768115942028898E-2</v>
      </c>
      <c r="O34" s="32">
        <v>-1.4768115942028898E-2</v>
      </c>
      <c r="P34" s="24">
        <f t="shared" si="2"/>
        <v>4.3336956521739148E-2</v>
      </c>
    </row>
    <row r="35" spans="1:16" x14ac:dyDescent="0.3">
      <c r="A35" s="2">
        <v>18537</v>
      </c>
      <c r="B35" s="23">
        <v>3.3000000000000002E-2</v>
      </c>
      <c r="C35" s="5">
        <f t="shared" si="1"/>
        <v>0</v>
      </c>
      <c r="D35" s="5">
        <f t="shared" si="1"/>
        <v>0</v>
      </c>
      <c r="E35" s="5">
        <f t="shared" si="1"/>
        <v>0</v>
      </c>
      <c r="F35" s="5">
        <f t="shared" si="1"/>
        <v>0</v>
      </c>
      <c r="G35" s="5">
        <f t="shared" si="1"/>
        <v>0</v>
      </c>
      <c r="H35" s="5">
        <f t="shared" si="1"/>
        <v>0</v>
      </c>
      <c r="I35" s="5">
        <f t="shared" si="1"/>
        <v>0</v>
      </c>
      <c r="J35" s="5">
        <f t="shared" si="1"/>
        <v>0</v>
      </c>
      <c r="K35" s="5">
        <f t="shared" si="1"/>
        <v>0</v>
      </c>
      <c r="L35" s="5">
        <f t="shared" si="1"/>
        <v>1</v>
      </c>
      <c r="M35" s="5">
        <f t="shared" si="1"/>
        <v>0</v>
      </c>
      <c r="N35" s="32">
        <v>5.3115942028985473E-2</v>
      </c>
      <c r="O35" s="32">
        <v>-2.0115942028985472E-2</v>
      </c>
      <c r="P35" s="24">
        <f t="shared" si="2"/>
        <v>3.7989130434782574E-2</v>
      </c>
    </row>
    <row r="36" spans="1:16" x14ac:dyDescent="0.3">
      <c r="A36" s="2">
        <v>18568</v>
      </c>
      <c r="B36" s="23">
        <v>3.7999999999999999E-2</v>
      </c>
      <c r="C36" s="5">
        <f t="shared" si="1"/>
        <v>0</v>
      </c>
      <c r="D36" s="5">
        <f t="shared" si="1"/>
        <v>0</v>
      </c>
      <c r="E36" s="5">
        <f t="shared" si="1"/>
        <v>0</v>
      </c>
      <c r="F36" s="5">
        <f t="shared" si="1"/>
        <v>0</v>
      </c>
      <c r="G36" s="5">
        <f t="shared" si="1"/>
        <v>0</v>
      </c>
      <c r="H36" s="5">
        <f t="shared" si="1"/>
        <v>0</v>
      </c>
      <c r="I36" s="5">
        <f t="shared" si="1"/>
        <v>0</v>
      </c>
      <c r="J36" s="5">
        <f t="shared" si="1"/>
        <v>0</v>
      </c>
      <c r="K36" s="5">
        <f t="shared" si="1"/>
        <v>0</v>
      </c>
      <c r="L36" s="5">
        <f t="shared" si="1"/>
        <v>0</v>
      </c>
      <c r="M36" s="5">
        <f t="shared" si="1"/>
        <v>1</v>
      </c>
      <c r="N36" s="32">
        <v>5.4782608695652081E-2</v>
      </c>
      <c r="O36" s="32">
        <v>-1.6782608695652082E-2</v>
      </c>
      <c r="P36" s="24">
        <f t="shared" si="2"/>
        <v>4.1322463768115963E-2</v>
      </c>
    </row>
    <row r="37" spans="1:16" x14ac:dyDescent="0.3">
      <c r="A37" s="2">
        <v>18598</v>
      </c>
      <c r="B37" s="23">
        <v>3.9E-2</v>
      </c>
      <c r="C37" s="5">
        <f t="shared" si="1"/>
        <v>0</v>
      </c>
      <c r="D37" s="5">
        <f t="shared" si="1"/>
        <v>0</v>
      </c>
      <c r="E37" s="5">
        <f t="shared" si="1"/>
        <v>0</v>
      </c>
      <c r="F37" s="5">
        <f t="shared" si="1"/>
        <v>0</v>
      </c>
      <c r="G37" s="5">
        <f t="shared" si="1"/>
        <v>0</v>
      </c>
      <c r="H37" s="5">
        <f t="shared" si="1"/>
        <v>0</v>
      </c>
      <c r="I37" s="5">
        <f t="shared" si="1"/>
        <v>0</v>
      </c>
      <c r="J37" s="5">
        <f t="shared" si="1"/>
        <v>0</v>
      </c>
      <c r="K37" s="5">
        <f t="shared" si="1"/>
        <v>0</v>
      </c>
      <c r="L37" s="5">
        <f t="shared" si="1"/>
        <v>0</v>
      </c>
      <c r="M37" s="5">
        <f t="shared" si="1"/>
        <v>0</v>
      </c>
      <c r="N37" s="32">
        <v>5.5202898550724598E-2</v>
      </c>
      <c r="O37" s="32">
        <v>-1.6202898550724598E-2</v>
      </c>
      <c r="P37" s="24">
        <f t="shared" si="2"/>
        <v>4.1902173913043447E-2</v>
      </c>
    </row>
    <row r="38" spans="1:16" x14ac:dyDescent="0.3">
      <c r="A38" s="2">
        <v>18629</v>
      </c>
      <c r="B38" s="23">
        <v>4.4000000000000004E-2</v>
      </c>
      <c r="C38" s="5">
        <f t="shared" si="1"/>
        <v>1</v>
      </c>
      <c r="D38" s="5">
        <f t="shared" si="1"/>
        <v>0</v>
      </c>
      <c r="E38" s="5">
        <f t="shared" si="1"/>
        <v>0</v>
      </c>
      <c r="F38" s="5">
        <f t="shared" si="1"/>
        <v>0</v>
      </c>
      <c r="G38" s="5">
        <f t="shared" si="1"/>
        <v>0</v>
      </c>
      <c r="H38" s="5">
        <f t="shared" si="1"/>
        <v>0</v>
      </c>
      <c r="I38" s="5">
        <f t="shared" si="1"/>
        <v>0</v>
      </c>
      <c r="J38" s="5">
        <f t="shared" si="1"/>
        <v>0</v>
      </c>
      <c r="K38" s="5">
        <f t="shared" si="1"/>
        <v>0</v>
      </c>
      <c r="L38" s="5">
        <f t="shared" si="1"/>
        <v>0</v>
      </c>
      <c r="M38" s="5">
        <f t="shared" si="1"/>
        <v>0</v>
      </c>
      <c r="N38" s="32">
        <v>6.4492753623188417E-2</v>
      </c>
      <c r="O38" s="32">
        <v>-2.0492753623188413E-2</v>
      </c>
      <c r="P38" s="24">
        <f t="shared" si="2"/>
        <v>3.7612318840579632E-2</v>
      </c>
    </row>
    <row r="39" spans="1:16" x14ac:dyDescent="0.3">
      <c r="A39" s="2">
        <v>18660</v>
      </c>
      <c r="B39" s="23">
        <v>4.2000000000000003E-2</v>
      </c>
      <c r="C39" s="5">
        <f t="shared" si="1"/>
        <v>0</v>
      </c>
      <c r="D39" s="5">
        <f t="shared" si="1"/>
        <v>1</v>
      </c>
      <c r="E39" s="5">
        <f t="shared" si="1"/>
        <v>0</v>
      </c>
      <c r="F39" s="5">
        <f t="shared" si="1"/>
        <v>0</v>
      </c>
      <c r="G39" s="5">
        <f t="shared" si="1"/>
        <v>0</v>
      </c>
      <c r="H39" s="5">
        <f t="shared" si="1"/>
        <v>0</v>
      </c>
      <c r="I39" s="5">
        <f t="shared" si="1"/>
        <v>0</v>
      </c>
      <c r="J39" s="5">
        <f t="shared" si="1"/>
        <v>0</v>
      </c>
      <c r="K39" s="5">
        <f t="shared" si="1"/>
        <v>0</v>
      </c>
      <c r="L39" s="5">
        <f t="shared" ref="D39:M65" si="3">IF(MONTH($A39)=L$1,1,0)</f>
        <v>0</v>
      </c>
      <c r="M39" s="5">
        <f t="shared" si="3"/>
        <v>0</v>
      </c>
      <c r="N39" s="32">
        <v>6.4391304347825973E-2</v>
      </c>
      <c r="O39" s="32">
        <v>-2.239130434782597E-2</v>
      </c>
      <c r="P39" s="24">
        <f t="shared" si="2"/>
        <v>3.5713768115942075E-2</v>
      </c>
    </row>
    <row r="40" spans="1:16" x14ac:dyDescent="0.3">
      <c r="A40" s="2">
        <v>18688</v>
      </c>
      <c r="B40" s="23">
        <v>3.7999999999999999E-2</v>
      </c>
      <c r="C40" s="5">
        <f t="shared" ref="C40:C103" si="4">IF(MONTH($A40)=C$1,1,0)</f>
        <v>0</v>
      </c>
      <c r="D40" s="5">
        <f t="shared" si="3"/>
        <v>0</v>
      </c>
      <c r="E40" s="5">
        <f t="shared" si="3"/>
        <v>1</v>
      </c>
      <c r="F40" s="5">
        <f t="shared" si="3"/>
        <v>0</v>
      </c>
      <c r="G40" s="5">
        <f t="shared" si="3"/>
        <v>0</v>
      </c>
      <c r="H40" s="5">
        <f t="shared" si="3"/>
        <v>0</v>
      </c>
      <c r="I40" s="5">
        <f t="shared" si="3"/>
        <v>0</v>
      </c>
      <c r="J40" s="5">
        <f t="shared" si="3"/>
        <v>0</v>
      </c>
      <c r="K40" s="5">
        <f t="shared" si="3"/>
        <v>0</v>
      </c>
      <c r="L40" s="5">
        <f t="shared" si="3"/>
        <v>0</v>
      </c>
      <c r="M40" s="5">
        <f t="shared" si="3"/>
        <v>0</v>
      </c>
      <c r="N40" s="32">
        <v>6.1652173913043402E-2</v>
      </c>
      <c r="O40" s="32">
        <v>-2.3652173913043403E-2</v>
      </c>
      <c r="P40" s="24">
        <f t="shared" si="2"/>
        <v>3.4452898550724642E-2</v>
      </c>
    </row>
    <row r="41" spans="1:16" x14ac:dyDescent="0.3">
      <c r="A41" s="2">
        <v>18719</v>
      </c>
      <c r="B41" s="23">
        <v>3.2000000000000001E-2</v>
      </c>
      <c r="C41" s="5">
        <f t="shared" si="4"/>
        <v>0</v>
      </c>
      <c r="D41" s="5">
        <f t="shared" si="3"/>
        <v>0</v>
      </c>
      <c r="E41" s="5">
        <f t="shared" si="3"/>
        <v>0</v>
      </c>
      <c r="F41" s="5">
        <f t="shared" si="3"/>
        <v>1</v>
      </c>
      <c r="G41" s="5">
        <f t="shared" si="3"/>
        <v>0</v>
      </c>
      <c r="H41" s="5">
        <f t="shared" si="3"/>
        <v>0</v>
      </c>
      <c r="I41" s="5">
        <f t="shared" si="3"/>
        <v>0</v>
      </c>
      <c r="J41" s="5">
        <f t="shared" si="3"/>
        <v>0</v>
      </c>
      <c r="K41" s="5">
        <f t="shared" si="3"/>
        <v>0</v>
      </c>
      <c r="L41" s="5">
        <f t="shared" si="3"/>
        <v>0</v>
      </c>
      <c r="M41" s="5">
        <f t="shared" si="3"/>
        <v>0</v>
      </c>
      <c r="N41" s="32">
        <v>5.6550724637681071E-2</v>
      </c>
      <c r="O41" s="32">
        <v>-2.4550724637681071E-2</v>
      </c>
      <c r="P41" s="24">
        <f t="shared" si="2"/>
        <v>3.3554347826086975E-2</v>
      </c>
    </row>
    <row r="42" spans="1:16" x14ac:dyDescent="0.3">
      <c r="A42" s="2">
        <v>18749</v>
      </c>
      <c r="B42" s="23">
        <v>2.8999999999999998E-2</v>
      </c>
      <c r="C42" s="5">
        <f t="shared" si="4"/>
        <v>0</v>
      </c>
      <c r="D42" s="5">
        <f t="shared" si="3"/>
        <v>0</v>
      </c>
      <c r="E42" s="5">
        <f t="shared" si="3"/>
        <v>0</v>
      </c>
      <c r="F42" s="5">
        <f t="shared" si="3"/>
        <v>0</v>
      </c>
      <c r="G42" s="5">
        <f t="shared" si="3"/>
        <v>1</v>
      </c>
      <c r="H42" s="5">
        <f t="shared" si="3"/>
        <v>0</v>
      </c>
      <c r="I42" s="5">
        <f t="shared" si="3"/>
        <v>0</v>
      </c>
      <c r="J42" s="5">
        <f t="shared" si="3"/>
        <v>0</v>
      </c>
      <c r="K42" s="5">
        <f t="shared" si="3"/>
        <v>0</v>
      </c>
      <c r="L42" s="5">
        <f t="shared" si="3"/>
        <v>0</v>
      </c>
      <c r="M42" s="5">
        <f t="shared" si="3"/>
        <v>0</v>
      </c>
      <c r="N42" s="32">
        <v>5.5101449275362209E-2</v>
      </c>
      <c r="O42" s="32">
        <v>-2.6101449275362211E-2</v>
      </c>
      <c r="P42" s="24">
        <f t="shared" si="2"/>
        <v>3.2003623188405834E-2</v>
      </c>
    </row>
    <row r="43" spans="1:16" x14ac:dyDescent="0.3">
      <c r="A43" s="2">
        <v>18780</v>
      </c>
      <c r="B43" s="23">
        <v>3.4000000000000002E-2</v>
      </c>
      <c r="C43" s="5">
        <f t="shared" si="4"/>
        <v>0</v>
      </c>
      <c r="D43" s="5">
        <f t="shared" si="3"/>
        <v>0</v>
      </c>
      <c r="E43" s="5">
        <f t="shared" si="3"/>
        <v>0</v>
      </c>
      <c r="F43" s="5">
        <f t="shared" si="3"/>
        <v>0</v>
      </c>
      <c r="G43" s="5">
        <f t="shared" si="3"/>
        <v>0</v>
      </c>
      <c r="H43" s="5">
        <f t="shared" si="3"/>
        <v>1</v>
      </c>
      <c r="I43" s="5">
        <f t="shared" si="3"/>
        <v>0</v>
      </c>
      <c r="J43" s="5">
        <f t="shared" si="3"/>
        <v>0</v>
      </c>
      <c r="K43" s="5">
        <f t="shared" si="3"/>
        <v>0</v>
      </c>
      <c r="L43" s="5">
        <f t="shared" si="3"/>
        <v>0</v>
      </c>
      <c r="M43" s="5">
        <f t="shared" si="3"/>
        <v>0</v>
      </c>
      <c r="N43" s="32">
        <v>6.1130434782608579E-2</v>
      </c>
      <c r="O43" s="32">
        <v>-2.7130434782608577E-2</v>
      </c>
      <c r="P43" s="24">
        <f t="shared" si="2"/>
        <v>3.0974637681159468E-2</v>
      </c>
    </row>
    <row r="44" spans="1:16" x14ac:dyDescent="0.3">
      <c r="A44" s="2">
        <v>18810</v>
      </c>
      <c r="B44" s="23">
        <v>3.3000000000000002E-2</v>
      </c>
      <c r="C44" s="5">
        <f t="shared" si="4"/>
        <v>0</v>
      </c>
      <c r="D44" s="5">
        <f t="shared" si="3"/>
        <v>0</v>
      </c>
      <c r="E44" s="5">
        <f t="shared" si="3"/>
        <v>0</v>
      </c>
      <c r="F44" s="5">
        <f t="shared" si="3"/>
        <v>0</v>
      </c>
      <c r="G44" s="5">
        <f t="shared" si="3"/>
        <v>0</v>
      </c>
      <c r="H44" s="5">
        <f t="shared" si="3"/>
        <v>0</v>
      </c>
      <c r="I44" s="5">
        <f t="shared" si="3"/>
        <v>1</v>
      </c>
      <c r="J44" s="5">
        <f t="shared" si="3"/>
        <v>0</v>
      </c>
      <c r="K44" s="5">
        <f t="shared" si="3"/>
        <v>0</v>
      </c>
      <c r="L44" s="5">
        <f t="shared" si="3"/>
        <v>0</v>
      </c>
      <c r="M44" s="5">
        <f t="shared" si="3"/>
        <v>0</v>
      </c>
      <c r="N44" s="32">
        <v>5.9550724637681039E-2</v>
      </c>
      <c r="O44" s="32">
        <v>-2.6550724637681038E-2</v>
      </c>
      <c r="P44" s="24">
        <f t="shared" si="2"/>
        <v>3.1554347826087008E-2</v>
      </c>
    </row>
    <row r="45" spans="1:16" x14ac:dyDescent="0.3">
      <c r="A45" s="2">
        <v>18841</v>
      </c>
      <c r="B45" s="23">
        <v>2.8999999999999998E-2</v>
      </c>
      <c r="C45" s="5">
        <f t="shared" si="4"/>
        <v>0</v>
      </c>
      <c r="D45" s="5">
        <f t="shared" si="3"/>
        <v>0</v>
      </c>
      <c r="E45" s="5">
        <f t="shared" si="3"/>
        <v>0</v>
      </c>
      <c r="F45" s="5">
        <f t="shared" si="3"/>
        <v>0</v>
      </c>
      <c r="G45" s="5">
        <f t="shared" si="3"/>
        <v>0</v>
      </c>
      <c r="H45" s="5">
        <f t="shared" si="3"/>
        <v>0</v>
      </c>
      <c r="I45" s="5">
        <f t="shared" si="3"/>
        <v>0</v>
      </c>
      <c r="J45" s="5">
        <f t="shared" si="3"/>
        <v>1</v>
      </c>
      <c r="K45" s="5">
        <f t="shared" si="3"/>
        <v>0</v>
      </c>
      <c r="L45" s="5">
        <f t="shared" si="3"/>
        <v>0</v>
      </c>
      <c r="M45" s="5">
        <f t="shared" si="3"/>
        <v>0</v>
      </c>
      <c r="N45" s="32">
        <v>5.6521739130434699E-2</v>
      </c>
      <c r="O45" s="32">
        <v>-2.7521739130434701E-2</v>
      </c>
      <c r="P45" s="24">
        <f t="shared" si="2"/>
        <v>3.0583333333333344E-2</v>
      </c>
    </row>
    <row r="46" spans="1:16" x14ac:dyDescent="0.3">
      <c r="A46" s="2">
        <v>18872</v>
      </c>
      <c r="B46" s="23">
        <v>0.03</v>
      </c>
      <c r="C46" s="5">
        <f t="shared" si="4"/>
        <v>0</v>
      </c>
      <c r="D46" s="5">
        <f t="shared" si="3"/>
        <v>0</v>
      </c>
      <c r="E46" s="5">
        <f t="shared" si="3"/>
        <v>0</v>
      </c>
      <c r="F46" s="5">
        <f t="shared" si="3"/>
        <v>0</v>
      </c>
      <c r="G46" s="5">
        <f t="shared" si="3"/>
        <v>0</v>
      </c>
      <c r="H46" s="5">
        <f t="shared" si="3"/>
        <v>0</v>
      </c>
      <c r="I46" s="5">
        <f t="shared" si="3"/>
        <v>0</v>
      </c>
      <c r="J46" s="5">
        <f t="shared" si="3"/>
        <v>0</v>
      </c>
      <c r="K46" s="5">
        <f t="shared" si="3"/>
        <v>1</v>
      </c>
      <c r="L46" s="5">
        <f t="shared" si="3"/>
        <v>0</v>
      </c>
      <c r="M46" s="5">
        <f t="shared" si="3"/>
        <v>0</v>
      </c>
      <c r="N46" s="32">
        <v>5.4768115942028898E-2</v>
      </c>
      <c r="O46" s="32">
        <v>-2.47681159420289E-2</v>
      </c>
      <c r="P46" s="24">
        <f t="shared" si="2"/>
        <v>3.3336956521739146E-2</v>
      </c>
    </row>
    <row r="47" spans="1:16" x14ac:dyDescent="0.3">
      <c r="A47" s="2">
        <v>18902</v>
      </c>
      <c r="B47" s="23">
        <v>2.7999999999999997E-2</v>
      </c>
      <c r="C47" s="5">
        <f t="shared" si="4"/>
        <v>0</v>
      </c>
      <c r="D47" s="5">
        <f t="shared" si="3"/>
        <v>0</v>
      </c>
      <c r="E47" s="5">
        <f t="shared" si="3"/>
        <v>0</v>
      </c>
      <c r="F47" s="5">
        <f t="shared" si="3"/>
        <v>0</v>
      </c>
      <c r="G47" s="5">
        <f t="shared" si="3"/>
        <v>0</v>
      </c>
      <c r="H47" s="5">
        <f t="shared" si="3"/>
        <v>0</v>
      </c>
      <c r="I47" s="5">
        <f t="shared" si="3"/>
        <v>0</v>
      </c>
      <c r="J47" s="5">
        <f t="shared" si="3"/>
        <v>0</v>
      </c>
      <c r="K47" s="5">
        <f t="shared" si="3"/>
        <v>0</v>
      </c>
      <c r="L47" s="5">
        <f t="shared" si="3"/>
        <v>1</v>
      </c>
      <c r="M47" s="5">
        <f t="shared" si="3"/>
        <v>0</v>
      </c>
      <c r="N47" s="32">
        <v>5.3115942028985473E-2</v>
      </c>
      <c r="O47" s="32">
        <v>-2.5115942028985476E-2</v>
      </c>
      <c r="P47" s="24">
        <f t="shared" si="2"/>
        <v>3.298913043478257E-2</v>
      </c>
    </row>
    <row r="48" spans="1:16" x14ac:dyDescent="0.3">
      <c r="A48" s="2">
        <v>18933</v>
      </c>
      <c r="B48" s="23">
        <v>3.2000000000000001E-2</v>
      </c>
      <c r="C48" s="5">
        <f t="shared" si="4"/>
        <v>0</v>
      </c>
      <c r="D48" s="5">
        <f t="shared" si="3"/>
        <v>0</v>
      </c>
      <c r="E48" s="5">
        <f t="shared" si="3"/>
        <v>0</v>
      </c>
      <c r="F48" s="5">
        <f t="shared" si="3"/>
        <v>0</v>
      </c>
      <c r="G48" s="5">
        <f t="shared" si="3"/>
        <v>0</v>
      </c>
      <c r="H48" s="5">
        <f t="shared" si="3"/>
        <v>0</v>
      </c>
      <c r="I48" s="5">
        <f t="shared" si="3"/>
        <v>0</v>
      </c>
      <c r="J48" s="5">
        <f t="shared" si="3"/>
        <v>0</v>
      </c>
      <c r="K48" s="5">
        <f t="shared" si="3"/>
        <v>0</v>
      </c>
      <c r="L48" s="5">
        <f t="shared" si="3"/>
        <v>0</v>
      </c>
      <c r="M48" s="5">
        <f t="shared" si="3"/>
        <v>1</v>
      </c>
      <c r="N48" s="32">
        <v>5.4782608695652081E-2</v>
      </c>
      <c r="O48" s="32">
        <v>-2.278260869565208E-2</v>
      </c>
      <c r="P48" s="24">
        <f t="shared" si="2"/>
        <v>3.5322463768115965E-2</v>
      </c>
    </row>
    <row r="49" spans="1:16" x14ac:dyDescent="0.3">
      <c r="A49" s="2">
        <v>18963</v>
      </c>
      <c r="B49" s="23">
        <v>2.8999999999999998E-2</v>
      </c>
      <c r="C49" s="5">
        <f t="shared" si="4"/>
        <v>0</v>
      </c>
      <c r="D49" s="5">
        <f t="shared" si="3"/>
        <v>0</v>
      </c>
      <c r="E49" s="5">
        <f t="shared" si="3"/>
        <v>0</v>
      </c>
      <c r="F49" s="5">
        <f t="shared" si="3"/>
        <v>0</v>
      </c>
      <c r="G49" s="5">
        <f t="shared" si="3"/>
        <v>0</v>
      </c>
      <c r="H49" s="5">
        <f t="shared" si="3"/>
        <v>0</v>
      </c>
      <c r="I49" s="5">
        <f t="shared" si="3"/>
        <v>0</v>
      </c>
      <c r="J49" s="5">
        <f t="shared" si="3"/>
        <v>0</v>
      </c>
      <c r="K49" s="5">
        <f t="shared" si="3"/>
        <v>0</v>
      </c>
      <c r="L49" s="5">
        <f t="shared" si="3"/>
        <v>0</v>
      </c>
      <c r="M49" s="5">
        <f t="shared" si="3"/>
        <v>0</v>
      </c>
      <c r="N49" s="32">
        <v>5.5202898550724598E-2</v>
      </c>
      <c r="O49" s="32">
        <v>-2.62028985507246E-2</v>
      </c>
      <c r="P49" s="24">
        <f t="shared" si="2"/>
        <v>3.1902173913043445E-2</v>
      </c>
    </row>
    <row r="50" spans="1:16" x14ac:dyDescent="0.3">
      <c r="A50" s="2">
        <v>18994</v>
      </c>
      <c r="B50" s="23">
        <v>3.7000000000000005E-2</v>
      </c>
      <c r="C50" s="5">
        <f t="shared" si="4"/>
        <v>1</v>
      </c>
      <c r="D50" s="5">
        <f t="shared" si="3"/>
        <v>0</v>
      </c>
      <c r="E50" s="5">
        <f t="shared" si="3"/>
        <v>0</v>
      </c>
      <c r="F50" s="5">
        <f t="shared" si="3"/>
        <v>0</v>
      </c>
      <c r="G50" s="5">
        <f t="shared" si="3"/>
        <v>0</v>
      </c>
      <c r="H50" s="5">
        <f t="shared" si="3"/>
        <v>0</v>
      </c>
      <c r="I50" s="5">
        <f t="shared" si="3"/>
        <v>0</v>
      </c>
      <c r="J50" s="5">
        <f t="shared" si="3"/>
        <v>0</v>
      </c>
      <c r="K50" s="5">
        <f t="shared" si="3"/>
        <v>0</v>
      </c>
      <c r="L50" s="5">
        <f t="shared" si="3"/>
        <v>0</v>
      </c>
      <c r="M50" s="5">
        <f t="shared" si="3"/>
        <v>0</v>
      </c>
      <c r="N50" s="32">
        <v>6.4492753623188417E-2</v>
      </c>
      <c r="O50" s="32">
        <v>-2.7492753623188412E-2</v>
      </c>
      <c r="P50" s="24">
        <f t="shared" si="2"/>
        <v>3.0612318840579633E-2</v>
      </c>
    </row>
    <row r="51" spans="1:16" x14ac:dyDescent="0.3">
      <c r="A51" s="2">
        <v>19025</v>
      </c>
      <c r="B51" s="23">
        <v>3.7999999999999999E-2</v>
      </c>
      <c r="C51" s="5">
        <f t="shared" si="4"/>
        <v>0</v>
      </c>
      <c r="D51" s="5">
        <f t="shared" si="3"/>
        <v>1</v>
      </c>
      <c r="E51" s="5">
        <f t="shared" si="3"/>
        <v>0</v>
      </c>
      <c r="F51" s="5">
        <f t="shared" si="3"/>
        <v>0</v>
      </c>
      <c r="G51" s="5">
        <f t="shared" si="3"/>
        <v>0</v>
      </c>
      <c r="H51" s="5">
        <f t="shared" si="3"/>
        <v>0</v>
      </c>
      <c r="I51" s="5">
        <f t="shared" si="3"/>
        <v>0</v>
      </c>
      <c r="J51" s="5">
        <f t="shared" si="3"/>
        <v>0</v>
      </c>
      <c r="K51" s="5">
        <f t="shared" si="3"/>
        <v>0</v>
      </c>
      <c r="L51" s="5">
        <f t="shared" si="3"/>
        <v>0</v>
      </c>
      <c r="M51" s="5">
        <f t="shared" si="3"/>
        <v>0</v>
      </c>
      <c r="N51" s="32">
        <v>6.4391304347825973E-2</v>
      </c>
      <c r="O51" s="32">
        <v>-2.6391304347825974E-2</v>
      </c>
      <c r="P51" s="24">
        <f t="shared" si="2"/>
        <v>3.1713768115942072E-2</v>
      </c>
    </row>
    <row r="52" spans="1:16" x14ac:dyDescent="0.3">
      <c r="A52" s="2">
        <v>19054</v>
      </c>
      <c r="B52" s="23">
        <v>3.3000000000000002E-2</v>
      </c>
      <c r="C52" s="5">
        <f t="shared" si="4"/>
        <v>0</v>
      </c>
      <c r="D52" s="5">
        <f t="shared" si="3"/>
        <v>0</v>
      </c>
      <c r="E52" s="5">
        <f t="shared" si="3"/>
        <v>1</v>
      </c>
      <c r="F52" s="5">
        <f t="shared" si="3"/>
        <v>0</v>
      </c>
      <c r="G52" s="5">
        <f t="shared" si="3"/>
        <v>0</v>
      </c>
      <c r="H52" s="5">
        <f t="shared" si="3"/>
        <v>0</v>
      </c>
      <c r="I52" s="5">
        <f t="shared" si="3"/>
        <v>0</v>
      </c>
      <c r="J52" s="5">
        <f t="shared" si="3"/>
        <v>0</v>
      </c>
      <c r="K52" s="5">
        <f t="shared" si="3"/>
        <v>0</v>
      </c>
      <c r="L52" s="5">
        <f t="shared" si="3"/>
        <v>0</v>
      </c>
      <c r="M52" s="5">
        <f t="shared" si="3"/>
        <v>0</v>
      </c>
      <c r="N52" s="32">
        <v>6.1652173913043402E-2</v>
      </c>
      <c r="O52" s="32">
        <v>-2.8652173913043401E-2</v>
      </c>
      <c r="P52" s="24">
        <f t="shared" si="2"/>
        <v>2.9452898550724645E-2</v>
      </c>
    </row>
    <row r="53" spans="1:16" x14ac:dyDescent="0.3">
      <c r="A53" s="2">
        <v>19085</v>
      </c>
      <c r="B53" s="23">
        <v>0.03</v>
      </c>
      <c r="C53" s="5">
        <f t="shared" si="4"/>
        <v>0</v>
      </c>
      <c r="D53" s="5">
        <f t="shared" si="3"/>
        <v>0</v>
      </c>
      <c r="E53" s="5">
        <f t="shared" si="3"/>
        <v>0</v>
      </c>
      <c r="F53" s="5">
        <f t="shared" si="3"/>
        <v>1</v>
      </c>
      <c r="G53" s="5">
        <f t="shared" si="3"/>
        <v>0</v>
      </c>
      <c r="H53" s="5">
        <f t="shared" si="3"/>
        <v>0</v>
      </c>
      <c r="I53" s="5">
        <f t="shared" si="3"/>
        <v>0</v>
      </c>
      <c r="J53" s="5">
        <f t="shared" si="3"/>
        <v>0</v>
      </c>
      <c r="K53" s="5">
        <f t="shared" si="3"/>
        <v>0</v>
      </c>
      <c r="L53" s="5">
        <f t="shared" si="3"/>
        <v>0</v>
      </c>
      <c r="M53" s="5">
        <f t="shared" si="3"/>
        <v>0</v>
      </c>
      <c r="N53" s="32">
        <v>5.6550724637681071E-2</v>
      </c>
      <c r="O53" s="32">
        <v>-2.6550724637681072E-2</v>
      </c>
      <c r="P53" s="24">
        <f t="shared" si="2"/>
        <v>3.1554347826086973E-2</v>
      </c>
    </row>
    <row r="54" spans="1:16" x14ac:dyDescent="0.3">
      <c r="A54" s="2">
        <v>19115</v>
      </c>
      <c r="B54" s="23">
        <v>2.8999999999999998E-2</v>
      </c>
      <c r="C54" s="5">
        <f t="shared" si="4"/>
        <v>0</v>
      </c>
      <c r="D54" s="5">
        <f t="shared" si="3"/>
        <v>0</v>
      </c>
      <c r="E54" s="5">
        <f t="shared" si="3"/>
        <v>0</v>
      </c>
      <c r="F54" s="5">
        <f t="shared" si="3"/>
        <v>0</v>
      </c>
      <c r="G54" s="5">
        <f t="shared" si="3"/>
        <v>1</v>
      </c>
      <c r="H54" s="5">
        <f t="shared" si="3"/>
        <v>0</v>
      </c>
      <c r="I54" s="5">
        <f t="shared" si="3"/>
        <v>0</v>
      </c>
      <c r="J54" s="5">
        <f t="shared" si="3"/>
        <v>0</v>
      </c>
      <c r="K54" s="5">
        <f t="shared" si="3"/>
        <v>0</v>
      </c>
      <c r="L54" s="5">
        <f t="shared" si="3"/>
        <v>0</v>
      </c>
      <c r="M54" s="5">
        <f t="shared" si="3"/>
        <v>0</v>
      </c>
      <c r="N54" s="32">
        <v>5.5101449275362209E-2</v>
      </c>
      <c r="O54" s="32">
        <v>-2.6101449275362211E-2</v>
      </c>
      <c r="P54" s="24">
        <f t="shared" si="2"/>
        <v>3.2003623188405834E-2</v>
      </c>
    </row>
    <row r="55" spans="1:16" x14ac:dyDescent="0.3">
      <c r="A55" s="2">
        <v>19146</v>
      </c>
      <c r="B55" s="23">
        <v>3.2000000000000001E-2</v>
      </c>
      <c r="C55" s="5">
        <f t="shared" si="4"/>
        <v>0</v>
      </c>
      <c r="D55" s="5">
        <f t="shared" si="3"/>
        <v>0</v>
      </c>
      <c r="E55" s="5">
        <f t="shared" si="3"/>
        <v>0</v>
      </c>
      <c r="F55" s="5">
        <f t="shared" si="3"/>
        <v>0</v>
      </c>
      <c r="G55" s="5">
        <f t="shared" si="3"/>
        <v>0</v>
      </c>
      <c r="H55" s="5">
        <f t="shared" si="3"/>
        <v>1</v>
      </c>
      <c r="I55" s="5">
        <f t="shared" si="3"/>
        <v>0</v>
      </c>
      <c r="J55" s="5">
        <f t="shared" si="3"/>
        <v>0</v>
      </c>
      <c r="K55" s="5">
        <f t="shared" si="3"/>
        <v>0</v>
      </c>
      <c r="L55" s="5">
        <f t="shared" si="3"/>
        <v>0</v>
      </c>
      <c r="M55" s="5">
        <f t="shared" si="3"/>
        <v>0</v>
      </c>
      <c r="N55" s="32">
        <v>6.1130434782608579E-2</v>
      </c>
      <c r="O55" s="32">
        <v>-2.9130434782608579E-2</v>
      </c>
      <c r="P55" s="24">
        <f t="shared" si="2"/>
        <v>2.8974637681159467E-2</v>
      </c>
    </row>
    <row r="56" spans="1:16" x14ac:dyDescent="0.3">
      <c r="A56" s="2">
        <v>19176</v>
      </c>
      <c r="B56" s="23">
        <v>3.3000000000000002E-2</v>
      </c>
      <c r="C56" s="5">
        <f t="shared" si="4"/>
        <v>0</v>
      </c>
      <c r="D56" s="5">
        <f t="shared" si="3"/>
        <v>0</v>
      </c>
      <c r="E56" s="5">
        <f t="shared" si="3"/>
        <v>0</v>
      </c>
      <c r="F56" s="5">
        <f t="shared" si="3"/>
        <v>0</v>
      </c>
      <c r="G56" s="5">
        <f t="shared" si="3"/>
        <v>0</v>
      </c>
      <c r="H56" s="5">
        <f t="shared" si="3"/>
        <v>0</v>
      </c>
      <c r="I56" s="5">
        <f t="shared" si="3"/>
        <v>1</v>
      </c>
      <c r="J56" s="5">
        <f t="shared" si="3"/>
        <v>0</v>
      </c>
      <c r="K56" s="5">
        <f t="shared" si="3"/>
        <v>0</v>
      </c>
      <c r="L56" s="5">
        <f t="shared" si="3"/>
        <v>0</v>
      </c>
      <c r="M56" s="5">
        <f t="shared" si="3"/>
        <v>0</v>
      </c>
      <c r="N56" s="32">
        <v>5.9550724637681039E-2</v>
      </c>
      <c r="O56" s="32">
        <v>-2.6550724637681038E-2</v>
      </c>
      <c r="P56" s="24">
        <f t="shared" si="2"/>
        <v>3.1554347826087008E-2</v>
      </c>
    </row>
    <row r="57" spans="1:16" x14ac:dyDescent="0.3">
      <c r="A57" s="2">
        <v>19207</v>
      </c>
      <c r="B57" s="23">
        <v>3.1E-2</v>
      </c>
      <c r="C57" s="5">
        <f t="shared" si="4"/>
        <v>0</v>
      </c>
      <c r="D57" s="5">
        <f t="shared" si="3"/>
        <v>0</v>
      </c>
      <c r="E57" s="5">
        <f t="shared" si="3"/>
        <v>0</v>
      </c>
      <c r="F57" s="5">
        <f t="shared" si="3"/>
        <v>0</v>
      </c>
      <c r="G57" s="5">
        <f t="shared" si="3"/>
        <v>0</v>
      </c>
      <c r="H57" s="5">
        <f t="shared" si="3"/>
        <v>0</v>
      </c>
      <c r="I57" s="5">
        <f t="shared" si="3"/>
        <v>0</v>
      </c>
      <c r="J57" s="5">
        <f t="shared" si="3"/>
        <v>1</v>
      </c>
      <c r="K57" s="5">
        <f t="shared" si="3"/>
        <v>0</v>
      </c>
      <c r="L57" s="5">
        <f t="shared" si="3"/>
        <v>0</v>
      </c>
      <c r="M57" s="5">
        <f t="shared" si="3"/>
        <v>0</v>
      </c>
      <c r="N57" s="32">
        <v>5.6521739130434699E-2</v>
      </c>
      <c r="O57" s="32">
        <v>-2.5521739130434699E-2</v>
      </c>
      <c r="P57" s="24">
        <f t="shared" si="2"/>
        <v>3.2583333333333346E-2</v>
      </c>
    </row>
    <row r="58" spans="1:16" x14ac:dyDescent="0.3">
      <c r="A58" s="2">
        <v>19238</v>
      </c>
      <c r="B58" s="23">
        <v>2.7000000000000003E-2</v>
      </c>
      <c r="C58" s="5">
        <f t="shared" si="4"/>
        <v>0</v>
      </c>
      <c r="D58" s="5">
        <f t="shared" si="3"/>
        <v>0</v>
      </c>
      <c r="E58" s="5">
        <f t="shared" si="3"/>
        <v>0</v>
      </c>
      <c r="F58" s="5">
        <f t="shared" si="3"/>
        <v>0</v>
      </c>
      <c r="G58" s="5">
        <f t="shared" si="3"/>
        <v>0</v>
      </c>
      <c r="H58" s="5">
        <f t="shared" si="3"/>
        <v>0</v>
      </c>
      <c r="I58" s="5">
        <f t="shared" si="3"/>
        <v>0</v>
      </c>
      <c r="J58" s="5">
        <f t="shared" si="3"/>
        <v>0</v>
      </c>
      <c r="K58" s="5">
        <f t="shared" si="3"/>
        <v>1</v>
      </c>
      <c r="L58" s="5">
        <f t="shared" si="3"/>
        <v>0</v>
      </c>
      <c r="M58" s="5">
        <f t="shared" si="3"/>
        <v>0</v>
      </c>
      <c r="N58" s="32">
        <v>5.4768115942028898E-2</v>
      </c>
      <c r="O58" s="32">
        <v>-2.7768115942028895E-2</v>
      </c>
      <c r="P58" s="24">
        <f t="shared" si="2"/>
        <v>3.033695652173915E-2</v>
      </c>
    </row>
    <row r="59" spans="1:16" x14ac:dyDescent="0.3">
      <c r="A59" s="2">
        <v>19268</v>
      </c>
      <c r="B59" s="23">
        <v>2.4E-2</v>
      </c>
      <c r="C59" s="5">
        <f t="shared" si="4"/>
        <v>0</v>
      </c>
      <c r="D59" s="5">
        <f t="shared" si="3"/>
        <v>0</v>
      </c>
      <c r="E59" s="5">
        <f t="shared" si="3"/>
        <v>0</v>
      </c>
      <c r="F59" s="5">
        <f t="shared" si="3"/>
        <v>0</v>
      </c>
      <c r="G59" s="5">
        <f t="shared" si="3"/>
        <v>0</v>
      </c>
      <c r="H59" s="5">
        <f t="shared" si="3"/>
        <v>0</v>
      </c>
      <c r="I59" s="5">
        <f t="shared" si="3"/>
        <v>0</v>
      </c>
      <c r="J59" s="5">
        <f t="shared" si="3"/>
        <v>0</v>
      </c>
      <c r="K59" s="5">
        <f t="shared" si="3"/>
        <v>0</v>
      </c>
      <c r="L59" s="5">
        <f t="shared" si="3"/>
        <v>1</v>
      </c>
      <c r="M59" s="5">
        <f t="shared" si="3"/>
        <v>0</v>
      </c>
      <c r="N59" s="32">
        <v>5.3115942028985473E-2</v>
      </c>
      <c r="O59" s="32">
        <v>-2.9115942028985473E-2</v>
      </c>
      <c r="P59" s="24">
        <f t="shared" si="2"/>
        <v>2.8989130434782573E-2</v>
      </c>
    </row>
    <row r="60" spans="1:16" x14ac:dyDescent="0.3">
      <c r="A60" s="2">
        <v>19299</v>
      </c>
      <c r="B60" s="23">
        <v>2.5000000000000001E-2</v>
      </c>
      <c r="C60" s="5">
        <f t="shared" si="4"/>
        <v>0</v>
      </c>
      <c r="D60" s="5">
        <f t="shared" si="3"/>
        <v>0</v>
      </c>
      <c r="E60" s="5">
        <f t="shared" si="3"/>
        <v>0</v>
      </c>
      <c r="F60" s="5">
        <f t="shared" si="3"/>
        <v>0</v>
      </c>
      <c r="G60" s="5">
        <f t="shared" si="3"/>
        <v>0</v>
      </c>
      <c r="H60" s="5">
        <f t="shared" si="3"/>
        <v>0</v>
      </c>
      <c r="I60" s="5">
        <f t="shared" si="3"/>
        <v>0</v>
      </c>
      <c r="J60" s="5">
        <f t="shared" si="3"/>
        <v>0</v>
      </c>
      <c r="K60" s="5">
        <f t="shared" si="3"/>
        <v>0</v>
      </c>
      <c r="L60" s="5">
        <f t="shared" si="3"/>
        <v>0</v>
      </c>
      <c r="M60" s="5">
        <f t="shared" si="3"/>
        <v>1</v>
      </c>
      <c r="N60" s="32">
        <v>5.4782608695652081E-2</v>
      </c>
      <c r="O60" s="32">
        <v>-2.978260869565208E-2</v>
      </c>
      <c r="P60" s="24">
        <f t="shared" si="2"/>
        <v>2.8322463768115966E-2</v>
      </c>
    </row>
    <row r="61" spans="1:16" x14ac:dyDescent="0.3">
      <c r="A61" s="2">
        <v>19329</v>
      </c>
      <c r="B61" s="23">
        <v>2.5000000000000001E-2</v>
      </c>
      <c r="C61" s="5">
        <f t="shared" si="4"/>
        <v>0</v>
      </c>
      <c r="D61" s="5">
        <f t="shared" si="3"/>
        <v>0</v>
      </c>
      <c r="E61" s="5">
        <f t="shared" si="3"/>
        <v>0</v>
      </c>
      <c r="F61" s="5">
        <f t="shared" si="3"/>
        <v>0</v>
      </c>
      <c r="G61" s="5">
        <f t="shared" si="3"/>
        <v>0</v>
      </c>
      <c r="H61" s="5">
        <f t="shared" si="3"/>
        <v>0</v>
      </c>
      <c r="I61" s="5">
        <f t="shared" si="3"/>
        <v>0</v>
      </c>
      <c r="J61" s="5">
        <f t="shared" si="3"/>
        <v>0</v>
      </c>
      <c r="K61" s="5">
        <f t="shared" si="3"/>
        <v>0</v>
      </c>
      <c r="L61" s="5">
        <f t="shared" si="3"/>
        <v>0</v>
      </c>
      <c r="M61" s="5">
        <f t="shared" si="3"/>
        <v>0</v>
      </c>
      <c r="N61" s="32">
        <v>5.5202898550724598E-2</v>
      </c>
      <c r="O61" s="32">
        <v>-3.0202898550724597E-2</v>
      </c>
      <c r="P61" s="24">
        <f t="shared" si="2"/>
        <v>2.7902173913043449E-2</v>
      </c>
    </row>
    <row r="62" spans="1:16" x14ac:dyDescent="0.3">
      <c r="A62" s="2">
        <v>19360</v>
      </c>
      <c r="B62" s="23">
        <v>3.4000000000000002E-2</v>
      </c>
      <c r="C62" s="5">
        <f t="shared" si="4"/>
        <v>1</v>
      </c>
      <c r="D62" s="5">
        <f t="shared" si="3"/>
        <v>0</v>
      </c>
      <c r="E62" s="5">
        <f t="shared" si="3"/>
        <v>0</v>
      </c>
      <c r="F62" s="5">
        <f t="shared" si="3"/>
        <v>0</v>
      </c>
      <c r="G62" s="5">
        <f t="shared" si="3"/>
        <v>0</v>
      </c>
      <c r="H62" s="5">
        <f t="shared" si="3"/>
        <v>0</v>
      </c>
      <c r="I62" s="5">
        <f t="shared" si="3"/>
        <v>0</v>
      </c>
      <c r="J62" s="5">
        <f t="shared" si="3"/>
        <v>0</v>
      </c>
      <c r="K62" s="5">
        <f t="shared" si="3"/>
        <v>0</v>
      </c>
      <c r="L62" s="5">
        <f t="shared" si="3"/>
        <v>0</v>
      </c>
      <c r="M62" s="5">
        <f t="shared" si="3"/>
        <v>0</v>
      </c>
      <c r="N62" s="32">
        <v>6.4492753623188417E-2</v>
      </c>
      <c r="O62" s="32">
        <v>-3.0492753623188415E-2</v>
      </c>
      <c r="P62" s="24">
        <f t="shared" si="2"/>
        <v>2.761231884057963E-2</v>
      </c>
    </row>
    <row r="63" spans="1:16" x14ac:dyDescent="0.3">
      <c r="A63" s="2">
        <v>19391</v>
      </c>
      <c r="B63" s="23">
        <v>3.2000000000000001E-2</v>
      </c>
      <c r="C63" s="5">
        <f t="shared" si="4"/>
        <v>0</v>
      </c>
      <c r="D63" s="5">
        <f t="shared" si="3"/>
        <v>1</v>
      </c>
      <c r="E63" s="5">
        <f t="shared" si="3"/>
        <v>0</v>
      </c>
      <c r="F63" s="5">
        <f t="shared" si="3"/>
        <v>0</v>
      </c>
      <c r="G63" s="5">
        <f t="shared" si="3"/>
        <v>0</v>
      </c>
      <c r="H63" s="5">
        <f t="shared" si="3"/>
        <v>0</v>
      </c>
      <c r="I63" s="5">
        <f t="shared" si="3"/>
        <v>0</v>
      </c>
      <c r="J63" s="5">
        <f t="shared" si="3"/>
        <v>0</v>
      </c>
      <c r="K63" s="5">
        <f t="shared" si="3"/>
        <v>0</v>
      </c>
      <c r="L63" s="5">
        <f t="shared" si="3"/>
        <v>0</v>
      </c>
      <c r="M63" s="5">
        <f t="shared" si="3"/>
        <v>0</v>
      </c>
      <c r="N63" s="32">
        <v>6.4391304347825973E-2</v>
      </c>
      <c r="O63" s="32">
        <v>-3.2391304347825972E-2</v>
      </c>
      <c r="P63" s="24">
        <f t="shared" si="2"/>
        <v>2.5713768115942073E-2</v>
      </c>
    </row>
    <row r="64" spans="1:16" x14ac:dyDescent="0.3">
      <c r="A64" s="2">
        <v>19419</v>
      </c>
      <c r="B64" s="23">
        <v>2.8999999999999998E-2</v>
      </c>
      <c r="C64" s="5">
        <f t="shared" si="4"/>
        <v>0</v>
      </c>
      <c r="D64" s="5">
        <f t="shared" si="3"/>
        <v>0</v>
      </c>
      <c r="E64" s="5">
        <f t="shared" si="3"/>
        <v>1</v>
      </c>
      <c r="F64" s="5">
        <f t="shared" si="3"/>
        <v>0</v>
      </c>
      <c r="G64" s="5">
        <f t="shared" si="3"/>
        <v>0</v>
      </c>
      <c r="H64" s="5">
        <f t="shared" si="3"/>
        <v>0</v>
      </c>
      <c r="I64" s="5">
        <f t="shared" si="3"/>
        <v>0</v>
      </c>
      <c r="J64" s="5">
        <f t="shared" si="3"/>
        <v>0</v>
      </c>
      <c r="K64" s="5">
        <f t="shared" si="3"/>
        <v>0</v>
      </c>
      <c r="L64" s="5">
        <f t="shared" si="3"/>
        <v>0</v>
      </c>
      <c r="M64" s="5">
        <f t="shared" si="3"/>
        <v>0</v>
      </c>
      <c r="N64" s="32">
        <v>6.1652173913043402E-2</v>
      </c>
      <c r="O64" s="32">
        <v>-3.2652173913043404E-2</v>
      </c>
      <c r="P64" s="24">
        <f t="shared" si="2"/>
        <v>2.5452898550724641E-2</v>
      </c>
    </row>
    <row r="65" spans="1:16" x14ac:dyDescent="0.3">
      <c r="A65" s="2">
        <v>19450</v>
      </c>
      <c r="B65" s="23">
        <v>2.7999999999999997E-2</v>
      </c>
      <c r="C65" s="5">
        <f t="shared" si="4"/>
        <v>0</v>
      </c>
      <c r="D65" s="5">
        <f t="shared" si="3"/>
        <v>0</v>
      </c>
      <c r="E65" s="5">
        <f t="shared" si="3"/>
        <v>0</v>
      </c>
      <c r="F65" s="5">
        <f t="shared" si="3"/>
        <v>1</v>
      </c>
      <c r="G65" s="5">
        <f t="shared" ref="D65:M90" si="5">IF(MONTH($A65)=G$1,1,0)</f>
        <v>0</v>
      </c>
      <c r="H65" s="5">
        <f t="shared" si="5"/>
        <v>0</v>
      </c>
      <c r="I65" s="5">
        <f t="shared" si="5"/>
        <v>0</v>
      </c>
      <c r="J65" s="5">
        <f t="shared" si="5"/>
        <v>0</v>
      </c>
      <c r="K65" s="5">
        <f t="shared" si="5"/>
        <v>0</v>
      </c>
      <c r="L65" s="5">
        <f t="shared" si="5"/>
        <v>0</v>
      </c>
      <c r="M65" s="5">
        <f t="shared" si="5"/>
        <v>0</v>
      </c>
      <c r="N65" s="32">
        <v>5.6550724637681071E-2</v>
      </c>
      <c r="O65" s="32">
        <v>-2.8550724637681074E-2</v>
      </c>
      <c r="P65" s="24">
        <f t="shared" si="2"/>
        <v>2.9554347826086971E-2</v>
      </c>
    </row>
    <row r="66" spans="1:16" x14ac:dyDescent="0.3">
      <c r="A66" s="2">
        <v>19480</v>
      </c>
      <c r="B66" s="23">
        <v>2.5000000000000001E-2</v>
      </c>
      <c r="C66" s="5">
        <f t="shared" si="4"/>
        <v>0</v>
      </c>
      <c r="D66" s="5">
        <f t="shared" si="5"/>
        <v>0</v>
      </c>
      <c r="E66" s="5">
        <f t="shared" si="5"/>
        <v>0</v>
      </c>
      <c r="F66" s="5">
        <f t="shared" si="5"/>
        <v>0</v>
      </c>
      <c r="G66" s="5">
        <f t="shared" si="5"/>
        <v>1</v>
      </c>
      <c r="H66" s="5">
        <f t="shared" si="5"/>
        <v>0</v>
      </c>
      <c r="I66" s="5">
        <f t="shared" si="5"/>
        <v>0</v>
      </c>
      <c r="J66" s="5">
        <f t="shared" si="5"/>
        <v>0</v>
      </c>
      <c r="K66" s="5">
        <f t="shared" si="5"/>
        <v>0</v>
      </c>
      <c r="L66" s="5">
        <f t="shared" si="5"/>
        <v>0</v>
      </c>
      <c r="M66" s="5">
        <f t="shared" si="5"/>
        <v>0</v>
      </c>
      <c r="N66" s="32">
        <v>5.5101449275362209E-2</v>
      </c>
      <c r="O66" s="32">
        <v>-3.0101449275362208E-2</v>
      </c>
      <c r="P66" s="24">
        <f t="shared" si="2"/>
        <v>2.8003623188405838E-2</v>
      </c>
    </row>
    <row r="67" spans="1:16" x14ac:dyDescent="0.3">
      <c r="A67" s="2">
        <v>19511</v>
      </c>
      <c r="B67" s="23">
        <v>2.7000000000000003E-2</v>
      </c>
      <c r="C67" s="5">
        <f t="shared" si="4"/>
        <v>0</v>
      </c>
      <c r="D67" s="5">
        <f t="shared" si="5"/>
        <v>0</v>
      </c>
      <c r="E67" s="5">
        <f t="shared" si="5"/>
        <v>0</v>
      </c>
      <c r="F67" s="5">
        <f t="shared" si="5"/>
        <v>0</v>
      </c>
      <c r="G67" s="5">
        <f t="shared" si="5"/>
        <v>0</v>
      </c>
      <c r="H67" s="5">
        <f t="shared" si="5"/>
        <v>1</v>
      </c>
      <c r="I67" s="5">
        <f t="shared" si="5"/>
        <v>0</v>
      </c>
      <c r="J67" s="5">
        <f t="shared" si="5"/>
        <v>0</v>
      </c>
      <c r="K67" s="5">
        <f t="shared" si="5"/>
        <v>0</v>
      </c>
      <c r="L67" s="5">
        <f t="shared" si="5"/>
        <v>0</v>
      </c>
      <c r="M67" s="5">
        <f t="shared" si="5"/>
        <v>0</v>
      </c>
      <c r="N67" s="32">
        <v>6.1130434782608579E-2</v>
      </c>
      <c r="O67" s="32">
        <v>-3.4130434782608576E-2</v>
      </c>
      <c r="P67" s="24">
        <f t="shared" ref="P67:P130" si="6">O67+$R$2</f>
        <v>2.3974637681159469E-2</v>
      </c>
    </row>
    <row r="68" spans="1:16" x14ac:dyDescent="0.3">
      <c r="A68" s="2">
        <v>19541</v>
      </c>
      <c r="B68" s="23">
        <v>2.7000000000000003E-2</v>
      </c>
      <c r="C68" s="5">
        <f t="shared" si="4"/>
        <v>0</v>
      </c>
      <c r="D68" s="5">
        <f t="shared" si="5"/>
        <v>0</v>
      </c>
      <c r="E68" s="5">
        <f t="shared" si="5"/>
        <v>0</v>
      </c>
      <c r="F68" s="5">
        <f t="shared" si="5"/>
        <v>0</v>
      </c>
      <c r="G68" s="5">
        <f t="shared" si="5"/>
        <v>0</v>
      </c>
      <c r="H68" s="5">
        <f t="shared" si="5"/>
        <v>0</v>
      </c>
      <c r="I68" s="5">
        <f t="shared" si="5"/>
        <v>1</v>
      </c>
      <c r="J68" s="5">
        <f t="shared" si="5"/>
        <v>0</v>
      </c>
      <c r="K68" s="5">
        <f t="shared" si="5"/>
        <v>0</v>
      </c>
      <c r="L68" s="5">
        <f t="shared" si="5"/>
        <v>0</v>
      </c>
      <c r="M68" s="5">
        <f t="shared" si="5"/>
        <v>0</v>
      </c>
      <c r="N68" s="32">
        <v>5.9550724637681039E-2</v>
      </c>
      <c r="O68" s="32">
        <v>-3.2550724637681036E-2</v>
      </c>
      <c r="P68" s="24">
        <f t="shared" si="6"/>
        <v>2.5554347826087009E-2</v>
      </c>
    </row>
    <row r="69" spans="1:16" x14ac:dyDescent="0.3">
      <c r="A69" s="2">
        <v>19572</v>
      </c>
      <c r="B69" s="23">
        <v>2.4E-2</v>
      </c>
      <c r="C69" s="5">
        <f t="shared" si="4"/>
        <v>0</v>
      </c>
      <c r="D69" s="5">
        <f t="shared" si="5"/>
        <v>0</v>
      </c>
      <c r="E69" s="5">
        <f t="shared" si="5"/>
        <v>0</v>
      </c>
      <c r="F69" s="5">
        <f t="shared" si="5"/>
        <v>0</v>
      </c>
      <c r="G69" s="5">
        <f t="shared" si="5"/>
        <v>0</v>
      </c>
      <c r="H69" s="5">
        <f t="shared" si="5"/>
        <v>0</v>
      </c>
      <c r="I69" s="5">
        <f t="shared" si="5"/>
        <v>0</v>
      </c>
      <c r="J69" s="5">
        <f t="shared" si="5"/>
        <v>1</v>
      </c>
      <c r="K69" s="5">
        <f t="shared" si="5"/>
        <v>0</v>
      </c>
      <c r="L69" s="5">
        <f t="shared" si="5"/>
        <v>0</v>
      </c>
      <c r="M69" s="5">
        <f t="shared" si="5"/>
        <v>0</v>
      </c>
      <c r="N69" s="32">
        <v>5.6521739130434699E-2</v>
      </c>
      <c r="O69" s="32">
        <v>-3.2521739130434699E-2</v>
      </c>
      <c r="P69" s="24">
        <f t="shared" si="6"/>
        <v>2.5583333333333347E-2</v>
      </c>
    </row>
    <row r="70" spans="1:16" x14ac:dyDescent="0.3">
      <c r="A70" s="2">
        <v>19603</v>
      </c>
      <c r="B70" s="23">
        <v>2.6000000000000002E-2</v>
      </c>
      <c r="C70" s="5">
        <f t="shared" si="4"/>
        <v>0</v>
      </c>
      <c r="D70" s="5">
        <f t="shared" si="5"/>
        <v>0</v>
      </c>
      <c r="E70" s="5">
        <f t="shared" si="5"/>
        <v>0</v>
      </c>
      <c r="F70" s="5">
        <f t="shared" si="5"/>
        <v>0</v>
      </c>
      <c r="G70" s="5">
        <f t="shared" si="5"/>
        <v>0</v>
      </c>
      <c r="H70" s="5">
        <f t="shared" si="5"/>
        <v>0</v>
      </c>
      <c r="I70" s="5">
        <f t="shared" si="5"/>
        <v>0</v>
      </c>
      <c r="J70" s="5">
        <f t="shared" si="5"/>
        <v>0</v>
      </c>
      <c r="K70" s="5">
        <f t="shared" si="5"/>
        <v>1</v>
      </c>
      <c r="L70" s="5">
        <f t="shared" si="5"/>
        <v>0</v>
      </c>
      <c r="M70" s="5">
        <f t="shared" si="5"/>
        <v>0</v>
      </c>
      <c r="N70" s="32">
        <v>5.4768115942028898E-2</v>
      </c>
      <c r="O70" s="32">
        <v>-2.8768115942028896E-2</v>
      </c>
      <c r="P70" s="24">
        <f t="shared" si="6"/>
        <v>2.9336956521739149E-2</v>
      </c>
    </row>
    <row r="71" spans="1:16" x14ac:dyDescent="0.3">
      <c r="A71" s="2">
        <v>19633</v>
      </c>
      <c r="B71" s="23">
        <v>2.5000000000000001E-2</v>
      </c>
      <c r="C71" s="5">
        <f t="shared" si="4"/>
        <v>0</v>
      </c>
      <c r="D71" s="5">
        <f t="shared" si="5"/>
        <v>0</v>
      </c>
      <c r="E71" s="5">
        <f t="shared" si="5"/>
        <v>0</v>
      </c>
      <c r="F71" s="5">
        <f t="shared" si="5"/>
        <v>0</v>
      </c>
      <c r="G71" s="5">
        <f t="shared" si="5"/>
        <v>0</v>
      </c>
      <c r="H71" s="5">
        <f t="shared" si="5"/>
        <v>0</v>
      </c>
      <c r="I71" s="5">
        <f t="shared" si="5"/>
        <v>0</v>
      </c>
      <c r="J71" s="5">
        <f t="shared" si="5"/>
        <v>0</v>
      </c>
      <c r="K71" s="5">
        <f t="shared" si="5"/>
        <v>0</v>
      </c>
      <c r="L71" s="5">
        <f t="shared" si="5"/>
        <v>1</v>
      </c>
      <c r="M71" s="5">
        <f t="shared" si="5"/>
        <v>0</v>
      </c>
      <c r="N71" s="32">
        <v>5.3115942028985473E-2</v>
      </c>
      <c r="O71" s="32">
        <v>-2.8115942028985472E-2</v>
      </c>
      <c r="P71" s="24">
        <f t="shared" si="6"/>
        <v>2.9989130434782574E-2</v>
      </c>
    </row>
    <row r="72" spans="1:16" x14ac:dyDescent="0.3">
      <c r="A72" s="2">
        <v>19664</v>
      </c>
      <c r="B72" s="23">
        <v>3.2000000000000001E-2</v>
      </c>
      <c r="C72" s="5">
        <f t="shared" si="4"/>
        <v>0</v>
      </c>
      <c r="D72" s="5">
        <f t="shared" si="5"/>
        <v>0</v>
      </c>
      <c r="E72" s="5">
        <f t="shared" si="5"/>
        <v>0</v>
      </c>
      <c r="F72" s="5">
        <f t="shared" si="5"/>
        <v>0</v>
      </c>
      <c r="G72" s="5">
        <f t="shared" si="5"/>
        <v>0</v>
      </c>
      <c r="H72" s="5">
        <f t="shared" si="5"/>
        <v>0</v>
      </c>
      <c r="I72" s="5">
        <f t="shared" si="5"/>
        <v>0</v>
      </c>
      <c r="J72" s="5">
        <f t="shared" si="5"/>
        <v>0</v>
      </c>
      <c r="K72" s="5">
        <f t="shared" si="5"/>
        <v>0</v>
      </c>
      <c r="L72" s="5">
        <f t="shared" si="5"/>
        <v>0</v>
      </c>
      <c r="M72" s="5">
        <f t="shared" si="5"/>
        <v>1</v>
      </c>
      <c r="N72" s="32">
        <v>5.4782608695652081E-2</v>
      </c>
      <c r="O72" s="32">
        <v>-2.278260869565208E-2</v>
      </c>
      <c r="P72" s="24">
        <f t="shared" si="6"/>
        <v>3.5322463768115965E-2</v>
      </c>
    </row>
    <row r="73" spans="1:16" x14ac:dyDescent="0.3">
      <c r="A73" s="2">
        <v>19694</v>
      </c>
      <c r="B73" s="23">
        <v>4.2000000000000003E-2</v>
      </c>
      <c r="C73" s="5">
        <f t="shared" si="4"/>
        <v>0</v>
      </c>
      <c r="D73" s="5">
        <f t="shared" si="5"/>
        <v>0</v>
      </c>
      <c r="E73" s="5">
        <f t="shared" si="5"/>
        <v>0</v>
      </c>
      <c r="F73" s="5">
        <f t="shared" si="5"/>
        <v>0</v>
      </c>
      <c r="G73" s="5">
        <f t="shared" si="5"/>
        <v>0</v>
      </c>
      <c r="H73" s="5">
        <f t="shared" si="5"/>
        <v>0</v>
      </c>
      <c r="I73" s="5">
        <f t="shared" si="5"/>
        <v>0</v>
      </c>
      <c r="J73" s="5">
        <f t="shared" si="5"/>
        <v>0</v>
      </c>
      <c r="K73" s="5">
        <f t="shared" si="5"/>
        <v>0</v>
      </c>
      <c r="L73" s="5">
        <f t="shared" si="5"/>
        <v>0</v>
      </c>
      <c r="M73" s="5">
        <f t="shared" si="5"/>
        <v>0</v>
      </c>
      <c r="N73" s="32">
        <v>5.5202898550724598E-2</v>
      </c>
      <c r="O73" s="32">
        <v>-1.3202898550724596E-2</v>
      </c>
      <c r="P73" s="24">
        <f t="shared" si="6"/>
        <v>4.490217391304345E-2</v>
      </c>
    </row>
    <row r="74" spans="1:16" x14ac:dyDescent="0.3">
      <c r="A74" s="2">
        <v>19725</v>
      </c>
      <c r="B74" s="23">
        <v>5.7000000000000002E-2</v>
      </c>
      <c r="C74" s="5">
        <f t="shared" si="4"/>
        <v>1</v>
      </c>
      <c r="D74" s="5">
        <f t="shared" si="5"/>
        <v>0</v>
      </c>
      <c r="E74" s="5">
        <f t="shared" si="5"/>
        <v>0</v>
      </c>
      <c r="F74" s="5">
        <f t="shared" si="5"/>
        <v>0</v>
      </c>
      <c r="G74" s="5">
        <f t="shared" si="5"/>
        <v>0</v>
      </c>
      <c r="H74" s="5">
        <f t="shared" si="5"/>
        <v>0</v>
      </c>
      <c r="I74" s="5">
        <f t="shared" si="5"/>
        <v>0</v>
      </c>
      <c r="J74" s="5">
        <f t="shared" si="5"/>
        <v>0</v>
      </c>
      <c r="K74" s="5">
        <f t="shared" si="5"/>
        <v>0</v>
      </c>
      <c r="L74" s="5">
        <f t="shared" si="5"/>
        <v>0</v>
      </c>
      <c r="M74" s="5">
        <f t="shared" si="5"/>
        <v>0</v>
      </c>
      <c r="N74" s="32">
        <v>6.4492753623188417E-2</v>
      </c>
      <c r="O74" s="32">
        <v>-7.4927536231884154E-3</v>
      </c>
      <c r="P74" s="24">
        <f t="shared" si="6"/>
        <v>5.061231884057963E-2</v>
      </c>
    </row>
    <row r="75" spans="1:16" x14ac:dyDescent="0.3">
      <c r="A75" s="2">
        <v>19756</v>
      </c>
      <c r="B75" s="23">
        <v>6.3E-2</v>
      </c>
      <c r="C75" s="5">
        <f t="shared" si="4"/>
        <v>0</v>
      </c>
      <c r="D75" s="5">
        <f t="shared" si="5"/>
        <v>1</v>
      </c>
      <c r="E75" s="5">
        <f t="shared" si="5"/>
        <v>0</v>
      </c>
      <c r="F75" s="5">
        <f t="shared" si="5"/>
        <v>0</v>
      </c>
      <c r="G75" s="5">
        <f t="shared" si="5"/>
        <v>0</v>
      </c>
      <c r="H75" s="5">
        <f t="shared" si="5"/>
        <v>0</v>
      </c>
      <c r="I75" s="5">
        <f t="shared" si="5"/>
        <v>0</v>
      </c>
      <c r="J75" s="5">
        <f t="shared" si="5"/>
        <v>0</v>
      </c>
      <c r="K75" s="5">
        <f t="shared" si="5"/>
        <v>0</v>
      </c>
      <c r="L75" s="5">
        <f t="shared" si="5"/>
        <v>0</v>
      </c>
      <c r="M75" s="5">
        <f t="shared" si="5"/>
        <v>0</v>
      </c>
      <c r="N75" s="32">
        <v>6.4391304347825973E-2</v>
      </c>
      <c r="O75" s="32">
        <v>-1.3913043478259723E-3</v>
      </c>
      <c r="P75" s="24">
        <f t="shared" si="6"/>
        <v>5.6713768115942073E-2</v>
      </c>
    </row>
    <row r="76" spans="1:16" x14ac:dyDescent="0.3">
      <c r="A76" s="2">
        <v>19784</v>
      </c>
      <c r="B76" s="23">
        <v>6.4000000000000001E-2</v>
      </c>
      <c r="C76" s="5">
        <f t="shared" si="4"/>
        <v>0</v>
      </c>
      <c r="D76" s="5">
        <f t="shared" si="5"/>
        <v>0</v>
      </c>
      <c r="E76" s="5">
        <f t="shared" si="5"/>
        <v>1</v>
      </c>
      <c r="F76" s="5">
        <f t="shared" si="5"/>
        <v>0</v>
      </c>
      <c r="G76" s="5">
        <f t="shared" si="5"/>
        <v>0</v>
      </c>
      <c r="H76" s="5">
        <f t="shared" si="5"/>
        <v>0</v>
      </c>
      <c r="I76" s="5">
        <f t="shared" si="5"/>
        <v>0</v>
      </c>
      <c r="J76" s="5">
        <f t="shared" si="5"/>
        <v>0</v>
      </c>
      <c r="K76" s="5">
        <f t="shared" si="5"/>
        <v>0</v>
      </c>
      <c r="L76" s="5">
        <f t="shared" si="5"/>
        <v>0</v>
      </c>
      <c r="M76" s="5">
        <f t="shared" si="5"/>
        <v>0</v>
      </c>
      <c r="N76" s="32">
        <v>6.1652173913043402E-2</v>
      </c>
      <c r="O76" s="32">
        <v>2.3478260869565989E-3</v>
      </c>
      <c r="P76" s="24">
        <f t="shared" si="6"/>
        <v>6.0452898550724644E-2</v>
      </c>
    </row>
    <row r="77" spans="1:16" x14ac:dyDescent="0.3">
      <c r="A77" s="2">
        <v>19815</v>
      </c>
      <c r="B77" s="23">
        <v>6.0999999999999999E-2</v>
      </c>
      <c r="C77" s="5">
        <f t="shared" si="4"/>
        <v>0</v>
      </c>
      <c r="D77" s="5">
        <f t="shared" si="5"/>
        <v>0</v>
      </c>
      <c r="E77" s="5">
        <f t="shared" si="5"/>
        <v>0</v>
      </c>
      <c r="F77" s="5">
        <f t="shared" si="5"/>
        <v>1</v>
      </c>
      <c r="G77" s="5">
        <f t="shared" si="5"/>
        <v>0</v>
      </c>
      <c r="H77" s="5">
        <f t="shared" si="5"/>
        <v>0</v>
      </c>
      <c r="I77" s="5">
        <f t="shared" si="5"/>
        <v>0</v>
      </c>
      <c r="J77" s="5">
        <f t="shared" si="5"/>
        <v>0</v>
      </c>
      <c r="K77" s="5">
        <f t="shared" si="5"/>
        <v>0</v>
      </c>
      <c r="L77" s="5">
        <f t="shared" si="5"/>
        <v>0</v>
      </c>
      <c r="M77" s="5">
        <f t="shared" si="5"/>
        <v>0</v>
      </c>
      <c r="N77" s="32">
        <v>5.6550724637681071E-2</v>
      </c>
      <c r="O77" s="32">
        <v>4.4492753623189274E-3</v>
      </c>
      <c r="P77" s="24">
        <f t="shared" si="6"/>
        <v>6.2554347826086973E-2</v>
      </c>
    </row>
    <row r="78" spans="1:16" x14ac:dyDescent="0.3">
      <c r="A78" s="2">
        <v>19845</v>
      </c>
      <c r="B78" s="23">
        <v>5.7000000000000002E-2</v>
      </c>
      <c r="C78" s="5">
        <f t="shared" si="4"/>
        <v>0</v>
      </c>
      <c r="D78" s="5">
        <f t="shared" si="5"/>
        <v>0</v>
      </c>
      <c r="E78" s="5">
        <f t="shared" si="5"/>
        <v>0</v>
      </c>
      <c r="F78" s="5">
        <f t="shared" si="5"/>
        <v>0</v>
      </c>
      <c r="G78" s="5">
        <f t="shared" si="5"/>
        <v>1</v>
      </c>
      <c r="H78" s="5">
        <f t="shared" si="5"/>
        <v>0</v>
      </c>
      <c r="I78" s="5">
        <f t="shared" si="5"/>
        <v>0</v>
      </c>
      <c r="J78" s="5">
        <f t="shared" si="5"/>
        <v>0</v>
      </c>
      <c r="K78" s="5">
        <f t="shared" si="5"/>
        <v>0</v>
      </c>
      <c r="L78" s="5">
        <f t="shared" si="5"/>
        <v>0</v>
      </c>
      <c r="M78" s="5">
        <f t="shared" si="5"/>
        <v>0</v>
      </c>
      <c r="N78" s="32">
        <v>5.5101449275362209E-2</v>
      </c>
      <c r="O78" s="32">
        <v>1.8985507246377931E-3</v>
      </c>
      <c r="P78" s="24">
        <f t="shared" si="6"/>
        <v>6.0003623188405839E-2</v>
      </c>
    </row>
    <row r="79" spans="1:16" x14ac:dyDescent="0.3">
      <c r="A79" s="2">
        <v>19876</v>
      </c>
      <c r="B79" s="23">
        <v>5.7000000000000002E-2</v>
      </c>
      <c r="C79" s="5">
        <f t="shared" si="4"/>
        <v>0</v>
      </c>
      <c r="D79" s="5">
        <f t="shared" si="5"/>
        <v>0</v>
      </c>
      <c r="E79" s="5">
        <f t="shared" si="5"/>
        <v>0</v>
      </c>
      <c r="F79" s="5">
        <f t="shared" si="5"/>
        <v>0</v>
      </c>
      <c r="G79" s="5">
        <f t="shared" si="5"/>
        <v>0</v>
      </c>
      <c r="H79" s="5">
        <f t="shared" si="5"/>
        <v>1</v>
      </c>
      <c r="I79" s="5">
        <f t="shared" si="5"/>
        <v>0</v>
      </c>
      <c r="J79" s="5">
        <f t="shared" si="5"/>
        <v>0</v>
      </c>
      <c r="K79" s="5">
        <f t="shared" si="5"/>
        <v>0</v>
      </c>
      <c r="L79" s="5">
        <f t="shared" si="5"/>
        <v>0</v>
      </c>
      <c r="M79" s="5">
        <f t="shared" si="5"/>
        <v>0</v>
      </c>
      <c r="N79" s="32">
        <v>6.1130434782608579E-2</v>
      </c>
      <c r="O79" s="32">
        <v>-4.1304347826085774E-3</v>
      </c>
      <c r="P79" s="24">
        <f t="shared" si="6"/>
        <v>5.3974637681159468E-2</v>
      </c>
    </row>
    <row r="80" spans="1:16" x14ac:dyDescent="0.3">
      <c r="A80" s="2">
        <v>19906</v>
      </c>
      <c r="B80" s="23">
        <v>5.7000000000000002E-2</v>
      </c>
      <c r="C80" s="5">
        <f t="shared" si="4"/>
        <v>0</v>
      </c>
      <c r="D80" s="5">
        <f t="shared" si="5"/>
        <v>0</v>
      </c>
      <c r="E80" s="5">
        <f t="shared" si="5"/>
        <v>0</v>
      </c>
      <c r="F80" s="5">
        <f t="shared" si="5"/>
        <v>0</v>
      </c>
      <c r="G80" s="5">
        <f t="shared" si="5"/>
        <v>0</v>
      </c>
      <c r="H80" s="5">
        <f t="shared" si="5"/>
        <v>0</v>
      </c>
      <c r="I80" s="5">
        <f t="shared" si="5"/>
        <v>1</v>
      </c>
      <c r="J80" s="5">
        <f t="shared" si="5"/>
        <v>0</v>
      </c>
      <c r="K80" s="5">
        <f t="shared" si="5"/>
        <v>0</v>
      </c>
      <c r="L80" s="5">
        <f t="shared" si="5"/>
        <v>0</v>
      </c>
      <c r="M80" s="5">
        <f t="shared" si="5"/>
        <v>0</v>
      </c>
      <c r="N80" s="32">
        <v>5.9550724637681039E-2</v>
      </c>
      <c r="O80" s="32">
        <v>-2.5507246376810372E-3</v>
      </c>
      <c r="P80" s="24">
        <f t="shared" si="6"/>
        <v>5.5554347826087008E-2</v>
      </c>
    </row>
    <row r="81" spans="1:16" x14ac:dyDescent="0.3">
      <c r="A81" s="2">
        <v>19937</v>
      </c>
      <c r="B81" s="23">
        <v>5.4000000000000006E-2</v>
      </c>
      <c r="C81" s="5">
        <f t="shared" si="4"/>
        <v>0</v>
      </c>
      <c r="D81" s="5">
        <f t="shared" si="5"/>
        <v>0</v>
      </c>
      <c r="E81" s="5">
        <f t="shared" si="5"/>
        <v>0</v>
      </c>
      <c r="F81" s="5">
        <f t="shared" si="5"/>
        <v>0</v>
      </c>
      <c r="G81" s="5">
        <f t="shared" si="5"/>
        <v>0</v>
      </c>
      <c r="H81" s="5">
        <f t="shared" si="5"/>
        <v>0</v>
      </c>
      <c r="I81" s="5">
        <f t="shared" si="5"/>
        <v>0</v>
      </c>
      <c r="J81" s="5">
        <f t="shared" si="5"/>
        <v>1</v>
      </c>
      <c r="K81" s="5">
        <f t="shared" si="5"/>
        <v>0</v>
      </c>
      <c r="L81" s="5">
        <f t="shared" si="5"/>
        <v>0</v>
      </c>
      <c r="M81" s="5">
        <f t="shared" si="5"/>
        <v>0</v>
      </c>
      <c r="N81" s="32">
        <v>5.6521739130434699E-2</v>
      </c>
      <c r="O81" s="32">
        <v>-2.5217391304346928E-3</v>
      </c>
      <c r="P81" s="24">
        <f t="shared" si="6"/>
        <v>5.5583333333333353E-2</v>
      </c>
    </row>
    <row r="82" spans="1:16" x14ac:dyDescent="0.3">
      <c r="A82" s="2">
        <v>19968</v>
      </c>
      <c r="B82" s="23">
        <v>5.2999999999999999E-2</v>
      </c>
      <c r="C82" s="5">
        <f t="shared" si="4"/>
        <v>0</v>
      </c>
      <c r="D82" s="5">
        <f t="shared" si="5"/>
        <v>0</v>
      </c>
      <c r="E82" s="5">
        <f t="shared" si="5"/>
        <v>0</v>
      </c>
      <c r="F82" s="5">
        <f t="shared" si="5"/>
        <v>0</v>
      </c>
      <c r="G82" s="5">
        <f t="shared" si="5"/>
        <v>0</v>
      </c>
      <c r="H82" s="5">
        <f t="shared" si="5"/>
        <v>0</v>
      </c>
      <c r="I82" s="5">
        <f t="shared" si="5"/>
        <v>0</v>
      </c>
      <c r="J82" s="5">
        <f t="shared" si="5"/>
        <v>0</v>
      </c>
      <c r="K82" s="5">
        <f t="shared" si="5"/>
        <v>1</v>
      </c>
      <c r="L82" s="5">
        <f t="shared" si="5"/>
        <v>0</v>
      </c>
      <c r="M82" s="5">
        <f t="shared" si="5"/>
        <v>0</v>
      </c>
      <c r="N82" s="32">
        <v>5.4768115942028898E-2</v>
      </c>
      <c r="O82" s="32">
        <v>-1.7681159420289E-3</v>
      </c>
      <c r="P82" s="24">
        <f t="shared" si="6"/>
        <v>5.6336956521739145E-2</v>
      </c>
    </row>
    <row r="83" spans="1:16" x14ac:dyDescent="0.3">
      <c r="A83" s="2">
        <v>19998</v>
      </c>
      <c r="B83" s="23">
        <v>4.5999999999999999E-2</v>
      </c>
      <c r="C83" s="5">
        <f t="shared" si="4"/>
        <v>0</v>
      </c>
      <c r="D83" s="5">
        <f t="shared" si="5"/>
        <v>0</v>
      </c>
      <c r="E83" s="5">
        <f t="shared" si="5"/>
        <v>0</v>
      </c>
      <c r="F83" s="5">
        <f t="shared" si="5"/>
        <v>0</v>
      </c>
      <c r="G83" s="5">
        <f t="shared" si="5"/>
        <v>0</v>
      </c>
      <c r="H83" s="5">
        <f t="shared" si="5"/>
        <v>0</v>
      </c>
      <c r="I83" s="5">
        <f t="shared" si="5"/>
        <v>0</v>
      </c>
      <c r="J83" s="5">
        <f t="shared" si="5"/>
        <v>0</v>
      </c>
      <c r="K83" s="5">
        <f t="shared" si="5"/>
        <v>0</v>
      </c>
      <c r="L83" s="5">
        <f t="shared" si="5"/>
        <v>1</v>
      </c>
      <c r="M83" s="5">
        <f t="shared" si="5"/>
        <v>0</v>
      </c>
      <c r="N83" s="32">
        <v>5.3115942028985473E-2</v>
      </c>
      <c r="O83" s="32">
        <v>-7.1159420289854738E-3</v>
      </c>
      <c r="P83" s="24">
        <f t="shared" si="6"/>
        <v>5.0989130434782572E-2</v>
      </c>
    </row>
    <row r="84" spans="1:16" x14ac:dyDescent="0.3">
      <c r="A84" s="2">
        <v>20029</v>
      </c>
      <c r="B84" s="23">
        <v>4.9000000000000002E-2</v>
      </c>
      <c r="C84" s="5">
        <f t="shared" si="4"/>
        <v>0</v>
      </c>
      <c r="D84" s="5">
        <f t="shared" si="5"/>
        <v>0</v>
      </c>
      <c r="E84" s="5">
        <f t="shared" si="5"/>
        <v>0</v>
      </c>
      <c r="F84" s="5">
        <f t="shared" si="5"/>
        <v>0</v>
      </c>
      <c r="G84" s="5">
        <f t="shared" si="5"/>
        <v>0</v>
      </c>
      <c r="H84" s="5">
        <f t="shared" si="5"/>
        <v>0</v>
      </c>
      <c r="I84" s="5">
        <f t="shared" si="5"/>
        <v>0</v>
      </c>
      <c r="J84" s="5">
        <f t="shared" si="5"/>
        <v>0</v>
      </c>
      <c r="K84" s="5">
        <f t="shared" si="5"/>
        <v>0</v>
      </c>
      <c r="L84" s="5">
        <f t="shared" si="5"/>
        <v>0</v>
      </c>
      <c r="M84" s="5">
        <f t="shared" si="5"/>
        <v>1</v>
      </c>
      <c r="N84" s="32">
        <v>5.4782608695652081E-2</v>
      </c>
      <c r="O84" s="32">
        <v>-5.7826086956520792E-3</v>
      </c>
      <c r="P84" s="24">
        <f t="shared" si="6"/>
        <v>5.2322463768115966E-2</v>
      </c>
    </row>
    <row r="85" spans="1:16" x14ac:dyDescent="0.3">
      <c r="A85" s="2">
        <v>20059</v>
      </c>
      <c r="B85" s="23">
        <v>4.8000000000000001E-2</v>
      </c>
      <c r="C85" s="5">
        <f t="shared" si="4"/>
        <v>0</v>
      </c>
      <c r="D85" s="5">
        <f t="shared" si="5"/>
        <v>0</v>
      </c>
      <c r="E85" s="5">
        <f t="shared" si="5"/>
        <v>0</v>
      </c>
      <c r="F85" s="5">
        <f t="shared" si="5"/>
        <v>0</v>
      </c>
      <c r="G85" s="5">
        <f t="shared" si="5"/>
        <v>0</v>
      </c>
      <c r="H85" s="5">
        <f t="shared" si="5"/>
        <v>0</v>
      </c>
      <c r="I85" s="5">
        <f t="shared" si="5"/>
        <v>0</v>
      </c>
      <c r="J85" s="5">
        <f t="shared" si="5"/>
        <v>0</v>
      </c>
      <c r="K85" s="5">
        <f t="shared" si="5"/>
        <v>0</v>
      </c>
      <c r="L85" s="5">
        <f t="shared" si="5"/>
        <v>0</v>
      </c>
      <c r="M85" s="5">
        <f t="shared" si="5"/>
        <v>0</v>
      </c>
      <c r="N85" s="32">
        <v>5.5202898550724598E-2</v>
      </c>
      <c r="O85" s="32">
        <v>-7.2028985507245971E-3</v>
      </c>
      <c r="P85" s="24">
        <f t="shared" si="6"/>
        <v>5.0902173913043448E-2</v>
      </c>
    </row>
    <row r="86" spans="1:16" x14ac:dyDescent="0.3">
      <c r="A86" s="2">
        <v>20090</v>
      </c>
      <c r="B86" s="23">
        <v>5.7999999999999996E-2</v>
      </c>
      <c r="C86" s="5">
        <f t="shared" si="4"/>
        <v>1</v>
      </c>
      <c r="D86" s="5">
        <f t="shared" si="5"/>
        <v>0</v>
      </c>
      <c r="E86" s="5">
        <f t="shared" si="5"/>
        <v>0</v>
      </c>
      <c r="F86" s="5">
        <f t="shared" si="5"/>
        <v>0</v>
      </c>
      <c r="G86" s="5">
        <f t="shared" si="5"/>
        <v>0</v>
      </c>
      <c r="H86" s="5">
        <f t="shared" si="5"/>
        <v>0</v>
      </c>
      <c r="I86" s="5">
        <f t="shared" si="5"/>
        <v>0</v>
      </c>
      <c r="J86" s="5">
        <f t="shared" si="5"/>
        <v>0</v>
      </c>
      <c r="K86" s="5">
        <f t="shared" si="5"/>
        <v>0</v>
      </c>
      <c r="L86" s="5">
        <f t="shared" si="5"/>
        <v>0</v>
      </c>
      <c r="M86" s="5">
        <f t="shared" si="5"/>
        <v>0</v>
      </c>
      <c r="N86" s="32">
        <v>6.4492753623188417E-2</v>
      </c>
      <c r="O86" s="32">
        <v>-6.4927536231884214E-3</v>
      </c>
      <c r="P86" s="24">
        <f t="shared" si="6"/>
        <v>5.1612318840579624E-2</v>
      </c>
    </row>
    <row r="87" spans="1:16" x14ac:dyDescent="0.3">
      <c r="A87" s="2">
        <v>20121</v>
      </c>
      <c r="B87" s="23">
        <v>5.7000000000000002E-2</v>
      </c>
      <c r="C87" s="5">
        <f t="shared" si="4"/>
        <v>0</v>
      </c>
      <c r="D87" s="5">
        <f t="shared" si="5"/>
        <v>1</v>
      </c>
      <c r="E87" s="5">
        <f t="shared" si="5"/>
        <v>0</v>
      </c>
      <c r="F87" s="5">
        <f t="shared" si="5"/>
        <v>0</v>
      </c>
      <c r="G87" s="5">
        <f t="shared" si="5"/>
        <v>0</v>
      </c>
      <c r="H87" s="5">
        <f t="shared" si="5"/>
        <v>0</v>
      </c>
      <c r="I87" s="5">
        <f t="shared" si="5"/>
        <v>0</v>
      </c>
      <c r="J87" s="5">
        <f t="shared" si="5"/>
        <v>0</v>
      </c>
      <c r="K87" s="5">
        <f t="shared" si="5"/>
        <v>0</v>
      </c>
      <c r="L87" s="5">
        <f t="shared" si="5"/>
        <v>0</v>
      </c>
      <c r="M87" s="5">
        <f t="shared" si="5"/>
        <v>0</v>
      </c>
      <c r="N87" s="32">
        <v>6.4391304347825973E-2</v>
      </c>
      <c r="O87" s="32">
        <v>-7.3913043478259707E-3</v>
      </c>
      <c r="P87" s="24">
        <f t="shared" si="6"/>
        <v>5.0713768115942075E-2</v>
      </c>
    </row>
    <row r="88" spans="1:16" x14ac:dyDescent="0.3">
      <c r="A88" s="2">
        <v>20149</v>
      </c>
      <c r="B88" s="23">
        <v>5.2000000000000005E-2</v>
      </c>
      <c r="C88" s="5">
        <f t="shared" si="4"/>
        <v>0</v>
      </c>
      <c r="D88" s="5">
        <f t="shared" si="5"/>
        <v>0</v>
      </c>
      <c r="E88" s="5">
        <f t="shared" si="5"/>
        <v>1</v>
      </c>
      <c r="F88" s="5">
        <f t="shared" si="5"/>
        <v>0</v>
      </c>
      <c r="G88" s="5">
        <f t="shared" si="5"/>
        <v>0</v>
      </c>
      <c r="H88" s="5">
        <f t="shared" si="5"/>
        <v>0</v>
      </c>
      <c r="I88" s="5">
        <f t="shared" si="5"/>
        <v>0</v>
      </c>
      <c r="J88" s="5">
        <f t="shared" si="5"/>
        <v>0</v>
      </c>
      <c r="K88" s="5">
        <f t="shared" si="5"/>
        <v>0</v>
      </c>
      <c r="L88" s="5">
        <f t="shared" si="5"/>
        <v>0</v>
      </c>
      <c r="M88" s="5">
        <f t="shared" si="5"/>
        <v>0</v>
      </c>
      <c r="N88" s="32">
        <v>6.1652173913043402E-2</v>
      </c>
      <c r="O88" s="32">
        <v>-9.6521739130433978E-3</v>
      </c>
      <c r="P88" s="24">
        <f t="shared" si="6"/>
        <v>4.8452898550724648E-2</v>
      </c>
    </row>
    <row r="89" spans="1:16" x14ac:dyDescent="0.3">
      <c r="A89" s="2">
        <v>20180</v>
      </c>
      <c r="B89" s="23">
        <v>4.9000000000000002E-2</v>
      </c>
      <c r="C89" s="5">
        <f t="shared" si="4"/>
        <v>0</v>
      </c>
      <c r="D89" s="5">
        <f t="shared" si="5"/>
        <v>0</v>
      </c>
      <c r="E89" s="5">
        <f t="shared" si="5"/>
        <v>0</v>
      </c>
      <c r="F89" s="5">
        <f t="shared" si="5"/>
        <v>1</v>
      </c>
      <c r="G89" s="5">
        <f t="shared" si="5"/>
        <v>0</v>
      </c>
      <c r="H89" s="5">
        <f t="shared" si="5"/>
        <v>0</v>
      </c>
      <c r="I89" s="5">
        <f t="shared" si="5"/>
        <v>0</v>
      </c>
      <c r="J89" s="5">
        <f t="shared" si="5"/>
        <v>0</v>
      </c>
      <c r="K89" s="5">
        <f t="shared" si="5"/>
        <v>0</v>
      </c>
      <c r="L89" s="5">
        <f t="shared" si="5"/>
        <v>0</v>
      </c>
      <c r="M89" s="5">
        <f t="shared" si="5"/>
        <v>0</v>
      </c>
      <c r="N89" s="32">
        <v>5.6550724637681071E-2</v>
      </c>
      <c r="O89" s="32">
        <v>-7.5507246376810694E-3</v>
      </c>
      <c r="P89" s="24">
        <f t="shared" si="6"/>
        <v>5.0554347826086976E-2</v>
      </c>
    </row>
    <row r="90" spans="1:16" x14ac:dyDescent="0.3">
      <c r="A90" s="2">
        <v>20210</v>
      </c>
      <c r="B90" s="23">
        <v>4.2000000000000003E-2</v>
      </c>
      <c r="C90" s="5">
        <f t="shared" si="4"/>
        <v>0</v>
      </c>
      <c r="D90" s="5">
        <f t="shared" si="5"/>
        <v>0</v>
      </c>
      <c r="E90" s="5">
        <f t="shared" si="5"/>
        <v>0</v>
      </c>
      <c r="F90" s="5">
        <f t="shared" si="5"/>
        <v>0</v>
      </c>
      <c r="G90" s="5">
        <f t="shared" si="5"/>
        <v>1</v>
      </c>
      <c r="H90" s="5">
        <f t="shared" si="5"/>
        <v>0</v>
      </c>
      <c r="I90" s="5">
        <f t="shared" si="5"/>
        <v>0</v>
      </c>
      <c r="J90" s="5">
        <f t="shared" si="5"/>
        <v>0</v>
      </c>
      <c r="K90" s="5">
        <f t="shared" si="5"/>
        <v>0</v>
      </c>
      <c r="L90" s="5">
        <f t="shared" ref="D90:M116" si="7">IF(MONTH($A90)=L$1,1,0)</f>
        <v>0</v>
      </c>
      <c r="M90" s="5">
        <f t="shared" si="7"/>
        <v>0</v>
      </c>
      <c r="N90" s="32">
        <v>5.5101449275362209E-2</v>
      </c>
      <c r="O90" s="32">
        <v>-1.3101449275362206E-2</v>
      </c>
      <c r="P90" s="24">
        <f t="shared" si="6"/>
        <v>4.5003623188405839E-2</v>
      </c>
    </row>
    <row r="91" spans="1:16" x14ac:dyDescent="0.3">
      <c r="A91" s="2">
        <v>20241</v>
      </c>
      <c r="B91" s="23">
        <v>4.4000000000000004E-2</v>
      </c>
      <c r="C91" s="5">
        <f t="shared" si="4"/>
        <v>0</v>
      </c>
      <c r="D91" s="5">
        <f t="shared" si="7"/>
        <v>0</v>
      </c>
      <c r="E91" s="5">
        <f t="shared" si="7"/>
        <v>0</v>
      </c>
      <c r="F91" s="5">
        <f t="shared" si="7"/>
        <v>0</v>
      </c>
      <c r="G91" s="5">
        <f t="shared" si="7"/>
        <v>0</v>
      </c>
      <c r="H91" s="5">
        <f t="shared" si="7"/>
        <v>1</v>
      </c>
      <c r="I91" s="5">
        <f t="shared" si="7"/>
        <v>0</v>
      </c>
      <c r="J91" s="5">
        <f t="shared" si="7"/>
        <v>0</v>
      </c>
      <c r="K91" s="5">
        <f t="shared" si="7"/>
        <v>0</v>
      </c>
      <c r="L91" s="5">
        <f t="shared" si="7"/>
        <v>0</v>
      </c>
      <c r="M91" s="5">
        <f t="shared" si="7"/>
        <v>0</v>
      </c>
      <c r="N91" s="32">
        <v>6.1130434782608579E-2</v>
      </c>
      <c r="O91" s="32">
        <v>-1.7130434782608575E-2</v>
      </c>
      <c r="P91" s="24">
        <f t="shared" si="6"/>
        <v>4.097463768115947E-2</v>
      </c>
    </row>
    <row r="92" spans="1:16" x14ac:dyDescent="0.3">
      <c r="A92" s="2">
        <v>20271</v>
      </c>
      <c r="B92" s="23">
        <v>0.04</v>
      </c>
      <c r="C92" s="5">
        <f t="shared" si="4"/>
        <v>0</v>
      </c>
      <c r="D92" s="5">
        <f t="shared" si="7"/>
        <v>0</v>
      </c>
      <c r="E92" s="5">
        <f t="shared" si="7"/>
        <v>0</v>
      </c>
      <c r="F92" s="5">
        <f t="shared" si="7"/>
        <v>0</v>
      </c>
      <c r="G92" s="5">
        <f t="shared" si="7"/>
        <v>0</v>
      </c>
      <c r="H92" s="5">
        <f t="shared" si="7"/>
        <v>0</v>
      </c>
      <c r="I92" s="5">
        <f t="shared" si="7"/>
        <v>1</v>
      </c>
      <c r="J92" s="5">
        <f t="shared" si="7"/>
        <v>0</v>
      </c>
      <c r="K92" s="5">
        <f t="shared" si="7"/>
        <v>0</v>
      </c>
      <c r="L92" s="5">
        <f t="shared" si="7"/>
        <v>0</v>
      </c>
      <c r="M92" s="5">
        <f t="shared" si="7"/>
        <v>0</v>
      </c>
      <c r="N92" s="32">
        <v>5.9550724637681039E-2</v>
      </c>
      <c r="O92" s="32">
        <v>-1.9550724637681038E-2</v>
      </c>
      <c r="P92" s="24">
        <f t="shared" si="6"/>
        <v>3.8554347826087007E-2</v>
      </c>
    </row>
    <row r="93" spans="1:16" x14ac:dyDescent="0.3">
      <c r="A93" s="2">
        <v>20302</v>
      </c>
      <c r="B93" s="23">
        <v>3.7999999999999999E-2</v>
      </c>
      <c r="C93" s="5">
        <f t="shared" si="4"/>
        <v>0</v>
      </c>
      <c r="D93" s="5">
        <f t="shared" si="7"/>
        <v>0</v>
      </c>
      <c r="E93" s="5">
        <f t="shared" si="7"/>
        <v>0</v>
      </c>
      <c r="F93" s="5">
        <f t="shared" si="7"/>
        <v>0</v>
      </c>
      <c r="G93" s="5">
        <f t="shared" si="7"/>
        <v>0</v>
      </c>
      <c r="H93" s="5">
        <f t="shared" si="7"/>
        <v>0</v>
      </c>
      <c r="I93" s="5">
        <f t="shared" si="7"/>
        <v>0</v>
      </c>
      <c r="J93" s="5">
        <f t="shared" si="7"/>
        <v>1</v>
      </c>
      <c r="K93" s="5">
        <f t="shared" si="7"/>
        <v>0</v>
      </c>
      <c r="L93" s="5">
        <f t="shared" si="7"/>
        <v>0</v>
      </c>
      <c r="M93" s="5">
        <f t="shared" si="7"/>
        <v>0</v>
      </c>
      <c r="N93" s="32">
        <v>5.6521739130434699E-2</v>
      </c>
      <c r="O93" s="32">
        <v>-1.85217391304347E-2</v>
      </c>
      <c r="P93" s="24">
        <f t="shared" si="6"/>
        <v>3.9583333333333345E-2</v>
      </c>
    </row>
    <row r="94" spans="1:16" x14ac:dyDescent="0.3">
      <c r="A94" s="2">
        <v>20333</v>
      </c>
      <c r="B94" s="23">
        <v>3.5000000000000003E-2</v>
      </c>
      <c r="C94" s="5">
        <f t="shared" si="4"/>
        <v>0</v>
      </c>
      <c r="D94" s="5">
        <f t="shared" si="7"/>
        <v>0</v>
      </c>
      <c r="E94" s="5">
        <f t="shared" si="7"/>
        <v>0</v>
      </c>
      <c r="F94" s="5">
        <f t="shared" si="7"/>
        <v>0</v>
      </c>
      <c r="G94" s="5">
        <f t="shared" si="7"/>
        <v>0</v>
      </c>
      <c r="H94" s="5">
        <f t="shared" si="7"/>
        <v>0</v>
      </c>
      <c r="I94" s="5">
        <f t="shared" si="7"/>
        <v>0</v>
      </c>
      <c r="J94" s="5">
        <f t="shared" si="7"/>
        <v>0</v>
      </c>
      <c r="K94" s="5">
        <f t="shared" si="7"/>
        <v>1</v>
      </c>
      <c r="L94" s="5">
        <f t="shared" si="7"/>
        <v>0</v>
      </c>
      <c r="M94" s="5">
        <f t="shared" si="7"/>
        <v>0</v>
      </c>
      <c r="N94" s="32">
        <v>5.4768115942028898E-2</v>
      </c>
      <c r="O94" s="32">
        <v>-1.9768115942028895E-2</v>
      </c>
      <c r="P94" s="24">
        <f t="shared" si="6"/>
        <v>3.833695652173915E-2</v>
      </c>
    </row>
    <row r="95" spans="1:16" x14ac:dyDescent="0.3">
      <c r="A95" s="2">
        <v>20363</v>
      </c>
      <c r="B95" s="23">
        <v>3.4000000000000002E-2</v>
      </c>
      <c r="C95" s="5">
        <f t="shared" si="4"/>
        <v>0</v>
      </c>
      <c r="D95" s="5">
        <f t="shared" si="7"/>
        <v>0</v>
      </c>
      <c r="E95" s="5">
        <f t="shared" si="7"/>
        <v>0</v>
      </c>
      <c r="F95" s="5">
        <f t="shared" si="7"/>
        <v>0</v>
      </c>
      <c r="G95" s="5">
        <f t="shared" si="7"/>
        <v>0</v>
      </c>
      <c r="H95" s="5">
        <f t="shared" si="7"/>
        <v>0</v>
      </c>
      <c r="I95" s="5">
        <f t="shared" si="7"/>
        <v>0</v>
      </c>
      <c r="J95" s="5">
        <f t="shared" si="7"/>
        <v>0</v>
      </c>
      <c r="K95" s="5">
        <f t="shared" si="7"/>
        <v>0</v>
      </c>
      <c r="L95" s="5">
        <f t="shared" si="7"/>
        <v>1</v>
      </c>
      <c r="M95" s="5">
        <f t="shared" si="7"/>
        <v>0</v>
      </c>
      <c r="N95" s="32">
        <v>5.3115942028985473E-2</v>
      </c>
      <c r="O95" s="32">
        <v>-1.9115942028985471E-2</v>
      </c>
      <c r="P95" s="24">
        <f t="shared" si="6"/>
        <v>3.8989130434782575E-2</v>
      </c>
    </row>
    <row r="96" spans="1:16" x14ac:dyDescent="0.3">
      <c r="A96" s="2">
        <v>20394</v>
      </c>
      <c r="B96" s="23">
        <v>3.7999999999999999E-2</v>
      </c>
      <c r="C96" s="5">
        <f t="shared" si="4"/>
        <v>0</v>
      </c>
      <c r="D96" s="5">
        <f t="shared" si="7"/>
        <v>0</v>
      </c>
      <c r="E96" s="5">
        <f t="shared" si="7"/>
        <v>0</v>
      </c>
      <c r="F96" s="5">
        <f t="shared" si="7"/>
        <v>0</v>
      </c>
      <c r="G96" s="5">
        <f t="shared" si="7"/>
        <v>0</v>
      </c>
      <c r="H96" s="5">
        <f t="shared" si="7"/>
        <v>0</v>
      </c>
      <c r="I96" s="5">
        <f t="shared" si="7"/>
        <v>0</v>
      </c>
      <c r="J96" s="5">
        <f t="shared" si="7"/>
        <v>0</v>
      </c>
      <c r="K96" s="5">
        <f t="shared" si="7"/>
        <v>0</v>
      </c>
      <c r="L96" s="5">
        <f t="shared" si="7"/>
        <v>0</v>
      </c>
      <c r="M96" s="5">
        <f t="shared" si="7"/>
        <v>1</v>
      </c>
      <c r="N96" s="32">
        <v>5.4782608695652081E-2</v>
      </c>
      <c r="O96" s="32">
        <v>-1.6782608695652082E-2</v>
      </c>
      <c r="P96" s="24">
        <f t="shared" si="6"/>
        <v>4.1322463768115963E-2</v>
      </c>
    </row>
    <row r="97" spans="1:16" x14ac:dyDescent="0.3">
      <c r="A97" s="2">
        <v>20424</v>
      </c>
      <c r="B97" s="23">
        <v>3.9E-2</v>
      </c>
      <c r="C97" s="5">
        <f t="shared" si="4"/>
        <v>0</v>
      </c>
      <c r="D97" s="5">
        <f t="shared" si="7"/>
        <v>0</v>
      </c>
      <c r="E97" s="5">
        <f t="shared" si="7"/>
        <v>0</v>
      </c>
      <c r="F97" s="5">
        <f t="shared" si="7"/>
        <v>0</v>
      </c>
      <c r="G97" s="5">
        <f t="shared" si="7"/>
        <v>0</v>
      </c>
      <c r="H97" s="5">
        <f t="shared" si="7"/>
        <v>0</v>
      </c>
      <c r="I97" s="5">
        <f t="shared" si="7"/>
        <v>0</v>
      </c>
      <c r="J97" s="5">
        <f t="shared" si="7"/>
        <v>0</v>
      </c>
      <c r="K97" s="5">
        <f t="shared" si="7"/>
        <v>0</v>
      </c>
      <c r="L97" s="5">
        <f t="shared" si="7"/>
        <v>0</v>
      </c>
      <c r="M97" s="5">
        <f t="shared" si="7"/>
        <v>0</v>
      </c>
      <c r="N97" s="32">
        <v>5.5202898550724598E-2</v>
      </c>
      <c r="O97" s="32">
        <v>-1.6202898550724598E-2</v>
      </c>
      <c r="P97" s="24">
        <f t="shared" si="6"/>
        <v>4.1902173913043447E-2</v>
      </c>
    </row>
    <row r="98" spans="1:16" x14ac:dyDescent="0.3">
      <c r="A98" s="2">
        <v>20455</v>
      </c>
      <c r="B98" s="23">
        <v>4.7E-2</v>
      </c>
      <c r="C98" s="5">
        <f t="shared" si="4"/>
        <v>1</v>
      </c>
      <c r="D98" s="5">
        <f t="shared" si="7"/>
        <v>0</v>
      </c>
      <c r="E98" s="5">
        <f t="shared" si="7"/>
        <v>0</v>
      </c>
      <c r="F98" s="5">
        <f t="shared" si="7"/>
        <v>0</v>
      </c>
      <c r="G98" s="5">
        <f t="shared" si="7"/>
        <v>0</v>
      </c>
      <c r="H98" s="5">
        <f t="shared" si="7"/>
        <v>0</v>
      </c>
      <c r="I98" s="5">
        <f t="shared" si="7"/>
        <v>0</v>
      </c>
      <c r="J98" s="5">
        <f t="shared" si="7"/>
        <v>0</v>
      </c>
      <c r="K98" s="5">
        <f t="shared" si="7"/>
        <v>0</v>
      </c>
      <c r="L98" s="5">
        <f t="shared" si="7"/>
        <v>0</v>
      </c>
      <c r="M98" s="5">
        <f t="shared" si="7"/>
        <v>0</v>
      </c>
      <c r="N98" s="32">
        <v>6.4492753623188417E-2</v>
      </c>
      <c r="O98" s="32">
        <v>-1.7492753623188417E-2</v>
      </c>
      <c r="P98" s="24">
        <f t="shared" si="6"/>
        <v>4.0612318840579628E-2</v>
      </c>
    </row>
    <row r="99" spans="1:16" x14ac:dyDescent="0.3">
      <c r="A99" s="2">
        <v>20486</v>
      </c>
      <c r="B99" s="23">
        <v>4.8000000000000001E-2</v>
      </c>
      <c r="C99" s="5">
        <f t="shared" si="4"/>
        <v>0</v>
      </c>
      <c r="D99" s="5">
        <f t="shared" si="7"/>
        <v>1</v>
      </c>
      <c r="E99" s="5">
        <f t="shared" si="7"/>
        <v>0</v>
      </c>
      <c r="F99" s="5">
        <f t="shared" si="7"/>
        <v>0</v>
      </c>
      <c r="G99" s="5">
        <f t="shared" si="7"/>
        <v>0</v>
      </c>
      <c r="H99" s="5">
        <f t="shared" si="7"/>
        <v>0</v>
      </c>
      <c r="I99" s="5">
        <f t="shared" si="7"/>
        <v>0</v>
      </c>
      <c r="J99" s="5">
        <f t="shared" si="7"/>
        <v>0</v>
      </c>
      <c r="K99" s="5">
        <f t="shared" si="7"/>
        <v>0</v>
      </c>
      <c r="L99" s="5">
        <f t="shared" si="7"/>
        <v>0</v>
      </c>
      <c r="M99" s="5">
        <f t="shared" si="7"/>
        <v>0</v>
      </c>
      <c r="N99" s="32">
        <v>6.4391304347825973E-2</v>
      </c>
      <c r="O99" s="32">
        <v>-1.6391304347825972E-2</v>
      </c>
      <c r="P99" s="24">
        <f t="shared" si="6"/>
        <v>4.1713768115942074E-2</v>
      </c>
    </row>
    <row r="100" spans="1:16" x14ac:dyDescent="0.3">
      <c r="A100" s="2">
        <v>20515</v>
      </c>
      <c r="B100" s="23">
        <v>4.7E-2</v>
      </c>
      <c r="C100" s="5">
        <f t="shared" si="4"/>
        <v>0</v>
      </c>
      <c r="D100" s="5">
        <f t="shared" si="7"/>
        <v>0</v>
      </c>
      <c r="E100" s="5">
        <f t="shared" si="7"/>
        <v>1</v>
      </c>
      <c r="F100" s="5">
        <f t="shared" si="7"/>
        <v>0</v>
      </c>
      <c r="G100" s="5">
        <f t="shared" si="7"/>
        <v>0</v>
      </c>
      <c r="H100" s="5">
        <f t="shared" si="7"/>
        <v>0</v>
      </c>
      <c r="I100" s="5">
        <f t="shared" si="7"/>
        <v>0</v>
      </c>
      <c r="J100" s="5">
        <f t="shared" si="7"/>
        <v>0</v>
      </c>
      <c r="K100" s="5">
        <f t="shared" si="7"/>
        <v>0</v>
      </c>
      <c r="L100" s="5">
        <f t="shared" si="7"/>
        <v>0</v>
      </c>
      <c r="M100" s="5">
        <f t="shared" si="7"/>
        <v>0</v>
      </c>
      <c r="N100" s="32">
        <v>6.1652173913043402E-2</v>
      </c>
      <c r="O100" s="32">
        <v>-1.4652173913043402E-2</v>
      </c>
      <c r="P100" s="24">
        <f t="shared" si="6"/>
        <v>4.3452898550724643E-2</v>
      </c>
    </row>
    <row r="101" spans="1:16" x14ac:dyDescent="0.3">
      <c r="A101" s="2">
        <v>20546</v>
      </c>
      <c r="B101" s="23">
        <v>4.0999999999999995E-2</v>
      </c>
      <c r="C101" s="5">
        <f t="shared" si="4"/>
        <v>0</v>
      </c>
      <c r="D101" s="5">
        <f t="shared" si="7"/>
        <v>0</v>
      </c>
      <c r="E101" s="5">
        <f t="shared" si="7"/>
        <v>0</v>
      </c>
      <c r="F101" s="5">
        <f t="shared" si="7"/>
        <v>1</v>
      </c>
      <c r="G101" s="5">
        <f t="shared" si="7"/>
        <v>0</v>
      </c>
      <c r="H101" s="5">
        <f t="shared" si="7"/>
        <v>0</v>
      </c>
      <c r="I101" s="5">
        <f t="shared" si="7"/>
        <v>0</v>
      </c>
      <c r="J101" s="5">
        <f t="shared" si="7"/>
        <v>0</v>
      </c>
      <c r="K101" s="5">
        <f t="shared" si="7"/>
        <v>0</v>
      </c>
      <c r="L101" s="5">
        <f t="shared" si="7"/>
        <v>0</v>
      </c>
      <c r="M101" s="5">
        <f t="shared" si="7"/>
        <v>0</v>
      </c>
      <c r="N101" s="32">
        <v>5.6550724637681071E-2</v>
      </c>
      <c r="O101" s="32">
        <v>-1.5550724637681076E-2</v>
      </c>
      <c r="P101" s="24">
        <f t="shared" si="6"/>
        <v>4.2554347826086969E-2</v>
      </c>
    </row>
    <row r="102" spans="1:16" x14ac:dyDescent="0.3">
      <c r="A102" s="2">
        <v>20576</v>
      </c>
      <c r="B102" s="23">
        <v>4.2000000000000003E-2</v>
      </c>
      <c r="C102" s="5">
        <f t="shared" si="4"/>
        <v>0</v>
      </c>
      <c r="D102" s="5">
        <f t="shared" si="7"/>
        <v>0</v>
      </c>
      <c r="E102" s="5">
        <f t="shared" si="7"/>
        <v>0</v>
      </c>
      <c r="F102" s="5">
        <f t="shared" si="7"/>
        <v>0</v>
      </c>
      <c r="G102" s="5">
        <f t="shared" si="7"/>
        <v>1</v>
      </c>
      <c r="H102" s="5">
        <f t="shared" si="7"/>
        <v>0</v>
      </c>
      <c r="I102" s="5">
        <f t="shared" si="7"/>
        <v>0</v>
      </c>
      <c r="J102" s="5">
        <f t="shared" si="7"/>
        <v>0</v>
      </c>
      <c r="K102" s="5">
        <f t="shared" si="7"/>
        <v>0</v>
      </c>
      <c r="L102" s="5">
        <f t="shared" si="7"/>
        <v>0</v>
      </c>
      <c r="M102" s="5">
        <f t="shared" si="7"/>
        <v>0</v>
      </c>
      <c r="N102" s="32">
        <v>5.5101449275362209E-2</v>
      </c>
      <c r="O102" s="32">
        <v>-1.3101449275362206E-2</v>
      </c>
      <c r="P102" s="24">
        <f t="shared" si="6"/>
        <v>4.5003623188405839E-2</v>
      </c>
    </row>
    <row r="103" spans="1:16" x14ac:dyDescent="0.3">
      <c r="A103" s="2">
        <v>20607</v>
      </c>
      <c r="B103" s="23">
        <v>4.7E-2</v>
      </c>
      <c r="C103" s="5">
        <f t="shared" si="4"/>
        <v>0</v>
      </c>
      <c r="D103" s="5">
        <f t="shared" si="7"/>
        <v>0</v>
      </c>
      <c r="E103" s="5">
        <f t="shared" si="7"/>
        <v>0</v>
      </c>
      <c r="F103" s="5">
        <f t="shared" si="7"/>
        <v>0</v>
      </c>
      <c r="G103" s="5">
        <f t="shared" si="7"/>
        <v>0</v>
      </c>
      <c r="H103" s="5">
        <f t="shared" si="7"/>
        <v>1</v>
      </c>
      <c r="I103" s="5">
        <f t="shared" si="7"/>
        <v>0</v>
      </c>
      <c r="J103" s="5">
        <f t="shared" si="7"/>
        <v>0</v>
      </c>
      <c r="K103" s="5">
        <f t="shared" si="7"/>
        <v>0</v>
      </c>
      <c r="L103" s="5">
        <f t="shared" si="7"/>
        <v>0</v>
      </c>
      <c r="M103" s="5">
        <f t="shared" si="7"/>
        <v>0</v>
      </c>
      <c r="N103" s="32">
        <v>6.1130434782608579E-2</v>
      </c>
      <c r="O103" s="32">
        <v>-1.4130434782608579E-2</v>
      </c>
      <c r="P103" s="24">
        <f t="shared" si="6"/>
        <v>4.3974637681159466E-2</v>
      </c>
    </row>
    <row r="104" spans="1:16" x14ac:dyDescent="0.3">
      <c r="A104" s="2">
        <v>20637</v>
      </c>
      <c r="B104" s="23">
        <v>4.4000000000000004E-2</v>
      </c>
      <c r="C104" s="5">
        <f t="shared" ref="C104:C167" si="8">IF(MONTH($A104)=C$1,1,0)</f>
        <v>0</v>
      </c>
      <c r="D104" s="5">
        <f t="shared" si="7"/>
        <v>0</v>
      </c>
      <c r="E104" s="5">
        <f t="shared" si="7"/>
        <v>0</v>
      </c>
      <c r="F104" s="5">
        <f t="shared" si="7"/>
        <v>0</v>
      </c>
      <c r="G104" s="5">
        <f t="shared" si="7"/>
        <v>0</v>
      </c>
      <c r="H104" s="5">
        <f t="shared" si="7"/>
        <v>0</v>
      </c>
      <c r="I104" s="5">
        <f t="shared" si="7"/>
        <v>1</v>
      </c>
      <c r="J104" s="5">
        <f t="shared" si="7"/>
        <v>0</v>
      </c>
      <c r="K104" s="5">
        <f t="shared" si="7"/>
        <v>0</v>
      </c>
      <c r="L104" s="5">
        <f t="shared" si="7"/>
        <v>0</v>
      </c>
      <c r="M104" s="5">
        <f t="shared" si="7"/>
        <v>0</v>
      </c>
      <c r="N104" s="32">
        <v>5.9550724637681039E-2</v>
      </c>
      <c r="O104" s="32">
        <v>-1.5550724637681035E-2</v>
      </c>
      <c r="P104" s="24">
        <f t="shared" si="6"/>
        <v>4.2554347826087011E-2</v>
      </c>
    </row>
    <row r="105" spans="1:16" x14ac:dyDescent="0.3">
      <c r="A105" s="2">
        <v>20668</v>
      </c>
      <c r="B105" s="23">
        <v>3.7000000000000005E-2</v>
      </c>
      <c r="C105" s="5">
        <f t="shared" si="8"/>
        <v>0</v>
      </c>
      <c r="D105" s="5">
        <f t="shared" si="7"/>
        <v>0</v>
      </c>
      <c r="E105" s="5">
        <f t="shared" si="7"/>
        <v>0</v>
      </c>
      <c r="F105" s="5">
        <f t="shared" si="7"/>
        <v>0</v>
      </c>
      <c r="G105" s="5">
        <f t="shared" si="7"/>
        <v>0</v>
      </c>
      <c r="H105" s="5">
        <f t="shared" si="7"/>
        <v>0</v>
      </c>
      <c r="I105" s="5">
        <f t="shared" si="7"/>
        <v>0</v>
      </c>
      <c r="J105" s="5">
        <f t="shared" si="7"/>
        <v>1</v>
      </c>
      <c r="K105" s="5">
        <f t="shared" si="7"/>
        <v>0</v>
      </c>
      <c r="L105" s="5">
        <f t="shared" si="7"/>
        <v>0</v>
      </c>
      <c r="M105" s="5">
        <f t="shared" si="7"/>
        <v>0</v>
      </c>
      <c r="N105" s="32">
        <v>5.6521739130434699E-2</v>
      </c>
      <c r="O105" s="32">
        <v>-1.9521739130434694E-2</v>
      </c>
      <c r="P105" s="24">
        <f t="shared" si="6"/>
        <v>3.8583333333333351E-2</v>
      </c>
    </row>
    <row r="106" spans="1:16" x14ac:dyDescent="0.3">
      <c r="A106" s="2">
        <v>20699</v>
      </c>
      <c r="B106" s="23">
        <v>3.4000000000000002E-2</v>
      </c>
      <c r="C106" s="5">
        <f t="shared" si="8"/>
        <v>0</v>
      </c>
      <c r="D106" s="5">
        <f t="shared" si="7"/>
        <v>0</v>
      </c>
      <c r="E106" s="5">
        <f t="shared" si="7"/>
        <v>0</v>
      </c>
      <c r="F106" s="5">
        <f t="shared" si="7"/>
        <v>0</v>
      </c>
      <c r="G106" s="5">
        <f t="shared" si="7"/>
        <v>0</v>
      </c>
      <c r="H106" s="5">
        <f t="shared" si="7"/>
        <v>0</v>
      </c>
      <c r="I106" s="5">
        <f t="shared" si="7"/>
        <v>0</v>
      </c>
      <c r="J106" s="5">
        <f t="shared" si="7"/>
        <v>0</v>
      </c>
      <c r="K106" s="5">
        <f t="shared" si="7"/>
        <v>1</v>
      </c>
      <c r="L106" s="5">
        <f t="shared" si="7"/>
        <v>0</v>
      </c>
      <c r="M106" s="5">
        <f t="shared" si="7"/>
        <v>0</v>
      </c>
      <c r="N106" s="32">
        <v>5.4768115942028898E-2</v>
      </c>
      <c r="O106" s="32">
        <v>-2.0768115942028896E-2</v>
      </c>
      <c r="P106" s="24">
        <f t="shared" si="6"/>
        <v>3.7336956521739149E-2</v>
      </c>
    </row>
    <row r="107" spans="1:16" x14ac:dyDescent="0.3">
      <c r="A107" s="2">
        <v>20729</v>
      </c>
      <c r="B107" s="23">
        <v>3.1E-2</v>
      </c>
      <c r="C107" s="5">
        <f t="shared" si="8"/>
        <v>0</v>
      </c>
      <c r="D107" s="5">
        <f t="shared" si="7"/>
        <v>0</v>
      </c>
      <c r="E107" s="5">
        <f t="shared" si="7"/>
        <v>0</v>
      </c>
      <c r="F107" s="5">
        <f t="shared" si="7"/>
        <v>0</v>
      </c>
      <c r="G107" s="5">
        <f t="shared" si="7"/>
        <v>0</v>
      </c>
      <c r="H107" s="5">
        <f t="shared" si="7"/>
        <v>0</v>
      </c>
      <c r="I107" s="5">
        <f t="shared" si="7"/>
        <v>0</v>
      </c>
      <c r="J107" s="5">
        <f t="shared" si="7"/>
        <v>0</v>
      </c>
      <c r="K107" s="5">
        <f t="shared" si="7"/>
        <v>0</v>
      </c>
      <c r="L107" s="5">
        <f t="shared" si="7"/>
        <v>1</v>
      </c>
      <c r="M107" s="5">
        <f t="shared" si="7"/>
        <v>0</v>
      </c>
      <c r="N107" s="32">
        <v>5.3115942028985473E-2</v>
      </c>
      <c r="O107" s="32">
        <v>-2.2115942028985473E-2</v>
      </c>
      <c r="P107" s="24">
        <f t="shared" si="6"/>
        <v>3.5989130434782572E-2</v>
      </c>
    </row>
    <row r="108" spans="1:16" x14ac:dyDescent="0.3">
      <c r="A108" s="2">
        <v>20760</v>
      </c>
      <c r="B108" s="23">
        <v>3.9E-2</v>
      </c>
      <c r="C108" s="5">
        <f t="shared" si="8"/>
        <v>0</v>
      </c>
      <c r="D108" s="5">
        <f t="shared" si="7"/>
        <v>0</v>
      </c>
      <c r="E108" s="5">
        <f t="shared" si="7"/>
        <v>0</v>
      </c>
      <c r="F108" s="5">
        <f t="shared" si="7"/>
        <v>0</v>
      </c>
      <c r="G108" s="5">
        <f t="shared" si="7"/>
        <v>0</v>
      </c>
      <c r="H108" s="5">
        <f t="shared" si="7"/>
        <v>0</v>
      </c>
      <c r="I108" s="5">
        <f t="shared" si="7"/>
        <v>0</v>
      </c>
      <c r="J108" s="5">
        <f t="shared" si="7"/>
        <v>0</v>
      </c>
      <c r="K108" s="5">
        <f t="shared" si="7"/>
        <v>0</v>
      </c>
      <c r="L108" s="5">
        <f t="shared" si="7"/>
        <v>0</v>
      </c>
      <c r="M108" s="5">
        <f t="shared" si="7"/>
        <v>1</v>
      </c>
      <c r="N108" s="32">
        <v>5.4782608695652081E-2</v>
      </c>
      <c r="O108" s="32">
        <v>-1.5782608695652081E-2</v>
      </c>
      <c r="P108" s="24">
        <f t="shared" si="6"/>
        <v>4.2322463768115964E-2</v>
      </c>
    </row>
    <row r="109" spans="1:16" x14ac:dyDescent="0.3">
      <c r="A109" s="2">
        <v>20790</v>
      </c>
      <c r="B109" s="23">
        <v>0.04</v>
      </c>
      <c r="C109" s="5">
        <f t="shared" si="8"/>
        <v>0</v>
      </c>
      <c r="D109" s="5">
        <f t="shared" si="7"/>
        <v>0</v>
      </c>
      <c r="E109" s="5">
        <f t="shared" si="7"/>
        <v>0</v>
      </c>
      <c r="F109" s="5">
        <f t="shared" si="7"/>
        <v>0</v>
      </c>
      <c r="G109" s="5">
        <f t="shared" si="7"/>
        <v>0</v>
      </c>
      <c r="H109" s="5">
        <f t="shared" si="7"/>
        <v>0</v>
      </c>
      <c r="I109" s="5">
        <f t="shared" si="7"/>
        <v>0</v>
      </c>
      <c r="J109" s="5">
        <f t="shared" si="7"/>
        <v>0</v>
      </c>
      <c r="K109" s="5">
        <f t="shared" si="7"/>
        <v>0</v>
      </c>
      <c r="L109" s="5">
        <f t="shared" si="7"/>
        <v>0</v>
      </c>
      <c r="M109" s="5">
        <f t="shared" si="7"/>
        <v>0</v>
      </c>
      <c r="N109" s="32">
        <v>5.5202898550724598E-2</v>
      </c>
      <c r="O109" s="32">
        <v>-1.5202898550724597E-2</v>
      </c>
      <c r="P109" s="24">
        <f t="shared" si="6"/>
        <v>4.2902173913043448E-2</v>
      </c>
    </row>
    <row r="110" spans="1:16" x14ac:dyDescent="0.3">
      <c r="A110" s="2">
        <v>20821</v>
      </c>
      <c r="B110" s="23">
        <v>4.9000000000000002E-2</v>
      </c>
      <c r="C110" s="5">
        <f t="shared" si="8"/>
        <v>1</v>
      </c>
      <c r="D110" s="5">
        <f t="shared" si="7"/>
        <v>0</v>
      </c>
      <c r="E110" s="5">
        <f t="shared" si="7"/>
        <v>0</v>
      </c>
      <c r="F110" s="5">
        <f t="shared" si="7"/>
        <v>0</v>
      </c>
      <c r="G110" s="5">
        <f t="shared" si="7"/>
        <v>0</v>
      </c>
      <c r="H110" s="5">
        <f t="shared" si="7"/>
        <v>0</v>
      </c>
      <c r="I110" s="5">
        <f t="shared" si="7"/>
        <v>0</v>
      </c>
      <c r="J110" s="5">
        <f t="shared" si="7"/>
        <v>0</v>
      </c>
      <c r="K110" s="5">
        <f t="shared" si="7"/>
        <v>0</v>
      </c>
      <c r="L110" s="5">
        <f t="shared" si="7"/>
        <v>0</v>
      </c>
      <c r="M110" s="5">
        <f t="shared" si="7"/>
        <v>0</v>
      </c>
      <c r="N110" s="32">
        <v>6.4492753623188417E-2</v>
      </c>
      <c r="O110" s="32">
        <v>-1.5492753623188416E-2</v>
      </c>
      <c r="P110" s="24">
        <f t="shared" si="6"/>
        <v>4.261231884057963E-2</v>
      </c>
    </row>
    <row r="111" spans="1:16" x14ac:dyDescent="0.3">
      <c r="A111" s="2">
        <v>20852</v>
      </c>
      <c r="B111" s="23">
        <v>4.7E-2</v>
      </c>
      <c r="C111" s="5">
        <f t="shared" si="8"/>
        <v>0</v>
      </c>
      <c r="D111" s="5">
        <f t="shared" si="7"/>
        <v>1</v>
      </c>
      <c r="E111" s="5">
        <f t="shared" si="7"/>
        <v>0</v>
      </c>
      <c r="F111" s="5">
        <f t="shared" si="7"/>
        <v>0</v>
      </c>
      <c r="G111" s="5">
        <f t="shared" si="7"/>
        <v>0</v>
      </c>
      <c r="H111" s="5">
        <f t="shared" si="7"/>
        <v>0</v>
      </c>
      <c r="I111" s="5">
        <f t="shared" si="7"/>
        <v>0</v>
      </c>
      <c r="J111" s="5">
        <f t="shared" si="7"/>
        <v>0</v>
      </c>
      <c r="K111" s="5">
        <f t="shared" si="7"/>
        <v>0</v>
      </c>
      <c r="L111" s="5">
        <f t="shared" si="7"/>
        <v>0</v>
      </c>
      <c r="M111" s="5">
        <f t="shared" si="7"/>
        <v>0</v>
      </c>
      <c r="N111" s="32">
        <v>6.4391304347825973E-2</v>
      </c>
      <c r="O111" s="32">
        <v>-1.7391304347825973E-2</v>
      </c>
      <c r="P111" s="24">
        <f t="shared" si="6"/>
        <v>4.0713768115942073E-2</v>
      </c>
    </row>
    <row r="112" spans="1:16" x14ac:dyDescent="0.3">
      <c r="A112" s="2">
        <v>20880</v>
      </c>
      <c r="B112" s="23">
        <v>4.2999999999999997E-2</v>
      </c>
      <c r="C112" s="5">
        <f t="shared" si="8"/>
        <v>0</v>
      </c>
      <c r="D112" s="5">
        <f t="shared" si="7"/>
        <v>0</v>
      </c>
      <c r="E112" s="5">
        <f t="shared" si="7"/>
        <v>1</v>
      </c>
      <c r="F112" s="5">
        <f t="shared" si="7"/>
        <v>0</v>
      </c>
      <c r="G112" s="5">
        <f t="shared" si="7"/>
        <v>0</v>
      </c>
      <c r="H112" s="5">
        <f t="shared" si="7"/>
        <v>0</v>
      </c>
      <c r="I112" s="5">
        <f t="shared" si="7"/>
        <v>0</v>
      </c>
      <c r="J112" s="5">
        <f t="shared" si="7"/>
        <v>0</v>
      </c>
      <c r="K112" s="5">
        <f t="shared" si="7"/>
        <v>0</v>
      </c>
      <c r="L112" s="5">
        <f t="shared" si="7"/>
        <v>0</v>
      </c>
      <c r="M112" s="5">
        <f t="shared" si="7"/>
        <v>0</v>
      </c>
      <c r="N112" s="32">
        <v>6.1652173913043402E-2</v>
      </c>
      <c r="O112" s="32">
        <v>-1.8652173913043406E-2</v>
      </c>
      <c r="P112" s="24">
        <f t="shared" si="6"/>
        <v>3.945289855072464E-2</v>
      </c>
    </row>
    <row r="113" spans="1:16" x14ac:dyDescent="0.3">
      <c r="A113" s="2">
        <v>20911</v>
      </c>
      <c r="B113" s="23">
        <v>0.04</v>
      </c>
      <c r="C113" s="5">
        <f t="shared" si="8"/>
        <v>0</v>
      </c>
      <c r="D113" s="5">
        <f t="shared" si="7"/>
        <v>0</v>
      </c>
      <c r="E113" s="5">
        <f t="shared" si="7"/>
        <v>0</v>
      </c>
      <c r="F113" s="5">
        <f t="shared" si="7"/>
        <v>1</v>
      </c>
      <c r="G113" s="5">
        <f t="shared" si="7"/>
        <v>0</v>
      </c>
      <c r="H113" s="5">
        <f t="shared" si="7"/>
        <v>0</v>
      </c>
      <c r="I113" s="5">
        <f t="shared" si="7"/>
        <v>0</v>
      </c>
      <c r="J113" s="5">
        <f t="shared" si="7"/>
        <v>0</v>
      </c>
      <c r="K113" s="5">
        <f t="shared" si="7"/>
        <v>0</v>
      </c>
      <c r="L113" s="5">
        <f t="shared" si="7"/>
        <v>0</v>
      </c>
      <c r="M113" s="5">
        <f t="shared" si="7"/>
        <v>0</v>
      </c>
      <c r="N113" s="32">
        <v>5.6550724637681071E-2</v>
      </c>
      <c r="O113" s="32">
        <v>-1.655072463768107E-2</v>
      </c>
      <c r="P113" s="24">
        <f t="shared" si="6"/>
        <v>4.1554347826086975E-2</v>
      </c>
    </row>
    <row r="114" spans="1:16" x14ac:dyDescent="0.3">
      <c r="A114" s="2">
        <v>20941</v>
      </c>
      <c r="B114" s="23">
        <v>3.9E-2</v>
      </c>
      <c r="C114" s="5">
        <f t="shared" si="8"/>
        <v>0</v>
      </c>
      <c r="D114" s="5">
        <f t="shared" si="7"/>
        <v>0</v>
      </c>
      <c r="E114" s="5">
        <f t="shared" si="7"/>
        <v>0</v>
      </c>
      <c r="F114" s="5">
        <f t="shared" si="7"/>
        <v>0</v>
      </c>
      <c r="G114" s="5">
        <f t="shared" si="7"/>
        <v>1</v>
      </c>
      <c r="H114" s="5">
        <f t="shared" si="7"/>
        <v>0</v>
      </c>
      <c r="I114" s="5">
        <f t="shared" si="7"/>
        <v>0</v>
      </c>
      <c r="J114" s="5">
        <f t="shared" si="7"/>
        <v>0</v>
      </c>
      <c r="K114" s="5">
        <f t="shared" si="7"/>
        <v>0</v>
      </c>
      <c r="L114" s="5">
        <f t="shared" si="7"/>
        <v>0</v>
      </c>
      <c r="M114" s="5">
        <f t="shared" si="7"/>
        <v>0</v>
      </c>
      <c r="N114" s="32">
        <v>5.5101449275362209E-2</v>
      </c>
      <c r="O114" s="32">
        <v>-1.6101449275362209E-2</v>
      </c>
      <c r="P114" s="24">
        <f t="shared" si="6"/>
        <v>4.2003623188405836E-2</v>
      </c>
    </row>
    <row r="115" spans="1:16" x14ac:dyDescent="0.3">
      <c r="A115" s="2">
        <v>20972</v>
      </c>
      <c r="B115" s="23">
        <v>4.5999999999999999E-2</v>
      </c>
      <c r="C115" s="5">
        <f t="shared" si="8"/>
        <v>0</v>
      </c>
      <c r="D115" s="5">
        <f t="shared" si="7"/>
        <v>0</v>
      </c>
      <c r="E115" s="5">
        <f t="shared" si="7"/>
        <v>0</v>
      </c>
      <c r="F115" s="5">
        <f t="shared" si="7"/>
        <v>0</v>
      </c>
      <c r="G115" s="5">
        <f t="shared" si="7"/>
        <v>0</v>
      </c>
      <c r="H115" s="5">
        <f t="shared" si="7"/>
        <v>1</v>
      </c>
      <c r="I115" s="5">
        <f t="shared" si="7"/>
        <v>0</v>
      </c>
      <c r="J115" s="5">
        <f t="shared" si="7"/>
        <v>0</v>
      </c>
      <c r="K115" s="5">
        <f t="shared" si="7"/>
        <v>0</v>
      </c>
      <c r="L115" s="5">
        <f t="shared" si="7"/>
        <v>0</v>
      </c>
      <c r="M115" s="5">
        <f t="shared" si="7"/>
        <v>0</v>
      </c>
      <c r="N115" s="32">
        <v>6.1130434782608579E-2</v>
      </c>
      <c r="O115" s="32">
        <v>-1.513043478260858E-2</v>
      </c>
      <c r="P115" s="24">
        <f t="shared" si="6"/>
        <v>4.2974637681159465E-2</v>
      </c>
    </row>
    <row r="116" spans="1:16" x14ac:dyDescent="0.3">
      <c r="A116" s="2">
        <v>21002</v>
      </c>
      <c r="B116" s="23">
        <v>4.0999999999999995E-2</v>
      </c>
      <c r="C116" s="5">
        <f t="shared" si="8"/>
        <v>0</v>
      </c>
      <c r="D116" s="5">
        <f t="shared" si="7"/>
        <v>0</v>
      </c>
      <c r="E116" s="5">
        <f t="shared" si="7"/>
        <v>0</v>
      </c>
      <c r="F116" s="5">
        <f t="shared" si="7"/>
        <v>0</v>
      </c>
      <c r="G116" s="5">
        <f t="shared" ref="D116:M141" si="9">IF(MONTH($A116)=G$1,1,0)</f>
        <v>0</v>
      </c>
      <c r="H116" s="5">
        <f t="shared" si="9"/>
        <v>0</v>
      </c>
      <c r="I116" s="5">
        <f t="shared" si="9"/>
        <v>1</v>
      </c>
      <c r="J116" s="5">
        <f t="shared" si="9"/>
        <v>0</v>
      </c>
      <c r="K116" s="5">
        <f t="shared" si="9"/>
        <v>0</v>
      </c>
      <c r="L116" s="5">
        <f t="shared" si="9"/>
        <v>0</v>
      </c>
      <c r="M116" s="5">
        <f t="shared" si="9"/>
        <v>0</v>
      </c>
      <c r="N116" s="32">
        <v>5.9550724637681039E-2</v>
      </c>
      <c r="O116" s="32">
        <v>-1.8550724637681044E-2</v>
      </c>
      <c r="P116" s="24">
        <f t="shared" si="6"/>
        <v>3.9554347826087001E-2</v>
      </c>
    </row>
    <row r="117" spans="1:16" x14ac:dyDescent="0.3">
      <c r="A117" s="2">
        <v>21033</v>
      </c>
      <c r="B117" s="23">
        <v>3.7000000000000005E-2</v>
      </c>
      <c r="C117" s="5">
        <f t="shared" si="8"/>
        <v>0</v>
      </c>
      <c r="D117" s="5">
        <f t="shared" si="9"/>
        <v>0</v>
      </c>
      <c r="E117" s="5">
        <f t="shared" si="9"/>
        <v>0</v>
      </c>
      <c r="F117" s="5">
        <f t="shared" si="9"/>
        <v>0</v>
      </c>
      <c r="G117" s="5">
        <f t="shared" si="9"/>
        <v>0</v>
      </c>
      <c r="H117" s="5">
        <f t="shared" si="9"/>
        <v>0</v>
      </c>
      <c r="I117" s="5">
        <f t="shared" si="9"/>
        <v>0</v>
      </c>
      <c r="J117" s="5">
        <f t="shared" si="9"/>
        <v>1</v>
      </c>
      <c r="K117" s="5">
        <f t="shared" si="9"/>
        <v>0</v>
      </c>
      <c r="L117" s="5">
        <f t="shared" si="9"/>
        <v>0</v>
      </c>
      <c r="M117" s="5">
        <f t="shared" si="9"/>
        <v>0</v>
      </c>
      <c r="N117" s="32">
        <v>5.6521739130434699E-2</v>
      </c>
      <c r="O117" s="32">
        <v>-1.9521739130434694E-2</v>
      </c>
      <c r="P117" s="24">
        <f t="shared" si="6"/>
        <v>3.8583333333333351E-2</v>
      </c>
    </row>
    <row r="118" spans="1:16" x14ac:dyDescent="0.3">
      <c r="A118" s="2">
        <v>21064</v>
      </c>
      <c r="B118" s="23">
        <v>3.7000000000000005E-2</v>
      </c>
      <c r="C118" s="5">
        <f t="shared" si="8"/>
        <v>0</v>
      </c>
      <c r="D118" s="5">
        <f t="shared" si="9"/>
        <v>0</v>
      </c>
      <c r="E118" s="5">
        <f t="shared" si="9"/>
        <v>0</v>
      </c>
      <c r="F118" s="5">
        <f t="shared" si="9"/>
        <v>0</v>
      </c>
      <c r="G118" s="5">
        <f t="shared" si="9"/>
        <v>0</v>
      </c>
      <c r="H118" s="5">
        <f t="shared" si="9"/>
        <v>0</v>
      </c>
      <c r="I118" s="5">
        <f t="shared" si="9"/>
        <v>0</v>
      </c>
      <c r="J118" s="5">
        <f t="shared" si="9"/>
        <v>0</v>
      </c>
      <c r="K118" s="5">
        <f t="shared" si="9"/>
        <v>1</v>
      </c>
      <c r="L118" s="5">
        <f t="shared" si="9"/>
        <v>0</v>
      </c>
      <c r="M118" s="5">
        <f t="shared" si="9"/>
        <v>0</v>
      </c>
      <c r="N118" s="32">
        <v>5.4768115942028898E-2</v>
      </c>
      <c r="O118" s="32">
        <v>-1.7768115942028893E-2</v>
      </c>
      <c r="P118" s="24">
        <f t="shared" si="6"/>
        <v>4.0336956521739152E-2</v>
      </c>
    </row>
    <row r="119" spans="1:16" x14ac:dyDescent="0.3">
      <c r="A119" s="2">
        <v>21094</v>
      </c>
      <c r="B119" s="23">
        <v>3.6000000000000004E-2</v>
      </c>
      <c r="C119" s="5">
        <f t="shared" si="8"/>
        <v>0</v>
      </c>
      <c r="D119" s="5">
        <f t="shared" si="9"/>
        <v>0</v>
      </c>
      <c r="E119" s="5">
        <f t="shared" si="9"/>
        <v>0</v>
      </c>
      <c r="F119" s="5">
        <f t="shared" si="9"/>
        <v>0</v>
      </c>
      <c r="G119" s="5">
        <f t="shared" si="9"/>
        <v>0</v>
      </c>
      <c r="H119" s="5">
        <f t="shared" si="9"/>
        <v>0</v>
      </c>
      <c r="I119" s="5">
        <f t="shared" si="9"/>
        <v>0</v>
      </c>
      <c r="J119" s="5">
        <f t="shared" si="9"/>
        <v>0</v>
      </c>
      <c r="K119" s="5">
        <f t="shared" si="9"/>
        <v>0</v>
      </c>
      <c r="L119" s="5">
        <f t="shared" si="9"/>
        <v>1</v>
      </c>
      <c r="M119" s="5">
        <f t="shared" si="9"/>
        <v>0</v>
      </c>
      <c r="N119" s="32">
        <v>5.3115942028985473E-2</v>
      </c>
      <c r="O119" s="32">
        <v>-1.7115942028985469E-2</v>
      </c>
      <c r="P119" s="24">
        <f t="shared" si="6"/>
        <v>4.0989130434782577E-2</v>
      </c>
    </row>
    <row r="120" spans="1:16" x14ac:dyDescent="0.3">
      <c r="A120" s="2">
        <v>21125</v>
      </c>
      <c r="B120" s="23">
        <v>4.5999999999999999E-2</v>
      </c>
      <c r="C120" s="5">
        <f t="shared" si="8"/>
        <v>0</v>
      </c>
      <c r="D120" s="5">
        <f t="shared" si="9"/>
        <v>0</v>
      </c>
      <c r="E120" s="5">
        <f t="shared" si="9"/>
        <v>0</v>
      </c>
      <c r="F120" s="5">
        <f t="shared" si="9"/>
        <v>0</v>
      </c>
      <c r="G120" s="5">
        <f t="shared" si="9"/>
        <v>0</v>
      </c>
      <c r="H120" s="5">
        <f t="shared" si="9"/>
        <v>0</v>
      </c>
      <c r="I120" s="5">
        <f t="shared" si="9"/>
        <v>0</v>
      </c>
      <c r="J120" s="5">
        <f t="shared" si="9"/>
        <v>0</v>
      </c>
      <c r="K120" s="5">
        <f t="shared" si="9"/>
        <v>0</v>
      </c>
      <c r="L120" s="5">
        <f t="shared" si="9"/>
        <v>0</v>
      </c>
      <c r="M120" s="5">
        <f t="shared" si="9"/>
        <v>1</v>
      </c>
      <c r="N120" s="32">
        <v>5.4782608695652081E-2</v>
      </c>
      <c r="O120" s="32">
        <v>-8.7826086956520819E-3</v>
      </c>
      <c r="P120" s="24">
        <f t="shared" si="6"/>
        <v>4.9322463768115964E-2</v>
      </c>
    </row>
    <row r="121" spans="1:16" x14ac:dyDescent="0.3">
      <c r="A121" s="2">
        <v>21155</v>
      </c>
      <c r="B121" s="23">
        <v>0.05</v>
      </c>
      <c r="C121" s="5">
        <f t="shared" si="8"/>
        <v>0</v>
      </c>
      <c r="D121" s="5">
        <f t="shared" si="9"/>
        <v>0</v>
      </c>
      <c r="E121" s="5">
        <f t="shared" si="9"/>
        <v>0</v>
      </c>
      <c r="F121" s="5">
        <f t="shared" si="9"/>
        <v>0</v>
      </c>
      <c r="G121" s="5">
        <f t="shared" si="9"/>
        <v>0</v>
      </c>
      <c r="H121" s="5">
        <f t="shared" si="9"/>
        <v>0</v>
      </c>
      <c r="I121" s="5">
        <f t="shared" si="9"/>
        <v>0</v>
      </c>
      <c r="J121" s="5">
        <f t="shared" si="9"/>
        <v>0</v>
      </c>
      <c r="K121" s="5">
        <f t="shared" si="9"/>
        <v>0</v>
      </c>
      <c r="L121" s="5">
        <f t="shared" si="9"/>
        <v>0</v>
      </c>
      <c r="M121" s="5">
        <f t="shared" si="9"/>
        <v>0</v>
      </c>
      <c r="N121" s="32">
        <v>5.5202898550724598E-2</v>
      </c>
      <c r="O121" s="32">
        <v>-5.2028985507245953E-3</v>
      </c>
      <c r="P121" s="24">
        <f t="shared" si="6"/>
        <v>5.290217391304345E-2</v>
      </c>
    </row>
    <row r="122" spans="1:16" x14ac:dyDescent="0.3">
      <c r="A122" s="2">
        <v>21186</v>
      </c>
      <c r="B122" s="23">
        <v>6.8000000000000005E-2</v>
      </c>
      <c r="C122" s="5">
        <f t="shared" si="8"/>
        <v>1</v>
      </c>
      <c r="D122" s="5">
        <f t="shared" si="9"/>
        <v>0</v>
      </c>
      <c r="E122" s="5">
        <f t="shared" si="9"/>
        <v>0</v>
      </c>
      <c r="F122" s="5">
        <f t="shared" si="9"/>
        <v>0</v>
      </c>
      <c r="G122" s="5">
        <f t="shared" si="9"/>
        <v>0</v>
      </c>
      <c r="H122" s="5">
        <f t="shared" si="9"/>
        <v>0</v>
      </c>
      <c r="I122" s="5">
        <f t="shared" si="9"/>
        <v>0</v>
      </c>
      <c r="J122" s="5">
        <f t="shared" si="9"/>
        <v>0</v>
      </c>
      <c r="K122" s="5">
        <f t="shared" si="9"/>
        <v>0</v>
      </c>
      <c r="L122" s="5">
        <f t="shared" si="9"/>
        <v>0</v>
      </c>
      <c r="M122" s="5">
        <f t="shared" si="9"/>
        <v>0</v>
      </c>
      <c r="N122" s="32">
        <v>6.4492753623188417E-2</v>
      </c>
      <c r="O122" s="32">
        <v>3.5072463768115875E-3</v>
      </c>
      <c r="P122" s="24">
        <f t="shared" si="6"/>
        <v>6.1612318840579633E-2</v>
      </c>
    </row>
    <row r="123" spans="1:16" x14ac:dyDescent="0.3">
      <c r="A123" s="2">
        <v>21217</v>
      </c>
      <c r="B123" s="23">
        <v>7.6999999999999999E-2</v>
      </c>
      <c r="C123" s="5">
        <f t="shared" si="8"/>
        <v>0</v>
      </c>
      <c r="D123" s="5">
        <f t="shared" si="9"/>
        <v>1</v>
      </c>
      <c r="E123" s="5">
        <f t="shared" si="9"/>
        <v>0</v>
      </c>
      <c r="F123" s="5">
        <f t="shared" si="9"/>
        <v>0</v>
      </c>
      <c r="G123" s="5">
        <f t="shared" si="9"/>
        <v>0</v>
      </c>
      <c r="H123" s="5">
        <f t="shared" si="9"/>
        <v>0</v>
      </c>
      <c r="I123" s="5">
        <f t="shared" si="9"/>
        <v>0</v>
      </c>
      <c r="J123" s="5">
        <f t="shared" si="9"/>
        <v>0</v>
      </c>
      <c r="K123" s="5">
        <f t="shared" si="9"/>
        <v>0</v>
      </c>
      <c r="L123" s="5">
        <f t="shared" si="9"/>
        <v>0</v>
      </c>
      <c r="M123" s="5">
        <f t="shared" si="9"/>
        <v>0</v>
      </c>
      <c r="N123" s="32">
        <v>6.4391304347825973E-2</v>
      </c>
      <c r="O123" s="32">
        <v>1.2608695652174026E-2</v>
      </c>
      <c r="P123" s="24">
        <f t="shared" si="6"/>
        <v>7.0713768115942072E-2</v>
      </c>
    </row>
    <row r="124" spans="1:16" x14ac:dyDescent="0.3">
      <c r="A124" s="2">
        <v>21245</v>
      </c>
      <c r="B124" s="23">
        <v>7.6999999999999999E-2</v>
      </c>
      <c r="C124" s="5">
        <f t="shared" si="8"/>
        <v>0</v>
      </c>
      <c r="D124" s="5">
        <f t="shared" si="9"/>
        <v>0</v>
      </c>
      <c r="E124" s="5">
        <f t="shared" si="9"/>
        <v>1</v>
      </c>
      <c r="F124" s="5">
        <f t="shared" si="9"/>
        <v>0</v>
      </c>
      <c r="G124" s="5">
        <f t="shared" si="9"/>
        <v>0</v>
      </c>
      <c r="H124" s="5">
        <f t="shared" si="9"/>
        <v>0</v>
      </c>
      <c r="I124" s="5">
        <f t="shared" si="9"/>
        <v>0</v>
      </c>
      <c r="J124" s="5">
        <f t="shared" si="9"/>
        <v>0</v>
      </c>
      <c r="K124" s="5">
        <f t="shared" si="9"/>
        <v>0</v>
      </c>
      <c r="L124" s="5">
        <f t="shared" si="9"/>
        <v>0</v>
      </c>
      <c r="M124" s="5">
        <f t="shared" si="9"/>
        <v>0</v>
      </c>
      <c r="N124" s="32">
        <v>6.1652173913043402E-2</v>
      </c>
      <c r="O124" s="32">
        <v>1.5347826086956597E-2</v>
      </c>
      <c r="P124" s="24">
        <f t="shared" si="6"/>
        <v>7.3452898550724649E-2</v>
      </c>
    </row>
    <row r="125" spans="1:16" x14ac:dyDescent="0.3">
      <c r="A125" s="2">
        <v>21276</v>
      </c>
      <c r="B125" s="23">
        <v>7.4999999999999997E-2</v>
      </c>
      <c r="C125" s="5">
        <f t="shared" si="8"/>
        <v>0</v>
      </c>
      <c r="D125" s="5">
        <f t="shared" si="9"/>
        <v>0</v>
      </c>
      <c r="E125" s="5">
        <f t="shared" si="9"/>
        <v>0</v>
      </c>
      <c r="F125" s="5">
        <f t="shared" si="9"/>
        <v>1</v>
      </c>
      <c r="G125" s="5">
        <f t="shared" si="9"/>
        <v>0</v>
      </c>
      <c r="H125" s="5">
        <f t="shared" si="9"/>
        <v>0</v>
      </c>
      <c r="I125" s="5">
        <f t="shared" si="9"/>
        <v>0</v>
      </c>
      <c r="J125" s="5">
        <f t="shared" si="9"/>
        <v>0</v>
      </c>
      <c r="K125" s="5">
        <f t="shared" si="9"/>
        <v>0</v>
      </c>
      <c r="L125" s="5">
        <f t="shared" si="9"/>
        <v>0</v>
      </c>
      <c r="M125" s="5">
        <f t="shared" si="9"/>
        <v>0</v>
      </c>
      <c r="N125" s="32">
        <v>5.6550724637681071E-2</v>
      </c>
      <c r="O125" s="32">
        <v>1.8449275362318926E-2</v>
      </c>
      <c r="P125" s="24">
        <f t="shared" si="6"/>
        <v>7.6554347826086971E-2</v>
      </c>
    </row>
    <row r="126" spans="1:16" x14ac:dyDescent="0.3">
      <c r="A126" s="2">
        <v>21306</v>
      </c>
      <c r="B126" s="23">
        <v>7.0999999999999994E-2</v>
      </c>
      <c r="C126" s="5">
        <f t="shared" si="8"/>
        <v>0</v>
      </c>
      <c r="D126" s="5">
        <f t="shared" si="9"/>
        <v>0</v>
      </c>
      <c r="E126" s="5">
        <f t="shared" si="9"/>
        <v>0</v>
      </c>
      <c r="F126" s="5">
        <f t="shared" si="9"/>
        <v>0</v>
      </c>
      <c r="G126" s="5">
        <f t="shared" si="9"/>
        <v>1</v>
      </c>
      <c r="H126" s="5">
        <f t="shared" si="9"/>
        <v>0</v>
      </c>
      <c r="I126" s="5">
        <f t="shared" si="9"/>
        <v>0</v>
      </c>
      <c r="J126" s="5">
        <f t="shared" si="9"/>
        <v>0</v>
      </c>
      <c r="K126" s="5">
        <f t="shared" si="9"/>
        <v>0</v>
      </c>
      <c r="L126" s="5">
        <f t="shared" si="9"/>
        <v>0</v>
      </c>
      <c r="M126" s="5">
        <f t="shared" si="9"/>
        <v>0</v>
      </c>
      <c r="N126" s="32">
        <v>5.5101449275362209E-2</v>
      </c>
      <c r="O126" s="32">
        <v>1.5898550724637785E-2</v>
      </c>
      <c r="P126" s="24">
        <f t="shared" si="6"/>
        <v>7.4003623188405837E-2</v>
      </c>
    </row>
    <row r="127" spans="1:16" x14ac:dyDescent="0.3">
      <c r="A127" s="2">
        <v>21337</v>
      </c>
      <c r="B127" s="23">
        <v>7.5999999999999998E-2</v>
      </c>
      <c r="C127" s="5">
        <f t="shared" si="8"/>
        <v>0</v>
      </c>
      <c r="D127" s="5">
        <f t="shared" si="9"/>
        <v>0</v>
      </c>
      <c r="E127" s="5">
        <f t="shared" si="9"/>
        <v>0</v>
      </c>
      <c r="F127" s="5">
        <f t="shared" si="9"/>
        <v>0</v>
      </c>
      <c r="G127" s="5">
        <f t="shared" si="9"/>
        <v>0</v>
      </c>
      <c r="H127" s="5">
        <f t="shared" si="9"/>
        <v>1</v>
      </c>
      <c r="I127" s="5">
        <f t="shared" si="9"/>
        <v>0</v>
      </c>
      <c r="J127" s="5">
        <f t="shared" si="9"/>
        <v>0</v>
      </c>
      <c r="K127" s="5">
        <f t="shared" si="9"/>
        <v>0</v>
      </c>
      <c r="L127" s="5">
        <f t="shared" si="9"/>
        <v>0</v>
      </c>
      <c r="M127" s="5">
        <f t="shared" si="9"/>
        <v>0</v>
      </c>
      <c r="N127" s="32">
        <v>6.1130434782608579E-2</v>
      </c>
      <c r="O127" s="32">
        <v>1.4869565217391419E-2</v>
      </c>
      <c r="P127" s="24">
        <f t="shared" si="6"/>
        <v>7.2974637681159471E-2</v>
      </c>
    </row>
    <row r="128" spans="1:16" x14ac:dyDescent="0.3">
      <c r="A128" s="2">
        <v>21367</v>
      </c>
      <c r="B128" s="23">
        <v>7.400000000000001E-2</v>
      </c>
      <c r="C128" s="5">
        <f t="shared" si="8"/>
        <v>0</v>
      </c>
      <c r="D128" s="5">
        <f t="shared" si="9"/>
        <v>0</v>
      </c>
      <c r="E128" s="5">
        <f t="shared" si="9"/>
        <v>0</v>
      </c>
      <c r="F128" s="5">
        <f t="shared" si="9"/>
        <v>0</v>
      </c>
      <c r="G128" s="5">
        <f t="shared" si="9"/>
        <v>0</v>
      </c>
      <c r="H128" s="5">
        <f t="shared" si="9"/>
        <v>0</v>
      </c>
      <c r="I128" s="5">
        <f t="shared" si="9"/>
        <v>1</v>
      </c>
      <c r="J128" s="5">
        <f t="shared" si="9"/>
        <v>0</v>
      </c>
      <c r="K128" s="5">
        <f t="shared" si="9"/>
        <v>0</v>
      </c>
      <c r="L128" s="5">
        <f t="shared" si="9"/>
        <v>0</v>
      </c>
      <c r="M128" s="5">
        <f t="shared" si="9"/>
        <v>0</v>
      </c>
      <c r="N128" s="32">
        <v>5.9550724637681039E-2</v>
      </c>
      <c r="O128" s="32">
        <v>1.4449275362318971E-2</v>
      </c>
      <c r="P128" s="24">
        <f t="shared" si="6"/>
        <v>7.2554347826087023E-2</v>
      </c>
    </row>
    <row r="129" spans="1:16" x14ac:dyDescent="0.3">
      <c r="A129" s="2">
        <v>21398</v>
      </c>
      <c r="B129" s="23">
        <v>6.7000000000000004E-2</v>
      </c>
      <c r="C129" s="5">
        <f t="shared" si="8"/>
        <v>0</v>
      </c>
      <c r="D129" s="5">
        <f t="shared" si="9"/>
        <v>0</v>
      </c>
      <c r="E129" s="5">
        <f t="shared" si="9"/>
        <v>0</v>
      </c>
      <c r="F129" s="5">
        <f t="shared" si="9"/>
        <v>0</v>
      </c>
      <c r="G129" s="5">
        <f t="shared" si="9"/>
        <v>0</v>
      </c>
      <c r="H129" s="5">
        <f t="shared" si="9"/>
        <v>0</v>
      </c>
      <c r="I129" s="5">
        <f t="shared" si="9"/>
        <v>0</v>
      </c>
      <c r="J129" s="5">
        <f t="shared" si="9"/>
        <v>1</v>
      </c>
      <c r="K129" s="5">
        <f t="shared" si="9"/>
        <v>0</v>
      </c>
      <c r="L129" s="5">
        <f t="shared" si="9"/>
        <v>0</v>
      </c>
      <c r="M129" s="5">
        <f t="shared" si="9"/>
        <v>0</v>
      </c>
      <c r="N129" s="32">
        <v>5.6521739130434699E-2</v>
      </c>
      <c r="O129" s="32">
        <v>1.0478260869565305E-2</v>
      </c>
      <c r="P129" s="24">
        <f t="shared" si="6"/>
        <v>6.8583333333333357E-2</v>
      </c>
    </row>
    <row r="130" spans="1:16" x14ac:dyDescent="0.3">
      <c r="A130" s="2">
        <v>21429</v>
      </c>
      <c r="B130" s="23">
        <v>0.06</v>
      </c>
      <c r="C130" s="5">
        <f t="shared" si="8"/>
        <v>0</v>
      </c>
      <c r="D130" s="5">
        <f t="shared" si="9"/>
        <v>0</v>
      </c>
      <c r="E130" s="5">
        <f t="shared" si="9"/>
        <v>0</v>
      </c>
      <c r="F130" s="5">
        <f t="shared" si="9"/>
        <v>0</v>
      </c>
      <c r="G130" s="5">
        <f t="shared" si="9"/>
        <v>0</v>
      </c>
      <c r="H130" s="5">
        <f t="shared" si="9"/>
        <v>0</v>
      </c>
      <c r="I130" s="5">
        <f t="shared" si="9"/>
        <v>0</v>
      </c>
      <c r="J130" s="5">
        <f t="shared" si="9"/>
        <v>0</v>
      </c>
      <c r="K130" s="5">
        <f t="shared" si="9"/>
        <v>1</v>
      </c>
      <c r="L130" s="5">
        <f t="shared" si="9"/>
        <v>0</v>
      </c>
      <c r="M130" s="5">
        <f t="shared" si="9"/>
        <v>0</v>
      </c>
      <c r="N130" s="32">
        <v>5.4768115942028898E-2</v>
      </c>
      <c r="O130" s="32">
        <v>5.2318840579710993E-3</v>
      </c>
      <c r="P130" s="24">
        <f t="shared" si="6"/>
        <v>6.3336956521739152E-2</v>
      </c>
    </row>
    <row r="131" spans="1:16" x14ac:dyDescent="0.3">
      <c r="A131" s="2">
        <v>21459</v>
      </c>
      <c r="B131" s="23">
        <v>5.5E-2</v>
      </c>
      <c r="C131" s="5">
        <f t="shared" si="8"/>
        <v>0</v>
      </c>
      <c r="D131" s="5">
        <f t="shared" si="9"/>
        <v>0</v>
      </c>
      <c r="E131" s="5">
        <f t="shared" si="9"/>
        <v>0</v>
      </c>
      <c r="F131" s="5">
        <f t="shared" si="9"/>
        <v>0</v>
      </c>
      <c r="G131" s="5">
        <f t="shared" si="9"/>
        <v>0</v>
      </c>
      <c r="H131" s="5">
        <f t="shared" si="9"/>
        <v>0</v>
      </c>
      <c r="I131" s="5">
        <f t="shared" si="9"/>
        <v>0</v>
      </c>
      <c r="J131" s="5">
        <f t="shared" si="9"/>
        <v>0</v>
      </c>
      <c r="K131" s="5">
        <f t="shared" si="9"/>
        <v>0</v>
      </c>
      <c r="L131" s="5">
        <f t="shared" si="9"/>
        <v>1</v>
      </c>
      <c r="M131" s="5">
        <f t="shared" si="9"/>
        <v>0</v>
      </c>
      <c r="N131" s="32">
        <v>5.3115942028985473E-2</v>
      </c>
      <c r="O131" s="32">
        <v>1.8840579710145272E-3</v>
      </c>
      <c r="P131" s="24">
        <f t="shared" ref="P131:P194" si="10">O131+$R$2</f>
        <v>5.9989130434782573E-2</v>
      </c>
    </row>
    <row r="132" spans="1:16" x14ac:dyDescent="0.3">
      <c r="A132" s="2">
        <v>21490</v>
      </c>
      <c r="B132" s="23">
        <v>5.5999999999999994E-2</v>
      </c>
      <c r="C132" s="5">
        <f t="shared" si="8"/>
        <v>0</v>
      </c>
      <c r="D132" s="5">
        <f t="shared" si="9"/>
        <v>0</v>
      </c>
      <c r="E132" s="5">
        <f t="shared" si="9"/>
        <v>0</v>
      </c>
      <c r="F132" s="5">
        <f t="shared" si="9"/>
        <v>0</v>
      </c>
      <c r="G132" s="5">
        <f t="shared" si="9"/>
        <v>0</v>
      </c>
      <c r="H132" s="5">
        <f t="shared" si="9"/>
        <v>0</v>
      </c>
      <c r="I132" s="5">
        <f t="shared" si="9"/>
        <v>0</v>
      </c>
      <c r="J132" s="5">
        <f t="shared" si="9"/>
        <v>0</v>
      </c>
      <c r="K132" s="5">
        <f t="shared" si="9"/>
        <v>0</v>
      </c>
      <c r="L132" s="5">
        <f t="shared" si="9"/>
        <v>0</v>
      </c>
      <c r="M132" s="5">
        <f t="shared" si="9"/>
        <v>1</v>
      </c>
      <c r="N132" s="32">
        <v>5.4782608695652081E-2</v>
      </c>
      <c r="O132" s="32">
        <v>1.2173913043479132E-3</v>
      </c>
      <c r="P132" s="24">
        <f t="shared" si="10"/>
        <v>5.9322463768115959E-2</v>
      </c>
    </row>
    <row r="133" spans="1:16" x14ac:dyDescent="0.3">
      <c r="A133" s="2">
        <v>21520</v>
      </c>
      <c r="B133" s="23">
        <v>0.06</v>
      </c>
      <c r="C133" s="5">
        <f t="shared" si="8"/>
        <v>0</v>
      </c>
      <c r="D133" s="5">
        <f t="shared" si="9"/>
        <v>0</v>
      </c>
      <c r="E133" s="5">
        <f t="shared" si="9"/>
        <v>0</v>
      </c>
      <c r="F133" s="5">
        <f t="shared" si="9"/>
        <v>0</v>
      </c>
      <c r="G133" s="5">
        <f t="shared" si="9"/>
        <v>0</v>
      </c>
      <c r="H133" s="5">
        <f t="shared" si="9"/>
        <v>0</v>
      </c>
      <c r="I133" s="5">
        <f t="shared" si="9"/>
        <v>0</v>
      </c>
      <c r="J133" s="5">
        <f t="shared" si="9"/>
        <v>0</v>
      </c>
      <c r="K133" s="5">
        <f t="shared" si="9"/>
        <v>0</v>
      </c>
      <c r="L133" s="5">
        <f t="shared" si="9"/>
        <v>0</v>
      </c>
      <c r="M133" s="5">
        <f t="shared" si="9"/>
        <v>0</v>
      </c>
      <c r="N133" s="32">
        <v>5.5202898550724598E-2</v>
      </c>
      <c r="O133" s="32">
        <v>4.7971014492753997E-3</v>
      </c>
      <c r="P133" s="24">
        <f t="shared" si="10"/>
        <v>6.2902173913043452E-2</v>
      </c>
    </row>
    <row r="134" spans="1:16" x14ac:dyDescent="0.3">
      <c r="A134" s="2">
        <v>21551</v>
      </c>
      <c r="B134" s="23">
        <v>7.0000000000000007E-2</v>
      </c>
      <c r="C134" s="5">
        <f t="shared" si="8"/>
        <v>1</v>
      </c>
      <c r="D134" s="5">
        <f t="shared" si="9"/>
        <v>0</v>
      </c>
      <c r="E134" s="5">
        <f t="shared" si="9"/>
        <v>0</v>
      </c>
      <c r="F134" s="5">
        <f t="shared" si="9"/>
        <v>0</v>
      </c>
      <c r="G134" s="5">
        <f t="shared" si="9"/>
        <v>0</v>
      </c>
      <c r="H134" s="5">
        <f t="shared" si="9"/>
        <v>0</v>
      </c>
      <c r="I134" s="5">
        <f t="shared" si="9"/>
        <v>0</v>
      </c>
      <c r="J134" s="5">
        <f t="shared" si="9"/>
        <v>0</v>
      </c>
      <c r="K134" s="5">
        <f t="shared" si="9"/>
        <v>0</v>
      </c>
      <c r="L134" s="5">
        <f t="shared" si="9"/>
        <v>0</v>
      </c>
      <c r="M134" s="5">
        <f t="shared" si="9"/>
        <v>0</v>
      </c>
      <c r="N134" s="32">
        <v>6.4492753623188417E-2</v>
      </c>
      <c r="O134" s="32">
        <v>5.5072463768115892E-3</v>
      </c>
      <c r="P134" s="24">
        <f t="shared" si="10"/>
        <v>6.3612318840579635E-2</v>
      </c>
    </row>
    <row r="135" spans="1:16" x14ac:dyDescent="0.3">
      <c r="A135" s="2">
        <v>21582</v>
      </c>
      <c r="B135" s="23">
        <v>7.0000000000000007E-2</v>
      </c>
      <c r="C135" s="5">
        <f t="shared" si="8"/>
        <v>0</v>
      </c>
      <c r="D135" s="5">
        <f t="shared" si="9"/>
        <v>1</v>
      </c>
      <c r="E135" s="5">
        <f t="shared" si="9"/>
        <v>0</v>
      </c>
      <c r="F135" s="5">
        <f t="shared" si="9"/>
        <v>0</v>
      </c>
      <c r="G135" s="5">
        <f t="shared" si="9"/>
        <v>0</v>
      </c>
      <c r="H135" s="5">
        <f t="shared" si="9"/>
        <v>0</v>
      </c>
      <c r="I135" s="5">
        <f t="shared" si="9"/>
        <v>0</v>
      </c>
      <c r="J135" s="5">
        <f t="shared" si="9"/>
        <v>0</v>
      </c>
      <c r="K135" s="5">
        <f t="shared" si="9"/>
        <v>0</v>
      </c>
      <c r="L135" s="5">
        <f t="shared" si="9"/>
        <v>0</v>
      </c>
      <c r="M135" s="5">
        <f t="shared" si="9"/>
        <v>0</v>
      </c>
      <c r="N135" s="32">
        <v>6.4391304347825973E-2</v>
      </c>
      <c r="O135" s="32">
        <v>5.6086956521740339E-3</v>
      </c>
      <c r="P135" s="24">
        <f t="shared" si="10"/>
        <v>6.3713768115942079E-2</v>
      </c>
    </row>
    <row r="136" spans="1:16" x14ac:dyDescent="0.3">
      <c r="A136" s="2">
        <v>21610</v>
      </c>
      <c r="B136" s="23">
        <v>6.4000000000000001E-2</v>
      </c>
      <c r="C136" s="5">
        <f t="shared" si="8"/>
        <v>0</v>
      </c>
      <c r="D136" s="5">
        <f t="shared" si="9"/>
        <v>0</v>
      </c>
      <c r="E136" s="5">
        <f t="shared" si="9"/>
        <v>1</v>
      </c>
      <c r="F136" s="5">
        <f t="shared" si="9"/>
        <v>0</v>
      </c>
      <c r="G136" s="5">
        <f t="shared" si="9"/>
        <v>0</v>
      </c>
      <c r="H136" s="5">
        <f t="shared" si="9"/>
        <v>0</v>
      </c>
      <c r="I136" s="5">
        <f t="shared" si="9"/>
        <v>0</v>
      </c>
      <c r="J136" s="5">
        <f t="shared" si="9"/>
        <v>0</v>
      </c>
      <c r="K136" s="5">
        <f t="shared" si="9"/>
        <v>0</v>
      </c>
      <c r="L136" s="5">
        <f t="shared" si="9"/>
        <v>0</v>
      </c>
      <c r="M136" s="5">
        <f t="shared" si="9"/>
        <v>0</v>
      </c>
      <c r="N136" s="32">
        <v>6.1652173913043402E-2</v>
      </c>
      <c r="O136" s="32">
        <v>2.3478260869565989E-3</v>
      </c>
      <c r="P136" s="24">
        <f t="shared" si="10"/>
        <v>6.0452898550724644E-2</v>
      </c>
    </row>
    <row r="137" spans="1:16" x14ac:dyDescent="0.3">
      <c r="A137" s="2">
        <v>21641</v>
      </c>
      <c r="B137" s="23">
        <v>5.2000000000000005E-2</v>
      </c>
      <c r="C137" s="5">
        <f t="shared" si="8"/>
        <v>0</v>
      </c>
      <c r="D137" s="5">
        <f t="shared" si="9"/>
        <v>0</v>
      </c>
      <c r="E137" s="5">
        <f t="shared" si="9"/>
        <v>0</v>
      </c>
      <c r="F137" s="5">
        <f t="shared" si="9"/>
        <v>1</v>
      </c>
      <c r="G137" s="5">
        <f t="shared" si="9"/>
        <v>0</v>
      </c>
      <c r="H137" s="5">
        <f t="shared" si="9"/>
        <v>0</v>
      </c>
      <c r="I137" s="5">
        <f t="shared" si="9"/>
        <v>0</v>
      </c>
      <c r="J137" s="5">
        <f t="shared" si="9"/>
        <v>0</v>
      </c>
      <c r="K137" s="5">
        <f t="shared" si="9"/>
        <v>0</v>
      </c>
      <c r="L137" s="5">
        <f t="shared" si="9"/>
        <v>0</v>
      </c>
      <c r="M137" s="5">
        <f t="shared" si="9"/>
        <v>0</v>
      </c>
      <c r="N137" s="32">
        <v>5.6550724637681071E-2</v>
      </c>
      <c r="O137" s="32">
        <v>-4.5507246376810667E-3</v>
      </c>
      <c r="P137" s="24">
        <f t="shared" si="10"/>
        <v>5.3554347826086979E-2</v>
      </c>
    </row>
    <row r="138" spans="1:16" x14ac:dyDescent="0.3">
      <c r="A138" s="2">
        <v>21671</v>
      </c>
      <c r="B138" s="23">
        <v>4.9000000000000002E-2</v>
      </c>
      <c r="C138" s="5">
        <f t="shared" si="8"/>
        <v>0</v>
      </c>
      <c r="D138" s="5">
        <f t="shared" si="9"/>
        <v>0</v>
      </c>
      <c r="E138" s="5">
        <f t="shared" si="9"/>
        <v>0</v>
      </c>
      <c r="F138" s="5">
        <f t="shared" si="9"/>
        <v>0</v>
      </c>
      <c r="G138" s="5">
        <f t="shared" si="9"/>
        <v>1</v>
      </c>
      <c r="H138" s="5">
        <f t="shared" si="9"/>
        <v>0</v>
      </c>
      <c r="I138" s="5">
        <f t="shared" si="9"/>
        <v>0</v>
      </c>
      <c r="J138" s="5">
        <f t="shared" si="9"/>
        <v>0</v>
      </c>
      <c r="K138" s="5">
        <f t="shared" si="9"/>
        <v>0</v>
      </c>
      <c r="L138" s="5">
        <f t="shared" si="9"/>
        <v>0</v>
      </c>
      <c r="M138" s="5">
        <f t="shared" si="9"/>
        <v>0</v>
      </c>
      <c r="N138" s="32">
        <v>5.5101449275362209E-2</v>
      </c>
      <c r="O138" s="32">
        <v>-6.1014492753622071E-3</v>
      </c>
      <c r="P138" s="24">
        <f t="shared" si="10"/>
        <v>5.2003623188405838E-2</v>
      </c>
    </row>
    <row r="139" spans="1:16" x14ac:dyDescent="0.3">
      <c r="A139" s="2">
        <v>21702</v>
      </c>
      <c r="B139" s="23">
        <v>5.4000000000000006E-2</v>
      </c>
      <c r="C139" s="5">
        <f t="shared" si="8"/>
        <v>0</v>
      </c>
      <c r="D139" s="5">
        <f t="shared" si="9"/>
        <v>0</v>
      </c>
      <c r="E139" s="5">
        <f t="shared" si="9"/>
        <v>0</v>
      </c>
      <c r="F139" s="5">
        <f t="shared" si="9"/>
        <v>0</v>
      </c>
      <c r="G139" s="5">
        <f t="shared" si="9"/>
        <v>0</v>
      </c>
      <c r="H139" s="5">
        <f t="shared" si="9"/>
        <v>1</v>
      </c>
      <c r="I139" s="5">
        <f t="shared" si="9"/>
        <v>0</v>
      </c>
      <c r="J139" s="5">
        <f t="shared" si="9"/>
        <v>0</v>
      </c>
      <c r="K139" s="5">
        <f t="shared" si="9"/>
        <v>0</v>
      </c>
      <c r="L139" s="5">
        <f t="shared" si="9"/>
        <v>0</v>
      </c>
      <c r="M139" s="5">
        <f t="shared" si="9"/>
        <v>0</v>
      </c>
      <c r="N139" s="32">
        <v>6.1130434782608579E-2</v>
      </c>
      <c r="O139" s="32">
        <v>-7.1304347826085732E-3</v>
      </c>
      <c r="P139" s="24">
        <f t="shared" si="10"/>
        <v>5.0974637681159472E-2</v>
      </c>
    </row>
    <row r="140" spans="1:16" x14ac:dyDescent="0.3">
      <c r="A140" s="2">
        <v>21732</v>
      </c>
      <c r="B140" s="23">
        <v>5.2000000000000005E-2</v>
      </c>
      <c r="C140" s="5">
        <f t="shared" si="8"/>
        <v>0</v>
      </c>
      <c r="D140" s="5">
        <f t="shared" si="9"/>
        <v>0</v>
      </c>
      <c r="E140" s="5">
        <f t="shared" si="9"/>
        <v>0</v>
      </c>
      <c r="F140" s="5">
        <f t="shared" si="9"/>
        <v>0</v>
      </c>
      <c r="G140" s="5">
        <f t="shared" si="9"/>
        <v>0</v>
      </c>
      <c r="H140" s="5">
        <f t="shared" si="9"/>
        <v>0</v>
      </c>
      <c r="I140" s="5">
        <f t="shared" si="9"/>
        <v>1</v>
      </c>
      <c r="J140" s="5">
        <f t="shared" si="9"/>
        <v>0</v>
      </c>
      <c r="K140" s="5">
        <f t="shared" si="9"/>
        <v>0</v>
      </c>
      <c r="L140" s="5">
        <f t="shared" si="9"/>
        <v>0</v>
      </c>
      <c r="M140" s="5">
        <f t="shared" si="9"/>
        <v>0</v>
      </c>
      <c r="N140" s="32">
        <v>5.9550724637681039E-2</v>
      </c>
      <c r="O140" s="32">
        <v>-7.5507246376810347E-3</v>
      </c>
      <c r="P140" s="24">
        <f t="shared" si="10"/>
        <v>5.0554347826087011E-2</v>
      </c>
    </row>
    <row r="141" spans="1:16" x14ac:dyDescent="0.3">
      <c r="A141" s="2">
        <v>21763</v>
      </c>
      <c r="B141" s="23">
        <v>4.8000000000000001E-2</v>
      </c>
      <c r="C141" s="5">
        <f t="shared" si="8"/>
        <v>0</v>
      </c>
      <c r="D141" s="5">
        <f t="shared" si="9"/>
        <v>0</v>
      </c>
      <c r="E141" s="5">
        <f t="shared" si="9"/>
        <v>0</v>
      </c>
      <c r="F141" s="5">
        <f t="shared" si="9"/>
        <v>0</v>
      </c>
      <c r="G141" s="5">
        <f t="shared" si="9"/>
        <v>0</v>
      </c>
      <c r="H141" s="5">
        <f t="shared" si="9"/>
        <v>0</v>
      </c>
      <c r="I141" s="5">
        <f t="shared" si="9"/>
        <v>0</v>
      </c>
      <c r="J141" s="5">
        <f t="shared" si="9"/>
        <v>1</v>
      </c>
      <c r="K141" s="5">
        <f t="shared" si="9"/>
        <v>0</v>
      </c>
      <c r="L141" s="5">
        <f t="shared" ref="D141:M167" si="11">IF(MONTH($A141)=L$1,1,0)</f>
        <v>0</v>
      </c>
      <c r="M141" s="5">
        <f t="shared" si="11"/>
        <v>0</v>
      </c>
      <c r="N141" s="32">
        <v>5.6521739130434699E-2</v>
      </c>
      <c r="O141" s="32">
        <v>-8.5217391304346982E-3</v>
      </c>
      <c r="P141" s="24">
        <f t="shared" si="10"/>
        <v>4.9583333333333347E-2</v>
      </c>
    </row>
    <row r="142" spans="1:16" x14ac:dyDescent="0.3">
      <c r="A142" s="2">
        <v>21794</v>
      </c>
      <c r="B142" s="23">
        <v>4.7E-2</v>
      </c>
      <c r="C142" s="5">
        <f t="shared" si="8"/>
        <v>0</v>
      </c>
      <c r="D142" s="5">
        <f t="shared" si="11"/>
        <v>0</v>
      </c>
      <c r="E142" s="5">
        <f t="shared" si="11"/>
        <v>0</v>
      </c>
      <c r="F142" s="5">
        <f t="shared" si="11"/>
        <v>0</v>
      </c>
      <c r="G142" s="5">
        <f t="shared" si="11"/>
        <v>0</v>
      </c>
      <c r="H142" s="5">
        <f t="shared" si="11"/>
        <v>0</v>
      </c>
      <c r="I142" s="5">
        <f t="shared" si="11"/>
        <v>0</v>
      </c>
      <c r="J142" s="5">
        <f t="shared" si="11"/>
        <v>0</v>
      </c>
      <c r="K142" s="5">
        <f t="shared" si="11"/>
        <v>1</v>
      </c>
      <c r="L142" s="5">
        <f t="shared" si="11"/>
        <v>0</v>
      </c>
      <c r="M142" s="5">
        <f t="shared" si="11"/>
        <v>0</v>
      </c>
      <c r="N142" s="32">
        <v>5.4768115942028898E-2</v>
      </c>
      <c r="O142" s="32">
        <v>-7.7681159420288984E-3</v>
      </c>
      <c r="P142" s="24">
        <f t="shared" si="10"/>
        <v>5.0336956521739147E-2</v>
      </c>
    </row>
    <row r="143" spans="1:16" x14ac:dyDescent="0.3">
      <c r="A143" s="2">
        <v>21824</v>
      </c>
      <c r="B143" s="23">
        <v>4.7E-2</v>
      </c>
      <c r="C143" s="5">
        <f t="shared" si="8"/>
        <v>0</v>
      </c>
      <c r="D143" s="5">
        <f t="shared" si="11"/>
        <v>0</v>
      </c>
      <c r="E143" s="5">
        <f t="shared" si="11"/>
        <v>0</v>
      </c>
      <c r="F143" s="5">
        <f t="shared" si="11"/>
        <v>0</v>
      </c>
      <c r="G143" s="5">
        <f t="shared" si="11"/>
        <v>0</v>
      </c>
      <c r="H143" s="5">
        <f t="shared" si="11"/>
        <v>0</v>
      </c>
      <c r="I143" s="5">
        <f t="shared" si="11"/>
        <v>0</v>
      </c>
      <c r="J143" s="5">
        <f t="shared" si="11"/>
        <v>0</v>
      </c>
      <c r="K143" s="5">
        <f t="shared" si="11"/>
        <v>0</v>
      </c>
      <c r="L143" s="5">
        <f t="shared" si="11"/>
        <v>1</v>
      </c>
      <c r="M143" s="5">
        <f t="shared" si="11"/>
        <v>0</v>
      </c>
      <c r="N143" s="32">
        <v>5.3115942028985473E-2</v>
      </c>
      <c r="O143" s="32">
        <v>-6.115942028985473E-3</v>
      </c>
      <c r="P143" s="24">
        <f t="shared" si="10"/>
        <v>5.1989130434782573E-2</v>
      </c>
    </row>
    <row r="144" spans="1:16" x14ac:dyDescent="0.3">
      <c r="A144" s="2">
        <v>21855</v>
      </c>
      <c r="B144" s="23">
        <v>5.2999999999999999E-2</v>
      </c>
      <c r="C144" s="5">
        <f t="shared" si="8"/>
        <v>0</v>
      </c>
      <c r="D144" s="5">
        <f t="shared" si="11"/>
        <v>0</v>
      </c>
      <c r="E144" s="5">
        <f t="shared" si="11"/>
        <v>0</v>
      </c>
      <c r="F144" s="5">
        <f t="shared" si="11"/>
        <v>0</v>
      </c>
      <c r="G144" s="5">
        <f t="shared" si="11"/>
        <v>0</v>
      </c>
      <c r="H144" s="5">
        <f t="shared" si="11"/>
        <v>0</v>
      </c>
      <c r="I144" s="5">
        <f t="shared" si="11"/>
        <v>0</v>
      </c>
      <c r="J144" s="5">
        <f t="shared" si="11"/>
        <v>0</v>
      </c>
      <c r="K144" s="5">
        <f t="shared" si="11"/>
        <v>0</v>
      </c>
      <c r="L144" s="5">
        <f t="shared" si="11"/>
        <v>0</v>
      </c>
      <c r="M144" s="5">
        <f t="shared" si="11"/>
        <v>1</v>
      </c>
      <c r="N144" s="32">
        <v>5.4782608695652081E-2</v>
      </c>
      <c r="O144" s="32">
        <v>-1.7826086956520826E-3</v>
      </c>
      <c r="P144" s="24">
        <f t="shared" si="10"/>
        <v>5.6322463768115963E-2</v>
      </c>
    </row>
    <row r="145" spans="1:16" x14ac:dyDescent="0.3">
      <c r="A145" s="2">
        <v>21885</v>
      </c>
      <c r="B145" s="23">
        <v>5.0999999999999997E-2</v>
      </c>
      <c r="C145" s="5">
        <f t="shared" si="8"/>
        <v>0</v>
      </c>
      <c r="D145" s="5">
        <f t="shared" si="11"/>
        <v>0</v>
      </c>
      <c r="E145" s="5">
        <f t="shared" si="11"/>
        <v>0</v>
      </c>
      <c r="F145" s="5">
        <f t="shared" si="11"/>
        <v>0</v>
      </c>
      <c r="G145" s="5">
        <f t="shared" si="11"/>
        <v>0</v>
      </c>
      <c r="H145" s="5">
        <f t="shared" si="11"/>
        <v>0</v>
      </c>
      <c r="I145" s="5">
        <f t="shared" si="11"/>
        <v>0</v>
      </c>
      <c r="J145" s="5">
        <f t="shared" si="11"/>
        <v>0</v>
      </c>
      <c r="K145" s="5">
        <f t="shared" si="11"/>
        <v>0</v>
      </c>
      <c r="L145" s="5">
        <f t="shared" si="11"/>
        <v>0</v>
      </c>
      <c r="M145" s="5">
        <f t="shared" si="11"/>
        <v>0</v>
      </c>
      <c r="N145" s="32">
        <v>5.5202898550724598E-2</v>
      </c>
      <c r="O145" s="32">
        <v>-4.2028985507246014E-3</v>
      </c>
      <c r="P145" s="24">
        <f t="shared" si="10"/>
        <v>5.3902173913043444E-2</v>
      </c>
    </row>
    <row r="146" spans="1:16" x14ac:dyDescent="0.3">
      <c r="A146" s="2">
        <v>21916</v>
      </c>
      <c r="B146" s="23">
        <v>6.0999999999999999E-2</v>
      </c>
      <c r="C146" s="5">
        <f t="shared" si="8"/>
        <v>1</v>
      </c>
      <c r="D146" s="5">
        <f t="shared" si="11"/>
        <v>0</v>
      </c>
      <c r="E146" s="5">
        <f t="shared" si="11"/>
        <v>0</v>
      </c>
      <c r="F146" s="5">
        <f t="shared" si="11"/>
        <v>0</v>
      </c>
      <c r="G146" s="5">
        <f t="shared" si="11"/>
        <v>0</v>
      </c>
      <c r="H146" s="5">
        <f t="shared" si="11"/>
        <v>0</v>
      </c>
      <c r="I146" s="5">
        <f t="shared" si="11"/>
        <v>0</v>
      </c>
      <c r="J146" s="5">
        <f t="shared" si="11"/>
        <v>0</v>
      </c>
      <c r="K146" s="5">
        <f t="shared" si="11"/>
        <v>0</v>
      </c>
      <c r="L146" s="5">
        <f t="shared" si="11"/>
        <v>0</v>
      </c>
      <c r="M146" s="5">
        <f t="shared" si="11"/>
        <v>0</v>
      </c>
      <c r="N146" s="32">
        <v>6.4492753623188417E-2</v>
      </c>
      <c r="O146" s="32">
        <v>-3.4927536231884188E-3</v>
      </c>
      <c r="P146" s="24">
        <f t="shared" si="10"/>
        <v>5.4612318840579627E-2</v>
      </c>
    </row>
    <row r="147" spans="1:16" x14ac:dyDescent="0.3">
      <c r="A147" s="2">
        <v>21947</v>
      </c>
      <c r="B147" s="23">
        <v>5.7000000000000002E-2</v>
      </c>
      <c r="C147" s="5">
        <f t="shared" si="8"/>
        <v>0</v>
      </c>
      <c r="D147" s="5">
        <f t="shared" si="11"/>
        <v>1</v>
      </c>
      <c r="E147" s="5">
        <f t="shared" si="11"/>
        <v>0</v>
      </c>
      <c r="F147" s="5">
        <f t="shared" si="11"/>
        <v>0</v>
      </c>
      <c r="G147" s="5">
        <f t="shared" si="11"/>
        <v>0</v>
      </c>
      <c r="H147" s="5">
        <f t="shared" si="11"/>
        <v>0</v>
      </c>
      <c r="I147" s="5">
        <f t="shared" si="11"/>
        <v>0</v>
      </c>
      <c r="J147" s="5">
        <f t="shared" si="11"/>
        <v>0</v>
      </c>
      <c r="K147" s="5">
        <f t="shared" si="11"/>
        <v>0</v>
      </c>
      <c r="L147" s="5">
        <f t="shared" si="11"/>
        <v>0</v>
      </c>
      <c r="M147" s="5">
        <f t="shared" si="11"/>
        <v>0</v>
      </c>
      <c r="N147" s="32">
        <v>6.4391304347825973E-2</v>
      </c>
      <c r="O147" s="32">
        <v>-7.3913043478259707E-3</v>
      </c>
      <c r="P147" s="24">
        <f t="shared" si="10"/>
        <v>5.0713768115942075E-2</v>
      </c>
    </row>
    <row r="148" spans="1:16" x14ac:dyDescent="0.3">
      <c r="A148" s="2">
        <v>21976</v>
      </c>
      <c r="B148" s="23">
        <v>6.0999999999999999E-2</v>
      </c>
      <c r="C148" s="5">
        <f t="shared" si="8"/>
        <v>0</v>
      </c>
      <c r="D148" s="5">
        <f t="shared" si="11"/>
        <v>0</v>
      </c>
      <c r="E148" s="5">
        <f t="shared" si="11"/>
        <v>1</v>
      </c>
      <c r="F148" s="5">
        <f t="shared" si="11"/>
        <v>0</v>
      </c>
      <c r="G148" s="5">
        <f t="shared" si="11"/>
        <v>0</v>
      </c>
      <c r="H148" s="5">
        <f t="shared" si="11"/>
        <v>0</v>
      </c>
      <c r="I148" s="5">
        <f t="shared" si="11"/>
        <v>0</v>
      </c>
      <c r="J148" s="5">
        <f t="shared" si="11"/>
        <v>0</v>
      </c>
      <c r="K148" s="5">
        <f t="shared" si="11"/>
        <v>0</v>
      </c>
      <c r="L148" s="5">
        <f t="shared" si="11"/>
        <v>0</v>
      </c>
      <c r="M148" s="5">
        <f t="shared" si="11"/>
        <v>0</v>
      </c>
      <c r="N148" s="32">
        <v>6.1652173913043402E-2</v>
      </c>
      <c r="O148" s="32">
        <v>-6.5217391304340372E-4</v>
      </c>
      <c r="P148" s="24">
        <f t="shared" si="10"/>
        <v>5.7452898550724642E-2</v>
      </c>
    </row>
    <row r="149" spans="1:16" x14ac:dyDescent="0.3">
      <c r="A149" s="2">
        <v>22007</v>
      </c>
      <c r="B149" s="23">
        <v>5.2000000000000005E-2</v>
      </c>
      <c r="C149" s="5">
        <f t="shared" si="8"/>
        <v>0</v>
      </c>
      <c r="D149" s="5">
        <f t="shared" si="11"/>
        <v>0</v>
      </c>
      <c r="E149" s="5">
        <f t="shared" si="11"/>
        <v>0</v>
      </c>
      <c r="F149" s="5">
        <f t="shared" si="11"/>
        <v>1</v>
      </c>
      <c r="G149" s="5">
        <f t="shared" si="11"/>
        <v>0</v>
      </c>
      <c r="H149" s="5">
        <f t="shared" si="11"/>
        <v>0</v>
      </c>
      <c r="I149" s="5">
        <f t="shared" si="11"/>
        <v>0</v>
      </c>
      <c r="J149" s="5">
        <f t="shared" si="11"/>
        <v>0</v>
      </c>
      <c r="K149" s="5">
        <f t="shared" si="11"/>
        <v>0</v>
      </c>
      <c r="L149" s="5">
        <f t="shared" si="11"/>
        <v>0</v>
      </c>
      <c r="M149" s="5">
        <f t="shared" si="11"/>
        <v>0</v>
      </c>
      <c r="N149" s="32">
        <v>5.6550724637681071E-2</v>
      </c>
      <c r="O149" s="32">
        <v>-4.5507246376810667E-3</v>
      </c>
      <c r="P149" s="24">
        <f t="shared" si="10"/>
        <v>5.3554347826086979E-2</v>
      </c>
    </row>
    <row r="150" spans="1:16" x14ac:dyDescent="0.3">
      <c r="A150" s="2">
        <v>22037</v>
      </c>
      <c r="B150" s="23">
        <v>4.8000000000000001E-2</v>
      </c>
      <c r="C150" s="5">
        <f t="shared" si="8"/>
        <v>0</v>
      </c>
      <c r="D150" s="5">
        <f t="shared" si="11"/>
        <v>0</v>
      </c>
      <c r="E150" s="5">
        <f t="shared" si="11"/>
        <v>0</v>
      </c>
      <c r="F150" s="5">
        <f t="shared" si="11"/>
        <v>0</v>
      </c>
      <c r="G150" s="5">
        <f t="shared" si="11"/>
        <v>1</v>
      </c>
      <c r="H150" s="5">
        <f t="shared" si="11"/>
        <v>0</v>
      </c>
      <c r="I150" s="5">
        <f t="shared" si="11"/>
        <v>0</v>
      </c>
      <c r="J150" s="5">
        <f t="shared" si="11"/>
        <v>0</v>
      </c>
      <c r="K150" s="5">
        <f t="shared" si="11"/>
        <v>0</v>
      </c>
      <c r="L150" s="5">
        <f t="shared" si="11"/>
        <v>0</v>
      </c>
      <c r="M150" s="5">
        <f t="shared" si="11"/>
        <v>0</v>
      </c>
      <c r="N150" s="32">
        <v>5.5101449275362209E-2</v>
      </c>
      <c r="O150" s="32">
        <v>-7.101449275362208E-3</v>
      </c>
      <c r="P150" s="24">
        <f t="shared" si="10"/>
        <v>5.1003623188405837E-2</v>
      </c>
    </row>
    <row r="151" spans="1:16" x14ac:dyDescent="0.3">
      <c r="A151" s="2">
        <v>22068</v>
      </c>
      <c r="B151" s="23">
        <v>5.7999999999999996E-2</v>
      </c>
      <c r="C151" s="5">
        <f t="shared" si="8"/>
        <v>0</v>
      </c>
      <c r="D151" s="5">
        <f t="shared" si="11"/>
        <v>0</v>
      </c>
      <c r="E151" s="5">
        <f t="shared" si="11"/>
        <v>0</v>
      </c>
      <c r="F151" s="5">
        <f t="shared" si="11"/>
        <v>0</v>
      </c>
      <c r="G151" s="5">
        <f t="shared" si="11"/>
        <v>0</v>
      </c>
      <c r="H151" s="5">
        <f t="shared" si="11"/>
        <v>1</v>
      </c>
      <c r="I151" s="5">
        <f t="shared" si="11"/>
        <v>0</v>
      </c>
      <c r="J151" s="5">
        <f t="shared" si="11"/>
        <v>0</v>
      </c>
      <c r="K151" s="5">
        <f t="shared" si="11"/>
        <v>0</v>
      </c>
      <c r="L151" s="5">
        <f t="shared" si="11"/>
        <v>0</v>
      </c>
      <c r="M151" s="5">
        <f t="shared" si="11"/>
        <v>0</v>
      </c>
      <c r="N151" s="32">
        <v>6.1130434782608579E-2</v>
      </c>
      <c r="O151" s="32">
        <v>-3.1304347826085835E-3</v>
      </c>
      <c r="P151" s="24">
        <f t="shared" si="10"/>
        <v>5.4974637681159462E-2</v>
      </c>
    </row>
    <row r="152" spans="1:16" x14ac:dyDescent="0.3">
      <c r="A152" s="2">
        <v>22098</v>
      </c>
      <c r="B152" s="23">
        <v>5.5E-2</v>
      </c>
      <c r="C152" s="5">
        <f t="shared" si="8"/>
        <v>0</v>
      </c>
      <c r="D152" s="5">
        <f t="shared" si="11"/>
        <v>0</v>
      </c>
      <c r="E152" s="5">
        <f t="shared" si="11"/>
        <v>0</v>
      </c>
      <c r="F152" s="5">
        <f t="shared" si="11"/>
        <v>0</v>
      </c>
      <c r="G152" s="5">
        <f t="shared" si="11"/>
        <v>0</v>
      </c>
      <c r="H152" s="5">
        <f t="shared" si="11"/>
        <v>0</v>
      </c>
      <c r="I152" s="5">
        <f t="shared" si="11"/>
        <v>1</v>
      </c>
      <c r="J152" s="5">
        <f t="shared" si="11"/>
        <v>0</v>
      </c>
      <c r="K152" s="5">
        <f t="shared" si="11"/>
        <v>0</v>
      </c>
      <c r="L152" s="5">
        <f t="shared" si="11"/>
        <v>0</v>
      </c>
      <c r="M152" s="5">
        <f t="shared" si="11"/>
        <v>0</v>
      </c>
      <c r="N152" s="32">
        <v>5.9550724637681039E-2</v>
      </c>
      <c r="O152" s="32">
        <v>-4.550724637681039E-3</v>
      </c>
      <c r="P152" s="24">
        <f t="shared" si="10"/>
        <v>5.3554347826087007E-2</v>
      </c>
    </row>
    <row r="153" spans="1:16" x14ac:dyDescent="0.3">
      <c r="A153" s="2">
        <v>22129</v>
      </c>
      <c r="B153" s="23">
        <v>5.2000000000000005E-2</v>
      </c>
      <c r="C153" s="5">
        <f t="shared" si="8"/>
        <v>0</v>
      </c>
      <c r="D153" s="5">
        <f t="shared" si="11"/>
        <v>0</v>
      </c>
      <c r="E153" s="5">
        <f t="shared" si="11"/>
        <v>0</v>
      </c>
      <c r="F153" s="5">
        <f t="shared" si="11"/>
        <v>0</v>
      </c>
      <c r="G153" s="5">
        <f t="shared" si="11"/>
        <v>0</v>
      </c>
      <c r="H153" s="5">
        <f t="shared" si="11"/>
        <v>0</v>
      </c>
      <c r="I153" s="5">
        <f t="shared" si="11"/>
        <v>0</v>
      </c>
      <c r="J153" s="5">
        <f t="shared" si="11"/>
        <v>1</v>
      </c>
      <c r="K153" s="5">
        <f t="shared" si="11"/>
        <v>0</v>
      </c>
      <c r="L153" s="5">
        <f t="shared" si="11"/>
        <v>0</v>
      </c>
      <c r="M153" s="5">
        <f t="shared" si="11"/>
        <v>0</v>
      </c>
      <c r="N153" s="32">
        <v>5.6521739130434699E-2</v>
      </c>
      <c r="O153" s="32">
        <v>-4.5217391304346946E-3</v>
      </c>
      <c r="P153" s="24">
        <f t="shared" si="10"/>
        <v>5.3583333333333351E-2</v>
      </c>
    </row>
    <row r="154" spans="1:16" x14ac:dyDescent="0.3">
      <c r="A154" s="2">
        <v>22160</v>
      </c>
      <c r="B154" s="23">
        <v>4.7E-2</v>
      </c>
      <c r="C154" s="5">
        <f t="shared" si="8"/>
        <v>0</v>
      </c>
      <c r="D154" s="5">
        <f t="shared" si="11"/>
        <v>0</v>
      </c>
      <c r="E154" s="5">
        <f t="shared" si="11"/>
        <v>0</v>
      </c>
      <c r="F154" s="5">
        <f t="shared" si="11"/>
        <v>0</v>
      </c>
      <c r="G154" s="5">
        <f t="shared" si="11"/>
        <v>0</v>
      </c>
      <c r="H154" s="5">
        <f t="shared" si="11"/>
        <v>0</v>
      </c>
      <c r="I154" s="5">
        <f t="shared" si="11"/>
        <v>0</v>
      </c>
      <c r="J154" s="5">
        <f t="shared" si="11"/>
        <v>0</v>
      </c>
      <c r="K154" s="5">
        <f t="shared" si="11"/>
        <v>1</v>
      </c>
      <c r="L154" s="5">
        <f t="shared" si="11"/>
        <v>0</v>
      </c>
      <c r="M154" s="5">
        <f t="shared" si="11"/>
        <v>0</v>
      </c>
      <c r="N154" s="32">
        <v>5.4768115942028898E-2</v>
      </c>
      <c r="O154" s="32">
        <v>-7.7681159420288984E-3</v>
      </c>
      <c r="P154" s="24">
        <f t="shared" si="10"/>
        <v>5.0336956521739147E-2</v>
      </c>
    </row>
    <row r="155" spans="1:16" x14ac:dyDescent="0.3">
      <c r="A155" s="2">
        <v>22190</v>
      </c>
      <c r="B155" s="23">
        <v>0.05</v>
      </c>
      <c r="C155" s="5">
        <f t="shared" si="8"/>
        <v>0</v>
      </c>
      <c r="D155" s="5">
        <f t="shared" si="11"/>
        <v>0</v>
      </c>
      <c r="E155" s="5">
        <f t="shared" si="11"/>
        <v>0</v>
      </c>
      <c r="F155" s="5">
        <f t="shared" si="11"/>
        <v>0</v>
      </c>
      <c r="G155" s="5">
        <f t="shared" si="11"/>
        <v>0</v>
      </c>
      <c r="H155" s="5">
        <f t="shared" si="11"/>
        <v>0</v>
      </c>
      <c r="I155" s="5">
        <f t="shared" si="11"/>
        <v>0</v>
      </c>
      <c r="J155" s="5">
        <f t="shared" si="11"/>
        <v>0</v>
      </c>
      <c r="K155" s="5">
        <f t="shared" si="11"/>
        <v>0</v>
      </c>
      <c r="L155" s="5">
        <f t="shared" si="11"/>
        <v>1</v>
      </c>
      <c r="M155" s="5">
        <f t="shared" si="11"/>
        <v>0</v>
      </c>
      <c r="N155" s="32">
        <v>5.3115942028985473E-2</v>
      </c>
      <c r="O155" s="32">
        <v>-3.1159420289854703E-3</v>
      </c>
      <c r="P155" s="24">
        <f t="shared" si="10"/>
        <v>5.4989130434782575E-2</v>
      </c>
    </row>
    <row r="156" spans="1:16" x14ac:dyDescent="0.3">
      <c r="A156" s="2">
        <v>22221</v>
      </c>
      <c r="B156" s="23">
        <v>5.5999999999999994E-2</v>
      </c>
      <c r="C156" s="5">
        <f t="shared" si="8"/>
        <v>0</v>
      </c>
      <c r="D156" s="5">
        <f t="shared" si="11"/>
        <v>0</v>
      </c>
      <c r="E156" s="5">
        <f t="shared" si="11"/>
        <v>0</v>
      </c>
      <c r="F156" s="5">
        <f t="shared" si="11"/>
        <v>0</v>
      </c>
      <c r="G156" s="5">
        <f t="shared" si="11"/>
        <v>0</v>
      </c>
      <c r="H156" s="5">
        <f t="shared" si="11"/>
        <v>0</v>
      </c>
      <c r="I156" s="5">
        <f t="shared" si="11"/>
        <v>0</v>
      </c>
      <c r="J156" s="5">
        <f t="shared" si="11"/>
        <v>0</v>
      </c>
      <c r="K156" s="5">
        <f t="shared" si="11"/>
        <v>0</v>
      </c>
      <c r="L156" s="5">
        <f t="shared" si="11"/>
        <v>0</v>
      </c>
      <c r="M156" s="5">
        <f t="shared" si="11"/>
        <v>1</v>
      </c>
      <c r="N156" s="32">
        <v>5.4782608695652081E-2</v>
      </c>
      <c r="O156" s="32">
        <v>1.2173913043479132E-3</v>
      </c>
      <c r="P156" s="24">
        <f t="shared" si="10"/>
        <v>5.9322463768115959E-2</v>
      </c>
    </row>
    <row r="157" spans="1:16" x14ac:dyDescent="0.3">
      <c r="A157" s="2">
        <v>22251</v>
      </c>
      <c r="B157" s="23">
        <v>6.4000000000000001E-2</v>
      </c>
      <c r="C157" s="5">
        <f t="shared" si="8"/>
        <v>0</v>
      </c>
      <c r="D157" s="5">
        <f t="shared" si="11"/>
        <v>0</v>
      </c>
      <c r="E157" s="5">
        <f t="shared" si="11"/>
        <v>0</v>
      </c>
      <c r="F157" s="5">
        <f t="shared" si="11"/>
        <v>0</v>
      </c>
      <c r="G157" s="5">
        <f t="shared" si="11"/>
        <v>0</v>
      </c>
      <c r="H157" s="5">
        <f t="shared" si="11"/>
        <v>0</v>
      </c>
      <c r="I157" s="5">
        <f t="shared" si="11"/>
        <v>0</v>
      </c>
      <c r="J157" s="5">
        <f t="shared" si="11"/>
        <v>0</v>
      </c>
      <c r="K157" s="5">
        <f t="shared" si="11"/>
        <v>0</v>
      </c>
      <c r="L157" s="5">
        <f t="shared" si="11"/>
        <v>0</v>
      </c>
      <c r="M157" s="5">
        <f t="shared" si="11"/>
        <v>0</v>
      </c>
      <c r="N157" s="32">
        <v>5.5202898550724598E-2</v>
      </c>
      <c r="O157" s="32">
        <v>8.7971014492754032E-3</v>
      </c>
      <c r="P157" s="24">
        <f t="shared" si="10"/>
        <v>6.6902173913043456E-2</v>
      </c>
    </row>
    <row r="158" spans="1:16" x14ac:dyDescent="0.3">
      <c r="A158" s="2">
        <v>22282</v>
      </c>
      <c r="B158" s="23">
        <v>7.6999999999999999E-2</v>
      </c>
      <c r="C158" s="5">
        <f t="shared" si="8"/>
        <v>1</v>
      </c>
      <c r="D158" s="5">
        <f t="shared" si="11"/>
        <v>0</v>
      </c>
      <c r="E158" s="5">
        <f t="shared" si="11"/>
        <v>0</v>
      </c>
      <c r="F158" s="5">
        <f t="shared" si="11"/>
        <v>0</v>
      </c>
      <c r="G158" s="5">
        <f t="shared" si="11"/>
        <v>0</v>
      </c>
      <c r="H158" s="5">
        <f t="shared" si="11"/>
        <v>0</v>
      </c>
      <c r="I158" s="5">
        <f t="shared" si="11"/>
        <v>0</v>
      </c>
      <c r="J158" s="5">
        <f t="shared" si="11"/>
        <v>0</v>
      </c>
      <c r="K158" s="5">
        <f t="shared" si="11"/>
        <v>0</v>
      </c>
      <c r="L158" s="5">
        <f t="shared" si="11"/>
        <v>0</v>
      </c>
      <c r="M158" s="5">
        <f t="shared" si="11"/>
        <v>0</v>
      </c>
      <c r="N158" s="32">
        <v>6.4492753623188417E-2</v>
      </c>
      <c r="O158" s="32">
        <v>1.2507246376811582E-2</v>
      </c>
      <c r="P158" s="24">
        <f t="shared" si="10"/>
        <v>7.0612318840579627E-2</v>
      </c>
    </row>
    <row r="159" spans="1:16" x14ac:dyDescent="0.3">
      <c r="A159" s="2">
        <v>22313</v>
      </c>
      <c r="B159" s="23">
        <v>8.1000000000000003E-2</v>
      </c>
      <c r="C159" s="5">
        <f t="shared" si="8"/>
        <v>0</v>
      </c>
      <c r="D159" s="5">
        <f t="shared" si="11"/>
        <v>1</v>
      </c>
      <c r="E159" s="5">
        <f t="shared" si="11"/>
        <v>0</v>
      </c>
      <c r="F159" s="5">
        <f t="shared" si="11"/>
        <v>0</v>
      </c>
      <c r="G159" s="5">
        <f t="shared" si="11"/>
        <v>0</v>
      </c>
      <c r="H159" s="5">
        <f t="shared" si="11"/>
        <v>0</v>
      </c>
      <c r="I159" s="5">
        <f t="shared" si="11"/>
        <v>0</v>
      </c>
      <c r="J159" s="5">
        <f t="shared" si="11"/>
        <v>0</v>
      </c>
      <c r="K159" s="5">
        <f t="shared" si="11"/>
        <v>0</v>
      </c>
      <c r="L159" s="5">
        <f t="shared" si="11"/>
        <v>0</v>
      </c>
      <c r="M159" s="5">
        <f t="shared" si="11"/>
        <v>0</v>
      </c>
      <c r="N159" s="32">
        <v>6.4391304347825973E-2</v>
      </c>
      <c r="O159" s="32">
        <v>1.660869565217403E-2</v>
      </c>
      <c r="P159" s="24">
        <f t="shared" si="10"/>
        <v>7.4713768115942075E-2</v>
      </c>
    </row>
    <row r="160" spans="1:16" x14ac:dyDescent="0.3">
      <c r="A160" s="2">
        <v>22341</v>
      </c>
      <c r="B160" s="23">
        <v>7.6999999999999999E-2</v>
      </c>
      <c r="C160" s="5">
        <f t="shared" si="8"/>
        <v>0</v>
      </c>
      <c r="D160" s="5">
        <f t="shared" si="11"/>
        <v>0</v>
      </c>
      <c r="E160" s="5">
        <f t="shared" si="11"/>
        <v>1</v>
      </c>
      <c r="F160" s="5">
        <f t="shared" si="11"/>
        <v>0</v>
      </c>
      <c r="G160" s="5">
        <f t="shared" si="11"/>
        <v>0</v>
      </c>
      <c r="H160" s="5">
        <f t="shared" si="11"/>
        <v>0</v>
      </c>
      <c r="I160" s="5">
        <f t="shared" si="11"/>
        <v>0</v>
      </c>
      <c r="J160" s="5">
        <f t="shared" si="11"/>
        <v>0</v>
      </c>
      <c r="K160" s="5">
        <f t="shared" si="11"/>
        <v>0</v>
      </c>
      <c r="L160" s="5">
        <f t="shared" si="11"/>
        <v>0</v>
      </c>
      <c r="M160" s="5">
        <f t="shared" si="11"/>
        <v>0</v>
      </c>
      <c r="N160" s="32">
        <v>6.1652173913043402E-2</v>
      </c>
      <c r="O160" s="32">
        <v>1.5347826086956597E-2</v>
      </c>
      <c r="P160" s="24">
        <f t="shared" si="10"/>
        <v>7.3452898550724649E-2</v>
      </c>
    </row>
    <row r="161" spans="1:16" x14ac:dyDescent="0.3">
      <c r="A161" s="2">
        <v>22372</v>
      </c>
      <c r="B161" s="23">
        <v>7.0000000000000007E-2</v>
      </c>
      <c r="C161" s="5">
        <f t="shared" si="8"/>
        <v>0</v>
      </c>
      <c r="D161" s="5">
        <f t="shared" si="11"/>
        <v>0</v>
      </c>
      <c r="E161" s="5">
        <f t="shared" si="11"/>
        <v>0</v>
      </c>
      <c r="F161" s="5">
        <f t="shared" si="11"/>
        <v>1</v>
      </c>
      <c r="G161" s="5">
        <f t="shared" si="11"/>
        <v>0</v>
      </c>
      <c r="H161" s="5">
        <f t="shared" si="11"/>
        <v>0</v>
      </c>
      <c r="I161" s="5">
        <f t="shared" si="11"/>
        <v>0</v>
      </c>
      <c r="J161" s="5">
        <f t="shared" si="11"/>
        <v>0</v>
      </c>
      <c r="K161" s="5">
        <f t="shared" si="11"/>
        <v>0</v>
      </c>
      <c r="L161" s="5">
        <f t="shared" si="11"/>
        <v>0</v>
      </c>
      <c r="M161" s="5">
        <f t="shared" si="11"/>
        <v>0</v>
      </c>
      <c r="N161" s="32">
        <v>5.6550724637681071E-2</v>
      </c>
      <c r="O161" s="32">
        <v>1.3449275362318935E-2</v>
      </c>
      <c r="P161" s="24">
        <f t="shared" si="10"/>
        <v>7.1554347826086981E-2</v>
      </c>
    </row>
    <row r="162" spans="1:16" x14ac:dyDescent="0.3">
      <c r="A162" s="2">
        <v>22402</v>
      </c>
      <c r="B162" s="23">
        <v>6.6000000000000003E-2</v>
      </c>
      <c r="C162" s="5">
        <f t="shared" si="8"/>
        <v>0</v>
      </c>
      <c r="D162" s="5">
        <f t="shared" si="11"/>
        <v>0</v>
      </c>
      <c r="E162" s="5">
        <f t="shared" si="11"/>
        <v>0</v>
      </c>
      <c r="F162" s="5">
        <f t="shared" si="11"/>
        <v>0</v>
      </c>
      <c r="G162" s="5">
        <f t="shared" si="11"/>
        <v>1</v>
      </c>
      <c r="H162" s="5">
        <f t="shared" si="11"/>
        <v>0</v>
      </c>
      <c r="I162" s="5">
        <f t="shared" si="11"/>
        <v>0</v>
      </c>
      <c r="J162" s="5">
        <f t="shared" si="11"/>
        <v>0</v>
      </c>
      <c r="K162" s="5">
        <f t="shared" si="11"/>
        <v>0</v>
      </c>
      <c r="L162" s="5">
        <f t="shared" si="11"/>
        <v>0</v>
      </c>
      <c r="M162" s="5">
        <f t="shared" si="11"/>
        <v>0</v>
      </c>
      <c r="N162" s="32">
        <v>5.5101449275362209E-2</v>
      </c>
      <c r="O162" s="32">
        <v>1.0898550724637794E-2</v>
      </c>
      <c r="P162" s="24">
        <f t="shared" si="10"/>
        <v>6.9003623188405833E-2</v>
      </c>
    </row>
    <row r="163" spans="1:16" x14ac:dyDescent="0.3">
      <c r="A163" s="2">
        <v>22433</v>
      </c>
      <c r="B163" s="23">
        <v>7.2999999999999995E-2</v>
      </c>
      <c r="C163" s="5">
        <f t="shared" si="8"/>
        <v>0</v>
      </c>
      <c r="D163" s="5">
        <f t="shared" si="11"/>
        <v>0</v>
      </c>
      <c r="E163" s="5">
        <f t="shared" si="11"/>
        <v>0</v>
      </c>
      <c r="F163" s="5">
        <f t="shared" si="11"/>
        <v>0</v>
      </c>
      <c r="G163" s="5">
        <f t="shared" si="11"/>
        <v>0</v>
      </c>
      <c r="H163" s="5">
        <f t="shared" si="11"/>
        <v>1</v>
      </c>
      <c r="I163" s="5">
        <f t="shared" si="11"/>
        <v>0</v>
      </c>
      <c r="J163" s="5">
        <f t="shared" si="11"/>
        <v>0</v>
      </c>
      <c r="K163" s="5">
        <f t="shared" si="11"/>
        <v>0</v>
      </c>
      <c r="L163" s="5">
        <f t="shared" si="11"/>
        <v>0</v>
      </c>
      <c r="M163" s="5">
        <f t="shared" si="11"/>
        <v>0</v>
      </c>
      <c r="N163" s="32">
        <v>6.1130434782608579E-2</v>
      </c>
      <c r="O163" s="32">
        <v>1.1869565217391416E-2</v>
      </c>
      <c r="P163" s="24">
        <f t="shared" si="10"/>
        <v>6.9974637681159468E-2</v>
      </c>
    </row>
    <row r="164" spans="1:16" x14ac:dyDescent="0.3">
      <c r="A164" s="2">
        <v>22463</v>
      </c>
      <c r="B164" s="23">
        <v>6.9000000000000006E-2</v>
      </c>
      <c r="C164" s="5">
        <f t="shared" si="8"/>
        <v>0</v>
      </c>
      <c r="D164" s="5">
        <f t="shared" si="11"/>
        <v>0</v>
      </c>
      <c r="E164" s="5">
        <f t="shared" si="11"/>
        <v>0</v>
      </c>
      <c r="F164" s="5">
        <f t="shared" si="11"/>
        <v>0</v>
      </c>
      <c r="G164" s="5">
        <f t="shared" si="11"/>
        <v>0</v>
      </c>
      <c r="H164" s="5">
        <f t="shared" si="11"/>
        <v>0</v>
      </c>
      <c r="I164" s="5">
        <f t="shared" si="11"/>
        <v>1</v>
      </c>
      <c r="J164" s="5">
        <f t="shared" si="11"/>
        <v>0</v>
      </c>
      <c r="K164" s="5">
        <f t="shared" si="11"/>
        <v>0</v>
      </c>
      <c r="L164" s="5">
        <f t="shared" si="11"/>
        <v>0</v>
      </c>
      <c r="M164" s="5">
        <f t="shared" si="11"/>
        <v>0</v>
      </c>
      <c r="N164" s="32">
        <v>5.9550724637681039E-2</v>
      </c>
      <c r="O164" s="32">
        <v>9.4492753623189665E-3</v>
      </c>
      <c r="P164" s="24">
        <f t="shared" si="10"/>
        <v>6.7554347826087019E-2</v>
      </c>
    </row>
    <row r="165" spans="1:16" x14ac:dyDescent="0.3">
      <c r="A165" s="2">
        <v>22494</v>
      </c>
      <c r="B165" s="23">
        <v>6.2E-2</v>
      </c>
      <c r="C165" s="5">
        <f t="shared" si="8"/>
        <v>0</v>
      </c>
      <c r="D165" s="5">
        <f t="shared" si="11"/>
        <v>0</v>
      </c>
      <c r="E165" s="5">
        <f t="shared" si="11"/>
        <v>0</v>
      </c>
      <c r="F165" s="5">
        <f t="shared" si="11"/>
        <v>0</v>
      </c>
      <c r="G165" s="5">
        <f t="shared" si="11"/>
        <v>0</v>
      </c>
      <c r="H165" s="5">
        <f t="shared" si="11"/>
        <v>0</v>
      </c>
      <c r="I165" s="5">
        <f t="shared" si="11"/>
        <v>0</v>
      </c>
      <c r="J165" s="5">
        <f t="shared" si="11"/>
        <v>1</v>
      </c>
      <c r="K165" s="5">
        <f t="shared" si="11"/>
        <v>0</v>
      </c>
      <c r="L165" s="5">
        <f t="shared" si="11"/>
        <v>0</v>
      </c>
      <c r="M165" s="5">
        <f t="shared" si="11"/>
        <v>0</v>
      </c>
      <c r="N165" s="32">
        <v>5.6521739130434699E-2</v>
      </c>
      <c r="O165" s="32">
        <v>5.4782608695653004E-3</v>
      </c>
      <c r="P165" s="24">
        <f t="shared" si="10"/>
        <v>6.3583333333333353E-2</v>
      </c>
    </row>
    <row r="166" spans="1:16" x14ac:dyDescent="0.3">
      <c r="A166" s="2">
        <v>22525</v>
      </c>
      <c r="B166" s="23">
        <v>5.7999999999999996E-2</v>
      </c>
      <c r="C166" s="5">
        <f t="shared" si="8"/>
        <v>0</v>
      </c>
      <c r="D166" s="5">
        <f t="shared" si="11"/>
        <v>0</v>
      </c>
      <c r="E166" s="5">
        <f t="shared" si="11"/>
        <v>0</v>
      </c>
      <c r="F166" s="5">
        <f t="shared" si="11"/>
        <v>0</v>
      </c>
      <c r="G166" s="5">
        <f t="shared" si="11"/>
        <v>0</v>
      </c>
      <c r="H166" s="5">
        <f t="shared" si="11"/>
        <v>0</v>
      </c>
      <c r="I166" s="5">
        <f t="shared" si="11"/>
        <v>0</v>
      </c>
      <c r="J166" s="5">
        <f t="shared" si="11"/>
        <v>0</v>
      </c>
      <c r="K166" s="5">
        <f t="shared" si="11"/>
        <v>1</v>
      </c>
      <c r="L166" s="5">
        <f t="shared" si="11"/>
        <v>0</v>
      </c>
      <c r="M166" s="5">
        <f t="shared" si="11"/>
        <v>0</v>
      </c>
      <c r="N166" s="32">
        <v>5.4768115942028898E-2</v>
      </c>
      <c r="O166" s="32">
        <v>3.2318840579710975E-3</v>
      </c>
      <c r="P166" s="24">
        <f t="shared" si="10"/>
        <v>6.1336956521739143E-2</v>
      </c>
    </row>
    <row r="167" spans="1:16" x14ac:dyDescent="0.3">
      <c r="A167" s="2">
        <v>22555</v>
      </c>
      <c r="B167" s="23">
        <v>5.5E-2</v>
      </c>
      <c r="C167" s="5">
        <f t="shared" si="8"/>
        <v>0</v>
      </c>
      <c r="D167" s="5">
        <f t="shared" si="11"/>
        <v>0</v>
      </c>
      <c r="E167" s="5">
        <f t="shared" si="11"/>
        <v>0</v>
      </c>
      <c r="F167" s="5">
        <f t="shared" si="11"/>
        <v>0</v>
      </c>
      <c r="G167" s="5">
        <f t="shared" ref="D167:M192" si="12">IF(MONTH($A167)=G$1,1,0)</f>
        <v>0</v>
      </c>
      <c r="H167" s="5">
        <f t="shared" si="12"/>
        <v>0</v>
      </c>
      <c r="I167" s="5">
        <f t="shared" si="12"/>
        <v>0</v>
      </c>
      <c r="J167" s="5">
        <f t="shared" si="12"/>
        <v>0</v>
      </c>
      <c r="K167" s="5">
        <f t="shared" si="12"/>
        <v>0</v>
      </c>
      <c r="L167" s="5">
        <f t="shared" si="12"/>
        <v>1</v>
      </c>
      <c r="M167" s="5">
        <f t="shared" si="12"/>
        <v>0</v>
      </c>
      <c r="N167" s="32">
        <v>5.3115942028985473E-2</v>
      </c>
      <c r="O167" s="32">
        <v>1.8840579710145272E-3</v>
      </c>
      <c r="P167" s="24">
        <f t="shared" si="10"/>
        <v>5.9989130434782573E-2</v>
      </c>
    </row>
    <row r="168" spans="1:16" x14ac:dyDescent="0.3">
      <c r="A168" s="2">
        <v>22586</v>
      </c>
      <c r="B168" s="23">
        <v>5.5999999999999994E-2</v>
      </c>
      <c r="C168" s="5">
        <f t="shared" ref="C168:C231" si="13">IF(MONTH($A168)=C$1,1,0)</f>
        <v>0</v>
      </c>
      <c r="D168" s="5">
        <f t="shared" si="12"/>
        <v>0</v>
      </c>
      <c r="E168" s="5">
        <f t="shared" si="12"/>
        <v>0</v>
      </c>
      <c r="F168" s="5">
        <f t="shared" si="12"/>
        <v>0</v>
      </c>
      <c r="G168" s="5">
        <f t="shared" si="12"/>
        <v>0</v>
      </c>
      <c r="H168" s="5">
        <f t="shared" si="12"/>
        <v>0</v>
      </c>
      <c r="I168" s="5">
        <f t="shared" si="12"/>
        <v>0</v>
      </c>
      <c r="J168" s="5">
        <f t="shared" si="12"/>
        <v>0</v>
      </c>
      <c r="K168" s="5">
        <f t="shared" si="12"/>
        <v>0</v>
      </c>
      <c r="L168" s="5">
        <f t="shared" si="12"/>
        <v>0</v>
      </c>
      <c r="M168" s="5">
        <f t="shared" si="12"/>
        <v>1</v>
      </c>
      <c r="N168" s="32">
        <v>5.4782608695652081E-2</v>
      </c>
      <c r="O168" s="32">
        <v>1.2173913043479132E-3</v>
      </c>
      <c r="P168" s="24">
        <f t="shared" si="10"/>
        <v>5.9322463768115959E-2</v>
      </c>
    </row>
    <row r="169" spans="1:16" x14ac:dyDescent="0.3">
      <c r="A169" s="2">
        <v>22616</v>
      </c>
      <c r="B169" s="23">
        <v>5.7999999999999996E-2</v>
      </c>
      <c r="C169" s="5">
        <f t="shared" si="13"/>
        <v>0</v>
      </c>
      <c r="D169" s="5">
        <f t="shared" si="12"/>
        <v>0</v>
      </c>
      <c r="E169" s="5">
        <f t="shared" si="12"/>
        <v>0</v>
      </c>
      <c r="F169" s="5">
        <f t="shared" si="12"/>
        <v>0</v>
      </c>
      <c r="G169" s="5">
        <f t="shared" si="12"/>
        <v>0</v>
      </c>
      <c r="H169" s="5">
        <f t="shared" si="12"/>
        <v>0</v>
      </c>
      <c r="I169" s="5">
        <f t="shared" si="12"/>
        <v>0</v>
      </c>
      <c r="J169" s="5">
        <f t="shared" si="12"/>
        <v>0</v>
      </c>
      <c r="K169" s="5">
        <f t="shared" si="12"/>
        <v>0</v>
      </c>
      <c r="L169" s="5">
        <f t="shared" si="12"/>
        <v>0</v>
      </c>
      <c r="M169" s="5">
        <f t="shared" si="12"/>
        <v>0</v>
      </c>
      <c r="N169" s="32">
        <v>5.5202898550724598E-2</v>
      </c>
      <c r="O169" s="32">
        <v>2.7971014492753979E-3</v>
      </c>
      <c r="P169" s="24">
        <f t="shared" si="10"/>
        <v>6.0902173913043443E-2</v>
      </c>
    </row>
    <row r="170" spans="1:16" x14ac:dyDescent="0.3">
      <c r="A170" s="2">
        <v>22647</v>
      </c>
      <c r="B170" s="23">
        <v>6.7000000000000004E-2</v>
      </c>
      <c r="C170" s="5">
        <f t="shared" si="13"/>
        <v>1</v>
      </c>
      <c r="D170" s="5">
        <f t="shared" si="12"/>
        <v>0</v>
      </c>
      <c r="E170" s="5">
        <f t="shared" si="12"/>
        <v>0</v>
      </c>
      <c r="F170" s="5">
        <f t="shared" si="12"/>
        <v>0</v>
      </c>
      <c r="G170" s="5">
        <f t="shared" si="12"/>
        <v>0</v>
      </c>
      <c r="H170" s="5">
        <f t="shared" si="12"/>
        <v>0</v>
      </c>
      <c r="I170" s="5">
        <f t="shared" si="12"/>
        <v>0</v>
      </c>
      <c r="J170" s="5">
        <f t="shared" si="12"/>
        <v>0</v>
      </c>
      <c r="K170" s="5">
        <f t="shared" si="12"/>
        <v>0</v>
      </c>
      <c r="L170" s="5">
        <f t="shared" si="12"/>
        <v>0</v>
      </c>
      <c r="M170" s="5">
        <f t="shared" si="12"/>
        <v>0</v>
      </c>
      <c r="N170" s="32">
        <v>6.4492753623188417E-2</v>
      </c>
      <c r="O170" s="32">
        <v>2.5072463768115866E-3</v>
      </c>
      <c r="P170" s="24">
        <f t="shared" si="10"/>
        <v>6.0612318840579632E-2</v>
      </c>
    </row>
    <row r="171" spans="1:16" x14ac:dyDescent="0.3">
      <c r="A171" s="2">
        <v>22678</v>
      </c>
      <c r="B171" s="23">
        <v>6.5000000000000002E-2</v>
      </c>
      <c r="C171" s="5">
        <f t="shared" si="13"/>
        <v>0</v>
      </c>
      <c r="D171" s="5">
        <f t="shared" si="12"/>
        <v>1</v>
      </c>
      <c r="E171" s="5">
        <f t="shared" si="12"/>
        <v>0</v>
      </c>
      <c r="F171" s="5">
        <f t="shared" si="12"/>
        <v>0</v>
      </c>
      <c r="G171" s="5">
        <f t="shared" si="12"/>
        <v>0</v>
      </c>
      <c r="H171" s="5">
        <f t="shared" si="12"/>
        <v>0</v>
      </c>
      <c r="I171" s="5">
        <f t="shared" si="12"/>
        <v>0</v>
      </c>
      <c r="J171" s="5">
        <f t="shared" si="12"/>
        <v>0</v>
      </c>
      <c r="K171" s="5">
        <f t="shared" si="12"/>
        <v>0</v>
      </c>
      <c r="L171" s="5">
        <f t="shared" si="12"/>
        <v>0</v>
      </c>
      <c r="M171" s="5">
        <f t="shared" si="12"/>
        <v>0</v>
      </c>
      <c r="N171" s="32">
        <v>6.4391304347825973E-2</v>
      </c>
      <c r="O171" s="32">
        <v>6.0869565217402943E-4</v>
      </c>
      <c r="P171" s="24">
        <f t="shared" si="10"/>
        <v>5.8713768115942075E-2</v>
      </c>
    </row>
    <row r="172" spans="1:16" x14ac:dyDescent="0.3">
      <c r="A172" s="2">
        <v>22706</v>
      </c>
      <c r="B172" s="23">
        <v>6.2E-2</v>
      </c>
      <c r="C172" s="5">
        <f t="shared" si="13"/>
        <v>0</v>
      </c>
      <c r="D172" s="5">
        <f t="shared" si="12"/>
        <v>0</v>
      </c>
      <c r="E172" s="5">
        <f t="shared" si="12"/>
        <v>1</v>
      </c>
      <c r="F172" s="5">
        <f t="shared" si="12"/>
        <v>0</v>
      </c>
      <c r="G172" s="5">
        <f t="shared" si="12"/>
        <v>0</v>
      </c>
      <c r="H172" s="5">
        <f t="shared" si="12"/>
        <v>0</v>
      </c>
      <c r="I172" s="5">
        <f t="shared" si="12"/>
        <v>0</v>
      </c>
      <c r="J172" s="5">
        <f t="shared" si="12"/>
        <v>0</v>
      </c>
      <c r="K172" s="5">
        <f t="shared" si="12"/>
        <v>0</v>
      </c>
      <c r="L172" s="5">
        <f t="shared" si="12"/>
        <v>0</v>
      </c>
      <c r="M172" s="5">
        <f t="shared" si="12"/>
        <v>0</v>
      </c>
      <c r="N172" s="32">
        <v>6.1652173913043402E-2</v>
      </c>
      <c r="O172" s="32">
        <v>3.4782608695659717E-4</v>
      </c>
      <c r="P172" s="24">
        <f t="shared" si="10"/>
        <v>5.8452898550724643E-2</v>
      </c>
    </row>
    <row r="173" spans="1:16" x14ac:dyDescent="0.3">
      <c r="A173" s="2">
        <v>22737</v>
      </c>
      <c r="B173" s="23">
        <v>5.5E-2</v>
      </c>
      <c r="C173" s="5">
        <f t="shared" si="13"/>
        <v>0</v>
      </c>
      <c r="D173" s="5">
        <f t="shared" si="12"/>
        <v>0</v>
      </c>
      <c r="E173" s="5">
        <f t="shared" si="12"/>
        <v>0</v>
      </c>
      <c r="F173" s="5">
        <f t="shared" si="12"/>
        <v>1</v>
      </c>
      <c r="G173" s="5">
        <f t="shared" si="12"/>
        <v>0</v>
      </c>
      <c r="H173" s="5">
        <f t="shared" si="12"/>
        <v>0</v>
      </c>
      <c r="I173" s="5">
        <f t="shared" si="12"/>
        <v>0</v>
      </c>
      <c r="J173" s="5">
        <f t="shared" si="12"/>
        <v>0</v>
      </c>
      <c r="K173" s="5">
        <f t="shared" si="12"/>
        <v>0</v>
      </c>
      <c r="L173" s="5">
        <f t="shared" si="12"/>
        <v>0</v>
      </c>
      <c r="M173" s="5">
        <f t="shared" si="12"/>
        <v>0</v>
      </c>
      <c r="N173" s="32">
        <v>5.6550724637681071E-2</v>
      </c>
      <c r="O173" s="32">
        <v>-1.550724637681071E-3</v>
      </c>
      <c r="P173" s="24">
        <f t="shared" si="10"/>
        <v>5.6554347826086974E-2</v>
      </c>
    </row>
    <row r="174" spans="1:16" x14ac:dyDescent="0.3">
      <c r="A174" s="2">
        <v>22767</v>
      </c>
      <c r="B174" s="23">
        <v>5.0999999999999997E-2</v>
      </c>
      <c r="C174" s="5">
        <f t="shared" si="13"/>
        <v>0</v>
      </c>
      <c r="D174" s="5">
        <f t="shared" si="12"/>
        <v>0</v>
      </c>
      <c r="E174" s="5">
        <f t="shared" si="12"/>
        <v>0</v>
      </c>
      <c r="F174" s="5">
        <f t="shared" si="12"/>
        <v>0</v>
      </c>
      <c r="G174" s="5">
        <f t="shared" si="12"/>
        <v>1</v>
      </c>
      <c r="H174" s="5">
        <f t="shared" si="12"/>
        <v>0</v>
      </c>
      <c r="I174" s="5">
        <f t="shared" si="12"/>
        <v>0</v>
      </c>
      <c r="J174" s="5">
        <f t="shared" si="12"/>
        <v>0</v>
      </c>
      <c r="K174" s="5">
        <f t="shared" si="12"/>
        <v>0</v>
      </c>
      <c r="L174" s="5">
        <f t="shared" si="12"/>
        <v>0</v>
      </c>
      <c r="M174" s="5">
        <f t="shared" si="12"/>
        <v>0</v>
      </c>
      <c r="N174" s="32">
        <v>5.5101449275362209E-2</v>
      </c>
      <c r="O174" s="32">
        <v>-4.1014492753622123E-3</v>
      </c>
      <c r="P174" s="24">
        <f t="shared" si="10"/>
        <v>5.4003623188405833E-2</v>
      </c>
    </row>
    <row r="175" spans="1:16" x14ac:dyDescent="0.3">
      <c r="A175" s="2">
        <v>22798</v>
      </c>
      <c r="B175" s="23">
        <v>5.9000000000000004E-2</v>
      </c>
      <c r="C175" s="5">
        <f t="shared" si="13"/>
        <v>0</v>
      </c>
      <c r="D175" s="5">
        <f t="shared" si="12"/>
        <v>0</v>
      </c>
      <c r="E175" s="5">
        <f t="shared" si="12"/>
        <v>0</v>
      </c>
      <c r="F175" s="5">
        <f t="shared" si="12"/>
        <v>0</v>
      </c>
      <c r="G175" s="5">
        <f t="shared" si="12"/>
        <v>0</v>
      </c>
      <c r="H175" s="5">
        <f t="shared" si="12"/>
        <v>1</v>
      </c>
      <c r="I175" s="5">
        <f t="shared" si="12"/>
        <v>0</v>
      </c>
      <c r="J175" s="5">
        <f t="shared" si="12"/>
        <v>0</v>
      </c>
      <c r="K175" s="5">
        <f t="shared" si="12"/>
        <v>0</v>
      </c>
      <c r="L175" s="5">
        <f t="shared" si="12"/>
        <v>0</v>
      </c>
      <c r="M175" s="5">
        <f t="shared" si="12"/>
        <v>0</v>
      </c>
      <c r="N175" s="32">
        <v>6.1130434782608579E-2</v>
      </c>
      <c r="O175" s="32">
        <v>-2.1304347826085757E-3</v>
      </c>
      <c r="P175" s="24">
        <f t="shared" si="10"/>
        <v>5.597463768115947E-2</v>
      </c>
    </row>
    <row r="176" spans="1:16" x14ac:dyDescent="0.3">
      <c r="A176" s="2">
        <v>22828</v>
      </c>
      <c r="B176" s="23">
        <v>5.2999999999999999E-2</v>
      </c>
      <c r="C176" s="5">
        <f t="shared" si="13"/>
        <v>0</v>
      </c>
      <c r="D176" s="5">
        <f t="shared" si="12"/>
        <v>0</v>
      </c>
      <c r="E176" s="5">
        <f t="shared" si="12"/>
        <v>0</v>
      </c>
      <c r="F176" s="5">
        <f t="shared" si="12"/>
        <v>0</v>
      </c>
      <c r="G176" s="5">
        <f t="shared" si="12"/>
        <v>0</v>
      </c>
      <c r="H176" s="5">
        <f t="shared" si="12"/>
        <v>0</v>
      </c>
      <c r="I176" s="5">
        <f t="shared" si="12"/>
        <v>1</v>
      </c>
      <c r="J176" s="5">
        <f t="shared" si="12"/>
        <v>0</v>
      </c>
      <c r="K176" s="5">
        <f t="shared" si="12"/>
        <v>0</v>
      </c>
      <c r="L176" s="5">
        <f t="shared" si="12"/>
        <v>0</v>
      </c>
      <c r="M176" s="5">
        <f t="shared" si="12"/>
        <v>0</v>
      </c>
      <c r="N176" s="32">
        <v>5.9550724637681039E-2</v>
      </c>
      <c r="O176" s="32">
        <v>-6.5507246376810407E-3</v>
      </c>
      <c r="P176" s="24">
        <f t="shared" si="10"/>
        <v>5.1554347826087005E-2</v>
      </c>
    </row>
    <row r="177" spans="1:16" x14ac:dyDescent="0.3">
      <c r="A177" s="2">
        <v>22859</v>
      </c>
      <c r="B177" s="23">
        <v>5.2999999999999999E-2</v>
      </c>
      <c r="C177" s="5">
        <f t="shared" si="13"/>
        <v>0</v>
      </c>
      <c r="D177" s="5">
        <f t="shared" si="12"/>
        <v>0</v>
      </c>
      <c r="E177" s="5">
        <f t="shared" si="12"/>
        <v>0</v>
      </c>
      <c r="F177" s="5">
        <f t="shared" si="12"/>
        <v>0</v>
      </c>
      <c r="G177" s="5">
        <f t="shared" si="12"/>
        <v>0</v>
      </c>
      <c r="H177" s="5">
        <f t="shared" si="12"/>
        <v>0</v>
      </c>
      <c r="I177" s="5">
        <f t="shared" si="12"/>
        <v>0</v>
      </c>
      <c r="J177" s="5">
        <f t="shared" si="12"/>
        <v>1</v>
      </c>
      <c r="K177" s="5">
        <f t="shared" si="12"/>
        <v>0</v>
      </c>
      <c r="L177" s="5">
        <f t="shared" si="12"/>
        <v>0</v>
      </c>
      <c r="M177" s="5">
        <f t="shared" si="12"/>
        <v>0</v>
      </c>
      <c r="N177" s="32">
        <v>5.6521739130434699E-2</v>
      </c>
      <c r="O177" s="32">
        <v>-3.5217391304347007E-3</v>
      </c>
      <c r="P177" s="24">
        <f t="shared" si="10"/>
        <v>5.4583333333333345E-2</v>
      </c>
    </row>
    <row r="178" spans="1:16" x14ac:dyDescent="0.3">
      <c r="A178" s="2">
        <v>22890</v>
      </c>
      <c r="B178" s="23">
        <v>4.9000000000000002E-2</v>
      </c>
      <c r="C178" s="5">
        <f t="shared" si="13"/>
        <v>0</v>
      </c>
      <c r="D178" s="5">
        <f t="shared" si="12"/>
        <v>0</v>
      </c>
      <c r="E178" s="5">
        <f t="shared" si="12"/>
        <v>0</v>
      </c>
      <c r="F178" s="5">
        <f t="shared" si="12"/>
        <v>0</v>
      </c>
      <c r="G178" s="5">
        <f t="shared" si="12"/>
        <v>0</v>
      </c>
      <c r="H178" s="5">
        <f t="shared" si="12"/>
        <v>0</v>
      </c>
      <c r="I178" s="5">
        <f t="shared" si="12"/>
        <v>0</v>
      </c>
      <c r="J178" s="5">
        <f t="shared" si="12"/>
        <v>0</v>
      </c>
      <c r="K178" s="5">
        <f t="shared" si="12"/>
        <v>1</v>
      </c>
      <c r="L178" s="5">
        <f t="shared" si="12"/>
        <v>0</v>
      </c>
      <c r="M178" s="5">
        <f t="shared" si="12"/>
        <v>0</v>
      </c>
      <c r="N178" s="32">
        <v>5.4768115942028898E-2</v>
      </c>
      <c r="O178" s="32">
        <v>-5.7681159420288966E-3</v>
      </c>
      <c r="P178" s="24">
        <f t="shared" si="10"/>
        <v>5.2336956521739149E-2</v>
      </c>
    </row>
    <row r="179" spans="1:16" x14ac:dyDescent="0.3">
      <c r="A179" s="2">
        <v>22920</v>
      </c>
      <c r="B179" s="23">
        <v>4.4999999999999998E-2</v>
      </c>
      <c r="C179" s="5">
        <f t="shared" si="13"/>
        <v>0</v>
      </c>
      <c r="D179" s="5">
        <f t="shared" si="12"/>
        <v>0</v>
      </c>
      <c r="E179" s="5">
        <f t="shared" si="12"/>
        <v>0</v>
      </c>
      <c r="F179" s="5">
        <f t="shared" si="12"/>
        <v>0</v>
      </c>
      <c r="G179" s="5">
        <f t="shared" si="12"/>
        <v>0</v>
      </c>
      <c r="H179" s="5">
        <f t="shared" si="12"/>
        <v>0</v>
      </c>
      <c r="I179" s="5">
        <f t="shared" si="12"/>
        <v>0</v>
      </c>
      <c r="J179" s="5">
        <f t="shared" si="12"/>
        <v>0</v>
      </c>
      <c r="K179" s="5">
        <f t="shared" si="12"/>
        <v>0</v>
      </c>
      <c r="L179" s="5">
        <f t="shared" si="12"/>
        <v>1</v>
      </c>
      <c r="M179" s="5">
        <f t="shared" si="12"/>
        <v>0</v>
      </c>
      <c r="N179" s="32">
        <v>5.3115942028985473E-2</v>
      </c>
      <c r="O179" s="32">
        <v>-8.1159420289854747E-3</v>
      </c>
      <c r="P179" s="24">
        <f t="shared" si="10"/>
        <v>4.9989130434782571E-2</v>
      </c>
    </row>
    <row r="180" spans="1:16" x14ac:dyDescent="0.3">
      <c r="A180" s="2">
        <v>22951</v>
      </c>
      <c r="B180" s="23">
        <v>5.2999999999999999E-2</v>
      </c>
      <c r="C180" s="5">
        <f t="shared" si="13"/>
        <v>0</v>
      </c>
      <c r="D180" s="5">
        <f t="shared" si="12"/>
        <v>0</v>
      </c>
      <c r="E180" s="5">
        <f t="shared" si="12"/>
        <v>0</v>
      </c>
      <c r="F180" s="5">
        <f t="shared" si="12"/>
        <v>0</v>
      </c>
      <c r="G180" s="5">
        <f t="shared" si="12"/>
        <v>0</v>
      </c>
      <c r="H180" s="5">
        <f t="shared" si="12"/>
        <v>0</v>
      </c>
      <c r="I180" s="5">
        <f t="shared" si="12"/>
        <v>0</v>
      </c>
      <c r="J180" s="5">
        <f t="shared" si="12"/>
        <v>0</v>
      </c>
      <c r="K180" s="5">
        <f t="shared" si="12"/>
        <v>0</v>
      </c>
      <c r="L180" s="5">
        <f t="shared" si="12"/>
        <v>0</v>
      </c>
      <c r="M180" s="5">
        <f t="shared" si="12"/>
        <v>1</v>
      </c>
      <c r="N180" s="32">
        <v>5.4782608695652081E-2</v>
      </c>
      <c r="O180" s="32">
        <v>-1.7826086956520826E-3</v>
      </c>
      <c r="P180" s="24">
        <f t="shared" si="10"/>
        <v>5.6322463768115963E-2</v>
      </c>
    </row>
    <row r="181" spans="1:16" x14ac:dyDescent="0.3">
      <c r="A181" s="2">
        <v>22981</v>
      </c>
      <c r="B181" s="23">
        <v>5.2999999999999999E-2</v>
      </c>
      <c r="C181" s="5">
        <f t="shared" si="13"/>
        <v>0</v>
      </c>
      <c r="D181" s="5">
        <f t="shared" si="12"/>
        <v>0</v>
      </c>
      <c r="E181" s="5">
        <f t="shared" si="12"/>
        <v>0</v>
      </c>
      <c r="F181" s="5">
        <f t="shared" si="12"/>
        <v>0</v>
      </c>
      <c r="G181" s="5">
        <f t="shared" si="12"/>
        <v>0</v>
      </c>
      <c r="H181" s="5">
        <f t="shared" si="12"/>
        <v>0</v>
      </c>
      <c r="I181" s="5">
        <f t="shared" si="12"/>
        <v>0</v>
      </c>
      <c r="J181" s="5">
        <f t="shared" si="12"/>
        <v>0</v>
      </c>
      <c r="K181" s="5">
        <f t="shared" si="12"/>
        <v>0</v>
      </c>
      <c r="L181" s="5">
        <f t="shared" si="12"/>
        <v>0</v>
      </c>
      <c r="M181" s="5">
        <f t="shared" si="12"/>
        <v>0</v>
      </c>
      <c r="N181" s="32">
        <v>5.5202898550724598E-2</v>
      </c>
      <c r="O181" s="32">
        <v>-2.2028985507245996E-3</v>
      </c>
      <c r="P181" s="24">
        <f t="shared" si="10"/>
        <v>5.5902173913043446E-2</v>
      </c>
    </row>
    <row r="182" spans="1:16" x14ac:dyDescent="0.3">
      <c r="A182" s="2">
        <v>23012</v>
      </c>
      <c r="B182" s="23">
        <v>6.6000000000000003E-2</v>
      </c>
      <c r="C182" s="5">
        <f t="shared" si="13"/>
        <v>1</v>
      </c>
      <c r="D182" s="5">
        <f t="shared" si="12"/>
        <v>0</v>
      </c>
      <c r="E182" s="5">
        <f t="shared" si="12"/>
        <v>0</v>
      </c>
      <c r="F182" s="5">
        <f t="shared" si="12"/>
        <v>0</v>
      </c>
      <c r="G182" s="5">
        <f t="shared" si="12"/>
        <v>0</v>
      </c>
      <c r="H182" s="5">
        <f t="shared" si="12"/>
        <v>0</v>
      </c>
      <c r="I182" s="5">
        <f t="shared" si="12"/>
        <v>0</v>
      </c>
      <c r="J182" s="5">
        <f t="shared" si="12"/>
        <v>0</v>
      </c>
      <c r="K182" s="5">
        <f t="shared" si="12"/>
        <v>0</v>
      </c>
      <c r="L182" s="5">
        <f t="shared" si="12"/>
        <v>0</v>
      </c>
      <c r="M182" s="5">
        <f t="shared" si="12"/>
        <v>0</v>
      </c>
      <c r="N182" s="32">
        <v>6.4492753623188417E-2</v>
      </c>
      <c r="O182" s="32">
        <v>1.5072463768115857E-3</v>
      </c>
      <c r="P182" s="24">
        <f t="shared" si="10"/>
        <v>5.9612318840579631E-2</v>
      </c>
    </row>
    <row r="183" spans="1:16" x14ac:dyDescent="0.3">
      <c r="A183" s="2">
        <v>23043</v>
      </c>
      <c r="B183" s="23">
        <v>6.9000000000000006E-2</v>
      </c>
      <c r="C183" s="5">
        <f t="shared" si="13"/>
        <v>0</v>
      </c>
      <c r="D183" s="5">
        <f t="shared" si="12"/>
        <v>1</v>
      </c>
      <c r="E183" s="5">
        <f t="shared" si="12"/>
        <v>0</v>
      </c>
      <c r="F183" s="5">
        <f t="shared" si="12"/>
        <v>0</v>
      </c>
      <c r="G183" s="5">
        <f t="shared" si="12"/>
        <v>0</v>
      </c>
      <c r="H183" s="5">
        <f t="shared" si="12"/>
        <v>0</v>
      </c>
      <c r="I183" s="5">
        <f t="shared" si="12"/>
        <v>0</v>
      </c>
      <c r="J183" s="5">
        <f t="shared" si="12"/>
        <v>0</v>
      </c>
      <c r="K183" s="5">
        <f t="shared" si="12"/>
        <v>0</v>
      </c>
      <c r="L183" s="5">
        <f t="shared" si="12"/>
        <v>0</v>
      </c>
      <c r="M183" s="5">
        <f t="shared" si="12"/>
        <v>0</v>
      </c>
      <c r="N183" s="32">
        <v>6.4391304347825973E-2</v>
      </c>
      <c r="O183" s="32">
        <v>4.608695652174033E-3</v>
      </c>
      <c r="P183" s="24">
        <f t="shared" si="10"/>
        <v>6.2713768115942078E-2</v>
      </c>
    </row>
    <row r="184" spans="1:16" x14ac:dyDescent="0.3">
      <c r="A184" s="2">
        <v>23071</v>
      </c>
      <c r="B184" s="23">
        <v>6.3E-2</v>
      </c>
      <c r="C184" s="5">
        <f t="shared" si="13"/>
        <v>0</v>
      </c>
      <c r="D184" s="5">
        <f t="shared" si="12"/>
        <v>0</v>
      </c>
      <c r="E184" s="5">
        <f t="shared" si="12"/>
        <v>1</v>
      </c>
      <c r="F184" s="5">
        <f t="shared" si="12"/>
        <v>0</v>
      </c>
      <c r="G184" s="5">
        <f t="shared" si="12"/>
        <v>0</v>
      </c>
      <c r="H184" s="5">
        <f t="shared" si="12"/>
        <v>0</v>
      </c>
      <c r="I184" s="5">
        <f t="shared" si="12"/>
        <v>0</v>
      </c>
      <c r="J184" s="5">
        <f t="shared" si="12"/>
        <v>0</v>
      </c>
      <c r="K184" s="5">
        <f t="shared" si="12"/>
        <v>0</v>
      </c>
      <c r="L184" s="5">
        <f t="shared" si="12"/>
        <v>0</v>
      </c>
      <c r="M184" s="5">
        <f t="shared" si="12"/>
        <v>0</v>
      </c>
      <c r="N184" s="32">
        <v>6.1652173913043402E-2</v>
      </c>
      <c r="O184" s="32">
        <v>1.3478260869565981E-3</v>
      </c>
      <c r="P184" s="24">
        <f t="shared" si="10"/>
        <v>5.9452898550724644E-2</v>
      </c>
    </row>
    <row r="185" spans="1:16" x14ac:dyDescent="0.3">
      <c r="A185" s="2">
        <v>23102</v>
      </c>
      <c r="B185" s="23">
        <v>5.5999999999999994E-2</v>
      </c>
      <c r="C185" s="5">
        <f t="shared" si="13"/>
        <v>0</v>
      </c>
      <c r="D185" s="5">
        <f t="shared" si="12"/>
        <v>0</v>
      </c>
      <c r="E185" s="5">
        <f t="shared" si="12"/>
        <v>0</v>
      </c>
      <c r="F185" s="5">
        <f t="shared" si="12"/>
        <v>1</v>
      </c>
      <c r="G185" s="5">
        <f t="shared" si="12"/>
        <v>0</v>
      </c>
      <c r="H185" s="5">
        <f t="shared" si="12"/>
        <v>0</v>
      </c>
      <c r="I185" s="5">
        <f t="shared" si="12"/>
        <v>0</v>
      </c>
      <c r="J185" s="5">
        <f t="shared" si="12"/>
        <v>0</v>
      </c>
      <c r="K185" s="5">
        <f t="shared" si="12"/>
        <v>0</v>
      </c>
      <c r="L185" s="5">
        <f t="shared" si="12"/>
        <v>0</v>
      </c>
      <c r="M185" s="5">
        <f t="shared" si="12"/>
        <v>0</v>
      </c>
      <c r="N185" s="32">
        <v>5.6550724637681071E-2</v>
      </c>
      <c r="O185" s="32">
        <v>-5.5072463768107704E-4</v>
      </c>
      <c r="P185" s="24">
        <f t="shared" si="10"/>
        <v>5.7554347826086968E-2</v>
      </c>
    </row>
    <row r="186" spans="1:16" x14ac:dyDescent="0.3">
      <c r="A186" s="2">
        <v>23132</v>
      </c>
      <c r="B186" s="23">
        <v>5.5E-2</v>
      </c>
      <c r="C186" s="5">
        <f t="shared" si="13"/>
        <v>0</v>
      </c>
      <c r="D186" s="5">
        <f t="shared" si="12"/>
        <v>0</v>
      </c>
      <c r="E186" s="5">
        <f t="shared" si="12"/>
        <v>0</v>
      </c>
      <c r="F186" s="5">
        <f t="shared" si="12"/>
        <v>0</v>
      </c>
      <c r="G186" s="5">
        <f t="shared" si="12"/>
        <v>1</v>
      </c>
      <c r="H186" s="5">
        <f t="shared" si="12"/>
        <v>0</v>
      </c>
      <c r="I186" s="5">
        <f t="shared" si="12"/>
        <v>0</v>
      </c>
      <c r="J186" s="5">
        <f t="shared" si="12"/>
        <v>0</v>
      </c>
      <c r="K186" s="5">
        <f t="shared" si="12"/>
        <v>0</v>
      </c>
      <c r="L186" s="5">
        <f t="shared" si="12"/>
        <v>0</v>
      </c>
      <c r="M186" s="5">
        <f t="shared" si="12"/>
        <v>0</v>
      </c>
      <c r="N186" s="32">
        <v>5.5101449275362209E-2</v>
      </c>
      <c r="O186" s="32">
        <v>-1.0144927536220871E-4</v>
      </c>
      <c r="P186" s="24">
        <f t="shared" si="10"/>
        <v>5.8003623188405837E-2</v>
      </c>
    </row>
    <row r="187" spans="1:16" x14ac:dyDescent="0.3">
      <c r="A187" s="2">
        <v>23163</v>
      </c>
      <c r="B187" s="23">
        <v>6.2E-2</v>
      </c>
      <c r="C187" s="5">
        <f t="shared" si="13"/>
        <v>0</v>
      </c>
      <c r="D187" s="5">
        <f t="shared" si="12"/>
        <v>0</v>
      </c>
      <c r="E187" s="5">
        <f t="shared" si="12"/>
        <v>0</v>
      </c>
      <c r="F187" s="5">
        <f t="shared" si="12"/>
        <v>0</v>
      </c>
      <c r="G187" s="5">
        <f t="shared" si="12"/>
        <v>0</v>
      </c>
      <c r="H187" s="5">
        <f t="shared" si="12"/>
        <v>1</v>
      </c>
      <c r="I187" s="5">
        <f t="shared" si="12"/>
        <v>0</v>
      </c>
      <c r="J187" s="5">
        <f t="shared" si="12"/>
        <v>0</v>
      </c>
      <c r="K187" s="5">
        <f t="shared" si="12"/>
        <v>0</v>
      </c>
      <c r="L187" s="5">
        <f t="shared" si="12"/>
        <v>0</v>
      </c>
      <c r="M187" s="5">
        <f t="shared" si="12"/>
        <v>0</v>
      </c>
      <c r="N187" s="32">
        <v>6.1130434782608579E-2</v>
      </c>
      <c r="O187" s="32">
        <v>8.6956521739142006E-4</v>
      </c>
      <c r="P187" s="24">
        <f t="shared" si="10"/>
        <v>5.8974637681159466E-2</v>
      </c>
    </row>
    <row r="188" spans="1:16" x14ac:dyDescent="0.3">
      <c r="A188" s="2">
        <v>23193</v>
      </c>
      <c r="B188" s="23">
        <v>5.5999999999999994E-2</v>
      </c>
      <c r="C188" s="5">
        <f t="shared" si="13"/>
        <v>0</v>
      </c>
      <c r="D188" s="5">
        <f t="shared" si="12"/>
        <v>0</v>
      </c>
      <c r="E188" s="5">
        <f t="shared" si="12"/>
        <v>0</v>
      </c>
      <c r="F188" s="5">
        <f t="shared" si="12"/>
        <v>0</v>
      </c>
      <c r="G188" s="5">
        <f t="shared" si="12"/>
        <v>0</v>
      </c>
      <c r="H188" s="5">
        <f t="shared" si="12"/>
        <v>0</v>
      </c>
      <c r="I188" s="5">
        <f t="shared" si="12"/>
        <v>1</v>
      </c>
      <c r="J188" s="5">
        <f t="shared" si="12"/>
        <v>0</v>
      </c>
      <c r="K188" s="5">
        <f t="shared" si="12"/>
        <v>0</v>
      </c>
      <c r="L188" s="5">
        <f t="shared" si="12"/>
        <v>0</v>
      </c>
      <c r="M188" s="5">
        <f t="shared" si="12"/>
        <v>0</v>
      </c>
      <c r="N188" s="32">
        <v>5.9550724637681039E-2</v>
      </c>
      <c r="O188" s="32">
        <v>-3.550724637681045E-3</v>
      </c>
      <c r="P188" s="24">
        <f t="shared" si="10"/>
        <v>5.4554347826087E-2</v>
      </c>
    </row>
    <row r="189" spans="1:16" x14ac:dyDescent="0.3">
      <c r="A189" s="2">
        <v>23224</v>
      </c>
      <c r="B189" s="23">
        <v>5.2000000000000005E-2</v>
      </c>
      <c r="C189" s="5">
        <f t="shared" si="13"/>
        <v>0</v>
      </c>
      <c r="D189" s="5">
        <f t="shared" si="12"/>
        <v>0</v>
      </c>
      <c r="E189" s="5">
        <f t="shared" si="12"/>
        <v>0</v>
      </c>
      <c r="F189" s="5">
        <f t="shared" si="12"/>
        <v>0</v>
      </c>
      <c r="G189" s="5">
        <f t="shared" si="12"/>
        <v>0</v>
      </c>
      <c r="H189" s="5">
        <f t="shared" si="12"/>
        <v>0</v>
      </c>
      <c r="I189" s="5">
        <f t="shared" si="12"/>
        <v>0</v>
      </c>
      <c r="J189" s="5">
        <f t="shared" si="12"/>
        <v>1</v>
      </c>
      <c r="K189" s="5">
        <f t="shared" si="12"/>
        <v>0</v>
      </c>
      <c r="L189" s="5">
        <f t="shared" si="12"/>
        <v>0</v>
      </c>
      <c r="M189" s="5">
        <f t="shared" si="12"/>
        <v>0</v>
      </c>
      <c r="N189" s="32">
        <v>5.6521739130434699E-2</v>
      </c>
      <c r="O189" s="32">
        <v>-4.5217391304346946E-3</v>
      </c>
      <c r="P189" s="24">
        <f t="shared" si="10"/>
        <v>5.3583333333333351E-2</v>
      </c>
    </row>
    <row r="190" spans="1:16" x14ac:dyDescent="0.3">
      <c r="A190" s="2">
        <v>23255</v>
      </c>
      <c r="B190" s="23">
        <v>4.8000000000000001E-2</v>
      </c>
      <c r="C190" s="5">
        <f t="shared" si="13"/>
        <v>0</v>
      </c>
      <c r="D190" s="5">
        <f t="shared" si="12"/>
        <v>0</v>
      </c>
      <c r="E190" s="5">
        <f t="shared" si="12"/>
        <v>0</v>
      </c>
      <c r="F190" s="5">
        <f t="shared" si="12"/>
        <v>0</v>
      </c>
      <c r="G190" s="5">
        <f t="shared" si="12"/>
        <v>0</v>
      </c>
      <c r="H190" s="5">
        <f t="shared" si="12"/>
        <v>0</v>
      </c>
      <c r="I190" s="5">
        <f t="shared" si="12"/>
        <v>0</v>
      </c>
      <c r="J190" s="5">
        <f t="shared" si="12"/>
        <v>0</v>
      </c>
      <c r="K190" s="5">
        <f t="shared" si="12"/>
        <v>1</v>
      </c>
      <c r="L190" s="5">
        <f t="shared" si="12"/>
        <v>0</v>
      </c>
      <c r="M190" s="5">
        <f t="shared" si="12"/>
        <v>0</v>
      </c>
      <c r="N190" s="32">
        <v>5.4768115942028898E-2</v>
      </c>
      <c r="O190" s="32">
        <v>-6.7681159420288975E-3</v>
      </c>
      <c r="P190" s="24">
        <f t="shared" si="10"/>
        <v>5.1336956521739148E-2</v>
      </c>
    </row>
    <row r="191" spans="1:16" x14ac:dyDescent="0.3">
      <c r="A191" s="2">
        <v>23285</v>
      </c>
      <c r="B191" s="23">
        <v>4.7E-2</v>
      </c>
      <c r="C191" s="5">
        <f t="shared" si="13"/>
        <v>0</v>
      </c>
      <c r="D191" s="5">
        <f t="shared" si="12"/>
        <v>0</v>
      </c>
      <c r="E191" s="5">
        <f t="shared" si="12"/>
        <v>0</v>
      </c>
      <c r="F191" s="5">
        <f t="shared" si="12"/>
        <v>0</v>
      </c>
      <c r="G191" s="5">
        <f t="shared" si="12"/>
        <v>0</v>
      </c>
      <c r="H191" s="5">
        <f t="shared" si="12"/>
        <v>0</v>
      </c>
      <c r="I191" s="5">
        <f t="shared" si="12"/>
        <v>0</v>
      </c>
      <c r="J191" s="5">
        <f t="shared" si="12"/>
        <v>0</v>
      </c>
      <c r="K191" s="5">
        <f t="shared" si="12"/>
        <v>0</v>
      </c>
      <c r="L191" s="5">
        <f t="shared" si="12"/>
        <v>1</v>
      </c>
      <c r="M191" s="5">
        <f t="shared" si="12"/>
        <v>0</v>
      </c>
      <c r="N191" s="32">
        <v>5.3115942028985473E-2</v>
      </c>
      <c r="O191" s="32">
        <v>-6.115942028985473E-3</v>
      </c>
      <c r="P191" s="24">
        <f t="shared" si="10"/>
        <v>5.1989130434782573E-2</v>
      </c>
    </row>
    <row r="192" spans="1:16" x14ac:dyDescent="0.3">
      <c r="A192" s="2">
        <v>23316</v>
      </c>
      <c r="B192" s="23">
        <v>5.2999999999999999E-2</v>
      </c>
      <c r="C192" s="5">
        <f t="shared" si="13"/>
        <v>0</v>
      </c>
      <c r="D192" s="5">
        <f t="shared" si="12"/>
        <v>0</v>
      </c>
      <c r="E192" s="5">
        <f t="shared" si="12"/>
        <v>0</v>
      </c>
      <c r="F192" s="5">
        <f t="shared" si="12"/>
        <v>0</v>
      </c>
      <c r="G192" s="5">
        <f t="shared" si="12"/>
        <v>0</v>
      </c>
      <c r="H192" s="5">
        <f t="shared" si="12"/>
        <v>0</v>
      </c>
      <c r="I192" s="5">
        <f t="shared" si="12"/>
        <v>0</v>
      </c>
      <c r="J192" s="5">
        <f t="shared" si="12"/>
        <v>0</v>
      </c>
      <c r="K192" s="5">
        <f t="shared" si="12"/>
        <v>0</v>
      </c>
      <c r="L192" s="5">
        <f t="shared" ref="D192:M218" si="14">IF(MONTH($A192)=L$1,1,0)</f>
        <v>0</v>
      </c>
      <c r="M192" s="5">
        <f t="shared" si="14"/>
        <v>1</v>
      </c>
      <c r="N192" s="32">
        <v>5.4782608695652081E-2</v>
      </c>
      <c r="O192" s="32">
        <v>-1.7826086956520826E-3</v>
      </c>
      <c r="P192" s="24">
        <f t="shared" si="10"/>
        <v>5.6322463768115963E-2</v>
      </c>
    </row>
    <row r="193" spans="1:16" x14ac:dyDescent="0.3">
      <c r="A193" s="2">
        <v>23346</v>
      </c>
      <c r="B193" s="23">
        <v>5.2999999999999999E-2</v>
      </c>
      <c r="C193" s="5">
        <f t="shared" si="13"/>
        <v>0</v>
      </c>
      <c r="D193" s="5">
        <f t="shared" si="14"/>
        <v>0</v>
      </c>
      <c r="E193" s="5">
        <f t="shared" si="14"/>
        <v>0</v>
      </c>
      <c r="F193" s="5">
        <f t="shared" si="14"/>
        <v>0</v>
      </c>
      <c r="G193" s="5">
        <f t="shared" si="14"/>
        <v>0</v>
      </c>
      <c r="H193" s="5">
        <f t="shared" si="14"/>
        <v>0</v>
      </c>
      <c r="I193" s="5">
        <f t="shared" si="14"/>
        <v>0</v>
      </c>
      <c r="J193" s="5">
        <f t="shared" si="14"/>
        <v>0</v>
      </c>
      <c r="K193" s="5">
        <f t="shared" si="14"/>
        <v>0</v>
      </c>
      <c r="L193" s="5">
        <f t="shared" si="14"/>
        <v>0</v>
      </c>
      <c r="M193" s="5">
        <f t="shared" si="14"/>
        <v>0</v>
      </c>
      <c r="N193" s="32">
        <v>5.5202898550724598E-2</v>
      </c>
      <c r="O193" s="32">
        <v>-2.2028985507245996E-3</v>
      </c>
      <c r="P193" s="24">
        <f t="shared" si="10"/>
        <v>5.5902173913043446E-2</v>
      </c>
    </row>
    <row r="194" spans="1:16" x14ac:dyDescent="0.3">
      <c r="A194" s="2">
        <v>23377</v>
      </c>
      <c r="B194" s="23">
        <v>6.4000000000000001E-2</v>
      </c>
      <c r="C194" s="5">
        <f t="shared" si="13"/>
        <v>1</v>
      </c>
      <c r="D194" s="5">
        <f t="shared" si="14"/>
        <v>0</v>
      </c>
      <c r="E194" s="5">
        <f t="shared" si="14"/>
        <v>0</v>
      </c>
      <c r="F194" s="5">
        <f t="shared" si="14"/>
        <v>0</v>
      </c>
      <c r="G194" s="5">
        <f t="shared" si="14"/>
        <v>0</v>
      </c>
      <c r="H194" s="5">
        <f t="shared" si="14"/>
        <v>0</v>
      </c>
      <c r="I194" s="5">
        <f t="shared" si="14"/>
        <v>0</v>
      </c>
      <c r="J194" s="5">
        <f t="shared" si="14"/>
        <v>0</v>
      </c>
      <c r="K194" s="5">
        <f t="shared" si="14"/>
        <v>0</v>
      </c>
      <c r="L194" s="5">
        <f t="shared" si="14"/>
        <v>0</v>
      </c>
      <c r="M194" s="5">
        <f t="shared" si="14"/>
        <v>0</v>
      </c>
      <c r="N194" s="32">
        <v>6.4492753623188417E-2</v>
      </c>
      <c r="O194" s="32">
        <v>-4.9275362318841609E-4</v>
      </c>
      <c r="P194" s="24">
        <f t="shared" si="10"/>
        <v>5.7612318840579629E-2</v>
      </c>
    </row>
    <row r="195" spans="1:16" x14ac:dyDescent="0.3">
      <c r="A195" s="2">
        <v>23408</v>
      </c>
      <c r="B195" s="23">
        <v>6.2E-2</v>
      </c>
      <c r="C195" s="5">
        <f t="shared" si="13"/>
        <v>0</v>
      </c>
      <c r="D195" s="5">
        <f t="shared" si="14"/>
        <v>1</v>
      </c>
      <c r="E195" s="5">
        <f t="shared" si="14"/>
        <v>0</v>
      </c>
      <c r="F195" s="5">
        <f t="shared" si="14"/>
        <v>0</v>
      </c>
      <c r="G195" s="5">
        <f t="shared" si="14"/>
        <v>0</v>
      </c>
      <c r="H195" s="5">
        <f t="shared" si="14"/>
        <v>0</v>
      </c>
      <c r="I195" s="5">
        <f t="shared" si="14"/>
        <v>0</v>
      </c>
      <c r="J195" s="5">
        <f t="shared" si="14"/>
        <v>0</v>
      </c>
      <c r="K195" s="5">
        <f t="shared" si="14"/>
        <v>0</v>
      </c>
      <c r="L195" s="5">
        <f t="shared" si="14"/>
        <v>0</v>
      </c>
      <c r="M195" s="5">
        <f t="shared" si="14"/>
        <v>0</v>
      </c>
      <c r="N195" s="32">
        <v>6.4391304347825973E-2</v>
      </c>
      <c r="O195" s="32">
        <v>-2.3913043478259732E-3</v>
      </c>
      <c r="P195" s="24">
        <f t="shared" ref="P195:P258" si="15">O195+$R$2</f>
        <v>5.5713768115942072E-2</v>
      </c>
    </row>
    <row r="196" spans="1:16" x14ac:dyDescent="0.3">
      <c r="A196" s="2">
        <v>23437</v>
      </c>
      <c r="B196" s="23">
        <v>5.9000000000000004E-2</v>
      </c>
      <c r="C196" s="5">
        <f t="shared" si="13"/>
        <v>0</v>
      </c>
      <c r="D196" s="5">
        <f t="shared" si="14"/>
        <v>0</v>
      </c>
      <c r="E196" s="5">
        <f t="shared" si="14"/>
        <v>1</v>
      </c>
      <c r="F196" s="5">
        <f t="shared" si="14"/>
        <v>0</v>
      </c>
      <c r="G196" s="5">
        <f t="shared" si="14"/>
        <v>0</v>
      </c>
      <c r="H196" s="5">
        <f t="shared" si="14"/>
        <v>0</v>
      </c>
      <c r="I196" s="5">
        <f t="shared" si="14"/>
        <v>0</v>
      </c>
      <c r="J196" s="5">
        <f t="shared" si="14"/>
        <v>0</v>
      </c>
      <c r="K196" s="5">
        <f t="shared" si="14"/>
        <v>0</v>
      </c>
      <c r="L196" s="5">
        <f t="shared" si="14"/>
        <v>0</v>
      </c>
      <c r="M196" s="5">
        <f t="shared" si="14"/>
        <v>0</v>
      </c>
      <c r="N196" s="32">
        <v>6.1652173913043402E-2</v>
      </c>
      <c r="O196" s="32">
        <v>-2.6521739130433986E-3</v>
      </c>
      <c r="P196" s="24">
        <f t="shared" si="15"/>
        <v>5.5452898550724647E-2</v>
      </c>
    </row>
    <row r="197" spans="1:16" x14ac:dyDescent="0.3">
      <c r="A197" s="2">
        <v>23468</v>
      </c>
      <c r="B197" s="23">
        <v>5.2999999999999999E-2</v>
      </c>
      <c r="C197" s="5">
        <f t="shared" si="13"/>
        <v>0</v>
      </c>
      <c r="D197" s="5">
        <f t="shared" si="14"/>
        <v>0</v>
      </c>
      <c r="E197" s="5">
        <f t="shared" si="14"/>
        <v>0</v>
      </c>
      <c r="F197" s="5">
        <f t="shared" si="14"/>
        <v>1</v>
      </c>
      <c r="G197" s="5">
        <f t="shared" si="14"/>
        <v>0</v>
      </c>
      <c r="H197" s="5">
        <f t="shared" si="14"/>
        <v>0</v>
      </c>
      <c r="I197" s="5">
        <f t="shared" si="14"/>
        <v>0</v>
      </c>
      <c r="J197" s="5">
        <f t="shared" si="14"/>
        <v>0</v>
      </c>
      <c r="K197" s="5">
        <f t="shared" si="14"/>
        <v>0</v>
      </c>
      <c r="L197" s="5">
        <f t="shared" si="14"/>
        <v>0</v>
      </c>
      <c r="M197" s="5">
        <f t="shared" si="14"/>
        <v>0</v>
      </c>
      <c r="N197" s="32">
        <v>5.6550724637681071E-2</v>
      </c>
      <c r="O197" s="32">
        <v>-3.5507246376810728E-3</v>
      </c>
      <c r="P197" s="24">
        <f t="shared" si="15"/>
        <v>5.4554347826086973E-2</v>
      </c>
    </row>
    <row r="198" spans="1:16" x14ac:dyDescent="0.3">
      <c r="A198" s="2">
        <v>23498</v>
      </c>
      <c r="B198" s="23">
        <v>4.8000000000000001E-2</v>
      </c>
      <c r="C198" s="5">
        <f t="shared" si="13"/>
        <v>0</v>
      </c>
      <c r="D198" s="5">
        <f t="shared" si="14"/>
        <v>0</v>
      </c>
      <c r="E198" s="5">
        <f t="shared" si="14"/>
        <v>0</v>
      </c>
      <c r="F198" s="5">
        <f t="shared" si="14"/>
        <v>0</v>
      </c>
      <c r="G198" s="5">
        <f t="shared" si="14"/>
        <v>1</v>
      </c>
      <c r="H198" s="5">
        <f t="shared" si="14"/>
        <v>0</v>
      </c>
      <c r="I198" s="5">
        <f t="shared" si="14"/>
        <v>0</v>
      </c>
      <c r="J198" s="5">
        <f t="shared" si="14"/>
        <v>0</v>
      </c>
      <c r="K198" s="5">
        <f t="shared" si="14"/>
        <v>0</v>
      </c>
      <c r="L198" s="5">
        <f t="shared" si="14"/>
        <v>0</v>
      </c>
      <c r="M198" s="5">
        <f t="shared" si="14"/>
        <v>0</v>
      </c>
      <c r="N198" s="32">
        <v>5.5101449275362209E-2</v>
      </c>
      <c r="O198" s="32">
        <v>-7.101449275362208E-3</v>
      </c>
      <c r="P198" s="24">
        <f t="shared" si="15"/>
        <v>5.1003623188405837E-2</v>
      </c>
    </row>
    <row r="199" spans="1:16" x14ac:dyDescent="0.3">
      <c r="A199" s="2">
        <v>23529</v>
      </c>
      <c r="B199" s="23">
        <v>5.9000000000000004E-2</v>
      </c>
      <c r="C199" s="5">
        <f t="shared" si="13"/>
        <v>0</v>
      </c>
      <c r="D199" s="5">
        <f t="shared" si="14"/>
        <v>0</v>
      </c>
      <c r="E199" s="5">
        <f t="shared" si="14"/>
        <v>0</v>
      </c>
      <c r="F199" s="5">
        <f t="shared" si="14"/>
        <v>0</v>
      </c>
      <c r="G199" s="5">
        <f t="shared" si="14"/>
        <v>0</v>
      </c>
      <c r="H199" s="5">
        <f t="shared" si="14"/>
        <v>1</v>
      </c>
      <c r="I199" s="5">
        <f t="shared" si="14"/>
        <v>0</v>
      </c>
      <c r="J199" s="5">
        <f t="shared" si="14"/>
        <v>0</v>
      </c>
      <c r="K199" s="5">
        <f t="shared" si="14"/>
        <v>0</v>
      </c>
      <c r="L199" s="5">
        <f t="shared" si="14"/>
        <v>0</v>
      </c>
      <c r="M199" s="5">
        <f t="shared" si="14"/>
        <v>0</v>
      </c>
      <c r="N199" s="32">
        <v>6.1130434782608579E-2</v>
      </c>
      <c r="O199" s="32">
        <v>-2.1304347826085757E-3</v>
      </c>
      <c r="P199" s="24">
        <f t="shared" si="15"/>
        <v>5.597463768115947E-2</v>
      </c>
    </row>
    <row r="200" spans="1:16" x14ac:dyDescent="0.3">
      <c r="A200" s="2">
        <v>23559</v>
      </c>
      <c r="B200" s="23">
        <v>4.9000000000000002E-2</v>
      </c>
      <c r="C200" s="5">
        <f t="shared" si="13"/>
        <v>0</v>
      </c>
      <c r="D200" s="5">
        <f t="shared" si="14"/>
        <v>0</v>
      </c>
      <c r="E200" s="5">
        <f t="shared" si="14"/>
        <v>0</v>
      </c>
      <c r="F200" s="5">
        <f t="shared" si="14"/>
        <v>0</v>
      </c>
      <c r="G200" s="5">
        <f t="shared" si="14"/>
        <v>0</v>
      </c>
      <c r="H200" s="5">
        <f t="shared" si="14"/>
        <v>0</v>
      </c>
      <c r="I200" s="5">
        <f t="shared" si="14"/>
        <v>1</v>
      </c>
      <c r="J200" s="5">
        <f t="shared" si="14"/>
        <v>0</v>
      </c>
      <c r="K200" s="5">
        <f t="shared" si="14"/>
        <v>0</v>
      </c>
      <c r="L200" s="5">
        <f t="shared" si="14"/>
        <v>0</v>
      </c>
      <c r="M200" s="5">
        <f t="shared" si="14"/>
        <v>0</v>
      </c>
      <c r="N200" s="32">
        <v>5.9550724637681039E-2</v>
      </c>
      <c r="O200" s="32">
        <v>-1.0550724637681037E-2</v>
      </c>
      <c r="P200" s="24">
        <f t="shared" si="15"/>
        <v>4.7554347826087008E-2</v>
      </c>
    </row>
    <row r="201" spans="1:16" x14ac:dyDescent="0.3">
      <c r="A201" s="2">
        <v>23590</v>
      </c>
      <c r="B201" s="23">
        <v>4.8000000000000001E-2</v>
      </c>
      <c r="C201" s="5">
        <f t="shared" si="13"/>
        <v>0</v>
      </c>
      <c r="D201" s="5">
        <f t="shared" si="14"/>
        <v>0</v>
      </c>
      <c r="E201" s="5">
        <f t="shared" si="14"/>
        <v>0</v>
      </c>
      <c r="F201" s="5">
        <f t="shared" si="14"/>
        <v>0</v>
      </c>
      <c r="G201" s="5">
        <f t="shared" si="14"/>
        <v>0</v>
      </c>
      <c r="H201" s="5">
        <f t="shared" si="14"/>
        <v>0</v>
      </c>
      <c r="I201" s="5">
        <f t="shared" si="14"/>
        <v>0</v>
      </c>
      <c r="J201" s="5">
        <f t="shared" si="14"/>
        <v>1</v>
      </c>
      <c r="K201" s="5">
        <f t="shared" si="14"/>
        <v>0</v>
      </c>
      <c r="L201" s="5">
        <f t="shared" si="14"/>
        <v>0</v>
      </c>
      <c r="M201" s="5">
        <f t="shared" si="14"/>
        <v>0</v>
      </c>
      <c r="N201" s="32">
        <v>5.6521739130434699E-2</v>
      </c>
      <c r="O201" s="32">
        <v>-8.5217391304346982E-3</v>
      </c>
      <c r="P201" s="24">
        <f t="shared" si="15"/>
        <v>4.9583333333333347E-2</v>
      </c>
    </row>
    <row r="202" spans="1:16" x14ac:dyDescent="0.3">
      <c r="A202" s="2">
        <v>23621</v>
      </c>
      <c r="B202" s="23">
        <v>4.4999999999999998E-2</v>
      </c>
      <c r="C202" s="5">
        <f t="shared" si="13"/>
        <v>0</v>
      </c>
      <c r="D202" s="5">
        <f t="shared" si="14"/>
        <v>0</v>
      </c>
      <c r="E202" s="5">
        <f t="shared" si="14"/>
        <v>0</v>
      </c>
      <c r="F202" s="5">
        <f t="shared" si="14"/>
        <v>0</v>
      </c>
      <c r="G202" s="5">
        <f t="shared" si="14"/>
        <v>0</v>
      </c>
      <c r="H202" s="5">
        <f t="shared" si="14"/>
        <v>0</v>
      </c>
      <c r="I202" s="5">
        <f t="shared" si="14"/>
        <v>0</v>
      </c>
      <c r="J202" s="5">
        <f t="shared" si="14"/>
        <v>0</v>
      </c>
      <c r="K202" s="5">
        <f t="shared" si="14"/>
        <v>1</v>
      </c>
      <c r="L202" s="5">
        <f t="shared" si="14"/>
        <v>0</v>
      </c>
      <c r="M202" s="5">
        <f t="shared" si="14"/>
        <v>0</v>
      </c>
      <c r="N202" s="32">
        <v>5.4768115942028898E-2</v>
      </c>
      <c r="O202" s="32">
        <v>-9.7681159420289002E-3</v>
      </c>
      <c r="P202" s="24">
        <f t="shared" si="15"/>
        <v>4.8336956521739145E-2</v>
      </c>
    </row>
    <row r="203" spans="1:16" x14ac:dyDescent="0.3">
      <c r="A203" s="2">
        <v>23651</v>
      </c>
      <c r="B203" s="23">
        <v>4.4000000000000004E-2</v>
      </c>
      <c r="C203" s="5">
        <f t="shared" si="13"/>
        <v>0</v>
      </c>
      <c r="D203" s="5">
        <f t="shared" si="14"/>
        <v>0</v>
      </c>
      <c r="E203" s="5">
        <f t="shared" si="14"/>
        <v>0</v>
      </c>
      <c r="F203" s="5">
        <f t="shared" si="14"/>
        <v>0</v>
      </c>
      <c r="G203" s="5">
        <f t="shared" si="14"/>
        <v>0</v>
      </c>
      <c r="H203" s="5">
        <f t="shared" si="14"/>
        <v>0</v>
      </c>
      <c r="I203" s="5">
        <f t="shared" si="14"/>
        <v>0</v>
      </c>
      <c r="J203" s="5">
        <f t="shared" si="14"/>
        <v>0</v>
      </c>
      <c r="K203" s="5">
        <f t="shared" si="14"/>
        <v>0</v>
      </c>
      <c r="L203" s="5">
        <f t="shared" si="14"/>
        <v>1</v>
      </c>
      <c r="M203" s="5">
        <f t="shared" si="14"/>
        <v>0</v>
      </c>
      <c r="N203" s="32">
        <v>5.3115942028985473E-2</v>
      </c>
      <c r="O203" s="32">
        <v>-9.1159420289854687E-3</v>
      </c>
      <c r="P203" s="24">
        <f t="shared" si="15"/>
        <v>4.8989130434782577E-2</v>
      </c>
    </row>
    <row r="204" spans="1:16" x14ac:dyDescent="0.3">
      <c r="A204" s="2">
        <v>23682</v>
      </c>
      <c r="B204" s="23">
        <v>4.4999999999999998E-2</v>
      </c>
      <c r="C204" s="5">
        <f t="shared" si="13"/>
        <v>0</v>
      </c>
      <c r="D204" s="5">
        <f t="shared" si="14"/>
        <v>0</v>
      </c>
      <c r="E204" s="5">
        <f t="shared" si="14"/>
        <v>0</v>
      </c>
      <c r="F204" s="5">
        <f t="shared" si="14"/>
        <v>0</v>
      </c>
      <c r="G204" s="5">
        <f t="shared" si="14"/>
        <v>0</v>
      </c>
      <c r="H204" s="5">
        <f t="shared" si="14"/>
        <v>0</v>
      </c>
      <c r="I204" s="5">
        <f t="shared" si="14"/>
        <v>0</v>
      </c>
      <c r="J204" s="5">
        <f t="shared" si="14"/>
        <v>0</v>
      </c>
      <c r="K204" s="5">
        <f t="shared" si="14"/>
        <v>0</v>
      </c>
      <c r="L204" s="5">
        <f t="shared" si="14"/>
        <v>0</v>
      </c>
      <c r="M204" s="5">
        <f t="shared" si="14"/>
        <v>1</v>
      </c>
      <c r="N204" s="32">
        <v>5.4782608695652081E-2</v>
      </c>
      <c r="O204" s="32">
        <v>-9.7826086956520827E-3</v>
      </c>
      <c r="P204" s="24">
        <f t="shared" si="15"/>
        <v>4.8322463768115963E-2</v>
      </c>
    </row>
    <row r="205" spans="1:16" x14ac:dyDescent="0.3">
      <c r="A205" s="2">
        <v>23712</v>
      </c>
      <c r="B205" s="23">
        <v>4.7E-2</v>
      </c>
      <c r="C205" s="5">
        <f t="shared" si="13"/>
        <v>0</v>
      </c>
      <c r="D205" s="5">
        <f t="shared" si="14"/>
        <v>0</v>
      </c>
      <c r="E205" s="5">
        <f t="shared" si="14"/>
        <v>0</v>
      </c>
      <c r="F205" s="5">
        <f t="shared" si="14"/>
        <v>0</v>
      </c>
      <c r="G205" s="5">
        <f t="shared" si="14"/>
        <v>0</v>
      </c>
      <c r="H205" s="5">
        <f t="shared" si="14"/>
        <v>0</v>
      </c>
      <c r="I205" s="5">
        <f t="shared" si="14"/>
        <v>0</v>
      </c>
      <c r="J205" s="5">
        <f t="shared" si="14"/>
        <v>0</v>
      </c>
      <c r="K205" s="5">
        <f t="shared" si="14"/>
        <v>0</v>
      </c>
      <c r="L205" s="5">
        <f t="shared" si="14"/>
        <v>0</v>
      </c>
      <c r="M205" s="5">
        <f t="shared" si="14"/>
        <v>0</v>
      </c>
      <c r="N205" s="32">
        <v>5.5202898550724598E-2</v>
      </c>
      <c r="O205" s="32">
        <v>-8.202898550724598E-3</v>
      </c>
      <c r="P205" s="24">
        <f t="shared" si="15"/>
        <v>4.9902173913043447E-2</v>
      </c>
    </row>
    <row r="206" spans="1:16" x14ac:dyDescent="0.3">
      <c r="A206" s="2">
        <v>23743</v>
      </c>
      <c r="B206" s="23">
        <v>5.5E-2</v>
      </c>
      <c r="C206" s="5">
        <f t="shared" si="13"/>
        <v>1</v>
      </c>
      <c r="D206" s="5">
        <f t="shared" si="14"/>
        <v>0</v>
      </c>
      <c r="E206" s="5">
        <f t="shared" si="14"/>
        <v>0</v>
      </c>
      <c r="F206" s="5">
        <f t="shared" si="14"/>
        <v>0</v>
      </c>
      <c r="G206" s="5">
        <f t="shared" si="14"/>
        <v>0</v>
      </c>
      <c r="H206" s="5">
        <f t="shared" si="14"/>
        <v>0</v>
      </c>
      <c r="I206" s="5">
        <f t="shared" si="14"/>
        <v>0</v>
      </c>
      <c r="J206" s="5">
        <f t="shared" si="14"/>
        <v>0</v>
      </c>
      <c r="K206" s="5">
        <f t="shared" si="14"/>
        <v>0</v>
      </c>
      <c r="L206" s="5">
        <f t="shared" si="14"/>
        <v>0</v>
      </c>
      <c r="M206" s="5">
        <f t="shared" si="14"/>
        <v>0</v>
      </c>
      <c r="N206" s="32">
        <v>6.4492753623188417E-2</v>
      </c>
      <c r="O206" s="32">
        <v>-9.4927536231884171E-3</v>
      </c>
      <c r="P206" s="24">
        <f t="shared" si="15"/>
        <v>4.8612318840579628E-2</v>
      </c>
    </row>
    <row r="207" spans="1:16" x14ac:dyDescent="0.3">
      <c r="A207" s="2">
        <v>23774</v>
      </c>
      <c r="B207" s="23">
        <v>5.7000000000000002E-2</v>
      </c>
      <c r="C207" s="5">
        <f t="shared" si="13"/>
        <v>0</v>
      </c>
      <c r="D207" s="5">
        <f t="shared" si="14"/>
        <v>1</v>
      </c>
      <c r="E207" s="5">
        <f t="shared" si="14"/>
        <v>0</v>
      </c>
      <c r="F207" s="5">
        <f t="shared" si="14"/>
        <v>0</v>
      </c>
      <c r="G207" s="5">
        <f t="shared" si="14"/>
        <v>0</v>
      </c>
      <c r="H207" s="5">
        <f t="shared" si="14"/>
        <v>0</v>
      </c>
      <c r="I207" s="5">
        <f t="shared" si="14"/>
        <v>0</v>
      </c>
      <c r="J207" s="5">
        <f t="shared" si="14"/>
        <v>0</v>
      </c>
      <c r="K207" s="5">
        <f t="shared" si="14"/>
        <v>0</v>
      </c>
      <c r="L207" s="5">
        <f t="shared" si="14"/>
        <v>0</v>
      </c>
      <c r="M207" s="5">
        <f t="shared" si="14"/>
        <v>0</v>
      </c>
      <c r="N207" s="32">
        <v>6.4391304347825973E-2</v>
      </c>
      <c r="O207" s="32">
        <v>-7.3913043478259707E-3</v>
      </c>
      <c r="P207" s="24">
        <f t="shared" si="15"/>
        <v>5.0713768115942075E-2</v>
      </c>
    </row>
    <row r="208" spans="1:16" x14ac:dyDescent="0.3">
      <c r="A208" s="2">
        <v>23802</v>
      </c>
      <c r="B208" s="23">
        <v>5.0999999999999997E-2</v>
      </c>
      <c r="C208" s="5">
        <f t="shared" si="13"/>
        <v>0</v>
      </c>
      <c r="D208" s="5">
        <f t="shared" si="14"/>
        <v>0</v>
      </c>
      <c r="E208" s="5">
        <f t="shared" si="14"/>
        <v>1</v>
      </c>
      <c r="F208" s="5">
        <f t="shared" si="14"/>
        <v>0</v>
      </c>
      <c r="G208" s="5">
        <f t="shared" si="14"/>
        <v>0</v>
      </c>
      <c r="H208" s="5">
        <f t="shared" si="14"/>
        <v>0</v>
      </c>
      <c r="I208" s="5">
        <f t="shared" si="14"/>
        <v>0</v>
      </c>
      <c r="J208" s="5">
        <f t="shared" si="14"/>
        <v>0</v>
      </c>
      <c r="K208" s="5">
        <f t="shared" si="14"/>
        <v>0</v>
      </c>
      <c r="L208" s="5">
        <f t="shared" si="14"/>
        <v>0</v>
      </c>
      <c r="M208" s="5">
        <f t="shared" si="14"/>
        <v>0</v>
      </c>
      <c r="N208" s="32">
        <v>6.1652173913043402E-2</v>
      </c>
      <c r="O208" s="32">
        <v>-1.0652173913043406E-2</v>
      </c>
      <c r="P208" s="24">
        <f t="shared" si="15"/>
        <v>4.745289855072464E-2</v>
      </c>
    </row>
    <row r="209" spans="1:16" x14ac:dyDescent="0.3">
      <c r="A209" s="2">
        <v>23833</v>
      </c>
      <c r="B209" s="23">
        <v>4.7E-2</v>
      </c>
      <c r="C209" s="5">
        <f t="shared" si="13"/>
        <v>0</v>
      </c>
      <c r="D209" s="5">
        <f t="shared" si="14"/>
        <v>0</v>
      </c>
      <c r="E209" s="5">
        <f t="shared" si="14"/>
        <v>0</v>
      </c>
      <c r="F209" s="5">
        <f t="shared" si="14"/>
        <v>1</v>
      </c>
      <c r="G209" s="5">
        <f t="shared" si="14"/>
        <v>0</v>
      </c>
      <c r="H209" s="5">
        <f t="shared" si="14"/>
        <v>0</v>
      </c>
      <c r="I209" s="5">
        <f t="shared" si="14"/>
        <v>0</v>
      </c>
      <c r="J209" s="5">
        <f t="shared" si="14"/>
        <v>0</v>
      </c>
      <c r="K209" s="5">
        <f t="shared" si="14"/>
        <v>0</v>
      </c>
      <c r="L209" s="5">
        <f t="shared" si="14"/>
        <v>0</v>
      </c>
      <c r="M209" s="5">
        <f t="shared" si="14"/>
        <v>0</v>
      </c>
      <c r="N209" s="32">
        <v>5.6550724637681071E-2</v>
      </c>
      <c r="O209" s="32">
        <v>-9.5507246376810712E-3</v>
      </c>
      <c r="P209" s="24">
        <f t="shared" si="15"/>
        <v>4.8554347826086974E-2</v>
      </c>
    </row>
    <row r="210" spans="1:16" x14ac:dyDescent="0.3">
      <c r="A210" s="2">
        <v>23863</v>
      </c>
      <c r="B210" s="23">
        <v>4.2999999999999997E-2</v>
      </c>
      <c r="C210" s="5">
        <f t="shared" si="13"/>
        <v>0</v>
      </c>
      <c r="D210" s="5">
        <f t="shared" si="14"/>
        <v>0</v>
      </c>
      <c r="E210" s="5">
        <f t="shared" si="14"/>
        <v>0</v>
      </c>
      <c r="F210" s="5">
        <f t="shared" si="14"/>
        <v>0</v>
      </c>
      <c r="G210" s="5">
        <f t="shared" si="14"/>
        <v>1</v>
      </c>
      <c r="H210" s="5">
        <f t="shared" si="14"/>
        <v>0</v>
      </c>
      <c r="I210" s="5">
        <f t="shared" si="14"/>
        <v>0</v>
      </c>
      <c r="J210" s="5">
        <f t="shared" si="14"/>
        <v>0</v>
      </c>
      <c r="K210" s="5">
        <f t="shared" si="14"/>
        <v>0</v>
      </c>
      <c r="L210" s="5">
        <f t="shared" si="14"/>
        <v>0</v>
      </c>
      <c r="M210" s="5">
        <f t="shared" si="14"/>
        <v>0</v>
      </c>
      <c r="N210" s="32">
        <v>5.5101449275362209E-2</v>
      </c>
      <c r="O210" s="32">
        <v>-1.2101449275362212E-2</v>
      </c>
      <c r="P210" s="24">
        <f t="shared" si="15"/>
        <v>4.6003623188405833E-2</v>
      </c>
    </row>
    <row r="211" spans="1:16" x14ac:dyDescent="0.3">
      <c r="A211" s="2">
        <v>23894</v>
      </c>
      <c r="B211" s="23">
        <v>5.2999999999999999E-2</v>
      </c>
      <c r="C211" s="5">
        <f t="shared" si="13"/>
        <v>0</v>
      </c>
      <c r="D211" s="5">
        <f t="shared" si="14"/>
        <v>0</v>
      </c>
      <c r="E211" s="5">
        <f t="shared" si="14"/>
        <v>0</v>
      </c>
      <c r="F211" s="5">
        <f t="shared" si="14"/>
        <v>0</v>
      </c>
      <c r="G211" s="5">
        <f t="shared" si="14"/>
        <v>0</v>
      </c>
      <c r="H211" s="5">
        <f t="shared" si="14"/>
        <v>1</v>
      </c>
      <c r="I211" s="5">
        <f t="shared" si="14"/>
        <v>0</v>
      </c>
      <c r="J211" s="5">
        <f t="shared" si="14"/>
        <v>0</v>
      </c>
      <c r="K211" s="5">
        <f t="shared" si="14"/>
        <v>0</v>
      </c>
      <c r="L211" s="5">
        <f t="shared" si="14"/>
        <v>0</v>
      </c>
      <c r="M211" s="5">
        <f t="shared" si="14"/>
        <v>0</v>
      </c>
      <c r="N211" s="32">
        <v>6.1130434782608579E-2</v>
      </c>
      <c r="O211" s="32">
        <v>-8.130434782608581E-3</v>
      </c>
      <c r="P211" s="24">
        <f t="shared" si="15"/>
        <v>4.9974637681159464E-2</v>
      </c>
    </row>
    <row r="212" spans="1:16" x14ac:dyDescent="0.3">
      <c r="A212" s="2">
        <v>23924</v>
      </c>
      <c r="B212" s="23">
        <v>4.4999999999999998E-2</v>
      </c>
      <c r="C212" s="5">
        <f t="shared" si="13"/>
        <v>0</v>
      </c>
      <c r="D212" s="5">
        <f t="shared" si="14"/>
        <v>0</v>
      </c>
      <c r="E212" s="5">
        <f t="shared" si="14"/>
        <v>0</v>
      </c>
      <c r="F212" s="5">
        <f t="shared" si="14"/>
        <v>0</v>
      </c>
      <c r="G212" s="5">
        <f t="shared" si="14"/>
        <v>0</v>
      </c>
      <c r="H212" s="5">
        <f t="shared" si="14"/>
        <v>0</v>
      </c>
      <c r="I212" s="5">
        <f t="shared" si="14"/>
        <v>1</v>
      </c>
      <c r="J212" s="5">
        <f t="shared" si="14"/>
        <v>0</v>
      </c>
      <c r="K212" s="5">
        <f t="shared" si="14"/>
        <v>0</v>
      </c>
      <c r="L212" s="5">
        <f t="shared" si="14"/>
        <v>0</v>
      </c>
      <c r="M212" s="5">
        <f t="shared" si="14"/>
        <v>0</v>
      </c>
      <c r="N212" s="32">
        <v>5.9550724637681039E-2</v>
      </c>
      <c r="O212" s="32">
        <v>-1.4550724637681041E-2</v>
      </c>
      <c r="P212" s="24">
        <f t="shared" si="15"/>
        <v>4.3554347826087005E-2</v>
      </c>
    </row>
    <row r="213" spans="1:16" x14ac:dyDescent="0.3">
      <c r="A213" s="2">
        <v>23955</v>
      </c>
      <c r="B213" s="23">
        <v>4.2000000000000003E-2</v>
      </c>
      <c r="C213" s="5">
        <f t="shared" si="13"/>
        <v>0</v>
      </c>
      <c r="D213" s="5">
        <f t="shared" si="14"/>
        <v>0</v>
      </c>
      <c r="E213" s="5">
        <f t="shared" si="14"/>
        <v>0</v>
      </c>
      <c r="F213" s="5">
        <f t="shared" si="14"/>
        <v>0</v>
      </c>
      <c r="G213" s="5">
        <f t="shared" si="14"/>
        <v>0</v>
      </c>
      <c r="H213" s="5">
        <f t="shared" si="14"/>
        <v>0</v>
      </c>
      <c r="I213" s="5">
        <f t="shared" si="14"/>
        <v>0</v>
      </c>
      <c r="J213" s="5">
        <f t="shared" si="14"/>
        <v>1</v>
      </c>
      <c r="K213" s="5">
        <f t="shared" si="14"/>
        <v>0</v>
      </c>
      <c r="L213" s="5">
        <f t="shared" si="14"/>
        <v>0</v>
      </c>
      <c r="M213" s="5">
        <f t="shared" si="14"/>
        <v>0</v>
      </c>
      <c r="N213" s="32">
        <v>5.6521739130434699E-2</v>
      </c>
      <c r="O213" s="32">
        <v>-1.4521739130434697E-2</v>
      </c>
      <c r="P213" s="24">
        <f t="shared" si="15"/>
        <v>4.3583333333333349E-2</v>
      </c>
    </row>
    <row r="214" spans="1:16" x14ac:dyDescent="0.3">
      <c r="A214" s="2">
        <v>23986</v>
      </c>
      <c r="B214" s="23">
        <v>3.7999999999999999E-2</v>
      </c>
      <c r="C214" s="5">
        <f t="shared" si="13"/>
        <v>0</v>
      </c>
      <c r="D214" s="5">
        <f t="shared" si="14"/>
        <v>0</v>
      </c>
      <c r="E214" s="5">
        <f t="shared" si="14"/>
        <v>0</v>
      </c>
      <c r="F214" s="5">
        <f t="shared" si="14"/>
        <v>0</v>
      </c>
      <c r="G214" s="5">
        <f t="shared" si="14"/>
        <v>0</v>
      </c>
      <c r="H214" s="5">
        <f t="shared" si="14"/>
        <v>0</v>
      </c>
      <c r="I214" s="5">
        <f t="shared" si="14"/>
        <v>0</v>
      </c>
      <c r="J214" s="5">
        <f t="shared" si="14"/>
        <v>0</v>
      </c>
      <c r="K214" s="5">
        <f t="shared" si="14"/>
        <v>1</v>
      </c>
      <c r="L214" s="5">
        <f t="shared" si="14"/>
        <v>0</v>
      </c>
      <c r="M214" s="5">
        <f t="shared" si="14"/>
        <v>0</v>
      </c>
      <c r="N214" s="32">
        <v>5.4768115942028898E-2</v>
      </c>
      <c r="O214" s="32">
        <v>-1.6768115942028899E-2</v>
      </c>
      <c r="P214" s="24">
        <f t="shared" si="15"/>
        <v>4.1336956521739146E-2</v>
      </c>
    </row>
    <row r="215" spans="1:16" x14ac:dyDescent="0.3">
      <c r="A215" s="2">
        <v>24016</v>
      </c>
      <c r="B215" s="23">
        <v>3.6000000000000004E-2</v>
      </c>
      <c r="C215" s="5">
        <f t="shared" si="13"/>
        <v>0</v>
      </c>
      <c r="D215" s="5">
        <f t="shared" si="14"/>
        <v>0</v>
      </c>
      <c r="E215" s="5">
        <f t="shared" si="14"/>
        <v>0</v>
      </c>
      <c r="F215" s="5">
        <f t="shared" si="14"/>
        <v>0</v>
      </c>
      <c r="G215" s="5">
        <f t="shared" si="14"/>
        <v>0</v>
      </c>
      <c r="H215" s="5">
        <f t="shared" si="14"/>
        <v>0</v>
      </c>
      <c r="I215" s="5">
        <f t="shared" si="14"/>
        <v>0</v>
      </c>
      <c r="J215" s="5">
        <f t="shared" si="14"/>
        <v>0</v>
      </c>
      <c r="K215" s="5">
        <f t="shared" si="14"/>
        <v>0</v>
      </c>
      <c r="L215" s="5">
        <f t="shared" si="14"/>
        <v>1</v>
      </c>
      <c r="M215" s="5">
        <f t="shared" si="14"/>
        <v>0</v>
      </c>
      <c r="N215" s="32">
        <v>5.3115942028985473E-2</v>
      </c>
      <c r="O215" s="32">
        <v>-1.7115942028985469E-2</v>
      </c>
      <c r="P215" s="24">
        <f t="shared" si="15"/>
        <v>4.0989130434782577E-2</v>
      </c>
    </row>
    <row r="216" spans="1:16" x14ac:dyDescent="0.3">
      <c r="A216" s="2">
        <v>24047</v>
      </c>
      <c r="B216" s="23">
        <v>3.9E-2</v>
      </c>
      <c r="C216" s="5">
        <f t="shared" si="13"/>
        <v>0</v>
      </c>
      <c r="D216" s="5">
        <f t="shared" si="14"/>
        <v>0</v>
      </c>
      <c r="E216" s="5">
        <f t="shared" si="14"/>
        <v>0</v>
      </c>
      <c r="F216" s="5">
        <f t="shared" si="14"/>
        <v>0</v>
      </c>
      <c r="G216" s="5">
        <f t="shared" si="14"/>
        <v>0</v>
      </c>
      <c r="H216" s="5">
        <f t="shared" si="14"/>
        <v>0</v>
      </c>
      <c r="I216" s="5">
        <f t="shared" si="14"/>
        <v>0</v>
      </c>
      <c r="J216" s="5">
        <f t="shared" si="14"/>
        <v>0</v>
      </c>
      <c r="K216" s="5">
        <f t="shared" si="14"/>
        <v>0</v>
      </c>
      <c r="L216" s="5">
        <f t="shared" si="14"/>
        <v>0</v>
      </c>
      <c r="M216" s="5">
        <f t="shared" si="14"/>
        <v>1</v>
      </c>
      <c r="N216" s="32">
        <v>5.4782608695652081E-2</v>
      </c>
      <c r="O216" s="32">
        <v>-1.5782608695652081E-2</v>
      </c>
      <c r="P216" s="24">
        <f t="shared" si="15"/>
        <v>4.2322463768115964E-2</v>
      </c>
    </row>
    <row r="217" spans="1:16" x14ac:dyDescent="0.3">
      <c r="A217" s="2">
        <v>24077</v>
      </c>
      <c r="B217" s="23">
        <v>3.7000000000000005E-2</v>
      </c>
      <c r="C217" s="5">
        <f t="shared" si="13"/>
        <v>0</v>
      </c>
      <c r="D217" s="5">
        <f t="shared" si="14"/>
        <v>0</v>
      </c>
      <c r="E217" s="5">
        <f t="shared" si="14"/>
        <v>0</v>
      </c>
      <c r="F217" s="5">
        <f t="shared" si="14"/>
        <v>0</v>
      </c>
      <c r="G217" s="5">
        <f t="shared" si="14"/>
        <v>0</v>
      </c>
      <c r="H217" s="5">
        <f t="shared" si="14"/>
        <v>0</v>
      </c>
      <c r="I217" s="5">
        <f t="shared" si="14"/>
        <v>0</v>
      </c>
      <c r="J217" s="5">
        <f t="shared" si="14"/>
        <v>0</v>
      </c>
      <c r="K217" s="5">
        <f t="shared" si="14"/>
        <v>0</v>
      </c>
      <c r="L217" s="5">
        <f t="shared" si="14"/>
        <v>0</v>
      </c>
      <c r="M217" s="5">
        <f t="shared" si="14"/>
        <v>0</v>
      </c>
      <c r="N217" s="32">
        <v>5.5202898550724598E-2</v>
      </c>
      <c r="O217" s="32">
        <v>-1.8202898550724593E-2</v>
      </c>
      <c r="P217" s="24">
        <f t="shared" si="15"/>
        <v>3.9902173913043452E-2</v>
      </c>
    </row>
    <row r="218" spans="1:16" x14ac:dyDescent="0.3">
      <c r="A218" s="2">
        <v>24108</v>
      </c>
      <c r="B218" s="23">
        <v>4.4000000000000004E-2</v>
      </c>
      <c r="C218" s="5">
        <f t="shared" si="13"/>
        <v>1</v>
      </c>
      <c r="D218" s="5">
        <f t="shared" si="14"/>
        <v>0</v>
      </c>
      <c r="E218" s="5">
        <f t="shared" si="14"/>
        <v>0</v>
      </c>
      <c r="F218" s="5">
        <f t="shared" si="14"/>
        <v>0</v>
      </c>
      <c r="G218" s="5">
        <f t="shared" ref="D218:M243" si="16">IF(MONTH($A218)=G$1,1,0)</f>
        <v>0</v>
      </c>
      <c r="H218" s="5">
        <f t="shared" si="16"/>
        <v>0</v>
      </c>
      <c r="I218" s="5">
        <f t="shared" si="16"/>
        <v>0</v>
      </c>
      <c r="J218" s="5">
        <f t="shared" si="16"/>
        <v>0</v>
      </c>
      <c r="K218" s="5">
        <f t="shared" si="16"/>
        <v>0</v>
      </c>
      <c r="L218" s="5">
        <f t="shared" si="16"/>
        <v>0</v>
      </c>
      <c r="M218" s="5">
        <f t="shared" si="16"/>
        <v>0</v>
      </c>
      <c r="N218" s="32">
        <v>6.4492753623188417E-2</v>
      </c>
      <c r="O218" s="32">
        <v>-2.0492753623188413E-2</v>
      </c>
      <c r="P218" s="24">
        <f t="shared" si="15"/>
        <v>3.7612318840579632E-2</v>
      </c>
    </row>
    <row r="219" spans="1:16" x14ac:dyDescent="0.3">
      <c r="A219" s="2">
        <v>24139</v>
      </c>
      <c r="B219" s="23">
        <v>4.2000000000000003E-2</v>
      </c>
      <c r="C219" s="5">
        <f t="shared" si="13"/>
        <v>0</v>
      </c>
      <c r="D219" s="5">
        <f t="shared" si="16"/>
        <v>1</v>
      </c>
      <c r="E219" s="5">
        <f t="shared" si="16"/>
        <v>0</v>
      </c>
      <c r="F219" s="5">
        <f t="shared" si="16"/>
        <v>0</v>
      </c>
      <c r="G219" s="5">
        <f t="shared" si="16"/>
        <v>0</v>
      </c>
      <c r="H219" s="5">
        <f t="shared" si="16"/>
        <v>0</v>
      </c>
      <c r="I219" s="5">
        <f t="shared" si="16"/>
        <v>0</v>
      </c>
      <c r="J219" s="5">
        <f t="shared" si="16"/>
        <v>0</v>
      </c>
      <c r="K219" s="5">
        <f t="shared" si="16"/>
        <v>0</v>
      </c>
      <c r="L219" s="5">
        <f t="shared" si="16"/>
        <v>0</v>
      </c>
      <c r="M219" s="5">
        <f t="shared" si="16"/>
        <v>0</v>
      </c>
      <c r="N219" s="32">
        <v>6.4391304347825973E-2</v>
      </c>
      <c r="O219" s="32">
        <v>-2.239130434782597E-2</v>
      </c>
      <c r="P219" s="24">
        <f t="shared" si="15"/>
        <v>3.5713768115942075E-2</v>
      </c>
    </row>
    <row r="220" spans="1:16" x14ac:dyDescent="0.3">
      <c r="A220" s="2">
        <v>24167</v>
      </c>
      <c r="B220" s="23">
        <v>0.04</v>
      </c>
      <c r="C220" s="5">
        <f t="shared" si="13"/>
        <v>0</v>
      </c>
      <c r="D220" s="5">
        <f t="shared" si="16"/>
        <v>0</v>
      </c>
      <c r="E220" s="5">
        <f t="shared" si="16"/>
        <v>1</v>
      </c>
      <c r="F220" s="5">
        <f t="shared" si="16"/>
        <v>0</v>
      </c>
      <c r="G220" s="5">
        <f t="shared" si="16"/>
        <v>0</v>
      </c>
      <c r="H220" s="5">
        <f t="shared" si="16"/>
        <v>0</v>
      </c>
      <c r="I220" s="5">
        <f t="shared" si="16"/>
        <v>0</v>
      </c>
      <c r="J220" s="5">
        <f t="shared" si="16"/>
        <v>0</v>
      </c>
      <c r="K220" s="5">
        <f t="shared" si="16"/>
        <v>0</v>
      </c>
      <c r="L220" s="5">
        <f t="shared" si="16"/>
        <v>0</v>
      </c>
      <c r="M220" s="5">
        <f t="shared" si="16"/>
        <v>0</v>
      </c>
      <c r="N220" s="32">
        <v>6.1652173913043402E-2</v>
      </c>
      <c r="O220" s="32">
        <v>-2.1652173913043402E-2</v>
      </c>
      <c r="P220" s="24">
        <f t="shared" si="15"/>
        <v>3.6452898550724644E-2</v>
      </c>
    </row>
    <row r="221" spans="1:16" x14ac:dyDescent="0.3">
      <c r="A221" s="2">
        <v>24198</v>
      </c>
      <c r="B221" s="23">
        <v>3.6000000000000004E-2</v>
      </c>
      <c r="C221" s="5">
        <f t="shared" si="13"/>
        <v>0</v>
      </c>
      <c r="D221" s="5">
        <f t="shared" si="16"/>
        <v>0</v>
      </c>
      <c r="E221" s="5">
        <f t="shared" si="16"/>
        <v>0</v>
      </c>
      <c r="F221" s="5">
        <f t="shared" si="16"/>
        <v>1</v>
      </c>
      <c r="G221" s="5">
        <f t="shared" si="16"/>
        <v>0</v>
      </c>
      <c r="H221" s="5">
        <f t="shared" si="16"/>
        <v>0</v>
      </c>
      <c r="I221" s="5">
        <f t="shared" si="16"/>
        <v>0</v>
      </c>
      <c r="J221" s="5">
        <f t="shared" si="16"/>
        <v>0</v>
      </c>
      <c r="K221" s="5">
        <f t="shared" si="16"/>
        <v>0</v>
      </c>
      <c r="L221" s="5">
        <f t="shared" si="16"/>
        <v>0</v>
      </c>
      <c r="M221" s="5">
        <f t="shared" si="16"/>
        <v>0</v>
      </c>
      <c r="N221" s="32">
        <v>5.6550724637681071E-2</v>
      </c>
      <c r="O221" s="32">
        <v>-2.0550724637681067E-2</v>
      </c>
      <c r="P221" s="24">
        <f t="shared" si="15"/>
        <v>3.7554347826086978E-2</v>
      </c>
    </row>
    <row r="222" spans="1:16" x14ac:dyDescent="0.3">
      <c r="A222" s="2">
        <v>24228</v>
      </c>
      <c r="B222" s="23">
        <v>3.7000000000000005E-2</v>
      </c>
      <c r="C222" s="5">
        <f t="shared" si="13"/>
        <v>0</v>
      </c>
      <c r="D222" s="5">
        <f t="shared" si="16"/>
        <v>0</v>
      </c>
      <c r="E222" s="5">
        <f t="shared" si="16"/>
        <v>0</v>
      </c>
      <c r="F222" s="5">
        <f t="shared" si="16"/>
        <v>0</v>
      </c>
      <c r="G222" s="5">
        <f t="shared" si="16"/>
        <v>1</v>
      </c>
      <c r="H222" s="5">
        <f t="shared" si="16"/>
        <v>0</v>
      </c>
      <c r="I222" s="5">
        <f t="shared" si="16"/>
        <v>0</v>
      </c>
      <c r="J222" s="5">
        <f t="shared" si="16"/>
        <v>0</v>
      </c>
      <c r="K222" s="5">
        <f t="shared" si="16"/>
        <v>0</v>
      </c>
      <c r="L222" s="5">
        <f t="shared" si="16"/>
        <v>0</v>
      </c>
      <c r="M222" s="5">
        <f t="shared" si="16"/>
        <v>0</v>
      </c>
      <c r="N222" s="32">
        <v>5.5101449275362209E-2</v>
      </c>
      <c r="O222" s="32">
        <v>-1.8101449275362204E-2</v>
      </c>
      <c r="P222" s="24">
        <f t="shared" si="15"/>
        <v>4.0003623188405842E-2</v>
      </c>
    </row>
    <row r="223" spans="1:16" x14ac:dyDescent="0.3">
      <c r="A223" s="2">
        <v>24259</v>
      </c>
      <c r="B223" s="23">
        <v>4.5999999999999999E-2</v>
      </c>
      <c r="C223" s="5">
        <f t="shared" si="13"/>
        <v>0</v>
      </c>
      <c r="D223" s="5">
        <f t="shared" si="16"/>
        <v>0</v>
      </c>
      <c r="E223" s="5">
        <f t="shared" si="16"/>
        <v>0</v>
      </c>
      <c r="F223" s="5">
        <f t="shared" si="16"/>
        <v>0</v>
      </c>
      <c r="G223" s="5">
        <f t="shared" si="16"/>
        <v>0</v>
      </c>
      <c r="H223" s="5">
        <f t="shared" si="16"/>
        <v>1</v>
      </c>
      <c r="I223" s="5">
        <f t="shared" si="16"/>
        <v>0</v>
      </c>
      <c r="J223" s="5">
        <f t="shared" si="16"/>
        <v>0</v>
      </c>
      <c r="K223" s="5">
        <f t="shared" si="16"/>
        <v>0</v>
      </c>
      <c r="L223" s="5">
        <f t="shared" si="16"/>
        <v>0</v>
      </c>
      <c r="M223" s="5">
        <f t="shared" si="16"/>
        <v>0</v>
      </c>
      <c r="N223" s="32">
        <v>6.1130434782608579E-2</v>
      </c>
      <c r="O223" s="32">
        <v>-1.513043478260858E-2</v>
      </c>
      <c r="P223" s="24">
        <f t="shared" si="15"/>
        <v>4.2974637681159465E-2</v>
      </c>
    </row>
    <row r="224" spans="1:16" x14ac:dyDescent="0.3">
      <c r="A224" s="2">
        <v>24289</v>
      </c>
      <c r="B224" s="23">
        <v>3.9E-2</v>
      </c>
      <c r="C224" s="5">
        <f t="shared" si="13"/>
        <v>0</v>
      </c>
      <c r="D224" s="5">
        <f t="shared" si="16"/>
        <v>0</v>
      </c>
      <c r="E224" s="5">
        <f t="shared" si="16"/>
        <v>0</v>
      </c>
      <c r="F224" s="5">
        <f t="shared" si="16"/>
        <v>0</v>
      </c>
      <c r="G224" s="5">
        <f t="shared" si="16"/>
        <v>0</v>
      </c>
      <c r="H224" s="5">
        <f t="shared" si="16"/>
        <v>0</v>
      </c>
      <c r="I224" s="5">
        <f t="shared" si="16"/>
        <v>1</v>
      </c>
      <c r="J224" s="5">
        <f t="shared" si="16"/>
        <v>0</v>
      </c>
      <c r="K224" s="5">
        <f t="shared" si="16"/>
        <v>0</v>
      </c>
      <c r="L224" s="5">
        <f t="shared" si="16"/>
        <v>0</v>
      </c>
      <c r="M224" s="5">
        <f t="shared" si="16"/>
        <v>0</v>
      </c>
      <c r="N224" s="32">
        <v>5.9550724637681039E-2</v>
      </c>
      <c r="O224" s="32">
        <v>-2.0550724637681039E-2</v>
      </c>
      <c r="P224" s="24">
        <f t="shared" si="15"/>
        <v>3.7554347826087006E-2</v>
      </c>
    </row>
    <row r="225" spans="1:16" x14ac:dyDescent="0.3">
      <c r="A225" s="2">
        <v>24320</v>
      </c>
      <c r="B225" s="23">
        <v>3.6000000000000004E-2</v>
      </c>
      <c r="C225" s="5">
        <f t="shared" si="13"/>
        <v>0</v>
      </c>
      <c r="D225" s="5">
        <f t="shared" si="16"/>
        <v>0</v>
      </c>
      <c r="E225" s="5">
        <f t="shared" si="16"/>
        <v>0</v>
      </c>
      <c r="F225" s="5">
        <f t="shared" si="16"/>
        <v>0</v>
      </c>
      <c r="G225" s="5">
        <f t="shared" si="16"/>
        <v>0</v>
      </c>
      <c r="H225" s="5">
        <f t="shared" si="16"/>
        <v>0</v>
      </c>
      <c r="I225" s="5">
        <f t="shared" si="16"/>
        <v>0</v>
      </c>
      <c r="J225" s="5">
        <f t="shared" si="16"/>
        <v>1</v>
      </c>
      <c r="K225" s="5">
        <f t="shared" si="16"/>
        <v>0</v>
      </c>
      <c r="L225" s="5">
        <f t="shared" si="16"/>
        <v>0</v>
      </c>
      <c r="M225" s="5">
        <f t="shared" si="16"/>
        <v>0</v>
      </c>
      <c r="N225" s="32">
        <v>5.6521739130434699E-2</v>
      </c>
      <c r="O225" s="32">
        <v>-2.0521739130434695E-2</v>
      </c>
      <c r="P225" s="24">
        <f t="shared" si="15"/>
        <v>3.7583333333333351E-2</v>
      </c>
    </row>
    <row r="226" spans="1:16" x14ac:dyDescent="0.3">
      <c r="A226" s="2">
        <v>24351</v>
      </c>
      <c r="B226" s="23">
        <v>3.3000000000000002E-2</v>
      </c>
      <c r="C226" s="5">
        <f t="shared" si="13"/>
        <v>0</v>
      </c>
      <c r="D226" s="5">
        <f t="shared" si="16"/>
        <v>0</v>
      </c>
      <c r="E226" s="5">
        <f t="shared" si="16"/>
        <v>0</v>
      </c>
      <c r="F226" s="5">
        <f t="shared" si="16"/>
        <v>0</v>
      </c>
      <c r="G226" s="5">
        <f t="shared" si="16"/>
        <v>0</v>
      </c>
      <c r="H226" s="5">
        <f t="shared" si="16"/>
        <v>0</v>
      </c>
      <c r="I226" s="5">
        <f t="shared" si="16"/>
        <v>0</v>
      </c>
      <c r="J226" s="5">
        <f t="shared" si="16"/>
        <v>0</v>
      </c>
      <c r="K226" s="5">
        <f t="shared" si="16"/>
        <v>1</v>
      </c>
      <c r="L226" s="5">
        <f t="shared" si="16"/>
        <v>0</v>
      </c>
      <c r="M226" s="5">
        <f t="shared" si="16"/>
        <v>0</v>
      </c>
      <c r="N226" s="32">
        <v>5.4768115942028898E-2</v>
      </c>
      <c r="O226" s="32">
        <v>-2.1768115942028897E-2</v>
      </c>
      <c r="P226" s="24">
        <f t="shared" si="15"/>
        <v>3.6336956521739149E-2</v>
      </c>
    </row>
    <row r="227" spans="1:16" x14ac:dyDescent="0.3">
      <c r="A227" s="2">
        <v>24381</v>
      </c>
      <c r="B227" s="23">
        <v>3.2000000000000001E-2</v>
      </c>
      <c r="C227" s="5">
        <f t="shared" si="13"/>
        <v>0</v>
      </c>
      <c r="D227" s="5">
        <f t="shared" si="16"/>
        <v>0</v>
      </c>
      <c r="E227" s="5">
        <f t="shared" si="16"/>
        <v>0</v>
      </c>
      <c r="F227" s="5">
        <f t="shared" si="16"/>
        <v>0</v>
      </c>
      <c r="G227" s="5">
        <f t="shared" si="16"/>
        <v>0</v>
      </c>
      <c r="H227" s="5">
        <f t="shared" si="16"/>
        <v>0</v>
      </c>
      <c r="I227" s="5">
        <f t="shared" si="16"/>
        <v>0</v>
      </c>
      <c r="J227" s="5">
        <f t="shared" si="16"/>
        <v>0</v>
      </c>
      <c r="K227" s="5">
        <f t="shared" si="16"/>
        <v>0</v>
      </c>
      <c r="L227" s="5">
        <f t="shared" si="16"/>
        <v>1</v>
      </c>
      <c r="M227" s="5">
        <f t="shared" si="16"/>
        <v>0</v>
      </c>
      <c r="N227" s="32">
        <v>5.3115942028985473E-2</v>
      </c>
      <c r="O227" s="32">
        <v>-2.1115942028985472E-2</v>
      </c>
      <c r="P227" s="24">
        <f t="shared" si="15"/>
        <v>3.6989130434782573E-2</v>
      </c>
    </row>
    <row r="228" spans="1:16" x14ac:dyDescent="0.3">
      <c r="A228" s="2">
        <v>24412</v>
      </c>
      <c r="B228" s="23">
        <v>3.4000000000000002E-2</v>
      </c>
      <c r="C228" s="5">
        <f t="shared" si="13"/>
        <v>0</v>
      </c>
      <c r="D228" s="5">
        <f t="shared" si="16"/>
        <v>0</v>
      </c>
      <c r="E228" s="5">
        <f t="shared" si="16"/>
        <v>0</v>
      </c>
      <c r="F228" s="5">
        <f t="shared" si="16"/>
        <v>0</v>
      </c>
      <c r="G228" s="5">
        <f t="shared" si="16"/>
        <v>0</v>
      </c>
      <c r="H228" s="5">
        <f t="shared" si="16"/>
        <v>0</v>
      </c>
      <c r="I228" s="5">
        <f t="shared" si="16"/>
        <v>0</v>
      </c>
      <c r="J228" s="5">
        <f t="shared" si="16"/>
        <v>0</v>
      </c>
      <c r="K228" s="5">
        <f t="shared" si="16"/>
        <v>0</v>
      </c>
      <c r="L228" s="5">
        <f t="shared" si="16"/>
        <v>0</v>
      </c>
      <c r="M228" s="5">
        <f t="shared" si="16"/>
        <v>1</v>
      </c>
      <c r="N228" s="32">
        <v>5.4782608695652081E-2</v>
      </c>
      <c r="O228" s="32">
        <v>-2.0782608695652079E-2</v>
      </c>
      <c r="P228" s="24">
        <f t="shared" si="15"/>
        <v>3.7322463768115967E-2</v>
      </c>
    </row>
    <row r="229" spans="1:16" x14ac:dyDescent="0.3">
      <c r="A229" s="2">
        <v>24442</v>
      </c>
      <c r="B229" s="23">
        <v>3.5000000000000003E-2</v>
      </c>
      <c r="C229" s="5">
        <f t="shared" si="13"/>
        <v>0</v>
      </c>
      <c r="D229" s="5">
        <f t="shared" si="16"/>
        <v>0</v>
      </c>
      <c r="E229" s="5">
        <f t="shared" si="16"/>
        <v>0</v>
      </c>
      <c r="F229" s="5">
        <f t="shared" si="16"/>
        <v>0</v>
      </c>
      <c r="G229" s="5">
        <f t="shared" si="16"/>
        <v>0</v>
      </c>
      <c r="H229" s="5">
        <f t="shared" si="16"/>
        <v>0</v>
      </c>
      <c r="I229" s="5">
        <f t="shared" si="16"/>
        <v>0</v>
      </c>
      <c r="J229" s="5">
        <f t="shared" si="16"/>
        <v>0</v>
      </c>
      <c r="K229" s="5">
        <f t="shared" si="16"/>
        <v>0</v>
      </c>
      <c r="L229" s="5">
        <f t="shared" si="16"/>
        <v>0</v>
      </c>
      <c r="M229" s="5">
        <f t="shared" si="16"/>
        <v>0</v>
      </c>
      <c r="N229" s="32">
        <v>5.5202898550724598E-2</v>
      </c>
      <c r="O229" s="32">
        <v>-2.0202898550724595E-2</v>
      </c>
      <c r="P229" s="24">
        <f t="shared" si="15"/>
        <v>3.7902173913043451E-2</v>
      </c>
    </row>
    <row r="230" spans="1:16" x14ac:dyDescent="0.3">
      <c r="A230" s="2">
        <v>24473</v>
      </c>
      <c r="B230" s="23">
        <v>4.2000000000000003E-2</v>
      </c>
      <c r="C230" s="5">
        <f t="shared" si="13"/>
        <v>1</v>
      </c>
      <c r="D230" s="5">
        <f t="shared" si="16"/>
        <v>0</v>
      </c>
      <c r="E230" s="5">
        <f t="shared" si="16"/>
        <v>0</v>
      </c>
      <c r="F230" s="5">
        <f t="shared" si="16"/>
        <v>0</v>
      </c>
      <c r="G230" s="5">
        <f t="shared" si="16"/>
        <v>0</v>
      </c>
      <c r="H230" s="5">
        <f t="shared" si="16"/>
        <v>0</v>
      </c>
      <c r="I230" s="5">
        <f t="shared" si="16"/>
        <v>0</v>
      </c>
      <c r="J230" s="5">
        <f t="shared" si="16"/>
        <v>0</v>
      </c>
      <c r="K230" s="5">
        <f t="shared" si="16"/>
        <v>0</v>
      </c>
      <c r="L230" s="5">
        <f t="shared" si="16"/>
        <v>0</v>
      </c>
      <c r="M230" s="5">
        <f t="shared" si="16"/>
        <v>0</v>
      </c>
      <c r="N230" s="32">
        <v>6.4492753623188417E-2</v>
      </c>
      <c r="O230" s="32">
        <v>-2.2492753623188415E-2</v>
      </c>
      <c r="P230" s="24">
        <f t="shared" si="15"/>
        <v>3.5612318840579631E-2</v>
      </c>
    </row>
    <row r="231" spans="1:16" x14ac:dyDescent="0.3">
      <c r="A231" s="2">
        <v>24504</v>
      </c>
      <c r="B231" s="23">
        <v>4.2000000000000003E-2</v>
      </c>
      <c r="C231" s="5">
        <f t="shared" si="13"/>
        <v>0</v>
      </c>
      <c r="D231" s="5">
        <f t="shared" si="16"/>
        <v>1</v>
      </c>
      <c r="E231" s="5">
        <f t="shared" si="16"/>
        <v>0</v>
      </c>
      <c r="F231" s="5">
        <f t="shared" si="16"/>
        <v>0</v>
      </c>
      <c r="G231" s="5">
        <f t="shared" si="16"/>
        <v>0</v>
      </c>
      <c r="H231" s="5">
        <f t="shared" si="16"/>
        <v>0</v>
      </c>
      <c r="I231" s="5">
        <f t="shared" si="16"/>
        <v>0</v>
      </c>
      <c r="J231" s="5">
        <f t="shared" si="16"/>
        <v>0</v>
      </c>
      <c r="K231" s="5">
        <f t="shared" si="16"/>
        <v>0</v>
      </c>
      <c r="L231" s="5">
        <f t="shared" si="16"/>
        <v>0</v>
      </c>
      <c r="M231" s="5">
        <f t="shared" si="16"/>
        <v>0</v>
      </c>
      <c r="N231" s="32">
        <v>6.4391304347825973E-2</v>
      </c>
      <c r="O231" s="32">
        <v>-2.239130434782597E-2</v>
      </c>
      <c r="P231" s="24">
        <f t="shared" si="15"/>
        <v>3.5713768115942075E-2</v>
      </c>
    </row>
    <row r="232" spans="1:16" x14ac:dyDescent="0.3">
      <c r="A232" s="2">
        <v>24532</v>
      </c>
      <c r="B232" s="23">
        <v>3.9E-2</v>
      </c>
      <c r="C232" s="5">
        <f t="shared" ref="C232:C295" si="17">IF(MONTH($A232)=C$1,1,0)</f>
        <v>0</v>
      </c>
      <c r="D232" s="5">
        <f t="shared" si="16"/>
        <v>0</v>
      </c>
      <c r="E232" s="5">
        <f t="shared" si="16"/>
        <v>1</v>
      </c>
      <c r="F232" s="5">
        <f t="shared" si="16"/>
        <v>0</v>
      </c>
      <c r="G232" s="5">
        <f t="shared" si="16"/>
        <v>0</v>
      </c>
      <c r="H232" s="5">
        <f t="shared" si="16"/>
        <v>0</v>
      </c>
      <c r="I232" s="5">
        <f t="shared" si="16"/>
        <v>0</v>
      </c>
      <c r="J232" s="5">
        <f t="shared" si="16"/>
        <v>0</v>
      </c>
      <c r="K232" s="5">
        <f t="shared" si="16"/>
        <v>0</v>
      </c>
      <c r="L232" s="5">
        <f t="shared" si="16"/>
        <v>0</v>
      </c>
      <c r="M232" s="5">
        <f t="shared" si="16"/>
        <v>0</v>
      </c>
      <c r="N232" s="32">
        <v>6.1652173913043402E-2</v>
      </c>
      <c r="O232" s="32">
        <v>-2.2652173913043402E-2</v>
      </c>
      <c r="P232" s="24">
        <f t="shared" si="15"/>
        <v>3.5452898550724643E-2</v>
      </c>
    </row>
    <row r="233" spans="1:16" x14ac:dyDescent="0.3">
      <c r="A233" s="2">
        <v>24563</v>
      </c>
      <c r="B233" s="23">
        <v>3.5000000000000003E-2</v>
      </c>
      <c r="C233" s="5">
        <f t="shared" si="17"/>
        <v>0</v>
      </c>
      <c r="D233" s="5">
        <f t="shared" si="16"/>
        <v>0</v>
      </c>
      <c r="E233" s="5">
        <f t="shared" si="16"/>
        <v>0</v>
      </c>
      <c r="F233" s="5">
        <f t="shared" si="16"/>
        <v>1</v>
      </c>
      <c r="G233" s="5">
        <f t="shared" si="16"/>
        <v>0</v>
      </c>
      <c r="H233" s="5">
        <f t="shared" si="16"/>
        <v>0</v>
      </c>
      <c r="I233" s="5">
        <f t="shared" si="16"/>
        <v>0</v>
      </c>
      <c r="J233" s="5">
        <f t="shared" si="16"/>
        <v>0</v>
      </c>
      <c r="K233" s="5">
        <f t="shared" si="16"/>
        <v>0</v>
      </c>
      <c r="L233" s="5">
        <f t="shared" si="16"/>
        <v>0</v>
      </c>
      <c r="M233" s="5">
        <f t="shared" si="16"/>
        <v>0</v>
      </c>
      <c r="N233" s="32">
        <v>5.6550724637681071E-2</v>
      </c>
      <c r="O233" s="32">
        <v>-2.1550724637681068E-2</v>
      </c>
      <c r="P233" s="24">
        <f t="shared" si="15"/>
        <v>3.6554347826086978E-2</v>
      </c>
    </row>
    <row r="234" spans="1:16" x14ac:dyDescent="0.3">
      <c r="A234" s="2">
        <v>24593</v>
      </c>
      <c r="B234" s="23">
        <v>3.2000000000000001E-2</v>
      </c>
      <c r="C234" s="5">
        <f t="shared" si="17"/>
        <v>0</v>
      </c>
      <c r="D234" s="5">
        <f t="shared" si="16"/>
        <v>0</v>
      </c>
      <c r="E234" s="5">
        <f t="shared" si="16"/>
        <v>0</v>
      </c>
      <c r="F234" s="5">
        <f t="shared" si="16"/>
        <v>0</v>
      </c>
      <c r="G234" s="5">
        <f t="shared" si="16"/>
        <v>1</v>
      </c>
      <c r="H234" s="5">
        <f t="shared" si="16"/>
        <v>0</v>
      </c>
      <c r="I234" s="5">
        <f t="shared" si="16"/>
        <v>0</v>
      </c>
      <c r="J234" s="5">
        <f t="shared" si="16"/>
        <v>0</v>
      </c>
      <c r="K234" s="5">
        <f t="shared" si="16"/>
        <v>0</v>
      </c>
      <c r="L234" s="5">
        <f t="shared" si="16"/>
        <v>0</v>
      </c>
      <c r="M234" s="5">
        <f t="shared" si="16"/>
        <v>0</v>
      </c>
      <c r="N234" s="32">
        <v>5.5101449275362209E-2</v>
      </c>
      <c r="O234" s="32">
        <v>-2.3101449275362208E-2</v>
      </c>
      <c r="P234" s="24">
        <f t="shared" si="15"/>
        <v>3.5003623188405837E-2</v>
      </c>
    </row>
    <row r="235" spans="1:16" x14ac:dyDescent="0.3">
      <c r="A235" s="2">
        <v>24624</v>
      </c>
      <c r="B235" s="23">
        <v>4.5999999999999999E-2</v>
      </c>
      <c r="C235" s="5">
        <f t="shared" si="17"/>
        <v>0</v>
      </c>
      <c r="D235" s="5">
        <f t="shared" si="16"/>
        <v>0</v>
      </c>
      <c r="E235" s="5">
        <f t="shared" si="16"/>
        <v>0</v>
      </c>
      <c r="F235" s="5">
        <f t="shared" si="16"/>
        <v>0</v>
      </c>
      <c r="G235" s="5">
        <f t="shared" si="16"/>
        <v>0</v>
      </c>
      <c r="H235" s="5">
        <f t="shared" si="16"/>
        <v>1</v>
      </c>
      <c r="I235" s="5">
        <f t="shared" si="16"/>
        <v>0</v>
      </c>
      <c r="J235" s="5">
        <f t="shared" si="16"/>
        <v>0</v>
      </c>
      <c r="K235" s="5">
        <f t="shared" si="16"/>
        <v>0</v>
      </c>
      <c r="L235" s="5">
        <f t="shared" si="16"/>
        <v>0</v>
      </c>
      <c r="M235" s="5">
        <f t="shared" si="16"/>
        <v>0</v>
      </c>
      <c r="N235" s="32">
        <v>6.1130434782608579E-2</v>
      </c>
      <c r="O235" s="32">
        <v>-1.513043478260858E-2</v>
      </c>
      <c r="P235" s="24">
        <f t="shared" si="15"/>
        <v>4.2974637681159465E-2</v>
      </c>
    </row>
    <row r="236" spans="1:16" x14ac:dyDescent="0.3">
      <c r="A236" s="2">
        <v>24654</v>
      </c>
      <c r="B236" s="23">
        <v>4.0999999999999995E-2</v>
      </c>
      <c r="C236" s="5">
        <f t="shared" si="17"/>
        <v>0</v>
      </c>
      <c r="D236" s="5">
        <f t="shared" si="16"/>
        <v>0</v>
      </c>
      <c r="E236" s="5">
        <f t="shared" si="16"/>
        <v>0</v>
      </c>
      <c r="F236" s="5">
        <f t="shared" si="16"/>
        <v>0</v>
      </c>
      <c r="G236" s="5">
        <f t="shared" si="16"/>
        <v>0</v>
      </c>
      <c r="H236" s="5">
        <f t="shared" si="16"/>
        <v>0</v>
      </c>
      <c r="I236" s="5">
        <f t="shared" si="16"/>
        <v>1</v>
      </c>
      <c r="J236" s="5">
        <f t="shared" si="16"/>
        <v>0</v>
      </c>
      <c r="K236" s="5">
        <f t="shared" si="16"/>
        <v>0</v>
      </c>
      <c r="L236" s="5">
        <f t="shared" si="16"/>
        <v>0</v>
      </c>
      <c r="M236" s="5">
        <f t="shared" si="16"/>
        <v>0</v>
      </c>
      <c r="N236" s="32">
        <v>5.9550724637681039E-2</v>
      </c>
      <c r="O236" s="32">
        <v>-1.8550724637681044E-2</v>
      </c>
      <c r="P236" s="24">
        <f t="shared" si="15"/>
        <v>3.9554347826087001E-2</v>
      </c>
    </row>
    <row r="237" spans="1:16" x14ac:dyDescent="0.3">
      <c r="A237" s="2">
        <v>24685</v>
      </c>
      <c r="B237" s="23">
        <v>3.7000000000000005E-2</v>
      </c>
      <c r="C237" s="5">
        <f t="shared" si="17"/>
        <v>0</v>
      </c>
      <c r="D237" s="5">
        <f t="shared" si="16"/>
        <v>0</v>
      </c>
      <c r="E237" s="5">
        <f t="shared" si="16"/>
        <v>0</v>
      </c>
      <c r="F237" s="5">
        <f t="shared" si="16"/>
        <v>0</v>
      </c>
      <c r="G237" s="5">
        <f t="shared" si="16"/>
        <v>0</v>
      </c>
      <c r="H237" s="5">
        <f t="shared" si="16"/>
        <v>0</v>
      </c>
      <c r="I237" s="5">
        <f t="shared" si="16"/>
        <v>0</v>
      </c>
      <c r="J237" s="5">
        <f t="shared" si="16"/>
        <v>1</v>
      </c>
      <c r="K237" s="5">
        <f t="shared" si="16"/>
        <v>0</v>
      </c>
      <c r="L237" s="5">
        <f t="shared" si="16"/>
        <v>0</v>
      </c>
      <c r="M237" s="5">
        <f t="shared" si="16"/>
        <v>0</v>
      </c>
      <c r="N237" s="32">
        <v>5.6521739130434699E-2</v>
      </c>
      <c r="O237" s="32">
        <v>-1.9521739130434694E-2</v>
      </c>
      <c r="P237" s="24">
        <f t="shared" si="15"/>
        <v>3.8583333333333351E-2</v>
      </c>
    </row>
    <row r="238" spans="1:16" x14ac:dyDescent="0.3">
      <c r="A238" s="2">
        <v>24716</v>
      </c>
      <c r="B238" s="23">
        <v>3.7000000000000005E-2</v>
      </c>
      <c r="C238" s="5">
        <f t="shared" si="17"/>
        <v>0</v>
      </c>
      <c r="D238" s="5">
        <f t="shared" si="16"/>
        <v>0</v>
      </c>
      <c r="E238" s="5">
        <f t="shared" si="16"/>
        <v>0</v>
      </c>
      <c r="F238" s="5">
        <f t="shared" si="16"/>
        <v>0</v>
      </c>
      <c r="G238" s="5">
        <f t="shared" si="16"/>
        <v>0</v>
      </c>
      <c r="H238" s="5">
        <f t="shared" si="16"/>
        <v>0</v>
      </c>
      <c r="I238" s="5">
        <f t="shared" si="16"/>
        <v>0</v>
      </c>
      <c r="J238" s="5">
        <f t="shared" si="16"/>
        <v>0</v>
      </c>
      <c r="K238" s="5">
        <f t="shared" si="16"/>
        <v>1</v>
      </c>
      <c r="L238" s="5">
        <f t="shared" si="16"/>
        <v>0</v>
      </c>
      <c r="M238" s="5">
        <f t="shared" si="16"/>
        <v>0</v>
      </c>
      <c r="N238" s="32">
        <v>5.4768115942028898E-2</v>
      </c>
      <c r="O238" s="32">
        <v>-1.7768115942028893E-2</v>
      </c>
      <c r="P238" s="24">
        <f t="shared" si="15"/>
        <v>4.0336956521739152E-2</v>
      </c>
    </row>
    <row r="239" spans="1:16" x14ac:dyDescent="0.3">
      <c r="A239" s="2">
        <v>24746</v>
      </c>
      <c r="B239" s="23">
        <v>3.7999999999999999E-2</v>
      </c>
      <c r="C239" s="5">
        <f t="shared" si="17"/>
        <v>0</v>
      </c>
      <c r="D239" s="5">
        <f t="shared" si="16"/>
        <v>0</v>
      </c>
      <c r="E239" s="5">
        <f t="shared" si="16"/>
        <v>0</v>
      </c>
      <c r="F239" s="5">
        <f t="shared" si="16"/>
        <v>0</v>
      </c>
      <c r="G239" s="5">
        <f t="shared" si="16"/>
        <v>0</v>
      </c>
      <c r="H239" s="5">
        <f t="shared" si="16"/>
        <v>0</v>
      </c>
      <c r="I239" s="5">
        <f t="shared" si="16"/>
        <v>0</v>
      </c>
      <c r="J239" s="5">
        <f t="shared" si="16"/>
        <v>0</v>
      </c>
      <c r="K239" s="5">
        <f t="shared" si="16"/>
        <v>0</v>
      </c>
      <c r="L239" s="5">
        <f t="shared" si="16"/>
        <v>1</v>
      </c>
      <c r="M239" s="5">
        <f t="shared" si="16"/>
        <v>0</v>
      </c>
      <c r="N239" s="32">
        <v>5.3115942028985473E-2</v>
      </c>
      <c r="O239" s="32">
        <v>-1.5115942028985474E-2</v>
      </c>
      <c r="P239" s="24">
        <f t="shared" si="15"/>
        <v>4.2989130434782571E-2</v>
      </c>
    </row>
    <row r="240" spans="1:16" x14ac:dyDescent="0.3">
      <c r="A240" s="2">
        <v>24777</v>
      </c>
      <c r="B240" s="23">
        <v>3.7000000000000005E-2</v>
      </c>
      <c r="C240" s="5">
        <f t="shared" si="17"/>
        <v>0</v>
      </c>
      <c r="D240" s="5">
        <f t="shared" si="16"/>
        <v>0</v>
      </c>
      <c r="E240" s="5">
        <f t="shared" si="16"/>
        <v>0</v>
      </c>
      <c r="F240" s="5">
        <f t="shared" si="16"/>
        <v>0</v>
      </c>
      <c r="G240" s="5">
        <f t="shared" si="16"/>
        <v>0</v>
      </c>
      <c r="H240" s="5">
        <f t="shared" si="16"/>
        <v>0</v>
      </c>
      <c r="I240" s="5">
        <f t="shared" si="16"/>
        <v>0</v>
      </c>
      <c r="J240" s="5">
        <f t="shared" si="16"/>
        <v>0</v>
      </c>
      <c r="K240" s="5">
        <f t="shared" si="16"/>
        <v>0</v>
      </c>
      <c r="L240" s="5">
        <f t="shared" si="16"/>
        <v>0</v>
      </c>
      <c r="M240" s="5">
        <f t="shared" si="16"/>
        <v>1</v>
      </c>
      <c r="N240" s="32">
        <v>5.4782608695652081E-2</v>
      </c>
      <c r="O240" s="32">
        <v>-1.7782608695652076E-2</v>
      </c>
      <c r="P240" s="24">
        <f t="shared" si="15"/>
        <v>4.0322463768115969E-2</v>
      </c>
    </row>
    <row r="241" spans="1:16" x14ac:dyDescent="0.3">
      <c r="A241" s="2">
        <v>24807</v>
      </c>
      <c r="B241" s="23">
        <v>3.5000000000000003E-2</v>
      </c>
      <c r="C241" s="5">
        <f t="shared" si="17"/>
        <v>0</v>
      </c>
      <c r="D241" s="5">
        <f t="shared" si="16"/>
        <v>0</v>
      </c>
      <c r="E241" s="5">
        <f t="shared" si="16"/>
        <v>0</v>
      </c>
      <c r="F241" s="5">
        <f t="shared" si="16"/>
        <v>0</v>
      </c>
      <c r="G241" s="5">
        <f t="shared" si="16"/>
        <v>0</v>
      </c>
      <c r="H241" s="5">
        <f t="shared" si="16"/>
        <v>0</v>
      </c>
      <c r="I241" s="5">
        <f t="shared" si="16"/>
        <v>0</v>
      </c>
      <c r="J241" s="5">
        <f t="shared" si="16"/>
        <v>0</v>
      </c>
      <c r="K241" s="5">
        <f t="shared" si="16"/>
        <v>0</v>
      </c>
      <c r="L241" s="5">
        <f t="shared" si="16"/>
        <v>0</v>
      </c>
      <c r="M241" s="5">
        <f t="shared" si="16"/>
        <v>0</v>
      </c>
      <c r="N241" s="32">
        <v>5.5202898550724598E-2</v>
      </c>
      <c r="O241" s="32">
        <v>-2.0202898550724595E-2</v>
      </c>
      <c r="P241" s="24">
        <f t="shared" si="15"/>
        <v>3.7902173913043451E-2</v>
      </c>
    </row>
    <row r="242" spans="1:16" x14ac:dyDescent="0.3">
      <c r="A242" s="2">
        <v>24838</v>
      </c>
      <c r="B242" s="23">
        <v>0.04</v>
      </c>
      <c r="C242" s="5">
        <f t="shared" si="17"/>
        <v>1</v>
      </c>
      <c r="D242" s="5">
        <f t="shared" si="16"/>
        <v>0</v>
      </c>
      <c r="E242" s="5">
        <f t="shared" si="16"/>
        <v>0</v>
      </c>
      <c r="F242" s="5">
        <f t="shared" si="16"/>
        <v>0</v>
      </c>
      <c r="G242" s="5">
        <f t="shared" si="16"/>
        <v>0</v>
      </c>
      <c r="H242" s="5">
        <f t="shared" si="16"/>
        <v>0</v>
      </c>
      <c r="I242" s="5">
        <f t="shared" si="16"/>
        <v>0</v>
      </c>
      <c r="J242" s="5">
        <f t="shared" si="16"/>
        <v>0</v>
      </c>
      <c r="K242" s="5">
        <f t="shared" si="16"/>
        <v>0</v>
      </c>
      <c r="L242" s="5">
        <f t="shared" si="16"/>
        <v>0</v>
      </c>
      <c r="M242" s="5">
        <f t="shared" si="16"/>
        <v>0</v>
      </c>
      <c r="N242" s="32">
        <v>6.4492753623188417E-2</v>
      </c>
      <c r="O242" s="32">
        <v>-2.4492753623188417E-2</v>
      </c>
      <c r="P242" s="24">
        <f t="shared" si="15"/>
        <v>3.3612318840579629E-2</v>
      </c>
    </row>
    <row r="243" spans="1:16" x14ac:dyDescent="0.3">
      <c r="A243" s="2">
        <v>24869</v>
      </c>
      <c r="B243" s="23">
        <v>4.2000000000000003E-2</v>
      </c>
      <c r="C243" s="5">
        <f t="shared" si="17"/>
        <v>0</v>
      </c>
      <c r="D243" s="5">
        <f t="shared" si="16"/>
        <v>1</v>
      </c>
      <c r="E243" s="5">
        <f t="shared" si="16"/>
        <v>0</v>
      </c>
      <c r="F243" s="5">
        <f t="shared" si="16"/>
        <v>0</v>
      </c>
      <c r="G243" s="5">
        <f t="shared" si="16"/>
        <v>0</v>
      </c>
      <c r="H243" s="5">
        <f t="shared" si="16"/>
        <v>0</v>
      </c>
      <c r="I243" s="5">
        <f t="shared" si="16"/>
        <v>0</v>
      </c>
      <c r="J243" s="5">
        <f t="shared" si="16"/>
        <v>0</v>
      </c>
      <c r="K243" s="5">
        <f t="shared" si="16"/>
        <v>0</v>
      </c>
      <c r="L243" s="5">
        <f t="shared" ref="D243:M269" si="18">IF(MONTH($A243)=L$1,1,0)</f>
        <v>0</v>
      </c>
      <c r="M243" s="5">
        <f t="shared" si="18"/>
        <v>0</v>
      </c>
      <c r="N243" s="32">
        <v>6.4391304347825973E-2</v>
      </c>
      <c r="O243" s="32">
        <v>-2.239130434782597E-2</v>
      </c>
      <c r="P243" s="24">
        <f t="shared" si="15"/>
        <v>3.5713768115942075E-2</v>
      </c>
    </row>
    <row r="244" spans="1:16" x14ac:dyDescent="0.3">
      <c r="A244" s="2">
        <v>24898</v>
      </c>
      <c r="B244" s="23">
        <v>3.7999999999999999E-2</v>
      </c>
      <c r="C244" s="5">
        <f t="shared" si="17"/>
        <v>0</v>
      </c>
      <c r="D244" s="5">
        <f t="shared" si="18"/>
        <v>0</v>
      </c>
      <c r="E244" s="5">
        <f t="shared" si="18"/>
        <v>1</v>
      </c>
      <c r="F244" s="5">
        <f t="shared" si="18"/>
        <v>0</v>
      </c>
      <c r="G244" s="5">
        <f t="shared" si="18"/>
        <v>0</v>
      </c>
      <c r="H244" s="5">
        <f t="shared" si="18"/>
        <v>0</v>
      </c>
      <c r="I244" s="5">
        <f t="shared" si="18"/>
        <v>0</v>
      </c>
      <c r="J244" s="5">
        <f t="shared" si="18"/>
        <v>0</v>
      </c>
      <c r="K244" s="5">
        <f t="shared" si="18"/>
        <v>0</v>
      </c>
      <c r="L244" s="5">
        <f t="shared" si="18"/>
        <v>0</v>
      </c>
      <c r="M244" s="5">
        <f t="shared" si="18"/>
        <v>0</v>
      </c>
      <c r="N244" s="32">
        <v>6.1652173913043402E-2</v>
      </c>
      <c r="O244" s="32">
        <v>-2.3652173913043403E-2</v>
      </c>
      <c r="P244" s="24">
        <f t="shared" si="15"/>
        <v>3.4452898550724642E-2</v>
      </c>
    </row>
    <row r="245" spans="1:16" x14ac:dyDescent="0.3">
      <c r="A245" s="2">
        <v>24929</v>
      </c>
      <c r="B245" s="23">
        <v>3.2000000000000001E-2</v>
      </c>
      <c r="C245" s="5">
        <f t="shared" si="17"/>
        <v>0</v>
      </c>
      <c r="D245" s="5">
        <f t="shared" si="18"/>
        <v>0</v>
      </c>
      <c r="E245" s="5">
        <f t="shared" si="18"/>
        <v>0</v>
      </c>
      <c r="F245" s="5">
        <f t="shared" si="18"/>
        <v>1</v>
      </c>
      <c r="G245" s="5">
        <f t="shared" si="18"/>
        <v>0</v>
      </c>
      <c r="H245" s="5">
        <f t="shared" si="18"/>
        <v>0</v>
      </c>
      <c r="I245" s="5">
        <f t="shared" si="18"/>
        <v>0</v>
      </c>
      <c r="J245" s="5">
        <f t="shared" si="18"/>
        <v>0</v>
      </c>
      <c r="K245" s="5">
        <f t="shared" si="18"/>
        <v>0</v>
      </c>
      <c r="L245" s="5">
        <f t="shared" si="18"/>
        <v>0</v>
      </c>
      <c r="M245" s="5">
        <f t="shared" si="18"/>
        <v>0</v>
      </c>
      <c r="N245" s="32">
        <v>5.6550724637681071E-2</v>
      </c>
      <c r="O245" s="32">
        <v>-2.4550724637681071E-2</v>
      </c>
      <c r="P245" s="24">
        <f t="shared" si="15"/>
        <v>3.3554347826086975E-2</v>
      </c>
    </row>
    <row r="246" spans="1:16" x14ac:dyDescent="0.3">
      <c r="A246" s="2">
        <v>24959</v>
      </c>
      <c r="B246" s="23">
        <v>2.8999999999999998E-2</v>
      </c>
      <c r="C246" s="5">
        <f t="shared" si="17"/>
        <v>0</v>
      </c>
      <c r="D246" s="5">
        <f t="shared" si="18"/>
        <v>0</v>
      </c>
      <c r="E246" s="5">
        <f t="shared" si="18"/>
        <v>0</v>
      </c>
      <c r="F246" s="5">
        <f t="shared" si="18"/>
        <v>0</v>
      </c>
      <c r="G246" s="5">
        <f t="shared" si="18"/>
        <v>1</v>
      </c>
      <c r="H246" s="5">
        <f t="shared" si="18"/>
        <v>0</v>
      </c>
      <c r="I246" s="5">
        <f t="shared" si="18"/>
        <v>0</v>
      </c>
      <c r="J246" s="5">
        <f t="shared" si="18"/>
        <v>0</v>
      </c>
      <c r="K246" s="5">
        <f t="shared" si="18"/>
        <v>0</v>
      </c>
      <c r="L246" s="5">
        <f t="shared" si="18"/>
        <v>0</v>
      </c>
      <c r="M246" s="5">
        <f t="shared" si="18"/>
        <v>0</v>
      </c>
      <c r="N246" s="32">
        <v>5.5101449275362209E-2</v>
      </c>
      <c r="O246" s="32">
        <v>-2.6101449275362211E-2</v>
      </c>
      <c r="P246" s="24">
        <f t="shared" si="15"/>
        <v>3.2003623188405834E-2</v>
      </c>
    </row>
    <row r="247" spans="1:16" x14ac:dyDescent="0.3">
      <c r="A247" s="2">
        <v>24990</v>
      </c>
      <c r="B247" s="23">
        <v>4.4999999999999998E-2</v>
      </c>
      <c r="C247" s="5">
        <f t="shared" si="17"/>
        <v>0</v>
      </c>
      <c r="D247" s="5">
        <f t="shared" si="18"/>
        <v>0</v>
      </c>
      <c r="E247" s="5">
        <f t="shared" si="18"/>
        <v>0</v>
      </c>
      <c r="F247" s="5">
        <f t="shared" si="18"/>
        <v>0</v>
      </c>
      <c r="G247" s="5">
        <f t="shared" si="18"/>
        <v>0</v>
      </c>
      <c r="H247" s="5">
        <f t="shared" si="18"/>
        <v>1</v>
      </c>
      <c r="I247" s="5">
        <f t="shared" si="18"/>
        <v>0</v>
      </c>
      <c r="J247" s="5">
        <f t="shared" si="18"/>
        <v>0</v>
      </c>
      <c r="K247" s="5">
        <f t="shared" si="18"/>
        <v>0</v>
      </c>
      <c r="L247" s="5">
        <f t="shared" si="18"/>
        <v>0</v>
      </c>
      <c r="M247" s="5">
        <f t="shared" si="18"/>
        <v>0</v>
      </c>
      <c r="N247" s="32">
        <v>6.1130434782608579E-2</v>
      </c>
      <c r="O247" s="32">
        <v>-1.6130434782608581E-2</v>
      </c>
      <c r="P247" s="24">
        <f t="shared" si="15"/>
        <v>4.1974637681159464E-2</v>
      </c>
    </row>
    <row r="248" spans="1:16" x14ac:dyDescent="0.3">
      <c r="A248" s="2">
        <v>25020</v>
      </c>
      <c r="B248" s="23">
        <v>0.04</v>
      </c>
      <c r="C248" s="5">
        <f t="shared" si="17"/>
        <v>0</v>
      </c>
      <c r="D248" s="5">
        <f t="shared" si="18"/>
        <v>0</v>
      </c>
      <c r="E248" s="5">
        <f t="shared" si="18"/>
        <v>0</v>
      </c>
      <c r="F248" s="5">
        <f t="shared" si="18"/>
        <v>0</v>
      </c>
      <c r="G248" s="5">
        <f t="shared" si="18"/>
        <v>0</v>
      </c>
      <c r="H248" s="5">
        <f t="shared" si="18"/>
        <v>0</v>
      </c>
      <c r="I248" s="5">
        <f t="shared" si="18"/>
        <v>1</v>
      </c>
      <c r="J248" s="5">
        <f t="shared" si="18"/>
        <v>0</v>
      </c>
      <c r="K248" s="5">
        <f t="shared" si="18"/>
        <v>0</v>
      </c>
      <c r="L248" s="5">
        <f t="shared" si="18"/>
        <v>0</v>
      </c>
      <c r="M248" s="5">
        <f t="shared" si="18"/>
        <v>0</v>
      </c>
      <c r="N248" s="32">
        <v>5.9550724637681039E-2</v>
      </c>
      <c r="O248" s="32">
        <v>-1.9550724637681038E-2</v>
      </c>
      <c r="P248" s="24">
        <f t="shared" si="15"/>
        <v>3.8554347826087007E-2</v>
      </c>
    </row>
    <row r="249" spans="1:16" x14ac:dyDescent="0.3">
      <c r="A249" s="2">
        <v>25051</v>
      </c>
      <c r="B249" s="23">
        <v>3.5000000000000003E-2</v>
      </c>
      <c r="C249" s="5">
        <f t="shared" si="17"/>
        <v>0</v>
      </c>
      <c r="D249" s="5">
        <f t="shared" si="18"/>
        <v>0</v>
      </c>
      <c r="E249" s="5">
        <f t="shared" si="18"/>
        <v>0</v>
      </c>
      <c r="F249" s="5">
        <f t="shared" si="18"/>
        <v>0</v>
      </c>
      <c r="G249" s="5">
        <f t="shared" si="18"/>
        <v>0</v>
      </c>
      <c r="H249" s="5">
        <f t="shared" si="18"/>
        <v>0</v>
      </c>
      <c r="I249" s="5">
        <f t="shared" si="18"/>
        <v>0</v>
      </c>
      <c r="J249" s="5">
        <f t="shared" si="18"/>
        <v>1</v>
      </c>
      <c r="K249" s="5">
        <f t="shared" si="18"/>
        <v>0</v>
      </c>
      <c r="L249" s="5">
        <f t="shared" si="18"/>
        <v>0</v>
      </c>
      <c r="M249" s="5">
        <f t="shared" si="18"/>
        <v>0</v>
      </c>
      <c r="N249" s="32">
        <v>5.6521739130434699E-2</v>
      </c>
      <c r="O249" s="32">
        <v>-2.1521739130434696E-2</v>
      </c>
      <c r="P249" s="24">
        <f t="shared" si="15"/>
        <v>3.658333333333335E-2</v>
      </c>
    </row>
    <row r="250" spans="1:16" x14ac:dyDescent="0.3">
      <c r="A250" s="2">
        <v>25082</v>
      </c>
      <c r="B250" s="23">
        <v>3.3000000000000002E-2</v>
      </c>
      <c r="C250" s="5">
        <f t="shared" si="17"/>
        <v>0</v>
      </c>
      <c r="D250" s="5">
        <f t="shared" si="18"/>
        <v>0</v>
      </c>
      <c r="E250" s="5">
        <f t="shared" si="18"/>
        <v>0</v>
      </c>
      <c r="F250" s="5">
        <f t="shared" si="18"/>
        <v>0</v>
      </c>
      <c r="G250" s="5">
        <f t="shared" si="18"/>
        <v>0</v>
      </c>
      <c r="H250" s="5">
        <f t="shared" si="18"/>
        <v>0</v>
      </c>
      <c r="I250" s="5">
        <f t="shared" si="18"/>
        <v>0</v>
      </c>
      <c r="J250" s="5">
        <f t="shared" si="18"/>
        <v>0</v>
      </c>
      <c r="K250" s="5">
        <f t="shared" si="18"/>
        <v>1</v>
      </c>
      <c r="L250" s="5">
        <f t="shared" si="18"/>
        <v>0</v>
      </c>
      <c r="M250" s="5">
        <f t="shared" si="18"/>
        <v>0</v>
      </c>
      <c r="N250" s="32">
        <v>5.4768115942028898E-2</v>
      </c>
      <c r="O250" s="32">
        <v>-2.1768115942028897E-2</v>
      </c>
      <c r="P250" s="24">
        <f t="shared" si="15"/>
        <v>3.6336956521739149E-2</v>
      </c>
    </row>
    <row r="251" spans="1:16" x14ac:dyDescent="0.3">
      <c r="A251" s="2">
        <v>25112</v>
      </c>
      <c r="B251" s="23">
        <v>3.2000000000000001E-2</v>
      </c>
      <c r="C251" s="5">
        <f t="shared" si="17"/>
        <v>0</v>
      </c>
      <c r="D251" s="5">
        <f t="shared" si="18"/>
        <v>0</v>
      </c>
      <c r="E251" s="5">
        <f t="shared" si="18"/>
        <v>0</v>
      </c>
      <c r="F251" s="5">
        <f t="shared" si="18"/>
        <v>0</v>
      </c>
      <c r="G251" s="5">
        <f t="shared" si="18"/>
        <v>0</v>
      </c>
      <c r="H251" s="5">
        <f t="shared" si="18"/>
        <v>0</v>
      </c>
      <c r="I251" s="5">
        <f t="shared" si="18"/>
        <v>0</v>
      </c>
      <c r="J251" s="5">
        <f t="shared" si="18"/>
        <v>0</v>
      </c>
      <c r="K251" s="5">
        <f t="shared" si="18"/>
        <v>0</v>
      </c>
      <c r="L251" s="5">
        <f t="shared" si="18"/>
        <v>1</v>
      </c>
      <c r="M251" s="5">
        <f t="shared" si="18"/>
        <v>0</v>
      </c>
      <c r="N251" s="32">
        <v>5.3115942028985473E-2</v>
      </c>
      <c r="O251" s="32">
        <v>-2.1115942028985472E-2</v>
      </c>
      <c r="P251" s="24">
        <f t="shared" si="15"/>
        <v>3.6989130434782573E-2</v>
      </c>
    </row>
    <row r="252" spans="1:16" x14ac:dyDescent="0.3">
      <c r="A252" s="2">
        <v>25143</v>
      </c>
      <c r="B252" s="23">
        <v>3.3000000000000002E-2</v>
      </c>
      <c r="C252" s="5">
        <f t="shared" si="17"/>
        <v>0</v>
      </c>
      <c r="D252" s="5">
        <f t="shared" si="18"/>
        <v>0</v>
      </c>
      <c r="E252" s="5">
        <f t="shared" si="18"/>
        <v>0</v>
      </c>
      <c r="F252" s="5">
        <f t="shared" si="18"/>
        <v>0</v>
      </c>
      <c r="G252" s="5">
        <f t="shared" si="18"/>
        <v>0</v>
      </c>
      <c r="H252" s="5">
        <f t="shared" si="18"/>
        <v>0</v>
      </c>
      <c r="I252" s="5">
        <f t="shared" si="18"/>
        <v>0</v>
      </c>
      <c r="J252" s="5">
        <f t="shared" si="18"/>
        <v>0</v>
      </c>
      <c r="K252" s="5">
        <f t="shared" si="18"/>
        <v>0</v>
      </c>
      <c r="L252" s="5">
        <f t="shared" si="18"/>
        <v>0</v>
      </c>
      <c r="M252" s="5">
        <f t="shared" si="18"/>
        <v>1</v>
      </c>
      <c r="N252" s="32">
        <v>5.4782608695652081E-2</v>
      </c>
      <c r="O252" s="32">
        <v>-2.178260869565208E-2</v>
      </c>
      <c r="P252" s="24">
        <f t="shared" si="15"/>
        <v>3.6322463768115966E-2</v>
      </c>
    </row>
    <row r="253" spans="1:16" x14ac:dyDescent="0.3">
      <c r="A253" s="2">
        <v>25173</v>
      </c>
      <c r="B253" s="23">
        <v>3.1E-2</v>
      </c>
      <c r="C253" s="5">
        <f t="shared" si="17"/>
        <v>0</v>
      </c>
      <c r="D253" s="5">
        <f t="shared" si="18"/>
        <v>0</v>
      </c>
      <c r="E253" s="5">
        <f t="shared" si="18"/>
        <v>0</v>
      </c>
      <c r="F253" s="5">
        <f t="shared" si="18"/>
        <v>0</v>
      </c>
      <c r="G253" s="5">
        <f t="shared" si="18"/>
        <v>0</v>
      </c>
      <c r="H253" s="5">
        <f t="shared" si="18"/>
        <v>0</v>
      </c>
      <c r="I253" s="5">
        <f t="shared" si="18"/>
        <v>0</v>
      </c>
      <c r="J253" s="5">
        <f t="shared" si="18"/>
        <v>0</v>
      </c>
      <c r="K253" s="5">
        <f t="shared" si="18"/>
        <v>0</v>
      </c>
      <c r="L253" s="5">
        <f t="shared" si="18"/>
        <v>0</v>
      </c>
      <c r="M253" s="5">
        <f t="shared" si="18"/>
        <v>0</v>
      </c>
      <c r="N253" s="32">
        <v>5.5202898550724598E-2</v>
      </c>
      <c r="O253" s="32">
        <v>-2.4202898550724598E-2</v>
      </c>
      <c r="P253" s="24">
        <f t="shared" si="15"/>
        <v>3.3902173913043447E-2</v>
      </c>
    </row>
    <row r="254" spans="1:16" x14ac:dyDescent="0.3">
      <c r="A254" s="2">
        <v>25204</v>
      </c>
      <c r="B254" s="23">
        <v>3.7000000000000005E-2</v>
      </c>
      <c r="C254" s="5">
        <f t="shared" si="17"/>
        <v>1</v>
      </c>
      <c r="D254" s="5">
        <f t="shared" si="18"/>
        <v>0</v>
      </c>
      <c r="E254" s="5">
        <f t="shared" si="18"/>
        <v>0</v>
      </c>
      <c r="F254" s="5">
        <f t="shared" si="18"/>
        <v>0</v>
      </c>
      <c r="G254" s="5">
        <f t="shared" si="18"/>
        <v>0</v>
      </c>
      <c r="H254" s="5">
        <f t="shared" si="18"/>
        <v>0</v>
      </c>
      <c r="I254" s="5">
        <f t="shared" si="18"/>
        <v>0</v>
      </c>
      <c r="J254" s="5">
        <f t="shared" si="18"/>
        <v>0</v>
      </c>
      <c r="K254" s="5">
        <f t="shared" si="18"/>
        <v>0</v>
      </c>
      <c r="L254" s="5">
        <f t="shared" si="18"/>
        <v>0</v>
      </c>
      <c r="M254" s="5">
        <f t="shared" si="18"/>
        <v>0</v>
      </c>
      <c r="N254" s="32">
        <v>6.4492753623188417E-2</v>
      </c>
      <c r="O254" s="32">
        <v>-2.7492753623188412E-2</v>
      </c>
      <c r="P254" s="24">
        <f t="shared" si="15"/>
        <v>3.0612318840579633E-2</v>
      </c>
    </row>
    <row r="255" spans="1:16" x14ac:dyDescent="0.3">
      <c r="A255" s="2">
        <v>25235</v>
      </c>
      <c r="B255" s="23">
        <v>3.7000000000000005E-2</v>
      </c>
      <c r="C255" s="5">
        <f t="shared" si="17"/>
        <v>0</v>
      </c>
      <c r="D255" s="5">
        <f t="shared" si="18"/>
        <v>1</v>
      </c>
      <c r="E255" s="5">
        <f t="shared" si="18"/>
        <v>0</v>
      </c>
      <c r="F255" s="5">
        <f t="shared" si="18"/>
        <v>0</v>
      </c>
      <c r="G255" s="5">
        <f t="shared" si="18"/>
        <v>0</v>
      </c>
      <c r="H255" s="5">
        <f t="shared" si="18"/>
        <v>0</v>
      </c>
      <c r="I255" s="5">
        <f t="shared" si="18"/>
        <v>0</v>
      </c>
      <c r="J255" s="5">
        <f t="shared" si="18"/>
        <v>0</v>
      </c>
      <c r="K255" s="5">
        <f t="shared" si="18"/>
        <v>0</v>
      </c>
      <c r="L255" s="5">
        <f t="shared" si="18"/>
        <v>0</v>
      </c>
      <c r="M255" s="5">
        <f t="shared" si="18"/>
        <v>0</v>
      </c>
      <c r="N255" s="32">
        <v>6.4391304347825973E-2</v>
      </c>
      <c r="O255" s="32">
        <v>-2.7391304347825968E-2</v>
      </c>
      <c r="P255" s="24">
        <f t="shared" si="15"/>
        <v>3.0713768115942078E-2</v>
      </c>
    </row>
    <row r="256" spans="1:16" x14ac:dyDescent="0.3">
      <c r="A256" s="2">
        <v>25263</v>
      </c>
      <c r="B256" s="23">
        <v>3.5000000000000003E-2</v>
      </c>
      <c r="C256" s="5">
        <f t="shared" si="17"/>
        <v>0</v>
      </c>
      <c r="D256" s="5">
        <f t="shared" si="18"/>
        <v>0</v>
      </c>
      <c r="E256" s="5">
        <f t="shared" si="18"/>
        <v>1</v>
      </c>
      <c r="F256" s="5">
        <f t="shared" si="18"/>
        <v>0</v>
      </c>
      <c r="G256" s="5">
        <f t="shared" si="18"/>
        <v>0</v>
      </c>
      <c r="H256" s="5">
        <f t="shared" si="18"/>
        <v>0</v>
      </c>
      <c r="I256" s="5">
        <f t="shared" si="18"/>
        <v>0</v>
      </c>
      <c r="J256" s="5">
        <f t="shared" si="18"/>
        <v>0</v>
      </c>
      <c r="K256" s="5">
        <f t="shared" si="18"/>
        <v>0</v>
      </c>
      <c r="L256" s="5">
        <f t="shared" si="18"/>
        <v>0</v>
      </c>
      <c r="M256" s="5">
        <f t="shared" si="18"/>
        <v>0</v>
      </c>
      <c r="N256" s="32">
        <v>6.1652173913043402E-2</v>
      </c>
      <c r="O256" s="32">
        <v>-2.6652173913043399E-2</v>
      </c>
      <c r="P256" s="24">
        <f t="shared" si="15"/>
        <v>3.1452898550724646E-2</v>
      </c>
    </row>
    <row r="257" spans="1:16" x14ac:dyDescent="0.3">
      <c r="A257" s="2">
        <v>25294</v>
      </c>
      <c r="B257" s="23">
        <v>3.2000000000000001E-2</v>
      </c>
      <c r="C257" s="5">
        <f t="shared" si="17"/>
        <v>0</v>
      </c>
      <c r="D257" s="5">
        <f t="shared" si="18"/>
        <v>0</v>
      </c>
      <c r="E257" s="5">
        <f t="shared" si="18"/>
        <v>0</v>
      </c>
      <c r="F257" s="5">
        <f t="shared" si="18"/>
        <v>1</v>
      </c>
      <c r="G257" s="5">
        <f t="shared" si="18"/>
        <v>0</v>
      </c>
      <c r="H257" s="5">
        <f t="shared" si="18"/>
        <v>0</v>
      </c>
      <c r="I257" s="5">
        <f t="shared" si="18"/>
        <v>0</v>
      </c>
      <c r="J257" s="5">
        <f t="shared" si="18"/>
        <v>0</v>
      </c>
      <c r="K257" s="5">
        <f t="shared" si="18"/>
        <v>0</v>
      </c>
      <c r="L257" s="5">
        <f t="shared" si="18"/>
        <v>0</v>
      </c>
      <c r="M257" s="5">
        <f t="shared" si="18"/>
        <v>0</v>
      </c>
      <c r="N257" s="32">
        <v>5.6550724637681071E-2</v>
      </c>
      <c r="O257" s="32">
        <v>-2.4550724637681071E-2</v>
      </c>
      <c r="P257" s="24">
        <f t="shared" si="15"/>
        <v>3.3554347826086975E-2</v>
      </c>
    </row>
    <row r="258" spans="1:16" x14ac:dyDescent="0.3">
      <c r="A258" s="2">
        <v>25324</v>
      </c>
      <c r="B258" s="23">
        <v>2.8999999999999998E-2</v>
      </c>
      <c r="C258" s="5">
        <f t="shared" si="17"/>
        <v>0</v>
      </c>
      <c r="D258" s="5">
        <f t="shared" si="18"/>
        <v>0</v>
      </c>
      <c r="E258" s="5">
        <f t="shared" si="18"/>
        <v>0</v>
      </c>
      <c r="F258" s="5">
        <f t="shared" si="18"/>
        <v>0</v>
      </c>
      <c r="G258" s="5">
        <f t="shared" si="18"/>
        <v>1</v>
      </c>
      <c r="H258" s="5">
        <f t="shared" si="18"/>
        <v>0</v>
      </c>
      <c r="I258" s="5">
        <f t="shared" si="18"/>
        <v>0</v>
      </c>
      <c r="J258" s="5">
        <f t="shared" si="18"/>
        <v>0</v>
      </c>
      <c r="K258" s="5">
        <f t="shared" si="18"/>
        <v>0</v>
      </c>
      <c r="L258" s="5">
        <f t="shared" si="18"/>
        <v>0</v>
      </c>
      <c r="M258" s="5">
        <f t="shared" si="18"/>
        <v>0</v>
      </c>
      <c r="N258" s="32">
        <v>5.5101449275362209E-2</v>
      </c>
      <c r="O258" s="32">
        <v>-2.6101449275362211E-2</v>
      </c>
      <c r="P258" s="24">
        <f t="shared" si="15"/>
        <v>3.2003623188405834E-2</v>
      </c>
    </row>
    <row r="259" spans="1:16" x14ac:dyDescent="0.3">
      <c r="A259" s="2">
        <v>25355</v>
      </c>
      <c r="B259" s="23">
        <v>4.0999999999999995E-2</v>
      </c>
      <c r="C259" s="5">
        <f t="shared" si="17"/>
        <v>0</v>
      </c>
      <c r="D259" s="5">
        <f t="shared" si="18"/>
        <v>0</v>
      </c>
      <c r="E259" s="5">
        <f t="shared" si="18"/>
        <v>0</v>
      </c>
      <c r="F259" s="5">
        <f t="shared" si="18"/>
        <v>0</v>
      </c>
      <c r="G259" s="5">
        <f t="shared" si="18"/>
        <v>0</v>
      </c>
      <c r="H259" s="5">
        <f t="shared" si="18"/>
        <v>1</v>
      </c>
      <c r="I259" s="5">
        <f t="shared" si="18"/>
        <v>0</v>
      </c>
      <c r="J259" s="5">
        <f t="shared" si="18"/>
        <v>0</v>
      </c>
      <c r="K259" s="5">
        <f t="shared" si="18"/>
        <v>0</v>
      </c>
      <c r="L259" s="5">
        <f t="shared" si="18"/>
        <v>0</v>
      </c>
      <c r="M259" s="5">
        <f t="shared" si="18"/>
        <v>0</v>
      </c>
      <c r="N259" s="32">
        <v>6.1130434782608579E-2</v>
      </c>
      <c r="O259" s="32">
        <v>-2.0130434782608585E-2</v>
      </c>
      <c r="P259" s="24">
        <f t="shared" ref="P259:P322" si="19">O259+$R$2</f>
        <v>3.7974637681159461E-2</v>
      </c>
    </row>
    <row r="260" spans="1:16" x14ac:dyDescent="0.3">
      <c r="A260" s="2">
        <v>25385</v>
      </c>
      <c r="B260" s="23">
        <v>3.7999999999999999E-2</v>
      </c>
      <c r="C260" s="5">
        <f t="shared" si="17"/>
        <v>0</v>
      </c>
      <c r="D260" s="5">
        <f t="shared" si="18"/>
        <v>0</v>
      </c>
      <c r="E260" s="5">
        <f t="shared" si="18"/>
        <v>0</v>
      </c>
      <c r="F260" s="5">
        <f t="shared" si="18"/>
        <v>0</v>
      </c>
      <c r="G260" s="5">
        <f t="shared" si="18"/>
        <v>0</v>
      </c>
      <c r="H260" s="5">
        <f t="shared" si="18"/>
        <v>0</v>
      </c>
      <c r="I260" s="5">
        <f t="shared" si="18"/>
        <v>1</v>
      </c>
      <c r="J260" s="5">
        <f t="shared" si="18"/>
        <v>0</v>
      </c>
      <c r="K260" s="5">
        <f t="shared" si="18"/>
        <v>0</v>
      </c>
      <c r="L260" s="5">
        <f t="shared" si="18"/>
        <v>0</v>
      </c>
      <c r="M260" s="5">
        <f t="shared" si="18"/>
        <v>0</v>
      </c>
      <c r="N260" s="32">
        <v>5.9550724637681039E-2</v>
      </c>
      <c r="O260" s="32">
        <v>-2.155072463768104E-2</v>
      </c>
      <c r="P260" s="24">
        <f t="shared" si="19"/>
        <v>3.6554347826087005E-2</v>
      </c>
    </row>
    <row r="261" spans="1:16" x14ac:dyDescent="0.3">
      <c r="A261" s="2">
        <v>25416</v>
      </c>
      <c r="B261" s="23">
        <v>3.5000000000000003E-2</v>
      </c>
      <c r="C261" s="5">
        <f t="shared" si="17"/>
        <v>0</v>
      </c>
      <c r="D261" s="5">
        <f t="shared" si="18"/>
        <v>0</v>
      </c>
      <c r="E261" s="5">
        <f t="shared" si="18"/>
        <v>0</v>
      </c>
      <c r="F261" s="5">
        <f t="shared" si="18"/>
        <v>0</v>
      </c>
      <c r="G261" s="5">
        <f t="shared" si="18"/>
        <v>0</v>
      </c>
      <c r="H261" s="5">
        <f t="shared" si="18"/>
        <v>0</v>
      </c>
      <c r="I261" s="5">
        <f t="shared" si="18"/>
        <v>0</v>
      </c>
      <c r="J261" s="5">
        <f t="shared" si="18"/>
        <v>1</v>
      </c>
      <c r="K261" s="5">
        <f t="shared" si="18"/>
        <v>0</v>
      </c>
      <c r="L261" s="5">
        <f t="shared" si="18"/>
        <v>0</v>
      </c>
      <c r="M261" s="5">
        <f t="shared" si="18"/>
        <v>0</v>
      </c>
      <c r="N261" s="32">
        <v>5.6521739130434699E-2</v>
      </c>
      <c r="O261" s="32">
        <v>-2.1521739130434696E-2</v>
      </c>
      <c r="P261" s="24">
        <f t="shared" si="19"/>
        <v>3.658333333333335E-2</v>
      </c>
    </row>
    <row r="262" spans="1:16" x14ac:dyDescent="0.3">
      <c r="A262" s="2">
        <v>25447</v>
      </c>
      <c r="B262" s="23">
        <v>3.7000000000000005E-2</v>
      </c>
      <c r="C262" s="5">
        <f t="shared" si="17"/>
        <v>0</v>
      </c>
      <c r="D262" s="5">
        <f t="shared" si="18"/>
        <v>0</v>
      </c>
      <c r="E262" s="5">
        <f t="shared" si="18"/>
        <v>0</v>
      </c>
      <c r="F262" s="5">
        <f t="shared" si="18"/>
        <v>0</v>
      </c>
      <c r="G262" s="5">
        <f t="shared" si="18"/>
        <v>0</v>
      </c>
      <c r="H262" s="5">
        <f t="shared" si="18"/>
        <v>0</v>
      </c>
      <c r="I262" s="5">
        <f t="shared" si="18"/>
        <v>0</v>
      </c>
      <c r="J262" s="5">
        <f t="shared" si="18"/>
        <v>0</v>
      </c>
      <c r="K262" s="5">
        <f t="shared" si="18"/>
        <v>1</v>
      </c>
      <c r="L262" s="5">
        <f t="shared" si="18"/>
        <v>0</v>
      </c>
      <c r="M262" s="5">
        <f t="shared" si="18"/>
        <v>0</v>
      </c>
      <c r="N262" s="32">
        <v>5.4768115942028898E-2</v>
      </c>
      <c r="O262" s="32">
        <v>-1.7768115942028893E-2</v>
      </c>
      <c r="P262" s="24">
        <f t="shared" si="19"/>
        <v>4.0336956521739152E-2</v>
      </c>
    </row>
    <row r="263" spans="1:16" x14ac:dyDescent="0.3">
      <c r="A263" s="2">
        <v>25477</v>
      </c>
      <c r="B263" s="23">
        <v>3.5000000000000003E-2</v>
      </c>
      <c r="C263" s="5">
        <f t="shared" si="17"/>
        <v>0</v>
      </c>
      <c r="D263" s="5">
        <f t="shared" si="18"/>
        <v>0</v>
      </c>
      <c r="E263" s="5">
        <f t="shared" si="18"/>
        <v>0</v>
      </c>
      <c r="F263" s="5">
        <f t="shared" si="18"/>
        <v>0</v>
      </c>
      <c r="G263" s="5">
        <f t="shared" si="18"/>
        <v>0</v>
      </c>
      <c r="H263" s="5">
        <f t="shared" si="18"/>
        <v>0</v>
      </c>
      <c r="I263" s="5">
        <f t="shared" si="18"/>
        <v>0</v>
      </c>
      <c r="J263" s="5">
        <f t="shared" si="18"/>
        <v>0</v>
      </c>
      <c r="K263" s="5">
        <f t="shared" si="18"/>
        <v>0</v>
      </c>
      <c r="L263" s="5">
        <f t="shared" si="18"/>
        <v>1</v>
      </c>
      <c r="M263" s="5">
        <f t="shared" si="18"/>
        <v>0</v>
      </c>
      <c r="N263" s="32">
        <v>5.3115942028985473E-2</v>
      </c>
      <c r="O263" s="32">
        <v>-1.811594202898547E-2</v>
      </c>
      <c r="P263" s="24">
        <f t="shared" si="19"/>
        <v>3.9989130434782576E-2</v>
      </c>
    </row>
    <row r="264" spans="1:16" x14ac:dyDescent="0.3">
      <c r="A264" s="2">
        <v>25508</v>
      </c>
      <c r="B264" s="23">
        <v>3.3000000000000002E-2</v>
      </c>
      <c r="C264" s="5">
        <f t="shared" si="17"/>
        <v>0</v>
      </c>
      <c r="D264" s="5">
        <f t="shared" si="18"/>
        <v>0</v>
      </c>
      <c r="E264" s="5">
        <f t="shared" si="18"/>
        <v>0</v>
      </c>
      <c r="F264" s="5">
        <f t="shared" si="18"/>
        <v>0</v>
      </c>
      <c r="G264" s="5">
        <f t="shared" si="18"/>
        <v>0</v>
      </c>
      <c r="H264" s="5">
        <f t="shared" si="18"/>
        <v>0</v>
      </c>
      <c r="I264" s="5">
        <f t="shared" si="18"/>
        <v>0</v>
      </c>
      <c r="J264" s="5">
        <f t="shared" si="18"/>
        <v>0</v>
      </c>
      <c r="K264" s="5">
        <f t="shared" si="18"/>
        <v>0</v>
      </c>
      <c r="L264" s="5">
        <f t="shared" si="18"/>
        <v>0</v>
      </c>
      <c r="M264" s="5">
        <f t="shared" si="18"/>
        <v>1</v>
      </c>
      <c r="N264" s="32">
        <v>5.4782608695652081E-2</v>
      </c>
      <c r="O264" s="32">
        <v>-2.178260869565208E-2</v>
      </c>
      <c r="P264" s="24">
        <f t="shared" si="19"/>
        <v>3.6322463768115966E-2</v>
      </c>
    </row>
    <row r="265" spans="1:16" x14ac:dyDescent="0.3">
      <c r="A265" s="2">
        <v>25538</v>
      </c>
      <c r="B265" s="23">
        <v>3.2000000000000001E-2</v>
      </c>
      <c r="C265" s="5">
        <f t="shared" si="17"/>
        <v>0</v>
      </c>
      <c r="D265" s="5">
        <f t="shared" si="18"/>
        <v>0</v>
      </c>
      <c r="E265" s="5">
        <f t="shared" si="18"/>
        <v>0</v>
      </c>
      <c r="F265" s="5">
        <f t="shared" si="18"/>
        <v>0</v>
      </c>
      <c r="G265" s="5">
        <f t="shared" si="18"/>
        <v>0</v>
      </c>
      <c r="H265" s="5">
        <f t="shared" si="18"/>
        <v>0</v>
      </c>
      <c r="I265" s="5">
        <f t="shared" si="18"/>
        <v>0</v>
      </c>
      <c r="J265" s="5">
        <f t="shared" si="18"/>
        <v>0</v>
      </c>
      <c r="K265" s="5">
        <f t="shared" si="18"/>
        <v>0</v>
      </c>
      <c r="L265" s="5">
        <f t="shared" si="18"/>
        <v>0</v>
      </c>
      <c r="M265" s="5">
        <f t="shared" si="18"/>
        <v>0</v>
      </c>
      <c r="N265" s="32">
        <v>5.5202898550724598E-2</v>
      </c>
      <c r="O265" s="32">
        <v>-2.3202898550724597E-2</v>
      </c>
      <c r="P265" s="24">
        <f t="shared" si="19"/>
        <v>3.4902173913043448E-2</v>
      </c>
    </row>
    <row r="266" spans="1:16" x14ac:dyDescent="0.3">
      <c r="A266" s="2">
        <v>25569</v>
      </c>
      <c r="B266" s="23">
        <v>4.2000000000000003E-2</v>
      </c>
      <c r="C266" s="5">
        <f t="shared" si="17"/>
        <v>1</v>
      </c>
      <c r="D266" s="5">
        <f t="shared" si="18"/>
        <v>0</v>
      </c>
      <c r="E266" s="5">
        <f t="shared" si="18"/>
        <v>0</v>
      </c>
      <c r="F266" s="5">
        <f t="shared" si="18"/>
        <v>0</v>
      </c>
      <c r="G266" s="5">
        <f t="shared" si="18"/>
        <v>0</v>
      </c>
      <c r="H266" s="5">
        <f t="shared" si="18"/>
        <v>0</v>
      </c>
      <c r="I266" s="5">
        <f t="shared" si="18"/>
        <v>0</v>
      </c>
      <c r="J266" s="5">
        <f t="shared" si="18"/>
        <v>0</v>
      </c>
      <c r="K266" s="5">
        <f t="shared" si="18"/>
        <v>0</v>
      </c>
      <c r="L266" s="5">
        <f t="shared" si="18"/>
        <v>0</v>
      </c>
      <c r="M266" s="5">
        <f t="shared" si="18"/>
        <v>0</v>
      </c>
      <c r="N266" s="32">
        <v>6.4492753623188417E-2</v>
      </c>
      <c r="O266" s="32">
        <v>-2.2492753623188415E-2</v>
      </c>
      <c r="P266" s="24">
        <f t="shared" si="19"/>
        <v>3.5612318840579631E-2</v>
      </c>
    </row>
    <row r="267" spans="1:16" x14ac:dyDescent="0.3">
      <c r="A267" s="2">
        <v>25600</v>
      </c>
      <c r="B267" s="23">
        <v>4.7E-2</v>
      </c>
      <c r="C267" s="5">
        <f t="shared" si="17"/>
        <v>0</v>
      </c>
      <c r="D267" s="5">
        <f t="shared" si="18"/>
        <v>1</v>
      </c>
      <c r="E267" s="5">
        <f t="shared" si="18"/>
        <v>0</v>
      </c>
      <c r="F267" s="5">
        <f t="shared" si="18"/>
        <v>0</v>
      </c>
      <c r="G267" s="5">
        <f t="shared" si="18"/>
        <v>0</v>
      </c>
      <c r="H267" s="5">
        <f t="shared" si="18"/>
        <v>0</v>
      </c>
      <c r="I267" s="5">
        <f t="shared" si="18"/>
        <v>0</v>
      </c>
      <c r="J267" s="5">
        <f t="shared" si="18"/>
        <v>0</v>
      </c>
      <c r="K267" s="5">
        <f t="shared" si="18"/>
        <v>0</v>
      </c>
      <c r="L267" s="5">
        <f t="shared" si="18"/>
        <v>0</v>
      </c>
      <c r="M267" s="5">
        <f t="shared" si="18"/>
        <v>0</v>
      </c>
      <c r="N267" s="32">
        <v>6.4391304347825973E-2</v>
      </c>
      <c r="O267" s="32">
        <v>-1.7391304347825973E-2</v>
      </c>
      <c r="P267" s="24">
        <f t="shared" si="19"/>
        <v>4.0713768115942073E-2</v>
      </c>
    </row>
    <row r="268" spans="1:16" x14ac:dyDescent="0.3">
      <c r="A268" s="2">
        <v>25628</v>
      </c>
      <c r="B268" s="23">
        <v>4.5999999999999999E-2</v>
      </c>
      <c r="C268" s="5">
        <f t="shared" si="17"/>
        <v>0</v>
      </c>
      <c r="D268" s="5">
        <f t="shared" si="18"/>
        <v>0</v>
      </c>
      <c r="E268" s="5">
        <f t="shared" si="18"/>
        <v>1</v>
      </c>
      <c r="F268" s="5">
        <f t="shared" si="18"/>
        <v>0</v>
      </c>
      <c r="G268" s="5">
        <f t="shared" si="18"/>
        <v>0</v>
      </c>
      <c r="H268" s="5">
        <f t="shared" si="18"/>
        <v>0</v>
      </c>
      <c r="I268" s="5">
        <f t="shared" si="18"/>
        <v>0</v>
      </c>
      <c r="J268" s="5">
        <f t="shared" si="18"/>
        <v>0</v>
      </c>
      <c r="K268" s="5">
        <f t="shared" si="18"/>
        <v>0</v>
      </c>
      <c r="L268" s="5">
        <f t="shared" si="18"/>
        <v>0</v>
      </c>
      <c r="M268" s="5">
        <f t="shared" si="18"/>
        <v>0</v>
      </c>
      <c r="N268" s="32">
        <v>6.1652173913043402E-2</v>
      </c>
      <c r="O268" s="32">
        <v>-1.5652173913043403E-2</v>
      </c>
      <c r="P268" s="24">
        <f t="shared" si="19"/>
        <v>4.2452898550724642E-2</v>
      </c>
    </row>
    <row r="269" spans="1:16" x14ac:dyDescent="0.3">
      <c r="A269" s="2">
        <v>25659</v>
      </c>
      <c r="B269" s="23">
        <v>4.2999999999999997E-2</v>
      </c>
      <c r="C269" s="5">
        <f t="shared" si="17"/>
        <v>0</v>
      </c>
      <c r="D269" s="5">
        <f t="shared" si="18"/>
        <v>0</v>
      </c>
      <c r="E269" s="5">
        <f t="shared" si="18"/>
        <v>0</v>
      </c>
      <c r="F269" s="5">
        <f t="shared" si="18"/>
        <v>1</v>
      </c>
      <c r="G269" s="5">
        <f t="shared" ref="D269:M294" si="20">IF(MONTH($A269)=G$1,1,0)</f>
        <v>0</v>
      </c>
      <c r="H269" s="5">
        <f t="shared" si="20"/>
        <v>0</v>
      </c>
      <c r="I269" s="5">
        <f t="shared" si="20"/>
        <v>0</v>
      </c>
      <c r="J269" s="5">
        <f t="shared" si="20"/>
        <v>0</v>
      </c>
      <c r="K269" s="5">
        <f t="shared" si="20"/>
        <v>0</v>
      </c>
      <c r="L269" s="5">
        <f t="shared" si="20"/>
        <v>0</v>
      </c>
      <c r="M269" s="5">
        <f t="shared" si="20"/>
        <v>0</v>
      </c>
      <c r="N269" s="32">
        <v>5.6550724637681071E-2</v>
      </c>
      <c r="O269" s="32">
        <v>-1.3550724637681075E-2</v>
      </c>
      <c r="P269" s="24">
        <f t="shared" si="19"/>
        <v>4.4554347826086971E-2</v>
      </c>
    </row>
    <row r="270" spans="1:16" x14ac:dyDescent="0.3">
      <c r="A270" s="2">
        <v>25689</v>
      </c>
      <c r="B270" s="23">
        <v>4.0999999999999995E-2</v>
      </c>
      <c r="C270" s="5">
        <f t="shared" si="17"/>
        <v>0</v>
      </c>
      <c r="D270" s="5">
        <f t="shared" si="20"/>
        <v>0</v>
      </c>
      <c r="E270" s="5">
        <f t="shared" si="20"/>
        <v>0</v>
      </c>
      <c r="F270" s="5">
        <f t="shared" si="20"/>
        <v>0</v>
      </c>
      <c r="G270" s="5">
        <f t="shared" si="20"/>
        <v>1</v>
      </c>
      <c r="H270" s="5">
        <f t="shared" si="20"/>
        <v>0</v>
      </c>
      <c r="I270" s="5">
        <f t="shared" si="20"/>
        <v>0</v>
      </c>
      <c r="J270" s="5">
        <f t="shared" si="20"/>
        <v>0</v>
      </c>
      <c r="K270" s="5">
        <f t="shared" si="20"/>
        <v>0</v>
      </c>
      <c r="L270" s="5">
        <f t="shared" si="20"/>
        <v>0</v>
      </c>
      <c r="M270" s="5">
        <f t="shared" si="20"/>
        <v>0</v>
      </c>
      <c r="N270" s="32">
        <v>5.5101449275362209E-2</v>
      </c>
      <c r="O270" s="32">
        <v>-1.4101449275362214E-2</v>
      </c>
      <c r="P270" s="24">
        <f t="shared" si="19"/>
        <v>4.4003623188405831E-2</v>
      </c>
    </row>
    <row r="271" spans="1:16" x14ac:dyDescent="0.3">
      <c r="A271" s="2">
        <v>25720</v>
      </c>
      <c r="B271" s="23">
        <v>5.5999999999999994E-2</v>
      </c>
      <c r="C271" s="5">
        <f t="shared" si="17"/>
        <v>0</v>
      </c>
      <c r="D271" s="5">
        <f t="shared" si="20"/>
        <v>0</v>
      </c>
      <c r="E271" s="5">
        <f t="shared" si="20"/>
        <v>0</v>
      </c>
      <c r="F271" s="5">
        <f t="shared" si="20"/>
        <v>0</v>
      </c>
      <c r="G271" s="5">
        <f t="shared" si="20"/>
        <v>0</v>
      </c>
      <c r="H271" s="5">
        <f t="shared" si="20"/>
        <v>1</v>
      </c>
      <c r="I271" s="5">
        <f t="shared" si="20"/>
        <v>0</v>
      </c>
      <c r="J271" s="5">
        <f t="shared" si="20"/>
        <v>0</v>
      </c>
      <c r="K271" s="5">
        <f t="shared" si="20"/>
        <v>0</v>
      </c>
      <c r="L271" s="5">
        <f t="shared" si="20"/>
        <v>0</v>
      </c>
      <c r="M271" s="5">
        <f t="shared" si="20"/>
        <v>0</v>
      </c>
      <c r="N271" s="32">
        <v>6.1130434782608579E-2</v>
      </c>
      <c r="O271" s="32">
        <v>-5.1304347826085853E-3</v>
      </c>
      <c r="P271" s="24">
        <f t="shared" si="19"/>
        <v>5.297463768115946E-2</v>
      </c>
    </row>
    <row r="272" spans="1:16" x14ac:dyDescent="0.3">
      <c r="A272" s="2">
        <v>25750</v>
      </c>
      <c r="B272" s="23">
        <v>5.2999999999999999E-2</v>
      </c>
      <c r="C272" s="5">
        <f t="shared" si="17"/>
        <v>0</v>
      </c>
      <c r="D272" s="5">
        <f t="shared" si="20"/>
        <v>0</v>
      </c>
      <c r="E272" s="5">
        <f t="shared" si="20"/>
        <v>0</v>
      </c>
      <c r="F272" s="5">
        <f t="shared" si="20"/>
        <v>0</v>
      </c>
      <c r="G272" s="5">
        <f t="shared" si="20"/>
        <v>0</v>
      </c>
      <c r="H272" s="5">
        <f t="shared" si="20"/>
        <v>0</v>
      </c>
      <c r="I272" s="5">
        <f t="shared" si="20"/>
        <v>1</v>
      </c>
      <c r="J272" s="5">
        <f t="shared" si="20"/>
        <v>0</v>
      </c>
      <c r="K272" s="5">
        <f t="shared" si="20"/>
        <v>0</v>
      </c>
      <c r="L272" s="5">
        <f t="shared" si="20"/>
        <v>0</v>
      </c>
      <c r="M272" s="5">
        <f t="shared" si="20"/>
        <v>0</v>
      </c>
      <c r="N272" s="32">
        <v>5.9550724637681039E-2</v>
      </c>
      <c r="O272" s="32">
        <v>-6.5507246376810407E-3</v>
      </c>
      <c r="P272" s="24">
        <f t="shared" si="19"/>
        <v>5.1554347826087005E-2</v>
      </c>
    </row>
    <row r="273" spans="1:16" x14ac:dyDescent="0.3">
      <c r="A273" s="2">
        <v>25781</v>
      </c>
      <c r="B273" s="23">
        <v>0.05</v>
      </c>
      <c r="C273" s="5">
        <f t="shared" si="17"/>
        <v>0</v>
      </c>
      <c r="D273" s="5">
        <f t="shared" si="20"/>
        <v>0</v>
      </c>
      <c r="E273" s="5">
        <f t="shared" si="20"/>
        <v>0</v>
      </c>
      <c r="F273" s="5">
        <f t="shared" si="20"/>
        <v>0</v>
      </c>
      <c r="G273" s="5">
        <f t="shared" si="20"/>
        <v>0</v>
      </c>
      <c r="H273" s="5">
        <f t="shared" si="20"/>
        <v>0</v>
      </c>
      <c r="I273" s="5">
        <f t="shared" si="20"/>
        <v>0</v>
      </c>
      <c r="J273" s="5">
        <f t="shared" si="20"/>
        <v>1</v>
      </c>
      <c r="K273" s="5">
        <f t="shared" si="20"/>
        <v>0</v>
      </c>
      <c r="L273" s="5">
        <f t="shared" si="20"/>
        <v>0</v>
      </c>
      <c r="M273" s="5">
        <f t="shared" si="20"/>
        <v>0</v>
      </c>
      <c r="N273" s="32">
        <v>5.6521739130434699E-2</v>
      </c>
      <c r="O273" s="32">
        <v>-6.5217391304346964E-3</v>
      </c>
      <c r="P273" s="24">
        <f t="shared" si="19"/>
        <v>5.1583333333333349E-2</v>
      </c>
    </row>
    <row r="274" spans="1:16" x14ac:dyDescent="0.3">
      <c r="A274" s="2">
        <v>25812</v>
      </c>
      <c r="B274" s="23">
        <v>5.2000000000000005E-2</v>
      </c>
      <c r="C274" s="5">
        <f t="shared" si="17"/>
        <v>0</v>
      </c>
      <c r="D274" s="5">
        <f t="shared" si="20"/>
        <v>0</v>
      </c>
      <c r="E274" s="5">
        <f t="shared" si="20"/>
        <v>0</v>
      </c>
      <c r="F274" s="5">
        <f t="shared" si="20"/>
        <v>0</v>
      </c>
      <c r="G274" s="5">
        <f t="shared" si="20"/>
        <v>0</v>
      </c>
      <c r="H274" s="5">
        <f t="shared" si="20"/>
        <v>0</v>
      </c>
      <c r="I274" s="5">
        <f t="shared" si="20"/>
        <v>0</v>
      </c>
      <c r="J274" s="5">
        <f t="shared" si="20"/>
        <v>0</v>
      </c>
      <c r="K274" s="5">
        <f t="shared" si="20"/>
        <v>1</v>
      </c>
      <c r="L274" s="5">
        <f t="shared" si="20"/>
        <v>0</v>
      </c>
      <c r="M274" s="5">
        <f t="shared" si="20"/>
        <v>0</v>
      </c>
      <c r="N274" s="32">
        <v>5.4768115942028898E-2</v>
      </c>
      <c r="O274" s="32">
        <v>-2.7681159420288939E-3</v>
      </c>
      <c r="P274" s="24">
        <f t="shared" si="19"/>
        <v>5.5336956521739152E-2</v>
      </c>
    </row>
    <row r="275" spans="1:16" x14ac:dyDescent="0.3">
      <c r="A275" s="2">
        <v>25842</v>
      </c>
      <c r="B275" s="23">
        <v>5.0999999999999997E-2</v>
      </c>
      <c r="C275" s="5">
        <f t="shared" si="17"/>
        <v>0</v>
      </c>
      <c r="D275" s="5">
        <f t="shared" si="20"/>
        <v>0</v>
      </c>
      <c r="E275" s="5">
        <f t="shared" si="20"/>
        <v>0</v>
      </c>
      <c r="F275" s="5">
        <f t="shared" si="20"/>
        <v>0</v>
      </c>
      <c r="G275" s="5">
        <f t="shared" si="20"/>
        <v>0</v>
      </c>
      <c r="H275" s="5">
        <f t="shared" si="20"/>
        <v>0</v>
      </c>
      <c r="I275" s="5">
        <f t="shared" si="20"/>
        <v>0</v>
      </c>
      <c r="J275" s="5">
        <f t="shared" si="20"/>
        <v>0</v>
      </c>
      <c r="K275" s="5">
        <f t="shared" si="20"/>
        <v>0</v>
      </c>
      <c r="L275" s="5">
        <f t="shared" si="20"/>
        <v>1</v>
      </c>
      <c r="M275" s="5">
        <f t="shared" si="20"/>
        <v>0</v>
      </c>
      <c r="N275" s="32">
        <v>5.3115942028985473E-2</v>
      </c>
      <c r="O275" s="32">
        <v>-2.1159420289854763E-3</v>
      </c>
      <c r="P275" s="24">
        <f t="shared" si="19"/>
        <v>5.5989130434782569E-2</v>
      </c>
    </row>
    <row r="276" spans="1:16" x14ac:dyDescent="0.3">
      <c r="A276" s="2">
        <v>25873</v>
      </c>
      <c r="B276" s="23">
        <v>5.5E-2</v>
      </c>
      <c r="C276" s="5">
        <f t="shared" si="17"/>
        <v>0</v>
      </c>
      <c r="D276" s="5">
        <f t="shared" si="20"/>
        <v>0</v>
      </c>
      <c r="E276" s="5">
        <f t="shared" si="20"/>
        <v>0</v>
      </c>
      <c r="F276" s="5">
        <f t="shared" si="20"/>
        <v>0</v>
      </c>
      <c r="G276" s="5">
        <f t="shared" si="20"/>
        <v>0</v>
      </c>
      <c r="H276" s="5">
        <f t="shared" si="20"/>
        <v>0</v>
      </c>
      <c r="I276" s="5">
        <f t="shared" si="20"/>
        <v>0</v>
      </c>
      <c r="J276" s="5">
        <f t="shared" si="20"/>
        <v>0</v>
      </c>
      <c r="K276" s="5">
        <f t="shared" si="20"/>
        <v>0</v>
      </c>
      <c r="L276" s="5">
        <f t="shared" si="20"/>
        <v>0</v>
      </c>
      <c r="M276" s="5">
        <f t="shared" si="20"/>
        <v>1</v>
      </c>
      <c r="N276" s="32">
        <v>5.4782608695652081E-2</v>
      </c>
      <c r="O276" s="32">
        <v>2.173913043479192E-4</v>
      </c>
      <c r="P276" s="24">
        <f t="shared" si="19"/>
        <v>5.8322463768115965E-2</v>
      </c>
    </row>
    <row r="277" spans="1:16" x14ac:dyDescent="0.3">
      <c r="A277" s="2">
        <v>25903</v>
      </c>
      <c r="B277" s="23">
        <v>5.5999999999999994E-2</v>
      </c>
      <c r="C277" s="5">
        <f t="shared" si="17"/>
        <v>0</v>
      </c>
      <c r="D277" s="5">
        <f t="shared" si="20"/>
        <v>0</v>
      </c>
      <c r="E277" s="5">
        <f t="shared" si="20"/>
        <v>0</v>
      </c>
      <c r="F277" s="5">
        <f t="shared" si="20"/>
        <v>0</v>
      </c>
      <c r="G277" s="5">
        <f t="shared" si="20"/>
        <v>0</v>
      </c>
      <c r="H277" s="5">
        <f t="shared" si="20"/>
        <v>0</v>
      </c>
      <c r="I277" s="5">
        <f t="shared" si="20"/>
        <v>0</v>
      </c>
      <c r="J277" s="5">
        <f t="shared" si="20"/>
        <v>0</v>
      </c>
      <c r="K277" s="5">
        <f t="shared" si="20"/>
        <v>0</v>
      </c>
      <c r="L277" s="5">
        <f t="shared" si="20"/>
        <v>0</v>
      </c>
      <c r="M277" s="5">
        <f t="shared" si="20"/>
        <v>0</v>
      </c>
      <c r="N277" s="32">
        <v>5.5202898550724598E-2</v>
      </c>
      <c r="O277" s="32">
        <v>7.9710144927539611E-4</v>
      </c>
      <c r="P277" s="24">
        <f t="shared" si="19"/>
        <v>5.8902173913043442E-2</v>
      </c>
    </row>
    <row r="278" spans="1:16" x14ac:dyDescent="0.3">
      <c r="A278" s="2">
        <v>25934</v>
      </c>
      <c r="B278" s="23">
        <v>6.6000000000000003E-2</v>
      </c>
      <c r="C278" s="5">
        <f t="shared" si="17"/>
        <v>1</v>
      </c>
      <c r="D278" s="5">
        <f t="shared" si="20"/>
        <v>0</v>
      </c>
      <c r="E278" s="5">
        <f t="shared" si="20"/>
        <v>0</v>
      </c>
      <c r="F278" s="5">
        <f t="shared" si="20"/>
        <v>0</v>
      </c>
      <c r="G278" s="5">
        <f t="shared" si="20"/>
        <v>0</v>
      </c>
      <c r="H278" s="5">
        <f t="shared" si="20"/>
        <v>0</v>
      </c>
      <c r="I278" s="5">
        <f t="shared" si="20"/>
        <v>0</v>
      </c>
      <c r="J278" s="5">
        <f t="shared" si="20"/>
        <v>0</v>
      </c>
      <c r="K278" s="5">
        <f t="shared" si="20"/>
        <v>0</v>
      </c>
      <c r="L278" s="5">
        <f t="shared" si="20"/>
        <v>0</v>
      </c>
      <c r="M278" s="5">
        <f t="shared" si="20"/>
        <v>0</v>
      </c>
      <c r="N278" s="32">
        <v>6.4492753623188417E-2</v>
      </c>
      <c r="O278" s="32">
        <v>1.5072463768115857E-3</v>
      </c>
      <c r="P278" s="24">
        <f t="shared" si="19"/>
        <v>5.9612318840579631E-2</v>
      </c>
    </row>
    <row r="279" spans="1:16" x14ac:dyDescent="0.3">
      <c r="A279" s="2">
        <v>25965</v>
      </c>
      <c r="B279" s="23">
        <v>6.6000000000000003E-2</v>
      </c>
      <c r="C279" s="5">
        <f t="shared" si="17"/>
        <v>0</v>
      </c>
      <c r="D279" s="5">
        <f t="shared" si="20"/>
        <v>1</v>
      </c>
      <c r="E279" s="5">
        <f t="shared" si="20"/>
        <v>0</v>
      </c>
      <c r="F279" s="5">
        <f t="shared" si="20"/>
        <v>0</v>
      </c>
      <c r="G279" s="5">
        <f t="shared" si="20"/>
        <v>0</v>
      </c>
      <c r="H279" s="5">
        <f t="shared" si="20"/>
        <v>0</v>
      </c>
      <c r="I279" s="5">
        <f t="shared" si="20"/>
        <v>0</v>
      </c>
      <c r="J279" s="5">
        <f t="shared" si="20"/>
        <v>0</v>
      </c>
      <c r="K279" s="5">
        <f t="shared" si="20"/>
        <v>0</v>
      </c>
      <c r="L279" s="5">
        <f t="shared" si="20"/>
        <v>0</v>
      </c>
      <c r="M279" s="5">
        <f t="shared" si="20"/>
        <v>0</v>
      </c>
      <c r="N279" s="32">
        <v>6.4391304347825973E-2</v>
      </c>
      <c r="O279" s="32">
        <v>1.6086956521740303E-3</v>
      </c>
      <c r="P279" s="24">
        <f t="shared" si="19"/>
        <v>5.9713768115942076E-2</v>
      </c>
    </row>
    <row r="280" spans="1:16" x14ac:dyDescent="0.3">
      <c r="A280" s="2">
        <v>25993</v>
      </c>
      <c r="B280" s="23">
        <v>6.3E-2</v>
      </c>
      <c r="C280" s="5">
        <f t="shared" si="17"/>
        <v>0</v>
      </c>
      <c r="D280" s="5">
        <f t="shared" si="20"/>
        <v>0</v>
      </c>
      <c r="E280" s="5">
        <f t="shared" si="20"/>
        <v>1</v>
      </c>
      <c r="F280" s="5">
        <f t="shared" si="20"/>
        <v>0</v>
      </c>
      <c r="G280" s="5">
        <f t="shared" si="20"/>
        <v>0</v>
      </c>
      <c r="H280" s="5">
        <f t="shared" si="20"/>
        <v>0</v>
      </c>
      <c r="I280" s="5">
        <f t="shared" si="20"/>
        <v>0</v>
      </c>
      <c r="J280" s="5">
        <f t="shared" si="20"/>
        <v>0</v>
      </c>
      <c r="K280" s="5">
        <f t="shared" si="20"/>
        <v>0</v>
      </c>
      <c r="L280" s="5">
        <f t="shared" si="20"/>
        <v>0</v>
      </c>
      <c r="M280" s="5">
        <f t="shared" si="20"/>
        <v>0</v>
      </c>
      <c r="N280" s="32">
        <v>6.1652173913043402E-2</v>
      </c>
      <c r="O280" s="32">
        <v>1.3478260869565981E-3</v>
      </c>
      <c r="P280" s="24">
        <f t="shared" si="19"/>
        <v>5.9452898550724644E-2</v>
      </c>
    </row>
    <row r="281" spans="1:16" x14ac:dyDescent="0.3">
      <c r="A281" s="2">
        <v>26024</v>
      </c>
      <c r="B281" s="23">
        <v>5.7000000000000002E-2</v>
      </c>
      <c r="C281" s="5">
        <f t="shared" si="17"/>
        <v>0</v>
      </c>
      <c r="D281" s="5">
        <f t="shared" si="20"/>
        <v>0</v>
      </c>
      <c r="E281" s="5">
        <f t="shared" si="20"/>
        <v>0</v>
      </c>
      <c r="F281" s="5">
        <f t="shared" si="20"/>
        <v>1</v>
      </c>
      <c r="G281" s="5">
        <f t="shared" si="20"/>
        <v>0</v>
      </c>
      <c r="H281" s="5">
        <f t="shared" si="20"/>
        <v>0</v>
      </c>
      <c r="I281" s="5">
        <f t="shared" si="20"/>
        <v>0</v>
      </c>
      <c r="J281" s="5">
        <f t="shared" si="20"/>
        <v>0</v>
      </c>
      <c r="K281" s="5">
        <f t="shared" si="20"/>
        <v>0</v>
      </c>
      <c r="L281" s="5">
        <f t="shared" si="20"/>
        <v>0</v>
      </c>
      <c r="M281" s="5">
        <f t="shared" si="20"/>
        <v>0</v>
      </c>
      <c r="N281" s="32">
        <v>5.6550724637681071E-2</v>
      </c>
      <c r="O281" s="32">
        <v>4.4927536231893078E-4</v>
      </c>
      <c r="P281" s="24">
        <f t="shared" si="19"/>
        <v>5.8554347826086976E-2</v>
      </c>
    </row>
    <row r="282" spans="1:16" x14ac:dyDescent="0.3">
      <c r="A282" s="2">
        <v>26054</v>
      </c>
      <c r="B282" s="23">
        <v>5.2999999999999999E-2</v>
      </c>
      <c r="C282" s="5">
        <f t="shared" si="17"/>
        <v>0</v>
      </c>
      <c r="D282" s="5">
        <f t="shared" si="20"/>
        <v>0</v>
      </c>
      <c r="E282" s="5">
        <f t="shared" si="20"/>
        <v>0</v>
      </c>
      <c r="F282" s="5">
        <f t="shared" si="20"/>
        <v>0</v>
      </c>
      <c r="G282" s="5">
        <f t="shared" si="20"/>
        <v>1</v>
      </c>
      <c r="H282" s="5">
        <f t="shared" si="20"/>
        <v>0</v>
      </c>
      <c r="I282" s="5">
        <f t="shared" si="20"/>
        <v>0</v>
      </c>
      <c r="J282" s="5">
        <f t="shared" si="20"/>
        <v>0</v>
      </c>
      <c r="K282" s="5">
        <f t="shared" si="20"/>
        <v>0</v>
      </c>
      <c r="L282" s="5">
        <f t="shared" si="20"/>
        <v>0</v>
      </c>
      <c r="M282" s="5">
        <f t="shared" si="20"/>
        <v>0</v>
      </c>
      <c r="N282" s="32">
        <v>5.5101449275362209E-2</v>
      </c>
      <c r="O282" s="32">
        <v>-2.1014492753622105E-3</v>
      </c>
      <c r="P282" s="24">
        <f t="shared" si="19"/>
        <v>5.6003623188405835E-2</v>
      </c>
    </row>
    <row r="283" spans="1:16" x14ac:dyDescent="0.3">
      <c r="A283" s="2">
        <v>26085</v>
      </c>
      <c r="B283" s="23">
        <v>6.5000000000000002E-2</v>
      </c>
      <c r="C283" s="5">
        <f t="shared" si="17"/>
        <v>0</v>
      </c>
      <c r="D283" s="5">
        <f t="shared" si="20"/>
        <v>0</v>
      </c>
      <c r="E283" s="5">
        <f t="shared" si="20"/>
        <v>0</v>
      </c>
      <c r="F283" s="5">
        <f t="shared" si="20"/>
        <v>0</v>
      </c>
      <c r="G283" s="5">
        <f t="shared" si="20"/>
        <v>0</v>
      </c>
      <c r="H283" s="5">
        <f t="shared" si="20"/>
        <v>1</v>
      </c>
      <c r="I283" s="5">
        <f t="shared" si="20"/>
        <v>0</v>
      </c>
      <c r="J283" s="5">
        <f t="shared" si="20"/>
        <v>0</v>
      </c>
      <c r="K283" s="5">
        <f t="shared" si="20"/>
        <v>0</v>
      </c>
      <c r="L283" s="5">
        <f t="shared" si="20"/>
        <v>0</v>
      </c>
      <c r="M283" s="5">
        <f t="shared" si="20"/>
        <v>0</v>
      </c>
      <c r="N283" s="32">
        <v>6.1130434782608579E-2</v>
      </c>
      <c r="O283" s="32">
        <v>3.8695652173914227E-3</v>
      </c>
      <c r="P283" s="24">
        <f t="shared" si="19"/>
        <v>6.1974637681159468E-2</v>
      </c>
    </row>
    <row r="284" spans="1:16" x14ac:dyDescent="0.3">
      <c r="A284" s="2">
        <v>26115</v>
      </c>
      <c r="B284" s="23">
        <v>6.2E-2</v>
      </c>
      <c r="C284" s="5">
        <f t="shared" si="17"/>
        <v>0</v>
      </c>
      <c r="D284" s="5">
        <f t="shared" si="20"/>
        <v>0</v>
      </c>
      <c r="E284" s="5">
        <f t="shared" si="20"/>
        <v>0</v>
      </c>
      <c r="F284" s="5">
        <f t="shared" si="20"/>
        <v>0</v>
      </c>
      <c r="G284" s="5">
        <f t="shared" si="20"/>
        <v>0</v>
      </c>
      <c r="H284" s="5">
        <f t="shared" si="20"/>
        <v>0</v>
      </c>
      <c r="I284" s="5">
        <f t="shared" si="20"/>
        <v>1</v>
      </c>
      <c r="J284" s="5">
        <f t="shared" si="20"/>
        <v>0</v>
      </c>
      <c r="K284" s="5">
        <f t="shared" si="20"/>
        <v>0</v>
      </c>
      <c r="L284" s="5">
        <f t="shared" si="20"/>
        <v>0</v>
      </c>
      <c r="M284" s="5">
        <f t="shared" si="20"/>
        <v>0</v>
      </c>
      <c r="N284" s="32">
        <v>5.9550724637681039E-2</v>
      </c>
      <c r="O284" s="32">
        <v>2.4492753623189603E-3</v>
      </c>
      <c r="P284" s="24">
        <f t="shared" si="19"/>
        <v>6.0554347826087006E-2</v>
      </c>
    </row>
    <row r="285" spans="1:16" x14ac:dyDescent="0.3">
      <c r="A285" s="2">
        <v>26146</v>
      </c>
      <c r="B285" s="23">
        <v>5.9000000000000004E-2</v>
      </c>
      <c r="C285" s="5">
        <f t="shared" si="17"/>
        <v>0</v>
      </c>
      <c r="D285" s="5">
        <f t="shared" si="20"/>
        <v>0</v>
      </c>
      <c r="E285" s="5">
        <f t="shared" si="20"/>
        <v>0</v>
      </c>
      <c r="F285" s="5">
        <f t="shared" si="20"/>
        <v>0</v>
      </c>
      <c r="G285" s="5">
        <f t="shared" si="20"/>
        <v>0</v>
      </c>
      <c r="H285" s="5">
        <f t="shared" si="20"/>
        <v>0</v>
      </c>
      <c r="I285" s="5">
        <f t="shared" si="20"/>
        <v>0</v>
      </c>
      <c r="J285" s="5">
        <f t="shared" si="20"/>
        <v>1</v>
      </c>
      <c r="K285" s="5">
        <f t="shared" si="20"/>
        <v>0</v>
      </c>
      <c r="L285" s="5">
        <f t="shared" si="20"/>
        <v>0</v>
      </c>
      <c r="M285" s="5">
        <f t="shared" si="20"/>
        <v>0</v>
      </c>
      <c r="N285" s="32">
        <v>5.6521739130434699E-2</v>
      </c>
      <c r="O285" s="32">
        <v>2.4782608695653047E-3</v>
      </c>
      <c r="P285" s="24">
        <f t="shared" si="19"/>
        <v>6.058333333333335E-2</v>
      </c>
    </row>
    <row r="286" spans="1:16" x14ac:dyDescent="0.3">
      <c r="A286" s="2">
        <v>26177</v>
      </c>
      <c r="B286" s="23">
        <v>5.7999999999999996E-2</v>
      </c>
      <c r="C286" s="5">
        <f t="shared" si="17"/>
        <v>0</v>
      </c>
      <c r="D286" s="5">
        <f t="shared" si="20"/>
        <v>0</v>
      </c>
      <c r="E286" s="5">
        <f t="shared" si="20"/>
        <v>0</v>
      </c>
      <c r="F286" s="5">
        <f t="shared" si="20"/>
        <v>0</v>
      </c>
      <c r="G286" s="5">
        <f t="shared" si="20"/>
        <v>0</v>
      </c>
      <c r="H286" s="5">
        <f t="shared" si="20"/>
        <v>0</v>
      </c>
      <c r="I286" s="5">
        <f t="shared" si="20"/>
        <v>0</v>
      </c>
      <c r="J286" s="5">
        <f t="shared" si="20"/>
        <v>0</v>
      </c>
      <c r="K286" s="5">
        <f t="shared" si="20"/>
        <v>1</v>
      </c>
      <c r="L286" s="5">
        <f t="shared" si="20"/>
        <v>0</v>
      </c>
      <c r="M286" s="5">
        <f t="shared" si="20"/>
        <v>0</v>
      </c>
      <c r="N286" s="32">
        <v>5.4768115942028898E-2</v>
      </c>
      <c r="O286" s="32">
        <v>3.2318840579710975E-3</v>
      </c>
      <c r="P286" s="24">
        <f t="shared" si="19"/>
        <v>6.1336956521739143E-2</v>
      </c>
    </row>
    <row r="287" spans="1:16" x14ac:dyDescent="0.3">
      <c r="A287" s="2">
        <v>26207</v>
      </c>
      <c r="B287" s="23">
        <v>5.4000000000000006E-2</v>
      </c>
      <c r="C287" s="5">
        <f t="shared" si="17"/>
        <v>0</v>
      </c>
      <c r="D287" s="5">
        <f t="shared" si="20"/>
        <v>0</v>
      </c>
      <c r="E287" s="5">
        <f t="shared" si="20"/>
        <v>0</v>
      </c>
      <c r="F287" s="5">
        <f t="shared" si="20"/>
        <v>0</v>
      </c>
      <c r="G287" s="5">
        <f t="shared" si="20"/>
        <v>0</v>
      </c>
      <c r="H287" s="5">
        <f t="shared" si="20"/>
        <v>0</v>
      </c>
      <c r="I287" s="5">
        <f t="shared" si="20"/>
        <v>0</v>
      </c>
      <c r="J287" s="5">
        <f t="shared" si="20"/>
        <v>0</v>
      </c>
      <c r="K287" s="5">
        <f t="shared" si="20"/>
        <v>0</v>
      </c>
      <c r="L287" s="5">
        <f t="shared" si="20"/>
        <v>1</v>
      </c>
      <c r="M287" s="5">
        <f t="shared" si="20"/>
        <v>0</v>
      </c>
      <c r="N287" s="32">
        <v>5.3115942028985473E-2</v>
      </c>
      <c r="O287" s="32">
        <v>8.8405797101453326E-4</v>
      </c>
      <c r="P287" s="24">
        <f t="shared" si="19"/>
        <v>5.8989130434782579E-2</v>
      </c>
    </row>
    <row r="288" spans="1:16" x14ac:dyDescent="0.3">
      <c r="A288" s="2">
        <v>26238</v>
      </c>
      <c r="B288" s="23">
        <v>5.7000000000000002E-2</v>
      </c>
      <c r="C288" s="5">
        <f t="shared" si="17"/>
        <v>0</v>
      </c>
      <c r="D288" s="5">
        <f t="shared" si="20"/>
        <v>0</v>
      </c>
      <c r="E288" s="5">
        <f t="shared" si="20"/>
        <v>0</v>
      </c>
      <c r="F288" s="5">
        <f t="shared" si="20"/>
        <v>0</v>
      </c>
      <c r="G288" s="5">
        <f t="shared" si="20"/>
        <v>0</v>
      </c>
      <c r="H288" s="5">
        <f t="shared" si="20"/>
        <v>0</v>
      </c>
      <c r="I288" s="5">
        <f t="shared" si="20"/>
        <v>0</v>
      </c>
      <c r="J288" s="5">
        <f t="shared" si="20"/>
        <v>0</v>
      </c>
      <c r="K288" s="5">
        <f t="shared" si="20"/>
        <v>0</v>
      </c>
      <c r="L288" s="5">
        <f t="shared" si="20"/>
        <v>0</v>
      </c>
      <c r="M288" s="5">
        <f t="shared" si="20"/>
        <v>1</v>
      </c>
      <c r="N288" s="32">
        <v>5.4782608695652081E-2</v>
      </c>
      <c r="O288" s="32">
        <v>2.217391304347921E-3</v>
      </c>
      <c r="P288" s="24">
        <f t="shared" si="19"/>
        <v>6.0322463768115966E-2</v>
      </c>
    </row>
    <row r="289" spans="1:16" x14ac:dyDescent="0.3">
      <c r="A289" s="2">
        <v>26268</v>
      </c>
      <c r="B289" s="23">
        <v>5.5E-2</v>
      </c>
      <c r="C289" s="5">
        <f t="shared" si="17"/>
        <v>0</v>
      </c>
      <c r="D289" s="5">
        <f t="shared" si="20"/>
        <v>0</v>
      </c>
      <c r="E289" s="5">
        <f t="shared" si="20"/>
        <v>0</v>
      </c>
      <c r="F289" s="5">
        <f t="shared" si="20"/>
        <v>0</v>
      </c>
      <c r="G289" s="5">
        <f t="shared" si="20"/>
        <v>0</v>
      </c>
      <c r="H289" s="5">
        <f t="shared" si="20"/>
        <v>0</v>
      </c>
      <c r="I289" s="5">
        <f t="shared" si="20"/>
        <v>0</v>
      </c>
      <c r="J289" s="5">
        <f t="shared" si="20"/>
        <v>0</v>
      </c>
      <c r="K289" s="5">
        <f t="shared" si="20"/>
        <v>0</v>
      </c>
      <c r="L289" s="5">
        <f t="shared" si="20"/>
        <v>0</v>
      </c>
      <c r="M289" s="5">
        <f t="shared" si="20"/>
        <v>0</v>
      </c>
      <c r="N289" s="32">
        <v>5.5202898550724598E-2</v>
      </c>
      <c r="O289" s="32">
        <v>-2.0289855072459784E-4</v>
      </c>
      <c r="P289" s="24">
        <f t="shared" si="19"/>
        <v>5.7902173913043448E-2</v>
      </c>
    </row>
    <row r="290" spans="1:16" x14ac:dyDescent="0.3">
      <c r="A290" s="2">
        <v>26299</v>
      </c>
      <c r="B290" s="23">
        <v>6.5000000000000002E-2</v>
      </c>
      <c r="C290" s="5">
        <f t="shared" si="17"/>
        <v>1</v>
      </c>
      <c r="D290" s="5">
        <f t="shared" si="20"/>
        <v>0</v>
      </c>
      <c r="E290" s="5">
        <f t="shared" si="20"/>
        <v>0</v>
      </c>
      <c r="F290" s="5">
        <f t="shared" si="20"/>
        <v>0</v>
      </c>
      <c r="G290" s="5">
        <f t="shared" si="20"/>
        <v>0</v>
      </c>
      <c r="H290" s="5">
        <f t="shared" si="20"/>
        <v>0</v>
      </c>
      <c r="I290" s="5">
        <f t="shared" si="20"/>
        <v>0</v>
      </c>
      <c r="J290" s="5">
        <f t="shared" si="20"/>
        <v>0</v>
      </c>
      <c r="K290" s="5">
        <f t="shared" si="20"/>
        <v>0</v>
      </c>
      <c r="L290" s="5">
        <f t="shared" si="20"/>
        <v>0</v>
      </c>
      <c r="M290" s="5">
        <f t="shared" si="20"/>
        <v>0</v>
      </c>
      <c r="N290" s="32">
        <v>6.4492753623188417E-2</v>
      </c>
      <c r="O290" s="32">
        <v>5.072463768115848E-4</v>
      </c>
      <c r="P290" s="24">
        <f t="shared" si="19"/>
        <v>5.861231884057963E-2</v>
      </c>
    </row>
    <row r="291" spans="1:16" x14ac:dyDescent="0.3">
      <c r="A291" s="2">
        <v>26330</v>
      </c>
      <c r="B291" s="23">
        <v>6.4000000000000001E-2</v>
      </c>
      <c r="C291" s="5">
        <f t="shared" si="17"/>
        <v>0</v>
      </c>
      <c r="D291" s="5">
        <f t="shared" si="20"/>
        <v>1</v>
      </c>
      <c r="E291" s="5">
        <f t="shared" si="20"/>
        <v>0</v>
      </c>
      <c r="F291" s="5">
        <f t="shared" si="20"/>
        <v>0</v>
      </c>
      <c r="G291" s="5">
        <f t="shared" si="20"/>
        <v>0</v>
      </c>
      <c r="H291" s="5">
        <f t="shared" si="20"/>
        <v>0</v>
      </c>
      <c r="I291" s="5">
        <f t="shared" si="20"/>
        <v>0</v>
      </c>
      <c r="J291" s="5">
        <f t="shared" si="20"/>
        <v>0</v>
      </c>
      <c r="K291" s="5">
        <f t="shared" si="20"/>
        <v>0</v>
      </c>
      <c r="L291" s="5">
        <f t="shared" si="20"/>
        <v>0</v>
      </c>
      <c r="M291" s="5">
        <f t="shared" si="20"/>
        <v>0</v>
      </c>
      <c r="N291" s="32">
        <v>6.4391304347825973E-2</v>
      </c>
      <c r="O291" s="32">
        <v>-3.9130434782597145E-4</v>
      </c>
      <c r="P291" s="24">
        <f t="shared" si="19"/>
        <v>5.7713768115942074E-2</v>
      </c>
    </row>
    <row r="292" spans="1:16" x14ac:dyDescent="0.3">
      <c r="A292" s="2">
        <v>26359</v>
      </c>
      <c r="B292" s="23">
        <v>6.0999999999999999E-2</v>
      </c>
      <c r="C292" s="5">
        <f t="shared" si="17"/>
        <v>0</v>
      </c>
      <c r="D292" s="5">
        <f t="shared" si="20"/>
        <v>0</v>
      </c>
      <c r="E292" s="5">
        <f t="shared" si="20"/>
        <v>1</v>
      </c>
      <c r="F292" s="5">
        <f t="shared" si="20"/>
        <v>0</v>
      </c>
      <c r="G292" s="5">
        <f t="shared" si="20"/>
        <v>0</v>
      </c>
      <c r="H292" s="5">
        <f t="shared" si="20"/>
        <v>0</v>
      </c>
      <c r="I292" s="5">
        <f t="shared" si="20"/>
        <v>0</v>
      </c>
      <c r="J292" s="5">
        <f t="shared" si="20"/>
        <v>0</v>
      </c>
      <c r="K292" s="5">
        <f t="shared" si="20"/>
        <v>0</v>
      </c>
      <c r="L292" s="5">
        <f t="shared" si="20"/>
        <v>0</v>
      </c>
      <c r="M292" s="5">
        <f t="shared" si="20"/>
        <v>0</v>
      </c>
      <c r="N292" s="32">
        <v>6.1652173913043402E-2</v>
      </c>
      <c r="O292" s="32">
        <v>-6.5217391304340372E-4</v>
      </c>
      <c r="P292" s="24">
        <f t="shared" si="19"/>
        <v>5.7452898550724642E-2</v>
      </c>
    </row>
    <row r="293" spans="1:16" x14ac:dyDescent="0.3">
      <c r="A293" s="2">
        <v>26390</v>
      </c>
      <c r="B293" s="23">
        <v>5.5E-2</v>
      </c>
      <c r="C293" s="5">
        <f t="shared" si="17"/>
        <v>0</v>
      </c>
      <c r="D293" s="5">
        <f t="shared" si="20"/>
        <v>0</v>
      </c>
      <c r="E293" s="5">
        <f t="shared" si="20"/>
        <v>0</v>
      </c>
      <c r="F293" s="5">
        <f t="shared" si="20"/>
        <v>1</v>
      </c>
      <c r="G293" s="5">
        <f t="shared" si="20"/>
        <v>0</v>
      </c>
      <c r="H293" s="5">
        <f t="shared" si="20"/>
        <v>0</v>
      </c>
      <c r="I293" s="5">
        <f t="shared" si="20"/>
        <v>0</v>
      </c>
      <c r="J293" s="5">
        <f t="shared" si="20"/>
        <v>0</v>
      </c>
      <c r="K293" s="5">
        <f t="shared" si="20"/>
        <v>0</v>
      </c>
      <c r="L293" s="5">
        <f t="shared" si="20"/>
        <v>0</v>
      </c>
      <c r="M293" s="5">
        <f t="shared" si="20"/>
        <v>0</v>
      </c>
      <c r="N293" s="32">
        <v>5.6550724637681071E-2</v>
      </c>
      <c r="O293" s="32">
        <v>-1.550724637681071E-3</v>
      </c>
      <c r="P293" s="24">
        <f t="shared" si="19"/>
        <v>5.6554347826086974E-2</v>
      </c>
    </row>
    <row r="294" spans="1:16" x14ac:dyDescent="0.3">
      <c r="A294" s="2">
        <v>26420</v>
      </c>
      <c r="B294" s="23">
        <v>5.0999999999999997E-2</v>
      </c>
      <c r="C294" s="5">
        <f t="shared" si="17"/>
        <v>0</v>
      </c>
      <c r="D294" s="5">
        <f t="shared" si="20"/>
        <v>0</v>
      </c>
      <c r="E294" s="5">
        <f t="shared" si="20"/>
        <v>0</v>
      </c>
      <c r="F294" s="5">
        <f t="shared" si="20"/>
        <v>0</v>
      </c>
      <c r="G294" s="5">
        <f t="shared" si="20"/>
        <v>1</v>
      </c>
      <c r="H294" s="5">
        <f t="shared" si="20"/>
        <v>0</v>
      </c>
      <c r="I294" s="5">
        <f t="shared" si="20"/>
        <v>0</v>
      </c>
      <c r="J294" s="5">
        <f t="shared" si="20"/>
        <v>0</v>
      </c>
      <c r="K294" s="5">
        <f t="shared" si="20"/>
        <v>0</v>
      </c>
      <c r="L294" s="5">
        <f t="shared" ref="D294:M320" si="21">IF(MONTH($A294)=L$1,1,0)</f>
        <v>0</v>
      </c>
      <c r="M294" s="5">
        <f t="shared" si="21"/>
        <v>0</v>
      </c>
      <c r="N294" s="32">
        <v>5.5101449275362209E-2</v>
      </c>
      <c r="O294" s="32">
        <v>-4.1014492753622123E-3</v>
      </c>
      <c r="P294" s="24">
        <f t="shared" si="19"/>
        <v>5.4003623188405833E-2</v>
      </c>
    </row>
    <row r="295" spans="1:16" x14ac:dyDescent="0.3">
      <c r="A295" s="2">
        <v>26451</v>
      </c>
      <c r="B295" s="23">
        <v>6.2E-2</v>
      </c>
      <c r="C295" s="5">
        <f t="shared" si="17"/>
        <v>0</v>
      </c>
      <c r="D295" s="5">
        <f t="shared" si="21"/>
        <v>0</v>
      </c>
      <c r="E295" s="5">
        <f t="shared" si="21"/>
        <v>0</v>
      </c>
      <c r="F295" s="5">
        <f t="shared" si="21"/>
        <v>0</v>
      </c>
      <c r="G295" s="5">
        <f t="shared" si="21"/>
        <v>0</v>
      </c>
      <c r="H295" s="5">
        <f t="shared" si="21"/>
        <v>1</v>
      </c>
      <c r="I295" s="5">
        <f t="shared" si="21"/>
        <v>0</v>
      </c>
      <c r="J295" s="5">
        <f t="shared" si="21"/>
        <v>0</v>
      </c>
      <c r="K295" s="5">
        <f t="shared" si="21"/>
        <v>0</v>
      </c>
      <c r="L295" s="5">
        <f t="shared" si="21"/>
        <v>0</v>
      </c>
      <c r="M295" s="5">
        <f t="shared" si="21"/>
        <v>0</v>
      </c>
      <c r="N295" s="32">
        <v>6.1130434782608579E-2</v>
      </c>
      <c r="O295" s="32">
        <v>8.6956521739142006E-4</v>
      </c>
      <c r="P295" s="24">
        <f t="shared" si="19"/>
        <v>5.8974637681159466E-2</v>
      </c>
    </row>
    <row r="296" spans="1:16" x14ac:dyDescent="0.3">
      <c r="A296" s="2">
        <v>26481</v>
      </c>
      <c r="B296" s="23">
        <v>5.9000000000000004E-2</v>
      </c>
      <c r="C296" s="5">
        <f t="shared" ref="C296:C359" si="22">IF(MONTH($A296)=C$1,1,0)</f>
        <v>0</v>
      </c>
      <c r="D296" s="5">
        <f t="shared" si="21"/>
        <v>0</v>
      </c>
      <c r="E296" s="5">
        <f t="shared" si="21"/>
        <v>0</v>
      </c>
      <c r="F296" s="5">
        <f t="shared" si="21"/>
        <v>0</v>
      </c>
      <c r="G296" s="5">
        <f t="shared" si="21"/>
        <v>0</v>
      </c>
      <c r="H296" s="5">
        <f t="shared" si="21"/>
        <v>0</v>
      </c>
      <c r="I296" s="5">
        <f t="shared" si="21"/>
        <v>1</v>
      </c>
      <c r="J296" s="5">
        <f t="shared" si="21"/>
        <v>0</v>
      </c>
      <c r="K296" s="5">
        <f t="shared" si="21"/>
        <v>0</v>
      </c>
      <c r="L296" s="5">
        <f t="shared" si="21"/>
        <v>0</v>
      </c>
      <c r="M296" s="5">
        <f t="shared" si="21"/>
        <v>0</v>
      </c>
      <c r="N296" s="32">
        <v>5.9550724637681039E-2</v>
      </c>
      <c r="O296" s="32">
        <v>-5.5072463768103541E-4</v>
      </c>
      <c r="P296" s="24">
        <f t="shared" si="19"/>
        <v>5.755434782608701E-2</v>
      </c>
    </row>
    <row r="297" spans="1:16" x14ac:dyDescent="0.3">
      <c r="A297" s="2">
        <v>26512</v>
      </c>
      <c r="B297" s="23">
        <v>5.5E-2</v>
      </c>
      <c r="C297" s="5">
        <f t="shared" si="22"/>
        <v>0</v>
      </c>
      <c r="D297" s="5">
        <f t="shared" si="21"/>
        <v>0</v>
      </c>
      <c r="E297" s="5">
        <f t="shared" si="21"/>
        <v>0</v>
      </c>
      <c r="F297" s="5">
        <f t="shared" si="21"/>
        <v>0</v>
      </c>
      <c r="G297" s="5">
        <f t="shared" si="21"/>
        <v>0</v>
      </c>
      <c r="H297" s="5">
        <f t="shared" si="21"/>
        <v>0</v>
      </c>
      <c r="I297" s="5">
        <f t="shared" si="21"/>
        <v>0</v>
      </c>
      <c r="J297" s="5">
        <f t="shared" si="21"/>
        <v>1</v>
      </c>
      <c r="K297" s="5">
        <f t="shared" si="21"/>
        <v>0</v>
      </c>
      <c r="L297" s="5">
        <f t="shared" si="21"/>
        <v>0</v>
      </c>
      <c r="M297" s="5">
        <f t="shared" si="21"/>
        <v>0</v>
      </c>
      <c r="N297" s="32">
        <v>5.6521739130434699E-2</v>
      </c>
      <c r="O297" s="32">
        <v>-1.5217391304346989E-3</v>
      </c>
      <c r="P297" s="24">
        <f t="shared" si="19"/>
        <v>5.6583333333333347E-2</v>
      </c>
    </row>
    <row r="298" spans="1:16" x14ac:dyDescent="0.3">
      <c r="A298" s="2">
        <v>26543</v>
      </c>
      <c r="B298" s="23">
        <v>5.4000000000000006E-2</v>
      </c>
      <c r="C298" s="5">
        <f t="shared" si="22"/>
        <v>0</v>
      </c>
      <c r="D298" s="5">
        <f t="shared" si="21"/>
        <v>0</v>
      </c>
      <c r="E298" s="5">
        <f t="shared" si="21"/>
        <v>0</v>
      </c>
      <c r="F298" s="5">
        <f t="shared" si="21"/>
        <v>0</v>
      </c>
      <c r="G298" s="5">
        <f t="shared" si="21"/>
        <v>0</v>
      </c>
      <c r="H298" s="5">
        <f t="shared" si="21"/>
        <v>0</v>
      </c>
      <c r="I298" s="5">
        <f t="shared" si="21"/>
        <v>0</v>
      </c>
      <c r="J298" s="5">
        <f t="shared" si="21"/>
        <v>0</v>
      </c>
      <c r="K298" s="5">
        <f t="shared" si="21"/>
        <v>1</v>
      </c>
      <c r="L298" s="5">
        <f t="shared" si="21"/>
        <v>0</v>
      </c>
      <c r="M298" s="5">
        <f t="shared" si="21"/>
        <v>0</v>
      </c>
      <c r="N298" s="32">
        <v>5.4768115942028898E-2</v>
      </c>
      <c r="O298" s="32">
        <v>-7.6811594202889216E-4</v>
      </c>
      <c r="P298" s="24">
        <f t="shared" si="19"/>
        <v>5.7336956521739153E-2</v>
      </c>
    </row>
    <row r="299" spans="1:16" x14ac:dyDescent="0.3">
      <c r="A299" s="2">
        <v>26573</v>
      </c>
      <c r="B299" s="23">
        <v>5.0999999999999997E-2</v>
      </c>
      <c r="C299" s="5">
        <f t="shared" si="22"/>
        <v>0</v>
      </c>
      <c r="D299" s="5">
        <f t="shared" si="21"/>
        <v>0</v>
      </c>
      <c r="E299" s="5">
        <f t="shared" si="21"/>
        <v>0</v>
      </c>
      <c r="F299" s="5">
        <f t="shared" si="21"/>
        <v>0</v>
      </c>
      <c r="G299" s="5">
        <f t="shared" si="21"/>
        <v>0</v>
      </c>
      <c r="H299" s="5">
        <f t="shared" si="21"/>
        <v>0</v>
      </c>
      <c r="I299" s="5">
        <f t="shared" si="21"/>
        <v>0</v>
      </c>
      <c r="J299" s="5">
        <f t="shared" si="21"/>
        <v>0</v>
      </c>
      <c r="K299" s="5">
        <f t="shared" si="21"/>
        <v>0</v>
      </c>
      <c r="L299" s="5">
        <f t="shared" si="21"/>
        <v>1</v>
      </c>
      <c r="M299" s="5">
        <f t="shared" si="21"/>
        <v>0</v>
      </c>
      <c r="N299" s="32">
        <v>5.3115942028985473E-2</v>
      </c>
      <c r="O299" s="32">
        <v>-2.1159420289854763E-3</v>
      </c>
      <c r="P299" s="24">
        <f t="shared" si="19"/>
        <v>5.5989130434782569E-2</v>
      </c>
    </row>
    <row r="300" spans="1:16" x14ac:dyDescent="0.3">
      <c r="A300" s="2">
        <v>26604</v>
      </c>
      <c r="B300" s="23">
        <v>4.9000000000000002E-2</v>
      </c>
      <c r="C300" s="5">
        <f t="shared" si="22"/>
        <v>0</v>
      </c>
      <c r="D300" s="5">
        <f t="shared" si="21"/>
        <v>0</v>
      </c>
      <c r="E300" s="5">
        <f t="shared" si="21"/>
        <v>0</v>
      </c>
      <c r="F300" s="5">
        <f t="shared" si="21"/>
        <v>0</v>
      </c>
      <c r="G300" s="5">
        <f t="shared" si="21"/>
        <v>0</v>
      </c>
      <c r="H300" s="5">
        <f t="shared" si="21"/>
        <v>0</v>
      </c>
      <c r="I300" s="5">
        <f t="shared" si="21"/>
        <v>0</v>
      </c>
      <c r="J300" s="5">
        <f t="shared" si="21"/>
        <v>0</v>
      </c>
      <c r="K300" s="5">
        <f t="shared" si="21"/>
        <v>0</v>
      </c>
      <c r="L300" s="5">
        <f t="shared" si="21"/>
        <v>0</v>
      </c>
      <c r="M300" s="5">
        <f t="shared" si="21"/>
        <v>1</v>
      </c>
      <c r="N300" s="32">
        <v>5.4782608695652081E-2</v>
      </c>
      <c r="O300" s="32">
        <v>-5.7826086956520792E-3</v>
      </c>
      <c r="P300" s="24">
        <f t="shared" si="19"/>
        <v>5.2322463768115966E-2</v>
      </c>
    </row>
    <row r="301" spans="1:16" x14ac:dyDescent="0.3">
      <c r="A301" s="2">
        <v>26634</v>
      </c>
      <c r="B301" s="23">
        <v>4.8000000000000001E-2</v>
      </c>
      <c r="C301" s="5">
        <f t="shared" si="22"/>
        <v>0</v>
      </c>
      <c r="D301" s="5">
        <f t="shared" si="21"/>
        <v>0</v>
      </c>
      <c r="E301" s="5">
        <f t="shared" si="21"/>
        <v>0</v>
      </c>
      <c r="F301" s="5">
        <f t="shared" si="21"/>
        <v>0</v>
      </c>
      <c r="G301" s="5">
        <f t="shared" si="21"/>
        <v>0</v>
      </c>
      <c r="H301" s="5">
        <f t="shared" si="21"/>
        <v>0</v>
      </c>
      <c r="I301" s="5">
        <f t="shared" si="21"/>
        <v>0</v>
      </c>
      <c r="J301" s="5">
        <f t="shared" si="21"/>
        <v>0</v>
      </c>
      <c r="K301" s="5">
        <f t="shared" si="21"/>
        <v>0</v>
      </c>
      <c r="L301" s="5">
        <f t="shared" si="21"/>
        <v>0</v>
      </c>
      <c r="M301" s="5">
        <f t="shared" si="21"/>
        <v>0</v>
      </c>
      <c r="N301" s="32">
        <v>5.5202898550724598E-2</v>
      </c>
      <c r="O301" s="32">
        <v>-7.2028985507245971E-3</v>
      </c>
      <c r="P301" s="24">
        <f t="shared" si="19"/>
        <v>5.0902173913043448E-2</v>
      </c>
    </row>
    <row r="302" spans="1:16" x14ac:dyDescent="0.3">
      <c r="A302" s="2">
        <v>26665</v>
      </c>
      <c r="B302" s="23">
        <v>5.5E-2</v>
      </c>
      <c r="C302" s="5">
        <f t="shared" si="22"/>
        <v>1</v>
      </c>
      <c r="D302" s="5">
        <f t="shared" si="21"/>
        <v>0</v>
      </c>
      <c r="E302" s="5">
        <f t="shared" si="21"/>
        <v>0</v>
      </c>
      <c r="F302" s="5">
        <f t="shared" si="21"/>
        <v>0</v>
      </c>
      <c r="G302" s="5">
        <f t="shared" si="21"/>
        <v>0</v>
      </c>
      <c r="H302" s="5">
        <f t="shared" si="21"/>
        <v>0</v>
      </c>
      <c r="I302" s="5">
        <f t="shared" si="21"/>
        <v>0</v>
      </c>
      <c r="J302" s="5">
        <f t="shared" si="21"/>
        <v>0</v>
      </c>
      <c r="K302" s="5">
        <f t="shared" si="21"/>
        <v>0</v>
      </c>
      <c r="L302" s="5">
        <f t="shared" si="21"/>
        <v>0</v>
      </c>
      <c r="M302" s="5">
        <f t="shared" si="21"/>
        <v>0</v>
      </c>
      <c r="N302" s="32">
        <v>6.4492753623188417E-2</v>
      </c>
      <c r="O302" s="32">
        <v>-9.4927536231884171E-3</v>
      </c>
      <c r="P302" s="24">
        <f t="shared" si="19"/>
        <v>4.8612318840579628E-2</v>
      </c>
    </row>
    <row r="303" spans="1:16" x14ac:dyDescent="0.3">
      <c r="A303" s="2">
        <v>26696</v>
      </c>
      <c r="B303" s="23">
        <v>5.5999999999999994E-2</v>
      </c>
      <c r="C303" s="5">
        <f t="shared" si="22"/>
        <v>0</v>
      </c>
      <c r="D303" s="5">
        <f t="shared" si="21"/>
        <v>1</v>
      </c>
      <c r="E303" s="5">
        <f t="shared" si="21"/>
        <v>0</v>
      </c>
      <c r="F303" s="5">
        <f t="shared" si="21"/>
        <v>0</v>
      </c>
      <c r="G303" s="5">
        <f t="shared" si="21"/>
        <v>0</v>
      </c>
      <c r="H303" s="5">
        <f t="shared" si="21"/>
        <v>0</v>
      </c>
      <c r="I303" s="5">
        <f t="shared" si="21"/>
        <v>0</v>
      </c>
      <c r="J303" s="5">
        <f t="shared" si="21"/>
        <v>0</v>
      </c>
      <c r="K303" s="5">
        <f t="shared" si="21"/>
        <v>0</v>
      </c>
      <c r="L303" s="5">
        <f t="shared" si="21"/>
        <v>0</v>
      </c>
      <c r="M303" s="5">
        <f t="shared" si="21"/>
        <v>0</v>
      </c>
      <c r="N303" s="32">
        <v>6.4391304347825973E-2</v>
      </c>
      <c r="O303" s="32">
        <v>-8.3913043478259786E-3</v>
      </c>
      <c r="P303" s="24">
        <f t="shared" si="19"/>
        <v>4.9713768115942067E-2</v>
      </c>
    </row>
    <row r="304" spans="1:16" x14ac:dyDescent="0.3">
      <c r="A304" s="2">
        <v>26724</v>
      </c>
      <c r="B304" s="23">
        <v>5.2000000000000005E-2</v>
      </c>
      <c r="C304" s="5">
        <f t="shared" si="22"/>
        <v>0</v>
      </c>
      <c r="D304" s="5">
        <f t="shared" si="21"/>
        <v>0</v>
      </c>
      <c r="E304" s="5">
        <f t="shared" si="21"/>
        <v>1</v>
      </c>
      <c r="F304" s="5">
        <f t="shared" si="21"/>
        <v>0</v>
      </c>
      <c r="G304" s="5">
        <f t="shared" si="21"/>
        <v>0</v>
      </c>
      <c r="H304" s="5">
        <f t="shared" si="21"/>
        <v>0</v>
      </c>
      <c r="I304" s="5">
        <f t="shared" si="21"/>
        <v>0</v>
      </c>
      <c r="J304" s="5">
        <f t="shared" si="21"/>
        <v>0</v>
      </c>
      <c r="K304" s="5">
        <f t="shared" si="21"/>
        <v>0</v>
      </c>
      <c r="L304" s="5">
        <f t="shared" si="21"/>
        <v>0</v>
      </c>
      <c r="M304" s="5">
        <f t="shared" si="21"/>
        <v>0</v>
      </c>
      <c r="N304" s="32">
        <v>6.1652173913043402E-2</v>
      </c>
      <c r="O304" s="32">
        <v>-9.6521739130433978E-3</v>
      </c>
      <c r="P304" s="24">
        <f t="shared" si="19"/>
        <v>4.8452898550724648E-2</v>
      </c>
    </row>
    <row r="305" spans="1:16" x14ac:dyDescent="0.3">
      <c r="A305" s="2">
        <v>26755</v>
      </c>
      <c r="B305" s="23">
        <v>4.8000000000000001E-2</v>
      </c>
      <c r="C305" s="5">
        <f t="shared" si="22"/>
        <v>0</v>
      </c>
      <c r="D305" s="5">
        <f t="shared" si="21"/>
        <v>0</v>
      </c>
      <c r="E305" s="5">
        <f t="shared" si="21"/>
        <v>0</v>
      </c>
      <c r="F305" s="5">
        <f t="shared" si="21"/>
        <v>1</v>
      </c>
      <c r="G305" s="5">
        <f t="shared" si="21"/>
        <v>0</v>
      </c>
      <c r="H305" s="5">
        <f t="shared" si="21"/>
        <v>0</v>
      </c>
      <c r="I305" s="5">
        <f t="shared" si="21"/>
        <v>0</v>
      </c>
      <c r="J305" s="5">
        <f t="shared" si="21"/>
        <v>0</v>
      </c>
      <c r="K305" s="5">
        <f t="shared" si="21"/>
        <v>0</v>
      </c>
      <c r="L305" s="5">
        <f t="shared" si="21"/>
        <v>0</v>
      </c>
      <c r="M305" s="5">
        <f t="shared" si="21"/>
        <v>0</v>
      </c>
      <c r="N305" s="32">
        <v>5.6550724637681071E-2</v>
      </c>
      <c r="O305" s="32">
        <v>-8.5507246376810703E-3</v>
      </c>
      <c r="P305" s="24">
        <f t="shared" si="19"/>
        <v>4.9554347826086975E-2</v>
      </c>
    </row>
    <row r="306" spans="1:16" x14ac:dyDescent="0.3">
      <c r="A306" s="2">
        <v>26785</v>
      </c>
      <c r="B306" s="23">
        <v>4.4000000000000004E-2</v>
      </c>
      <c r="C306" s="5">
        <f t="shared" si="22"/>
        <v>0</v>
      </c>
      <c r="D306" s="5">
        <f t="shared" si="21"/>
        <v>0</v>
      </c>
      <c r="E306" s="5">
        <f t="shared" si="21"/>
        <v>0</v>
      </c>
      <c r="F306" s="5">
        <f t="shared" si="21"/>
        <v>0</v>
      </c>
      <c r="G306" s="5">
        <f t="shared" si="21"/>
        <v>1</v>
      </c>
      <c r="H306" s="5">
        <f t="shared" si="21"/>
        <v>0</v>
      </c>
      <c r="I306" s="5">
        <f t="shared" si="21"/>
        <v>0</v>
      </c>
      <c r="J306" s="5">
        <f t="shared" si="21"/>
        <v>0</v>
      </c>
      <c r="K306" s="5">
        <f t="shared" si="21"/>
        <v>0</v>
      </c>
      <c r="L306" s="5">
        <f t="shared" si="21"/>
        <v>0</v>
      </c>
      <c r="M306" s="5">
        <f t="shared" si="21"/>
        <v>0</v>
      </c>
      <c r="N306" s="32">
        <v>5.5101449275362209E-2</v>
      </c>
      <c r="O306" s="32">
        <v>-1.1101449275362205E-2</v>
      </c>
      <c r="P306" s="24">
        <f t="shared" si="19"/>
        <v>4.7003623188405841E-2</v>
      </c>
    </row>
    <row r="307" spans="1:16" x14ac:dyDescent="0.3">
      <c r="A307" s="2">
        <v>26816</v>
      </c>
      <c r="B307" s="23">
        <v>5.4000000000000006E-2</v>
      </c>
      <c r="C307" s="5">
        <f t="shared" si="22"/>
        <v>0</v>
      </c>
      <c r="D307" s="5">
        <f t="shared" si="21"/>
        <v>0</v>
      </c>
      <c r="E307" s="5">
        <f t="shared" si="21"/>
        <v>0</v>
      </c>
      <c r="F307" s="5">
        <f t="shared" si="21"/>
        <v>0</v>
      </c>
      <c r="G307" s="5">
        <f t="shared" si="21"/>
        <v>0</v>
      </c>
      <c r="H307" s="5">
        <f t="shared" si="21"/>
        <v>1</v>
      </c>
      <c r="I307" s="5">
        <f t="shared" si="21"/>
        <v>0</v>
      </c>
      <c r="J307" s="5">
        <f t="shared" si="21"/>
        <v>0</v>
      </c>
      <c r="K307" s="5">
        <f t="shared" si="21"/>
        <v>0</v>
      </c>
      <c r="L307" s="5">
        <f t="shared" si="21"/>
        <v>0</v>
      </c>
      <c r="M307" s="5">
        <f t="shared" si="21"/>
        <v>0</v>
      </c>
      <c r="N307" s="32">
        <v>6.1130434782608579E-2</v>
      </c>
      <c r="O307" s="32">
        <v>-7.1304347826085732E-3</v>
      </c>
      <c r="P307" s="24">
        <f t="shared" si="19"/>
        <v>5.0974637681159472E-2</v>
      </c>
    </row>
    <row r="308" spans="1:16" x14ac:dyDescent="0.3">
      <c r="A308" s="2">
        <v>26846</v>
      </c>
      <c r="B308" s="23">
        <v>0.05</v>
      </c>
      <c r="C308" s="5">
        <f t="shared" si="22"/>
        <v>0</v>
      </c>
      <c r="D308" s="5">
        <f t="shared" si="21"/>
        <v>0</v>
      </c>
      <c r="E308" s="5">
        <f t="shared" si="21"/>
        <v>0</v>
      </c>
      <c r="F308" s="5">
        <f t="shared" si="21"/>
        <v>0</v>
      </c>
      <c r="G308" s="5">
        <f t="shared" si="21"/>
        <v>0</v>
      </c>
      <c r="H308" s="5">
        <f t="shared" si="21"/>
        <v>0</v>
      </c>
      <c r="I308" s="5">
        <f t="shared" si="21"/>
        <v>1</v>
      </c>
      <c r="J308" s="5">
        <f t="shared" si="21"/>
        <v>0</v>
      </c>
      <c r="K308" s="5">
        <f t="shared" si="21"/>
        <v>0</v>
      </c>
      <c r="L308" s="5">
        <f t="shared" si="21"/>
        <v>0</v>
      </c>
      <c r="M308" s="5">
        <f t="shared" si="21"/>
        <v>0</v>
      </c>
      <c r="N308" s="32">
        <v>5.9550724637681039E-2</v>
      </c>
      <c r="O308" s="32">
        <v>-9.5507246376810365E-3</v>
      </c>
      <c r="P308" s="24">
        <f t="shared" si="19"/>
        <v>4.8554347826087009E-2</v>
      </c>
    </row>
    <row r="309" spans="1:16" x14ac:dyDescent="0.3">
      <c r="A309" s="2">
        <v>26877</v>
      </c>
      <c r="B309" s="23">
        <v>4.7E-2</v>
      </c>
      <c r="C309" s="5">
        <f t="shared" si="22"/>
        <v>0</v>
      </c>
      <c r="D309" s="5">
        <f t="shared" si="21"/>
        <v>0</v>
      </c>
      <c r="E309" s="5">
        <f t="shared" si="21"/>
        <v>0</v>
      </c>
      <c r="F309" s="5">
        <f t="shared" si="21"/>
        <v>0</v>
      </c>
      <c r="G309" s="5">
        <f t="shared" si="21"/>
        <v>0</v>
      </c>
      <c r="H309" s="5">
        <f t="shared" si="21"/>
        <v>0</v>
      </c>
      <c r="I309" s="5">
        <f t="shared" si="21"/>
        <v>0</v>
      </c>
      <c r="J309" s="5">
        <f t="shared" si="21"/>
        <v>1</v>
      </c>
      <c r="K309" s="5">
        <f t="shared" si="21"/>
        <v>0</v>
      </c>
      <c r="L309" s="5">
        <f t="shared" si="21"/>
        <v>0</v>
      </c>
      <c r="M309" s="5">
        <f t="shared" si="21"/>
        <v>0</v>
      </c>
      <c r="N309" s="32">
        <v>5.6521739130434699E-2</v>
      </c>
      <c r="O309" s="32">
        <v>-9.521739130434699E-3</v>
      </c>
      <c r="P309" s="24">
        <f t="shared" si="19"/>
        <v>4.8583333333333346E-2</v>
      </c>
    </row>
    <row r="310" spans="1:16" x14ac:dyDescent="0.3">
      <c r="A310" s="2">
        <v>26908</v>
      </c>
      <c r="B310" s="23">
        <v>4.7E-2</v>
      </c>
      <c r="C310" s="5">
        <f t="shared" si="22"/>
        <v>0</v>
      </c>
      <c r="D310" s="5">
        <f t="shared" si="21"/>
        <v>0</v>
      </c>
      <c r="E310" s="5">
        <f t="shared" si="21"/>
        <v>0</v>
      </c>
      <c r="F310" s="5">
        <f t="shared" si="21"/>
        <v>0</v>
      </c>
      <c r="G310" s="5">
        <f t="shared" si="21"/>
        <v>0</v>
      </c>
      <c r="H310" s="5">
        <f t="shared" si="21"/>
        <v>0</v>
      </c>
      <c r="I310" s="5">
        <f t="shared" si="21"/>
        <v>0</v>
      </c>
      <c r="J310" s="5">
        <f t="shared" si="21"/>
        <v>0</v>
      </c>
      <c r="K310" s="5">
        <f t="shared" si="21"/>
        <v>1</v>
      </c>
      <c r="L310" s="5">
        <f t="shared" si="21"/>
        <v>0</v>
      </c>
      <c r="M310" s="5">
        <f t="shared" si="21"/>
        <v>0</v>
      </c>
      <c r="N310" s="32">
        <v>5.4768115942028898E-2</v>
      </c>
      <c r="O310" s="32">
        <v>-7.7681159420288984E-3</v>
      </c>
      <c r="P310" s="24">
        <f t="shared" si="19"/>
        <v>5.0336956521739147E-2</v>
      </c>
    </row>
    <row r="311" spans="1:16" x14ac:dyDescent="0.3">
      <c r="A311" s="2">
        <v>26938</v>
      </c>
      <c r="B311" s="23">
        <v>4.2000000000000003E-2</v>
      </c>
      <c r="C311" s="5">
        <f t="shared" si="22"/>
        <v>0</v>
      </c>
      <c r="D311" s="5">
        <f t="shared" si="21"/>
        <v>0</v>
      </c>
      <c r="E311" s="5">
        <f t="shared" si="21"/>
        <v>0</v>
      </c>
      <c r="F311" s="5">
        <f t="shared" si="21"/>
        <v>0</v>
      </c>
      <c r="G311" s="5">
        <f t="shared" si="21"/>
        <v>0</v>
      </c>
      <c r="H311" s="5">
        <f t="shared" si="21"/>
        <v>0</v>
      </c>
      <c r="I311" s="5">
        <f t="shared" si="21"/>
        <v>0</v>
      </c>
      <c r="J311" s="5">
        <f t="shared" si="21"/>
        <v>0</v>
      </c>
      <c r="K311" s="5">
        <f t="shared" si="21"/>
        <v>0</v>
      </c>
      <c r="L311" s="5">
        <f t="shared" si="21"/>
        <v>1</v>
      </c>
      <c r="M311" s="5">
        <f t="shared" si="21"/>
        <v>0</v>
      </c>
      <c r="N311" s="32">
        <v>5.3115942028985473E-2</v>
      </c>
      <c r="O311" s="32">
        <v>-1.111594202898547E-2</v>
      </c>
      <c r="P311" s="24">
        <f t="shared" si="19"/>
        <v>4.6989130434782575E-2</v>
      </c>
    </row>
    <row r="312" spans="1:16" x14ac:dyDescent="0.3">
      <c r="A312" s="2">
        <v>26969</v>
      </c>
      <c r="B312" s="23">
        <v>4.5999999999999999E-2</v>
      </c>
      <c r="C312" s="5">
        <f t="shared" si="22"/>
        <v>0</v>
      </c>
      <c r="D312" s="5">
        <f t="shared" si="21"/>
        <v>0</v>
      </c>
      <c r="E312" s="5">
        <f t="shared" si="21"/>
        <v>0</v>
      </c>
      <c r="F312" s="5">
        <f t="shared" si="21"/>
        <v>0</v>
      </c>
      <c r="G312" s="5">
        <f t="shared" si="21"/>
        <v>0</v>
      </c>
      <c r="H312" s="5">
        <f t="shared" si="21"/>
        <v>0</v>
      </c>
      <c r="I312" s="5">
        <f t="shared" si="21"/>
        <v>0</v>
      </c>
      <c r="J312" s="5">
        <f t="shared" si="21"/>
        <v>0</v>
      </c>
      <c r="K312" s="5">
        <f t="shared" si="21"/>
        <v>0</v>
      </c>
      <c r="L312" s="5">
        <f t="shared" si="21"/>
        <v>0</v>
      </c>
      <c r="M312" s="5">
        <f t="shared" si="21"/>
        <v>1</v>
      </c>
      <c r="N312" s="32">
        <v>5.4782608695652081E-2</v>
      </c>
      <c r="O312" s="32">
        <v>-8.7826086956520819E-3</v>
      </c>
      <c r="P312" s="24">
        <f t="shared" si="19"/>
        <v>4.9322463768115964E-2</v>
      </c>
    </row>
    <row r="313" spans="1:16" x14ac:dyDescent="0.3">
      <c r="A313" s="2">
        <v>26999</v>
      </c>
      <c r="B313" s="23">
        <v>4.5999999999999999E-2</v>
      </c>
      <c r="C313" s="5">
        <f t="shared" si="22"/>
        <v>0</v>
      </c>
      <c r="D313" s="5">
        <f t="shared" si="21"/>
        <v>0</v>
      </c>
      <c r="E313" s="5">
        <f t="shared" si="21"/>
        <v>0</v>
      </c>
      <c r="F313" s="5">
        <f t="shared" si="21"/>
        <v>0</v>
      </c>
      <c r="G313" s="5">
        <f t="shared" si="21"/>
        <v>0</v>
      </c>
      <c r="H313" s="5">
        <f t="shared" si="21"/>
        <v>0</v>
      </c>
      <c r="I313" s="5">
        <f t="shared" si="21"/>
        <v>0</v>
      </c>
      <c r="J313" s="5">
        <f t="shared" si="21"/>
        <v>0</v>
      </c>
      <c r="K313" s="5">
        <f t="shared" si="21"/>
        <v>0</v>
      </c>
      <c r="L313" s="5">
        <f t="shared" si="21"/>
        <v>0</v>
      </c>
      <c r="M313" s="5">
        <f t="shared" si="21"/>
        <v>0</v>
      </c>
      <c r="N313" s="32">
        <v>5.5202898550724598E-2</v>
      </c>
      <c r="O313" s="32">
        <v>-9.2028985507245989E-3</v>
      </c>
      <c r="P313" s="24">
        <f t="shared" si="19"/>
        <v>4.8902173913043447E-2</v>
      </c>
    </row>
    <row r="314" spans="1:16" x14ac:dyDescent="0.3">
      <c r="A314" s="2">
        <v>27030</v>
      </c>
      <c r="B314" s="23">
        <v>5.7000000000000002E-2</v>
      </c>
      <c r="C314" s="5">
        <f t="shared" si="22"/>
        <v>1</v>
      </c>
      <c r="D314" s="5">
        <f t="shared" si="21"/>
        <v>0</v>
      </c>
      <c r="E314" s="5">
        <f t="shared" si="21"/>
        <v>0</v>
      </c>
      <c r="F314" s="5">
        <f t="shared" si="21"/>
        <v>0</v>
      </c>
      <c r="G314" s="5">
        <f t="shared" si="21"/>
        <v>0</v>
      </c>
      <c r="H314" s="5">
        <f t="shared" si="21"/>
        <v>0</v>
      </c>
      <c r="I314" s="5">
        <f t="shared" si="21"/>
        <v>0</v>
      </c>
      <c r="J314" s="5">
        <f t="shared" si="21"/>
        <v>0</v>
      </c>
      <c r="K314" s="5">
        <f t="shared" si="21"/>
        <v>0</v>
      </c>
      <c r="L314" s="5">
        <f t="shared" si="21"/>
        <v>0</v>
      </c>
      <c r="M314" s="5">
        <f t="shared" si="21"/>
        <v>0</v>
      </c>
      <c r="N314" s="32">
        <v>6.4492753623188417E-2</v>
      </c>
      <c r="O314" s="32">
        <v>-7.4927536231884154E-3</v>
      </c>
      <c r="P314" s="24">
        <f t="shared" si="19"/>
        <v>5.061231884057963E-2</v>
      </c>
    </row>
    <row r="315" spans="1:16" x14ac:dyDescent="0.3">
      <c r="A315" s="2">
        <v>27061</v>
      </c>
      <c r="B315" s="23">
        <v>5.7999999999999996E-2</v>
      </c>
      <c r="C315" s="5">
        <f t="shared" si="22"/>
        <v>0</v>
      </c>
      <c r="D315" s="5">
        <f t="shared" si="21"/>
        <v>1</v>
      </c>
      <c r="E315" s="5">
        <f t="shared" si="21"/>
        <v>0</v>
      </c>
      <c r="F315" s="5">
        <f t="shared" si="21"/>
        <v>0</v>
      </c>
      <c r="G315" s="5">
        <f t="shared" si="21"/>
        <v>0</v>
      </c>
      <c r="H315" s="5">
        <f t="shared" si="21"/>
        <v>0</v>
      </c>
      <c r="I315" s="5">
        <f t="shared" si="21"/>
        <v>0</v>
      </c>
      <c r="J315" s="5">
        <f t="shared" si="21"/>
        <v>0</v>
      </c>
      <c r="K315" s="5">
        <f t="shared" si="21"/>
        <v>0</v>
      </c>
      <c r="L315" s="5">
        <f t="shared" si="21"/>
        <v>0</v>
      </c>
      <c r="M315" s="5">
        <f t="shared" si="21"/>
        <v>0</v>
      </c>
      <c r="N315" s="32">
        <v>6.4391304347825973E-2</v>
      </c>
      <c r="O315" s="32">
        <v>-6.3913043478259768E-3</v>
      </c>
      <c r="P315" s="24">
        <f t="shared" si="19"/>
        <v>5.1713768115942069E-2</v>
      </c>
    </row>
    <row r="316" spans="1:16" x14ac:dyDescent="0.3">
      <c r="A316" s="2">
        <v>27089</v>
      </c>
      <c r="B316" s="23">
        <v>5.2999999999999999E-2</v>
      </c>
      <c r="C316" s="5">
        <f t="shared" si="22"/>
        <v>0</v>
      </c>
      <c r="D316" s="5">
        <f t="shared" si="21"/>
        <v>0</v>
      </c>
      <c r="E316" s="5">
        <f t="shared" si="21"/>
        <v>1</v>
      </c>
      <c r="F316" s="5">
        <f t="shared" si="21"/>
        <v>0</v>
      </c>
      <c r="G316" s="5">
        <f t="shared" si="21"/>
        <v>0</v>
      </c>
      <c r="H316" s="5">
        <f t="shared" si="21"/>
        <v>0</v>
      </c>
      <c r="I316" s="5">
        <f t="shared" si="21"/>
        <v>0</v>
      </c>
      <c r="J316" s="5">
        <f t="shared" si="21"/>
        <v>0</v>
      </c>
      <c r="K316" s="5">
        <f t="shared" si="21"/>
        <v>0</v>
      </c>
      <c r="L316" s="5">
        <f t="shared" si="21"/>
        <v>0</v>
      </c>
      <c r="M316" s="5">
        <f t="shared" si="21"/>
        <v>0</v>
      </c>
      <c r="N316" s="32">
        <v>6.1652173913043402E-2</v>
      </c>
      <c r="O316" s="32">
        <v>-8.6521739130434039E-3</v>
      </c>
      <c r="P316" s="24">
        <f t="shared" si="19"/>
        <v>4.9452898550724642E-2</v>
      </c>
    </row>
    <row r="317" spans="1:16" x14ac:dyDescent="0.3">
      <c r="A317" s="2">
        <v>27120</v>
      </c>
      <c r="B317" s="23">
        <v>4.8000000000000001E-2</v>
      </c>
      <c r="C317" s="5">
        <f t="shared" si="22"/>
        <v>0</v>
      </c>
      <c r="D317" s="5">
        <f t="shared" si="21"/>
        <v>0</v>
      </c>
      <c r="E317" s="5">
        <f t="shared" si="21"/>
        <v>0</v>
      </c>
      <c r="F317" s="5">
        <f t="shared" si="21"/>
        <v>1</v>
      </c>
      <c r="G317" s="5">
        <f t="shared" si="21"/>
        <v>0</v>
      </c>
      <c r="H317" s="5">
        <f t="shared" si="21"/>
        <v>0</v>
      </c>
      <c r="I317" s="5">
        <f t="shared" si="21"/>
        <v>0</v>
      </c>
      <c r="J317" s="5">
        <f t="shared" si="21"/>
        <v>0</v>
      </c>
      <c r="K317" s="5">
        <f t="shared" si="21"/>
        <v>0</v>
      </c>
      <c r="L317" s="5">
        <f t="shared" si="21"/>
        <v>0</v>
      </c>
      <c r="M317" s="5">
        <f t="shared" si="21"/>
        <v>0</v>
      </c>
      <c r="N317" s="32">
        <v>5.6550724637681071E-2</v>
      </c>
      <c r="O317" s="32">
        <v>-8.5507246376810703E-3</v>
      </c>
      <c r="P317" s="24">
        <f t="shared" si="19"/>
        <v>4.9554347826086975E-2</v>
      </c>
    </row>
    <row r="318" spans="1:16" x14ac:dyDescent="0.3">
      <c r="A318" s="2">
        <v>27150</v>
      </c>
      <c r="B318" s="23">
        <v>4.5999999999999999E-2</v>
      </c>
      <c r="C318" s="5">
        <f t="shared" si="22"/>
        <v>0</v>
      </c>
      <c r="D318" s="5">
        <f t="shared" si="21"/>
        <v>0</v>
      </c>
      <c r="E318" s="5">
        <f t="shared" si="21"/>
        <v>0</v>
      </c>
      <c r="F318" s="5">
        <f t="shared" si="21"/>
        <v>0</v>
      </c>
      <c r="G318" s="5">
        <f t="shared" si="21"/>
        <v>1</v>
      </c>
      <c r="H318" s="5">
        <f t="shared" si="21"/>
        <v>0</v>
      </c>
      <c r="I318" s="5">
        <f t="shared" si="21"/>
        <v>0</v>
      </c>
      <c r="J318" s="5">
        <f t="shared" si="21"/>
        <v>0</v>
      </c>
      <c r="K318" s="5">
        <f t="shared" si="21"/>
        <v>0</v>
      </c>
      <c r="L318" s="5">
        <f t="shared" si="21"/>
        <v>0</v>
      </c>
      <c r="M318" s="5">
        <f t="shared" si="21"/>
        <v>0</v>
      </c>
      <c r="N318" s="32">
        <v>5.5101449275362209E-2</v>
      </c>
      <c r="O318" s="32">
        <v>-9.1014492753622098E-3</v>
      </c>
      <c r="P318" s="24">
        <f t="shared" si="19"/>
        <v>4.9003623188405836E-2</v>
      </c>
    </row>
    <row r="319" spans="1:16" x14ac:dyDescent="0.3">
      <c r="A319" s="2">
        <v>27181</v>
      </c>
      <c r="B319" s="23">
        <v>5.7999999999999996E-2</v>
      </c>
      <c r="C319" s="5">
        <f t="shared" si="22"/>
        <v>0</v>
      </c>
      <c r="D319" s="5">
        <f t="shared" si="21"/>
        <v>0</v>
      </c>
      <c r="E319" s="5">
        <f t="shared" si="21"/>
        <v>0</v>
      </c>
      <c r="F319" s="5">
        <f t="shared" si="21"/>
        <v>0</v>
      </c>
      <c r="G319" s="5">
        <f t="shared" si="21"/>
        <v>0</v>
      </c>
      <c r="H319" s="5">
        <f t="shared" si="21"/>
        <v>1</v>
      </c>
      <c r="I319" s="5">
        <f t="shared" si="21"/>
        <v>0</v>
      </c>
      <c r="J319" s="5">
        <f t="shared" si="21"/>
        <v>0</v>
      </c>
      <c r="K319" s="5">
        <f t="shared" si="21"/>
        <v>0</v>
      </c>
      <c r="L319" s="5">
        <f t="shared" si="21"/>
        <v>0</v>
      </c>
      <c r="M319" s="5">
        <f t="shared" si="21"/>
        <v>0</v>
      </c>
      <c r="N319" s="32">
        <v>6.1130434782608579E-2</v>
      </c>
      <c r="O319" s="32">
        <v>-3.1304347826085835E-3</v>
      </c>
      <c r="P319" s="24">
        <f t="shared" si="19"/>
        <v>5.4974637681159462E-2</v>
      </c>
    </row>
    <row r="320" spans="1:16" x14ac:dyDescent="0.3">
      <c r="A320" s="2">
        <v>27211</v>
      </c>
      <c r="B320" s="23">
        <v>5.7000000000000002E-2</v>
      </c>
      <c r="C320" s="5">
        <f t="shared" si="22"/>
        <v>0</v>
      </c>
      <c r="D320" s="5">
        <f t="shared" si="21"/>
        <v>0</v>
      </c>
      <c r="E320" s="5">
        <f t="shared" si="21"/>
        <v>0</v>
      </c>
      <c r="F320" s="5">
        <f t="shared" si="21"/>
        <v>0</v>
      </c>
      <c r="G320" s="5">
        <f t="shared" ref="D320:M345" si="23">IF(MONTH($A320)=G$1,1,0)</f>
        <v>0</v>
      </c>
      <c r="H320" s="5">
        <f t="shared" si="23"/>
        <v>0</v>
      </c>
      <c r="I320" s="5">
        <f t="shared" si="23"/>
        <v>1</v>
      </c>
      <c r="J320" s="5">
        <f t="shared" si="23"/>
        <v>0</v>
      </c>
      <c r="K320" s="5">
        <f t="shared" si="23"/>
        <v>0</v>
      </c>
      <c r="L320" s="5">
        <f t="shared" si="23"/>
        <v>0</v>
      </c>
      <c r="M320" s="5">
        <f t="shared" si="23"/>
        <v>0</v>
      </c>
      <c r="N320" s="32">
        <v>5.9550724637681039E-2</v>
      </c>
      <c r="O320" s="32">
        <v>-2.5507246376810372E-3</v>
      </c>
      <c r="P320" s="24">
        <f t="shared" si="19"/>
        <v>5.5554347826087008E-2</v>
      </c>
    </row>
    <row r="321" spans="1:16" x14ac:dyDescent="0.3">
      <c r="A321" s="2">
        <v>27242</v>
      </c>
      <c r="B321" s="23">
        <v>5.2999999999999999E-2</v>
      </c>
      <c r="C321" s="5">
        <f t="shared" si="22"/>
        <v>0</v>
      </c>
      <c r="D321" s="5">
        <f t="shared" si="23"/>
        <v>0</v>
      </c>
      <c r="E321" s="5">
        <f t="shared" si="23"/>
        <v>0</v>
      </c>
      <c r="F321" s="5">
        <f t="shared" si="23"/>
        <v>0</v>
      </c>
      <c r="G321" s="5">
        <f t="shared" si="23"/>
        <v>0</v>
      </c>
      <c r="H321" s="5">
        <f t="shared" si="23"/>
        <v>0</v>
      </c>
      <c r="I321" s="5">
        <f t="shared" si="23"/>
        <v>0</v>
      </c>
      <c r="J321" s="5">
        <f t="shared" si="23"/>
        <v>1</v>
      </c>
      <c r="K321" s="5">
        <f t="shared" si="23"/>
        <v>0</v>
      </c>
      <c r="L321" s="5">
        <f t="shared" si="23"/>
        <v>0</v>
      </c>
      <c r="M321" s="5">
        <f t="shared" si="23"/>
        <v>0</v>
      </c>
      <c r="N321" s="32">
        <v>5.6521739130434699E-2</v>
      </c>
      <c r="O321" s="32">
        <v>-3.5217391304347007E-3</v>
      </c>
      <c r="P321" s="24">
        <f t="shared" si="19"/>
        <v>5.4583333333333345E-2</v>
      </c>
    </row>
    <row r="322" spans="1:16" x14ac:dyDescent="0.3">
      <c r="A322" s="2">
        <v>27273</v>
      </c>
      <c r="B322" s="23">
        <v>5.7000000000000002E-2</v>
      </c>
      <c r="C322" s="5">
        <f t="shared" si="22"/>
        <v>0</v>
      </c>
      <c r="D322" s="5">
        <f t="shared" si="23"/>
        <v>0</v>
      </c>
      <c r="E322" s="5">
        <f t="shared" si="23"/>
        <v>0</v>
      </c>
      <c r="F322" s="5">
        <f t="shared" si="23"/>
        <v>0</v>
      </c>
      <c r="G322" s="5">
        <f t="shared" si="23"/>
        <v>0</v>
      </c>
      <c r="H322" s="5">
        <f t="shared" si="23"/>
        <v>0</v>
      </c>
      <c r="I322" s="5">
        <f t="shared" si="23"/>
        <v>0</v>
      </c>
      <c r="J322" s="5">
        <f t="shared" si="23"/>
        <v>0</v>
      </c>
      <c r="K322" s="5">
        <f t="shared" si="23"/>
        <v>1</v>
      </c>
      <c r="L322" s="5">
        <f t="shared" si="23"/>
        <v>0</v>
      </c>
      <c r="M322" s="5">
        <f t="shared" si="23"/>
        <v>0</v>
      </c>
      <c r="N322" s="32">
        <v>5.4768115942028898E-2</v>
      </c>
      <c r="O322" s="32">
        <v>2.2318840579711036E-3</v>
      </c>
      <c r="P322" s="24">
        <f t="shared" si="19"/>
        <v>6.0336956521739149E-2</v>
      </c>
    </row>
    <row r="323" spans="1:16" x14ac:dyDescent="0.3">
      <c r="A323" s="2">
        <v>27303</v>
      </c>
      <c r="B323" s="23">
        <v>5.5E-2</v>
      </c>
      <c r="C323" s="5">
        <f t="shared" si="22"/>
        <v>0</v>
      </c>
      <c r="D323" s="5">
        <f t="shared" si="23"/>
        <v>0</v>
      </c>
      <c r="E323" s="5">
        <f t="shared" si="23"/>
        <v>0</v>
      </c>
      <c r="F323" s="5">
        <f t="shared" si="23"/>
        <v>0</v>
      </c>
      <c r="G323" s="5">
        <f t="shared" si="23"/>
        <v>0</v>
      </c>
      <c r="H323" s="5">
        <f t="shared" si="23"/>
        <v>0</v>
      </c>
      <c r="I323" s="5">
        <f t="shared" si="23"/>
        <v>0</v>
      </c>
      <c r="J323" s="5">
        <f t="shared" si="23"/>
        <v>0</v>
      </c>
      <c r="K323" s="5">
        <f t="shared" si="23"/>
        <v>0</v>
      </c>
      <c r="L323" s="5">
        <f t="shared" si="23"/>
        <v>1</v>
      </c>
      <c r="M323" s="5">
        <f t="shared" si="23"/>
        <v>0</v>
      </c>
      <c r="N323" s="32">
        <v>5.3115942028985473E-2</v>
      </c>
      <c r="O323" s="32">
        <v>1.8840579710145272E-3</v>
      </c>
      <c r="P323" s="24">
        <f t="shared" ref="P323:P386" si="24">O323+$R$2</f>
        <v>5.9989130434782573E-2</v>
      </c>
    </row>
    <row r="324" spans="1:16" x14ac:dyDescent="0.3">
      <c r="A324" s="2">
        <v>27334</v>
      </c>
      <c r="B324" s="23">
        <v>6.2E-2</v>
      </c>
      <c r="C324" s="5">
        <f t="shared" si="22"/>
        <v>0</v>
      </c>
      <c r="D324" s="5">
        <f t="shared" si="23"/>
        <v>0</v>
      </c>
      <c r="E324" s="5">
        <f t="shared" si="23"/>
        <v>0</v>
      </c>
      <c r="F324" s="5">
        <f t="shared" si="23"/>
        <v>0</v>
      </c>
      <c r="G324" s="5">
        <f t="shared" si="23"/>
        <v>0</v>
      </c>
      <c r="H324" s="5">
        <f t="shared" si="23"/>
        <v>0</v>
      </c>
      <c r="I324" s="5">
        <f t="shared" si="23"/>
        <v>0</v>
      </c>
      <c r="J324" s="5">
        <f t="shared" si="23"/>
        <v>0</v>
      </c>
      <c r="K324" s="5">
        <f t="shared" si="23"/>
        <v>0</v>
      </c>
      <c r="L324" s="5">
        <f t="shared" si="23"/>
        <v>0</v>
      </c>
      <c r="M324" s="5">
        <f t="shared" si="23"/>
        <v>1</v>
      </c>
      <c r="N324" s="32">
        <v>5.4782608695652081E-2</v>
      </c>
      <c r="O324" s="32">
        <v>7.2173913043479185E-3</v>
      </c>
      <c r="P324" s="24">
        <f t="shared" si="24"/>
        <v>6.5322463768115957E-2</v>
      </c>
    </row>
    <row r="325" spans="1:16" x14ac:dyDescent="0.3">
      <c r="A325" s="2">
        <v>27364</v>
      </c>
      <c r="B325" s="23">
        <v>6.7000000000000004E-2</v>
      </c>
      <c r="C325" s="5">
        <f t="shared" si="22"/>
        <v>0</v>
      </c>
      <c r="D325" s="5">
        <f t="shared" si="23"/>
        <v>0</v>
      </c>
      <c r="E325" s="5">
        <f t="shared" si="23"/>
        <v>0</v>
      </c>
      <c r="F325" s="5">
        <f t="shared" si="23"/>
        <v>0</v>
      </c>
      <c r="G325" s="5">
        <f t="shared" si="23"/>
        <v>0</v>
      </c>
      <c r="H325" s="5">
        <f t="shared" si="23"/>
        <v>0</v>
      </c>
      <c r="I325" s="5">
        <f t="shared" si="23"/>
        <v>0</v>
      </c>
      <c r="J325" s="5">
        <f t="shared" si="23"/>
        <v>0</v>
      </c>
      <c r="K325" s="5">
        <f t="shared" si="23"/>
        <v>0</v>
      </c>
      <c r="L325" s="5">
        <f t="shared" si="23"/>
        <v>0</v>
      </c>
      <c r="M325" s="5">
        <f t="shared" si="23"/>
        <v>0</v>
      </c>
      <c r="N325" s="32">
        <v>5.5202898550724598E-2</v>
      </c>
      <c r="O325" s="32">
        <v>1.1797101449275406E-2</v>
      </c>
      <c r="P325" s="24">
        <f t="shared" si="24"/>
        <v>6.9902173913043458E-2</v>
      </c>
    </row>
    <row r="326" spans="1:16" x14ac:dyDescent="0.3">
      <c r="A326" s="2">
        <v>27395</v>
      </c>
      <c r="B326" s="23">
        <v>0.09</v>
      </c>
      <c r="C326" s="5">
        <f t="shared" si="22"/>
        <v>1</v>
      </c>
      <c r="D326" s="5">
        <f t="shared" si="23"/>
        <v>0</v>
      </c>
      <c r="E326" s="5">
        <f t="shared" si="23"/>
        <v>0</v>
      </c>
      <c r="F326" s="5">
        <f t="shared" si="23"/>
        <v>0</v>
      </c>
      <c r="G326" s="5">
        <f t="shared" si="23"/>
        <v>0</v>
      </c>
      <c r="H326" s="5">
        <f t="shared" si="23"/>
        <v>0</v>
      </c>
      <c r="I326" s="5">
        <f t="shared" si="23"/>
        <v>0</v>
      </c>
      <c r="J326" s="5">
        <f t="shared" si="23"/>
        <v>0</v>
      </c>
      <c r="K326" s="5">
        <f t="shared" si="23"/>
        <v>0</v>
      </c>
      <c r="L326" s="5">
        <f t="shared" si="23"/>
        <v>0</v>
      </c>
      <c r="M326" s="5">
        <f t="shared" si="23"/>
        <v>0</v>
      </c>
      <c r="N326" s="32">
        <v>6.4492753623188417E-2</v>
      </c>
      <c r="O326" s="32">
        <v>2.5507246376811579E-2</v>
      </c>
      <c r="P326" s="24">
        <f t="shared" si="24"/>
        <v>8.3612318840579625E-2</v>
      </c>
    </row>
    <row r="327" spans="1:16" x14ac:dyDescent="0.3">
      <c r="A327" s="2">
        <v>27426</v>
      </c>
      <c r="B327" s="23">
        <v>9.0999999999999998E-2</v>
      </c>
      <c r="C327" s="5">
        <f t="shared" si="22"/>
        <v>0</v>
      </c>
      <c r="D327" s="5">
        <f t="shared" si="23"/>
        <v>1</v>
      </c>
      <c r="E327" s="5">
        <f t="shared" si="23"/>
        <v>0</v>
      </c>
      <c r="F327" s="5">
        <f t="shared" si="23"/>
        <v>0</v>
      </c>
      <c r="G327" s="5">
        <f t="shared" si="23"/>
        <v>0</v>
      </c>
      <c r="H327" s="5">
        <f t="shared" si="23"/>
        <v>0</v>
      </c>
      <c r="I327" s="5">
        <f t="shared" si="23"/>
        <v>0</v>
      </c>
      <c r="J327" s="5">
        <f t="shared" si="23"/>
        <v>0</v>
      </c>
      <c r="K327" s="5">
        <f t="shared" si="23"/>
        <v>0</v>
      </c>
      <c r="L327" s="5">
        <f t="shared" si="23"/>
        <v>0</v>
      </c>
      <c r="M327" s="5">
        <f t="shared" si="23"/>
        <v>0</v>
      </c>
      <c r="N327" s="32">
        <v>6.4391304347825973E-2</v>
      </c>
      <c r="O327" s="32">
        <v>2.6608695652174025E-2</v>
      </c>
      <c r="P327" s="24">
        <f t="shared" si="24"/>
        <v>8.471376811594207E-2</v>
      </c>
    </row>
    <row r="328" spans="1:16" x14ac:dyDescent="0.3">
      <c r="A328" s="2">
        <v>27454</v>
      </c>
      <c r="B328" s="23">
        <v>9.0999999999999998E-2</v>
      </c>
      <c r="C328" s="5">
        <f t="shared" si="22"/>
        <v>0</v>
      </c>
      <c r="D328" s="5">
        <f t="shared" si="23"/>
        <v>0</v>
      </c>
      <c r="E328" s="5">
        <f t="shared" si="23"/>
        <v>1</v>
      </c>
      <c r="F328" s="5">
        <f t="shared" si="23"/>
        <v>0</v>
      </c>
      <c r="G328" s="5">
        <f t="shared" si="23"/>
        <v>0</v>
      </c>
      <c r="H328" s="5">
        <f t="shared" si="23"/>
        <v>0</v>
      </c>
      <c r="I328" s="5">
        <f t="shared" si="23"/>
        <v>0</v>
      </c>
      <c r="J328" s="5">
        <f t="shared" si="23"/>
        <v>0</v>
      </c>
      <c r="K328" s="5">
        <f t="shared" si="23"/>
        <v>0</v>
      </c>
      <c r="L328" s="5">
        <f t="shared" si="23"/>
        <v>0</v>
      </c>
      <c r="M328" s="5">
        <f t="shared" si="23"/>
        <v>0</v>
      </c>
      <c r="N328" s="32">
        <v>6.1652173913043402E-2</v>
      </c>
      <c r="O328" s="32">
        <v>2.9347826086956595E-2</v>
      </c>
      <c r="P328" s="24">
        <f t="shared" si="24"/>
        <v>8.7452898550724634E-2</v>
      </c>
    </row>
    <row r="329" spans="1:16" x14ac:dyDescent="0.3">
      <c r="A329" s="2">
        <v>27485</v>
      </c>
      <c r="B329" s="23">
        <v>8.5999999999999993E-2</v>
      </c>
      <c r="C329" s="5">
        <f t="shared" si="22"/>
        <v>0</v>
      </c>
      <c r="D329" s="5">
        <f t="shared" si="23"/>
        <v>0</v>
      </c>
      <c r="E329" s="5">
        <f t="shared" si="23"/>
        <v>0</v>
      </c>
      <c r="F329" s="5">
        <f t="shared" si="23"/>
        <v>1</v>
      </c>
      <c r="G329" s="5">
        <f t="shared" si="23"/>
        <v>0</v>
      </c>
      <c r="H329" s="5">
        <f t="shared" si="23"/>
        <v>0</v>
      </c>
      <c r="I329" s="5">
        <f t="shared" si="23"/>
        <v>0</v>
      </c>
      <c r="J329" s="5">
        <f t="shared" si="23"/>
        <v>0</v>
      </c>
      <c r="K329" s="5">
        <f t="shared" si="23"/>
        <v>0</v>
      </c>
      <c r="L329" s="5">
        <f t="shared" si="23"/>
        <v>0</v>
      </c>
      <c r="M329" s="5">
        <f t="shared" si="23"/>
        <v>0</v>
      </c>
      <c r="N329" s="32">
        <v>5.6550724637681071E-2</v>
      </c>
      <c r="O329" s="32">
        <v>2.9449275362318922E-2</v>
      </c>
      <c r="P329" s="24">
        <f t="shared" si="24"/>
        <v>8.7554347826086967E-2</v>
      </c>
    </row>
    <row r="330" spans="1:16" x14ac:dyDescent="0.3">
      <c r="A330" s="2">
        <v>27515</v>
      </c>
      <c r="B330" s="23">
        <v>8.3000000000000004E-2</v>
      </c>
      <c r="C330" s="5">
        <f t="shared" si="22"/>
        <v>0</v>
      </c>
      <c r="D330" s="5">
        <f t="shared" si="23"/>
        <v>0</v>
      </c>
      <c r="E330" s="5">
        <f t="shared" si="23"/>
        <v>0</v>
      </c>
      <c r="F330" s="5">
        <f t="shared" si="23"/>
        <v>0</v>
      </c>
      <c r="G330" s="5">
        <f t="shared" si="23"/>
        <v>1</v>
      </c>
      <c r="H330" s="5">
        <f t="shared" si="23"/>
        <v>0</v>
      </c>
      <c r="I330" s="5">
        <f t="shared" si="23"/>
        <v>0</v>
      </c>
      <c r="J330" s="5">
        <f t="shared" si="23"/>
        <v>0</v>
      </c>
      <c r="K330" s="5">
        <f t="shared" si="23"/>
        <v>0</v>
      </c>
      <c r="L330" s="5">
        <f t="shared" si="23"/>
        <v>0</v>
      </c>
      <c r="M330" s="5">
        <f t="shared" si="23"/>
        <v>0</v>
      </c>
      <c r="N330" s="32">
        <v>5.5101449275362209E-2</v>
      </c>
      <c r="O330" s="32">
        <v>2.7898550724637795E-2</v>
      </c>
      <c r="P330" s="24">
        <f t="shared" si="24"/>
        <v>8.6003623188405848E-2</v>
      </c>
    </row>
    <row r="331" spans="1:16" x14ac:dyDescent="0.3">
      <c r="A331" s="2">
        <v>27546</v>
      </c>
      <c r="B331" s="23">
        <v>9.0999999999999998E-2</v>
      </c>
      <c r="C331" s="5">
        <f t="shared" si="22"/>
        <v>0</v>
      </c>
      <c r="D331" s="5">
        <f t="shared" si="23"/>
        <v>0</v>
      </c>
      <c r="E331" s="5">
        <f t="shared" si="23"/>
        <v>0</v>
      </c>
      <c r="F331" s="5">
        <f t="shared" si="23"/>
        <v>0</v>
      </c>
      <c r="G331" s="5">
        <f t="shared" si="23"/>
        <v>0</v>
      </c>
      <c r="H331" s="5">
        <f t="shared" si="23"/>
        <v>1</v>
      </c>
      <c r="I331" s="5">
        <f t="shared" si="23"/>
        <v>0</v>
      </c>
      <c r="J331" s="5">
        <f t="shared" si="23"/>
        <v>0</v>
      </c>
      <c r="K331" s="5">
        <f t="shared" si="23"/>
        <v>0</v>
      </c>
      <c r="L331" s="5">
        <f t="shared" si="23"/>
        <v>0</v>
      </c>
      <c r="M331" s="5">
        <f t="shared" si="23"/>
        <v>0</v>
      </c>
      <c r="N331" s="32">
        <v>6.1130434782608579E-2</v>
      </c>
      <c r="O331" s="32">
        <v>2.9869565217391418E-2</v>
      </c>
      <c r="P331" s="24">
        <f t="shared" si="24"/>
        <v>8.7974637681159457E-2</v>
      </c>
    </row>
    <row r="332" spans="1:16" x14ac:dyDescent="0.3">
      <c r="A332" s="2">
        <v>27576</v>
      </c>
      <c r="B332" s="23">
        <v>8.6999999999999994E-2</v>
      </c>
      <c r="C332" s="5">
        <f t="shared" si="22"/>
        <v>0</v>
      </c>
      <c r="D332" s="5">
        <f t="shared" si="23"/>
        <v>0</v>
      </c>
      <c r="E332" s="5">
        <f t="shared" si="23"/>
        <v>0</v>
      </c>
      <c r="F332" s="5">
        <f t="shared" si="23"/>
        <v>0</v>
      </c>
      <c r="G332" s="5">
        <f t="shared" si="23"/>
        <v>0</v>
      </c>
      <c r="H332" s="5">
        <f t="shared" si="23"/>
        <v>0</v>
      </c>
      <c r="I332" s="5">
        <f t="shared" si="23"/>
        <v>1</v>
      </c>
      <c r="J332" s="5">
        <f t="shared" si="23"/>
        <v>0</v>
      </c>
      <c r="K332" s="5">
        <f t="shared" si="23"/>
        <v>0</v>
      </c>
      <c r="L332" s="5">
        <f t="shared" si="23"/>
        <v>0</v>
      </c>
      <c r="M332" s="5">
        <f t="shared" si="23"/>
        <v>0</v>
      </c>
      <c r="N332" s="32">
        <v>5.9550724637681039E-2</v>
      </c>
      <c r="O332" s="32">
        <v>2.7449275362318955E-2</v>
      </c>
      <c r="P332" s="24">
        <f t="shared" si="24"/>
        <v>8.5554347826087007E-2</v>
      </c>
    </row>
    <row r="333" spans="1:16" x14ac:dyDescent="0.3">
      <c r="A333" s="2">
        <v>27607</v>
      </c>
      <c r="B333" s="23">
        <v>8.199999999999999E-2</v>
      </c>
      <c r="C333" s="5">
        <f t="shared" si="22"/>
        <v>0</v>
      </c>
      <c r="D333" s="5">
        <f t="shared" si="23"/>
        <v>0</v>
      </c>
      <c r="E333" s="5">
        <f t="shared" si="23"/>
        <v>0</v>
      </c>
      <c r="F333" s="5">
        <f t="shared" si="23"/>
        <v>0</v>
      </c>
      <c r="G333" s="5">
        <f t="shared" si="23"/>
        <v>0</v>
      </c>
      <c r="H333" s="5">
        <f t="shared" si="23"/>
        <v>0</v>
      </c>
      <c r="I333" s="5">
        <f t="shared" si="23"/>
        <v>0</v>
      </c>
      <c r="J333" s="5">
        <f t="shared" si="23"/>
        <v>1</v>
      </c>
      <c r="K333" s="5">
        <f t="shared" si="23"/>
        <v>0</v>
      </c>
      <c r="L333" s="5">
        <f t="shared" si="23"/>
        <v>0</v>
      </c>
      <c r="M333" s="5">
        <f t="shared" si="23"/>
        <v>0</v>
      </c>
      <c r="N333" s="32">
        <v>5.6521739130434699E-2</v>
      </c>
      <c r="O333" s="32">
        <v>2.547826086956529E-2</v>
      </c>
      <c r="P333" s="24">
        <f t="shared" si="24"/>
        <v>8.3583333333333343E-2</v>
      </c>
    </row>
    <row r="334" spans="1:16" x14ac:dyDescent="0.3">
      <c r="A334" s="2">
        <v>27638</v>
      </c>
      <c r="B334" s="23">
        <v>8.1000000000000003E-2</v>
      </c>
      <c r="C334" s="5">
        <f t="shared" si="22"/>
        <v>0</v>
      </c>
      <c r="D334" s="5">
        <f t="shared" si="23"/>
        <v>0</v>
      </c>
      <c r="E334" s="5">
        <f t="shared" si="23"/>
        <v>0</v>
      </c>
      <c r="F334" s="5">
        <f t="shared" si="23"/>
        <v>0</v>
      </c>
      <c r="G334" s="5">
        <f t="shared" si="23"/>
        <v>0</v>
      </c>
      <c r="H334" s="5">
        <f t="shared" si="23"/>
        <v>0</v>
      </c>
      <c r="I334" s="5">
        <f t="shared" si="23"/>
        <v>0</v>
      </c>
      <c r="J334" s="5">
        <f t="shared" si="23"/>
        <v>0</v>
      </c>
      <c r="K334" s="5">
        <f t="shared" si="23"/>
        <v>1</v>
      </c>
      <c r="L334" s="5">
        <f t="shared" si="23"/>
        <v>0</v>
      </c>
      <c r="M334" s="5">
        <f t="shared" si="23"/>
        <v>0</v>
      </c>
      <c r="N334" s="32">
        <v>5.4768115942028898E-2</v>
      </c>
      <c r="O334" s="32">
        <v>2.6231884057971104E-2</v>
      </c>
      <c r="P334" s="24">
        <f t="shared" si="24"/>
        <v>8.4336956521739143E-2</v>
      </c>
    </row>
    <row r="335" spans="1:16" x14ac:dyDescent="0.3">
      <c r="A335" s="2">
        <v>27668</v>
      </c>
      <c r="B335" s="23">
        <v>7.8E-2</v>
      </c>
      <c r="C335" s="5">
        <f t="shared" si="22"/>
        <v>0</v>
      </c>
      <c r="D335" s="5">
        <f t="shared" si="23"/>
        <v>0</v>
      </c>
      <c r="E335" s="5">
        <f t="shared" si="23"/>
        <v>0</v>
      </c>
      <c r="F335" s="5">
        <f t="shared" si="23"/>
        <v>0</v>
      </c>
      <c r="G335" s="5">
        <f t="shared" si="23"/>
        <v>0</v>
      </c>
      <c r="H335" s="5">
        <f t="shared" si="23"/>
        <v>0</v>
      </c>
      <c r="I335" s="5">
        <f t="shared" si="23"/>
        <v>0</v>
      </c>
      <c r="J335" s="5">
        <f t="shared" si="23"/>
        <v>0</v>
      </c>
      <c r="K335" s="5">
        <f t="shared" si="23"/>
        <v>0</v>
      </c>
      <c r="L335" s="5">
        <f t="shared" si="23"/>
        <v>1</v>
      </c>
      <c r="M335" s="5">
        <f t="shared" si="23"/>
        <v>0</v>
      </c>
      <c r="N335" s="32">
        <v>5.3115942028985473E-2</v>
      </c>
      <c r="O335" s="32">
        <v>2.4884057971014527E-2</v>
      </c>
      <c r="P335" s="24">
        <f t="shared" si="24"/>
        <v>8.2989130434782565E-2</v>
      </c>
    </row>
    <row r="336" spans="1:16" x14ac:dyDescent="0.3">
      <c r="A336" s="2">
        <v>27699</v>
      </c>
      <c r="B336" s="23">
        <v>7.8E-2</v>
      </c>
      <c r="C336" s="5">
        <f t="shared" si="22"/>
        <v>0</v>
      </c>
      <c r="D336" s="5">
        <f t="shared" si="23"/>
        <v>0</v>
      </c>
      <c r="E336" s="5">
        <f t="shared" si="23"/>
        <v>0</v>
      </c>
      <c r="F336" s="5">
        <f t="shared" si="23"/>
        <v>0</v>
      </c>
      <c r="G336" s="5">
        <f t="shared" si="23"/>
        <v>0</v>
      </c>
      <c r="H336" s="5">
        <f t="shared" si="23"/>
        <v>0</v>
      </c>
      <c r="I336" s="5">
        <f t="shared" si="23"/>
        <v>0</v>
      </c>
      <c r="J336" s="5">
        <f t="shared" si="23"/>
        <v>0</v>
      </c>
      <c r="K336" s="5">
        <f t="shared" si="23"/>
        <v>0</v>
      </c>
      <c r="L336" s="5">
        <f t="shared" si="23"/>
        <v>0</v>
      </c>
      <c r="M336" s="5">
        <f t="shared" si="23"/>
        <v>1</v>
      </c>
      <c r="N336" s="32">
        <v>5.4782608695652081E-2</v>
      </c>
      <c r="O336" s="32">
        <v>2.3217391304347919E-2</v>
      </c>
      <c r="P336" s="24">
        <f t="shared" si="24"/>
        <v>8.1322463768115971E-2</v>
      </c>
    </row>
    <row r="337" spans="1:16" x14ac:dyDescent="0.3">
      <c r="A337" s="2">
        <v>27729</v>
      </c>
      <c r="B337" s="23">
        <v>7.8E-2</v>
      </c>
      <c r="C337" s="5">
        <f t="shared" si="22"/>
        <v>0</v>
      </c>
      <c r="D337" s="5">
        <f t="shared" si="23"/>
        <v>0</v>
      </c>
      <c r="E337" s="5">
        <f t="shared" si="23"/>
        <v>0</v>
      </c>
      <c r="F337" s="5">
        <f t="shared" si="23"/>
        <v>0</v>
      </c>
      <c r="G337" s="5">
        <f t="shared" si="23"/>
        <v>0</v>
      </c>
      <c r="H337" s="5">
        <f t="shared" si="23"/>
        <v>0</v>
      </c>
      <c r="I337" s="5">
        <f t="shared" si="23"/>
        <v>0</v>
      </c>
      <c r="J337" s="5">
        <f t="shared" si="23"/>
        <v>0</v>
      </c>
      <c r="K337" s="5">
        <f t="shared" si="23"/>
        <v>0</v>
      </c>
      <c r="L337" s="5">
        <f t="shared" si="23"/>
        <v>0</v>
      </c>
      <c r="M337" s="5">
        <f t="shared" si="23"/>
        <v>0</v>
      </c>
      <c r="N337" s="32">
        <v>5.5202898550724598E-2</v>
      </c>
      <c r="O337" s="32">
        <v>2.2797101449275402E-2</v>
      </c>
      <c r="P337" s="24">
        <f t="shared" si="24"/>
        <v>8.090217391304344E-2</v>
      </c>
    </row>
    <row r="338" spans="1:16" x14ac:dyDescent="0.3">
      <c r="A338" s="2">
        <v>27760</v>
      </c>
      <c r="B338" s="23">
        <v>8.8000000000000009E-2</v>
      </c>
      <c r="C338" s="5">
        <f t="shared" si="22"/>
        <v>1</v>
      </c>
      <c r="D338" s="5">
        <f t="shared" si="23"/>
        <v>0</v>
      </c>
      <c r="E338" s="5">
        <f t="shared" si="23"/>
        <v>0</v>
      </c>
      <c r="F338" s="5">
        <f t="shared" si="23"/>
        <v>0</v>
      </c>
      <c r="G338" s="5">
        <f t="shared" si="23"/>
        <v>0</v>
      </c>
      <c r="H338" s="5">
        <f t="shared" si="23"/>
        <v>0</v>
      </c>
      <c r="I338" s="5">
        <f t="shared" si="23"/>
        <v>0</v>
      </c>
      <c r="J338" s="5">
        <f t="shared" si="23"/>
        <v>0</v>
      </c>
      <c r="K338" s="5">
        <f t="shared" si="23"/>
        <v>0</v>
      </c>
      <c r="L338" s="5">
        <f t="shared" si="23"/>
        <v>0</v>
      </c>
      <c r="M338" s="5">
        <f t="shared" si="23"/>
        <v>0</v>
      </c>
      <c r="N338" s="32">
        <v>6.4492753623188417E-2</v>
      </c>
      <c r="O338" s="32">
        <v>2.3507246376811591E-2</v>
      </c>
      <c r="P338" s="24">
        <f t="shared" si="24"/>
        <v>8.1612318840579637E-2</v>
      </c>
    </row>
    <row r="339" spans="1:16" x14ac:dyDescent="0.3">
      <c r="A339" s="2">
        <v>27791</v>
      </c>
      <c r="B339" s="23">
        <v>8.6999999999999994E-2</v>
      </c>
      <c r="C339" s="5">
        <f t="shared" si="22"/>
        <v>0</v>
      </c>
      <c r="D339" s="5">
        <f t="shared" si="23"/>
        <v>1</v>
      </c>
      <c r="E339" s="5">
        <f t="shared" si="23"/>
        <v>0</v>
      </c>
      <c r="F339" s="5">
        <f t="shared" si="23"/>
        <v>0</v>
      </c>
      <c r="G339" s="5">
        <f t="shared" si="23"/>
        <v>0</v>
      </c>
      <c r="H339" s="5">
        <f t="shared" si="23"/>
        <v>0</v>
      </c>
      <c r="I339" s="5">
        <f t="shared" si="23"/>
        <v>0</v>
      </c>
      <c r="J339" s="5">
        <f t="shared" si="23"/>
        <v>0</v>
      </c>
      <c r="K339" s="5">
        <f t="shared" si="23"/>
        <v>0</v>
      </c>
      <c r="L339" s="5">
        <f t="shared" si="23"/>
        <v>0</v>
      </c>
      <c r="M339" s="5">
        <f t="shared" si="23"/>
        <v>0</v>
      </c>
      <c r="N339" s="32">
        <v>6.4391304347825973E-2</v>
      </c>
      <c r="O339" s="32">
        <v>2.2608695652174021E-2</v>
      </c>
      <c r="P339" s="24">
        <f t="shared" si="24"/>
        <v>8.0713768115942067E-2</v>
      </c>
    </row>
    <row r="340" spans="1:16" x14ac:dyDescent="0.3">
      <c r="A340" s="2">
        <v>27820</v>
      </c>
      <c r="B340" s="23">
        <v>8.1000000000000003E-2</v>
      </c>
      <c r="C340" s="5">
        <f t="shared" si="22"/>
        <v>0</v>
      </c>
      <c r="D340" s="5">
        <f t="shared" si="23"/>
        <v>0</v>
      </c>
      <c r="E340" s="5">
        <f t="shared" si="23"/>
        <v>1</v>
      </c>
      <c r="F340" s="5">
        <f t="shared" si="23"/>
        <v>0</v>
      </c>
      <c r="G340" s="5">
        <f t="shared" si="23"/>
        <v>0</v>
      </c>
      <c r="H340" s="5">
        <f t="shared" si="23"/>
        <v>0</v>
      </c>
      <c r="I340" s="5">
        <f t="shared" si="23"/>
        <v>0</v>
      </c>
      <c r="J340" s="5">
        <f t="shared" si="23"/>
        <v>0</v>
      </c>
      <c r="K340" s="5">
        <f t="shared" si="23"/>
        <v>0</v>
      </c>
      <c r="L340" s="5">
        <f t="shared" si="23"/>
        <v>0</v>
      </c>
      <c r="M340" s="5">
        <f t="shared" si="23"/>
        <v>0</v>
      </c>
      <c r="N340" s="32">
        <v>6.1652173913043402E-2</v>
      </c>
      <c r="O340" s="32">
        <v>1.93478260869566E-2</v>
      </c>
      <c r="P340" s="24">
        <f t="shared" si="24"/>
        <v>7.7452898550724653E-2</v>
      </c>
    </row>
    <row r="341" spans="1:16" x14ac:dyDescent="0.3">
      <c r="A341" s="2">
        <v>27851</v>
      </c>
      <c r="B341" s="23">
        <v>7.400000000000001E-2</v>
      </c>
      <c r="C341" s="5">
        <f t="shared" si="22"/>
        <v>0</v>
      </c>
      <c r="D341" s="5">
        <f t="shared" si="23"/>
        <v>0</v>
      </c>
      <c r="E341" s="5">
        <f t="shared" si="23"/>
        <v>0</v>
      </c>
      <c r="F341" s="5">
        <f t="shared" si="23"/>
        <v>1</v>
      </c>
      <c r="G341" s="5">
        <f t="shared" si="23"/>
        <v>0</v>
      </c>
      <c r="H341" s="5">
        <f t="shared" si="23"/>
        <v>0</v>
      </c>
      <c r="I341" s="5">
        <f t="shared" si="23"/>
        <v>0</v>
      </c>
      <c r="J341" s="5">
        <f t="shared" si="23"/>
        <v>0</v>
      </c>
      <c r="K341" s="5">
        <f t="shared" si="23"/>
        <v>0</v>
      </c>
      <c r="L341" s="5">
        <f t="shared" si="23"/>
        <v>0</v>
      </c>
      <c r="M341" s="5">
        <f t="shared" si="23"/>
        <v>0</v>
      </c>
      <c r="N341" s="32">
        <v>5.6550724637681071E-2</v>
      </c>
      <c r="O341" s="32">
        <v>1.7449275362318939E-2</v>
      </c>
      <c r="P341" s="24">
        <f t="shared" si="24"/>
        <v>7.5554347826086984E-2</v>
      </c>
    </row>
    <row r="342" spans="1:16" x14ac:dyDescent="0.3">
      <c r="A342" s="2">
        <v>27881</v>
      </c>
      <c r="B342" s="23">
        <v>6.8000000000000005E-2</v>
      </c>
      <c r="C342" s="5">
        <f t="shared" si="22"/>
        <v>0</v>
      </c>
      <c r="D342" s="5">
        <f t="shared" si="23"/>
        <v>0</v>
      </c>
      <c r="E342" s="5">
        <f t="shared" si="23"/>
        <v>0</v>
      </c>
      <c r="F342" s="5">
        <f t="shared" si="23"/>
        <v>0</v>
      </c>
      <c r="G342" s="5">
        <f t="shared" si="23"/>
        <v>1</v>
      </c>
      <c r="H342" s="5">
        <f t="shared" si="23"/>
        <v>0</v>
      </c>
      <c r="I342" s="5">
        <f t="shared" si="23"/>
        <v>0</v>
      </c>
      <c r="J342" s="5">
        <f t="shared" si="23"/>
        <v>0</v>
      </c>
      <c r="K342" s="5">
        <f t="shared" si="23"/>
        <v>0</v>
      </c>
      <c r="L342" s="5">
        <f t="shared" si="23"/>
        <v>0</v>
      </c>
      <c r="M342" s="5">
        <f t="shared" si="23"/>
        <v>0</v>
      </c>
      <c r="N342" s="32">
        <v>5.5101449275362209E-2</v>
      </c>
      <c r="O342" s="32">
        <v>1.2898550724637796E-2</v>
      </c>
      <c r="P342" s="24">
        <f t="shared" si="24"/>
        <v>7.1003623188405834E-2</v>
      </c>
    </row>
    <row r="343" spans="1:16" x14ac:dyDescent="0.3">
      <c r="A343" s="2">
        <v>27912</v>
      </c>
      <c r="B343" s="23">
        <v>0.08</v>
      </c>
      <c r="C343" s="5">
        <f t="shared" si="22"/>
        <v>0</v>
      </c>
      <c r="D343" s="5">
        <f t="shared" si="23"/>
        <v>0</v>
      </c>
      <c r="E343" s="5">
        <f t="shared" si="23"/>
        <v>0</v>
      </c>
      <c r="F343" s="5">
        <f t="shared" si="23"/>
        <v>0</v>
      </c>
      <c r="G343" s="5">
        <f t="shared" si="23"/>
        <v>0</v>
      </c>
      <c r="H343" s="5">
        <f t="shared" si="23"/>
        <v>1</v>
      </c>
      <c r="I343" s="5">
        <f t="shared" si="23"/>
        <v>0</v>
      </c>
      <c r="J343" s="5">
        <f t="shared" si="23"/>
        <v>0</v>
      </c>
      <c r="K343" s="5">
        <f t="shared" si="23"/>
        <v>0</v>
      </c>
      <c r="L343" s="5">
        <f t="shared" si="23"/>
        <v>0</v>
      </c>
      <c r="M343" s="5">
        <f t="shared" si="23"/>
        <v>0</v>
      </c>
      <c r="N343" s="32">
        <v>6.1130434782608579E-2</v>
      </c>
      <c r="O343" s="32">
        <v>1.8869565217391422E-2</v>
      </c>
      <c r="P343" s="24">
        <f t="shared" si="24"/>
        <v>7.6974637681159475E-2</v>
      </c>
    </row>
    <row r="344" spans="1:16" x14ac:dyDescent="0.3">
      <c r="A344" s="2">
        <v>27942</v>
      </c>
      <c r="B344" s="23">
        <v>7.8E-2</v>
      </c>
      <c r="C344" s="5">
        <f t="shared" si="22"/>
        <v>0</v>
      </c>
      <c r="D344" s="5">
        <f t="shared" si="23"/>
        <v>0</v>
      </c>
      <c r="E344" s="5">
        <f t="shared" si="23"/>
        <v>0</v>
      </c>
      <c r="F344" s="5">
        <f t="shared" si="23"/>
        <v>0</v>
      </c>
      <c r="G344" s="5">
        <f t="shared" si="23"/>
        <v>0</v>
      </c>
      <c r="H344" s="5">
        <f t="shared" si="23"/>
        <v>0</v>
      </c>
      <c r="I344" s="5">
        <f t="shared" si="23"/>
        <v>1</v>
      </c>
      <c r="J344" s="5">
        <f t="shared" si="23"/>
        <v>0</v>
      </c>
      <c r="K344" s="5">
        <f t="shared" si="23"/>
        <v>0</v>
      </c>
      <c r="L344" s="5">
        <f t="shared" si="23"/>
        <v>0</v>
      </c>
      <c r="M344" s="5">
        <f t="shared" si="23"/>
        <v>0</v>
      </c>
      <c r="N344" s="32">
        <v>5.9550724637681039E-2</v>
      </c>
      <c r="O344" s="32">
        <v>1.8449275362318961E-2</v>
      </c>
      <c r="P344" s="24">
        <f t="shared" si="24"/>
        <v>7.6554347826086999E-2</v>
      </c>
    </row>
    <row r="345" spans="1:16" x14ac:dyDescent="0.3">
      <c r="A345" s="2">
        <v>27973</v>
      </c>
      <c r="B345" s="23">
        <v>7.5999999999999998E-2</v>
      </c>
      <c r="C345" s="5">
        <f t="shared" si="22"/>
        <v>0</v>
      </c>
      <c r="D345" s="5">
        <f t="shared" si="23"/>
        <v>0</v>
      </c>
      <c r="E345" s="5">
        <f t="shared" si="23"/>
        <v>0</v>
      </c>
      <c r="F345" s="5">
        <f t="shared" si="23"/>
        <v>0</v>
      </c>
      <c r="G345" s="5">
        <f t="shared" si="23"/>
        <v>0</v>
      </c>
      <c r="H345" s="5">
        <f t="shared" si="23"/>
        <v>0</v>
      </c>
      <c r="I345" s="5">
        <f t="shared" si="23"/>
        <v>0</v>
      </c>
      <c r="J345" s="5">
        <f t="shared" si="23"/>
        <v>1</v>
      </c>
      <c r="K345" s="5">
        <f t="shared" si="23"/>
        <v>0</v>
      </c>
      <c r="L345" s="5">
        <f t="shared" ref="D345:M371" si="25">IF(MONTH($A345)=L$1,1,0)</f>
        <v>0</v>
      </c>
      <c r="M345" s="5">
        <f t="shared" si="25"/>
        <v>0</v>
      </c>
      <c r="N345" s="32">
        <v>5.6521739130434699E-2</v>
      </c>
      <c r="O345" s="32">
        <v>1.9478260869565299E-2</v>
      </c>
      <c r="P345" s="24">
        <f t="shared" si="24"/>
        <v>7.7583333333333337E-2</v>
      </c>
    </row>
    <row r="346" spans="1:16" x14ac:dyDescent="0.3">
      <c r="A346" s="2">
        <v>28004</v>
      </c>
      <c r="B346" s="23">
        <v>7.400000000000001E-2</v>
      </c>
      <c r="C346" s="5">
        <f t="shared" si="22"/>
        <v>0</v>
      </c>
      <c r="D346" s="5">
        <f t="shared" si="25"/>
        <v>0</v>
      </c>
      <c r="E346" s="5">
        <f t="shared" si="25"/>
        <v>0</v>
      </c>
      <c r="F346" s="5">
        <f t="shared" si="25"/>
        <v>0</v>
      </c>
      <c r="G346" s="5">
        <f t="shared" si="25"/>
        <v>0</v>
      </c>
      <c r="H346" s="5">
        <f t="shared" si="25"/>
        <v>0</v>
      </c>
      <c r="I346" s="5">
        <f t="shared" si="25"/>
        <v>0</v>
      </c>
      <c r="J346" s="5">
        <f t="shared" si="25"/>
        <v>0</v>
      </c>
      <c r="K346" s="5">
        <f t="shared" si="25"/>
        <v>1</v>
      </c>
      <c r="L346" s="5">
        <f t="shared" si="25"/>
        <v>0</v>
      </c>
      <c r="M346" s="5">
        <f t="shared" si="25"/>
        <v>0</v>
      </c>
      <c r="N346" s="32">
        <v>5.4768115942028898E-2</v>
      </c>
      <c r="O346" s="32">
        <v>1.9231884057971112E-2</v>
      </c>
      <c r="P346" s="24">
        <f t="shared" si="24"/>
        <v>7.7336956521739164E-2</v>
      </c>
    </row>
    <row r="347" spans="1:16" x14ac:dyDescent="0.3">
      <c r="A347" s="2">
        <v>28034</v>
      </c>
      <c r="B347" s="23">
        <v>7.2000000000000008E-2</v>
      </c>
      <c r="C347" s="5">
        <f t="shared" si="22"/>
        <v>0</v>
      </c>
      <c r="D347" s="5">
        <f t="shared" si="25"/>
        <v>0</v>
      </c>
      <c r="E347" s="5">
        <f t="shared" si="25"/>
        <v>0</v>
      </c>
      <c r="F347" s="5">
        <f t="shared" si="25"/>
        <v>0</v>
      </c>
      <c r="G347" s="5">
        <f t="shared" si="25"/>
        <v>0</v>
      </c>
      <c r="H347" s="5">
        <f t="shared" si="25"/>
        <v>0</v>
      </c>
      <c r="I347" s="5">
        <f t="shared" si="25"/>
        <v>0</v>
      </c>
      <c r="J347" s="5">
        <f t="shared" si="25"/>
        <v>0</v>
      </c>
      <c r="K347" s="5">
        <f t="shared" si="25"/>
        <v>0</v>
      </c>
      <c r="L347" s="5">
        <f t="shared" si="25"/>
        <v>1</v>
      </c>
      <c r="M347" s="5">
        <f t="shared" si="25"/>
        <v>0</v>
      </c>
      <c r="N347" s="32">
        <v>5.3115942028985473E-2</v>
      </c>
      <c r="O347" s="32">
        <v>1.8884057971014535E-2</v>
      </c>
      <c r="P347" s="24">
        <f t="shared" si="24"/>
        <v>7.6989130434782588E-2</v>
      </c>
    </row>
    <row r="348" spans="1:16" x14ac:dyDescent="0.3">
      <c r="A348" s="2">
        <v>28065</v>
      </c>
      <c r="B348" s="23">
        <v>7.400000000000001E-2</v>
      </c>
      <c r="C348" s="5">
        <f t="shared" si="22"/>
        <v>0</v>
      </c>
      <c r="D348" s="5">
        <f t="shared" si="25"/>
        <v>0</v>
      </c>
      <c r="E348" s="5">
        <f t="shared" si="25"/>
        <v>0</v>
      </c>
      <c r="F348" s="5">
        <f t="shared" si="25"/>
        <v>0</v>
      </c>
      <c r="G348" s="5">
        <f t="shared" si="25"/>
        <v>0</v>
      </c>
      <c r="H348" s="5">
        <f t="shared" si="25"/>
        <v>0</v>
      </c>
      <c r="I348" s="5">
        <f t="shared" si="25"/>
        <v>0</v>
      </c>
      <c r="J348" s="5">
        <f t="shared" si="25"/>
        <v>0</v>
      </c>
      <c r="K348" s="5">
        <f t="shared" si="25"/>
        <v>0</v>
      </c>
      <c r="L348" s="5">
        <f t="shared" si="25"/>
        <v>0</v>
      </c>
      <c r="M348" s="5">
        <f t="shared" si="25"/>
        <v>1</v>
      </c>
      <c r="N348" s="32">
        <v>5.4782608695652081E-2</v>
      </c>
      <c r="O348" s="32">
        <v>1.9217391304347929E-2</v>
      </c>
      <c r="P348" s="24">
        <f t="shared" si="24"/>
        <v>7.7322463768115968E-2</v>
      </c>
    </row>
    <row r="349" spans="1:16" x14ac:dyDescent="0.3">
      <c r="A349" s="2">
        <v>28095</v>
      </c>
      <c r="B349" s="23">
        <v>7.400000000000001E-2</v>
      </c>
      <c r="C349" s="5">
        <f t="shared" si="22"/>
        <v>0</v>
      </c>
      <c r="D349" s="5">
        <f t="shared" si="25"/>
        <v>0</v>
      </c>
      <c r="E349" s="5">
        <f t="shared" si="25"/>
        <v>0</v>
      </c>
      <c r="F349" s="5">
        <f t="shared" si="25"/>
        <v>0</v>
      </c>
      <c r="G349" s="5">
        <f t="shared" si="25"/>
        <v>0</v>
      </c>
      <c r="H349" s="5">
        <f t="shared" si="25"/>
        <v>0</v>
      </c>
      <c r="I349" s="5">
        <f t="shared" si="25"/>
        <v>0</v>
      </c>
      <c r="J349" s="5">
        <f t="shared" si="25"/>
        <v>0</v>
      </c>
      <c r="K349" s="5">
        <f t="shared" si="25"/>
        <v>0</v>
      </c>
      <c r="L349" s="5">
        <f t="shared" si="25"/>
        <v>0</v>
      </c>
      <c r="M349" s="5">
        <f t="shared" si="25"/>
        <v>0</v>
      </c>
      <c r="N349" s="32">
        <v>5.5202898550724598E-2</v>
      </c>
      <c r="O349" s="32">
        <v>1.8797101449275412E-2</v>
      </c>
      <c r="P349" s="24">
        <f t="shared" si="24"/>
        <v>7.6902173913043465E-2</v>
      </c>
    </row>
    <row r="350" spans="1:16" x14ac:dyDescent="0.3">
      <c r="A350" s="2">
        <v>28126</v>
      </c>
      <c r="B350" s="23">
        <v>8.3000000000000004E-2</v>
      </c>
      <c r="C350" s="5">
        <f t="shared" si="22"/>
        <v>1</v>
      </c>
      <c r="D350" s="5">
        <f t="shared" si="25"/>
        <v>0</v>
      </c>
      <c r="E350" s="5">
        <f t="shared" si="25"/>
        <v>0</v>
      </c>
      <c r="F350" s="5">
        <f t="shared" si="25"/>
        <v>0</v>
      </c>
      <c r="G350" s="5">
        <f t="shared" si="25"/>
        <v>0</v>
      </c>
      <c r="H350" s="5">
        <f t="shared" si="25"/>
        <v>0</v>
      </c>
      <c r="I350" s="5">
        <f t="shared" si="25"/>
        <v>0</v>
      </c>
      <c r="J350" s="5">
        <f t="shared" si="25"/>
        <v>0</v>
      </c>
      <c r="K350" s="5">
        <f t="shared" si="25"/>
        <v>0</v>
      </c>
      <c r="L350" s="5">
        <f t="shared" si="25"/>
        <v>0</v>
      </c>
      <c r="M350" s="5">
        <f t="shared" si="25"/>
        <v>0</v>
      </c>
      <c r="N350" s="32">
        <v>6.4492753623188417E-2</v>
      </c>
      <c r="O350" s="32">
        <v>1.8507246376811587E-2</v>
      </c>
      <c r="P350" s="24">
        <f t="shared" si="24"/>
        <v>7.6612318840579632E-2</v>
      </c>
    </row>
    <row r="351" spans="1:16" x14ac:dyDescent="0.3">
      <c r="A351" s="2">
        <v>28157</v>
      </c>
      <c r="B351" s="23">
        <v>8.5000000000000006E-2</v>
      </c>
      <c r="C351" s="5">
        <f t="shared" si="22"/>
        <v>0</v>
      </c>
      <c r="D351" s="5">
        <f t="shared" si="25"/>
        <v>1</v>
      </c>
      <c r="E351" s="5">
        <f t="shared" si="25"/>
        <v>0</v>
      </c>
      <c r="F351" s="5">
        <f t="shared" si="25"/>
        <v>0</v>
      </c>
      <c r="G351" s="5">
        <f t="shared" si="25"/>
        <v>0</v>
      </c>
      <c r="H351" s="5">
        <f t="shared" si="25"/>
        <v>0</v>
      </c>
      <c r="I351" s="5">
        <f t="shared" si="25"/>
        <v>0</v>
      </c>
      <c r="J351" s="5">
        <f t="shared" si="25"/>
        <v>0</v>
      </c>
      <c r="K351" s="5">
        <f t="shared" si="25"/>
        <v>0</v>
      </c>
      <c r="L351" s="5">
        <f t="shared" si="25"/>
        <v>0</v>
      </c>
      <c r="M351" s="5">
        <f t="shared" si="25"/>
        <v>0</v>
      </c>
      <c r="N351" s="32">
        <v>6.4391304347825973E-2</v>
      </c>
      <c r="O351" s="32">
        <v>2.0608695652174033E-2</v>
      </c>
      <c r="P351" s="24">
        <f t="shared" si="24"/>
        <v>7.8713768115942079E-2</v>
      </c>
    </row>
    <row r="352" spans="1:16" x14ac:dyDescent="0.3">
      <c r="A352" s="2">
        <v>28185</v>
      </c>
      <c r="B352" s="23">
        <v>7.9000000000000001E-2</v>
      </c>
      <c r="C352" s="5">
        <f t="shared" si="22"/>
        <v>0</v>
      </c>
      <c r="D352" s="5">
        <f t="shared" si="25"/>
        <v>0</v>
      </c>
      <c r="E352" s="5">
        <f t="shared" si="25"/>
        <v>1</v>
      </c>
      <c r="F352" s="5">
        <f t="shared" si="25"/>
        <v>0</v>
      </c>
      <c r="G352" s="5">
        <f t="shared" si="25"/>
        <v>0</v>
      </c>
      <c r="H352" s="5">
        <f t="shared" si="25"/>
        <v>0</v>
      </c>
      <c r="I352" s="5">
        <f t="shared" si="25"/>
        <v>0</v>
      </c>
      <c r="J352" s="5">
        <f t="shared" si="25"/>
        <v>0</v>
      </c>
      <c r="K352" s="5">
        <f t="shared" si="25"/>
        <v>0</v>
      </c>
      <c r="L352" s="5">
        <f t="shared" si="25"/>
        <v>0</v>
      </c>
      <c r="M352" s="5">
        <f t="shared" si="25"/>
        <v>0</v>
      </c>
      <c r="N352" s="32">
        <v>6.1652173913043402E-2</v>
      </c>
      <c r="O352" s="32">
        <v>1.7347826086956598E-2</v>
      </c>
      <c r="P352" s="24">
        <f t="shared" si="24"/>
        <v>7.5452898550724651E-2</v>
      </c>
    </row>
    <row r="353" spans="1:16" x14ac:dyDescent="0.3">
      <c r="A353" s="2">
        <v>28216</v>
      </c>
      <c r="B353" s="23">
        <v>6.9000000000000006E-2</v>
      </c>
      <c r="C353" s="5">
        <f t="shared" si="22"/>
        <v>0</v>
      </c>
      <c r="D353" s="5">
        <f t="shared" si="25"/>
        <v>0</v>
      </c>
      <c r="E353" s="5">
        <f t="shared" si="25"/>
        <v>0</v>
      </c>
      <c r="F353" s="5">
        <f t="shared" si="25"/>
        <v>1</v>
      </c>
      <c r="G353" s="5">
        <f t="shared" si="25"/>
        <v>0</v>
      </c>
      <c r="H353" s="5">
        <f t="shared" si="25"/>
        <v>0</v>
      </c>
      <c r="I353" s="5">
        <f t="shared" si="25"/>
        <v>0</v>
      </c>
      <c r="J353" s="5">
        <f t="shared" si="25"/>
        <v>0</v>
      </c>
      <c r="K353" s="5">
        <f t="shared" si="25"/>
        <v>0</v>
      </c>
      <c r="L353" s="5">
        <f t="shared" si="25"/>
        <v>0</v>
      </c>
      <c r="M353" s="5">
        <f t="shared" si="25"/>
        <v>0</v>
      </c>
      <c r="N353" s="32">
        <v>5.6550724637681071E-2</v>
      </c>
      <c r="O353" s="32">
        <v>1.2449275362318935E-2</v>
      </c>
      <c r="P353" s="24">
        <f t="shared" si="24"/>
        <v>7.055434782608698E-2</v>
      </c>
    </row>
    <row r="354" spans="1:16" x14ac:dyDescent="0.3">
      <c r="A354" s="2">
        <v>28246</v>
      </c>
      <c r="B354" s="23">
        <v>6.4000000000000001E-2</v>
      </c>
      <c r="C354" s="5">
        <f t="shared" si="22"/>
        <v>0</v>
      </c>
      <c r="D354" s="5">
        <f t="shared" si="25"/>
        <v>0</v>
      </c>
      <c r="E354" s="5">
        <f t="shared" si="25"/>
        <v>0</v>
      </c>
      <c r="F354" s="5">
        <f t="shared" si="25"/>
        <v>0</v>
      </c>
      <c r="G354" s="5">
        <f t="shared" si="25"/>
        <v>1</v>
      </c>
      <c r="H354" s="5">
        <f t="shared" si="25"/>
        <v>0</v>
      </c>
      <c r="I354" s="5">
        <f t="shared" si="25"/>
        <v>0</v>
      </c>
      <c r="J354" s="5">
        <f t="shared" si="25"/>
        <v>0</v>
      </c>
      <c r="K354" s="5">
        <f t="shared" si="25"/>
        <v>0</v>
      </c>
      <c r="L354" s="5">
        <f t="shared" si="25"/>
        <v>0</v>
      </c>
      <c r="M354" s="5">
        <f t="shared" si="25"/>
        <v>0</v>
      </c>
      <c r="N354" s="32">
        <v>5.5101449275362209E-2</v>
      </c>
      <c r="O354" s="32">
        <v>8.8985507246377923E-3</v>
      </c>
      <c r="P354" s="24">
        <f t="shared" si="24"/>
        <v>6.7003623188405831E-2</v>
      </c>
    </row>
    <row r="355" spans="1:16" x14ac:dyDescent="0.3">
      <c r="A355" s="2">
        <v>28277</v>
      </c>
      <c r="B355" s="23">
        <v>7.4999999999999997E-2</v>
      </c>
      <c r="C355" s="5">
        <f t="shared" si="22"/>
        <v>0</v>
      </c>
      <c r="D355" s="5">
        <f t="shared" si="25"/>
        <v>0</v>
      </c>
      <c r="E355" s="5">
        <f t="shared" si="25"/>
        <v>0</v>
      </c>
      <c r="F355" s="5">
        <f t="shared" si="25"/>
        <v>0</v>
      </c>
      <c r="G355" s="5">
        <f t="shared" si="25"/>
        <v>0</v>
      </c>
      <c r="H355" s="5">
        <f t="shared" si="25"/>
        <v>1</v>
      </c>
      <c r="I355" s="5">
        <f t="shared" si="25"/>
        <v>0</v>
      </c>
      <c r="J355" s="5">
        <f t="shared" si="25"/>
        <v>0</v>
      </c>
      <c r="K355" s="5">
        <f t="shared" si="25"/>
        <v>0</v>
      </c>
      <c r="L355" s="5">
        <f t="shared" si="25"/>
        <v>0</v>
      </c>
      <c r="M355" s="5">
        <f t="shared" si="25"/>
        <v>0</v>
      </c>
      <c r="N355" s="32">
        <v>6.1130434782608579E-2</v>
      </c>
      <c r="O355" s="32">
        <v>1.3869565217391418E-2</v>
      </c>
      <c r="P355" s="24">
        <f t="shared" si="24"/>
        <v>7.197463768115947E-2</v>
      </c>
    </row>
    <row r="356" spans="1:16" x14ac:dyDescent="0.3">
      <c r="A356" s="2">
        <v>28307</v>
      </c>
      <c r="B356" s="23">
        <v>7.0000000000000007E-2</v>
      </c>
      <c r="C356" s="5">
        <f t="shared" si="22"/>
        <v>0</v>
      </c>
      <c r="D356" s="5">
        <f t="shared" si="25"/>
        <v>0</v>
      </c>
      <c r="E356" s="5">
        <f t="shared" si="25"/>
        <v>0</v>
      </c>
      <c r="F356" s="5">
        <f t="shared" si="25"/>
        <v>0</v>
      </c>
      <c r="G356" s="5">
        <f t="shared" si="25"/>
        <v>0</v>
      </c>
      <c r="H356" s="5">
        <f t="shared" si="25"/>
        <v>0</v>
      </c>
      <c r="I356" s="5">
        <f t="shared" si="25"/>
        <v>1</v>
      </c>
      <c r="J356" s="5">
        <f t="shared" si="25"/>
        <v>0</v>
      </c>
      <c r="K356" s="5">
        <f t="shared" si="25"/>
        <v>0</v>
      </c>
      <c r="L356" s="5">
        <f t="shared" si="25"/>
        <v>0</v>
      </c>
      <c r="M356" s="5">
        <f t="shared" si="25"/>
        <v>0</v>
      </c>
      <c r="N356" s="32">
        <v>5.9550724637681039E-2</v>
      </c>
      <c r="O356" s="32">
        <v>1.0449275362318967E-2</v>
      </c>
      <c r="P356" s="24">
        <f t="shared" si="24"/>
        <v>6.855434782608702E-2</v>
      </c>
    </row>
    <row r="357" spans="1:16" x14ac:dyDescent="0.3">
      <c r="A357" s="2">
        <v>28338</v>
      </c>
      <c r="B357" s="23">
        <v>6.8000000000000005E-2</v>
      </c>
      <c r="C357" s="5">
        <f t="shared" si="22"/>
        <v>0</v>
      </c>
      <c r="D357" s="5">
        <f t="shared" si="25"/>
        <v>0</v>
      </c>
      <c r="E357" s="5">
        <f t="shared" si="25"/>
        <v>0</v>
      </c>
      <c r="F357" s="5">
        <f t="shared" si="25"/>
        <v>0</v>
      </c>
      <c r="G357" s="5">
        <f t="shared" si="25"/>
        <v>0</v>
      </c>
      <c r="H357" s="5">
        <f t="shared" si="25"/>
        <v>0</v>
      </c>
      <c r="I357" s="5">
        <f t="shared" si="25"/>
        <v>0</v>
      </c>
      <c r="J357" s="5">
        <f t="shared" si="25"/>
        <v>1</v>
      </c>
      <c r="K357" s="5">
        <f t="shared" si="25"/>
        <v>0</v>
      </c>
      <c r="L357" s="5">
        <f t="shared" si="25"/>
        <v>0</v>
      </c>
      <c r="M357" s="5">
        <f t="shared" si="25"/>
        <v>0</v>
      </c>
      <c r="N357" s="32">
        <v>5.6521739130434699E-2</v>
      </c>
      <c r="O357" s="32">
        <v>1.1478260869565306E-2</v>
      </c>
      <c r="P357" s="24">
        <f t="shared" si="24"/>
        <v>6.9583333333333358E-2</v>
      </c>
    </row>
    <row r="358" spans="1:16" x14ac:dyDescent="0.3">
      <c r="A358" s="2">
        <v>28369</v>
      </c>
      <c r="B358" s="23">
        <v>6.6000000000000003E-2</v>
      </c>
      <c r="C358" s="5">
        <f t="shared" si="22"/>
        <v>0</v>
      </c>
      <c r="D358" s="5">
        <f t="shared" si="25"/>
        <v>0</v>
      </c>
      <c r="E358" s="5">
        <f t="shared" si="25"/>
        <v>0</v>
      </c>
      <c r="F358" s="5">
        <f t="shared" si="25"/>
        <v>0</v>
      </c>
      <c r="G358" s="5">
        <f t="shared" si="25"/>
        <v>0</v>
      </c>
      <c r="H358" s="5">
        <f t="shared" si="25"/>
        <v>0</v>
      </c>
      <c r="I358" s="5">
        <f t="shared" si="25"/>
        <v>0</v>
      </c>
      <c r="J358" s="5">
        <f t="shared" si="25"/>
        <v>0</v>
      </c>
      <c r="K358" s="5">
        <f t="shared" si="25"/>
        <v>1</v>
      </c>
      <c r="L358" s="5">
        <f t="shared" si="25"/>
        <v>0</v>
      </c>
      <c r="M358" s="5">
        <f t="shared" si="25"/>
        <v>0</v>
      </c>
      <c r="N358" s="32">
        <v>5.4768115942028898E-2</v>
      </c>
      <c r="O358" s="32">
        <v>1.1231884057971105E-2</v>
      </c>
      <c r="P358" s="24">
        <f t="shared" si="24"/>
        <v>6.9336956521739157E-2</v>
      </c>
    </row>
    <row r="359" spans="1:16" x14ac:dyDescent="0.3">
      <c r="A359" s="2">
        <v>28399</v>
      </c>
      <c r="B359" s="23">
        <v>6.4000000000000001E-2</v>
      </c>
      <c r="C359" s="5">
        <f t="shared" si="22"/>
        <v>0</v>
      </c>
      <c r="D359" s="5">
        <f t="shared" si="25"/>
        <v>0</v>
      </c>
      <c r="E359" s="5">
        <f t="shared" si="25"/>
        <v>0</v>
      </c>
      <c r="F359" s="5">
        <f t="shared" si="25"/>
        <v>0</v>
      </c>
      <c r="G359" s="5">
        <f t="shared" si="25"/>
        <v>0</v>
      </c>
      <c r="H359" s="5">
        <f t="shared" si="25"/>
        <v>0</v>
      </c>
      <c r="I359" s="5">
        <f t="shared" si="25"/>
        <v>0</v>
      </c>
      <c r="J359" s="5">
        <f t="shared" si="25"/>
        <v>0</v>
      </c>
      <c r="K359" s="5">
        <f t="shared" si="25"/>
        <v>0</v>
      </c>
      <c r="L359" s="5">
        <f t="shared" si="25"/>
        <v>1</v>
      </c>
      <c r="M359" s="5">
        <f t="shared" si="25"/>
        <v>0</v>
      </c>
      <c r="N359" s="32">
        <v>5.3115942028985473E-2</v>
      </c>
      <c r="O359" s="32">
        <v>1.0884057971014528E-2</v>
      </c>
      <c r="P359" s="24">
        <f t="shared" si="24"/>
        <v>6.8989130434782581E-2</v>
      </c>
    </row>
    <row r="360" spans="1:16" x14ac:dyDescent="0.3">
      <c r="A360" s="2">
        <v>28430</v>
      </c>
      <c r="B360" s="23">
        <v>6.5000000000000002E-2</v>
      </c>
      <c r="C360" s="5">
        <f t="shared" ref="C360:C423" si="26">IF(MONTH($A360)=C$1,1,0)</f>
        <v>0</v>
      </c>
      <c r="D360" s="5">
        <f t="shared" si="25"/>
        <v>0</v>
      </c>
      <c r="E360" s="5">
        <f t="shared" si="25"/>
        <v>0</v>
      </c>
      <c r="F360" s="5">
        <f t="shared" si="25"/>
        <v>0</v>
      </c>
      <c r="G360" s="5">
        <f t="shared" si="25"/>
        <v>0</v>
      </c>
      <c r="H360" s="5">
        <f t="shared" si="25"/>
        <v>0</v>
      </c>
      <c r="I360" s="5">
        <f t="shared" si="25"/>
        <v>0</v>
      </c>
      <c r="J360" s="5">
        <f t="shared" si="25"/>
        <v>0</v>
      </c>
      <c r="K360" s="5">
        <f t="shared" si="25"/>
        <v>0</v>
      </c>
      <c r="L360" s="5">
        <f t="shared" si="25"/>
        <v>0</v>
      </c>
      <c r="M360" s="5">
        <f t="shared" si="25"/>
        <v>1</v>
      </c>
      <c r="N360" s="32">
        <v>5.4782608695652081E-2</v>
      </c>
      <c r="O360" s="32">
        <v>1.0217391304347921E-2</v>
      </c>
      <c r="P360" s="24">
        <f t="shared" si="24"/>
        <v>6.832246376811596E-2</v>
      </c>
    </row>
    <row r="361" spans="1:16" x14ac:dyDescent="0.3">
      <c r="A361" s="2">
        <v>28460</v>
      </c>
      <c r="B361" s="23">
        <v>0.06</v>
      </c>
      <c r="C361" s="5">
        <f t="shared" si="26"/>
        <v>0</v>
      </c>
      <c r="D361" s="5">
        <f t="shared" si="25"/>
        <v>0</v>
      </c>
      <c r="E361" s="5">
        <f t="shared" si="25"/>
        <v>0</v>
      </c>
      <c r="F361" s="5">
        <f t="shared" si="25"/>
        <v>0</v>
      </c>
      <c r="G361" s="5">
        <f t="shared" si="25"/>
        <v>0</v>
      </c>
      <c r="H361" s="5">
        <f t="shared" si="25"/>
        <v>0</v>
      </c>
      <c r="I361" s="5">
        <f t="shared" si="25"/>
        <v>0</v>
      </c>
      <c r="J361" s="5">
        <f t="shared" si="25"/>
        <v>0</v>
      </c>
      <c r="K361" s="5">
        <f t="shared" si="25"/>
        <v>0</v>
      </c>
      <c r="L361" s="5">
        <f t="shared" si="25"/>
        <v>0</v>
      </c>
      <c r="M361" s="5">
        <f t="shared" si="25"/>
        <v>0</v>
      </c>
      <c r="N361" s="32">
        <v>5.5202898550724598E-2</v>
      </c>
      <c r="O361" s="32">
        <v>4.7971014492753997E-3</v>
      </c>
      <c r="P361" s="24">
        <f t="shared" si="24"/>
        <v>6.2902173913043452E-2</v>
      </c>
    </row>
    <row r="362" spans="1:16" x14ac:dyDescent="0.3">
      <c r="A362" s="2">
        <v>28491</v>
      </c>
      <c r="B362" s="23">
        <v>7.0999999999999994E-2</v>
      </c>
      <c r="C362" s="5">
        <f t="shared" si="26"/>
        <v>1</v>
      </c>
      <c r="D362" s="5">
        <f t="shared" si="25"/>
        <v>0</v>
      </c>
      <c r="E362" s="5">
        <f t="shared" si="25"/>
        <v>0</v>
      </c>
      <c r="F362" s="5">
        <f t="shared" si="25"/>
        <v>0</v>
      </c>
      <c r="G362" s="5">
        <f t="shared" si="25"/>
        <v>0</v>
      </c>
      <c r="H362" s="5">
        <f t="shared" si="25"/>
        <v>0</v>
      </c>
      <c r="I362" s="5">
        <f t="shared" si="25"/>
        <v>0</v>
      </c>
      <c r="J362" s="5">
        <f t="shared" si="25"/>
        <v>0</v>
      </c>
      <c r="K362" s="5">
        <f t="shared" si="25"/>
        <v>0</v>
      </c>
      <c r="L362" s="5">
        <f t="shared" si="25"/>
        <v>0</v>
      </c>
      <c r="M362" s="5">
        <f t="shared" si="25"/>
        <v>0</v>
      </c>
      <c r="N362" s="32">
        <v>6.4492753623188417E-2</v>
      </c>
      <c r="O362" s="32">
        <v>6.5072463768115762E-3</v>
      </c>
      <c r="P362" s="24">
        <f t="shared" si="24"/>
        <v>6.4612318840579622E-2</v>
      </c>
    </row>
    <row r="363" spans="1:16" x14ac:dyDescent="0.3">
      <c r="A363" s="2">
        <v>28522</v>
      </c>
      <c r="B363" s="23">
        <v>6.9000000000000006E-2</v>
      </c>
      <c r="C363" s="5">
        <f t="shared" si="26"/>
        <v>0</v>
      </c>
      <c r="D363" s="5">
        <f t="shared" si="25"/>
        <v>1</v>
      </c>
      <c r="E363" s="5">
        <f t="shared" si="25"/>
        <v>0</v>
      </c>
      <c r="F363" s="5">
        <f t="shared" si="25"/>
        <v>0</v>
      </c>
      <c r="G363" s="5">
        <f t="shared" si="25"/>
        <v>0</v>
      </c>
      <c r="H363" s="5">
        <f t="shared" si="25"/>
        <v>0</v>
      </c>
      <c r="I363" s="5">
        <f t="shared" si="25"/>
        <v>0</v>
      </c>
      <c r="J363" s="5">
        <f t="shared" si="25"/>
        <v>0</v>
      </c>
      <c r="K363" s="5">
        <f t="shared" si="25"/>
        <v>0</v>
      </c>
      <c r="L363" s="5">
        <f t="shared" si="25"/>
        <v>0</v>
      </c>
      <c r="M363" s="5">
        <f t="shared" si="25"/>
        <v>0</v>
      </c>
      <c r="N363" s="32">
        <v>6.4391304347825973E-2</v>
      </c>
      <c r="O363" s="32">
        <v>4.608695652174033E-3</v>
      </c>
      <c r="P363" s="24">
        <f t="shared" si="24"/>
        <v>6.2713768115942078E-2</v>
      </c>
    </row>
    <row r="364" spans="1:16" x14ac:dyDescent="0.3">
      <c r="A364" s="2">
        <v>28550</v>
      </c>
      <c r="B364" s="23">
        <v>6.6000000000000003E-2</v>
      </c>
      <c r="C364" s="5">
        <f t="shared" si="26"/>
        <v>0</v>
      </c>
      <c r="D364" s="5">
        <f t="shared" si="25"/>
        <v>0</v>
      </c>
      <c r="E364" s="5">
        <f t="shared" si="25"/>
        <v>1</v>
      </c>
      <c r="F364" s="5">
        <f t="shared" si="25"/>
        <v>0</v>
      </c>
      <c r="G364" s="5">
        <f t="shared" si="25"/>
        <v>0</v>
      </c>
      <c r="H364" s="5">
        <f t="shared" si="25"/>
        <v>0</v>
      </c>
      <c r="I364" s="5">
        <f t="shared" si="25"/>
        <v>0</v>
      </c>
      <c r="J364" s="5">
        <f t="shared" si="25"/>
        <v>0</v>
      </c>
      <c r="K364" s="5">
        <f t="shared" si="25"/>
        <v>0</v>
      </c>
      <c r="L364" s="5">
        <f t="shared" si="25"/>
        <v>0</v>
      </c>
      <c r="M364" s="5">
        <f t="shared" si="25"/>
        <v>0</v>
      </c>
      <c r="N364" s="32">
        <v>6.1652173913043402E-2</v>
      </c>
      <c r="O364" s="32">
        <v>4.3478260869566007E-3</v>
      </c>
      <c r="P364" s="24">
        <f t="shared" si="24"/>
        <v>6.2452898550724646E-2</v>
      </c>
    </row>
    <row r="365" spans="1:16" x14ac:dyDescent="0.3">
      <c r="A365" s="2">
        <v>28581</v>
      </c>
      <c r="B365" s="23">
        <v>5.7999999999999996E-2</v>
      </c>
      <c r="C365" s="5">
        <f t="shared" si="26"/>
        <v>0</v>
      </c>
      <c r="D365" s="5">
        <f t="shared" si="25"/>
        <v>0</v>
      </c>
      <c r="E365" s="5">
        <f t="shared" si="25"/>
        <v>0</v>
      </c>
      <c r="F365" s="5">
        <f t="shared" si="25"/>
        <v>1</v>
      </c>
      <c r="G365" s="5">
        <f t="shared" si="25"/>
        <v>0</v>
      </c>
      <c r="H365" s="5">
        <f t="shared" si="25"/>
        <v>0</v>
      </c>
      <c r="I365" s="5">
        <f t="shared" si="25"/>
        <v>0</v>
      </c>
      <c r="J365" s="5">
        <f t="shared" si="25"/>
        <v>0</v>
      </c>
      <c r="K365" s="5">
        <f t="shared" si="25"/>
        <v>0</v>
      </c>
      <c r="L365" s="5">
        <f t="shared" si="25"/>
        <v>0</v>
      </c>
      <c r="M365" s="5">
        <f t="shared" si="25"/>
        <v>0</v>
      </c>
      <c r="N365" s="32">
        <v>5.6550724637681071E-2</v>
      </c>
      <c r="O365" s="32">
        <v>1.4492753623189247E-3</v>
      </c>
      <c r="P365" s="24">
        <f t="shared" si="24"/>
        <v>5.955434782608697E-2</v>
      </c>
    </row>
    <row r="366" spans="1:16" x14ac:dyDescent="0.3">
      <c r="A366" s="2">
        <v>28611</v>
      </c>
      <c r="B366" s="23">
        <v>5.5E-2</v>
      </c>
      <c r="C366" s="5">
        <f t="shared" si="26"/>
        <v>0</v>
      </c>
      <c r="D366" s="5">
        <f t="shared" si="25"/>
        <v>0</v>
      </c>
      <c r="E366" s="5">
        <f t="shared" si="25"/>
        <v>0</v>
      </c>
      <c r="F366" s="5">
        <f t="shared" si="25"/>
        <v>0</v>
      </c>
      <c r="G366" s="5">
        <f t="shared" si="25"/>
        <v>1</v>
      </c>
      <c r="H366" s="5">
        <f t="shared" si="25"/>
        <v>0</v>
      </c>
      <c r="I366" s="5">
        <f t="shared" si="25"/>
        <v>0</v>
      </c>
      <c r="J366" s="5">
        <f t="shared" si="25"/>
        <v>0</v>
      </c>
      <c r="K366" s="5">
        <f t="shared" si="25"/>
        <v>0</v>
      </c>
      <c r="L366" s="5">
        <f t="shared" si="25"/>
        <v>0</v>
      </c>
      <c r="M366" s="5">
        <f t="shared" si="25"/>
        <v>0</v>
      </c>
      <c r="N366" s="32">
        <v>5.5101449275362209E-2</v>
      </c>
      <c r="O366" s="32">
        <v>-1.0144927536220871E-4</v>
      </c>
      <c r="P366" s="24">
        <f t="shared" si="24"/>
        <v>5.8003623188405837E-2</v>
      </c>
    </row>
    <row r="367" spans="1:16" x14ac:dyDescent="0.3">
      <c r="A367" s="2">
        <v>28642</v>
      </c>
      <c r="B367" s="23">
        <v>6.2E-2</v>
      </c>
      <c r="C367" s="5">
        <f t="shared" si="26"/>
        <v>0</v>
      </c>
      <c r="D367" s="5">
        <f t="shared" si="25"/>
        <v>0</v>
      </c>
      <c r="E367" s="5">
        <f t="shared" si="25"/>
        <v>0</v>
      </c>
      <c r="F367" s="5">
        <f t="shared" si="25"/>
        <v>0</v>
      </c>
      <c r="G367" s="5">
        <f t="shared" si="25"/>
        <v>0</v>
      </c>
      <c r="H367" s="5">
        <f t="shared" si="25"/>
        <v>1</v>
      </c>
      <c r="I367" s="5">
        <f t="shared" si="25"/>
        <v>0</v>
      </c>
      <c r="J367" s="5">
        <f t="shared" si="25"/>
        <v>0</v>
      </c>
      <c r="K367" s="5">
        <f t="shared" si="25"/>
        <v>0</v>
      </c>
      <c r="L367" s="5">
        <f t="shared" si="25"/>
        <v>0</v>
      </c>
      <c r="M367" s="5">
        <f t="shared" si="25"/>
        <v>0</v>
      </c>
      <c r="N367" s="32">
        <v>6.1130434782608579E-2</v>
      </c>
      <c r="O367" s="32">
        <v>8.6956521739142006E-4</v>
      </c>
      <c r="P367" s="24">
        <f t="shared" si="24"/>
        <v>5.8974637681159466E-2</v>
      </c>
    </row>
    <row r="368" spans="1:16" x14ac:dyDescent="0.3">
      <c r="A368" s="2">
        <v>28672</v>
      </c>
      <c r="B368" s="23">
        <v>6.3E-2</v>
      </c>
      <c r="C368" s="5">
        <f t="shared" si="26"/>
        <v>0</v>
      </c>
      <c r="D368" s="5">
        <f t="shared" si="25"/>
        <v>0</v>
      </c>
      <c r="E368" s="5">
        <f t="shared" si="25"/>
        <v>0</v>
      </c>
      <c r="F368" s="5">
        <f t="shared" si="25"/>
        <v>0</v>
      </c>
      <c r="G368" s="5">
        <f t="shared" si="25"/>
        <v>0</v>
      </c>
      <c r="H368" s="5">
        <f t="shared" si="25"/>
        <v>0</v>
      </c>
      <c r="I368" s="5">
        <f t="shared" si="25"/>
        <v>1</v>
      </c>
      <c r="J368" s="5">
        <f t="shared" si="25"/>
        <v>0</v>
      </c>
      <c r="K368" s="5">
        <f t="shared" si="25"/>
        <v>0</v>
      </c>
      <c r="L368" s="5">
        <f t="shared" si="25"/>
        <v>0</v>
      </c>
      <c r="M368" s="5">
        <f t="shared" si="25"/>
        <v>0</v>
      </c>
      <c r="N368" s="32">
        <v>5.9550724637681039E-2</v>
      </c>
      <c r="O368" s="32">
        <v>3.4492753623189612E-3</v>
      </c>
      <c r="P368" s="24">
        <f t="shared" si="24"/>
        <v>6.1554347826087007E-2</v>
      </c>
    </row>
    <row r="369" spans="1:16" x14ac:dyDescent="0.3">
      <c r="A369" s="2">
        <v>28703</v>
      </c>
      <c r="B369" s="23">
        <v>5.9000000000000004E-2</v>
      </c>
      <c r="C369" s="5">
        <f t="shared" si="26"/>
        <v>0</v>
      </c>
      <c r="D369" s="5">
        <f t="shared" si="25"/>
        <v>0</v>
      </c>
      <c r="E369" s="5">
        <f t="shared" si="25"/>
        <v>0</v>
      </c>
      <c r="F369" s="5">
        <f t="shared" si="25"/>
        <v>0</v>
      </c>
      <c r="G369" s="5">
        <f t="shared" si="25"/>
        <v>0</v>
      </c>
      <c r="H369" s="5">
        <f t="shared" si="25"/>
        <v>0</v>
      </c>
      <c r="I369" s="5">
        <f t="shared" si="25"/>
        <v>0</v>
      </c>
      <c r="J369" s="5">
        <f t="shared" si="25"/>
        <v>1</v>
      </c>
      <c r="K369" s="5">
        <f t="shared" si="25"/>
        <v>0</v>
      </c>
      <c r="L369" s="5">
        <f t="shared" si="25"/>
        <v>0</v>
      </c>
      <c r="M369" s="5">
        <f t="shared" si="25"/>
        <v>0</v>
      </c>
      <c r="N369" s="32">
        <v>5.6521739130434699E-2</v>
      </c>
      <c r="O369" s="32">
        <v>2.4782608695653047E-3</v>
      </c>
      <c r="P369" s="24">
        <f t="shared" si="24"/>
        <v>6.058333333333335E-2</v>
      </c>
    </row>
    <row r="370" spans="1:16" x14ac:dyDescent="0.3">
      <c r="A370" s="2">
        <v>28734</v>
      </c>
      <c r="B370" s="23">
        <v>5.7999999999999996E-2</v>
      </c>
      <c r="C370" s="5">
        <f t="shared" si="26"/>
        <v>0</v>
      </c>
      <c r="D370" s="5">
        <f t="shared" si="25"/>
        <v>0</v>
      </c>
      <c r="E370" s="5">
        <f t="shared" si="25"/>
        <v>0</v>
      </c>
      <c r="F370" s="5">
        <f t="shared" si="25"/>
        <v>0</v>
      </c>
      <c r="G370" s="5">
        <f t="shared" si="25"/>
        <v>0</v>
      </c>
      <c r="H370" s="5">
        <f t="shared" si="25"/>
        <v>0</v>
      </c>
      <c r="I370" s="5">
        <f t="shared" si="25"/>
        <v>0</v>
      </c>
      <c r="J370" s="5">
        <f t="shared" si="25"/>
        <v>0</v>
      </c>
      <c r="K370" s="5">
        <f t="shared" si="25"/>
        <v>1</v>
      </c>
      <c r="L370" s="5">
        <f t="shared" si="25"/>
        <v>0</v>
      </c>
      <c r="M370" s="5">
        <f t="shared" si="25"/>
        <v>0</v>
      </c>
      <c r="N370" s="32">
        <v>5.4768115942028898E-2</v>
      </c>
      <c r="O370" s="32">
        <v>3.2318840579710975E-3</v>
      </c>
      <c r="P370" s="24">
        <f t="shared" si="24"/>
        <v>6.1336956521739143E-2</v>
      </c>
    </row>
    <row r="371" spans="1:16" x14ac:dyDescent="0.3">
      <c r="A371" s="2">
        <v>28764</v>
      </c>
      <c r="B371" s="23">
        <v>5.4000000000000006E-2</v>
      </c>
      <c r="C371" s="5">
        <f t="shared" si="26"/>
        <v>0</v>
      </c>
      <c r="D371" s="5">
        <f t="shared" si="25"/>
        <v>0</v>
      </c>
      <c r="E371" s="5">
        <f t="shared" si="25"/>
        <v>0</v>
      </c>
      <c r="F371" s="5">
        <f t="shared" si="25"/>
        <v>0</v>
      </c>
      <c r="G371" s="5">
        <f t="shared" ref="D371:M396" si="27">IF(MONTH($A371)=G$1,1,0)</f>
        <v>0</v>
      </c>
      <c r="H371" s="5">
        <f t="shared" si="27"/>
        <v>0</v>
      </c>
      <c r="I371" s="5">
        <f t="shared" si="27"/>
        <v>0</v>
      </c>
      <c r="J371" s="5">
        <f t="shared" si="27"/>
        <v>0</v>
      </c>
      <c r="K371" s="5">
        <f t="shared" si="27"/>
        <v>0</v>
      </c>
      <c r="L371" s="5">
        <f t="shared" si="27"/>
        <v>1</v>
      </c>
      <c r="M371" s="5">
        <f t="shared" si="27"/>
        <v>0</v>
      </c>
      <c r="N371" s="32">
        <v>5.3115942028985473E-2</v>
      </c>
      <c r="O371" s="32">
        <v>8.8405797101453326E-4</v>
      </c>
      <c r="P371" s="24">
        <f t="shared" si="24"/>
        <v>5.8989130434782579E-2</v>
      </c>
    </row>
    <row r="372" spans="1:16" x14ac:dyDescent="0.3">
      <c r="A372" s="2">
        <v>28795</v>
      </c>
      <c r="B372" s="23">
        <v>5.5999999999999994E-2</v>
      </c>
      <c r="C372" s="5">
        <f t="shared" si="26"/>
        <v>0</v>
      </c>
      <c r="D372" s="5">
        <f t="shared" si="27"/>
        <v>0</v>
      </c>
      <c r="E372" s="5">
        <f t="shared" si="27"/>
        <v>0</v>
      </c>
      <c r="F372" s="5">
        <f t="shared" si="27"/>
        <v>0</v>
      </c>
      <c r="G372" s="5">
        <f t="shared" si="27"/>
        <v>0</v>
      </c>
      <c r="H372" s="5">
        <f t="shared" si="27"/>
        <v>0</v>
      </c>
      <c r="I372" s="5">
        <f t="shared" si="27"/>
        <v>0</v>
      </c>
      <c r="J372" s="5">
        <f t="shared" si="27"/>
        <v>0</v>
      </c>
      <c r="K372" s="5">
        <f t="shared" si="27"/>
        <v>0</v>
      </c>
      <c r="L372" s="5">
        <f t="shared" si="27"/>
        <v>0</v>
      </c>
      <c r="M372" s="5">
        <f t="shared" si="27"/>
        <v>1</v>
      </c>
      <c r="N372" s="32">
        <v>5.4782608695652081E-2</v>
      </c>
      <c r="O372" s="32">
        <v>1.2173913043479132E-3</v>
      </c>
      <c r="P372" s="24">
        <f t="shared" si="24"/>
        <v>5.9322463768115959E-2</v>
      </c>
    </row>
    <row r="373" spans="1:16" x14ac:dyDescent="0.3">
      <c r="A373" s="2">
        <v>28825</v>
      </c>
      <c r="B373" s="23">
        <v>5.7000000000000002E-2</v>
      </c>
      <c r="C373" s="5">
        <f t="shared" si="26"/>
        <v>0</v>
      </c>
      <c r="D373" s="5">
        <f t="shared" si="27"/>
        <v>0</v>
      </c>
      <c r="E373" s="5">
        <f t="shared" si="27"/>
        <v>0</v>
      </c>
      <c r="F373" s="5">
        <f t="shared" si="27"/>
        <v>0</v>
      </c>
      <c r="G373" s="5">
        <f t="shared" si="27"/>
        <v>0</v>
      </c>
      <c r="H373" s="5">
        <f t="shared" si="27"/>
        <v>0</v>
      </c>
      <c r="I373" s="5">
        <f t="shared" si="27"/>
        <v>0</v>
      </c>
      <c r="J373" s="5">
        <f t="shared" si="27"/>
        <v>0</v>
      </c>
      <c r="K373" s="5">
        <f t="shared" si="27"/>
        <v>0</v>
      </c>
      <c r="L373" s="5">
        <f t="shared" si="27"/>
        <v>0</v>
      </c>
      <c r="M373" s="5">
        <f t="shared" si="27"/>
        <v>0</v>
      </c>
      <c r="N373" s="32">
        <v>5.5202898550724598E-2</v>
      </c>
      <c r="O373" s="32">
        <v>1.7971014492754039E-3</v>
      </c>
      <c r="P373" s="24">
        <f t="shared" si="24"/>
        <v>5.9902173913043449E-2</v>
      </c>
    </row>
    <row r="374" spans="1:16" x14ac:dyDescent="0.3">
      <c r="A374" s="2">
        <v>28856</v>
      </c>
      <c r="B374" s="23">
        <v>6.4000000000000001E-2</v>
      </c>
      <c r="C374" s="5">
        <f t="shared" si="26"/>
        <v>1</v>
      </c>
      <c r="D374" s="5">
        <f t="shared" si="27"/>
        <v>0</v>
      </c>
      <c r="E374" s="5">
        <f t="shared" si="27"/>
        <v>0</v>
      </c>
      <c r="F374" s="5">
        <f t="shared" si="27"/>
        <v>0</v>
      </c>
      <c r="G374" s="5">
        <f t="shared" si="27"/>
        <v>0</v>
      </c>
      <c r="H374" s="5">
        <f t="shared" si="27"/>
        <v>0</v>
      </c>
      <c r="I374" s="5">
        <f t="shared" si="27"/>
        <v>0</v>
      </c>
      <c r="J374" s="5">
        <f t="shared" si="27"/>
        <v>0</v>
      </c>
      <c r="K374" s="5">
        <f t="shared" si="27"/>
        <v>0</v>
      </c>
      <c r="L374" s="5">
        <f t="shared" si="27"/>
        <v>0</v>
      </c>
      <c r="M374" s="5">
        <f t="shared" si="27"/>
        <v>0</v>
      </c>
      <c r="N374" s="32">
        <v>6.4492753623188417E-2</v>
      </c>
      <c r="O374" s="32">
        <v>-4.9275362318841609E-4</v>
      </c>
      <c r="P374" s="24">
        <f t="shared" si="24"/>
        <v>5.7612318840579629E-2</v>
      </c>
    </row>
    <row r="375" spans="1:16" x14ac:dyDescent="0.3">
      <c r="A375" s="2">
        <v>28887</v>
      </c>
      <c r="B375" s="23">
        <v>6.4000000000000001E-2</v>
      </c>
      <c r="C375" s="5">
        <f t="shared" si="26"/>
        <v>0</v>
      </c>
      <c r="D375" s="5">
        <f t="shared" si="27"/>
        <v>1</v>
      </c>
      <c r="E375" s="5">
        <f t="shared" si="27"/>
        <v>0</v>
      </c>
      <c r="F375" s="5">
        <f t="shared" si="27"/>
        <v>0</v>
      </c>
      <c r="G375" s="5">
        <f t="shared" si="27"/>
        <v>0</v>
      </c>
      <c r="H375" s="5">
        <f t="shared" si="27"/>
        <v>0</v>
      </c>
      <c r="I375" s="5">
        <f t="shared" si="27"/>
        <v>0</v>
      </c>
      <c r="J375" s="5">
        <f t="shared" si="27"/>
        <v>0</v>
      </c>
      <c r="K375" s="5">
        <f t="shared" si="27"/>
        <v>0</v>
      </c>
      <c r="L375" s="5">
        <f t="shared" si="27"/>
        <v>0</v>
      </c>
      <c r="M375" s="5">
        <f t="shared" si="27"/>
        <v>0</v>
      </c>
      <c r="N375" s="32">
        <v>6.4391304347825973E-2</v>
      </c>
      <c r="O375" s="32">
        <v>-3.9130434782597145E-4</v>
      </c>
      <c r="P375" s="24">
        <f t="shared" si="24"/>
        <v>5.7713768115942074E-2</v>
      </c>
    </row>
    <row r="376" spans="1:16" x14ac:dyDescent="0.3">
      <c r="A376" s="2">
        <v>28915</v>
      </c>
      <c r="B376" s="23">
        <v>6.0999999999999999E-2</v>
      </c>
      <c r="C376" s="5">
        <f t="shared" si="26"/>
        <v>0</v>
      </c>
      <c r="D376" s="5">
        <f t="shared" si="27"/>
        <v>0</v>
      </c>
      <c r="E376" s="5">
        <f t="shared" si="27"/>
        <v>1</v>
      </c>
      <c r="F376" s="5">
        <f t="shared" si="27"/>
        <v>0</v>
      </c>
      <c r="G376" s="5">
        <f t="shared" si="27"/>
        <v>0</v>
      </c>
      <c r="H376" s="5">
        <f t="shared" si="27"/>
        <v>0</v>
      </c>
      <c r="I376" s="5">
        <f t="shared" si="27"/>
        <v>0</v>
      </c>
      <c r="J376" s="5">
        <f t="shared" si="27"/>
        <v>0</v>
      </c>
      <c r="K376" s="5">
        <f t="shared" si="27"/>
        <v>0</v>
      </c>
      <c r="L376" s="5">
        <f t="shared" si="27"/>
        <v>0</v>
      </c>
      <c r="M376" s="5">
        <f t="shared" si="27"/>
        <v>0</v>
      </c>
      <c r="N376" s="32">
        <v>6.1652173913043402E-2</v>
      </c>
      <c r="O376" s="32">
        <v>-6.5217391304340372E-4</v>
      </c>
      <c r="P376" s="24">
        <f t="shared" si="24"/>
        <v>5.7452898550724642E-2</v>
      </c>
    </row>
    <row r="377" spans="1:16" x14ac:dyDescent="0.3">
      <c r="A377" s="2">
        <v>28946</v>
      </c>
      <c r="B377" s="23">
        <v>5.5E-2</v>
      </c>
      <c r="C377" s="5">
        <f t="shared" si="26"/>
        <v>0</v>
      </c>
      <c r="D377" s="5">
        <f t="shared" si="27"/>
        <v>0</v>
      </c>
      <c r="E377" s="5">
        <f t="shared" si="27"/>
        <v>0</v>
      </c>
      <c r="F377" s="5">
        <f t="shared" si="27"/>
        <v>1</v>
      </c>
      <c r="G377" s="5">
        <f t="shared" si="27"/>
        <v>0</v>
      </c>
      <c r="H377" s="5">
        <f t="shared" si="27"/>
        <v>0</v>
      </c>
      <c r="I377" s="5">
        <f t="shared" si="27"/>
        <v>0</v>
      </c>
      <c r="J377" s="5">
        <f t="shared" si="27"/>
        <v>0</v>
      </c>
      <c r="K377" s="5">
        <f t="shared" si="27"/>
        <v>0</v>
      </c>
      <c r="L377" s="5">
        <f t="shared" si="27"/>
        <v>0</v>
      </c>
      <c r="M377" s="5">
        <f t="shared" si="27"/>
        <v>0</v>
      </c>
      <c r="N377" s="32">
        <v>5.6550724637681071E-2</v>
      </c>
      <c r="O377" s="32">
        <v>-1.550724637681071E-3</v>
      </c>
      <c r="P377" s="24">
        <f t="shared" si="24"/>
        <v>5.6554347826086974E-2</v>
      </c>
    </row>
    <row r="378" spans="1:16" x14ac:dyDescent="0.3">
      <c r="A378" s="2">
        <v>28976</v>
      </c>
      <c r="B378" s="23">
        <v>5.2000000000000005E-2</v>
      </c>
      <c r="C378" s="5">
        <f t="shared" si="26"/>
        <v>0</v>
      </c>
      <c r="D378" s="5">
        <f t="shared" si="27"/>
        <v>0</v>
      </c>
      <c r="E378" s="5">
        <f t="shared" si="27"/>
        <v>0</v>
      </c>
      <c r="F378" s="5">
        <f t="shared" si="27"/>
        <v>0</v>
      </c>
      <c r="G378" s="5">
        <f t="shared" si="27"/>
        <v>1</v>
      </c>
      <c r="H378" s="5">
        <f t="shared" si="27"/>
        <v>0</v>
      </c>
      <c r="I378" s="5">
        <f t="shared" si="27"/>
        <v>0</v>
      </c>
      <c r="J378" s="5">
        <f t="shared" si="27"/>
        <v>0</v>
      </c>
      <c r="K378" s="5">
        <f t="shared" si="27"/>
        <v>0</v>
      </c>
      <c r="L378" s="5">
        <f t="shared" si="27"/>
        <v>0</v>
      </c>
      <c r="M378" s="5">
        <f t="shared" si="27"/>
        <v>0</v>
      </c>
      <c r="N378" s="32">
        <v>5.5101449275362209E-2</v>
      </c>
      <c r="O378" s="32">
        <v>-3.1014492753622044E-3</v>
      </c>
      <c r="P378" s="24">
        <f t="shared" si="24"/>
        <v>5.5003623188405841E-2</v>
      </c>
    </row>
    <row r="379" spans="1:16" x14ac:dyDescent="0.3">
      <c r="A379" s="2">
        <v>29007</v>
      </c>
      <c r="B379" s="23">
        <v>0.06</v>
      </c>
      <c r="C379" s="5">
        <f t="shared" si="26"/>
        <v>0</v>
      </c>
      <c r="D379" s="5">
        <f t="shared" si="27"/>
        <v>0</v>
      </c>
      <c r="E379" s="5">
        <f t="shared" si="27"/>
        <v>0</v>
      </c>
      <c r="F379" s="5">
        <f t="shared" si="27"/>
        <v>0</v>
      </c>
      <c r="G379" s="5">
        <f t="shared" si="27"/>
        <v>0</v>
      </c>
      <c r="H379" s="5">
        <f t="shared" si="27"/>
        <v>1</v>
      </c>
      <c r="I379" s="5">
        <f t="shared" si="27"/>
        <v>0</v>
      </c>
      <c r="J379" s="5">
        <f t="shared" si="27"/>
        <v>0</v>
      </c>
      <c r="K379" s="5">
        <f t="shared" si="27"/>
        <v>0</v>
      </c>
      <c r="L379" s="5">
        <f t="shared" si="27"/>
        <v>0</v>
      </c>
      <c r="M379" s="5">
        <f t="shared" si="27"/>
        <v>0</v>
      </c>
      <c r="N379" s="32">
        <v>6.1130434782608579E-2</v>
      </c>
      <c r="O379" s="32">
        <v>-1.1304347826085817E-3</v>
      </c>
      <c r="P379" s="24">
        <f t="shared" si="24"/>
        <v>5.6974637681159464E-2</v>
      </c>
    </row>
    <row r="380" spans="1:16" x14ac:dyDescent="0.3">
      <c r="A380" s="2">
        <v>29037</v>
      </c>
      <c r="B380" s="23">
        <v>5.9000000000000004E-2</v>
      </c>
      <c r="C380" s="5">
        <f t="shared" si="26"/>
        <v>0</v>
      </c>
      <c r="D380" s="5">
        <f t="shared" si="27"/>
        <v>0</v>
      </c>
      <c r="E380" s="5">
        <f t="shared" si="27"/>
        <v>0</v>
      </c>
      <c r="F380" s="5">
        <f t="shared" si="27"/>
        <v>0</v>
      </c>
      <c r="G380" s="5">
        <f t="shared" si="27"/>
        <v>0</v>
      </c>
      <c r="H380" s="5">
        <f t="shared" si="27"/>
        <v>0</v>
      </c>
      <c r="I380" s="5">
        <f t="shared" si="27"/>
        <v>1</v>
      </c>
      <c r="J380" s="5">
        <f t="shared" si="27"/>
        <v>0</v>
      </c>
      <c r="K380" s="5">
        <f t="shared" si="27"/>
        <v>0</v>
      </c>
      <c r="L380" s="5">
        <f t="shared" si="27"/>
        <v>0</v>
      </c>
      <c r="M380" s="5">
        <f t="shared" si="27"/>
        <v>0</v>
      </c>
      <c r="N380" s="32">
        <v>5.9550724637681039E-2</v>
      </c>
      <c r="O380" s="32">
        <v>-5.5072463768103541E-4</v>
      </c>
      <c r="P380" s="24">
        <f t="shared" si="24"/>
        <v>5.755434782608701E-2</v>
      </c>
    </row>
    <row r="381" spans="1:16" x14ac:dyDescent="0.3">
      <c r="A381" s="2">
        <v>29068</v>
      </c>
      <c r="B381" s="23">
        <v>5.9000000000000004E-2</v>
      </c>
      <c r="C381" s="5">
        <f t="shared" si="26"/>
        <v>0</v>
      </c>
      <c r="D381" s="5">
        <f t="shared" si="27"/>
        <v>0</v>
      </c>
      <c r="E381" s="5">
        <f t="shared" si="27"/>
        <v>0</v>
      </c>
      <c r="F381" s="5">
        <f t="shared" si="27"/>
        <v>0</v>
      </c>
      <c r="G381" s="5">
        <f t="shared" si="27"/>
        <v>0</v>
      </c>
      <c r="H381" s="5">
        <f t="shared" si="27"/>
        <v>0</v>
      </c>
      <c r="I381" s="5">
        <f t="shared" si="27"/>
        <v>0</v>
      </c>
      <c r="J381" s="5">
        <f t="shared" si="27"/>
        <v>1</v>
      </c>
      <c r="K381" s="5">
        <f t="shared" si="27"/>
        <v>0</v>
      </c>
      <c r="L381" s="5">
        <f t="shared" si="27"/>
        <v>0</v>
      </c>
      <c r="M381" s="5">
        <f t="shared" si="27"/>
        <v>0</v>
      </c>
      <c r="N381" s="32">
        <v>5.6521739130434699E-2</v>
      </c>
      <c r="O381" s="32">
        <v>2.4782608695653047E-3</v>
      </c>
      <c r="P381" s="24">
        <f t="shared" si="24"/>
        <v>6.058333333333335E-2</v>
      </c>
    </row>
    <row r="382" spans="1:16" x14ac:dyDescent="0.3">
      <c r="A382" s="2">
        <v>29099</v>
      </c>
      <c r="B382" s="23">
        <v>5.7000000000000002E-2</v>
      </c>
      <c r="C382" s="5">
        <f t="shared" si="26"/>
        <v>0</v>
      </c>
      <c r="D382" s="5">
        <f t="shared" si="27"/>
        <v>0</v>
      </c>
      <c r="E382" s="5">
        <f t="shared" si="27"/>
        <v>0</v>
      </c>
      <c r="F382" s="5">
        <f t="shared" si="27"/>
        <v>0</v>
      </c>
      <c r="G382" s="5">
        <f t="shared" si="27"/>
        <v>0</v>
      </c>
      <c r="H382" s="5">
        <f t="shared" si="27"/>
        <v>0</v>
      </c>
      <c r="I382" s="5">
        <f t="shared" si="27"/>
        <v>0</v>
      </c>
      <c r="J382" s="5">
        <f t="shared" si="27"/>
        <v>0</v>
      </c>
      <c r="K382" s="5">
        <f t="shared" si="27"/>
        <v>1</v>
      </c>
      <c r="L382" s="5">
        <f t="shared" si="27"/>
        <v>0</v>
      </c>
      <c r="M382" s="5">
        <f t="shared" si="27"/>
        <v>0</v>
      </c>
      <c r="N382" s="32">
        <v>5.4768115942028898E-2</v>
      </c>
      <c r="O382" s="32">
        <v>2.2318840579711036E-3</v>
      </c>
      <c r="P382" s="24">
        <f t="shared" si="24"/>
        <v>6.0336956521739149E-2</v>
      </c>
    </row>
    <row r="383" spans="1:16" x14ac:dyDescent="0.3">
      <c r="A383" s="2">
        <v>29129</v>
      </c>
      <c r="B383" s="23">
        <v>5.5999999999999994E-2</v>
      </c>
      <c r="C383" s="5">
        <f t="shared" si="26"/>
        <v>0</v>
      </c>
      <c r="D383" s="5">
        <f t="shared" si="27"/>
        <v>0</v>
      </c>
      <c r="E383" s="5">
        <f t="shared" si="27"/>
        <v>0</v>
      </c>
      <c r="F383" s="5">
        <f t="shared" si="27"/>
        <v>0</v>
      </c>
      <c r="G383" s="5">
        <f t="shared" si="27"/>
        <v>0</v>
      </c>
      <c r="H383" s="5">
        <f t="shared" si="27"/>
        <v>0</v>
      </c>
      <c r="I383" s="5">
        <f t="shared" si="27"/>
        <v>0</v>
      </c>
      <c r="J383" s="5">
        <f t="shared" si="27"/>
        <v>0</v>
      </c>
      <c r="K383" s="5">
        <f t="shared" si="27"/>
        <v>0</v>
      </c>
      <c r="L383" s="5">
        <f t="shared" si="27"/>
        <v>1</v>
      </c>
      <c r="M383" s="5">
        <f t="shared" si="27"/>
        <v>0</v>
      </c>
      <c r="N383" s="32">
        <v>5.3115942028985473E-2</v>
      </c>
      <c r="O383" s="32">
        <v>2.8840579710145212E-3</v>
      </c>
      <c r="P383" s="24">
        <f t="shared" si="24"/>
        <v>6.0989130434782567E-2</v>
      </c>
    </row>
    <row r="384" spans="1:16" x14ac:dyDescent="0.3">
      <c r="A384" s="2">
        <v>29160</v>
      </c>
      <c r="B384" s="23">
        <v>5.5999999999999994E-2</v>
      </c>
      <c r="C384" s="5">
        <f t="shared" si="26"/>
        <v>0</v>
      </c>
      <c r="D384" s="5">
        <f t="shared" si="27"/>
        <v>0</v>
      </c>
      <c r="E384" s="5">
        <f t="shared" si="27"/>
        <v>0</v>
      </c>
      <c r="F384" s="5">
        <f t="shared" si="27"/>
        <v>0</v>
      </c>
      <c r="G384" s="5">
        <f t="shared" si="27"/>
        <v>0</v>
      </c>
      <c r="H384" s="5">
        <f t="shared" si="27"/>
        <v>0</v>
      </c>
      <c r="I384" s="5">
        <f t="shared" si="27"/>
        <v>0</v>
      </c>
      <c r="J384" s="5">
        <f t="shared" si="27"/>
        <v>0</v>
      </c>
      <c r="K384" s="5">
        <f t="shared" si="27"/>
        <v>0</v>
      </c>
      <c r="L384" s="5">
        <f t="shared" si="27"/>
        <v>0</v>
      </c>
      <c r="M384" s="5">
        <f t="shared" si="27"/>
        <v>1</v>
      </c>
      <c r="N384" s="32">
        <v>5.4782608695652081E-2</v>
      </c>
      <c r="O384" s="32">
        <v>1.2173913043479132E-3</v>
      </c>
      <c r="P384" s="24">
        <f t="shared" si="24"/>
        <v>5.9322463768115959E-2</v>
      </c>
    </row>
    <row r="385" spans="1:16" x14ac:dyDescent="0.3">
      <c r="A385" s="2">
        <v>29190</v>
      </c>
      <c r="B385" s="23">
        <v>5.7000000000000002E-2</v>
      </c>
      <c r="C385" s="5">
        <f t="shared" si="26"/>
        <v>0</v>
      </c>
      <c r="D385" s="5">
        <f t="shared" si="27"/>
        <v>0</v>
      </c>
      <c r="E385" s="5">
        <f t="shared" si="27"/>
        <v>0</v>
      </c>
      <c r="F385" s="5">
        <f t="shared" si="27"/>
        <v>0</v>
      </c>
      <c r="G385" s="5">
        <f t="shared" si="27"/>
        <v>0</v>
      </c>
      <c r="H385" s="5">
        <f t="shared" si="27"/>
        <v>0</v>
      </c>
      <c r="I385" s="5">
        <f t="shared" si="27"/>
        <v>0</v>
      </c>
      <c r="J385" s="5">
        <f t="shared" si="27"/>
        <v>0</v>
      </c>
      <c r="K385" s="5">
        <f t="shared" si="27"/>
        <v>0</v>
      </c>
      <c r="L385" s="5">
        <f t="shared" si="27"/>
        <v>0</v>
      </c>
      <c r="M385" s="5">
        <f t="shared" si="27"/>
        <v>0</v>
      </c>
      <c r="N385" s="32">
        <v>5.5202898550724598E-2</v>
      </c>
      <c r="O385" s="32">
        <v>1.7971014492754039E-3</v>
      </c>
      <c r="P385" s="24">
        <f t="shared" si="24"/>
        <v>5.9902173913043449E-2</v>
      </c>
    </row>
    <row r="386" spans="1:16" x14ac:dyDescent="0.3">
      <c r="A386" s="2">
        <v>29221</v>
      </c>
      <c r="B386" s="23">
        <v>6.9000000000000006E-2</v>
      </c>
      <c r="C386" s="5">
        <f t="shared" si="26"/>
        <v>1</v>
      </c>
      <c r="D386" s="5">
        <f t="shared" si="27"/>
        <v>0</v>
      </c>
      <c r="E386" s="5">
        <f t="shared" si="27"/>
        <v>0</v>
      </c>
      <c r="F386" s="5">
        <f t="shared" si="27"/>
        <v>0</v>
      </c>
      <c r="G386" s="5">
        <f t="shared" si="27"/>
        <v>0</v>
      </c>
      <c r="H386" s="5">
        <f t="shared" si="27"/>
        <v>0</v>
      </c>
      <c r="I386" s="5">
        <f t="shared" si="27"/>
        <v>0</v>
      </c>
      <c r="J386" s="5">
        <f t="shared" si="27"/>
        <v>0</v>
      </c>
      <c r="K386" s="5">
        <f t="shared" si="27"/>
        <v>0</v>
      </c>
      <c r="L386" s="5">
        <f t="shared" si="27"/>
        <v>0</v>
      </c>
      <c r="M386" s="5">
        <f t="shared" si="27"/>
        <v>0</v>
      </c>
      <c r="N386" s="32">
        <v>6.4492753623188417E-2</v>
      </c>
      <c r="O386" s="32">
        <v>4.5072463768115884E-3</v>
      </c>
      <c r="P386" s="24">
        <f t="shared" si="24"/>
        <v>6.2612318840579634E-2</v>
      </c>
    </row>
    <row r="387" spans="1:16" x14ac:dyDescent="0.3">
      <c r="A387" s="2">
        <v>29252</v>
      </c>
      <c r="B387" s="23">
        <v>6.8000000000000005E-2</v>
      </c>
      <c r="C387" s="5">
        <f t="shared" si="26"/>
        <v>0</v>
      </c>
      <c r="D387" s="5">
        <f t="shared" si="27"/>
        <v>1</v>
      </c>
      <c r="E387" s="5">
        <f t="shared" si="27"/>
        <v>0</v>
      </c>
      <c r="F387" s="5">
        <f t="shared" si="27"/>
        <v>0</v>
      </c>
      <c r="G387" s="5">
        <f t="shared" si="27"/>
        <v>0</v>
      </c>
      <c r="H387" s="5">
        <f t="shared" si="27"/>
        <v>0</v>
      </c>
      <c r="I387" s="5">
        <f t="shared" si="27"/>
        <v>0</v>
      </c>
      <c r="J387" s="5">
        <f t="shared" si="27"/>
        <v>0</v>
      </c>
      <c r="K387" s="5">
        <f t="shared" si="27"/>
        <v>0</v>
      </c>
      <c r="L387" s="5">
        <f t="shared" si="27"/>
        <v>0</v>
      </c>
      <c r="M387" s="5">
        <f t="shared" si="27"/>
        <v>0</v>
      </c>
      <c r="N387" s="32">
        <v>6.4391304347825973E-2</v>
      </c>
      <c r="O387" s="32">
        <v>3.6086956521740321E-3</v>
      </c>
      <c r="P387" s="24">
        <f t="shared" ref="P387:P450" si="28">O387+$R$2</f>
        <v>6.1713768115942078E-2</v>
      </c>
    </row>
    <row r="388" spans="1:16" x14ac:dyDescent="0.3">
      <c r="A388" s="2">
        <v>29281</v>
      </c>
      <c r="B388" s="23">
        <v>6.6000000000000003E-2</v>
      </c>
      <c r="C388" s="5">
        <f t="shared" si="26"/>
        <v>0</v>
      </c>
      <c r="D388" s="5">
        <f t="shared" si="27"/>
        <v>0</v>
      </c>
      <c r="E388" s="5">
        <f t="shared" si="27"/>
        <v>1</v>
      </c>
      <c r="F388" s="5">
        <f t="shared" si="27"/>
        <v>0</v>
      </c>
      <c r="G388" s="5">
        <f t="shared" si="27"/>
        <v>0</v>
      </c>
      <c r="H388" s="5">
        <f t="shared" si="27"/>
        <v>0</v>
      </c>
      <c r="I388" s="5">
        <f t="shared" si="27"/>
        <v>0</v>
      </c>
      <c r="J388" s="5">
        <f t="shared" si="27"/>
        <v>0</v>
      </c>
      <c r="K388" s="5">
        <f t="shared" si="27"/>
        <v>0</v>
      </c>
      <c r="L388" s="5">
        <f t="shared" si="27"/>
        <v>0</v>
      </c>
      <c r="M388" s="5">
        <f t="shared" si="27"/>
        <v>0</v>
      </c>
      <c r="N388" s="32">
        <v>6.1652173913043402E-2</v>
      </c>
      <c r="O388" s="32">
        <v>4.3478260869566007E-3</v>
      </c>
      <c r="P388" s="24">
        <f t="shared" si="28"/>
        <v>6.2452898550724646E-2</v>
      </c>
    </row>
    <row r="389" spans="1:16" x14ac:dyDescent="0.3">
      <c r="A389" s="2">
        <v>29312</v>
      </c>
      <c r="B389" s="23">
        <v>6.7000000000000004E-2</v>
      </c>
      <c r="C389" s="5">
        <f t="shared" si="26"/>
        <v>0</v>
      </c>
      <c r="D389" s="5">
        <f t="shared" si="27"/>
        <v>0</v>
      </c>
      <c r="E389" s="5">
        <f t="shared" si="27"/>
        <v>0</v>
      </c>
      <c r="F389" s="5">
        <f t="shared" si="27"/>
        <v>1</v>
      </c>
      <c r="G389" s="5">
        <f t="shared" si="27"/>
        <v>0</v>
      </c>
      <c r="H389" s="5">
        <f t="shared" si="27"/>
        <v>0</v>
      </c>
      <c r="I389" s="5">
        <f t="shared" si="27"/>
        <v>0</v>
      </c>
      <c r="J389" s="5">
        <f t="shared" si="27"/>
        <v>0</v>
      </c>
      <c r="K389" s="5">
        <f t="shared" si="27"/>
        <v>0</v>
      </c>
      <c r="L389" s="5">
        <f t="shared" si="27"/>
        <v>0</v>
      </c>
      <c r="M389" s="5">
        <f t="shared" si="27"/>
        <v>0</v>
      </c>
      <c r="N389" s="32">
        <v>5.6550724637681071E-2</v>
      </c>
      <c r="O389" s="32">
        <v>1.0449275362318933E-2</v>
      </c>
      <c r="P389" s="24">
        <f t="shared" si="28"/>
        <v>6.8554347826086978E-2</v>
      </c>
    </row>
    <row r="390" spans="1:16" x14ac:dyDescent="0.3">
      <c r="A390" s="2">
        <v>29342</v>
      </c>
      <c r="B390" s="23">
        <v>7.0999999999999994E-2</v>
      </c>
      <c r="C390" s="5">
        <f t="shared" si="26"/>
        <v>0</v>
      </c>
      <c r="D390" s="5">
        <f t="shared" si="27"/>
        <v>0</v>
      </c>
      <c r="E390" s="5">
        <f t="shared" si="27"/>
        <v>0</v>
      </c>
      <c r="F390" s="5">
        <f t="shared" si="27"/>
        <v>0</v>
      </c>
      <c r="G390" s="5">
        <f t="shared" si="27"/>
        <v>1</v>
      </c>
      <c r="H390" s="5">
        <f t="shared" si="27"/>
        <v>0</v>
      </c>
      <c r="I390" s="5">
        <f t="shared" si="27"/>
        <v>0</v>
      </c>
      <c r="J390" s="5">
        <f t="shared" si="27"/>
        <v>0</v>
      </c>
      <c r="K390" s="5">
        <f t="shared" si="27"/>
        <v>0</v>
      </c>
      <c r="L390" s="5">
        <f t="shared" si="27"/>
        <v>0</v>
      </c>
      <c r="M390" s="5">
        <f t="shared" si="27"/>
        <v>0</v>
      </c>
      <c r="N390" s="32">
        <v>5.5101449275362209E-2</v>
      </c>
      <c r="O390" s="32">
        <v>1.5898550724637785E-2</v>
      </c>
      <c r="P390" s="24">
        <f t="shared" si="28"/>
        <v>7.4003623188405837E-2</v>
      </c>
    </row>
    <row r="391" spans="1:16" x14ac:dyDescent="0.3">
      <c r="A391" s="2">
        <v>29373</v>
      </c>
      <c r="B391" s="23">
        <v>7.8E-2</v>
      </c>
      <c r="C391" s="5">
        <f t="shared" si="26"/>
        <v>0</v>
      </c>
      <c r="D391" s="5">
        <f t="shared" si="27"/>
        <v>0</v>
      </c>
      <c r="E391" s="5">
        <f t="shared" si="27"/>
        <v>0</v>
      </c>
      <c r="F391" s="5">
        <f t="shared" si="27"/>
        <v>0</v>
      </c>
      <c r="G391" s="5">
        <f t="shared" si="27"/>
        <v>0</v>
      </c>
      <c r="H391" s="5">
        <f t="shared" si="27"/>
        <v>1</v>
      </c>
      <c r="I391" s="5">
        <f t="shared" si="27"/>
        <v>0</v>
      </c>
      <c r="J391" s="5">
        <f t="shared" si="27"/>
        <v>0</v>
      </c>
      <c r="K391" s="5">
        <f t="shared" si="27"/>
        <v>0</v>
      </c>
      <c r="L391" s="5">
        <f t="shared" si="27"/>
        <v>0</v>
      </c>
      <c r="M391" s="5">
        <f t="shared" si="27"/>
        <v>0</v>
      </c>
      <c r="N391" s="32">
        <v>6.1130434782608579E-2</v>
      </c>
      <c r="O391" s="32">
        <v>1.686956521739142E-2</v>
      </c>
      <c r="P391" s="24">
        <f t="shared" si="28"/>
        <v>7.4974637681159473E-2</v>
      </c>
    </row>
    <row r="392" spans="1:16" x14ac:dyDescent="0.3">
      <c r="A392" s="2">
        <v>29403</v>
      </c>
      <c r="B392" s="23">
        <v>7.9000000000000001E-2</v>
      </c>
      <c r="C392" s="5">
        <f t="shared" si="26"/>
        <v>0</v>
      </c>
      <c r="D392" s="5">
        <f t="shared" si="27"/>
        <v>0</v>
      </c>
      <c r="E392" s="5">
        <f t="shared" si="27"/>
        <v>0</v>
      </c>
      <c r="F392" s="5">
        <f t="shared" si="27"/>
        <v>0</v>
      </c>
      <c r="G392" s="5">
        <f t="shared" si="27"/>
        <v>0</v>
      </c>
      <c r="H392" s="5">
        <f t="shared" si="27"/>
        <v>0</v>
      </c>
      <c r="I392" s="5">
        <f t="shared" si="27"/>
        <v>1</v>
      </c>
      <c r="J392" s="5">
        <f t="shared" si="27"/>
        <v>0</v>
      </c>
      <c r="K392" s="5">
        <f t="shared" si="27"/>
        <v>0</v>
      </c>
      <c r="L392" s="5">
        <f t="shared" si="27"/>
        <v>0</v>
      </c>
      <c r="M392" s="5">
        <f t="shared" si="27"/>
        <v>0</v>
      </c>
      <c r="N392" s="32">
        <v>5.9550724637681039E-2</v>
      </c>
      <c r="O392" s="32">
        <v>1.9449275362318962E-2</v>
      </c>
      <c r="P392" s="24">
        <f t="shared" si="28"/>
        <v>7.7554347826087E-2</v>
      </c>
    </row>
    <row r="393" spans="1:16" x14ac:dyDescent="0.3">
      <c r="A393" s="2">
        <v>29434</v>
      </c>
      <c r="B393" s="23">
        <v>7.5999999999999998E-2</v>
      </c>
      <c r="C393" s="5">
        <f t="shared" si="26"/>
        <v>0</v>
      </c>
      <c r="D393" s="5">
        <f t="shared" si="27"/>
        <v>0</v>
      </c>
      <c r="E393" s="5">
        <f t="shared" si="27"/>
        <v>0</v>
      </c>
      <c r="F393" s="5">
        <f t="shared" si="27"/>
        <v>0</v>
      </c>
      <c r="G393" s="5">
        <f t="shared" si="27"/>
        <v>0</v>
      </c>
      <c r="H393" s="5">
        <f t="shared" si="27"/>
        <v>0</v>
      </c>
      <c r="I393" s="5">
        <f t="shared" si="27"/>
        <v>0</v>
      </c>
      <c r="J393" s="5">
        <f t="shared" si="27"/>
        <v>1</v>
      </c>
      <c r="K393" s="5">
        <f t="shared" si="27"/>
        <v>0</v>
      </c>
      <c r="L393" s="5">
        <f t="shared" si="27"/>
        <v>0</v>
      </c>
      <c r="M393" s="5">
        <f t="shared" si="27"/>
        <v>0</v>
      </c>
      <c r="N393" s="32">
        <v>5.6521739130434699E-2</v>
      </c>
      <c r="O393" s="32">
        <v>1.9478260869565299E-2</v>
      </c>
      <c r="P393" s="24">
        <f t="shared" si="28"/>
        <v>7.7583333333333337E-2</v>
      </c>
    </row>
    <row r="394" spans="1:16" x14ac:dyDescent="0.3">
      <c r="A394" s="2">
        <v>29465</v>
      </c>
      <c r="B394" s="23">
        <v>7.2000000000000008E-2</v>
      </c>
      <c r="C394" s="5">
        <f t="shared" si="26"/>
        <v>0</v>
      </c>
      <c r="D394" s="5">
        <f t="shared" si="27"/>
        <v>0</v>
      </c>
      <c r="E394" s="5">
        <f t="shared" si="27"/>
        <v>0</v>
      </c>
      <c r="F394" s="5">
        <f t="shared" si="27"/>
        <v>0</v>
      </c>
      <c r="G394" s="5">
        <f t="shared" si="27"/>
        <v>0</v>
      </c>
      <c r="H394" s="5">
        <f t="shared" si="27"/>
        <v>0</v>
      </c>
      <c r="I394" s="5">
        <f t="shared" si="27"/>
        <v>0</v>
      </c>
      <c r="J394" s="5">
        <f t="shared" si="27"/>
        <v>0</v>
      </c>
      <c r="K394" s="5">
        <f t="shared" si="27"/>
        <v>1</v>
      </c>
      <c r="L394" s="5">
        <f t="shared" si="27"/>
        <v>0</v>
      </c>
      <c r="M394" s="5">
        <f t="shared" si="27"/>
        <v>0</v>
      </c>
      <c r="N394" s="32">
        <v>5.4768115942028898E-2</v>
      </c>
      <c r="O394" s="32">
        <v>1.723188405797111E-2</v>
      </c>
      <c r="P394" s="24">
        <f t="shared" si="28"/>
        <v>7.5336956521739162E-2</v>
      </c>
    </row>
    <row r="395" spans="1:16" x14ac:dyDescent="0.3">
      <c r="A395" s="2">
        <v>29495</v>
      </c>
      <c r="B395" s="23">
        <v>7.0999999999999994E-2</v>
      </c>
      <c r="C395" s="5">
        <f t="shared" si="26"/>
        <v>0</v>
      </c>
      <c r="D395" s="5">
        <f t="shared" si="27"/>
        <v>0</v>
      </c>
      <c r="E395" s="5">
        <f t="shared" si="27"/>
        <v>0</v>
      </c>
      <c r="F395" s="5">
        <f t="shared" si="27"/>
        <v>0</v>
      </c>
      <c r="G395" s="5">
        <f t="shared" si="27"/>
        <v>0</v>
      </c>
      <c r="H395" s="5">
        <f t="shared" si="27"/>
        <v>0</v>
      </c>
      <c r="I395" s="5">
        <f t="shared" si="27"/>
        <v>0</v>
      </c>
      <c r="J395" s="5">
        <f t="shared" si="27"/>
        <v>0</v>
      </c>
      <c r="K395" s="5">
        <f t="shared" si="27"/>
        <v>0</v>
      </c>
      <c r="L395" s="5">
        <f t="shared" si="27"/>
        <v>1</v>
      </c>
      <c r="M395" s="5">
        <f t="shared" si="27"/>
        <v>0</v>
      </c>
      <c r="N395" s="32">
        <v>5.3115942028985473E-2</v>
      </c>
      <c r="O395" s="32">
        <v>1.7884057971014521E-2</v>
      </c>
      <c r="P395" s="24">
        <f t="shared" si="28"/>
        <v>7.5989130434782559E-2</v>
      </c>
    </row>
    <row r="396" spans="1:16" x14ac:dyDescent="0.3">
      <c r="A396" s="2">
        <v>29526</v>
      </c>
      <c r="B396" s="23">
        <v>7.0999999999999994E-2</v>
      </c>
      <c r="C396" s="5">
        <f t="shared" si="26"/>
        <v>0</v>
      </c>
      <c r="D396" s="5">
        <f t="shared" si="27"/>
        <v>0</v>
      </c>
      <c r="E396" s="5">
        <f t="shared" si="27"/>
        <v>0</v>
      </c>
      <c r="F396" s="5">
        <f t="shared" si="27"/>
        <v>0</v>
      </c>
      <c r="G396" s="5">
        <f t="shared" si="27"/>
        <v>0</v>
      </c>
      <c r="H396" s="5">
        <f t="shared" si="27"/>
        <v>0</v>
      </c>
      <c r="I396" s="5">
        <f t="shared" si="27"/>
        <v>0</v>
      </c>
      <c r="J396" s="5">
        <f t="shared" si="27"/>
        <v>0</v>
      </c>
      <c r="K396" s="5">
        <f t="shared" si="27"/>
        <v>0</v>
      </c>
      <c r="L396" s="5">
        <f t="shared" ref="D396:M422" si="29">IF(MONTH($A396)=L$1,1,0)</f>
        <v>0</v>
      </c>
      <c r="M396" s="5">
        <f t="shared" si="29"/>
        <v>1</v>
      </c>
      <c r="N396" s="32">
        <v>5.4782608695652081E-2</v>
      </c>
      <c r="O396" s="32">
        <v>1.6217391304347913E-2</v>
      </c>
      <c r="P396" s="24">
        <f t="shared" si="28"/>
        <v>7.4322463768115965E-2</v>
      </c>
    </row>
    <row r="397" spans="1:16" x14ac:dyDescent="0.3">
      <c r="A397" s="2">
        <v>29556</v>
      </c>
      <c r="B397" s="23">
        <v>6.9000000000000006E-2</v>
      </c>
      <c r="C397" s="5">
        <f t="shared" si="26"/>
        <v>0</v>
      </c>
      <c r="D397" s="5">
        <f t="shared" si="29"/>
        <v>0</v>
      </c>
      <c r="E397" s="5">
        <f t="shared" si="29"/>
        <v>0</v>
      </c>
      <c r="F397" s="5">
        <f t="shared" si="29"/>
        <v>0</v>
      </c>
      <c r="G397" s="5">
        <f t="shared" si="29"/>
        <v>0</v>
      </c>
      <c r="H397" s="5">
        <f t="shared" si="29"/>
        <v>0</v>
      </c>
      <c r="I397" s="5">
        <f t="shared" si="29"/>
        <v>0</v>
      </c>
      <c r="J397" s="5">
        <f t="shared" si="29"/>
        <v>0</v>
      </c>
      <c r="K397" s="5">
        <f t="shared" si="29"/>
        <v>0</v>
      </c>
      <c r="L397" s="5">
        <f t="shared" si="29"/>
        <v>0</v>
      </c>
      <c r="M397" s="5">
        <f t="shared" si="29"/>
        <v>0</v>
      </c>
      <c r="N397" s="32">
        <v>5.5202898550724598E-2</v>
      </c>
      <c r="O397" s="32">
        <v>1.3797101449275408E-2</v>
      </c>
      <c r="P397" s="24">
        <f t="shared" si="28"/>
        <v>7.190217391304346E-2</v>
      </c>
    </row>
    <row r="398" spans="1:16" x14ac:dyDescent="0.3">
      <c r="A398" s="2">
        <v>29587</v>
      </c>
      <c r="B398" s="23">
        <v>8.199999999999999E-2</v>
      </c>
      <c r="C398" s="5">
        <f t="shared" si="26"/>
        <v>1</v>
      </c>
      <c r="D398" s="5">
        <f t="shared" si="29"/>
        <v>0</v>
      </c>
      <c r="E398" s="5">
        <f t="shared" si="29"/>
        <v>0</v>
      </c>
      <c r="F398" s="5">
        <f t="shared" si="29"/>
        <v>0</v>
      </c>
      <c r="G398" s="5">
        <f t="shared" si="29"/>
        <v>0</v>
      </c>
      <c r="H398" s="5">
        <f t="shared" si="29"/>
        <v>0</v>
      </c>
      <c r="I398" s="5">
        <f t="shared" si="29"/>
        <v>0</v>
      </c>
      <c r="J398" s="5">
        <f t="shared" si="29"/>
        <v>0</v>
      </c>
      <c r="K398" s="5">
        <f t="shared" si="29"/>
        <v>0</v>
      </c>
      <c r="L398" s="5">
        <f t="shared" si="29"/>
        <v>0</v>
      </c>
      <c r="M398" s="5">
        <f t="shared" si="29"/>
        <v>0</v>
      </c>
      <c r="N398" s="32">
        <v>6.4492753623188417E-2</v>
      </c>
      <c r="O398" s="32">
        <v>1.7507246376811572E-2</v>
      </c>
      <c r="P398" s="24">
        <f t="shared" si="28"/>
        <v>7.5612318840579618E-2</v>
      </c>
    </row>
    <row r="399" spans="1:16" x14ac:dyDescent="0.3">
      <c r="A399" s="2">
        <v>29618</v>
      </c>
      <c r="B399" s="23">
        <v>0.08</v>
      </c>
      <c r="C399" s="5">
        <f t="shared" si="26"/>
        <v>0</v>
      </c>
      <c r="D399" s="5">
        <f t="shared" si="29"/>
        <v>1</v>
      </c>
      <c r="E399" s="5">
        <f t="shared" si="29"/>
        <v>0</v>
      </c>
      <c r="F399" s="5">
        <f t="shared" si="29"/>
        <v>0</v>
      </c>
      <c r="G399" s="5">
        <f t="shared" si="29"/>
        <v>0</v>
      </c>
      <c r="H399" s="5">
        <f t="shared" si="29"/>
        <v>0</v>
      </c>
      <c r="I399" s="5">
        <f t="shared" si="29"/>
        <v>0</v>
      </c>
      <c r="J399" s="5">
        <f t="shared" si="29"/>
        <v>0</v>
      </c>
      <c r="K399" s="5">
        <f t="shared" si="29"/>
        <v>0</v>
      </c>
      <c r="L399" s="5">
        <f t="shared" si="29"/>
        <v>0</v>
      </c>
      <c r="M399" s="5">
        <f t="shared" si="29"/>
        <v>0</v>
      </c>
      <c r="N399" s="32">
        <v>6.4391304347825973E-2</v>
      </c>
      <c r="O399" s="32">
        <v>1.5608695652174029E-2</v>
      </c>
      <c r="P399" s="24">
        <f t="shared" si="28"/>
        <v>7.3713768115942074E-2</v>
      </c>
    </row>
    <row r="400" spans="1:16" x14ac:dyDescent="0.3">
      <c r="A400" s="2">
        <v>29646</v>
      </c>
      <c r="B400" s="23">
        <v>7.6999999999999999E-2</v>
      </c>
      <c r="C400" s="5">
        <f t="shared" si="26"/>
        <v>0</v>
      </c>
      <c r="D400" s="5">
        <f t="shared" si="29"/>
        <v>0</v>
      </c>
      <c r="E400" s="5">
        <f t="shared" si="29"/>
        <v>1</v>
      </c>
      <c r="F400" s="5">
        <f t="shared" si="29"/>
        <v>0</v>
      </c>
      <c r="G400" s="5">
        <f t="shared" si="29"/>
        <v>0</v>
      </c>
      <c r="H400" s="5">
        <f t="shared" si="29"/>
        <v>0</v>
      </c>
      <c r="I400" s="5">
        <f t="shared" si="29"/>
        <v>0</v>
      </c>
      <c r="J400" s="5">
        <f t="shared" si="29"/>
        <v>0</v>
      </c>
      <c r="K400" s="5">
        <f t="shared" si="29"/>
        <v>0</v>
      </c>
      <c r="L400" s="5">
        <f t="shared" si="29"/>
        <v>0</v>
      </c>
      <c r="M400" s="5">
        <f t="shared" si="29"/>
        <v>0</v>
      </c>
      <c r="N400" s="32">
        <v>6.1652173913043402E-2</v>
      </c>
      <c r="O400" s="32">
        <v>1.5347826086956597E-2</v>
      </c>
      <c r="P400" s="24">
        <f t="shared" si="28"/>
        <v>7.3452898550724649E-2</v>
      </c>
    </row>
    <row r="401" spans="1:16" x14ac:dyDescent="0.3">
      <c r="A401" s="2">
        <v>29677</v>
      </c>
      <c r="B401" s="23">
        <v>7.0000000000000007E-2</v>
      </c>
      <c r="C401" s="5">
        <f t="shared" si="26"/>
        <v>0</v>
      </c>
      <c r="D401" s="5">
        <f t="shared" si="29"/>
        <v>0</v>
      </c>
      <c r="E401" s="5">
        <f t="shared" si="29"/>
        <v>0</v>
      </c>
      <c r="F401" s="5">
        <f t="shared" si="29"/>
        <v>1</v>
      </c>
      <c r="G401" s="5">
        <f t="shared" si="29"/>
        <v>0</v>
      </c>
      <c r="H401" s="5">
        <f t="shared" si="29"/>
        <v>0</v>
      </c>
      <c r="I401" s="5">
        <f t="shared" si="29"/>
        <v>0</v>
      </c>
      <c r="J401" s="5">
        <f t="shared" si="29"/>
        <v>0</v>
      </c>
      <c r="K401" s="5">
        <f t="shared" si="29"/>
        <v>0</v>
      </c>
      <c r="L401" s="5">
        <f t="shared" si="29"/>
        <v>0</v>
      </c>
      <c r="M401" s="5">
        <f t="shared" si="29"/>
        <v>0</v>
      </c>
      <c r="N401" s="32">
        <v>5.6550724637681071E-2</v>
      </c>
      <c r="O401" s="32">
        <v>1.3449275362318935E-2</v>
      </c>
      <c r="P401" s="24">
        <f t="shared" si="28"/>
        <v>7.1554347826086981E-2</v>
      </c>
    </row>
    <row r="402" spans="1:16" x14ac:dyDescent="0.3">
      <c r="A402" s="2">
        <v>29707</v>
      </c>
      <c r="B402" s="23">
        <v>7.0999999999999994E-2</v>
      </c>
      <c r="C402" s="5">
        <f t="shared" si="26"/>
        <v>0</v>
      </c>
      <c r="D402" s="5">
        <f t="shared" si="29"/>
        <v>0</v>
      </c>
      <c r="E402" s="5">
        <f t="shared" si="29"/>
        <v>0</v>
      </c>
      <c r="F402" s="5">
        <f t="shared" si="29"/>
        <v>0</v>
      </c>
      <c r="G402" s="5">
        <f t="shared" si="29"/>
        <v>1</v>
      </c>
      <c r="H402" s="5">
        <f t="shared" si="29"/>
        <v>0</v>
      </c>
      <c r="I402" s="5">
        <f t="shared" si="29"/>
        <v>0</v>
      </c>
      <c r="J402" s="5">
        <f t="shared" si="29"/>
        <v>0</v>
      </c>
      <c r="K402" s="5">
        <f t="shared" si="29"/>
        <v>0</v>
      </c>
      <c r="L402" s="5">
        <f t="shared" si="29"/>
        <v>0</v>
      </c>
      <c r="M402" s="5">
        <f t="shared" si="29"/>
        <v>0</v>
      </c>
      <c r="N402" s="32">
        <v>5.5101449275362209E-2</v>
      </c>
      <c r="O402" s="32">
        <v>1.5898550724637785E-2</v>
      </c>
      <c r="P402" s="24">
        <f t="shared" si="28"/>
        <v>7.4003623188405837E-2</v>
      </c>
    </row>
    <row r="403" spans="1:16" x14ac:dyDescent="0.3">
      <c r="A403" s="2">
        <v>29738</v>
      </c>
      <c r="B403" s="23">
        <v>7.6999999999999999E-2</v>
      </c>
      <c r="C403" s="5">
        <f t="shared" si="26"/>
        <v>0</v>
      </c>
      <c r="D403" s="5">
        <f t="shared" si="29"/>
        <v>0</v>
      </c>
      <c r="E403" s="5">
        <f t="shared" si="29"/>
        <v>0</v>
      </c>
      <c r="F403" s="5">
        <f t="shared" si="29"/>
        <v>0</v>
      </c>
      <c r="G403" s="5">
        <f t="shared" si="29"/>
        <v>0</v>
      </c>
      <c r="H403" s="5">
        <f t="shared" si="29"/>
        <v>1</v>
      </c>
      <c r="I403" s="5">
        <f t="shared" si="29"/>
        <v>0</v>
      </c>
      <c r="J403" s="5">
        <f t="shared" si="29"/>
        <v>0</v>
      </c>
      <c r="K403" s="5">
        <f t="shared" si="29"/>
        <v>0</v>
      </c>
      <c r="L403" s="5">
        <f t="shared" si="29"/>
        <v>0</v>
      </c>
      <c r="M403" s="5">
        <f t="shared" si="29"/>
        <v>0</v>
      </c>
      <c r="N403" s="32">
        <v>6.1130434782608579E-2</v>
      </c>
      <c r="O403" s="32">
        <v>1.586956521739142E-2</v>
      </c>
      <c r="P403" s="24">
        <f t="shared" si="28"/>
        <v>7.3974637681159472E-2</v>
      </c>
    </row>
    <row r="404" spans="1:16" x14ac:dyDescent="0.3">
      <c r="A404" s="2">
        <v>29768</v>
      </c>
      <c r="B404" s="23">
        <v>7.2999999999999995E-2</v>
      </c>
      <c r="C404" s="5">
        <f t="shared" si="26"/>
        <v>0</v>
      </c>
      <c r="D404" s="5">
        <f t="shared" si="29"/>
        <v>0</v>
      </c>
      <c r="E404" s="5">
        <f t="shared" si="29"/>
        <v>0</v>
      </c>
      <c r="F404" s="5">
        <f t="shared" si="29"/>
        <v>0</v>
      </c>
      <c r="G404" s="5">
        <f t="shared" si="29"/>
        <v>0</v>
      </c>
      <c r="H404" s="5">
        <f t="shared" si="29"/>
        <v>0</v>
      </c>
      <c r="I404" s="5">
        <f t="shared" si="29"/>
        <v>1</v>
      </c>
      <c r="J404" s="5">
        <f t="shared" si="29"/>
        <v>0</v>
      </c>
      <c r="K404" s="5">
        <f t="shared" si="29"/>
        <v>0</v>
      </c>
      <c r="L404" s="5">
        <f t="shared" si="29"/>
        <v>0</v>
      </c>
      <c r="M404" s="5">
        <f t="shared" si="29"/>
        <v>0</v>
      </c>
      <c r="N404" s="32">
        <v>5.9550724637681039E-2</v>
      </c>
      <c r="O404" s="32">
        <v>1.3449275362318956E-2</v>
      </c>
      <c r="P404" s="24">
        <f t="shared" si="28"/>
        <v>7.1554347826086995E-2</v>
      </c>
    </row>
    <row r="405" spans="1:16" x14ac:dyDescent="0.3">
      <c r="A405" s="2">
        <v>29799</v>
      </c>
      <c r="B405" s="23">
        <v>7.2000000000000008E-2</v>
      </c>
      <c r="C405" s="5">
        <f t="shared" si="26"/>
        <v>0</v>
      </c>
      <c r="D405" s="5">
        <f t="shared" si="29"/>
        <v>0</v>
      </c>
      <c r="E405" s="5">
        <f t="shared" si="29"/>
        <v>0</v>
      </c>
      <c r="F405" s="5">
        <f t="shared" si="29"/>
        <v>0</v>
      </c>
      <c r="G405" s="5">
        <f t="shared" si="29"/>
        <v>0</v>
      </c>
      <c r="H405" s="5">
        <f t="shared" si="29"/>
        <v>0</v>
      </c>
      <c r="I405" s="5">
        <f t="shared" si="29"/>
        <v>0</v>
      </c>
      <c r="J405" s="5">
        <f t="shared" si="29"/>
        <v>1</v>
      </c>
      <c r="K405" s="5">
        <f t="shared" si="29"/>
        <v>0</v>
      </c>
      <c r="L405" s="5">
        <f t="shared" si="29"/>
        <v>0</v>
      </c>
      <c r="M405" s="5">
        <f t="shared" si="29"/>
        <v>0</v>
      </c>
      <c r="N405" s="32">
        <v>5.6521739130434699E-2</v>
      </c>
      <c r="O405" s="32">
        <v>1.5478260869565309E-2</v>
      </c>
      <c r="P405" s="24">
        <f t="shared" si="28"/>
        <v>7.3583333333333362E-2</v>
      </c>
    </row>
    <row r="406" spans="1:16" x14ac:dyDescent="0.3">
      <c r="A406" s="2">
        <v>29830</v>
      </c>
      <c r="B406" s="23">
        <v>7.2999999999999995E-2</v>
      </c>
      <c r="C406" s="5">
        <f t="shared" si="26"/>
        <v>0</v>
      </c>
      <c r="D406" s="5">
        <f t="shared" si="29"/>
        <v>0</v>
      </c>
      <c r="E406" s="5">
        <f t="shared" si="29"/>
        <v>0</v>
      </c>
      <c r="F406" s="5">
        <f t="shared" si="29"/>
        <v>0</v>
      </c>
      <c r="G406" s="5">
        <f t="shared" si="29"/>
        <v>0</v>
      </c>
      <c r="H406" s="5">
        <f t="shared" si="29"/>
        <v>0</v>
      </c>
      <c r="I406" s="5">
        <f t="shared" si="29"/>
        <v>0</v>
      </c>
      <c r="J406" s="5">
        <f t="shared" si="29"/>
        <v>0</v>
      </c>
      <c r="K406" s="5">
        <f t="shared" si="29"/>
        <v>1</v>
      </c>
      <c r="L406" s="5">
        <f t="shared" si="29"/>
        <v>0</v>
      </c>
      <c r="M406" s="5">
        <f t="shared" si="29"/>
        <v>0</v>
      </c>
      <c r="N406" s="32">
        <v>5.4768115942028898E-2</v>
      </c>
      <c r="O406" s="32">
        <v>1.8231884057971097E-2</v>
      </c>
      <c r="P406" s="24">
        <f t="shared" si="28"/>
        <v>7.6336956521739135E-2</v>
      </c>
    </row>
    <row r="407" spans="1:16" x14ac:dyDescent="0.3">
      <c r="A407" s="2">
        <v>29860</v>
      </c>
      <c r="B407" s="23">
        <v>7.4999999999999997E-2</v>
      </c>
      <c r="C407" s="5">
        <f t="shared" si="26"/>
        <v>0</v>
      </c>
      <c r="D407" s="5">
        <f t="shared" si="29"/>
        <v>0</v>
      </c>
      <c r="E407" s="5">
        <f t="shared" si="29"/>
        <v>0</v>
      </c>
      <c r="F407" s="5">
        <f t="shared" si="29"/>
        <v>0</v>
      </c>
      <c r="G407" s="5">
        <f t="shared" si="29"/>
        <v>0</v>
      </c>
      <c r="H407" s="5">
        <f t="shared" si="29"/>
        <v>0</v>
      </c>
      <c r="I407" s="5">
        <f t="shared" si="29"/>
        <v>0</v>
      </c>
      <c r="J407" s="5">
        <f t="shared" si="29"/>
        <v>0</v>
      </c>
      <c r="K407" s="5">
        <f t="shared" si="29"/>
        <v>0</v>
      </c>
      <c r="L407" s="5">
        <f t="shared" si="29"/>
        <v>1</v>
      </c>
      <c r="M407" s="5">
        <f t="shared" si="29"/>
        <v>0</v>
      </c>
      <c r="N407" s="32">
        <v>5.3115942028985473E-2</v>
      </c>
      <c r="O407" s="32">
        <v>2.1884057971014524E-2</v>
      </c>
      <c r="P407" s="24">
        <f t="shared" si="28"/>
        <v>7.9989130434782563E-2</v>
      </c>
    </row>
    <row r="408" spans="1:16" x14ac:dyDescent="0.3">
      <c r="A408" s="2">
        <v>29891</v>
      </c>
      <c r="B408" s="23">
        <v>7.9000000000000001E-2</v>
      </c>
      <c r="C408" s="5">
        <f t="shared" si="26"/>
        <v>0</v>
      </c>
      <c r="D408" s="5">
        <f t="shared" si="29"/>
        <v>0</v>
      </c>
      <c r="E408" s="5">
        <f t="shared" si="29"/>
        <v>0</v>
      </c>
      <c r="F408" s="5">
        <f t="shared" si="29"/>
        <v>0</v>
      </c>
      <c r="G408" s="5">
        <f t="shared" si="29"/>
        <v>0</v>
      </c>
      <c r="H408" s="5">
        <f t="shared" si="29"/>
        <v>0</v>
      </c>
      <c r="I408" s="5">
        <f t="shared" si="29"/>
        <v>0</v>
      </c>
      <c r="J408" s="5">
        <f t="shared" si="29"/>
        <v>0</v>
      </c>
      <c r="K408" s="5">
        <f t="shared" si="29"/>
        <v>0</v>
      </c>
      <c r="L408" s="5">
        <f t="shared" si="29"/>
        <v>0</v>
      </c>
      <c r="M408" s="5">
        <f t="shared" si="29"/>
        <v>1</v>
      </c>
      <c r="N408" s="32">
        <v>5.4782608695652081E-2</v>
      </c>
      <c r="O408" s="32">
        <v>2.421739130434792E-2</v>
      </c>
      <c r="P408" s="24">
        <f t="shared" si="28"/>
        <v>8.2322463768115972E-2</v>
      </c>
    </row>
    <row r="409" spans="1:16" x14ac:dyDescent="0.3">
      <c r="A409" s="2">
        <v>29921</v>
      </c>
      <c r="B409" s="23">
        <v>8.3000000000000004E-2</v>
      </c>
      <c r="C409" s="5">
        <f t="shared" si="26"/>
        <v>0</v>
      </c>
      <c r="D409" s="5">
        <f t="shared" si="29"/>
        <v>0</v>
      </c>
      <c r="E409" s="5">
        <f t="shared" si="29"/>
        <v>0</v>
      </c>
      <c r="F409" s="5">
        <f t="shared" si="29"/>
        <v>0</v>
      </c>
      <c r="G409" s="5">
        <f t="shared" si="29"/>
        <v>0</v>
      </c>
      <c r="H409" s="5">
        <f t="shared" si="29"/>
        <v>0</v>
      </c>
      <c r="I409" s="5">
        <f t="shared" si="29"/>
        <v>0</v>
      </c>
      <c r="J409" s="5">
        <f t="shared" si="29"/>
        <v>0</v>
      </c>
      <c r="K409" s="5">
        <f t="shared" si="29"/>
        <v>0</v>
      </c>
      <c r="L409" s="5">
        <f t="shared" si="29"/>
        <v>0</v>
      </c>
      <c r="M409" s="5">
        <f t="shared" si="29"/>
        <v>0</v>
      </c>
      <c r="N409" s="32">
        <v>5.5202898550724598E-2</v>
      </c>
      <c r="O409" s="32">
        <v>2.7797101449275406E-2</v>
      </c>
      <c r="P409" s="24">
        <f t="shared" si="28"/>
        <v>8.5902173913043445E-2</v>
      </c>
    </row>
    <row r="410" spans="1:16" x14ac:dyDescent="0.3">
      <c r="A410" s="2">
        <v>29952</v>
      </c>
      <c r="B410" s="23">
        <v>9.4E-2</v>
      </c>
      <c r="C410" s="5">
        <f t="shared" si="26"/>
        <v>1</v>
      </c>
      <c r="D410" s="5">
        <f t="shared" si="29"/>
        <v>0</v>
      </c>
      <c r="E410" s="5">
        <f t="shared" si="29"/>
        <v>0</v>
      </c>
      <c r="F410" s="5">
        <f t="shared" si="29"/>
        <v>0</v>
      </c>
      <c r="G410" s="5">
        <f t="shared" si="29"/>
        <v>0</v>
      </c>
      <c r="H410" s="5">
        <f t="shared" si="29"/>
        <v>0</v>
      </c>
      <c r="I410" s="5">
        <f t="shared" si="29"/>
        <v>0</v>
      </c>
      <c r="J410" s="5">
        <f t="shared" si="29"/>
        <v>0</v>
      </c>
      <c r="K410" s="5">
        <f t="shared" si="29"/>
        <v>0</v>
      </c>
      <c r="L410" s="5">
        <f t="shared" si="29"/>
        <v>0</v>
      </c>
      <c r="M410" s="5">
        <f t="shared" si="29"/>
        <v>0</v>
      </c>
      <c r="N410" s="32">
        <v>6.4492753623188417E-2</v>
      </c>
      <c r="O410" s="32">
        <v>2.9507246376811583E-2</v>
      </c>
      <c r="P410" s="24">
        <f t="shared" si="28"/>
        <v>8.7612318840579628E-2</v>
      </c>
    </row>
    <row r="411" spans="1:16" x14ac:dyDescent="0.3">
      <c r="A411" s="2">
        <v>29983</v>
      </c>
      <c r="B411" s="23">
        <v>9.6000000000000002E-2</v>
      </c>
      <c r="C411" s="5">
        <f t="shared" si="26"/>
        <v>0</v>
      </c>
      <c r="D411" s="5">
        <f t="shared" si="29"/>
        <v>1</v>
      </c>
      <c r="E411" s="5">
        <f t="shared" si="29"/>
        <v>0</v>
      </c>
      <c r="F411" s="5">
        <f t="shared" si="29"/>
        <v>0</v>
      </c>
      <c r="G411" s="5">
        <f t="shared" si="29"/>
        <v>0</v>
      </c>
      <c r="H411" s="5">
        <f t="shared" si="29"/>
        <v>0</v>
      </c>
      <c r="I411" s="5">
        <f t="shared" si="29"/>
        <v>0</v>
      </c>
      <c r="J411" s="5">
        <f t="shared" si="29"/>
        <v>0</v>
      </c>
      <c r="K411" s="5">
        <f t="shared" si="29"/>
        <v>0</v>
      </c>
      <c r="L411" s="5">
        <f t="shared" si="29"/>
        <v>0</v>
      </c>
      <c r="M411" s="5">
        <f t="shared" si="29"/>
        <v>0</v>
      </c>
      <c r="N411" s="32">
        <v>6.4391304347825973E-2</v>
      </c>
      <c r="O411" s="32">
        <v>3.1608695652174029E-2</v>
      </c>
      <c r="P411" s="24">
        <f t="shared" si="28"/>
        <v>8.9713768115942075E-2</v>
      </c>
    </row>
    <row r="412" spans="1:16" x14ac:dyDescent="0.3">
      <c r="A412" s="2">
        <v>30011</v>
      </c>
      <c r="B412" s="23">
        <v>9.5000000000000001E-2</v>
      </c>
      <c r="C412" s="5">
        <f t="shared" si="26"/>
        <v>0</v>
      </c>
      <c r="D412" s="5">
        <f t="shared" si="29"/>
        <v>0</v>
      </c>
      <c r="E412" s="5">
        <f t="shared" si="29"/>
        <v>1</v>
      </c>
      <c r="F412" s="5">
        <f t="shared" si="29"/>
        <v>0</v>
      </c>
      <c r="G412" s="5">
        <f t="shared" si="29"/>
        <v>0</v>
      </c>
      <c r="H412" s="5">
        <f t="shared" si="29"/>
        <v>0</v>
      </c>
      <c r="I412" s="5">
        <f t="shared" si="29"/>
        <v>0</v>
      </c>
      <c r="J412" s="5">
        <f t="shared" si="29"/>
        <v>0</v>
      </c>
      <c r="K412" s="5">
        <f t="shared" si="29"/>
        <v>0</v>
      </c>
      <c r="L412" s="5">
        <f t="shared" si="29"/>
        <v>0</v>
      </c>
      <c r="M412" s="5">
        <f t="shared" si="29"/>
        <v>0</v>
      </c>
      <c r="N412" s="32">
        <v>6.1652173913043402E-2</v>
      </c>
      <c r="O412" s="32">
        <v>3.3347826086956599E-2</v>
      </c>
      <c r="P412" s="24">
        <f t="shared" si="28"/>
        <v>9.1452898550724637E-2</v>
      </c>
    </row>
    <row r="413" spans="1:16" x14ac:dyDescent="0.3">
      <c r="A413" s="2">
        <v>30042</v>
      </c>
      <c r="B413" s="23">
        <v>9.1999999999999998E-2</v>
      </c>
      <c r="C413" s="5">
        <f t="shared" si="26"/>
        <v>0</v>
      </c>
      <c r="D413" s="5">
        <f t="shared" si="29"/>
        <v>0</v>
      </c>
      <c r="E413" s="5">
        <f t="shared" si="29"/>
        <v>0</v>
      </c>
      <c r="F413" s="5">
        <f t="shared" si="29"/>
        <v>1</v>
      </c>
      <c r="G413" s="5">
        <f t="shared" si="29"/>
        <v>0</v>
      </c>
      <c r="H413" s="5">
        <f t="shared" si="29"/>
        <v>0</v>
      </c>
      <c r="I413" s="5">
        <f t="shared" si="29"/>
        <v>0</v>
      </c>
      <c r="J413" s="5">
        <f t="shared" si="29"/>
        <v>0</v>
      </c>
      <c r="K413" s="5">
        <f t="shared" si="29"/>
        <v>0</v>
      </c>
      <c r="L413" s="5">
        <f t="shared" si="29"/>
        <v>0</v>
      </c>
      <c r="M413" s="5">
        <f t="shared" si="29"/>
        <v>0</v>
      </c>
      <c r="N413" s="32">
        <v>5.6550724637681071E-2</v>
      </c>
      <c r="O413" s="32">
        <v>3.5449275362318927E-2</v>
      </c>
      <c r="P413" s="24">
        <f t="shared" si="28"/>
        <v>9.3554347826086973E-2</v>
      </c>
    </row>
    <row r="414" spans="1:16" x14ac:dyDescent="0.3">
      <c r="A414" s="2">
        <v>30072</v>
      </c>
      <c r="B414" s="23">
        <v>9.0999999999999998E-2</v>
      </c>
      <c r="C414" s="5">
        <f t="shared" si="26"/>
        <v>0</v>
      </c>
      <c r="D414" s="5">
        <f t="shared" si="29"/>
        <v>0</v>
      </c>
      <c r="E414" s="5">
        <f t="shared" si="29"/>
        <v>0</v>
      </c>
      <c r="F414" s="5">
        <f t="shared" si="29"/>
        <v>0</v>
      </c>
      <c r="G414" s="5">
        <f t="shared" si="29"/>
        <v>1</v>
      </c>
      <c r="H414" s="5">
        <f t="shared" si="29"/>
        <v>0</v>
      </c>
      <c r="I414" s="5">
        <f t="shared" si="29"/>
        <v>0</v>
      </c>
      <c r="J414" s="5">
        <f t="shared" si="29"/>
        <v>0</v>
      </c>
      <c r="K414" s="5">
        <f t="shared" si="29"/>
        <v>0</v>
      </c>
      <c r="L414" s="5">
        <f t="shared" si="29"/>
        <v>0</v>
      </c>
      <c r="M414" s="5">
        <f t="shared" si="29"/>
        <v>0</v>
      </c>
      <c r="N414" s="32">
        <v>5.5101449275362209E-2</v>
      </c>
      <c r="O414" s="32">
        <v>3.5898550724637789E-2</v>
      </c>
      <c r="P414" s="24">
        <f t="shared" si="28"/>
        <v>9.4003623188405827E-2</v>
      </c>
    </row>
    <row r="415" spans="1:16" x14ac:dyDescent="0.3">
      <c r="A415" s="2">
        <v>30103</v>
      </c>
      <c r="B415" s="23">
        <v>9.8000000000000004E-2</v>
      </c>
      <c r="C415" s="5">
        <f t="shared" si="26"/>
        <v>0</v>
      </c>
      <c r="D415" s="5">
        <f t="shared" si="29"/>
        <v>0</v>
      </c>
      <c r="E415" s="5">
        <f t="shared" si="29"/>
        <v>0</v>
      </c>
      <c r="F415" s="5">
        <f t="shared" si="29"/>
        <v>0</v>
      </c>
      <c r="G415" s="5">
        <f t="shared" si="29"/>
        <v>0</v>
      </c>
      <c r="H415" s="5">
        <f t="shared" si="29"/>
        <v>1</v>
      </c>
      <c r="I415" s="5">
        <f t="shared" si="29"/>
        <v>0</v>
      </c>
      <c r="J415" s="5">
        <f t="shared" si="29"/>
        <v>0</v>
      </c>
      <c r="K415" s="5">
        <f t="shared" si="29"/>
        <v>0</v>
      </c>
      <c r="L415" s="5">
        <f t="shared" si="29"/>
        <v>0</v>
      </c>
      <c r="M415" s="5">
        <f t="shared" si="29"/>
        <v>0</v>
      </c>
      <c r="N415" s="32">
        <v>6.1130434782608579E-2</v>
      </c>
      <c r="O415" s="32">
        <v>3.6869565217391424E-2</v>
      </c>
      <c r="P415" s="24">
        <f t="shared" si="28"/>
        <v>9.4974637681159463E-2</v>
      </c>
    </row>
    <row r="416" spans="1:16" x14ac:dyDescent="0.3">
      <c r="A416" s="2">
        <v>30133</v>
      </c>
      <c r="B416" s="23">
        <v>9.8000000000000004E-2</v>
      </c>
      <c r="C416" s="5">
        <f t="shared" si="26"/>
        <v>0</v>
      </c>
      <c r="D416" s="5">
        <f t="shared" si="29"/>
        <v>0</v>
      </c>
      <c r="E416" s="5">
        <f t="shared" si="29"/>
        <v>0</v>
      </c>
      <c r="F416" s="5">
        <f t="shared" si="29"/>
        <v>0</v>
      </c>
      <c r="G416" s="5">
        <f t="shared" si="29"/>
        <v>0</v>
      </c>
      <c r="H416" s="5">
        <f t="shared" si="29"/>
        <v>0</v>
      </c>
      <c r="I416" s="5">
        <f t="shared" si="29"/>
        <v>1</v>
      </c>
      <c r="J416" s="5">
        <f t="shared" si="29"/>
        <v>0</v>
      </c>
      <c r="K416" s="5">
        <f t="shared" si="29"/>
        <v>0</v>
      </c>
      <c r="L416" s="5">
        <f t="shared" si="29"/>
        <v>0</v>
      </c>
      <c r="M416" s="5">
        <f t="shared" si="29"/>
        <v>0</v>
      </c>
      <c r="N416" s="32">
        <v>5.9550724637681039E-2</v>
      </c>
      <c r="O416" s="32">
        <v>3.8449275362318965E-2</v>
      </c>
      <c r="P416" s="24">
        <f t="shared" si="28"/>
        <v>9.6554347826087017E-2</v>
      </c>
    </row>
    <row r="417" spans="1:16" x14ac:dyDescent="0.3">
      <c r="A417" s="2">
        <v>30164</v>
      </c>
      <c r="B417" s="23">
        <v>9.6000000000000002E-2</v>
      </c>
      <c r="C417" s="5">
        <f t="shared" si="26"/>
        <v>0</v>
      </c>
      <c r="D417" s="5">
        <f t="shared" si="29"/>
        <v>0</v>
      </c>
      <c r="E417" s="5">
        <f t="shared" si="29"/>
        <v>0</v>
      </c>
      <c r="F417" s="5">
        <f t="shared" si="29"/>
        <v>0</v>
      </c>
      <c r="G417" s="5">
        <f t="shared" si="29"/>
        <v>0</v>
      </c>
      <c r="H417" s="5">
        <f t="shared" si="29"/>
        <v>0</v>
      </c>
      <c r="I417" s="5">
        <f t="shared" si="29"/>
        <v>0</v>
      </c>
      <c r="J417" s="5">
        <f t="shared" si="29"/>
        <v>1</v>
      </c>
      <c r="K417" s="5">
        <f t="shared" si="29"/>
        <v>0</v>
      </c>
      <c r="L417" s="5">
        <f t="shared" si="29"/>
        <v>0</v>
      </c>
      <c r="M417" s="5">
        <f t="shared" si="29"/>
        <v>0</v>
      </c>
      <c r="N417" s="32">
        <v>5.6521739130434699E-2</v>
      </c>
      <c r="O417" s="32">
        <v>3.9478260869565303E-2</v>
      </c>
      <c r="P417" s="24">
        <f t="shared" si="28"/>
        <v>9.7583333333333355E-2</v>
      </c>
    </row>
    <row r="418" spans="1:16" x14ac:dyDescent="0.3">
      <c r="A418" s="2">
        <v>30195</v>
      </c>
      <c r="B418" s="23">
        <v>9.6999999999999989E-2</v>
      </c>
      <c r="C418" s="5">
        <f t="shared" si="26"/>
        <v>0</v>
      </c>
      <c r="D418" s="5">
        <f t="shared" si="29"/>
        <v>0</v>
      </c>
      <c r="E418" s="5">
        <f t="shared" si="29"/>
        <v>0</v>
      </c>
      <c r="F418" s="5">
        <f t="shared" si="29"/>
        <v>0</v>
      </c>
      <c r="G418" s="5">
        <f t="shared" si="29"/>
        <v>0</v>
      </c>
      <c r="H418" s="5">
        <f t="shared" si="29"/>
        <v>0</v>
      </c>
      <c r="I418" s="5">
        <f t="shared" si="29"/>
        <v>0</v>
      </c>
      <c r="J418" s="5">
        <f t="shared" si="29"/>
        <v>0</v>
      </c>
      <c r="K418" s="5">
        <f t="shared" si="29"/>
        <v>1</v>
      </c>
      <c r="L418" s="5">
        <f t="shared" si="29"/>
        <v>0</v>
      </c>
      <c r="M418" s="5">
        <f t="shared" si="29"/>
        <v>0</v>
      </c>
      <c r="N418" s="32">
        <v>5.4768115942028898E-2</v>
      </c>
      <c r="O418" s="32">
        <v>4.2231884057971091E-2</v>
      </c>
      <c r="P418" s="24">
        <f t="shared" si="28"/>
        <v>0.10033695652173913</v>
      </c>
    </row>
    <row r="419" spans="1:16" x14ac:dyDescent="0.3">
      <c r="A419" s="2">
        <v>30225</v>
      </c>
      <c r="B419" s="23">
        <v>9.9000000000000005E-2</v>
      </c>
      <c r="C419" s="5">
        <f t="shared" si="26"/>
        <v>0</v>
      </c>
      <c r="D419" s="5">
        <f t="shared" si="29"/>
        <v>0</v>
      </c>
      <c r="E419" s="5">
        <f t="shared" si="29"/>
        <v>0</v>
      </c>
      <c r="F419" s="5">
        <f t="shared" si="29"/>
        <v>0</v>
      </c>
      <c r="G419" s="5">
        <f t="shared" si="29"/>
        <v>0</v>
      </c>
      <c r="H419" s="5">
        <f t="shared" si="29"/>
        <v>0</v>
      </c>
      <c r="I419" s="5">
        <f t="shared" si="29"/>
        <v>0</v>
      </c>
      <c r="J419" s="5">
        <f t="shared" si="29"/>
        <v>0</v>
      </c>
      <c r="K419" s="5">
        <f t="shared" si="29"/>
        <v>0</v>
      </c>
      <c r="L419" s="5">
        <f t="shared" si="29"/>
        <v>1</v>
      </c>
      <c r="M419" s="5">
        <f t="shared" si="29"/>
        <v>0</v>
      </c>
      <c r="N419" s="32">
        <v>5.3115942028985473E-2</v>
      </c>
      <c r="O419" s="32">
        <v>4.5884057971014532E-2</v>
      </c>
      <c r="P419" s="24">
        <f t="shared" si="28"/>
        <v>0.10398913043478258</v>
      </c>
    </row>
    <row r="420" spans="1:16" x14ac:dyDescent="0.3">
      <c r="A420" s="2">
        <v>30256</v>
      </c>
      <c r="B420" s="23">
        <v>0.10400000000000001</v>
      </c>
      <c r="C420" s="5">
        <f t="shared" si="26"/>
        <v>0</v>
      </c>
      <c r="D420" s="5">
        <f t="shared" si="29"/>
        <v>0</v>
      </c>
      <c r="E420" s="5">
        <f t="shared" si="29"/>
        <v>0</v>
      </c>
      <c r="F420" s="5">
        <f t="shared" si="29"/>
        <v>0</v>
      </c>
      <c r="G420" s="5">
        <f t="shared" si="29"/>
        <v>0</v>
      </c>
      <c r="H420" s="5">
        <f t="shared" si="29"/>
        <v>0</v>
      </c>
      <c r="I420" s="5">
        <f t="shared" si="29"/>
        <v>0</v>
      </c>
      <c r="J420" s="5">
        <f t="shared" si="29"/>
        <v>0</v>
      </c>
      <c r="K420" s="5">
        <f t="shared" si="29"/>
        <v>0</v>
      </c>
      <c r="L420" s="5">
        <f t="shared" si="29"/>
        <v>0</v>
      </c>
      <c r="M420" s="5">
        <f t="shared" si="29"/>
        <v>1</v>
      </c>
      <c r="N420" s="32">
        <v>5.4782608695652081E-2</v>
      </c>
      <c r="O420" s="32">
        <v>4.9217391304347928E-2</v>
      </c>
      <c r="P420" s="24">
        <f t="shared" si="28"/>
        <v>0.10732246376811597</v>
      </c>
    </row>
    <row r="421" spans="1:16" x14ac:dyDescent="0.3">
      <c r="A421" s="2">
        <v>30286</v>
      </c>
      <c r="B421" s="23">
        <v>0.105</v>
      </c>
      <c r="C421" s="5">
        <f t="shared" si="26"/>
        <v>0</v>
      </c>
      <c r="D421" s="5">
        <f t="shared" si="29"/>
        <v>0</v>
      </c>
      <c r="E421" s="5">
        <f t="shared" si="29"/>
        <v>0</v>
      </c>
      <c r="F421" s="5">
        <f t="shared" si="29"/>
        <v>0</v>
      </c>
      <c r="G421" s="5">
        <f t="shared" si="29"/>
        <v>0</v>
      </c>
      <c r="H421" s="5">
        <f t="shared" si="29"/>
        <v>0</v>
      </c>
      <c r="I421" s="5">
        <f t="shared" si="29"/>
        <v>0</v>
      </c>
      <c r="J421" s="5">
        <f t="shared" si="29"/>
        <v>0</v>
      </c>
      <c r="K421" s="5">
        <f t="shared" si="29"/>
        <v>0</v>
      </c>
      <c r="L421" s="5">
        <f t="shared" si="29"/>
        <v>0</v>
      </c>
      <c r="M421" s="5">
        <f t="shared" si="29"/>
        <v>0</v>
      </c>
      <c r="N421" s="32">
        <v>5.5202898550724598E-2</v>
      </c>
      <c r="O421" s="32">
        <v>4.9797101449275398E-2</v>
      </c>
      <c r="P421" s="24">
        <f t="shared" si="28"/>
        <v>0.10790217391304344</v>
      </c>
    </row>
    <row r="422" spans="1:16" x14ac:dyDescent="0.3">
      <c r="A422" s="2">
        <v>30317</v>
      </c>
      <c r="B422" s="23">
        <v>0.114</v>
      </c>
      <c r="C422" s="5">
        <f t="shared" si="26"/>
        <v>1</v>
      </c>
      <c r="D422" s="5">
        <f t="shared" si="29"/>
        <v>0</v>
      </c>
      <c r="E422" s="5">
        <f t="shared" si="29"/>
        <v>0</v>
      </c>
      <c r="F422" s="5">
        <f t="shared" si="29"/>
        <v>0</v>
      </c>
      <c r="G422" s="5">
        <f t="shared" ref="D422:M447" si="30">IF(MONTH($A422)=G$1,1,0)</f>
        <v>0</v>
      </c>
      <c r="H422" s="5">
        <f t="shared" si="30"/>
        <v>0</v>
      </c>
      <c r="I422" s="5">
        <f t="shared" si="30"/>
        <v>0</v>
      </c>
      <c r="J422" s="5">
        <f t="shared" si="30"/>
        <v>0</v>
      </c>
      <c r="K422" s="5">
        <f t="shared" si="30"/>
        <v>0</v>
      </c>
      <c r="L422" s="5">
        <f t="shared" si="30"/>
        <v>0</v>
      </c>
      <c r="M422" s="5">
        <f t="shared" si="30"/>
        <v>0</v>
      </c>
      <c r="N422" s="32">
        <v>6.4492753623188417E-2</v>
      </c>
      <c r="O422" s="32">
        <v>4.9507246376811587E-2</v>
      </c>
      <c r="P422" s="24">
        <f t="shared" si="28"/>
        <v>0.10761231884057963</v>
      </c>
    </row>
    <row r="423" spans="1:16" x14ac:dyDescent="0.3">
      <c r="A423" s="2">
        <v>30348</v>
      </c>
      <c r="B423" s="23">
        <v>0.113</v>
      </c>
      <c r="C423" s="5">
        <f t="shared" si="26"/>
        <v>0</v>
      </c>
      <c r="D423" s="5">
        <f t="shared" si="30"/>
        <v>1</v>
      </c>
      <c r="E423" s="5">
        <f t="shared" si="30"/>
        <v>0</v>
      </c>
      <c r="F423" s="5">
        <f t="shared" si="30"/>
        <v>0</v>
      </c>
      <c r="G423" s="5">
        <f t="shared" si="30"/>
        <v>0</v>
      </c>
      <c r="H423" s="5">
        <f t="shared" si="30"/>
        <v>0</v>
      </c>
      <c r="I423" s="5">
        <f t="shared" si="30"/>
        <v>0</v>
      </c>
      <c r="J423" s="5">
        <f t="shared" si="30"/>
        <v>0</v>
      </c>
      <c r="K423" s="5">
        <f t="shared" si="30"/>
        <v>0</v>
      </c>
      <c r="L423" s="5">
        <f t="shared" si="30"/>
        <v>0</v>
      </c>
      <c r="M423" s="5">
        <f t="shared" si="30"/>
        <v>0</v>
      </c>
      <c r="N423" s="32">
        <v>6.4391304347825973E-2</v>
      </c>
      <c r="O423" s="32">
        <v>4.860869565217403E-2</v>
      </c>
      <c r="P423" s="24">
        <f t="shared" si="28"/>
        <v>0.10671376811594208</v>
      </c>
    </row>
    <row r="424" spans="1:16" x14ac:dyDescent="0.3">
      <c r="A424" s="2">
        <v>30376</v>
      </c>
      <c r="B424" s="23">
        <v>0.10800000000000001</v>
      </c>
      <c r="C424" s="5">
        <f t="shared" ref="C424:C487" si="31">IF(MONTH($A424)=C$1,1,0)</f>
        <v>0</v>
      </c>
      <c r="D424" s="5">
        <f t="shared" si="30"/>
        <v>0</v>
      </c>
      <c r="E424" s="5">
        <f t="shared" si="30"/>
        <v>1</v>
      </c>
      <c r="F424" s="5">
        <f t="shared" si="30"/>
        <v>0</v>
      </c>
      <c r="G424" s="5">
        <f t="shared" si="30"/>
        <v>0</v>
      </c>
      <c r="H424" s="5">
        <f t="shared" si="30"/>
        <v>0</v>
      </c>
      <c r="I424" s="5">
        <f t="shared" si="30"/>
        <v>0</v>
      </c>
      <c r="J424" s="5">
        <f t="shared" si="30"/>
        <v>0</v>
      </c>
      <c r="K424" s="5">
        <f t="shared" si="30"/>
        <v>0</v>
      </c>
      <c r="L424" s="5">
        <f t="shared" si="30"/>
        <v>0</v>
      </c>
      <c r="M424" s="5">
        <f t="shared" si="30"/>
        <v>0</v>
      </c>
      <c r="N424" s="32">
        <v>6.1652173913043402E-2</v>
      </c>
      <c r="O424" s="32">
        <v>4.634782608695661E-2</v>
      </c>
      <c r="P424" s="24">
        <f t="shared" si="28"/>
        <v>0.10445289855072465</v>
      </c>
    </row>
    <row r="425" spans="1:16" x14ac:dyDescent="0.3">
      <c r="A425" s="2">
        <v>30407</v>
      </c>
      <c r="B425" s="23">
        <v>0.1</v>
      </c>
      <c r="C425" s="5">
        <f t="shared" si="31"/>
        <v>0</v>
      </c>
      <c r="D425" s="5">
        <f t="shared" si="30"/>
        <v>0</v>
      </c>
      <c r="E425" s="5">
        <f t="shared" si="30"/>
        <v>0</v>
      </c>
      <c r="F425" s="5">
        <f t="shared" si="30"/>
        <v>1</v>
      </c>
      <c r="G425" s="5">
        <f t="shared" si="30"/>
        <v>0</v>
      </c>
      <c r="H425" s="5">
        <f t="shared" si="30"/>
        <v>0</v>
      </c>
      <c r="I425" s="5">
        <f t="shared" si="30"/>
        <v>0</v>
      </c>
      <c r="J425" s="5">
        <f t="shared" si="30"/>
        <v>0</v>
      </c>
      <c r="K425" s="5">
        <f t="shared" si="30"/>
        <v>0</v>
      </c>
      <c r="L425" s="5">
        <f t="shared" si="30"/>
        <v>0</v>
      </c>
      <c r="M425" s="5">
        <f t="shared" si="30"/>
        <v>0</v>
      </c>
      <c r="N425" s="32">
        <v>5.6550724637681071E-2</v>
      </c>
      <c r="O425" s="32">
        <v>4.3449275362318934E-2</v>
      </c>
      <c r="P425" s="24">
        <f t="shared" si="28"/>
        <v>0.10155434782608698</v>
      </c>
    </row>
    <row r="426" spans="1:16" x14ac:dyDescent="0.3">
      <c r="A426" s="2">
        <v>30437</v>
      </c>
      <c r="B426" s="23">
        <v>9.8000000000000004E-2</v>
      </c>
      <c r="C426" s="5">
        <f t="shared" si="31"/>
        <v>0</v>
      </c>
      <c r="D426" s="5">
        <f t="shared" si="30"/>
        <v>0</v>
      </c>
      <c r="E426" s="5">
        <f t="shared" si="30"/>
        <v>0</v>
      </c>
      <c r="F426" s="5">
        <f t="shared" si="30"/>
        <v>0</v>
      </c>
      <c r="G426" s="5">
        <f t="shared" si="30"/>
        <v>1</v>
      </c>
      <c r="H426" s="5">
        <f t="shared" si="30"/>
        <v>0</v>
      </c>
      <c r="I426" s="5">
        <f t="shared" si="30"/>
        <v>0</v>
      </c>
      <c r="J426" s="5">
        <f t="shared" si="30"/>
        <v>0</v>
      </c>
      <c r="K426" s="5">
        <f t="shared" si="30"/>
        <v>0</v>
      </c>
      <c r="L426" s="5">
        <f t="shared" si="30"/>
        <v>0</v>
      </c>
      <c r="M426" s="5">
        <f t="shared" si="30"/>
        <v>0</v>
      </c>
      <c r="N426" s="32">
        <v>5.5101449275362209E-2</v>
      </c>
      <c r="O426" s="32">
        <v>4.2898550724637795E-2</v>
      </c>
      <c r="P426" s="24">
        <f t="shared" si="28"/>
        <v>0.10100362318840583</v>
      </c>
    </row>
    <row r="427" spans="1:16" x14ac:dyDescent="0.3">
      <c r="A427" s="2">
        <v>30468</v>
      </c>
      <c r="B427" s="23">
        <v>0.10199999999999999</v>
      </c>
      <c r="C427" s="5">
        <f t="shared" si="31"/>
        <v>0</v>
      </c>
      <c r="D427" s="5">
        <f t="shared" si="30"/>
        <v>0</v>
      </c>
      <c r="E427" s="5">
        <f t="shared" si="30"/>
        <v>0</v>
      </c>
      <c r="F427" s="5">
        <f t="shared" si="30"/>
        <v>0</v>
      </c>
      <c r="G427" s="5">
        <f t="shared" si="30"/>
        <v>0</v>
      </c>
      <c r="H427" s="5">
        <f t="shared" si="30"/>
        <v>1</v>
      </c>
      <c r="I427" s="5">
        <f t="shared" si="30"/>
        <v>0</v>
      </c>
      <c r="J427" s="5">
        <f t="shared" si="30"/>
        <v>0</v>
      </c>
      <c r="K427" s="5">
        <f t="shared" si="30"/>
        <v>0</v>
      </c>
      <c r="L427" s="5">
        <f t="shared" si="30"/>
        <v>0</v>
      </c>
      <c r="M427" s="5">
        <f t="shared" si="30"/>
        <v>0</v>
      </c>
      <c r="N427" s="32">
        <v>6.1130434782608579E-2</v>
      </c>
      <c r="O427" s="32">
        <v>4.0869565217391414E-2</v>
      </c>
      <c r="P427" s="24">
        <f t="shared" si="28"/>
        <v>9.8974637681159466E-2</v>
      </c>
    </row>
    <row r="428" spans="1:16" x14ac:dyDescent="0.3">
      <c r="A428" s="2">
        <v>30498</v>
      </c>
      <c r="B428" s="23">
        <v>9.4E-2</v>
      </c>
      <c r="C428" s="5">
        <f t="shared" si="31"/>
        <v>0</v>
      </c>
      <c r="D428" s="5">
        <f t="shared" si="30"/>
        <v>0</v>
      </c>
      <c r="E428" s="5">
        <f t="shared" si="30"/>
        <v>0</v>
      </c>
      <c r="F428" s="5">
        <f t="shared" si="30"/>
        <v>0</v>
      </c>
      <c r="G428" s="5">
        <f t="shared" si="30"/>
        <v>0</v>
      </c>
      <c r="H428" s="5">
        <f t="shared" si="30"/>
        <v>0</v>
      </c>
      <c r="I428" s="5">
        <f t="shared" si="30"/>
        <v>1</v>
      </c>
      <c r="J428" s="5">
        <f t="shared" si="30"/>
        <v>0</v>
      </c>
      <c r="K428" s="5">
        <f t="shared" si="30"/>
        <v>0</v>
      </c>
      <c r="L428" s="5">
        <f t="shared" si="30"/>
        <v>0</v>
      </c>
      <c r="M428" s="5">
        <f t="shared" si="30"/>
        <v>0</v>
      </c>
      <c r="N428" s="32">
        <v>5.9550724637681039E-2</v>
      </c>
      <c r="O428" s="32">
        <v>3.4449275362318961E-2</v>
      </c>
      <c r="P428" s="24">
        <f t="shared" si="28"/>
        <v>9.2554347826087013E-2</v>
      </c>
    </row>
    <row r="429" spans="1:16" x14ac:dyDescent="0.3">
      <c r="A429" s="2">
        <v>30529</v>
      </c>
      <c r="B429" s="23">
        <v>9.1999999999999998E-2</v>
      </c>
      <c r="C429" s="5">
        <f t="shared" si="31"/>
        <v>0</v>
      </c>
      <c r="D429" s="5">
        <f t="shared" si="30"/>
        <v>0</v>
      </c>
      <c r="E429" s="5">
        <f t="shared" si="30"/>
        <v>0</v>
      </c>
      <c r="F429" s="5">
        <f t="shared" si="30"/>
        <v>0</v>
      </c>
      <c r="G429" s="5">
        <f t="shared" si="30"/>
        <v>0</v>
      </c>
      <c r="H429" s="5">
        <f t="shared" si="30"/>
        <v>0</v>
      </c>
      <c r="I429" s="5">
        <f t="shared" si="30"/>
        <v>0</v>
      </c>
      <c r="J429" s="5">
        <f t="shared" si="30"/>
        <v>1</v>
      </c>
      <c r="K429" s="5">
        <f t="shared" si="30"/>
        <v>0</v>
      </c>
      <c r="L429" s="5">
        <f t="shared" si="30"/>
        <v>0</v>
      </c>
      <c r="M429" s="5">
        <f t="shared" si="30"/>
        <v>0</v>
      </c>
      <c r="N429" s="32">
        <v>5.6521739130434699E-2</v>
      </c>
      <c r="O429" s="32">
        <v>3.5478260869565299E-2</v>
      </c>
      <c r="P429" s="24">
        <f t="shared" si="28"/>
        <v>9.3583333333333352E-2</v>
      </c>
    </row>
    <row r="430" spans="1:16" x14ac:dyDescent="0.3">
      <c r="A430" s="2">
        <v>30560</v>
      </c>
      <c r="B430" s="23">
        <v>8.8000000000000009E-2</v>
      </c>
      <c r="C430" s="5">
        <f t="shared" si="31"/>
        <v>0</v>
      </c>
      <c r="D430" s="5">
        <f t="shared" si="30"/>
        <v>0</v>
      </c>
      <c r="E430" s="5">
        <f t="shared" si="30"/>
        <v>0</v>
      </c>
      <c r="F430" s="5">
        <f t="shared" si="30"/>
        <v>0</v>
      </c>
      <c r="G430" s="5">
        <f t="shared" si="30"/>
        <v>0</v>
      </c>
      <c r="H430" s="5">
        <f t="shared" si="30"/>
        <v>0</v>
      </c>
      <c r="I430" s="5">
        <f t="shared" si="30"/>
        <v>0</v>
      </c>
      <c r="J430" s="5">
        <f t="shared" si="30"/>
        <v>0</v>
      </c>
      <c r="K430" s="5">
        <f t="shared" si="30"/>
        <v>1</v>
      </c>
      <c r="L430" s="5">
        <f t="shared" si="30"/>
        <v>0</v>
      </c>
      <c r="M430" s="5">
        <f t="shared" si="30"/>
        <v>0</v>
      </c>
      <c r="N430" s="32">
        <v>5.4768115942028898E-2</v>
      </c>
      <c r="O430" s="32">
        <v>3.323188405797111E-2</v>
      </c>
      <c r="P430" s="24">
        <f t="shared" si="28"/>
        <v>9.1336956521739149E-2</v>
      </c>
    </row>
    <row r="431" spans="1:16" x14ac:dyDescent="0.3">
      <c r="A431" s="2">
        <v>30590</v>
      </c>
      <c r="B431" s="23">
        <v>8.4000000000000005E-2</v>
      </c>
      <c r="C431" s="5">
        <f t="shared" si="31"/>
        <v>0</v>
      </c>
      <c r="D431" s="5">
        <f t="shared" si="30"/>
        <v>0</v>
      </c>
      <c r="E431" s="5">
        <f t="shared" si="30"/>
        <v>0</v>
      </c>
      <c r="F431" s="5">
        <f t="shared" si="30"/>
        <v>0</v>
      </c>
      <c r="G431" s="5">
        <f t="shared" si="30"/>
        <v>0</v>
      </c>
      <c r="H431" s="5">
        <f t="shared" si="30"/>
        <v>0</v>
      </c>
      <c r="I431" s="5">
        <f t="shared" si="30"/>
        <v>0</v>
      </c>
      <c r="J431" s="5">
        <f t="shared" si="30"/>
        <v>0</v>
      </c>
      <c r="K431" s="5">
        <f t="shared" si="30"/>
        <v>0</v>
      </c>
      <c r="L431" s="5">
        <f t="shared" si="30"/>
        <v>1</v>
      </c>
      <c r="M431" s="5">
        <f t="shared" si="30"/>
        <v>0</v>
      </c>
      <c r="N431" s="32">
        <v>5.3115942028985473E-2</v>
      </c>
      <c r="O431" s="32">
        <v>3.0884057971014532E-2</v>
      </c>
      <c r="P431" s="24">
        <f t="shared" si="28"/>
        <v>8.8989130434782571E-2</v>
      </c>
    </row>
    <row r="432" spans="1:16" x14ac:dyDescent="0.3">
      <c r="A432" s="2">
        <v>30621</v>
      </c>
      <c r="B432" s="23">
        <v>8.1000000000000003E-2</v>
      </c>
      <c r="C432" s="5">
        <f t="shared" si="31"/>
        <v>0</v>
      </c>
      <c r="D432" s="5">
        <f t="shared" si="30"/>
        <v>0</v>
      </c>
      <c r="E432" s="5">
        <f t="shared" si="30"/>
        <v>0</v>
      </c>
      <c r="F432" s="5">
        <f t="shared" si="30"/>
        <v>0</v>
      </c>
      <c r="G432" s="5">
        <f t="shared" si="30"/>
        <v>0</v>
      </c>
      <c r="H432" s="5">
        <f t="shared" si="30"/>
        <v>0</v>
      </c>
      <c r="I432" s="5">
        <f t="shared" si="30"/>
        <v>0</v>
      </c>
      <c r="J432" s="5">
        <f t="shared" si="30"/>
        <v>0</v>
      </c>
      <c r="K432" s="5">
        <f t="shared" si="30"/>
        <v>0</v>
      </c>
      <c r="L432" s="5">
        <f t="shared" si="30"/>
        <v>0</v>
      </c>
      <c r="M432" s="5">
        <f t="shared" si="30"/>
        <v>1</v>
      </c>
      <c r="N432" s="32">
        <v>5.4782608695652081E-2</v>
      </c>
      <c r="O432" s="32">
        <v>2.6217391304347921E-2</v>
      </c>
      <c r="P432" s="24">
        <f t="shared" si="28"/>
        <v>8.4322463768115974E-2</v>
      </c>
    </row>
    <row r="433" spans="1:16" x14ac:dyDescent="0.3">
      <c r="A433" s="2">
        <v>30651</v>
      </c>
      <c r="B433" s="23">
        <v>0.08</v>
      </c>
      <c r="C433" s="5">
        <f t="shared" si="31"/>
        <v>0</v>
      </c>
      <c r="D433" s="5">
        <f t="shared" si="30"/>
        <v>0</v>
      </c>
      <c r="E433" s="5">
        <f t="shared" si="30"/>
        <v>0</v>
      </c>
      <c r="F433" s="5">
        <f t="shared" si="30"/>
        <v>0</v>
      </c>
      <c r="G433" s="5">
        <f t="shared" si="30"/>
        <v>0</v>
      </c>
      <c r="H433" s="5">
        <f t="shared" si="30"/>
        <v>0</v>
      </c>
      <c r="I433" s="5">
        <f t="shared" si="30"/>
        <v>0</v>
      </c>
      <c r="J433" s="5">
        <f t="shared" si="30"/>
        <v>0</v>
      </c>
      <c r="K433" s="5">
        <f t="shared" si="30"/>
        <v>0</v>
      </c>
      <c r="L433" s="5">
        <f t="shared" si="30"/>
        <v>0</v>
      </c>
      <c r="M433" s="5">
        <f t="shared" si="30"/>
        <v>0</v>
      </c>
      <c r="N433" s="32">
        <v>5.5202898550724598E-2</v>
      </c>
      <c r="O433" s="32">
        <v>2.4797101449275404E-2</v>
      </c>
      <c r="P433" s="24">
        <f t="shared" si="28"/>
        <v>8.2902173913043442E-2</v>
      </c>
    </row>
    <row r="434" spans="1:16" x14ac:dyDescent="0.3">
      <c r="A434" s="2">
        <v>30682</v>
      </c>
      <c r="B434" s="23">
        <v>8.8000000000000009E-2</v>
      </c>
      <c r="C434" s="5">
        <f t="shared" si="31"/>
        <v>1</v>
      </c>
      <c r="D434" s="5">
        <f t="shared" si="30"/>
        <v>0</v>
      </c>
      <c r="E434" s="5">
        <f t="shared" si="30"/>
        <v>0</v>
      </c>
      <c r="F434" s="5">
        <f t="shared" si="30"/>
        <v>0</v>
      </c>
      <c r="G434" s="5">
        <f t="shared" si="30"/>
        <v>0</v>
      </c>
      <c r="H434" s="5">
        <f t="shared" si="30"/>
        <v>0</v>
      </c>
      <c r="I434" s="5">
        <f t="shared" si="30"/>
        <v>0</v>
      </c>
      <c r="J434" s="5">
        <f t="shared" si="30"/>
        <v>0</v>
      </c>
      <c r="K434" s="5">
        <f t="shared" si="30"/>
        <v>0</v>
      </c>
      <c r="L434" s="5">
        <f t="shared" si="30"/>
        <v>0</v>
      </c>
      <c r="M434" s="5">
        <f t="shared" si="30"/>
        <v>0</v>
      </c>
      <c r="N434" s="32">
        <v>6.4492753623188417E-2</v>
      </c>
      <c r="O434" s="32">
        <v>2.3507246376811591E-2</v>
      </c>
      <c r="P434" s="24">
        <f t="shared" si="28"/>
        <v>8.1612318840579637E-2</v>
      </c>
    </row>
    <row r="435" spans="1:16" x14ac:dyDescent="0.3">
      <c r="A435" s="2">
        <v>30713</v>
      </c>
      <c r="B435" s="23">
        <v>8.4000000000000005E-2</v>
      </c>
      <c r="C435" s="5">
        <f t="shared" si="31"/>
        <v>0</v>
      </c>
      <c r="D435" s="5">
        <f t="shared" si="30"/>
        <v>1</v>
      </c>
      <c r="E435" s="5">
        <f t="shared" si="30"/>
        <v>0</v>
      </c>
      <c r="F435" s="5">
        <f t="shared" si="30"/>
        <v>0</v>
      </c>
      <c r="G435" s="5">
        <f t="shared" si="30"/>
        <v>0</v>
      </c>
      <c r="H435" s="5">
        <f t="shared" si="30"/>
        <v>0</v>
      </c>
      <c r="I435" s="5">
        <f t="shared" si="30"/>
        <v>0</v>
      </c>
      <c r="J435" s="5">
        <f t="shared" si="30"/>
        <v>0</v>
      </c>
      <c r="K435" s="5">
        <f t="shared" si="30"/>
        <v>0</v>
      </c>
      <c r="L435" s="5">
        <f t="shared" si="30"/>
        <v>0</v>
      </c>
      <c r="M435" s="5">
        <f t="shared" si="30"/>
        <v>0</v>
      </c>
      <c r="N435" s="32">
        <v>6.4391304347825973E-2</v>
      </c>
      <c r="O435" s="32">
        <v>1.9608695652174032E-2</v>
      </c>
      <c r="P435" s="24">
        <f t="shared" si="28"/>
        <v>7.7713768115942078E-2</v>
      </c>
    </row>
    <row r="436" spans="1:16" x14ac:dyDescent="0.3">
      <c r="A436" s="2">
        <v>30742</v>
      </c>
      <c r="B436" s="23">
        <v>8.1000000000000003E-2</v>
      </c>
      <c r="C436" s="5">
        <f t="shared" si="31"/>
        <v>0</v>
      </c>
      <c r="D436" s="5">
        <f t="shared" si="30"/>
        <v>0</v>
      </c>
      <c r="E436" s="5">
        <f t="shared" si="30"/>
        <v>1</v>
      </c>
      <c r="F436" s="5">
        <f t="shared" si="30"/>
        <v>0</v>
      </c>
      <c r="G436" s="5">
        <f t="shared" si="30"/>
        <v>0</v>
      </c>
      <c r="H436" s="5">
        <f t="shared" si="30"/>
        <v>0</v>
      </c>
      <c r="I436" s="5">
        <f t="shared" si="30"/>
        <v>0</v>
      </c>
      <c r="J436" s="5">
        <f t="shared" si="30"/>
        <v>0</v>
      </c>
      <c r="K436" s="5">
        <f t="shared" si="30"/>
        <v>0</v>
      </c>
      <c r="L436" s="5">
        <f t="shared" si="30"/>
        <v>0</v>
      </c>
      <c r="M436" s="5">
        <f t="shared" si="30"/>
        <v>0</v>
      </c>
      <c r="N436" s="32">
        <v>6.1652173913043402E-2</v>
      </c>
      <c r="O436" s="32">
        <v>1.93478260869566E-2</v>
      </c>
      <c r="P436" s="24">
        <f t="shared" si="28"/>
        <v>7.7452898550724653E-2</v>
      </c>
    </row>
    <row r="437" spans="1:16" x14ac:dyDescent="0.3">
      <c r="A437" s="2">
        <v>30773</v>
      </c>
      <c r="B437" s="23">
        <v>7.5999999999999998E-2</v>
      </c>
      <c r="C437" s="5">
        <f t="shared" si="31"/>
        <v>0</v>
      </c>
      <c r="D437" s="5">
        <f t="shared" si="30"/>
        <v>0</v>
      </c>
      <c r="E437" s="5">
        <f t="shared" si="30"/>
        <v>0</v>
      </c>
      <c r="F437" s="5">
        <f t="shared" si="30"/>
        <v>1</v>
      </c>
      <c r="G437" s="5">
        <f t="shared" si="30"/>
        <v>0</v>
      </c>
      <c r="H437" s="5">
        <f t="shared" si="30"/>
        <v>0</v>
      </c>
      <c r="I437" s="5">
        <f t="shared" si="30"/>
        <v>0</v>
      </c>
      <c r="J437" s="5">
        <f t="shared" si="30"/>
        <v>0</v>
      </c>
      <c r="K437" s="5">
        <f t="shared" si="30"/>
        <v>0</v>
      </c>
      <c r="L437" s="5">
        <f t="shared" si="30"/>
        <v>0</v>
      </c>
      <c r="M437" s="5">
        <f t="shared" si="30"/>
        <v>0</v>
      </c>
      <c r="N437" s="32">
        <v>5.6550724637681071E-2</v>
      </c>
      <c r="O437" s="32">
        <v>1.9449275362318927E-2</v>
      </c>
      <c r="P437" s="24">
        <f t="shared" si="28"/>
        <v>7.7554347826086972E-2</v>
      </c>
    </row>
    <row r="438" spans="1:16" x14ac:dyDescent="0.3">
      <c r="A438" s="2">
        <v>30803</v>
      </c>
      <c r="B438" s="23">
        <v>7.2000000000000008E-2</v>
      </c>
      <c r="C438" s="5">
        <f t="shared" si="31"/>
        <v>0</v>
      </c>
      <c r="D438" s="5">
        <f t="shared" si="30"/>
        <v>0</v>
      </c>
      <c r="E438" s="5">
        <f t="shared" si="30"/>
        <v>0</v>
      </c>
      <c r="F438" s="5">
        <f t="shared" si="30"/>
        <v>0</v>
      </c>
      <c r="G438" s="5">
        <f t="shared" si="30"/>
        <v>1</v>
      </c>
      <c r="H438" s="5">
        <f t="shared" si="30"/>
        <v>0</v>
      </c>
      <c r="I438" s="5">
        <f t="shared" si="30"/>
        <v>0</v>
      </c>
      <c r="J438" s="5">
        <f t="shared" si="30"/>
        <v>0</v>
      </c>
      <c r="K438" s="5">
        <f t="shared" si="30"/>
        <v>0</v>
      </c>
      <c r="L438" s="5">
        <f t="shared" si="30"/>
        <v>0</v>
      </c>
      <c r="M438" s="5">
        <f t="shared" si="30"/>
        <v>0</v>
      </c>
      <c r="N438" s="32">
        <v>5.5101449275362209E-2</v>
      </c>
      <c r="O438" s="32">
        <v>1.6898550724637799E-2</v>
      </c>
      <c r="P438" s="24">
        <f t="shared" si="28"/>
        <v>7.5003623188405838E-2</v>
      </c>
    </row>
    <row r="439" spans="1:16" x14ac:dyDescent="0.3">
      <c r="A439" s="2">
        <v>30834</v>
      </c>
      <c r="B439" s="23">
        <v>7.400000000000001E-2</v>
      </c>
      <c r="C439" s="5">
        <f t="shared" si="31"/>
        <v>0</v>
      </c>
      <c r="D439" s="5">
        <f t="shared" si="30"/>
        <v>0</v>
      </c>
      <c r="E439" s="5">
        <f t="shared" si="30"/>
        <v>0</v>
      </c>
      <c r="F439" s="5">
        <f t="shared" si="30"/>
        <v>0</v>
      </c>
      <c r="G439" s="5">
        <f t="shared" si="30"/>
        <v>0</v>
      </c>
      <c r="H439" s="5">
        <f t="shared" si="30"/>
        <v>1</v>
      </c>
      <c r="I439" s="5">
        <f t="shared" si="30"/>
        <v>0</v>
      </c>
      <c r="J439" s="5">
        <f t="shared" si="30"/>
        <v>0</v>
      </c>
      <c r="K439" s="5">
        <f t="shared" si="30"/>
        <v>0</v>
      </c>
      <c r="L439" s="5">
        <f t="shared" si="30"/>
        <v>0</v>
      </c>
      <c r="M439" s="5">
        <f t="shared" si="30"/>
        <v>0</v>
      </c>
      <c r="N439" s="32">
        <v>6.1130434782608579E-2</v>
      </c>
      <c r="O439" s="32">
        <v>1.2869565217391431E-2</v>
      </c>
      <c r="P439" s="24">
        <f t="shared" si="28"/>
        <v>7.0974637681159469E-2</v>
      </c>
    </row>
    <row r="440" spans="1:16" x14ac:dyDescent="0.3">
      <c r="A440" s="2">
        <v>30864</v>
      </c>
      <c r="B440" s="23">
        <v>7.4999999999999997E-2</v>
      </c>
      <c r="C440" s="5">
        <f t="shared" si="31"/>
        <v>0</v>
      </c>
      <c r="D440" s="5">
        <f t="shared" si="30"/>
        <v>0</v>
      </c>
      <c r="E440" s="5">
        <f t="shared" si="30"/>
        <v>0</v>
      </c>
      <c r="F440" s="5">
        <f t="shared" si="30"/>
        <v>0</v>
      </c>
      <c r="G440" s="5">
        <f t="shared" si="30"/>
        <v>0</v>
      </c>
      <c r="H440" s="5">
        <f t="shared" si="30"/>
        <v>0</v>
      </c>
      <c r="I440" s="5">
        <f t="shared" si="30"/>
        <v>1</v>
      </c>
      <c r="J440" s="5">
        <f t="shared" si="30"/>
        <v>0</v>
      </c>
      <c r="K440" s="5">
        <f t="shared" si="30"/>
        <v>0</v>
      </c>
      <c r="L440" s="5">
        <f t="shared" si="30"/>
        <v>0</v>
      </c>
      <c r="M440" s="5">
        <f t="shared" si="30"/>
        <v>0</v>
      </c>
      <c r="N440" s="32">
        <v>5.9550724637681039E-2</v>
      </c>
      <c r="O440" s="32">
        <v>1.5449275362318958E-2</v>
      </c>
      <c r="P440" s="24">
        <f t="shared" si="28"/>
        <v>7.3554347826086997E-2</v>
      </c>
    </row>
    <row r="441" spans="1:16" x14ac:dyDescent="0.3">
      <c r="A441" s="2">
        <v>30895</v>
      </c>
      <c r="B441" s="23">
        <v>7.2999999999999995E-2</v>
      </c>
      <c r="C441" s="5">
        <f t="shared" si="31"/>
        <v>0</v>
      </c>
      <c r="D441" s="5">
        <f t="shared" si="30"/>
        <v>0</v>
      </c>
      <c r="E441" s="5">
        <f t="shared" si="30"/>
        <v>0</v>
      </c>
      <c r="F441" s="5">
        <f t="shared" si="30"/>
        <v>0</v>
      </c>
      <c r="G441" s="5">
        <f t="shared" si="30"/>
        <v>0</v>
      </c>
      <c r="H441" s="5">
        <f t="shared" si="30"/>
        <v>0</v>
      </c>
      <c r="I441" s="5">
        <f t="shared" si="30"/>
        <v>0</v>
      </c>
      <c r="J441" s="5">
        <f t="shared" si="30"/>
        <v>1</v>
      </c>
      <c r="K441" s="5">
        <f t="shared" si="30"/>
        <v>0</v>
      </c>
      <c r="L441" s="5">
        <f t="shared" si="30"/>
        <v>0</v>
      </c>
      <c r="M441" s="5">
        <f t="shared" si="30"/>
        <v>0</v>
      </c>
      <c r="N441" s="32">
        <v>5.6521739130434699E-2</v>
      </c>
      <c r="O441" s="32">
        <v>1.6478260869565296E-2</v>
      </c>
      <c r="P441" s="24">
        <f t="shared" si="28"/>
        <v>7.4583333333333335E-2</v>
      </c>
    </row>
    <row r="442" spans="1:16" x14ac:dyDescent="0.3">
      <c r="A442" s="2">
        <v>30926</v>
      </c>
      <c r="B442" s="23">
        <v>7.0999999999999994E-2</v>
      </c>
      <c r="C442" s="5">
        <f t="shared" si="31"/>
        <v>0</v>
      </c>
      <c r="D442" s="5">
        <f t="shared" si="30"/>
        <v>0</v>
      </c>
      <c r="E442" s="5">
        <f t="shared" si="30"/>
        <v>0</v>
      </c>
      <c r="F442" s="5">
        <f t="shared" si="30"/>
        <v>0</v>
      </c>
      <c r="G442" s="5">
        <f t="shared" si="30"/>
        <v>0</v>
      </c>
      <c r="H442" s="5">
        <f t="shared" si="30"/>
        <v>0</v>
      </c>
      <c r="I442" s="5">
        <f t="shared" si="30"/>
        <v>0</v>
      </c>
      <c r="J442" s="5">
        <f t="shared" si="30"/>
        <v>0</v>
      </c>
      <c r="K442" s="5">
        <f t="shared" si="30"/>
        <v>1</v>
      </c>
      <c r="L442" s="5">
        <f t="shared" si="30"/>
        <v>0</v>
      </c>
      <c r="M442" s="5">
        <f t="shared" si="30"/>
        <v>0</v>
      </c>
      <c r="N442" s="32">
        <v>5.4768115942028898E-2</v>
      </c>
      <c r="O442" s="32">
        <v>1.6231884057971095E-2</v>
      </c>
      <c r="P442" s="24">
        <f t="shared" si="28"/>
        <v>7.4336956521739134E-2</v>
      </c>
    </row>
    <row r="443" spans="1:16" x14ac:dyDescent="0.3">
      <c r="A443" s="2">
        <v>30956</v>
      </c>
      <c r="B443" s="23">
        <v>7.0000000000000007E-2</v>
      </c>
      <c r="C443" s="5">
        <f t="shared" si="31"/>
        <v>0</v>
      </c>
      <c r="D443" s="5">
        <f t="shared" si="30"/>
        <v>0</v>
      </c>
      <c r="E443" s="5">
        <f t="shared" si="30"/>
        <v>0</v>
      </c>
      <c r="F443" s="5">
        <f t="shared" si="30"/>
        <v>0</v>
      </c>
      <c r="G443" s="5">
        <f t="shared" si="30"/>
        <v>0</v>
      </c>
      <c r="H443" s="5">
        <f t="shared" si="30"/>
        <v>0</v>
      </c>
      <c r="I443" s="5">
        <f t="shared" si="30"/>
        <v>0</v>
      </c>
      <c r="J443" s="5">
        <f t="shared" si="30"/>
        <v>0</v>
      </c>
      <c r="K443" s="5">
        <f t="shared" si="30"/>
        <v>0</v>
      </c>
      <c r="L443" s="5">
        <f t="shared" si="30"/>
        <v>1</v>
      </c>
      <c r="M443" s="5">
        <f t="shared" si="30"/>
        <v>0</v>
      </c>
      <c r="N443" s="32">
        <v>5.3115942028985473E-2</v>
      </c>
      <c r="O443" s="32">
        <v>1.6884057971014534E-2</v>
      </c>
      <c r="P443" s="24">
        <f t="shared" si="28"/>
        <v>7.4989130434782586E-2</v>
      </c>
    </row>
    <row r="444" spans="1:16" x14ac:dyDescent="0.3">
      <c r="A444" s="2">
        <v>30987</v>
      </c>
      <c r="B444" s="23">
        <v>6.9000000000000006E-2</v>
      </c>
      <c r="C444" s="5">
        <f t="shared" si="31"/>
        <v>0</v>
      </c>
      <c r="D444" s="5">
        <f t="shared" si="30"/>
        <v>0</v>
      </c>
      <c r="E444" s="5">
        <f t="shared" si="30"/>
        <v>0</v>
      </c>
      <c r="F444" s="5">
        <f t="shared" si="30"/>
        <v>0</v>
      </c>
      <c r="G444" s="5">
        <f t="shared" si="30"/>
        <v>0</v>
      </c>
      <c r="H444" s="5">
        <f t="shared" si="30"/>
        <v>0</v>
      </c>
      <c r="I444" s="5">
        <f t="shared" si="30"/>
        <v>0</v>
      </c>
      <c r="J444" s="5">
        <f t="shared" si="30"/>
        <v>0</v>
      </c>
      <c r="K444" s="5">
        <f t="shared" si="30"/>
        <v>0</v>
      </c>
      <c r="L444" s="5">
        <f t="shared" si="30"/>
        <v>0</v>
      </c>
      <c r="M444" s="5">
        <f t="shared" si="30"/>
        <v>1</v>
      </c>
      <c r="N444" s="32">
        <v>5.4782608695652081E-2</v>
      </c>
      <c r="O444" s="32">
        <v>1.4217391304347925E-2</v>
      </c>
      <c r="P444" s="24">
        <f t="shared" si="28"/>
        <v>7.2322463768115963E-2</v>
      </c>
    </row>
    <row r="445" spans="1:16" x14ac:dyDescent="0.3">
      <c r="A445" s="2">
        <v>31017</v>
      </c>
      <c r="B445" s="23">
        <v>7.0000000000000007E-2</v>
      </c>
      <c r="C445" s="5">
        <f t="shared" si="31"/>
        <v>0</v>
      </c>
      <c r="D445" s="5">
        <f t="shared" si="30"/>
        <v>0</v>
      </c>
      <c r="E445" s="5">
        <f t="shared" si="30"/>
        <v>0</v>
      </c>
      <c r="F445" s="5">
        <f t="shared" si="30"/>
        <v>0</v>
      </c>
      <c r="G445" s="5">
        <f t="shared" si="30"/>
        <v>0</v>
      </c>
      <c r="H445" s="5">
        <f t="shared" si="30"/>
        <v>0</v>
      </c>
      <c r="I445" s="5">
        <f t="shared" si="30"/>
        <v>0</v>
      </c>
      <c r="J445" s="5">
        <f t="shared" si="30"/>
        <v>0</v>
      </c>
      <c r="K445" s="5">
        <f t="shared" si="30"/>
        <v>0</v>
      </c>
      <c r="L445" s="5">
        <f t="shared" si="30"/>
        <v>0</v>
      </c>
      <c r="M445" s="5">
        <f t="shared" si="30"/>
        <v>0</v>
      </c>
      <c r="N445" s="32">
        <v>5.5202898550724598E-2</v>
      </c>
      <c r="O445" s="32">
        <v>1.4797101449275409E-2</v>
      </c>
      <c r="P445" s="24">
        <f t="shared" si="28"/>
        <v>7.2902173913043461E-2</v>
      </c>
    </row>
    <row r="446" spans="1:16" x14ac:dyDescent="0.3">
      <c r="A446" s="2">
        <v>31048</v>
      </c>
      <c r="B446" s="23">
        <v>0.08</v>
      </c>
      <c r="C446" s="5">
        <f t="shared" si="31"/>
        <v>1</v>
      </c>
      <c r="D446" s="5">
        <f t="shared" si="30"/>
        <v>0</v>
      </c>
      <c r="E446" s="5">
        <f t="shared" si="30"/>
        <v>0</v>
      </c>
      <c r="F446" s="5">
        <f t="shared" si="30"/>
        <v>0</v>
      </c>
      <c r="G446" s="5">
        <f t="shared" si="30"/>
        <v>0</v>
      </c>
      <c r="H446" s="5">
        <f t="shared" si="30"/>
        <v>0</v>
      </c>
      <c r="I446" s="5">
        <f t="shared" si="30"/>
        <v>0</v>
      </c>
      <c r="J446" s="5">
        <f t="shared" si="30"/>
        <v>0</v>
      </c>
      <c r="K446" s="5">
        <f t="shared" si="30"/>
        <v>0</v>
      </c>
      <c r="L446" s="5">
        <f t="shared" si="30"/>
        <v>0</v>
      </c>
      <c r="M446" s="5">
        <f t="shared" si="30"/>
        <v>0</v>
      </c>
      <c r="N446" s="32">
        <v>6.4492753623188417E-2</v>
      </c>
      <c r="O446" s="32">
        <v>1.5507246376811584E-2</v>
      </c>
      <c r="P446" s="24">
        <f t="shared" si="28"/>
        <v>7.361231884057963E-2</v>
      </c>
    </row>
    <row r="447" spans="1:16" x14ac:dyDescent="0.3">
      <c r="A447" s="2">
        <v>31079</v>
      </c>
      <c r="B447" s="23">
        <v>7.8E-2</v>
      </c>
      <c r="C447" s="5">
        <f t="shared" si="31"/>
        <v>0</v>
      </c>
      <c r="D447" s="5">
        <f t="shared" si="30"/>
        <v>1</v>
      </c>
      <c r="E447" s="5">
        <f t="shared" si="30"/>
        <v>0</v>
      </c>
      <c r="F447" s="5">
        <f t="shared" si="30"/>
        <v>0</v>
      </c>
      <c r="G447" s="5">
        <f t="shared" si="30"/>
        <v>0</v>
      </c>
      <c r="H447" s="5">
        <f t="shared" si="30"/>
        <v>0</v>
      </c>
      <c r="I447" s="5">
        <f t="shared" si="30"/>
        <v>0</v>
      </c>
      <c r="J447" s="5">
        <f t="shared" si="30"/>
        <v>0</v>
      </c>
      <c r="K447" s="5">
        <f t="shared" si="30"/>
        <v>0</v>
      </c>
      <c r="L447" s="5">
        <f t="shared" ref="D447:M473" si="32">IF(MONTH($A447)=L$1,1,0)</f>
        <v>0</v>
      </c>
      <c r="M447" s="5">
        <f t="shared" si="32"/>
        <v>0</v>
      </c>
      <c r="N447" s="32">
        <v>6.4391304347825973E-2</v>
      </c>
      <c r="O447" s="32">
        <v>1.3608695652174027E-2</v>
      </c>
      <c r="P447" s="24">
        <f t="shared" si="28"/>
        <v>7.1713768115942073E-2</v>
      </c>
    </row>
    <row r="448" spans="1:16" x14ac:dyDescent="0.3">
      <c r="A448" s="2">
        <v>31107</v>
      </c>
      <c r="B448" s="23">
        <v>7.4999999999999997E-2</v>
      </c>
      <c r="C448" s="5">
        <f t="shared" si="31"/>
        <v>0</v>
      </c>
      <c r="D448" s="5">
        <f t="shared" si="32"/>
        <v>0</v>
      </c>
      <c r="E448" s="5">
        <f t="shared" si="32"/>
        <v>1</v>
      </c>
      <c r="F448" s="5">
        <f t="shared" si="32"/>
        <v>0</v>
      </c>
      <c r="G448" s="5">
        <f t="shared" si="32"/>
        <v>0</v>
      </c>
      <c r="H448" s="5">
        <f t="shared" si="32"/>
        <v>0</v>
      </c>
      <c r="I448" s="5">
        <f t="shared" si="32"/>
        <v>0</v>
      </c>
      <c r="J448" s="5">
        <f t="shared" si="32"/>
        <v>0</v>
      </c>
      <c r="K448" s="5">
        <f t="shared" si="32"/>
        <v>0</v>
      </c>
      <c r="L448" s="5">
        <f t="shared" si="32"/>
        <v>0</v>
      </c>
      <c r="M448" s="5">
        <f t="shared" si="32"/>
        <v>0</v>
      </c>
      <c r="N448" s="32">
        <v>6.1652173913043402E-2</v>
      </c>
      <c r="O448" s="32">
        <v>1.3347826086956595E-2</v>
      </c>
      <c r="P448" s="24">
        <f t="shared" si="28"/>
        <v>7.1452898550724647E-2</v>
      </c>
    </row>
    <row r="449" spans="1:16" x14ac:dyDescent="0.3">
      <c r="A449" s="2">
        <v>31138</v>
      </c>
      <c r="B449" s="23">
        <v>7.0999999999999994E-2</v>
      </c>
      <c r="C449" s="5">
        <f t="shared" si="31"/>
        <v>0</v>
      </c>
      <c r="D449" s="5">
        <f t="shared" si="32"/>
        <v>0</v>
      </c>
      <c r="E449" s="5">
        <f t="shared" si="32"/>
        <v>0</v>
      </c>
      <c r="F449" s="5">
        <f t="shared" si="32"/>
        <v>1</v>
      </c>
      <c r="G449" s="5">
        <f t="shared" si="32"/>
        <v>0</v>
      </c>
      <c r="H449" s="5">
        <f t="shared" si="32"/>
        <v>0</v>
      </c>
      <c r="I449" s="5">
        <f t="shared" si="32"/>
        <v>0</v>
      </c>
      <c r="J449" s="5">
        <f t="shared" si="32"/>
        <v>0</v>
      </c>
      <c r="K449" s="5">
        <f t="shared" si="32"/>
        <v>0</v>
      </c>
      <c r="L449" s="5">
        <f t="shared" si="32"/>
        <v>0</v>
      </c>
      <c r="M449" s="5">
        <f t="shared" si="32"/>
        <v>0</v>
      </c>
      <c r="N449" s="32">
        <v>5.6550724637681071E-2</v>
      </c>
      <c r="O449" s="32">
        <v>1.4449275362318922E-2</v>
      </c>
      <c r="P449" s="24">
        <f t="shared" si="28"/>
        <v>7.2554347826086968E-2</v>
      </c>
    </row>
    <row r="450" spans="1:16" x14ac:dyDescent="0.3">
      <c r="A450" s="2">
        <v>31168</v>
      </c>
      <c r="B450" s="23">
        <v>7.0000000000000007E-2</v>
      </c>
      <c r="C450" s="5">
        <f t="shared" si="31"/>
        <v>0</v>
      </c>
      <c r="D450" s="5">
        <f t="shared" si="32"/>
        <v>0</v>
      </c>
      <c r="E450" s="5">
        <f t="shared" si="32"/>
        <v>0</v>
      </c>
      <c r="F450" s="5">
        <f t="shared" si="32"/>
        <v>0</v>
      </c>
      <c r="G450" s="5">
        <f t="shared" si="32"/>
        <v>1</v>
      </c>
      <c r="H450" s="5">
        <f t="shared" si="32"/>
        <v>0</v>
      </c>
      <c r="I450" s="5">
        <f t="shared" si="32"/>
        <v>0</v>
      </c>
      <c r="J450" s="5">
        <f t="shared" si="32"/>
        <v>0</v>
      </c>
      <c r="K450" s="5">
        <f t="shared" si="32"/>
        <v>0</v>
      </c>
      <c r="L450" s="5">
        <f t="shared" si="32"/>
        <v>0</v>
      </c>
      <c r="M450" s="5">
        <f t="shared" si="32"/>
        <v>0</v>
      </c>
      <c r="N450" s="32">
        <v>5.5101449275362209E-2</v>
      </c>
      <c r="O450" s="32">
        <v>1.4898550724637798E-2</v>
      </c>
      <c r="P450" s="24">
        <f t="shared" si="28"/>
        <v>7.3003623188405836E-2</v>
      </c>
    </row>
    <row r="451" spans="1:16" x14ac:dyDescent="0.3">
      <c r="A451" s="2">
        <v>31199</v>
      </c>
      <c r="B451" s="23">
        <v>7.4999999999999997E-2</v>
      </c>
      <c r="C451" s="5">
        <f t="shared" si="31"/>
        <v>0</v>
      </c>
      <c r="D451" s="5">
        <f t="shared" si="32"/>
        <v>0</v>
      </c>
      <c r="E451" s="5">
        <f t="shared" si="32"/>
        <v>0</v>
      </c>
      <c r="F451" s="5">
        <f t="shared" si="32"/>
        <v>0</v>
      </c>
      <c r="G451" s="5">
        <f t="shared" si="32"/>
        <v>0</v>
      </c>
      <c r="H451" s="5">
        <f t="shared" si="32"/>
        <v>1</v>
      </c>
      <c r="I451" s="5">
        <f t="shared" si="32"/>
        <v>0</v>
      </c>
      <c r="J451" s="5">
        <f t="shared" si="32"/>
        <v>0</v>
      </c>
      <c r="K451" s="5">
        <f t="shared" si="32"/>
        <v>0</v>
      </c>
      <c r="L451" s="5">
        <f t="shared" si="32"/>
        <v>0</v>
      </c>
      <c r="M451" s="5">
        <f t="shared" si="32"/>
        <v>0</v>
      </c>
      <c r="N451" s="32">
        <v>6.1130434782608579E-2</v>
      </c>
      <c r="O451" s="32">
        <v>1.3869565217391418E-2</v>
      </c>
      <c r="P451" s="24">
        <f t="shared" ref="P451:P514" si="33">O451+$R$2</f>
        <v>7.197463768115947E-2</v>
      </c>
    </row>
    <row r="452" spans="1:16" x14ac:dyDescent="0.3">
      <c r="A452" s="2">
        <v>31229</v>
      </c>
      <c r="B452" s="23">
        <v>7.400000000000001E-2</v>
      </c>
      <c r="C452" s="5">
        <f t="shared" si="31"/>
        <v>0</v>
      </c>
      <c r="D452" s="5">
        <f t="shared" si="32"/>
        <v>0</v>
      </c>
      <c r="E452" s="5">
        <f t="shared" si="32"/>
        <v>0</v>
      </c>
      <c r="F452" s="5">
        <f t="shared" si="32"/>
        <v>0</v>
      </c>
      <c r="G452" s="5">
        <f t="shared" si="32"/>
        <v>0</v>
      </c>
      <c r="H452" s="5">
        <f t="shared" si="32"/>
        <v>0</v>
      </c>
      <c r="I452" s="5">
        <f t="shared" si="32"/>
        <v>1</v>
      </c>
      <c r="J452" s="5">
        <f t="shared" si="32"/>
        <v>0</v>
      </c>
      <c r="K452" s="5">
        <f t="shared" si="32"/>
        <v>0</v>
      </c>
      <c r="L452" s="5">
        <f t="shared" si="32"/>
        <v>0</v>
      </c>
      <c r="M452" s="5">
        <f t="shared" si="32"/>
        <v>0</v>
      </c>
      <c r="N452" s="32">
        <v>5.9550724637681039E-2</v>
      </c>
      <c r="O452" s="32">
        <v>1.4449275362318971E-2</v>
      </c>
      <c r="P452" s="24">
        <f t="shared" si="33"/>
        <v>7.2554347826087023E-2</v>
      </c>
    </row>
    <row r="453" spans="1:16" x14ac:dyDescent="0.3">
      <c r="A453" s="2">
        <v>31260</v>
      </c>
      <c r="B453" s="23">
        <v>6.9000000000000006E-2</v>
      </c>
      <c r="C453" s="5">
        <f t="shared" si="31"/>
        <v>0</v>
      </c>
      <c r="D453" s="5">
        <f t="shared" si="32"/>
        <v>0</v>
      </c>
      <c r="E453" s="5">
        <f t="shared" si="32"/>
        <v>0</v>
      </c>
      <c r="F453" s="5">
        <f t="shared" si="32"/>
        <v>0</v>
      </c>
      <c r="G453" s="5">
        <f t="shared" si="32"/>
        <v>0</v>
      </c>
      <c r="H453" s="5">
        <f t="shared" si="32"/>
        <v>0</v>
      </c>
      <c r="I453" s="5">
        <f t="shared" si="32"/>
        <v>0</v>
      </c>
      <c r="J453" s="5">
        <f t="shared" si="32"/>
        <v>1</v>
      </c>
      <c r="K453" s="5">
        <f t="shared" si="32"/>
        <v>0</v>
      </c>
      <c r="L453" s="5">
        <f t="shared" si="32"/>
        <v>0</v>
      </c>
      <c r="M453" s="5">
        <f t="shared" si="32"/>
        <v>0</v>
      </c>
      <c r="N453" s="32">
        <v>5.6521739130434699E-2</v>
      </c>
      <c r="O453" s="32">
        <v>1.2478260869565307E-2</v>
      </c>
      <c r="P453" s="24">
        <f t="shared" si="33"/>
        <v>7.0583333333333359E-2</v>
      </c>
    </row>
    <row r="454" spans="1:16" x14ac:dyDescent="0.3">
      <c r="A454" s="2">
        <v>31291</v>
      </c>
      <c r="B454" s="23">
        <v>6.9000000000000006E-2</v>
      </c>
      <c r="C454" s="5">
        <f t="shared" si="31"/>
        <v>0</v>
      </c>
      <c r="D454" s="5">
        <f t="shared" si="32"/>
        <v>0</v>
      </c>
      <c r="E454" s="5">
        <f t="shared" si="32"/>
        <v>0</v>
      </c>
      <c r="F454" s="5">
        <f t="shared" si="32"/>
        <v>0</v>
      </c>
      <c r="G454" s="5">
        <f t="shared" si="32"/>
        <v>0</v>
      </c>
      <c r="H454" s="5">
        <f t="shared" si="32"/>
        <v>0</v>
      </c>
      <c r="I454" s="5">
        <f t="shared" si="32"/>
        <v>0</v>
      </c>
      <c r="J454" s="5">
        <f t="shared" si="32"/>
        <v>0</v>
      </c>
      <c r="K454" s="5">
        <f t="shared" si="32"/>
        <v>1</v>
      </c>
      <c r="L454" s="5">
        <f t="shared" si="32"/>
        <v>0</v>
      </c>
      <c r="M454" s="5">
        <f t="shared" si="32"/>
        <v>0</v>
      </c>
      <c r="N454" s="32">
        <v>5.4768115942028898E-2</v>
      </c>
      <c r="O454" s="32">
        <v>1.4231884057971107E-2</v>
      </c>
      <c r="P454" s="24">
        <f t="shared" si="33"/>
        <v>7.233695652173916E-2</v>
      </c>
    </row>
    <row r="455" spans="1:16" x14ac:dyDescent="0.3">
      <c r="A455" s="2">
        <v>31321</v>
      </c>
      <c r="B455" s="23">
        <v>6.8000000000000005E-2</v>
      </c>
      <c r="C455" s="5">
        <f t="shared" si="31"/>
        <v>0</v>
      </c>
      <c r="D455" s="5">
        <f t="shared" si="32"/>
        <v>0</v>
      </c>
      <c r="E455" s="5">
        <f t="shared" si="32"/>
        <v>0</v>
      </c>
      <c r="F455" s="5">
        <f t="shared" si="32"/>
        <v>0</v>
      </c>
      <c r="G455" s="5">
        <f t="shared" si="32"/>
        <v>0</v>
      </c>
      <c r="H455" s="5">
        <f t="shared" si="32"/>
        <v>0</v>
      </c>
      <c r="I455" s="5">
        <f t="shared" si="32"/>
        <v>0</v>
      </c>
      <c r="J455" s="5">
        <f t="shared" si="32"/>
        <v>0</v>
      </c>
      <c r="K455" s="5">
        <f t="shared" si="32"/>
        <v>0</v>
      </c>
      <c r="L455" s="5">
        <f t="shared" si="32"/>
        <v>1</v>
      </c>
      <c r="M455" s="5">
        <f t="shared" si="32"/>
        <v>0</v>
      </c>
      <c r="N455" s="32">
        <v>5.3115942028985473E-2</v>
      </c>
      <c r="O455" s="32">
        <v>1.4884057971014532E-2</v>
      </c>
      <c r="P455" s="24">
        <f t="shared" si="33"/>
        <v>7.2989130434782584E-2</v>
      </c>
    </row>
    <row r="456" spans="1:16" x14ac:dyDescent="0.3">
      <c r="A456" s="2">
        <v>31352</v>
      </c>
      <c r="B456" s="23">
        <v>6.7000000000000004E-2</v>
      </c>
      <c r="C456" s="5">
        <f t="shared" si="31"/>
        <v>0</v>
      </c>
      <c r="D456" s="5">
        <f t="shared" si="32"/>
        <v>0</v>
      </c>
      <c r="E456" s="5">
        <f t="shared" si="32"/>
        <v>0</v>
      </c>
      <c r="F456" s="5">
        <f t="shared" si="32"/>
        <v>0</v>
      </c>
      <c r="G456" s="5">
        <f t="shared" si="32"/>
        <v>0</v>
      </c>
      <c r="H456" s="5">
        <f t="shared" si="32"/>
        <v>0</v>
      </c>
      <c r="I456" s="5">
        <f t="shared" si="32"/>
        <v>0</v>
      </c>
      <c r="J456" s="5">
        <f t="shared" si="32"/>
        <v>0</v>
      </c>
      <c r="K456" s="5">
        <f t="shared" si="32"/>
        <v>0</v>
      </c>
      <c r="L456" s="5">
        <f t="shared" si="32"/>
        <v>0</v>
      </c>
      <c r="M456" s="5">
        <f t="shared" si="32"/>
        <v>1</v>
      </c>
      <c r="N456" s="32">
        <v>5.4782608695652081E-2</v>
      </c>
      <c r="O456" s="32">
        <v>1.2217391304347923E-2</v>
      </c>
      <c r="P456" s="24">
        <f t="shared" si="33"/>
        <v>7.0322463768115961E-2</v>
      </c>
    </row>
    <row r="457" spans="1:16" x14ac:dyDescent="0.3">
      <c r="A457" s="2">
        <v>31382</v>
      </c>
      <c r="B457" s="23">
        <v>6.7000000000000004E-2</v>
      </c>
      <c r="C457" s="5">
        <f t="shared" si="31"/>
        <v>0</v>
      </c>
      <c r="D457" s="5">
        <f t="shared" si="32"/>
        <v>0</v>
      </c>
      <c r="E457" s="5">
        <f t="shared" si="32"/>
        <v>0</v>
      </c>
      <c r="F457" s="5">
        <f t="shared" si="32"/>
        <v>0</v>
      </c>
      <c r="G457" s="5">
        <f t="shared" si="32"/>
        <v>0</v>
      </c>
      <c r="H457" s="5">
        <f t="shared" si="32"/>
        <v>0</v>
      </c>
      <c r="I457" s="5">
        <f t="shared" si="32"/>
        <v>0</v>
      </c>
      <c r="J457" s="5">
        <f t="shared" si="32"/>
        <v>0</v>
      </c>
      <c r="K457" s="5">
        <f t="shared" si="32"/>
        <v>0</v>
      </c>
      <c r="L457" s="5">
        <f t="shared" si="32"/>
        <v>0</v>
      </c>
      <c r="M457" s="5">
        <f t="shared" si="32"/>
        <v>0</v>
      </c>
      <c r="N457" s="32">
        <v>5.5202898550724598E-2</v>
      </c>
      <c r="O457" s="32">
        <v>1.1797101449275406E-2</v>
      </c>
      <c r="P457" s="24">
        <f t="shared" si="33"/>
        <v>6.9902173913043458E-2</v>
      </c>
    </row>
    <row r="458" spans="1:16" x14ac:dyDescent="0.3">
      <c r="A458" s="2">
        <v>31413</v>
      </c>
      <c r="B458" s="23">
        <v>7.2999999999999995E-2</v>
      </c>
      <c r="C458" s="5">
        <f t="shared" si="31"/>
        <v>1</v>
      </c>
      <c r="D458" s="5">
        <f t="shared" si="32"/>
        <v>0</v>
      </c>
      <c r="E458" s="5">
        <f t="shared" si="32"/>
        <v>0</v>
      </c>
      <c r="F458" s="5">
        <f t="shared" si="32"/>
        <v>0</v>
      </c>
      <c r="G458" s="5">
        <f t="shared" si="32"/>
        <v>0</v>
      </c>
      <c r="H458" s="5">
        <f t="shared" si="32"/>
        <v>0</v>
      </c>
      <c r="I458" s="5">
        <f t="shared" si="32"/>
        <v>0</v>
      </c>
      <c r="J458" s="5">
        <f t="shared" si="32"/>
        <v>0</v>
      </c>
      <c r="K458" s="5">
        <f t="shared" si="32"/>
        <v>0</v>
      </c>
      <c r="L458" s="5">
        <f t="shared" si="32"/>
        <v>0</v>
      </c>
      <c r="M458" s="5">
        <f t="shared" si="32"/>
        <v>0</v>
      </c>
      <c r="N458" s="32">
        <v>6.4492753623188417E-2</v>
      </c>
      <c r="O458" s="32">
        <v>8.507246376811578E-3</v>
      </c>
      <c r="P458" s="24">
        <f t="shared" si="33"/>
        <v>6.6612318840579623E-2</v>
      </c>
    </row>
    <row r="459" spans="1:16" x14ac:dyDescent="0.3">
      <c r="A459" s="2">
        <v>31444</v>
      </c>
      <c r="B459" s="23">
        <v>7.8E-2</v>
      </c>
      <c r="C459" s="5">
        <f t="shared" si="31"/>
        <v>0</v>
      </c>
      <c r="D459" s="5">
        <f t="shared" si="32"/>
        <v>1</v>
      </c>
      <c r="E459" s="5">
        <f t="shared" si="32"/>
        <v>0</v>
      </c>
      <c r="F459" s="5">
        <f t="shared" si="32"/>
        <v>0</v>
      </c>
      <c r="G459" s="5">
        <f t="shared" si="32"/>
        <v>0</v>
      </c>
      <c r="H459" s="5">
        <f t="shared" si="32"/>
        <v>0</v>
      </c>
      <c r="I459" s="5">
        <f t="shared" si="32"/>
        <v>0</v>
      </c>
      <c r="J459" s="5">
        <f t="shared" si="32"/>
        <v>0</v>
      </c>
      <c r="K459" s="5">
        <f t="shared" si="32"/>
        <v>0</v>
      </c>
      <c r="L459" s="5">
        <f t="shared" si="32"/>
        <v>0</v>
      </c>
      <c r="M459" s="5">
        <f t="shared" si="32"/>
        <v>0</v>
      </c>
      <c r="N459" s="32">
        <v>6.4391304347825973E-2</v>
      </c>
      <c r="O459" s="32">
        <v>1.3608695652174027E-2</v>
      </c>
      <c r="P459" s="24">
        <f t="shared" si="33"/>
        <v>7.1713768115942073E-2</v>
      </c>
    </row>
    <row r="460" spans="1:16" x14ac:dyDescent="0.3">
      <c r="A460" s="2">
        <v>31472</v>
      </c>
      <c r="B460" s="23">
        <v>7.4999999999999997E-2</v>
      </c>
      <c r="C460" s="5">
        <f t="shared" si="31"/>
        <v>0</v>
      </c>
      <c r="D460" s="5">
        <f t="shared" si="32"/>
        <v>0</v>
      </c>
      <c r="E460" s="5">
        <f t="shared" si="32"/>
        <v>1</v>
      </c>
      <c r="F460" s="5">
        <f t="shared" si="32"/>
        <v>0</v>
      </c>
      <c r="G460" s="5">
        <f t="shared" si="32"/>
        <v>0</v>
      </c>
      <c r="H460" s="5">
        <f t="shared" si="32"/>
        <v>0</v>
      </c>
      <c r="I460" s="5">
        <f t="shared" si="32"/>
        <v>0</v>
      </c>
      <c r="J460" s="5">
        <f t="shared" si="32"/>
        <v>0</v>
      </c>
      <c r="K460" s="5">
        <f t="shared" si="32"/>
        <v>0</v>
      </c>
      <c r="L460" s="5">
        <f t="shared" si="32"/>
        <v>0</v>
      </c>
      <c r="M460" s="5">
        <f t="shared" si="32"/>
        <v>0</v>
      </c>
      <c r="N460" s="32">
        <v>6.1652173913043402E-2</v>
      </c>
      <c r="O460" s="32">
        <v>1.3347826086956595E-2</v>
      </c>
      <c r="P460" s="24">
        <f t="shared" si="33"/>
        <v>7.1452898550724647E-2</v>
      </c>
    </row>
    <row r="461" spans="1:16" x14ac:dyDescent="0.3">
      <c r="A461" s="2">
        <v>31503</v>
      </c>
      <c r="B461" s="23">
        <v>7.0000000000000007E-2</v>
      </c>
      <c r="C461" s="5">
        <f t="shared" si="31"/>
        <v>0</v>
      </c>
      <c r="D461" s="5">
        <f t="shared" si="32"/>
        <v>0</v>
      </c>
      <c r="E461" s="5">
        <f t="shared" si="32"/>
        <v>0</v>
      </c>
      <c r="F461" s="5">
        <f t="shared" si="32"/>
        <v>1</v>
      </c>
      <c r="G461" s="5">
        <f t="shared" si="32"/>
        <v>0</v>
      </c>
      <c r="H461" s="5">
        <f t="shared" si="32"/>
        <v>0</v>
      </c>
      <c r="I461" s="5">
        <f t="shared" si="32"/>
        <v>0</v>
      </c>
      <c r="J461" s="5">
        <f t="shared" si="32"/>
        <v>0</v>
      </c>
      <c r="K461" s="5">
        <f t="shared" si="32"/>
        <v>0</v>
      </c>
      <c r="L461" s="5">
        <f t="shared" si="32"/>
        <v>0</v>
      </c>
      <c r="M461" s="5">
        <f t="shared" si="32"/>
        <v>0</v>
      </c>
      <c r="N461" s="32">
        <v>5.6550724637681071E-2</v>
      </c>
      <c r="O461" s="32">
        <v>1.3449275362318935E-2</v>
      </c>
      <c r="P461" s="24">
        <f t="shared" si="33"/>
        <v>7.1554347826086981E-2</v>
      </c>
    </row>
    <row r="462" spans="1:16" x14ac:dyDescent="0.3">
      <c r="A462" s="2">
        <v>31533</v>
      </c>
      <c r="B462" s="23">
        <v>7.0000000000000007E-2</v>
      </c>
      <c r="C462" s="5">
        <f t="shared" si="31"/>
        <v>0</v>
      </c>
      <c r="D462" s="5">
        <f t="shared" si="32"/>
        <v>0</v>
      </c>
      <c r="E462" s="5">
        <f t="shared" si="32"/>
        <v>0</v>
      </c>
      <c r="F462" s="5">
        <f t="shared" si="32"/>
        <v>0</v>
      </c>
      <c r="G462" s="5">
        <f t="shared" si="32"/>
        <v>1</v>
      </c>
      <c r="H462" s="5">
        <f t="shared" si="32"/>
        <v>0</v>
      </c>
      <c r="I462" s="5">
        <f t="shared" si="32"/>
        <v>0</v>
      </c>
      <c r="J462" s="5">
        <f t="shared" si="32"/>
        <v>0</v>
      </c>
      <c r="K462" s="5">
        <f t="shared" si="32"/>
        <v>0</v>
      </c>
      <c r="L462" s="5">
        <f t="shared" si="32"/>
        <v>0</v>
      </c>
      <c r="M462" s="5">
        <f t="shared" si="32"/>
        <v>0</v>
      </c>
      <c r="N462" s="32">
        <v>5.5101449275362209E-2</v>
      </c>
      <c r="O462" s="32">
        <v>1.4898550724637798E-2</v>
      </c>
      <c r="P462" s="24">
        <f t="shared" si="33"/>
        <v>7.3003623188405836E-2</v>
      </c>
    </row>
    <row r="463" spans="1:16" x14ac:dyDescent="0.3">
      <c r="A463" s="2">
        <v>31564</v>
      </c>
      <c r="B463" s="23">
        <v>7.2999999999999995E-2</v>
      </c>
      <c r="C463" s="5">
        <f t="shared" si="31"/>
        <v>0</v>
      </c>
      <c r="D463" s="5">
        <f t="shared" si="32"/>
        <v>0</v>
      </c>
      <c r="E463" s="5">
        <f t="shared" si="32"/>
        <v>0</v>
      </c>
      <c r="F463" s="5">
        <f t="shared" si="32"/>
        <v>0</v>
      </c>
      <c r="G463" s="5">
        <f t="shared" si="32"/>
        <v>0</v>
      </c>
      <c r="H463" s="5">
        <f t="shared" si="32"/>
        <v>1</v>
      </c>
      <c r="I463" s="5">
        <f t="shared" si="32"/>
        <v>0</v>
      </c>
      <c r="J463" s="5">
        <f t="shared" si="32"/>
        <v>0</v>
      </c>
      <c r="K463" s="5">
        <f t="shared" si="32"/>
        <v>0</v>
      </c>
      <c r="L463" s="5">
        <f t="shared" si="32"/>
        <v>0</v>
      </c>
      <c r="M463" s="5">
        <f t="shared" si="32"/>
        <v>0</v>
      </c>
      <c r="N463" s="32">
        <v>6.1130434782608579E-2</v>
      </c>
      <c r="O463" s="32">
        <v>1.1869565217391416E-2</v>
      </c>
      <c r="P463" s="24">
        <f t="shared" si="33"/>
        <v>6.9974637681159468E-2</v>
      </c>
    </row>
    <row r="464" spans="1:16" x14ac:dyDescent="0.3">
      <c r="A464" s="2">
        <v>31594</v>
      </c>
      <c r="B464" s="23">
        <v>7.0000000000000007E-2</v>
      </c>
      <c r="C464" s="5">
        <f t="shared" si="31"/>
        <v>0</v>
      </c>
      <c r="D464" s="5">
        <f t="shared" si="32"/>
        <v>0</v>
      </c>
      <c r="E464" s="5">
        <f t="shared" si="32"/>
        <v>0</v>
      </c>
      <c r="F464" s="5">
        <f t="shared" si="32"/>
        <v>0</v>
      </c>
      <c r="G464" s="5">
        <f t="shared" si="32"/>
        <v>0</v>
      </c>
      <c r="H464" s="5">
        <f t="shared" si="32"/>
        <v>0</v>
      </c>
      <c r="I464" s="5">
        <f t="shared" si="32"/>
        <v>1</v>
      </c>
      <c r="J464" s="5">
        <f t="shared" si="32"/>
        <v>0</v>
      </c>
      <c r="K464" s="5">
        <f t="shared" si="32"/>
        <v>0</v>
      </c>
      <c r="L464" s="5">
        <f t="shared" si="32"/>
        <v>0</v>
      </c>
      <c r="M464" s="5">
        <f t="shared" si="32"/>
        <v>0</v>
      </c>
      <c r="N464" s="32">
        <v>5.9550724637681039E-2</v>
      </c>
      <c r="O464" s="32">
        <v>1.0449275362318967E-2</v>
      </c>
      <c r="P464" s="24">
        <f t="shared" si="33"/>
        <v>6.855434782608702E-2</v>
      </c>
    </row>
    <row r="465" spans="1:16" x14ac:dyDescent="0.3">
      <c r="A465" s="2">
        <v>31625</v>
      </c>
      <c r="B465" s="23">
        <v>6.7000000000000004E-2</v>
      </c>
      <c r="C465" s="5">
        <f t="shared" si="31"/>
        <v>0</v>
      </c>
      <c r="D465" s="5">
        <f t="shared" si="32"/>
        <v>0</v>
      </c>
      <c r="E465" s="5">
        <f t="shared" si="32"/>
        <v>0</v>
      </c>
      <c r="F465" s="5">
        <f t="shared" si="32"/>
        <v>0</v>
      </c>
      <c r="G465" s="5">
        <f t="shared" si="32"/>
        <v>0</v>
      </c>
      <c r="H465" s="5">
        <f t="shared" si="32"/>
        <v>0</v>
      </c>
      <c r="I465" s="5">
        <f t="shared" si="32"/>
        <v>0</v>
      </c>
      <c r="J465" s="5">
        <f t="shared" si="32"/>
        <v>1</v>
      </c>
      <c r="K465" s="5">
        <f t="shared" si="32"/>
        <v>0</v>
      </c>
      <c r="L465" s="5">
        <f t="shared" si="32"/>
        <v>0</v>
      </c>
      <c r="M465" s="5">
        <f t="shared" si="32"/>
        <v>0</v>
      </c>
      <c r="N465" s="32">
        <v>5.6521739130434699E-2</v>
      </c>
      <c r="O465" s="32">
        <v>1.0478260869565305E-2</v>
      </c>
      <c r="P465" s="24">
        <f t="shared" si="33"/>
        <v>6.8583333333333357E-2</v>
      </c>
    </row>
    <row r="466" spans="1:16" x14ac:dyDescent="0.3">
      <c r="A466" s="2">
        <v>31656</v>
      </c>
      <c r="B466" s="23">
        <v>6.8000000000000005E-2</v>
      </c>
      <c r="C466" s="5">
        <f t="shared" si="31"/>
        <v>0</v>
      </c>
      <c r="D466" s="5">
        <f t="shared" si="32"/>
        <v>0</v>
      </c>
      <c r="E466" s="5">
        <f t="shared" si="32"/>
        <v>0</v>
      </c>
      <c r="F466" s="5">
        <f t="shared" si="32"/>
        <v>0</v>
      </c>
      <c r="G466" s="5">
        <f t="shared" si="32"/>
        <v>0</v>
      </c>
      <c r="H466" s="5">
        <f t="shared" si="32"/>
        <v>0</v>
      </c>
      <c r="I466" s="5">
        <f t="shared" si="32"/>
        <v>0</v>
      </c>
      <c r="J466" s="5">
        <f t="shared" si="32"/>
        <v>0</v>
      </c>
      <c r="K466" s="5">
        <f t="shared" si="32"/>
        <v>1</v>
      </c>
      <c r="L466" s="5">
        <f t="shared" si="32"/>
        <v>0</v>
      </c>
      <c r="M466" s="5">
        <f t="shared" si="32"/>
        <v>0</v>
      </c>
      <c r="N466" s="32">
        <v>5.4768115942028898E-2</v>
      </c>
      <c r="O466" s="32">
        <v>1.3231884057971106E-2</v>
      </c>
      <c r="P466" s="24">
        <f t="shared" si="33"/>
        <v>7.1336956521739159E-2</v>
      </c>
    </row>
    <row r="467" spans="1:16" x14ac:dyDescent="0.3">
      <c r="A467" s="2">
        <v>31686</v>
      </c>
      <c r="B467" s="23">
        <v>6.6000000000000003E-2</v>
      </c>
      <c r="C467" s="5">
        <f t="shared" si="31"/>
        <v>0</v>
      </c>
      <c r="D467" s="5">
        <f t="shared" si="32"/>
        <v>0</v>
      </c>
      <c r="E467" s="5">
        <f t="shared" si="32"/>
        <v>0</v>
      </c>
      <c r="F467" s="5">
        <f t="shared" si="32"/>
        <v>0</v>
      </c>
      <c r="G467" s="5">
        <f t="shared" si="32"/>
        <v>0</v>
      </c>
      <c r="H467" s="5">
        <f t="shared" si="32"/>
        <v>0</v>
      </c>
      <c r="I467" s="5">
        <f t="shared" si="32"/>
        <v>0</v>
      </c>
      <c r="J467" s="5">
        <f t="shared" si="32"/>
        <v>0</v>
      </c>
      <c r="K467" s="5">
        <f t="shared" si="32"/>
        <v>0</v>
      </c>
      <c r="L467" s="5">
        <f t="shared" si="32"/>
        <v>1</v>
      </c>
      <c r="M467" s="5">
        <f t="shared" si="32"/>
        <v>0</v>
      </c>
      <c r="N467" s="32">
        <v>5.3115942028985473E-2</v>
      </c>
      <c r="O467" s="32">
        <v>1.288405797101453E-2</v>
      </c>
      <c r="P467" s="24">
        <f t="shared" si="33"/>
        <v>7.0989130434782582E-2</v>
      </c>
    </row>
    <row r="468" spans="1:16" x14ac:dyDescent="0.3">
      <c r="A468" s="2">
        <v>31717</v>
      </c>
      <c r="B468" s="23">
        <v>6.6000000000000003E-2</v>
      </c>
      <c r="C468" s="5">
        <f t="shared" si="31"/>
        <v>0</v>
      </c>
      <c r="D468" s="5">
        <f t="shared" si="32"/>
        <v>0</v>
      </c>
      <c r="E468" s="5">
        <f t="shared" si="32"/>
        <v>0</v>
      </c>
      <c r="F468" s="5">
        <f t="shared" si="32"/>
        <v>0</v>
      </c>
      <c r="G468" s="5">
        <f t="shared" si="32"/>
        <v>0</v>
      </c>
      <c r="H468" s="5">
        <f t="shared" si="32"/>
        <v>0</v>
      </c>
      <c r="I468" s="5">
        <f t="shared" si="32"/>
        <v>0</v>
      </c>
      <c r="J468" s="5">
        <f t="shared" si="32"/>
        <v>0</v>
      </c>
      <c r="K468" s="5">
        <f t="shared" si="32"/>
        <v>0</v>
      </c>
      <c r="L468" s="5">
        <f t="shared" si="32"/>
        <v>0</v>
      </c>
      <c r="M468" s="5">
        <f t="shared" si="32"/>
        <v>1</v>
      </c>
      <c r="N468" s="32">
        <v>5.4782608695652081E-2</v>
      </c>
      <c r="O468" s="32">
        <v>1.1217391304347922E-2</v>
      </c>
      <c r="P468" s="24">
        <f t="shared" si="33"/>
        <v>6.9322463768115961E-2</v>
      </c>
    </row>
    <row r="469" spans="1:16" x14ac:dyDescent="0.3">
      <c r="A469" s="2">
        <v>31747</v>
      </c>
      <c r="B469" s="23">
        <v>6.3E-2</v>
      </c>
      <c r="C469" s="5">
        <f t="shared" si="31"/>
        <v>0</v>
      </c>
      <c r="D469" s="5">
        <f t="shared" si="32"/>
        <v>0</v>
      </c>
      <c r="E469" s="5">
        <f t="shared" si="32"/>
        <v>0</v>
      </c>
      <c r="F469" s="5">
        <f t="shared" si="32"/>
        <v>0</v>
      </c>
      <c r="G469" s="5">
        <f t="shared" si="32"/>
        <v>0</v>
      </c>
      <c r="H469" s="5">
        <f t="shared" si="32"/>
        <v>0</v>
      </c>
      <c r="I469" s="5">
        <f t="shared" si="32"/>
        <v>0</v>
      </c>
      <c r="J469" s="5">
        <f t="shared" si="32"/>
        <v>0</v>
      </c>
      <c r="K469" s="5">
        <f t="shared" si="32"/>
        <v>0</v>
      </c>
      <c r="L469" s="5">
        <f t="shared" si="32"/>
        <v>0</v>
      </c>
      <c r="M469" s="5">
        <f t="shared" si="32"/>
        <v>0</v>
      </c>
      <c r="N469" s="32">
        <v>5.5202898550724598E-2</v>
      </c>
      <c r="O469" s="32">
        <v>7.7971014492754023E-3</v>
      </c>
      <c r="P469" s="24">
        <f t="shared" si="33"/>
        <v>6.5902173913043455E-2</v>
      </c>
    </row>
    <row r="470" spans="1:16" x14ac:dyDescent="0.3">
      <c r="A470" s="2">
        <v>31778</v>
      </c>
      <c r="B470" s="23">
        <v>7.2999999999999995E-2</v>
      </c>
      <c r="C470" s="5">
        <f t="shared" si="31"/>
        <v>1</v>
      </c>
      <c r="D470" s="5">
        <f t="shared" si="32"/>
        <v>0</v>
      </c>
      <c r="E470" s="5">
        <f t="shared" si="32"/>
        <v>0</v>
      </c>
      <c r="F470" s="5">
        <f t="shared" si="32"/>
        <v>0</v>
      </c>
      <c r="G470" s="5">
        <f t="shared" si="32"/>
        <v>0</v>
      </c>
      <c r="H470" s="5">
        <f t="shared" si="32"/>
        <v>0</v>
      </c>
      <c r="I470" s="5">
        <f t="shared" si="32"/>
        <v>0</v>
      </c>
      <c r="J470" s="5">
        <f t="shared" si="32"/>
        <v>0</v>
      </c>
      <c r="K470" s="5">
        <f t="shared" si="32"/>
        <v>0</v>
      </c>
      <c r="L470" s="5">
        <f t="shared" si="32"/>
        <v>0</v>
      </c>
      <c r="M470" s="5">
        <f t="shared" si="32"/>
        <v>0</v>
      </c>
      <c r="N470" s="32">
        <v>6.4492753623188417E-2</v>
      </c>
      <c r="O470" s="32">
        <v>8.507246376811578E-3</v>
      </c>
      <c r="P470" s="24">
        <f t="shared" si="33"/>
        <v>6.6612318840579623E-2</v>
      </c>
    </row>
    <row r="471" spans="1:16" x14ac:dyDescent="0.3">
      <c r="A471" s="2">
        <v>31809</v>
      </c>
      <c r="B471" s="23">
        <v>7.2000000000000008E-2</v>
      </c>
      <c r="C471" s="5">
        <f t="shared" si="31"/>
        <v>0</v>
      </c>
      <c r="D471" s="5">
        <f t="shared" si="32"/>
        <v>1</v>
      </c>
      <c r="E471" s="5">
        <f t="shared" si="32"/>
        <v>0</v>
      </c>
      <c r="F471" s="5">
        <f t="shared" si="32"/>
        <v>0</v>
      </c>
      <c r="G471" s="5">
        <f t="shared" si="32"/>
        <v>0</v>
      </c>
      <c r="H471" s="5">
        <f t="shared" si="32"/>
        <v>0</v>
      </c>
      <c r="I471" s="5">
        <f t="shared" si="32"/>
        <v>0</v>
      </c>
      <c r="J471" s="5">
        <f t="shared" si="32"/>
        <v>0</v>
      </c>
      <c r="K471" s="5">
        <f t="shared" si="32"/>
        <v>0</v>
      </c>
      <c r="L471" s="5">
        <f t="shared" si="32"/>
        <v>0</v>
      </c>
      <c r="M471" s="5">
        <f t="shared" si="32"/>
        <v>0</v>
      </c>
      <c r="N471" s="32">
        <v>6.4391304347825973E-2</v>
      </c>
      <c r="O471" s="32">
        <v>7.6086956521740357E-3</v>
      </c>
      <c r="P471" s="24">
        <f t="shared" si="33"/>
        <v>6.5713768115942081E-2</v>
      </c>
    </row>
    <row r="472" spans="1:16" x14ac:dyDescent="0.3">
      <c r="A472" s="2">
        <v>31837</v>
      </c>
      <c r="B472" s="23">
        <v>6.9000000000000006E-2</v>
      </c>
      <c r="C472" s="5">
        <f t="shared" si="31"/>
        <v>0</v>
      </c>
      <c r="D472" s="5">
        <f t="shared" si="32"/>
        <v>0</v>
      </c>
      <c r="E472" s="5">
        <f t="shared" si="32"/>
        <v>1</v>
      </c>
      <c r="F472" s="5">
        <f t="shared" si="32"/>
        <v>0</v>
      </c>
      <c r="G472" s="5">
        <f t="shared" si="32"/>
        <v>0</v>
      </c>
      <c r="H472" s="5">
        <f t="shared" si="32"/>
        <v>0</v>
      </c>
      <c r="I472" s="5">
        <f t="shared" si="32"/>
        <v>0</v>
      </c>
      <c r="J472" s="5">
        <f t="shared" si="32"/>
        <v>0</v>
      </c>
      <c r="K472" s="5">
        <f t="shared" si="32"/>
        <v>0</v>
      </c>
      <c r="L472" s="5">
        <f t="shared" si="32"/>
        <v>0</v>
      </c>
      <c r="M472" s="5">
        <f t="shared" si="32"/>
        <v>0</v>
      </c>
      <c r="N472" s="32">
        <v>6.1652173913043402E-2</v>
      </c>
      <c r="O472" s="32">
        <v>7.3478260869566034E-3</v>
      </c>
      <c r="P472" s="24">
        <f t="shared" si="33"/>
        <v>6.5452898550724642E-2</v>
      </c>
    </row>
    <row r="473" spans="1:16" x14ac:dyDescent="0.3">
      <c r="A473" s="2">
        <v>31868</v>
      </c>
      <c r="B473" s="23">
        <v>6.2E-2</v>
      </c>
      <c r="C473" s="5">
        <f t="shared" si="31"/>
        <v>0</v>
      </c>
      <c r="D473" s="5">
        <f t="shared" si="32"/>
        <v>0</v>
      </c>
      <c r="E473" s="5">
        <f t="shared" si="32"/>
        <v>0</v>
      </c>
      <c r="F473" s="5">
        <f t="shared" si="32"/>
        <v>1</v>
      </c>
      <c r="G473" s="5">
        <f t="shared" ref="D473:M498" si="34">IF(MONTH($A473)=G$1,1,0)</f>
        <v>0</v>
      </c>
      <c r="H473" s="5">
        <f t="shared" si="34"/>
        <v>0</v>
      </c>
      <c r="I473" s="5">
        <f t="shared" si="34"/>
        <v>0</v>
      </c>
      <c r="J473" s="5">
        <f t="shared" si="34"/>
        <v>0</v>
      </c>
      <c r="K473" s="5">
        <f t="shared" si="34"/>
        <v>0</v>
      </c>
      <c r="L473" s="5">
        <f t="shared" si="34"/>
        <v>0</v>
      </c>
      <c r="M473" s="5">
        <f t="shared" si="34"/>
        <v>0</v>
      </c>
      <c r="N473" s="32">
        <v>5.6550724637681071E-2</v>
      </c>
      <c r="O473" s="32">
        <v>5.4492753623189283E-3</v>
      </c>
      <c r="P473" s="24">
        <f t="shared" si="33"/>
        <v>6.3554347826086974E-2</v>
      </c>
    </row>
    <row r="474" spans="1:16" x14ac:dyDescent="0.3">
      <c r="A474" s="2">
        <v>31898</v>
      </c>
      <c r="B474" s="23">
        <v>6.0999999999999999E-2</v>
      </c>
      <c r="C474" s="5">
        <f t="shared" si="31"/>
        <v>0</v>
      </c>
      <c r="D474" s="5">
        <f t="shared" si="34"/>
        <v>0</v>
      </c>
      <c r="E474" s="5">
        <f t="shared" si="34"/>
        <v>0</v>
      </c>
      <c r="F474" s="5">
        <f t="shared" si="34"/>
        <v>0</v>
      </c>
      <c r="G474" s="5">
        <f t="shared" si="34"/>
        <v>1</v>
      </c>
      <c r="H474" s="5">
        <f t="shared" si="34"/>
        <v>0</v>
      </c>
      <c r="I474" s="5">
        <f t="shared" si="34"/>
        <v>0</v>
      </c>
      <c r="J474" s="5">
        <f t="shared" si="34"/>
        <v>0</v>
      </c>
      <c r="K474" s="5">
        <f t="shared" si="34"/>
        <v>0</v>
      </c>
      <c r="L474" s="5">
        <f t="shared" si="34"/>
        <v>0</v>
      </c>
      <c r="M474" s="5">
        <f t="shared" si="34"/>
        <v>0</v>
      </c>
      <c r="N474" s="32">
        <v>5.5101449275362209E-2</v>
      </c>
      <c r="O474" s="32">
        <v>5.8985507246377897E-3</v>
      </c>
      <c r="P474" s="24">
        <f t="shared" si="33"/>
        <v>6.4003623188405828E-2</v>
      </c>
    </row>
    <row r="475" spans="1:16" x14ac:dyDescent="0.3">
      <c r="A475" s="2">
        <v>31929</v>
      </c>
      <c r="B475" s="23">
        <v>6.3E-2</v>
      </c>
      <c r="C475" s="5">
        <f t="shared" si="31"/>
        <v>0</v>
      </c>
      <c r="D475" s="5">
        <f t="shared" si="34"/>
        <v>0</v>
      </c>
      <c r="E475" s="5">
        <f t="shared" si="34"/>
        <v>0</v>
      </c>
      <c r="F475" s="5">
        <f t="shared" si="34"/>
        <v>0</v>
      </c>
      <c r="G475" s="5">
        <f t="shared" si="34"/>
        <v>0</v>
      </c>
      <c r="H475" s="5">
        <f t="shared" si="34"/>
        <v>1</v>
      </c>
      <c r="I475" s="5">
        <f t="shared" si="34"/>
        <v>0</v>
      </c>
      <c r="J475" s="5">
        <f t="shared" si="34"/>
        <v>0</v>
      </c>
      <c r="K475" s="5">
        <f t="shared" si="34"/>
        <v>0</v>
      </c>
      <c r="L475" s="5">
        <f t="shared" si="34"/>
        <v>0</v>
      </c>
      <c r="M475" s="5">
        <f t="shared" si="34"/>
        <v>0</v>
      </c>
      <c r="N475" s="32">
        <v>6.1130434782608579E-2</v>
      </c>
      <c r="O475" s="32">
        <v>1.869565217391421E-3</v>
      </c>
      <c r="P475" s="24">
        <f t="shared" si="33"/>
        <v>5.9974637681159466E-2</v>
      </c>
    </row>
    <row r="476" spans="1:16" x14ac:dyDescent="0.3">
      <c r="A476" s="2">
        <v>31959</v>
      </c>
      <c r="B476" s="23">
        <v>6.0999999999999999E-2</v>
      </c>
      <c r="C476" s="5">
        <f t="shared" si="31"/>
        <v>0</v>
      </c>
      <c r="D476" s="5">
        <f t="shared" si="34"/>
        <v>0</v>
      </c>
      <c r="E476" s="5">
        <f t="shared" si="34"/>
        <v>0</v>
      </c>
      <c r="F476" s="5">
        <f t="shared" si="34"/>
        <v>0</v>
      </c>
      <c r="G476" s="5">
        <f t="shared" si="34"/>
        <v>0</v>
      </c>
      <c r="H476" s="5">
        <f t="shared" si="34"/>
        <v>0</v>
      </c>
      <c r="I476" s="5">
        <f t="shared" si="34"/>
        <v>1</v>
      </c>
      <c r="J476" s="5">
        <f t="shared" si="34"/>
        <v>0</v>
      </c>
      <c r="K476" s="5">
        <f t="shared" si="34"/>
        <v>0</v>
      </c>
      <c r="L476" s="5">
        <f t="shared" si="34"/>
        <v>0</v>
      </c>
      <c r="M476" s="5">
        <f t="shared" si="34"/>
        <v>0</v>
      </c>
      <c r="N476" s="32">
        <v>5.9550724637681039E-2</v>
      </c>
      <c r="O476" s="32">
        <v>1.4492753623189594E-3</v>
      </c>
      <c r="P476" s="24">
        <f t="shared" si="33"/>
        <v>5.9554347826087005E-2</v>
      </c>
    </row>
    <row r="477" spans="1:16" x14ac:dyDescent="0.3">
      <c r="A477" s="2">
        <v>31990</v>
      </c>
      <c r="B477" s="23">
        <v>5.7999999999999996E-2</v>
      </c>
      <c r="C477" s="5">
        <f t="shared" si="31"/>
        <v>0</v>
      </c>
      <c r="D477" s="5">
        <f t="shared" si="34"/>
        <v>0</v>
      </c>
      <c r="E477" s="5">
        <f t="shared" si="34"/>
        <v>0</v>
      </c>
      <c r="F477" s="5">
        <f t="shared" si="34"/>
        <v>0</v>
      </c>
      <c r="G477" s="5">
        <f t="shared" si="34"/>
        <v>0</v>
      </c>
      <c r="H477" s="5">
        <f t="shared" si="34"/>
        <v>0</v>
      </c>
      <c r="I477" s="5">
        <f t="shared" si="34"/>
        <v>0</v>
      </c>
      <c r="J477" s="5">
        <f t="shared" si="34"/>
        <v>1</v>
      </c>
      <c r="K477" s="5">
        <f t="shared" si="34"/>
        <v>0</v>
      </c>
      <c r="L477" s="5">
        <f t="shared" si="34"/>
        <v>0</v>
      </c>
      <c r="M477" s="5">
        <f t="shared" si="34"/>
        <v>0</v>
      </c>
      <c r="N477" s="32">
        <v>5.6521739130434699E-2</v>
      </c>
      <c r="O477" s="32">
        <v>1.4782608695652968E-3</v>
      </c>
      <c r="P477" s="24">
        <f t="shared" si="33"/>
        <v>5.9583333333333342E-2</v>
      </c>
    </row>
    <row r="478" spans="1:16" x14ac:dyDescent="0.3">
      <c r="A478" s="2">
        <v>32021</v>
      </c>
      <c r="B478" s="23">
        <v>5.7000000000000002E-2</v>
      </c>
      <c r="C478" s="5">
        <f t="shared" si="31"/>
        <v>0</v>
      </c>
      <c r="D478" s="5">
        <f t="shared" si="34"/>
        <v>0</v>
      </c>
      <c r="E478" s="5">
        <f t="shared" si="34"/>
        <v>0</v>
      </c>
      <c r="F478" s="5">
        <f t="shared" si="34"/>
        <v>0</v>
      </c>
      <c r="G478" s="5">
        <f t="shared" si="34"/>
        <v>0</v>
      </c>
      <c r="H478" s="5">
        <f t="shared" si="34"/>
        <v>0</v>
      </c>
      <c r="I478" s="5">
        <f t="shared" si="34"/>
        <v>0</v>
      </c>
      <c r="J478" s="5">
        <f t="shared" si="34"/>
        <v>0</v>
      </c>
      <c r="K478" s="5">
        <f t="shared" si="34"/>
        <v>1</v>
      </c>
      <c r="L478" s="5">
        <f t="shared" si="34"/>
        <v>0</v>
      </c>
      <c r="M478" s="5">
        <f t="shared" si="34"/>
        <v>0</v>
      </c>
      <c r="N478" s="32">
        <v>5.4768115942028898E-2</v>
      </c>
      <c r="O478" s="32">
        <v>2.2318840579711036E-3</v>
      </c>
      <c r="P478" s="24">
        <f t="shared" si="33"/>
        <v>6.0336956521739149E-2</v>
      </c>
    </row>
    <row r="479" spans="1:16" x14ac:dyDescent="0.3">
      <c r="A479" s="2">
        <v>32051</v>
      </c>
      <c r="B479" s="23">
        <v>5.7000000000000002E-2</v>
      </c>
      <c r="C479" s="5">
        <f t="shared" si="31"/>
        <v>0</v>
      </c>
      <c r="D479" s="5">
        <f t="shared" si="34"/>
        <v>0</v>
      </c>
      <c r="E479" s="5">
        <f t="shared" si="34"/>
        <v>0</v>
      </c>
      <c r="F479" s="5">
        <f t="shared" si="34"/>
        <v>0</v>
      </c>
      <c r="G479" s="5">
        <f t="shared" si="34"/>
        <v>0</v>
      </c>
      <c r="H479" s="5">
        <f t="shared" si="34"/>
        <v>0</v>
      </c>
      <c r="I479" s="5">
        <f t="shared" si="34"/>
        <v>0</v>
      </c>
      <c r="J479" s="5">
        <f t="shared" si="34"/>
        <v>0</v>
      </c>
      <c r="K479" s="5">
        <f t="shared" si="34"/>
        <v>0</v>
      </c>
      <c r="L479" s="5">
        <f t="shared" si="34"/>
        <v>1</v>
      </c>
      <c r="M479" s="5">
        <f t="shared" si="34"/>
        <v>0</v>
      </c>
      <c r="N479" s="32">
        <v>5.3115942028985473E-2</v>
      </c>
      <c r="O479" s="32">
        <v>3.884057971014529E-3</v>
      </c>
      <c r="P479" s="24">
        <f t="shared" si="33"/>
        <v>6.1989130434782574E-2</v>
      </c>
    </row>
    <row r="480" spans="1:16" x14ac:dyDescent="0.3">
      <c r="A480" s="2">
        <v>32082</v>
      </c>
      <c r="B480" s="23">
        <v>5.5999999999999994E-2</v>
      </c>
      <c r="C480" s="5">
        <f t="shared" si="31"/>
        <v>0</v>
      </c>
      <c r="D480" s="5">
        <f t="shared" si="34"/>
        <v>0</v>
      </c>
      <c r="E480" s="5">
        <f t="shared" si="34"/>
        <v>0</v>
      </c>
      <c r="F480" s="5">
        <f t="shared" si="34"/>
        <v>0</v>
      </c>
      <c r="G480" s="5">
        <f t="shared" si="34"/>
        <v>0</v>
      </c>
      <c r="H480" s="5">
        <f t="shared" si="34"/>
        <v>0</v>
      </c>
      <c r="I480" s="5">
        <f t="shared" si="34"/>
        <v>0</v>
      </c>
      <c r="J480" s="5">
        <f t="shared" si="34"/>
        <v>0</v>
      </c>
      <c r="K480" s="5">
        <f t="shared" si="34"/>
        <v>0</v>
      </c>
      <c r="L480" s="5">
        <f t="shared" si="34"/>
        <v>0</v>
      </c>
      <c r="M480" s="5">
        <f t="shared" si="34"/>
        <v>1</v>
      </c>
      <c r="N480" s="32">
        <v>5.4782608695652081E-2</v>
      </c>
      <c r="O480" s="32">
        <v>1.2173913043479132E-3</v>
      </c>
      <c r="P480" s="24">
        <f t="shared" si="33"/>
        <v>5.9322463768115959E-2</v>
      </c>
    </row>
    <row r="481" spans="1:16" x14ac:dyDescent="0.3">
      <c r="A481" s="2">
        <v>32112</v>
      </c>
      <c r="B481" s="23">
        <v>5.4000000000000006E-2</v>
      </c>
      <c r="C481" s="5">
        <f t="shared" si="31"/>
        <v>0</v>
      </c>
      <c r="D481" s="5">
        <f t="shared" si="34"/>
        <v>0</v>
      </c>
      <c r="E481" s="5">
        <f t="shared" si="34"/>
        <v>0</v>
      </c>
      <c r="F481" s="5">
        <f t="shared" si="34"/>
        <v>0</v>
      </c>
      <c r="G481" s="5">
        <f t="shared" si="34"/>
        <v>0</v>
      </c>
      <c r="H481" s="5">
        <f t="shared" si="34"/>
        <v>0</v>
      </c>
      <c r="I481" s="5">
        <f t="shared" si="34"/>
        <v>0</v>
      </c>
      <c r="J481" s="5">
        <f t="shared" si="34"/>
        <v>0</v>
      </c>
      <c r="K481" s="5">
        <f t="shared" si="34"/>
        <v>0</v>
      </c>
      <c r="L481" s="5">
        <f t="shared" si="34"/>
        <v>0</v>
      </c>
      <c r="M481" s="5">
        <f t="shared" si="34"/>
        <v>0</v>
      </c>
      <c r="N481" s="32">
        <v>5.5202898550724598E-2</v>
      </c>
      <c r="O481" s="32">
        <v>-1.2028985507245918E-3</v>
      </c>
      <c r="P481" s="24">
        <f t="shared" si="33"/>
        <v>5.6902173913043454E-2</v>
      </c>
    </row>
    <row r="482" spans="1:16" x14ac:dyDescent="0.3">
      <c r="A482" s="2">
        <v>32143</v>
      </c>
      <c r="B482" s="23">
        <v>6.3E-2</v>
      </c>
      <c r="C482" s="5">
        <f t="shared" si="31"/>
        <v>1</v>
      </c>
      <c r="D482" s="5">
        <f t="shared" si="34"/>
        <v>0</v>
      </c>
      <c r="E482" s="5">
        <f t="shared" si="34"/>
        <v>0</v>
      </c>
      <c r="F482" s="5">
        <f t="shared" si="34"/>
        <v>0</v>
      </c>
      <c r="G482" s="5">
        <f t="shared" si="34"/>
        <v>0</v>
      </c>
      <c r="H482" s="5">
        <f t="shared" si="34"/>
        <v>0</v>
      </c>
      <c r="I482" s="5">
        <f t="shared" si="34"/>
        <v>0</v>
      </c>
      <c r="J482" s="5">
        <f t="shared" si="34"/>
        <v>0</v>
      </c>
      <c r="K482" s="5">
        <f t="shared" si="34"/>
        <v>0</v>
      </c>
      <c r="L482" s="5">
        <f t="shared" si="34"/>
        <v>0</v>
      </c>
      <c r="M482" s="5">
        <f t="shared" si="34"/>
        <v>0</v>
      </c>
      <c r="N482" s="32">
        <v>6.4492753623188417E-2</v>
      </c>
      <c r="O482" s="32">
        <v>-1.492753623188417E-3</v>
      </c>
      <c r="P482" s="24">
        <f t="shared" si="33"/>
        <v>5.6612318840579628E-2</v>
      </c>
    </row>
    <row r="483" spans="1:16" x14ac:dyDescent="0.3">
      <c r="A483" s="2">
        <v>32174</v>
      </c>
      <c r="B483" s="23">
        <v>6.2E-2</v>
      </c>
      <c r="C483" s="5">
        <f t="shared" si="31"/>
        <v>0</v>
      </c>
      <c r="D483" s="5">
        <f t="shared" si="34"/>
        <v>1</v>
      </c>
      <c r="E483" s="5">
        <f t="shared" si="34"/>
        <v>0</v>
      </c>
      <c r="F483" s="5">
        <f t="shared" si="34"/>
        <v>0</v>
      </c>
      <c r="G483" s="5">
        <f t="shared" si="34"/>
        <v>0</v>
      </c>
      <c r="H483" s="5">
        <f t="shared" si="34"/>
        <v>0</v>
      </c>
      <c r="I483" s="5">
        <f t="shared" si="34"/>
        <v>0</v>
      </c>
      <c r="J483" s="5">
        <f t="shared" si="34"/>
        <v>0</v>
      </c>
      <c r="K483" s="5">
        <f t="shared" si="34"/>
        <v>0</v>
      </c>
      <c r="L483" s="5">
        <f t="shared" si="34"/>
        <v>0</v>
      </c>
      <c r="M483" s="5">
        <f t="shared" si="34"/>
        <v>0</v>
      </c>
      <c r="N483" s="32">
        <v>6.4391304347825973E-2</v>
      </c>
      <c r="O483" s="32">
        <v>-2.3913043478259732E-3</v>
      </c>
      <c r="P483" s="24">
        <f t="shared" si="33"/>
        <v>5.5713768115942072E-2</v>
      </c>
    </row>
    <row r="484" spans="1:16" x14ac:dyDescent="0.3">
      <c r="A484" s="2">
        <v>32203</v>
      </c>
      <c r="B484" s="23">
        <v>5.9000000000000004E-2</v>
      </c>
      <c r="C484" s="5">
        <f t="shared" si="31"/>
        <v>0</v>
      </c>
      <c r="D484" s="5">
        <f t="shared" si="34"/>
        <v>0</v>
      </c>
      <c r="E484" s="5">
        <f t="shared" si="34"/>
        <v>1</v>
      </c>
      <c r="F484" s="5">
        <f t="shared" si="34"/>
        <v>0</v>
      </c>
      <c r="G484" s="5">
        <f t="shared" si="34"/>
        <v>0</v>
      </c>
      <c r="H484" s="5">
        <f t="shared" si="34"/>
        <v>0</v>
      </c>
      <c r="I484" s="5">
        <f t="shared" si="34"/>
        <v>0</v>
      </c>
      <c r="J484" s="5">
        <f t="shared" si="34"/>
        <v>0</v>
      </c>
      <c r="K484" s="5">
        <f t="shared" si="34"/>
        <v>0</v>
      </c>
      <c r="L484" s="5">
        <f t="shared" si="34"/>
        <v>0</v>
      </c>
      <c r="M484" s="5">
        <f t="shared" si="34"/>
        <v>0</v>
      </c>
      <c r="N484" s="32">
        <v>6.1652173913043402E-2</v>
      </c>
      <c r="O484" s="32">
        <v>-2.6521739130433986E-3</v>
      </c>
      <c r="P484" s="24">
        <f t="shared" si="33"/>
        <v>5.5452898550724647E-2</v>
      </c>
    </row>
    <row r="485" spans="1:16" x14ac:dyDescent="0.3">
      <c r="A485" s="2">
        <v>32234</v>
      </c>
      <c r="B485" s="23">
        <v>5.2999999999999999E-2</v>
      </c>
      <c r="C485" s="5">
        <f t="shared" si="31"/>
        <v>0</v>
      </c>
      <c r="D485" s="5">
        <f t="shared" si="34"/>
        <v>0</v>
      </c>
      <c r="E485" s="5">
        <f t="shared" si="34"/>
        <v>0</v>
      </c>
      <c r="F485" s="5">
        <f t="shared" si="34"/>
        <v>1</v>
      </c>
      <c r="G485" s="5">
        <f t="shared" si="34"/>
        <v>0</v>
      </c>
      <c r="H485" s="5">
        <f t="shared" si="34"/>
        <v>0</v>
      </c>
      <c r="I485" s="5">
        <f t="shared" si="34"/>
        <v>0</v>
      </c>
      <c r="J485" s="5">
        <f t="shared" si="34"/>
        <v>0</v>
      </c>
      <c r="K485" s="5">
        <f t="shared" si="34"/>
        <v>0</v>
      </c>
      <c r="L485" s="5">
        <f t="shared" si="34"/>
        <v>0</v>
      </c>
      <c r="M485" s="5">
        <f t="shared" si="34"/>
        <v>0</v>
      </c>
      <c r="N485" s="32">
        <v>5.6550724637681071E-2</v>
      </c>
      <c r="O485" s="32">
        <v>-3.5507246376810728E-3</v>
      </c>
      <c r="P485" s="24">
        <f t="shared" si="33"/>
        <v>5.4554347826086973E-2</v>
      </c>
    </row>
    <row r="486" spans="1:16" x14ac:dyDescent="0.3">
      <c r="A486" s="2">
        <v>32264</v>
      </c>
      <c r="B486" s="23">
        <v>5.4000000000000006E-2</v>
      </c>
      <c r="C486" s="5">
        <f t="shared" si="31"/>
        <v>0</v>
      </c>
      <c r="D486" s="5">
        <f t="shared" si="34"/>
        <v>0</v>
      </c>
      <c r="E486" s="5">
        <f t="shared" si="34"/>
        <v>0</v>
      </c>
      <c r="F486" s="5">
        <f t="shared" si="34"/>
        <v>0</v>
      </c>
      <c r="G486" s="5">
        <f t="shared" si="34"/>
        <v>1</v>
      </c>
      <c r="H486" s="5">
        <f t="shared" si="34"/>
        <v>0</v>
      </c>
      <c r="I486" s="5">
        <f t="shared" si="34"/>
        <v>0</v>
      </c>
      <c r="J486" s="5">
        <f t="shared" si="34"/>
        <v>0</v>
      </c>
      <c r="K486" s="5">
        <f t="shared" si="34"/>
        <v>0</v>
      </c>
      <c r="L486" s="5">
        <f t="shared" si="34"/>
        <v>0</v>
      </c>
      <c r="M486" s="5">
        <f t="shared" si="34"/>
        <v>0</v>
      </c>
      <c r="N486" s="32">
        <v>5.5101449275362209E-2</v>
      </c>
      <c r="O486" s="32">
        <v>-1.1014492753622027E-3</v>
      </c>
      <c r="P486" s="24">
        <f t="shared" si="33"/>
        <v>5.7003623188405843E-2</v>
      </c>
    </row>
    <row r="487" spans="1:16" x14ac:dyDescent="0.3">
      <c r="A487" s="2">
        <v>32295</v>
      </c>
      <c r="B487" s="23">
        <v>5.5E-2</v>
      </c>
      <c r="C487" s="5">
        <f t="shared" si="31"/>
        <v>0</v>
      </c>
      <c r="D487" s="5">
        <f t="shared" si="34"/>
        <v>0</v>
      </c>
      <c r="E487" s="5">
        <f t="shared" si="34"/>
        <v>0</v>
      </c>
      <c r="F487" s="5">
        <f t="shared" si="34"/>
        <v>0</v>
      </c>
      <c r="G487" s="5">
        <f t="shared" si="34"/>
        <v>0</v>
      </c>
      <c r="H487" s="5">
        <f t="shared" si="34"/>
        <v>1</v>
      </c>
      <c r="I487" s="5">
        <f t="shared" si="34"/>
        <v>0</v>
      </c>
      <c r="J487" s="5">
        <f t="shared" si="34"/>
        <v>0</v>
      </c>
      <c r="K487" s="5">
        <f t="shared" si="34"/>
        <v>0</v>
      </c>
      <c r="L487" s="5">
        <f t="shared" si="34"/>
        <v>0</v>
      </c>
      <c r="M487" s="5">
        <f t="shared" si="34"/>
        <v>0</v>
      </c>
      <c r="N487" s="32">
        <v>6.1130434782608579E-2</v>
      </c>
      <c r="O487" s="32">
        <v>-6.1304347826085792E-3</v>
      </c>
      <c r="P487" s="24">
        <f t="shared" si="33"/>
        <v>5.1974637681159466E-2</v>
      </c>
    </row>
    <row r="488" spans="1:16" x14ac:dyDescent="0.3">
      <c r="A488" s="2">
        <v>32325</v>
      </c>
      <c r="B488" s="23">
        <v>5.5E-2</v>
      </c>
      <c r="C488" s="5">
        <f t="shared" ref="C488:C551" si="35">IF(MONTH($A488)=C$1,1,0)</f>
        <v>0</v>
      </c>
      <c r="D488" s="5">
        <f t="shared" si="34"/>
        <v>0</v>
      </c>
      <c r="E488" s="5">
        <f t="shared" si="34"/>
        <v>0</v>
      </c>
      <c r="F488" s="5">
        <f t="shared" si="34"/>
        <v>0</v>
      </c>
      <c r="G488" s="5">
        <f t="shared" si="34"/>
        <v>0</v>
      </c>
      <c r="H488" s="5">
        <f t="shared" si="34"/>
        <v>0</v>
      </c>
      <c r="I488" s="5">
        <f t="shared" si="34"/>
        <v>1</v>
      </c>
      <c r="J488" s="5">
        <f t="shared" si="34"/>
        <v>0</v>
      </c>
      <c r="K488" s="5">
        <f t="shared" si="34"/>
        <v>0</v>
      </c>
      <c r="L488" s="5">
        <f t="shared" si="34"/>
        <v>0</v>
      </c>
      <c r="M488" s="5">
        <f t="shared" si="34"/>
        <v>0</v>
      </c>
      <c r="N488" s="32">
        <v>5.9550724637681039E-2</v>
      </c>
      <c r="O488" s="32">
        <v>-4.550724637681039E-3</v>
      </c>
      <c r="P488" s="24">
        <f t="shared" si="33"/>
        <v>5.3554347826087007E-2</v>
      </c>
    </row>
    <row r="489" spans="1:16" x14ac:dyDescent="0.3">
      <c r="A489" s="2">
        <v>32356</v>
      </c>
      <c r="B489" s="23">
        <v>5.4000000000000006E-2</v>
      </c>
      <c r="C489" s="5">
        <f t="shared" si="35"/>
        <v>0</v>
      </c>
      <c r="D489" s="5">
        <f t="shared" si="34"/>
        <v>0</v>
      </c>
      <c r="E489" s="5">
        <f t="shared" si="34"/>
        <v>0</v>
      </c>
      <c r="F489" s="5">
        <f t="shared" si="34"/>
        <v>0</v>
      </c>
      <c r="G489" s="5">
        <f t="shared" si="34"/>
        <v>0</v>
      </c>
      <c r="H489" s="5">
        <f t="shared" si="34"/>
        <v>0</v>
      </c>
      <c r="I489" s="5">
        <f t="shared" si="34"/>
        <v>0</v>
      </c>
      <c r="J489" s="5">
        <f t="shared" si="34"/>
        <v>1</v>
      </c>
      <c r="K489" s="5">
        <f t="shared" si="34"/>
        <v>0</v>
      </c>
      <c r="L489" s="5">
        <f t="shared" si="34"/>
        <v>0</v>
      </c>
      <c r="M489" s="5">
        <f t="shared" si="34"/>
        <v>0</v>
      </c>
      <c r="N489" s="32">
        <v>5.6521739130434699E-2</v>
      </c>
      <c r="O489" s="32">
        <v>-2.5217391304346928E-3</v>
      </c>
      <c r="P489" s="24">
        <f t="shared" si="33"/>
        <v>5.5583333333333353E-2</v>
      </c>
    </row>
    <row r="490" spans="1:16" x14ac:dyDescent="0.3">
      <c r="A490" s="2">
        <v>32387</v>
      </c>
      <c r="B490" s="23">
        <v>5.2000000000000005E-2</v>
      </c>
      <c r="C490" s="5">
        <f t="shared" si="35"/>
        <v>0</v>
      </c>
      <c r="D490" s="5">
        <f t="shared" si="34"/>
        <v>0</v>
      </c>
      <c r="E490" s="5">
        <f t="shared" si="34"/>
        <v>0</v>
      </c>
      <c r="F490" s="5">
        <f t="shared" si="34"/>
        <v>0</v>
      </c>
      <c r="G490" s="5">
        <f t="shared" si="34"/>
        <v>0</v>
      </c>
      <c r="H490" s="5">
        <f t="shared" si="34"/>
        <v>0</v>
      </c>
      <c r="I490" s="5">
        <f t="shared" si="34"/>
        <v>0</v>
      </c>
      <c r="J490" s="5">
        <f t="shared" si="34"/>
        <v>0</v>
      </c>
      <c r="K490" s="5">
        <f t="shared" si="34"/>
        <v>1</v>
      </c>
      <c r="L490" s="5">
        <f t="shared" si="34"/>
        <v>0</v>
      </c>
      <c r="M490" s="5">
        <f t="shared" si="34"/>
        <v>0</v>
      </c>
      <c r="N490" s="32">
        <v>5.4768115942028898E-2</v>
      </c>
      <c r="O490" s="32">
        <v>-2.7681159420288939E-3</v>
      </c>
      <c r="P490" s="24">
        <f t="shared" si="33"/>
        <v>5.5336956521739152E-2</v>
      </c>
    </row>
    <row r="491" spans="1:16" x14ac:dyDescent="0.3">
      <c r="A491" s="2">
        <v>32417</v>
      </c>
      <c r="B491" s="23">
        <v>0.05</v>
      </c>
      <c r="C491" s="5">
        <f t="shared" si="35"/>
        <v>0</v>
      </c>
      <c r="D491" s="5">
        <f t="shared" si="34"/>
        <v>0</v>
      </c>
      <c r="E491" s="5">
        <f t="shared" si="34"/>
        <v>0</v>
      </c>
      <c r="F491" s="5">
        <f t="shared" si="34"/>
        <v>0</v>
      </c>
      <c r="G491" s="5">
        <f t="shared" si="34"/>
        <v>0</v>
      </c>
      <c r="H491" s="5">
        <f t="shared" si="34"/>
        <v>0</v>
      </c>
      <c r="I491" s="5">
        <f t="shared" si="34"/>
        <v>0</v>
      </c>
      <c r="J491" s="5">
        <f t="shared" si="34"/>
        <v>0</v>
      </c>
      <c r="K491" s="5">
        <f t="shared" si="34"/>
        <v>0</v>
      </c>
      <c r="L491" s="5">
        <f t="shared" si="34"/>
        <v>1</v>
      </c>
      <c r="M491" s="5">
        <f t="shared" si="34"/>
        <v>0</v>
      </c>
      <c r="N491" s="32">
        <v>5.3115942028985473E-2</v>
      </c>
      <c r="O491" s="32">
        <v>-3.1159420289854703E-3</v>
      </c>
      <c r="P491" s="24">
        <f t="shared" si="33"/>
        <v>5.4989130434782575E-2</v>
      </c>
    </row>
    <row r="492" spans="1:16" x14ac:dyDescent="0.3">
      <c r="A492" s="2">
        <v>32448</v>
      </c>
      <c r="B492" s="23">
        <v>5.2000000000000005E-2</v>
      </c>
      <c r="C492" s="5">
        <f t="shared" si="35"/>
        <v>0</v>
      </c>
      <c r="D492" s="5">
        <f t="shared" si="34"/>
        <v>0</v>
      </c>
      <c r="E492" s="5">
        <f t="shared" si="34"/>
        <v>0</v>
      </c>
      <c r="F492" s="5">
        <f t="shared" si="34"/>
        <v>0</v>
      </c>
      <c r="G492" s="5">
        <f t="shared" si="34"/>
        <v>0</v>
      </c>
      <c r="H492" s="5">
        <f t="shared" si="34"/>
        <v>0</v>
      </c>
      <c r="I492" s="5">
        <f t="shared" si="34"/>
        <v>0</v>
      </c>
      <c r="J492" s="5">
        <f t="shared" si="34"/>
        <v>0</v>
      </c>
      <c r="K492" s="5">
        <f t="shared" si="34"/>
        <v>0</v>
      </c>
      <c r="L492" s="5">
        <f t="shared" si="34"/>
        <v>0</v>
      </c>
      <c r="M492" s="5">
        <f t="shared" si="34"/>
        <v>1</v>
      </c>
      <c r="N492" s="32">
        <v>5.4782608695652081E-2</v>
      </c>
      <c r="O492" s="32">
        <v>-2.7826086956520765E-3</v>
      </c>
      <c r="P492" s="24">
        <f t="shared" si="33"/>
        <v>5.5322463768115969E-2</v>
      </c>
    </row>
    <row r="493" spans="1:16" x14ac:dyDescent="0.3">
      <c r="A493" s="2">
        <v>32478</v>
      </c>
      <c r="B493" s="23">
        <v>0.05</v>
      </c>
      <c r="C493" s="5">
        <f t="shared" si="35"/>
        <v>0</v>
      </c>
      <c r="D493" s="5">
        <f t="shared" si="34"/>
        <v>0</v>
      </c>
      <c r="E493" s="5">
        <f t="shared" si="34"/>
        <v>0</v>
      </c>
      <c r="F493" s="5">
        <f t="shared" si="34"/>
        <v>0</v>
      </c>
      <c r="G493" s="5">
        <f t="shared" si="34"/>
        <v>0</v>
      </c>
      <c r="H493" s="5">
        <f t="shared" si="34"/>
        <v>0</v>
      </c>
      <c r="I493" s="5">
        <f t="shared" si="34"/>
        <v>0</v>
      </c>
      <c r="J493" s="5">
        <f t="shared" si="34"/>
        <v>0</v>
      </c>
      <c r="K493" s="5">
        <f t="shared" si="34"/>
        <v>0</v>
      </c>
      <c r="L493" s="5">
        <f t="shared" si="34"/>
        <v>0</v>
      </c>
      <c r="M493" s="5">
        <f t="shared" si="34"/>
        <v>0</v>
      </c>
      <c r="N493" s="32">
        <v>5.5202898550724598E-2</v>
      </c>
      <c r="O493" s="32">
        <v>-5.2028985507245953E-3</v>
      </c>
      <c r="P493" s="24">
        <f t="shared" si="33"/>
        <v>5.290217391304345E-2</v>
      </c>
    </row>
    <row r="494" spans="1:16" x14ac:dyDescent="0.3">
      <c r="A494" s="2">
        <v>32509</v>
      </c>
      <c r="B494" s="23">
        <v>0.06</v>
      </c>
      <c r="C494" s="5">
        <f t="shared" si="35"/>
        <v>1</v>
      </c>
      <c r="D494" s="5">
        <f t="shared" si="34"/>
        <v>0</v>
      </c>
      <c r="E494" s="5">
        <f t="shared" si="34"/>
        <v>0</v>
      </c>
      <c r="F494" s="5">
        <f t="shared" si="34"/>
        <v>0</v>
      </c>
      <c r="G494" s="5">
        <f t="shared" si="34"/>
        <v>0</v>
      </c>
      <c r="H494" s="5">
        <f t="shared" si="34"/>
        <v>0</v>
      </c>
      <c r="I494" s="5">
        <f t="shared" si="34"/>
        <v>0</v>
      </c>
      <c r="J494" s="5">
        <f t="shared" si="34"/>
        <v>0</v>
      </c>
      <c r="K494" s="5">
        <f t="shared" si="34"/>
        <v>0</v>
      </c>
      <c r="L494" s="5">
        <f t="shared" si="34"/>
        <v>0</v>
      </c>
      <c r="M494" s="5">
        <f t="shared" si="34"/>
        <v>0</v>
      </c>
      <c r="N494" s="32">
        <v>6.4492753623188417E-2</v>
      </c>
      <c r="O494" s="32">
        <v>-4.4927536231884196E-3</v>
      </c>
      <c r="P494" s="24">
        <f t="shared" si="33"/>
        <v>5.3612318840579626E-2</v>
      </c>
    </row>
    <row r="495" spans="1:16" x14ac:dyDescent="0.3">
      <c r="A495" s="2">
        <v>32540</v>
      </c>
      <c r="B495" s="23">
        <v>5.5999999999999994E-2</v>
      </c>
      <c r="C495" s="5">
        <f t="shared" si="35"/>
        <v>0</v>
      </c>
      <c r="D495" s="5">
        <f t="shared" si="34"/>
        <v>1</v>
      </c>
      <c r="E495" s="5">
        <f t="shared" si="34"/>
        <v>0</v>
      </c>
      <c r="F495" s="5">
        <f t="shared" si="34"/>
        <v>0</v>
      </c>
      <c r="G495" s="5">
        <f t="shared" si="34"/>
        <v>0</v>
      </c>
      <c r="H495" s="5">
        <f t="shared" si="34"/>
        <v>0</v>
      </c>
      <c r="I495" s="5">
        <f t="shared" si="34"/>
        <v>0</v>
      </c>
      <c r="J495" s="5">
        <f t="shared" si="34"/>
        <v>0</v>
      </c>
      <c r="K495" s="5">
        <f t="shared" si="34"/>
        <v>0</v>
      </c>
      <c r="L495" s="5">
        <f t="shared" si="34"/>
        <v>0</v>
      </c>
      <c r="M495" s="5">
        <f t="shared" si="34"/>
        <v>0</v>
      </c>
      <c r="N495" s="32">
        <v>6.4391304347825973E-2</v>
      </c>
      <c r="O495" s="32">
        <v>-8.3913043478259786E-3</v>
      </c>
      <c r="P495" s="24">
        <f t="shared" si="33"/>
        <v>4.9713768115942067E-2</v>
      </c>
    </row>
    <row r="496" spans="1:16" x14ac:dyDescent="0.3">
      <c r="A496" s="2">
        <v>32568</v>
      </c>
      <c r="B496" s="23">
        <v>5.2000000000000005E-2</v>
      </c>
      <c r="C496" s="5">
        <f t="shared" si="35"/>
        <v>0</v>
      </c>
      <c r="D496" s="5">
        <f t="shared" si="34"/>
        <v>0</v>
      </c>
      <c r="E496" s="5">
        <f t="shared" si="34"/>
        <v>1</v>
      </c>
      <c r="F496" s="5">
        <f t="shared" si="34"/>
        <v>0</v>
      </c>
      <c r="G496" s="5">
        <f t="shared" si="34"/>
        <v>0</v>
      </c>
      <c r="H496" s="5">
        <f t="shared" si="34"/>
        <v>0</v>
      </c>
      <c r="I496" s="5">
        <f t="shared" si="34"/>
        <v>0</v>
      </c>
      <c r="J496" s="5">
        <f t="shared" si="34"/>
        <v>0</v>
      </c>
      <c r="K496" s="5">
        <f t="shared" si="34"/>
        <v>0</v>
      </c>
      <c r="L496" s="5">
        <f t="shared" si="34"/>
        <v>0</v>
      </c>
      <c r="M496" s="5">
        <f t="shared" si="34"/>
        <v>0</v>
      </c>
      <c r="N496" s="32">
        <v>6.1652173913043402E-2</v>
      </c>
      <c r="O496" s="32">
        <v>-9.6521739130433978E-3</v>
      </c>
      <c r="P496" s="24">
        <f t="shared" si="33"/>
        <v>4.8452898550724648E-2</v>
      </c>
    </row>
    <row r="497" spans="1:16" x14ac:dyDescent="0.3">
      <c r="A497" s="2">
        <v>32599</v>
      </c>
      <c r="B497" s="23">
        <v>5.0999999999999997E-2</v>
      </c>
      <c r="C497" s="5">
        <f t="shared" si="35"/>
        <v>0</v>
      </c>
      <c r="D497" s="5">
        <f t="shared" si="34"/>
        <v>0</v>
      </c>
      <c r="E497" s="5">
        <f t="shared" si="34"/>
        <v>0</v>
      </c>
      <c r="F497" s="5">
        <f t="shared" si="34"/>
        <v>1</v>
      </c>
      <c r="G497" s="5">
        <f t="shared" si="34"/>
        <v>0</v>
      </c>
      <c r="H497" s="5">
        <f t="shared" si="34"/>
        <v>0</v>
      </c>
      <c r="I497" s="5">
        <f t="shared" si="34"/>
        <v>0</v>
      </c>
      <c r="J497" s="5">
        <f t="shared" si="34"/>
        <v>0</v>
      </c>
      <c r="K497" s="5">
        <f t="shared" si="34"/>
        <v>0</v>
      </c>
      <c r="L497" s="5">
        <f t="shared" si="34"/>
        <v>0</v>
      </c>
      <c r="M497" s="5">
        <f t="shared" si="34"/>
        <v>0</v>
      </c>
      <c r="N497" s="32">
        <v>5.6550724637681071E-2</v>
      </c>
      <c r="O497" s="32">
        <v>-5.5507246376810745E-3</v>
      </c>
      <c r="P497" s="24">
        <f t="shared" si="33"/>
        <v>5.2554347826086971E-2</v>
      </c>
    </row>
    <row r="498" spans="1:16" x14ac:dyDescent="0.3">
      <c r="A498" s="2">
        <v>32629</v>
      </c>
      <c r="B498" s="23">
        <v>0.05</v>
      </c>
      <c r="C498" s="5">
        <f t="shared" si="35"/>
        <v>0</v>
      </c>
      <c r="D498" s="5">
        <f t="shared" si="34"/>
        <v>0</v>
      </c>
      <c r="E498" s="5">
        <f t="shared" si="34"/>
        <v>0</v>
      </c>
      <c r="F498" s="5">
        <f t="shared" si="34"/>
        <v>0</v>
      </c>
      <c r="G498" s="5">
        <f t="shared" si="34"/>
        <v>1</v>
      </c>
      <c r="H498" s="5">
        <f t="shared" si="34"/>
        <v>0</v>
      </c>
      <c r="I498" s="5">
        <f t="shared" si="34"/>
        <v>0</v>
      </c>
      <c r="J498" s="5">
        <f t="shared" si="34"/>
        <v>0</v>
      </c>
      <c r="K498" s="5">
        <f t="shared" si="34"/>
        <v>0</v>
      </c>
      <c r="L498" s="5">
        <f t="shared" ref="D498:M524" si="36">IF(MONTH($A498)=L$1,1,0)</f>
        <v>0</v>
      </c>
      <c r="M498" s="5">
        <f t="shared" si="36"/>
        <v>0</v>
      </c>
      <c r="N498" s="32">
        <v>5.5101449275362209E-2</v>
      </c>
      <c r="O498" s="32">
        <v>-5.1014492753622062E-3</v>
      </c>
      <c r="P498" s="24">
        <f t="shared" si="33"/>
        <v>5.3003623188405839E-2</v>
      </c>
    </row>
    <row r="499" spans="1:16" x14ac:dyDescent="0.3">
      <c r="A499" s="2">
        <v>32660</v>
      </c>
      <c r="B499" s="23">
        <v>5.5E-2</v>
      </c>
      <c r="C499" s="5">
        <f t="shared" si="35"/>
        <v>0</v>
      </c>
      <c r="D499" s="5">
        <f t="shared" si="36"/>
        <v>0</v>
      </c>
      <c r="E499" s="5">
        <f t="shared" si="36"/>
        <v>0</v>
      </c>
      <c r="F499" s="5">
        <f t="shared" si="36"/>
        <v>0</v>
      </c>
      <c r="G499" s="5">
        <f t="shared" si="36"/>
        <v>0</v>
      </c>
      <c r="H499" s="5">
        <f t="shared" si="36"/>
        <v>1</v>
      </c>
      <c r="I499" s="5">
        <f t="shared" si="36"/>
        <v>0</v>
      </c>
      <c r="J499" s="5">
        <f t="shared" si="36"/>
        <v>0</v>
      </c>
      <c r="K499" s="5">
        <f t="shared" si="36"/>
        <v>0</v>
      </c>
      <c r="L499" s="5">
        <f t="shared" si="36"/>
        <v>0</v>
      </c>
      <c r="M499" s="5">
        <f t="shared" si="36"/>
        <v>0</v>
      </c>
      <c r="N499" s="32">
        <v>6.1130434782608579E-2</v>
      </c>
      <c r="O499" s="32">
        <v>-6.1304347826085792E-3</v>
      </c>
      <c r="P499" s="24">
        <f t="shared" si="33"/>
        <v>5.1974637681159466E-2</v>
      </c>
    </row>
    <row r="500" spans="1:16" x14ac:dyDescent="0.3">
      <c r="A500" s="2">
        <v>32690</v>
      </c>
      <c r="B500" s="23">
        <v>5.2999999999999999E-2</v>
      </c>
      <c r="C500" s="5">
        <f t="shared" si="35"/>
        <v>0</v>
      </c>
      <c r="D500" s="5">
        <f t="shared" si="36"/>
        <v>0</v>
      </c>
      <c r="E500" s="5">
        <f t="shared" si="36"/>
        <v>0</v>
      </c>
      <c r="F500" s="5">
        <f t="shared" si="36"/>
        <v>0</v>
      </c>
      <c r="G500" s="5">
        <f t="shared" si="36"/>
        <v>0</v>
      </c>
      <c r="H500" s="5">
        <f t="shared" si="36"/>
        <v>0</v>
      </c>
      <c r="I500" s="5">
        <f t="shared" si="36"/>
        <v>1</v>
      </c>
      <c r="J500" s="5">
        <f t="shared" si="36"/>
        <v>0</v>
      </c>
      <c r="K500" s="5">
        <f t="shared" si="36"/>
        <v>0</v>
      </c>
      <c r="L500" s="5">
        <f t="shared" si="36"/>
        <v>0</v>
      </c>
      <c r="M500" s="5">
        <f t="shared" si="36"/>
        <v>0</v>
      </c>
      <c r="N500" s="32">
        <v>5.9550724637681039E-2</v>
      </c>
      <c r="O500" s="32">
        <v>-6.5507246376810407E-3</v>
      </c>
      <c r="P500" s="24">
        <f t="shared" si="33"/>
        <v>5.1554347826087005E-2</v>
      </c>
    </row>
    <row r="501" spans="1:16" x14ac:dyDescent="0.3">
      <c r="A501" s="2">
        <v>32721</v>
      </c>
      <c r="B501" s="23">
        <v>5.0999999999999997E-2</v>
      </c>
      <c r="C501" s="5">
        <f t="shared" si="35"/>
        <v>0</v>
      </c>
      <c r="D501" s="5">
        <f t="shared" si="36"/>
        <v>0</v>
      </c>
      <c r="E501" s="5">
        <f t="shared" si="36"/>
        <v>0</v>
      </c>
      <c r="F501" s="5">
        <f t="shared" si="36"/>
        <v>0</v>
      </c>
      <c r="G501" s="5">
        <f t="shared" si="36"/>
        <v>0</v>
      </c>
      <c r="H501" s="5">
        <f t="shared" si="36"/>
        <v>0</v>
      </c>
      <c r="I501" s="5">
        <f t="shared" si="36"/>
        <v>0</v>
      </c>
      <c r="J501" s="5">
        <f t="shared" si="36"/>
        <v>1</v>
      </c>
      <c r="K501" s="5">
        <f t="shared" si="36"/>
        <v>0</v>
      </c>
      <c r="L501" s="5">
        <f t="shared" si="36"/>
        <v>0</v>
      </c>
      <c r="M501" s="5">
        <f t="shared" si="36"/>
        <v>0</v>
      </c>
      <c r="N501" s="32">
        <v>5.6521739130434699E-2</v>
      </c>
      <c r="O501" s="32">
        <v>-5.5217391304347024E-3</v>
      </c>
      <c r="P501" s="24">
        <f t="shared" si="33"/>
        <v>5.2583333333333343E-2</v>
      </c>
    </row>
    <row r="502" spans="1:16" x14ac:dyDescent="0.3">
      <c r="A502" s="2">
        <v>32752</v>
      </c>
      <c r="B502" s="23">
        <v>5.0999999999999997E-2</v>
      </c>
      <c r="C502" s="5">
        <f t="shared" si="35"/>
        <v>0</v>
      </c>
      <c r="D502" s="5">
        <f t="shared" si="36"/>
        <v>0</v>
      </c>
      <c r="E502" s="5">
        <f t="shared" si="36"/>
        <v>0</v>
      </c>
      <c r="F502" s="5">
        <f t="shared" si="36"/>
        <v>0</v>
      </c>
      <c r="G502" s="5">
        <f t="shared" si="36"/>
        <v>0</v>
      </c>
      <c r="H502" s="5">
        <f t="shared" si="36"/>
        <v>0</v>
      </c>
      <c r="I502" s="5">
        <f t="shared" si="36"/>
        <v>0</v>
      </c>
      <c r="J502" s="5">
        <f t="shared" si="36"/>
        <v>0</v>
      </c>
      <c r="K502" s="5">
        <f t="shared" si="36"/>
        <v>1</v>
      </c>
      <c r="L502" s="5">
        <f t="shared" si="36"/>
        <v>0</v>
      </c>
      <c r="M502" s="5">
        <f t="shared" si="36"/>
        <v>0</v>
      </c>
      <c r="N502" s="32">
        <v>5.4768115942028898E-2</v>
      </c>
      <c r="O502" s="32">
        <v>-3.7681159420289018E-3</v>
      </c>
      <c r="P502" s="24">
        <f t="shared" si="33"/>
        <v>5.4336956521739144E-2</v>
      </c>
    </row>
    <row r="503" spans="1:16" x14ac:dyDescent="0.3">
      <c r="A503" s="2">
        <v>32782</v>
      </c>
      <c r="B503" s="23">
        <v>0.05</v>
      </c>
      <c r="C503" s="5">
        <f t="shared" si="35"/>
        <v>0</v>
      </c>
      <c r="D503" s="5">
        <f t="shared" si="36"/>
        <v>0</v>
      </c>
      <c r="E503" s="5">
        <f t="shared" si="36"/>
        <v>0</v>
      </c>
      <c r="F503" s="5">
        <f t="shared" si="36"/>
        <v>0</v>
      </c>
      <c r="G503" s="5">
        <f t="shared" si="36"/>
        <v>0</v>
      </c>
      <c r="H503" s="5">
        <f t="shared" si="36"/>
        <v>0</v>
      </c>
      <c r="I503" s="5">
        <f t="shared" si="36"/>
        <v>0</v>
      </c>
      <c r="J503" s="5">
        <f t="shared" si="36"/>
        <v>0</v>
      </c>
      <c r="K503" s="5">
        <f t="shared" si="36"/>
        <v>0</v>
      </c>
      <c r="L503" s="5">
        <f t="shared" si="36"/>
        <v>1</v>
      </c>
      <c r="M503" s="5">
        <f t="shared" si="36"/>
        <v>0</v>
      </c>
      <c r="N503" s="32">
        <v>5.3115942028985473E-2</v>
      </c>
      <c r="O503" s="32">
        <v>-3.1159420289854703E-3</v>
      </c>
      <c r="P503" s="24">
        <f t="shared" si="33"/>
        <v>5.4989130434782575E-2</v>
      </c>
    </row>
    <row r="504" spans="1:16" x14ac:dyDescent="0.3">
      <c r="A504" s="2">
        <v>32813</v>
      </c>
      <c r="B504" s="23">
        <v>5.2000000000000005E-2</v>
      </c>
      <c r="C504" s="5">
        <f t="shared" si="35"/>
        <v>0</v>
      </c>
      <c r="D504" s="5">
        <f t="shared" si="36"/>
        <v>0</v>
      </c>
      <c r="E504" s="5">
        <f t="shared" si="36"/>
        <v>0</v>
      </c>
      <c r="F504" s="5">
        <f t="shared" si="36"/>
        <v>0</v>
      </c>
      <c r="G504" s="5">
        <f t="shared" si="36"/>
        <v>0</v>
      </c>
      <c r="H504" s="5">
        <f t="shared" si="36"/>
        <v>0</v>
      </c>
      <c r="I504" s="5">
        <f t="shared" si="36"/>
        <v>0</v>
      </c>
      <c r="J504" s="5">
        <f t="shared" si="36"/>
        <v>0</v>
      </c>
      <c r="K504" s="5">
        <f t="shared" si="36"/>
        <v>0</v>
      </c>
      <c r="L504" s="5">
        <f t="shared" si="36"/>
        <v>0</v>
      </c>
      <c r="M504" s="5">
        <f t="shared" si="36"/>
        <v>1</v>
      </c>
      <c r="N504" s="32">
        <v>5.4782608695652081E-2</v>
      </c>
      <c r="O504" s="32">
        <v>-2.7826086956520765E-3</v>
      </c>
      <c r="P504" s="24">
        <f t="shared" si="33"/>
        <v>5.5322463768115969E-2</v>
      </c>
    </row>
    <row r="505" spans="1:16" x14ac:dyDescent="0.3">
      <c r="A505" s="2">
        <v>32843</v>
      </c>
      <c r="B505" s="23">
        <v>5.0999999999999997E-2</v>
      </c>
      <c r="C505" s="5">
        <f t="shared" si="35"/>
        <v>0</v>
      </c>
      <c r="D505" s="5">
        <f t="shared" si="36"/>
        <v>0</v>
      </c>
      <c r="E505" s="5">
        <f t="shared" si="36"/>
        <v>0</v>
      </c>
      <c r="F505" s="5">
        <f t="shared" si="36"/>
        <v>0</v>
      </c>
      <c r="G505" s="5">
        <f t="shared" si="36"/>
        <v>0</v>
      </c>
      <c r="H505" s="5">
        <f t="shared" si="36"/>
        <v>0</v>
      </c>
      <c r="I505" s="5">
        <f t="shared" si="36"/>
        <v>0</v>
      </c>
      <c r="J505" s="5">
        <f t="shared" si="36"/>
        <v>0</v>
      </c>
      <c r="K505" s="5">
        <f t="shared" si="36"/>
        <v>0</v>
      </c>
      <c r="L505" s="5">
        <f t="shared" si="36"/>
        <v>0</v>
      </c>
      <c r="M505" s="5">
        <f t="shared" si="36"/>
        <v>0</v>
      </c>
      <c r="N505" s="32">
        <v>5.5202898550724598E-2</v>
      </c>
      <c r="O505" s="32">
        <v>-4.2028985507246014E-3</v>
      </c>
      <c r="P505" s="24">
        <f t="shared" si="33"/>
        <v>5.3902173913043444E-2</v>
      </c>
    </row>
    <row r="506" spans="1:16" x14ac:dyDescent="0.3">
      <c r="A506" s="2">
        <v>32874</v>
      </c>
      <c r="B506" s="23">
        <v>0.06</v>
      </c>
      <c r="C506" s="5">
        <f t="shared" si="35"/>
        <v>1</v>
      </c>
      <c r="D506" s="5">
        <f t="shared" si="36"/>
        <v>0</v>
      </c>
      <c r="E506" s="5">
        <f t="shared" si="36"/>
        <v>0</v>
      </c>
      <c r="F506" s="5">
        <f t="shared" si="36"/>
        <v>0</v>
      </c>
      <c r="G506" s="5">
        <f t="shared" si="36"/>
        <v>0</v>
      </c>
      <c r="H506" s="5">
        <f t="shared" si="36"/>
        <v>0</v>
      </c>
      <c r="I506" s="5">
        <f t="shared" si="36"/>
        <v>0</v>
      </c>
      <c r="J506" s="5">
        <f t="shared" si="36"/>
        <v>0</v>
      </c>
      <c r="K506" s="5">
        <f t="shared" si="36"/>
        <v>0</v>
      </c>
      <c r="L506" s="5">
        <f t="shared" si="36"/>
        <v>0</v>
      </c>
      <c r="M506" s="5">
        <f t="shared" si="36"/>
        <v>0</v>
      </c>
      <c r="N506" s="32">
        <v>6.4492753623188417E-2</v>
      </c>
      <c r="O506" s="32">
        <v>-4.4927536231884196E-3</v>
      </c>
      <c r="P506" s="24">
        <f t="shared" si="33"/>
        <v>5.3612318840579626E-2</v>
      </c>
    </row>
    <row r="507" spans="1:16" x14ac:dyDescent="0.3">
      <c r="A507" s="2">
        <v>32905</v>
      </c>
      <c r="B507" s="23">
        <v>5.9000000000000004E-2</v>
      </c>
      <c r="C507" s="5">
        <f t="shared" si="35"/>
        <v>0</v>
      </c>
      <c r="D507" s="5">
        <f t="shared" si="36"/>
        <v>1</v>
      </c>
      <c r="E507" s="5">
        <f t="shared" si="36"/>
        <v>0</v>
      </c>
      <c r="F507" s="5">
        <f t="shared" si="36"/>
        <v>0</v>
      </c>
      <c r="G507" s="5">
        <f t="shared" si="36"/>
        <v>0</v>
      </c>
      <c r="H507" s="5">
        <f t="shared" si="36"/>
        <v>0</v>
      </c>
      <c r="I507" s="5">
        <f t="shared" si="36"/>
        <v>0</v>
      </c>
      <c r="J507" s="5">
        <f t="shared" si="36"/>
        <v>0</v>
      </c>
      <c r="K507" s="5">
        <f t="shared" si="36"/>
        <v>0</v>
      </c>
      <c r="L507" s="5">
        <f t="shared" si="36"/>
        <v>0</v>
      </c>
      <c r="M507" s="5">
        <f t="shared" si="36"/>
        <v>0</v>
      </c>
      <c r="N507" s="32">
        <v>6.4391304347825973E-2</v>
      </c>
      <c r="O507" s="32">
        <v>-5.391304347825969E-3</v>
      </c>
      <c r="P507" s="24">
        <f t="shared" si="33"/>
        <v>5.2713768115942077E-2</v>
      </c>
    </row>
    <row r="508" spans="1:16" x14ac:dyDescent="0.3">
      <c r="A508" s="2">
        <v>32933</v>
      </c>
      <c r="B508" s="23">
        <v>5.5E-2</v>
      </c>
      <c r="C508" s="5">
        <f t="shared" si="35"/>
        <v>0</v>
      </c>
      <c r="D508" s="5">
        <f t="shared" si="36"/>
        <v>0</v>
      </c>
      <c r="E508" s="5">
        <f t="shared" si="36"/>
        <v>1</v>
      </c>
      <c r="F508" s="5">
        <f t="shared" si="36"/>
        <v>0</v>
      </c>
      <c r="G508" s="5">
        <f t="shared" si="36"/>
        <v>0</v>
      </c>
      <c r="H508" s="5">
        <f t="shared" si="36"/>
        <v>0</v>
      </c>
      <c r="I508" s="5">
        <f t="shared" si="36"/>
        <v>0</v>
      </c>
      <c r="J508" s="5">
        <f t="shared" si="36"/>
        <v>0</v>
      </c>
      <c r="K508" s="5">
        <f t="shared" si="36"/>
        <v>0</v>
      </c>
      <c r="L508" s="5">
        <f t="shared" si="36"/>
        <v>0</v>
      </c>
      <c r="M508" s="5">
        <f t="shared" si="36"/>
        <v>0</v>
      </c>
      <c r="N508" s="32">
        <v>6.1652173913043402E-2</v>
      </c>
      <c r="O508" s="32">
        <v>-6.6521739130434021E-3</v>
      </c>
      <c r="P508" s="24">
        <f t="shared" si="33"/>
        <v>5.1452898550724643E-2</v>
      </c>
    </row>
    <row r="509" spans="1:16" x14ac:dyDescent="0.3">
      <c r="A509" s="2">
        <v>32964</v>
      </c>
      <c r="B509" s="23">
        <v>5.2999999999999999E-2</v>
      </c>
      <c r="C509" s="5">
        <f t="shared" si="35"/>
        <v>0</v>
      </c>
      <c r="D509" s="5">
        <f t="shared" si="36"/>
        <v>0</v>
      </c>
      <c r="E509" s="5">
        <f t="shared" si="36"/>
        <v>0</v>
      </c>
      <c r="F509" s="5">
        <f t="shared" si="36"/>
        <v>1</v>
      </c>
      <c r="G509" s="5">
        <f t="shared" si="36"/>
        <v>0</v>
      </c>
      <c r="H509" s="5">
        <f t="shared" si="36"/>
        <v>0</v>
      </c>
      <c r="I509" s="5">
        <f t="shared" si="36"/>
        <v>0</v>
      </c>
      <c r="J509" s="5">
        <f t="shared" si="36"/>
        <v>0</v>
      </c>
      <c r="K509" s="5">
        <f t="shared" si="36"/>
        <v>0</v>
      </c>
      <c r="L509" s="5">
        <f t="shared" si="36"/>
        <v>0</v>
      </c>
      <c r="M509" s="5">
        <f t="shared" si="36"/>
        <v>0</v>
      </c>
      <c r="N509" s="32">
        <v>5.6550724637681071E-2</v>
      </c>
      <c r="O509" s="32">
        <v>-3.5507246376810728E-3</v>
      </c>
      <c r="P509" s="24">
        <f t="shared" si="33"/>
        <v>5.4554347826086973E-2</v>
      </c>
    </row>
    <row r="510" spans="1:16" x14ac:dyDescent="0.3">
      <c r="A510" s="2">
        <v>32994</v>
      </c>
      <c r="B510" s="23">
        <v>5.2000000000000005E-2</v>
      </c>
      <c r="C510" s="5">
        <f t="shared" si="35"/>
        <v>0</v>
      </c>
      <c r="D510" s="5">
        <f t="shared" si="36"/>
        <v>0</v>
      </c>
      <c r="E510" s="5">
        <f t="shared" si="36"/>
        <v>0</v>
      </c>
      <c r="F510" s="5">
        <f t="shared" si="36"/>
        <v>0</v>
      </c>
      <c r="G510" s="5">
        <f t="shared" si="36"/>
        <v>1</v>
      </c>
      <c r="H510" s="5">
        <f t="shared" si="36"/>
        <v>0</v>
      </c>
      <c r="I510" s="5">
        <f t="shared" si="36"/>
        <v>0</v>
      </c>
      <c r="J510" s="5">
        <f t="shared" si="36"/>
        <v>0</v>
      </c>
      <c r="K510" s="5">
        <f t="shared" si="36"/>
        <v>0</v>
      </c>
      <c r="L510" s="5">
        <f t="shared" si="36"/>
        <v>0</v>
      </c>
      <c r="M510" s="5">
        <f t="shared" si="36"/>
        <v>0</v>
      </c>
      <c r="N510" s="32">
        <v>5.5101449275362209E-2</v>
      </c>
      <c r="O510" s="32">
        <v>-3.1014492753622044E-3</v>
      </c>
      <c r="P510" s="24">
        <f t="shared" si="33"/>
        <v>5.5003623188405841E-2</v>
      </c>
    </row>
    <row r="511" spans="1:16" x14ac:dyDescent="0.3">
      <c r="A511" s="2">
        <v>33025</v>
      </c>
      <c r="B511" s="23">
        <v>5.4000000000000006E-2</v>
      </c>
      <c r="C511" s="5">
        <f t="shared" si="35"/>
        <v>0</v>
      </c>
      <c r="D511" s="5">
        <f t="shared" si="36"/>
        <v>0</v>
      </c>
      <c r="E511" s="5">
        <f t="shared" si="36"/>
        <v>0</v>
      </c>
      <c r="F511" s="5">
        <f t="shared" si="36"/>
        <v>0</v>
      </c>
      <c r="G511" s="5">
        <f t="shared" si="36"/>
        <v>0</v>
      </c>
      <c r="H511" s="5">
        <f t="shared" si="36"/>
        <v>1</v>
      </c>
      <c r="I511" s="5">
        <f t="shared" si="36"/>
        <v>0</v>
      </c>
      <c r="J511" s="5">
        <f t="shared" si="36"/>
        <v>0</v>
      </c>
      <c r="K511" s="5">
        <f t="shared" si="36"/>
        <v>0</v>
      </c>
      <c r="L511" s="5">
        <f t="shared" si="36"/>
        <v>0</v>
      </c>
      <c r="M511" s="5">
        <f t="shared" si="36"/>
        <v>0</v>
      </c>
      <c r="N511" s="32">
        <v>6.1130434782608579E-2</v>
      </c>
      <c r="O511" s="32">
        <v>-7.1304347826085732E-3</v>
      </c>
      <c r="P511" s="24">
        <f t="shared" si="33"/>
        <v>5.0974637681159472E-2</v>
      </c>
    </row>
    <row r="512" spans="1:16" x14ac:dyDescent="0.3">
      <c r="A512" s="2">
        <v>33055</v>
      </c>
      <c r="B512" s="23">
        <v>5.5999999999999994E-2</v>
      </c>
      <c r="C512" s="5">
        <f t="shared" si="35"/>
        <v>0</v>
      </c>
      <c r="D512" s="5">
        <f t="shared" si="36"/>
        <v>0</v>
      </c>
      <c r="E512" s="5">
        <f t="shared" si="36"/>
        <v>0</v>
      </c>
      <c r="F512" s="5">
        <f t="shared" si="36"/>
        <v>0</v>
      </c>
      <c r="G512" s="5">
        <f t="shared" si="36"/>
        <v>0</v>
      </c>
      <c r="H512" s="5">
        <f t="shared" si="36"/>
        <v>0</v>
      </c>
      <c r="I512" s="5">
        <f t="shared" si="36"/>
        <v>1</v>
      </c>
      <c r="J512" s="5">
        <f t="shared" si="36"/>
        <v>0</v>
      </c>
      <c r="K512" s="5">
        <f t="shared" si="36"/>
        <v>0</v>
      </c>
      <c r="L512" s="5">
        <f t="shared" si="36"/>
        <v>0</v>
      </c>
      <c r="M512" s="5">
        <f t="shared" si="36"/>
        <v>0</v>
      </c>
      <c r="N512" s="32">
        <v>5.9550724637681039E-2</v>
      </c>
      <c r="O512" s="32">
        <v>-3.550724637681045E-3</v>
      </c>
      <c r="P512" s="24">
        <f t="shared" si="33"/>
        <v>5.4554347826087E-2</v>
      </c>
    </row>
    <row r="513" spans="1:16" x14ac:dyDescent="0.3">
      <c r="A513" s="2">
        <v>33086</v>
      </c>
      <c r="B513" s="23">
        <v>5.5E-2</v>
      </c>
      <c r="C513" s="5">
        <f t="shared" si="35"/>
        <v>0</v>
      </c>
      <c r="D513" s="5">
        <f t="shared" si="36"/>
        <v>0</v>
      </c>
      <c r="E513" s="5">
        <f t="shared" si="36"/>
        <v>0</v>
      </c>
      <c r="F513" s="5">
        <f t="shared" si="36"/>
        <v>0</v>
      </c>
      <c r="G513" s="5">
        <f t="shared" si="36"/>
        <v>0</v>
      </c>
      <c r="H513" s="5">
        <f t="shared" si="36"/>
        <v>0</v>
      </c>
      <c r="I513" s="5">
        <f t="shared" si="36"/>
        <v>0</v>
      </c>
      <c r="J513" s="5">
        <f t="shared" si="36"/>
        <v>1</v>
      </c>
      <c r="K513" s="5">
        <f t="shared" si="36"/>
        <v>0</v>
      </c>
      <c r="L513" s="5">
        <f t="shared" si="36"/>
        <v>0</v>
      </c>
      <c r="M513" s="5">
        <f t="shared" si="36"/>
        <v>0</v>
      </c>
      <c r="N513" s="32">
        <v>5.6521739130434699E-2</v>
      </c>
      <c r="O513" s="32">
        <v>-1.5217391304346989E-3</v>
      </c>
      <c r="P513" s="24">
        <f t="shared" si="33"/>
        <v>5.6583333333333347E-2</v>
      </c>
    </row>
    <row r="514" spans="1:16" x14ac:dyDescent="0.3">
      <c r="A514" s="2">
        <v>33117</v>
      </c>
      <c r="B514" s="23">
        <v>5.5999999999999994E-2</v>
      </c>
      <c r="C514" s="5">
        <f t="shared" si="35"/>
        <v>0</v>
      </c>
      <c r="D514" s="5">
        <f t="shared" si="36"/>
        <v>0</v>
      </c>
      <c r="E514" s="5">
        <f t="shared" si="36"/>
        <v>0</v>
      </c>
      <c r="F514" s="5">
        <f t="shared" si="36"/>
        <v>0</v>
      </c>
      <c r="G514" s="5">
        <f t="shared" si="36"/>
        <v>0</v>
      </c>
      <c r="H514" s="5">
        <f t="shared" si="36"/>
        <v>0</v>
      </c>
      <c r="I514" s="5">
        <f t="shared" si="36"/>
        <v>0</v>
      </c>
      <c r="J514" s="5">
        <f t="shared" si="36"/>
        <v>0</v>
      </c>
      <c r="K514" s="5">
        <f t="shared" si="36"/>
        <v>1</v>
      </c>
      <c r="L514" s="5">
        <f t="shared" si="36"/>
        <v>0</v>
      </c>
      <c r="M514" s="5">
        <f t="shared" si="36"/>
        <v>0</v>
      </c>
      <c r="N514" s="32">
        <v>5.4768115942028898E-2</v>
      </c>
      <c r="O514" s="32">
        <v>1.2318840579710957E-3</v>
      </c>
      <c r="P514" s="24">
        <f t="shared" si="33"/>
        <v>5.9336956521739141E-2</v>
      </c>
    </row>
    <row r="515" spans="1:16" x14ac:dyDescent="0.3">
      <c r="A515" s="2">
        <v>33147</v>
      </c>
      <c r="B515" s="23">
        <v>5.5E-2</v>
      </c>
      <c r="C515" s="5">
        <f t="shared" si="35"/>
        <v>0</v>
      </c>
      <c r="D515" s="5">
        <f t="shared" si="36"/>
        <v>0</v>
      </c>
      <c r="E515" s="5">
        <f t="shared" si="36"/>
        <v>0</v>
      </c>
      <c r="F515" s="5">
        <f t="shared" si="36"/>
        <v>0</v>
      </c>
      <c r="G515" s="5">
        <f t="shared" si="36"/>
        <v>0</v>
      </c>
      <c r="H515" s="5">
        <f t="shared" si="36"/>
        <v>0</v>
      </c>
      <c r="I515" s="5">
        <f t="shared" si="36"/>
        <v>0</v>
      </c>
      <c r="J515" s="5">
        <f t="shared" si="36"/>
        <v>0</v>
      </c>
      <c r="K515" s="5">
        <f t="shared" si="36"/>
        <v>0</v>
      </c>
      <c r="L515" s="5">
        <f t="shared" si="36"/>
        <v>1</v>
      </c>
      <c r="M515" s="5">
        <f t="shared" si="36"/>
        <v>0</v>
      </c>
      <c r="N515" s="32">
        <v>5.3115942028985473E-2</v>
      </c>
      <c r="O515" s="32">
        <v>1.8840579710145272E-3</v>
      </c>
      <c r="P515" s="24">
        <f t="shared" ref="P515:P578" si="37">O515+$R$2</f>
        <v>5.9989130434782573E-2</v>
      </c>
    </row>
    <row r="516" spans="1:16" x14ac:dyDescent="0.3">
      <c r="A516" s="2">
        <v>33178</v>
      </c>
      <c r="B516" s="23">
        <v>5.9000000000000004E-2</v>
      </c>
      <c r="C516" s="5">
        <f t="shared" si="35"/>
        <v>0</v>
      </c>
      <c r="D516" s="5">
        <f t="shared" si="36"/>
        <v>0</v>
      </c>
      <c r="E516" s="5">
        <f t="shared" si="36"/>
        <v>0</v>
      </c>
      <c r="F516" s="5">
        <f t="shared" si="36"/>
        <v>0</v>
      </c>
      <c r="G516" s="5">
        <f t="shared" si="36"/>
        <v>0</v>
      </c>
      <c r="H516" s="5">
        <f t="shared" si="36"/>
        <v>0</v>
      </c>
      <c r="I516" s="5">
        <f t="shared" si="36"/>
        <v>0</v>
      </c>
      <c r="J516" s="5">
        <f t="shared" si="36"/>
        <v>0</v>
      </c>
      <c r="K516" s="5">
        <f t="shared" si="36"/>
        <v>0</v>
      </c>
      <c r="L516" s="5">
        <f t="shared" si="36"/>
        <v>0</v>
      </c>
      <c r="M516" s="5">
        <f t="shared" si="36"/>
        <v>1</v>
      </c>
      <c r="N516" s="32">
        <v>5.4782608695652081E-2</v>
      </c>
      <c r="O516" s="32">
        <v>4.2173913043479228E-3</v>
      </c>
      <c r="P516" s="24">
        <f t="shared" si="37"/>
        <v>6.2322463768115968E-2</v>
      </c>
    </row>
    <row r="517" spans="1:16" x14ac:dyDescent="0.3">
      <c r="A517" s="2">
        <v>33208</v>
      </c>
      <c r="B517" s="23">
        <v>0.06</v>
      </c>
      <c r="C517" s="5">
        <f t="shared" si="35"/>
        <v>0</v>
      </c>
      <c r="D517" s="5">
        <f t="shared" si="36"/>
        <v>0</v>
      </c>
      <c r="E517" s="5">
        <f t="shared" si="36"/>
        <v>0</v>
      </c>
      <c r="F517" s="5">
        <f t="shared" si="36"/>
        <v>0</v>
      </c>
      <c r="G517" s="5">
        <f t="shared" si="36"/>
        <v>0</v>
      </c>
      <c r="H517" s="5">
        <f t="shared" si="36"/>
        <v>0</v>
      </c>
      <c r="I517" s="5">
        <f t="shared" si="36"/>
        <v>0</v>
      </c>
      <c r="J517" s="5">
        <f t="shared" si="36"/>
        <v>0</v>
      </c>
      <c r="K517" s="5">
        <f t="shared" si="36"/>
        <v>0</v>
      </c>
      <c r="L517" s="5">
        <f t="shared" si="36"/>
        <v>0</v>
      </c>
      <c r="M517" s="5">
        <f t="shared" si="36"/>
        <v>0</v>
      </c>
      <c r="N517" s="32">
        <v>5.5202898550724598E-2</v>
      </c>
      <c r="O517" s="32">
        <v>4.7971014492753997E-3</v>
      </c>
      <c r="P517" s="24">
        <f t="shared" si="37"/>
        <v>6.2902173913043452E-2</v>
      </c>
    </row>
    <row r="518" spans="1:16" x14ac:dyDescent="0.3">
      <c r="A518" s="2">
        <v>33239</v>
      </c>
      <c r="B518" s="23">
        <v>7.0999999999999994E-2</v>
      </c>
      <c r="C518" s="5">
        <f t="shared" si="35"/>
        <v>1</v>
      </c>
      <c r="D518" s="5">
        <f t="shared" si="36"/>
        <v>0</v>
      </c>
      <c r="E518" s="5">
        <f t="shared" si="36"/>
        <v>0</v>
      </c>
      <c r="F518" s="5">
        <f t="shared" si="36"/>
        <v>0</v>
      </c>
      <c r="G518" s="5">
        <f t="shared" si="36"/>
        <v>0</v>
      </c>
      <c r="H518" s="5">
        <f t="shared" si="36"/>
        <v>0</v>
      </c>
      <c r="I518" s="5">
        <f t="shared" si="36"/>
        <v>0</v>
      </c>
      <c r="J518" s="5">
        <f t="shared" si="36"/>
        <v>0</v>
      </c>
      <c r="K518" s="5">
        <f t="shared" si="36"/>
        <v>0</v>
      </c>
      <c r="L518" s="5">
        <f t="shared" si="36"/>
        <v>0</v>
      </c>
      <c r="M518" s="5">
        <f t="shared" si="36"/>
        <v>0</v>
      </c>
      <c r="N518" s="32">
        <v>6.4492753623188417E-2</v>
      </c>
      <c r="O518" s="32">
        <v>6.5072463768115762E-3</v>
      </c>
      <c r="P518" s="24">
        <f t="shared" si="37"/>
        <v>6.4612318840579622E-2</v>
      </c>
    </row>
    <row r="519" spans="1:16" x14ac:dyDescent="0.3">
      <c r="A519" s="2">
        <v>33270</v>
      </c>
      <c r="B519" s="23">
        <v>7.2999999999999995E-2</v>
      </c>
      <c r="C519" s="5">
        <f t="shared" si="35"/>
        <v>0</v>
      </c>
      <c r="D519" s="5">
        <f t="shared" si="36"/>
        <v>1</v>
      </c>
      <c r="E519" s="5">
        <f t="shared" si="36"/>
        <v>0</v>
      </c>
      <c r="F519" s="5">
        <f t="shared" si="36"/>
        <v>0</v>
      </c>
      <c r="G519" s="5">
        <f t="shared" si="36"/>
        <v>0</v>
      </c>
      <c r="H519" s="5">
        <f t="shared" si="36"/>
        <v>0</v>
      </c>
      <c r="I519" s="5">
        <f t="shared" si="36"/>
        <v>0</v>
      </c>
      <c r="J519" s="5">
        <f t="shared" si="36"/>
        <v>0</v>
      </c>
      <c r="K519" s="5">
        <f t="shared" si="36"/>
        <v>0</v>
      </c>
      <c r="L519" s="5">
        <f t="shared" si="36"/>
        <v>0</v>
      </c>
      <c r="M519" s="5">
        <f t="shared" si="36"/>
        <v>0</v>
      </c>
      <c r="N519" s="32">
        <v>6.4391304347825973E-2</v>
      </c>
      <c r="O519" s="32">
        <v>8.6086956521740227E-3</v>
      </c>
      <c r="P519" s="24">
        <f t="shared" si="37"/>
        <v>6.6713768115942068E-2</v>
      </c>
    </row>
    <row r="520" spans="1:16" x14ac:dyDescent="0.3">
      <c r="A520" s="2">
        <v>33298</v>
      </c>
      <c r="B520" s="23">
        <v>7.2000000000000008E-2</v>
      </c>
      <c r="C520" s="5">
        <f t="shared" si="35"/>
        <v>0</v>
      </c>
      <c r="D520" s="5">
        <f t="shared" si="36"/>
        <v>0</v>
      </c>
      <c r="E520" s="5">
        <f t="shared" si="36"/>
        <v>1</v>
      </c>
      <c r="F520" s="5">
        <f t="shared" si="36"/>
        <v>0</v>
      </c>
      <c r="G520" s="5">
        <f t="shared" si="36"/>
        <v>0</v>
      </c>
      <c r="H520" s="5">
        <f t="shared" si="36"/>
        <v>0</v>
      </c>
      <c r="I520" s="5">
        <f t="shared" si="36"/>
        <v>0</v>
      </c>
      <c r="J520" s="5">
        <f t="shared" si="36"/>
        <v>0</v>
      </c>
      <c r="K520" s="5">
        <f t="shared" si="36"/>
        <v>0</v>
      </c>
      <c r="L520" s="5">
        <f t="shared" si="36"/>
        <v>0</v>
      </c>
      <c r="M520" s="5">
        <f t="shared" si="36"/>
        <v>0</v>
      </c>
      <c r="N520" s="32">
        <v>6.1652173913043402E-2</v>
      </c>
      <c r="O520" s="32">
        <v>1.0347826086956606E-2</v>
      </c>
      <c r="P520" s="24">
        <f t="shared" si="37"/>
        <v>6.8452898550724645E-2</v>
      </c>
    </row>
    <row r="521" spans="1:16" x14ac:dyDescent="0.3">
      <c r="A521" s="2">
        <v>33329</v>
      </c>
      <c r="B521" s="23">
        <v>6.5000000000000002E-2</v>
      </c>
      <c r="C521" s="5">
        <f t="shared" si="35"/>
        <v>0</v>
      </c>
      <c r="D521" s="5">
        <f t="shared" si="36"/>
        <v>0</v>
      </c>
      <c r="E521" s="5">
        <f t="shared" si="36"/>
        <v>0</v>
      </c>
      <c r="F521" s="5">
        <f t="shared" si="36"/>
        <v>1</v>
      </c>
      <c r="G521" s="5">
        <f t="shared" si="36"/>
        <v>0</v>
      </c>
      <c r="H521" s="5">
        <f t="shared" si="36"/>
        <v>0</v>
      </c>
      <c r="I521" s="5">
        <f t="shared" si="36"/>
        <v>0</v>
      </c>
      <c r="J521" s="5">
        <f t="shared" si="36"/>
        <v>0</v>
      </c>
      <c r="K521" s="5">
        <f t="shared" si="36"/>
        <v>0</v>
      </c>
      <c r="L521" s="5">
        <f t="shared" si="36"/>
        <v>0</v>
      </c>
      <c r="M521" s="5">
        <f t="shared" si="36"/>
        <v>0</v>
      </c>
      <c r="N521" s="32">
        <v>5.6550724637681071E-2</v>
      </c>
      <c r="O521" s="32">
        <v>8.4492753623189309E-3</v>
      </c>
      <c r="P521" s="24">
        <f t="shared" si="37"/>
        <v>6.6554347826086976E-2</v>
      </c>
    </row>
    <row r="522" spans="1:16" x14ac:dyDescent="0.3">
      <c r="A522" s="2">
        <v>33359</v>
      </c>
      <c r="B522" s="23">
        <v>6.7000000000000004E-2</v>
      </c>
      <c r="C522" s="5">
        <f t="shared" si="35"/>
        <v>0</v>
      </c>
      <c r="D522" s="5">
        <f t="shared" si="36"/>
        <v>0</v>
      </c>
      <c r="E522" s="5">
        <f t="shared" si="36"/>
        <v>0</v>
      </c>
      <c r="F522" s="5">
        <f t="shared" si="36"/>
        <v>0</v>
      </c>
      <c r="G522" s="5">
        <f t="shared" si="36"/>
        <v>1</v>
      </c>
      <c r="H522" s="5">
        <f t="shared" si="36"/>
        <v>0</v>
      </c>
      <c r="I522" s="5">
        <f t="shared" si="36"/>
        <v>0</v>
      </c>
      <c r="J522" s="5">
        <f t="shared" si="36"/>
        <v>0</v>
      </c>
      <c r="K522" s="5">
        <f t="shared" si="36"/>
        <v>0</v>
      </c>
      <c r="L522" s="5">
        <f t="shared" si="36"/>
        <v>0</v>
      </c>
      <c r="M522" s="5">
        <f t="shared" si="36"/>
        <v>0</v>
      </c>
      <c r="N522" s="32">
        <v>5.5101449275362209E-2</v>
      </c>
      <c r="O522" s="32">
        <v>1.1898550724637795E-2</v>
      </c>
      <c r="P522" s="24">
        <f t="shared" si="37"/>
        <v>7.0003623188405834E-2</v>
      </c>
    </row>
    <row r="523" spans="1:16" x14ac:dyDescent="0.3">
      <c r="A523" s="2">
        <v>33390</v>
      </c>
      <c r="B523" s="23">
        <v>7.0000000000000007E-2</v>
      </c>
      <c r="C523" s="5">
        <f t="shared" si="35"/>
        <v>0</v>
      </c>
      <c r="D523" s="5">
        <f t="shared" si="36"/>
        <v>0</v>
      </c>
      <c r="E523" s="5">
        <f t="shared" si="36"/>
        <v>0</v>
      </c>
      <c r="F523" s="5">
        <f t="shared" si="36"/>
        <v>0</v>
      </c>
      <c r="G523" s="5">
        <f t="shared" si="36"/>
        <v>0</v>
      </c>
      <c r="H523" s="5">
        <f t="shared" si="36"/>
        <v>1</v>
      </c>
      <c r="I523" s="5">
        <f t="shared" si="36"/>
        <v>0</v>
      </c>
      <c r="J523" s="5">
        <f t="shared" si="36"/>
        <v>0</v>
      </c>
      <c r="K523" s="5">
        <f t="shared" si="36"/>
        <v>0</v>
      </c>
      <c r="L523" s="5">
        <f t="shared" si="36"/>
        <v>0</v>
      </c>
      <c r="M523" s="5">
        <f t="shared" si="36"/>
        <v>0</v>
      </c>
      <c r="N523" s="32">
        <v>6.1130434782608579E-2</v>
      </c>
      <c r="O523" s="32">
        <v>8.8695652173914272E-3</v>
      </c>
      <c r="P523" s="24">
        <f t="shared" si="37"/>
        <v>6.6974637681159466E-2</v>
      </c>
    </row>
    <row r="524" spans="1:16" x14ac:dyDescent="0.3">
      <c r="A524" s="2">
        <v>33420</v>
      </c>
      <c r="B524" s="23">
        <v>6.8000000000000005E-2</v>
      </c>
      <c r="C524" s="5">
        <f t="shared" si="35"/>
        <v>0</v>
      </c>
      <c r="D524" s="5">
        <f t="shared" si="36"/>
        <v>0</v>
      </c>
      <c r="E524" s="5">
        <f t="shared" si="36"/>
        <v>0</v>
      </c>
      <c r="F524" s="5">
        <f t="shared" si="36"/>
        <v>0</v>
      </c>
      <c r="G524" s="5">
        <f t="shared" ref="D524:M549" si="38">IF(MONTH($A524)=G$1,1,0)</f>
        <v>0</v>
      </c>
      <c r="H524" s="5">
        <f t="shared" si="38"/>
        <v>0</v>
      </c>
      <c r="I524" s="5">
        <f t="shared" si="38"/>
        <v>1</v>
      </c>
      <c r="J524" s="5">
        <f t="shared" si="38"/>
        <v>0</v>
      </c>
      <c r="K524" s="5">
        <f t="shared" si="38"/>
        <v>0</v>
      </c>
      <c r="L524" s="5">
        <f t="shared" si="38"/>
        <v>0</v>
      </c>
      <c r="M524" s="5">
        <f t="shared" si="38"/>
        <v>0</v>
      </c>
      <c r="N524" s="32">
        <v>5.9550724637681039E-2</v>
      </c>
      <c r="O524" s="32">
        <v>8.4492753623189656E-3</v>
      </c>
      <c r="P524" s="24">
        <f t="shared" si="37"/>
        <v>6.6554347826087018E-2</v>
      </c>
    </row>
    <row r="525" spans="1:16" x14ac:dyDescent="0.3">
      <c r="A525" s="2">
        <v>33451</v>
      </c>
      <c r="B525" s="23">
        <v>6.6000000000000003E-2</v>
      </c>
      <c r="C525" s="5">
        <f t="shared" si="35"/>
        <v>0</v>
      </c>
      <c r="D525" s="5">
        <f t="shared" si="38"/>
        <v>0</v>
      </c>
      <c r="E525" s="5">
        <f t="shared" si="38"/>
        <v>0</v>
      </c>
      <c r="F525" s="5">
        <f t="shared" si="38"/>
        <v>0</v>
      </c>
      <c r="G525" s="5">
        <f t="shared" si="38"/>
        <v>0</v>
      </c>
      <c r="H525" s="5">
        <f t="shared" si="38"/>
        <v>0</v>
      </c>
      <c r="I525" s="5">
        <f t="shared" si="38"/>
        <v>0</v>
      </c>
      <c r="J525" s="5">
        <f t="shared" si="38"/>
        <v>1</v>
      </c>
      <c r="K525" s="5">
        <f t="shared" si="38"/>
        <v>0</v>
      </c>
      <c r="L525" s="5">
        <f t="shared" si="38"/>
        <v>0</v>
      </c>
      <c r="M525" s="5">
        <f t="shared" si="38"/>
        <v>0</v>
      </c>
      <c r="N525" s="32">
        <v>5.6521739130434699E-2</v>
      </c>
      <c r="O525" s="32">
        <v>9.4782608695653039E-3</v>
      </c>
      <c r="P525" s="24">
        <f t="shared" si="37"/>
        <v>6.7583333333333356E-2</v>
      </c>
    </row>
    <row r="526" spans="1:16" x14ac:dyDescent="0.3">
      <c r="A526" s="2">
        <v>33482</v>
      </c>
      <c r="B526" s="23">
        <v>6.5000000000000002E-2</v>
      </c>
      <c r="C526" s="5">
        <f t="shared" si="35"/>
        <v>0</v>
      </c>
      <c r="D526" s="5">
        <f t="shared" si="38"/>
        <v>0</v>
      </c>
      <c r="E526" s="5">
        <f t="shared" si="38"/>
        <v>0</v>
      </c>
      <c r="F526" s="5">
        <f t="shared" si="38"/>
        <v>0</v>
      </c>
      <c r="G526" s="5">
        <f t="shared" si="38"/>
        <v>0</v>
      </c>
      <c r="H526" s="5">
        <f t="shared" si="38"/>
        <v>0</v>
      </c>
      <c r="I526" s="5">
        <f t="shared" si="38"/>
        <v>0</v>
      </c>
      <c r="J526" s="5">
        <f t="shared" si="38"/>
        <v>0</v>
      </c>
      <c r="K526" s="5">
        <f t="shared" si="38"/>
        <v>1</v>
      </c>
      <c r="L526" s="5">
        <f t="shared" si="38"/>
        <v>0</v>
      </c>
      <c r="M526" s="5">
        <f t="shared" si="38"/>
        <v>0</v>
      </c>
      <c r="N526" s="32">
        <v>5.4768115942028898E-2</v>
      </c>
      <c r="O526" s="32">
        <v>1.0231884057971104E-2</v>
      </c>
      <c r="P526" s="24">
        <f t="shared" si="37"/>
        <v>6.8336956521739156E-2</v>
      </c>
    </row>
    <row r="527" spans="1:16" x14ac:dyDescent="0.3">
      <c r="A527" s="2">
        <v>33512</v>
      </c>
      <c r="B527" s="23">
        <v>6.5000000000000002E-2</v>
      </c>
      <c r="C527" s="5">
        <f t="shared" si="35"/>
        <v>0</v>
      </c>
      <c r="D527" s="5">
        <f t="shared" si="38"/>
        <v>0</v>
      </c>
      <c r="E527" s="5">
        <f t="shared" si="38"/>
        <v>0</v>
      </c>
      <c r="F527" s="5">
        <f t="shared" si="38"/>
        <v>0</v>
      </c>
      <c r="G527" s="5">
        <f t="shared" si="38"/>
        <v>0</v>
      </c>
      <c r="H527" s="5">
        <f t="shared" si="38"/>
        <v>0</v>
      </c>
      <c r="I527" s="5">
        <f t="shared" si="38"/>
        <v>0</v>
      </c>
      <c r="J527" s="5">
        <f t="shared" si="38"/>
        <v>0</v>
      </c>
      <c r="K527" s="5">
        <f t="shared" si="38"/>
        <v>0</v>
      </c>
      <c r="L527" s="5">
        <f t="shared" si="38"/>
        <v>1</v>
      </c>
      <c r="M527" s="5">
        <f t="shared" si="38"/>
        <v>0</v>
      </c>
      <c r="N527" s="32">
        <v>5.3115942028985473E-2</v>
      </c>
      <c r="O527" s="32">
        <v>1.1884057971014529E-2</v>
      </c>
      <c r="P527" s="24">
        <f t="shared" si="37"/>
        <v>6.9989130434782582E-2</v>
      </c>
    </row>
    <row r="528" spans="1:16" x14ac:dyDescent="0.3">
      <c r="A528" s="2">
        <v>33543</v>
      </c>
      <c r="B528" s="23">
        <v>6.7000000000000004E-2</v>
      </c>
      <c r="C528" s="5">
        <f t="shared" si="35"/>
        <v>0</v>
      </c>
      <c r="D528" s="5">
        <f t="shared" si="38"/>
        <v>0</v>
      </c>
      <c r="E528" s="5">
        <f t="shared" si="38"/>
        <v>0</v>
      </c>
      <c r="F528" s="5">
        <f t="shared" si="38"/>
        <v>0</v>
      </c>
      <c r="G528" s="5">
        <f t="shared" si="38"/>
        <v>0</v>
      </c>
      <c r="H528" s="5">
        <f t="shared" si="38"/>
        <v>0</v>
      </c>
      <c r="I528" s="5">
        <f t="shared" si="38"/>
        <v>0</v>
      </c>
      <c r="J528" s="5">
        <f t="shared" si="38"/>
        <v>0</v>
      </c>
      <c r="K528" s="5">
        <f t="shared" si="38"/>
        <v>0</v>
      </c>
      <c r="L528" s="5">
        <f t="shared" si="38"/>
        <v>0</v>
      </c>
      <c r="M528" s="5">
        <f t="shared" si="38"/>
        <v>1</v>
      </c>
      <c r="N528" s="32">
        <v>5.4782608695652081E-2</v>
      </c>
      <c r="O528" s="32">
        <v>1.2217391304347923E-2</v>
      </c>
      <c r="P528" s="24">
        <f t="shared" si="37"/>
        <v>7.0322463768115961E-2</v>
      </c>
    </row>
    <row r="529" spans="1:16" x14ac:dyDescent="0.3">
      <c r="A529" s="2">
        <v>33573</v>
      </c>
      <c r="B529" s="23">
        <v>6.9000000000000006E-2</v>
      </c>
      <c r="C529" s="5">
        <f t="shared" si="35"/>
        <v>0</v>
      </c>
      <c r="D529" s="5">
        <f t="shared" si="38"/>
        <v>0</v>
      </c>
      <c r="E529" s="5">
        <f t="shared" si="38"/>
        <v>0</v>
      </c>
      <c r="F529" s="5">
        <f t="shared" si="38"/>
        <v>0</v>
      </c>
      <c r="G529" s="5">
        <f t="shared" si="38"/>
        <v>0</v>
      </c>
      <c r="H529" s="5">
        <f t="shared" si="38"/>
        <v>0</v>
      </c>
      <c r="I529" s="5">
        <f t="shared" si="38"/>
        <v>0</v>
      </c>
      <c r="J529" s="5">
        <f t="shared" si="38"/>
        <v>0</v>
      </c>
      <c r="K529" s="5">
        <f t="shared" si="38"/>
        <v>0</v>
      </c>
      <c r="L529" s="5">
        <f t="shared" si="38"/>
        <v>0</v>
      </c>
      <c r="M529" s="5">
        <f t="shared" si="38"/>
        <v>0</v>
      </c>
      <c r="N529" s="32">
        <v>5.5202898550724598E-2</v>
      </c>
      <c r="O529" s="32">
        <v>1.3797101449275408E-2</v>
      </c>
      <c r="P529" s="24">
        <f t="shared" si="37"/>
        <v>7.190217391304346E-2</v>
      </c>
    </row>
    <row r="530" spans="1:16" x14ac:dyDescent="0.3">
      <c r="A530" s="2">
        <v>33604</v>
      </c>
      <c r="B530" s="23">
        <v>8.1000000000000003E-2</v>
      </c>
      <c r="C530" s="5">
        <f t="shared" si="35"/>
        <v>1</v>
      </c>
      <c r="D530" s="5">
        <f t="shared" si="38"/>
        <v>0</v>
      </c>
      <c r="E530" s="5">
        <f t="shared" si="38"/>
        <v>0</v>
      </c>
      <c r="F530" s="5">
        <f t="shared" si="38"/>
        <v>0</v>
      </c>
      <c r="G530" s="5">
        <f t="shared" si="38"/>
        <v>0</v>
      </c>
      <c r="H530" s="5">
        <f t="shared" si="38"/>
        <v>0</v>
      </c>
      <c r="I530" s="5">
        <f t="shared" si="38"/>
        <v>0</v>
      </c>
      <c r="J530" s="5">
        <f t="shared" si="38"/>
        <v>0</v>
      </c>
      <c r="K530" s="5">
        <f t="shared" si="38"/>
        <v>0</v>
      </c>
      <c r="L530" s="5">
        <f t="shared" si="38"/>
        <v>0</v>
      </c>
      <c r="M530" s="5">
        <f t="shared" si="38"/>
        <v>0</v>
      </c>
      <c r="N530" s="32">
        <v>6.4492753623188417E-2</v>
      </c>
      <c r="O530" s="32">
        <v>1.6507246376811585E-2</v>
      </c>
      <c r="P530" s="24">
        <f t="shared" si="37"/>
        <v>7.4612318840579631E-2</v>
      </c>
    </row>
    <row r="531" spans="1:16" x14ac:dyDescent="0.3">
      <c r="A531" s="2">
        <v>33635</v>
      </c>
      <c r="B531" s="23">
        <v>8.199999999999999E-2</v>
      </c>
      <c r="C531" s="5">
        <f t="shared" si="35"/>
        <v>0</v>
      </c>
      <c r="D531" s="5">
        <f t="shared" si="38"/>
        <v>1</v>
      </c>
      <c r="E531" s="5">
        <f t="shared" si="38"/>
        <v>0</v>
      </c>
      <c r="F531" s="5">
        <f t="shared" si="38"/>
        <v>0</v>
      </c>
      <c r="G531" s="5">
        <f t="shared" si="38"/>
        <v>0</v>
      </c>
      <c r="H531" s="5">
        <f t="shared" si="38"/>
        <v>0</v>
      </c>
      <c r="I531" s="5">
        <f t="shared" si="38"/>
        <v>0</v>
      </c>
      <c r="J531" s="5">
        <f t="shared" si="38"/>
        <v>0</v>
      </c>
      <c r="K531" s="5">
        <f t="shared" si="38"/>
        <v>0</v>
      </c>
      <c r="L531" s="5">
        <f t="shared" si="38"/>
        <v>0</v>
      </c>
      <c r="M531" s="5">
        <f t="shared" si="38"/>
        <v>0</v>
      </c>
      <c r="N531" s="32">
        <v>6.4391304347825973E-2</v>
      </c>
      <c r="O531" s="32">
        <v>1.7608695652174017E-2</v>
      </c>
      <c r="P531" s="24">
        <f t="shared" si="37"/>
        <v>7.5713768115942062E-2</v>
      </c>
    </row>
    <row r="532" spans="1:16" x14ac:dyDescent="0.3">
      <c r="A532" s="2">
        <v>33664</v>
      </c>
      <c r="B532" s="23">
        <v>7.8E-2</v>
      </c>
      <c r="C532" s="5">
        <f t="shared" si="35"/>
        <v>0</v>
      </c>
      <c r="D532" s="5">
        <f t="shared" si="38"/>
        <v>0</v>
      </c>
      <c r="E532" s="5">
        <f t="shared" si="38"/>
        <v>1</v>
      </c>
      <c r="F532" s="5">
        <f t="shared" si="38"/>
        <v>0</v>
      </c>
      <c r="G532" s="5">
        <f t="shared" si="38"/>
        <v>0</v>
      </c>
      <c r="H532" s="5">
        <f t="shared" si="38"/>
        <v>0</v>
      </c>
      <c r="I532" s="5">
        <f t="shared" si="38"/>
        <v>0</v>
      </c>
      <c r="J532" s="5">
        <f t="shared" si="38"/>
        <v>0</v>
      </c>
      <c r="K532" s="5">
        <f t="shared" si="38"/>
        <v>0</v>
      </c>
      <c r="L532" s="5">
        <f t="shared" si="38"/>
        <v>0</v>
      </c>
      <c r="M532" s="5">
        <f t="shared" si="38"/>
        <v>0</v>
      </c>
      <c r="N532" s="32">
        <v>6.1652173913043402E-2</v>
      </c>
      <c r="O532" s="32">
        <v>1.6347826086956598E-2</v>
      </c>
      <c r="P532" s="24">
        <f t="shared" si="37"/>
        <v>7.445289855072465E-2</v>
      </c>
    </row>
    <row r="533" spans="1:16" x14ac:dyDescent="0.3">
      <c r="A533" s="2">
        <v>33695</v>
      </c>
      <c r="B533" s="23">
        <v>7.2000000000000008E-2</v>
      </c>
      <c r="C533" s="5">
        <f t="shared" si="35"/>
        <v>0</v>
      </c>
      <c r="D533" s="5">
        <f t="shared" si="38"/>
        <v>0</v>
      </c>
      <c r="E533" s="5">
        <f t="shared" si="38"/>
        <v>0</v>
      </c>
      <c r="F533" s="5">
        <f t="shared" si="38"/>
        <v>1</v>
      </c>
      <c r="G533" s="5">
        <f t="shared" si="38"/>
        <v>0</v>
      </c>
      <c r="H533" s="5">
        <f t="shared" si="38"/>
        <v>0</v>
      </c>
      <c r="I533" s="5">
        <f t="shared" si="38"/>
        <v>0</v>
      </c>
      <c r="J533" s="5">
        <f t="shared" si="38"/>
        <v>0</v>
      </c>
      <c r="K533" s="5">
        <f t="shared" si="38"/>
        <v>0</v>
      </c>
      <c r="L533" s="5">
        <f t="shared" si="38"/>
        <v>0</v>
      </c>
      <c r="M533" s="5">
        <f t="shared" si="38"/>
        <v>0</v>
      </c>
      <c r="N533" s="32">
        <v>5.6550724637681071E-2</v>
      </c>
      <c r="O533" s="32">
        <v>1.5449275362318937E-2</v>
      </c>
      <c r="P533" s="24">
        <f t="shared" si="37"/>
        <v>7.3554347826086983E-2</v>
      </c>
    </row>
    <row r="534" spans="1:16" x14ac:dyDescent="0.3">
      <c r="A534" s="2">
        <v>33725</v>
      </c>
      <c r="B534" s="23">
        <v>7.2999999999999995E-2</v>
      </c>
      <c r="C534" s="5">
        <f t="shared" si="35"/>
        <v>0</v>
      </c>
      <c r="D534" s="5">
        <f t="shared" si="38"/>
        <v>0</v>
      </c>
      <c r="E534" s="5">
        <f t="shared" si="38"/>
        <v>0</v>
      </c>
      <c r="F534" s="5">
        <f t="shared" si="38"/>
        <v>0</v>
      </c>
      <c r="G534" s="5">
        <f t="shared" si="38"/>
        <v>1</v>
      </c>
      <c r="H534" s="5">
        <f t="shared" si="38"/>
        <v>0</v>
      </c>
      <c r="I534" s="5">
        <f t="shared" si="38"/>
        <v>0</v>
      </c>
      <c r="J534" s="5">
        <f t="shared" si="38"/>
        <v>0</v>
      </c>
      <c r="K534" s="5">
        <f t="shared" si="38"/>
        <v>0</v>
      </c>
      <c r="L534" s="5">
        <f t="shared" si="38"/>
        <v>0</v>
      </c>
      <c r="M534" s="5">
        <f t="shared" si="38"/>
        <v>0</v>
      </c>
      <c r="N534" s="32">
        <v>5.5101449275362209E-2</v>
      </c>
      <c r="O534" s="32">
        <v>1.7898550724637786E-2</v>
      </c>
      <c r="P534" s="24">
        <f t="shared" si="37"/>
        <v>7.6003623188405839E-2</v>
      </c>
    </row>
    <row r="535" spans="1:16" x14ac:dyDescent="0.3">
      <c r="A535" s="2">
        <v>33756</v>
      </c>
      <c r="B535" s="23">
        <v>0.08</v>
      </c>
      <c r="C535" s="5">
        <f t="shared" si="35"/>
        <v>0</v>
      </c>
      <c r="D535" s="5">
        <f t="shared" si="38"/>
        <v>0</v>
      </c>
      <c r="E535" s="5">
        <f t="shared" si="38"/>
        <v>0</v>
      </c>
      <c r="F535" s="5">
        <f t="shared" si="38"/>
        <v>0</v>
      </c>
      <c r="G535" s="5">
        <f t="shared" si="38"/>
        <v>0</v>
      </c>
      <c r="H535" s="5">
        <f t="shared" si="38"/>
        <v>1</v>
      </c>
      <c r="I535" s="5">
        <f t="shared" si="38"/>
        <v>0</v>
      </c>
      <c r="J535" s="5">
        <f t="shared" si="38"/>
        <v>0</v>
      </c>
      <c r="K535" s="5">
        <f t="shared" si="38"/>
        <v>0</v>
      </c>
      <c r="L535" s="5">
        <f t="shared" si="38"/>
        <v>0</v>
      </c>
      <c r="M535" s="5">
        <f t="shared" si="38"/>
        <v>0</v>
      </c>
      <c r="N535" s="32">
        <v>6.1130434782608579E-2</v>
      </c>
      <c r="O535" s="32">
        <v>1.8869565217391422E-2</v>
      </c>
      <c r="P535" s="24">
        <f t="shared" si="37"/>
        <v>7.6974637681159475E-2</v>
      </c>
    </row>
    <row r="536" spans="1:16" x14ac:dyDescent="0.3">
      <c r="A536" s="2">
        <v>33786</v>
      </c>
      <c r="B536" s="23">
        <v>7.6999999999999999E-2</v>
      </c>
      <c r="C536" s="5">
        <f t="shared" si="35"/>
        <v>0</v>
      </c>
      <c r="D536" s="5">
        <f t="shared" si="38"/>
        <v>0</v>
      </c>
      <c r="E536" s="5">
        <f t="shared" si="38"/>
        <v>0</v>
      </c>
      <c r="F536" s="5">
        <f t="shared" si="38"/>
        <v>0</v>
      </c>
      <c r="G536" s="5">
        <f t="shared" si="38"/>
        <v>0</v>
      </c>
      <c r="H536" s="5">
        <f t="shared" si="38"/>
        <v>0</v>
      </c>
      <c r="I536" s="5">
        <f t="shared" si="38"/>
        <v>1</v>
      </c>
      <c r="J536" s="5">
        <f t="shared" si="38"/>
        <v>0</v>
      </c>
      <c r="K536" s="5">
        <f t="shared" si="38"/>
        <v>0</v>
      </c>
      <c r="L536" s="5">
        <f t="shared" si="38"/>
        <v>0</v>
      </c>
      <c r="M536" s="5">
        <f t="shared" si="38"/>
        <v>0</v>
      </c>
      <c r="N536" s="32">
        <v>5.9550724637681039E-2</v>
      </c>
      <c r="O536" s="32">
        <v>1.744927536231896E-2</v>
      </c>
      <c r="P536" s="24">
        <f t="shared" si="37"/>
        <v>7.5554347826086998E-2</v>
      </c>
    </row>
    <row r="537" spans="1:16" x14ac:dyDescent="0.3">
      <c r="A537" s="2">
        <v>33817</v>
      </c>
      <c r="B537" s="23">
        <v>7.400000000000001E-2</v>
      </c>
      <c r="C537" s="5">
        <f t="shared" si="35"/>
        <v>0</v>
      </c>
      <c r="D537" s="5">
        <f t="shared" si="38"/>
        <v>0</v>
      </c>
      <c r="E537" s="5">
        <f t="shared" si="38"/>
        <v>0</v>
      </c>
      <c r="F537" s="5">
        <f t="shared" si="38"/>
        <v>0</v>
      </c>
      <c r="G537" s="5">
        <f t="shared" si="38"/>
        <v>0</v>
      </c>
      <c r="H537" s="5">
        <f t="shared" si="38"/>
        <v>0</v>
      </c>
      <c r="I537" s="5">
        <f t="shared" si="38"/>
        <v>0</v>
      </c>
      <c r="J537" s="5">
        <f t="shared" si="38"/>
        <v>1</v>
      </c>
      <c r="K537" s="5">
        <f t="shared" si="38"/>
        <v>0</v>
      </c>
      <c r="L537" s="5">
        <f t="shared" si="38"/>
        <v>0</v>
      </c>
      <c r="M537" s="5">
        <f t="shared" si="38"/>
        <v>0</v>
      </c>
      <c r="N537" s="32">
        <v>5.6521739130434699E-2</v>
      </c>
      <c r="O537" s="32">
        <v>1.7478260869565311E-2</v>
      </c>
      <c r="P537" s="24">
        <f t="shared" si="37"/>
        <v>7.5583333333333363E-2</v>
      </c>
    </row>
    <row r="538" spans="1:16" x14ac:dyDescent="0.3">
      <c r="A538" s="2">
        <v>33848</v>
      </c>
      <c r="B538" s="23">
        <v>7.2999999999999995E-2</v>
      </c>
      <c r="C538" s="5">
        <f t="shared" si="35"/>
        <v>0</v>
      </c>
      <c r="D538" s="5">
        <f t="shared" si="38"/>
        <v>0</v>
      </c>
      <c r="E538" s="5">
        <f t="shared" si="38"/>
        <v>0</v>
      </c>
      <c r="F538" s="5">
        <f t="shared" si="38"/>
        <v>0</v>
      </c>
      <c r="G538" s="5">
        <f t="shared" si="38"/>
        <v>0</v>
      </c>
      <c r="H538" s="5">
        <f t="shared" si="38"/>
        <v>0</v>
      </c>
      <c r="I538" s="5">
        <f t="shared" si="38"/>
        <v>0</v>
      </c>
      <c r="J538" s="5">
        <f t="shared" si="38"/>
        <v>0</v>
      </c>
      <c r="K538" s="5">
        <f t="shared" si="38"/>
        <v>1</v>
      </c>
      <c r="L538" s="5">
        <f t="shared" si="38"/>
        <v>0</v>
      </c>
      <c r="M538" s="5">
        <f t="shared" si="38"/>
        <v>0</v>
      </c>
      <c r="N538" s="32">
        <v>5.4768115942028898E-2</v>
      </c>
      <c r="O538" s="32">
        <v>1.8231884057971097E-2</v>
      </c>
      <c r="P538" s="24">
        <f t="shared" si="37"/>
        <v>7.6336956521739135E-2</v>
      </c>
    </row>
    <row r="539" spans="1:16" x14ac:dyDescent="0.3">
      <c r="A539" s="2">
        <v>33878</v>
      </c>
      <c r="B539" s="23">
        <v>6.9000000000000006E-2</v>
      </c>
      <c r="C539" s="5">
        <f t="shared" si="35"/>
        <v>0</v>
      </c>
      <c r="D539" s="5">
        <f t="shared" si="38"/>
        <v>0</v>
      </c>
      <c r="E539" s="5">
        <f t="shared" si="38"/>
        <v>0</v>
      </c>
      <c r="F539" s="5">
        <f t="shared" si="38"/>
        <v>0</v>
      </c>
      <c r="G539" s="5">
        <f t="shared" si="38"/>
        <v>0</v>
      </c>
      <c r="H539" s="5">
        <f t="shared" si="38"/>
        <v>0</v>
      </c>
      <c r="I539" s="5">
        <f t="shared" si="38"/>
        <v>0</v>
      </c>
      <c r="J539" s="5">
        <f t="shared" si="38"/>
        <v>0</v>
      </c>
      <c r="K539" s="5">
        <f t="shared" si="38"/>
        <v>0</v>
      </c>
      <c r="L539" s="5">
        <f t="shared" si="38"/>
        <v>1</v>
      </c>
      <c r="M539" s="5">
        <f t="shared" si="38"/>
        <v>0</v>
      </c>
      <c r="N539" s="32">
        <v>5.3115942028985473E-2</v>
      </c>
      <c r="O539" s="32">
        <v>1.5884057971014533E-2</v>
      </c>
      <c r="P539" s="24">
        <f t="shared" si="37"/>
        <v>7.3989130434782585E-2</v>
      </c>
    </row>
    <row r="540" spans="1:16" x14ac:dyDescent="0.3">
      <c r="A540" s="2">
        <v>33909</v>
      </c>
      <c r="B540" s="23">
        <v>7.0999999999999994E-2</v>
      </c>
      <c r="C540" s="5">
        <f t="shared" si="35"/>
        <v>0</v>
      </c>
      <c r="D540" s="5">
        <f t="shared" si="38"/>
        <v>0</v>
      </c>
      <c r="E540" s="5">
        <f t="shared" si="38"/>
        <v>0</v>
      </c>
      <c r="F540" s="5">
        <f t="shared" si="38"/>
        <v>0</v>
      </c>
      <c r="G540" s="5">
        <f t="shared" si="38"/>
        <v>0</v>
      </c>
      <c r="H540" s="5">
        <f t="shared" si="38"/>
        <v>0</v>
      </c>
      <c r="I540" s="5">
        <f t="shared" si="38"/>
        <v>0</v>
      </c>
      <c r="J540" s="5">
        <f t="shared" si="38"/>
        <v>0</v>
      </c>
      <c r="K540" s="5">
        <f t="shared" si="38"/>
        <v>0</v>
      </c>
      <c r="L540" s="5">
        <f t="shared" si="38"/>
        <v>0</v>
      </c>
      <c r="M540" s="5">
        <f t="shared" si="38"/>
        <v>1</v>
      </c>
      <c r="N540" s="32">
        <v>5.4782608695652081E-2</v>
      </c>
      <c r="O540" s="32">
        <v>1.6217391304347913E-2</v>
      </c>
      <c r="P540" s="24">
        <f t="shared" si="37"/>
        <v>7.4322463768115965E-2</v>
      </c>
    </row>
    <row r="541" spans="1:16" x14ac:dyDescent="0.3">
      <c r="A541" s="2">
        <v>33939</v>
      </c>
      <c r="B541" s="23">
        <v>7.0999999999999994E-2</v>
      </c>
      <c r="C541" s="5">
        <f t="shared" si="35"/>
        <v>0</v>
      </c>
      <c r="D541" s="5">
        <f t="shared" si="38"/>
        <v>0</v>
      </c>
      <c r="E541" s="5">
        <f t="shared" si="38"/>
        <v>0</v>
      </c>
      <c r="F541" s="5">
        <f t="shared" si="38"/>
        <v>0</v>
      </c>
      <c r="G541" s="5">
        <f t="shared" si="38"/>
        <v>0</v>
      </c>
      <c r="H541" s="5">
        <f t="shared" si="38"/>
        <v>0</v>
      </c>
      <c r="I541" s="5">
        <f t="shared" si="38"/>
        <v>0</v>
      </c>
      <c r="J541" s="5">
        <f t="shared" si="38"/>
        <v>0</v>
      </c>
      <c r="K541" s="5">
        <f t="shared" si="38"/>
        <v>0</v>
      </c>
      <c r="L541" s="5">
        <f t="shared" si="38"/>
        <v>0</v>
      </c>
      <c r="M541" s="5">
        <f t="shared" si="38"/>
        <v>0</v>
      </c>
      <c r="N541" s="32">
        <v>5.5202898550724598E-2</v>
      </c>
      <c r="O541" s="32">
        <v>1.5797101449275396E-2</v>
      </c>
      <c r="P541" s="24">
        <f t="shared" si="37"/>
        <v>7.3902173913043434E-2</v>
      </c>
    </row>
    <row r="542" spans="1:16" x14ac:dyDescent="0.3">
      <c r="A542" s="2">
        <v>33970</v>
      </c>
      <c r="B542" s="23">
        <v>0.08</v>
      </c>
      <c r="C542" s="5">
        <f t="shared" si="35"/>
        <v>1</v>
      </c>
      <c r="D542" s="5">
        <f t="shared" si="38"/>
        <v>0</v>
      </c>
      <c r="E542" s="5">
        <f t="shared" si="38"/>
        <v>0</v>
      </c>
      <c r="F542" s="5">
        <f t="shared" si="38"/>
        <v>0</v>
      </c>
      <c r="G542" s="5">
        <f t="shared" si="38"/>
        <v>0</v>
      </c>
      <c r="H542" s="5">
        <f t="shared" si="38"/>
        <v>0</v>
      </c>
      <c r="I542" s="5">
        <f t="shared" si="38"/>
        <v>0</v>
      </c>
      <c r="J542" s="5">
        <f t="shared" si="38"/>
        <v>0</v>
      </c>
      <c r="K542" s="5">
        <f t="shared" si="38"/>
        <v>0</v>
      </c>
      <c r="L542" s="5">
        <f t="shared" si="38"/>
        <v>0</v>
      </c>
      <c r="M542" s="5">
        <f t="shared" si="38"/>
        <v>0</v>
      </c>
      <c r="N542" s="32">
        <v>6.4492753623188417E-2</v>
      </c>
      <c r="O542" s="32">
        <v>1.5507246376811584E-2</v>
      </c>
      <c r="P542" s="24">
        <f t="shared" si="37"/>
        <v>7.361231884057963E-2</v>
      </c>
    </row>
    <row r="543" spans="1:16" x14ac:dyDescent="0.3">
      <c r="A543" s="2">
        <v>34001</v>
      </c>
      <c r="B543" s="23">
        <v>7.8E-2</v>
      </c>
      <c r="C543" s="5">
        <f t="shared" si="35"/>
        <v>0</v>
      </c>
      <c r="D543" s="5">
        <f t="shared" si="38"/>
        <v>1</v>
      </c>
      <c r="E543" s="5">
        <f t="shared" si="38"/>
        <v>0</v>
      </c>
      <c r="F543" s="5">
        <f t="shared" si="38"/>
        <v>0</v>
      </c>
      <c r="G543" s="5">
        <f t="shared" si="38"/>
        <v>0</v>
      </c>
      <c r="H543" s="5">
        <f t="shared" si="38"/>
        <v>0</v>
      </c>
      <c r="I543" s="5">
        <f t="shared" si="38"/>
        <v>0</v>
      </c>
      <c r="J543" s="5">
        <f t="shared" si="38"/>
        <v>0</v>
      </c>
      <c r="K543" s="5">
        <f t="shared" si="38"/>
        <v>0</v>
      </c>
      <c r="L543" s="5">
        <f t="shared" si="38"/>
        <v>0</v>
      </c>
      <c r="M543" s="5">
        <f t="shared" si="38"/>
        <v>0</v>
      </c>
      <c r="N543" s="32">
        <v>6.4391304347825973E-2</v>
      </c>
      <c r="O543" s="32">
        <v>1.3608695652174027E-2</v>
      </c>
      <c r="P543" s="24">
        <f t="shared" si="37"/>
        <v>7.1713768115942073E-2</v>
      </c>
    </row>
    <row r="544" spans="1:16" x14ac:dyDescent="0.3">
      <c r="A544" s="2">
        <v>34029</v>
      </c>
      <c r="B544" s="23">
        <v>7.400000000000001E-2</v>
      </c>
      <c r="C544" s="5">
        <f t="shared" si="35"/>
        <v>0</v>
      </c>
      <c r="D544" s="5">
        <f t="shared" si="38"/>
        <v>0</v>
      </c>
      <c r="E544" s="5">
        <f t="shared" si="38"/>
        <v>1</v>
      </c>
      <c r="F544" s="5">
        <f t="shared" si="38"/>
        <v>0</v>
      </c>
      <c r="G544" s="5">
        <f t="shared" si="38"/>
        <v>0</v>
      </c>
      <c r="H544" s="5">
        <f t="shared" si="38"/>
        <v>0</v>
      </c>
      <c r="I544" s="5">
        <f t="shared" si="38"/>
        <v>0</v>
      </c>
      <c r="J544" s="5">
        <f t="shared" si="38"/>
        <v>0</v>
      </c>
      <c r="K544" s="5">
        <f t="shared" si="38"/>
        <v>0</v>
      </c>
      <c r="L544" s="5">
        <f t="shared" si="38"/>
        <v>0</v>
      </c>
      <c r="M544" s="5">
        <f t="shared" si="38"/>
        <v>0</v>
      </c>
      <c r="N544" s="32">
        <v>6.1652173913043402E-2</v>
      </c>
      <c r="O544" s="32">
        <v>1.2347826086956608E-2</v>
      </c>
      <c r="P544" s="24">
        <f t="shared" si="37"/>
        <v>7.0452898550724646E-2</v>
      </c>
    </row>
    <row r="545" spans="1:16" x14ac:dyDescent="0.3">
      <c r="A545" s="2">
        <v>34060</v>
      </c>
      <c r="B545" s="23">
        <v>6.9000000000000006E-2</v>
      </c>
      <c r="C545" s="5">
        <f t="shared" si="35"/>
        <v>0</v>
      </c>
      <c r="D545" s="5">
        <f t="shared" si="38"/>
        <v>0</v>
      </c>
      <c r="E545" s="5">
        <f t="shared" si="38"/>
        <v>0</v>
      </c>
      <c r="F545" s="5">
        <f t="shared" si="38"/>
        <v>1</v>
      </c>
      <c r="G545" s="5">
        <f t="shared" si="38"/>
        <v>0</v>
      </c>
      <c r="H545" s="5">
        <f t="shared" si="38"/>
        <v>0</v>
      </c>
      <c r="I545" s="5">
        <f t="shared" si="38"/>
        <v>0</v>
      </c>
      <c r="J545" s="5">
        <f t="shared" si="38"/>
        <v>0</v>
      </c>
      <c r="K545" s="5">
        <f t="shared" si="38"/>
        <v>0</v>
      </c>
      <c r="L545" s="5">
        <f t="shared" si="38"/>
        <v>0</v>
      </c>
      <c r="M545" s="5">
        <f t="shared" si="38"/>
        <v>0</v>
      </c>
      <c r="N545" s="32">
        <v>5.6550724637681071E-2</v>
      </c>
      <c r="O545" s="32">
        <v>1.2449275362318935E-2</v>
      </c>
      <c r="P545" s="24">
        <f t="shared" si="37"/>
        <v>7.055434782608698E-2</v>
      </c>
    </row>
    <row r="546" spans="1:16" x14ac:dyDescent="0.3">
      <c r="A546" s="2">
        <v>34090</v>
      </c>
      <c r="B546" s="23">
        <v>6.8000000000000005E-2</v>
      </c>
      <c r="C546" s="5">
        <f t="shared" si="35"/>
        <v>0</v>
      </c>
      <c r="D546" s="5">
        <f t="shared" si="38"/>
        <v>0</v>
      </c>
      <c r="E546" s="5">
        <f t="shared" si="38"/>
        <v>0</v>
      </c>
      <c r="F546" s="5">
        <f t="shared" si="38"/>
        <v>0</v>
      </c>
      <c r="G546" s="5">
        <f t="shared" si="38"/>
        <v>1</v>
      </c>
      <c r="H546" s="5">
        <f t="shared" si="38"/>
        <v>0</v>
      </c>
      <c r="I546" s="5">
        <f t="shared" si="38"/>
        <v>0</v>
      </c>
      <c r="J546" s="5">
        <f t="shared" si="38"/>
        <v>0</v>
      </c>
      <c r="K546" s="5">
        <f t="shared" si="38"/>
        <v>0</v>
      </c>
      <c r="L546" s="5">
        <f t="shared" si="38"/>
        <v>0</v>
      </c>
      <c r="M546" s="5">
        <f t="shared" si="38"/>
        <v>0</v>
      </c>
      <c r="N546" s="32">
        <v>5.5101449275362209E-2</v>
      </c>
      <c r="O546" s="32">
        <v>1.2898550724637796E-2</v>
      </c>
      <c r="P546" s="24">
        <f t="shared" si="37"/>
        <v>7.1003623188405834E-2</v>
      </c>
    </row>
    <row r="547" spans="1:16" x14ac:dyDescent="0.3">
      <c r="A547" s="2">
        <v>34121</v>
      </c>
      <c r="B547" s="23">
        <v>7.2000000000000008E-2</v>
      </c>
      <c r="C547" s="5">
        <f t="shared" si="35"/>
        <v>0</v>
      </c>
      <c r="D547" s="5">
        <f t="shared" si="38"/>
        <v>0</v>
      </c>
      <c r="E547" s="5">
        <f t="shared" si="38"/>
        <v>0</v>
      </c>
      <c r="F547" s="5">
        <f t="shared" si="38"/>
        <v>0</v>
      </c>
      <c r="G547" s="5">
        <f t="shared" si="38"/>
        <v>0</v>
      </c>
      <c r="H547" s="5">
        <f t="shared" si="38"/>
        <v>1</v>
      </c>
      <c r="I547" s="5">
        <f t="shared" si="38"/>
        <v>0</v>
      </c>
      <c r="J547" s="5">
        <f t="shared" si="38"/>
        <v>0</v>
      </c>
      <c r="K547" s="5">
        <f t="shared" si="38"/>
        <v>0</v>
      </c>
      <c r="L547" s="5">
        <f t="shared" si="38"/>
        <v>0</v>
      </c>
      <c r="M547" s="5">
        <f t="shared" si="38"/>
        <v>0</v>
      </c>
      <c r="N547" s="32">
        <v>6.1130434782608579E-2</v>
      </c>
      <c r="O547" s="32">
        <v>1.0869565217391429E-2</v>
      </c>
      <c r="P547" s="24">
        <f t="shared" si="37"/>
        <v>6.8974637681159467E-2</v>
      </c>
    </row>
    <row r="548" spans="1:16" x14ac:dyDescent="0.3">
      <c r="A548" s="2">
        <v>34151</v>
      </c>
      <c r="B548" s="23">
        <v>7.0000000000000007E-2</v>
      </c>
      <c r="C548" s="5">
        <f t="shared" si="35"/>
        <v>0</v>
      </c>
      <c r="D548" s="5">
        <f t="shared" si="38"/>
        <v>0</v>
      </c>
      <c r="E548" s="5">
        <f t="shared" si="38"/>
        <v>0</v>
      </c>
      <c r="F548" s="5">
        <f t="shared" si="38"/>
        <v>0</v>
      </c>
      <c r="G548" s="5">
        <f t="shared" si="38"/>
        <v>0</v>
      </c>
      <c r="H548" s="5">
        <f t="shared" si="38"/>
        <v>0</v>
      </c>
      <c r="I548" s="5">
        <f t="shared" si="38"/>
        <v>1</v>
      </c>
      <c r="J548" s="5">
        <f t="shared" si="38"/>
        <v>0</v>
      </c>
      <c r="K548" s="5">
        <f t="shared" si="38"/>
        <v>0</v>
      </c>
      <c r="L548" s="5">
        <f t="shared" si="38"/>
        <v>0</v>
      </c>
      <c r="M548" s="5">
        <f t="shared" si="38"/>
        <v>0</v>
      </c>
      <c r="N548" s="32">
        <v>5.9550724637681039E-2</v>
      </c>
      <c r="O548" s="32">
        <v>1.0449275362318967E-2</v>
      </c>
      <c r="P548" s="24">
        <f t="shared" si="37"/>
        <v>6.855434782608702E-2</v>
      </c>
    </row>
    <row r="549" spans="1:16" x14ac:dyDescent="0.3">
      <c r="A549" s="2">
        <v>34182</v>
      </c>
      <c r="B549" s="23">
        <v>6.6000000000000003E-2</v>
      </c>
      <c r="C549" s="5">
        <f t="shared" si="35"/>
        <v>0</v>
      </c>
      <c r="D549" s="5">
        <f t="shared" si="38"/>
        <v>0</v>
      </c>
      <c r="E549" s="5">
        <f t="shared" si="38"/>
        <v>0</v>
      </c>
      <c r="F549" s="5">
        <f t="shared" si="38"/>
        <v>0</v>
      </c>
      <c r="G549" s="5">
        <f t="shared" si="38"/>
        <v>0</v>
      </c>
      <c r="H549" s="5">
        <f t="shared" si="38"/>
        <v>0</v>
      </c>
      <c r="I549" s="5">
        <f t="shared" si="38"/>
        <v>0</v>
      </c>
      <c r="J549" s="5">
        <f t="shared" si="38"/>
        <v>1</v>
      </c>
      <c r="K549" s="5">
        <f t="shared" si="38"/>
        <v>0</v>
      </c>
      <c r="L549" s="5">
        <f t="shared" ref="D549:M575" si="39">IF(MONTH($A549)=L$1,1,0)</f>
        <v>0</v>
      </c>
      <c r="M549" s="5">
        <f t="shared" si="39"/>
        <v>0</v>
      </c>
      <c r="N549" s="32">
        <v>5.6521739130434699E-2</v>
      </c>
      <c r="O549" s="32">
        <v>9.4782608695653039E-3</v>
      </c>
      <c r="P549" s="24">
        <f t="shared" si="37"/>
        <v>6.7583333333333356E-2</v>
      </c>
    </row>
    <row r="550" spans="1:16" x14ac:dyDescent="0.3">
      <c r="A550" s="2">
        <v>34213</v>
      </c>
      <c r="B550" s="23">
        <v>6.4000000000000001E-2</v>
      </c>
      <c r="C550" s="5">
        <f t="shared" si="35"/>
        <v>0</v>
      </c>
      <c r="D550" s="5">
        <f t="shared" si="39"/>
        <v>0</v>
      </c>
      <c r="E550" s="5">
        <f t="shared" si="39"/>
        <v>0</v>
      </c>
      <c r="F550" s="5">
        <f t="shared" si="39"/>
        <v>0</v>
      </c>
      <c r="G550" s="5">
        <f t="shared" si="39"/>
        <v>0</v>
      </c>
      <c r="H550" s="5">
        <f t="shared" si="39"/>
        <v>0</v>
      </c>
      <c r="I550" s="5">
        <f t="shared" si="39"/>
        <v>0</v>
      </c>
      <c r="J550" s="5">
        <f t="shared" si="39"/>
        <v>0</v>
      </c>
      <c r="K550" s="5">
        <f t="shared" si="39"/>
        <v>1</v>
      </c>
      <c r="L550" s="5">
        <f t="shared" si="39"/>
        <v>0</v>
      </c>
      <c r="M550" s="5">
        <f t="shared" si="39"/>
        <v>0</v>
      </c>
      <c r="N550" s="32">
        <v>5.4768115942028898E-2</v>
      </c>
      <c r="O550" s="32">
        <v>9.2318840579711028E-3</v>
      </c>
      <c r="P550" s="24">
        <f t="shared" si="37"/>
        <v>6.7336956521739155E-2</v>
      </c>
    </row>
    <row r="551" spans="1:16" x14ac:dyDescent="0.3">
      <c r="A551" s="2">
        <v>34243</v>
      </c>
      <c r="B551" s="23">
        <v>6.4000000000000001E-2</v>
      </c>
      <c r="C551" s="5">
        <f t="shared" si="35"/>
        <v>0</v>
      </c>
      <c r="D551" s="5">
        <f t="shared" si="39"/>
        <v>0</v>
      </c>
      <c r="E551" s="5">
        <f t="shared" si="39"/>
        <v>0</v>
      </c>
      <c r="F551" s="5">
        <f t="shared" si="39"/>
        <v>0</v>
      </c>
      <c r="G551" s="5">
        <f t="shared" si="39"/>
        <v>0</v>
      </c>
      <c r="H551" s="5">
        <f t="shared" si="39"/>
        <v>0</v>
      </c>
      <c r="I551" s="5">
        <f t="shared" si="39"/>
        <v>0</v>
      </c>
      <c r="J551" s="5">
        <f t="shared" si="39"/>
        <v>0</v>
      </c>
      <c r="K551" s="5">
        <f t="shared" si="39"/>
        <v>0</v>
      </c>
      <c r="L551" s="5">
        <f t="shared" si="39"/>
        <v>1</v>
      </c>
      <c r="M551" s="5">
        <f t="shared" si="39"/>
        <v>0</v>
      </c>
      <c r="N551" s="32">
        <v>5.3115942028985473E-2</v>
      </c>
      <c r="O551" s="32">
        <v>1.0884057971014528E-2</v>
      </c>
      <c r="P551" s="24">
        <f t="shared" si="37"/>
        <v>6.8989130434782581E-2</v>
      </c>
    </row>
    <row r="552" spans="1:16" x14ac:dyDescent="0.3">
      <c r="A552" s="2">
        <v>34274</v>
      </c>
      <c r="B552" s="23">
        <v>6.2E-2</v>
      </c>
      <c r="C552" s="5">
        <f t="shared" ref="C552:C615" si="40">IF(MONTH($A552)=C$1,1,0)</f>
        <v>0</v>
      </c>
      <c r="D552" s="5">
        <f t="shared" si="39"/>
        <v>0</v>
      </c>
      <c r="E552" s="5">
        <f t="shared" si="39"/>
        <v>0</v>
      </c>
      <c r="F552" s="5">
        <f t="shared" si="39"/>
        <v>0</v>
      </c>
      <c r="G552" s="5">
        <f t="shared" si="39"/>
        <v>0</v>
      </c>
      <c r="H552" s="5">
        <f t="shared" si="39"/>
        <v>0</v>
      </c>
      <c r="I552" s="5">
        <f t="shared" si="39"/>
        <v>0</v>
      </c>
      <c r="J552" s="5">
        <f t="shared" si="39"/>
        <v>0</v>
      </c>
      <c r="K552" s="5">
        <f t="shared" si="39"/>
        <v>0</v>
      </c>
      <c r="L552" s="5">
        <f t="shared" si="39"/>
        <v>0</v>
      </c>
      <c r="M552" s="5">
        <f t="shared" si="39"/>
        <v>1</v>
      </c>
      <c r="N552" s="32">
        <v>5.4782608695652081E-2</v>
      </c>
      <c r="O552" s="32">
        <v>7.2173913043479185E-3</v>
      </c>
      <c r="P552" s="24">
        <f t="shared" si="37"/>
        <v>6.5322463768115957E-2</v>
      </c>
    </row>
    <row r="553" spans="1:16" x14ac:dyDescent="0.3">
      <c r="A553" s="2">
        <v>34304</v>
      </c>
      <c r="B553" s="23">
        <v>6.0999999999999999E-2</v>
      </c>
      <c r="C553" s="5">
        <f t="shared" si="40"/>
        <v>0</v>
      </c>
      <c r="D553" s="5">
        <f t="shared" si="39"/>
        <v>0</v>
      </c>
      <c r="E553" s="5">
        <f t="shared" si="39"/>
        <v>0</v>
      </c>
      <c r="F553" s="5">
        <f t="shared" si="39"/>
        <v>0</v>
      </c>
      <c r="G553" s="5">
        <f t="shared" si="39"/>
        <v>0</v>
      </c>
      <c r="H553" s="5">
        <f t="shared" si="39"/>
        <v>0</v>
      </c>
      <c r="I553" s="5">
        <f t="shared" si="39"/>
        <v>0</v>
      </c>
      <c r="J553" s="5">
        <f t="shared" si="39"/>
        <v>0</v>
      </c>
      <c r="K553" s="5">
        <f t="shared" si="39"/>
        <v>0</v>
      </c>
      <c r="L553" s="5">
        <f t="shared" si="39"/>
        <v>0</v>
      </c>
      <c r="M553" s="5">
        <f t="shared" si="39"/>
        <v>0</v>
      </c>
      <c r="N553" s="32">
        <v>5.5202898550724598E-2</v>
      </c>
      <c r="O553" s="32">
        <v>5.7971014492754006E-3</v>
      </c>
      <c r="P553" s="24">
        <f t="shared" si="37"/>
        <v>6.3902173913043453E-2</v>
      </c>
    </row>
    <row r="554" spans="1:16" x14ac:dyDescent="0.3">
      <c r="A554" s="2">
        <v>34335</v>
      </c>
      <c r="B554" s="23">
        <v>7.2999999999999995E-2</v>
      </c>
      <c r="C554" s="5">
        <f t="shared" si="40"/>
        <v>1</v>
      </c>
      <c r="D554" s="5">
        <f t="shared" si="39"/>
        <v>0</v>
      </c>
      <c r="E554" s="5">
        <f t="shared" si="39"/>
        <v>0</v>
      </c>
      <c r="F554" s="5">
        <f t="shared" si="39"/>
        <v>0</v>
      </c>
      <c r="G554" s="5">
        <f t="shared" si="39"/>
        <v>0</v>
      </c>
      <c r="H554" s="5">
        <f t="shared" si="39"/>
        <v>0</v>
      </c>
      <c r="I554" s="5">
        <f t="shared" si="39"/>
        <v>0</v>
      </c>
      <c r="J554" s="5">
        <f t="shared" si="39"/>
        <v>0</v>
      </c>
      <c r="K554" s="5">
        <f t="shared" si="39"/>
        <v>0</v>
      </c>
      <c r="L554" s="5">
        <f t="shared" si="39"/>
        <v>0</v>
      </c>
      <c r="M554" s="5">
        <f t="shared" si="39"/>
        <v>0</v>
      </c>
      <c r="N554" s="32">
        <v>6.4492753623188417E-2</v>
      </c>
      <c r="O554" s="32">
        <v>8.507246376811578E-3</v>
      </c>
      <c r="P554" s="24">
        <f t="shared" si="37"/>
        <v>6.6612318840579623E-2</v>
      </c>
    </row>
    <row r="555" spans="1:16" x14ac:dyDescent="0.3">
      <c r="A555" s="2">
        <v>34366</v>
      </c>
      <c r="B555" s="23">
        <v>7.0999999999999994E-2</v>
      </c>
      <c r="C555" s="5">
        <f t="shared" si="40"/>
        <v>0</v>
      </c>
      <c r="D555" s="5">
        <f t="shared" si="39"/>
        <v>1</v>
      </c>
      <c r="E555" s="5">
        <f t="shared" si="39"/>
        <v>0</v>
      </c>
      <c r="F555" s="5">
        <f t="shared" si="39"/>
        <v>0</v>
      </c>
      <c r="G555" s="5">
        <f t="shared" si="39"/>
        <v>0</v>
      </c>
      <c r="H555" s="5">
        <f t="shared" si="39"/>
        <v>0</v>
      </c>
      <c r="I555" s="5">
        <f t="shared" si="39"/>
        <v>0</v>
      </c>
      <c r="J555" s="5">
        <f t="shared" si="39"/>
        <v>0</v>
      </c>
      <c r="K555" s="5">
        <f t="shared" si="39"/>
        <v>0</v>
      </c>
      <c r="L555" s="5">
        <f t="shared" si="39"/>
        <v>0</v>
      </c>
      <c r="M555" s="5">
        <f t="shared" si="39"/>
        <v>0</v>
      </c>
      <c r="N555" s="32">
        <v>6.4391304347825973E-2</v>
      </c>
      <c r="O555" s="32">
        <v>6.6086956521740209E-3</v>
      </c>
      <c r="P555" s="24">
        <f t="shared" si="37"/>
        <v>6.4713768115942066E-2</v>
      </c>
    </row>
    <row r="556" spans="1:16" x14ac:dyDescent="0.3">
      <c r="A556" s="2">
        <v>34394</v>
      </c>
      <c r="B556" s="23">
        <v>6.8000000000000005E-2</v>
      </c>
      <c r="C556" s="5">
        <f t="shared" si="40"/>
        <v>0</v>
      </c>
      <c r="D556" s="5">
        <f t="shared" si="39"/>
        <v>0</v>
      </c>
      <c r="E556" s="5">
        <f t="shared" si="39"/>
        <v>1</v>
      </c>
      <c r="F556" s="5">
        <f t="shared" si="39"/>
        <v>0</v>
      </c>
      <c r="G556" s="5">
        <f t="shared" si="39"/>
        <v>0</v>
      </c>
      <c r="H556" s="5">
        <f t="shared" si="39"/>
        <v>0</v>
      </c>
      <c r="I556" s="5">
        <f t="shared" si="39"/>
        <v>0</v>
      </c>
      <c r="J556" s="5">
        <f t="shared" si="39"/>
        <v>0</v>
      </c>
      <c r="K556" s="5">
        <f t="shared" si="39"/>
        <v>0</v>
      </c>
      <c r="L556" s="5">
        <f t="shared" si="39"/>
        <v>0</v>
      </c>
      <c r="M556" s="5">
        <f t="shared" si="39"/>
        <v>0</v>
      </c>
      <c r="N556" s="32">
        <v>6.1652173913043402E-2</v>
      </c>
      <c r="O556" s="32">
        <v>6.3478260869566025E-3</v>
      </c>
      <c r="P556" s="24">
        <f t="shared" si="37"/>
        <v>6.4452898550724641E-2</v>
      </c>
    </row>
    <row r="557" spans="1:16" x14ac:dyDescent="0.3">
      <c r="A557" s="2">
        <v>34425</v>
      </c>
      <c r="B557" s="23">
        <v>6.2E-2</v>
      </c>
      <c r="C557" s="5">
        <f t="shared" si="40"/>
        <v>0</v>
      </c>
      <c r="D557" s="5">
        <f t="shared" si="39"/>
        <v>0</v>
      </c>
      <c r="E557" s="5">
        <f t="shared" si="39"/>
        <v>0</v>
      </c>
      <c r="F557" s="5">
        <f t="shared" si="39"/>
        <v>1</v>
      </c>
      <c r="G557" s="5">
        <f t="shared" si="39"/>
        <v>0</v>
      </c>
      <c r="H557" s="5">
        <f t="shared" si="39"/>
        <v>0</v>
      </c>
      <c r="I557" s="5">
        <f t="shared" si="39"/>
        <v>0</v>
      </c>
      <c r="J557" s="5">
        <f t="shared" si="39"/>
        <v>0</v>
      </c>
      <c r="K557" s="5">
        <f t="shared" si="39"/>
        <v>0</v>
      </c>
      <c r="L557" s="5">
        <f t="shared" si="39"/>
        <v>0</v>
      </c>
      <c r="M557" s="5">
        <f t="shared" si="39"/>
        <v>0</v>
      </c>
      <c r="N557" s="32">
        <v>5.6550724637681071E-2</v>
      </c>
      <c r="O557" s="32">
        <v>5.4492753623189283E-3</v>
      </c>
      <c r="P557" s="24">
        <f t="shared" si="37"/>
        <v>6.3554347826086974E-2</v>
      </c>
    </row>
    <row r="558" spans="1:16" x14ac:dyDescent="0.3">
      <c r="A558" s="2">
        <v>34455</v>
      </c>
      <c r="B558" s="23">
        <v>5.9000000000000004E-2</v>
      </c>
      <c r="C558" s="5">
        <f t="shared" si="40"/>
        <v>0</v>
      </c>
      <c r="D558" s="5">
        <f t="shared" si="39"/>
        <v>0</v>
      </c>
      <c r="E558" s="5">
        <f t="shared" si="39"/>
        <v>0</v>
      </c>
      <c r="F558" s="5">
        <f t="shared" si="39"/>
        <v>0</v>
      </c>
      <c r="G558" s="5">
        <f t="shared" si="39"/>
        <v>1</v>
      </c>
      <c r="H558" s="5">
        <f t="shared" si="39"/>
        <v>0</v>
      </c>
      <c r="I558" s="5">
        <f t="shared" si="39"/>
        <v>0</v>
      </c>
      <c r="J558" s="5">
        <f t="shared" si="39"/>
        <v>0</v>
      </c>
      <c r="K558" s="5">
        <f t="shared" si="39"/>
        <v>0</v>
      </c>
      <c r="L558" s="5">
        <f t="shared" si="39"/>
        <v>0</v>
      </c>
      <c r="M558" s="5">
        <f t="shared" si="39"/>
        <v>0</v>
      </c>
      <c r="N558" s="32">
        <v>5.5101449275362209E-2</v>
      </c>
      <c r="O558" s="32">
        <v>3.8985507246377948E-3</v>
      </c>
      <c r="P558" s="24">
        <f t="shared" si="37"/>
        <v>6.200362318840584E-2</v>
      </c>
    </row>
    <row r="559" spans="1:16" x14ac:dyDescent="0.3">
      <c r="A559" s="2">
        <v>34486</v>
      </c>
      <c r="B559" s="23">
        <v>6.2E-2</v>
      </c>
      <c r="C559" s="5">
        <f t="shared" si="40"/>
        <v>0</v>
      </c>
      <c r="D559" s="5">
        <f t="shared" si="39"/>
        <v>0</v>
      </c>
      <c r="E559" s="5">
        <f t="shared" si="39"/>
        <v>0</v>
      </c>
      <c r="F559" s="5">
        <f t="shared" si="39"/>
        <v>0</v>
      </c>
      <c r="G559" s="5">
        <f t="shared" si="39"/>
        <v>0</v>
      </c>
      <c r="H559" s="5">
        <f t="shared" si="39"/>
        <v>1</v>
      </c>
      <c r="I559" s="5">
        <f t="shared" si="39"/>
        <v>0</v>
      </c>
      <c r="J559" s="5">
        <f t="shared" si="39"/>
        <v>0</v>
      </c>
      <c r="K559" s="5">
        <f t="shared" si="39"/>
        <v>0</v>
      </c>
      <c r="L559" s="5">
        <f t="shared" si="39"/>
        <v>0</v>
      </c>
      <c r="M559" s="5">
        <f t="shared" si="39"/>
        <v>0</v>
      </c>
      <c r="N559" s="32">
        <v>6.1130434782608579E-2</v>
      </c>
      <c r="O559" s="32">
        <v>8.6956521739142006E-4</v>
      </c>
      <c r="P559" s="24">
        <f t="shared" si="37"/>
        <v>5.8974637681159466E-2</v>
      </c>
    </row>
    <row r="560" spans="1:16" x14ac:dyDescent="0.3">
      <c r="A560" s="2">
        <v>34516</v>
      </c>
      <c r="B560" s="23">
        <v>6.2E-2</v>
      </c>
      <c r="C560" s="5">
        <f t="shared" si="40"/>
        <v>0</v>
      </c>
      <c r="D560" s="5">
        <f t="shared" si="39"/>
        <v>0</v>
      </c>
      <c r="E560" s="5">
        <f t="shared" si="39"/>
        <v>0</v>
      </c>
      <c r="F560" s="5">
        <f t="shared" si="39"/>
        <v>0</v>
      </c>
      <c r="G560" s="5">
        <f t="shared" si="39"/>
        <v>0</v>
      </c>
      <c r="H560" s="5">
        <f t="shared" si="39"/>
        <v>0</v>
      </c>
      <c r="I560" s="5">
        <f t="shared" si="39"/>
        <v>1</v>
      </c>
      <c r="J560" s="5">
        <f t="shared" si="39"/>
        <v>0</v>
      </c>
      <c r="K560" s="5">
        <f t="shared" si="39"/>
        <v>0</v>
      </c>
      <c r="L560" s="5">
        <f t="shared" si="39"/>
        <v>0</v>
      </c>
      <c r="M560" s="5">
        <f t="shared" si="39"/>
        <v>0</v>
      </c>
      <c r="N560" s="32">
        <v>5.9550724637681039E-2</v>
      </c>
      <c r="O560" s="32">
        <v>2.4492753623189603E-3</v>
      </c>
      <c r="P560" s="24">
        <f t="shared" si="37"/>
        <v>6.0554347826087006E-2</v>
      </c>
    </row>
    <row r="561" spans="1:16" x14ac:dyDescent="0.3">
      <c r="A561" s="2">
        <v>34547</v>
      </c>
      <c r="B561" s="23">
        <v>5.9000000000000004E-2</v>
      </c>
      <c r="C561" s="5">
        <f t="shared" si="40"/>
        <v>0</v>
      </c>
      <c r="D561" s="5">
        <f t="shared" si="39"/>
        <v>0</v>
      </c>
      <c r="E561" s="5">
        <f t="shared" si="39"/>
        <v>0</v>
      </c>
      <c r="F561" s="5">
        <f t="shared" si="39"/>
        <v>0</v>
      </c>
      <c r="G561" s="5">
        <f t="shared" si="39"/>
        <v>0</v>
      </c>
      <c r="H561" s="5">
        <f t="shared" si="39"/>
        <v>0</v>
      </c>
      <c r="I561" s="5">
        <f t="shared" si="39"/>
        <v>0</v>
      </c>
      <c r="J561" s="5">
        <f t="shared" si="39"/>
        <v>1</v>
      </c>
      <c r="K561" s="5">
        <f t="shared" si="39"/>
        <v>0</v>
      </c>
      <c r="L561" s="5">
        <f t="shared" si="39"/>
        <v>0</v>
      </c>
      <c r="M561" s="5">
        <f t="shared" si="39"/>
        <v>0</v>
      </c>
      <c r="N561" s="32">
        <v>5.6521739130434699E-2</v>
      </c>
      <c r="O561" s="32">
        <v>2.4782608695653047E-3</v>
      </c>
      <c r="P561" s="24">
        <f t="shared" si="37"/>
        <v>6.058333333333335E-2</v>
      </c>
    </row>
    <row r="562" spans="1:16" x14ac:dyDescent="0.3">
      <c r="A562" s="2">
        <v>34578</v>
      </c>
      <c r="B562" s="23">
        <v>5.5999999999999994E-2</v>
      </c>
      <c r="C562" s="5">
        <f t="shared" si="40"/>
        <v>0</v>
      </c>
      <c r="D562" s="5">
        <f t="shared" si="39"/>
        <v>0</v>
      </c>
      <c r="E562" s="5">
        <f t="shared" si="39"/>
        <v>0</v>
      </c>
      <c r="F562" s="5">
        <f t="shared" si="39"/>
        <v>0</v>
      </c>
      <c r="G562" s="5">
        <f t="shared" si="39"/>
        <v>0</v>
      </c>
      <c r="H562" s="5">
        <f t="shared" si="39"/>
        <v>0</v>
      </c>
      <c r="I562" s="5">
        <f t="shared" si="39"/>
        <v>0</v>
      </c>
      <c r="J562" s="5">
        <f t="shared" si="39"/>
        <v>0</v>
      </c>
      <c r="K562" s="5">
        <f t="shared" si="39"/>
        <v>1</v>
      </c>
      <c r="L562" s="5">
        <f t="shared" si="39"/>
        <v>0</v>
      </c>
      <c r="M562" s="5">
        <f t="shared" si="39"/>
        <v>0</v>
      </c>
      <c r="N562" s="32">
        <v>5.4768115942028898E-2</v>
      </c>
      <c r="O562" s="32">
        <v>1.2318840579710957E-3</v>
      </c>
      <c r="P562" s="24">
        <f t="shared" si="37"/>
        <v>5.9336956521739141E-2</v>
      </c>
    </row>
    <row r="563" spans="1:16" x14ac:dyDescent="0.3">
      <c r="A563" s="2">
        <v>34608</v>
      </c>
      <c r="B563" s="23">
        <v>5.4000000000000006E-2</v>
      </c>
      <c r="C563" s="5">
        <f t="shared" si="40"/>
        <v>0</v>
      </c>
      <c r="D563" s="5">
        <f t="shared" si="39"/>
        <v>0</v>
      </c>
      <c r="E563" s="5">
        <f t="shared" si="39"/>
        <v>0</v>
      </c>
      <c r="F563" s="5">
        <f t="shared" si="39"/>
        <v>0</v>
      </c>
      <c r="G563" s="5">
        <f t="shared" si="39"/>
        <v>0</v>
      </c>
      <c r="H563" s="5">
        <f t="shared" si="39"/>
        <v>0</v>
      </c>
      <c r="I563" s="5">
        <f t="shared" si="39"/>
        <v>0</v>
      </c>
      <c r="J563" s="5">
        <f t="shared" si="39"/>
        <v>0</v>
      </c>
      <c r="K563" s="5">
        <f t="shared" si="39"/>
        <v>0</v>
      </c>
      <c r="L563" s="5">
        <f t="shared" si="39"/>
        <v>1</v>
      </c>
      <c r="M563" s="5">
        <f t="shared" si="39"/>
        <v>0</v>
      </c>
      <c r="N563" s="32">
        <v>5.3115942028985473E-2</v>
      </c>
      <c r="O563" s="32">
        <v>8.8405797101453326E-4</v>
      </c>
      <c r="P563" s="24">
        <f t="shared" si="37"/>
        <v>5.8989130434782579E-2</v>
      </c>
    </row>
    <row r="564" spans="1:16" x14ac:dyDescent="0.3">
      <c r="A564" s="2">
        <v>34639</v>
      </c>
      <c r="B564" s="23">
        <v>5.2999999999999999E-2</v>
      </c>
      <c r="C564" s="5">
        <f t="shared" si="40"/>
        <v>0</v>
      </c>
      <c r="D564" s="5">
        <f t="shared" si="39"/>
        <v>0</v>
      </c>
      <c r="E564" s="5">
        <f t="shared" si="39"/>
        <v>0</v>
      </c>
      <c r="F564" s="5">
        <f t="shared" si="39"/>
        <v>0</v>
      </c>
      <c r="G564" s="5">
        <f t="shared" si="39"/>
        <v>0</v>
      </c>
      <c r="H564" s="5">
        <f t="shared" si="39"/>
        <v>0</v>
      </c>
      <c r="I564" s="5">
        <f t="shared" si="39"/>
        <v>0</v>
      </c>
      <c r="J564" s="5">
        <f t="shared" si="39"/>
        <v>0</v>
      </c>
      <c r="K564" s="5">
        <f t="shared" si="39"/>
        <v>0</v>
      </c>
      <c r="L564" s="5">
        <f t="shared" si="39"/>
        <v>0</v>
      </c>
      <c r="M564" s="5">
        <f t="shared" si="39"/>
        <v>1</v>
      </c>
      <c r="N564" s="32">
        <v>5.4782608695652081E-2</v>
      </c>
      <c r="O564" s="32">
        <v>-1.7826086956520826E-3</v>
      </c>
      <c r="P564" s="24">
        <f t="shared" si="37"/>
        <v>5.6322463768115963E-2</v>
      </c>
    </row>
    <row r="565" spans="1:16" x14ac:dyDescent="0.3">
      <c r="A565" s="2">
        <v>34669</v>
      </c>
      <c r="B565" s="23">
        <v>5.0999999999999997E-2</v>
      </c>
      <c r="C565" s="5">
        <f t="shared" si="40"/>
        <v>0</v>
      </c>
      <c r="D565" s="5">
        <f t="shared" si="39"/>
        <v>0</v>
      </c>
      <c r="E565" s="5">
        <f t="shared" si="39"/>
        <v>0</v>
      </c>
      <c r="F565" s="5">
        <f t="shared" si="39"/>
        <v>0</v>
      </c>
      <c r="G565" s="5">
        <f t="shared" si="39"/>
        <v>0</v>
      </c>
      <c r="H565" s="5">
        <f t="shared" si="39"/>
        <v>0</v>
      </c>
      <c r="I565" s="5">
        <f t="shared" si="39"/>
        <v>0</v>
      </c>
      <c r="J565" s="5">
        <f t="shared" si="39"/>
        <v>0</v>
      </c>
      <c r="K565" s="5">
        <f t="shared" si="39"/>
        <v>0</v>
      </c>
      <c r="L565" s="5">
        <f t="shared" si="39"/>
        <v>0</v>
      </c>
      <c r="M565" s="5">
        <f t="shared" si="39"/>
        <v>0</v>
      </c>
      <c r="N565" s="32">
        <v>5.5202898550724598E-2</v>
      </c>
      <c r="O565" s="32">
        <v>-4.2028985507246014E-3</v>
      </c>
      <c r="P565" s="24">
        <f t="shared" si="37"/>
        <v>5.3902173913043444E-2</v>
      </c>
    </row>
    <row r="566" spans="1:16" x14ac:dyDescent="0.3">
      <c r="A566" s="2">
        <v>34700</v>
      </c>
      <c r="B566" s="23">
        <v>6.2E-2</v>
      </c>
      <c r="C566" s="5">
        <f t="shared" si="40"/>
        <v>1</v>
      </c>
      <c r="D566" s="5">
        <f t="shared" si="39"/>
        <v>0</v>
      </c>
      <c r="E566" s="5">
        <f t="shared" si="39"/>
        <v>0</v>
      </c>
      <c r="F566" s="5">
        <f t="shared" si="39"/>
        <v>0</v>
      </c>
      <c r="G566" s="5">
        <f t="shared" si="39"/>
        <v>0</v>
      </c>
      <c r="H566" s="5">
        <f t="shared" si="39"/>
        <v>0</v>
      </c>
      <c r="I566" s="5">
        <f t="shared" si="39"/>
        <v>0</v>
      </c>
      <c r="J566" s="5">
        <f t="shared" si="39"/>
        <v>0</v>
      </c>
      <c r="K566" s="5">
        <f t="shared" si="39"/>
        <v>0</v>
      </c>
      <c r="L566" s="5">
        <f t="shared" si="39"/>
        <v>0</v>
      </c>
      <c r="M566" s="5">
        <f t="shared" si="39"/>
        <v>0</v>
      </c>
      <c r="N566" s="32">
        <v>6.4492753623188417E-2</v>
      </c>
      <c r="O566" s="32">
        <v>-2.4927536231884179E-3</v>
      </c>
      <c r="P566" s="24">
        <f t="shared" si="37"/>
        <v>5.5612318840579628E-2</v>
      </c>
    </row>
    <row r="567" spans="1:16" x14ac:dyDescent="0.3">
      <c r="A567" s="2">
        <v>34731</v>
      </c>
      <c r="B567" s="23">
        <v>5.9000000000000004E-2</v>
      </c>
      <c r="C567" s="5">
        <f t="shared" si="40"/>
        <v>0</v>
      </c>
      <c r="D567" s="5">
        <f t="shared" si="39"/>
        <v>1</v>
      </c>
      <c r="E567" s="5">
        <f t="shared" si="39"/>
        <v>0</v>
      </c>
      <c r="F567" s="5">
        <f t="shared" si="39"/>
        <v>0</v>
      </c>
      <c r="G567" s="5">
        <f t="shared" si="39"/>
        <v>0</v>
      </c>
      <c r="H567" s="5">
        <f t="shared" si="39"/>
        <v>0</v>
      </c>
      <c r="I567" s="5">
        <f t="shared" si="39"/>
        <v>0</v>
      </c>
      <c r="J567" s="5">
        <f t="shared" si="39"/>
        <v>0</v>
      </c>
      <c r="K567" s="5">
        <f t="shared" si="39"/>
        <v>0</v>
      </c>
      <c r="L567" s="5">
        <f t="shared" si="39"/>
        <v>0</v>
      </c>
      <c r="M567" s="5">
        <f t="shared" si="39"/>
        <v>0</v>
      </c>
      <c r="N567" s="32">
        <v>6.4391304347825973E-2</v>
      </c>
      <c r="O567" s="32">
        <v>-5.391304347825969E-3</v>
      </c>
      <c r="P567" s="24">
        <f t="shared" si="37"/>
        <v>5.2713768115942077E-2</v>
      </c>
    </row>
    <row r="568" spans="1:16" x14ac:dyDescent="0.3">
      <c r="A568" s="2">
        <v>34759</v>
      </c>
      <c r="B568" s="23">
        <v>5.7000000000000002E-2</v>
      </c>
      <c r="C568" s="5">
        <f t="shared" si="40"/>
        <v>0</v>
      </c>
      <c r="D568" s="5">
        <f t="shared" si="39"/>
        <v>0</v>
      </c>
      <c r="E568" s="5">
        <f t="shared" si="39"/>
        <v>1</v>
      </c>
      <c r="F568" s="5">
        <f t="shared" si="39"/>
        <v>0</v>
      </c>
      <c r="G568" s="5">
        <f t="shared" si="39"/>
        <v>0</v>
      </c>
      <c r="H568" s="5">
        <f t="shared" si="39"/>
        <v>0</v>
      </c>
      <c r="I568" s="5">
        <f t="shared" si="39"/>
        <v>0</v>
      </c>
      <c r="J568" s="5">
        <f t="shared" si="39"/>
        <v>0</v>
      </c>
      <c r="K568" s="5">
        <f t="shared" si="39"/>
        <v>0</v>
      </c>
      <c r="L568" s="5">
        <f t="shared" si="39"/>
        <v>0</v>
      </c>
      <c r="M568" s="5">
        <f t="shared" si="39"/>
        <v>0</v>
      </c>
      <c r="N568" s="32">
        <v>6.1652173913043402E-2</v>
      </c>
      <c r="O568" s="32">
        <v>-4.6521739130434003E-3</v>
      </c>
      <c r="P568" s="24">
        <f t="shared" si="37"/>
        <v>5.3452898550724645E-2</v>
      </c>
    </row>
    <row r="569" spans="1:16" x14ac:dyDescent="0.3">
      <c r="A569" s="2">
        <v>34790</v>
      </c>
      <c r="B569" s="23">
        <v>5.5999999999999994E-2</v>
      </c>
      <c r="C569" s="5">
        <f t="shared" si="40"/>
        <v>0</v>
      </c>
      <c r="D569" s="5">
        <f t="shared" si="39"/>
        <v>0</v>
      </c>
      <c r="E569" s="5">
        <f t="shared" si="39"/>
        <v>0</v>
      </c>
      <c r="F569" s="5">
        <f t="shared" si="39"/>
        <v>1</v>
      </c>
      <c r="G569" s="5">
        <f t="shared" si="39"/>
        <v>0</v>
      </c>
      <c r="H569" s="5">
        <f t="shared" si="39"/>
        <v>0</v>
      </c>
      <c r="I569" s="5">
        <f t="shared" si="39"/>
        <v>0</v>
      </c>
      <c r="J569" s="5">
        <f t="shared" si="39"/>
        <v>0</v>
      </c>
      <c r="K569" s="5">
        <f t="shared" si="39"/>
        <v>0</v>
      </c>
      <c r="L569" s="5">
        <f t="shared" si="39"/>
        <v>0</v>
      </c>
      <c r="M569" s="5">
        <f t="shared" si="39"/>
        <v>0</v>
      </c>
      <c r="N569" s="32">
        <v>5.6550724637681071E-2</v>
      </c>
      <c r="O569" s="32">
        <v>-5.5072463768107704E-4</v>
      </c>
      <c r="P569" s="24">
        <f t="shared" si="37"/>
        <v>5.7554347826086968E-2</v>
      </c>
    </row>
    <row r="570" spans="1:16" x14ac:dyDescent="0.3">
      <c r="A570" s="2">
        <v>34820</v>
      </c>
      <c r="B570" s="23">
        <v>5.5E-2</v>
      </c>
      <c r="C570" s="5">
        <f t="shared" si="40"/>
        <v>0</v>
      </c>
      <c r="D570" s="5">
        <f t="shared" si="39"/>
        <v>0</v>
      </c>
      <c r="E570" s="5">
        <f t="shared" si="39"/>
        <v>0</v>
      </c>
      <c r="F570" s="5">
        <f t="shared" si="39"/>
        <v>0</v>
      </c>
      <c r="G570" s="5">
        <f t="shared" si="39"/>
        <v>1</v>
      </c>
      <c r="H570" s="5">
        <f t="shared" si="39"/>
        <v>0</v>
      </c>
      <c r="I570" s="5">
        <f t="shared" si="39"/>
        <v>0</v>
      </c>
      <c r="J570" s="5">
        <f t="shared" si="39"/>
        <v>0</v>
      </c>
      <c r="K570" s="5">
        <f t="shared" si="39"/>
        <v>0</v>
      </c>
      <c r="L570" s="5">
        <f t="shared" si="39"/>
        <v>0</v>
      </c>
      <c r="M570" s="5">
        <f t="shared" si="39"/>
        <v>0</v>
      </c>
      <c r="N570" s="32">
        <v>5.5101449275362209E-2</v>
      </c>
      <c r="O570" s="32">
        <v>-1.0144927536220871E-4</v>
      </c>
      <c r="P570" s="24">
        <f t="shared" si="37"/>
        <v>5.8003623188405837E-2</v>
      </c>
    </row>
    <row r="571" spans="1:16" x14ac:dyDescent="0.3">
      <c r="A571" s="2">
        <v>34851</v>
      </c>
      <c r="B571" s="23">
        <v>5.7999999999999996E-2</v>
      </c>
      <c r="C571" s="5">
        <f t="shared" si="40"/>
        <v>0</v>
      </c>
      <c r="D571" s="5">
        <f t="shared" si="39"/>
        <v>0</v>
      </c>
      <c r="E571" s="5">
        <f t="shared" si="39"/>
        <v>0</v>
      </c>
      <c r="F571" s="5">
        <f t="shared" si="39"/>
        <v>0</v>
      </c>
      <c r="G571" s="5">
        <f t="shared" si="39"/>
        <v>0</v>
      </c>
      <c r="H571" s="5">
        <f t="shared" si="39"/>
        <v>1</v>
      </c>
      <c r="I571" s="5">
        <f t="shared" si="39"/>
        <v>0</v>
      </c>
      <c r="J571" s="5">
        <f t="shared" si="39"/>
        <v>0</v>
      </c>
      <c r="K571" s="5">
        <f t="shared" si="39"/>
        <v>0</v>
      </c>
      <c r="L571" s="5">
        <f t="shared" si="39"/>
        <v>0</v>
      </c>
      <c r="M571" s="5">
        <f t="shared" si="39"/>
        <v>0</v>
      </c>
      <c r="N571" s="32">
        <v>6.1130434782608579E-2</v>
      </c>
      <c r="O571" s="32">
        <v>-3.1304347826085835E-3</v>
      </c>
      <c r="P571" s="24">
        <f t="shared" si="37"/>
        <v>5.4974637681159462E-2</v>
      </c>
    </row>
    <row r="572" spans="1:16" x14ac:dyDescent="0.3">
      <c r="A572" s="2">
        <v>34881</v>
      </c>
      <c r="B572" s="23">
        <v>5.9000000000000004E-2</v>
      </c>
      <c r="C572" s="5">
        <f t="shared" si="40"/>
        <v>0</v>
      </c>
      <c r="D572" s="5">
        <f t="shared" si="39"/>
        <v>0</v>
      </c>
      <c r="E572" s="5">
        <f t="shared" si="39"/>
        <v>0</v>
      </c>
      <c r="F572" s="5">
        <f t="shared" si="39"/>
        <v>0</v>
      </c>
      <c r="G572" s="5">
        <f t="shared" si="39"/>
        <v>0</v>
      </c>
      <c r="H572" s="5">
        <f t="shared" si="39"/>
        <v>0</v>
      </c>
      <c r="I572" s="5">
        <f t="shared" si="39"/>
        <v>1</v>
      </c>
      <c r="J572" s="5">
        <f t="shared" si="39"/>
        <v>0</v>
      </c>
      <c r="K572" s="5">
        <f t="shared" si="39"/>
        <v>0</v>
      </c>
      <c r="L572" s="5">
        <f t="shared" si="39"/>
        <v>0</v>
      </c>
      <c r="M572" s="5">
        <f t="shared" si="39"/>
        <v>0</v>
      </c>
      <c r="N572" s="32">
        <v>5.9550724637681039E-2</v>
      </c>
      <c r="O572" s="32">
        <v>-5.5072463768103541E-4</v>
      </c>
      <c r="P572" s="24">
        <f t="shared" si="37"/>
        <v>5.755434782608701E-2</v>
      </c>
    </row>
    <row r="573" spans="1:16" x14ac:dyDescent="0.3">
      <c r="A573" s="2">
        <v>34912</v>
      </c>
      <c r="B573" s="23">
        <v>5.5999999999999994E-2</v>
      </c>
      <c r="C573" s="5">
        <f t="shared" si="40"/>
        <v>0</v>
      </c>
      <c r="D573" s="5">
        <f t="shared" si="39"/>
        <v>0</v>
      </c>
      <c r="E573" s="5">
        <f t="shared" si="39"/>
        <v>0</v>
      </c>
      <c r="F573" s="5">
        <f t="shared" si="39"/>
        <v>0</v>
      </c>
      <c r="G573" s="5">
        <f t="shared" si="39"/>
        <v>0</v>
      </c>
      <c r="H573" s="5">
        <f t="shared" si="39"/>
        <v>0</v>
      </c>
      <c r="I573" s="5">
        <f t="shared" si="39"/>
        <v>0</v>
      </c>
      <c r="J573" s="5">
        <f t="shared" si="39"/>
        <v>1</v>
      </c>
      <c r="K573" s="5">
        <f t="shared" si="39"/>
        <v>0</v>
      </c>
      <c r="L573" s="5">
        <f t="shared" si="39"/>
        <v>0</v>
      </c>
      <c r="M573" s="5">
        <f t="shared" si="39"/>
        <v>0</v>
      </c>
      <c r="N573" s="32">
        <v>5.6521739130434699E-2</v>
      </c>
      <c r="O573" s="32">
        <v>-5.2173913043470493E-4</v>
      </c>
      <c r="P573" s="24">
        <f t="shared" si="37"/>
        <v>5.7583333333333341E-2</v>
      </c>
    </row>
    <row r="574" spans="1:16" x14ac:dyDescent="0.3">
      <c r="A574" s="2">
        <v>34943</v>
      </c>
      <c r="B574" s="23">
        <v>5.4000000000000006E-2</v>
      </c>
      <c r="C574" s="5">
        <f t="shared" si="40"/>
        <v>0</v>
      </c>
      <c r="D574" s="5">
        <f t="shared" si="39"/>
        <v>0</v>
      </c>
      <c r="E574" s="5">
        <f t="shared" si="39"/>
        <v>0</v>
      </c>
      <c r="F574" s="5">
        <f t="shared" si="39"/>
        <v>0</v>
      </c>
      <c r="G574" s="5">
        <f t="shared" si="39"/>
        <v>0</v>
      </c>
      <c r="H574" s="5">
        <f t="shared" si="39"/>
        <v>0</v>
      </c>
      <c r="I574" s="5">
        <f t="shared" si="39"/>
        <v>0</v>
      </c>
      <c r="J574" s="5">
        <f t="shared" si="39"/>
        <v>0</v>
      </c>
      <c r="K574" s="5">
        <f t="shared" si="39"/>
        <v>1</v>
      </c>
      <c r="L574" s="5">
        <f t="shared" si="39"/>
        <v>0</v>
      </c>
      <c r="M574" s="5">
        <f t="shared" si="39"/>
        <v>0</v>
      </c>
      <c r="N574" s="32">
        <v>5.4768115942028898E-2</v>
      </c>
      <c r="O574" s="32">
        <v>-7.6811594202889216E-4</v>
      </c>
      <c r="P574" s="24">
        <f t="shared" si="37"/>
        <v>5.7336956521739153E-2</v>
      </c>
    </row>
    <row r="575" spans="1:16" x14ac:dyDescent="0.3">
      <c r="A575" s="2">
        <v>34973</v>
      </c>
      <c r="B575" s="23">
        <v>5.2000000000000005E-2</v>
      </c>
      <c r="C575" s="5">
        <f t="shared" si="40"/>
        <v>0</v>
      </c>
      <c r="D575" s="5">
        <f t="shared" si="39"/>
        <v>0</v>
      </c>
      <c r="E575" s="5">
        <f t="shared" si="39"/>
        <v>0</v>
      </c>
      <c r="F575" s="5">
        <f t="shared" si="39"/>
        <v>0</v>
      </c>
      <c r="G575" s="5">
        <f t="shared" ref="D575:M600" si="41">IF(MONTH($A575)=G$1,1,0)</f>
        <v>0</v>
      </c>
      <c r="H575" s="5">
        <f t="shared" si="41"/>
        <v>0</v>
      </c>
      <c r="I575" s="5">
        <f t="shared" si="41"/>
        <v>0</v>
      </c>
      <c r="J575" s="5">
        <f t="shared" si="41"/>
        <v>0</v>
      </c>
      <c r="K575" s="5">
        <f t="shared" si="41"/>
        <v>0</v>
      </c>
      <c r="L575" s="5">
        <f t="shared" si="41"/>
        <v>1</v>
      </c>
      <c r="M575" s="5">
        <f t="shared" si="41"/>
        <v>0</v>
      </c>
      <c r="N575" s="32">
        <v>5.3115942028985473E-2</v>
      </c>
      <c r="O575" s="32">
        <v>-1.1159420289854685E-3</v>
      </c>
      <c r="P575" s="24">
        <f t="shared" si="37"/>
        <v>5.6989130434782577E-2</v>
      </c>
    </row>
    <row r="576" spans="1:16" x14ac:dyDescent="0.3">
      <c r="A576" s="2">
        <v>35004</v>
      </c>
      <c r="B576" s="23">
        <v>5.2999999999999999E-2</v>
      </c>
      <c r="C576" s="5">
        <f t="shared" si="40"/>
        <v>0</v>
      </c>
      <c r="D576" s="5">
        <f t="shared" si="41"/>
        <v>0</v>
      </c>
      <c r="E576" s="5">
        <f t="shared" si="41"/>
        <v>0</v>
      </c>
      <c r="F576" s="5">
        <f t="shared" si="41"/>
        <v>0</v>
      </c>
      <c r="G576" s="5">
        <f t="shared" si="41"/>
        <v>0</v>
      </c>
      <c r="H576" s="5">
        <f t="shared" si="41"/>
        <v>0</v>
      </c>
      <c r="I576" s="5">
        <f t="shared" si="41"/>
        <v>0</v>
      </c>
      <c r="J576" s="5">
        <f t="shared" si="41"/>
        <v>0</v>
      </c>
      <c r="K576" s="5">
        <f t="shared" si="41"/>
        <v>0</v>
      </c>
      <c r="L576" s="5">
        <f t="shared" si="41"/>
        <v>0</v>
      </c>
      <c r="M576" s="5">
        <f t="shared" si="41"/>
        <v>1</v>
      </c>
      <c r="N576" s="32">
        <v>5.4782608695652081E-2</v>
      </c>
      <c r="O576" s="32">
        <v>-1.7826086956520826E-3</v>
      </c>
      <c r="P576" s="24">
        <f t="shared" si="37"/>
        <v>5.6322463768115963E-2</v>
      </c>
    </row>
    <row r="577" spans="1:16" x14ac:dyDescent="0.3">
      <c r="A577" s="2">
        <v>35034</v>
      </c>
      <c r="B577" s="23">
        <v>5.2000000000000005E-2</v>
      </c>
      <c r="C577" s="5">
        <f t="shared" si="40"/>
        <v>0</v>
      </c>
      <c r="D577" s="5">
        <f t="shared" si="41"/>
        <v>0</v>
      </c>
      <c r="E577" s="5">
        <f t="shared" si="41"/>
        <v>0</v>
      </c>
      <c r="F577" s="5">
        <f t="shared" si="41"/>
        <v>0</v>
      </c>
      <c r="G577" s="5">
        <f t="shared" si="41"/>
        <v>0</v>
      </c>
      <c r="H577" s="5">
        <f t="shared" si="41"/>
        <v>0</v>
      </c>
      <c r="I577" s="5">
        <f t="shared" si="41"/>
        <v>0</v>
      </c>
      <c r="J577" s="5">
        <f t="shared" si="41"/>
        <v>0</v>
      </c>
      <c r="K577" s="5">
        <f t="shared" si="41"/>
        <v>0</v>
      </c>
      <c r="L577" s="5">
        <f t="shared" si="41"/>
        <v>0</v>
      </c>
      <c r="M577" s="5">
        <f t="shared" si="41"/>
        <v>0</v>
      </c>
      <c r="N577" s="32">
        <v>5.5202898550724598E-2</v>
      </c>
      <c r="O577" s="32">
        <v>-3.2028985507245936E-3</v>
      </c>
      <c r="P577" s="24">
        <f t="shared" si="37"/>
        <v>5.4902173913043452E-2</v>
      </c>
    </row>
    <row r="578" spans="1:16" x14ac:dyDescent="0.3">
      <c r="A578" s="2">
        <v>35065</v>
      </c>
      <c r="B578" s="23">
        <v>6.3E-2</v>
      </c>
      <c r="C578" s="5">
        <f t="shared" si="40"/>
        <v>1</v>
      </c>
      <c r="D578" s="5">
        <f t="shared" si="41"/>
        <v>0</v>
      </c>
      <c r="E578" s="5">
        <f t="shared" si="41"/>
        <v>0</v>
      </c>
      <c r="F578" s="5">
        <f t="shared" si="41"/>
        <v>0</v>
      </c>
      <c r="G578" s="5">
        <f t="shared" si="41"/>
        <v>0</v>
      </c>
      <c r="H578" s="5">
        <f t="shared" si="41"/>
        <v>0</v>
      </c>
      <c r="I578" s="5">
        <f t="shared" si="41"/>
        <v>0</v>
      </c>
      <c r="J578" s="5">
        <f t="shared" si="41"/>
        <v>0</v>
      </c>
      <c r="K578" s="5">
        <f t="shared" si="41"/>
        <v>0</v>
      </c>
      <c r="L578" s="5">
        <f t="shared" si="41"/>
        <v>0</v>
      </c>
      <c r="M578" s="5">
        <f t="shared" si="41"/>
        <v>0</v>
      </c>
      <c r="N578" s="32">
        <v>6.4492753623188417E-2</v>
      </c>
      <c r="O578" s="32">
        <v>-1.492753623188417E-3</v>
      </c>
      <c r="P578" s="24">
        <f t="shared" si="37"/>
        <v>5.6612318840579628E-2</v>
      </c>
    </row>
    <row r="579" spans="1:16" x14ac:dyDescent="0.3">
      <c r="A579" s="2">
        <v>35096</v>
      </c>
      <c r="B579" s="23">
        <v>0.06</v>
      </c>
      <c r="C579" s="5">
        <f t="shared" si="40"/>
        <v>0</v>
      </c>
      <c r="D579" s="5">
        <f t="shared" si="41"/>
        <v>1</v>
      </c>
      <c r="E579" s="5">
        <f t="shared" si="41"/>
        <v>0</v>
      </c>
      <c r="F579" s="5">
        <f t="shared" si="41"/>
        <v>0</v>
      </c>
      <c r="G579" s="5">
        <f t="shared" si="41"/>
        <v>0</v>
      </c>
      <c r="H579" s="5">
        <f t="shared" si="41"/>
        <v>0</v>
      </c>
      <c r="I579" s="5">
        <f t="shared" si="41"/>
        <v>0</v>
      </c>
      <c r="J579" s="5">
        <f t="shared" si="41"/>
        <v>0</v>
      </c>
      <c r="K579" s="5">
        <f t="shared" si="41"/>
        <v>0</v>
      </c>
      <c r="L579" s="5">
        <f t="shared" si="41"/>
        <v>0</v>
      </c>
      <c r="M579" s="5">
        <f t="shared" si="41"/>
        <v>0</v>
      </c>
      <c r="N579" s="32">
        <v>6.4391304347825973E-2</v>
      </c>
      <c r="O579" s="32">
        <v>-4.391304347825975E-3</v>
      </c>
      <c r="P579" s="24">
        <f t="shared" ref="P579:P642" si="42">O579+$R$2</f>
        <v>5.371376811594207E-2</v>
      </c>
    </row>
    <row r="580" spans="1:16" x14ac:dyDescent="0.3">
      <c r="A580" s="2">
        <v>35125</v>
      </c>
      <c r="B580" s="23">
        <v>5.7999999999999996E-2</v>
      </c>
      <c r="C580" s="5">
        <f t="shared" si="40"/>
        <v>0</v>
      </c>
      <c r="D580" s="5">
        <f t="shared" si="41"/>
        <v>0</v>
      </c>
      <c r="E580" s="5">
        <f t="shared" si="41"/>
        <v>1</v>
      </c>
      <c r="F580" s="5">
        <f t="shared" si="41"/>
        <v>0</v>
      </c>
      <c r="G580" s="5">
        <f t="shared" si="41"/>
        <v>0</v>
      </c>
      <c r="H580" s="5">
        <f t="shared" si="41"/>
        <v>0</v>
      </c>
      <c r="I580" s="5">
        <f t="shared" si="41"/>
        <v>0</v>
      </c>
      <c r="J580" s="5">
        <f t="shared" si="41"/>
        <v>0</v>
      </c>
      <c r="K580" s="5">
        <f t="shared" si="41"/>
        <v>0</v>
      </c>
      <c r="L580" s="5">
        <f t="shared" si="41"/>
        <v>0</v>
      </c>
      <c r="M580" s="5">
        <f t="shared" si="41"/>
        <v>0</v>
      </c>
      <c r="N580" s="32">
        <v>6.1652173913043402E-2</v>
      </c>
      <c r="O580" s="32">
        <v>-3.6521739130434064E-3</v>
      </c>
      <c r="P580" s="24">
        <f t="shared" si="42"/>
        <v>5.4452898550724639E-2</v>
      </c>
    </row>
    <row r="581" spans="1:16" x14ac:dyDescent="0.3">
      <c r="A581" s="2">
        <v>35156</v>
      </c>
      <c r="B581" s="23">
        <v>5.4000000000000006E-2</v>
      </c>
      <c r="C581" s="5">
        <f t="shared" si="40"/>
        <v>0</v>
      </c>
      <c r="D581" s="5">
        <f t="shared" si="41"/>
        <v>0</v>
      </c>
      <c r="E581" s="5">
        <f t="shared" si="41"/>
        <v>0</v>
      </c>
      <c r="F581" s="5">
        <f t="shared" si="41"/>
        <v>1</v>
      </c>
      <c r="G581" s="5">
        <f t="shared" si="41"/>
        <v>0</v>
      </c>
      <c r="H581" s="5">
        <f t="shared" si="41"/>
        <v>0</v>
      </c>
      <c r="I581" s="5">
        <f t="shared" si="41"/>
        <v>0</v>
      </c>
      <c r="J581" s="5">
        <f t="shared" si="41"/>
        <v>0</v>
      </c>
      <c r="K581" s="5">
        <f t="shared" si="41"/>
        <v>0</v>
      </c>
      <c r="L581" s="5">
        <f t="shared" si="41"/>
        <v>0</v>
      </c>
      <c r="M581" s="5">
        <f t="shared" si="41"/>
        <v>0</v>
      </c>
      <c r="N581" s="32">
        <v>5.6550724637681071E-2</v>
      </c>
      <c r="O581" s="32">
        <v>-2.5507246376810649E-3</v>
      </c>
      <c r="P581" s="24">
        <f t="shared" si="42"/>
        <v>5.5554347826086981E-2</v>
      </c>
    </row>
    <row r="582" spans="1:16" x14ac:dyDescent="0.3">
      <c r="A582" s="2">
        <v>35186</v>
      </c>
      <c r="B582" s="23">
        <v>5.4000000000000006E-2</v>
      </c>
      <c r="C582" s="5">
        <f t="shared" si="40"/>
        <v>0</v>
      </c>
      <c r="D582" s="5">
        <f t="shared" si="41"/>
        <v>0</v>
      </c>
      <c r="E582" s="5">
        <f t="shared" si="41"/>
        <v>0</v>
      </c>
      <c r="F582" s="5">
        <f t="shared" si="41"/>
        <v>0</v>
      </c>
      <c r="G582" s="5">
        <f t="shared" si="41"/>
        <v>1</v>
      </c>
      <c r="H582" s="5">
        <f t="shared" si="41"/>
        <v>0</v>
      </c>
      <c r="I582" s="5">
        <f t="shared" si="41"/>
        <v>0</v>
      </c>
      <c r="J582" s="5">
        <f t="shared" si="41"/>
        <v>0</v>
      </c>
      <c r="K582" s="5">
        <f t="shared" si="41"/>
        <v>0</v>
      </c>
      <c r="L582" s="5">
        <f t="shared" si="41"/>
        <v>0</v>
      </c>
      <c r="M582" s="5">
        <f t="shared" si="41"/>
        <v>0</v>
      </c>
      <c r="N582" s="32">
        <v>5.5101449275362209E-2</v>
      </c>
      <c r="O582" s="32">
        <v>-1.1014492753622027E-3</v>
      </c>
      <c r="P582" s="24">
        <f t="shared" si="42"/>
        <v>5.7003623188405843E-2</v>
      </c>
    </row>
    <row r="583" spans="1:16" x14ac:dyDescent="0.3">
      <c r="A583" s="2">
        <v>35217</v>
      </c>
      <c r="B583" s="23">
        <v>5.5E-2</v>
      </c>
      <c r="C583" s="5">
        <f t="shared" si="40"/>
        <v>0</v>
      </c>
      <c r="D583" s="5">
        <f t="shared" si="41"/>
        <v>0</v>
      </c>
      <c r="E583" s="5">
        <f t="shared" si="41"/>
        <v>0</v>
      </c>
      <c r="F583" s="5">
        <f t="shared" si="41"/>
        <v>0</v>
      </c>
      <c r="G583" s="5">
        <f t="shared" si="41"/>
        <v>0</v>
      </c>
      <c r="H583" s="5">
        <f t="shared" si="41"/>
        <v>1</v>
      </c>
      <c r="I583" s="5">
        <f t="shared" si="41"/>
        <v>0</v>
      </c>
      <c r="J583" s="5">
        <f t="shared" si="41"/>
        <v>0</v>
      </c>
      <c r="K583" s="5">
        <f t="shared" si="41"/>
        <v>0</v>
      </c>
      <c r="L583" s="5">
        <f t="shared" si="41"/>
        <v>0</v>
      </c>
      <c r="M583" s="5">
        <f t="shared" si="41"/>
        <v>0</v>
      </c>
      <c r="N583" s="32">
        <v>6.1130434782608579E-2</v>
      </c>
      <c r="O583" s="32">
        <v>-6.1304347826085792E-3</v>
      </c>
      <c r="P583" s="24">
        <f t="shared" si="42"/>
        <v>5.1974637681159466E-2</v>
      </c>
    </row>
    <row r="584" spans="1:16" x14ac:dyDescent="0.3">
      <c r="A584" s="2">
        <v>35247</v>
      </c>
      <c r="B584" s="23">
        <v>5.5999999999999994E-2</v>
      </c>
      <c r="C584" s="5">
        <f t="shared" si="40"/>
        <v>0</v>
      </c>
      <c r="D584" s="5">
        <f t="shared" si="41"/>
        <v>0</v>
      </c>
      <c r="E584" s="5">
        <f t="shared" si="41"/>
        <v>0</v>
      </c>
      <c r="F584" s="5">
        <f t="shared" si="41"/>
        <v>0</v>
      </c>
      <c r="G584" s="5">
        <f t="shared" si="41"/>
        <v>0</v>
      </c>
      <c r="H584" s="5">
        <f t="shared" si="41"/>
        <v>0</v>
      </c>
      <c r="I584" s="5">
        <f t="shared" si="41"/>
        <v>1</v>
      </c>
      <c r="J584" s="5">
        <f t="shared" si="41"/>
        <v>0</v>
      </c>
      <c r="K584" s="5">
        <f t="shared" si="41"/>
        <v>0</v>
      </c>
      <c r="L584" s="5">
        <f t="shared" si="41"/>
        <v>0</v>
      </c>
      <c r="M584" s="5">
        <f t="shared" si="41"/>
        <v>0</v>
      </c>
      <c r="N584" s="32">
        <v>5.9550724637681039E-2</v>
      </c>
      <c r="O584" s="32">
        <v>-3.550724637681045E-3</v>
      </c>
      <c r="P584" s="24">
        <f t="shared" si="42"/>
        <v>5.4554347826087E-2</v>
      </c>
    </row>
    <row r="585" spans="1:16" x14ac:dyDescent="0.3">
      <c r="A585" s="2">
        <v>35278</v>
      </c>
      <c r="B585" s="23">
        <v>5.0999999999999997E-2</v>
      </c>
      <c r="C585" s="5">
        <f t="shared" si="40"/>
        <v>0</v>
      </c>
      <c r="D585" s="5">
        <f t="shared" si="41"/>
        <v>0</v>
      </c>
      <c r="E585" s="5">
        <f t="shared" si="41"/>
        <v>0</v>
      </c>
      <c r="F585" s="5">
        <f t="shared" si="41"/>
        <v>0</v>
      </c>
      <c r="G585" s="5">
        <f t="shared" si="41"/>
        <v>0</v>
      </c>
      <c r="H585" s="5">
        <f t="shared" si="41"/>
        <v>0</v>
      </c>
      <c r="I585" s="5">
        <f t="shared" si="41"/>
        <v>0</v>
      </c>
      <c r="J585" s="5">
        <f t="shared" si="41"/>
        <v>1</v>
      </c>
      <c r="K585" s="5">
        <f t="shared" si="41"/>
        <v>0</v>
      </c>
      <c r="L585" s="5">
        <f t="shared" si="41"/>
        <v>0</v>
      </c>
      <c r="M585" s="5">
        <f t="shared" si="41"/>
        <v>0</v>
      </c>
      <c r="N585" s="32">
        <v>5.6521739130434699E-2</v>
      </c>
      <c r="O585" s="32">
        <v>-5.5217391304347024E-3</v>
      </c>
      <c r="P585" s="24">
        <f t="shared" si="42"/>
        <v>5.2583333333333343E-2</v>
      </c>
    </row>
    <row r="586" spans="1:16" x14ac:dyDescent="0.3">
      <c r="A586" s="2">
        <v>35309</v>
      </c>
      <c r="B586" s="23">
        <v>0.05</v>
      </c>
      <c r="C586" s="5">
        <f t="shared" si="40"/>
        <v>0</v>
      </c>
      <c r="D586" s="5">
        <f t="shared" si="41"/>
        <v>0</v>
      </c>
      <c r="E586" s="5">
        <f t="shared" si="41"/>
        <v>0</v>
      </c>
      <c r="F586" s="5">
        <f t="shared" si="41"/>
        <v>0</v>
      </c>
      <c r="G586" s="5">
        <f t="shared" si="41"/>
        <v>0</v>
      </c>
      <c r="H586" s="5">
        <f t="shared" si="41"/>
        <v>0</v>
      </c>
      <c r="I586" s="5">
        <f t="shared" si="41"/>
        <v>0</v>
      </c>
      <c r="J586" s="5">
        <f t="shared" si="41"/>
        <v>0</v>
      </c>
      <c r="K586" s="5">
        <f t="shared" si="41"/>
        <v>1</v>
      </c>
      <c r="L586" s="5">
        <f t="shared" si="41"/>
        <v>0</v>
      </c>
      <c r="M586" s="5">
        <f t="shared" si="41"/>
        <v>0</v>
      </c>
      <c r="N586" s="32">
        <v>5.4768115942028898E-2</v>
      </c>
      <c r="O586" s="32">
        <v>-4.7681159420288957E-3</v>
      </c>
      <c r="P586" s="24">
        <f t="shared" si="42"/>
        <v>5.333695652173915E-2</v>
      </c>
    </row>
    <row r="587" spans="1:16" x14ac:dyDescent="0.3">
      <c r="A587" s="2">
        <v>35339</v>
      </c>
      <c r="B587" s="23">
        <v>4.9000000000000002E-2</v>
      </c>
      <c r="C587" s="5">
        <f t="shared" si="40"/>
        <v>0</v>
      </c>
      <c r="D587" s="5">
        <f t="shared" si="41"/>
        <v>0</v>
      </c>
      <c r="E587" s="5">
        <f t="shared" si="41"/>
        <v>0</v>
      </c>
      <c r="F587" s="5">
        <f t="shared" si="41"/>
        <v>0</v>
      </c>
      <c r="G587" s="5">
        <f t="shared" si="41"/>
        <v>0</v>
      </c>
      <c r="H587" s="5">
        <f t="shared" si="41"/>
        <v>0</v>
      </c>
      <c r="I587" s="5">
        <f t="shared" si="41"/>
        <v>0</v>
      </c>
      <c r="J587" s="5">
        <f t="shared" si="41"/>
        <v>0</v>
      </c>
      <c r="K587" s="5">
        <f t="shared" si="41"/>
        <v>0</v>
      </c>
      <c r="L587" s="5">
        <f t="shared" si="41"/>
        <v>1</v>
      </c>
      <c r="M587" s="5">
        <f t="shared" si="41"/>
        <v>0</v>
      </c>
      <c r="N587" s="32">
        <v>5.3115942028985473E-2</v>
      </c>
      <c r="O587" s="32">
        <v>-4.1159420289854712E-3</v>
      </c>
      <c r="P587" s="24">
        <f t="shared" si="42"/>
        <v>5.3989130434782574E-2</v>
      </c>
    </row>
    <row r="588" spans="1:16" x14ac:dyDescent="0.3">
      <c r="A588" s="2">
        <v>35370</v>
      </c>
      <c r="B588" s="23">
        <v>0.05</v>
      </c>
      <c r="C588" s="5">
        <f t="shared" si="40"/>
        <v>0</v>
      </c>
      <c r="D588" s="5">
        <f t="shared" si="41"/>
        <v>0</v>
      </c>
      <c r="E588" s="5">
        <f t="shared" si="41"/>
        <v>0</v>
      </c>
      <c r="F588" s="5">
        <f t="shared" si="41"/>
        <v>0</v>
      </c>
      <c r="G588" s="5">
        <f t="shared" si="41"/>
        <v>0</v>
      </c>
      <c r="H588" s="5">
        <f t="shared" si="41"/>
        <v>0</v>
      </c>
      <c r="I588" s="5">
        <f t="shared" si="41"/>
        <v>0</v>
      </c>
      <c r="J588" s="5">
        <f t="shared" si="41"/>
        <v>0</v>
      </c>
      <c r="K588" s="5">
        <f t="shared" si="41"/>
        <v>0</v>
      </c>
      <c r="L588" s="5">
        <f t="shared" si="41"/>
        <v>0</v>
      </c>
      <c r="M588" s="5">
        <f t="shared" si="41"/>
        <v>1</v>
      </c>
      <c r="N588" s="32">
        <v>5.4782608695652081E-2</v>
      </c>
      <c r="O588" s="32">
        <v>-4.7826086956520783E-3</v>
      </c>
      <c r="P588" s="24">
        <f t="shared" si="42"/>
        <v>5.3322463768115967E-2</v>
      </c>
    </row>
    <row r="589" spans="1:16" x14ac:dyDescent="0.3">
      <c r="A589" s="2">
        <v>35400</v>
      </c>
      <c r="B589" s="23">
        <v>0.05</v>
      </c>
      <c r="C589" s="5">
        <f t="shared" si="40"/>
        <v>0</v>
      </c>
      <c r="D589" s="5">
        <f t="shared" si="41"/>
        <v>0</v>
      </c>
      <c r="E589" s="5">
        <f t="shared" si="41"/>
        <v>0</v>
      </c>
      <c r="F589" s="5">
        <f t="shared" si="41"/>
        <v>0</v>
      </c>
      <c r="G589" s="5">
        <f t="shared" si="41"/>
        <v>0</v>
      </c>
      <c r="H589" s="5">
        <f t="shared" si="41"/>
        <v>0</v>
      </c>
      <c r="I589" s="5">
        <f t="shared" si="41"/>
        <v>0</v>
      </c>
      <c r="J589" s="5">
        <f t="shared" si="41"/>
        <v>0</v>
      </c>
      <c r="K589" s="5">
        <f t="shared" si="41"/>
        <v>0</v>
      </c>
      <c r="L589" s="5">
        <f t="shared" si="41"/>
        <v>0</v>
      </c>
      <c r="M589" s="5">
        <f t="shared" si="41"/>
        <v>0</v>
      </c>
      <c r="N589" s="32">
        <v>5.5202898550724598E-2</v>
      </c>
      <c r="O589" s="32">
        <v>-5.2028985507245953E-3</v>
      </c>
      <c r="P589" s="24">
        <f t="shared" si="42"/>
        <v>5.290217391304345E-2</v>
      </c>
    </row>
    <row r="590" spans="1:16" x14ac:dyDescent="0.3">
      <c r="A590" s="2">
        <v>35431</v>
      </c>
      <c r="B590" s="23">
        <v>5.9000000000000004E-2</v>
      </c>
      <c r="C590" s="5">
        <f t="shared" si="40"/>
        <v>1</v>
      </c>
      <c r="D590" s="5">
        <f t="shared" si="41"/>
        <v>0</v>
      </c>
      <c r="E590" s="5">
        <f t="shared" si="41"/>
        <v>0</v>
      </c>
      <c r="F590" s="5">
        <f t="shared" si="41"/>
        <v>0</v>
      </c>
      <c r="G590" s="5">
        <f t="shared" si="41"/>
        <v>0</v>
      </c>
      <c r="H590" s="5">
        <f t="shared" si="41"/>
        <v>0</v>
      </c>
      <c r="I590" s="5">
        <f t="shared" si="41"/>
        <v>0</v>
      </c>
      <c r="J590" s="5">
        <f t="shared" si="41"/>
        <v>0</v>
      </c>
      <c r="K590" s="5">
        <f t="shared" si="41"/>
        <v>0</v>
      </c>
      <c r="L590" s="5">
        <f t="shared" si="41"/>
        <v>0</v>
      </c>
      <c r="M590" s="5">
        <f t="shared" si="41"/>
        <v>0</v>
      </c>
      <c r="N590" s="32">
        <v>6.4492753623188417E-2</v>
      </c>
      <c r="O590" s="32">
        <v>-5.4927536231884136E-3</v>
      </c>
      <c r="P590" s="24">
        <f t="shared" si="42"/>
        <v>5.2612318840579632E-2</v>
      </c>
    </row>
    <row r="591" spans="1:16" x14ac:dyDescent="0.3">
      <c r="A591" s="2">
        <v>35462</v>
      </c>
      <c r="B591" s="23">
        <v>5.7000000000000002E-2</v>
      </c>
      <c r="C591" s="5">
        <f t="shared" si="40"/>
        <v>0</v>
      </c>
      <c r="D591" s="5">
        <f t="shared" si="41"/>
        <v>1</v>
      </c>
      <c r="E591" s="5">
        <f t="shared" si="41"/>
        <v>0</v>
      </c>
      <c r="F591" s="5">
        <f t="shared" si="41"/>
        <v>0</v>
      </c>
      <c r="G591" s="5">
        <f t="shared" si="41"/>
        <v>0</v>
      </c>
      <c r="H591" s="5">
        <f t="shared" si="41"/>
        <v>0</v>
      </c>
      <c r="I591" s="5">
        <f t="shared" si="41"/>
        <v>0</v>
      </c>
      <c r="J591" s="5">
        <f t="shared" si="41"/>
        <v>0</v>
      </c>
      <c r="K591" s="5">
        <f t="shared" si="41"/>
        <v>0</v>
      </c>
      <c r="L591" s="5">
        <f t="shared" si="41"/>
        <v>0</v>
      </c>
      <c r="M591" s="5">
        <f t="shared" si="41"/>
        <v>0</v>
      </c>
      <c r="N591" s="32">
        <v>6.4391304347825973E-2</v>
      </c>
      <c r="O591" s="32">
        <v>-7.3913043478259707E-3</v>
      </c>
      <c r="P591" s="24">
        <f t="shared" si="42"/>
        <v>5.0713768115942075E-2</v>
      </c>
    </row>
    <row r="592" spans="1:16" x14ac:dyDescent="0.3">
      <c r="A592" s="2">
        <v>35490</v>
      </c>
      <c r="B592" s="23">
        <v>5.5E-2</v>
      </c>
      <c r="C592" s="5">
        <f t="shared" si="40"/>
        <v>0</v>
      </c>
      <c r="D592" s="5">
        <f t="shared" si="41"/>
        <v>0</v>
      </c>
      <c r="E592" s="5">
        <f t="shared" si="41"/>
        <v>1</v>
      </c>
      <c r="F592" s="5">
        <f t="shared" si="41"/>
        <v>0</v>
      </c>
      <c r="G592" s="5">
        <f t="shared" si="41"/>
        <v>0</v>
      </c>
      <c r="H592" s="5">
        <f t="shared" si="41"/>
        <v>0</v>
      </c>
      <c r="I592" s="5">
        <f t="shared" si="41"/>
        <v>0</v>
      </c>
      <c r="J592" s="5">
        <f t="shared" si="41"/>
        <v>0</v>
      </c>
      <c r="K592" s="5">
        <f t="shared" si="41"/>
        <v>0</v>
      </c>
      <c r="L592" s="5">
        <f t="shared" si="41"/>
        <v>0</v>
      </c>
      <c r="M592" s="5">
        <f t="shared" si="41"/>
        <v>0</v>
      </c>
      <c r="N592" s="32">
        <v>6.1652173913043402E-2</v>
      </c>
      <c r="O592" s="32">
        <v>-6.6521739130434021E-3</v>
      </c>
      <c r="P592" s="24">
        <f t="shared" si="42"/>
        <v>5.1452898550724643E-2</v>
      </c>
    </row>
    <row r="593" spans="1:16" x14ac:dyDescent="0.3">
      <c r="A593" s="2">
        <v>35521</v>
      </c>
      <c r="B593" s="23">
        <v>4.8000000000000001E-2</v>
      </c>
      <c r="C593" s="5">
        <f t="shared" si="40"/>
        <v>0</v>
      </c>
      <c r="D593" s="5">
        <f t="shared" si="41"/>
        <v>0</v>
      </c>
      <c r="E593" s="5">
        <f t="shared" si="41"/>
        <v>0</v>
      </c>
      <c r="F593" s="5">
        <f t="shared" si="41"/>
        <v>1</v>
      </c>
      <c r="G593" s="5">
        <f t="shared" si="41"/>
        <v>0</v>
      </c>
      <c r="H593" s="5">
        <f t="shared" si="41"/>
        <v>0</v>
      </c>
      <c r="I593" s="5">
        <f t="shared" si="41"/>
        <v>0</v>
      </c>
      <c r="J593" s="5">
        <f t="shared" si="41"/>
        <v>0</v>
      </c>
      <c r="K593" s="5">
        <f t="shared" si="41"/>
        <v>0</v>
      </c>
      <c r="L593" s="5">
        <f t="shared" si="41"/>
        <v>0</v>
      </c>
      <c r="M593" s="5">
        <f t="shared" si="41"/>
        <v>0</v>
      </c>
      <c r="N593" s="32">
        <v>5.6550724637681071E-2</v>
      </c>
      <c r="O593" s="32">
        <v>-8.5507246376810703E-3</v>
      </c>
      <c r="P593" s="24">
        <f t="shared" si="42"/>
        <v>4.9554347826086975E-2</v>
      </c>
    </row>
    <row r="594" spans="1:16" x14ac:dyDescent="0.3">
      <c r="A594" s="2">
        <v>35551</v>
      </c>
      <c r="B594" s="23">
        <v>4.7E-2</v>
      </c>
      <c r="C594" s="5">
        <f t="shared" si="40"/>
        <v>0</v>
      </c>
      <c r="D594" s="5">
        <f t="shared" si="41"/>
        <v>0</v>
      </c>
      <c r="E594" s="5">
        <f t="shared" si="41"/>
        <v>0</v>
      </c>
      <c r="F594" s="5">
        <f t="shared" si="41"/>
        <v>0</v>
      </c>
      <c r="G594" s="5">
        <f t="shared" si="41"/>
        <v>1</v>
      </c>
      <c r="H594" s="5">
        <f t="shared" si="41"/>
        <v>0</v>
      </c>
      <c r="I594" s="5">
        <f t="shared" si="41"/>
        <v>0</v>
      </c>
      <c r="J594" s="5">
        <f t="shared" si="41"/>
        <v>0</v>
      </c>
      <c r="K594" s="5">
        <f t="shared" si="41"/>
        <v>0</v>
      </c>
      <c r="L594" s="5">
        <f t="shared" si="41"/>
        <v>0</v>
      </c>
      <c r="M594" s="5">
        <f t="shared" si="41"/>
        <v>0</v>
      </c>
      <c r="N594" s="32">
        <v>5.5101449275362209E-2</v>
      </c>
      <c r="O594" s="32">
        <v>-8.1014492753622089E-3</v>
      </c>
      <c r="P594" s="24">
        <f t="shared" si="42"/>
        <v>5.0003623188405837E-2</v>
      </c>
    </row>
    <row r="595" spans="1:16" x14ac:dyDescent="0.3">
      <c r="A595" s="2">
        <v>35582</v>
      </c>
      <c r="B595" s="23">
        <v>5.2000000000000005E-2</v>
      </c>
      <c r="C595" s="5">
        <f t="shared" si="40"/>
        <v>0</v>
      </c>
      <c r="D595" s="5">
        <f t="shared" si="41"/>
        <v>0</v>
      </c>
      <c r="E595" s="5">
        <f t="shared" si="41"/>
        <v>0</v>
      </c>
      <c r="F595" s="5">
        <f t="shared" si="41"/>
        <v>0</v>
      </c>
      <c r="G595" s="5">
        <f t="shared" si="41"/>
        <v>0</v>
      </c>
      <c r="H595" s="5">
        <f t="shared" si="41"/>
        <v>1</v>
      </c>
      <c r="I595" s="5">
        <f t="shared" si="41"/>
        <v>0</v>
      </c>
      <c r="J595" s="5">
        <f t="shared" si="41"/>
        <v>0</v>
      </c>
      <c r="K595" s="5">
        <f t="shared" si="41"/>
        <v>0</v>
      </c>
      <c r="L595" s="5">
        <f t="shared" si="41"/>
        <v>0</v>
      </c>
      <c r="M595" s="5">
        <f t="shared" si="41"/>
        <v>0</v>
      </c>
      <c r="N595" s="32">
        <v>6.1130434782608579E-2</v>
      </c>
      <c r="O595" s="32">
        <v>-9.1304347826085749E-3</v>
      </c>
      <c r="P595" s="24">
        <f t="shared" si="42"/>
        <v>4.8974637681159471E-2</v>
      </c>
    </row>
    <row r="596" spans="1:16" x14ac:dyDescent="0.3">
      <c r="A596" s="2">
        <v>35612</v>
      </c>
      <c r="B596" s="23">
        <v>0.05</v>
      </c>
      <c r="C596" s="5">
        <f t="shared" si="40"/>
        <v>0</v>
      </c>
      <c r="D596" s="5">
        <f t="shared" si="41"/>
        <v>0</v>
      </c>
      <c r="E596" s="5">
        <f t="shared" si="41"/>
        <v>0</v>
      </c>
      <c r="F596" s="5">
        <f t="shared" si="41"/>
        <v>0</v>
      </c>
      <c r="G596" s="5">
        <f t="shared" si="41"/>
        <v>0</v>
      </c>
      <c r="H596" s="5">
        <f t="shared" si="41"/>
        <v>0</v>
      </c>
      <c r="I596" s="5">
        <f t="shared" si="41"/>
        <v>1</v>
      </c>
      <c r="J596" s="5">
        <f t="shared" si="41"/>
        <v>0</v>
      </c>
      <c r="K596" s="5">
        <f t="shared" si="41"/>
        <v>0</v>
      </c>
      <c r="L596" s="5">
        <f t="shared" si="41"/>
        <v>0</v>
      </c>
      <c r="M596" s="5">
        <f t="shared" si="41"/>
        <v>0</v>
      </c>
      <c r="N596" s="32">
        <v>5.9550724637681039E-2</v>
      </c>
      <c r="O596" s="32">
        <v>-9.5507246376810365E-3</v>
      </c>
      <c r="P596" s="24">
        <f t="shared" si="42"/>
        <v>4.8554347826087009E-2</v>
      </c>
    </row>
    <row r="597" spans="1:16" x14ac:dyDescent="0.3">
      <c r="A597" s="2">
        <v>35643</v>
      </c>
      <c r="B597" s="23">
        <v>4.8000000000000001E-2</v>
      </c>
      <c r="C597" s="5">
        <f t="shared" si="40"/>
        <v>0</v>
      </c>
      <c r="D597" s="5">
        <f t="shared" si="41"/>
        <v>0</v>
      </c>
      <c r="E597" s="5">
        <f t="shared" si="41"/>
        <v>0</v>
      </c>
      <c r="F597" s="5">
        <f t="shared" si="41"/>
        <v>0</v>
      </c>
      <c r="G597" s="5">
        <f t="shared" si="41"/>
        <v>0</v>
      </c>
      <c r="H597" s="5">
        <f t="shared" si="41"/>
        <v>0</v>
      </c>
      <c r="I597" s="5">
        <f t="shared" si="41"/>
        <v>0</v>
      </c>
      <c r="J597" s="5">
        <f t="shared" si="41"/>
        <v>1</v>
      </c>
      <c r="K597" s="5">
        <f t="shared" si="41"/>
        <v>0</v>
      </c>
      <c r="L597" s="5">
        <f t="shared" si="41"/>
        <v>0</v>
      </c>
      <c r="M597" s="5">
        <f t="shared" si="41"/>
        <v>0</v>
      </c>
      <c r="N597" s="32">
        <v>5.6521739130434699E-2</v>
      </c>
      <c r="O597" s="32">
        <v>-8.5217391304346982E-3</v>
      </c>
      <c r="P597" s="24">
        <f t="shared" si="42"/>
        <v>4.9583333333333347E-2</v>
      </c>
    </row>
    <row r="598" spans="1:16" x14ac:dyDescent="0.3">
      <c r="A598" s="2">
        <v>35674</v>
      </c>
      <c r="B598" s="23">
        <v>4.7E-2</v>
      </c>
      <c r="C598" s="5">
        <f t="shared" si="40"/>
        <v>0</v>
      </c>
      <c r="D598" s="5">
        <f t="shared" si="41"/>
        <v>0</v>
      </c>
      <c r="E598" s="5">
        <f t="shared" si="41"/>
        <v>0</v>
      </c>
      <c r="F598" s="5">
        <f t="shared" si="41"/>
        <v>0</v>
      </c>
      <c r="G598" s="5">
        <f t="shared" si="41"/>
        <v>0</v>
      </c>
      <c r="H598" s="5">
        <f t="shared" si="41"/>
        <v>0</v>
      </c>
      <c r="I598" s="5">
        <f t="shared" si="41"/>
        <v>0</v>
      </c>
      <c r="J598" s="5">
        <f t="shared" si="41"/>
        <v>0</v>
      </c>
      <c r="K598" s="5">
        <f t="shared" si="41"/>
        <v>1</v>
      </c>
      <c r="L598" s="5">
        <f t="shared" si="41"/>
        <v>0</v>
      </c>
      <c r="M598" s="5">
        <f t="shared" si="41"/>
        <v>0</v>
      </c>
      <c r="N598" s="32">
        <v>5.4768115942028898E-2</v>
      </c>
      <c r="O598" s="32">
        <v>-7.7681159420288984E-3</v>
      </c>
      <c r="P598" s="24">
        <f t="shared" si="42"/>
        <v>5.0336956521739147E-2</v>
      </c>
    </row>
    <row r="599" spans="1:16" x14ac:dyDescent="0.3">
      <c r="A599" s="2">
        <v>35704</v>
      </c>
      <c r="B599" s="23">
        <v>4.4000000000000004E-2</v>
      </c>
      <c r="C599" s="5">
        <f t="shared" si="40"/>
        <v>0</v>
      </c>
      <c r="D599" s="5">
        <f t="shared" si="41"/>
        <v>0</v>
      </c>
      <c r="E599" s="5">
        <f t="shared" si="41"/>
        <v>0</v>
      </c>
      <c r="F599" s="5">
        <f t="shared" si="41"/>
        <v>0</v>
      </c>
      <c r="G599" s="5">
        <f t="shared" si="41"/>
        <v>0</v>
      </c>
      <c r="H599" s="5">
        <f t="shared" si="41"/>
        <v>0</v>
      </c>
      <c r="I599" s="5">
        <f t="shared" si="41"/>
        <v>0</v>
      </c>
      <c r="J599" s="5">
        <f t="shared" si="41"/>
        <v>0</v>
      </c>
      <c r="K599" s="5">
        <f t="shared" si="41"/>
        <v>0</v>
      </c>
      <c r="L599" s="5">
        <f t="shared" si="41"/>
        <v>1</v>
      </c>
      <c r="M599" s="5">
        <f t="shared" si="41"/>
        <v>0</v>
      </c>
      <c r="N599" s="32">
        <v>5.3115942028985473E-2</v>
      </c>
      <c r="O599" s="32">
        <v>-9.1159420289854687E-3</v>
      </c>
      <c r="P599" s="24">
        <f t="shared" si="42"/>
        <v>4.8989130434782577E-2</v>
      </c>
    </row>
    <row r="600" spans="1:16" x14ac:dyDescent="0.3">
      <c r="A600" s="2">
        <v>35735</v>
      </c>
      <c r="B600" s="23">
        <v>4.2999999999999997E-2</v>
      </c>
      <c r="C600" s="5">
        <f t="shared" si="40"/>
        <v>0</v>
      </c>
      <c r="D600" s="5">
        <f t="shared" si="41"/>
        <v>0</v>
      </c>
      <c r="E600" s="5">
        <f t="shared" si="41"/>
        <v>0</v>
      </c>
      <c r="F600" s="5">
        <f t="shared" si="41"/>
        <v>0</v>
      </c>
      <c r="G600" s="5">
        <f t="shared" si="41"/>
        <v>0</v>
      </c>
      <c r="H600" s="5">
        <f t="shared" si="41"/>
        <v>0</v>
      </c>
      <c r="I600" s="5">
        <f t="shared" si="41"/>
        <v>0</v>
      </c>
      <c r="J600" s="5">
        <f t="shared" si="41"/>
        <v>0</v>
      </c>
      <c r="K600" s="5">
        <f t="shared" si="41"/>
        <v>0</v>
      </c>
      <c r="L600" s="5">
        <f t="shared" ref="D600:M626" si="43">IF(MONTH($A600)=L$1,1,0)</f>
        <v>0</v>
      </c>
      <c r="M600" s="5">
        <f t="shared" si="43"/>
        <v>1</v>
      </c>
      <c r="N600" s="32">
        <v>5.4782608695652081E-2</v>
      </c>
      <c r="O600" s="32">
        <v>-1.1782608695652085E-2</v>
      </c>
      <c r="P600" s="24">
        <f t="shared" si="42"/>
        <v>4.6322463768115961E-2</v>
      </c>
    </row>
    <row r="601" spans="1:16" x14ac:dyDescent="0.3">
      <c r="A601" s="2">
        <v>35765</v>
      </c>
      <c r="B601" s="23">
        <v>4.4000000000000004E-2</v>
      </c>
      <c r="C601" s="5">
        <f t="shared" si="40"/>
        <v>0</v>
      </c>
      <c r="D601" s="5">
        <f t="shared" si="43"/>
        <v>0</v>
      </c>
      <c r="E601" s="5">
        <f t="shared" si="43"/>
        <v>0</v>
      </c>
      <c r="F601" s="5">
        <f t="shared" si="43"/>
        <v>0</v>
      </c>
      <c r="G601" s="5">
        <f t="shared" si="43"/>
        <v>0</v>
      </c>
      <c r="H601" s="5">
        <f t="shared" si="43"/>
        <v>0</v>
      </c>
      <c r="I601" s="5">
        <f t="shared" si="43"/>
        <v>0</v>
      </c>
      <c r="J601" s="5">
        <f t="shared" si="43"/>
        <v>0</v>
      </c>
      <c r="K601" s="5">
        <f t="shared" si="43"/>
        <v>0</v>
      </c>
      <c r="L601" s="5">
        <f t="shared" si="43"/>
        <v>0</v>
      </c>
      <c r="M601" s="5">
        <f t="shared" si="43"/>
        <v>0</v>
      </c>
      <c r="N601" s="32">
        <v>5.5202898550724598E-2</v>
      </c>
      <c r="O601" s="32">
        <v>-1.1202898550724594E-2</v>
      </c>
      <c r="P601" s="24">
        <f t="shared" si="42"/>
        <v>4.6902173913043452E-2</v>
      </c>
    </row>
    <row r="602" spans="1:16" x14ac:dyDescent="0.3">
      <c r="A602" s="2">
        <v>35796</v>
      </c>
      <c r="B602" s="23">
        <v>5.2000000000000005E-2</v>
      </c>
      <c r="C602" s="5">
        <f t="shared" si="40"/>
        <v>1</v>
      </c>
      <c r="D602" s="5">
        <f t="shared" si="43"/>
        <v>0</v>
      </c>
      <c r="E602" s="5">
        <f t="shared" si="43"/>
        <v>0</v>
      </c>
      <c r="F602" s="5">
        <f t="shared" si="43"/>
        <v>0</v>
      </c>
      <c r="G602" s="5">
        <f t="shared" si="43"/>
        <v>0</v>
      </c>
      <c r="H602" s="5">
        <f t="shared" si="43"/>
        <v>0</v>
      </c>
      <c r="I602" s="5">
        <f t="shared" si="43"/>
        <v>0</v>
      </c>
      <c r="J602" s="5">
        <f t="shared" si="43"/>
        <v>0</v>
      </c>
      <c r="K602" s="5">
        <f t="shared" si="43"/>
        <v>0</v>
      </c>
      <c r="L602" s="5">
        <f t="shared" si="43"/>
        <v>0</v>
      </c>
      <c r="M602" s="5">
        <f t="shared" si="43"/>
        <v>0</v>
      </c>
      <c r="N602" s="32">
        <v>6.4492753623188417E-2</v>
      </c>
      <c r="O602" s="32">
        <v>-1.2492753623188413E-2</v>
      </c>
      <c r="P602" s="24">
        <f t="shared" si="42"/>
        <v>4.5612318840579633E-2</v>
      </c>
    </row>
    <row r="603" spans="1:16" x14ac:dyDescent="0.3">
      <c r="A603" s="2">
        <v>35827</v>
      </c>
      <c r="B603" s="23">
        <v>0.05</v>
      </c>
      <c r="C603" s="5">
        <f t="shared" si="40"/>
        <v>0</v>
      </c>
      <c r="D603" s="5">
        <f t="shared" si="43"/>
        <v>1</v>
      </c>
      <c r="E603" s="5">
        <f t="shared" si="43"/>
        <v>0</v>
      </c>
      <c r="F603" s="5">
        <f t="shared" si="43"/>
        <v>0</v>
      </c>
      <c r="G603" s="5">
        <f t="shared" si="43"/>
        <v>0</v>
      </c>
      <c r="H603" s="5">
        <f t="shared" si="43"/>
        <v>0</v>
      </c>
      <c r="I603" s="5">
        <f t="shared" si="43"/>
        <v>0</v>
      </c>
      <c r="J603" s="5">
        <f t="shared" si="43"/>
        <v>0</v>
      </c>
      <c r="K603" s="5">
        <f t="shared" si="43"/>
        <v>0</v>
      </c>
      <c r="L603" s="5">
        <f t="shared" si="43"/>
        <v>0</v>
      </c>
      <c r="M603" s="5">
        <f t="shared" si="43"/>
        <v>0</v>
      </c>
      <c r="N603" s="32">
        <v>6.4391304347825973E-2</v>
      </c>
      <c r="O603" s="32">
        <v>-1.439130434782597E-2</v>
      </c>
      <c r="P603" s="24">
        <f t="shared" si="42"/>
        <v>4.3713768115942075E-2</v>
      </c>
    </row>
    <row r="604" spans="1:16" x14ac:dyDescent="0.3">
      <c r="A604" s="2">
        <v>35855</v>
      </c>
      <c r="B604" s="23">
        <v>0.05</v>
      </c>
      <c r="C604" s="5">
        <f t="shared" si="40"/>
        <v>0</v>
      </c>
      <c r="D604" s="5">
        <f t="shared" si="43"/>
        <v>0</v>
      </c>
      <c r="E604" s="5">
        <f t="shared" si="43"/>
        <v>1</v>
      </c>
      <c r="F604" s="5">
        <f t="shared" si="43"/>
        <v>0</v>
      </c>
      <c r="G604" s="5">
        <f t="shared" si="43"/>
        <v>0</v>
      </c>
      <c r="H604" s="5">
        <f t="shared" si="43"/>
        <v>0</v>
      </c>
      <c r="I604" s="5">
        <f t="shared" si="43"/>
        <v>0</v>
      </c>
      <c r="J604" s="5">
        <f t="shared" si="43"/>
        <v>0</v>
      </c>
      <c r="K604" s="5">
        <f t="shared" si="43"/>
        <v>0</v>
      </c>
      <c r="L604" s="5">
        <f t="shared" si="43"/>
        <v>0</v>
      </c>
      <c r="M604" s="5">
        <f t="shared" si="43"/>
        <v>0</v>
      </c>
      <c r="N604" s="32">
        <v>6.1652173913043402E-2</v>
      </c>
      <c r="O604" s="32">
        <v>-1.16521739130434E-2</v>
      </c>
      <c r="P604" s="24">
        <f t="shared" si="42"/>
        <v>4.6452898550724646E-2</v>
      </c>
    </row>
    <row r="605" spans="1:16" x14ac:dyDescent="0.3">
      <c r="A605" s="2">
        <v>35886</v>
      </c>
      <c r="B605" s="23">
        <v>4.0999999999999995E-2</v>
      </c>
      <c r="C605" s="5">
        <f t="shared" si="40"/>
        <v>0</v>
      </c>
      <c r="D605" s="5">
        <f t="shared" si="43"/>
        <v>0</v>
      </c>
      <c r="E605" s="5">
        <f t="shared" si="43"/>
        <v>0</v>
      </c>
      <c r="F605" s="5">
        <f t="shared" si="43"/>
        <v>1</v>
      </c>
      <c r="G605" s="5">
        <f t="shared" si="43"/>
        <v>0</v>
      </c>
      <c r="H605" s="5">
        <f t="shared" si="43"/>
        <v>0</v>
      </c>
      <c r="I605" s="5">
        <f t="shared" si="43"/>
        <v>0</v>
      </c>
      <c r="J605" s="5">
        <f t="shared" si="43"/>
        <v>0</v>
      </c>
      <c r="K605" s="5">
        <f t="shared" si="43"/>
        <v>0</v>
      </c>
      <c r="L605" s="5">
        <f t="shared" si="43"/>
        <v>0</v>
      </c>
      <c r="M605" s="5">
        <f t="shared" si="43"/>
        <v>0</v>
      </c>
      <c r="N605" s="32">
        <v>5.6550724637681071E-2</v>
      </c>
      <c r="O605" s="32">
        <v>-1.5550724637681076E-2</v>
      </c>
      <c r="P605" s="24">
        <f t="shared" si="42"/>
        <v>4.2554347826086969E-2</v>
      </c>
    </row>
    <row r="606" spans="1:16" x14ac:dyDescent="0.3">
      <c r="A606" s="2">
        <v>35916</v>
      </c>
      <c r="B606" s="23">
        <v>4.2000000000000003E-2</v>
      </c>
      <c r="C606" s="5">
        <f t="shared" si="40"/>
        <v>0</v>
      </c>
      <c r="D606" s="5">
        <f t="shared" si="43"/>
        <v>0</v>
      </c>
      <c r="E606" s="5">
        <f t="shared" si="43"/>
        <v>0</v>
      </c>
      <c r="F606" s="5">
        <f t="shared" si="43"/>
        <v>0</v>
      </c>
      <c r="G606" s="5">
        <f t="shared" si="43"/>
        <v>1</v>
      </c>
      <c r="H606" s="5">
        <f t="shared" si="43"/>
        <v>0</v>
      </c>
      <c r="I606" s="5">
        <f t="shared" si="43"/>
        <v>0</v>
      </c>
      <c r="J606" s="5">
        <f t="shared" si="43"/>
        <v>0</v>
      </c>
      <c r="K606" s="5">
        <f t="shared" si="43"/>
        <v>0</v>
      </c>
      <c r="L606" s="5">
        <f t="shared" si="43"/>
        <v>0</v>
      </c>
      <c r="M606" s="5">
        <f t="shared" si="43"/>
        <v>0</v>
      </c>
      <c r="N606" s="32">
        <v>5.5101449275362209E-2</v>
      </c>
      <c r="O606" s="32">
        <v>-1.3101449275362206E-2</v>
      </c>
      <c r="P606" s="24">
        <f t="shared" si="42"/>
        <v>4.5003623188405839E-2</v>
      </c>
    </row>
    <row r="607" spans="1:16" x14ac:dyDescent="0.3">
      <c r="A607" s="2">
        <v>35947</v>
      </c>
      <c r="B607" s="23">
        <v>4.7E-2</v>
      </c>
      <c r="C607" s="5">
        <f t="shared" si="40"/>
        <v>0</v>
      </c>
      <c r="D607" s="5">
        <f t="shared" si="43"/>
        <v>0</v>
      </c>
      <c r="E607" s="5">
        <f t="shared" si="43"/>
        <v>0</v>
      </c>
      <c r="F607" s="5">
        <f t="shared" si="43"/>
        <v>0</v>
      </c>
      <c r="G607" s="5">
        <f t="shared" si="43"/>
        <v>0</v>
      </c>
      <c r="H607" s="5">
        <f t="shared" si="43"/>
        <v>1</v>
      </c>
      <c r="I607" s="5">
        <f t="shared" si="43"/>
        <v>0</v>
      </c>
      <c r="J607" s="5">
        <f t="shared" si="43"/>
        <v>0</v>
      </c>
      <c r="K607" s="5">
        <f t="shared" si="43"/>
        <v>0</v>
      </c>
      <c r="L607" s="5">
        <f t="shared" si="43"/>
        <v>0</v>
      </c>
      <c r="M607" s="5">
        <f t="shared" si="43"/>
        <v>0</v>
      </c>
      <c r="N607" s="32">
        <v>6.1130434782608579E-2</v>
      </c>
      <c r="O607" s="32">
        <v>-1.4130434782608579E-2</v>
      </c>
      <c r="P607" s="24">
        <f t="shared" si="42"/>
        <v>4.3974637681159466E-2</v>
      </c>
    </row>
    <row r="608" spans="1:16" x14ac:dyDescent="0.3">
      <c r="A608" s="2">
        <v>35977</v>
      </c>
      <c r="B608" s="23">
        <v>4.7E-2</v>
      </c>
      <c r="C608" s="5">
        <f t="shared" si="40"/>
        <v>0</v>
      </c>
      <c r="D608" s="5">
        <f t="shared" si="43"/>
        <v>0</v>
      </c>
      <c r="E608" s="5">
        <f t="shared" si="43"/>
        <v>0</v>
      </c>
      <c r="F608" s="5">
        <f t="shared" si="43"/>
        <v>0</v>
      </c>
      <c r="G608" s="5">
        <f t="shared" si="43"/>
        <v>0</v>
      </c>
      <c r="H608" s="5">
        <f t="shared" si="43"/>
        <v>0</v>
      </c>
      <c r="I608" s="5">
        <f t="shared" si="43"/>
        <v>1</v>
      </c>
      <c r="J608" s="5">
        <f t="shared" si="43"/>
        <v>0</v>
      </c>
      <c r="K608" s="5">
        <f t="shared" si="43"/>
        <v>0</v>
      </c>
      <c r="L608" s="5">
        <f t="shared" si="43"/>
        <v>0</v>
      </c>
      <c r="M608" s="5">
        <f t="shared" si="43"/>
        <v>0</v>
      </c>
      <c r="N608" s="32">
        <v>5.9550724637681039E-2</v>
      </c>
      <c r="O608" s="32">
        <v>-1.2550724637681039E-2</v>
      </c>
      <c r="P608" s="24">
        <f t="shared" si="42"/>
        <v>4.5554347826087006E-2</v>
      </c>
    </row>
    <row r="609" spans="1:16" x14ac:dyDescent="0.3">
      <c r="A609" s="2">
        <v>36008</v>
      </c>
      <c r="B609" s="23">
        <v>4.4999999999999998E-2</v>
      </c>
      <c r="C609" s="5">
        <f t="shared" si="40"/>
        <v>0</v>
      </c>
      <c r="D609" s="5">
        <f t="shared" si="43"/>
        <v>0</v>
      </c>
      <c r="E609" s="5">
        <f t="shared" si="43"/>
        <v>0</v>
      </c>
      <c r="F609" s="5">
        <f t="shared" si="43"/>
        <v>0</v>
      </c>
      <c r="G609" s="5">
        <f t="shared" si="43"/>
        <v>0</v>
      </c>
      <c r="H609" s="5">
        <f t="shared" si="43"/>
        <v>0</v>
      </c>
      <c r="I609" s="5">
        <f t="shared" si="43"/>
        <v>0</v>
      </c>
      <c r="J609" s="5">
        <f t="shared" si="43"/>
        <v>1</v>
      </c>
      <c r="K609" s="5">
        <f t="shared" si="43"/>
        <v>0</v>
      </c>
      <c r="L609" s="5">
        <f t="shared" si="43"/>
        <v>0</v>
      </c>
      <c r="M609" s="5">
        <f t="shared" si="43"/>
        <v>0</v>
      </c>
      <c r="N609" s="32">
        <v>5.6521739130434699E-2</v>
      </c>
      <c r="O609" s="32">
        <v>-1.1521739130434701E-2</v>
      </c>
      <c r="P609" s="24">
        <f t="shared" si="42"/>
        <v>4.6583333333333345E-2</v>
      </c>
    </row>
    <row r="610" spans="1:16" x14ac:dyDescent="0.3">
      <c r="A610" s="2">
        <v>36039</v>
      </c>
      <c r="B610" s="23">
        <v>4.4000000000000004E-2</v>
      </c>
      <c r="C610" s="5">
        <f t="shared" si="40"/>
        <v>0</v>
      </c>
      <c r="D610" s="5">
        <f t="shared" si="43"/>
        <v>0</v>
      </c>
      <c r="E610" s="5">
        <f t="shared" si="43"/>
        <v>0</v>
      </c>
      <c r="F610" s="5">
        <f t="shared" si="43"/>
        <v>0</v>
      </c>
      <c r="G610" s="5">
        <f t="shared" si="43"/>
        <v>0</v>
      </c>
      <c r="H610" s="5">
        <f t="shared" si="43"/>
        <v>0</v>
      </c>
      <c r="I610" s="5">
        <f t="shared" si="43"/>
        <v>0</v>
      </c>
      <c r="J610" s="5">
        <f t="shared" si="43"/>
        <v>0</v>
      </c>
      <c r="K610" s="5">
        <f t="shared" si="43"/>
        <v>1</v>
      </c>
      <c r="L610" s="5">
        <f t="shared" si="43"/>
        <v>0</v>
      </c>
      <c r="M610" s="5">
        <f t="shared" si="43"/>
        <v>0</v>
      </c>
      <c r="N610" s="32">
        <v>5.4768115942028898E-2</v>
      </c>
      <c r="O610" s="32">
        <v>-1.0768115942028894E-2</v>
      </c>
      <c r="P610" s="24">
        <f t="shared" si="42"/>
        <v>4.7336956521739151E-2</v>
      </c>
    </row>
    <row r="611" spans="1:16" x14ac:dyDescent="0.3">
      <c r="A611" s="2">
        <v>36069</v>
      </c>
      <c r="B611" s="23">
        <v>4.2000000000000003E-2</v>
      </c>
      <c r="C611" s="5">
        <f t="shared" si="40"/>
        <v>0</v>
      </c>
      <c r="D611" s="5">
        <f t="shared" si="43"/>
        <v>0</v>
      </c>
      <c r="E611" s="5">
        <f t="shared" si="43"/>
        <v>0</v>
      </c>
      <c r="F611" s="5">
        <f t="shared" si="43"/>
        <v>0</v>
      </c>
      <c r="G611" s="5">
        <f t="shared" si="43"/>
        <v>0</v>
      </c>
      <c r="H611" s="5">
        <f t="shared" si="43"/>
        <v>0</v>
      </c>
      <c r="I611" s="5">
        <f t="shared" si="43"/>
        <v>0</v>
      </c>
      <c r="J611" s="5">
        <f t="shared" si="43"/>
        <v>0</v>
      </c>
      <c r="K611" s="5">
        <f t="shared" si="43"/>
        <v>0</v>
      </c>
      <c r="L611" s="5">
        <f t="shared" si="43"/>
        <v>1</v>
      </c>
      <c r="M611" s="5">
        <f t="shared" si="43"/>
        <v>0</v>
      </c>
      <c r="N611" s="32">
        <v>5.3115942028985473E-2</v>
      </c>
      <c r="O611" s="32">
        <v>-1.111594202898547E-2</v>
      </c>
      <c r="P611" s="24">
        <f t="shared" si="42"/>
        <v>4.6989130434782575E-2</v>
      </c>
    </row>
    <row r="612" spans="1:16" x14ac:dyDescent="0.3">
      <c r="A612" s="2">
        <v>36100</v>
      </c>
      <c r="B612" s="23">
        <v>4.0999999999999995E-2</v>
      </c>
      <c r="C612" s="5">
        <f t="shared" si="40"/>
        <v>0</v>
      </c>
      <c r="D612" s="5">
        <f t="shared" si="43"/>
        <v>0</v>
      </c>
      <c r="E612" s="5">
        <f t="shared" si="43"/>
        <v>0</v>
      </c>
      <c r="F612" s="5">
        <f t="shared" si="43"/>
        <v>0</v>
      </c>
      <c r="G612" s="5">
        <f t="shared" si="43"/>
        <v>0</v>
      </c>
      <c r="H612" s="5">
        <f t="shared" si="43"/>
        <v>0</v>
      </c>
      <c r="I612" s="5">
        <f t="shared" si="43"/>
        <v>0</v>
      </c>
      <c r="J612" s="5">
        <f t="shared" si="43"/>
        <v>0</v>
      </c>
      <c r="K612" s="5">
        <f t="shared" si="43"/>
        <v>0</v>
      </c>
      <c r="L612" s="5">
        <f t="shared" si="43"/>
        <v>0</v>
      </c>
      <c r="M612" s="5">
        <f t="shared" si="43"/>
        <v>1</v>
      </c>
      <c r="N612" s="32">
        <v>5.4782608695652081E-2</v>
      </c>
      <c r="O612" s="32">
        <v>-1.3782608695652086E-2</v>
      </c>
      <c r="P612" s="24">
        <f t="shared" si="42"/>
        <v>4.4322463768115959E-2</v>
      </c>
    </row>
    <row r="613" spans="1:16" x14ac:dyDescent="0.3">
      <c r="A613" s="2">
        <v>36130</v>
      </c>
      <c r="B613" s="23">
        <v>0.04</v>
      </c>
      <c r="C613" s="5">
        <f t="shared" si="40"/>
        <v>0</v>
      </c>
      <c r="D613" s="5">
        <f t="shared" si="43"/>
        <v>0</v>
      </c>
      <c r="E613" s="5">
        <f t="shared" si="43"/>
        <v>0</v>
      </c>
      <c r="F613" s="5">
        <f t="shared" si="43"/>
        <v>0</v>
      </c>
      <c r="G613" s="5">
        <f t="shared" si="43"/>
        <v>0</v>
      </c>
      <c r="H613" s="5">
        <f t="shared" si="43"/>
        <v>0</v>
      </c>
      <c r="I613" s="5">
        <f t="shared" si="43"/>
        <v>0</v>
      </c>
      <c r="J613" s="5">
        <f t="shared" si="43"/>
        <v>0</v>
      </c>
      <c r="K613" s="5">
        <f t="shared" si="43"/>
        <v>0</v>
      </c>
      <c r="L613" s="5">
        <f t="shared" si="43"/>
        <v>0</v>
      </c>
      <c r="M613" s="5">
        <f t="shared" si="43"/>
        <v>0</v>
      </c>
      <c r="N613" s="32">
        <v>5.5202898550724598E-2</v>
      </c>
      <c r="O613" s="32">
        <v>-1.5202898550724597E-2</v>
      </c>
      <c r="P613" s="24">
        <f t="shared" si="42"/>
        <v>4.2902173913043448E-2</v>
      </c>
    </row>
    <row r="614" spans="1:16" x14ac:dyDescent="0.3">
      <c r="A614" s="2">
        <v>36161</v>
      </c>
      <c r="B614" s="23">
        <v>4.8000000000000001E-2</v>
      </c>
      <c r="C614" s="5">
        <f t="shared" si="40"/>
        <v>1</v>
      </c>
      <c r="D614" s="5">
        <f t="shared" si="43"/>
        <v>0</v>
      </c>
      <c r="E614" s="5">
        <f t="shared" si="43"/>
        <v>0</v>
      </c>
      <c r="F614" s="5">
        <f t="shared" si="43"/>
        <v>0</v>
      </c>
      <c r="G614" s="5">
        <f t="shared" si="43"/>
        <v>0</v>
      </c>
      <c r="H614" s="5">
        <f t="shared" si="43"/>
        <v>0</v>
      </c>
      <c r="I614" s="5">
        <f t="shared" si="43"/>
        <v>0</v>
      </c>
      <c r="J614" s="5">
        <f t="shared" si="43"/>
        <v>0</v>
      </c>
      <c r="K614" s="5">
        <f t="shared" si="43"/>
        <v>0</v>
      </c>
      <c r="L614" s="5">
        <f t="shared" si="43"/>
        <v>0</v>
      </c>
      <c r="M614" s="5">
        <f t="shared" si="43"/>
        <v>0</v>
      </c>
      <c r="N614" s="32">
        <v>6.4492753623188417E-2</v>
      </c>
      <c r="O614" s="32">
        <v>-1.6492753623188416E-2</v>
      </c>
      <c r="P614" s="24">
        <f t="shared" si="42"/>
        <v>4.1612318840579629E-2</v>
      </c>
    </row>
    <row r="615" spans="1:16" x14ac:dyDescent="0.3">
      <c r="A615" s="2">
        <v>36192</v>
      </c>
      <c r="B615" s="23">
        <v>4.7E-2</v>
      </c>
      <c r="C615" s="5">
        <f t="shared" si="40"/>
        <v>0</v>
      </c>
      <c r="D615" s="5">
        <f t="shared" si="43"/>
        <v>1</v>
      </c>
      <c r="E615" s="5">
        <f t="shared" si="43"/>
        <v>0</v>
      </c>
      <c r="F615" s="5">
        <f t="shared" si="43"/>
        <v>0</v>
      </c>
      <c r="G615" s="5">
        <f t="shared" si="43"/>
        <v>0</v>
      </c>
      <c r="H615" s="5">
        <f t="shared" si="43"/>
        <v>0</v>
      </c>
      <c r="I615" s="5">
        <f t="shared" si="43"/>
        <v>0</v>
      </c>
      <c r="J615" s="5">
        <f t="shared" si="43"/>
        <v>0</v>
      </c>
      <c r="K615" s="5">
        <f t="shared" si="43"/>
        <v>0</v>
      </c>
      <c r="L615" s="5">
        <f t="shared" si="43"/>
        <v>0</v>
      </c>
      <c r="M615" s="5">
        <f t="shared" si="43"/>
        <v>0</v>
      </c>
      <c r="N615" s="32">
        <v>6.4391304347825973E-2</v>
      </c>
      <c r="O615" s="32">
        <v>-1.7391304347825973E-2</v>
      </c>
      <c r="P615" s="24">
        <f t="shared" si="42"/>
        <v>4.0713768115942073E-2</v>
      </c>
    </row>
    <row r="616" spans="1:16" x14ac:dyDescent="0.3">
      <c r="A616" s="2">
        <v>36220</v>
      </c>
      <c r="B616" s="23">
        <v>4.4000000000000004E-2</v>
      </c>
      <c r="C616" s="5">
        <f t="shared" ref="C616:C679" si="44">IF(MONTH($A616)=C$1,1,0)</f>
        <v>0</v>
      </c>
      <c r="D616" s="5">
        <f t="shared" si="43"/>
        <v>0</v>
      </c>
      <c r="E616" s="5">
        <f t="shared" si="43"/>
        <v>1</v>
      </c>
      <c r="F616" s="5">
        <f t="shared" si="43"/>
        <v>0</v>
      </c>
      <c r="G616" s="5">
        <f t="shared" si="43"/>
        <v>0</v>
      </c>
      <c r="H616" s="5">
        <f t="shared" si="43"/>
        <v>0</v>
      </c>
      <c r="I616" s="5">
        <f t="shared" si="43"/>
        <v>0</v>
      </c>
      <c r="J616" s="5">
        <f t="shared" si="43"/>
        <v>0</v>
      </c>
      <c r="K616" s="5">
        <f t="shared" si="43"/>
        <v>0</v>
      </c>
      <c r="L616" s="5">
        <f t="shared" si="43"/>
        <v>0</v>
      </c>
      <c r="M616" s="5">
        <f t="shared" si="43"/>
        <v>0</v>
      </c>
      <c r="N616" s="32">
        <v>6.1652173913043402E-2</v>
      </c>
      <c r="O616" s="32">
        <v>-1.7652173913043398E-2</v>
      </c>
      <c r="P616" s="24">
        <f t="shared" si="42"/>
        <v>4.0452898550724647E-2</v>
      </c>
    </row>
    <row r="617" spans="1:16" x14ac:dyDescent="0.3">
      <c r="A617" s="2">
        <v>36251</v>
      </c>
      <c r="B617" s="23">
        <v>4.0999999999999995E-2</v>
      </c>
      <c r="C617" s="5">
        <f t="shared" si="44"/>
        <v>0</v>
      </c>
      <c r="D617" s="5">
        <f t="shared" si="43"/>
        <v>0</v>
      </c>
      <c r="E617" s="5">
        <f t="shared" si="43"/>
        <v>0</v>
      </c>
      <c r="F617" s="5">
        <f t="shared" si="43"/>
        <v>1</v>
      </c>
      <c r="G617" s="5">
        <f t="shared" si="43"/>
        <v>0</v>
      </c>
      <c r="H617" s="5">
        <f t="shared" si="43"/>
        <v>0</v>
      </c>
      <c r="I617" s="5">
        <f t="shared" si="43"/>
        <v>0</v>
      </c>
      <c r="J617" s="5">
        <f t="shared" si="43"/>
        <v>0</v>
      </c>
      <c r="K617" s="5">
        <f t="shared" si="43"/>
        <v>0</v>
      </c>
      <c r="L617" s="5">
        <f t="shared" si="43"/>
        <v>0</v>
      </c>
      <c r="M617" s="5">
        <f t="shared" si="43"/>
        <v>0</v>
      </c>
      <c r="N617" s="32">
        <v>5.6550724637681071E-2</v>
      </c>
      <c r="O617" s="32">
        <v>-1.5550724637681076E-2</v>
      </c>
      <c r="P617" s="24">
        <f t="shared" si="42"/>
        <v>4.2554347826086969E-2</v>
      </c>
    </row>
    <row r="618" spans="1:16" x14ac:dyDescent="0.3">
      <c r="A618" s="2">
        <v>36281</v>
      </c>
      <c r="B618" s="23">
        <v>0.04</v>
      </c>
      <c r="C618" s="5">
        <f t="shared" si="44"/>
        <v>0</v>
      </c>
      <c r="D618" s="5">
        <f t="shared" si="43"/>
        <v>0</v>
      </c>
      <c r="E618" s="5">
        <f t="shared" si="43"/>
        <v>0</v>
      </c>
      <c r="F618" s="5">
        <f t="shared" si="43"/>
        <v>0</v>
      </c>
      <c r="G618" s="5">
        <f t="shared" si="43"/>
        <v>1</v>
      </c>
      <c r="H618" s="5">
        <f t="shared" si="43"/>
        <v>0</v>
      </c>
      <c r="I618" s="5">
        <f t="shared" si="43"/>
        <v>0</v>
      </c>
      <c r="J618" s="5">
        <f t="shared" si="43"/>
        <v>0</v>
      </c>
      <c r="K618" s="5">
        <f t="shared" si="43"/>
        <v>0</v>
      </c>
      <c r="L618" s="5">
        <f t="shared" si="43"/>
        <v>0</v>
      </c>
      <c r="M618" s="5">
        <f t="shared" si="43"/>
        <v>0</v>
      </c>
      <c r="N618" s="32">
        <v>5.5101449275362209E-2</v>
      </c>
      <c r="O618" s="32">
        <v>-1.5101449275362208E-2</v>
      </c>
      <c r="P618" s="24">
        <f t="shared" si="42"/>
        <v>4.3003623188405837E-2</v>
      </c>
    </row>
    <row r="619" spans="1:16" x14ac:dyDescent="0.3">
      <c r="A619" s="2">
        <v>36312</v>
      </c>
      <c r="B619" s="23">
        <v>4.4999999999999998E-2</v>
      </c>
      <c r="C619" s="5">
        <f t="shared" si="44"/>
        <v>0</v>
      </c>
      <c r="D619" s="5">
        <f t="shared" si="43"/>
        <v>0</v>
      </c>
      <c r="E619" s="5">
        <f t="shared" si="43"/>
        <v>0</v>
      </c>
      <c r="F619" s="5">
        <f t="shared" si="43"/>
        <v>0</v>
      </c>
      <c r="G619" s="5">
        <f t="shared" si="43"/>
        <v>0</v>
      </c>
      <c r="H619" s="5">
        <f t="shared" si="43"/>
        <v>1</v>
      </c>
      <c r="I619" s="5">
        <f t="shared" si="43"/>
        <v>0</v>
      </c>
      <c r="J619" s="5">
        <f t="shared" si="43"/>
        <v>0</v>
      </c>
      <c r="K619" s="5">
        <f t="shared" si="43"/>
        <v>0</v>
      </c>
      <c r="L619" s="5">
        <f t="shared" si="43"/>
        <v>0</v>
      </c>
      <c r="M619" s="5">
        <f t="shared" si="43"/>
        <v>0</v>
      </c>
      <c r="N619" s="32">
        <v>6.1130434782608579E-2</v>
      </c>
      <c r="O619" s="32">
        <v>-1.6130434782608581E-2</v>
      </c>
      <c r="P619" s="24">
        <f t="shared" si="42"/>
        <v>4.1974637681159464E-2</v>
      </c>
    </row>
    <row r="620" spans="1:16" x14ac:dyDescent="0.3">
      <c r="A620" s="2">
        <v>36342</v>
      </c>
      <c r="B620" s="23">
        <v>4.4999999999999998E-2</v>
      </c>
      <c r="C620" s="5">
        <f t="shared" si="44"/>
        <v>0</v>
      </c>
      <c r="D620" s="5">
        <f t="shared" si="43"/>
        <v>0</v>
      </c>
      <c r="E620" s="5">
        <f t="shared" si="43"/>
        <v>0</v>
      </c>
      <c r="F620" s="5">
        <f t="shared" si="43"/>
        <v>0</v>
      </c>
      <c r="G620" s="5">
        <f t="shared" si="43"/>
        <v>0</v>
      </c>
      <c r="H620" s="5">
        <f t="shared" si="43"/>
        <v>0</v>
      </c>
      <c r="I620" s="5">
        <f t="shared" si="43"/>
        <v>1</v>
      </c>
      <c r="J620" s="5">
        <f t="shared" si="43"/>
        <v>0</v>
      </c>
      <c r="K620" s="5">
        <f t="shared" si="43"/>
        <v>0</v>
      </c>
      <c r="L620" s="5">
        <f t="shared" si="43"/>
        <v>0</v>
      </c>
      <c r="M620" s="5">
        <f t="shared" si="43"/>
        <v>0</v>
      </c>
      <c r="N620" s="32">
        <v>5.9550724637681039E-2</v>
      </c>
      <c r="O620" s="32">
        <v>-1.4550724637681041E-2</v>
      </c>
      <c r="P620" s="24">
        <f t="shared" si="42"/>
        <v>4.3554347826087005E-2</v>
      </c>
    </row>
    <row r="621" spans="1:16" x14ac:dyDescent="0.3">
      <c r="A621" s="2">
        <v>36373</v>
      </c>
      <c r="B621" s="23">
        <v>4.2000000000000003E-2</v>
      </c>
      <c r="C621" s="5">
        <f t="shared" si="44"/>
        <v>0</v>
      </c>
      <c r="D621" s="5">
        <f t="shared" si="43"/>
        <v>0</v>
      </c>
      <c r="E621" s="5">
        <f t="shared" si="43"/>
        <v>0</v>
      </c>
      <c r="F621" s="5">
        <f t="shared" si="43"/>
        <v>0</v>
      </c>
      <c r="G621" s="5">
        <f t="shared" si="43"/>
        <v>0</v>
      </c>
      <c r="H621" s="5">
        <f t="shared" si="43"/>
        <v>0</v>
      </c>
      <c r="I621" s="5">
        <f t="shared" si="43"/>
        <v>0</v>
      </c>
      <c r="J621" s="5">
        <f t="shared" si="43"/>
        <v>1</v>
      </c>
      <c r="K621" s="5">
        <f t="shared" si="43"/>
        <v>0</v>
      </c>
      <c r="L621" s="5">
        <f t="shared" si="43"/>
        <v>0</v>
      </c>
      <c r="M621" s="5">
        <f t="shared" si="43"/>
        <v>0</v>
      </c>
      <c r="N621" s="32">
        <v>5.6521739130434699E-2</v>
      </c>
      <c r="O621" s="32">
        <v>-1.4521739130434697E-2</v>
      </c>
      <c r="P621" s="24">
        <f t="shared" si="42"/>
        <v>4.3583333333333349E-2</v>
      </c>
    </row>
    <row r="622" spans="1:16" x14ac:dyDescent="0.3">
      <c r="A622" s="2">
        <v>36404</v>
      </c>
      <c r="B622" s="23">
        <v>4.0999999999999995E-2</v>
      </c>
      <c r="C622" s="5">
        <f t="shared" si="44"/>
        <v>0</v>
      </c>
      <c r="D622" s="5">
        <f t="shared" si="43"/>
        <v>0</v>
      </c>
      <c r="E622" s="5">
        <f t="shared" si="43"/>
        <v>0</v>
      </c>
      <c r="F622" s="5">
        <f t="shared" si="43"/>
        <v>0</v>
      </c>
      <c r="G622" s="5">
        <f t="shared" si="43"/>
        <v>0</v>
      </c>
      <c r="H622" s="5">
        <f t="shared" si="43"/>
        <v>0</v>
      </c>
      <c r="I622" s="5">
        <f t="shared" si="43"/>
        <v>0</v>
      </c>
      <c r="J622" s="5">
        <f t="shared" si="43"/>
        <v>0</v>
      </c>
      <c r="K622" s="5">
        <f t="shared" si="43"/>
        <v>1</v>
      </c>
      <c r="L622" s="5">
        <f t="shared" si="43"/>
        <v>0</v>
      </c>
      <c r="M622" s="5">
        <f t="shared" si="43"/>
        <v>0</v>
      </c>
      <c r="N622" s="32">
        <v>5.4768115942028898E-2</v>
      </c>
      <c r="O622" s="32">
        <v>-1.3768115942028904E-2</v>
      </c>
      <c r="P622" s="24">
        <f t="shared" si="42"/>
        <v>4.4336956521739142E-2</v>
      </c>
    </row>
    <row r="623" spans="1:16" x14ac:dyDescent="0.3">
      <c r="A623" s="2">
        <v>36434</v>
      </c>
      <c r="B623" s="23">
        <v>3.7999999999999999E-2</v>
      </c>
      <c r="C623" s="5">
        <f t="shared" si="44"/>
        <v>0</v>
      </c>
      <c r="D623" s="5">
        <f t="shared" si="43"/>
        <v>0</v>
      </c>
      <c r="E623" s="5">
        <f t="shared" si="43"/>
        <v>0</v>
      </c>
      <c r="F623" s="5">
        <f t="shared" si="43"/>
        <v>0</v>
      </c>
      <c r="G623" s="5">
        <f t="shared" si="43"/>
        <v>0</v>
      </c>
      <c r="H623" s="5">
        <f t="shared" si="43"/>
        <v>0</v>
      </c>
      <c r="I623" s="5">
        <f t="shared" si="43"/>
        <v>0</v>
      </c>
      <c r="J623" s="5">
        <f t="shared" si="43"/>
        <v>0</v>
      </c>
      <c r="K623" s="5">
        <f t="shared" si="43"/>
        <v>0</v>
      </c>
      <c r="L623" s="5">
        <f t="shared" si="43"/>
        <v>1</v>
      </c>
      <c r="M623" s="5">
        <f t="shared" si="43"/>
        <v>0</v>
      </c>
      <c r="N623" s="32">
        <v>5.3115942028985473E-2</v>
      </c>
      <c r="O623" s="32">
        <v>-1.5115942028985474E-2</v>
      </c>
      <c r="P623" s="24">
        <f t="shared" si="42"/>
        <v>4.2989130434782571E-2</v>
      </c>
    </row>
    <row r="624" spans="1:16" x14ac:dyDescent="0.3">
      <c r="A624" s="2">
        <v>36465</v>
      </c>
      <c r="B624" s="23">
        <v>3.7999999999999999E-2</v>
      </c>
      <c r="C624" s="5">
        <f t="shared" si="44"/>
        <v>0</v>
      </c>
      <c r="D624" s="5">
        <f t="shared" si="43"/>
        <v>0</v>
      </c>
      <c r="E624" s="5">
        <f t="shared" si="43"/>
        <v>0</v>
      </c>
      <c r="F624" s="5">
        <f t="shared" si="43"/>
        <v>0</v>
      </c>
      <c r="G624" s="5">
        <f t="shared" si="43"/>
        <v>0</v>
      </c>
      <c r="H624" s="5">
        <f t="shared" si="43"/>
        <v>0</v>
      </c>
      <c r="I624" s="5">
        <f t="shared" si="43"/>
        <v>0</v>
      </c>
      <c r="J624" s="5">
        <f t="shared" si="43"/>
        <v>0</v>
      </c>
      <c r="K624" s="5">
        <f t="shared" si="43"/>
        <v>0</v>
      </c>
      <c r="L624" s="5">
        <f t="shared" si="43"/>
        <v>0</v>
      </c>
      <c r="M624" s="5">
        <f t="shared" si="43"/>
        <v>1</v>
      </c>
      <c r="N624" s="32">
        <v>5.4782608695652081E-2</v>
      </c>
      <c r="O624" s="32">
        <v>-1.6782608695652082E-2</v>
      </c>
      <c r="P624" s="24">
        <f t="shared" si="42"/>
        <v>4.1322463768115963E-2</v>
      </c>
    </row>
    <row r="625" spans="1:16" x14ac:dyDescent="0.3">
      <c r="A625" s="2">
        <v>36495</v>
      </c>
      <c r="B625" s="23">
        <v>3.7000000000000005E-2</v>
      </c>
      <c r="C625" s="5">
        <f t="shared" si="44"/>
        <v>0</v>
      </c>
      <c r="D625" s="5">
        <f t="shared" si="43"/>
        <v>0</v>
      </c>
      <c r="E625" s="5">
        <f t="shared" si="43"/>
        <v>0</v>
      </c>
      <c r="F625" s="5">
        <f t="shared" si="43"/>
        <v>0</v>
      </c>
      <c r="G625" s="5">
        <f t="shared" si="43"/>
        <v>0</v>
      </c>
      <c r="H625" s="5">
        <f t="shared" si="43"/>
        <v>0</v>
      </c>
      <c r="I625" s="5">
        <f t="shared" si="43"/>
        <v>0</v>
      </c>
      <c r="J625" s="5">
        <f t="shared" si="43"/>
        <v>0</v>
      </c>
      <c r="K625" s="5">
        <f t="shared" si="43"/>
        <v>0</v>
      </c>
      <c r="L625" s="5">
        <f t="shared" si="43"/>
        <v>0</v>
      </c>
      <c r="M625" s="5">
        <f t="shared" si="43"/>
        <v>0</v>
      </c>
      <c r="N625" s="32">
        <v>5.5202898550724598E-2</v>
      </c>
      <c r="O625" s="32">
        <v>-1.8202898550724593E-2</v>
      </c>
      <c r="P625" s="24">
        <f t="shared" si="42"/>
        <v>3.9902173913043452E-2</v>
      </c>
    </row>
    <row r="626" spans="1:16" x14ac:dyDescent="0.3">
      <c r="A626" s="2">
        <v>36526</v>
      </c>
      <c r="B626" s="23">
        <v>4.4999999999999998E-2</v>
      </c>
      <c r="C626" s="5">
        <f t="shared" si="44"/>
        <v>1</v>
      </c>
      <c r="D626" s="5">
        <f t="shared" si="43"/>
        <v>0</v>
      </c>
      <c r="E626" s="5">
        <f t="shared" si="43"/>
        <v>0</v>
      </c>
      <c r="F626" s="5">
        <f t="shared" si="43"/>
        <v>0</v>
      </c>
      <c r="G626" s="5">
        <f t="shared" ref="D626:M651" si="45">IF(MONTH($A626)=G$1,1,0)</f>
        <v>0</v>
      </c>
      <c r="H626" s="5">
        <f t="shared" si="45"/>
        <v>0</v>
      </c>
      <c r="I626" s="5">
        <f t="shared" si="45"/>
        <v>0</v>
      </c>
      <c r="J626" s="5">
        <f t="shared" si="45"/>
        <v>0</v>
      </c>
      <c r="K626" s="5">
        <f t="shared" si="45"/>
        <v>0</v>
      </c>
      <c r="L626" s="5">
        <f t="shared" si="45"/>
        <v>0</v>
      </c>
      <c r="M626" s="5">
        <f t="shared" si="45"/>
        <v>0</v>
      </c>
      <c r="N626" s="32">
        <v>6.4492753623188417E-2</v>
      </c>
      <c r="O626" s="32">
        <v>-1.9492753623188419E-2</v>
      </c>
      <c r="P626" s="24">
        <f t="shared" si="42"/>
        <v>3.8612318840579626E-2</v>
      </c>
    </row>
    <row r="627" spans="1:16" x14ac:dyDescent="0.3">
      <c r="A627" s="2">
        <v>36557</v>
      </c>
      <c r="B627" s="23">
        <v>4.4000000000000004E-2</v>
      </c>
      <c r="C627" s="5">
        <f t="shared" si="44"/>
        <v>0</v>
      </c>
      <c r="D627" s="5">
        <f t="shared" si="45"/>
        <v>1</v>
      </c>
      <c r="E627" s="5">
        <f t="shared" si="45"/>
        <v>0</v>
      </c>
      <c r="F627" s="5">
        <f t="shared" si="45"/>
        <v>0</v>
      </c>
      <c r="G627" s="5">
        <f t="shared" si="45"/>
        <v>0</v>
      </c>
      <c r="H627" s="5">
        <f t="shared" si="45"/>
        <v>0</v>
      </c>
      <c r="I627" s="5">
        <f t="shared" si="45"/>
        <v>0</v>
      </c>
      <c r="J627" s="5">
        <f t="shared" si="45"/>
        <v>0</v>
      </c>
      <c r="K627" s="5">
        <f t="shared" si="45"/>
        <v>0</v>
      </c>
      <c r="L627" s="5">
        <f t="shared" si="45"/>
        <v>0</v>
      </c>
      <c r="M627" s="5">
        <f t="shared" si="45"/>
        <v>0</v>
      </c>
      <c r="N627" s="32">
        <v>6.4391304347825973E-2</v>
      </c>
      <c r="O627" s="32">
        <v>-2.0391304347825968E-2</v>
      </c>
      <c r="P627" s="24">
        <f t="shared" si="42"/>
        <v>3.7713768115942077E-2</v>
      </c>
    </row>
    <row r="628" spans="1:16" x14ac:dyDescent="0.3">
      <c r="A628" s="2">
        <v>36586</v>
      </c>
      <c r="B628" s="23">
        <v>4.2999999999999997E-2</v>
      </c>
      <c r="C628" s="5">
        <f t="shared" si="44"/>
        <v>0</v>
      </c>
      <c r="D628" s="5">
        <f t="shared" si="45"/>
        <v>0</v>
      </c>
      <c r="E628" s="5">
        <f t="shared" si="45"/>
        <v>1</v>
      </c>
      <c r="F628" s="5">
        <f t="shared" si="45"/>
        <v>0</v>
      </c>
      <c r="G628" s="5">
        <f t="shared" si="45"/>
        <v>0</v>
      </c>
      <c r="H628" s="5">
        <f t="shared" si="45"/>
        <v>0</v>
      </c>
      <c r="I628" s="5">
        <f t="shared" si="45"/>
        <v>0</v>
      </c>
      <c r="J628" s="5">
        <f t="shared" si="45"/>
        <v>0</v>
      </c>
      <c r="K628" s="5">
        <f t="shared" si="45"/>
        <v>0</v>
      </c>
      <c r="L628" s="5">
        <f t="shared" si="45"/>
        <v>0</v>
      </c>
      <c r="M628" s="5">
        <f t="shared" si="45"/>
        <v>0</v>
      </c>
      <c r="N628" s="32">
        <v>6.1652173913043402E-2</v>
      </c>
      <c r="O628" s="32">
        <v>-1.8652173913043406E-2</v>
      </c>
      <c r="P628" s="24">
        <f t="shared" si="42"/>
        <v>3.945289855072464E-2</v>
      </c>
    </row>
    <row r="629" spans="1:16" x14ac:dyDescent="0.3">
      <c r="A629" s="2">
        <v>36617</v>
      </c>
      <c r="B629" s="23">
        <v>3.7000000000000005E-2</v>
      </c>
      <c r="C629" s="5">
        <f t="shared" si="44"/>
        <v>0</v>
      </c>
      <c r="D629" s="5">
        <f t="shared" si="45"/>
        <v>0</v>
      </c>
      <c r="E629" s="5">
        <f t="shared" si="45"/>
        <v>0</v>
      </c>
      <c r="F629" s="5">
        <f t="shared" si="45"/>
        <v>1</v>
      </c>
      <c r="G629" s="5">
        <f t="shared" si="45"/>
        <v>0</v>
      </c>
      <c r="H629" s="5">
        <f t="shared" si="45"/>
        <v>0</v>
      </c>
      <c r="I629" s="5">
        <f t="shared" si="45"/>
        <v>0</v>
      </c>
      <c r="J629" s="5">
        <f t="shared" si="45"/>
        <v>0</v>
      </c>
      <c r="K629" s="5">
        <f t="shared" si="45"/>
        <v>0</v>
      </c>
      <c r="L629" s="5">
        <f t="shared" si="45"/>
        <v>0</v>
      </c>
      <c r="M629" s="5">
        <f t="shared" si="45"/>
        <v>0</v>
      </c>
      <c r="N629" s="32">
        <v>5.6550724637681071E-2</v>
      </c>
      <c r="O629" s="32">
        <v>-1.9550724637681066E-2</v>
      </c>
      <c r="P629" s="24">
        <f t="shared" si="42"/>
        <v>3.8554347826086979E-2</v>
      </c>
    </row>
    <row r="630" spans="1:16" x14ac:dyDescent="0.3">
      <c r="A630" s="2">
        <v>36647</v>
      </c>
      <c r="B630" s="23">
        <v>3.7999999999999999E-2</v>
      </c>
      <c r="C630" s="5">
        <f t="shared" si="44"/>
        <v>0</v>
      </c>
      <c r="D630" s="5">
        <f t="shared" si="45"/>
        <v>0</v>
      </c>
      <c r="E630" s="5">
        <f t="shared" si="45"/>
        <v>0</v>
      </c>
      <c r="F630" s="5">
        <f t="shared" si="45"/>
        <v>0</v>
      </c>
      <c r="G630" s="5">
        <f t="shared" si="45"/>
        <v>1</v>
      </c>
      <c r="H630" s="5">
        <f t="shared" si="45"/>
        <v>0</v>
      </c>
      <c r="I630" s="5">
        <f t="shared" si="45"/>
        <v>0</v>
      </c>
      <c r="J630" s="5">
        <f t="shared" si="45"/>
        <v>0</v>
      </c>
      <c r="K630" s="5">
        <f t="shared" si="45"/>
        <v>0</v>
      </c>
      <c r="L630" s="5">
        <f t="shared" si="45"/>
        <v>0</v>
      </c>
      <c r="M630" s="5">
        <f t="shared" si="45"/>
        <v>0</v>
      </c>
      <c r="N630" s="32">
        <v>5.5101449275362209E-2</v>
      </c>
      <c r="O630" s="32">
        <v>-1.710144927536221E-2</v>
      </c>
      <c r="P630" s="24">
        <f t="shared" si="42"/>
        <v>4.1003623188405836E-2</v>
      </c>
    </row>
    <row r="631" spans="1:16" x14ac:dyDescent="0.3">
      <c r="A631" s="2">
        <v>36678</v>
      </c>
      <c r="B631" s="23">
        <v>4.0999999999999995E-2</v>
      </c>
      <c r="C631" s="5">
        <f t="shared" si="44"/>
        <v>0</v>
      </c>
      <c r="D631" s="5">
        <f t="shared" si="45"/>
        <v>0</v>
      </c>
      <c r="E631" s="5">
        <f t="shared" si="45"/>
        <v>0</v>
      </c>
      <c r="F631" s="5">
        <f t="shared" si="45"/>
        <v>0</v>
      </c>
      <c r="G631" s="5">
        <f t="shared" si="45"/>
        <v>0</v>
      </c>
      <c r="H631" s="5">
        <f t="shared" si="45"/>
        <v>1</v>
      </c>
      <c r="I631" s="5">
        <f t="shared" si="45"/>
        <v>0</v>
      </c>
      <c r="J631" s="5">
        <f t="shared" si="45"/>
        <v>0</v>
      </c>
      <c r="K631" s="5">
        <f t="shared" si="45"/>
        <v>0</v>
      </c>
      <c r="L631" s="5">
        <f t="shared" si="45"/>
        <v>0</v>
      </c>
      <c r="M631" s="5">
        <f t="shared" si="45"/>
        <v>0</v>
      </c>
      <c r="N631" s="32">
        <v>6.1130434782608579E-2</v>
      </c>
      <c r="O631" s="32">
        <v>-2.0130434782608585E-2</v>
      </c>
      <c r="P631" s="24">
        <f t="shared" si="42"/>
        <v>3.7974637681159461E-2</v>
      </c>
    </row>
    <row r="632" spans="1:16" x14ac:dyDescent="0.3">
      <c r="A632" s="2">
        <v>36708</v>
      </c>
      <c r="B632" s="23">
        <v>4.2000000000000003E-2</v>
      </c>
      <c r="C632" s="5">
        <f t="shared" si="44"/>
        <v>0</v>
      </c>
      <c r="D632" s="5">
        <f t="shared" si="45"/>
        <v>0</v>
      </c>
      <c r="E632" s="5">
        <f t="shared" si="45"/>
        <v>0</v>
      </c>
      <c r="F632" s="5">
        <f t="shared" si="45"/>
        <v>0</v>
      </c>
      <c r="G632" s="5">
        <f t="shared" si="45"/>
        <v>0</v>
      </c>
      <c r="H632" s="5">
        <f t="shared" si="45"/>
        <v>0</v>
      </c>
      <c r="I632" s="5">
        <f t="shared" si="45"/>
        <v>1</v>
      </c>
      <c r="J632" s="5">
        <f t="shared" si="45"/>
        <v>0</v>
      </c>
      <c r="K632" s="5">
        <f t="shared" si="45"/>
        <v>0</v>
      </c>
      <c r="L632" s="5">
        <f t="shared" si="45"/>
        <v>0</v>
      </c>
      <c r="M632" s="5">
        <f t="shared" si="45"/>
        <v>0</v>
      </c>
      <c r="N632" s="32">
        <v>5.9550724637681039E-2</v>
      </c>
      <c r="O632" s="32">
        <v>-1.7550724637681037E-2</v>
      </c>
      <c r="P632" s="24">
        <f t="shared" si="42"/>
        <v>4.0554347826087009E-2</v>
      </c>
    </row>
    <row r="633" spans="1:16" x14ac:dyDescent="0.3">
      <c r="A633" s="2">
        <v>36739</v>
      </c>
      <c r="B633" s="23">
        <v>4.0999999999999995E-2</v>
      </c>
      <c r="C633" s="5">
        <f t="shared" si="44"/>
        <v>0</v>
      </c>
      <c r="D633" s="5">
        <f t="shared" si="45"/>
        <v>0</v>
      </c>
      <c r="E633" s="5">
        <f t="shared" si="45"/>
        <v>0</v>
      </c>
      <c r="F633" s="5">
        <f t="shared" si="45"/>
        <v>0</v>
      </c>
      <c r="G633" s="5">
        <f t="shared" si="45"/>
        <v>0</v>
      </c>
      <c r="H633" s="5">
        <f t="shared" si="45"/>
        <v>0</v>
      </c>
      <c r="I633" s="5">
        <f t="shared" si="45"/>
        <v>0</v>
      </c>
      <c r="J633" s="5">
        <f t="shared" si="45"/>
        <v>1</v>
      </c>
      <c r="K633" s="5">
        <f t="shared" si="45"/>
        <v>0</v>
      </c>
      <c r="L633" s="5">
        <f t="shared" si="45"/>
        <v>0</v>
      </c>
      <c r="M633" s="5">
        <f t="shared" si="45"/>
        <v>0</v>
      </c>
      <c r="N633" s="32">
        <v>5.6521739130434699E-2</v>
      </c>
      <c r="O633" s="32">
        <v>-1.5521739130434704E-2</v>
      </c>
      <c r="P633" s="24">
        <f t="shared" si="42"/>
        <v>4.2583333333333341E-2</v>
      </c>
    </row>
    <row r="634" spans="1:16" x14ac:dyDescent="0.3">
      <c r="A634" s="2">
        <v>36770</v>
      </c>
      <c r="B634" s="23">
        <v>3.7999999999999999E-2</v>
      </c>
      <c r="C634" s="5">
        <f t="shared" si="44"/>
        <v>0</v>
      </c>
      <c r="D634" s="5">
        <f t="shared" si="45"/>
        <v>0</v>
      </c>
      <c r="E634" s="5">
        <f t="shared" si="45"/>
        <v>0</v>
      </c>
      <c r="F634" s="5">
        <f t="shared" si="45"/>
        <v>0</v>
      </c>
      <c r="G634" s="5">
        <f t="shared" si="45"/>
        <v>0</v>
      </c>
      <c r="H634" s="5">
        <f t="shared" si="45"/>
        <v>0</v>
      </c>
      <c r="I634" s="5">
        <f t="shared" si="45"/>
        <v>0</v>
      </c>
      <c r="J634" s="5">
        <f t="shared" si="45"/>
        <v>0</v>
      </c>
      <c r="K634" s="5">
        <f t="shared" si="45"/>
        <v>1</v>
      </c>
      <c r="L634" s="5">
        <f t="shared" si="45"/>
        <v>0</v>
      </c>
      <c r="M634" s="5">
        <f t="shared" si="45"/>
        <v>0</v>
      </c>
      <c r="N634" s="32">
        <v>5.4768115942028898E-2</v>
      </c>
      <c r="O634" s="32">
        <v>-1.6768115942028899E-2</v>
      </c>
      <c r="P634" s="24">
        <f t="shared" si="42"/>
        <v>4.1336956521739146E-2</v>
      </c>
    </row>
    <row r="635" spans="1:16" x14ac:dyDescent="0.3">
      <c r="A635" s="2">
        <v>36800</v>
      </c>
      <c r="B635" s="23">
        <v>3.6000000000000004E-2</v>
      </c>
      <c r="C635" s="5">
        <f t="shared" si="44"/>
        <v>0</v>
      </c>
      <c r="D635" s="5">
        <f t="shared" si="45"/>
        <v>0</v>
      </c>
      <c r="E635" s="5">
        <f t="shared" si="45"/>
        <v>0</v>
      </c>
      <c r="F635" s="5">
        <f t="shared" si="45"/>
        <v>0</v>
      </c>
      <c r="G635" s="5">
        <f t="shared" si="45"/>
        <v>0</v>
      </c>
      <c r="H635" s="5">
        <f t="shared" si="45"/>
        <v>0</v>
      </c>
      <c r="I635" s="5">
        <f t="shared" si="45"/>
        <v>0</v>
      </c>
      <c r="J635" s="5">
        <f t="shared" si="45"/>
        <v>0</v>
      </c>
      <c r="K635" s="5">
        <f t="shared" si="45"/>
        <v>0</v>
      </c>
      <c r="L635" s="5">
        <f t="shared" si="45"/>
        <v>1</v>
      </c>
      <c r="M635" s="5">
        <f t="shared" si="45"/>
        <v>0</v>
      </c>
      <c r="N635" s="32">
        <v>5.3115942028985473E-2</v>
      </c>
      <c r="O635" s="32">
        <v>-1.7115942028985469E-2</v>
      </c>
      <c r="P635" s="24">
        <f t="shared" si="42"/>
        <v>4.0989130434782577E-2</v>
      </c>
    </row>
    <row r="636" spans="1:16" x14ac:dyDescent="0.3">
      <c r="A636" s="2">
        <v>36831</v>
      </c>
      <c r="B636" s="23">
        <v>3.7000000000000005E-2</v>
      </c>
      <c r="C636" s="5">
        <f t="shared" si="44"/>
        <v>0</v>
      </c>
      <c r="D636" s="5">
        <f t="shared" si="45"/>
        <v>0</v>
      </c>
      <c r="E636" s="5">
        <f t="shared" si="45"/>
        <v>0</v>
      </c>
      <c r="F636" s="5">
        <f t="shared" si="45"/>
        <v>0</v>
      </c>
      <c r="G636" s="5">
        <f t="shared" si="45"/>
        <v>0</v>
      </c>
      <c r="H636" s="5">
        <f t="shared" si="45"/>
        <v>0</v>
      </c>
      <c r="I636" s="5">
        <f t="shared" si="45"/>
        <v>0</v>
      </c>
      <c r="J636" s="5">
        <f t="shared" si="45"/>
        <v>0</v>
      </c>
      <c r="K636" s="5">
        <f t="shared" si="45"/>
        <v>0</v>
      </c>
      <c r="L636" s="5">
        <f t="shared" si="45"/>
        <v>0</v>
      </c>
      <c r="M636" s="5">
        <f t="shared" si="45"/>
        <v>1</v>
      </c>
      <c r="N636" s="32">
        <v>5.4782608695652081E-2</v>
      </c>
      <c r="O636" s="32">
        <v>-1.7782608695652076E-2</v>
      </c>
      <c r="P636" s="24">
        <f t="shared" si="42"/>
        <v>4.0322463768115969E-2</v>
      </c>
    </row>
    <row r="637" spans="1:16" x14ac:dyDescent="0.3">
      <c r="A637" s="2">
        <v>36861</v>
      </c>
      <c r="B637" s="23">
        <v>3.7000000000000005E-2</v>
      </c>
      <c r="C637" s="5">
        <f t="shared" si="44"/>
        <v>0</v>
      </c>
      <c r="D637" s="5">
        <f t="shared" si="45"/>
        <v>0</v>
      </c>
      <c r="E637" s="5">
        <f t="shared" si="45"/>
        <v>0</v>
      </c>
      <c r="F637" s="5">
        <f t="shared" si="45"/>
        <v>0</v>
      </c>
      <c r="G637" s="5">
        <f t="shared" si="45"/>
        <v>0</v>
      </c>
      <c r="H637" s="5">
        <f t="shared" si="45"/>
        <v>0</v>
      </c>
      <c r="I637" s="5">
        <f t="shared" si="45"/>
        <v>0</v>
      </c>
      <c r="J637" s="5">
        <f t="shared" si="45"/>
        <v>0</v>
      </c>
      <c r="K637" s="5">
        <f t="shared" si="45"/>
        <v>0</v>
      </c>
      <c r="L637" s="5">
        <f t="shared" si="45"/>
        <v>0</v>
      </c>
      <c r="M637" s="5">
        <f t="shared" si="45"/>
        <v>0</v>
      </c>
      <c r="N637" s="32">
        <v>5.5202898550724598E-2</v>
      </c>
      <c r="O637" s="32">
        <v>-1.8202898550724593E-2</v>
      </c>
      <c r="P637" s="24">
        <f t="shared" si="42"/>
        <v>3.9902173913043452E-2</v>
      </c>
    </row>
    <row r="638" spans="1:16" x14ac:dyDescent="0.3">
      <c r="A638" s="2">
        <v>36892</v>
      </c>
      <c r="B638" s="23">
        <v>4.7E-2</v>
      </c>
      <c r="C638" s="5">
        <f t="shared" si="44"/>
        <v>1</v>
      </c>
      <c r="D638" s="5">
        <f t="shared" si="45"/>
        <v>0</v>
      </c>
      <c r="E638" s="5">
        <f t="shared" si="45"/>
        <v>0</v>
      </c>
      <c r="F638" s="5">
        <f t="shared" si="45"/>
        <v>0</v>
      </c>
      <c r="G638" s="5">
        <f t="shared" si="45"/>
        <v>0</v>
      </c>
      <c r="H638" s="5">
        <f t="shared" si="45"/>
        <v>0</v>
      </c>
      <c r="I638" s="5">
        <f t="shared" si="45"/>
        <v>0</v>
      </c>
      <c r="J638" s="5">
        <f t="shared" si="45"/>
        <v>0</v>
      </c>
      <c r="K638" s="5">
        <f t="shared" si="45"/>
        <v>0</v>
      </c>
      <c r="L638" s="5">
        <f t="shared" si="45"/>
        <v>0</v>
      </c>
      <c r="M638" s="5">
        <f t="shared" si="45"/>
        <v>0</v>
      </c>
      <c r="N638" s="32">
        <v>6.4492753623188417E-2</v>
      </c>
      <c r="O638" s="32">
        <v>-1.7492753623188417E-2</v>
      </c>
      <c r="P638" s="24">
        <f t="shared" si="42"/>
        <v>4.0612318840579628E-2</v>
      </c>
    </row>
    <row r="639" spans="1:16" x14ac:dyDescent="0.3">
      <c r="A639" s="2">
        <v>36923</v>
      </c>
      <c r="B639" s="23">
        <v>4.5999999999999999E-2</v>
      </c>
      <c r="C639" s="5">
        <f t="shared" si="44"/>
        <v>0</v>
      </c>
      <c r="D639" s="5">
        <f t="shared" si="45"/>
        <v>1</v>
      </c>
      <c r="E639" s="5">
        <f t="shared" si="45"/>
        <v>0</v>
      </c>
      <c r="F639" s="5">
        <f t="shared" si="45"/>
        <v>0</v>
      </c>
      <c r="G639" s="5">
        <f t="shared" si="45"/>
        <v>0</v>
      </c>
      <c r="H639" s="5">
        <f t="shared" si="45"/>
        <v>0</v>
      </c>
      <c r="I639" s="5">
        <f t="shared" si="45"/>
        <v>0</v>
      </c>
      <c r="J639" s="5">
        <f t="shared" si="45"/>
        <v>0</v>
      </c>
      <c r="K639" s="5">
        <f t="shared" si="45"/>
        <v>0</v>
      </c>
      <c r="L639" s="5">
        <f t="shared" si="45"/>
        <v>0</v>
      </c>
      <c r="M639" s="5">
        <f t="shared" si="45"/>
        <v>0</v>
      </c>
      <c r="N639" s="32">
        <v>6.4391304347825973E-2</v>
      </c>
      <c r="O639" s="32">
        <v>-1.8391304347825974E-2</v>
      </c>
      <c r="P639" s="24">
        <f t="shared" si="42"/>
        <v>3.9713768115942072E-2</v>
      </c>
    </row>
    <row r="640" spans="1:16" x14ac:dyDescent="0.3">
      <c r="A640" s="2">
        <v>36951</v>
      </c>
      <c r="B640" s="23">
        <v>4.4999999999999998E-2</v>
      </c>
      <c r="C640" s="5">
        <f t="shared" si="44"/>
        <v>0</v>
      </c>
      <c r="D640" s="5">
        <f t="shared" si="45"/>
        <v>0</v>
      </c>
      <c r="E640" s="5">
        <f t="shared" si="45"/>
        <v>1</v>
      </c>
      <c r="F640" s="5">
        <f t="shared" si="45"/>
        <v>0</v>
      </c>
      <c r="G640" s="5">
        <f t="shared" si="45"/>
        <v>0</v>
      </c>
      <c r="H640" s="5">
        <f t="shared" si="45"/>
        <v>0</v>
      </c>
      <c r="I640" s="5">
        <f t="shared" si="45"/>
        <v>0</v>
      </c>
      <c r="J640" s="5">
        <f t="shared" si="45"/>
        <v>0</v>
      </c>
      <c r="K640" s="5">
        <f t="shared" si="45"/>
        <v>0</v>
      </c>
      <c r="L640" s="5">
        <f t="shared" si="45"/>
        <v>0</v>
      </c>
      <c r="M640" s="5">
        <f t="shared" si="45"/>
        <v>0</v>
      </c>
      <c r="N640" s="32">
        <v>6.1652173913043402E-2</v>
      </c>
      <c r="O640" s="32">
        <v>-1.6652173913043404E-2</v>
      </c>
      <c r="P640" s="24">
        <f t="shared" si="42"/>
        <v>4.1452898550724641E-2</v>
      </c>
    </row>
    <row r="641" spans="1:16" x14ac:dyDescent="0.3">
      <c r="A641" s="2">
        <v>36982</v>
      </c>
      <c r="B641" s="23">
        <v>4.2000000000000003E-2</v>
      </c>
      <c r="C641" s="5">
        <f t="shared" si="44"/>
        <v>0</v>
      </c>
      <c r="D641" s="5">
        <f t="shared" si="45"/>
        <v>0</v>
      </c>
      <c r="E641" s="5">
        <f t="shared" si="45"/>
        <v>0</v>
      </c>
      <c r="F641" s="5">
        <f t="shared" si="45"/>
        <v>1</v>
      </c>
      <c r="G641" s="5">
        <f t="shared" si="45"/>
        <v>0</v>
      </c>
      <c r="H641" s="5">
        <f t="shared" si="45"/>
        <v>0</v>
      </c>
      <c r="I641" s="5">
        <f t="shared" si="45"/>
        <v>0</v>
      </c>
      <c r="J641" s="5">
        <f t="shared" si="45"/>
        <v>0</v>
      </c>
      <c r="K641" s="5">
        <f t="shared" si="45"/>
        <v>0</v>
      </c>
      <c r="L641" s="5">
        <f t="shared" si="45"/>
        <v>0</v>
      </c>
      <c r="M641" s="5">
        <f t="shared" si="45"/>
        <v>0</v>
      </c>
      <c r="N641" s="32">
        <v>5.6550724637681071E-2</v>
      </c>
      <c r="O641" s="32">
        <v>-1.4550724637681069E-2</v>
      </c>
      <c r="P641" s="24">
        <f t="shared" si="42"/>
        <v>4.3554347826086977E-2</v>
      </c>
    </row>
    <row r="642" spans="1:16" x14ac:dyDescent="0.3">
      <c r="A642" s="2">
        <v>37012</v>
      </c>
      <c r="B642" s="23">
        <v>4.0999999999999995E-2</v>
      </c>
      <c r="C642" s="5">
        <f t="shared" si="44"/>
        <v>0</v>
      </c>
      <c r="D642" s="5">
        <f t="shared" si="45"/>
        <v>0</v>
      </c>
      <c r="E642" s="5">
        <f t="shared" si="45"/>
        <v>0</v>
      </c>
      <c r="F642" s="5">
        <f t="shared" si="45"/>
        <v>0</v>
      </c>
      <c r="G642" s="5">
        <f t="shared" si="45"/>
        <v>1</v>
      </c>
      <c r="H642" s="5">
        <f t="shared" si="45"/>
        <v>0</v>
      </c>
      <c r="I642" s="5">
        <f t="shared" si="45"/>
        <v>0</v>
      </c>
      <c r="J642" s="5">
        <f t="shared" si="45"/>
        <v>0</v>
      </c>
      <c r="K642" s="5">
        <f t="shared" si="45"/>
        <v>0</v>
      </c>
      <c r="L642" s="5">
        <f t="shared" si="45"/>
        <v>0</v>
      </c>
      <c r="M642" s="5">
        <f t="shared" si="45"/>
        <v>0</v>
      </c>
      <c r="N642" s="32">
        <v>5.5101449275362209E-2</v>
      </c>
      <c r="O642" s="32">
        <v>-1.4101449275362214E-2</v>
      </c>
      <c r="P642" s="24">
        <f t="shared" si="42"/>
        <v>4.4003623188405831E-2</v>
      </c>
    </row>
    <row r="643" spans="1:16" x14ac:dyDescent="0.3">
      <c r="A643" s="2">
        <v>37043</v>
      </c>
      <c r="B643" s="23">
        <v>4.7E-2</v>
      </c>
      <c r="C643" s="5">
        <f t="shared" si="44"/>
        <v>0</v>
      </c>
      <c r="D643" s="5">
        <f t="shared" si="45"/>
        <v>0</v>
      </c>
      <c r="E643" s="5">
        <f t="shared" si="45"/>
        <v>0</v>
      </c>
      <c r="F643" s="5">
        <f t="shared" si="45"/>
        <v>0</v>
      </c>
      <c r="G643" s="5">
        <f t="shared" si="45"/>
        <v>0</v>
      </c>
      <c r="H643" s="5">
        <f t="shared" si="45"/>
        <v>1</v>
      </c>
      <c r="I643" s="5">
        <f t="shared" si="45"/>
        <v>0</v>
      </c>
      <c r="J643" s="5">
        <f t="shared" si="45"/>
        <v>0</v>
      </c>
      <c r="K643" s="5">
        <f t="shared" si="45"/>
        <v>0</v>
      </c>
      <c r="L643" s="5">
        <f t="shared" si="45"/>
        <v>0</v>
      </c>
      <c r="M643" s="5">
        <f t="shared" si="45"/>
        <v>0</v>
      </c>
      <c r="N643" s="32">
        <v>6.1130434782608579E-2</v>
      </c>
      <c r="O643" s="32">
        <v>-1.4130434782608579E-2</v>
      </c>
      <c r="P643" s="24">
        <f t="shared" ref="P643:P706" si="46">O643+$R$2</f>
        <v>4.3974637681159466E-2</v>
      </c>
    </row>
    <row r="644" spans="1:16" x14ac:dyDescent="0.3">
      <c r="A644" s="2">
        <v>37073</v>
      </c>
      <c r="B644" s="23">
        <v>4.7E-2</v>
      </c>
      <c r="C644" s="5">
        <f t="shared" si="44"/>
        <v>0</v>
      </c>
      <c r="D644" s="5">
        <f t="shared" si="45"/>
        <v>0</v>
      </c>
      <c r="E644" s="5">
        <f t="shared" si="45"/>
        <v>0</v>
      </c>
      <c r="F644" s="5">
        <f t="shared" si="45"/>
        <v>0</v>
      </c>
      <c r="G644" s="5">
        <f t="shared" si="45"/>
        <v>0</v>
      </c>
      <c r="H644" s="5">
        <f t="shared" si="45"/>
        <v>0</v>
      </c>
      <c r="I644" s="5">
        <f t="shared" si="45"/>
        <v>1</v>
      </c>
      <c r="J644" s="5">
        <f t="shared" si="45"/>
        <v>0</v>
      </c>
      <c r="K644" s="5">
        <f t="shared" si="45"/>
        <v>0</v>
      </c>
      <c r="L644" s="5">
        <f t="shared" si="45"/>
        <v>0</v>
      </c>
      <c r="M644" s="5">
        <f t="shared" si="45"/>
        <v>0</v>
      </c>
      <c r="N644" s="32">
        <v>5.9550724637681039E-2</v>
      </c>
      <c r="O644" s="32">
        <v>-1.2550724637681039E-2</v>
      </c>
      <c r="P644" s="24">
        <f t="shared" si="46"/>
        <v>4.5554347826087006E-2</v>
      </c>
    </row>
    <row r="645" spans="1:16" x14ac:dyDescent="0.3">
      <c r="A645" s="2">
        <v>37104</v>
      </c>
      <c r="B645" s="23">
        <v>4.9000000000000002E-2</v>
      </c>
      <c r="C645" s="5">
        <f t="shared" si="44"/>
        <v>0</v>
      </c>
      <c r="D645" s="5">
        <f t="shared" si="45"/>
        <v>0</v>
      </c>
      <c r="E645" s="5">
        <f t="shared" si="45"/>
        <v>0</v>
      </c>
      <c r="F645" s="5">
        <f t="shared" si="45"/>
        <v>0</v>
      </c>
      <c r="G645" s="5">
        <f t="shared" si="45"/>
        <v>0</v>
      </c>
      <c r="H645" s="5">
        <f t="shared" si="45"/>
        <v>0</v>
      </c>
      <c r="I645" s="5">
        <f t="shared" si="45"/>
        <v>0</v>
      </c>
      <c r="J645" s="5">
        <f t="shared" si="45"/>
        <v>1</v>
      </c>
      <c r="K645" s="5">
        <f t="shared" si="45"/>
        <v>0</v>
      </c>
      <c r="L645" s="5">
        <f t="shared" si="45"/>
        <v>0</v>
      </c>
      <c r="M645" s="5">
        <f t="shared" si="45"/>
        <v>0</v>
      </c>
      <c r="N645" s="32">
        <v>5.6521739130434699E-2</v>
      </c>
      <c r="O645" s="32">
        <v>-7.5217391304346973E-3</v>
      </c>
      <c r="P645" s="24">
        <f t="shared" si="46"/>
        <v>5.0583333333333348E-2</v>
      </c>
    </row>
    <row r="646" spans="1:16" x14ac:dyDescent="0.3">
      <c r="A646" s="2">
        <v>37135</v>
      </c>
      <c r="B646" s="23">
        <v>4.7E-2</v>
      </c>
      <c r="C646" s="5">
        <f t="shared" si="44"/>
        <v>0</v>
      </c>
      <c r="D646" s="5">
        <f t="shared" si="45"/>
        <v>0</v>
      </c>
      <c r="E646" s="5">
        <f t="shared" si="45"/>
        <v>0</v>
      </c>
      <c r="F646" s="5">
        <f t="shared" si="45"/>
        <v>0</v>
      </c>
      <c r="G646" s="5">
        <f t="shared" si="45"/>
        <v>0</v>
      </c>
      <c r="H646" s="5">
        <f t="shared" si="45"/>
        <v>0</v>
      </c>
      <c r="I646" s="5">
        <f t="shared" si="45"/>
        <v>0</v>
      </c>
      <c r="J646" s="5">
        <f t="shared" si="45"/>
        <v>0</v>
      </c>
      <c r="K646" s="5">
        <f t="shared" si="45"/>
        <v>1</v>
      </c>
      <c r="L646" s="5">
        <f t="shared" si="45"/>
        <v>0</v>
      </c>
      <c r="M646" s="5">
        <f t="shared" si="45"/>
        <v>0</v>
      </c>
      <c r="N646" s="32">
        <v>5.4768115942028898E-2</v>
      </c>
      <c r="O646" s="32">
        <v>-7.7681159420288984E-3</v>
      </c>
      <c r="P646" s="24">
        <f t="shared" si="46"/>
        <v>5.0336956521739147E-2</v>
      </c>
    </row>
    <row r="647" spans="1:16" x14ac:dyDescent="0.3">
      <c r="A647" s="2">
        <v>37165</v>
      </c>
      <c r="B647" s="23">
        <v>0.05</v>
      </c>
      <c r="C647" s="5">
        <f t="shared" si="44"/>
        <v>0</v>
      </c>
      <c r="D647" s="5">
        <f t="shared" si="45"/>
        <v>0</v>
      </c>
      <c r="E647" s="5">
        <f t="shared" si="45"/>
        <v>0</v>
      </c>
      <c r="F647" s="5">
        <f t="shared" si="45"/>
        <v>0</v>
      </c>
      <c r="G647" s="5">
        <f t="shared" si="45"/>
        <v>0</v>
      </c>
      <c r="H647" s="5">
        <f t="shared" si="45"/>
        <v>0</v>
      </c>
      <c r="I647" s="5">
        <f t="shared" si="45"/>
        <v>0</v>
      </c>
      <c r="J647" s="5">
        <f t="shared" si="45"/>
        <v>0</v>
      </c>
      <c r="K647" s="5">
        <f t="shared" si="45"/>
        <v>0</v>
      </c>
      <c r="L647" s="5">
        <f t="shared" si="45"/>
        <v>1</v>
      </c>
      <c r="M647" s="5">
        <f t="shared" si="45"/>
        <v>0</v>
      </c>
      <c r="N647" s="32">
        <v>5.3115942028985473E-2</v>
      </c>
      <c r="O647" s="32">
        <v>-3.1159420289854703E-3</v>
      </c>
      <c r="P647" s="24">
        <f t="shared" si="46"/>
        <v>5.4989130434782575E-2</v>
      </c>
    </row>
    <row r="648" spans="1:16" x14ac:dyDescent="0.3">
      <c r="A648" s="2">
        <v>37196</v>
      </c>
      <c r="B648" s="23">
        <v>5.2999999999999999E-2</v>
      </c>
      <c r="C648" s="5">
        <f t="shared" si="44"/>
        <v>0</v>
      </c>
      <c r="D648" s="5">
        <f t="shared" si="45"/>
        <v>0</v>
      </c>
      <c r="E648" s="5">
        <f t="shared" si="45"/>
        <v>0</v>
      </c>
      <c r="F648" s="5">
        <f t="shared" si="45"/>
        <v>0</v>
      </c>
      <c r="G648" s="5">
        <f t="shared" si="45"/>
        <v>0</v>
      </c>
      <c r="H648" s="5">
        <f t="shared" si="45"/>
        <v>0</v>
      </c>
      <c r="I648" s="5">
        <f t="shared" si="45"/>
        <v>0</v>
      </c>
      <c r="J648" s="5">
        <f t="shared" si="45"/>
        <v>0</v>
      </c>
      <c r="K648" s="5">
        <f t="shared" si="45"/>
        <v>0</v>
      </c>
      <c r="L648" s="5">
        <f t="shared" si="45"/>
        <v>0</v>
      </c>
      <c r="M648" s="5">
        <f t="shared" si="45"/>
        <v>1</v>
      </c>
      <c r="N648" s="32">
        <v>5.4782608695652081E-2</v>
      </c>
      <c r="O648" s="32">
        <v>-1.7826086956520826E-3</v>
      </c>
      <c r="P648" s="24">
        <f t="shared" si="46"/>
        <v>5.6322463768115963E-2</v>
      </c>
    </row>
    <row r="649" spans="1:16" x14ac:dyDescent="0.3">
      <c r="A649" s="2">
        <v>37226</v>
      </c>
      <c r="B649" s="23">
        <v>5.4000000000000006E-2</v>
      </c>
      <c r="C649" s="5">
        <f t="shared" si="44"/>
        <v>0</v>
      </c>
      <c r="D649" s="5">
        <f t="shared" si="45"/>
        <v>0</v>
      </c>
      <c r="E649" s="5">
        <f t="shared" si="45"/>
        <v>0</v>
      </c>
      <c r="F649" s="5">
        <f t="shared" si="45"/>
        <v>0</v>
      </c>
      <c r="G649" s="5">
        <f t="shared" si="45"/>
        <v>0</v>
      </c>
      <c r="H649" s="5">
        <f t="shared" si="45"/>
        <v>0</v>
      </c>
      <c r="I649" s="5">
        <f t="shared" si="45"/>
        <v>0</v>
      </c>
      <c r="J649" s="5">
        <f t="shared" si="45"/>
        <v>0</v>
      </c>
      <c r="K649" s="5">
        <f t="shared" si="45"/>
        <v>0</v>
      </c>
      <c r="L649" s="5">
        <f t="shared" si="45"/>
        <v>0</v>
      </c>
      <c r="M649" s="5">
        <f t="shared" si="45"/>
        <v>0</v>
      </c>
      <c r="N649" s="32">
        <v>5.5202898550724598E-2</v>
      </c>
      <c r="O649" s="32">
        <v>-1.2028985507245918E-3</v>
      </c>
      <c r="P649" s="24">
        <f t="shared" si="46"/>
        <v>5.6902173913043454E-2</v>
      </c>
    </row>
    <row r="650" spans="1:16" x14ac:dyDescent="0.3">
      <c r="A650" s="2">
        <v>37257</v>
      </c>
      <c r="B650" s="23">
        <v>6.3E-2</v>
      </c>
      <c r="C650" s="5">
        <f t="shared" si="44"/>
        <v>1</v>
      </c>
      <c r="D650" s="5">
        <f t="shared" si="45"/>
        <v>0</v>
      </c>
      <c r="E650" s="5">
        <f t="shared" si="45"/>
        <v>0</v>
      </c>
      <c r="F650" s="5">
        <f t="shared" si="45"/>
        <v>0</v>
      </c>
      <c r="G650" s="5">
        <f t="shared" si="45"/>
        <v>0</v>
      </c>
      <c r="H650" s="5">
        <f t="shared" si="45"/>
        <v>0</v>
      </c>
      <c r="I650" s="5">
        <f t="shared" si="45"/>
        <v>0</v>
      </c>
      <c r="J650" s="5">
        <f t="shared" si="45"/>
        <v>0</v>
      </c>
      <c r="K650" s="5">
        <f t="shared" si="45"/>
        <v>0</v>
      </c>
      <c r="L650" s="5">
        <f t="shared" si="45"/>
        <v>0</v>
      </c>
      <c r="M650" s="5">
        <f t="shared" si="45"/>
        <v>0</v>
      </c>
      <c r="N650" s="32">
        <v>6.4492753623188417E-2</v>
      </c>
      <c r="O650" s="32">
        <v>-1.492753623188417E-3</v>
      </c>
      <c r="P650" s="24">
        <f t="shared" si="46"/>
        <v>5.6612318840579628E-2</v>
      </c>
    </row>
    <row r="651" spans="1:16" x14ac:dyDescent="0.3">
      <c r="A651" s="2">
        <v>37288</v>
      </c>
      <c r="B651" s="23">
        <v>6.0999999999999999E-2</v>
      </c>
      <c r="C651" s="5">
        <f t="shared" si="44"/>
        <v>0</v>
      </c>
      <c r="D651" s="5">
        <f t="shared" si="45"/>
        <v>1</v>
      </c>
      <c r="E651" s="5">
        <f t="shared" si="45"/>
        <v>0</v>
      </c>
      <c r="F651" s="5">
        <f t="shared" si="45"/>
        <v>0</v>
      </c>
      <c r="G651" s="5">
        <f t="shared" si="45"/>
        <v>0</v>
      </c>
      <c r="H651" s="5">
        <f t="shared" si="45"/>
        <v>0</v>
      </c>
      <c r="I651" s="5">
        <f t="shared" si="45"/>
        <v>0</v>
      </c>
      <c r="J651" s="5">
        <f t="shared" si="45"/>
        <v>0</v>
      </c>
      <c r="K651" s="5">
        <f t="shared" si="45"/>
        <v>0</v>
      </c>
      <c r="L651" s="5">
        <f t="shared" ref="D651:M677" si="47">IF(MONTH($A651)=L$1,1,0)</f>
        <v>0</v>
      </c>
      <c r="M651" s="5">
        <f t="shared" si="47"/>
        <v>0</v>
      </c>
      <c r="N651" s="32">
        <v>6.4391304347825973E-2</v>
      </c>
      <c r="O651" s="32">
        <v>-3.3913043478259741E-3</v>
      </c>
      <c r="P651" s="24">
        <f t="shared" si="46"/>
        <v>5.4713768115942071E-2</v>
      </c>
    </row>
    <row r="652" spans="1:16" x14ac:dyDescent="0.3">
      <c r="A652" s="2">
        <v>37316</v>
      </c>
      <c r="B652" s="23">
        <v>6.0999999999999999E-2</v>
      </c>
      <c r="C652" s="5">
        <f t="shared" si="44"/>
        <v>0</v>
      </c>
      <c r="D652" s="5">
        <f t="shared" si="47"/>
        <v>0</v>
      </c>
      <c r="E652" s="5">
        <f t="shared" si="47"/>
        <v>1</v>
      </c>
      <c r="F652" s="5">
        <f t="shared" si="47"/>
        <v>0</v>
      </c>
      <c r="G652" s="5">
        <f t="shared" si="47"/>
        <v>0</v>
      </c>
      <c r="H652" s="5">
        <f t="shared" si="47"/>
        <v>0</v>
      </c>
      <c r="I652" s="5">
        <f t="shared" si="47"/>
        <v>0</v>
      </c>
      <c r="J652" s="5">
        <f t="shared" si="47"/>
        <v>0</v>
      </c>
      <c r="K652" s="5">
        <f t="shared" si="47"/>
        <v>0</v>
      </c>
      <c r="L652" s="5">
        <f t="shared" si="47"/>
        <v>0</v>
      </c>
      <c r="M652" s="5">
        <f t="shared" si="47"/>
        <v>0</v>
      </c>
      <c r="N652" s="32">
        <v>6.1652173913043402E-2</v>
      </c>
      <c r="O652" s="32">
        <v>-6.5217391304340372E-4</v>
      </c>
      <c r="P652" s="24">
        <f t="shared" si="46"/>
        <v>5.7452898550724642E-2</v>
      </c>
    </row>
    <row r="653" spans="1:16" x14ac:dyDescent="0.3">
      <c r="A653" s="2">
        <v>37347</v>
      </c>
      <c r="B653" s="23">
        <v>5.7000000000000002E-2</v>
      </c>
      <c r="C653" s="5">
        <f t="shared" si="44"/>
        <v>0</v>
      </c>
      <c r="D653" s="5">
        <f t="shared" si="47"/>
        <v>0</v>
      </c>
      <c r="E653" s="5">
        <f t="shared" si="47"/>
        <v>0</v>
      </c>
      <c r="F653" s="5">
        <f t="shared" si="47"/>
        <v>1</v>
      </c>
      <c r="G653" s="5">
        <f t="shared" si="47"/>
        <v>0</v>
      </c>
      <c r="H653" s="5">
        <f t="shared" si="47"/>
        <v>0</v>
      </c>
      <c r="I653" s="5">
        <f t="shared" si="47"/>
        <v>0</v>
      </c>
      <c r="J653" s="5">
        <f t="shared" si="47"/>
        <v>0</v>
      </c>
      <c r="K653" s="5">
        <f t="shared" si="47"/>
        <v>0</v>
      </c>
      <c r="L653" s="5">
        <f t="shared" si="47"/>
        <v>0</v>
      </c>
      <c r="M653" s="5">
        <f t="shared" si="47"/>
        <v>0</v>
      </c>
      <c r="N653" s="32">
        <v>5.6550724637681071E-2</v>
      </c>
      <c r="O653" s="32">
        <v>4.4927536231893078E-4</v>
      </c>
      <c r="P653" s="24">
        <f t="shared" si="46"/>
        <v>5.8554347826086976E-2</v>
      </c>
    </row>
    <row r="654" spans="1:16" x14ac:dyDescent="0.3">
      <c r="A654" s="2">
        <v>37377</v>
      </c>
      <c r="B654" s="23">
        <v>5.5E-2</v>
      </c>
      <c r="C654" s="5">
        <f t="shared" si="44"/>
        <v>0</v>
      </c>
      <c r="D654" s="5">
        <f t="shared" si="47"/>
        <v>0</v>
      </c>
      <c r="E654" s="5">
        <f t="shared" si="47"/>
        <v>0</v>
      </c>
      <c r="F654" s="5">
        <f t="shared" si="47"/>
        <v>0</v>
      </c>
      <c r="G654" s="5">
        <f t="shared" si="47"/>
        <v>1</v>
      </c>
      <c r="H654" s="5">
        <f t="shared" si="47"/>
        <v>0</v>
      </c>
      <c r="I654" s="5">
        <f t="shared" si="47"/>
        <v>0</v>
      </c>
      <c r="J654" s="5">
        <f t="shared" si="47"/>
        <v>0</v>
      </c>
      <c r="K654" s="5">
        <f t="shared" si="47"/>
        <v>0</v>
      </c>
      <c r="L654" s="5">
        <f t="shared" si="47"/>
        <v>0</v>
      </c>
      <c r="M654" s="5">
        <f t="shared" si="47"/>
        <v>0</v>
      </c>
      <c r="N654" s="32">
        <v>5.5101449275362209E-2</v>
      </c>
      <c r="O654" s="32">
        <v>-1.0144927536220871E-4</v>
      </c>
      <c r="P654" s="24">
        <f t="shared" si="46"/>
        <v>5.8003623188405837E-2</v>
      </c>
    </row>
    <row r="655" spans="1:16" x14ac:dyDescent="0.3">
      <c r="A655" s="2">
        <v>37408</v>
      </c>
      <c r="B655" s="23">
        <v>0.06</v>
      </c>
      <c r="C655" s="5">
        <f t="shared" si="44"/>
        <v>0</v>
      </c>
      <c r="D655" s="5">
        <f t="shared" si="47"/>
        <v>0</v>
      </c>
      <c r="E655" s="5">
        <f t="shared" si="47"/>
        <v>0</v>
      </c>
      <c r="F655" s="5">
        <f t="shared" si="47"/>
        <v>0</v>
      </c>
      <c r="G655" s="5">
        <f t="shared" si="47"/>
        <v>0</v>
      </c>
      <c r="H655" s="5">
        <f t="shared" si="47"/>
        <v>1</v>
      </c>
      <c r="I655" s="5">
        <f t="shared" si="47"/>
        <v>0</v>
      </c>
      <c r="J655" s="5">
        <f t="shared" si="47"/>
        <v>0</v>
      </c>
      <c r="K655" s="5">
        <f t="shared" si="47"/>
        <v>0</v>
      </c>
      <c r="L655" s="5">
        <f t="shared" si="47"/>
        <v>0</v>
      </c>
      <c r="M655" s="5">
        <f t="shared" si="47"/>
        <v>0</v>
      </c>
      <c r="N655" s="32">
        <v>6.1130434782608579E-2</v>
      </c>
      <c r="O655" s="32">
        <v>-1.1304347826085817E-3</v>
      </c>
      <c r="P655" s="24">
        <f t="shared" si="46"/>
        <v>5.6974637681159464E-2</v>
      </c>
    </row>
    <row r="656" spans="1:16" x14ac:dyDescent="0.3">
      <c r="A656" s="2">
        <v>37438</v>
      </c>
      <c r="B656" s="23">
        <v>5.9000000000000004E-2</v>
      </c>
      <c r="C656" s="5">
        <f t="shared" si="44"/>
        <v>0</v>
      </c>
      <c r="D656" s="5">
        <f t="shared" si="47"/>
        <v>0</v>
      </c>
      <c r="E656" s="5">
        <f t="shared" si="47"/>
        <v>0</v>
      </c>
      <c r="F656" s="5">
        <f t="shared" si="47"/>
        <v>0</v>
      </c>
      <c r="G656" s="5">
        <f t="shared" si="47"/>
        <v>0</v>
      </c>
      <c r="H656" s="5">
        <f t="shared" si="47"/>
        <v>0</v>
      </c>
      <c r="I656" s="5">
        <f t="shared" si="47"/>
        <v>1</v>
      </c>
      <c r="J656" s="5">
        <f t="shared" si="47"/>
        <v>0</v>
      </c>
      <c r="K656" s="5">
        <f t="shared" si="47"/>
        <v>0</v>
      </c>
      <c r="L656" s="5">
        <f t="shared" si="47"/>
        <v>0</v>
      </c>
      <c r="M656" s="5">
        <f t="shared" si="47"/>
        <v>0</v>
      </c>
      <c r="N656" s="32">
        <v>5.9550724637681039E-2</v>
      </c>
      <c r="O656" s="32">
        <v>-5.5072463768103541E-4</v>
      </c>
      <c r="P656" s="24">
        <f t="shared" si="46"/>
        <v>5.755434782608701E-2</v>
      </c>
    </row>
    <row r="657" spans="1:16" x14ac:dyDescent="0.3">
      <c r="A657" s="2">
        <v>37469</v>
      </c>
      <c r="B657" s="23">
        <v>5.7000000000000002E-2</v>
      </c>
      <c r="C657" s="5">
        <f t="shared" si="44"/>
        <v>0</v>
      </c>
      <c r="D657" s="5">
        <f t="shared" si="47"/>
        <v>0</v>
      </c>
      <c r="E657" s="5">
        <f t="shared" si="47"/>
        <v>0</v>
      </c>
      <c r="F657" s="5">
        <f t="shared" si="47"/>
        <v>0</v>
      </c>
      <c r="G657" s="5">
        <f t="shared" si="47"/>
        <v>0</v>
      </c>
      <c r="H657" s="5">
        <f t="shared" si="47"/>
        <v>0</v>
      </c>
      <c r="I657" s="5">
        <f t="shared" si="47"/>
        <v>0</v>
      </c>
      <c r="J657" s="5">
        <f t="shared" si="47"/>
        <v>1</v>
      </c>
      <c r="K657" s="5">
        <f t="shared" si="47"/>
        <v>0</v>
      </c>
      <c r="L657" s="5">
        <f t="shared" si="47"/>
        <v>0</v>
      </c>
      <c r="M657" s="5">
        <f t="shared" si="47"/>
        <v>0</v>
      </c>
      <c r="N657" s="32">
        <v>5.6521739130434699E-2</v>
      </c>
      <c r="O657" s="32">
        <v>4.7826086956530289E-4</v>
      </c>
      <c r="P657" s="24">
        <f t="shared" si="46"/>
        <v>5.8583333333333348E-2</v>
      </c>
    </row>
    <row r="658" spans="1:16" x14ac:dyDescent="0.3">
      <c r="A658" s="2">
        <v>37500</v>
      </c>
      <c r="B658" s="23">
        <v>5.4000000000000006E-2</v>
      </c>
      <c r="C658" s="5">
        <f t="shared" si="44"/>
        <v>0</v>
      </c>
      <c r="D658" s="5">
        <f t="shared" si="47"/>
        <v>0</v>
      </c>
      <c r="E658" s="5">
        <f t="shared" si="47"/>
        <v>0</v>
      </c>
      <c r="F658" s="5">
        <f t="shared" si="47"/>
        <v>0</v>
      </c>
      <c r="G658" s="5">
        <f t="shared" si="47"/>
        <v>0</v>
      </c>
      <c r="H658" s="5">
        <f t="shared" si="47"/>
        <v>0</v>
      </c>
      <c r="I658" s="5">
        <f t="shared" si="47"/>
        <v>0</v>
      </c>
      <c r="J658" s="5">
        <f t="shared" si="47"/>
        <v>0</v>
      </c>
      <c r="K658" s="5">
        <f t="shared" si="47"/>
        <v>1</v>
      </c>
      <c r="L658" s="5">
        <f t="shared" si="47"/>
        <v>0</v>
      </c>
      <c r="M658" s="5">
        <f t="shared" si="47"/>
        <v>0</v>
      </c>
      <c r="N658" s="32">
        <v>5.4768115942028898E-2</v>
      </c>
      <c r="O658" s="32">
        <v>-7.6811594202889216E-4</v>
      </c>
      <c r="P658" s="24">
        <f t="shared" si="46"/>
        <v>5.7336956521739153E-2</v>
      </c>
    </row>
    <row r="659" spans="1:16" x14ac:dyDescent="0.3">
      <c r="A659" s="2">
        <v>37530</v>
      </c>
      <c r="B659" s="23">
        <v>5.2999999999999999E-2</v>
      </c>
      <c r="C659" s="5">
        <f t="shared" si="44"/>
        <v>0</v>
      </c>
      <c r="D659" s="5">
        <f t="shared" si="47"/>
        <v>0</v>
      </c>
      <c r="E659" s="5">
        <f t="shared" si="47"/>
        <v>0</v>
      </c>
      <c r="F659" s="5">
        <f t="shared" si="47"/>
        <v>0</v>
      </c>
      <c r="G659" s="5">
        <f t="shared" si="47"/>
        <v>0</v>
      </c>
      <c r="H659" s="5">
        <f t="shared" si="47"/>
        <v>0</v>
      </c>
      <c r="I659" s="5">
        <f t="shared" si="47"/>
        <v>0</v>
      </c>
      <c r="J659" s="5">
        <f t="shared" si="47"/>
        <v>0</v>
      </c>
      <c r="K659" s="5">
        <f t="shared" si="47"/>
        <v>0</v>
      </c>
      <c r="L659" s="5">
        <f t="shared" si="47"/>
        <v>1</v>
      </c>
      <c r="M659" s="5">
        <f t="shared" si="47"/>
        <v>0</v>
      </c>
      <c r="N659" s="32">
        <v>5.3115942028985473E-2</v>
      </c>
      <c r="O659" s="32">
        <v>-1.1594202898547457E-4</v>
      </c>
      <c r="P659" s="24">
        <f t="shared" si="46"/>
        <v>5.7989130434782571E-2</v>
      </c>
    </row>
    <row r="660" spans="1:16" x14ac:dyDescent="0.3">
      <c r="A660" s="2">
        <v>37561</v>
      </c>
      <c r="B660" s="23">
        <v>5.5999999999999994E-2</v>
      </c>
      <c r="C660" s="5">
        <f t="shared" si="44"/>
        <v>0</v>
      </c>
      <c r="D660" s="5">
        <f t="shared" si="47"/>
        <v>0</v>
      </c>
      <c r="E660" s="5">
        <f t="shared" si="47"/>
        <v>0</v>
      </c>
      <c r="F660" s="5">
        <f t="shared" si="47"/>
        <v>0</v>
      </c>
      <c r="G660" s="5">
        <f t="shared" si="47"/>
        <v>0</v>
      </c>
      <c r="H660" s="5">
        <f t="shared" si="47"/>
        <v>0</v>
      </c>
      <c r="I660" s="5">
        <f t="shared" si="47"/>
        <v>0</v>
      </c>
      <c r="J660" s="5">
        <f t="shared" si="47"/>
        <v>0</v>
      </c>
      <c r="K660" s="5">
        <f t="shared" si="47"/>
        <v>0</v>
      </c>
      <c r="L660" s="5">
        <f t="shared" si="47"/>
        <v>0</v>
      </c>
      <c r="M660" s="5">
        <f t="shared" si="47"/>
        <v>1</v>
      </c>
      <c r="N660" s="32">
        <v>5.4782608695652081E-2</v>
      </c>
      <c r="O660" s="32">
        <v>1.2173913043479132E-3</v>
      </c>
      <c r="P660" s="24">
        <f t="shared" si="46"/>
        <v>5.9322463768115959E-2</v>
      </c>
    </row>
    <row r="661" spans="1:16" x14ac:dyDescent="0.3">
      <c r="A661" s="2">
        <v>37591</v>
      </c>
      <c r="B661" s="23">
        <v>5.7000000000000002E-2</v>
      </c>
      <c r="C661" s="5">
        <f t="shared" si="44"/>
        <v>0</v>
      </c>
      <c r="D661" s="5">
        <f t="shared" si="47"/>
        <v>0</v>
      </c>
      <c r="E661" s="5">
        <f t="shared" si="47"/>
        <v>0</v>
      </c>
      <c r="F661" s="5">
        <f t="shared" si="47"/>
        <v>0</v>
      </c>
      <c r="G661" s="5">
        <f t="shared" si="47"/>
        <v>0</v>
      </c>
      <c r="H661" s="5">
        <f t="shared" si="47"/>
        <v>0</v>
      </c>
      <c r="I661" s="5">
        <f t="shared" si="47"/>
        <v>0</v>
      </c>
      <c r="J661" s="5">
        <f t="shared" si="47"/>
        <v>0</v>
      </c>
      <c r="K661" s="5">
        <f t="shared" si="47"/>
        <v>0</v>
      </c>
      <c r="L661" s="5">
        <f t="shared" si="47"/>
        <v>0</v>
      </c>
      <c r="M661" s="5">
        <f t="shared" si="47"/>
        <v>0</v>
      </c>
      <c r="N661" s="32">
        <v>5.5202898550724598E-2</v>
      </c>
      <c r="O661" s="32">
        <v>1.7971014492754039E-3</v>
      </c>
      <c r="P661" s="24">
        <f t="shared" si="46"/>
        <v>5.9902173913043449E-2</v>
      </c>
    </row>
    <row r="662" spans="1:16" x14ac:dyDescent="0.3">
      <c r="A662" s="2">
        <v>37622</v>
      </c>
      <c r="B662" s="23">
        <v>6.5000000000000002E-2</v>
      </c>
      <c r="C662" s="5">
        <f t="shared" si="44"/>
        <v>1</v>
      </c>
      <c r="D662" s="5">
        <f t="shared" si="47"/>
        <v>0</v>
      </c>
      <c r="E662" s="5">
        <f t="shared" si="47"/>
        <v>0</v>
      </c>
      <c r="F662" s="5">
        <f t="shared" si="47"/>
        <v>0</v>
      </c>
      <c r="G662" s="5">
        <f t="shared" si="47"/>
        <v>0</v>
      </c>
      <c r="H662" s="5">
        <f t="shared" si="47"/>
        <v>0</v>
      </c>
      <c r="I662" s="5">
        <f t="shared" si="47"/>
        <v>0</v>
      </c>
      <c r="J662" s="5">
        <f t="shared" si="47"/>
        <v>0</v>
      </c>
      <c r="K662" s="5">
        <f t="shared" si="47"/>
        <v>0</v>
      </c>
      <c r="L662" s="5">
        <f t="shared" si="47"/>
        <v>0</v>
      </c>
      <c r="M662" s="5">
        <f t="shared" si="47"/>
        <v>0</v>
      </c>
      <c r="N662" s="32">
        <v>6.4492753623188417E-2</v>
      </c>
      <c r="O662" s="32">
        <v>5.072463768115848E-4</v>
      </c>
      <c r="P662" s="24">
        <f t="shared" si="46"/>
        <v>5.861231884057963E-2</v>
      </c>
    </row>
    <row r="663" spans="1:16" x14ac:dyDescent="0.3">
      <c r="A663" s="2">
        <v>37653</v>
      </c>
      <c r="B663" s="23">
        <v>6.4000000000000001E-2</v>
      </c>
      <c r="C663" s="5">
        <f t="shared" si="44"/>
        <v>0</v>
      </c>
      <c r="D663" s="5">
        <f t="shared" si="47"/>
        <v>1</v>
      </c>
      <c r="E663" s="5">
        <f t="shared" si="47"/>
        <v>0</v>
      </c>
      <c r="F663" s="5">
        <f t="shared" si="47"/>
        <v>0</v>
      </c>
      <c r="G663" s="5">
        <f t="shared" si="47"/>
        <v>0</v>
      </c>
      <c r="H663" s="5">
        <f t="shared" si="47"/>
        <v>0</v>
      </c>
      <c r="I663" s="5">
        <f t="shared" si="47"/>
        <v>0</v>
      </c>
      <c r="J663" s="5">
        <f t="shared" si="47"/>
        <v>0</v>
      </c>
      <c r="K663" s="5">
        <f t="shared" si="47"/>
        <v>0</v>
      </c>
      <c r="L663" s="5">
        <f t="shared" si="47"/>
        <v>0</v>
      </c>
      <c r="M663" s="5">
        <f t="shared" si="47"/>
        <v>0</v>
      </c>
      <c r="N663" s="32">
        <v>6.4391304347825973E-2</v>
      </c>
      <c r="O663" s="32">
        <v>-3.9130434782597145E-4</v>
      </c>
      <c r="P663" s="24">
        <f t="shared" si="46"/>
        <v>5.7713768115942074E-2</v>
      </c>
    </row>
    <row r="664" spans="1:16" x14ac:dyDescent="0.3">
      <c r="A664" s="2">
        <v>37681</v>
      </c>
      <c r="B664" s="23">
        <v>6.2E-2</v>
      </c>
      <c r="C664" s="5">
        <f t="shared" si="44"/>
        <v>0</v>
      </c>
      <c r="D664" s="5">
        <f t="shared" si="47"/>
        <v>0</v>
      </c>
      <c r="E664" s="5">
        <f t="shared" si="47"/>
        <v>1</v>
      </c>
      <c r="F664" s="5">
        <f t="shared" si="47"/>
        <v>0</v>
      </c>
      <c r="G664" s="5">
        <f t="shared" si="47"/>
        <v>0</v>
      </c>
      <c r="H664" s="5">
        <f t="shared" si="47"/>
        <v>0</v>
      </c>
      <c r="I664" s="5">
        <f t="shared" si="47"/>
        <v>0</v>
      </c>
      <c r="J664" s="5">
        <f t="shared" si="47"/>
        <v>0</v>
      </c>
      <c r="K664" s="5">
        <f t="shared" si="47"/>
        <v>0</v>
      </c>
      <c r="L664" s="5">
        <f t="shared" si="47"/>
        <v>0</v>
      </c>
      <c r="M664" s="5">
        <f t="shared" si="47"/>
        <v>0</v>
      </c>
      <c r="N664" s="32">
        <v>6.1652173913043402E-2</v>
      </c>
      <c r="O664" s="32">
        <v>3.4782608695659717E-4</v>
      </c>
      <c r="P664" s="24">
        <f t="shared" si="46"/>
        <v>5.8452898550724643E-2</v>
      </c>
    </row>
    <row r="665" spans="1:16" x14ac:dyDescent="0.3">
      <c r="A665" s="2">
        <v>37712</v>
      </c>
      <c r="B665" s="23">
        <v>5.7999999999999996E-2</v>
      </c>
      <c r="C665" s="5">
        <f t="shared" si="44"/>
        <v>0</v>
      </c>
      <c r="D665" s="5">
        <f t="shared" si="47"/>
        <v>0</v>
      </c>
      <c r="E665" s="5">
        <f t="shared" si="47"/>
        <v>0</v>
      </c>
      <c r="F665" s="5">
        <f t="shared" si="47"/>
        <v>1</v>
      </c>
      <c r="G665" s="5">
        <f t="shared" si="47"/>
        <v>0</v>
      </c>
      <c r="H665" s="5">
        <f t="shared" si="47"/>
        <v>0</v>
      </c>
      <c r="I665" s="5">
        <f t="shared" si="47"/>
        <v>0</v>
      </c>
      <c r="J665" s="5">
        <f t="shared" si="47"/>
        <v>0</v>
      </c>
      <c r="K665" s="5">
        <f t="shared" si="47"/>
        <v>0</v>
      </c>
      <c r="L665" s="5">
        <f t="shared" si="47"/>
        <v>0</v>
      </c>
      <c r="M665" s="5">
        <f t="shared" si="47"/>
        <v>0</v>
      </c>
      <c r="N665" s="32">
        <v>5.6550724637681071E-2</v>
      </c>
      <c r="O665" s="32">
        <v>1.4492753623189247E-3</v>
      </c>
      <c r="P665" s="24">
        <f t="shared" si="46"/>
        <v>5.955434782608697E-2</v>
      </c>
    </row>
    <row r="666" spans="1:16" x14ac:dyDescent="0.3">
      <c r="A666" s="2">
        <v>37742</v>
      </c>
      <c r="B666" s="23">
        <v>5.7999999999999996E-2</v>
      </c>
      <c r="C666" s="5">
        <f t="shared" si="44"/>
        <v>0</v>
      </c>
      <c r="D666" s="5">
        <f t="shared" si="47"/>
        <v>0</v>
      </c>
      <c r="E666" s="5">
        <f t="shared" si="47"/>
        <v>0</v>
      </c>
      <c r="F666" s="5">
        <f t="shared" si="47"/>
        <v>0</v>
      </c>
      <c r="G666" s="5">
        <f t="shared" si="47"/>
        <v>1</v>
      </c>
      <c r="H666" s="5">
        <f t="shared" si="47"/>
        <v>0</v>
      </c>
      <c r="I666" s="5">
        <f t="shared" si="47"/>
        <v>0</v>
      </c>
      <c r="J666" s="5">
        <f t="shared" si="47"/>
        <v>0</v>
      </c>
      <c r="K666" s="5">
        <f t="shared" si="47"/>
        <v>0</v>
      </c>
      <c r="L666" s="5">
        <f t="shared" si="47"/>
        <v>0</v>
      </c>
      <c r="M666" s="5">
        <f t="shared" si="47"/>
        <v>0</v>
      </c>
      <c r="N666" s="32">
        <v>5.5101449275362209E-2</v>
      </c>
      <c r="O666" s="32">
        <v>2.898550724637787E-3</v>
      </c>
      <c r="P666" s="24">
        <f t="shared" si="46"/>
        <v>6.1003623188405832E-2</v>
      </c>
    </row>
    <row r="667" spans="1:16" x14ac:dyDescent="0.3">
      <c r="A667" s="2">
        <v>37773</v>
      </c>
      <c r="B667" s="23">
        <v>6.5000000000000002E-2</v>
      </c>
      <c r="C667" s="5">
        <f t="shared" si="44"/>
        <v>0</v>
      </c>
      <c r="D667" s="5">
        <f t="shared" si="47"/>
        <v>0</v>
      </c>
      <c r="E667" s="5">
        <f t="shared" si="47"/>
        <v>0</v>
      </c>
      <c r="F667" s="5">
        <f t="shared" si="47"/>
        <v>0</v>
      </c>
      <c r="G667" s="5">
        <f t="shared" si="47"/>
        <v>0</v>
      </c>
      <c r="H667" s="5">
        <f t="shared" si="47"/>
        <v>1</v>
      </c>
      <c r="I667" s="5">
        <f t="shared" si="47"/>
        <v>0</v>
      </c>
      <c r="J667" s="5">
        <f t="shared" si="47"/>
        <v>0</v>
      </c>
      <c r="K667" s="5">
        <f t="shared" si="47"/>
        <v>0</v>
      </c>
      <c r="L667" s="5">
        <f t="shared" si="47"/>
        <v>0</v>
      </c>
      <c r="M667" s="5">
        <f t="shared" si="47"/>
        <v>0</v>
      </c>
      <c r="N667" s="32">
        <v>6.1130434782608579E-2</v>
      </c>
      <c r="O667" s="32">
        <v>3.8695652173914227E-3</v>
      </c>
      <c r="P667" s="24">
        <f t="shared" si="46"/>
        <v>6.1974637681159468E-2</v>
      </c>
    </row>
    <row r="668" spans="1:16" x14ac:dyDescent="0.3">
      <c r="A668" s="2">
        <v>37803</v>
      </c>
      <c r="B668" s="23">
        <v>6.3E-2</v>
      </c>
      <c r="C668" s="5">
        <f t="shared" si="44"/>
        <v>0</v>
      </c>
      <c r="D668" s="5">
        <f t="shared" si="47"/>
        <v>0</v>
      </c>
      <c r="E668" s="5">
        <f t="shared" si="47"/>
        <v>0</v>
      </c>
      <c r="F668" s="5">
        <f t="shared" si="47"/>
        <v>0</v>
      </c>
      <c r="G668" s="5">
        <f t="shared" si="47"/>
        <v>0</v>
      </c>
      <c r="H668" s="5">
        <f t="shared" si="47"/>
        <v>0</v>
      </c>
      <c r="I668" s="5">
        <f t="shared" si="47"/>
        <v>1</v>
      </c>
      <c r="J668" s="5">
        <f t="shared" si="47"/>
        <v>0</v>
      </c>
      <c r="K668" s="5">
        <f t="shared" si="47"/>
        <v>0</v>
      </c>
      <c r="L668" s="5">
        <f t="shared" si="47"/>
        <v>0</v>
      </c>
      <c r="M668" s="5">
        <f t="shared" si="47"/>
        <v>0</v>
      </c>
      <c r="N668" s="32">
        <v>5.9550724637681039E-2</v>
      </c>
      <c r="O668" s="32">
        <v>3.4492753623189612E-3</v>
      </c>
      <c r="P668" s="24">
        <f t="shared" si="46"/>
        <v>6.1554347826087007E-2</v>
      </c>
    </row>
    <row r="669" spans="1:16" x14ac:dyDescent="0.3">
      <c r="A669" s="2">
        <v>37834</v>
      </c>
      <c r="B669" s="23">
        <v>0.06</v>
      </c>
      <c r="C669" s="5">
        <f t="shared" si="44"/>
        <v>0</v>
      </c>
      <c r="D669" s="5">
        <f t="shared" si="47"/>
        <v>0</v>
      </c>
      <c r="E669" s="5">
        <f t="shared" si="47"/>
        <v>0</v>
      </c>
      <c r="F669" s="5">
        <f t="shared" si="47"/>
        <v>0</v>
      </c>
      <c r="G669" s="5">
        <f t="shared" si="47"/>
        <v>0</v>
      </c>
      <c r="H669" s="5">
        <f t="shared" si="47"/>
        <v>0</v>
      </c>
      <c r="I669" s="5">
        <f t="shared" si="47"/>
        <v>0</v>
      </c>
      <c r="J669" s="5">
        <f t="shared" si="47"/>
        <v>1</v>
      </c>
      <c r="K669" s="5">
        <f t="shared" si="47"/>
        <v>0</v>
      </c>
      <c r="L669" s="5">
        <f t="shared" si="47"/>
        <v>0</v>
      </c>
      <c r="M669" s="5">
        <f t="shared" si="47"/>
        <v>0</v>
      </c>
      <c r="N669" s="32">
        <v>5.6521739130434699E-2</v>
      </c>
      <c r="O669" s="32">
        <v>3.4782608695652986E-3</v>
      </c>
      <c r="P669" s="24">
        <f t="shared" si="46"/>
        <v>6.1583333333333344E-2</v>
      </c>
    </row>
    <row r="670" spans="1:16" x14ac:dyDescent="0.3">
      <c r="A670" s="2">
        <v>37865</v>
      </c>
      <c r="B670" s="23">
        <v>5.7999999999999996E-2</v>
      </c>
      <c r="C670" s="5">
        <f t="shared" si="44"/>
        <v>0</v>
      </c>
      <c r="D670" s="5">
        <f t="shared" si="47"/>
        <v>0</v>
      </c>
      <c r="E670" s="5">
        <f t="shared" si="47"/>
        <v>0</v>
      </c>
      <c r="F670" s="5">
        <f t="shared" si="47"/>
        <v>0</v>
      </c>
      <c r="G670" s="5">
        <f t="shared" si="47"/>
        <v>0</v>
      </c>
      <c r="H670" s="5">
        <f t="shared" si="47"/>
        <v>0</v>
      </c>
      <c r="I670" s="5">
        <f t="shared" si="47"/>
        <v>0</v>
      </c>
      <c r="J670" s="5">
        <f t="shared" si="47"/>
        <v>0</v>
      </c>
      <c r="K670" s="5">
        <f t="shared" si="47"/>
        <v>1</v>
      </c>
      <c r="L670" s="5">
        <f t="shared" si="47"/>
        <v>0</v>
      </c>
      <c r="M670" s="5">
        <f t="shared" si="47"/>
        <v>0</v>
      </c>
      <c r="N670" s="32">
        <v>5.4768115942028898E-2</v>
      </c>
      <c r="O670" s="32">
        <v>3.2318840579710975E-3</v>
      </c>
      <c r="P670" s="24">
        <f t="shared" si="46"/>
        <v>6.1336956521739143E-2</v>
      </c>
    </row>
    <row r="671" spans="1:16" x14ac:dyDescent="0.3">
      <c r="A671" s="2">
        <v>37895</v>
      </c>
      <c r="B671" s="23">
        <v>5.5999999999999994E-2</v>
      </c>
      <c r="C671" s="5">
        <f t="shared" si="44"/>
        <v>0</v>
      </c>
      <c r="D671" s="5">
        <f t="shared" si="47"/>
        <v>0</v>
      </c>
      <c r="E671" s="5">
        <f t="shared" si="47"/>
        <v>0</v>
      </c>
      <c r="F671" s="5">
        <f t="shared" si="47"/>
        <v>0</v>
      </c>
      <c r="G671" s="5">
        <f t="shared" si="47"/>
        <v>0</v>
      </c>
      <c r="H671" s="5">
        <f t="shared" si="47"/>
        <v>0</v>
      </c>
      <c r="I671" s="5">
        <f t="shared" si="47"/>
        <v>0</v>
      </c>
      <c r="J671" s="5">
        <f t="shared" si="47"/>
        <v>0</v>
      </c>
      <c r="K671" s="5">
        <f t="shared" si="47"/>
        <v>0</v>
      </c>
      <c r="L671" s="5">
        <f t="shared" si="47"/>
        <v>1</v>
      </c>
      <c r="M671" s="5">
        <f t="shared" si="47"/>
        <v>0</v>
      </c>
      <c r="N671" s="32">
        <v>5.3115942028985473E-2</v>
      </c>
      <c r="O671" s="32">
        <v>2.8840579710145212E-3</v>
      </c>
      <c r="P671" s="24">
        <f t="shared" si="46"/>
        <v>6.0989130434782567E-2</v>
      </c>
    </row>
    <row r="672" spans="1:16" x14ac:dyDescent="0.3">
      <c r="A672" s="2">
        <v>37926</v>
      </c>
      <c r="B672" s="23">
        <v>5.5999999999999994E-2</v>
      </c>
      <c r="C672" s="5">
        <f t="shared" si="44"/>
        <v>0</v>
      </c>
      <c r="D672" s="5">
        <f t="shared" si="47"/>
        <v>0</v>
      </c>
      <c r="E672" s="5">
        <f t="shared" si="47"/>
        <v>0</v>
      </c>
      <c r="F672" s="5">
        <f t="shared" si="47"/>
        <v>0</v>
      </c>
      <c r="G672" s="5">
        <f t="shared" si="47"/>
        <v>0</v>
      </c>
      <c r="H672" s="5">
        <f t="shared" si="47"/>
        <v>0</v>
      </c>
      <c r="I672" s="5">
        <f t="shared" si="47"/>
        <v>0</v>
      </c>
      <c r="J672" s="5">
        <f t="shared" si="47"/>
        <v>0</v>
      </c>
      <c r="K672" s="5">
        <f t="shared" si="47"/>
        <v>0</v>
      </c>
      <c r="L672" s="5">
        <f t="shared" si="47"/>
        <v>0</v>
      </c>
      <c r="M672" s="5">
        <f t="shared" si="47"/>
        <v>1</v>
      </c>
      <c r="N672" s="32">
        <v>5.4782608695652081E-2</v>
      </c>
      <c r="O672" s="32">
        <v>1.2173913043479132E-3</v>
      </c>
      <c r="P672" s="24">
        <f t="shared" si="46"/>
        <v>5.9322463768115959E-2</v>
      </c>
    </row>
    <row r="673" spans="1:16" x14ac:dyDescent="0.3">
      <c r="A673" s="2">
        <v>37956</v>
      </c>
      <c r="B673" s="23">
        <v>5.4000000000000006E-2</v>
      </c>
      <c r="C673" s="5">
        <f t="shared" si="44"/>
        <v>0</v>
      </c>
      <c r="D673" s="5">
        <f t="shared" si="47"/>
        <v>0</v>
      </c>
      <c r="E673" s="5">
        <f t="shared" si="47"/>
        <v>0</v>
      </c>
      <c r="F673" s="5">
        <f t="shared" si="47"/>
        <v>0</v>
      </c>
      <c r="G673" s="5">
        <f t="shared" si="47"/>
        <v>0</v>
      </c>
      <c r="H673" s="5">
        <f t="shared" si="47"/>
        <v>0</v>
      </c>
      <c r="I673" s="5">
        <f t="shared" si="47"/>
        <v>0</v>
      </c>
      <c r="J673" s="5">
        <f t="shared" si="47"/>
        <v>0</v>
      </c>
      <c r="K673" s="5">
        <f t="shared" si="47"/>
        <v>0</v>
      </c>
      <c r="L673" s="5">
        <f t="shared" si="47"/>
        <v>0</v>
      </c>
      <c r="M673" s="5">
        <f t="shared" si="47"/>
        <v>0</v>
      </c>
      <c r="N673" s="32">
        <v>5.5202898550724598E-2</v>
      </c>
      <c r="O673" s="32">
        <v>-1.2028985507245918E-3</v>
      </c>
      <c r="P673" s="24">
        <f t="shared" si="46"/>
        <v>5.6902173913043454E-2</v>
      </c>
    </row>
    <row r="674" spans="1:16" x14ac:dyDescent="0.3">
      <c r="A674" s="2">
        <v>37987</v>
      </c>
      <c r="B674" s="23">
        <v>6.3E-2</v>
      </c>
      <c r="C674" s="5">
        <f t="shared" si="44"/>
        <v>1</v>
      </c>
      <c r="D674" s="5">
        <f t="shared" si="47"/>
        <v>0</v>
      </c>
      <c r="E674" s="5">
        <f t="shared" si="47"/>
        <v>0</v>
      </c>
      <c r="F674" s="5">
        <f t="shared" si="47"/>
        <v>0</v>
      </c>
      <c r="G674" s="5">
        <f t="shared" si="47"/>
        <v>0</v>
      </c>
      <c r="H674" s="5">
        <f t="shared" si="47"/>
        <v>0</v>
      </c>
      <c r="I674" s="5">
        <f t="shared" si="47"/>
        <v>0</v>
      </c>
      <c r="J674" s="5">
        <f t="shared" si="47"/>
        <v>0</v>
      </c>
      <c r="K674" s="5">
        <f t="shared" si="47"/>
        <v>0</v>
      </c>
      <c r="L674" s="5">
        <f t="shared" si="47"/>
        <v>0</v>
      </c>
      <c r="M674" s="5">
        <f t="shared" si="47"/>
        <v>0</v>
      </c>
      <c r="N674" s="32">
        <v>6.4492753623188417E-2</v>
      </c>
      <c r="O674" s="32">
        <v>-1.492753623188417E-3</v>
      </c>
      <c r="P674" s="24">
        <f t="shared" si="46"/>
        <v>5.6612318840579628E-2</v>
      </c>
    </row>
    <row r="675" spans="1:16" x14ac:dyDescent="0.3">
      <c r="A675" s="2">
        <v>38018</v>
      </c>
      <c r="B675" s="23">
        <v>0.06</v>
      </c>
      <c r="C675" s="5">
        <f t="shared" si="44"/>
        <v>0</v>
      </c>
      <c r="D675" s="5">
        <f t="shared" si="47"/>
        <v>1</v>
      </c>
      <c r="E675" s="5">
        <f t="shared" si="47"/>
        <v>0</v>
      </c>
      <c r="F675" s="5">
        <f t="shared" si="47"/>
        <v>0</v>
      </c>
      <c r="G675" s="5">
        <f t="shared" si="47"/>
        <v>0</v>
      </c>
      <c r="H675" s="5">
        <f t="shared" si="47"/>
        <v>0</v>
      </c>
      <c r="I675" s="5">
        <f t="shared" si="47"/>
        <v>0</v>
      </c>
      <c r="J675" s="5">
        <f t="shared" si="47"/>
        <v>0</v>
      </c>
      <c r="K675" s="5">
        <f t="shared" si="47"/>
        <v>0</v>
      </c>
      <c r="L675" s="5">
        <f t="shared" si="47"/>
        <v>0</v>
      </c>
      <c r="M675" s="5">
        <f t="shared" si="47"/>
        <v>0</v>
      </c>
      <c r="N675" s="32">
        <v>6.4391304347825973E-2</v>
      </c>
      <c r="O675" s="32">
        <v>-4.391304347825975E-3</v>
      </c>
      <c r="P675" s="24">
        <f t="shared" si="46"/>
        <v>5.371376811594207E-2</v>
      </c>
    </row>
    <row r="676" spans="1:16" x14ac:dyDescent="0.3">
      <c r="A676" s="2">
        <v>38047</v>
      </c>
      <c r="B676" s="23">
        <v>0.06</v>
      </c>
      <c r="C676" s="5">
        <f t="shared" si="44"/>
        <v>0</v>
      </c>
      <c r="D676" s="5">
        <f t="shared" si="47"/>
        <v>0</v>
      </c>
      <c r="E676" s="5">
        <f t="shared" si="47"/>
        <v>1</v>
      </c>
      <c r="F676" s="5">
        <f t="shared" si="47"/>
        <v>0</v>
      </c>
      <c r="G676" s="5">
        <f t="shared" si="47"/>
        <v>0</v>
      </c>
      <c r="H676" s="5">
        <f t="shared" si="47"/>
        <v>0</v>
      </c>
      <c r="I676" s="5">
        <f t="shared" si="47"/>
        <v>0</v>
      </c>
      <c r="J676" s="5">
        <f t="shared" si="47"/>
        <v>0</v>
      </c>
      <c r="K676" s="5">
        <f t="shared" si="47"/>
        <v>0</v>
      </c>
      <c r="L676" s="5">
        <f t="shared" si="47"/>
        <v>0</v>
      </c>
      <c r="M676" s="5">
        <f t="shared" si="47"/>
        <v>0</v>
      </c>
      <c r="N676" s="32">
        <v>6.1652173913043402E-2</v>
      </c>
      <c r="O676" s="32">
        <v>-1.6521739130434046E-3</v>
      </c>
      <c r="P676" s="24">
        <f t="shared" si="46"/>
        <v>5.6452898550724641E-2</v>
      </c>
    </row>
    <row r="677" spans="1:16" x14ac:dyDescent="0.3">
      <c r="A677" s="2">
        <v>38078</v>
      </c>
      <c r="B677" s="23">
        <v>5.4000000000000006E-2</v>
      </c>
      <c r="C677" s="5">
        <f t="shared" si="44"/>
        <v>0</v>
      </c>
      <c r="D677" s="5">
        <f t="shared" si="47"/>
        <v>0</v>
      </c>
      <c r="E677" s="5">
        <f t="shared" si="47"/>
        <v>0</v>
      </c>
      <c r="F677" s="5">
        <f t="shared" si="47"/>
        <v>1</v>
      </c>
      <c r="G677" s="5">
        <f t="shared" ref="D677:M702" si="48">IF(MONTH($A677)=G$1,1,0)</f>
        <v>0</v>
      </c>
      <c r="H677" s="5">
        <f t="shared" si="48"/>
        <v>0</v>
      </c>
      <c r="I677" s="5">
        <f t="shared" si="48"/>
        <v>0</v>
      </c>
      <c r="J677" s="5">
        <f t="shared" si="48"/>
        <v>0</v>
      </c>
      <c r="K677" s="5">
        <f t="shared" si="48"/>
        <v>0</v>
      </c>
      <c r="L677" s="5">
        <f t="shared" si="48"/>
        <v>0</v>
      </c>
      <c r="M677" s="5">
        <f t="shared" si="48"/>
        <v>0</v>
      </c>
      <c r="N677" s="32">
        <v>5.6550724637681071E-2</v>
      </c>
      <c r="O677" s="32">
        <v>-2.5507246376810649E-3</v>
      </c>
      <c r="P677" s="24">
        <f t="shared" si="46"/>
        <v>5.5554347826086981E-2</v>
      </c>
    </row>
    <row r="678" spans="1:16" x14ac:dyDescent="0.3">
      <c r="A678" s="2">
        <v>38108</v>
      </c>
      <c r="B678" s="23">
        <v>5.2999999999999999E-2</v>
      </c>
      <c r="C678" s="5">
        <f t="shared" si="44"/>
        <v>0</v>
      </c>
      <c r="D678" s="5">
        <f t="shared" si="48"/>
        <v>0</v>
      </c>
      <c r="E678" s="5">
        <f t="shared" si="48"/>
        <v>0</v>
      </c>
      <c r="F678" s="5">
        <f t="shared" si="48"/>
        <v>0</v>
      </c>
      <c r="G678" s="5">
        <f t="shared" si="48"/>
        <v>1</v>
      </c>
      <c r="H678" s="5">
        <f t="shared" si="48"/>
        <v>0</v>
      </c>
      <c r="I678" s="5">
        <f t="shared" si="48"/>
        <v>0</v>
      </c>
      <c r="J678" s="5">
        <f t="shared" si="48"/>
        <v>0</v>
      </c>
      <c r="K678" s="5">
        <f t="shared" si="48"/>
        <v>0</v>
      </c>
      <c r="L678" s="5">
        <f t="shared" si="48"/>
        <v>0</v>
      </c>
      <c r="M678" s="5">
        <f t="shared" si="48"/>
        <v>0</v>
      </c>
      <c r="N678" s="32">
        <v>5.5101449275362209E-2</v>
      </c>
      <c r="O678" s="32">
        <v>-2.1014492753622105E-3</v>
      </c>
      <c r="P678" s="24">
        <f t="shared" si="46"/>
        <v>5.6003623188405835E-2</v>
      </c>
    </row>
    <row r="679" spans="1:16" x14ac:dyDescent="0.3">
      <c r="A679" s="2">
        <v>38139</v>
      </c>
      <c r="B679" s="23">
        <v>5.7999999999999996E-2</v>
      </c>
      <c r="C679" s="5">
        <f t="shared" si="44"/>
        <v>0</v>
      </c>
      <c r="D679" s="5">
        <f t="shared" si="48"/>
        <v>0</v>
      </c>
      <c r="E679" s="5">
        <f t="shared" si="48"/>
        <v>0</v>
      </c>
      <c r="F679" s="5">
        <f t="shared" si="48"/>
        <v>0</v>
      </c>
      <c r="G679" s="5">
        <f t="shared" si="48"/>
        <v>0</v>
      </c>
      <c r="H679" s="5">
        <f t="shared" si="48"/>
        <v>1</v>
      </c>
      <c r="I679" s="5">
        <f t="shared" si="48"/>
        <v>0</v>
      </c>
      <c r="J679" s="5">
        <f t="shared" si="48"/>
        <v>0</v>
      </c>
      <c r="K679" s="5">
        <f t="shared" si="48"/>
        <v>0</v>
      </c>
      <c r="L679" s="5">
        <f t="shared" si="48"/>
        <v>0</v>
      </c>
      <c r="M679" s="5">
        <f t="shared" si="48"/>
        <v>0</v>
      </c>
      <c r="N679" s="32">
        <v>6.1130434782608579E-2</v>
      </c>
      <c r="O679" s="32">
        <v>-3.1304347826085835E-3</v>
      </c>
      <c r="P679" s="24">
        <f t="shared" si="46"/>
        <v>5.4974637681159462E-2</v>
      </c>
    </row>
    <row r="680" spans="1:16" x14ac:dyDescent="0.3">
      <c r="A680" s="2">
        <v>38169</v>
      </c>
      <c r="B680" s="23">
        <v>5.7000000000000002E-2</v>
      </c>
      <c r="C680" s="5">
        <f t="shared" ref="C680:C743" si="49">IF(MONTH($A680)=C$1,1,0)</f>
        <v>0</v>
      </c>
      <c r="D680" s="5">
        <f t="shared" si="48"/>
        <v>0</v>
      </c>
      <c r="E680" s="5">
        <f t="shared" si="48"/>
        <v>0</v>
      </c>
      <c r="F680" s="5">
        <f t="shared" si="48"/>
        <v>0</v>
      </c>
      <c r="G680" s="5">
        <f t="shared" si="48"/>
        <v>0</v>
      </c>
      <c r="H680" s="5">
        <f t="shared" si="48"/>
        <v>0</v>
      </c>
      <c r="I680" s="5">
        <f t="shared" si="48"/>
        <v>1</v>
      </c>
      <c r="J680" s="5">
        <f t="shared" si="48"/>
        <v>0</v>
      </c>
      <c r="K680" s="5">
        <f t="shared" si="48"/>
        <v>0</v>
      </c>
      <c r="L680" s="5">
        <f t="shared" si="48"/>
        <v>0</v>
      </c>
      <c r="M680" s="5">
        <f t="shared" si="48"/>
        <v>0</v>
      </c>
      <c r="N680" s="32">
        <v>5.9550724637681039E-2</v>
      </c>
      <c r="O680" s="32">
        <v>-2.5507246376810372E-3</v>
      </c>
      <c r="P680" s="24">
        <f t="shared" si="46"/>
        <v>5.5554347826087008E-2</v>
      </c>
    </row>
    <row r="681" spans="1:16" x14ac:dyDescent="0.3">
      <c r="A681" s="2">
        <v>38200</v>
      </c>
      <c r="B681" s="23">
        <v>5.4000000000000006E-2</v>
      </c>
      <c r="C681" s="5">
        <f t="shared" si="49"/>
        <v>0</v>
      </c>
      <c r="D681" s="5">
        <f t="shared" si="48"/>
        <v>0</v>
      </c>
      <c r="E681" s="5">
        <f t="shared" si="48"/>
        <v>0</v>
      </c>
      <c r="F681" s="5">
        <f t="shared" si="48"/>
        <v>0</v>
      </c>
      <c r="G681" s="5">
        <f t="shared" si="48"/>
        <v>0</v>
      </c>
      <c r="H681" s="5">
        <f t="shared" si="48"/>
        <v>0</v>
      </c>
      <c r="I681" s="5">
        <f t="shared" si="48"/>
        <v>0</v>
      </c>
      <c r="J681" s="5">
        <f t="shared" si="48"/>
        <v>1</v>
      </c>
      <c r="K681" s="5">
        <f t="shared" si="48"/>
        <v>0</v>
      </c>
      <c r="L681" s="5">
        <f t="shared" si="48"/>
        <v>0</v>
      </c>
      <c r="M681" s="5">
        <f t="shared" si="48"/>
        <v>0</v>
      </c>
      <c r="N681" s="32">
        <v>5.6521739130434699E-2</v>
      </c>
      <c r="O681" s="32">
        <v>-2.5217391304346928E-3</v>
      </c>
      <c r="P681" s="24">
        <f t="shared" si="46"/>
        <v>5.5583333333333353E-2</v>
      </c>
    </row>
    <row r="682" spans="1:16" x14ac:dyDescent="0.3">
      <c r="A682" s="2">
        <v>38231</v>
      </c>
      <c r="B682" s="23">
        <v>5.0999999999999997E-2</v>
      </c>
      <c r="C682" s="5">
        <f t="shared" si="49"/>
        <v>0</v>
      </c>
      <c r="D682" s="5">
        <f t="shared" si="48"/>
        <v>0</v>
      </c>
      <c r="E682" s="5">
        <f t="shared" si="48"/>
        <v>0</v>
      </c>
      <c r="F682" s="5">
        <f t="shared" si="48"/>
        <v>0</v>
      </c>
      <c r="G682" s="5">
        <f t="shared" si="48"/>
        <v>0</v>
      </c>
      <c r="H682" s="5">
        <f t="shared" si="48"/>
        <v>0</v>
      </c>
      <c r="I682" s="5">
        <f t="shared" si="48"/>
        <v>0</v>
      </c>
      <c r="J682" s="5">
        <f t="shared" si="48"/>
        <v>0</v>
      </c>
      <c r="K682" s="5">
        <f t="shared" si="48"/>
        <v>1</v>
      </c>
      <c r="L682" s="5">
        <f t="shared" si="48"/>
        <v>0</v>
      </c>
      <c r="M682" s="5">
        <f t="shared" si="48"/>
        <v>0</v>
      </c>
      <c r="N682" s="32">
        <v>5.4768115942028898E-2</v>
      </c>
      <c r="O682" s="32">
        <v>-3.7681159420289018E-3</v>
      </c>
      <c r="P682" s="24">
        <f t="shared" si="46"/>
        <v>5.4336956521739144E-2</v>
      </c>
    </row>
    <row r="683" spans="1:16" x14ac:dyDescent="0.3">
      <c r="A683" s="2">
        <v>38261</v>
      </c>
      <c r="B683" s="23">
        <v>5.0999999999999997E-2</v>
      </c>
      <c r="C683" s="5">
        <f t="shared" si="49"/>
        <v>0</v>
      </c>
      <c r="D683" s="5">
        <f t="shared" si="48"/>
        <v>0</v>
      </c>
      <c r="E683" s="5">
        <f t="shared" si="48"/>
        <v>0</v>
      </c>
      <c r="F683" s="5">
        <f t="shared" si="48"/>
        <v>0</v>
      </c>
      <c r="G683" s="5">
        <f t="shared" si="48"/>
        <v>0</v>
      </c>
      <c r="H683" s="5">
        <f t="shared" si="48"/>
        <v>0</v>
      </c>
      <c r="I683" s="5">
        <f t="shared" si="48"/>
        <v>0</v>
      </c>
      <c r="J683" s="5">
        <f t="shared" si="48"/>
        <v>0</v>
      </c>
      <c r="K683" s="5">
        <f t="shared" si="48"/>
        <v>0</v>
      </c>
      <c r="L683" s="5">
        <f t="shared" si="48"/>
        <v>1</v>
      </c>
      <c r="M683" s="5">
        <f t="shared" si="48"/>
        <v>0</v>
      </c>
      <c r="N683" s="32">
        <v>5.3115942028985473E-2</v>
      </c>
      <c r="O683" s="32">
        <v>-2.1159420289854763E-3</v>
      </c>
      <c r="P683" s="24">
        <f t="shared" si="46"/>
        <v>5.5989130434782569E-2</v>
      </c>
    </row>
    <row r="684" spans="1:16" x14ac:dyDescent="0.3">
      <c r="A684" s="2">
        <v>38292</v>
      </c>
      <c r="B684" s="23">
        <v>5.2000000000000005E-2</v>
      </c>
      <c r="C684" s="5">
        <f t="shared" si="49"/>
        <v>0</v>
      </c>
      <c r="D684" s="5">
        <f t="shared" si="48"/>
        <v>0</v>
      </c>
      <c r="E684" s="5">
        <f t="shared" si="48"/>
        <v>0</v>
      </c>
      <c r="F684" s="5">
        <f t="shared" si="48"/>
        <v>0</v>
      </c>
      <c r="G684" s="5">
        <f t="shared" si="48"/>
        <v>0</v>
      </c>
      <c r="H684" s="5">
        <f t="shared" si="48"/>
        <v>0</v>
      </c>
      <c r="I684" s="5">
        <f t="shared" si="48"/>
        <v>0</v>
      </c>
      <c r="J684" s="5">
        <f t="shared" si="48"/>
        <v>0</v>
      </c>
      <c r="K684" s="5">
        <f t="shared" si="48"/>
        <v>0</v>
      </c>
      <c r="L684" s="5">
        <f t="shared" si="48"/>
        <v>0</v>
      </c>
      <c r="M684" s="5">
        <f t="shared" si="48"/>
        <v>1</v>
      </c>
      <c r="N684" s="32">
        <v>5.4782608695652081E-2</v>
      </c>
      <c r="O684" s="32">
        <v>-2.7826086956520765E-3</v>
      </c>
      <c r="P684" s="24">
        <f t="shared" si="46"/>
        <v>5.5322463768115969E-2</v>
      </c>
    </row>
    <row r="685" spans="1:16" x14ac:dyDescent="0.3">
      <c r="A685" s="2">
        <v>38322</v>
      </c>
      <c r="B685" s="23">
        <v>5.0999999999999997E-2</v>
      </c>
      <c r="C685" s="5">
        <f t="shared" si="49"/>
        <v>0</v>
      </c>
      <c r="D685" s="5">
        <f t="shared" si="48"/>
        <v>0</v>
      </c>
      <c r="E685" s="5">
        <f t="shared" si="48"/>
        <v>0</v>
      </c>
      <c r="F685" s="5">
        <f t="shared" si="48"/>
        <v>0</v>
      </c>
      <c r="G685" s="5">
        <f t="shared" si="48"/>
        <v>0</v>
      </c>
      <c r="H685" s="5">
        <f t="shared" si="48"/>
        <v>0</v>
      </c>
      <c r="I685" s="5">
        <f t="shared" si="48"/>
        <v>0</v>
      </c>
      <c r="J685" s="5">
        <f t="shared" si="48"/>
        <v>0</v>
      </c>
      <c r="K685" s="5">
        <f t="shared" si="48"/>
        <v>0</v>
      </c>
      <c r="L685" s="5">
        <f t="shared" si="48"/>
        <v>0</v>
      </c>
      <c r="M685" s="5">
        <f t="shared" si="48"/>
        <v>0</v>
      </c>
      <c r="N685" s="32">
        <v>5.5202898550724598E-2</v>
      </c>
      <c r="O685" s="32">
        <v>-4.2028985507246014E-3</v>
      </c>
      <c r="P685" s="24">
        <f t="shared" si="46"/>
        <v>5.3902173913043444E-2</v>
      </c>
    </row>
    <row r="686" spans="1:16" x14ac:dyDescent="0.3">
      <c r="A686" s="2">
        <v>38353</v>
      </c>
      <c r="B686" s="23">
        <v>5.7000000000000002E-2</v>
      </c>
      <c r="C686" s="5">
        <f t="shared" si="49"/>
        <v>1</v>
      </c>
      <c r="D686" s="5">
        <f t="shared" si="48"/>
        <v>0</v>
      </c>
      <c r="E686" s="5">
        <f t="shared" si="48"/>
        <v>0</v>
      </c>
      <c r="F686" s="5">
        <f t="shared" si="48"/>
        <v>0</v>
      </c>
      <c r="G686" s="5">
        <f t="shared" si="48"/>
        <v>0</v>
      </c>
      <c r="H686" s="5">
        <f t="shared" si="48"/>
        <v>0</v>
      </c>
      <c r="I686" s="5">
        <f t="shared" si="48"/>
        <v>0</v>
      </c>
      <c r="J686" s="5">
        <f t="shared" si="48"/>
        <v>0</v>
      </c>
      <c r="K686" s="5">
        <f t="shared" si="48"/>
        <v>0</v>
      </c>
      <c r="L686" s="5">
        <f t="shared" si="48"/>
        <v>0</v>
      </c>
      <c r="M686" s="5">
        <f t="shared" si="48"/>
        <v>0</v>
      </c>
      <c r="N686" s="32">
        <v>6.4492753623188417E-2</v>
      </c>
      <c r="O686" s="32">
        <v>-7.4927536231884154E-3</v>
      </c>
      <c r="P686" s="24">
        <f t="shared" si="46"/>
        <v>5.061231884057963E-2</v>
      </c>
    </row>
    <row r="687" spans="1:16" x14ac:dyDescent="0.3">
      <c r="A687" s="2">
        <v>38384</v>
      </c>
      <c r="B687" s="23">
        <v>5.7999999999999996E-2</v>
      </c>
      <c r="C687" s="5">
        <f t="shared" si="49"/>
        <v>0</v>
      </c>
      <c r="D687" s="5">
        <f t="shared" si="48"/>
        <v>1</v>
      </c>
      <c r="E687" s="5">
        <f t="shared" si="48"/>
        <v>0</v>
      </c>
      <c r="F687" s="5">
        <f t="shared" si="48"/>
        <v>0</v>
      </c>
      <c r="G687" s="5">
        <f t="shared" si="48"/>
        <v>0</v>
      </c>
      <c r="H687" s="5">
        <f t="shared" si="48"/>
        <v>0</v>
      </c>
      <c r="I687" s="5">
        <f t="shared" si="48"/>
        <v>0</v>
      </c>
      <c r="J687" s="5">
        <f t="shared" si="48"/>
        <v>0</v>
      </c>
      <c r="K687" s="5">
        <f t="shared" si="48"/>
        <v>0</v>
      </c>
      <c r="L687" s="5">
        <f t="shared" si="48"/>
        <v>0</v>
      </c>
      <c r="M687" s="5">
        <f t="shared" si="48"/>
        <v>0</v>
      </c>
      <c r="N687" s="32">
        <v>6.4391304347825973E-2</v>
      </c>
      <c r="O687" s="32">
        <v>-6.3913043478259768E-3</v>
      </c>
      <c r="P687" s="24">
        <f t="shared" si="46"/>
        <v>5.1713768115942069E-2</v>
      </c>
    </row>
    <row r="688" spans="1:16" x14ac:dyDescent="0.3">
      <c r="A688" s="2">
        <v>38412</v>
      </c>
      <c r="B688" s="23">
        <v>5.4000000000000006E-2</v>
      </c>
      <c r="C688" s="5">
        <f t="shared" si="49"/>
        <v>0</v>
      </c>
      <c r="D688" s="5">
        <f t="shared" si="48"/>
        <v>0</v>
      </c>
      <c r="E688" s="5">
        <f t="shared" si="48"/>
        <v>1</v>
      </c>
      <c r="F688" s="5">
        <f t="shared" si="48"/>
        <v>0</v>
      </c>
      <c r="G688" s="5">
        <f t="shared" si="48"/>
        <v>0</v>
      </c>
      <c r="H688" s="5">
        <f t="shared" si="48"/>
        <v>0</v>
      </c>
      <c r="I688" s="5">
        <f t="shared" si="48"/>
        <v>0</v>
      </c>
      <c r="J688" s="5">
        <f t="shared" si="48"/>
        <v>0</v>
      </c>
      <c r="K688" s="5">
        <f t="shared" si="48"/>
        <v>0</v>
      </c>
      <c r="L688" s="5">
        <f t="shared" si="48"/>
        <v>0</v>
      </c>
      <c r="M688" s="5">
        <f t="shared" si="48"/>
        <v>0</v>
      </c>
      <c r="N688" s="32">
        <v>6.1652173913043402E-2</v>
      </c>
      <c r="O688" s="32">
        <v>-7.6521739130433961E-3</v>
      </c>
      <c r="P688" s="24">
        <f t="shared" si="46"/>
        <v>5.0452898550724649E-2</v>
      </c>
    </row>
    <row r="689" spans="1:16" x14ac:dyDescent="0.3">
      <c r="A689" s="2">
        <v>38443</v>
      </c>
      <c r="B689" s="23">
        <v>4.9000000000000002E-2</v>
      </c>
      <c r="C689" s="5">
        <f t="shared" si="49"/>
        <v>0</v>
      </c>
      <c r="D689" s="5">
        <f t="shared" si="48"/>
        <v>0</v>
      </c>
      <c r="E689" s="5">
        <f t="shared" si="48"/>
        <v>0</v>
      </c>
      <c r="F689" s="5">
        <f t="shared" si="48"/>
        <v>1</v>
      </c>
      <c r="G689" s="5">
        <f t="shared" si="48"/>
        <v>0</v>
      </c>
      <c r="H689" s="5">
        <f t="shared" si="48"/>
        <v>0</v>
      </c>
      <c r="I689" s="5">
        <f t="shared" si="48"/>
        <v>0</v>
      </c>
      <c r="J689" s="5">
        <f t="shared" si="48"/>
        <v>0</v>
      </c>
      <c r="K689" s="5">
        <f t="shared" si="48"/>
        <v>0</v>
      </c>
      <c r="L689" s="5">
        <f t="shared" si="48"/>
        <v>0</v>
      </c>
      <c r="M689" s="5">
        <f t="shared" si="48"/>
        <v>0</v>
      </c>
      <c r="N689" s="32">
        <v>5.6550724637681071E-2</v>
      </c>
      <c r="O689" s="32">
        <v>-7.5507246376810694E-3</v>
      </c>
      <c r="P689" s="24">
        <f t="shared" si="46"/>
        <v>5.0554347826086976E-2</v>
      </c>
    </row>
    <row r="690" spans="1:16" x14ac:dyDescent="0.3">
      <c r="A690" s="2">
        <v>38473</v>
      </c>
      <c r="B690" s="23">
        <v>4.9000000000000002E-2</v>
      </c>
      <c r="C690" s="5">
        <f t="shared" si="49"/>
        <v>0</v>
      </c>
      <c r="D690" s="5">
        <f t="shared" si="48"/>
        <v>0</v>
      </c>
      <c r="E690" s="5">
        <f t="shared" si="48"/>
        <v>0</v>
      </c>
      <c r="F690" s="5">
        <f t="shared" si="48"/>
        <v>0</v>
      </c>
      <c r="G690" s="5">
        <f t="shared" si="48"/>
        <v>1</v>
      </c>
      <c r="H690" s="5">
        <f t="shared" si="48"/>
        <v>0</v>
      </c>
      <c r="I690" s="5">
        <f t="shared" si="48"/>
        <v>0</v>
      </c>
      <c r="J690" s="5">
        <f t="shared" si="48"/>
        <v>0</v>
      </c>
      <c r="K690" s="5">
        <f t="shared" si="48"/>
        <v>0</v>
      </c>
      <c r="L690" s="5">
        <f t="shared" si="48"/>
        <v>0</v>
      </c>
      <c r="M690" s="5">
        <f t="shared" si="48"/>
        <v>0</v>
      </c>
      <c r="N690" s="32">
        <v>5.5101449275362209E-2</v>
      </c>
      <c r="O690" s="32">
        <v>-6.1014492753622071E-3</v>
      </c>
      <c r="P690" s="24">
        <f t="shared" si="46"/>
        <v>5.2003623188405838E-2</v>
      </c>
    </row>
    <row r="691" spans="1:16" x14ac:dyDescent="0.3">
      <c r="A691" s="2">
        <v>38504</v>
      </c>
      <c r="B691" s="23">
        <v>5.2000000000000005E-2</v>
      </c>
      <c r="C691" s="5">
        <f t="shared" si="49"/>
        <v>0</v>
      </c>
      <c r="D691" s="5">
        <f t="shared" si="48"/>
        <v>0</v>
      </c>
      <c r="E691" s="5">
        <f t="shared" si="48"/>
        <v>0</v>
      </c>
      <c r="F691" s="5">
        <f t="shared" si="48"/>
        <v>0</v>
      </c>
      <c r="G691" s="5">
        <f t="shared" si="48"/>
        <v>0</v>
      </c>
      <c r="H691" s="5">
        <f t="shared" si="48"/>
        <v>1</v>
      </c>
      <c r="I691" s="5">
        <f t="shared" si="48"/>
        <v>0</v>
      </c>
      <c r="J691" s="5">
        <f t="shared" si="48"/>
        <v>0</v>
      </c>
      <c r="K691" s="5">
        <f t="shared" si="48"/>
        <v>0</v>
      </c>
      <c r="L691" s="5">
        <f t="shared" si="48"/>
        <v>0</v>
      </c>
      <c r="M691" s="5">
        <f t="shared" si="48"/>
        <v>0</v>
      </c>
      <c r="N691" s="32">
        <v>6.1130434782608579E-2</v>
      </c>
      <c r="O691" s="32">
        <v>-9.1304347826085749E-3</v>
      </c>
      <c r="P691" s="24">
        <f t="shared" si="46"/>
        <v>4.8974637681159471E-2</v>
      </c>
    </row>
    <row r="692" spans="1:16" x14ac:dyDescent="0.3">
      <c r="A692" s="2">
        <v>38534</v>
      </c>
      <c r="B692" s="23">
        <v>5.2000000000000005E-2</v>
      </c>
      <c r="C692" s="5">
        <f t="shared" si="49"/>
        <v>0</v>
      </c>
      <c r="D692" s="5">
        <f t="shared" si="48"/>
        <v>0</v>
      </c>
      <c r="E692" s="5">
        <f t="shared" si="48"/>
        <v>0</v>
      </c>
      <c r="F692" s="5">
        <f t="shared" si="48"/>
        <v>0</v>
      </c>
      <c r="G692" s="5">
        <f t="shared" si="48"/>
        <v>0</v>
      </c>
      <c r="H692" s="5">
        <f t="shared" si="48"/>
        <v>0</v>
      </c>
      <c r="I692" s="5">
        <f t="shared" si="48"/>
        <v>1</v>
      </c>
      <c r="J692" s="5">
        <f t="shared" si="48"/>
        <v>0</v>
      </c>
      <c r="K692" s="5">
        <f t="shared" si="48"/>
        <v>0</v>
      </c>
      <c r="L692" s="5">
        <f t="shared" si="48"/>
        <v>0</v>
      </c>
      <c r="M692" s="5">
        <f t="shared" si="48"/>
        <v>0</v>
      </c>
      <c r="N692" s="32">
        <v>5.9550724637681039E-2</v>
      </c>
      <c r="O692" s="32">
        <v>-7.5507246376810347E-3</v>
      </c>
      <c r="P692" s="24">
        <f t="shared" si="46"/>
        <v>5.0554347826087011E-2</v>
      </c>
    </row>
    <row r="693" spans="1:16" x14ac:dyDescent="0.3">
      <c r="A693" s="2">
        <v>38565</v>
      </c>
      <c r="B693" s="23">
        <v>4.9000000000000002E-2</v>
      </c>
      <c r="C693" s="5">
        <f t="shared" si="49"/>
        <v>0</v>
      </c>
      <c r="D693" s="5">
        <f t="shared" si="48"/>
        <v>0</v>
      </c>
      <c r="E693" s="5">
        <f t="shared" si="48"/>
        <v>0</v>
      </c>
      <c r="F693" s="5">
        <f t="shared" si="48"/>
        <v>0</v>
      </c>
      <c r="G693" s="5">
        <f t="shared" si="48"/>
        <v>0</v>
      </c>
      <c r="H693" s="5">
        <f t="shared" si="48"/>
        <v>0</v>
      </c>
      <c r="I693" s="5">
        <f t="shared" si="48"/>
        <v>0</v>
      </c>
      <c r="J693" s="5">
        <f t="shared" si="48"/>
        <v>1</v>
      </c>
      <c r="K693" s="5">
        <f t="shared" si="48"/>
        <v>0</v>
      </c>
      <c r="L693" s="5">
        <f t="shared" si="48"/>
        <v>0</v>
      </c>
      <c r="M693" s="5">
        <f t="shared" si="48"/>
        <v>0</v>
      </c>
      <c r="N693" s="32">
        <v>5.6521739130434699E-2</v>
      </c>
      <c r="O693" s="32">
        <v>-7.5217391304346973E-3</v>
      </c>
      <c r="P693" s="24">
        <f t="shared" si="46"/>
        <v>5.0583333333333348E-2</v>
      </c>
    </row>
    <row r="694" spans="1:16" x14ac:dyDescent="0.3">
      <c r="A694" s="2">
        <v>38596</v>
      </c>
      <c r="B694" s="23">
        <v>4.8000000000000001E-2</v>
      </c>
      <c r="C694" s="5">
        <f t="shared" si="49"/>
        <v>0</v>
      </c>
      <c r="D694" s="5">
        <f t="shared" si="48"/>
        <v>0</v>
      </c>
      <c r="E694" s="5">
        <f t="shared" si="48"/>
        <v>0</v>
      </c>
      <c r="F694" s="5">
        <f t="shared" si="48"/>
        <v>0</v>
      </c>
      <c r="G694" s="5">
        <f t="shared" si="48"/>
        <v>0</v>
      </c>
      <c r="H694" s="5">
        <f t="shared" si="48"/>
        <v>0</v>
      </c>
      <c r="I694" s="5">
        <f t="shared" si="48"/>
        <v>0</v>
      </c>
      <c r="J694" s="5">
        <f t="shared" si="48"/>
        <v>0</v>
      </c>
      <c r="K694" s="5">
        <f t="shared" si="48"/>
        <v>1</v>
      </c>
      <c r="L694" s="5">
        <f t="shared" si="48"/>
        <v>0</v>
      </c>
      <c r="M694" s="5">
        <f t="shared" si="48"/>
        <v>0</v>
      </c>
      <c r="N694" s="32">
        <v>5.4768115942028898E-2</v>
      </c>
      <c r="O694" s="32">
        <v>-6.7681159420288975E-3</v>
      </c>
      <c r="P694" s="24">
        <f t="shared" si="46"/>
        <v>5.1336956521739148E-2</v>
      </c>
    </row>
    <row r="695" spans="1:16" x14ac:dyDescent="0.3">
      <c r="A695" s="2">
        <v>38626</v>
      </c>
      <c r="B695" s="23">
        <v>4.5999999999999999E-2</v>
      </c>
      <c r="C695" s="5">
        <f t="shared" si="49"/>
        <v>0</v>
      </c>
      <c r="D695" s="5">
        <f t="shared" si="48"/>
        <v>0</v>
      </c>
      <c r="E695" s="5">
        <f t="shared" si="48"/>
        <v>0</v>
      </c>
      <c r="F695" s="5">
        <f t="shared" si="48"/>
        <v>0</v>
      </c>
      <c r="G695" s="5">
        <f t="shared" si="48"/>
        <v>0</v>
      </c>
      <c r="H695" s="5">
        <f t="shared" si="48"/>
        <v>0</v>
      </c>
      <c r="I695" s="5">
        <f t="shared" si="48"/>
        <v>0</v>
      </c>
      <c r="J695" s="5">
        <f t="shared" si="48"/>
        <v>0</v>
      </c>
      <c r="K695" s="5">
        <f t="shared" si="48"/>
        <v>0</v>
      </c>
      <c r="L695" s="5">
        <f t="shared" si="48"/>
        <v>1</v>
      </c>
      <c r="M695" s="5">
        <f t="shared" si="48"/>
        <v>0</v>
      </c>
      <c r="N695" s="32">
        <v>5.3115942028985473E-2</v>
      </c>
      <c r="O695" s="32">
        <v>-7.1159420289854738E-3</v>
      </c>
      <c r="P695" s="24">
        <f t="shared" si="46"/>
        <v>5.0989130434782572E-2</v>
      </c>
    </row>
    <row r="696" spans="1:16" x14ac:dyDescent="0.3">
      <c r="A696" s="2">
        <v>38657</v>
      </c>
      <c r="B696" s="23">
        <v>4.8000000000000001E-2</v>
      </c>
      <c r="C696" s="5">
        <f t="shared" si="49"/>
        <v>0</v>
      </c>
      <c r="D696" s="5">
        <f t="shared" si="48"/>
        <v>0</v>
      </c>
      <c r="E696" s="5">
        <f t="shared" si="48"/>
        <v>0</v>
      </c>
      <c r="F696" s="5">
        <f t="shared" si="48"/>
        <v>0</v>
      </c>
      <c r="G696" s="5">
        <f t="shared" si="48"/>
        <v>0</v>
      </c>
      <c r="H696" s="5">
        <f t="shared" si="48"/>
        <v>0</v>
      </c>
      <c r="I696" s="5">
        <f t="shared" si="48"/>
        <v>0</v>
      </c>
      <c r="J696" s="5">
        <f t="shared" si="48"/>
        <v>0</v>
      </c>
      <c r="K696" s="5">
        <f t="shared" si="48"/>
        <v>0</v>
      </c>
      <c r="L696" s="5">
        <f t="shared" si="48"/>
        <v>0</v>
      </c>
      <c r="M696" s="5">
        <f t="shared" si="48"/>
        <v>1</v>
      </c>
      <c r="N696" s="32">
        <v>5.4782608695652081E-2</v>
      </c>
      <c r="O696" s="32">
        <v>-6.7826086956520801E-3</v>
      </c>
      <c r="P696" s="24">
        <f t="shared" si="46"/>
        <v>5.1322463768115965E-2</v>
      </c>
    </row>
    <row r="697" spans="1:16" x14ac:dyDescent="0.3">
      <c r="A697" s="2">
        <v>38687</v>
      </c>
      <c r="B697" s="23">
        <v>4.5999999999999999E-2</v>
      </c>
      <c r="C697" s="5">
        <f t="shared" si="49"/>
        <v>0</v>
      </c>
      <c r="D697" s="5">
        <f t="shared" si="48"/>
        <v>0</v>
      </c>
      <c r="E697" s="5">
        <f t="shared" si="48"/>
        <v>0</v>
      </c>
      <c r="F697" s="5">
        <f t="shared" si="48"/>
        <v>0</v>
      </c>
      <c r="G697" s="5">
        <f t="shared" si="48"/>
        <v>0</v>
      </c>
      <c r="H697" s="5">
        <f t="shared" si="48"/>
        <v>0</v>
      </c>
      <c r="I697" s="5">
        <f t="shared" si="48"/>
        <v>0</v>
      </c>
      <c r="J697" s="5">
        <f t="shared" si="48"/>
        <v>0</v>
      </c>
      <c r="K697" s="5">
        <f t="shared" si="48"/>
        <v>0</v>
      </c>
      <c r="L697" s="5">
        <f t="shared" si="48"/>
        <v>0</v>
      </c>
      <c r="M697" s="5">
        <f t="shared" si="48"/>
        <v>0</v>
      </c>
      <c r="N697" s="32">
        <v>5.5202898550724598E-2</v>
      </c>
      <c r="O697" s="32">
        <v>-9.2028985507245989E-3</v>
      </c>
      <c r="P697" s="24">
        <f t="shared" si="46"/>
        <v>4.8902173913043447E-2</v>
      </c>
    </row>
    <row r="698" spans="1:16" x14ac:dyDescent="0.3">
      <c r="A698" s="2">
        <v>38718</v>
      </c>
      <c r="B698" s="23">
        <v>5.0999999999999997E-2</v>
      </c>
      <c r="C698" s="5">
        <f t="shared" si="49"/>
        <v>1</v>
      </c>
      <c r="D698" s="5">
        <f t="shared" si="48"/>
        <v>0</v>
      </c>
      <c r="E698" s="5">
        <f t="shared" si="48"/>
        <v>0</v>
      </c>
      <c r="F698" s="5">
        <f t="shared" si="48"/>
        <v>0</v>
      </c>
      <c r="G698" s="5">
        <f t="shared" si="48"/>
        <v>0</v>
      </c>
      <c r="H698" s="5">
        <f t="shared" si="48"/>
        <v>0</v>
      </c>
      <c r="I698" s="5">
        <f t="shared" si="48"/>
        <v>0</v>
      </c>
      <c r="J698" s="5">
        <f t="shared" si="48"/>
        <v>0</v>
      </c>
      <c r="K698" s="5">
        <f t="shared" si="48"/>
        <v>0</v>
      </c>
      <c r="L698" s="5">
        <f t="shared" si="48"/>
        <v>0</v>
      </c>
      <c r="M698" s="5">
        <f t="shared" si="48"/>
        <v>0</v>
      </c>
      <c r="N698" s="32">
        <v>6.4492753623188417E-2</v>
      </c>
      <c r="O698" s="32">
        <v>-1.3492753623188421E-2</v>
      </c>
      <c r="P698" s="24">
        <f t="shared" si="46"/>
        <v>4.4612318840579625E-2</v>
      </c>
    </row>
    <row r="699" spans="1:16" x14ac:dyDescent="0.3">
      <c r="A699" s="2">
        <v>38749</v>
      </c>
      <c r="B699" s="23">
        <v>5.0999999999999997E-2</v>
      </c>
      <c r="C699" s="5">
        <f t="shared" si="49"/>
        <v>0</v>
      </c>
      <c r="D699" s="5">
        <f t="shared" si="48"/>
        <v>1</v>
      </c>
      <c r="E699" s="5">
        <f t="shared" si="48"/>
        <v>0</v>
      </c>
      <c r="F699" s="5">
        <f t="shared" si="48"/>
        <v>0</v>
      </c>
      <c r="G699" s="5">
        <f t="shared" si="48"/>
        <v>0</v>
      </c>
      <c r="H699" s="5">
        <f t="shared" si="48"/>
        <v>0</v>
      </c>
      <c r="I699" s="5">
        <f t="shared" si="48"/>
        <v>0</v>
      </c>
      <c r="J699" s="5">
        <f t="shared" si="48"/>
        <v>0</v>
      </c>
      <c r="K699" s="5">
        <f t="shared" si="48"/>
        <v>0</v>
      </c>
      <c r="L699" s="5">
        <f t="shared" si="48"/>
        <v>0</v>
      </c>
      <c r="M699" s="5">
        <f t="shared" si="48"/>
        <v>0</v>
      </c>
      <c r="N699" s="32">
        <v>6.4391304347825973E-2</v>
      </c>
      <c r="O699" s="32">
        <v>-1.3391304347825976E-2</v>
      </c>
      <c r="P699" s="24">
        <f t="shared" si="46"/>
        <v>4.4713768115942069E-2</v>
      </c>
    </row>
    <row r="700" spans="1:16" x14ac:dyDescent="0.3">
      <c r="A700" s="2">
        <v>38777</v>
      </c>
      <c r="B700" s="23">
        <v>4.8000000000000001E-2</v>
      </c>
      <c r="C700" s="5">
        <f t="shared" si="49"/>
        <v>0</v>
      </c>
      <c r="D700" s="5">
        <f t="shared" si="48"/>
        <v>0</v>
      </c>
      <c r="E700" s="5">
        <f t="shared" si="48"/>
        <v>1</v>
      </c>
      <c r="F700" s="5">
        <f t="shared" si="48"/>
        <v>0</v>
      </c>
      <c r="G700" s="5">
        <f t="shared" si="48"/>
        <v>0</v>
      </c>
      <c r="H700" s="5">
        <f t="shared" si="48"/>
        <v>0</v>
      </c>
      <c r="I700" s="5">
        <f t="shared" si="48"/>
        <v>0</v>
      </c>
      <c r="J700" s="5">
        <f t="shared" si="48"/>
        <v>0</v>
      </c>
      <c r="K700" s="5">
        <f t="shared" si="48"/>
        <v>0</v>
      </c>
      <c r="L700" s="5">
        <f t="shared" si="48"/>
        <v>0</v>
      </c>
      <c r="M700" s="5">
        <f t="shared" si="48"/>
        <v>0</v>
      </c>
      <c r="N700" s="32">
        <v>6.1652173913043402E-2</v>
      </c>
      <c r="O700" s="32">
        <v>-1.3652173913043401E-2</v>
      </c>
      <c r="P700" s="24">
        <f t="shared" si="46"/>
        <v>4.4452898550724644E-2</v>
      </c>
    </row>
    <row r="701" spans="1:16" x14ac:dyDescent="0.3">
      <c r="A701" s="2">
        <v>38808</v>
      </c>
      <c r="B701" s="23">
        <v>4.4999999999999998E-2</v>
      </c>
      <c r="C701" s="5">
        <f t="shared" si="49"/>
        <v>0</v>
      </c>
      <c r="D701" s="5">
        <f t="shared" si="48"/>
        <v>0</v>
      </c>
      <c r="E701" s="5">
        <f t="shared" si="48"/>
        <v>0</v>
      </c>
      <c r="F701" s="5">
        <f t="shared" si="48"/>
        <v>1</v>
      </c>
      <c r="G701" s="5">
        <f t="shared" si="48"/>
        <v>0</v>
      </c>
      <c r="H701" s="5">
        <f t="shared" si="48"/>
        <v>0</v>
      </c>
      <c r="I701" s="5">
        <f t="shared" si="48"/>
        <v>0</v>
      </c>
      <c r="J701" s="5">
        <f t="shared" si="48"/>
        <v>0</v>
      </c>
      <c r="K701" s="5">
        <f t="shared" si="48"/>
        <v>0</v>
      </c>
      <c r="L701" s="5">
        <f t="shared" si="48"/>
        <v>0</v>
      </c>
      <c r="M701" s="5">
        <f t="shared" si="48"/>
        <v>0</v>
      </c>
      <c r="N701" s="32">
        <v>5.6550724637681071E-2</v>
      </c>
      <c r="O701" s="32">
        <v>-1.1550724637681073E-2</v>
      </c>
      <c r="P701" s="24">
        <f t="shared" si="46"/>
        <v>4.6554347826086973E-2</v>
      </c>
    </row>
    <row r="702" spans="1:16" x14ac:dyDescent="0.3">
      <c r="A702" s="2">
        <v>38838</v>
      </c>
      <c r="B702" s="23">
        <v>4.4000000000000004E-2</v>
      </c>
      <c r="C702" s="5">
        <f t="shared" si="49"/>
        <v>0</v>
      </c>
      <c r="D702" s="5">
        <f t="shared" si="48"/>
        <v>0</v>
      </c>
      <c r="E702" s="5">
        <f t="shared" si="48"/>
        <v>0</v>
      </c>
      <c r="F702" s="5">
        <f t="shared" si="48"/>
        <v>0</v>
      </c>
      <c r="G702" s="5">
        <f t="shared" si="48"/>
        <v>1</v>
      </c>
      <c r="H702" s="5">
        <f t="shared" si="48"/>
        <v>0</v>
      </c>
      <c r="I702" s="5">
        <f t="shared" si="48"/>
        <v>0</v>
      </c>
      <c r="J702" s="5">
        <f t="shared" si="48"/>
        <v>0</v>
      </c>
      <c r="K702" s="5">
        <f t="shared" si="48"/>
        <v>0</v>
      </c>
      <c r="L702" s="5">
        <f t="shared" ref="D702:M728" si="50">IF(MONTH($A702)=L$1,1,0)</f>
        <v>0</v>
      </c>
      <c r="M702" s="5">
        <f t="shared" si="50"/>
        <v>0</v>
      </c>
      <c r="N702" s="32">
        <v>5.5101449275362209E-2</v>
      </c>
      <c r="O702" s="32">
        <v>-1.1101449275362205E-2</v>
      </c>
      <c r="P702" s="24">
        <f t="shared" si="46"/>
        <v>4.7003623188405841E-2</v>
      </c>
    </row>
    <row r="703" spans="1:16" x14ac:dyDescent="0.3">
      <c r="A703" s="2">
        <v>38869</v>
      </c>
      <c r="B703" s="23">
        <v>4.8000000000000001E-2</v>
      </c>
      <c r="C703" s="5">
        <f t="shared" si="49"/>
        <v>0</v>
      </c>
      <c r="D703" s="5">
        <f t="shared" si="50"/>
        <v>0</v>
      </c>
      <c r="E703" s="5">
        <f t="shared" si="50"/>
        <v>0</v>
      </c>
      <c r="F703" s="5">
        <f t="shared" si="50"/>
        <v>0</v>
      </c>
      <c r="G703" s="5">
        <f t="shared" si="50"/>
        <v>0</v>
      </c>
      <c r="H703" s="5">
        <f t="shared" si="50"/>
        <v>1</v>
      </c>
      <c r="I703" s="5">
        <f t="shared" si="50"/>
        <v>0</v>
      </c>
      <c r="J703" s="5">
        <f t="shared" si="50"/>
        <v>0</v>
      </c>
      <c r="K703" s="5">
        <f t="shared" si="50"/>
        <v>0</v>
      </c>
      <c r="L703" s="5">
        <f t="shared" si="50"/>
        <v>0</v>
      </c>
      <c r="M703" s="5">
        <f t="shared" si="50"/>
        <v>0</v>
      </c>
      <c r="N703" s="32">
        <v>6.1130434782608579E-2</v>
      </c>
      <c r="O703" s="32">
        <v>-1.3130434782608578E-2</v>
      </c>
      <c r="P703" s="24">
        <f t="shared" si="46"/>
        <v>4.4974637681159467E-2</v>
      </c>
    </row>
    <row r="704" spans="1:16" x14ac:dyDescent="0.3">
      <c r="A704" s="2">
        <v>38899</v>
      </c>
      <c r="B704" s="23">
        <v>0.05</v>
      </c>
      <c r="C704" s="5">
        <f t="shared" si="49"/>
        <v>0</v>
      </c>
      <c r="D704" s="5">
        <f t="shared" si="50"/>
        <v>0</v>
      </c>
      <c r="E704" s="5">
        <f t="shared" si="50"/>
        <v>0</v>
      </c>
      <c r="F704" s="5">
        <f t="shared" si="50"/>
        <v>0</v>
      </c>
      <c r="G704" s="5">
        <f t="shared" si="50"/>
        <v>0</v>
      </c>
      <c r="H704" s="5">
        <f t="shared" si="50"/>
        <v>0</v>
      </c>
      <c r="I704" s="5">
        <f t="shared" si="50"/>
        <v>1</v>
      </c>
      <c r="J704" s="5">
        <f t="shared" si="50"/>
        <v>0</v>
      </c>
      <c r="K704" s="5">
        <f t="shared" si="50"/>
        <v>0</v>
      </c>
      <c r="L704" s="5">
        <f t="shared" si="50"/>
        <v>0</v>
      </c>
      <c r="M704" s="5">
        <f t="shared" si="50"/>
        <v>0</v>
      </c>
      <c r="N704" s="32">
        <v>5.9550724637681039E-2</v>
      </c>
      <c r="O704" s="32">
        <v>-9.5507246376810365E-3</v>
      </c>
      <c r="P704" s="24">
        <f t="shared" si="46"/>
        <v>4.8554347826087009E-2</v>
      </c>
    </row>
    <row r="705" spans="1:16" x14ac:dyDescent="0.3">
      <c r="A705" s="2">
        <v>38930</v>
      </c>
      <c r="B705" s="23">
        <v>4.5999999999999999E-2</v>
      </c>
      <c r="C705" s="5">
        <f t="shared" si="49"/>
        <v>0</v>
      </c>
      <c r="D705" s="5">
        <f t="shared" si="50"/>
        <v>0</v>
      </c>
      <c r="E705" s="5">
        <f t="shared" si="50"/>
        <v>0</v>
      </c>
      <c r="F705" s="5">
        <f t="shared" si="50"/>
        <v>0</v>
      </c>
      <c r="G705" s="5">
        <f t="shared" si="50"/>
        <v>0</v>
      </c>
      <c r="H705" s="5">
        <f t="shared" si="50"/>
        <v>0</v>
      </c>
      <c r="I705" s="5">
        <f t="shared" si="50"/>
        <v>0</v>
      </c>
      <c r="J705" s="5">
        <f t="shared" si="50"/>
        <v>1</v>
      </c>
      <c r="K705" s="5">
        <f t="shared" si="50"/>
        <v>0</v>
      </c>
      <c r="L705" s="5">
        <f t="shared" si="50"/>
        <v>0</v>
      </c>
      <c r="M705" s="5">
        <f t="shared" si="50"/>
        <v>0</v>
      </c>
      <c r="N705" s="32">
        <v>5.6521739130434699E-2</v>
      </c>
      <c r="O705" s="32">
        <v>-1.05217391304347E-2</v>
      </c>
      <c r="P705" s="24">
        <f t="shared" si="46"/>
        <v>4.7583333333333346E-2</v>
      </c>
    </row>
    <row r="706" spans="1:16" x14ac:dyDescent="0.3">
      <c r="A706" s="2">
        <v>38961</v>
      </c>
      <c r="B706" s="23">
        <v>4.4000000000000004E-2</v>
      </c>
      <c r="C706" s="5">
        <f t="shared" si="49"/>
        <v>0</v>
      </c>
      <c r="D706" s="5">
        <f t="shared" si="50"/>
        <v>0</v>
      </c>
      <c r="E706" s="5">
        <f t="shared" si="50"/>
        <v>0</v>
      </c>
      <c r="F706" s="5">
        <f t="shared" si="50"/>
        <v>0</v>
      </c>
      <c r="G706" s="5">
        <f t="shared" si="50"/>
        <v>0</v>
      </c>
      <c r="H706" s="5">
        <f t="shared" si="50"/>
        <v>0</v>
      </c>
      <c r="I706" s="5">
        <f t="shared" si="50"/>
        <v>0</v>
      </c>
      <c r="J706" s="5">
        <f t="shared" si="50"/>
        <v>0</v>
      </c>
      <c r="K706" s="5">
        <f t="shared" si="50"/>
        <v>1</v>
      </c>
      <c r="L706" s="5">
        <f t="shared" si="50"/>
        <v>0</v>
      </c>
      <c r="M706" s="5">
        <f t="shared" si="50"/>
        <v>0</v>
      </c>
      <c r="N706" s="32">
        <v>5.4768115942028898E-2</v>
      </c>
      <c r="O706" s="32">
        <v>-1.0768115942028894E-2</v>
      </c>
      <c r="P706" s="24">
        <f t="shared" si="46"/>
        <v>4.7336956521739151E-2</v>
      </c>
    </row>
    <row r="707" spans="1:16" x14ac:dyDescent="0.3">
      <c r="A707" s="2">
        <v>38991</v>
      </c>
      <c r="B707" s="23">
        <v>4.0999999999999995E-2</v>
      </c>
      <c r="C707" s="5">
        <f t="shared" si="49"/>
        <v>0</v>
      </c>
      <c r="D707" s="5">
        <f t="shared" si="50"/>
        <v>0</v>
      </c>
      <c r="E707" s="5">
        <f t="shared" si="50"/>
        <v>0</v>
      </c>
      <c r="F707" s="5">
        <f t="shared" si="50"/>
        <v>0</v>
      </c>
      <c r="G707" s="5">
        <f t="shared" si="50"/>
        <v>0</v>
      </c>
      <c r="H707" s="5">
        <f t="shared" si="50"/>
        <v>0</v>
      </c>
      <c r="I707" s="5">
        <f t="shared" si="50"/>
        <v>0</v>
      </c>
      <c r="J707" s="5">
        <f t="shared" si="50"/>
        <v>0</v>
      </c>
      <c r="K707" s="5">
        <f t="shared" si="50"/>
        <v>0</v>
      </c>
      <c r="L707" s="5">
        <f t="shared" si="50"/>
        <v>1</v>
      </c>
      <c r="M707" s="5">
        <f t="shared" si="50"/>
        <v>0</v>
      </c>
      <c r="N707" s="32">
        <v>5.3115942028985473E-2</v>
      </c>
      <c r="O707" s="32">
        <v>-1.2115942028985478E-2</v>
      </c>
      <c r="P707" s="24">
        <f t="shared" ref="P707:P770" si="51">O707+$R$2</f>
        <v>4.5989130434782567E-2</v>
      </c>
    </row>
    <row r="708" spans="1:16" x14ac:dyDescent="0.3">
      <c r="A708" s="2">
        <v>39022</v>
      </c>
      <c r="B708" s="23">
        <v>4.2999999999999997E-2</v>
      </c>
      <c r="C708" s="5">
        <f t="shared" si="49"/>
        <v>0</v>
      </c>
      <c r="D708" s="5">
        <f t="shared" si="50"/>
        <v>0</v>
      </c>
      <c r="E708" s="5">
        <f t="shared" si="50"/>
        <v>0</v>
      </c>
      <c r="F708" s="5">
        <f t="shared" si="50"/>
        <v>0</v>
      </c>
      <c r="G708" s="5">
        <f t="shared" si="50"/>
        <v>0</v>
      </c>
      <c r="H708" s="5">
        <f t="shared" si="50"/>
        <v>0</v>
      </c>
      <c r="I708" s="5">
        <f t="shared" si="50"/>
        <v>0</v>
      </c>
      <c r="J708" s="5">
        <f t="shared" si="50"/>
        <v>0</v>
      </c>
      <c r="K708" s="5">
        <f t="shared" si="50"/>
        <v>0</v>
      </c>
      <c r="L708" s="5">
        <f t="shared" si="50"/>
        <v>0</v>
      </c>
      <c r="M708" s="5">
        <f t="shared" si="50"/>
        <v>1</v>
      </c>
      <c r="N708" s="32">
        <v>5.4782608695652081E-2</v>
      </c>
      <c r="O708" s="32">
        <v>-1.1782608695652085E-2</v>
      </c>
      <c r="P708" s="24">
        <f t="shared" si="51"/>
        <v>4.6322463768115961E-2</v>
      </c>
    </row>
    <row r="709" spans="1:16" x14ac:dyDescent="0.3">
      <c r="A709" s="2">
        <v>39052</v>
      </c>
      <c r="B709" s="23">
        <v>4.2999999999999997E-2</v>
      </c>
      <c r="C709" s="5">
        <f t="shared" si="49"/>
        <v>0</v>
      </c>
      <c r="D709" s="5">
        <f t="shared" si="50"/>
        <v>0</v>
      </c>
      <c r="E709" s="5">
        <f t="shared" si="50"/>
        <v>0</v>
      </c>
      <c r="F709" s="5">
        <f t="shared" si="50"/>
        <v>0</v>
      </c>
      <c r="G709" s="5">
        <f t="shared" si="50"/>
        <v>0</v>
      </c>
      <c r="H709" s="5">
        <f t="shared" si="50"/>
        <v>0</v>
      </c>
      <c r="I709" s="5">
        <f t="shared" si="50"/>
        <v>0</v>
      </c>
      <c r="J709" s="5">
        <f t="shared" si="50"/>
        <v>0</v>
      </c>
      <c r="K709" s="5">
        <f t="shared" si="50"/>
        <v>0</v>
      </c>
      <c r="L709" s="5">
        <f t="shared" si="50"/>
        <v>0</v>
      </c>
      <c r="M709" s="5">
        <f t="shared" si="50"/>
        <v>0</v>
      </c>
      <c r="N709" s="32">
        <v>5.5202898550724598E-2</v>
      </c>
      <c r="O709" s="32">
        <v>-1.2202898550724602E-2</v>
      </c>
      <c r="P709" s="24">
        <f t="shared" si="51"/>
        <v>4.5902173913043444E-2</v>
      </c>
    </row>
    <row r="710" spans="1:16" x14ac:dyDescent="0.3">
      <c r="A710" s="2">
        <v>39083</v>
      </c>
      <c r="B710" s="23">
        <v>0.05</v>
      </c>
      <c r="C710" s="5">
        <f t="shared" si="49"/>
        <v>1</v>
      </c>
      <c r="D710" s="5">
        <f t="shared" si="50"/>
        <v>0</v>
      </c>
      <c r="E710" s="5">
        <f t="shared" si="50"/>
        <v>0</v>
      </c>
      <c r="F710" s="5">
        <f t="shared" si="50"/>
        <v>0</v>
      </c>
      <c r="G710" s="5">
        <f t="shared" si="50"/>
        <v>0</v>
      </c>
      <c r="H710" s="5">
        <f t="shared" si="50"/>
        <v>0</v>
      </c>
      <c r="I710" s="5">
        <f t="shared" si="50"/>
        <v>0</v>
      </c>
      <c r="J710" s="5">
        <f t="shared" si="50"/>
        <v>0</v>
      </c>
      <c r="K710" s="5">
        <f t="shared" si="50"/>
        <v>0</v>
      </c>
      <c r="L710" s="5">
        <f t="shared" si="50"/>
        <v>0</v>
      </c>
      <c r="M710" s="5">
        <f t="shared" si="50"/>
        <v>0</v>
      </c>
      <c r="N710" s="32">
        <v>6.4492753623188417E-2</v>
      </c>
      <c r="O710" s="32">
        <v>-1.4492753623188415E-2</v>
      </c>
      <c r="P710" s="24">
        <f t="shared" si="51"/>
        <v>4.3612318840579631E-2</v>
      </c>
    </row>
    <row r="711" spans="1:16" x14ac:dyDescent="0.3">
      <c r="A711" s="2">
        <v>39114</v>
      </c>
      <c r="B711" s="23">
        <v>4.9000000000000002E-2</v>
      </c>
      <c r="C711" s="5">
        <f t="shared" si="49"/>
        <v>0</v>
      </c>
      <c r="D711" s="5">
        <f t="shared" si="50"/>
        <v>1</v>
      </c>
      <c r="E711" s="5">
        <f t="shared" si="50"/>
        <v>0</v>
      </c>
      <c r="F711" s="5">
        <f t="shared" si="50"/>
        <v>0</v>
      </c>
      <c r="G711" s="5">
        <f t="shared" si="50"/>
        <v>0</v>
      </c>
      <c r="H711" s="5">
        <f t="shared" si="50"/>
        <v>0</v>
      </c>
      <c r="I711" s="5">
        <f t="shared" si="50"/>
        <v>0</v>
      </c>
      <c r="J711" s="5">
        <f t="shared" si="50"/>
        <v>0</v>
      </c>
      <c r="K711" s="5">
        <f t="shared" si="50"/>
        <v>0</v>
      </c>
      <c r="L711" s="5">
        <f t="shared" si="50"/>
        <v>0</v>
      </c>
      <c r="M711" s="5">
        <f t="shared" si="50"/>
        <v>0</v>
      </c>
      <c r="N711" s="32">
        <v>6.4391304347825973E-2</v>
      </c>
      <c r="O711" s="32">
        <v>-1.5391304347825971E-2</v>
      </c>
      <c r="P711" s="24">
        <f t="shared" si="51"/>
        <v>4.2713768115942075E-2</v>
      </c>
    </row>
    <row r="712" spans="1:16" x14ac:dyDescent="0.3">
      <c r="A712" s="2">
        <v>39142</v>
      </c>
      <c r="B712" s="23">
        <v>4.4999999999999998E-2</v>
      </c>
      <c r="C712" s="5">
        <f t="shared" si="49"/>
        <v>0</v>
      </c>
      <c r="D712" s="5">
        <f t="shared" si="50"/>
        <v>0</v>
      </c>
      <c r="E712" s="5">
        <f t="shared" si="50"/>
        <v>1</v>
      </c>
      <c r="F712" s="5">
        <f t="shared" si="50"/>
        <v>0</v>
      </c>
      <c r="G712" s="5">
        <f t="shared" si="50"/>
        <v>0</v>
      </c>
      <c r="H712" s="5">
        <f t="shared" si="50"/>
        <v>0</v>
      </c>
      <c r="I712" s="5">
        <f t="shared" si="50"/>
        <v>0</v>
      </c>
      <c r="J712" s="5">
        <f t="shared" si="50"/>
        <v>0</v>
      </c>
      <c r="K712" s="5">
        <f t="shared" si="50"/>
        <v>0</v>
      </c>
      <c r="L712" s="5">
        <f t="shared" si="50"/>
        <v>0</v>
      </c>
      <c r="M712" s="5">
        <f t="shared" si="50"/>
        <v>0</v>
      </c>
      <c r="N712" s="32">
        <v>6.1652173913043402E-2</v>
      </c>
      <c r="O712" s="32">
        <v>-1.6652173913043404E-2</v>
      </c>
      <c r="P712" s="24">
        <f t="shared" si="51"/>
        <v>4.1452898550724641E-2</v>
      </c>
    </row>
    <row r="713" spans="1:16" x14ac:dyDescent="0.3">
      <c r="A713" s="2">
        <v>39173</v>
      </c>
      <c r="B713" s="23">
        <v>4.2999999999999997E-2</v>
      </c>
      <c r="C713" s="5">
        <f t="shared" si="49"/>
        <v>0</v>
      </c>
      <c r="D713" s="5">
        <f t="shared" si="50"/>
        <v>0</v>
      </c>
      <c r="E713" s="5">
        <f t="shared" si="50"/>
        <v>0</v>
      </c>
      <c r="F713" s="5">
        <f t="shared" si="50"/>
        <v>1</v>
      </c>
      <c r="G713" s="5">
        <f t="shared" si="50"/>
        <v>0</v>
      </c>
      <c r="H713" s="5">
        <f t="shared" si="50"/>
        <v>0</v>
      </c>
      <c r="I713" s="5">
        <f t="shared" si="50"/>
        <v>0</v>
      </c>
      <c r="J713" s="5">
        <f t="shared" si="50"/>
        <v>0</v>
      </c>
      <c r="K713" s="5">
        <f t="shared" si="50"/>
        <v>0</v>
      </c>
      <c r="L713" s="5">
        <f t="shared" si="50"/>
        <v>0</v>
      </c>
      <c r="M713" s="5">
        <f t="shared" si="50"/>
        <v>0</v>
      </c>
      <c r="N713" s="32">
        <v>5.6550724637681071E-2</v>
      </c>
      <c r="O713" s="32">
        <v>-1.3550724637681075E-2</v>
      </c>
      <c r="P713" s="24">
        <f t="shared" si="51"/>
        <v>4.4554347826086971E-2</v>
      </c>
    </row>
    <row r="714" spans="1:16" x14ac:dyDescent="0.3">
      <c r="A714" s="2">
        <v>39203</v>
      </c>
      <c r="B714" s="23">
        <v>4.2999999999999997E-2</v>
      </c>
      <c r="C714" s="5">
        <f t="shared" si="49"/>
        <v>0</v>
      </c>
      <c r="D714" s="5">
        <f t="shared" si="50"/>
        <v>0</v>
      </c>
      <c r="E714" s="5">
        <f t="shared" si="50"/>
        <v>0</v>
      </c>
      <c r="F714" s="5">
        <f t="shared" si="50"/>
        <v>0</v>
      </c>
      <c r="G714" s="5">
        <f t="shared" si="50"/>
        <v>1</v>
      </c>
      <c r="H714" s="5">
        <f t="shared" si="50"/>
        <v>0</v>
      </c>
      <c r="I714" s="5">
        <f t="shared" si="50"/>
        <v>0</v>
      </c>
      <c r="J714" s="5">
        <f t="shared" si="50"/>
        <v>0</v>
      </c>
      <c r="K714" s="5">
        <f t="shared" si="50"/>
        <v>0</v>
      </c>
      <c r="L714" s="5">
        <f t="shared" si="50"/>
        <v>0</v>
      </c>
      <c r="M714" s="5">
        <f t="shared" si="50"/>
        <v>0</v>
      </c>
      <c r="N714" s="32">
        <v>5.5101449275362209E-2</v>
      </c>
      <c r="O714" s="32">
        <v>-1.2101449275362212E-2</v>
      </c>
      <c r="P714" s="24">
        <f t="shared" si="51"/>
        <v>4.6003623188405833E-2</v>
      </c>
    </row>
    <row r="715" spans="1:16" x14ac:dyDescent="0.3">
      <c r="A715" s="2">
        <v>39234</v>
      </c>
      <c r="B715" s="23">
        <v>4.7E-2</v>
      </c>
      <c r="C715" s="5">
        <f t="shared" si="49"/>
        <v>0</v>
      </c>
      <c r="D715" s="5">
        <f t="shared" si="50"/>
        <v>0</v>
      </c>
      <c r="E715" s="5">
        <f t="shared" si="50"/>
        <v>0</v>
      </c>
      <c r="F715" s="5">
        <f t="shared" si="50"/>
        <v>0</v>
      </c>
      <c r="G715" s="5">
        <f t="shared" si="50"/>
        <v>0</v>
      </c>
      <c r="H715" s="5">
        <f t="shared" si="50"/>
        <v>1</v>
      </c>
      <c r="I715" s="5">
        <f t="shared" si="50"/>
        <v>0</v>
      </c>
      <c r="J715" s="5">
        <f t="shared" si="50"/>
        <v>0</v>
      </c>
      <c r="K715" s="5">
        <f t="shared" si="50"/>
        <v>0</v>
      </c>
      <c r="L715" s="5">
        <f t="shared" si="50"/>
        <v>0</v>
      </c>
      <c r="M715" s="5">
        <f t="shared" si="50"/>
        <v>0</v>
      </c>
      <c r="N715" s="32">
        <v>6.1130434782608579E-2</v>
      </c>
      <c r="O715" s="32">
        <v>-1.4130434782608579E-2</v>
      </c>
      <c r="P715" s="24">
        <f t="shared" si="51"/>
        <v>4.3974637681159466E-2</v>
      </c>
    </row>
    <row r="716" spans="1:16" x14ac:dyDescent="0.3">
      <c r="A716" s="2">
        <v>39264</v>
      </c>
      <c r="B716" s="23">
        <v>4.9000000000000002E-2</v>
      </c>
      <c r="C716" s="5">
        <f t="shared" si="49"/>
        <v>0</v>
      </c>
      <c r="D716" s="5">
        <f t="shared" si="50"/>
        <v>0</v>
      </c>
      <c r="E716" s="5">
        <f t="shared" si="50"/>
        <v>0</v>
      </c>
      <c r="F716" s="5">
        <f t="shared" si="50"/>
        <v>0</v>
      </c>
      <c r="G716" s="5">
        <f t="shared" si="50"/>
        <v>0</v>
      </c>
      <c r="H716" s="5">
        <f t="shared" si="50"/>
        <v>0</v>
      </c>
      <c r="I716" s="5">
        <f t="shared" si="50"/>
        <v>1</v>
      </c>
      <c r="J716" s="5">
        <f t="shared" si="50"/>
        <v>0</v>
      </c>
      <c r="K716" s="5">
        <f t="shared" si="50"/>
        <v>0</v>
      </c>
      <c r="L716" s="5">
        <f t="shared" si="50"/>
        <v>0</v>
      </c>
      <c r="M716" s="5">
        <f t="shared" si="50"/>
        <v>0</v>
      </c>
      <c r="N716" s="32">
        <v>5.9550724637681039E-2</v>
      </c>
      <c r="O716" s="32">
        <v>-1.0550724637681037E-2</v>
      </c>
      <c r="P716" s="24">
        <f t="shared" si="51"/>
        <v>4.7554347826087008E-2</v>
      </c>
    </row>
    <row r="717" spans="1:16" x14ac:dyDescent="0.3">
      <c r="A717" s="2">
        <v>39295</v>
      </c>
      <c r="B717" s="23">
        <v>4.5999999999999999E-2</v>
      </c>
      <c r="C717" s="5">
        <f t="shared" si="49"/>
        <v>0</v>
      </c>
      <c r="D717" s="5">
        <f t="shared" si="50"/>
        <v>0</v>
      </c>
      <c r="E717" s="5">
        <f t="shared" si="50"/>
        <v>0</v>
      </c>
      <c r="F717" s="5">
        <f t="shared" si="50"/>
        <v>0</v>
      </c>
      <c r="G717" s="5">
        <f t="shared" si="50"/>
        <v>0</v>
      </c>
      <c r="H717" s="5">
        <f t="shared" si="50"/>
        <v>0</v>
      </c>
      <c r="I717" s="5">
        <f t="shared" si="50"/>
        <v>0</v>
      </c>
      <c r="J717" s="5">
        <f t="shared" si="50"/>
        <v>1</v>
      </c>
      <c r="K717" s="5">
        <f t="shared" si="50"/>
        <v>0</v>
      </c>
      <c r="L717" s="5">
        <f t="shared" si="50"/>
        <v>0</v>
      </c>
      <c r="M717" s="5">
        <f t="shared" si="50"/>
        <v>0</v>
      </c>
      <c r="N717" s="32">
        <v>5.6521739130434699E-2</v>
      </c>
      <c r="O717" s="32">
        <v>-1.05217391304347E-2</v>
      </c>
      <c r="P717" s="24">
        <f t="shared" si="51"/>
        <v>4.7583333333333346E-2</v>
      </c>
    </row>
    <row r="718" spans="1:16" x14ac:dyDescent="0.3">
      <c r="A718" s="2">
        <v>39326</v>
      </c>
      <c r="B718" s="23">
        <v>4.4999999999999998E-2</v>
      </c>
      <c r="C718" s="5">
        <f t="shared" si="49"/>
        <v>0</v>
      </c>
      <c r="D718" s="5">
        <f t="shared" si="50"/>
        <v>0</v>
      </c>
      <c r="E718" s="5">
        <f t="shared" si="50"/>
        <v>0</v>
      </c>
      <c r="F718" s="5">
        <f t="shared" si="50"/>
        <v>0</v>
      </c>
      <c r="G718" s="5">
        <f t="shared" si="50"/>
        <v>0</v>
      </c>
      <c r="H718" s="5">
        <f t="shared" si="50"/>
        <v>0</v>
      </c>
      <c r="I718" s="5">
        <f t="shared" si="50"/>
        <v>0</v>
      </c>
      <c r="J718" s="5">
        <f t="shared" si="50"/>
        <v>0</v>
      </c>
      <c r="K718" s="5">
        <f t="shared" si="50"/>
        <v>1</v>
      </c>
      <c r="L718" s="5">
        <f t="shared" si="50"/>
        <v>0</v>
      </c>
      <c r="M718" s="5">
        <f t="shared" si="50"/>
        <v>0</v>
      </c>
      <c r="N718" s="32">
        <v>5.4768115942028898E-2</v>
      </c>
      <c r="O718" s="32">
        <v>-9.7681159420289002E-3</v>
      </c>
      <c r="P718" s="24">
        <f t="shared" si="51"/>
        <v>4.8336956521739145E-2</v>
      </c>
    </row>
    <row r="719" spans="1:16" x14ac:dyDescent="0.3">
      <c r="A719" s="2">
        <v>39356</v>
      </c>
      <c r="B719" s="23">
        <v>4.4000000000000004E-2</v>
      </c>
      <c r="C719" s="5">
        <f t="shared" si="49"/>
        <v>0</v>
      </c>
      <c r="D719" s="5">
        <f t="shared" si="50"/>
        <v>0</v>
      </c>
      <c r="E719" s="5">
        <f t="shared" si="50"/>
        <v>0</v>
      </c>
      <c r="F719" s="5">
        <f t="shared" si="50"/>
        <v>0</v>
      </c>
      <c r="G719" s="5">
        <f t="shared" si="50"/>
        <v>0</v>
      </c>
      <c r="H719" s="5">
        <f t="shared" si="50"/>
        <v>0</v>
      </c>
      <c r="I719" s="5">
        <f t="shared" si="50"/>
        <v>0</v>
      </c>
      <c r="J719" s="5">
        <f t="shared" si="50"/>
        <v>0</v>
      </c>
      <c r="K719" s="5">
        <f t="shared" si="50"/>
        <v>0</v>
      </c>
      <c r="L719" s="5">
        <f t="shared" si="50"/>
        <v>1</v>
      </c>
      <c r="M719" s="5">
        <f t="shared" si="50"/>
        <v>0</v>
      </c>
      <c r="N719" s="32">
        <v>5.3115942028985473E-2</v>
      </c>
      <c r="O719" s="32">
        <v>-9.1159420289854687E-3</v>
      </c>
      <c r="P719" s="24">
        <f t="shared" si="51"/>
        <v>4.8989130434782577E-2</v>
      </c>
    </row>
    <row r="720" spans="1:16" x14ac:dyDescent="0.3">
      <c r="A720" s="2">
        <v>39387</v>
      </c>
      <c r="B720" s="23">
        <v>4.4999999999999998E-2</v>
      </c>
      <c r="C720" s="5">
        <f t="shared" si="49"/>
        <v>0</v>
      </c>
      <c r="D720" s="5">
        <f t="shared" si="50"/>
        <v>0</v>
      </c>
      <c r="E720" s="5">
        <f t="shared" si="50"/>
        <v>0</v>
      </c>
      <c r="F720" s="5">
        <f t="shared" si="50"/>
        <v>0</v>
      </c>
      <c r="G720" s="5">
        <f t="shared" si="50"/>
        <v>0</v>
      </c>
      <c r="H720" s="5">
        <f t="shared" si="50"/>
        <v>0</v>
      </c>
      <c r="I720" s="5">
        <f t="shared" si="50"/>
        <v>0</v>
      </c>
      <c r="J720" s="5">
        <f t="shared" si="50"/>
        <v>0</v>
      </c>
      <c r="K720" s="5">
        <f t="shared" si="50"/>
        <v>0</v>
      </c>
      <c r="L720" s="5">
        <f t="shared" si="50"/>
        <v>0</v>
      </c>
      <c r="M720" s="5">
        <f t="shared" si="50"/>
        <v>1</v>
      </c>
      <c r="N720" s="32">
        <v>5.4782608695652081E-2</v>
      </c>
      <c r="O720" s="32">
        <v>-9.7826086956520827E-3</v>
      </c>
      <c r="P720" s="24">
        <f t="shared" si="51"/>
        <v>4.8322463768115963E-2</v>
      </c>
    </row>
    <row r="721" spans="1:16" x14ac:dyDescent="0.3">
      <c r="A721" s="2">
        <v>39417</v>
      </c>
      <c r="B721" s="23">
        <v>4.8000000000000001E-2</v>
      </c>
      <c r="C721" s="5">
        <f t="shared" si="49"/>
        <v>0</v>
      </c>
      <c r="D721" s="5">
        <f t="shared" si="50"/>
        <v>0</v>
      </c>
      <c r="E721" s="5">
        <f t="shared" si="50"/>
        <v>0</v>
      </c>
      <c r="F721" s="5">
        <f t="shared" si="50"/>
        <v>0</v>
      </c>
      <c r="G721" s="5">
        <f t="shared" si="50"/>
        <v>0</v>
      </c>
      <c r="H721" s="5">
        <f t="shared" si="50"/>
        <v>0</v>
      </c>
      <c r="I721" s="5">
        <f t="shared" si="50"/>
        <v>0</v>
      </c>
      <c r="J721" s="5">
        <f t="shared" si="50"/>
        <v>0</v>
      </c>
      <c r="K721" s="5">
        <f t="shared" si="50"/>
        <v>0</v>
      </c>
      <c r="L721" s="5">
        <f t="shared" si="50"/>
        <v>0</v>
      </c>
      <c r="M721" s="5">
        <f t="shared" si="50"/>
        <v>0</v>
      </c>
      <c r="N721" s="32">
        <v>5.5202898550724598E-2</v>
      </c>
      <c r="O721" s="32">
        <v>-7.2028985507245971E-3</v>
      </c>
      <c r="P721" s="24">
        <f t="shared" si="51"/>
        <v>5.0902173913043448E-2</v>
      </c>
    </row>
    <row r="722" spans="1:16" x14ac:dyDescent="0.3">
      <c r="A722" s="2">
        <v>39448</v>
      </c>
      <c r="B722" s="23">
        <v>5.4000000000000006E-2</v>
      </c>
      <c r="C722" s="5">
        <f t="shared" si="49"/>
        <v>1</v>
      </c>
      <c r="D722" s="5">
        <f t="shared" si="50"/>
        <v>0</v>
      </c>
      <c r="E722" s="5">
        <f t="shared" si="50"/>
        <v>0</v>
      </c>
      <c r="F722" s="5">
        <f t="shared" si="50"/>
        <v>0</v>
      </c>
      <c r="G722" s="5">
        <f t="shared" si="50"/>
        <v>0</v>
      </c>
      <c r="H722" s="5">
        <f t="shared" si="50"/>
        <v>0</v>
      </c>
      <c r="I722" s="5">
        <f t="shared" si="50"/>
        <v>0</v>
      </c>
      <c r="J722" s="5">
        <f t="shared" si="50"/>
        <v>0</v>
      </c>
      <c r="K722" s="5">
        <f t="shared" si="50"/>
        <v>0</v>
      </c>
      <c r="L722" s="5">
        <f t="shared" si="50"/>
        <v>0</v>
      </c>
      <c r="M722" s="5">
        <f t="shared" si="50"/>
        <v>0</v>
      </c>
      <c r="N722" s="32">
        <v>6.4492753623188417E-2</v>
      </c>
      <c r="O722" s="32">
        <v>-1.0492753623188411E-2</v>
      </c>
      <c r="P722" s="24">
        <f t="shared" si="51"/>
        <v>4.7612318840579634E-2</v>
      </c>
    </row>
    <row r="723" spans="1:16" x14ac:dyDescent="0.3">
      <c r="A723" s="2">
        <v>39479</v>
      </c>
      <c r="B723" s="23">
        <v>5.2000000000000005E-2</v>
      </c>
      <c r="C723" s="5">
        <f t="shared" si="49"/>
        <v>0</v>
      </c>
      <c r="D723" s="5">
        <f t="shared" si="50"/>
        <v>1</v>
      </c>
      <c r="E723" s="5">
        <f t="shared" si="50"/>
        <v>0</v>
      </c>
      <c r="F723" s="5">
        <f t="shared" si="50"/>
        <v>0</v>
      </c>
      <c r="G723" s="5">
        <f t="shared" si="50"/>
        <v>0</v>
      </c>
      <c r="H723" s="5">
        <f t="shared" si="50"/>
        <v>0</v>
      </c>
      <c r="I723" s="5">
        <f t="shared" si="50"/>
        <v>0</v>
      </c>
      <c r="J723" s="5">
        <f t="shared" si="50"/>
        <v>0</v>
      </c>
      <c r="K723" s="5">
        <f t="shared" si="50"/>
        <v>0</v>
      </c>
      <c r="L723" s="5">
        <f t="shared" si="50"/>
        <v>0</v>
      </c>
      <c r="M723" s="5">
        <f t="shared" si="50"/>
        <v>0</v>
      </c>
      <c r="N723" s="32">
        <v>6.4391304347825973E-2</v>
      </c>
      <c r="O723" s="32">
        <v>-1.2391304347825968E-2</v>
      </c>
      <c r="P723" s="24">
        <f t="shared" si="51"/>
        <v>4.5713768115942077E-2</v>
      </c>
    </row>
    <row r="724" spans="1:16" x14ac:dyDescent="0.3">
      <c r="A724" s="2">
        <v>39508</v>
      </c>
      <c r="B724" s="23">
        <v>5.2000000000000005E-2</v>
      </c>
      <c r="C724" s="5">
        <f t="shared" si="49"/>
        <v>0</v>
      </c>
      <c r="D724" s="5">
        <f t="shared" si="50"/>
        <v>0</v>
      </c>
      <c r="E724" s="5">
        <f t="shared" si="50"/>
        <v>1</v>
      </c>
      <c r="F724" s="5">
        <f t="shared" si="50"/>
        <v>0</v>
      </c>
      <c r="G724" s="5">
        <f t="shared" si="50"/>
        <v>0</v>
      </c>
      <c r="H724" s="5">
        <f t="shared" si="50"/>
        <v>0</v>
      </c>
      <c r="I724" s="5">
        <f t="shared" si="50"/>
        <v>0</v>
      </c>
      <c r="J724" s="5">
        <f t="shared" si="50"/>
        <v>0</v>
      </c>
      <c r="K724" s="5">
        <f t="shared" si="50"/>
        <v>0</v>
      </c>
      <c r="L724" s="5">
        <f t="shared" si="50"/>
        <v>0</v>
      </c>
      <c r="M724" s="5">
        <f t="shared" si="50"/>
        <v>0</v>
      </c>
      <c r="N724" s="32">
        <v>6.1652173913043402E-2</v>
      </c>
      <c r="O724" s="32">
        <v>-9.6521739130433978E-3</v>
      </c>
      <c r="P724" s="24">
        <f t="shared" si="51"/>
        <v>4.8452898550724648E-2</v>
      </c>
    </row>
    <row r="725" spans="1:16" x14ac:dyDescent="0.3">
      <c r="A725" s="2">
        <v>39539</v>
      </c>
      <c r="B725" s="23">
        <v>4.8000000000000001E-2</v>
      </c>
      <c r="C725" s="5">
        <f t="shared" si="49"/>
        <v>0</v>
      </c>
      <c r="D725" s="5">
        <f t="shared" si="50"/>
        <v>0</v>
      </c>
      <c r="E725" s="5">
        <f t="shared" si="50"/>
        <v>0</v>
      </c>
      <c r="F725" s="5">
        <f t="shared" si="50"/>
        <v>1</v>
      </c>
      <c r="G725" s="5">
        <f t="shared" si="50"/>
        <v>0</v>
      </c>
      <c r="H725" s="5">
        <f t="shared" si="50"/>
        <v>0</v>
      </c>
      <c r="I725" s="5">
        <f t="shared" si="50"/>
        <v>0</v>
      </c>
      <c r="J725" s="5">
        <f t="shared" si="50"/>
        <v>0</v>
      </c>
      <c r="K725" s="5">
        <f t="shared" si="50"/>
        <v>0</v>
      </c>
      <c r="L725" s="5">
        <f t="shared" si="50"/>
        <v>0</v>
      </c>
      <c r="M725" s="5">
        <f t="shared" si="50"/>
        <v>0</v>
      </c>
      <c r="N725" s="32">
        <v>5.6550724637681071E-2</v>
      </c>
      <c r="O725" s="32">
        <v>-8.5507246376810703E-3</v>
      </c>
      <c r="P725" s="24">
        <f t="shared" si="51"/>
        <v>4.9554347826086975E-2</v>
      </c>
    </row>
    <row r="726" spans="1:16" x14ac:dyDescent="0.3">
      <c r="A726" s="2">
        <v>39569</v>
      </c>
      <c r="B726" s="23">
        <v>5.2000000000000005E-2</v>
      </c>
      <c r="C726" s="5">
        <f t="shared" si="49"/>
        <v>0</v>
      </c>
      <c r="D726" s="5">
        <f t="shared" si="50"/>
        <v>0</v>
      </c>
      <c r="E726" s="5">
        <f t="shared" si="50"/>
        <v>0</v>
      </c>
      <c r="F726" s="5">
        <f t="shared" si="50"/>
        <v>0</v>
      </c>
      <c r="G726" s="5">
        <f t="shared" si="50"/>
        <v>1</v>
      </c>
      <c r="H726" s="5">
        <f t="shared" si="50"/>
        <v>0</v>
      </c>
      <c r="I726" s="5">
        <f t="shared" si="50"/>
        <v>0</v>
      </c>
      <c r="J726" s="5">
        <f t="shared" si="50"/>
        <v>0</v>
      </c>
      <c r="K726" s="5">
        <f t="shared" si="50"/>
        <v>0</v>
      </c>
      <c r="L726" s="5">
        <f t="shared" si="50"/>
        <v>0</v>
      </c>
      <c r="M726" s="5">
        <f t="shared" si="50"/>
        <v>0</v>
      </c>
      <c r="N726" s="32">
        <v>5.5101449275362209E-2</v>
      </c>
      <c r="O726" s="32">
        <v>-3.1014492753622044E-3</v>
      </c>
      <c r="P726" s="24">
        <f t="shared" si="51"/>
        <v>5.5003623188405841E-2</v>
      </c>
    </row>
    <row r="727" spans="1:16" x14ac:dyDescent="0.3">
      <c r="A727" s="2">
        <v>39600</v>
      </c>
      <c r="B727" s="23">
        <v>5.7000000000000002E-2</v>
      </c>
      <c r="C727" s="5">
        <f t="shared" si="49"/>
        <v>0</v>
      </c>
      <c r="D727" s="5">
        <f t="shared" si="50"/>
        <v>0</v>
      </c>
      <c r="E727" s="5">
        <f t="shared" si="50"/>
        <v>0</v>
      </c>
      <c r="F727" s="5">
        <f t="shared" si="50"/>
        <v>0</v>
      </c>
      <c r="G727" s="5">
        <f t="shared" si="50"/>
        <v>0</v>
      </c>
      <c r="H727" s="5">
        <f t="shared" si="50"/>
        <v>1</v>
      </c>
      <c r="I727" s="5">
        <f t="shared" si="50"/>
        <v>0</v>
      </c>
      <c r="J727" s="5">
        <f t="shared" si="50"/>
        <v>0</v>
      </c>
      <c r="K727" s="5">
        <f t="shared" si="50"/>
        <v>0</v>
      </c>
      <c r="L727" s="5">
        <f t="shared" si="50"/>
        <v>0</v>
      </c>
      <c r="M727" s="5">
        <f t="shared" si="50"/>
        <v>0</v>
      </c>
      <c r="N727" s="32">
        <v>6.1130434782608579E-2</v>
      </c>
      <c r="O727" s="32">
        <v>-4.1304347826085774E-3</v>
      </c>
      <c r="P727" s="24">
        <f t="shared" si="51"/>
        <v>5.3974637681159468E-2</v>
      </c>
    </row>
    <row r="728" spans="1:16" x14ac:dyDescent="0.3">
      <c r="A728" s="2">
        <v>39630</v>
      </c>
      <c r="B728" s="23">
        <v>0.06</v>
      </c>
      <c r="C728" s="5">
        <f t="shared" si="49"/>
        <v>0</v>
      </c>
      <c r="D728" s="5">
        <f t="shared" si="50"/>
        <v>0</v>
      </c>
      <c r="E728" s="5">
        <f t="shared" si="50"/>
        <v>0</v>
      </c>
      <c r="F728" s="5">
        <f t="shared" si="50"/>
        <v>0</v>
      </c>
      <c r="G728" s="5">
        <f t="shared" ref="D728:M753" si="52">IF(MONTH($A728)=G$1,1,0)</f>
        <v>0</v>
      </c>
      <c r="H728" s="5">
        <f t="shared" si="52"/>
        <v>0</v>
      </c>
      <c r="I728" s="5">
        <f t="shared" si="52"/>
        <v>1</v>
      </c>
      <c r="J728" s="5">
        <f t="shared" si="52"/>
        <v>0</v>
      </c>
      <c r="K728" s="5">
        <f t="shared" si="52"/>
        <v>0</v>
      </c>
      <c r="L728" s="5">
        <f t="shared" si="52"/>
        <v>0</v>
      </c>
      <c r="M728" s="5">
        <f t="shared" si="52"/>
        <v>0</v>
      </c>
      <c r="N728" s="32">
        <v>5.9550724637681039E-2</v>
      </c>
      <c r="O728" s="32">
        <v>4.4927536231895854E-4</v>
      </c>
      <c r="P728" s="24">
        <f t="shared" si="51"/>
        <v>5.8554347826087004E-2</v>
      </c>
    </row>
    <row r="729" spans="1:16" x14ac:dyDescent="0.3">
      <c r="A729" s="2">
        <v>39661</v>
      </c>
      <c r="B729" s="23">
        <v>6.0999999999999999E-2</v>
      </c>
      <c r="C729" s="5">
        <f t="shared" si="49"/>
        <v>0</v>
      </c>
      <c r="D729" s="5">
        <f t="shared" si="52"/>
        <v>0</v>
      </c>
      <c r="E729" s="5">
        <f t="shared" si="52"/>
        <v>0</v>
      </c>
      <c r="F729" s="5">
        <f t="shared" si="52"/>
        <v>0</v>
      </c>
      <c r="G729" s="5">
        <f t="shared" si="52"/>
        <v>0</v>
      </c>
      <c r="H729" s="5">
        <f t="shared" si="52"/>
        <v>0</v>
      </c>
      <c r="I729" s="5">
        <f t="shared" si="52"/>
        <v>0</v>
      </c>
      <c r="J729" s="5">
        <f t="shared" si="52"/>
        <v>1</v>
      </c>
      <c r="K729" s="5">
        <f t="shared" si="52"/>
        <v>0</v>
      </c>
      <c r="L729" s="5">
        <f t="shared" si="52"/>
        <v>0</v>
      </c>
      <c r="M729" s="5">
        <f t="shared" si="52"/>
        <v>0</v>
      </c>
      <c r="N729" s="32">
        <v>5.6521739130434699E-2</v>
      </c>
      <c r="O729" s="32">
        <v>4.4782608695652995E-3</v>
      </c>
      <c r="P729" s="24">
        <f t="shared" si="51"/>
        <v>6.2583333333333352E-2</v>
      </c>
    </row>
    <row r="730" spans="1:16" x14ac:dyDescent="0.3">
      <c r="A730" s="2">
        <v>39692</v>
      </c>
      <c r="B730" s="23">
        <v>0.06</v>
      </c>
      <c r="C730" s="5">
        <f t="shared" si="49"/>
        <v>0</v>
      </c>
      <c r="D730" s="5">
        <f t="shared" si="52"/>
        <v>0</v>
      </c>
      <c r="E730" s="5">
        <f t="shared" si="52"/>
        <v>0</v>
      </c>
      <c r="F730" s="5">
        <f t="shared" si="52"/>
        <v>0</v>
      </c>
      <c r="G730" s="5">
        <f t="shared" si="52"/>
        <v>0</v>
      </c>
      <c r="H730" s="5">
        <f t="shared" si="52"/>
        <v>0</v>
      </c>
      <c r="I730" s="5">
        <f t="shared" si="52"/>
        <v>0</v>
      </c>
      <c r="J730" s="5">
        <f t="shared" si="52"/>
        <v>0</v>
      </c>
      <c r="K730" s="5">
        <f t="shared" si="52"/>
        <v>1</v>
      </c>
      <c r="L730" s="5">
        <f t="shared" si="52"/>
        <v>0</v>
      </c>
      <c r="M730" s="5">
        <f t="shared" si="52"/>
        <v>0</v>
      </c>
      <c r="N730" s="32">
        <v>5.4768115942028898E-2</v>
      </c>
      <c r="O730" s="32">
        <v>5.2318840579710993E-3</v>
      </c>
      <c r="P730" s="24">
        <f t="shared" si="51"/>
        <v>6.3336956521739152E-2</v>
      </c>
    </row>
    <row r="731" spans="1:16" x14ac:dyDescent="0.3">
      <c r="A731" s="2">
        <v>39722</v>
      </c>
      <c r="B731" s="23">
        <v>6.0999999999999999E-2</v>
      </c>
      <c r="C731" s="5">
        <f t="shared" si="49"/>
        <v>0</v>
      </c>
      <c r="D731" s="5">
        <f t="shared" si="52"/>
        <v>0</v>
      </c>
      <c r="E731" s="5">
        <f t="shared" si="52"/>
        <v>0</v>
      </c>
      <c r="F731" s="5">
        <f t="shared" si="52"/>
        <v>0</v>
      </c>
      <c r="G731" s="5">
        <f t="shared" si="52"/>
        <v>0</v>
      </c>
      <c r="H731" s="5">
        <f t="shared" si="52"/>
        <v>0</v>
      </c>
      <c r="I731" s="5">
        <f t="shared" si="52"/>
        <v>0</v>
      </c>
      <c r="J731" s="5">
        <f t="shared" si="52"/>
        <v>0</v>
      </c>
      <c r="K731" s="5">
        <f t="shared" si="52"/>
        <v>0</v>
      </c>
      <c r="L731" s="5">
        <f t="shared" si="52"/>
        <v>1</v>
      </c>
      <c r="M731" s="5">
        <f t="shared" si="52"/>
        <v>0</v>
      </c>
      <c r="N731" s="32">
        <v>5.3115942028985473E-2</v>
      </c>
      <c r="O731" s="32">
        <v>7.8840579710145256E-3</v>
      </c>
      <c r="P731" s="24">
        <f t="shared" si="51"/>
        <v>6.5989130434782578E-2</v>
      </c>
    </row>
    <row r="732" spans="1:16" x14ac:dyDescent="0.3">
      <c r="A732" s="2">
        <v>39753</v>
      </c>
      <c r="B732" s="23">
        <v>6.5000000000000002E-2</v>
      </c>
      <c r="C732" s="5">
        <f t="shared" si="49"/>
        <v>0</v>
      </c>
      <c r="D732" s="5">
        <f t="shared" si="52"/>
        <v>0</v>
      </c>
      <c r="E732" s="5">
        <f t="shared" si="52"/>
        <v>0</v>
      </c>
      <c r="F732" s="5">
        <f t="shared" si="52"/>
        <v>0</v>
      </c>
      <c r="G732" s="5">
        <f t="shared" si="52"/>
        <v>0</v>
      </c>
      <c r="H732" s="5">
        <f t="shared" si="52"/>
        <v>0</v>
      </c>
      <c r="I732" s="5">
        <f t="shared" si="52"/>
        <v>0</v>
      </c>
      <c r="J732" s="5">
        <f t="shared" si="52"/>
        <v>0</v>
      </c>
      <c r="K732" s="5">
        <f t="shared" si="52"/>
        <v>0</v>
      </c>
      <c r="L732" s="5">
        <f t="shared" si="52"/>
        <v>0</v>
      </c>
      <c r="M732" s="5">
        <f t="shared" si="52"/>
        <v>1</v>
      </c>
      <c r="N732" s="32">
        <v>5.4782608695652081E-2</v>
      </c>
      <c r="O732" s="32">
        <v>1.0217391304347921E-2</v>
      </c>
      <c r="P732" s="24">
        <f t="shared" si="51"/>
        <v>6.832246376811596E-2</v>
      </c>
    </row>
    <row r="733" spans="1:16" x14ac:dyDescent="0.3">
      <c r="A733" s="2">
        <v>39783</v>
      </c>
      <c r="B733" s="23">
        <v>7.0999999999999994E-2</v>
      </c>
      <c r="C733" s="5">
        <f t="shared" si="49"/>
        <v>0</v>
      </c>
      <c r="D733" s="5">
        <f t="shared" si="52"/>
        <v>0</v>
      </c>
      <c r="E733" s="5">
        <f t="shared" si="52"/>
        <v>0</v>
      </c>
      <c r="F733" s="5">
        <f t="shared" si="52"/>
        <v>0</v>
      </c>
      <c r="G733" s="5">
        <f t="shared" si="52"/>
        <v>0</v>
      </c>
      <c r="H733" s="5">
        <f t="shared" si="52"/>
        <v>0</v>
      </c>
      <c r="I733" s="5">
        <f t="shared" si="52"/>
        <v>0</v>
      </c>
      <c r="J733" s="5">
        <f t="shared" si="52"/>
        <v>0</v>
      </c>
      <c r="K733" s="5">
        <f t="shared" si="52"/>
        <v>0</v>
      </c>
      <c r="L733" s="5">
        <f t="shared" si="52"/>
        <v>0</v>
      </c>
      <c r="M733" s="5">
        <f t="shared" si="52"/>
        <v>0</v>
      </c>
      <c r="N733" s="32">
        <v>5.5202898550724598E-2</v>
      </c>
      <c r="O733" s="32">
        <v>1.5797101449275396E-2</v>
      </c>
      <c r="P733" s="24">
        <f t="shared" si="51"/>
        <v>7.3902173913043434E-2</v>
      </c>
    </row>
    <row r="734" spans="1:16" x14ac:dyDescent="0.3">
      <c r="A734" s="2">
        <v>39814</v>
      </c>
      <c r="B734" s="23">
        <v>8.5000000000000006E-2</v>
      </c>
      <c r="C734" s="5">
        <f t="shared" si="49"/>
        <v>1</v>
      </c>
      <c r="D734" s="5">
        <f t="shared" si="52"/>
        <v>0</v>
      </c>
      <c r="E734" s="5">
        <f t="shared" si="52"/>
        <v>0</v>
      </c>
      <c r="F734" s="5">
        <f t="shared" si="52"/>
        <v>0</v>
      </c>
      <c r="G734" s="5">
        <f t="shared" si="52"/>
        <v>0</v>
      </c>
      <c r="H734" s="5">
        <f t="shared" si="52"/>
        <v>0</v>
      </c>
      <c r="I734" s="5">
        <f t="shared" si="52"/>
        <v>0</v>
      </c>
      <c r="J734" s="5">
        <f t="shared" si="52"/>
        <v>0</v>
      </c>
      <c r="K734" s="5">
        <f t="shared" si="52"/>
        <v>0</v>
      </c>
      <c r="L734" s="5">
        <f t="shared" si="52"/>
        <v>0</v>
      </c>
      <c r="M734" s="5">
        <f t="shared" si="52"/>
        <v>0</v>
      </c>
      <c r="N734" s="32">
        <v>6.4492753623188417E-2</v>
      </c>
      <c r="O734" s="32">
        <v>2.0507246376811589E-2</v>
      </c>
      <c r="P734" s="24">
        <f t="shared" si="51"/>
        <v>7.8612318840579634E-2</v>
      </c>
    </row>
    <row r="735" spans="1:16" x14ac:dyDescent="0.3">
      <c r="A735" s="2">
        <v>39845</v>
      </c>
      <c r="B735" s="23">
        <v>8.900000000000001E-2</v>
      </c>
      <c r="C735" s="5">
        <f t="shared" si="49"/>
        <v>0</v>
      </c>
      <c r="D735" s="5">
        <f t="shared" si="52"/>
        <v>1</v>
      </c>
      <c r="E735" s="5">
        <f t="shared" si="52"/>
        <v>0</v>
      </c>
      <c r="F735" s="5">
        <f t="shared" si="52"/>
        <v>0</v>
      </c>
      <c r="G735" s="5">
        <f t="shared" si="52"/>
        <v>0</v>
      </c>
      <c r="H735" s="5">
        <f t="shared" si="52"/>
        <v>0</v>
      </c>
      <c r="I735" s="5">
        <f t="shared" si="52"/>
        <v>0</v>
      </c>
      <c r="J735" s="5">
        <f t="shared" si="52"/>
        <v>0</v>
      </c>
      <c r="K735" s="5">
        <f t="shared" si="52"/>
        <v>0</v>
      </c>
      <c r="L735" s="5">
        <f t="shared" si="52"/>
        <v>0</v>
      </c>
      <c r="M735" s="5">
        <f t="shared" si="52"/>
        <v>0</v>
      </c>
      <c r="N735" s="32">
        <v>6.4391304347825973E-2</v>
      </c>
      <c r="O735" s="32">
        <v>2.4608695652174037E-2</v>
      </c>
      <c r="P735" s="24">
        <f t="shared" si="51"/>
        <v>8.2713768115942082E-2</v>
      </c>
    </row>
    <row r="736" spans="1:16" x14ac:dyDescent="0.3">
      <c r="A736" s="2">
        <v>39873</v>
      </c>
      <c r="B736" s="23">
        <v>0.09</v>
      </c>
      <c r="C736" s="5">
        <f t="shared" si="49"/>
        <v>0</v>
      </c>
      <c r="D736" s="5">
        <f t="shared" si="52"/>
        <v>0</v>
      </c>
      <c r="E736" s="5">
        <f t="shared" si="52"/>
        <v>1</v>
      </c>
      <c r="F736" s="5">
        <f t="shared" si="52"/>
        <v>0</v>
      </c>
      <c r="G736" s="5">
        <f t="shared" si="52"/>
        <v>0</v>
      </c>
      <c r="H736" s="5">
        <f t="shared" si="52"/>
        <v>0</v>
      </c>
      <c r="I736" s="5">
        <f t="shared" si="52"/>
        <v>0</v>
      </c>
      <c r="J736" s="5">
        <f t="shared" si="52"/>
        <v>0</v>
      </c>
      <c r="K736" s="5">
        <f t="shared" si="52"/>
        <v>0</v>
      </c>
      <c r="L736" s="5">
        <f t="shared" si="52"/>
        <v>0</v>
      </c>
      <c r="M736" s="5">
        <f t="shared" si="52"/>
        <v>0</v>
      </c>
      <c r="N736" s="32">
        <v>6.1652173913043402E-2</v>
      </c>
      <c r="O736" s="32">
        <v>2.8347826086956594E-2</v>
      </c>
      <c r="P736" s="24">
        <f t="shared" si="51"/>
        <v>8.6452898550724633E-2</v>
      </c>
    </row>
    <row r="737" spans="1:16" x14ac:dyDescent="0.3">
      <c r="A737" s="2">
        <v>39904</v>
      </c>
      <c r="B737" s="23">
        <v>8.5999999999999993E-2</v>
      </c>
      <c r="C737" s="5">
        <f t="shared" si="49"/>
        <v>0</v>
      </c>
      <c r="D737" s="5">
        <f t="shared" si="52"/>
        <v>0</v>
      </c>
      <c r="E737" s="5">
        <f t="shared" si="52"/>
        <v>0</v>
      </c>
      <c r="F737" s="5">
        <f t="shared" si="52"/>
        <v>1</v>
      </c>
      <c r="G737" s="5">
        <f t="shared" si="52"/>
        <v>0</v>
      </c>
      <c r="H737" s="5">
        <f t="shared" si="52"/>
        <v>0</v>
      </c>
      <c r="I737" s="5">
        <f t="shared" si="52"/>
        <v>0</v>
      </c>
      <c r="J737" s="5">
        <f t="shared" si="52"/>
        <v>0</v>
      </c>
      <c r="K737" s="5">
        <f t="shared" si="52"/>
        <v>0</v>
      </c>
      <c r="L737" s="5">
        <f t="shared" si="52"/>
        <v>0</v>
      </c>
      <c r="M737" s="5">
        <f t="shared" si="52"/>
        <v>0</v>
      </c>
      <c r="N737" s="32">
        <v>5.6550724637681071E-2</v>
      </c>
      <c r="O737" s="32">
        <v>2.9449275362318922E-2</v>
      </c>
      <c r="P737" s="24">
        <f t="shared" si="51"/>
        <v>8.7554347826086967E-2</v>
      </c>
    </row>
    <row r="738" spans="1:16" x14ac:dyDescent="0.3">
      <c r="A738" s="2">
        <v>39934</v>
      </c>
      <c r="B738" s="23">
        <v>9.0999999999999998E-2</v>
      </c>
      <c r="C738" s="5">
        <f t="shared" si="49"/>
        <v>0</v>
      </c>
      <c r="D738" s="5">
        <f t="shared" si="52"/>
        <v>0</v>
      </c>
      <c r="E738" s="5">
        <f t="shared" si="52"/>
        <v>0</v>
      </c>
      <c r="F738" s="5">
        <f t="shared" si="52"/>
        <v>0</v>
      </c>
      <c r="G738" s="5">
        <f t="shared" si="52"/>
        <v>1</v>
      </c>
      <c r="H738" s="5">
        <f t="shared" si="52"/>
        <v>0</v>
      </c>
      <c r="I738" s="5">
        <f t="shared" si="52"/>
        <v>0</v>
      </c>
      <c r="J738" s="5">
        <f t="shared" si="52"/>
        <v>0</v>
      </c>
      <c r="K738" s="5">
        <f t="shared" si="52"/>
        <v>0</v>
      </c>
      <c r="L738" s="5">
        <f t="shared" si="52"/>
        <v>0</v>
      </c>
      <c r="M738" s="5">
        <f t="shared" si="52"/>
        <v>0</v>
      </c>
      <c r="N738" s="32">
        <v>5.5101449275362209E-2</v>
      </c>
      <c r="O738" s="32">
        <v>3.5898550724637789E-2</v>
      </c>
      <c r="P738" s="24">
        <f t="shared" si="51"/>
        <v>9.4003623188405827E-2</v>
      </c>
    </row>
    <row r="739" spans="1:16" x14ac:dyDescent="0.3">
      <c r="A739" s="2">
        <v>39965</v>
      </c>
      <c r="B739" s="23">
        <v>9.6999999999999989E-2</v>
      </c>
      <c r="C739" s="5">
        <f t="shared" si="49"/>
        <v>0</v>
      </c>
      <c r="D739" s="5">
        <f t="shared" si="52"/>
        <v>0</v>
      </c>
      <c r="E739" s="5">
        <f t="shared" si="52"/>
        <v>0</v>
      </c>
      <c r="F739" s="5">
        <f t="shared" si="52"/>
        <v>0</v>
      </c>
      <c r="G739" s="5">
        <f t="shared" si="52"/>
        <v>0</v>
      </c>
      <c r="H739" s="5">
        <f t="shared" si="52"/>
        <v>1</v>
      </c>
      <c r="I739" s="5">
        <f t="shared" si="52"/>
        <v>0</v>
      </c>
      <c r="J739" s="5">
        <f t="shared" si="52"/>
        <v>0</v>
      </c>
      <c r="K739" s="5">
        <f t="shared" si="52"/>
        <v>0</v>
      </c>
      <c r="L739" s="5">
        <f t="shared" si="52"/>
        <v>0</v>
      </c>
      <c r="M739" s="5">
        <f t="shared" si="52"/>
        <v>0</v>
      </c>
      <c r="N739" s="32">
        <v>6.1130434782608579E-2</v>
      </c>
      <c r="O739" s="32">
        <v>3.586956521739141E-2</v>
      </c>
      <c r="P739" s="24">
        <f t="shared" si="51"/>
        <v>9.3974637681159462E-2</v>
      </c>
    </row>
    <row r="740" spans="1:16" x14ac:dyDescent="0.3">
      <c r="A740" s="2">
        <v>39995</v>
      </c>
      <c r="B740" s="23">
        <v>9.6999999999999989E-2</v>
      </c>
      <c r="C740" s="5">
        <f t="shared" si="49"/>
        <v>0</v>
      </c>
      <c r="D740" s="5">
        <f t="shared" si="52"/>
        <v>0</v>
      </c>
      <c r="E740" s="5">
        <f t="shared" si="52"/>
        <v>0</v>
      </c>
      <c r="F740" s="5">
        <f t="shared" si="52"/>
        <v>0</v>
      </c>
      <c r="G740" s="5">
        <f t="shared" si="52"/>
        <v>0</v>
      </c>
      <c r="H740" s="5">
        <f t="shared" si="52"/>
        <v>0</v>
      </c>
      <c r="I740" s="5">
        <f t="shared" si="52"/>
        <v>1</v>
      </c>
      <c r="J740" s="5">
        <f t="shared" si="52"/>
        <v>0</v>
      </c>
      <c r="K740" s="5">
        <f t="shared" si="52"/>
        <v>0</v>
      </c>
      <c r="L740" s="5">
        <f t="shared" si="52"/>
        <v>0</v>
      </c>
      <c r="M740" s="5">
        <f t="shared" si="52"/>
        <v>0</v>
      </c>
      <c r="N740" s="32">
        <v>5.9550724637681039E-2</v>
      </c>
      <c r="O740" s="32">
        <v>3.744927536231895E-2</v>
      </c>
      <c r="P740" s="24">
        <f t="shared" si="51"/>
        <v>9.5554347826086988E-2</v>
      </c>
    </row>
    <row r="741" spans="1:16" x14ac:dyDescent="0.3">
      <c r="A741" s="2">
        <v>40026</v>
      </c>
      <c r="B741" s="23">
        <v>9.6000000000000002E-2</v>
      </c>
      <c r="C741" s="5">
        <f t="shared" si="49"/>
        <v>0</v>
      </c>
      <c r="D741" s="5">
        <f t="shared" si="52"/>
        <v>0</v>
      </c>
      <c r="E741" s="5">
        <f t="shared" si="52"/>
        <v>0</v>
      </c>
      <c r="F741" s="5">
        <f t="shared" si="52"/>
        <v>0</v>
      </c>
      <c r="G741" s="5">
        <f t="shared" si="52"/>
        <v>0</v>
      </c>
      <c r="H741" s="5">
        <f t="shared" si="52"/>
        <v>0</v>
      </c>
      <c r="I741" s="5">
        <f t="shared" si="52"/>
        <v>0</v>
      </c>
      <c r="J741" s="5">
        <f t="shared" si="52"/>
        <v>1</v>
      </c>
      <c r="K741" s="5">
        <f t="shared" si="52"/>
        <v>0</v>
      </c>
      <c r="L741" s="5">
        <f t="shared" si="52"/>
        <v>0</v>
      </c>
      <c r="M741" s="5">
        <f t="shared" si="52"/>
        <v>0</v>
      </c>
      <c r="N741" s="32">
        <v>5.6521739130434699E-2</v>
      </c>
      <c r="O741" s="32">
        <v>3.9478260869565303E-2</v>
      </c>
      <c r="P741" s="24">
        <f t="shared" si="51"/>
        <v>9.7583333333333355E-2</v>
      </c>
    </row>
    <row r="742" spans="1:16" x14ac:dyDescent="0.3">
      <c r="A742" s="2">
        <v>40057</v>
      </c>
      <c r="B742" s="23">
        <v>9.5000000000000001E-2</v>
      </c>
      <c r="C742" s="5">
        <f t="shared" si="49"/>
        <v>0</v>
      </c>
      <c r="D742" s="5">
        <f t="shared" si="52"/>
        <v>0</v>
      </c>
      <c r="E742" s="5">
        <f t="shared" si="52"/>
        <v>0</v>
      </c>
      <c r="F742" s="5">
        <f t="shared" si="52"/>
        <v>0</v>
      </c>
      <c r="G742" s="5">
        <f t="shared" si="52"/>
        <v>0</v>
      </c>
      <c r="H742" s="5">
        <f t="shared" si="52"/>
        <v>0</v>
      </c>
      <c r="I742" s="5">
        <f t="shared" si="52"/>
        <v>0</v>
      </c>
      <c r="J742" s="5">
        <f t="shared" si="52"/>
        <v>0</v>
      </c>
      <c r="K742" s="5">
        <f t="shared" si="52"/>
        <v>1</v>
      </c>
      <c r="L742" s="5">
        <f t="shared" si="52"/>
        <v>0</v>
      </c>
      <c r="M742" s="5">
        <f t="shared" si="52"/>
        <v>0</v>
      </c>
      <c r="N742" s="32">
        <v>5.4768115942028898E-2</v>
      </c>
      <c r="O742" s="32">
        <v>4.0231884057971103E-2</v>
      </c>
      <c r="P742" s="24">
        <f t="shared" si="51"/>
        <v>9.8336956521739155E-2</v>
      </c>
    </row>
    <row r="743" spans="1:16" x14ac:dyDescent="0.3">
      <c r="A743" s="2">
        <v>40087</v>
      </c>
      <c r="B743" s="23">
        <v>9.5000000000000001E-2</v>
      </c>
      <c r="C743" s="5">
        <f t="shared" si="49"/>
        <v>0</v>
      </c>
      <c r="D743" s="5">
        <f t="shared" si="52"/>
        <v>0</v>
      </c>
      <c r="E743" s="5">
        <f t="shared" si="52"/>
        <v>0</v>
      </c>
      <c r="F743" s="5">
        <f t="shared" si="52"/>
        <v>0</v>
      </c>
      <c r="G743" s="5">
        <f t="shared" si="52"/>
        <v>0</v>
      </c>
      <c r="H743" s="5">
        <f t="shared" si="52"/>
        <v>0</v>
      </c>
      <c r="I743" s="5">
        <f t="shared" si="52"/>
        <v>0</v>
      </c>
      <c r="J743" s="5">
        <f t="shared" si="52"/>
        <v>0</v>
      </c>
      <c r="K743" s="5">
        <f t="shared" si="52"/>
        <v>0</v>
      </c>
      <c r="L743" s="5">
        <f t="shared" si="52"/>
        <v>1</v>
      </c>
      <c r="M743" s="5">
        <f t="shared" si="52"/>
        <v>0</v>
      </c>
      <c r="N743" s="32">
        <v>5.3115942028985473E-2</v>
      </c>
      <c r="O743" s="32">
        <v>4.1884057971014528E-2</v>
      </c>
      <c r="P743" s="24">
        <f t="shared" si="51"/>
        <v>9.998913043478258E-2</v>
      </c>
    </row>
    <row r="744" spans="1:16" x14ac:dyDescent="0.3">
      <c r="A744" s="2">
        <v>40118</v>
      </c>
      <c r="B744" s="23">
        <v>9.4E-2</v>
      </c>
      <c r="C744" s="5">
        <f t="shared" ref="C744:C807" si="53">IF(MONTH($A744)=C$1,1,0)</f>
        <v>0</v>
      </c>
      <c r="D744" s="5">
        <f t="shared" si="52"/>
        <v>0</v>
      </c>
      <c r="E744" s="5">
        <f t="shared" si="52"/>
        <v>0</v>
      </c>
      <c r="F744" s="5">
        <f t="shared" si="52"/>
        <v>0</v>
      </c>
      <c r="G744" s="5">
        <f t="shared" si="52"/>
        <v>0</v>
      </c>
      <c r="H744" s="5">
        <f t="shared" si="52"/>
        <v>0</v>
      </c>
      <c r="I744" s="5">
        <f t="shared" si="52"/>
        <v>0</v>
      </c>
      <c r="J744" s="5">
        <f t="shared" si="52"/>
        <v>0</v>
      </c>
      <c r="K744" s="5">
        <f t="shared" si="52"/>
        <v>0</v>
      </c>
      <c r="L744" s="5">
        <f t="shared" si="52"/>
        <v>0</v>
      </c>
      <c r="M744" s="5">
        <f t="shared" si="52"/>
        <v>1</v>
      </c>
      <c r="N744" s="32">
        <v>5.4782608695652081E-2</v>
      </c>
      <c r="O744" s="32">
        <v>3.9217391304347919E-2</v>
      </c>
      <c r="P744" s="24">
        <f t="shared" si="51"/>
        <v>9.7322463768115958E-2</v>
      </c>
    </row>
    <row r="745" spans="1:16" x14ac:dyDescent="0.3">
      <c r="A745" s="2">
        <v>40148</v>
      </c>
      <c r="B745" s="23">
        <v>9.6999999999999989E-2</v>
      </c>
      <c r="C745" s="5">
        <f t="shared" si="53"/>
        <v>0</v>
      </c>
      <c r="D745" s="5">
        <f t="shared" si="52"/>
        <v>0</v>
      </c>
      <c r="E745" s="5">
        <f t="shared" si="52"/>
        <v>0</v>
      </c>
      <c r="F745" s="5">
        <f t="shared" si="52"/>
        <v>0</v>
      </c>
      <c r="G745" s="5">
        <f t="shared" si="52"/>
        <v>0</v>
      </c>
      <c r="H745" s="5">
        <f t="shared" si="52"/>
        <v>0</v>
      </c>
      <c r="I745" s="5">
        <f t="shared" si="52"/>
        <v>0</v>
      </c>
      <c r="J745" s="5">
        <f t="shared" si="52"/>
        <v>0</v>
      </c>
      <c r="K745" s="5">
        <f t="shared" si="52"/>
        <v>0</v>
      </c>
      <c r="L745" s="5">
        <f t="shared" si="52"/>
        <v>0</v>
      </c>
      <c r="M745" s="5">
        <f t="shared" si="52"/>
        <v>0</v>
      </c>
      <c r="N745" s="32">
        <v>5.5202898550724598E-2</v>
      </c>
      <c r="O745" s="32">
        <v>4.1797101449275391E-2</v>
      </c>
      <c r="P745" s="24">
        <f t="shared" si="51"/>
        <v>9.9902173913043429E-2</v>
      </c>
    </row>
    <row r="746" spans="1:16" x14ac:dyDescent="0.3">
      <c r="A746" s="2">
        <v>40179</v>
      </c>
      <c r="B746" s="23">
        <v>0.106</v>
      </c>
      <c r="C746" s="5">
        <f t="shared" si="53"/>
        <v>1</v>
      </c>
      <c r="D746" s="5">
        <f t="shared" si="52"/>
        <v>0</v>
      </c>
      <c r="E746" s="5">
        <f t="shared" si="52"/>
        <v>0</v>
      </c>
      <c r="F746" s="5">
        <f t="shared" si="52"/>
        <v>0</v>
      </c>
      <c r="G746" s="5">
        <f t="shared" si="52"/>
        <v>0</v>
      </c>
      <c r="H746" s="5">
        <f t="shared" si="52"/>
        <v>0</v>
      </c>
      <c r="I746" s="5">
        <f t="shared" si="52"/>
        <v>0</v>
      </c>
      <c r="J746" s="5">
        <f t="shared" si="52"/>
        <v>0</v>
      </c>
      <c r="K746" s="5">
        <f t="shared" si="52"/>
        <v>0</v>
      </c>
      <c r="L746" s="5">
        <f t="shared" si="52"/>
        <v>0</v>
      </c>
      <c r="M746" s="5">
        <f t="shared" si="52"/>
        <v>0</v>
      </c>
      <c r="N746" s="32">
        <v>6.4492753623188417E-2</v>
      </c>
      <c r="O746" s="32">
        <v>4.150724637681158E-2</v>
      </c>
      <c r="P746" s="24">
        <f t="shared" si="51"/>
        <v>9.9612318840579625E-2</v>
      </c>
    </row>
    <row r="747" spans="1:16" x14ac:dyDescent="0.3">
      <c r="A747" s="2">
        <v>40210</v>
      </c>
      <c r="B747" s="23">
        <v>0.10400000000000001</v>
      </c>
      <c r="C747" s="5">
        <f t="shared" si="53"/>
        <v>0</v>
      </c>
      <c r="D747" s="5">
        <f t="shared" si="52"/>
        <v>1</v>
      </c>
      <c r="E747" s="5">
        <f t="shared" si="52"/>
        <v>0</v>
      </c>
      <c r="F747" s="5">
        <f t="shared" si="52"/>
        <v>0</v>
      </c>
      <c r="G747" s="5">
        <f t="shared" si="52"/>
        <v>0</v>
      </c>
      <c r="H747" s="5">
        <f t="shared" si="52"/>
        <v>0</v>
      </c>
      <c r="I747" s="5">
        <f t="shared" si="52"/>
        <v>0</v>
      </c>
      <c r="J747" s="5">
        <f t="shared" si="52"/>
        <v>0</v>
      </c>
      <c r="K747" s="5">
        <f t="shared" si="52"/>
        <v>0</v>
      </c>
      <c r="L747" s="5">
        <f t="shared" si="52"/>
        <v>0</v>
      </c>
      <c r="M747" s="5">
        <f t="shared" si="52"/>
        <v>0</v>
      </c>
      <c r="N747" s="32">
        <v>6.4391304347825973E-2</v>
      </c>
      <c r="O747" s="32">
        <v>3.9608695652174036E-2</v>
      </c>
      <c r="P747" s="24">
        <f t="shared" si="51"/>
        <v>9.7713768115942082E-2</v>
      </c>
    </row>
    <row r="748" spans="1:16" x14ac:dyDescent="0.3">
      <c r="A748" s="2">
        <v>40238</v>
      </c>
      <c r="B748" s="23">
        <v>0.10199999999999999</v>
      </c>
      <c r="C748" s="5">
        <f t="shared" si="53"/>
        <v>0</v>
      </c>
      <c r="D748" s="5">
        <f t="shared" si="52"/>
        <v>0</v>
      </c>
      <c r="E748" s="5">
        <f t="shared" si="52"/>
        <v>1</v>
      </c>
      <c r="F748" s="5">
        <f t="shared" si="52"/>
        <v>0</v>
      </c>
      <c r="G748" s="5">
        <f t="shared" si="52"/>
        <v>0</v>
      </c>
      <c r="H748" s="5">
        <f t="shared" si="52"/>
        <v>0</v>
      </c>
      <c r="I748" s="5">
        <f t="shared" si="52"/>
        <v>0</v>
      </c>
      <c r="J748" s="5">
        <f t="shared" si="52"/>
        <v>0</v>
      </c>
      <c r="K748" s="5">
        <f t="shared" si="52"/>
        <v>0</v>
      </c>
      <c r="L748" s="5">
        <f t="shared" si="52"/>
        <v>0</v>
      </c>
      <c r="M748" s="5">
        <f t="shared" si="52"/>
        <v>0</v>
      </c>
      <c r="N748" s="32">
        <v>6.1652173913043402E-2</v>
      </c>
      <c r="O748" s="32">
        <v>4.0347826086956591E-2</v>
      </c>
      <c r="P748" s="24">
        <f t="shared" si="51"/>
        <v>9.8452898550724643E-2</v>
      </c>
    </row>
    <row r="749" spans="1:16" x14ac:dyDescent="0.3">
      <c r="A749" s="2">
        <v>40269</v>
      </c>
      <c r="B749" s="23">
        <v>9.5000000000000001E-2</v>
      </c>
      <c r="C749" s="5">
        <f t="shared" si="53"/>
        <v>0</v>
      </c>
      <c r="D749" s="5">
        <f t="shared" si="52"/>
        <v>0</v>
      </c>
      <c r="E749" s="5">
        <f t="shared" si="52"/>
        <v>0</v>
      </c>
      <c r="F749" s="5">
        <f t="shared" si="52"/>
        <v>1</v>
      </c>
      <c r="G749" s="5">
        <f t="shared" si="52"/>
        <v>0</v>
      </c>
      <c r="H749" s="5">
        <f t="shared" si="52"/>
        <v>0</v>
      </c>
      <c r="I749" s="5">
        <f t="shared" si="52"/>
        <v>0</v>
      </c>
      <c r="J749" s="5">
        <f t="shared" si="52"/>
        <v>0</v>
      </c>
      <c r="K749" s="5">
        <f t="shared" si="52"/>
        <v>0</v>
      </c>
      <c r="L749" s="5">
        <f t="shared" si="52"/>
        <v>0</v>
      </c>
      <c r="M749" s="5">
        <f t="shared" si="52"/>
        <v>0</v>
      </c>
      <c r="N749" s="32">
        <v>5.6550724637681071E-2</v>
      </c>
      <c r="O749" s="32">
        <v>3.844927536231893E-2</v>
      </c>
      <c r="P749" s="24">
        <f t="shared" si="51"/>
        <v>9.6554347826086975E-2</v>
      </c>
    </row>
    <row r="750" spans="1:16" x14ac:dyDescent="0.3">
      <c r="A750" s="2">
        <v>40299</v>
      </c>
      <c r="B750" s="23">
        <v>9.3000000000000013E-2</v>
      </c>
      <c r="C750" s="5">
        <f t="shared" si="53"/>
        <v>0</v>
      </c>
      <c r="D750" s="5">
        <f t="shared" si="52"/>
        <v>0</v>
      </c>
      <c r="E750" s="5">
        <f t="shared" si="52"/>
        <v>0</v>
      </c>
      <c r="F750" s="5">
        <f t="shared" si="52"/>
        <v>0</v>
      </c>
      <c r="G750" s="5">
        <f t="shared" si="52"/>
        <v>1</v>
      </c>
      <c r="H750" s="5">
        <f t="shared" si="52"/>
        <v>0</v>
      </c>
      <c r="I750" s="5">
        <f t="shared" si="52"/>
        <v>0</v>
      </c>
      <c r="J750" s="5">
        <f t="shared" si="52"/>
        <v>0</v>
      </c>
      <c r="K750" s="5">
        <f t="shared" si="52"/>
        <v>0</v>
      </c>
      <c r="L750" s="5">
        <f t="shared" si="52"/>
        <v>0</v>
      </c>
      <c r="M750" s="5">
        <f t="shared" si="52"/>
        <v>0</v>
      </c>
      <c r="N750" s="32">
        <v>5.5101449275362209E-2</v>
      </c>
      <c r="O750" s="32">
        <v>3.7898550724637804E-2</v>
      </c>
      <c r="P750" s="24">
        <f t="shared" si="51"/>
        <v>9.6003623188405857E-2</v>
      </c>
    </row>
    <row r="751" spans="1:16" x14ac:dyDescent="0.3">
      <c r="A751" s="2">
        <v>40330</v>
      </c>
      <c r="B751" s="23">
        <v>9.6000000000000002E-2</v>
      </c>
      <c r="C751" s="5">
        <f t="shared" si="53"/>
        <v>0</v>
      </c>
      <c r="D751" s="5">
        <f t="shared" si="52"/>
        <v>0</v>
      </c>
      <c r="E751" s="5">
        <f t="shared" si="52"/>
        <v>0</v>
      </c>
      <c r="F751" s="5">
        <f t="shared" si="52"/>
        <v>0</v>
      </c>
      <c r="G751" s="5">
        <f t="shared" si="52"/>
        <v>0</v>
      </c>
      <c r="H751" s="5">
        <f t="shared" si="52"/>
        <v>1</v>
      </c>
      <c r="I751" s="5">
        <f t="shared" si="52"/>
        <v>0</v>
      </c>
      <c r="J751" s="5">
        <f t="shared" si="52"/>
        <v>0</v>
      </c>
      <c r="K751" s="5">
        <f t="shared" si="52"/>
        <v>0</v>
      </c>
      <c r="L751" s="5">
        <f t="shared" si="52"/>
        <v>0</v>
      </c>
      <c r="M751" s="5">
        <f t="shared" si="52"/>
        <v>0</v>
      </c>
      <c r="N751" s="32">
        <v>6.1130434782608579E-2</v>
      </c>
      <c r="O751" s="32">
        <v>3.4869565217391423E-2</v>
      </c>
      <c r="P751" s="24">
        <f t="shared" si="51"/>
        <v>9.2974637681159461E-2</v>
      </c>
    </row>
    <row r="752" spans="1:16" x14ac:dyDescent="0.3">
      <c r="A752" s="2">
        <v>40360</v>
      </c>
      <c r="B752" s="23">
        <v>9.6999999999999989E-2</v>
      </c>
      <c r="C752" s="5">
        <f t="shared" si="53"/>
        <v>0</v>
      </c>
      <c r="D752" s="5">
        <f t="shared" si="52"/>
        <v>0</v>
      </c>
      <c r="E752" s="5">
        <f t="shared" si="52"/>
        <v>0</v>
      </c>
      <c r="F752" s="5">
        <f t="shared" si="52"/>
        <v>0</v>
      </c>
      <c r="G752" s="5">
        <f t="shared" si="52"/>
        <v>0</v>
      </c>
      <c r="H752" s="5">
        <f t="shared" si="52"/>
        <v>0</v>
      </c>
      <c r="I752" s="5">
        <f t="shared" si="52"/>
        <v>1</v>
      </c>
      <c r="J752" s="5">
        <f t="shared" si="52"/>
        <v>0</v>
      </c>
      <c r="K752" s="5">
        <f t="shared" si="52"/>
        <v>0</v>
      </c>
      <c r="L752" s="5">
        <f t="shared" si="52"/>
        <v>0</v>
      </c>
      <c r="M752" s="5">
        <f t="shared" si="52"/>
        <v>0</v>
      </c>
      <c r="N752" s="32">
        <v>5.9550724637681039E-2</v>
      </c>
      <c r="O752" s="32">
        <v>3.744927536231895E-2</v>
      </c>
      <c r="P752" s="24">
        <f t="shared" si="51"/>
        <v>9.5554347826086988E-2</v>
      </c>
    </row>
    <row r="753" spans="1:16" x14ac:dyDescent="0.3">
      <c r="A753" s="2">
        <v>40391</v>
      </c>
      <c r="B753" s="23">
        <v>9.5000000000000001E-2</v>
      </c>
      <c r="C753" s="5">
        <f t="shared" si="53"/>
        <v>0</v>
      </c>
      <c r="D753" s="5">
        <f t="shared" si="52"/>
        <v>0</v>
      </c>
      <c r="E753" s="5">
        <f t="shared" si="52"/>
        <v>0</v>
      </c>
      <c r="F753" s="5">
        <f t="shared" si="52"/>
        <v>0</v>
      </c>
      <c r="G753" s="5">
        <f t="shared" si="52"/>
        <v>0</v>
      </c>
      <c r="H753" s="5">
        <f t="shared" si="52"/>
        <v>0</v>
      </c>
      <c r="I753" s="5">
        <f t="shared" si="52"/>
        <v>0</v>
      </c>
      <c r="J753" s="5">
        <f t="shared" si="52"/>
        <v>1</v>
      </c>
      <c r="K753" s="5">
        <f t="shared" si="52"/>
        <v>0</v>
      </c>
      <c r="L753" s="5">
        <f t="shared" ref="D753:M779" si="54">IF(MONTH($A753)=L$1,1,0)</f>
        <v>0</v>
      </c>
      <c r="M753" s="5">
        <f t="shared" si="54"/>
        <v>0</v>
      </c>
      <c r="N753" s="32">
        <v>5.6521739130434699E-2</v>
      </c>
      <c r="O753" s="32">
        <v>3.8478260869565302E-2</v>
      </c>
      <c r="P753" s="24">
        <f t="shared" si="51"/>
        <v>9.6583333333333354E-2</v>
      </c>
    </row>
    <row r="754" spans="1:16" x14ac:dyDescent="0.3">
      <c r="A754" s="2">
        <v>40422</v>
      </c>
      <c r="B754" s="23">
        <v>9.1999999999999998E-2</v>
      </c>
      <c r="C754" s="5">
        <f t="shared" si="53"/>
        <v>0</v>
      </c>
      <c r="D754" s="5">
        <f t="shared" si="54"/>
        <v>0</v>
      </c>
      <c r="E754" s="5">
        <f t="shared" si="54"/>
        <v>0</v>
      </c>
      <c r="F754" s="5">
        <f t="shared" si="54"/>
        <v>0</v>
      </c>
      <c r="G754" s="5">
        <f t="shared" si="54"/>
        <v>0</v>
      </c>
      <c r="H754" s="5">
        <f t="shared" si="54"/>
        <v>0</v>
      </c>
      <c r="I754" s="5">
        <f t="shared" si="54"/>
        <v>0</v>
      </c>
      <c r="J754" s="5">
        <f t="shared" si="54"/>
        <v>0</v>
      </c>
      <c r="K754" s="5">
        <f t="shared" si="54"/>
        <v>1</v>
      </c>
      <c r="L754" s="5">
        <f t="shared" si="54"/>
        <v>0</v>
      </c>
      <c r="M754" s="5">
        <f t="shared" si="54"/>
        <v>0</v>
      </c>
      <c r="N754" s="32">
        <v>5.4768115942028898E-2</v>
      </c>
      <c r="O754" s="32">
        <v>3.72318840579711E-2</v>
      </c>
      <c r="P754" s="24">
        <f t="shared" si="51"/>
        <v>9.5336956521739152E-2</v>
      </c>
    </row>
    <row r="755" spans="1:16" x14ac:dyDescent="0.3">
      <c r="A755" s="2">
        <v>40452</v>
      </c>
      <c r="B755" s="23">
        <v>0.09</v>
      </c>
      <c r="C755" s="5">
        <f t="shared" si="53"/>
        <v>0</v>
      </c>
      <c r="D755" s="5">
        <f t="shared" si="54"/>
        <v>0</v>
      </c>
      <c r="E755" s="5">
        <f t="shared" si="54"/>
        <v>0</v>
      </c>
      <c r="F755" s="5">
        <f t="shared" si="54"/>
        <v>0</v>
      </c>
      <c r="G755" s="5">
        <f t="shared" si="54"/>
        <v>0</v>
      </c>
      <c r="H755" s="5">
        <f t="shared" si="54"/>
        <v>0</v>
      </c>
      <c r="I755" s="5">
        <f t="shared" si="54"/>
        <v>0</v>
      </c>
      <c r="J755" s="5">
        <f t="shared" si="54"/>
        <v>0</v>
      </c>
      <c r="K755" s="5">
        <f t="shared" si="54"/>
        <v>0</v>
      </c>
      <c r="L755" s="5">
        <f t="shared" si="54"/>
        <v>1</v>
      </c>
      <c r="M755" s="5">
        <f t="shared" si="54"/>
        <v>0</v>
      </c>
      <c r="N755" s="32">
        <v>5.3115942028985473E-2</v>
      </c>
      <c r="O755" s="32">
        <v>3.6884057971014524E-2</v>
      </c>
      <c r="P755" s="24">
        <f t="shared" si="51"/>
        <v>9.4989130434782576E-2</v>
      </c>
    </row>
    <row r="756" spans="1:16" x14ac:dyDescent="0.3">
      <c r="A756" s="2">
        <v>40483</v>
      </c>
      <c r="B756" s="23">
        <v>9.3000000000000013E-2</v>
      </c>
      <c r="C756" s="5">
        <f t="shared" si="53"/>
        <v>0</v>
      </c>
      <c r="D756" s="5">
        <f t="shared" si="54"/>
        <v>0</v>
      </c>
      <c r="E756" s="5">
        <f t="shared" si="54"/>
        <v>0</v>
      </c>
      <c r="F756" s="5">
        <f t="shared" si="54"/>
        <v>0</v>
      </c>
      <c r="G756" s="5">
        <f t="shared" si="54"/>
        <v>0</v>
      </c>
      <c r="H756" s="5">
        <f t="shared" si="54"/>
        <v>0</v>
      </c>
      <c r="I756" s="5">
        <f t="shared" si="54"/>
        <v>0</v>
      </c>
      <c r="J756" s="5">
        <f t="shared" si="54"/>
        <v>0</v>
      </c>
      <c r="K756" s="5">
        <f t="shared" si="54"/>
        <v>0</v>
      </c>
      <c r="L756" s="5">
        <f t="shared" si="54"/>
        <v>0</v>
      </c>
      <c r="M756" s="5">
        <f t="shared" si="54"/>
        <v>1</v>
      </c>
      <c r="N756" s="32">
        <v>5.4782608695652081E-2</v>
      </c>
      <c r="O756" s="32">
        <v>3.8217391304347932E-2</v>
      </c>
      <c r="P756" s="24">
        <f t="shared" si="51"/>
        <v>9.6322463768115985E-2</v>
      </c>
    </row>
    <row r="757" spans="1:16" x14ac:dyDescent="0.3">
      <c r="A757" s="2">
        <v>40513</v>
      </c>
      <c r="B757" s="23">
        <v>9.0999999999999998E-2</v>
      </c>
      <c r="C757" s="5">
        <f t="shared" si="53"/>
        <v>0</v>
      </c>
      <c r="D757" s="5">
        <f t="shared" si="54"/>
        <v>0</v>
      </c>
      <c r="E757" s="5">
        <f t="shared" si="54"/>
        <v>0</v>
      </c>
      <c r="F757" s="5">
        <f t="shared" si="54"/>
        <v>0</v>
      </c>
      <c r="G757" s="5">
        <f t="shared" si="54"/>
        <v>0</v>
      </c>
      <c r="H757" s="5">
        <f t="shared" si="54"/>
        <v>0</v>
      </c>
      <c r="I757" s="5">
        <f t="shared" si="54"/>
        <v>0</v>
      </c>
      <c r="J757" s="5">
        <f t="shared" si="54"/>
        <v>0</v>
      </c>
      <c r="K757" s="5">
        <f t="shared" si="54"/>
        <v>0</v>
      </c>
      <c r="L757" s="5">
        <f t="shared" si="54"/>
        <v>0</v>
      </c>
      <c r="M757" s="5">
        <f t="shared" si="54"/>
        <v>0</v>
      </c>
      <c r="N757" s="32">
        <v>5.5202898550724598E-2</v>
      </c>
      <c r="O757" s="32">
        <v>3.5797101449275399E-2</v>
      </c>
      <c r="P757" s="24">
        <f t="shared" si="51"/>
        <v>9.3902173913043452E-2</v>
      </c>
    </row>
    <row r="758" spans="1:16" x14ac:dyDescent="0.3">
      <c r="A758" s="2">
        <v>40544</v>
      </c>
      <c r="B758" s="23">
        <v>9.8000000000000004E-2</v>
      </c>
      <c r="C758" s="5">
        <f t="shared" si="53"/>
        <v>1</v>
      </c>
      <c r="D758" s="5">
        <f t="shared" si="54"/>
        <v>0</v>
      </c>
      <c r="E758" s="5">
        <f t="shared" si="54"/>
        <v>0</v>
      </c>
      <c r="F758" s="5">
        <f t="shared" si="54"/>
        <v>0</v>
      </c>
      <c r="G758" s="5">
        <f t="shared" si="54"/>
        <v>0</v>
      </c>
      <c r="H758" s="5">
        <f t="shared" si="54"/>
        <v>0</v>
      </c>
      <c r="I758" s="5">
        <f t="shared" si="54"/>
        <v>0</v>
      </c>
      <c r="J758" s="5">
        <f t="shared" si="54"/>
        <v>0</v>
      </c>
      <c r="K758" s="5">
        <f t="shared" si="54"/>
        <v>0</v>
      </c>
      <c r="L758" s="5">
        <f t="shared" si="54"/>
        <v>0</v>
      </c>
      <c r="M758" s="5">
        <f t="shared" si="54"/>
        <v>0</v>
      </c>
      <c r="N758" s="32">
        <v>6.4492753623188417E-2</v>
      </c>
      <c r="O758" s="32">
        <v>3.3507246376811586E-2</v>
      </c>
      <c r="P758" s="24">
        <f t="shared" si="51"/>
        <v>9.1612318840579632E-2</v>
      </c>
    </row>
    <row r="759" spans="1:16" x14ac:dyDescent="0.3">
      <c r="A759" s="2">
        <v>40575</v>
      </c>
      <c r="B759" s="23">
        <v>9.5000000000000001E-2</v>
      </c>
      <c r="C759" s="5">
        <f t="shared" si="53"/>
        <v>0</v>
      </c>
      <c r="D759" s="5">
        <f t="shared" si="54"/>
        <v>1</v>
      </c>
      <c r="E759" s="5">
        <f t="shared" si="54"/>
        <v>0</v>
      </c>
      <c r="F759" s="5">
        <f t="shared" si="54"/>
        <v>0</v>
      </c>
      <c r="G759" s="5">
        <f t="shared" si="54"/>
        <v>0</v>
      </c>
      <c r="H759" s="5">
        <f t="shared" si="54"/>
        <v>0</v>
      </c>
      <c r="I759" s="5">
        <f t="shared" si="54"/>
        <v>0</v>
      </c>
      <c r="J759" s="5">
        <f t="shared" si="54"/>
        <v>0</v>
      </c>
      <c r="K759" s="5">
        <f t="shared" si="54"/>
        <v>0</v>
      </c>
      <c r="L759" s="5">
        <f t="shared" si="54"/>
        <v>0</v>
      </c>
      <c r="M759" s="5">
        <f t="shared" si="54"/>
        <v>0</v>
      </c>
      <c r="N759" s="32">
        <v>6.4391304347825973E-2</v>
      </c>
      <c r="O759" s="32">
        <v>3.0608695652174028E-2</v>
      </c>
      <c r="P759" s="24">
        <f t="shared" si="51"/>
        <v>8.8713768115942074E-2</v>
      </c>
    </row>
    <row r="760" spans="1:16" x14ac:dyDescent="0.3">
      <c r="A760" s="2">
        <v>40603</v>
      </c>
      <c r="B760" s="23">
        <v>9.1999999999999998E-2</v>
      </c>
      <c r="C760" s="5">
        <f t="shared" si="53"/>
        <v>0</v>
      </c>
      <c r="D760" s="5">
        <f t="shared" si="54"/>
        <v>0</v>
      </c>
      <c r="E760" s="5">
        <f t="shared" si="54"/>
        <v>1</v>
      </c>
      <c r="F760" s="5">
        <f t="shared" si="54"/>
        <v>0</v>
      </c>
      <c r="G760" s="5">
        <f t="shared" si="54"/>
        <v>0</v>
      </c>
      <c r="H760" s="5">
        <f t="shared" si="54"/>
        <v>0</v>
      </c>
      <c r="I760" s="5">
        <f t="shared" si="54"/>
        <v>0</v>
      </c>
      <c r="J760" s="5">
        <f t="shared" si="54"/>
        <v>0</v>
      </c>
      <c r="K760" s="5">
        <f t="shared" si="54"/>
        <v>0</v>
      </c>
      <c r="L760" s="5">
        <f t="shared" si="54"/>
        <v>0</v>
      </c>
      <c r="M760" s="5">
        <f t="shared" si="54"/>
        <v>0</v>
      </c>
      <c r="N760" s="32">
        <v>6.1652173913043402E-2</v>
      </c>
      <c r="O760" s="32">
        <v>3.0347826086956596E-2</v>
      </c>
      <c r="P760" s="24">
        <f t="shared" si="51"/>
        <v>8.8452898550724635E-2</v>
      </c>
    </row>
    <row r="761" spans="1:16" x14ac:dyDescent="0.3">
      <c r="A761" s="2">
        <v>40634</v>
      </c>
      <c r="B761" s="23">
        <v>8.6999999999999994E-2</v>
      </c>
      <c r="C761" s="5">
        <f t="shared" si="53"/>
        <v>0</v>
      </c>
      <c r="D761" s="5">
        <f t="shared" si="54"/>
        <v>0</v>
      </c>
      <c r="E761" s="5">
        <f t="shared" si="54"/>
        <v>0</v>
      </c>
      <c r="F761" s="5">
        <f t="shared" si="54"/>
        <v>1</v>
      </c>
      <c r="G761" s="5">
        <f t="shared" si="54"/>
        <v>0</v>
      </c>
      <c r="H761" s="5">
        <f t="shared" si="54"/>
        <v>0</v>
      </c>
      <c r="I761" s="5">
        <f t="shared" si="54"/>
        <v>0</v>
      </c>
      <c r="J761" s="5">
        <f t="shared" si="54"/>
        <v>0</v>
      </c>
      <c r="K761" s="5">
        <f t="shared" si="54"/>
        <v>0</v>
      </c>
      <c r="L761" s="5">
        <f t="shared" si="54"/>
        <v>0</v>
      </c>
      <c r="M761" s="5">
        <f t="shared" si="54"/>
        <v>0</v>
      </c>
      <c r="N761" s="32">
        <v>5.6550724637681071E-2</v>
      </c>
      <c r="O761" s="32">
        <v>3.0449275362318923E-2</v>
      </c>
      <c r="P761" s="24">
        <f t="shared" si="51"/>
        <v>8.8554347826086968E-2</v>
      </c>
    </row>
    <row r="762" spans="1:16" x14ac:dyDescent="0.3">
      <c r="A762" s="2">
        <v>40664</v>
      </c>
      <c r="B762" s="23">
        <v>8.6999999999999994E-2</v>
      </c>
      <c r="C762" s="5">
        <f t="shared" si="53"/>
        <v>0</v>
      </c>
      <c r="D762" s="5">
        <f t="shared" si="54"/>
        <v>0</v>
      </c>
      <c r="E762" s="5">
        <f t="shared" si="54"/>
        <v>0</v>
      </c>
      <c r="F762" s="5">
        <f t="shared" si="54"/>
        <v>0</v>
      </c>
      <c r="G762" s="5">
        <f t="shared" si="54"/>
        <v>1</v>
      </c>
      <c r="H762" s="5">
        <f t="shared" si="54"/>
        <v>0</v>
      </c>
      <c r="I762" s="5">
        <f t="shared" si="54"/>
        <v>0</v>
      </c>
      <c r="J762" s="5">
        <f t="shared" si="54"/>
        <v>0</v>
      </c>
      <c r="K762" s="5">
        <f t="shared" si="54"/>
        <v>0</v>
      </c>
      <c r="L762" s="5">
        <f t="shared" si="54"/>
        <v>0</v>
      </c>
      <c r="M762" s="5">
        <f t="shared" si="54"/>
        <v>0</v>
      </c>
      <c r="N762" s="32">
        <v>5.5101449275362209E-2</v>
      </c>
      <c r="O762" s="32">
        <v>3.1898550724637785E-2</v>
      </c>
      <c r="P762" s="24">
        <f t="shared" si="51"/>
        <v>9.0003623188405824E-2</v>
      </c>
    </row>
    <row r="763" spans="1:16" x14ac:dyDescent="0.3">
      <c r="A763" s="2">
        <v>40695</v>
      </c>
      <c r="B763" s="23">
        <v>9.3000000000000013E-2</v>
      </c>
      <c r="C763" s="5">
        <f t="shared" si="53"/>
        <v>0</v>
      </c>
      <c r="D763" s="5">
        <f t="shared" si="54"/>
        <v>0</v>
      </c>
      <c r="E763" s="5">
        <f t="shared" si="54"/>
        <v>0</v>
      </c>
      <c r="F763" s="5">
        <f t="shared" si="54"/>
        <v>0</v>
      </c>
      <c r="G763" s="5">
        <f t="shared" si="54"/>
        <v>0</v>
      </c>
      <c r="H763" s="5">
        <f t="shared" si="54"/>
        <v>1</v>
      </c>
      <c r="I763" s="5">
        <f t="shared" si="54"/>
        <v>0</v>
      </c>
      <c r="J763" s="5">
        <f t="shared" si="54"/>
        <v>0</v>
      </c>
      <c r="K763" s="5">
        <f t="shared" si="54"/>
        <v>0</v>
      </c>
      <c r="L763" s="5">
        <f t="shared" si="54"/>
        <v>0</v>
      </c>
      <c r="M763" s="5">
        <f t="shared" si="54"/>
        <v>0</v>
      </c>
      <c r="N763" s="32">
        <v>6.1130434782608579E-2</v>
      </c>
      <c r="O763" s="32">
        <v>3.1869565217391434E-2</v>
      </c>
      <c r="P763" s="24">
        <f t="shared" si="51"/>
        <v>8.9974637681159486E-2</v>
      </c>
    </row>
    <row r="764" spans="1:16" x14ac:dyDescent="0.3">
      <c r="A764" s="2">
        <v>40725</v>
      </c>
      <c r="B764" s="23">
        <v>9.3000000000000013E-2</v>
      </c>
      <c r="C764" s="5">
        <f t="shared" si="53"/>
        <v>0</v>
      </c>
      <c r="D764" s="5">
        <f t="shared" si="54"/>
        <v>0</v>
      </c>
      <c r="E764" s="5">
        <f t="shared" si="54"/>
        <v>0</v>
      </c>
      <c r="F764" s="5">
        <f t="shared" si="54"/>
        <v>0</v>
      </c>
      <c r="G764" s="5">
        <f t="shared" si="54"/>
        <v>0</v>
      </c>
      <c r="H764" s="5">
        <f t="shared" si="54"/>
        <v>0</v>
      </c>
      <c r="I764" s="5">
        <f t="shared" si="54"/>
        <v>1</v>
      </c>
      <c r="J764" s="5">
        <f t="shared" si="54"/>
        <v>0</v>
      </c>
      <c r="K764" s="5">
        <f t="shared" si="54"/>
        <v>0</v>
      </c>
      <c r="L764" s="5">
        <f t="shared" si="54"/>
        <v>0</v>
      </c>
      <c r="M764" s="5">
        <f t="shared" si="54"/>
        <v>0</v>
      </c>
      <c r="N764" s="32">
        <v>5.9550724637681039E-2</v>
      </c>
      <c r="O764" s="32">
        <v>3.3449275362318974E-2</v>
      </c>
      <c r="P764" s="24">
        <f t="shared" si="51"/>
        <v>9.1554347826087012E-2</v>
      </c>
    </row>
    <row r="765" spans="1:16" x14ac:dyDescent="0.3">
      <c r="A765" s="2">
        <v>40756</v>
      </c>
      <c r="B765" s="23">
        <v>9.0999999999999998E-2</v>
      </c>
      <c r="C765" s="5">
        <f t="shared" si="53"/>
        <v>0</v>
      </c>
      <c r="D765" s="5">
        <f t="shared" si="54"/>
        <v>0</v>
      </c>
      <c r="E765" s="5">
        <f t="shared" si="54"/>
        <v>0</v>
      </c>
      <c r="F765" s="5">
        <f t="shared" si="54"/>
        <v>0</v>
      </c>
      <c r="G765" s="5">
        <f t="shared" si="54"/>
        <v>0</v>
      </c>
      <c r="H765" s="5">
        <f t="shared" si="54"/>
        <v>0</v>
      </c>
      <c r="I765" s="5">
        <f t="shared" si="54"/>
        <v>0</v>
      </c>
      <c r="J765" s="5">
        <f t="shared" si="54"/>
        <v>1</v>
      </c>
      <c r="K765" s="5">
        <f t="shared" si="54"/>
        <v>0</v>
      </c>
      <c r="L765" s="5">
        <f t="shared" si="54"/>
        <v>0</v>
      </c>
      <c r="M765" s="5">
        <f t="shared" si="54"/>
        <v>0</v>
      </c>
      <c r="N765" s="32">
        <v>5.6521739130434699E-2</v>
      </c>
      <c r="O765" s="32">
        <v>3.4478260869565298E-2</v>
      </c>
      <c r="P765" s="24">
        <f t="shared" si="51"/>
        <v>9.2583333333333351E-2</v>
      </c>
    </row>
    <row r="766" spans="1:16" x14ac:dyDescent="0.3">
      <c r="A766" s="2">
        <v>40787</v>
      </c>
      <c r="B766" s="23">
        <v>8.8000000000000009E-2</v>
      </c>
      <c r="C766" s="5">
        <f t="shared" si="53"/>
        <v>0</v>
      </c>
      <c r="D766" s="5">
        <f t="shared" si="54"/>
        <v>0</v>
      </c>
      <c r="E766" s="5">
        <f t="shared" si="54"/>
        <v>0</v>
      </c>
      <c r="F766" s="5">
        <f t="shared" si="54"/>
        <v>0</v>
      </c>
      <c r="G766" s="5">
        <f t="shared" si="54"/>
        <v>0</v>
      </c>
      <c r="H766" s="5">
        <f t="shared" si="54"/>
        <v>0</v>
      </c>
      <c r="I766" s="5">
        <f t="shared" si="54"/>
        <v>0</v>
      </c>
      <c r="J766" s="5">
        <f t="shared" si="54"/>
        <v>0</v>
      </c>
      <c r="K766" s="5">
        <f t="shared" si="54"/>
        <v>1</v>
      </c>
      <c r="L766" s="5">
        <f t="shared" si="54"/>
        <v>0</v>
      </c>
      <c r="M766" s="5">
        <f t="shared" si="54"/>
        <v>0</v>
      </c>
      <c r="N766" s="32">
        <v>5.4768115942028898E-2</v>
      </c>
      <c r="O766" s="32">
        <v>3.323188405797111E-2</v>
      </c>
      <c r="P766" s="24">
        <f t="shared" si="51"/>
        <v>9.1336956521739149E-2</v>
      </c>
    </row>
    <row r="767" spans="1:16" x14ac:dyDescent="0.3">
      <c r="A767" s="2">
        <v>40817</v>
      </c>
      <c r="B767" s="23">
        <v>8.5000000000000006E-2</v>
      </c>
      <c r="C767" s="5">
        <f t="shared" si="53"/>
        <v>0</v>
      </c>
      <c r="D767" s="5">
        <f t="shared" si="54"/>
        <v>0</v>
      </c>
      <c r="E767" s="5">
        <f t="shared" si="54"/>
        <v>0</v>
      </c>
      <c r="F767" s="5">
        <f t="shared" si="54"/>
        <v>0</v>
      </c>
      <c r="G767" s="5">
        <f t="shared" si="54"/>
        <v>0</v>
      </c>
      <c r="H767" s="5">
        <f t="shared" si="54"/>
        <v>0</v>
      </c>
      <c r="I767" s="5">
        <f t="shared" si="54"/>
        <v>0</v>
      </c>
      <c r="J767" s="5">
        <f t="shared" si="54"/>
        <v>0</v>
      </c>
      <c r="K767" s="5">
        <f t="shared" si="54"/>
        <v>0</v>
      </c>
      <c r="L767" s="5">
        <f t="shared" si="54"/>
        <v>1</v>
      </c>
      <c r="M767" s="5">
        <f t="shared" si="54"/>
        <v>0</v>
      </c>
      <c r="N767" s="32">
        <v>5.3115942028985473E-2</v>
      </c>
      <c r="O767" s="32">
        <v>3.1884057971014533E-2</v>
      </c>
      <c r="P767" s="24">
        <f t="shared" si="51"/>
        <v>8.9989130434782572E-2</v>
      </c>
    </row>
    <row r="768" spans="1:16" x14ac:dyDescent="0.3">
      <c r="A768" s="2">
        <v>40848</v>
      </c>
      <c r="B768" s="23">
        <v>8.199999999999999E-2</v>
      </c>
      <c r="C768" s="5">
        <f t="shared" si="53"/>
        <v>0</v>
      </c>
      <c r="D768" s="5">
        <f t="shared" si="54"/>
        <v>0</v>
      </c>
      <c r="E768" s="5">
        <f t="shared" si="54"/>
        <v>0</v>
      </c>
      <c r="F768" s="5">
        <f t="shared" si="54"/>
        <v>0</v>
      </c>
      <c r="G768" s="5">
        <f t="shared" si="54"/>
        <v>0</v>
      </c>
      <c r="H768" s="5">
        <f t="shared" si="54"/>
        <v>0</v>
      </c>
      <c r="I768" s="5">
        <f t="shared" si="54"/>
        <v>0</v>
      </c>
      <c r="J768" s="5">
        <f t="shared" si="54"/>
        <v>0</v>
      </c>
      <c r="K768" s="5">
        <f t="shared" si="54"/>
        <v>0</v>
      </c>
      <c r="L768" s="5">
        <f t="shared" si="54"/>
        <v>0</v>
      </c>
      <c r="M768" s="5">
        <f t="shared" si="54"/>
        <v>1</v>
      </c>
      <c r="N768" s="32">
        <v>5.4782608695652081E-2</v>
      </c>
      <c r="O768" s="32">
        <v>2.7217391304347908E-2</v>
      </c>
      <c r="P768" s="24">
        <f t="shared" si="51"/>
        <v>8.5322463768115947E-2</v>
      </c>
    </row>
    <row r="769" spans="1:16" x14ac:dyDescent="0.3">
      <c r="A769" s="2">
        <v>40878</v>
      </c>
      <c r="B769" s="23">
        <v>8.3000000000000004E-2</v>
      </c>
      <c r="C769" s="5">
        <f t="shared" si="53"/>
        <v>0</v>
      </c>
      <c r="D769" s="5">
        <f t="shared" si="54"/>
        <v>0</v>
      </c>
      <c r="E769" s="5">
        <f t="shared" si="54"/>
        <v>0</v>
      </c>
      <c r="F769" s="5">
        <f t="shared" si="54"/>
        <v>0</v>
      </c>
      <c r="G769" s="5">
        <f t="shared" si="54"/>
        <v>0</v>
      </c>
      <c r="H769" s="5">
        <f t="shared" si="54"/>
        <v>0</v>
      </c>
      <c r="I769" s="5">
        <f t="shared" si="54"/>
        <v>0</v>
      </c>
      <c r="J769" s="5">
        <f t="shared" si="54"/>
        <v>0</v>
      </c>
      <c r="K769" s="5">
        <f t="shared" si="54"/>
        <v>0</v>
      </c>
      <c r="L769" s="5">
        <f t="shared" si="54"/>
        <v>0</v>
      </c>
      <c r="M769" s="5">
        <f t="shared" si="54"/>
        <v>0</v>
      </c>
      <c r="N769" s="32">
        <v>5.5202898550724598E-2</v>
      </c>
      <c r="O769" s="32">
        <v>2.7797101449275406E-2</v>
      </c>
      <c r="P769" s="24">
        <f t="shared" si="51"/>
        <v>8.5902173913043445E-2</v>
      </c>
    </row>
    <row r="770" spans="1:16" x14ac:dyDescent="0.3">
      <c r="A770" s="2">
        <v>40909</v>
      </c>
      <c r="B770" s="23">
        <v>8.8000000000000009E-2</v>
      </c>
      <c r="C770" s="5">
        <f t="shared" si="53"/>
        <v>1</v>
      </c>
      <c r="D770" s="5">
        <f t="shared" si="54"/>
        <v>0</v>
      </c>
      <c r="E770" s="5">
        <f t="shared" si="54"/>
        <v>0</v>
      </c>
      <c r="F770" s="5">
        <f t="shared" si="54"/>
        <v>0</v>
      </c>
      <c r="G770" s="5">
        <f t="shared" si="54"/>
        <v>0</v>
      </c>
      <c r="H770" s="5">
        <f t="shared" si="54"/>
        <v>0</v>
      </c>
      <c r="I770" s="5">
        <f t="shared" si="54"/>
        <v>0</v>
      </c>
      <c r="J770" s="5">
        <f t="shared" si="54"/>
        <v>0</v>
      </c>
      <c r="K770" s="5">
        <f t="shared" si="54"/>
        <v>0</v>
      </c>
      <c r="L770" s="5">
        <f t="shared" si="54"/>
        <v>0</v>
      </c>
      <c r="M770" s="5">
        <f t="shared" si="54"/>
        <v>0</v>
      </c>
      <c r="N770" s="32">
        <v>6.4492753623188417E-2</v>
      </c>
      <c r="O770" s="32">
        <v>2.3507246376811591E-2</v>
      </c>
      <c r="P770" s="24">
        <f t="shared" si="51"/>
        <v>8.1612318840579637E-2</v>
      </c>
    </row>
    <row r="771" spans="1:16" x14ac:dyDescent="0.3">
      <c r="A771" s="2">
        <v>40940</v>
      </c>
      <c r="B771" s="23">
        <v>8.6999999999999994E-2</v>
      </c>
      <c r="C771" s="5">
        <f t="shared" si="53"/>
        <v>0</v>
      </c>
      <c r="D771" s="5">
        <f t="shared" si="54"/>
        <v>1</v>
      </c>
      <c r="E771" s="5">
        <f t="shared" si="54"/>
        <v>0</v>
      </c>
      <c r="F771" s="5">
        <f t="shared" si="54"/>
        <v>0</v>
      </c>
      <c r="G771" s="5">
        <f t="shared" si="54"/>
        <v>0</v>
      </c>
      <c r="H771" s="5">
        <f t="shared" si="54"/>
        <v>0</v>
      </c>
      <c r="I771" s="5">
        <f t="shared" si="54"/>
        <v>0</v>
      </c>
      <c r="J771" s="5">
        <f t="shared" si="54"/>
        <v>0</v>
      </c>
      <c r="K771" s="5">
        <f t="shared" si="54"/>
        <v>0</v>
      </c>
      <c r="L771" s="5">
        <f t="shared" si="54"/>
        <v>0</v>
      </c>
      <c r="M771" s="5">
        <f t="shared" si="54"/>
        <v>0</v>
      </c>
      <c r="N771" s="32">
        <v>6.4391304347825973E-2</v>
      </c>
      <c r="O771" s="32">
        <v>2.2608695652174021E-2</v>
      </c>
      <c r="P771" s="24">
        <f t="shared" ref="P771:P829" si="55">O771+$R$2</f>
        <v>8.0713768115942067E-2</v>
      </c>
    </row>
    <row r="772" spans="1:16" x14ac:dyDescent="0.3">
      <c r="A772" s="2">
        <v>40969</v>
      </c>
      <c r="B772" s="23">
        <v>8.4000000000000005E-2</v>
      </c>
      <c r="C772" s="5">
        <f t="shared" si="53"/>
        <v>0</v>
      </c>
      <c r="D772" s="5">
        <f t="shared" si="54"/>
        <v>0</v>
      </c>
      <c r="E772" s="5">
        <f t="shared" si="54"/>
        <v>1</v>
      </c>
      <c r="F772" s="5">
        <f t="shared" si="54"/>
        <v>0</v>
      </c>
      <c r="G772" s="5">
        <f t="shared" si="54"/>
        <v>0</v>
      </c>
      <c r="H772" s="5">
        <f t="shared" si="54"/>
        <v>0</v>
      </c>
      <c r="I772" s="5">
        <f t="shared" si="54"/>
        <v>0</v>
      </c>
      <c r="J772" s="5">
        <f t="shared" si="54"/>
        <v>0</v>
      </c>
      <c r="K772" s="5">
        <f t="shared" si="54"/>
        <v>0</v>
      </c>
      <c r="L772" s="5">
        <f t="shared" si="54"/>
        <v>0</v>
      </c>
      <c r="M772" s="5">
        <f t="shared" si="54"/>
        <v>0</v>
      </c>
      <c r="N772" s="32">
        <v>6.1652173913043402E-2</v>
      </c>
      <c r="O772" s="32">
        <v>2.2347826086956603E-2</v>
      </c>
      <c r="P772" s="24">
        <f t="shared" si="55"/>
        <v>8.0452898550724655E-2</v>
      </c>
    </row>
    <row r="773" spans="1:16" x14ac:dyDescent="0.3">
      <c r="A773" s="2">
        <v>41000</v>
      </c>
      <c r="B773" s="23">
        <v>7.6999999999999999E-2</v>
      </c>
      <c r="C773" s="5">
        <f t="shared" si="53"/>
        <v>0</v>
      </c>
      <c r="D773" s="5">
        <f t="shared" si="54"/>
        <v>0</v>
      </c>
      <c r="E773" s="5">
        <f t="shared" si="54"/>
        <v>0</v>
      </c>
      <c r="F773" s="5">
        <f t="shared" si="54"/>
        <v>1</v>
      </c>
      <c r="G773" s="5">
        <f t="shared" si="54"/>
        <v>0</v>
      </c>
      <c r="H773" s="5">
        <f t="shared" si="54"/>
        <v>0</v>
      </c>
      <c r="I773" s="5">
        <f t="shared" si="54"/>
        <v>0</v>
      </c>
      <c r="J773" s="5">
        <f t="shared" si="54"/>
        <v>0</v>
      </c>
      <c r="K773" s="5">
        <f t="shared" si="54"/>
        <v>0</v>
      </c>
      <c r="L773" s="5">
        <f t="shared" si="54"/>
        <v>0</v>
      </c>
      <c r="M773" s="5">
        <f t="shared" si="54"/>
        <v>0</v>
      </c>
      <c r="N773" s="32">
        <v>5.6550724637681071E-2</v>
      </c>
      <c r="O773" s="32">
        <v>2.0449275362318928E-2</v>
      </c>
      <c r="P773" s="24">
        <f t="shared" si="55"/>
        <v>7.8554347826086973E-2</v>
      </c>
    </row>
    <row r="774" spans="1:16" x14ac:dyDescent="0.3">
      <c r="A774" s="2">
        <v>41030</v>
      </c>
      <c r="B774" s="23">
        <v>7.9000000000000001E-2</v>
      </c>
      <c r="C774" s="5">
        <f t="shared" si="53"/>
        <v>0</v>
      </c>
      <c r="D774" s="5">
        <f t="shared" si="54"/>
        <v>0</v>
      </c>
      <c r="E774" s="5">
        <f t="shared" si="54"/>
        <v>0</v>
      </c>
      <c r="F774" s="5">
        <f t="shared" si="54"/>
        <v>0</v>
      </c>
      <c r="G774" s="5">
        <f t="shared" si="54"/>
        <v>1</v>
      </c>
      <c r="H774" s="5">
        <f t="shared" si="54"/>
        <v>0</v>
      </c>
      <c r="I774" s="5">
        <f t="shared" si="54"/>
        <v>0</v>
      </c>
      <c r="J774" s="5">
        <f t="shared" si="54"/>
        <v>0</v>
      </c>
      <c r="K774" s="5">
        <f t="shared" si="54"/>
        <v>0</v>
      </c>
      <c r="L774" s="5">
        <f t="shared" si="54"/>
        <v>0</v>
      </c>
      <c r="M774" s="5">
        <f t="shared" si="54"/>
        <v>0</v>
      </c>
      <c r="N774" s="32">
        <v>5.5101449275362209E-2</v>
      </c>
      <c r="O774" s="32">
        <v>2.3898550724637792E-2</v>
      </c>
      <c r="P774" s="24">
        <f t="shared" si="55"/>
        <v>8.2003623188405844E-2</v>
      </c>
    </row>
    <row r="775" spans="1:16" x14ac:dyDescent="0.3">
      <c r="A775" s="2">
        <v>41061</v>
      </c>
      <c r="B775" s="23">
        <v>8.4000000000000005E-2</v>
      </c>
      <c r="C775" s="5">
        <f t="shared" si="53"/>
        <v>0</v>
      </c>
      <c r="D775" s="5">
        <f t="shared" si="54"/>
        <v>0</v>
      </c>
      <c r="E775" s="5">
        <f t="shared" si="54"/>
        <v>0</v>
      </c>
      <c r="F775" s="5">
        <f t="shared" si="54"/>
        <v>0</v>
      </c>
      <c r="G775" s="5">
        <f t="shared" si="54"/>
        <v>0</v>
      </c>
      <c r="H775" s="5">
        <f t="shared" si="54"/>
        <v>1</v>
      </c>
      <c r="I775" s="5">
        <f t="shared" si="54"/>
        <v>0</v>
      </c>
      <c r="J775" s="5">
        <f t="shared" si="54"/>
        <v>0</v>
      </c>
      <c r="K775" s="5">
        <f t="shared" si="54"/>
        <v>0</v>
      </c>
      <c r="L775" s="5">
        <f t="shared" si="54"/>
        <v>0</v>
      </c>
      <c r="M775" s="5">
        <f t="shared" si="54"/>
        <v>0</v>
      </c>
      <c r="N775" s="32">
        <v>6.1130434782608579E-2</v>
      </c>
      <c r="O775" s="32">
        <v>2.2869565217391426E-2</v>
      </c>
      <c r="P775" s="24">
        <f t="shared" si="55"/>
        <v>8.0974637681159478E-2</v>
      </c>
    </row>
    <row r="776" spans="1:16" x14ac:dyDescent="0.3">
      <c r="A776" s="2">
        <v>41091</v>
      </c>
      <c r="B776" s="23">
        <v>8.5999999999999993E-2</v>
      </c>
      <c r="C776" s="5">
        <f t="shared" si="53"/>
        <v>0</v>
      </c>
      <c r="D776" s="5">
        <f t="shared" si="54"/>
        <v>0</v>
      </c>
      <c r="E776" s="5">
        <f t="shared" si="54"/>
        <v>0</v>
      </c>
      <c r="F776" s="5">
        <f t="shared" si="54"/>
        <v>0</v>
      </c>
      <c r="G776" s="5">
        <f t="shared" si="54"/>
        <v>0</v>
      </c>
      <c r="H776" s="5">
        <f t="shared" si="54"/>
        <v>0</v>
      </c>
      <c r="I776" s="5">
        <f t="shared" si="54"/>
        <v>1</v>
      </c>
      <c r="J776" s="5">
        <f t="shared" si="54"/>
        <v>0</v>
      </c>
      <c r="K776" s="5">
        <f t="shared" si="54"/>
        <v>0</v>
      </c>
      <c r="L776" s="5">
        <f t="shared" si="54"/>
        <v>0</v>
      </c>
      <c r="M776" s="5">
        <f t="shared" si="54"/>
        <v>0</v>
      </c>
      <c r="N776" s="32">
        <v>5.9550724637681039E-2</v>
      </c>
      <c r="O776" s="32">
        <v>2.6449275362318954E-2</v>
      </c>
      <c r="P776" s="24">
        <f t="shared" si="55"/>
        <v>8.4554347826087006E-2</v>
      </c>
    </row>
    <row r="777" spans="1:16" x14ac:dyDescent="0.3">
      <c r="A777" s="2">
        <v>41122</v>
      </c>
      <c r="B777" s="23">
        <v>8.199999999999999E-2</v>
      </c>
      <c r="C777" s="5">
        <f t="shared" si="53"/>
        <v>0</v>
      </c>
      <c r="D777" s="5">
        <f t="shared" si="54"/>
        <v>0</v>
      </c>
      <c r="E777" s="5">
        <f t="shared" si="54"/>
        <v>0</v>
      </c>
      <c r="F777" s="5">
        <f t="shared" si="54"/>
        <v>0</v>
      </c>
      <c r="G777" s="5">
        <f t="shared" si="54"/>
        <v>0</v>
      </c>
      <c r="H777" s="5">
        <f t="shared" si="54"/>
        <v>0</v>
      </c>
      <c r="I777" s="5">
        <f t="shared" si="54"/>
        <v>0</v>
      </c>
      <c r="J777" s="5">
        <f t="shared" si="54"/>
        <v>1</v>
      </c>
      <c r="K777" s="5">
        <f t="shared" si="54"/>
        <v>0</v>
      </c>
      <c r="L777" s="5">
        <f t="shared" si="54"/>
        <v>0</v>
      </c>
      <c r="M777" s="5">
        <f t="shared" si="54"/>
        <v>0</v>
      </c>
      <c r="N777" s="32">
        <v>5.6521739130434699E-2</v>
      </c>
      <c r="O777" s="32">
        <v>2.547826086956529E-2</v>
      </c>
      <c r="P777" s="24">
        <f t="shared" si="55"/>
        <v>8.3583333333333343E-2</v>
      </c>
    </row>
    <row r="778" spans="1:16" x14ac:dyDescent="0.3">
      <c r="A778" s="2">
        <v>41153</v>
      </c>
      <c r="B778" s="23">
        <v>7.5999999999999998E-2</v>
      </c>
      <c r="C778" s="5">
        <f t="shared" si="53"/>
        <v>0</v>
      </c>
      <c r="D778" s="5">
        <f t="shared" si="54"/>
        <v>0</v>
      </c>
      <c r="E778" s="5">
        <f t="shared" si="54"/>
        <v>0</v>
      </c>
      <c r="F778" s="5">
        <f t="shared" si="54"/>
        <v>0</v>
      </c>
      <c r="G778" s="5">
        <f t="shared" si="54"/>
        <v>0</v>
      </c>
      <c r="H778" s="5">
        <f t="shared" si="54"/>
        <v>0</v>
      </c>
      <c r="I778" s="5">
        <f t="shared" si="54"/>
        <v>0</v>
      </c>
      <c r="J778" s="5">
        <f t="shared" si="54"/>
        <v>0</v>
      </c>
      <c r="K778" s="5">
        <f t="shared" si="54"/>
        <v>1</v>
      </c>
      <c r="L778" s="5">
        <f t="shared" si="54"/>
        <v>0</v>
      </c>
      <c r="M778" s="5">
        <f t="shared" si="54"/>
        <v>0</v>
      </c>
      <c r="N778" s="32">
        <v>5.4768115942028898E-2</v>
      </c>
      <c r="O778" s="32">
        <v>2.12318840579711E-2</v>
      </c>
      <c r="P778" s="24">
        <f t="shared" si="55"/>
        <v>7.9336956521739138E-2</v>
      </c>
    </row>
    <row r="779" spans="1:16" x14ac:dyDescent="0.3">
      <c r="A779" s="2">
        <v>41183</v>
      </c>
      <c r="B779" s="23">
        <v>7.4999999999999997E-2</v>
      </c>
      <c r="C779" s="5">
        <f t="shared" si="53"/>
        <v>0</v>
      </c>
      <c r="D779" s="5">
        <f t="shared" si="54"/>
        <v>0</v>
      </c>
      <c r="E779" s="5">
        <f t="shared" si="54"/>
        <v>0</v>
      </c>
      <c r="F779" s="5">
        <f t="shared" si="54"/>
        <v>0</v>
      </c>
      <c r="G779" s="5">
        <f t="shared" ref="D779:M804" si="56">IF(MONTH($A779)=G$1,1,0)</f>
        <v>0</v>
      </c>
      <c r="H779" s="5">
        <f t="shared" si="56"/>
        <v>0</v>
      </c>
      <c r="I779" s="5">
        <f t="shared" si="56"/>
        <v>0</v>
      </c>
      <c r="J779" s="5">
        <f t="shared" si="56"/>
        <v>0</v>
      </c>
      <c r="K779" s="5">
        <f t="shared" si="56"/>
        <v>0</v>
      </c>
      <c r="L779" s="5">
        <f t="shared" si="56"/>
        <v>1</v>
      </c>
      <c r="M779" s="5">
        <f t="shared" si="56"/>
        <v>0</v>
      </c>
      <c r="N779" s="32">
        <v>5.3115942028985473E-2</v>
      </c>
      <c r="O779" s="32">
        <v>2.1884057971014524E-2</v>
      </c>
      <c r="P779" s="24">
        <f t="shared" si="55"/>
        <v>7.9989130434782563E-2</v>
      </c>
    </row>
    <row r="780" spans="1:16" x14ac:dyDescent="0.3">
      <c r="A780" s="2">
        <v>41214</v>
      </c>
      <c r="B780" s="23">
        <v>7.400000000000001E-2</v>
      </c>
      <c r="C780" s="5">
        <f t="shared" si="53"/>
        <v>0</v>
      </c>
      <c r="D780" s="5">
        <f t="shared" si="56"/>
        <v>0</v>
      </c>
      <c r="E780" s="5">
        <f t="shared" si="56"/>
        <v>0</v>
      </c>
      <c r="F780" s="5">
        <f t="shared" si="56"/>
        <v>0</v>
      </c>
      <c r="G780" s="5">
        <f t="shared" si="56"/>
        <v>0</v>
      </c>
      <c r="H780" s="5">
        <f t="shared" si="56"/>
        <v>0</v>
      </c>
      <c r="I780" s="5">
        <f t="shared" si="56"/>
        <v>0</v>
      </c>
      <c r="J780" s="5">
        <f t="shared" si="56"/>
        <v>0</v>
      </c>
      <c r="K780" s="5">
        <f t="shared" si="56"/>
        <v>0</v>
      </c>
      <c r="L780" s="5">
        <f t="shared" si="56"/>
        <v>0</v>
      </c>
      <c r="M780" s="5">
        <f t="shared" si="56"/>
        <v>1</v>
      </c>
      <c r="N780" s="32">
        <v>5.4782608695652081E-2</v>
      </c>
      <c r="O780" s="32">
        <v>1.9217391304347929E-2</v>
      </c>
      <c r="P780" s="24">
        <f t="shared" si="55"/>
        <v>7.7322463768115968E-2</v>
      </c>
    </row>
    <row r="781" spans="1:16" x14ac:dyDescent="0.3">
      <c r="A781" s="2">
        <v>41244</v>
      </c>
      <c r="B781" s="23">
        <v>7.5999999999999998E-2</v>
      </c>
      <c r="C781" s="5">
        <f t="shared" si="53"/>
        <v>0</v>
      </c>
      <c r="D781" s="5">
        <f t="shared" si="56"/>
        <v>0</v>
      </c>
      <c r="E781" s="5">
        <f t="shared" si="56"/>
        <v>0</v>
      </c>
      <c r="F781" s="5">
        <f t="shared" si="56"/>
        <v>0</v>
      </c>
      <c r="G781" s="5">
        <f t="shared" si="56"/>
        <v>0</v>
      </c>
      <c r="H781" s="5">
        <f t="shared" si="56"/>
        <v>0</v>
      </c>
      <c r="I781" s="5">
        <f t="shared" si="56"/>
        <v>0</v>
      </c>
      <c r="J781" s="5">
        <f t="shared" si="56"/>
        <v>0</v>
      </c>
      <c r="K781" s="5">
        <f t="shared" si="56"/>
        <v>0</v>
      </c>
      <c r="L781" s="5">
        <f t="shared" si="56"/>
        <v>0</v>
      </c>
      <c r="M781" s="5">
        <f t="shared" si="56"/>
        <v>0</v>
      </c>
      <c r="N781" s="32">
        <v>5.5202898550724598E-2</v>
      </c>
      <c r="O781" s="32">
        <v>2.07971014492754E-2</v>
      </c>
      <c r="P781" s="24">
        <f t="shared" si="55"/>
        <v>7.8902173913043439E-2</v>
      </c>
    </row>
    <row r="782" spans="1:16" x14ac:dyDescent="0.3">
      <c r="A782" s="2">
        <v>41275</v>
      </c>
      <c r="B782" s="23">
        <v>8.5000000000000006E-2</v>
      </c>
      <c r="C782" s="5">
        <f t="shared" si="53"/>
        <v>1</v>
      </c>
      <c r="D782" s="5">
        <f t="shared" si="56"/>
        <v>0</v>
      </c>
      <c r="E782" s="5">
        <f t="shared" si="56"/>
        <v>0</v>
      </c>
      <c r="F782" s="5">
        <f t="shared" si="56"/>
        <v>0</v>
      </c>
      <c r="G782" s="5">
        <f t="shared" si="56"/>
        <v>0</v>
      </c>
      <c r="H782" s="5">
        <f t="shared" si="56"/>
        <v>0</v>
      </c>
      <c r="I782" s="5">
        <f t="shared" si="56"/>
        <v>0</v>
      </c>
      <c r="J782" s="5">
        <f t="shared" si="56"/>
        <v>0</v>
      </c>
      <c r="K782" s="5">
        <f t="shared" si="56"/>
        <v>0</v>
      </c>
      <c r="L782" s="5">
        <f t="shared" si="56"/>
        <v>0</v>
      </c>
      <c r="M782" s="5">
        <f t="shared" si="56"/>
        <v>0</v>
      </c>
      <c r="N782" s="32">
        <v>6.4492753623188417E-2</v>
      </c>
      <c r="O782" s="32">
        <v>2.0507246376811589E-2</v>
      </c>
      <c r="P782" s="24">
        <f t="shared" si="55"/>
        <v>7.8612318840579634E-2</v>
      </c>
    </row>
    <row r="783" spans="1:16" x14ac:dyDescent="0.3">
      <c r="A783" s="2">
        <v>41306</v>
      </c>
      <c r="B783" s="23">
        <v>8.1000000000000003E-2</v>
      </c>
      <c r="C783" s="5">
        <f t="shared" si="53"/>
        <v>0</v>
      </c>
      <c r="D783" s="5">
        <f t="shared" si="56"/>
        <v>1</v>
      </c>
      <c r="E783" s="5">
        <f t="shared" si="56"/>
        <v>0</v>
      </c>
      <c r="F783" s="5">
        <f t="shared" si="56"/>
        <v>0</v>
      </c>
      <c r="G783" s="5">
        <f t="shared" si="56"/>
        <v>0</v>
      </c>
      <c r="H783" s="5">
        <f t="shared" si="56"/>
        <v>0</v>
      </c>
      <c r="I783" s="5">
        <f t="shared" si="56"/>
        <v>0</v>
      </c>
      <c r="J783" s="5">
        <f t="shared" si="56"/>
        <v>0</v>
      </c>
      <c r="K783" s="5">
        <f t="shared" si="56"/>
        <v>0</v>
      </c>
      <c r="L783" s="5">
        <f t="shared" si="56"/>
        <v>0</v>
      </c>
      <c r="M783" s="5">
        <f t="shared" si="56"/>
        <v>0</v>
      </c>
      <c r="N783" s="32">
        <v>6.4391304347825973E-2</v>
      </c>
      <c r="O783" s="32">
        <v>1.660869565217403E-2</v>
      </c>
      <c r="P783" s="24">
        <f t="shared" si="55"/>
        <v>7.4713768115942075E-2</v>
      </c>
    </row>
    <row r="784" spans="1:16" x14ac:dyDescent="0.3">
      <c r="A784" s="2">
        <v>41334</v>
      </c>
      <c r="B784" s="23">
        <v>7.5999999999999998E-2</v>
      </c>
      <c r="C784" s="5">
        <f t="shared" si="53"/>
        <v>0</v>
      </c>
      <c r="D784" s="5">
        <f t="shared" si="56"/>
        <v>0</v>
      </c>
      <c r="E784" s="5">
        <f t="shared" si="56"/>
        <v>1</v>
      </c>
      <c r="F784" s="5">
        <f t="shared" si="56"/>
        <v>0</v>
      </c>
      <c r="G784" s="5">
        <f t="shared" si="56"/>
        <v>0</v>
      </c>
      <c r="H784" s="5">
        <f t="shared" si="56"/>
        <v>0</v>
      </c>
      <c r="I784" s="5">
        <f t="shared" si="56"/>
        <v>0</v>
      </c>
      <c r="J784" s="5">
        <f t="shared" si="56"/>
        <v>0</v>
      </c>
      <c r="K784" s="5">
        <f t="shared" si="56"/>
        <v>0</v>
      </c>
      <c r="L784" s="5">
        <f t="shared" si="56"/>
        <v>0</v>
      </c>
      <c r="M784" s="5">
        <f t="shared" si="56"/>
        <v>0</v>
      </c>
      <c r="N784" s="32">
        <v>6.1652173913043402E-2</v>
      </c>
      <c r="O784" s="32">
        <v>1.4347826086956596E-2</v>
      </c>
      <c r="P784" s="24">
        <f t="shared" si="55"/>
        <v>7.2452898550724648E-2</v>
      </c>
    </row>
    <row r="785" spans="1:16" x14ac:dyDescent="0.3">
      <c r="A785" s="2">
        <v>41365</v>
      </c>
      <c r="B785" s="23">
        <v>7.0999999999999994E-2</v>
      </c>
      <c r="C785" s="5">
        <f t="shared" si="53"/>
        <v>0</v>
      </c>
      <c r="D785" s="5">
        <f t="shared" si="56"/>
        <v>0</v>
      </c>
      <c r="E785" s="5">
        <f t="shared" si="56"/>
        <v>0</v>
      </c>
      <c r="F785" s="5">
        <f t="shared" si="56"/>
        <v>1</v>
      </c>
      <c r="G785" s="5">
        <f t="shared" si="56"/>
        <v>0</v>
      </c>
      <c r="H785" s="5">
        <f t="shared" si="56"/>
        <v>0</v>
      </c>
      <c r="I785" s="5">
        <f t="shared" si="56"/>
        <v>0</v>
      </c>
      <c r="J785" s="5">
        <f t="shared" si="56"/>
        <v>0</v>
      </c>
      <c r="K785" s="5">
        <f t="shared" si="56"/>
        <v>0</v>
      </c>
      <c r="L785" s="5">
        <f t="shared" si="56"/>
        <v>0</v>
      </c>
      <c r="M785" s="5">
        <f t="shared" si="56"/>
        <v>0</v>
      </c>
      <c r="N785" s="32">
        <v>5.6550724637681071E-2</v>
      </c>
      <c r="O785" s="32">
        <v>1.4449275362318922E-2</v>
      </c>
      <c r="P785" s="24">
        <f t="shared" si="55"/>
        <v>7.2554347826086968E-2</v>
      </c>
    </row>
    <row r="786" spans="1:16" x14ac:dyDescent="0.3">
      <c r="A786" s="2">
        <v>41395</v>
      </c>
      <c r="B786" s="23">
        <v>7.2999999999999995E-2</v>
      </c>
      <c r="C786" s="5">
        <f t="shared" si="53"/>
        <v>0</v>
      </c>
      <c r="D786" s="5">
        <f t="shared" si="56"/>
        <v>0</v>
      </c>
      <c r="E786" s="5">
        <f t="shared" si="56"/>
        <v>0</v>
      </c>
      <c r="F786" s="5">
        <f t="shared" si="56"/>
        <v>0</v>
      </c>
      <c r="G786" s="5">
        <f t="shared" si="56"/>
        <v>1</v>
      </c>
      <c r="H786" s="5">
        <f t="shared" si="56"/>
        <v>0</v>
      </c>
      <c r="I786" s="5">
        <f t="shared" si="56"/>
        <v>0</v>
      </c>
      <c r="J786" s="5">
        <f t="shared" si="56"/>
        <v>0</v>
      </c>
      <c r="K786" s="5">
        <f t="shared" si="56"/>
        <v>0</v>
      </c>
      <c r="L786" s="5">
        <f t="shared" si="56"/>
        <v>0</v>
      </c>
      <c r="M786" s="5">
        <f t="shared" si="56"/>
        <v>0</v>
      </c>
      <c r="N786" s="32">
        <v>5.5101449275362209E-2</v>
      </c>
      <c r="O786" s="32">
        <v>1.7898550724637786E-2</v>
      </c>
      <c r="P786" s="24">
        <f t="shared" si="55"/>
        <v>7.6003623188405839E-2</v>
      </c>
    </row>
    <row r="787" spans="1:16" x14ac:dyDescent="0.3">
      <c r="A787" s="2">
        <v>41426</v>
      </c>
      <c r="B787" s="23">
        <v>7.8E-2</v>
      </c>
      <c r="C787" s="5">
        <f t="shared" si="53"/>
        <v>0</v>
      </c>
      <c r="D787" s="5">
        <f t="shared" si="56"/>
        <v>0</v>
      </c>
      <c r="E787" s="5">
        <f t="shared" si="56"/>
        <v>0</v>
      </c>
      <c r="F787" s="5">
        <f t="shared" si="56"/>
        <v>0</v>
      </c>
      <c r="G787" s="5">
        <f t="shared" si="56"/>
        <v>0</v>
      </c>
      <c r="H787" s="5">
        <f t="shared" si="56"/>
        <v>1</v>
      </c>
      <c r="I787" s="5">
        <f t="shared" si="56"/>
        <v>0</v>
      </c>
      <c r="J787" s="5">
        <f t="shared" si="56"/>
        <v>0</v>
      </c>
      <c r="K787" s="5">
        <f t="shared" si="56"/>
        <v>0</v>
      </c>
      <c r="L787" s="5">
        <f t="shared" si="56"/>
        <v>0</v>
      </c>
      <c r="M787" s="5">
        <f t="shared" si="56"/>
        <v>0</v>
      </c>
      <c r="N787" s="32">
        <v>6.1130434782608579E-2</v>
      </c>
      <c r="O787" s="32">
        <v>1.686956521739142E-2</v>
      </c>
      <c r="P787" s="24">
        <f t="shared" si="55"/>
        <v>7.4974637681159473E-2</v>
      </c>
    </row>
    <row r="788" spans="1:16" x14ac:dyDescent="0.3">
      <c r="A788" s="2">
        <v>41456</v>
      </c>
      <c r="B788" s="23">
        <v>7.6999999999999999E-2</v>
      </c>
      <c r="C788" s="5">
        <f t="shared" si="53"/>
        <v>0</v>
      </c>
      <c r="D788" s="5">
        <f t="shared" si="56"/>
        <v>0</v>
      </c>
      <c r="E788" s="5">
        <f t="shared" si="56"/>
        <v>0</v>
      </c>
      <c r="F788" s="5">
        <f t="shared" si="56"/>
        <v>0</v>
      </c>
      <c r="G788" s="5">
        <f t="shared" si="56"/>
        <v>0</v>
      </c>
      <c r="H788" s="5">
        <f t="shared" si="56"/>
        <v>0</v>
      </c>
      <c r="I788" s="5">
        <f t="shared" si="56"/>
        <v>1</v>
      </c>
      <c r="J788" s="5">
        <f t="shared" si="56"/>
        <v>0</v>
      </c>
      <c r="K788" s="5">
        <f t="shared" si="56"/>
        <v>0</v>
      </c>
      <c r="L788" s="5">
        <f t="shared" si="56"/>
        <v>0</v>
      </c>
      <c r="M788" s="5">
        <f t="shared" si="56"/>
        <v>0</v>
      </c>
      <c r="N788" s="32">
        <v>5.9550724637681039E-2</v>
      </c>
      <c r="O788" s="32">
        <v>1.744927536231896E-2</v>
      </c>
      <c r="P788" s="24">
        <f t="shared" si="55"/>
        <v>7.5554347826086998E-2</v>
      </c>
    </row>
    <row r="789" spans="1:16" x14ac:dyDescent="0.3">
      <c r="A789" s="2">
        <v>41487</v>
      </c>
      <c r="B789" s="23">
        <v>7.2999999999999995E-2</v>
      </c>
      <c r="C789" s="5">
        <f t="shared" si="53"/>
        <v>0</v>
      </c>
      <c r="D789" s="5">
        <f t="shared" si="56"/>
        <v>0</v>
      </c>
      <c r="E789" s="5">
        <f t="shared" si="56"/>
        <v>0</v>
      </c>
      <c r="F789" s="5">
        <f t="shared" si="56"/>
        <v>0</v>
      </c>
      <c r="G789" s="5">
        <f t="shared" si="56"/>
        <v>0</v>
      </c>
      <c r="H789" s="5">
        <f t="shared" si="56"/>
        <v>0</v>
      </c>
      <c r="I789" s="5">
        <f t="shared" si="56"/>
        <v>0</v>
      </c>
      <c r="J789" s="5">
        <f t="shared" si="56"/>
        <v>1</v>
      </c>
      <c r="K789" s="5">
        <f t="shared" si="56"/>
        <v>0</v>
      </c>
      <c r="L789" s="5">
        <f t="shared" si="56"/>
        <v>0</v>
      </c>
      <c r="M789" s="5">
        <f t="shared" si="56"/>
        <v>0</v>
      </c>
      <c r="N789" s="32">
        <v>5.6521739130434699E-2</v>
      </c>
      <c r="O789" s="32">
        <v>1.6478260869565296E-2</v>
      </c>
      <c r="P789" s="24">
        <f t="shared" si="55"/>
        <v>7.4583333333333335E-2</v>
      </c>
    </row>
    <row r="790" spans="1:16" x14ac:dyDescent="0.3">
      <c r="A790" s="2">
        <v>41518</v>
      </c>
      <c r="B790" s="23">
        <v>7.0000000000000007E-2</v>
      </c>
      <c r="C790" s="5">
        <f t="shared" si="53"/>
        <v>0</v>
      </c>
      <c r="D790" s="5">
        <f t="shared" si="56"/>
        <v>0</v>
      </c>
      <c r="E790" s="5">
        <f t="shared" si="56"/>
        <v>0</v>
      </c>
      <c r="F790" s="5">
        <f t="shared" si="56"/>
        <v>0</v>
      </c>
      <c r="G790" s="5">
        <f t="shared" si="56"/>
        <v>0</v>
      </c>
      <c r="H790" s="5">
        <f t="shared" si="56"/>
        <v>0</v>
      </c>
      <c r="I790" s="5">
        <f t="shared" si="56"/>
        <v>0</v>
      </c>
      <c r="J790" s="5">
        <f t="shared" si="56"/>
        <v>0</v>
      </c>
      <c r="K790" s="5">
        <f t="shared" si="56"/>
        <v>1</v>
      </c>
      <c r="L790" s="5">
        <f t="shared" si="56"/>
        <v>0</v>
      </c>
      <c r="M790" s="5">
        <f t="shared" si="56"/>
        <v>0</v>
      </c>
      <c r="N790" s="32">
        <v>5.4768115942028898E-2</v>
      </c>
      <c r="O790" s="32">
        <v>1.5231884057971108E-2</v>
      </c>
      <c r="P790" s="24">
        <f t="shared" si="55"/>
        <v>7.3336956521739161E-2</v>
      </c>
    </row>
    <row r="791" spans="1:16" x14ac:dyDescent="0.3">
      <c r="A791" s="2">
        <v>41548</v>
      </c>
      <c r="B791" s="23">
        <v>7.0000000000000007E-2</v>
      </c>
      <c r="C791" s="5">
        <f t="shared" si="53"/>
        <v>0</v>
      </c>
      <c r="D791" s="5">
        <f t="shared" si="56"/>
        <v>0</v>
      </c>
      <c r="E791" s="5">
        <f t="shared" si="56"/>
        <v>0</v>
      </c>
      <c r="F791" s="5">
        <f t="shared" si="56"/>
        <v>0</v>
      </c>
      <c r="G791" s="5">
        <f t="shared" si="56"/>
        <v>0</v>
      </c>
      <c r="H791" s="5">
        <f t="shared" si="56"/>
        <v>0</v>
      </c>
      <c r="I791" s="5">
        <f t="shared" si="56"/>
        <v>0</v>
      </c>
      <c r="J791" s="5">
        <f t="shared" si="56"/>
        <v>0</v>
      </c>
      <c r="K791" s="5">
        <f t="shared" si="56"/>
        <v>0</v>
      </c>
      <c r="L791" s="5">
        <f t="shared" si="56"/>
        <v>1</v>
      </c>
      <c r="M791" s="5">
        <f t="shared" si="56"/>
        <v>0</v>
      </c>
      <c r="N791" s="32">
        <v>5.3115942028985473E-2</v>
      </c>
      <c r="O791" s="32">
        <v>1.6884057971014534E-2</v>
      </c>
      <c r="P791" s="24">
        <f t="shared" si="55"/>
        <v>7.4989130434782586E-2</v>
      </c>
    </row>
    <row r="792" spans="1:16" x14ac:dyDescent="0.3">
      <c r="A792" s="2">
        <v>41579</v>
      </c>
      <c r="B792" s="23">
        <v>6.6000000000000003E-2</v>
      </c>
      <c r="C792" s="5">
        <f t="shared" si="53"/>
        <v>0</v>
      </c>
      <c r="D792" s="5">
        <f t="shared" si="56"/>
        <v>0</v>
      </c>
      <c r="E792" s="5">
        <f t="shared" si="56"/>
        <v>0</v>
      </c>
      <c r="F792" s="5">
        <f t="shared" si="56"/>
        <v>0</v>
      </c>
      <c r="G792" s="5">
        <f t="shared" si="56"/>
        <v>0</v>
      </c>
      <c r="H792" s="5">
        <f t="shared" si="56"/>
        <v>0</v>
      </c>
      <c r="I792" s="5">
        <f t="shared" si="56"/>
        <v>0</v>
      </c>
      <c r="J792" s="5">
        <f t="shared" si="56"/>
        <v>0</v>
      </c>
      <c r="K792" s="5">
        <f t="shared" si="56"/>
        <v>0</v>
      </c>
      <c r="L792" s="5">
        <f t="shared" si="56"/>
        <v>0</v>
      </c>
      <c r="M792" s="5">
        <f t="shared" si="56"/>
        <v>1</v>
      </c>
      <c r="N792" s="32">
        <v>5.4782608695652081E-2</v>
      </c>
      <c r="O792" s="32">
        <v>1.1217391304347922E-2</v>
      </c>
      <c r="P792" s="24">
        <f t="shared" si="55"/>
        <v>6.9322463768115961E-2</v>
      </c>
    </row>
    <row r="793" spans="1:16" x14ac:dyDescent="0.3">
      <c r="A793" s="2">
        <v>41609</v>
      </c>
      <c r="B793" s="23">
        <v>6.5000000000000002E-2</v>
      </c>
      <c r="C793" s="5">
        <f t="shared" si="53"/>
        <v>0</v>
      </c>
      <c r="D793" s="5">
        <f t="shared" si="56"/>
        <v>0</v>
      </c>
      <c r="E793" s="5">
        <f t="shared" si="56"/>
        <v>0</v>
      </c>
      <c r="F793" s="5">
        <f t="shared" si="56"/>
        <v>0</v>
      </c>
      <c r="G793" s="5">
        <f t="shared" si="56"/>
        <v>0</v>
      </c>
      <c r="H793" s="5">
        <f t="shared" si="56"/>
        <v>0</v>
      </c>
      <c r="I793" s="5">
        <f t="shared" si="56"/>
        <v>0</v>
      </c>
      <c r="J793" s="5">
        <f t="shared" si="56"/>
        <v>0</v>
      </c>
      <c r="K793" s="5">
        <f t="shared" si="56"/>
        <v>0</v>
      </c>
      <c r="L793" s="5">
        <f t="shared" si="56"/>
        <v>0</v>
      </c>
      <c r="M793" s="5">
        <f t="shared" si="56"/>
        <v>0</v>
      </c>
      <c r="N793" s="32">
        <v>5.5202898550724598E-2</v>
      </c>
      <c r="O793" s="32">
        <v>9.7971014492754041E-3</v>
      </c>
      <c r="P793" s="24">
        <f t="shared" si="55"/>
        <v>6.7902173913043457E-2</v>
      </c>
    </row>
    <row r="794" spans="1:16" x14ac:dyDescent="0.3">
      <c r="A794" s="2">
        <v>41640</v>
      </c>
      <c r="B794" s="23">
        <v>7.0000000000000007E-2</v>
      </c>
      <c r="C794" s="5">
        <f t="shared" si="53"/>
        <v>1</v>
      </c>
      <c r="D794" s="5">
        <f t="shared" si="56"/>
        <v>0</v>
      </c>
      <c r="E794" s="5">
        <f t="shared" si="56"/>
        <v>0</v>
      </c>
      <c r="F794" s="5">
        <f t="shared" si="56"/>
        <v>0</v>
      </c>
      <c r="G794" s="5">
        <f t="shared" si="56"/>
        <v>0</v>
      </c>
      <c r="H794" s="5">
        <f t="shared" si="56"/>
        <v>0</v>
      </c>
      <c r="I794" s="5">
        <f t="shared" si="56"/>
        <v>0</v>
      </c>
      <c r="J794" s="5">
        <f t="shared" si="56"/>
        <v>0</v>
      </c>
      <c r="K794" s="5">
        <f t="shared" si="56"/>
        <v>0</v>
      </c>
      <c r="L794" s="5">
        <f t="shared" si="56"/>
        <v>0</v>
      </c>
      <c r="M794" s="5">
        <f t="shared" si="56"/>
        <v>0</v>
      </c>
      <c r="N794" s="32">
        <v>6.4492753623188417E-2</v>
      </c>
      <c r="O794" s="32">
        <v>5.5072463768115892E-3</v>
      </c>
      <c r="P794" s="24">
        <f t="shared" si="55"/>
        <v>6.3612318840579635E-2</v>
      </c>
    </row>
    <row r="795" spans="1:16" x14ac:dyDescent="0.3">
      <c r="A795" s="2">
        <v>41671</v>
      </c>
      <c r="B795" s="23">
        <v>7.0000000000000007E-2</v>
      </c>
      <c r="C795" s="5">
        <f t="shared" si="53"/>
        <v>0</v>
      </c>
      <c r="D795" s="5">
        <f t="shared" si="56"/>
        <v>1</v>
      </c>
      <c r="E795" s="5">
        <f t="shared" si="56"/>
        <v>0</v>
      </c>
      <c r="F795" s="5">
        <f t="shared" si="56"/>
        <v>0</v>
      </c>
      <c r="G795" s="5">
        <f t="shared" si="56"/>
        <v>0</v>
      </c>
      <c r="H795" s="5">
        <f t="shared" si="56"/>
        <v>0</v>
      </c>
      <c r="I795" s="5">
        <f t="shared" si="56"/>
        <v>0</v>
      </c>
      <c r="J795" s="5">
        <f t="shared" si="56"/>
        <v>0</v>
      </c>
      <c r="K795" s="5">
        <f t="shared" si="56"/>
        <v>0</v>
      </c>
      <c r="L795" s="5">
        <f t="shared" si="56"/>
        <v>0</v>
      </c>
      <c r="M795" s="5">
        <f t="shared" si="56"/>
        <v>0</v>
      </c>
      <c r="N795" s="32">
        <v>6.4391304347825973E-2</v>
      </c>
      <c r="O795" s="32">
        <v>5.6086956521740339E-3</v>
      </c>
      <c r="P795" s="24">
        <f t="shared" si="55"/>
        <v>6.3713768115942079E-2</v>
      </c>
    </row>
    <row r="796" spans="1:16" x14ac:dyDescent="0.3">
      <c r="A796" s="2">
        <v>41699</v>
      </c>
      <c r="B796" s="23">
        <v>6.8000000000000005E-2</v>
      </c>
      <c r="C796" s="5">
        <f t="shared" si="53"/>
        <v>0</v>
      </c>
      <c r="D796" s="5">
        <f t="shared" si="56"/>
        <v>0</v>
      </c>
      <c r="E796" s="5">
        <f t="shared" si="56"/>
        <v>1</v>
      </c>
      <c r="F796" s="5">
        <f t="shared" si="56"/>
        <v>0</v>
      </c>
      <c r="G796" s="5">
        <f t="shared" si="56"/>
        <v>0</v>
      </c>
      <c r="H796" s="5">
        <f t="shared" si="56"/>
        <v>0</v>
      </c>
      <c r="I796" s="5">
        <f t="shared" si="56"/>
        <v>0</v>
      </c>
      <c r="J796" s="5">
        <f t="shared" si="56"/>
        <v>0</v>
      </c>
      <c r="K796" s="5">
        <f t="shared" si="56"/>
        <v>0</v>
      </c>
      <c r="L796" s="5">
        <f t="shared" si="56"/>
        <v>0</v>
      </c>
      <c r="M796" s="5">
        <f t="shared" si="56"/>
        <v>0</v>
      </c>
      <c r="N796" s="32">
        <v>6.1652173913043402E-2</v>
      </c>
      <c r="O796" s="32">
        <v>6.3478260869566025E-3</v>
      </c>
      <c r="P796" s="24">
        <f t="shared" si="55"/>
        <v>6.4452898550724641E-2</v>
      </c>
    </row>
    <row r="797" spans="1:16" x14ac:dyDescent="0.3">
      <c r="A797" s="2">
        <v>41730</v>
      </c>
      <c r="B797" s="23">
        <v>5.9000000000000004E-2</v>
      </c>
      <c r="C797" s="5">
        <f t="shared" si="53"/>
        <v>0</v>
      </c>
      <c r="D797" s="5">
        <f t="shared" si="56"/>
        <v>0</v>
      </c>
      <c r="E797" s="5">
        <f t="shared" si="56"/>
        <v>0</v>
      </c>
      <c r="F797" s="5">
        <f t="shared" si="56"/>
        <v>1</v>
      </c>
      <c r="G797" s="5">
        <f t="shared" si="56"/>
        <v>0</v>
      </c>
      <c r="H797" s="5">
        <f t="shared" si="56"/>
        <v>0</v>
      </c>
      <c r="I797" s="5">
        <f t="shared" si="56"/>
        <v>0</v>
      </c>
      <c r="J797" s="5">
        <f t="shared" si="56"/>
        <v>0</v>
      </c>
      <c r="K797" s="5">
        <f t="shared" si="56"/>
        <v>0</v>
      </c>
      <c r="L797" s="5">
        <f t="shared" si="56"/>
        <v>0</v>
      </c>
      <c r="M797" s="5">
        <f t="shared" si="56"/>
        <v>0</v>
      </c>
      <c r="N797" s="32">
        <v>5.6550724637681071E-2</v>
      </c>
      <c r="O797" s="32">
        <v>2.4492753623189326E-3</v>
      </c>
      <c r="P797" s="24">
        <f t="shared" si="55"/>
        <v>6.0554347826086978E-2</v>
      </c>
    </row>
    <row r="798" spans="1:16" x14ac:dyDescent="0.3">
      <c r="A798" s="2">
        <v>41760</v>
      </c>
      <c r="B798" s="23">
        <v>6.0999999999999999E-2</v>
      </c>
      <c r="C798" s="5">
        <f t="shared" si="53"/>
        <v>0</v>
      </c>
      <c r="D798" s="5">
        <f t="shared" si="56"/>
        <v>0</v>
      </c>
      <c r="E798" s="5">
        <f t="shared" si="56"/>
        <v>0</v>
      </c>
      <c r="F798" s="5">
        <f t="shared" si="56"/>
        <v>0</v>
      </c>
      <c r="G798" s="5">
        <f t="shared" si="56"/>
        <v>1</v>
      </c>
      <c r="H798" s="5">
        <f t="shared" si="56"/>
        <v>0</v>
      </c>
      <c r="I798" s="5">
        <f t="shared" si="56"/>
        <v>0</v>
      </c>
      <c r="J798" s="5">
        <f t="shared" si="56"/>
        <v>0</v>
      </c>
      <c r="K798" s="5">
        <f t="shared" si="56"/>
        <v>0</v>
      </c>
      <c r="L798" s="5">
        <f t="shared" si="56"/>
        <v>0</v>
      </c>
      <c r="M798" s="5">
        <f t="shared" si="56"/>
        <v>0</v>
      </c>
      <c r="N798" s="32">
        <v>5.5101449275362209E-2</v>
      </c>
      <c r="O798" s="32">
        <v>5.8985507246377897E-3</v>
      </c>
      <c r="P798" s="24">
        <f t="shared" si="55"/>
        <v>6.4003623188405828E-2</v>
      </c>
    </row>
    <row r="799" spans="1:16" x14ac:dyDescent="0.3">
      <c r="A799" s="2">
        <v>41791</v>
      </c>
      <c r="B799" s="23">
        <v>6.3E-2</v>
      </c>
      <c r="C799" s="5">
        <f t="shared" si="53"/>
        <v>0</v>
      </c>
      <c r="D799" s="5">
        <f t="shared" si="56"/>
        <v>0</v>
      </c>
      <c r="E799" s="5">
        <f t="shared" si="56"/>
        <v>0</v>
      </c>
      <c r="F799" s="5">
        <f t="shared" si="56"/>
        <v>0</v>
      </c>
      <c r="G799" s="5">
        <f t="shared" si="56"/>
        <v>0</v>
      </c>
      <c r="H799" s="5">
        <f t="shared" si="56"/>
        <v>1</v>
      </c>
      <c r="I799" s="5">
        <f t="shared" si="56"/>
        <v>0</v>
      </c>
      <c r="J799" s="5">
        <f t="shared" si="56"/>
        <v>0</v>
      </c>
      <c r="K799" s="5">
        <f t="shared" si="56"/>
        <v>0</v>
      </c>
      <c r="L799" s="5">
        <f t="shared" si="56"/>
        <v>0</v>
      </c>
      <c r="M799" s="5">
        <f t="shared" si="56"/>
        <v>0</v>
      </c>
      <c r="N799" s="32">
        <v>6.1130434782608579E-2</v>
      </c>
      <c r="O799" s="32">
        <v>1.869565217391421E-3</v>
      </c>
      <c r="P799" s="24">
        <f t="shared" si="55"/>
        <v>5.9974637681159466E-2</v>
      </c>
    </row>
    <row r="800" spans="1:16" x14ac:dyDescent="0.3">
      <c r="A800" s="2">
        <v>41821</v>
      </c>
      <c r="B800" s="23">
        <v>6.5000000000000002E-2</v>
      </c>
      <c r="C800" s="5">
        <f t="shared" si="53"/>
        <v>0</v>
      </c>
      <c r="D800" s="5">
        <f t="shared" si="56"/>
        <v>0</v>
      </c>
      <c r="E800" s="5">
        <f t="shared" si="56"/>
        <v>0</v>
      </c>
      <c r="F800" s="5">
        <f t="shared" si="56"/>
        <v>0</v>
      </c>
      <c r="G800" s="5">
        <f t="shared" si="56"/>
        <v>0</v>
      </c>
      <c r="H800" s="5">
        <f t="shared" si="56"/>
        <v>0</v>
      </c>
      <c r="I800" s="5">
        <f t="shared" si="56"/>
        <v>1</v>
      </c>
      <c r="J800" s="5">
        <f t="shared" si="56"/>
        <v>0</v>
      </c>
      <c r="K800" s="5">
        <f t="shared" si="56"/>
        <v>0</v>
      </c>
      <c r="L800" s="5">
        <f t="shared" si="56"/>
        <v>0</v>
      </c>
      <c r="M800" s="5">
        <f t="shared" si="56"/>
        <v>0</v>
      </c>
      <c r="N800" s="32">
        <v>5.9550724637681039E-2</v>
      </c>
      <c r="O800" s="32">
        <v>5.449275362318963E-3</v>
      </c>
      <c r="P800" s="24">
        <f t="shared" si="55"/>
        <v>6.3554347826087015E-2</v>
      </c>
    </row>
    <row r="801" spans="1:16" x14ac:dyDescent="0.3">
      <c r="A801" s="2">
        <v>41852</v>
      </c>
      <c r="B801" s="23">
        <v>6.3E-2</v>
      </c>
      <c r="C801" s="5">
        <f t="shared" si="53"/>
        <v>0</v>
      </c>
      <c r="D801" s="5">
        <f t="shared" si="56"/>
        <v>0</v>
      </c>
      <c r="E801" s="5">
        <f t="shared" si="56"/>
        <v>0</v>
      </c>
      <c r="F801" s="5">
        <f t="shared" si="56"/>
        <v>0</v>
      </c>
      <c r="G801" s="5">
        <f t="shared" si="56"/>
        <v>0</v>
      </c>
      <c r="H801" s="5">
        <f t="shared" si="56"/>
        <v>0</v>
      </c>
      <c r="I801" s="5">
        <f t="shared" si="56"/>
        <v>0</v>
      </c>
      <c r="J801" s="5">
        <f t="shared" si="56"/>
        <v>1</v>
      </c>
      <c r="K801" s="5">
        <f t="shared" si="56"/>
        <v>0</v>
      </c>
      <c r="L801" s="5">
        <f t="shared" si="56"/>
        <v>0</v>
      </c>
      <c r="M801" s="5">
        <f t="shared" si="56"/>
        <v>0</v>
      </c>
      <c r="N801" s="32">
        <v>5.6521739130434699E-2</v>
      </c>
      <c r="O801" s="32">
        <v>6.4782608695653013E-3</v>
      </c>
      <c r="P801" s="24">
        <f t="shared" si="55"/>
        <v>6.4583333333333354E-2</v>
      </c>
    </row>
    <row r="802" spans="1:16" x14ac:dyDescent="0.3">
      <c r="A802" s="2">
        <v>41883</v>
      </c>
      <c r="B802" s="23">
        <v>5.7000000000000002E-2</v>
      </c>
      <c r="C802" s="5">
        <f t="shared" si="53"/>
        <v>0</v>
      </c>
      <c r="D802" s="5">
        <f t="shared" si="56"/>
        <v>0</v>
      </c>
      <c r="E802" s="5">
        <f t="shared" si="56"/>
        <v>0</v>
      </c>
      <c r="F802" s="5">
        <f t="shared" si="56"/>
        <v>0</v>
      </c>
      <c r="G802" s="5">
        <f t="shared" si="56"/>
        <v>0</v>
      </c>
      <c r="H802" s="5">
        <f t="shared" si="56"/>
        <v>0</v>
      </c>
      <c r="I802" s="5">
        <f t="shared" si="56"/>
        <v>0</v>
      </c>
      <c r="J802" s="5">
        <f t="shared" si="56"/>
        <v>0</v>
      </c>
      <c r="K802" s="5">
        <f t="shared" si="56"/>
        <v>1</v>
      </c>
      <c r="L802" s="5">
        <f t="shared" si="56"/>
        <v>0</v>
      </c>
      <c r="M802" s="5">
        <f t="shared" si="56"/>
        <v>0</v>
      </c>
      <c r="N802" s="32">
        <v>5.4768115942028898E-2</v>
      </c>
      <c r="O802" s="32">
        <v>2.2318840579711036E-3</v>
      </c>
      <c r="P802" s="24">
        <f t="shared" si="55"/>
        <v>6.0336956521739149E-2</v>
      </c>
    </row>
    <row r="803" spans="1:16" x14ac:dyDescent="0.3">
      <c r="A803" s="2">
        <v>41913</v>
      </c>
      <c r="B803" s="23">
        <v>5.5E-2</v>
      </c>
      <c r="C803" s="5">
        <f t="shared" si="53"/>
        <v>0</v>
      </c>
      <c r="D803" s="5">
        <f t="shared" si="56"/>
        <v>0</v>
      </c>
      <c r="E803" s="5">
        <f t="shared" si="56"/>
        <v>0</v>
      </c>
      <c r="F803" s="5">
        <f t="shared" si="56"/>
        <v>0</v>
      </c>
      <c r="G803" s="5">
        <f t="shared" si="56"/>
        <v>0</v>
      </c>
      <c r="H803" s="5">
        <f t="shared" si="56"/>
        <v>0</v>
      </c>
      <c r="I803" s="5">
        <f t="shared" si="56"/>
        <v>0</v>
      </c>
      <c r="J803" s="5">
        <f t="shared" si="56"/>
        <v>0</v>
      </c>
      <c r="K803" s="5">
        <f t="shared" si="56"/>
        <v>0</v>
      </c>
      <c r="L803" s="5">
        <f t="shared" si="56"/>
        <v>1</v>
      </c>
      <c r="M803" s="5">
        <f t="shared" si="56"/>
        <v>0</v>
      </c>
      <c r="N803" s="32">
        <v>5.3115942028985473E-2</v>
      </c>
      <c r="O803" s="32">
        <v>1.8840579710145272E-3</v>
      </c>
      <c r="P803" s="24">
        <f t="shared" si="55"/>
        <v>5.9989130434782573E-2</v>
      </c>
    </row>
    <row r="804" spans="1:16" x14ac:dyDescent="0.3">
      <c r="A804" s="2">
        <v>41944</v>
      </c>
      <c r="B804" s="23">
        <v>5.5E-2</v>
      </c>
      <c r="C804" s="5">
        <f t="shared" si="53"/>
        <v>0</v>
      </c>
      <c r="D804" s="5">
        <f t="shared" si="56"/>
        <v>0</v>
      </c>
      <c r="E804" s="5">
        <f t="shared" si="56"/>
        <v>0</v>
      </c>
      <c r="F804" s="5">
        <f t="shared" si="56"/>
        <v>0</v>
      </c>
      <c r="G804" s="5">
        <f t="shared" si="56"/>
        <v>0</v>
      </c>
      <c r="H804" s="5">
        <f t="shared" si="56"/>
        <v>0</v>
      </c>
      <c r="I804" s="5">
        <f t="shared" si="56"/>
        <v>0</v>
      </c>
      <c r="J804" s="5">
        <f t="shared" si="56"/>
        <v>0</v>
      </c>
      <c r="K804" s="5">
        <f t="shared" si="56"/>
        <v>0</v>
      </c>
      <c r="L804" s="5">
        <f t="shared" ref="D804:M829" si="57">IF(MONTH($A804)=L$1,1,0)</f>
        <v>0</v>
      </c>
      <c r="M804" s="5">
        <f t="shared" si="57"/>
        <v>1</v>
      </c>
      <c r="N804" s="32">
        <v>5.4782608695652081E-2</v>
      </c>
      <c r="O804" s="32">
        <v>2.173913043479192E-4</v>
      </c>
      <c r="P804" s="24">
        <f t="shared" si="55"/>
        <v>5.8322463768115965E-2</v>
      </c>
    </row>
    <row r="805" spans="1:16" x14ac:dyDescent="0.3">
      <c r="A805" s="2">
        <v>41974</v>
      </c>
      <c r="B805" s="23">
        <v>5.4000000000000006E-2</v>
      </c>
      <c r="C805" s="5">
        <f t="shared" si="53"/>
        <v>0</v>
      </c>
      <c r="D805" s="5">
        <f t="shared" si="57"/>
        <v>0</v>
      </c>
      <c r="E805" s="5">
        <f t="shared" si="57"/>
        <v>0</v>
      </c>
      <c r="F805" s="5">
        <f t="shared" si="57"/>
        <v>0</v>
      </c>
      <c r="G805" s="5">
        <f t="shared" si="57"/>
        <v>0</v>
      </c>
      <c r="H805" s="5">
        <f t="shared" si="57"/>
        <v>0</v>
      </c>
      <c r="I805" s="5">
        <f t="shared" si="57"/>
        <v>0</v>
      </c>
      <c r="J805" s="5">
        <f t="shared" si="57"/>
        <v>0</v>
      </c>
      <c r="K805" s="5">
        <f t="shared" si="57"/>
        <v>0</v>
      </c>
      <c r="L805" s="5">
        <f t="shared" si="57"/>
        <v>0</v>
      </c>
      <c r="M805" s="5">
        <f t="shared" si="57"/>
        <v>0</v>
      </c>
      <c r="N805" s="32">
        <v>5.5202898550724598E-2</v>
      </c>
      <c r="O805" s="32">
        <v>-1.2028985507245918E-3</v>
      </c>
      <c r="P805" s="24">
        <f t="shared" si="55"/>
        <v>5.6902173913043454E-2</v>
      </c>
    </row>
    <row r="806" spans="1:16" x14ac:dyDescent="0.3">
      <c r="A806" s="2">
        <v>42005</v>
      </c>
      <c r="B806" s="23">
        <v>6.0999999999999999E-2</v>
      </c>
      <c r="C806" s="5">
        <f t="shared" si="53"/>
        <v>1</v>
      </c>
      <c r="D806" s="5">
        <f t="shared" si="57"/>
        <v>0</v>
      </c>
      <c r="E806" s="5">
        <f t="shared" si="57"/>
        <v>0</v>
      </c>
      <c r="F806" s="5">
        <f t="shared" si="57"/>
        <v>0</v>
      </c>
      <c r="G806" s="5">
        <f t="shared" si="57"/>
        <v>0</v>
      </c>
      <c r="H806" s="5">
        <f t="shared" si="57"/>
        <v>0</v>
      </c>
      <c r="I806" s="5">
        <f t="shared" si="57"/>
        <v>0</v>
      </c>
      <c r="J806" s="5">
        <f t="shared" si="57"/>
        <v>0</v>
      </c>
      <c r="K806" s="5">
        <f t="shared" si="57"/>
        <v>0</v>
      </c>
      <c r="L806" s="5">
        <f t="shared" si="57"/>
        <v>0</v>
      </c>
      <c r="M806" s="5">
        <f t="shared" si="57"/>
        <v>0</v>
      </c>
      <c r="N806" s="32">
        <v>6.4492753623188417E-2</v>
      </c>
      <c r="O806" s="32">
        <v>-3.4927536231884188E-3</v>
      </c>
      <c r="P806" s="24">
        <f t="shared" si="55"/>
        <v>5.4612318840579627E-2</v>
      </c>
    </row>
    <row r="807" spans="1:16" x14ac:dyDescent="0.3">
      <c r="A807" s="2">
        <v>42036</v>
      </c>
      <c r="B807" s="23">
        <v>5.7999999999999996E-2</v>
      </c>
      <c r="C807" s="5">
        <f t="shared" si="53"/>
        <v>0</v>
      </c>
      <c r="D807" s="5">
        <f t="shared" si="57"/>
        <v>1</v>
      </c>
      <c r="E807" s="5">
        <f t="shared" si="57"/>
        <v>0</v>
      </c>
      <c r="F807" s="5">
        <f t="shared" si="57"/>
        <v>0</v>
      </c>
      <c r="G807" s="5">
        <f t="shared" si="57"/>
        <v>0</v>
      </c>
      <c r="H807" s="5">
        <f t="shared" si="57"/>
        <v>0</v>
      </c>
      <c r="I807" s="5">
        <f t="shared" si="57"/>
        <v>0</v>
      </c>
      <c r="J807" s="5">
        <f t="shared" si="57"/>
        <v>0</v>
      </c>
      <c r="K807" s="5">
        <f t="shared" si="57"/>
        <v>0</v>
      </c>
      <c r="L807" s="5">
        <f t="shared" si="57"/>
        <v>0</v>
      </c>
      <c r="M807" s="5">
        <f t="shared" si="57"/>
        <v>0</v>
      </c>
      <c r="N807" s="32">
        <v>6.4391304347825973E-2</v>
      </c>
      <c r="O807" s="32">
        <v>-6.3913043478259768E-3</v>
      </c>
      <c r="P807" s="24">
        <f t="shared" si="55"/>
        <v>5.1713768115942069E-2</v>
      </c>
    </row>
    <row r="808" spans="1:16" x14ac:dyDescent="0.3">
      <c r="A808" s="2">
        <v>42064</v>
      </c>
      <c r="B808" s="23">
        <v>5.5999999999999994E-2</v>
      </c>
      <c r="C808" s="5">
        <f t="shared" ref="C808:C829" si="58">IF(MONTH($A808)=C$1,1,0)</f>
        <v>0</v>
      </c>
      <c r="D808" s="5">
        <f t="shared" si="57"/>
        <v>0</v>
      </c>
      <c r="E808" s="5">
        <f t="shared" si="57"/>
        <v>1</v>
      </c>
      <c r="F808" s="5">
        <f t="shared" si="57"/>
        <v>0</v>
      </c>
      <c r="G808" s="5">
        <f t="shared" si="57"/>
        <v>0</v>
      </c>
      <c r="H808" s="5">
        <f t="shared" si="57"/>
        <v>0</v>
      </c>
      <c r="I808" s="5">
        <f t="shared" si="57"/>
        <v>0</v>
      </c>
      <c r="J808" s="5">
        <f t="shared" si="57"/>
        <v>0</v>
      </c>
      <c r="K808" s="5">
        <f t="shared" si="57"/>
        <v>0</v>
      </c>
      <c r="L808" s="5">
        <f t="shared" si="57"/>
        <v>0</v>
      </c>
      <c r="M808" s="5">
        <f t="shared" si="57"/>
        <v>0</v>
      </c>
      <c r="N808" s="32">
        <v>6.1652173913043402E-2</v>
      </c>
      <c r="O808" s="32">
        <v>-5.6521739130434082E-3</v>
      </c>
      <c r="P808" s="24">
        <f t="shared" si="55"/>
        <v>5.2452898550724637E-2</v>
      </c>
    </row>
    <row r="809" spans="1:16" x14ac:dyDescent="0.3">
      <c r="A809" s="2">
        <v>42095</v>
      </c>
      <c r="B809" s="23">
        <v>5.0999999999999997E-2</v>
      </c>
      <c r="C809" s="5">
        <f t="shared" si="58"/>
        <v>0</v>
      </c>
      <c r="D809" s="5">
        <f t="shared" si="57"/>
        <v>0</v>
      </c>
      <c r="E809" s="5">
        <f t="shared" si="57"/>
        <v>0</v>
      </c>
      <c r="F809" s="5">
        <f t="shared" si="57"/>
        <v>1</v>
      </c>
      <c r="G809" s="5">
        <f t="shared" si="57"/>
        <v>0</v>
      </c>
      <c r="H809" s="5">
        <f t="shared" si="57"/>
        <v>0</v>
      </c>
      <c r="I809" s="5">
        <f t="shared" si="57"/>
        <v>0</v>
      </c>
      <c r="J809" s="5">
        <f t="shared" si="57"/>
        <v>0</v>
      </c>
      <c r="K809" s="5">
        <f t="shared" si="57"/>
        <v>0</v>
      </c>
      <c r="L809" s="5">
        <f t="shared" si="57"/>
        <v>0</v>
      </c>
      <c r="M809" s="5">
        <f t="shared" si="57"/>
        <v>0</v>
      </c>
      <c r="N809" s="32">
        <v>5.6550724637681071E-2</v>
      </c>
      <c r="O809" s="32">
        <v>-5.5507246376810745E-3</v>
      </c>
      <c r="P809" s="24">
        <f t="shared" si="55"/>
        <v>5.2554347826086971E-2</v>
      </c>
    </row>
    <row r="810" spans="1:16" x14ac:dyDescent="0.3">
      <c r="A810" s="2">
        <v>42125</v>
      </c>
      <c r="B810" s="23">
        <v>5.2999999999999999E-2</v>
      </c>
      <c r="C810" s="5">
        <f t="shared" si="58"/>
        <v>0</v>
      </c>
      <c r="D810" s="5">
        <f t="shared" si="57"/>
        <v>0</v>
      </c>
      <c r="E810" s="5">
        <f t="shared" si="57"/>
        <v>0</v>
      </c>
      <c r="F810" s="5">
        <f t="shared" si="57"/>
        <v>0</v>
      </c>
      <c r="G810" s="5">
        <f t="shared" si="57"/>
        <v>1</v>
      </c>
      <c r="H810" s="5">
        <f t="shared" si="57"/>
        <v>0</v>
      </c>
      <c r="I810" s="5">
        <f t="shared" si="57"/>
        <v>0</v>
      </c>
      <c r="J810" s="5">
        <f t="shared" si="57"/>
        <v>0</v>
      </c>
      <c r="K810" s="5">
        <f t="shared" si="57"/>
        <v>0</v>
      </c>
      <c r="L810" s="5">
        <f t="shared" si="57"/>
        <v>0</v>
      </c>
      <c r="M810" s="5">
        <f t="shared" si="57"/>
        <v>0</v>
      </c>
      <c r="N810" s="32">
        <v>5.5101449275362209E-2</v>
      </c>
      <c r="O810" s="32">
        <v>-2.1014492753622105E-3</v>
      </c>
      <c r="P810" s="24">
        <f t="shared" si="55"/>
        <v>5.6003623188405835E-2</v>
      </c>
    </row>
    <row r="811" spans="1:16" x14ac:dyDescent="0.3">
      <c r="A811" s="2">
        <v>42156</v>
      </c>
      <c r="B811" s="23">
        <v>5.5E-2</v>
      </c>
      <c r="C811" s="5">
        <f t="shared" si="58"/>
        <v>0</v>
      </c>
      <c r="D811" s="5">
        <f t="shared" si="57"/>
        <v>0</v>
      </c>
      <c r="E811" s="5">
        <f t="shared" si="57"/>
        <v>0</v>
      </c>
      <c r="F811" s="5">
        <f t="shared" si="57"/>
        <v>0</v>
      </c>
      <c r="G811" s="5">
        <f t="shared" si="57"/>
        <v>0</v>
      </c>
      <c r="H811" s="5">
        <f t="shared" si="57"/>
        <v>1</v>
      </c>
      <c r="I811" s="5">
        <f t="shared" si="57"/>
        <v>0</v>
      </c>
      <c r="J811" s="5">
        <f t="shared" si="57"/>
        <v>0</v>
      </c>
      <c r="K811" s="5">
        <f t="shared" si="57"/>
        <v>0</v>
      </c>
      <c r="L811" s="5">
        <f t="shared" si="57"/>
        <v>0</v>
      </c>
      <c r="M811" s="5">
        <f t="shared" si="57"/>
        <v>0</v>
      </c>
      <c r="N811" s="32">
        <v>6.1130434782608579E-2</v>
      </c>
      <c r="O811" s="32">
        <v>-6.1304347826085792E-3</v>
      </c>
      <c r="P811" s="24">
        <f t="shared" si="55"/>
        <v>5.1974637681159466E-2</v>
      </c>
    </row>
    <row r="812" spans="1:16" x14ac:dyDescent="0.3">
      <c r="A812" s="2">
        <v>42186</v>
      </c>
      <c r="B812" s="23">
        <v>5.5999999999999994E-2</v>
      </c>
      <c r="C812" s="5">
        <f t="shared" si="58"/>
        <v>0</v>
      </c>
      <c r="D812" s="5">
        <f t="shared" si="57"/>
        <v>0</v>
      </c>
      <c r="E812" s="5">
        <f t="shared" si="57"/>
        <v>0</v>
      </c>
      <c r="F812" s="5">
        <f t="shared" si="57"/>
        <v>0</v>
      </c>
      <c r="G812" s="5">
        <f t="shared" si="57"/>
        <v>0</v>
      </c>
      <c r="H812" s="5">
        <f t="shared" si="57"/>
        <v>0</v>
      </c>
      <c r="I812" s="5">
        <f t="shared" si="57"/>
        <v>1</v>
      </c>
      <c r="J812" s="5">
        <f t="shared" si="57"/>
        <v>0</v>
      </c>
      <c r="K812" s="5">
        <f t="shared" si="57"/>
        <v>0</v>
      </c>
      <c r="L812" s="5">
        <f t="shared" si="57"/>
        <v>0</v>
      </c>
      <c r="M812" s="5">
        <f t="shared" si="57"/>
        <v>0</v>
      </c>
      <c r="N812" s="32">
        <v>5.9550724637681039E-2</v>
      </c>
      <c r="O812" s="32">
        <v>-3.550724637681045E-3</v>
      </c>
      <c r="P812" s="24">
        <f t="shared" si="55"/>
        <v>5.4554347826087E-2</v>
      </c>
    </row>
    <row r="813" spans="1:16" x14ac:dyDescent="0.3">
      <c r="A813" s="2">
        <v>42217</v>
      </c>
      <c r="B813" s="23">
        <v>5.2000000000000005E-2</v>
      </c>
      <c r="C813" s="5">
        <f t="shared" si="58"/>
        <v>0</v>
      </c>
      <c r="D813" s="5">
        <f t="shared" si="57"/>
        <v>0</v>
      </c>
      <c r="E813" s="5">
        <f t="shared" si="57"/>
        <v>0</v>
      </c>
      <c r="F813" s="5">
        <f t="shared" si="57"/>
        <v>0</v>
      </c>
      <c r="G813" s="5">
        <f t="shared" si="57"/>
        <v>0</v>
      </c>
      <c r="H813" s="5">
        <f t="shared" si="57"/>
        <v>0</v>
      </c>
      <c r="I813" s="5">
        <f t="shared" si="57"/>
        <v>0</v>
      </c>
      <c r="J813" s="5">
        <f t="shared" si="57"/>
        <v>1</v>
      </c>
      <c r="K813" s="5">
        <f t="shared" si="57"/>
        <v>0</v>
      </c>
      <c r="L813" s="5">
        <f t="shared" si="57"/>
        <v>0</v>
      </c>
      <c r="M813" s="5">
        <f t="shared" si="57"/>
        <v>0</v>
      </c>
      <c r="N813" s="32">
        <v>5.6521739130434699E-2</v>
      </c>
      <c r="O813" s="32">
        <v>-4.5217391304346946E-3</v>
      </c>
      <c r="P813" s="24">
        <f t="shared" si="55"/>
        <v>5.3583333333333351E-2</v>
      </c>
    </row>
    <row r="814" spans="1:16" x14ac:dyDescent="0.3">
      <c r="A814" s="2">
        <v>42248</v>
      </c>
      <c r="B814" s="23">
        <v>4.9000000000000002E-2</v>
      </c>
      <c r="C814" s="5">
        <f t="shared" si="58"/>
        <v>0</v>
      </c>
      <c r="D814" s="5">
        <f t="shared" si="57"/>
        <v>0</v>
      </c>
      <c r="E814" s="5">
        <f t="shared" si="57"/>
        <v>0</v>
      </c>
      <c r="F814" s="5">
        <f t="shared" si="57"/>
        <v>0</v>
      </c>
      <c r="G814" s="5">
        <f t="shared" si="57"/>
        <v>0</v>
      </c>
      <c r="H814" s="5">
        <f t="shared" si="57"/>
        <v>0</v>
      </c>
      <c r="I814" s="5">
        <f t="shared" si="57"/>
        <v>0</v>
      </c>
      <c r="J814" s="5">
        <f t="shared" si="57"/>
        <v>0</v>
      </c>
      <c r="K814" s="5">
        <f t="shared" si="57"/>
        <v>1</v>
      </c>
      <c r="L814" s="5">
        <f t="shared" si="57"/>
        <v>0</v>
      </c>
      <c r="M814" s="5">
        <f t="shared" si="57"/>
        <v>0</v>
      </c>
      <c r="N814" s="32">
        <v>5.4768115942028898E-2</v>
      </c>
      <c r="O814" s="32">
        <v>-5.7681159420288966E-3</v>
      </c>
      <c r="P814" s="24">
        <f t="shared" si="55"/>
        <v>5.2336956521739149E-2</v>
      </c>
    </row>
    <row r="815" spans="1:16" x14ac:dyDescent="0.3">
      <c r="A815" s="2">
        <v>42278</v>
      </c>
      <c r="B815" s="23">
        <v>4.8000000000000001E-2</v>
      </c>
      <c r="C815" s="5">
        <f t="shared" si="58"/>
        <v>0</v>
      </c>
      <c r="D815" s="5">
        <f t="shared" si="57"/>
        <v>0</v>
      </c>
      <c r="E815" s="5">
        <f t="shared" si="57"/>
        <v>0</v>
      </c>
      <c r="F815" s="5">
        <f t="shared" si="57"/>
        <v>0</v>
      </c>
      <c r="G815" s="5">
        <f t="shared" si="57"/>
        <v>0</v>
      </c>
      <c r="H815" s="5">
        <f t="shared" si="57"/>
        <v>0</v>
      </c>
      <c r="I815" s="5">
        <f t="shared" si="57"/>
        <v>0</v>
      </c>
      <c r="J815" s="5">
        <f t="shared" si="57"/>
        <v>0</v>
      </c>
      <c r="K815" s="5">
        <f t="shared" si="57"/>
        <v>0</v>
      </c>
      <c r="L815" s="5">
        <f t="shared" si="57"/>
        <v>1</v>
      </c>
      <c r="M815" s="5">
        <f t="shared" si="57"/>
        <v>0</v>
      </c>
      <c r="N815" s="32">
        <v>5.3115942028985473E-2</v>
      </c>
      <c r="O815" s="32">
        <v>-5.1159420289854721E-3</v>
      </c>
      <c r="P815" s="24">
        <f t="shared" si="55"/>
        <v>5.2989130434782573E-2</v>
      </c>
    </row>
    <row r="816" spans="1:16" x14ac:dyDescent="0.3">
      <c r="A816" s="2">
        <v>42309</v>
      </c>
      <c r="B816" s="23">
        <v>4.8000000000000001E-2</v>
      </c>
      <c r="C816" s="5">
        <f t="shared" si="58"/>
        <v>0</v>
      </c>
      <c r="D816" s="5">
        <f t="shared" si="57"/>
        <v>0</v>
      </c>
      <c r="E816" s="5">
        <f t="shared" si="57"/>
        <v>0</v>
      </c>
      <c r="F816" s="5">
        <f t="shared" si="57"/>
        <v>0</v>
      </c>
      <c r="G816" s="5">
        <f t="shared" si="57"/>
        <v>0</v>
      </c>
      <c r="H816" s="5">
        <f t="shared" si="57"/>
        <v>0</v>
      </c>
      <c r="I816" s="5">
        <f t="shared" si="57"/>
        <v>0</v>
      </c>
      <c r="J816" s="5">
        <f t="shared" si="57"/>
        <v>0</v>
      </c>
      <c r="K816" s="5">
        <f t="shared" si="57"/>
        <v>0</v>
      </c>
      <c r="L816" s="5">
        <f t="shared" si="57"/>
        <v>0</v>
      </c>
      <c r="M816" s="5">
        <f t="shared" si="57"/>
        <v>1</v>
      </c>
      <c r="N816" s="32">
        <v>5.4782608695652081E-2</v>
      </c>
      <c r="O816" s="32">
        <v>-6.7826086956520801E-3</v>
      </c>
      <c r="P816" s="24">
        <f t="shared" si="55"/>
        <v>5.1322463768115965E-2</v>
      </c>
    </row>
    <row r="817" spans="1:16" x14ac:dyDescent="0.3">
      <c r="A817" s="2">
        <v>42339</v>
      </c>
      <c r="B817" s="23">
        <v>4.8000000000000001E-2</v>
      </c>
      <c r="C817" s="5">
        <f t="shared" si="58"/>
        <v>0</v>
      </c>
      <c r="D817" s="5">
        <f t="shared" si="57"/>
        <v>0</v>
      </c>
      <c r="E817" s="5">
        <f t="shared" si="57"/>
        <v>0</v>
      </c>
      <c r="F817" s="5">
        <f t="shared" si="57"/>
        <v>0</v>
      </c>
      <c r="G817" s="5">
        <f t="shared" si="57"/>
        <v>0</v>
      </c>
      <c r="H817" s="5">
        <f t="shared" si="57"/>
        <v>0</v>
      </c>
      <c r="I817" s="5">
        <f t="shared" si="57"/>
        <v>0</v>
      </c>
      <c r="J817" s="5">
        <f t="shared" si="57"/>
        <v>0</v>
      </c>
      <c r="K817" s="5">
        <f t="shared" si="57"/>
        <v>0</v>
      </c>
      <c r="L817" s="5">
        <f t="shared" si="57"/>
        <v>0</v>
      </c>
      <c r="M817" s="5">
        <f t="shared" si="57"/>
        <v>0</v>
      </c>
      <c r="N817" s="32">
        <v>5.5202898550724598E-2</v>
      </c>
      <c r="O817" s="32">
        <v>-7.2028985507245971E-3</v>
      </c>
      <c r="P817" s="24">
        <f t="shared" si="55"/>
        <v>5.0902173913043448E-2</v>
      </c>
    </row>
    <row r="818" spans="1:16" x14ac:dyDescent="0.3">
      <c r="A818" s="2">
        <v>42370</v>
      </c>
      <c r="B818" s="23">
        <v>5.2999999999999999E-2</v>
      </c>
      <c r="C818" s="5">
        <f t="shared" si="58"/>
        <v>1</v>
      </c>
      <c r="D818" s="5">
        <f t="shared" si="57"/>
        <v>0</v>
      </c>
      <c r="E818" s="5">
        <f t="shared" si="57"/>
        <v>0</v>
      </c>
      <c r="F818" s="5">
        <f t="shared" si="57"/>
        <v>0</v>
      </c>
      <c r="G818" s="5">
        <f t="shared" si="57"/>
        <v>0</v>
      </c>
      <c r="H818" s="5">
        <f t="shared" si="57"/>
        <v>0</v>
      </c>
      <c r="I818" s="5">
        <f t="shared" si="57"/>
        <v>0</v>
      </c>
      <c r="J818" s="5">
        <f t="shared" si="57"/>
        <v>0</v>
      </c>
      <c r="K818" s="5">
        <f t="shared" si="57"/>
        <v>0</v>
      </c>
      <c r="L818" s="5">
        <f t="shared" si="57"/>
        <v>0</v>
      </c>
      <c r="M818" s="5">
        <f t="shared" si="57"/>
        <v>0</v>
      </c>
      <c r="N818" s="32">
        <v>6.4492753623188417E-2</v>
      </c>
      <c r="O818" s="32">
        <v>-1.1492753623188419E-2</v>
      </c>
      <c r="P818" s="24">
        <f t="shared" si="55"/>
        <v>4.6612318840579627E-2</v>
      </c>
    </row>
    <row r="819" spans="1:16" x14ac:dyDescent="0.3">
      <c r="A819" s="2">
        <v>42401</v>
      </c>
      <c r="B819" s="23">
        <v>5.2000000000000005E-2</v>
      </c>
      <c r="C819" s="5">
        <f t="shared" si="58"/>
        <v>0</v>
      </c>
      <c r="D819" s="5">
        <f t="shared" si="57"/>
        <v>1</v>
      </c>
      <c r="E819" s="5">
        <f t="shared" si="57"/>
        <v>0</v>
      </c>
      <c r="F819" s="5">
        <f t="shared" si="57"/>
        <v>0</v>
      </c>
      <c r="G819" s="5">
        <f t="shared" si="57"/>
        <v>0</v>
      </c>
      <c r="H819" s="5">
        <f t="shared" si="57"/>
        <v>0</v>
      </c>
      <c r="I819" s="5">
        <f t="shared" si="57"/>
        <v>0</v>
      </c>
      <c r="J819" s="5">
        <f t="shared" si="57"/>
        <v>0</v>
      </c>
      <c r="K819" s="5">
        <f t="shared" si="57"/>
        <v>0</v>
      </c>
      <c r="L819" s="5">
        <f t="shared" si="57"/>
        <v>0</v>
      </c>
      <c r="M819" s="5">
        <f t="shared" si="57"/>
        <v>0</v>
      </c>
      <c r="N819" s="32">
        <v>6.4391304347825973E-2</v>
      </c>
      <c r="O819" s="32">
        <v>-1.2391304347825968E-2</v>
      </c>
      <c r="P819" s="24">
        <f t="shared" si="55"/>
        <v>4.5713768115942077E-2</v>
      </c>
    </row>
    <row r="820" spans="1:16" x14ac:dyDescent="0.3">
      <c r="A820" s="2">
        <v>42430</v>
      </c>
      <c r="B820" s="23">
        <v>5.0999999999999997E-2</v>
      </c>
      <c r="C820" s="5">
        <f t="shared" si="58"/>
        <v>0</v>
      </c>
      <c r="D820" s="5">
        <f t="shared" si="57"/>
        <v>0</v>
      </c>
      <c r="E820" s="5">
        <f t="shared" si="57"/>
        <v>1</v>
      </c>
      <c r="F820" s="5">
        <f t="shared" si="57"/>
        <v>0</v>
      </c>
      <c r="G820" s="5">
        <f t="shared" si="57"/>
        <v>0</v>
      </c>
      <c r="H820" s="5">
        <f t="shared" si="57"/>
        <v>0</v>
      </c>
      <c r="I820" s="5">
        <f t="shared" si="57"/>
        <v>0</v>
      </c>
      <c r="J820" s="5">
        <f t="shared" si="57"/>
        <v>0</v>
      </c>
      <c r="K820" s="5">
        <f t="shared" si="57"/>
        <v>0</v>
      </c>
      <c r="L820" s="5">
        <f t="shared" si="57"/>
        <v>0</v>
      </c>
      <c r="M820" s="5">
        <f t="shared" si="57"/>
        <v>0</v>
      </c>
      <c r="N820" s="32">
        <v>6.1652173913043402E-2</v>
      </c>
      <c r="O820" s="32">
        <v>-1.0652173913043406E-2</v>
      </c>
      <c r="P820" s="24">
        <f t="shared" si="55"/>
        <v>4.745289855072464E-2</v>
      </c>
    </row>
    <row r="821" spans="1:16" x14ac:dyDescent="0.3">
      <c r="A821" s="2">
        <v>42461</v>
      </c>
      <c r="B821" s="23">
        <v>4.7E-2</v>
      </c>
      <c r="C821" s="5">
        <f t="shared" si="58"/>
        <v>0</v>
      </c>
      <c r="D821" s="5">
        <f t="shared" si="57"/>
        <v>0</v>
      </c>
      <c r="E821" s="5">
        <f t="shared" si="57"/>
        <v>0</v>
      </c>
      <c r="F821" s="5">
        <f t="shared" si="57"/>
        <v>1</v>
      </c>
      <c r="G821" s="5">
        <f t="shared" si="57"/>
        <v>0</v>
      </c>
      <c r="H821" s="5">
        <f t="shared" si="57"/>
        <v>0</v>
      </c>
      <c r="I821" s="5">
        <f t="shared" si="57"/>
        <v>0</v>
      </c>
      <c r="J821" s="5">
        <f t="shared" si="57"/>
        <v>0</v>
      </c>
      <c r="K821" s="5">
        <f t="shared" si="57"/>
        <v>0</v>
      </c>
      <c r="L821" s="5">
        <f t="shared" si="57"/>
        <v>0</v>
      </c>
      <c r="M821" s="5">
        <f t="shared" si="57"/>
        <v>0</v>
      </c>
      <c r="N821" s="32">
        <v>5.6550724637681071E-2</v>
      </c>
      <c r="O821" s="32">
        <v>-9.5507246376810712E-3</v>
      </c>
      <c r="P821" s="24">
        <f t="shared" si="55"/>
        <v>4.8554347826086974E-2</v>
      </c>
    </row>
    <row r="822" spans="1:16" x14ac:dyDescent="0.3">
      <c r="A822" s="2">
        <v>42491</v>
      </c>
      <c r="B822" s="23">
        <v>4.4999999999999998E-2</v>
      </c>
      <c r="C822" s="5">
        <f t="shared" si="58"/>
        <v>0</v>
      </c>
      <c r="D822" s="5">
        <f t="shared" si="57"/>
        <v>0</v>
      </c>
      <c r="E822" s="5">
        <f t="shared" si="57"/>
        <v>0</v>
      </c>
      <c r="F822" s="5">
        <f t="shared" si="57"/>
        <v>0</v>
      </c>
      <c r="G822" s="5">
        <f t="shared" si="57"/>
        <v>1</v>
      </c>
      <c r="H822" s="5">
        <f t="shared" si="57"/>
        <v>0</v>
      </c>
      <c r="I822" s="5">
        <f t="shared" si="57"/>
        <v>0</v>
      </c>
      <c r="J822" s="5">
        <f t="shared" si="57"/>
        <v>0</v>
      </c>
      <c r="K822" s="5">
        <f t="shared" si="57"/>
        <v>0</v>
      </c>
      <c r="L822" s="5">
        <f t="shared" si="57"/>
        <v>0</v>
      </c>
      <c r="M822" s="5">
        <f t="shared" si="57"/>
        <v>0</v>
      </c>
      <c r="N822" s="32">
        <v>5.5101449275362209E-2</v>
      </c>
      <c r="O822" s="32">
        <v>-1.0101449275362211E-2</v>
      </c>
      <c r="P822" s="24">
        <f t="shared" si="55"/>
        <v>4.8003623188405835E-2</v>
      </c>
    </row>
    <row r="823" spans="1:16" x14ac:dyDescent="0.3">
      <c r="A823" s="2">
        <v>42522</v>
      </c>
      <c r="B823" s="23">
        <v>5.0999999999999997E-2</v>
      </c>
      <c r="C823" s="5">
        <f t="shared" si="58"/>
        <v>0</v>
      </c>
      <c r="D823" s="5">
        <f t="shared" si="57"/>
        <v>0</v>
      </c>
      <c r="E823" s="5">
        <f t="shared" si="57"/>
        <v>0</v>
      </c>
      <c r="F823" s="5">
        <f t="shared" si="57"/>
        <v>0</v>
      </c>
      <c r="G823" s="5">
        <f t="shared" si="57"/>
        <v>0</v>
      </c>
      <c r="H823" s="5">
        <f t="shared" si="57"/>
        <v>1</v>
      </c>
      <c r="I823" s="5">
        <f t="shared" si="57"/>
        <v>0</v>
      </c>
      <c r="J823" s="5">
        <f t="shared" si="57"/>
        <v>0</v>
      </c>
      <c r="K823" s="5">
        <f t="shared" si="57"/>
        <v>0</v>
      </c>
      <c r="L823" s="5">
        <f t="shared" si="57"/>
        <v>0</v>
      </c>
      <c r="M823" s="5">
        <f t="shared" si="57"/>
        <v>0</v>
      </c>
      <c r="N823" s="32">
        <v>6.1130434782608579E-2</v>
      </c>
      <c r="O823" s="32">
        <v>-1.0130434782608583E-2</v>
      </c>
      <c r="P823" s="24">
        <f t="shared" si="55"/>
        <v>4.7974637681159463E-2</v>
      </c>
    </row>
    <row r="824" spans="1:16" x14ac:dyDescent="0.3">
      <c r="A824" s="2">
        <v>42552</v>
      </c>
      <c r="B824" s="23">
        <v>5.0999999999999997E-2</v>
      </c>
      <c r="C824" s="5">
        <f t="shared" si="58"/>
        <v>0</v>
      </c>
      <c r="D824" s="5">
        <f t="shared" si="57"/>
        <v>0</v>
      </c>
      <c r="E824" s="5">
        <f t="shared" si="57"/>
        <v>0</v>
      </c>
      <c r="F824" s="5">
        <f t="shared" si="57"/>
        <v>0</v>
      </c>
      <c r="G824" s="5">
        <f t="shared" si="57"/>
        <v>0</v>
      </c>
      <c r="H824" s="5">
        <f t="shared" si="57"/>
        <v>0</v>
      </c>
      <c r="I824" s="5">
        <f t="shared" si="57"/>
        <v>1</v>
      </c>
      <c r="J824" s="5">
        <f t="shared" si="57"/>
        <v>0</v>
      </c>
      <c r="K824" s="5">
        <f t="shared" si="57"/>
        <v>0</v>
      </c>
      <c r="L824" s="5">
        <f t="shared" si="57"/>
        <v>0</v>
      </c>
      <c r="M824" s="5">
        <f t="shared" si="57"/>
        <v>0</v>
      </c>
      <c r="N824" s="32">
        <v>5.9550724637681039E-2</v>
      </c>
      <c r="O824" s="32">
        <v>-8.5507246376810425E-3</v>
      </c>
      <c r="P824" s="24">
        <f t="shared" si="55"/>
        <v>4.9554347826087003E-2</v>
      </c>
    </row>
    <row r="825" spans="1:16" x14ac:dyDescent="0.3">
      <c r="A825" s="2">
        <v>42583</v>
      </c>
      <c r="B825" s="23">
        <v>0.05</v>
      </c>
      <c r="C825" s="5">
        <f t="shared" si="58"/>
        <v>0</v>
      </c>
      <c r="D825" s="5">
        <f t="shared" si="57"/>
        <v>0</v>
      </c>
      <c r="E825" s="5">
        <f t="shared" si="57"/>
        <v>0</v>
      </c>
      <c r="F825" s="5">
        <f t="shared" si="57"/>
        <v>0</v>
      </c>
      <c r="G825" s="5">
        <f t="shared" si="57"/>
        <v>0</v>
      </c>
      <c r="H825" s="5">
        <f t="shared" si="57"/>
        <v>0</v>
      </c>
      <c r="I825" s="5">
        <f t="shared" si="57"/>
        <v>0</v>
      </c>
      <c r="J825" s="5">
        <f t="shared" si="57"/>
        <v>1</v>
      </c>
      <c r="K825" s="5">
        <f t="shared" si="57"/>
        <v>0</v>
      </c>
      <c r="L825" s="5">
        <f t="shared" si="57"/>
        <v>0</v>
      </c>
      <c r="M825" s="5">
        <f t="shared" si="57"/>
        <v>0</v>
      </c>
      <c r="N825" s="32">
        <v>5.6521739130434699E-2</v>
      </c>
      <c r="O825" s="32">
        <v>-6.5217391304346964E-3</v>
      </c>
      <c r="P825" s="24">
        <f t="shared" si="55"/>
        <v>5.1583333333333349E-2</v>
      </c>
    </row>
    <row r="826" spans="1:16" x14ac:dyDescent="0.3">
      <c r="A826" s="2">
        <v>42614</v>
      </c>
      <c r="B826" s="23">
        <v>4.8000000000000001E-2</v>
      </c>
      <c r="C826" s="5">
        <f t="shared" si="58"/>
        <v>0</v>
      </c>
      <c r="D826" s="5">
        <f t="shared" si="57"/>
        <v>0</v>
      </c>
      <c r="E826" s="5">
        <f t="shared" si="57"/>
        <v>0</v>
      </c>
      <c r="F826" s="5">
        <f t="shared" si="57"/>
        <v>0</v>
      </c>
      <c r="G826" s="5">
        <f t="shared" si="57"/>
        <v>0</v>
      </c>
      <c r="H826" s="5">
        <f t="shared" si="57"/>
        <v>0</v>
      </c>
      <c r="I826" s="5">
        <f t="shared" si="57"/>
        <v>0</v>
      </c>
      <c r="J826" s="5">
        <f t="shared" si="57"/>
        <v>0</v>
      </c>
      <c r="K826" s="5">
        <f t="shared" si="57"/>
        <v>1</v>
      </c>
      <c r="L826" s="5">
        <f t="shared" si="57"/>
        <v>0</v>
      </c>
      <c r="M826" s="5">
        <f t="shared" si="57"/>
        <v>0</v>
      </c>
      <c r="N826" s="32">
        <v>5.4768115942028898E-2</v>
      </c>
      <c r="O826" s="32">
        <v>-6.7681159420288975E-3</v>
      </c>
      <c r="P826" s="24">
        <f t="shared" si="55"/>
        <v>5.1336956521739148E-2</v>
      </c>
    </row>
    <row r="827" spans="1:16" x14ac:dyDescent="0.3">
      <c r="A827" s="2">
        <v>42644</v>
      </c>
      <c r="B827" s="23">
        <v>4.7E-2</v>
      </c>
      <c r="C827" s="5">
        <f t="shared" si="58"/>
        <v>0</v>
      </c>
      <c r="D827" s="5">
        <f t="shared" si="57"/>
        <v>0</v>
      </c>
      <c r="E827" s="5">
        <f t="shared" si="57"/>
        <v>0</v>
      </c>
      <c r="F827" s="5">
        <f t="shared" si="57"/>
        <v>0</v>
      </c>
      <c r="G827" s="5">
        <f t="shared" si="57"/>
        <v>0</v>
      </c>
      <c r="H827" s="5">
        <f t="shared" si="57"/>
        <v>0</v>
      </c>
      <c r="I827" s="5">
        <f t="shared" si="57"/>
        <v>0</v>
      </c>
      <c r="J827" s="5">
        <f t="shared" si="57"/>
        <v>0</v>
      </c>
      <c r="K827" s="5">
        <f t="shared" si="57"/>
        <v>0</v>
      </c>
      <c r="L827" s="5">
        <f t="shared" si="57"/>
        <v>1</v>
      </c>
      <c r="M827" s="5">
        <f t="shared" si="57"/>
        <v>0</v>
      </c>
      <c r="N827" s="32">
        <v>5.3115942028985473E-2</v>
      </c>
      <c r="O827" s="32">
        <v>-6.115942028985473E-3</v>
      </c>
      <c r="P827" s="24">
        <f t="shared" si="55"/>
        <v>5.1989130434782573E-2</v>
      </c>
    </row>
    <row r="828" spans="1:16" x14ac:dyDescent="0.3">
      <c r="A828" s="2">
        <v>42675</v>
      </c>
      <c r="B828" s="23">
        <v>4.4000000000000004E-2</v>
      </c>
      <c r="C828" s="5">
        <f t="shared" si="58"/>
        <v>0</v>
      </c>
      <c r="D828" s="5">
        <f t="shared" si="57"/>
        <v>0</v>
      </c>
      <c r="E828" s="5">
        <f t="shared" si="57"/>
        <v>0</v>
      </c>
      <c r="F828" s="5">
        <f t="shared" si="57"/>
        <v>0</v>
      </c>
      <c r="G828" s="5">
        <f t="shared" si="57"/>
        <v>0</v>
      </c>
      <c r="H828" s="5">
        <f t="shared" si="57"/>
        <v>0</v>
      </c>
      <c r="I828" s="5">
        <f t="shared" si="57"/>
        <v>0</v>
      </c>
      <c r="J828" s="5">
        <f t="shared" si="57"/>
        <v>0</v>
      </c>
      <c r="K828" s="5">
        <f t="shared" si="57"/>
        <v>0</v>
      </c>
      <c r="L828" s="5">
        <f t="shared" si="57"/>
        <v>0</v>
      </c>
      <c r="M828" s="5">
        <f t="shared" si="57"/>
        <v>1</v>
      </c>
      <c r="N828" s="32">
        <v>5.4782608695652081E-2</v>
      </c>
      <c r="O828" s="32">
        <v>-1.0782608695652077E-2</v>
      </c>
      <c r="P828" s="24">
        <f t="shared" si="55"/>
        <v>4.7322463768115969E-2</v>
      </c>
    </row>
    <row r="829" spans="1:16" x14ac:dyDescent="0.3">
      <c r="A829" s="2">
        <v>42705</v>
      </c>
      <c r="B829" s="23">
        <v>4.4999999999999998E-2</v>
      </c>
      <c r="C829" s="5">
        <f t="shared" si="58"/>
        <v>0</v>
      </c>
      <c r="D829" s="5">
        <f t="shared" si="57"/>
        <v>0</v>
      </c>
      <c r="E829" s="5">
        <f t="shared" si="57"/>
        <v>0</v>
      </c>
      <c r="F829" s="5">
        <f t="shared" si="57"/>
        <v>0</v>
      </c>
      <c r="G829" s="5">
        <f t="shared" si="57"/>
        <v>0</v>
      </c>
      <c r="H829" s="5">
        <f t="shared" si="57"/>
        <v>0</v>
      </c>
      <c r="I829" s="5">
        <f t="shared" si="57"/>
        <v>0</v>
      </c>
      <c r="J829" s="5">
        <f t="shared" si="57"/>
        <v>0</v>
      </c>
      <c r="K829" s="5">
        <f t="shared" si="57"/>
        <v>0</v>
      </c>
      <c r="L829" s="5">
        <f t="shared" si="57"/>
        <v>0</v>
      </c>
      <c r="M829" s="5">
        <f t="shared" si="57"/>
        <v>0</v>
      </c>
      <c r="N829" s="32">
        <v>5.5202898550724598E-2</v>
      </c>
      <c r="O829" s="32">
        <v>-1.02028985507246E-2</v>
      </c>
      <c r="P829" s="24">
        <f t="shared" si="55"/>
        <v>4.7902173913043446E-2</v>
      </c>
    </row>
    <row r="830" spans="1:16" x14ac:dyDescent="0.3">
      <c r="B830" s="23"/>
      <c r="N830" s="33"/>
      <c r="O830" s="33"/>
    </row>
    <row r="831" spans="1:16" x14ac:dyDescent="0.3">
      <c r="B831" s="23"/>
    </row>
    <row r="832" spans="1:16" x14ac:dyDescent="0.3">
      <c r="B832" s="23"/>
    </row>
    <row r="833" spans="2:2" x14ac:dyDescent="0.3">
      <c r="B833" s="23"/>
    </row>
    <row r="834" spans="2:2" x14ac:dyDescent="0.3">
      <c r="B834" s="23"/>
    </row>
    <row r="835" spans="2:2" x14ac:dyDescent="0.3">
      <c r="B835" s="23"/>
    </row>
    <row r="836" spans="2:2" x14ac:dyDescent="0.3">
      <c r="B836" s="23"/>
    </row>
    <row r="837" spans="2:2" x14ac:dyDescent="0.3">
      <c r="B837" s="23"/>
    </row>
    <row r="838" spans="2:2" x14ac:dyDescent="0.3">
      <c r="B838" s="23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2"/>
  <sheetViews>
    <sheetView tabSelected="1" workbookViewId="0">
      <selection activeCell="F6" sqref="F6:F7"/>
    </sheetView>
  </sheetViews>
  <sheetFormatPr defaultRowHeight="13.2" x14ac:dyDescent="0.25"/>
  <cols>
    <col min="1" max="1" width="17.77734375" bestFit="1" customWidth="1"/>
    <col min="2" max="2" width="22.88671875" bestFit="1" customWidth="1"/>
    <col min="3" max="3" width="14" bestFit="1" customWidth="1"/>
    <col min="4" max="4" width="6.109375" bestFit="1" customWidth="1"/>
    <col min="5" max="5" width="7.88671875" bestFit="1" customWidth="1"/>
    <col min="6" max="6" width="13.44140625" bestFit="1" customWidth="1"/>
    <col min="7" max="7" width="10.88671875" bestFit="1" customWidth="1"/>
  </cols>
  <sheetData>
    <row r="1" spans="1:7" x14ac:dyDescent="0.25">
      <c r="A1" s="35" t="s">
        <v>6</v>
      </c>
      <c r="B1" s="35"/>
    </row>
    <row r="2" spans="1:7" ht="13.8" thickBot="1" x14ac:dyDescent="0.3"/>
    <row r="3" spans="1:7" x14ac:dyDescent="0.25">
      <c r="A3" s="11" t="s">
        <v>7</v>
      </c>
      <c r="B3" s="11"/>
    </row>
    <row r="4" spans="1:7" x14ac:dyDescent="0.25">
      <c r="A4" s="8"/>
      <c r="B4" s="8"/>
    </row>
    <row r="5" spans="1:7" x14ac:dyDescent="0.25">
      <c r="A5" s="8" t="s">
        <v>8</v>
      </c>
      <c r="B5" s="13">
        <v>5.1008489947211438E-2</v>
      </c>
      <c r="C5" s="26"/>
      <c r="D5" s="26"/>
      <c r="E5" s="26"/>
      <c r="F5" s="26"/>
      <c r="G5" s="26"/>
    </row>
    <row r="6" spans="1:7" x14ac:dyDescent="0.25">
      <c r="A6" s="8" t="s">
        <v>9</v>
      </c>
      <c r="B6" s="13">
        <v>3.8215712238166499E-2</v>
      </c>
      <c r="C6" s="26"/>
      <c r="D6" s="26"/>
      <c r="E6" s="26"/>
      <c r="F6" s="36"/>
      <c r="G6" s="26"/>
    </row>
    <row r="7" spans="1:7" x14ac:dyDescent="0.25">
      <c r="A7" s="8" t="s">
        <v>10</v>
      </c>
      <c r="B7" s="13">
        <v>1.6524753879087636E-2</v>
      </c>
      <c r="C7" s="26"/>
      <c r="D7" s="26"/>
      <c r="E7" s="26"/>
      <c r="F7" s="36"/>
      <c r="G7" s="26"/>
    </row>
    <row r="8" spans="1:7" ht="13.8" thickBot="1" x14ac:dyDescent="0.3">
      <c r="A8" s="9" t="s">
        <v>11</v>
      </c>
      <c r="B8" s="27">
        <v>828</v>
      </c>
      <c r="C8" s="26"/>
      <c r="D8" s="26"/>
      <c r="E8" s="26"/>
      <c r="F8" s="26"/>
      <c r="G8" s="26"/>
    </row>
    <row r="9" spans="1:7" x14ac:dyDescent="0.25">
      <c r="B9" s="26"/>
      <c r="C9" s="26"/>
      <c r="D9" s="26"/>
      <c r="E9" s="26"/>
      <c r="F9" s="26"/>
      <c r="G9" s="26"/>
    </row>
    <row r="10" spans="1:7" ht="13.8" thickBot="1" x14ac:dyDescent="0.3">
      <c r="A10" t="s">
        <v>12</v>
      </c>
      <c r="B10" s="26"/>
      <c r="C10" s="26"/>
      <c r="D10" s="26"/>
      <c r="E10" s="26"/>
      <c r="F10" s="26"/>
      <c r="G10" s="26"/>
    </row>
    <row r="11" spans="1:7" x14ac:dyDescent="0.25">
      <c r="A11" s="10"/>
      <c r="B11" s="12" t="s">
        <v>17</v>
      </c>
      <c r="C11" s="12" t="s">
        <v>18</v>
      </c>
      <c r="D11" s="12" t="s">
        <v>19</v>
      </c>
      <c r="E11" s="12" t="s">
        <v>20</v>
      </c>
      <c r="F11" s="12" t="s">
        <v>21</v>
      </c>
      <c r="G11" s="26"/>
    </row>
    <row r="12" spans="1:7" x14ac:dyDescent="0.25">
      <c r="A12" s="8" t="s">
        <v>13</v>
      </c>
      <c r="B12" s="28">
        <v>11</v>
      </c>
      <c r="C12" s="13">
        <v>1.1976786231883835E-2</v>
      </c>
      <c r="D12" s="13">
        <v>1.0887987483530759E-3</v>
      </c>
      <c r="E12" s="13">
        <v>3.9872880704513958</v>
      </c>
      <c r="F12" s="13">
        <v>1.1052845625102573E-5</v>
      </c>
      <c r="G12" s="26"/>
    </row>
    <row r="13" spans="1:7" x14ac:dyDescent="0.25">
      <c r="A13" s="8" t="s">
        <v>14</v>
      </c>
      <c r="B13" s="28">
        <v>816</v>
      </c>
      <c r="C13" s="13">
        <v>0.22282307246376823</v>
      </c>
      <c r="D13" s="13">
        <v>2.7306749076442182E-4</v>
      </c>
      <c r="E13" s="13"/>
      <c r="F13" s="13"/>
      <c r="G13" s="26"/>
    </row>
    <row r="14" spans="1:7" ht="13.8" thickBot="1" x14ac:dyDescent="0.3">
      <c r="A14" s="9" t="s">
        <v>15</v>
      </c>
      <c r="B14" s="27">
        <v>827</v>
      </c>
      <c r="C14" s="14">
        <v>0.23479985869565206</v>
      </c>
      <c r="D14" s="14"/>
      <c r="E14" s="14"/>
      <c r="F14" s="14"/>
      <c r="G14" s="26"/>
    </row>
    <row r="15" spans="1:7" ht="13.8" thickBot="1" x14ac:dyDescent="0.3">
      <c r="B15" s="26"/>
      <c r="C15" s="26"/>
      <c r="D15" s="26"/>
      <c r="E15" s="26"/>
      <c r="F15" s="26"/>
      <c r="G15" s="26"/>
    </row>
    <row r="16" spans="1:7" x14ac:dyDescent="0.25">
      <c r="A16" s="10"/>
      <c r="B16" s="12" t="s">
        <v>22</v>
      </c>
      <c r="C16" s="12" t="s">
        <v>10</v>
      </c>
      <c r="D16" s="12" t="s">
        <v>23</v>
      </c>
      <c r="E16" s="12" t="s">
        <v>24</v>
      </c>
      <c r="F16" s="12" t="s">
        <v>25</v>
      </c>
      <c r="G16" s="12" t="s">
        <v>26</v>
      </c>
    </row>
    <row r="17" spans="1:7" x14ac:dyDescent="0.25">
      <c r="A17" s="8" t="s">
        <v>16</v>
      </c>
      <c r="B17" s="13">
        <v>5.5202898550724598E-2</v>
      </c>
      <c r="C17" s="13">
        <v>1.9893465927663476E-3</v>
      </c>
      <c r="D17" s="13">
        <v>27.749261366246138</v>
      </c>
      <c r="E17" s="13">
        <v>7.0111231932014752E-120</v>
      </c>
      <c r="F17" s="13">
        <v>5.1298059015387323E-2</v>
      </c>
      <c r="G17" s="13">
        <v>5.9107738086061873E-2</v>
      </c>
    </row>
    <row r="18" spans="1:7" x14ac:dyDescent="0.25">
      <c r="A18" s="8">
        <v>1</v>
      </c>
      <c r="B18" s="13">
        <v>9.2898550724638228E-3</v>
      </c>
      <c r="C18" s="13">
        <v>2.8133609317508843E-3</v>
      </c>
      <c r="D18" s="13">
        <v>3.3020487942449379</v>
      </c>
      <c r="E18" s="13">
        <v>1.0015525007485073E-3</v>
      </c>
      <c r="F18" s="13">
        <v>3.767578042699179E-3</v>
      </c>
      <c r="G18" s="13">
        <v>1.4812132102228467E-2</v>
      </c>
    </row>
    <row r="19" spans="1:7" x14ac:dyDescent="0.25">
      <c r="A19" s="8">
        <v>2</v>
      </c>
      <c r="B19" s="13">
        <v>9.1884057971013677E-3</v>
      </c>
      <c r="C19" s="13">
        <v>2.8133609317508588E-3</v>
      </c>
      <c r="D19" s="13">
        <v>3.2659889790191556</v>
      </c>
      <c r="E19" s="13">
        <v>1.1363432637671626E-3</v>
      </c>
      <c r="F19" s="13">
        <v>3.6661287673367743E-3</v>
      </c>
      <c r="G19" s="13">
        <v>1.471068282686596E-2</v>
      </c>
    </row>
    <row r="20" spans="1:7" x14ac:dyDescent="0.25">
      <c r="A20" s="8">
        <v>3</v>
      </c>
      <c r="B20" s="13">
        <v>6.4492753623188043E-3</v>
      </c>
      <c r="C20" s="13">
        <v>2.8133609317508718E-3</v>
      </c>
      <c r="D20" s="13">
        <v>2.2923739679235369</v>
      </c>
      <c r="E20" s="13">
        <v>2.2137789186305771E-2</v>
      </c>
      <c r="F20" s="13">
        <v>9.2699833255418564E-4</v>
      </c>
      <c r="G20" s="13">
        <v>1.1971552392083423E-2</v>
      </c>
    </row>
    <row r="21" spans="1:7" x14ac:dyDescent="0.25">
      <c r="A21" s="8">
        <v>4</v>
      </c>
      <c r="B21" s="13">
        <v>1.3478260869564723E-3</v>
      </c>
      <c r="C21" s="13">
        <v>2.8133609317508631E-3</v>
      </c>
      <c r="D21" s="13">
        <v>0.47908040228513021</v>
      </c>
      <c r="E21" s="13">
        <v>0.63200978617580761</v>
      </c>
      <c r="F21" s="13">
        <v>-4.174450942808129E-3</v>
      </c>
      <c r="G21" s="13">
        <v>6.8701031167210736E-3</v>
      </c>
    </row>
    <row r="22" spans="1:7" x14ac:dyDescent="0.25">
      <c r="A22" s="8">
        <v>5</v>
      </c>
      <c r="B22" s="13">
        <v>-1.0144927536238757E-4</v>
      </c>
      <c r="C22" s="13">
        <v>2.8133609317508635E-3</v>
      </c>
      <c r="D22" s="13">
        <v>-3.6059815225788237E-2</v>
      </c>
      <c r="E22" s="13">
        <v>0.97124348346809863</v>
      </c>
      <c r="F22" s="13">
        <v>-5.6237263051269895E-3</v>
      </c>
      <c r="G22" s="13">
        <v>5.4208277544022148E-3</v>
      </c>
    </row>
    <row r="23" spans="1:7" x14ac:dyDescent="0.25">
      <c r="A23" s="8">
        <v>6</v>
      </c>
      <c r="B23" s="13">
        <v>5.927536231883984E-3</v>
      </c>
      <c r="C23" s="13">
        <v>2.8133609317508496E-3</v>
      </c>
      <c r="D23" s="13">
        <v>2.1069234896196121</v>
      </c>
      <c r="E23" s="13">
        <v>3.542888014705662E-2</v>
      </c>
      <c r="F23" s="13">
        <v>4.0525920211940871E-4</v>
      </c>
      <c r="G23" s="13">
        <v>1.144981326164856E-2</v>
      </c>
    </row>
    <row r="24" spans="1:7" x14ac:dyDescent="0.25">
      <c r="A24" s="8">
        <v>7</v>
      </c>
      <c r="B24" s="13">
        <v>4.3478260869564403E-3</v>
      </c>
      <c r="C24" s="13">
        <v>2.8133609317508548E-3</v>
      </c>
      <c r="D24" s="13">
        <v>1.5454206525327103</v>
      </c>
      <c r="E24" s="13">
        <v>0.12263226220254159</v>
      </c>
      <c r="F24" s="13">
        <v>-1.1744509428081454E-3</v>
      </c>
      <c r="G24" s="13">
        <v>9.8701031167210268E-3</v>
      </c>
    </row>
    <row r="25" spans="1:7" x14ac:dyDescent="0.25">
      <c r="A25" s="8">
        <v>8</v>
      </c>
      <c r="B25" s="13">
        <v>1.3188405797100989E-3</v>
      </c>
      <c r="C25" s="13">
        <v>2.8133609317508752E-3</v>
      </c>
      <c r="D25" s="13">
        <v>0.46877759793491119</v>
      </c>
      <c r="E25" s="13">
        <v>0.63935382152493414</v>
      </c>
      <c r="F25" s="13">
        <v>-4.2034364500545263E-3</v>
      </c>
      <c r="G25" s="13">
        <v>6.8411176094747249E-3</v>
      </c>
    </row>
    <row r="26" spans="1:7" x14ac:dyDescent="0.25">
      <c r="A26" s="8">
        <v>9</v>
      </c>
      <c r="B26" s="13">
        <v>-4.3478260869569903E-4</v>
      </c>
      <c r="C26" s="13">
        <v>2.8133609317508761E-3</v>
      </c>
      <c r="D26" s="13">
        <v>-0.15454206525328942</v>
      </c>
      <c r="E26" s="13">
        <v>0.87722056124585623</v>
      </c>
      <c r="F26" s="13">
        <v>-5.9570596384603261E-3</v>
      </c>
      <c r="G26" s="13">
        <v>5.0874944210689286E-3</v>
      </c>
    </row>
    <row r="27" spans="1:7" x14ac:dyDescent="0.25">
      <c r="A27" s="8">
        <v>10</v>
      </c>
      <c r="B27" s="13">
        <v>-2.0869565217391242E-3</v>
      </c>
      <c r="C27" s="13">
        <v>2.81336093175089E-3</v>
      </c>
      <c r="D27" s="13">
        <v>-0.74180191321570343</v>
      </c>
      <c r="E27" s="13">
        <v>0.45842080824447062</v>
      </c>
      <c r="F27" s="13">
        <v>-7.6092335515037784E-3</v>
      </c>
      <c r="G27" s="13">
        <v>3.43532050802553E-3</v>
      </c>
    </row>
    <row r="28" spans="1:7" ht="13.8" thickBot="1" x14ac:dyDescent="0.3">
      <c r="A28" s="9">
        <v>11</v>
      </c>
      <c r="B28" s="14">
        <v>-4.202898550725185E-4</v>
      </c>
      <c r="C28" s="14">
        <v>2.8133609317508917E-3</v>
      </c>
      <c r="D28" s="14">
        <v>-0.1493906630781823</v>
      </c>
      <c r="E28" s="14">
        <v>0.88128229235059541</v>
      </c>
      <c r="F28" s="14">
        <v>-5.9425668848371764E-3</v>
      </c>
      <c r="G28" s="14">
        <v>5.1019871746921389E-3</v>
      </c>
    </row>
    <row r="32" spans="1:7" x14ac:dyDescent="0.25">
      <c r="A32" t="s">
        <v>27</v>
      </c>
    </row>
    <row r="33" spans="1:3" ht="13.8" thickBot="1" x14ac:dyDescent="0.3"/>
    <row r="34" spans="1:3" x14ac:dyDescent="0.25">
      <c r="A34" s="10" t="s">
        <v>28</v>
      </c>
      <c r="B34" s="10" t="s">
        <v>35</v>
      </c>
      <c r="C34" s="10" t="s">
        <v>29</v>
      </c>
    </row>
    <row r="35" spans="1:3" x14ac:dyDescent="0.25">
      <c r="A35" s="8">
        <v>1</v>
      </c>
      <c r="B35" s="29">
        <v>6.4492753623188417E-2</v>
      </c>
      <c r="C35" s="29">
        <v>-2.4492753623188417E-2</v>
      </c>
    </row>
    <row r="36" spans="1:3" x14ac:dyDescent="0.25">
      <c r="A36" s="8">
        <v>2</v>
      </c>
      <c r="B36" s="29">
        <v>6.4391304347825973E-2</v>
      </c>
      <c r="C36" s="29">
        <v>-1.7391304347825973E-2</v>
      </c>
    </row>
    <row r="37" spans="1:3" x14ac:dyDescent="0.25">
      <c r="A37" s="8">
        <v>3</v>
      </c>
      <c r="B37" s="29">
        <v>6.1652173913043402E-2</v>
      </c>
      <c r="C37" s="29">
        <v>-1.6652173913043404E-2</v>
      </c>
    </row>
    <row r="38" spans="1:3" x14ac:dyDescent="0.25">
      <c r="A38" s="8">
        <v>4</v>
      </c>
      <c r="B38" s="29">
        <v>5.6550724637681071E-2</v>
      </c>
      <c r="C38" s="29">
        <v>-1.655072463768107E-2</v>
      </c>
    </row>
    <row r="39" spans="1:3" x14ac:dyDescent="0.25">
      <c r="A39" s="8">
        <v>5</v>
      </c>
      <c r="B39" s="29">
        <v>5.5101449275362209E-2</v>
      </c>
      <c r="C39" s="29">
        <v>-2.1101449275362207E-2</v>
      </c>
    </row>
    <row r="40" spans="1:3" x14ac:dyDescent="0.25">
      <c r="A40" s="8">
        <v>6</v>
      </c>
      <c r="B40" s="29">
        <v>6.1130434782608579E-2</v>
      </c>
      <c r="C40" s="29">
        <v>-2.213043478260858E-2</v>
      </c>
    </row>
    <row r="41" spans="1:3" x14ac:dyDescent="0.25">
      <c r="A41" s="8">
        <v>7</v>
      </c>
      <c r="B41" s="29">
        <v>5.9550724637681039E-2</v>
      </c>
      <c r="C41" s="29">
        <v>-2.0550724637681039E-2</v>
      </c>
    </row>
    <row r="42" spans="1:3" x14ac:dyDescent="0.25">
      <c r="A42" s="8">
        <v>8</v>
      </c>
      <c r="B42" s="29">
        <v>5.6521739130434699E-2</v>
      </c>
      <c r="C42" s="29">
        <v>-2.0521739130434695E-2</v>
      </c>
    </row>
    <row r="43" spans="1:3" x14ac:dyDescent="0.25">
      <c r="A43" s="8">
        <v>9</v>
      </c>
      <c r="B43" s="29">
        <v>5.4768115942028898E-2</v>
      </c>
      <c r="C43" s="29">
        <v>-2.0768115942028896E-2</v>
      </c>
    </row>
    <row r="44" spans="1:3" x14ac:dyDescent="0.25">
      <c r="A44" s="8">
        <v>10</v>
      </c>
      <c r="B44" s="29">
        <v>5.3115942028985473E-2</v>
      </c>
      <c r="C44" s="29">
        <v>-2.4115942028985475E-2</v>
      </c>
    </row>
    <row r="45" spans="1:3" x14ac:dyDescent="0.25">
      <c r="A45" s="8">
        <v>11</v>
      </c>
      <c r="B45" s="29">
        <v>5.4782608695652081E-2</v>
      </c>
      <c r="C45" s="29">
        <v>-2.178260869565208E-2</v>
      </c>
    </row>
    <row r="46" spans="1:3" x14ac:dyDescent="0.25">
      <c r="A46" s="8">
        <v>12</v>
      </c>
      <c r="B46" s="29">
        <v>5.5202898550724598E-2</v>
      </c>
      <c r="C46" s="29">
        <v>-1.9202898550724594E-2</v>
      </c>
    </row>
    <row r="47" spans="1:3" x14ac:dyDescent="0.25">
      <c r="A47" s="8">
        <v>13</v>
      </c>
      <c r="B47" s="29">
        <v>6.4492753623188417E-2</v>
      </c>
      <c r="C47" s="29">
        <v>-1.4492753623188415E-2</v>
      </c>
    </row>
    <row r="48" spans="1:3" x14ac:dyDescent="0.25">
      <c r="A48" s="8">
        <v>14</v>
      </c>
      <c r="B48" s="29">
        <v>6.4391304347825973E-2</v>
      </c>
      <c r="C48" s="29">
        <v>-6.3913043478259768E-3</v>
      </c>
    </row>
    <row r="49" spans="1:3" x14ac:dyDescent="0.25">
      <c r="A49" s="8">
        <v>15</v>
      </c>
      <c r="B49" s="29">
        <v>6.1652173913043402E-2</v>
      </c>
      <c r="C49" s="29">
        <v>-5.6521739130434082E-3</v>
      </c>
    </row>
    <row r="50" spans="1:3" x14ac:dyDescent="0.25">
      <c r="A50" s="8">
        <v>16</v>
      </c>
      <c r="B50" s="29">
        <v>5.6550724637681071E-2</v>
      </c>
      <c r="C50" s="29">
        <v>-2.5507246376810649E-3</v>
      </c>
    </row>
    <row r="51" spans="1:3" x14ac:dyDescent="0.25">
      <c r="A51" s="8">
        <v>17</v>
      </c>
      <c r="B51" s="29">
        <v>5.5101449275362209E-2</v>
      </c>
      <c r="C51" s="29">
        <v>1.8985507246377931E-3</v>
      </c>
    </row>
    <row r="52" spans="1:3" x14ac:dyDescent="0.25">
      <c r="A52" s="8">
        <v>18</v>
      </c>
      <c r="B52" s="29">
        <v>6.1130434782608579E-2</v>
      </c>
      <c r="C52" s="29">
        <v>2.8695652173914218E-3</v>
      </c>
    </row>
    <row r="53" spans="1:3" x14ac:dyDescent="0.25">
      <c r="A53" s="8">
        <v>19</v>
      </c>
      <c r="B53" s="29">
        <v>5.9550724637681039E-2</v>
      </c>
      <c r="C53" s="29">
        <v>1.0449275362318967E-2</v>
      </c>
    </row>
    <row r="54" spans="1:3" x14ac:dyDescent="0.25">
      <c r="A54" s="8">
        <v>20</v>
      </c>
      <c r="B54" s="29">
        <v>5.6521739130434699E-2</v>
      </c>
      <c r="C54" s="29">
        <v>6.4782608695653013E-3</v>
      </c>
    </row>
    <row r="55" spans="1:3" x14ac:dyDescent="0.25">
      <c r="A55" s="8">
        <v>21</v>
      </c>
      <c r="B55" s="29">
        <v>5.4768115942028898E-2</v>
      </c>
      <c r="C55" s="29">
        <v>4.2318840579711053E-3</v>
      </c>
    </row>
    <row r="56" spans="1:3" x14ac:dyDescent="0.25">
      <c r="A56" s="8">
        <v>22</v>
      </c>
      <c r="B56" s="29">
        <v>5.3115942028985473E-2</v>
      </c>
      <c r="C56" s="29">
        <v>7.8840579710145256E-3</v>
      </c>
    </row>
    <row r="57" spans="1:3" x14ac:dyDescent="0.25">
      <c r="A57" s="8">
        <v>23</v>
      </c>
      <c r="B57" s="29">
        <v>5.4782608695652081E-2</v>
      </c>
      <c r="C57" s="29">
        <v>2.217391304347921E-3</v>
      </c>
    </row>
    <row r="58" spans="1:3" x14ac:dyDescent="0.25">
      <c r="A58" s="8">
        <v>24</v>
      </c>
      <c r="B58" s="29">
        <v>5.5202898550724598E-2</v>
      </c>
      <c r="C58" s="29">
        <v>4.7971014492753997E-3</v>
      </c>
    </row>
    <row r="59" spans="1:3" x14ac:dyDescent="0.25">
      <c r="A59" s="8">
        <v>25</v>
      </c>
      <c r="B59" s="29">
        <v>6.4492753623188417E-2</v>
      </c>
      <c r="C59" s="29">
        <v>1.1507246376811581E-2</v>
      </c>
    </row>
    <row r="60" spans="1:3" x14ac:dyDescent="0.25">
      <c r="A60" s="8">
        <v>26</v>
      </c>
      <c r="B60" s="29">
        <v>6.4391304347825973E-2</v>
      </c>
      <c r="C60" s="29">
        <v>1.4608695652174028E-2</v>
      </c>
    </row>
    <row r="61" spans="1:3" x14ac:dyDescent="0.25">
      <c r="A61" s="8">
        <v>27</v>
      </c>
      <c r="B61" s="29">
        <v>6.1652173913043402E-2</v>
      </c>
      <c r="C61" s="29">
        <v>9.3478260869565913E-3</v>
      </c>
    </row>
    <row r="62" spans="1:3" x14ac:dyDescent="0.25">
      <c r="A62" s="8">
        <v>28</v>
      </c>
      <c r="B62" s="29">
        <v>5.6550724637681071E-2</v>
      </c>
      <c r="C62" s="29">
        <v>3.4492753623189265E-3</v>
      </c>
    </row>
    <row r="63" spans="1:3" x14ac:dyDescent="0.25">
      <c r="A63" s="8">
        <v>29</v>
      </c>
      <c r="B63" s="29">
        <v>5.5101449275362209E-2</v>
      </c>
      <c r="C63" s="29">
        <v>-2.1014492753622105E-3</v>
      </c>
    </row>
    <row r="64" spans="1:3" x14ac:dyDescent="0.25">
      <c r="A64" s="8">
        <v>30</v>
      </c>
      <c r="B64" s="29">
        <v>6.1130434782608579E-2</v>
      </c>
      <c r="C64" s="29">
        <v>-5.1304347826085853E-3</v>
      </c>
    </row>
    <row r="65" spans="1:3" x14ac:dyDescent="0.25">
      <c r="A65" s="8">
        <v>31</v>
      </c>
      <c r="B65" s="29">
        <v>5.9550724637681039E-2</v>
      </c>
      <c r="C65" s="29">
        <v>-6.5507246376810407E-3</v>
      </c>
    </row>
    <row r="66" spans="1:3" x14ac:dyDescent="0.25">
      <c r="A66" s="8">
        <v>32</v>
      </c>
      <c r="B66" s="29">
        <v>5.6521739130434699E-2</v>
      </c>
      <c r="C66" s="29">
        <v>-1.5521739130434704E-2</v>
      </c>
    </row>
    <row r="67" spans="1:3" x14ac:dyDescent="0.25">
      <c r="A67" s="8">
        <v>33</v>
      </c>
      <c r="B67" s="29">
        <v>5.4768115942028898E-2</v>
      </c>
      <c r="C67" s="29">
        <v>-1.4768115942028898E-2</v>
      </c>
    </row>
    <row r="68" spans="1:3" x14ac:dyDescent="0.25">
      <c r="A68" s="8">
        <v>34</v>
      </c>
      <c r="B68" s="29">
        <v>5.3115942028985473E-2</v>
      </c>
      <c r="C68" s="29">
        <v>-2.0115942028985472E-2</v>
      </c>
    </row>
    <row r="69" spans="1:3" x14ac:dyDescent="0.25">
      <c r="A69" s="8">
        <v>35</v>
      </c>
      <c r="B69" s="29">
        <v>5.4782608695652081E-2</v>
      </c>
      <c r="C69" s="29">
        <v>-1.6782608695652082E-2</v>
      </c>
    </row>
    <row r="70" spans="1:3" x14ac:dyDescent="0.25">
      <c r="A70" s="8">
        <v>36</v>
      </c>
      <c r="B70" s="29">
        <v>5.5202898550724598E-2</v>
      </c>
      <c r="C70" s="29">
        <v>-1.6202898550724598E-2</v>
      </c>
    </row>
    <row r="71" spans="1:3" x14ac:dyDescent="0.25">
      <c r="A71" s="8">
        <v>37</v>
      </c>
      <c r="B71" s="29">
        <v>6.4492753623188417E-2</v>
      </c>
      <c r="C71" s="29">
        <v>-2.0492753623188413E-2</v>
      </c>
    </row>
    <row r="72" spans="1:3" x14ac:dyDescent="0.25">
      <c r="A72" s="8">
        <v>38</v>
      </c>
      <c r="B72" s="29">
        <v>6.4391304347825973E-2</v>
      </c>
      <c r="C72" s="29">
        <v>-2.239130434782597E-2</v>
      </c>
    </row>
    <row r="73" spans="1:3" x14ac:dyDescent="0.25">
      <c r="A73" s="8">
        <v>39</v>
      </c>
      <c r="B73" s="29">
        <v>6.1652173913043402E-2</v>
      </c>
      <c r="C73" s="29">
        <v>-2.3652173913043403E-2</v>
      </c>
    </row>
    <row r="74" spans="1:3" x14ac:dyDescent="0.25">
      <c r="A74" s="8">
        <v>40</v>
      </c>
      <c r="B74" s="29">
        <v>5.6550724637681071E-2</v>
      </c>
      <c r="C74" s="29">
        <v>-2.4550724637681071E-2</v>
      </c>
    </row>
    <row r="75" spans="1:3" x14ac:dyDescent="0.25">
      <c r="A75" s="8">
        <v>41</v>
      </c>
      <c r="B75" s="29">
        <v>5.5101449275362209E-2</v>
      </c>
      <c r="C75" s="29">
        <v>-2.6101449275362211E-2</v>
      </c>
    </row>
    <row r="76" spans="1:3" x14ac:dyDescent="0.25">
      <c r="A76" s="8">
        <v>42</v>
      </c>
      <c r="B76" s="29">
        <v>6.1130434782608579E-2</v>
      </c>
      <c r="C76" s="29">
        <v>-2.7130434782608577E-2</v>
      </c>
    </row>
    <row r="77" spans="1:3" x14ac:dyDescent="0.25">
      <c r="A77" s="8">
        <v>43</v>
      </c>
      <c r="B77" s="29">
        <v>5.9550724637681039E-2</v>
      </c>
      <c r="C77" s="29">
        <v>-2.6550724637681038E-2</v>
      </c>
    </row>
    <row r="78" spans="1:3" x14ac:dyDescent="0.25">
      <c r="A78" s="8">
        <v>44</v>
      </c>
      <c r="B78" s="29">
        <v>5.6521739130434699E-2</v>
      </c>
      <c r="C78" s="29">
        <v>-2.7521739130434701E-2</v>
      </c>
    </row>
    <row r="79" spans="1:3" x14ac:dyDescent="0.25">
      <c r="A79" s="8">
        <v>45</v>
      </c>
      <c r="B79" s="29">
        <v>5.4768115942028898E-2</v>
      </c>
      <c r="C79" s="29">
        <v>-2.47681159420289E-2</v>
      </c>
    </row>
    <row r="80" spans="1:3" x14ac:dyDescent="0.25">
      <c r="A80" s="8">
        <v>46</v>
      </c>
      <c r="B80" s="29">
        <v>5.3115942028985473E-2</v>
      </c>
      <c r="C80" s="29">
        <v>-2.5115942028985476E-2</v>
      </c>
    </row>
    <row r="81" spans="1:3" x14ac:dyDescent="0.25">
      <c r="A81" s="8">
        <v>47</v>
      </c>
      <c r="B81" s="29">
        <v>5.4782608695652081E-2</v>
      </c>
      <c r="C81" s="29">
        <v>-2.278260869565208E-2</v>
      </c>
    </row>
    <row r="82" spans="1:3" x14ac:dyDescent="0.25">
      <c r="A82" s="8">
        <v>48</v>
      </c>
      <c r="B82" s="29">
        <v>5.5202898550724598E-2</v>
      </c>
      <c r="C82" s="29">
        <v>-2.62028985507246E-2</v>
      </c>
    </row>
    <row r="83" spans="1:3" x14ac:dyDescent="0.25">
      <c r="A83" s="8">
        <v>49</v>
      </c>
      <c r="B83" s="29">
        <v>6.4492753623188417E-2</v>
      </c>
      <c r="C83" s="29">
        <v>-2.7492753623188412E-2</v>
      </c>
    </row>
    <row r="84" spans="1:3" x14ac:dyDescent="0.25">
      <c r="A84" s="8">
        <v>50</v>
      </c>
      <c r="B84" s="29">
        <v>6.4391304347825973E-2</v>
      </c>
      <c r="C84" s="29">
        <v>-2.6391304347825974E-2</v>
      </c>
    </row>
    <row r="85" spans="1:3" x14ac:dyDescent="0.25">
      <c r="A85" s="8">
        <v>51</v>
      </c>
      <c r="B85" s="29">
        <v>6.1652173913043402E-2</v>
      </c>
      <c r="C85" s="29">
        <v>-2.8652173913043401E-2</v>
      </c>
    </row>
    <row r="86" spans="1:3" x14ac:dyDescent="0.25">
      <c r="A86" s="8">
        <v>52</v>
      </c>
      <c r="B86" s="29">
        <v>5.6550724637681071E-2</v>
      </c>
      <c r="C86" s="29">
        <v>-2.6550724637681072E-2</v>
      </c>
    </row>
    <row r="87" spans="1:3" x14ac:dyDescent="0.25">
      <c r="A87" s="8">
        <v>53</v>
      </c>
      <c r="B87" s="29">
        <v>5.5101449275362209E-2</v>
      </c>
      <c r="C87" s="29">
        <v>-2.6101449275362211E-2</v>
      </c>
    </row>
    <row r="88" spans="1:3" x14ac:dyDescent="0.25">
      <c r="A88" s="8">
        <v>54</v>
      </c>
      <c r="B88" s="29">
        <v>6.1130434782608579E-2</v>
      </c>
      <c r="C88" s="29">
        <v>-2.9130434782608579E-2</v>
      </c>
    </row>
    <row r="89" spans="1:3" x14ac:dyDescent="0.25">
      <c r="A89" s="8">
        <v>55</v>
      </c>
      <c r="B89" s="29">
        <v>5.9550724637681039E-2</v>
      </c>
      <c r="C89" s="29">
        <v>-2.6550724637681038E-2</v>
      </c>
    </row>
    <row r="90" spans="1:3" x14ac:dyDescent="0.25">
      <c r="A90" s="8">
        <v>56</v>
      </c>
      <c r="B90" s="29">
        <v>5.6521739130434699E-2</v>
      </c>
      <c r="C90" s="29">
        <v>-2.5521739130434699E-2</v>
      </c>
    </row>
    <row r="91" spans="1:3" x14ac:dyDescent="0.25">
      <c r="A91" s="8">
        <v>57</v>
      </c>
      <c r="B91" s="29">
        <v>5.4768115942028898E-2</v>
      </c>
      <c r="C91" s="29">
        <v>-2.7768115942028895E-2</v>
      </c>
    </row>
    <row r="92" spans="1:3" x14ac:dyDescent="0.25">
      <c r="A92" s="8">
        <v>58</v>
      </c>
      <c r="B92" s="29">
        <v>5.3115942028985473E-2</v>
      </c>
      <c r="C92" s="29">
        <v>-2.9115942028985473E-2</v>
      </c>
    </row>
    <row r="93" spans="1:3" x14ac:dyDescent="0.25">
      <c r="A93" s="8">
        <v>59</v>
      </c>
      <c r="B93" s="29">
        <v>5.4782608695652081E-2</v>
      </c>
      <c r="C93" s="29">
        <v>-2.978260869565208E-2</v>
      </c>
    </row>
    <row r="94" spans="1:3" x14ac:dyDescent="0.25">
      <c r="A94" s="8">
        <v>60</v>
      </c>
      <c r="B94" s="29">
        <v>5.5202898550724598E-2</v>
      </c>
      <c r="C94" s="29">
        <v>-3.0202898550724597E-2</v>
      </c>
    </row>
    <row r="95" spans="1:3" x14ac:dyDescent="0.25">
      <c r="A95" s="8">
        <v>61</v>
      </c>
      <c r="B95" s="29">
        <v>6.4492753623188417E-2</v>
      </c>
      <c r="C95" s="29">
        <v>-3.0492753623188415E-2</v>
      </c>
    </row>
    <row r="96" spans="1:3" x14ac:dyDescent="0.25">
      <c r="A96" s="8">
        <v>62</v>
      </c>
      <c r="B96" s="29">
        <v>6.4391304347825973E-2</v>
      </c>
      <c r="C96" s="29">
        <v>-3.2391304347825972E-2</v>
      </c>
    </row>
    <row r="97" spans="1:3" x14ac:dyDescent="0.25">
      <c r="A97" s="8">
        <v>63</v>
      </c>
      <c r="B97" s="29">
        <v>6.1652173913043402E-2</v>
      </c>
      <c r="C97" s="29">
        <v>-3.2652173913043404E-2</v>
      </c>
    </row>
    <row r="98" spans="1:3" x14ac:dyDescent="0.25">
      <c r="A98" s="8">
        <v>64</v>
      </c>
      <c r="B98" s="29">
        <v>5.6550724637681071E-2</v>
      </c>
      <c r="C98" s="29">
        <v>-2.8550724637681074E-2</v>
      </c>
    </row>
    <row r="99" spans="1:3" x14ac:dyDescent="0.25">
      <c r="A99" s="8">
        <v>65</v>
      </c>
      <c r="B99" s="29">
        <v>5.5101449275362209E-2</v>
      </c>
      <c r="C99" s="29">
        <v>-3.0101449275362208E-2</v>
      </c>
    </row>
    <row r="100" spans="1:3" x14ac:dyDescent="0.25">
      <c r="A100" s="8">
        <v>66</v>
      </c>
      <c r="B100" s="29">
        <v>6.1130434782608579E-2</v>
      </c>
      <c r="C100" s="29">
        <v>-3.4130434782608576E-2</v>
      </c>
    </row>
    <row r="101" spans="1:3" x14ac:dyDescent="0.25">
      <c r="A101" s="8">
        <v>67</v>
      </c>
      <c r="B101" s="29">
        <v>5.9550724637681039E-2</v>
      </c>
      <c r="C101" s="29">
        <v>-3.2550724637681036E-2</v>
      </c>
    </row>
    <row r="102" spans="1:3" x14ac:dyDescent="0.25">
      <c r="A102" s="8">
        <v>68</v>
      </c>
      <c r="B102" s="29">
        <v>5.6521739130434699E-2</v>
      </c>
      <c r="C102" s="29">
        <v>-3.2521739130434699E-2</v>
      </c>
    </row>
    <row r="103" spans="1:3" x14ac:dyDescent="0.25">
      <c r="A103" s="8">
        <v>69</v>
      </c>
      <c r="B103" s="29">
        <v>5.4768115942028898E-2</v>
      </c>
      <c r="C103" s="29">
        <v>-2.8768115942028896E-2</v>
      </c>
    </row>
    <row r="104" spans="1:3" x14ac:dyDescent="0.25">
      <c r="A104" s="8">
        <v>70</v>
      </c>
      <c r="B104" s="29">
        <v>5.3115942028985473E-2</v>
      </c>
      <c r="C104" s="29">
        <v>-2.8115942028985472E-2</v>
      </c>
    </row>
    <row r="105" spans="1:3" x14ac:dyDescent="0.25">
      <c r="A105" s="8">
        <v>71</v>
      </c>
      <c r="B105" s="29">
        <v>5.4782608695652081E-2</v>
      </c>
      <c r="C105" s="29">
        <v>-2.278260869565208E-2</v>
      </c>
    </row>
    <row r="106" spans="1:3" x14ac:dyDescent="0.25">
      <c r="A106" s="8">
        <v>72</v>
      </c>
      <c r="B106" s="29">
        <v>5.5202898550724598E-2</v>
      </c>
      <c r="C106" s="29">
        <v>-1.3202898550724596E-2</v>
      </c>
    </row>
    <row r="107" spans="1:3" x14ac:dyDescent="0.25">
      <c r="A107" s="8">
        <v>73</v>
      </c>
      <c r="B107" s="29">
        <v>6.4492753623188417E-2</v>
      </c>
      <c r="C107" s="29">
        <v>-7.4927536231884154E-3</v>
      </c>
    </row>
    <row r="108" spans="1:3" x14ac:dyDescent="0.25">
      <c r="A108" s="8">
        <v>74</v>
      </c>
      <c r="B108" s="29">
        <v>6.4391304347825973E-2</v>
      </c>
      <c r="C108" s="29">
        <v>-1.3913043478259723E-3</v>
      </c>
    </row>
    <row r="109" spans="1:3" x14ac:dyDescent="0.25">
      <c r="A109" s="8">
        <v>75</v>
      </c>
      <c r="B109" s="29">
        <v>6.1652173913043402E-2</v>
      </c>
      <c r="C109" s="29">
        <v>2.3478260869565989E-3</v>
      </c>
    </row>
    <row r="110" spans="1:3" x14ac:dyDescent="0.25">
      <c r="A110" s="8">
        <v>76</v>
      </c>
      <c r="B110" s="29">
        <v>5.6550724637681071E-2</v>
      </c>
      <c r="C110" s="29">
        <v>4.4492753623189274E-3</v>
      </c>
    </row>
    <row r="111" spans="1:3" x14ac:dyDescent="0.25">
      <c r="A111" s="8">
        <v>77</v>
      </c>
      <c r="B111" s="29">
        <v>5.5101449275362209E-2</v>
      </c>
      <c r="C111" s="29">
        <v>1.8985507246377931E-3</v>
      </c>
    </row>
    <row r="112" spans="1:3" x14ac:dyDescent="0.25">
      <c r="A112" s="8">
        <v>78</v>
      </c>
      <c r="B112" s="29">
        <v>6.1130434782608579E-2</v>
      </c>
      <c r="C112" s="29">
        <v>-4.1304347826085774E-3</v>
      </c>
    </row>
    <row r="113" spans="1:3" x14ac:dyDescent="0.25">
      <c r="A113" s="8">
        <v>79</v>
      </c>
      <c r="B113" s="29">
        <v>5.9550724637681039E-2</v>
      </c>
      <c r="C113" s="29">
        <v>-2.5507246376810372E-3</v>
      </c>
    </row>
    <row r="114" spans="1:3" x14ac:dyDescent="0.25">
      <c r="A114" s="8">
        <v>80</v>
      </c>
      <c r="B114" s="29">
        <v>5.6521739130434699E-2</v>
      </c>
      <c r="C114" s="29">
        <v>-2.5217391304346928E-3</v>
      </c>
    </row>
    <row r="115" spans="1:3" x14ac:dyDescent="0.25">
      <c r="A115" s="8">
        <v>81</v>
      </c>
      <c r="B115" s="29">
        <v>5.4768115942028898E-2</v>
      </c>
      <c r="C115" s="29">
        <v>-1.7681159420289E-3</v>
      </c>
    </row>
    <row r="116" spans="1:3" x14ac:dyDescent="0.25">
      <c r="A116" s="8">
        <v>82</v>
      </c>
      <c r="B116" s="29">
        <v>5.3115942028985473E-2</v>
      </c>
      <c r="C116" s="29">
        <v>-7.1159420289854738E-3</v>
      </c>
    </row>
    <row r="117" spans="1:3" x14ac:dyDescent="0.25">
      <c r="A117" s="8">
        <v>83</v>
      </c>
      <c r="B117" s="29">
        <v>5.4782608695652081E-2</v>
      </c>
      <c r="C117" s="29">
        <v>-5.7826086956520792E-3</v>
      </c>
    </row>
    <row r="118" spans="1:3" x14ac:dyDescent="0.25">
      <c r="A118" s="8">
        <v>84</v>
      </c>
      <c r="B118" s="29">
        <v>5.5202898550724598E-2</v>
      </c>
      <c r="C118" s="29">
        <v>-7.2028985507245971E-3</v>
      </c>
    </row>
    <row r="119" spans="1:3" x14ac:dyDescent="0.25">
      <c r="A119" s="8">
        <v>85</v>
      </c>
      <c r="B119" s="29">
        <v>6.4492753623188417E-2</v>
      </c>
      <c r="C119" s="29">
        <v>-6.4927536231884214E-3</v>
      </c>
    </row>
    <row r="120" spans="1:3" x14ac:dyDescent="0.25">
      <c r="A120" s="8">
        <v>86</v>
      </c>
      <c r="B120" s="29">
        <v>6.4391304347825973E-2</v>
      </c>
      <c r="C120" s="29">
        <v>-7.3913043478259707E-3</v>
      </c>
    </row>
    <row r="121" spans="1:3" x14ac:dyDescent="0.25">
      <c r="A121" s="8">
        <v>87</v>
      </c>
      <c r="B121" s="29">
        <v>6.1652173913043402E-2</v>
      </c>
      <c r="C121" s="29">
        <v>-9.6521739130433978E-3</v>
      </c>
    </row>
    <row r="122" spans="1:3" x14ac:dyDescent="0.25">
      <c r="A122" s="8">
        <v>88</v>
      </c>
      <c r="B122" s="29">
        <v>5.6550724637681071E-2</v>
      </c>
      <c r="C122" s="29">
        <v>-7.5507246376810694E-3</v>
      </c>
    </row>
    <row r="123" spans="1:3" x14ac:dyDescent="0.25">
      <c r="A123" s="8">
        <v>89</v>
      </c>
      <c r="B123" s="29">
        <v>5.5101449275362209E-2</v>
      </c>
      <c r="C123" s="29">
        <v>-1.3101449275362206E-2</v>
      </c>
    </row>
    <row r="124" spans="1:3" x14ac:dyDescent="0.25">
      <c r="A124" s="8">
        <v>90</v>
      </c>
      <c r="B124" s="29">
        <v>6.1130434782608579E-2</v>
      </c>
      <c r="C124" s="29">
        <v>-1.7130434782608575E-2</v>
      </c>
    </row>
    <row r="125" spans="1:3" x14ac:dyDescent="0.25">
      <c r="A125" s="8">
        <v>91</v>
      </c>
      <c r="B125" s="29">
        <v>5.9550724637681039E-2</v>
      </c>
      <c r="C125" s="29">
        <v>-1.9550724637681038E-2</v>
      </c>
    </row>
    <row r="126" spans="1:3" x14ac:dyDescent="0.25">
      <c r="A126" s="8">
        <v>92</v>
      </c>
      <c r="B126" s="29">
        <v>5.6521739130434699E-2</v>
      </c>
      <c r="C126" s="29">
        <v>-1.85217391304347E-2</v>
      </c>
    </row>
    <row r="127" spans="1:3" x14ac:dyDescent="0.25">
      <c r="A127" s="8">
        <v>93</v>
      </c>
      <c r="B127" s="29">
        <v>5.4768115942028898E-2</v>
      </c>
      <c r="C127" s="29">
        <v>-1.9768115942028895E-2</v>
      </c>
    </row>
    <row r="128" spans="1:3" x14ac:dyDescent="0.25">
      <c r="A128" s="8">
        <v>94</v>
      </c>
      <c r="B128" s="29">
        <v>5.3115942028985473E-2</v>
      </c>
      <c r="C128" s="29">
        <v>-1.9115942028985471E-2</v>
      </c>
    </row>
    <row r="129" spans="1:3" x14ac:dyDescent="0.25">
      <c r="A129" s="8">
        <v>95</v>
      </c>
      <c r="B129" s="29">
        <v>5.4782608695652081E-2</v>
      </c>
      <c r="C129" s="29">
        <v>-1.6782608695652082E-2</v>
      </c>
    </row>
    <row r="130" spans="1:3" x14ac:dyDescent="0.25">
      <c r="A130" s="8">
        <v>96</v>
      </c>
      <c r="B130" s="29">
        <v>5.5202898550724598E-2</v>
      </c>
      <c r="C130" s="29">
        <v>-1.6202898550724598E-2</v>
      </c>
    </row>
    <row r="131" spans="1:3" x14ac:dyDescent="0.25">
      <c r="A131" s="8">
        <v>97</v>
      </c>
      <c r="B131" s="29">
        <v>6.4492753623188417E-2</v>
      </c>
      <c r="C131" s="29">
        <v>-1.7492753623188417E-2</v>
      </c>
    </row>
    <row r="132" spans="1:3" x14ac:dyDescent="0.25">
      <c r="A132" s="8">
        <v>98</v>
      </c>
      <c r="B132" s="29">
        <v>6.4391304347825973E-2</v>
      </c>
      <c r="C132" s="29">
        <v>-1.6391304347825972E-2</v>
      </c>
    </row>
    <row r="133" spans="1:3" x14ac:dyDescent="0.25">
      <c r="A133" s="8">
        <v>99</v>
      </c>
      <c r="B133" s="29">
        <v>6.1652173913043402E-2</v>
      </c>
      <c r="C133" s="29">
        <v>-1.4652173913043402E-2</v>
      </c>
    </row>
    <row r="134" spans="1:3" x14ac:dyDescent="0.25">
      <c r="A134" s="8">
        <v>100</v>
      </c>
      <c r="B134" s="29">
        <v>5.6550724637681071E-2</v>
      </c>
      <c r="C134" s="29">
        <v>-1.5550724637681076E-2</v>
      </c>
    </row>
    <row r="135" spans="1:3" x14ac:dyDescent="0.25">
      <c r="A135" s="8">
        <v>101</v>
      </c>
      <c r="B135" s="29">
        <v>5.5101449275362209E-2</v>
      </c>
      <c r="C135" s="29">
        <v>-1.3101449275362206E-2</v>
      </c>
    </row>
    <row r="136" spans="1:3" x14ac:dyDescent="0.25">
      <c r="A136" s="8">
        <v>102</v>
      </c>
      <c r="B136" s="29">
        <v>6.1130434782608579E-2</v>
      </c>
      <c r="C136" s="29">
        <v>-1.4130434782608579E-2</v>
      </c>
    </row>
    <row r="137" spans="1:3" x14ac:dyDescent="0.25">
      <c r="A137" s="8">
        <v>103</v>
      </c>
      <c r="B137" s="29">
        <v>5.9550724637681039E-2</v>
      </c>
      <c r="C137" s="29">
        <v>-1.5550724637681035E-2</v>
      </c>
    </row>
    <row r="138" spans="1:3" x14ac:dyDescent="0.25">
      <c r="A138" s="8">
        <v>104</v>
      </c>
      <c r="B138" s="29">
        <v>5.6521739130434699E-2</v>
      </c>
      <c r="C138" s="29">
        <v>-1.9521739130434694E-2</v>
      </c>
    </row>
    <row r="139" spans="1:3" x14ac:dyDescent="0.25">
      <c r="A139" s="8">
        <v>105</v>
      </c>
      <c r="B139" s="29">
        <v>5.4768115942028898E-2</v>
      </c>
      <c r="C139" s="29">
        <v>-2.0768115942028896E-2</v>
      </c>
    </row>
    <row r="140" spans="1:3" x14ac:dyDescent="0.25">
      <c r="A140" s="8">
        <v>106</v>
      </c>
      <c r="B140" s="29">
        <v>5.3115942028985473E-2</v>
      </c>
      <c r="C140" s="29">
        <v>-2.2115942028985473E-2</v>
      </c>
    </row>
    <row r="141" spans="1:3" x14ac:dyDescent="0.25">
      <c r="A141" s="8">
        <v>107</v>
      </c>
      <c r="B141" s="29">
        <v>5.4782608695652081E-2</v>
      </c>
      <c r="C141" s="29">
        <v>-1.5782608695652081E-2</v>
      </c>
    </row>
    <row r="142" spans="1:3" x14ac:dyDescent="0.25">
      <c r="A142" s="8">
        <v>108</v>
      </c>
      <c r="B142" s="29">
        <v>5.5202898550724598E-2</v>
      </c>
      <c r="C142" s="29">
        <v>-1.5202898550724597E-2</v>
      </c>
    </row>
    <row r="143" spans="1:3" x14ac:dyDescent="0.25">
      <c r="A143" s="8">
        <v>109</v>
      </c>
      <c r="B143" s="29">
        <v>6.4492753623188417E-2</v>
      </c>
      <c r="C143" s="29">
        <v>-1.5492753623188416E-2</v>
      </c>
    </row>
    <row r="144" spans="1:3" x14ac:dyDescent="0.25">
      <c r="A144" s="8">
        <v>110</v>
      </c>
      <c r="B144" s="29">
        <v>6.4391304347825973E-2</v>
      </c>
      <c r="C144" s="29">
        <v>-1.7391304347825973E-2</v>
      </c>
    </row>
    <row r="145" spans="1:3" x14ac:dyDescent="0.25">
      <c r="A145" s="8">
        <v>111</v>
      </c>
      <c r="B145" s="29">
        <v>6.1652173913043402E-2</v>
      </c>
      <c r="C145" s="29">
        <v>-1.8652173913043406E-2</v>
      </c>
    </row>
    <row r="146" spans="1:3" x14ac:dyDescent="0.25">
      <c r="A146" s="8">
        <v>112</v>
      </c>
      <c r="B146" s="29">
        <v>5.6550724637681071E-2</v>
      </c>
      <c r="C146" s="29">
        <v>-1.655072463768107E-2</v>
      </c>
    </row>
    <row r="147" spans="1:3" x14ac:dyDescent="0.25">
      <c r="A147" s="8">
        <v>113</v>
      </c>
      <c r="B147" s="29">
        <v>5.5101449275362209E-2</v>
      </c>
      <c r="C147" s="29">
        <v>-1.6101449275362209E-2</v>
      </c>
    </row>
    <row r="148" spans="1:3" x14ac:dyDescent="0.25">
      <c r="A148" s="8">
        <v>114</v>
      </c>
      <c r="B148" s="29">
        <v>6.1130434782608579E-2</v>
      </c>
      <c r="C148" s="29">
        <v>-1.513043478260858E-2</v>
      </c>
    </row>
    <row r="149" spans="1:3" x14ac:dyDescent="0.25">
      <c r="A149" s="8">
        <v>115</v>
      </c>
      <c r="B149" s="29">
        <v>5.9550724637681039E-2</v>
      </c>
      <c r="C149" s="29">
        <v>-1.8550724637681044E-2</v>
      </c>
    </row>
    <row r="150" spans="1:3" x14ac:dyDescent="0.25">
      <c r="A150" s="8">
        <v>116</v>
      </c>
      <c r="B150" s="29">
        <v>5.6521739130434699E-2</v>
      </c>
      <c r="C150" s="29">
        <v>-1.9521739130434694E-2</v>
      </c>
    </row>
    <row r="151" spans="1:3" x14ac:dyDescent="0.25">
      <c r="A151" s="8">
        <v>117</v>
      </c>
      <c r="B151" s="29">
        <v>5.4768115942028898E-2</v>
      </c>
      <c r="C151" s="29">
        <v>-1.7768115942028893E-2</v>
      </c>
    </row>
    <row r="152" spans="1:3" x14ac:dyDescent="0.25">
      <c r="A152" s="8">
        <v>118</v>
      </c>
      <c r="B152" s="29">
        <v>5.3115942028985473E-2</v>
      </c>
      <c r="C152" s="29">
        <v>-1.7115942028985469E-2</v>
      </c>
    </row>
    <row r="153" spans="1:3" x14ac:dyDescent="0.25">
      <c r="A153" s="8">
        <v>119</v>
      </c>
      <c r="B153" s="29">
        <v>5.4782608695652081E-2</v>
      </c>
      <c r="C153" s="29">
        <v>-8.7826086956520819E-3</v>
      </c>
    </row>
    <row r="154" spans="1:3" x14ac:dyDescent="0.25">
      <c r="A154" s="8">
        <v>120</v>
      </c>
      <c r="B154" s="29">
        <v>5.5202898550724598E-2</v>
      </c>
      <c r="C154" s="29">
        <v>-5.2028985507245953E-3</v>
      </c>
    </row>
    <row r="155" spans="1:3" x14ac:dyDescent="0.25">
      <c r="A155" s="8">
        <v>121</v>
      </c>
      <c r="B155" s="29">
        <v>6.4492753623188417E-2</v>
      </c>
      <c r="C155" s="29">
        <v>3.5072463768115875E-3</v>
      </c>
    </row>
    <row r="156" spans="1:3" x14ac:dyDescent="0.25">
      <c r="A156" s="8">
        <v>122</v>
      </c>
      <c r="B156" s="29">
        <v>6.4391304347825973E-2</v>
      </c>
      <c r="C156" s="29">
        <v>1.2608695652174026E-2</v>
      </c>
    </row>
    <row r="157" spans="1:3" x14ac:dyDescent="0.25">
      <c r="A157" s="8">
        <v>123</v>
      </c>
      <c r="B157" s="29">
        <v>6.1652173913043402E-2</v>
      </c>
      <c r="C157" s="29">
        <v>1.5347826086956597E-2</v>
      </c>
    </row>
    <row r="158" spans="1:3" x14ac:dyDescent="0.25">
      <c r="A158" s="8">
        <v>124</v>
      </c>
      <c r="B158" s="29">
        <v>5.6550724637681071E-2</v>
      </c>
      <c r="C158" s="29">
        <v>1.8449275362318926E-2</v>
      </c>
    </row>
    <row r="159" spans="1:3" x14ac:dyDescent="0.25">
      <c r="A159" s="8">
        <v>125</v>
      </c>
      <c r="B159" s="29">
        <v>5.5101449275362209E-2</v>
      </c>
      <c r="C159" s="29">
        <v>1.5898550724637785E-2</v>
      </c>
    </row>
    <row r="160" spans="1:3" x14ac:dyDescent="0.25">
      <c r="A160" s="8">
        <v>126</v>
      </c>
      <c r="B160" s="29">
        <v>6.1130434782608579E-2</v>
      </c>
      <c r="C160" s="29">
        <v>1.4869565217391419E-2</v>
      </c>
    </row>
    <row r="161" spans="1:3" x14ac:dyDescent="0.25">
      <c r="A161" s="8">
        <v>127</v>
      </c>
      <c r="B161" s="29">
        <v>5.9550724637681039E-2</v>
      </c>
      <c r="C161" s="29">
        <v>1.4449275362318971E-2</v>
      </c>
    </row>
    <row r="162" spans="1:3" x14ac:dyDescent="0.25">
      <c r="A162" s="8">
        <v>128</v>
      </c>
      <c r="B162" s="29">
        <v>5.6521739130434699E-2</v>
      </c>
      <c r="C162" s="29">
        <v>1.0478260869565305E-2</v>
      </c>
    </row>
    <row r="163" spans="1:3" x14ac:dyDescent="0.25">
      <c r="A163" s="8">
        <v>129</v>
      </c>
      <c r="B163" s="29">
        <v>5.4768115942028898E-2</v>
      </c>
      <c r="C163" s="29">
        <v>5.2318840579710993E-3</v>
      </c>
    </row>
    <row r="164" spans="1:3" x14ac:dyDescent="0.25">
      <c r="A164" s="8">
        <v>130</v>
      </c>
      <c r="B164" s="29">
        <v>5.3115942028985473E-2</v>
      </c>
      <c r="C164" s="29">
        <v>1.8840579710145272E-3</v>
      </c>
    </row>
    <row r="165" spans="1:3" x14ac:dyDescent="0.25">
      <c r="A165" s="8">
        <v>131</v>
      </c>
      <c r="B165" s="29">
        <v>5.4782608695652081E-2</v>
      </c>
      <c r="C165" s="29">
        <v>1.2173913043479132E-3</v>
      </c>
    </row>
    <row r="166" spans="1:3" x14ac:dyDescent="0.25">
      <c r="A166" s="8">
        <v>132</v>
      </c>
      <c r="B166" s="29">
        <v>5.5202898550724598E-2</v>
      </c>
      <c r="C166" s="29">
        <v>4.7971014492753997E-3</v>
      </c>
    </row>
    <row r="167" spans="1:3" x14ac:dyDescent="0.25">
      <c r="A167" s="8">
        <v>133</v>
      </c>
      <c r="B167" s="29">
        <v>6.4492753623188417E-2</v>
      </c>
      <c r="C167" s="29">
        <v>5.5072463768115892E-3</v>
      </c>
    </row>
    <row r="168" spans="1:3" x14ac:dyDescent="0.25">
      <c r="A168" s="8">
        <v>134</v>
      </c>
      <c r="B168" s="29">
        <v>6.4391304347825973E-2</v>
      </c>
      <c r="C168" s="29">
        <v>5.6086956521740339E-3</v>
      </c>
    </row>
    <row r="169" spans="1:3" x14ac:dyDescent="0.25">
      <c r="A169" s="8">
        <v>135</v>
      </c>
      <c r="B169" s="29">
        <v>6.1652173913043402E-2</v>
      </c>
      <c r="C169" s="29">
        <v>2.3478260869565989E-3</v>
      </c>
    </row>
    <row r="170" spans="1:3" x14ac:dyDescent="0.25">
      <c r="A170" s="8">
        <v>136</v>
      </c>
      <c r="B170" s="29">
        <v>5.6550724637681071E-2</v>
      </c>
      <c r="C170" s="29">
        <v>-4.5507246376810667E-3</v>
      </c>
    </row>
    <row r="171" spans="1:3" x14ac:dyDescent="0.25">
      <c r="A171" s="8">
        <v>137</v>
      </c>
      <c r="B171" s="29">
        <v>5.5101449275362209E-2</v>
      </c>
      <c r="C171" s="29">
        <v>-6.1014492753622071E-3</v>
      </c>
    </row>
    <row r="172" spans="1:3" x14ac:dyDescent="0.25">
      <c r="A172" s="8">
        <v>138</v>
      </c>
      <c r="B172" s="29">
        <v>6.1130434782608579E-2</v>
      </c>
      <c r="C172" s="29">
        <v>-7.1304347826085732E-3</v>
      </c>
    </row>
    <row r="173" spans="1:3" x14ac:dyDescent="0.25">
      <c r="A173" s="8">
        <v>139</v>
      </c>
      <c r="B173" s="29">
        <v>5.9550724637681039E-2</v>
      </c>
      <c r="C173" s="29">
        <v>-7.5507246376810347E-3</v>
      </c>
    </row>
    <row r="174" spans="1:3" x14ac:dyDescent="0.25">
      <c r="A174" s="8">
        <v>140</v>
      </c>
      <c r="B174" s="29">
        <v>5.6521739130434699E-2</v>
      </c>
      <c r="C174" s="29">
        <v>-8.5217391304346982E-3</v>
      </c>
    </row>
    <row r="175" spans="1:3" x14ac:dyDescent="0.25">
      <c r="A175" s="8">
        <v>141</v>
      </c>
      <c r="B175" s="29">
        <v>5.4768115942028898E-2</v>
      </c>
      <c r="C175" s="29">
        <v>-7.7681159420288984E-3</v>
      </c>
    </row>
    <row r="176" spans="1:3" x14ac:dyDescent="0.25">
      <c r="A176" s="8">
        <v>142</v>
      </c>
      <c r="B176" s="29">
        <v>5.3115942028985473E-2</v>
      </c>
      <c r="C176" s="29">
        <v>-6.115942028985473E-3</v>
      </c>
    </row>
    <row r="177" spans="1:3" x14ac:dyDescent="0.25">
      <c r="A177" s="8">
        <v>143</v>
      </c>
      <c r="B177" s="29">
        <v>5.4782608695652081E-2</v>
      </c>
      <c r="C177" s="29">
        <v>-1.7826086956520826E-3</v>
      </c>
    </row>
    <row r="178" spans="1:3" x14ac:dyDescent="0.25">
      <c r="A178" s="8">
        <v>144</v>
      </c>
      <c r="B178" s="29">
        <v>5.5202898550724598E-2</v>
      </c>
      <c r="C178" s="29">
        <v>-4.2028985507246014E-3</v>
      </c>
    </row>
    <row r="179" spans="1:3" x14ac:dyDescent="0.25">
      <c r="A179" s="8">
        <v>145</v>
      </c>
      <c r="B179" s="29">
        <v>6.4492753623188417E-2</v>
      </c>
      <c r="C179" s="29">
        <v>-3.4927536231884188E-3</v>
      </c>
    </row>
    <row r="180" spans="1:3" x14ac:dyDescent="0.25">
      <c r="A180" s="8">
        <v>146</v>
      </c>
      <c r="B180" s="29">
        <v>6.4391304347825973E-2</v>
      </c>
      <c r="C180" s="29">
        <v>-7.3913043478259707E-3</v>
      </c>
    </row>
    <row r="181" spans="1:3" x14ac:dyDescent="0.25">
      <c r="A181" s="8">
        <v>147</v>
      </c>
      <c r="B181" s="29">
        <v>6.1652173913043402E-2</v>
      </c>
      <c r="C181" s="29">
        <v>-6.5217391304340372E-4</v>
      </c>
    </row>
    <row r="182" spans="1:3" x14ac:dyDescent="0.25">
      <c r="A182" s="8">
        <v>148</v>
      </c>
      <c r="B182" s="29">
        <v>5.6550724637681071E-2</v>
      </c>
      <c r="C182" s="29">
        <v>-4.5507246376810667E-3</v>
      </c>
    </row>
    <row r="183" spans="1:3" x14ac:dyDescent="0.25">
      <c r="A183" s="8">
        <v>149</v>
      </c>
      <c r="B183" s="29">
        <v>5.5101449275362209E-2</v>
      </c>
      <c r="C183" s="29">
        <v>-7.101449275362208E-3</v>
      </c>
    </row>
    <row r="184" spans="1:3" x14ac:dyDescent="0.25">
      <c r="A184" s="8">
        <v>150</v>
      </c>
      <c r="B184" s="29">
        <v>6.1130434782608579E-2</v>
      </c>
      <c r="C184" s="29">
        <v>-3.1304347826085835E-3</v>
      </c>
    </row>
    <row r="185" spans="1:3" x14ac:dyDescent="0.25">
      <c r="A185" s="8">
        <v>151</v>
      </c>
      <c r="B185" s="29">
        <v>5.9550724637681039E-2</v>
      </c>
      <c r="C185" s="29">
        <v>-4.550724637681039E-3</v>
      </c>
    </row>
    <row r="186" spans="1:3" x14ac:dyDescent="0.25">
      <c r="A186" s="8">
        <v>152</v>
      </c>
      <c r="B186" s="29">
        <v>5.6521739130434699E-2</v>
      </c>
      <c r="C186" s="29">
        <v>-4.5217391304346946E-3</v>
      </c>
    </row>
    <row r="187" spans="1:3" x14ac:dyDescent="0.25">
      <c r="A187" s="8">
        <v>153</v>
      </c>
      <c r="B187" s="29">
        <v>5.4768115942028898E-2</v>
      </c>
      <c r="C187" s="29">
        <v>-7.7681159420288984E-3</v>
      </c>
    </row>
    <row r="188" spans="1:3" x14ac:dyDescent="0.25">
      <c r="A188" s="8">
        <v>154</v>
      </c>
      <c r="B188" s="29">
        <v>5.3115942028985473E-2</v>
      </c>
      <c r="C188" s="29">
        <v>-3.1159420289854703E-3</v>
      </c>
    </row>
    <row r="189" spans="1:3" x14ac:dyDescent="0.25">
      <c r="A189" s="8">
        <v>155</v>
      </c>
      <c r="B189" s="29">
        <v>5.4782608695652081E-2</v>
      </c>
      <c r="C189" s="29">
        <v>1.2173913043479132E-3</v>
      </c>
    </row>
    <row r="190" spans="1:3" x14ac:dyDescent="0.25">
      <c r="A190" s="8">
        <v>156</v>
      </c>
      <c r="B190" s="29">
        <v>5.5202898550724598E-2</v>
      </c>
      <c r="C190" s="29">
        <v>8.7971014492754032E-3</v>
      </c>
    </row>
    <row r="191" spans="1:3" x14ac:dyDescent="0.25">
      <c r="A191" s="8">
        <v>157</v>
      </c>
      <c r="B191" s="29">
        <v>6.4492753623188417E-2</v>
      </c>
      <c r="C191" s="29">
        <v>1.2507246376811582E-2</v>
      </c>
    </row>
    <row r="192" spans="1:3" x14ac:dyDescent="0.25">
      <c r="A192" s="8">
        <v>158</v>
      </c>
      <c r="B192" s="29">
        <v>6.4391304347825973E-2</v>
      </c>
      <c r="C192" s="29">
        <v>1.660869565217403E-2</v>
      </c>
    </row>
    <row r="193" spans="1:3" x14ac:dyDescent="0.25">
      <c r="A193" s="8">
        <v>159</v>
      </c>
      <c r="B193" s="29">
        <v>6.1652173913043402E-2</v>
      </c>
      <c r="C193" s="29">
        <v>1.5347826086956597E-2</v>
      </c>
    </row>
    <row r="194" spans="1:3" x14ac:dyDescent="0.25">
      <c r="A194" s="8">
        <v>160</v>
      </c>
      <c r="B194" s="29">
        <v>5.6550724637681071E-2</v>
      </c>
      <c r="C194" s="29">
        <v>1.3449275362318935E-2</v>
      </c>
    </row>
    <row r="195" spans="1:3" x14ac:dyDescent="0.25">
      <c r="A195" s="8">
        <v>161</v>
      </c>
      <c r="B195" s="29">
        <v>5.5101449275362209E-2</v>
      </c>
      <c r="C195" s="29">
        <v>1.0898550724637794E-2</v>
      </c>
    </row>
    <row r="196" spans="1:3" x14ac:dyDescent="0.25">
      <c r="A196" s="8">
        <v>162</v>
      </c>
      <c r="B196" s="29">
        <v>6.1130434782608579E-2</v>
      </c>
      <c r="C196" s="29">
        <v>1.1869565217391416E-2</v>
      </c>
    </row>
    <row r="197" spans="1:3" x14ac:dyDescent="0.25">
      <c r="A197" s="8">
        <v>163</v>
      </c>
      <c r="B197" s="29">
        <v>5.9550724637681039E-2</v>
      </c>
      <c r="C197" s="29">
        <v>9.4492753623189665E-3</v>
      </c>
    </row>
    <row r="198" spans="1:3" x14ac:dyDescent="0.25">
      <c r="A198" s="8">
        <v>164</v>
      </c>
      <c r="B198" s="29">
        <v>5.6521739130434699E-2</v>
      </c>
      <c r="C198" s="29">
        <v>5.4782608695653004E-3</v>
      </c>
    </row>
    <row r="199" spans="1:3" x14ac:dyDescent="0.25">
      <c r="A199" s="8">
        <v>165</v>
      </c>
      <c r="B199" s="29">
        <v>5.4768115942028898E-2</v>
      </c>
      <c r="C199" s="29">
        <v>3.2318840579710975E-3</v>
      </c>
    </row>
    <row r="200" spans="1:3" x14ac:dyDescent="0.25">
      <c r="A200" s="8">
        <v>166</v>
      </c>
      <c r="B200" s="29">
        <v>5.3115942028985473E-2</v>
      </c>
      <c r="C200" s="29">
        <v>1.8840579710145272E-3</v>
      </c>
    </row>
    <row r="201" spans="1:3" x14ac:dyDescent="0.25">
      <c r="A201" s="8">
        <v>167</v>
      </c>
      <c r="B201" s="29">
        <v>5.4782608695652081E-2</v>
      </c>
      <c r="C201" s="29">
        <v>1.2173913043479132E-3</v>
      </c>
    </row>
    <row r="202" spans="1:3" x14ac:dyDescent="0.25">
      <c r="A202" s="8">
        <v>168</v>
      </c>
      <c r="B202" s="29">
        <v>5.5202898550724598E-2</v>
      </c>
      <c r="C202" s="29">
        <v>2.7971014492753979E-3</v>
      </c>
    </row>
    <row r="203" spans="1:3" x14ac:dyDescent="0.25">
      <c r="A203" s="8">
        <v>169</v>
      </c>
      <c r="B203" s="29">
        <v>6.4492753623188417E-2</v>
      </c>
      <c r="C203" s="29">
        <v>2.5072463768115866E-3</v>
      </c>
    </row>
    <row r="204" spans="1:3" x14ac:dyDescent="0.25">
      <c r="A204" s="8">
        <v>170</v>
      </c>
      <c r="B204" s="29">
        <v>6.4391304347825973E-2</v>
      </c>
      <c r="C204" s="29">
        <v>6.0869565217402943E-4</v>
      </c>
    </row>
    <row r="205" spans="1:3" x14ac:dyDescent="0.25">
      <c r="A205" s="8">
        <v>171</v>
      </c>
      <c r="B205" s="29">
        <v>6.1652173913043402E-2</v>
      </c>
      <c r="C205" s="29">
        <v>3.4782608695659717E-4</v>
      </c>
    </row>
    <row r="206" spans="1:3" x14ac:dyDescent="0.25">
      <c r="A206" s="8">
        <v>172</v>
      </c>
      <c r="B206" s="29">
        <v>5.6550724637681071E-2</v>
      </c>
      <c r="C206" s="29">
        <v>-1.550724637681071E-3</v>
      </c>
    </row>
    <row r="207" spans="1:3" x14ac:dyDescent="0.25">
      <c r="A207" s="8">
        <v>173</v>
      </c>
      <c r="B207" s="29">
        <v>5.5101449275362209E-2</v>
      </c>
      <c r="C207" s="29">
        <v>-4.1014492753622123E-3</v>
      </c>
    </row>
    <row r="208" spans="1:3" x14ac:dyDescent="0.25">
      <c r="A208" s="8">
        <v>174</v>
      </c>
      <c r="B208" s="29">
        <v>6.1130434782608579E-2</v>
      </c>
      <c r="C208" s="29">
        <v>-2.1304347826085757E-3</v>
      </c>
    </row>
    <row r="209" spans="1:3" x14ac:dyDescent="0.25">
      <c r="A209" s="8">
        <v>175</v>
      </c>
      <c r="B209" s="29">
        <v>5.9550724637681039E-2</v>
      </c>
      <c r="C209" s="29">
        <v>-6.5507246376810407E-3</v>
      </c>
    </row>
    <row r="210" spans="1:3" x14ac:dyDescent="0.25">
      <c r="A210" s="8">
        <v>176</v>
      </c>
      <c r="B210" s="29">
        <v>5.6521739130434699E-2</v>
      </c>
      <c r="C210" s="29">
        <v>-3.5217391304347007E-3</v>
      </c>
    </row>
    <row r="211" spans="1:3" x14ac:dyDescent="0.25">
      <c r="A211" s="8">
        <v>177</v>
      </c>
      <c r="B211" s="29">
        <v>5.4768115942028898E-2</v>
      </c>
      <c r="C211" s="29">
        <v>-5.7681159420288966E-3</v>
      </c>
    </row>
    <row r="212" spans="1:3" x14ac:dyDescent="0.25">
      <c r="A212" s="8">
        <v>178</v>
      </c>
      <c r="B212" s="29">
        <v>5.3115942028985473E-2</v>
      </c>
      <c r="C212" s="29">
        <v>-8.1159420289854747E-3</v>
      </c>
    </row>
    <row r="213" spans="1:3" x14ac:dyDescent="0.25">
      <c r="A213" s="8">
        <v>179</v>
      </c>
      <c r="B213" s="29">
        <v>5.4782608695652081E-2</v>
      </c>
      <c r="C213" s="29">
        <v>-1.7826086956520826E-3</v>
      </c>
    </row>
    <row r="214" spans="1:3" x14ac:dyDescent="0.25">
      <c r="A214" s="8">
        <v>180</v>
      </c>
      <c r="B214" s="29">
        <v>5.5202898550724598E-2</v>
      </c>
      <c r="C214" s="29">
        <v>-2.2028985507245996E-3</v>
      </c>
    </row>
    <row r="215" spans="1:3" x14ac:dyDescent="0.25">
      <c r="A215" s="8">
        <v>181</v>
      </c>
      <c r="B215" s="29">
        <v>6.4492753623188417E-2</v>
      </c>
      <c r="C215" s="29">
        <v>1.5072463768115857E-3</v>
      </c>
    </row>
    <row r="216" spans="1:3" x14ac:dyDescent="0.25">
      <c r="A216" s="8">
        <v>182</v>
      </c>
      <c r="B216" s="29">
        <v>6.4391304347825973E-2</v>
      </c>
      <c r="C216" s="29">
        <v>4.608695652174033E-3</v>
      </c>
    </row>
    <row r="217" spans="1:3" x14ac:dyDescent="0.25">
      <c r="A217" s="8">
        <v>183</v>
      </c>
      <c r="B217" s="29">
        <v>6.1652173913043402E-2</v>
      </c>
      <c r="C217" s="29">
        <v>1.3478260869565981E-3</v>
      </c>
    </row>
    <row r="218" spans="1:3" x14ac:dyDescent="0.25">
      <c r="A218" s="8">
        <v>184</v>
      </c>
      <c r="B218" s="29">
        <v>5.6550724637681071E-2</v>
      </c>
      <c r="C218" s="29">
        <v>-5.5072463768107704E-4</v>
      </c>
    </row>
    <row r="219" spans="1:3" x14ac:dyDescent="0.25">
      <c r="A219" s="8">
        <v>185</v>
      </c>
      <c r="B219" s="29">
        <v>5.5101449275362209E-2</v>
      </c>
      <c r="C219" s="29">
        <v>-1.0144927536220871E-4</v>
      </c>
    </row>
    <row r="220" spans="1:3" x14ac:dyDescent="0.25">
      <c r="A220" s="8">
        <v>186</v>
      </c>
      <c r="B220" s="29">
        <v>6.1130434782608579E-2</v>
      </c>
      <c r="C220" s="29">
        <v>8.6956521739142006E-4</v>
      </c>
    </row>
    <row r="221" spans="1:3" x14ac:dyDescent="0.25">
      <c r="A221" s="8">
        <v>187</v>
      </c>
      <c r="B221" s="29">
        <v>5.9550724637681039E-2</v>
      </c>
      <c r="C221" s="29">
        <v>-3.550724637681045E-3</v>
      </c>
    </row>
    <row r="222" spans="1:3" x14ac:dyDescent="0.25">
      <c r="A222" s="8">
        <v>188</v>
      </c>
      <c r="B222" s="29">
        <v>5.6521739130434699E-2</v>
      </c>
      <c r="C222" s="29">
        <v>-4.5217391304346946E-3</v>
      </c>
    </row>
    <row r="223" spans="1:3" x14ac:dyDescent="0.25">
      <c r="A223" s="8">
        <v>189</v>
      </c>
      <c r="B223" s="29">
        <v>5.4768115942028898E-2</v>
      </c>
      <c r="C223" s="29">
        <v>-6.7681159420288975E-3</v>
      </c>
    </row>
    <row r="224" spans="1:3" x14ac:dyDescent="0.25">
      <c r="A224" s="8">
        <v>190</v>
      </c>
      <c r="B224" s="29">
        <v>5.3115942028985473E-2</v>
      </c>
      <c r="C224" s="29">
        <v>-6.115942028985473E-3</v>
      </c>
    </row>
    <row r="225" spans="1:3" x14ac:dyDescent="0.25">
      <c r="A225" s="8">
        <v>191</v>
      </c>
      <c r="B225" s="29">
        <v>5.4782608695652081E-2</v>
      </c>
      <c r="C225" s="29">
        <v>-1.7826086956520826E-3</v>
      </c>
    </row>
    <row r="226" spans="1:3" x14ac:dyDescent="0.25">
      <c r="A226" s="8">
        <v>192</v>
      </c>
      <c r="B226" s="29">
        <v>5.5202898550724598E-2</v>
      </c>
      <c r="C226" s="29">
        <v>-2.2028985507245996E-3</v>
      </c>
    </row>
    <row r="227" spans="1:3" x14ac:dyDescent="0.25">
      <c r="A227" s="8">
        <v>193</v>
      </c>
      <c r="B227" s="29">
        <v>6.4492753623188417E-2</v>
      </c>
      <c r="C227" s="29">
        <v>-4.9275362318841609E-4</v>
      </c>
    </row>
    <row r="228" spans="1:3" x14ac:dyDescent="0.25">
      <c r="A228" s="8">
        <v>194</v>
      </c>
      <c r="B228" s="29">
        <v>6.4391304347825973E-2</v>
      </c>
      <c r="C228" s="29">
        <v>-2.3913043478259732E-3</v>
      </c>
    </row>
    <row r="229" spans="1:3" x14ac:dyDescent="0.25">
      <c r="A229" s="8">
        <v>195</v>
      </c>
      <c r="B229" s="29">
        <v>6.1652173913043402E-2</v>
      </c>
      <c r="C229" s="29">
        <v>-2.6521739130433986E-3</v>
      </c>
    </row>
    <row r="230" spans="1:3" x14ac:dyDescent="0.25">
      <c r="A230" s="8">
        <v>196</v>
      </c>
      <c r="B230" s="29">
        <v>5.6550724637681071E-2</v>
      </c>
      <c r="C230" s="29">
        <v>-3.5507246376810728E-3</v>
      </c>
    </row>
    <row r="231" spans="1:3" x14ac:dyDescent="0.25">
      <c r="A231" s="8">
        <v>197</v>
      </c>
      <c r="B231" s="29">
        <v>5.5101449275362209E-2</v>
      </c>
      <c r="C231" s="29">
        <v>-7.101449275362208E-3</v>
      </c>
    </row>
    <row r="232" spans="1:3" x14ac:dyDescent="0.25">
      <c r="A232" s="8">
        <v>198</v>
      </c>
      <c r="B232" s="29">
        <v>6.1130434782608579E-2</v>
      </c>
      <c r="C232" s="29">
        <v>-2.1304347826085757E-3</v>
      </c>
    </row>
    <row r="233" spans="1:3" x14ac:dyDescent="0.25">
      <c r="A233" s="8">
        <v>199</v>
      </c>
      <c r="B233" s="29">
        <v>5.9550724637681039E-2</v>
      </c>
      <c r="C233" s="29">
        <v>-1.0550724637681037E-2</v>
      </c>
    </row>
    <row r="234" spans="1:3" x14ac:dyDescent="0.25">
      <c r="A234" s="8">
        <v>200</v>
      </c>
      <c r="B234" s="29">
        <v>5.6521739130434699E-2</v>
      </c>
      <c r="C234" s="29">
        <v>-8.5217391304346982E-3</v>
      </c>
    </row>
    <row r="235" spans="1:3" x14ac:dyDescent="0.25">
      <c r="A235" s="8">
        <v>201</v>
      </c>
      <c r="B235" s="29">
        <v>5.4768115942028898E-2</v>
      </c>
      <c r="C235" s="29">
        <v>-9.7681159420289002E-3</v>
      </c>
    </row>
    <row r="236" spans="1:3" x14ac:dyDescent="0.25">
      <c r="A236" s="8">
        <v>202</v>
      </c>
      <c r="B236" s="29">
        <v>5.3115942028985473E-2</v>
      </c>
      <c r="C236" s="29">
        <v>-9.1159420289854687E-3</v>
      </c>
    </row>
    <row r="237" spans="1:3" x14ac:dyDescent="0.25">
      <c r="A237" s="8">
        <v>203</v>
      </c>
      <c r="B237" s="29">
        <v>5.4782608695652081E-2</v>
      </c>
      <c r="C237" s="29">
        <v>-9.7826086956520827E-3</v>
      </c>
    </row>
    <row r="238" spans="1:3" x14ac:dyDescent="0.25">
      <c r="A238" s="8">
        <v>204</v>
      </c>
      <c r="B238" s="29">
        <v>5.5202898550724598E-2</v>
      </c>
      <c r="C238" s="29">
        <v>-8.202898550724598E-3</v>
      </c>
    </row>
    <row r="239" spans="1:3" x14ac:dyDescent="0.25">
      <c r="A239" s="8">
        <v>205</v>
      </c>
      <c r="B239" s="29">
        <v>6.4492753623188417E-2</v>
      </c>
      <c r="C239" s="29">
        <v>-9.4927536231884171E-3</v>
      </c>
    </row>
    <row r="240" spans="1:3" x14ac:dyDescent="0.25">
      <c r="A240" s="8">
        <v>206</v>
      </c>
      <c r="B240" s="29">
        <v>6.4391304347825973E-2</v>
      </c>
      <c r="C240" s="29">
        <v>-7.3913043478259707E-3</v>
      </c>
    </row>
    <row r="241" spans="1:3" x14ac:dyDescent="0.25">
      <c r="A241" s="8">
        <v>207</v>
      </c>
      <c r="B241" s="29">
        <v>6.1652173913043402E-2</v>
      </c>
      <c r="C241" s="29">
        <v>-1.0652173913043406E-2</v>
      </c>
    </row>
    <row r="242" spans="1:3" x14ac:dyDescent="0.25">
      <c r="A242" s="8">
        <v>208</v>
      </c>
      <c r="B242" s="29">
        <v>5.6550724637681071E-2</v>
      </c>
      <c r="C242" s="29">
        <v>-9.5507246376810712E-3</v>
      </c>
    </row>
    <row r="243" spans="1:3" x14ac:dyDescent="0.25">
      <c r="A243" s="8">
        <v>209</v>
      </c>
      <c r="B243" s="29">
        <v>5.5101449275362209E-2</v>
      </c>
      <c r="C243" s="29">
        <v>-1.2101449275362212E-2</v>
      </c>
    </row>
    <row r="244" spans="1:3" x14ac:dyDescent="0.25">
      <c r="A244" s="8">
        <v>210</v>
      </c>
      <c r="B244" s="29">
        <v>6.1130434782608579E-2</v>
      </c>
      <c r="C244" s="29">
        <v>-8.130434782608581E-3</v>
      </c>
    </row>
    <row r="245" spans="1:3" x14ac:dyDescent="0.25">
      <c r="A245" s="8">
        <v>211</v>
      </c>
      <c r="B245" s="29">
        <v>5.9550724637681039E-2</v>
      </c>
      <c r="C245" s="29">
        <v>-1.4550724637681041E-2</v>
      </c>
    </row>
    <row r="246" spans="1:3" x14ac:dyDescent="0.25">
      <c r="A246" s="8">
        <v>212</v>
      </c>
      <c r="B246" s="29">
        <v>5.6521739130434699E-2</v>
      </c>
      <c r="C246" s="29">
        <v>-1.4521739130434697E-2</v>
      </c>
    </row>
    <row r="247" spans="1:3" x14ac:dyDescent="0.25">
      <c r="A247" s="8">
        <v>213</v>
      </c>
      <c r="B247" s="29">
        <v>5.4768115942028898E-2</v>
      </c>
      <c r="C247" s="29">
        <v>-1.6768115942028899E-2</v>
      </c>
    </row>
    <row r="248" spans="1:3" x14ac:dyDescent="0.25">
      <c r="A248" s="8">
        <v>214</v>
      </c>
      <c r="B248" s="29">
        <v>5.3115942028985473E-2</v>
      </c>
      <c r="C248" s="29">
        <v>-1.7115942028985469E-2</v>
      </c>
    </row>
    <row r="249" spans="1:3" x14ac:dyDescent="0.25">
      <c r="A249" s="8">
        <v>215</v>
      </c>
      <c r="B249" s="29">
        <v>5.4782608695652081E-2</v>
      </c>
      <c r="C249" s="29">
        <v>-1.5782608695652081E-2</v>
      </c>
    </row>
    <row r="250" spans="1:3" x14ac:dyDescent="0.25">
      <c r="A250" s="8">
        <v>216</v>
      </c>
      <c r="B250" s="29">
        <v>5.5202898550724598E-2</v>
      </c>
      <c r="C250" s="29">
        <v>-1.8202898550724593E-2</v>
      </c>
    </row>
    <row r="251" spans="1:3" x14ac:dyDescent="0.25">
      <c r="A251" s="8">
        <v>217</v>
      </c>
      <c r="B251" s="29">
        <v>6.4492753623188417E-2</v>
      </c>
      <c r="C251" s="29">
        <v>-2.0492753623188413E-2</v>
      </c>
    </row>
    <row r="252" spans="1:3" x14ac:dyDescent="0.25">
      <c r="A252" s="8">
        <v>218</v>
      </c>
      <c r="B252" s="29">
        <v>6.4391304347825973E-2</v>
      </c>
      <c r="C252" s="29">
        <v>-2.239130434782597E-2</v>
      </c>
    </row>
    <row r="253" spans="1:3" x14ac:dyDescent="0.25">
      <c r="A253" s="8">
        <v>219</v>
      </c>
      <c r="B253" s="29">
        <v>6.1652173913043402E-2</v>
      </c>
      <c r="C253" s="29">
        <v>-2.1652173913043402E-2</v>
      </c>
    </row>
    <row r="254" spans="1:3" x14ac:dyDescent="0.25">
      <c r="A254" s="8">
        <v>220</v>
      </c>
      <c r="B254" s="29">
        <v>5.6550724637681071E-2</v>
      </c>
      <c r="C254" s="29">
        <v>-2.0550724637681067E-2</v>
      </c>
    </row>
    <row r="255" spans="1:3" x14ac:dyDescent="0.25">
      <c r="A255" s="8">
        <v>221</v>
      </c>
      <c r="B255" s="29">
        <v>5.5101449275362209E-2</v>
      </c>
      <c r="C255" s="29">
        <v>-1.8101449275362204E-2</v>
      </c>
    </row>
    <row r="256" spans="1:3" x14ac:dyDescent="0.25">
      <c r="A256" s="8">
        <v>222</v>
      </c>
      <c r="B256" s="29">
        <v>6.1130434782608579E-2</v>
      </c>
      <c r="C256" s="29">
        <v>-1.513043478260858E-2</v>
      </c>
    </row>
    <row r="257" spans="1:3" x14ac:dyDescent="0.25">
      <c r="A257" s="8">
        <v>223</v>
      </c>
      <c r="B257" s="29">
        <v>5.9550724637681039E-2</v>
      </c>
      <c r="C257" s="29">
        <v>-2.0550724637681039E-2</v>
      </c>
    </row>
    <row r="258" spans="1:3" x14ac:dyDescent="0.25">
      <c r="A258" s="8">
        <v>224</v>
      </c>
      <c r="B258" s="29">
        <v>5.6521739130434699E-2</v>
      </c>
      <c r="C258" s="29">
        <v>-2.0521739130434695E-2</v>
      </c>
    </row>
    <row r="259" spans="1:3" x14ac:dyDescent="0.25">
      <c r="A259" s="8">
        <v>225</v>
      </c>
      <c r="B259" s="29">
        <v>5.4768115942028898E-2</v>
      </c>
      <c r="C259" s="29">
        <v>-2.1768115942028897E-2</v>
      </c>
    </row>
    <row r="260" spans="1:3" x14ac:dyDescent="0.25">
      <c r="A260" s="8">
        <v>226</v>
      </c>
      <c r="B260" s="29">
        <v>5.3115942028985473E-2</v>
      </c>
      <c r="C260" s="29">
        <v>-2.1115942028985472E-2</v>
      </c>
    </row>
    <row r="261" spans="1:3" x14ac:dyDescent="0.25">
      <c r="A261" s="8">
        <v>227</v>
      </c>
      <c r="B261" s="29">
        <v>5.4782608695652081E-2</v>
      </c>
      <c r="C261" s="29">
        <v>-2.0782608695652079E-2</v>
      </c>
    </row>
    <row r="262" spans="1:3" x14ac:dyDescent="0.25">
      <c r="A262" s="8">
        <v>228</v>
      </c>
      <c r="B262" s="29">
        <v>5.5202898550724598E-2</v>
      </c>
      <c r="C262" s="29">
        <v>-2.0202898550724595E-2</v>
      </c>
    </row>
    <row r="263" spans="1:3" x14ac:dyDescent="0.25">
      <c r="A263" s="8">
        <v>229</v>
      </c>
      <c r="B263" s="29">
        <v>6.4492753623188417E-2</v>
      </c>
      <c r="C263" s="29">
        <v>-2.2492753623188415E-2</v>
      </c>
    </row>
    <row r="264" spans="1:3" x14ac:dyDescent="0.25">
      <c r="A264" s="8">
        <v>230</v>
      </c>
      <c r="B264" s="29">
        <v>6.4391304347825973E-2</v>
      </c>
      <c r="C264" s="29">
        <v>-2.239130434782597E-2</v>
      </c>
    </row>
    <row r="265" spans="1:3" x14ac:dyDescent="0.25">
      <c r="A265" s="8">
        <v>231</v>
      </c>
      <c r="B265" s="29">
        <v>6.1652173913043402E-2</v>
      </c>
      <c r="C265" s="29">
        <v>-2.2652173913043402E-2</v>
      </c>
    </row>
    <row r="266" spans="1:3" x14ac:dyDescent="0.25">
      <c r="A266" s="8">
        <v>232</v>
      </c>
      <c r="B266" s="29">
        <v>5.6550724637681071E-2</v>
      </c>
      <c r="C266" s="29">
        <v>-2.1550724637681068E-2</v>
      </c>
    </row>
    <row r="267" spans="1:3" x14ac:dyDescent="0.25">
      <c r="A267" s="8">
        <v>233</v>
      </c>
      <c r="B267" s="29">
        <v>5.5101449275362209E-2</v>
      </c>
      <c r="C267" s="29">
        <v>-2.3101449275362208E-2</v>
      </c>
    </row>
    <row r="268" spans="1:3" x14ac:dyDescent="0.25">
      <c r="A268" s="8">
        <v>234</v>
      </c>
      <c r="B268" s="29">
        <v>6.1130434782608579E-2</v>
      </c>
      <c r="C268" s="29">
        <v>-1.513043478260858E-2</v>
      </c>
    </row>
    <row r="269" spans="1:3" x14ac:dyDescent="0.25">
      <c r="A269" s="8">
        <v>235</v>
      </c>
      <c r="B269" s="29">
        <v>5.9550724637681039E-2</v>
      </c>
      <c r="C269" s="29">
        <v>-1.8550724637681044E-2</v>
      </c>
    </row>
    <row r="270" spans="1:3" x14ac:dyDescent="0.25">
      <c r="A270" s="8">
        <v>236</v>
      </c>
      <c r="B270" s="29">
        <v>5.6521739130434699E-2</v>
      </c>
      <c r="C270" s="29">
        <v>-1.9521739130434694E-2</v>
      </c>
    </row>
    <row r="271" spans="1:3" x14ac:dyDescent="0.25">
      <c r="A271" s="8">
        <v>237</v>
      </c>
      <c r="B271" s="29">
        <v>5.4768115942028898E-2</v>
      </c>
      <c r="C271" s="29">
        <v>-1.7768115942028893E-2</v>
      </c>
    </row>
    <row r="272" spans="1:3" x14ac:dyDescent="0.25">
      <c r="A272" s="8">
        <v>238</v>
      </c>
      <c r="B272" s="29">
        <v>5.3115942028985473E-2</v>
      </c>
      <c r="C272" s="29">
        <v>-1.5115942028985474E-2</v>
      </c>
    </row>
    <row r="273" spans="1:3" x14ac:dyDescent="0.25">
      <c r="A273" s="8">
        <v>239</v>
      </c>
      <c r="B273" s="29">
        <v>5.4782608695652081E-2</v>
      </c>
      <c r="C273" s="29">
        <v>-1.7782608695652076E-2</v>
      </c>
    </row>
    <row r="274" spans="1:3" x14ac:dyDescent="0.25">
      <c r="A274" s="8">
        <v>240</v>
      </c>
      <c r="B274" s="29">
        <v>5.5202898550724598E-2</v>
      </c>
      <c r="C274" s="29">
        <v>-2.0202898550724595E-2</v>
      </c>
    </row>
    <row r="275" spans="1:3" x14ac:dyDescent="0.25">
      <c r="A275" s="8">
        <v>241</v>
      </c>
      <c r="B275" s="29">
        <v>6.4492753623188417E-2</v>
      </c>
      <c r="C275" s="29">
        <v>-2.4492753623188417E-2</v>
      </c>
    </row>
    <row r="276" spans="1:3" x14ac:dyDescent="0.25">
      <c r="A276" s="8">
        <v>242</v>
      </c>
      <c r="B276" s="29">
        <v>6.4391304347825973E-2</v>
      </c>
      <c r="C276" s="29">
        <v>-2.239130434782597E-2</v>
      </c>
    </row>
    <row r="277" spans="1:3" x14ac:dyDescent="0.25">
      <c r="A277" s="8">
        <v>243</v>
      </c>
      <c r="B277" s="29">
        <v>6.1652173913043402E-2</v>
      </c>
      <c r="C277" s="29">
        <v>-2.3652173913043403E-2</v>
      </c>
    </row>
    <row r="278" spans="1:3" x14ac:dyDescent="0.25">
      <c r="A278" s="8">
        <v>244</v>
      </c>
      <c r="B278" s="29">
        <v>5.6550724637681071E-2</v>
      </c>
      <c r="C278" s="29">
        <v>-2.4550724637681071E-2</v>
      </c>
    </row>
    <row r="279" spans="1:3" x14ac:dyDescent="0.25">
      <c r="A279" s="8">
        <v>245</v>
      </c>
      <c r="B279" s="29">
        <v>5.5101449275362209E-2</v>
      </c>
      <c r="C279" s="29">
        <v>-2.6101449275362211E-2</v>
      </c>
    </row>
    <row r="280" spans="1:3" x14ac:dyDescent="0.25">
      <c r="A280" s="8">
        <v>246</v>
      </c>
      <c r="B280" s="29">
        <v>6.1130434782608579E-2</v>
      </c>
      <c r="C280" s="29">
        <v>-1.6130434782608581E-2</v>
      </c>
    </row>
    <row r="281" spans="1:3" x14ac:dyDescent="0.25">
      <c r="A281" s="8">
        <v>247</v>
      </c>
      <c r="B281" s="29">
        <v>5.9550724637681039E-2</v>
      </c>
      <c r="C281" s="29">
        <v>-1.9550724637681038E-2</v>
      </c>
    </row>
    <row r="282" spans="1:3" x14ac:dyDescent="0.25">
      <c r="A282" s="8">
        <v>248</v>
      </c>
      <c r="B282" s="29">
        <v>5.6521739130434699E-2</v>
      </c>
      <c r="C282" s="29">
        <v>-2.1521739130434696E-2</v>
      </c>
    </row>
    <row r="283" spans="1:3" x14ac:dyDescent="0.25">
      <c r="A283" s="8">
        <v>249</v>
      </c>
      <c r="B283" s="29">
        <v>5.4768115942028898E-2</v>
      </c>
      <c r="C283" s="29">
        <v>-2.1768115942028897E-2</v>
      </c>
    </row>
    <row r="284" spans="1:3" x14ac:dyDescent="0.25">
      <c r="A284" s="8">
        <v>250</v>
      </c>
      <c r="B284" s="29">
        <v>5.3115942028985473E-2</v>
      </c>
      <c r="C284" s="29">
        <v>-2.1115942028985472E-2</v>
      </c>
    </row>
    <row r="285" spans="1:3" x14ac:dyDescent="0.25">
      <c r="A285" s="8">
        <v>251</v>
      </c>
      <c r="B285" s="29">
        <v>5.4782608695652081E-2</v>
      </c>
      <c r="C285" s="29">
        <v>-2.178260869565208E-2</v>
      </c>
    </row>
    <row r="286" spans="1:3" x14ac:dyDescent="0.25">
      <c r="A286" s="8">
        <v>252</v>
      </c>
      <c r="B286" s="29">
        <v>5.5202898550724598E-2</v>
      </c>
      <c r="C286" s="29">
        <v>-2.4202898550724598E-2</v>
      </c>
    </row>
    <row r="287" spans="1:3" x14ac:dyDescent="0.25">
      <c r="A287" s="8">
        <v>253</v>
      </c>
      <c r="B287" s="29">
        <v>6.4492753623188417E-2</v>
      </c>
      <c r="C287" s="29">
        <v>-2.7492753623188412E-2</v>
      </c>
    </row>
    <row r="288" spans="1:3" x14ac:dyDescent="0.25">
      <c r="A288" s="8">
        <v>254</v>
      </c>
      <c r="B288" s="29">
        <v>6.4391304347825973E-2</v>
      </c>
      <c r="C288" s="29">
        <v>-2.7391304347825968E-2</v>
      </c>
    </row>
    <row r="289" spans="1:3" x14ac:dyDescent="0.25">
      <c r="A289" s="8">
        <v>255</v>
      </c>
      <c r="B289" s="29">
        <v>6.1652173913043402E-2</v>
      </c>
      <c r="C289" s="29">
        <v>-2.6652173913043399E-2</v>
      </c>
    </row>
    <row r="290" spans="1:3" x14ac:dyDescent="0.25">
      <c r="A290" s="8">
        <v>256</v>
      </c>
      <c r="B290" s="29">
        <v>5.6550724637681071E-2</v>
      </c>
      <c r="C290" s="29">
        <v>-2.4550724637681071E-2</v>
      </c>
    </row>
    <row r="291" spans="1:3" x14ac:dyDescent="0.25">
      <c r="A291" s="8">
        <v>257</v>
      </c>
      <c r="B291" s="29">
        <v>5.5101449275362209E-2</v>
      </c>
      <c r="C291" s="29">
        <v>-2.6101449275362211E-2</v>
      </c>
    </row>
    <row r="292" spans="1:3" x14ac:dyDescent="0.25">
      <c r="A292" s="8">
        <v>258</v>
      </c>
      <c r="B292" s="29">
        <v>6.1130434782608579E-2</v>
      </c>
      <c r="C292" s="29">
        <v>-2.0130434782608585E-2</v>
      </c>
    </row>
    <row r="293" spans="1:3" x14ac:dyDescent="0.25">
      <c r="A293" s="8">
        <v>259</v>
      </c>
      <c r="B293" s="29">
        <v>5.9550724637681039E-2</v>
      </c>
      <c r="C293" s="29">
        <v>-2.155072463768104E-2</v>
      </c>
    </row>
    <row r="294" spans="1:3" x14ac:dyDescent="0.25">
      <c r="A294" s="8">
        <v>260</v>
      </c>
      <c r="B294" s="29">
        <v>5.6521739130434699E-2</v>
      </c>
      <c r="C294" s="29">
        <v>-2.1521739130434696E-2</v>
      </c>
    </row>
    <row r="295" spans="1:3" x14ac:dyDescent="0.25">
      <c r="A295" s="8">
        <v>261</v>
      </c>
      <c r="B295" s="29">
        <v>5.4768115942028898E-2</v>
      </c>
      <c r="C295" s="29">
        <v>-1.7768115942028893E-2</v>
      </c>
    </row>
    <row r="296" spans="1:3" x14ac:dyDescent="0.25">
      <c r="A296" s="8">
        <v>262</v>
      </c>
      <c r="B296" s="29">
        <v>5.3115942028985473E-2</v>
      </c>
      <c r="C296" s="29">
        <v>-1.811594202898547E-2</v>
      </c>
    </row>
    <row r="297" spans="1:3" x14ac:dyDescent="0.25">
      <c r="A297" s="8">
        <v>263</v>
      </c>
      <c r="B297" s="29">
        <v>5.4782608695652081E-2</v>
      </c>
      <c r="C297" s="29">
        <v>-2.178260869565208E-2</v>
      </c>
    </row>
    <row r="298" spans="1:3" x14ac:dyDescent="0.25">
      <c r="A298" s="8">
        <v>264</v>
      </c>
      <c r="B298" s="29">
        <v>5.5202898550724598E-2</v>
      </c>
      <c r="C298" s="29">
        <v>-2.3202898550724597E-2</v>
      </c>
    </row>
    <row r="299" spans="1:3" x14ac:dyDescent="0.25">
      <c r="A299" s="8">
        <v>265</v>
      </c>
      <c r="B299" s="29">
        <v>6.4492753623188417E-2</v>
      </c>
      <c r="C299" s="29">
        <v>-2.2492753623188415E-2</v>
      </c>
    </row>
    <row r="300" spans="1:3" x14ac:dyDescent="0.25">
      <c r="A300" s="8">
        <v>266</v>
      </c>
      <c r="B300" s="29">
        <v>6.4391304347825973E-2</v>
      </c>
      <c r="C300" s="29">
        <v>-1.7391304347825973E-2</v>
      </c>
    </row>
    <row r="301" spans="1:3" x14ac:dyDescent="0.25">
      <c r="A301" s="8">
        <v>267</v>
      </c>
      <c r="B301" s="29">
        <v>6.1652173913043402E-2</v>
      </c>
      <c r="C301" s="29">
        <v>-1.5652173913043403E-2</v>
      </c>
    </row>
    <row r="302" spans="1:3" x14ac:dyDescent="0.25">
      <c r="A302" s="8">
        <v>268</v>
      </c>
      <c r="B302" s="29">
        <v>5.6550724637681071E-2</v>
      </c>
      <c r="C302" s="29">
        <v>-1.3550724637681075E-2</v>
      </c>
    </row>
    <row r="303" spans="1:3" x14ac:dyDescent="0.25">
      <c r="A303" s="8">
        <v>269</v>
      </c>
      <c r="B303" s="29">
        <v>5.5101449275362209E-2</v>
      </c>
      <c r="C303" s="29">
        <v>-1.4101449275362214E-2</v>
      </c>
    </row>
    <row r="304" spans="1:3" x14ac:dyDescent="0.25">
      <c r="A304" s="8">
        <v>270</v>
      </c>
      <c r="B304" s="29">
        <v>6.1130434782608579E-2</v>
      </c>
      <c r="C304" s="29">
        <v>-5.1304347826085853E-3</v>
      </c>
    </row>
    <row r="305" spans="1:3" x14ac:dyDescent="0.25">
      <c r="A305" s="8">
        <v>271</v>
      </c>
      <c r="B305" s="29">
        <v>5.9550724637681039E-2</v>
      </c>
      <c r="C305" s="29">
        <v>-6.5507246376810407E-3</v>
      </c>
    </row>
    <row r="306" spans="1:3" x14ac:dyDescent="0.25">
      <c r="A306" s="8">
        <v>272</v>
      </c>
      <c r="B306" s="29">
        <v>5.6521739130434699E-2</v>
      </c>
      <c r="C306" s="29">
        <v>-6.5217391304346964E-3</v>
      </c>
    </row>
    <row r="307" spans="1:3" x14ac:dyDescent="0.25">
      <c r="A307" s="8">
        <v>273</v>
      </c>
      <c r="B307" s="29">
        <v>5.4768115942028898E-2</v>
      </c>
      <c r="C307" s="29">
        <v>-2.7681159420288939E-3</v>
      </c>
    </row>
    <row r="308" spans="1:3" x14ac:dyDescent="0.25">
      <c r="A308" s="8">
        <v>274</v>
      </c>
      <c r="B308" s="29">
        <v>5.3115942028985473E-2</v>
      </c>
      <c r="C308" s="29">
        <v>-2.1159420289854763E-3</v>
      </c>
    </row>
    <row r="309" spans="1:3" x14ac:dyDescent="0.25">
      <c r="A309" s="8">
        <v>275</v>
      </c>
      <c r="B309" s="29">
        <v>5.4782608695652081E-2</v>
      </c>
      <c r="C309" s="29">
        <v>2.173913043479192E-4</v>
      </c>
    </row>
    <row r="310" spans="1:3" x14ac:dyDescent="0.25">
      <c r="A310" s="8">
        <v>276</v>
      </c>
      <c r="B310" s="29">
        <v>5.5202898550724598E-2</v>
      </c>
      <c r="C310" s="29">
        <v>7.9710144927539611E-4</v>
      </c>
    </row>
    <row r="311" spans="1:3" x14ac:dyDescent="0.25">
      <c r="A311" s="8">
        <v>277</v>
      </c>
      <c r="B311" s="29">
        <v>6.4492753623188417E-2</v>
      </c>
      <c r="C311" s="29">
        <v>1.5072463768115857E-3</v>
      </c>
    </row>
    <row r="312" spans="1:3" x14ac:dyDescent="0.25">
      <c r="A312" s="8">
        <v>278</v>
      </c>
      <c r="B312" s="29">
        <v>6.4391304347825973E-2</v>
      </c>
      <c r="C312" s="29">
        <v>1.6086956521740303E-3</v>
      </c>
    </row>
    <row r="313" spans="1:3" x14ac:dyDescent="0.25">
      <c r="A313" s="8">
        <v>279</v>
      </c>
      <c r="B313" s="29">
        <v>6.1652173913043402E-2</v>
      </c>
      <c r="C313" s="29">
        <v>1.3478260869565981E-3</v>
      </c>
    </row>
    <row r="314" spans="1:3" x14ac:dyDescent="0.25">
      <c r="A314" s="8">
        <v>280</v>
      </c>
      <c r="B314" s="29">
        <v>5.6550724637681071E-2</v>
      </c>
      <c r="C314" s="29">
        <v>4.4927536231893078E-4</v>
      </c>
    </row>
    <row r="315" spans="1:3" x14ac:dyDescent="0.25">
      <c r="A315" s="8">
        <v>281</v>
      </c>
      <c r="B315" s="29">
        <v>5.5101449275362209E-2</v>
      </c>
      <c r="C315" s="29">
        <v>-2.1014492753622105E-3</v>
      </c>
    </row>
    <row r="316" spans="1:3" x14ac:dyDescent="0.25">
      <c r="A316" s="8">
        <v>282</v>
      </c>
      <c r="B316" s="29">
        <v>6.1130434782608579E-2</v>
      </c>
      <c r="C316" s="29">
        <v>3.8695652173914227E-3</v>
      </c>
    </row>
    <row r="317" spans="1:3" x14ac:dyDescent="0.25">
      <c r="A317" s="8">
        <v>283</v>
      </c>
      <c r="B317" s="29">
        <v>5.9550724637681039E-2</v>
      </c>
      <c r="C317" s="29">
        <v>2.4492753623189603E-3</v>
      </c>
    </row>
    <row r="318" spans="1:3" x14ac:dyDescent="0.25">
      <c r="A318" s="8">
        <v>284</v>
      </c>
      <c r="B318" s="29">
        <v>5.6521739130434699E-2</v>
      </c>
      <c r="C318" s="29">
        <v>2.4782608695653047E-3</v>
      </c>
    </row>
    <row r="319" spans="1:3" x14ac:dyDescent="0.25">
      <c r="A319" s="8">
        <v>285</v>
      </c>
      <c r="B319" s="29">
        <v>5.4768115942028898E-2</v>
      </c>
      <c r="C319" s="29">
        <v>3.2318840579710975E-3</v>
      </c>
    </row>
    <row r="320" spans="1:3" x14ac:dyDescent="0.25">
      <c r="A320" s="8">
        <v>286</v>
      </c>
      <c r="B320" s="29">
        <v>5.3115942028985473E-2</v>
      </c>
      <c r="C320" s="29">
        <v>8.8405797101453326E-4</v>
      </c>
    </row>
    <row r="321" spans="1:3" x14ac:dyDescent="0.25">
      <c r="A321" s="8">
        <v>287</v>
      </c>
      <c r="B321" s="29">
        <v>5.4782608695652081E-2</v>
      </c>
      <c r="C321" s="29">
        <v>2.217391304347921E-3</v>
      </c>
    </row>
    <row r="322" spans="1:3" x14ac:dyDescent="0.25">
      <c r="A322" s="8">
        <v>288</v>
      </c>
      <c r="B322" s="29">
        <v>5.5202898550724598E-2</v>
      </c>
      <c r="C322" s="29">
        <v>-2.0289855072459784E-4</v>
      </c>
    </row>
    <row r="323" spans="1:3" x14ac:dyDescent="0.25">
      <c r="A323" s="8">
        <v>289</v>
      </c>
      <c r="B323" s="29">
        <v>6.4492753623188417E-2</v>
      </c>
      <c r="C323" s="29">
        <v>5.072463768115848E-4</v>
      </c>
    </row>
    <row r="324" spans="1:3" x14ac:dyDescent="0.25">
      <c r="A324" s="8">
        <v>290</v>
      </c>
      <c r="B324" s="29">
        <v>6.4391304347825973E-2</v>
      </c>
      <c r="C324" s="29">
        <v>-3.9130434782597145E-4</v>
      </c>
    </row>
    <row r="325" spans="1:3" x14ac:dyDescent="0.25">
      <c r="A325" s="8">
        <v>291</v>
      </c>
      <c r="B325" s="29">
        <v>6.1652173913043402E-2</v>
      </c>
      <c r="C325" s="29">
        <v>-6.5217391304340372E-4</v>
      </c>
    </row>
    <row r="326" spans="1:3" x14ac:dyDescent="0.25">
      <c r="A326" s="8">
        <v>292</v>
      </c>
      <c r="B326" s="29">
        <v>5.6550724637681071E-2</v>
      </c>
      <c r="C326" s="29">
        <v>-1.550724637681071E-3</v>
      </c>
    </row>
    <row r="327" spans="1:3" x14ac:dyDescent="0.25">
      <c r="A327" s="8">
        <v>293</v>
      </c>
      <c r="B327" s="29">
        <v>5.5101449275362209E-2</v>
      </c>
      <c r="C327" s="29">
        <v>-4.1014492753622123E-3</v>
      </c>
    </row>
    <row r="328" spans="1:3" x14ac:dyDescent="0.25">
      <c r="A328" s="8">
        <v>294</v>
      </c>
      <c r="B328" s="29">
        <v>6.1130434782608579E-2</v>
      </c>
      <c r="C328" s="29">
        <v>8.6956521739142006E-4</v>
      </c>
    </row>
    <row r="329" spans="1:3" x14ac:dyDescent="0.25">
      <c r="A329" s="8">
        <v>295</v>
      </c>
      <c r="B329" s="29">
        <v>5.9550724637681039E-2</v>
      </c>
      <c r="C329" s="29">
        <v>-5.5072463768103541E-4</v>
      </c>
    </row>
    <row r="330" spans="1:3" x14ac:dyDescent="0.25">
      <c r="A330" s="8">
        <v>296</v>
      </c>
      <c r="B330" s="29">
        <v>5.6521739130434699E-2</v>
      </c>
      <c r="C330" s="29">
        <v>-1.5217391304346989E-3</v>
      </c>
    </row>
    <row r="331" spans="1:3" x14ac:dyDescent="0.25">
      <c r="A331" s="8">
        <v>297</v>
      </c>
      <c r="B331" s="29">
        <v>5.4768115942028898E-2</v>
      </c>
      <c r="C331" s="29">
        <v>-7.6811594202889216E-4</v>
      </c>
    </row>
    <row r="332" spans="1:3" x14ac:dyDescent="0.25">
      <c r="A332" s="8">
        <v>298</v>
      </c>
      <c r="B332" s="29">
        <v>5.3115942028985473E-2</v>
      </c>
      <c r="C332" s="29">
        <v>-2.1159420289854763E-3</v>
      </c>
    </row>
    <row r="333" spans="1:3" x14ac:dyDescent="0.25">
      <c r="A333" s="8">
        <v>299</v>
      </c>
      <c r="B333" s="29">
        <v>5.4782608695652081E-2</v>
      </c>
      <c r="C333" s="29">
        <v>-5.7826086956520792E-3</v>
      </c>
    </row>
    <row r="334" spans="1:3" x14ac:dyDescent="0.25">
      <c r="A334" s="8">
        <v>300</v>
      </c>
      <c r="B334" s="29">
        <v>5.5202898550724598E-2</v>
      </c>
      <c r="C334" s="29">
        <v>-7.2028985507245971E-3</v>
      </c>
    </row>
    <row r="335" spans="1:3" x14ac:dyDescent="0.25">
      <c r="A335" s="8">
        <v>301</v>
      </c>
      <c r="B335" s="29">
        <v>6.4492753623188417E-2</v>
      </c>
      <c r="C335" s="29">
        <v>-9.4927536231884171E-3</v>
      </c>
    </row>
    <row r="336" spans="1:3" x14ac:dyDescent="0.25">
      <c r="A336" s="8">
        <v>302</v>
      </c>
      <c r="B336" s="29">
        <v>6.4391304347825973E-2</v>
      </c>
      <c r="C336" s="29">
        <v>-8.3913043478259786E-3</v>
      </c>
    </row>
    <row r="337" spans="1:3" x14ac:dyDescent="0.25">
      <c r="A337" s="8">
        <v>303</v>
      </c>
      <c r="B337" s="29">
        <v>6.1652173913043402E-2</v>
      </c>
      <c r="C337" s="29">
        <v>-9.6521739130433978E-3</v>
      </c>
    </row>
    <row r="338" spans="1:3" x14ac:dyDescent="0.25">
      <c r="A338" s="8">
        <v>304</v>
      </c>
      <c r="B338" s="29">
        <v>5.6550724637681071E-2</v>
      </c>
      <c r="C338" s="29">
        <v>-8.5507246376810703E-3</v>
      </c>
    </row>
    <row r="339" spans="1:3" x14ac:dyDescent="0.25">
      <c r="A339" s="8">
        <v>305</v>
      </c>
      <c r="B339" s="29">
        <v>5.5101449275362209E-2</v>
      </c>
      <c r="C339" s="29">
        <v>-1.1101449275362205E-2</v>
      </c>
    </row>
    <row r="340" spans="1:3" x14ac:dyDescent="0.25">
      <c r="A340" s="8">
        <v>306</v>
      </c>
      <c r="B340" s="29">
        <v>6.1130434782608579E-2</v>
      </c>
      <c r="C340" s="29">
        <v>-7.1304347826085732E-3</v>
      </c>
    </row>
    <row r="341" spans="1:3" x14ac:dyDescent="0.25">
      <c r="A341" s="8">
        <v>307</v>
      </c>
      <c r="B341" s="29">
        <v>5.9550724637681039E-2</v>
      </c>
      <c r="C341" s="29">
        <v>-9.5507246376810365E-3</v>
      </c>
    </row>
    <row r="342" spans="1:3" x14ac:dyDescent="0.25">
      <c r="A342" s="8">
        <v>308</v>
      </c>
      <c r="B342" s="29">
        <v>5.6521739130434699E-2</v>
      </c>
      <c r="C342" s="29">
        <v>-9.521739130434699E-3</v>
      </c>
    </row>
    <row r="343" spans="1:3" x14ac:dyDescent="0.25">
      <c r="A343" s="8">
        <v>309</v>
      </c>
      <c r="B343" s="29">
        <v>5.4768115942028898E-2</v>
      </c>
      <c r="C343" s="29">
        <v>-7.7681159420288984E-3</v>
      </c>
    </row>
    <row r="344" spans="1:3" x14ac:dyDescent="0.25">
      <c r="A344" s="8">
        <v>310</v>
      </c>
      <c r="B344" s="29">
        <v>5.3115942028985473E-2</v>
      </c>
      <c r="C344" s="29">
        <v>-1.111594202898547E-2</v>
      </c>
    </row>
    <row r="345" spans="1:3" x14ac:dyDescent="0.25">
      <c r="A345" s="8">
        <v>311</v>
      </c>
      <c r="B345" s="29">
        <v>5.4782608695652081E-2</v>
      </c>
      <c r="C345" s="29">
        <v>-8.7826086956520819E-3</v>
      </c>
    </row>
    <row r="346" spans="1:3" x14ac:dyDescent="0.25">
      <c r="A346" s="8">
        <v>312</v>
      </c>
      <c r="B346" s="29">
        <v>5.5202898550724598E-2</v>
      </c>
      <c r="C346" s="29">
        <v>-9.2028985507245989E-3</v>
      </c>
    </row>
    <row r="347" spans="1:3" x14ac:dyDescent="0.25">
      <c r="A347" s="8">
        <v>313</v>
      </c>
      <c r="B347" s="29">
        <v>6.4492753623188417E-2</v>
      </c>
      <c r="C347" s="29">
        <v>-7.4927536231884154E-3</v>
      </c>
    </row>
    <row r="348" spans="1:3" x14ac:dyDescent="0.25">
      <c r="A348" s="8">
        <v>314</v>
      </c>
      <c r="B348" s="29">
        <v>6.4391304347825973E-2</v>
      </c>
      <c r="C348" s="29">
        <v>-6.3913043478259768E-3</v>
      </c>
    </row>
    <row r="349" spans="1:3" x14ac:dyDescent="0.25">
      <c r="A349" s="8">
        <v>315</v>
      </c>
      <c r="B349" s="29">
        <v>6.1652173913043402E-2</v>
      </c>
      <c r="C349" s="29">
        <v>-8.6521739130434039E-3</v>
      </c>
    </row>
    <row r="350" spans="1:3" x14ac:dyDescent="0.25">
      <c r="A350" s="8">
        <v>316</v>
      </c>
      <c r="B350" s="29">
        <v>5.6550724637681071E-2</v>
      </c>
      <c r="C350" s="29">
        <v>-8.5507246376810703E-3</v>
      </c>
    </row>
    <row r="351" spans="1:3" x14ac:dyDescent="0.25">
      <c r="A351" s="8">
        <v>317</v>
      </c>
      <c r="B351" s="29">
        <v>5.5101449275362209E-2</v>
      </c>
      <c r="C351" s="29">
        <v>-9.1014492753622098E-3</v>
      </c>
    </row>
    <row r="352" spans="1:3" x14ac:dyDescent="0.25">
      <c r="A352" s="8">
        <v>318</v>
      </c>
      <c r="B352" s="29">
        <v>6.1130434782608579E-2</v>
      </c>
      <c r="C352" s="29">
        <v>-3.1304347826085835E-3</v>
      </c>
    </row>
    <row r="353" spans="1:3" x14ac:dyDescent="0.25">
      <c r="A353" s="8">
        <v>319</v>
      </c>
      <c r="B353" s="29">
        <v>5.9550724637681039E-2</v>
      </c>
      <c r="C353" s="29">
        <v>-2.5507246376810372E-3</v>
      </c>
    </row>
    <row r="354" spans="1:3" x14ac:dyDescent="0.25">
      <c r="A354" s="8">
        <v>320</v>
      </c>
      <c r="B354" s="29">
        <v>5.6521739130434699E-2</v>
      </c>
      <c r="C354" s="29">
        <v>-3.5217391304347007E-3</v>
      </c>
    </row>
    <row r="355" spans="1:3" x14ac:dyDescent="0.25">
      <c r="A355" s="8">
        <v>321</v>
      </c>
      <c r="B355" s="29">
        <v>5.4768115942028898E-2</v>
      </c>
      <c r="C355" s="29">
        <v>2.2318840579711036E-3</v>
      </c>
    </row>
    <row r="356" spans="1:3" x14ac:dyDescent="0.25">
      <c r="A356" s="8">
        <v>322</v>
      </c>
      <c r="B356" s="29">
        <v>5.3115942028985473E-2</v>
      </c>
      <c r="C356" s="29">
        <v>1.8840579710145272E-3</v>
      </c>
    </row>
    <row r="357" spans="1:3" x14ac:dyDescent="0.25">
      <c r="A357" s="8">
        <v>323</v>
      </c>
      <c r="B357" s="29">
        <v>5.4782608695652081E-2</v>
      </c>
      <c r="C357" s="29">
        <v>7.2173913043479185E-3</v>
      </c>
    </row>
    <row r="358" spans="1:3" x14ac:dyDescent="0.25">
      <c r="A358" s="8">
        <v>324</v>
      </c>
      <c r="B358" s="29">
        <v>5.5202898550724598E-2</v>
      </c>
      <c r="C358" s="29">
        <v>1.1797101449275406E-2</v>
      </c>
    </row>
    <row r="359" spans="1:3" x14ac:dyDescent="0.25">
      <c r="A359" s="8">
        <v>325</v>
      </c>
      <c r="B359" s="29">
        <v>6.4492753623188417E-2</v>
      </c>
      <c r="C359" s="29">
        <v>2.5507246376811579E-2</v>
      </c>
    </row>
    <row r="360" spans="1:3" x14ac:dyDescent="0.25">
      <c r="A360" s="8">
        <v>326</v>
      </c>
      <c r="B360" s="29">
        <v>6.4391304347825973E-2</v>
      </c>
      <c r="C360" s="29">
        <v>2.6608695652174025E-2</v>
      </c>
    </row>
    <row r="361" spans="1:3" x14ac:dyDescent="0.25">
      <c r="A361" s="8">
        <v>327</v>
      </c>
      <c r="B361" s="29">
        <v>6.1652173913043402E-2</v>
      </c>
      <c r="C361" s="29">
        <v>2.9347826086956595E-2</v>
      </c>
    </row>
    <row r="362" spans="1:3" x14ac:dyDescent="0.25">
      <c r="A362" s="8">
        <v>328</v>
      </c>
      <c r="B362" s="29">
        <v>5.6550724637681071E-2</v>
      </c>
      <c r="C362" s="29">
        <v>2.9449275362318922E-2</v>
      </c>
    </row>
    <row r="363" spans="1:3" x14ac:dyDescent="0.25">
      <c r="A363" s="8">
        <v>329</v>
      </c>
      <c r="B363" s="29">
        <v>5.5101449275362209E-2</v>
      </c>
      <c r="C363" s="29">
        <v>2.7898550724637795E-2</v>
      </c>
    </row>
    <row r="364" spans="1:3" x14ac:dyDescent="0.25">
      <c r="A364" s="8">
        <v>330</v>
      </c>
      <c r="B364" s="29">
        <v>6.1130434782608579E-2</v>
      </c>
      <c r="C364" s="29">
        <v>2.9869565217391418E-2</v>
      </c>
    </row>
    <row r="365" spans="1:3" x14ac:dyDescent="0.25">
      <c r="A365" s="8">
        <v>331</v>
      </c>
      <c r="B365" s="29">
        <v>5.9550724637681039E-2</v>
      </c>
      <c r="C365" s="29">
        <v>2.7449275362318955E-2</v>
      </c>
    </row>
    <row r="366" spans="1:3" x14ac:dyDescent="0.25">
      <c r="A366" s="8">
        <v>332</v>
      </c>
      <c r="B366" s="29">
        <v>5.6521739130434699E-2</v>
      </c>
      <c r="C366" s="29">
        <v>2.547826086956529E-2</v>
      </c>
    </row>
    <row r="367" spans="1:3" x14ac:dyDescent="0.25">
      <c r="A367" s="8">
        <v>333</v>
      </c>
      <c r="B367" s="29">
        <v>5.4768115942028898E-2</v>
      </c>
      <c r="C367" s="29">
        <v>2.6231884057971104E-2</v>
      </c>
    </row>
    <row r="368" spans="1:3" x14ac:dyDescent="0.25">
      <c r="A368" s="8">
        <v>334</v>
      </c>
      <c r="B368" s="29">
        <v>5.3115942028985473E-2</v>
      </c>
      <c r="C368" s="29">
        <v>2.4884057971014527E-2</v>
      </c>
    </row>
    <row r="369" spans="1:3" x14ac:dyDescent="0.25">
      <c r="A369" s="8">
        <v>335</v>
      </c>
      <c r="B369" s="29">
        <v>5.4782608695652081E-2</v>
      </c>
      <c r="C369" s="29">
        <v>2.3217391304347919E-2</v>
      </c>
    </row>
    <row r="370" spans="1:3" x14ac:dyDescent="0.25">
      <c r="A370" s="8">
        <v>336</v>
      </c>
      <c r="B370" s="29">
        <v>5.5202898550724598E-2</v>
      </c>
      <c r="C370" s="29">
        <v>2.2797101449275402E-2</v>
      </c>
    </row>
    <row r="371" spans="1:3" x14ac:dyDescent="0.25">
      <c r="A371" s="8">
        <v>337</v>
      </c>
      <c r="B371" s="29">
        <v>6.4492753623188417E-2</v>
      </c>
      <c r="C371" s="29">
        <v>2.3507246376811591E-2</v>
      </c>
    </row>
    <row r="372" spans="1:3" x14ac:dyDescent="0.25">
      <c r="A372" s="8">
        <v>338</v>
      </c>
      <c r="B372" s="29">
        <v>6.4391304347825973E-2</v>
      </c>
      <c r="C372" s="29">
        <v>2.2608695652174021E-2</v>
      </c>
    </row>
    <row r="373" spans="1:3" x14ac:dyDescent="0.25">
      <c r="A373" s="8">
        <v>339</v>
      </c>
      <c r="B373" s="29">
        <v>6.1652173913043402E-2</v>
      </c>
      <c r="C373" s="29">
        <v>1.93478260869566E-2</v>
      </c>
    </row>
    <row r="374" spans="1:3" x14ac:dyDescent="0.25">
      <c r="A374" s="8">
        <v>340</v>
      </c>
      <c r="B374" s="29">
        <v>5.6550724637681071E-2</v>
      </c>
      <c r="C374" s="29">
        <v>1.7449275362318939E-2</v>
      </c>
    </row>
    <row r="375" spans="1:3" x14ac:dyDescent="0.25">
      <c r="A375" s="8">
        <v>341</v>
      </c>
      <c r="B375" s="29">
        <v>5.5101449275362209E-2</v>
      </c>
      <c r="C375" s="29">
        <v>1.2898550724637796E-2</v>
      </c>
    </row>
    <row r="376" spans="1:3" x14ac:dyDescent="0.25">
      <c r="A376" s="8">
        <v>342</v>
      </c>
      <c r="B376" s="29">
        <v>6.1130434782608579E-2</v>
      </c>
      <c r="C376" s="29">
        <v>1.8869565217391422E-2</v>
      </c>
    </row>
    <row r="377" spans="1:3" x14ac:dyDescent="0.25">
      <c r="A377" s="8">
        <v>343</v>
      </c>
      <c r="B377" s="29">
        <v>5.9550724637681039E-2</v>
      </c>
      <c r="C377" s="29">
        <v>1.8449275362318961E-2</v>
      </c>
    </row>
    <row r="378" spans="1:3" x14ac:dyDescent="0.25">
      <c r="A378" s="8">
        <v>344</v>
      </c>
      <c r="B378" s="29">
        <v>5.6521739130434699E-2</v>
      </c>
      <c r="C378" s="29">
        <v>1.9478260869565299E-2</v>
      </c>
    </row>
    <row r="379" spans="1:3" x14ac:dyDescent="0.25">
      <c r="A379" s="8">
        <v>345</v>
      </c>
      <c r="B379" s="29">
        <v>5.4768115942028898E-2</v>
      </c>
      <c r="C379" s="29">
        <v>1.9231884057971112E-2</v>
      </c>
    </row>
    <row r="380" spans="1:3" x14ac:dyDescent="0.25">
      <c r="A380" s="8">
        <v>346</v>
      </c>
      <c r="B380" s="29">
        <v>5.3115942028985473E-2</v>
      </c>
      <c r="C380" s="29">
        <v>1.8884057971014535E-2</v>
      </c>
    </row>
    <row r="381" spans="1:3" x14ac:dyDescent="0.25">
      <c r="A381" s="8">
        <v>347</v>
      </c>
      <c r="B381" s="29">
        <v>5.4782608695652081E-2</v>
      </c>
      <c r="C381" s="29">
        <v>1.9217391304347929E-2</v>
      </c>
    </row>
    <row r="382" spans="1:3" x14ac:dyDescent="0.25">
      <c r="A382" s="8">
        <v>348</v>
      </c>
      <c r="B382" s="29">
        <v>5.5202898550724598E-2</v>
      </c>
      <c r="C382" s="29">
        <v>1.8797101449275412E-2</v>
      </c>
    </row>
    <row r="383" spans="1:3" x14ac:dyDescent="0.25">
      <c r="A383" s="8">
        <v>349</v>
      </c>
      <c r="B383" s="29">
        <v>6.4492753623188417E-2</v>
      </c>
      <c r="C383" s="29">
        <v>1.8507246376811587E-2</v>
      </c>
    </row>
    <row r="384" spans="1:3" x14ac:dyDescent="0.25">
      <c r="A384" s="8">
        <v>350</v>
      </c>
      <c r="B384" s="29">
        <v>6.4391304347825973E-2</v>
      </c>
      <c r="C384" s="29">
        <v>2.0608695652174033E-2</v>
      </c>
    </row>
    <row r="385" spans="1:3" x14ac:dyDescent="0.25">
      <c r="A385" s="8">
        <v>351</v>
      </c>
      <c r="B385" s="29">
        <v>6.1652173913043402E-2</v>
      </c>
      <c r="C385" s="29">
        <v>1.7347826086956598E-2</v>
      </c>
    </row>
    <row r="386" spans="1:3" x14ac:dyDescent="0.25">
      <c r="A386" s="8">
        <v>352</v>
      </c>
      <c r="B386" s="29">
        <v>5.6550724637681071E-2</v>
      </c>
      <c r="C386" s="29">
        <v>1.2449275362318935E-2</v>
      </c>
    </row>
    <row r="387" spans="1:3" x14ac:dyDescent="0.25">
      <c r="A387" s="8">
        <v>353</v>
      </c>
      <c r="B387" s="29">
        <v>5.5101449275362209E-2</v>
      </c>
      <c r="C387" s="29">
        <v>8.8985507246377923E-3</v>
      </c>
    </row>
    <row r="388" spans="1:3" x14ac:dyDescent="0.25">
      <c r="A388" s="8">
        <v>354</v>
      </c>
      <c r="B388" s="29">
        <v>6.1130434782608579E-2</v>
      </c>
      <c r="C388" s="29">
        <v>1.3869565217391418E-2</v>
      </c>
    </row>
    <row r="389" spans="1:3" x14ac:dyDescent="0.25">
      <c r="A389" s="8">
        <v>355</v>
      </c>
      <c r="B389" s="29">
        <v>5.9550724637681039E-2</v>
      </c>
      <c r="C389" s="29">
        <v>1.0449275362318967E-2</v>
      </c>
    </row>
    <row r="390" spans="1:3" x14ac:dyDescent="0.25">
      <c r="A390" s="8">
        <v>356</v>
      </c>
      <c r="B390" s="29">
        <v>5.6521739130434699E-2</v>
      </c>
      <c r="C390" s="29">
        <v>1.1478260869565306E-2</v>
      </c>
    </row>
    <row r="391" spans="1:3" x14ac:dyDescent="0.25">
      <c r="A391" s="8">
        <v>357</v>
      </c>
      <c r="B391" s="29">
        <v>5.4768115942028898E-2</v>
      </c>
      <c r="C391" s="29">
        <v>1.1231884057971105E-2</v>
      </c>
    </row>
    <row r="392" spans="1:3" x14ac:dyDescent="0.25">
      <c r="A392" s="8">
        <v>358</v>
      </c>
      <c r="B392" s="29">
        <v>5.3115942028985473E-2</v>
      </c>
      <c r="C392" s="29">
        <v>1.0884057971014528E-2</v>
      </c>
    </row>
    <row r="393" spans="1:3" x14ac:dyDescent="0.25">
      <c r="A393" s="8">
        <v>359</v>
      </c>
      <c r="B393" s="29">
        <v>5.4782608695652081E-2</v>
      </c>
      <c r="C393" s="29">
        <v>1.0217391304347921E-2</v>
      </c>
    </row>
    <row r="394" spans="1:3" x14ac:dyDescent="0.25">
      <c r="A394" s="8">
        <v>360</v>
      </c>
      <c r="B394" s="29">
        <v>5.5202898550724598E-2</v>
      </c>
      <c r="C394" s="29">
        <v>4.7971014492753997E-3</v>
      </c>
    </row>
    <row r="395" spans="1:3" x14ac:dyDescent="0.25">
      <c r="A395" s="8">
        <v>361</v>
      </c>
      <c r="B395" s="29">
        <v>6.4492753623188417E-2</v>
      </c>
      <c r="C395" s="29">
        <v>6.5072463768115762E-3</v>
      </c>
    </row>
    <row r="396" spans="1:3" x14ac:dyDescent="0.25">
      <c r="A396" s="8">
        <v>362</v>
      </c>
      <c r="B396" s="29">
        <v>6.4391304347825973E-2</v>
      </c>
      <c r="C396" s="29">
        <v>4.608695652174033E-3</v>
      </c>
    </row>
    <row r="397" spans="1:3" x14ac:dyDescent="0.25">
      <c r="A397" s="8">
        <v>363</v>
      </c>
      <c r="B397" s="29">
        <v>6.1652173913043402E-2</v>
      </c>
      <c r="C397" s="29">
        <v>4.3478260869566007E-3</v>
      </c>
    </row>
    <row r="398" spans="1:3" x14ac:dyDescent="0.25">
      <c r="A398" s="8">
        <v>364</v>
      </c>
      <c r="B398" s="29">
        <v>5.6550724637681071E-2</v>
      </c>
      <c r="C398" s="29">
        <v>1.4492753623189247E-3</v>
      </c>
    </row>
    <row r="399" spans="1:3" x14ac:dyDescent="0.25">
      <c r="A399" s="8">
        <v>365</v>
      </c>
      <c r="B399" s="29">
        <v>5.5101449275362209E-2</v>
      </c>
      <c r="C399" s="29">
        <v>-1.0144927536220871E-4</v>
      </c>
    </row>
    <row r="400" spans="1:3" x14ac:dyDescent="0.25">
      <c r="A400" s="8">
        <v>366</v>
      </c>
      <c r="B400" s="29">
        <v>6.1130434782608579E-2</v>
      </c>
      <c r="C400" s="29">
        <v>8.6956521739142006E-4</v>
      </c>
    </row>
    <row r="401" spans="1:3" x14ac:dyDescent="0.25">
      <c r="A401" s="8">
        <v>367</v>
      </c>
      <c r="B401" s="29">
        <v>5.9550724637681039E-2</v>
      </c>
      <c r="C401" s="29">
        <v>3.4492753623189612E-3</v>
      </c>
    </row>
    <row r="402" spans="1:3" x14ac:dyDescent="0.25">
      <c r="A402" s="8">
        <v>368</v>
      </c>
      <c r="B402" s="29">
        <v>5.6521739130434699E-2</v>
      </c>
      <c r="C402" s="29">
        <v>2.4782608695653047E-3</v>
      </c>
    </row>
    <row r="403" spans="1:3" x14ac:dyDescent="0.25">
      <c r="A403" s="8">
        <v>369</v>
      </c>
      <c r="B403" s="29">
        <v>5.4768115942028898E-2</v>
      </c>
      <c r="C403" s="29">
        <v>3.2318840579710975E-3</v>
      </c>
    </row>
    <row r="404" spans="1:3" x14ac:dyDescent="0.25">
      <c r="A404" s="8">
        <v>370</v>
      </c>
      <c r="B404" s="29">
        <v>5.3115942028985473E-2</v>
      </c>
      <c r="C404" s="29">
        <v>8.8405797101453326E-4</v>
      </c>
    </row>
    <row r="405" spans="1:3" x14ac:dyDescent="0.25">
      <c r="A405" s="8">
        <v>371</v>
      </c>
      <c r="B405" s="29">
        <v>5.4782608695652081E-2</v>
      </c>
      <c r="C405" s="29">
        <v>1.2173913043479132E-3</v>
      </c>
    </row>
    <row r="406" spans="1:3" x14ac:dyDescent="0.25">
      <c r="A406" s="8">
        <v>372</v>
      </c>
      <c r="B406" s="29">
        <v>5.5202898550724598E-2</v>
      </c>
      <c r="C406" s="29">
        <v>1.7971014492754039E-3</v>
      </c>
    </row>
    <row r="407" spans="1:3" x14ac:dyDescent="0.25">
      <c r="A407" s="8">
        <v>373</v>
      </c>
      <c r="B407" s="29">
        <v>6.4492753623188417E-2</v>
      </c>
      <c r="C407" s="29">
        <v>-4.9275362318841609E-4</v>
      </c>
    </row>
    <row r="408" spans="1:3" x14ac:dyDescent="0.25">
      <c r="A408" s="8">
        <v>374</v>
      </c>
      <c r="B408" s="29">
        <v>6.4391304347825973E-2</v>
      </c>
      <c r="C408" s="29">
        <v>-3.9130434782597145E-4</v>
      </c>
    </row>
    <row r="409" spans="1:3" x14ac:dyDescent="0.25">
      <c r="A409" s="8">
        <v>375</v>
      </c>
      <c r="B409" s="29">
        <v>6.1652173913043402E-2</v>
      </c>
      <c r="C409" s="29">
        <v>-6.5217391304340372E-4</v>
      </c>
    </row>
    <row r="410" spans="1:3" x14ac:dyDescent="0.25">
      <c r="A410" s="8">
        <v>376</v>
      </c>
      <c r="B410" s="29">
        <v>5.6550724637681071E-2</v>
      </c>
      <c r="C410" s="29">
        <v>-1.550724637681071E-3</v>
      </c>
    </row>
    <row r="411" spans="1:3" x14ac:dyDescent="0.25">
      <c r="A411" s="8">
        <v>377</v>
      </c>
      <c r="B411" s="29">
        <v>5.5101449275362209E-2</v>
      </c>
      <c r="C411" s="29">
        <v>-3.1014492753622044E-3</v>
      </c>
    </row>
    <row r="412" spans="1:3" x14ac:dyDescent="0.25">
      <c r="A412" s="8">
        <v>378</v>
      </c>
      <c r="B412" s="29">
        <v>6.1130434782608579E-2</v>
      </c>
      <c r="C412" s="29">
        <v>-1.1304347826085817E-3</v>
      </c>
    </row>
    <row r="413" spans="1:3" x14ac:dyDescent="0.25">
      <c r="A413" s="8">
        <v>379</v>
      </c>
      <c r="B413" s="29">
        <v>5.9550724637681039E-2</v>
      </c>
      <c r="C413" s="29">
        <v>-5.5072463768103541E-4</v>
      </c>
    </row>
    <row r="414" spans="1:3" x14ac:dyDescent="0.25">
      <c r="A414" s="8">
        <v>380</v>
      </c>
      <c r="B414" s="29">
        <v>5.6521739130434699E-2</v>
      </c>
      <c r="C414" s="29">
        <v>2.4782608695653047E-3</v>
      </c>
    </row>
    <row r="415" spans="1:3" x14ac:dyDescent="0.25">
      <c r="A415" s="8">
        <v>381</v>
      </c>
      <c r="B415" s="29">
        <v>5.4768115942028898E-2</v>
      </c>
      <c r="C415" s="29">
        <v>2.2318840579711036E-3</v>
      </c>
    </row>
    <row r="416" spans="1:3" x14ac:dyDescent="0.25">
      <c r="A416" s="8">
        <v>382</v>
      </c>
      <c r="B416" s="29">
        <v>5.3115942028985473E-2</v>
      </c>
      <c r="C416" s="29">
        <v>2.8840579710145212E-3</v>
      </c>
    </row>
    <row r="417" spans="1:3" x14ac:dyDescent="0.25">
      <c r="A417" s="8">
        <v>383</v>
      </c>
      <c r="B417" s="29">
        <v>5.4782608695652081E-2</v>
      </c>
      <c r="C417" s="29">
        <v>1.2173913043479132E-3</v>
      </c>
    </row>
    <row r="418" spans="1:3" x14ac:dyDescent="0.25">
      <c r="A418" s="8">
        <v>384</v>
      </c>
      <c r="B418" s="29">
        <v>5.5202898550724598E-2</v>
      </c>
      <c r="C418" s="29">
        <v>1.7971014492754039E-3</v>
      </c>
    </row>
    <row r="419" spans="1:3" x14ac:dyDescent="0.25">
      <c r="A419" s="8">
        <v>385</v>
      </c>
      <c r="B419" s="29">
        <v>6.4492753623188417E-2</v>
      </c>
      <c r="C419" s="29">
        <v>4.5072463768115884E-3</v>
      </c>
    </row>
    <row r="420" spans="1:3" x14ac:dyDescent="0.25">
      <c r="A420" s="8">
        <v>386</v>
      </c>
      <c r="B420" s="29">
        <v>6.4391304347825973E-2</v>
      </c>
      <c r="C420" s="29">
        <v>3.6086956521740321E-3</v>
      </c>
    </row>
    <row r="421" spans="1:3" x14ac:dyDescent="0.25">
      <c r="A421" s="8">
        <v>387</v>
      </c>
      <c r="B421" s="29">
        <v>6.1652173913043402E-2</v>
      </c>
      <c r="C421" s="29">
        <v>4.3478260869566007E-3</v>
      </c>
    </row>
    <row r="422" spans="1:3" x14ac:dyDescent="0.25">
      <c r="A422" s="8">
        <v>388</v>
      </c>
      <c r="B422" s="29">
        <v>5.6550724637681071E-2</v>
      </c>
      <c r="C422" s="29">
        <v>1.0449275362318933E-2</v>
      </c>
    </row>
    <row r="423" spans="1:3" x14ac:dyDescent="0.25">
      <c r="A423" s="8">
        <v>389</v>
      </c>
      <c r="B423" s="29">
        <v>5.5101449275362209E-2</v>
      </c>
      <c r="C423" s="29">
        <v>1.5898550724637785E-2</v>
      </c>
    </row>
    <row r="424" spans="1:3" x14ac:dyDescent="0.25">
      <c r="A424" s="8">
        <v>390</v>
      </c>
      <c r="B424" s="29">
        <v>6.1130434782608579E-2</v>
      </c>
      <c r="C424" s="29">
        <v>1.686956521739142E-2</v>
      </c>
    </row>
    <row r="425" spans="1:3" x14ac:dyDescent="0.25">
      <c r="A425" s="8">
        <v>391</v>
      </c>
      <c r="B425" s="29">
        <v>5.9550724637681039E-2</v>
      </c>
      <c r="C425" s="29">
        <v>1.9449275362318962E-2</v>
      </c>
    </row>
    <row r="426" spans="1:3" x14ac:dyDescent="0.25">
      <c r="A426" s="8">
        <v>392</v>
      </c>
      <c r="B426" s="29">
        <v>5.6521739130434699E-2</v>
      </c>
      <c r="C426" s="29">
        <v>1.9478260869565299E-2</v>
      </c>
    </row>
    <row r="427" spans="1:3" x14ac:dyDescent="0.25">
      <c r="A427" s="8">
        <v>393</v>
      </c>
      <c r="B427" s="29">
        <v>5.4768115942028898E-2</v>
      </c>
      <c r="C427" s="29">
        <v>1.723188405797111E-2</v>
      </c>
    </row>
    <row r="428" spans="1:3" x14ac:dyDescent="0.25">
      <c r="A428" s="8">
        <v>394</v>
      </c>
      <c r="B428" s="29">
        <v>5.3115942028985473E-2</v>
      </c>
      <c r="C428" s="29">
        <v>1.7884057971014521E-2</v>
      </c>
    </row>
    <row r="429" spans="1:3" x14ac:dyDescent="0.25">
      <c r="A429" s="8">
        <v>395</v>
      </c>
      <c r="B429" s="29">
        <v>5.4782608695652081E-2</v>
      </c>
      <c r="C429" s="29">
        <v>1.6217391304347913E-2</v>
      </c>
    </row>
    <row r="430" spans="1:3" x14ac:dyDescent="0.25">
      <c r="A430" s="8">
        <v>396</v>
      </c>
      <c r="B430" s="29">
        <v>5.5202898550724598E-2</v>
      </c>
      <c r="C430" s="29">
        <v>1.3797101449275408E-2</v>
      </c>
    </row>
    <row r="431" spans="1:3" x14ac:dyDescent="0.25">
      <c r="A431" s="8">
        <v>397</v>
      </c>
      <c r="B431" s="29">
        <v>6.4492753623188417E-2</v>
      </c>
      <c r="C431" s="29">
        <v>1.7507246376811572E-2</v>
      </c>
    </row>
    <row r="432" spans="1:3" x14ac:dyDescent="0.25">
      <c r="A432" s="8">
        <v>398</v>
      </c>
      <c r="B432" s="29">
        <v>6.4391304347825973E-2</v>
      </c>
      <c r="C432" s="29">
        <v>1.5608695652174029E-2</v>
      </c>
    </row>
    <row r="433" spans="1:3" x14ac:dyDescent="0.25">
      <c r="A433" s="8">
        <v>399</v>
      </c>
      <c r="B433" s="29">
        <v>6.1652173913043402E-2</v>
      </c>
      <c r="C433" s="29">
        <v>1.5347826086956597E-2</v>
      </c>
    </row>
    <row r="434" spans="1:3" x14ac:dyDescent="0.25">
      <c r="A434" s="8">
        <v>400</v>
      </c>
      <c r="B434" s="29">
        <v>5.6550724637681071E-2</v>
      </c>
      <c r="C434" s="29">
        <v>1.3449275362318935E-2</v>
      </c>
    </row>
    <row r="435" spans="1:3" x14ac:dyDescent="0.25">
      <c r="A435" s="8">
        <v>401</v>
      </c>
      <c r="B435" s="29">
        <v>5.5101449275362209E-2</v>
      </c>
      <c r="C435" s="29">
        <v>1.5898550724637785E-2</v>
      </c>
    </row>
    <row r="436" spans="1:3" x14ac:dyDescent="0.25">
      <c r="A436" s="8">
        <v>402</v>
      </c>
      <c r="B436" s="29">
        <v>6.1130434782608579E-2</v>
      </c>
      <c r="C436" s="29">
        <v>1.586956521739142E-2</v>
      </c>
    </row>
    <row r="437" spans="1:3" x14ac:dyDescent="0.25">
      <c r="A437" s="8">
        <v>403</v>
      </c>
      <c r="B437" s="29">
        <v>5.9550724637681039E-2</v>
      </c>
      <c r="C437" s="29">
        <v>1.3449275362318956E-2</v>
      </c>
    </row>
    <row r="438" spans="1:3" x14ac:dyDescent="0.25">
      <c r="A438" s="8">
        <v>404</v>
      </c>
      <c r="B438" s="29">
        <v>5.6521739130434699E-2</v>
      </c>
      <c r="C438" s="29">
        <v>1.5478260869565309E-2</v>
      </c>
    </row>
    <row r="439" spans="1:3" x14ac:dyDescent="0.25">
      <c r="A439" s="8">
        <v>405</v>
      </c>
      <c r="B439" s="29">
        <v>5.4768115942028898E-2</v>
      </c>
      <c r="C439" s="29">
        <v>1.8231884057971097E-2</v>
      </c>
    </row>
    <row r="440" spans="1:3" x14ac:dyDescent="0.25">
      <c r="A440" s="8">
        <v>406</v>
      </c>
      <c r="B440" s="29">
        <v>5.3115942028985473E-2</v>
      </c>
      <c r="C440" s="29">
        <v>2.1884057971014524E-2</v>
      </c>
    </row>
    <row r="441" spans="1:3" x14ac:dyDescent="0.25">
      <c r="A441" s="8">
        <v>407</v>
      </c>
      <c r="B441" s="29">
        <v>5.4782608695652081E-2</v>
      </c>
      <c r="C441" s="29">
        <v>2.421739130434792E-2</v>
      </c>
    </row>
    <row r="442" spans="1:3" x14ac:dyDescent="0.25">
      <c r="A442" s="8">
        <v>408</v>
      </c>
      <c r="B442" s="29">
        <v>5.5202898550724598E-2</v>
      </c>
      <c r="C442" s="29">
        <v>2.7797101449275406E-2</v>
      </c>
    </row>
    <row r="443" spans="1:3" x14ac:dyDescent="0.25">
      <c r="A443" s="8">
        <v>409</v>
      </c>
      <c r="B443" s="29">
        <v>6.4492753623188417E-2</v>
      </c>
      <c r="C443" s="29">
        <v>2.9507246376811583E-2</v>
      </c>
    </row>
    <row r="444" spans="1:3" x14ac:dyDescent="0.25">
      <c r="A444" s="8">
        <v>410</v>
      </c>
      <c r="B444" s="29">
        <v>6.4391304347825973E-2</v>
      </c>
      <c r="C444" s="29">
        <v>3.1608695652174029E-2</v>
      </c>
    </row>
    <row r="445" spans="1:3" x14ac:dyDescent="0.25">
      <c r="A445" s="8">
        <v>411</v>
      </c>
      <c r="B445" s="29">
        <v>6.1652173913043402E-2</v>
      </c>
      <c r="C445" s="29">
        <v>3.3347826086956599E-2</v>
      </c>
    </row>
    <row r="446" spans="1:3" x14ac:dyDescent="0.25">
      <c r="A446" s="8">
        <v>412</v>
      </c>
      <c r="B446" s="29">
        <v>5.6550724637681071E-2</v>
      </c>
      <c r="C446" s="29">
        <v>3.5449275362318927E-2</v>
      </c>
    </row>
    <row r="447" spans="1:3" x14ac:dyDescent="0.25">
      <c r="A447" s="8">
        <v>413</v>
      </c>
      <c r="B447" s="29">
        <v>5.5101449275362209E-2</v>
      </c>
      <c r="C447" s="29">
        <v>3.5898550724637789E-2</v>
      </c>
    </row>
    <row r="448" spans="1:3" x14ac:dyDescent="0.25">
      <c r="A448" s="8">
        <v>414</v>
      </c>
      <c r="B448" s="29">
        <v>6.1130434782608579E-2</v>
      </c>
      <c r="C448" s="29">
        <v>3.6869565217391424E-2</v>
      </c>
    </row>
    <row r="449" spans="1:3" x14ac:dyDescent="0.25">
      <c r="A449" s="8">
        <v>415</v>
      </c>
      <c r="B449" s="29">
        <v>5.9550724637681039E-2</v>
      </c>
      <c r="C449" s="29">
        <v>3.8449275362318965E-2</v>
      </c>
    </row>
    <row r="450" spans="1:3" x14ac:dyDescent="0.25">
      <c r="A450" s="8">
        <v>416</v>
      </c>
      <c r="B450" s="29">
        <v>5.6521739130434699E-2</v>
      </c>
      <c r="C450" s="29">
        <v>3.9478260869565303E-2</v>
      </c>
    </row>
    <row r="451" spans="1:3" x14ac:dyDescent="0.25">
      <c r="A451" s="8">
        <v>417</v>
      </c>
      <c r="B451" s="29">
        <v>5.4768115942028898E-2</v>
      </c>
      <c r="C451" s="29">
        <v>4.2231884057971091E-2</v>
      </c>
    </row>
    <row r="452" spans="1:3" x14ac:dyDescent="0.25">
      <c r="A452" s="8">
        <v>418</v>
      </c>
      <c r="B452" s="29">
        <v>5.3115942028985473E-2</v>
      </c>
      <c r="C452" s="29">
        <v>4.5884057971014532E-2</v>
      </c>
    </row>
    <row r="453" spans="1:3" x14ac:dyDescent="0.25">
      <c r="A453" s="8">
        <v>419</v>
      </c>
      <c r="B453" s="29">
        <v>5.4782608695652081E-2</v>
      </c>
      <c r="C453" s="29">
        <v>4.9217391304347928E-2</v>
      </c>
    </row>
    <row r="454" spans="1:3" x14ac:dyDescent="0.25">
      <c r="A454" s="8">
        <v>420</v>
      </c>
      <c r="B454" s="29">
        <v>5.5202898550724598E-2</v>
      </c>
      <c r="C454" s="29">
        <v>4.9797101449275398E-2</v>
      </c>
    </row>
    <row r="455" spans="1:3" x14ac:dyDescent="0.25">
      <c r="A455" s="8">
        <v>421</v>
      </c>
      <c r="B455" s="29">
        <v>6.4492753623188417E-2</v>
      </c>
      <c r="C455" s="29">
        <v>4.9507246376811587E-2</v>
      </c>
    </row>
    <row r="456" spans="1:3" x14ac:dyDescent="0.25">
      <c r="A456" s="8">
        <v>422</v>
      </c>
      <c r="B456" s="29">
        <v>6.4391304347825973E-2</v>
      </c>
      <c r="C456" s="29">
        <v>4.860869565217403E-2</v>
      </c>
    </row>
    <row r="457" spans="1:3" x14ac:dyDescent="0.25">
      <c r="A457" s="8">
        <v>423</v>
      </c>
      <c r="B457" s="29">
        <v>6.1652173913043402E-2</v>
      </c>
      <c r="C457" s="29">
        <v>4.634782608695661E-2</v>
      </c>
    </row>
    <row r="458" spans="1:3" x14ac:dyDescent="0.25">
      <c r="A458" s="8">
        <v>424</v>
      </c>
      <c r="B458" s="29">
        <v>5.6550724637681071E-2</v>
      </c>
      <c r="C458" s="29">
        <v>4.3449275362318934E-2</v>
      </c>
    </row>
    <row r="459" spans="1:3" x14ac:dyDescent="0.25">
      <c r="A459" s="8">
        <v>425</v>
      </c>
      <c r="B459" s="29">
        <v>5.5101449275362209E-2</v>
      </c>
      <c r="C459" s="29">
        <v>4.2898550724637795E-2</v>
      </c>
    </row>
    <row r="460" spans="1:3" x14ac:dyDescent="0.25">
      <c r="A460" s="8">
        <v>426</v>
      </c>
      <c r="B460" s="29">
        <v>6.1130434782608579E-2</v>
      </c>
      <c r="C460" s="29">
        <v>4.0869565217391414E-2</v>
      </c>
    </row>
    <row r="461" spans="1:3" x14ac:dyDescent="0.25">
      <c r="A461" s="8">
        <v>427</v>
      </c>
      <c r="B461" s="29">
        <v>5.9550724637681039E-2</v>
      </c>
      <c r="C461" s="29">
        <v>3.4449275362318961E-2</v>
      </c>
    </row>
    <row r="462" spans="1:3" x14ac:dyDescent="0.25">
      <c r="A462" s="8">
        <v>428</v>
      </c>
      <c r="B462" s="29">
        <v>5.6521739130434699E-2</v>
      </c>
      <c r="C462" s="29">
        <v>3.5478260869565299E-2</v>
      </c>
    </row>
    <row r="463" spans="1:3" x14ac:dyDescent="0.25">
      <c r="A463" s="8">
        <v>429</v>
      </c>
      <c r="B463" s="29">
        <v>5.4768115942028898E-2</v>
      </c>
      <c r="C463" s="29">
        <v>3.323188405797111E-2</v>
      </c>
    </row>
    <row r="464" spans="1:3" x14ac:dyDescent="0.25">
      <c r="A464" s="8">
        <v>430</v>
      </c>
      <c r="B464" s="29">
        <v>5.3115942028985473E-2</v>
      </c>
      <c r="C464" s="29">
        <v>3.0884057971014532E-2</v>
      </c>
    </row>
    <row r="465" spans="1:3" x14ac:dyDescent="0.25">
      <c r="A465" s="8">
        <v>431</v>
      </c>
      <c r="B465" s="29">
        <v>5.4782608695652081E-2</v>
      </c>
      <c r="C465" s="29">
        <v>2.6217391304347921E-2</v>
      </c>
    </row>
    <row r="466" spans="1:3" x14ac:dyDescent="0.25">
      <c r="A466" s="8">
        <v>432</v>
      </c>
      <c r="B466" s="29">
        <v>5.5202898550724598E-2</v>
      </c>
      <c r="C466" s="29">
        <v>2.4797101449275404E-2</v>
      </c>
    </row>
    <row r="467" spans="1:3" x14ac:dyDescent="0.25">
      <c r="A467" s="8">
        <v>433</v>
      </c>
      <c r="B467" s="29">
        <v>6.4492753623188417E-2</v>
      </c>
      <c r="C467" s="29">
        <v>2.3507246376811591E-2</v>
      </c>
    </row>
    <row r="468" spans="1:3" x14ac:dyDescent="0.25">
      <c r="A468" s="8">
        <v>434</v>
      </c>
      <c r="B468" s="29">
        <v>6.4391304347825973E-2</v>
      </c>
      <c r="C468" s="29">
        <v>1.9608695652174032E-2</v>
      </c>
    </row>
    <row r="469" spans="1:3" x14ac:dyDescent="0.25">
      <c r="A469" s="8">
        <v>435</v>
      </c>
      <c r="B469" s="29">
        <v>6.1652173913043402E-2</v>
      </c>
      <c r="C469" s="29">
        <v>1.93478260869566E-2</v>
      </c>
    </row>
    <row r="470" spans="1:3" x14ac:dyDescent="0.25">
      <c r="A470" s="8">
        <v>436</v>
      </c>
      <c r="B470" s="29">
        <v>5.6550724637681071E-2</v>
      </c>
      <c r="C470" s="29">
        <v>1.9449275362318927E-2</v>
      </c>
    </row>
    <row r="471" spans="1:3" x14ac:dyDescent="0.25">
      <c r="A471" s="8">
        <v>437</v>
      </c>
      <c r="B471" s="29">
        <v>5.5101449275362209E-2</v>
      </c>
      <c r="C471" s="29">
        <v>1.6898550724637799E-2</v>
      </c>
    </row>
    <row r="472" spans="1:3" x14ac:dyDescent="0.25">
      <c r="A472" s="8">
        <v>438</v>
      </c>
      <c r="B472" s="29">
        <v>6.1130434782608579E-2</v>
      </c>
      <c r="C472" s="29">
        <v>1.2869565217391431E-2</v>
      </c>
    </row>
    <row r="473" spans="1:3" x14ac:dyDescent="0.25">
      <c r="A473" s="8">
        <v>439</v>
      </c>
      <c r="B473" s="29">
        <v>5.9550724637681039E-2</v>
      </c>
      <c r="C473" s="29">
        <v>1.5449275362318958E-2</v>
      </c>
    </row>
    <row r="474" spans="1:3" x14ac:dyDescent="0.25">
      <c r="A474" s="8">
        <v>440</v>
      </c>
      <c r="B474" s="29">
        <v>5.6521739130434699E-2</v>
      </c>
      <c r="C474" s="29">
        <v>1.6478260869565296E-2</v>
      </c>
    </row>
    <row r="475" spans="1:3" x14ac:dyDescent="0.25">
      <c r="A475" s="8">
        <v>441</v>
      </c>
      <c r="B475" s="29">
        <v>5.4768115942028898E-2</v>
      </c>
      <c r="C475" s="29">
        <v>1.6231884057971095E-2</v>
      </c>
    </row>
    <row r="476" spans="1:3" x14ac:dyDescent="0.25">
      <c r="A476" s="8">
        <v>442</v>
      </c>
      <c r="B476" s="29">
        <v>5.3115942028985473E-2</v>
      </c>
      <c r="C476" s="29">
        <v>1.6884057971014534E-2</v>
      </c>
    </row>
    <row r="477" spans="1:3" x14ac:dyDescent="0.25">
      <c r="A477" s="8">
        <v>443</v>
      </c>
      <c r="B477" s="29">
        <v>5.4782608695652081E-2</v>
      </c>
      <c r="C477" s="29">
        <v>1.4217391304347925E-2</v>
      </c>
    </row>
    <row r="478" spans="1:3" x14ac:dyDescent="0.25">
      <c r="A478" s="8">
        <v>444</v>
      </c>
      <c r="B478" s="29">
        <v>5.5202898550724598E-2</v>
      </c>
      <c r="C478" s="29">
        <v>1.4797101449275409E-2</v>
      </c>
    </row>
    <row r="479" spans="1:3" x14ac:dyDescent="0.25">
      <c r="A479" s="8">
        <v>445</v>
      </c>
      <c r="B479" s="29">
        <v>6.4492753623188417E-2</v>
      </c>
      <c r="C479" s="29">
        <v>1.5507246376811584E-2</v>
      </c>
    </row>
    <row r="480" spans="1:3" x14ac:dyDescent="0.25">
      <c r="A480" s="8">
        <v>446</v>
      </c>
      <c r="B480" s="29">
        <v>6.4391304347825973E-2</v>
      </c>
      <c r="C480" s="29">
        <v>1.3608695652174027E-2</v>
      </c>
    </row>
    <row r="481" spans="1:3" x14ac:dyDescent="0.25">
      <c r="A481" s="8">
        <v>447</v>
      </c>
      <c r="B481" s="29">
        <v>6.1652173913043402E-2</v>
      </c>
      <c r="C481" s="29">
        <v>1.3347826086956595E-2</v>
      </c>
    </row>
    <row r="482" spans="1:3" x14ac:dyDescent="0.25">
      <c r="A482" s="8">
        <v>448</v>
      </c>
      <c r="B482" s="29">
        <v>5.6550724637681071E-2</v>
      </c>
      <c r="C482" s="29">
        <v>1.4449275362318922E-2</v>
      </c>
    </row>
    <row r="483" spans="1:3" x14ac:dyDescent="0.25">
      <c r="A483" s="8">
        <v>449</v>
      </c>
      <c r="B483" s="29">
        <v>5.5101449275362209E-2</v>
      </c>
      <c r="C483" s="29">
        <v>1.4898550724637798E-2</v>
      </c>
    </row>
    <row r="484" spans="1:3" x14ac:dyDescent="0.25">
      <c r="A484" s="8">
        <v>450</v>
      </c>
      <c r="B484" s="29">
        <v>6.1130434782608579E-2</v>
      </c>
      <c r="C484" s="29">
        <v>1.3869565217391418E-2</v>
      </c>
    </row>
    <row r="485" spans="1:3" x14ac:dyDescent="0.25">
      <c r="A485" s="8">
        <v>451</v>
      </c>
      <c r="B485" s="29">
        <v>5.9550724637681039E-2</v>
      </c>
      <c r="C485" s="29">
        <v>1.4449275362318971E-2</v>
      </c>
    </row>
    <row r="486" spans="1:3" x14ac:dyDescent="0.25">
      <c r="A486" s="8">
        <v>452</v>
      </c>
      <c r="B486" s="29">
        <v>5.6521739130434699E-2</v>
      </c>
      <c r="C486" s="29">
        <v>1.2478260869565307E-2</v>
      </c>
    </row>
    <row r="487" spans="1:3" x14ac:dyDescent="0.25">
      <c r="A487" s="8">
        <v>453</v>
      </c>
      <c r="B487" s="29">
        <v>5.4768115942028898E-2</v>
      </c>
      <c r="C487" s="29">
        <v>1.4231884057971107E-2</v>
      </c>
    </row>
    <row r="488" spans="1:3" x14ac:dyDescent="0.25">
      <c r="A488" s="8">
        <v>454</v>
      </c>
      <c r="B488" s="29">
        <v>5.3115942028985473E-2</v>
      </c>
      <c r="C488" s="29">
        <v>1.4884057971014532E-2</v>
      </c>
    </row>
    <row r="489" spans="1:3" x14ac:dyDescent="0.25">
      <c r="A489" s="8">
        <v>455</v>
      </c>
      <c r="B489" s="29">
        <v>5.4782608695652081E-2</v>
      </c>
      <c r="C489" s="29">
        <v>1.2217391304347923E-2</v>
      </c>
    </row>
    <row r="490" spans="1:3" x14ac:dyDescent="0.25">
      <c r="A490" s="8">
        <v>456</v>
      </c>
      <c r="B490" s="29">
        <v>5.5202898550724598E-2</v>
      </c>
      <c r="C490" s="29">
        <v>1.1797101449275406E-2</v>
      </c>
    </row>
    <row r="491" spans="1:3" x14ac:dyDescent="0.25">
      <c r="A491" s="8">
        <v>457</v>
      </c>
      <c r="B491" s="29">
        <v>6.4492753623188417E-2</v>
      </c>
      <c r="C491" s="29">
        <v>8.507246376811578E-3</v>
      </c>
    </row>
    <row r="492" spans="1:3" x14ac:dyDescent="0.25">
      <c r="A492" s="8">
        <v>458</v>
      </c>
      <c r="B492" s="29">
        <v>6.4391304347825973E-2</v>
      </c>
      <c r="C492" s="29">
        <v>1.3608695652174027E-2</v>
      </c>
    </row>
    <row r="493" spans="1:3" x14ac:dyDescent="0.25">
      <c r="A493" s="8">
        <v>459</v>
      </c>
      <c r="B493" s="29">
        <v>6.1652173913043402E-2</v>
      </c>
      <c r="C493" s="29">
        <v>1.3347826086956595E-2</v>
      </c>
    </row>
    <row r="494" spans="1:3" x14ac:dyDescent="0.25">
      <c r="A494" s="8">
        <v>460</v>
      </c>
      <c r="B494" s="29">
        <v>5.6550724637681071E-2</v>
      </c>
      <c r="C494" s="29">
        <v>1.3449275362318935E-2</v>
      </c>
    </row>
    <row r="495" spans="1:3" x14ac:dyDescent="0.25">
      <c r="A495" s="8">
        <v>461</v>
      </c>
      <c r="B495" s="29">
        <v>5.5101449275362209E-2</v>
      </c>
      <c r="C495" s="29">
        <v>1.4898550724637798E-2</v>
      </c>
    </row>
    <row r="496" spans="1:3" x14ac:dyDescent="0.25">
      <c r="A496" s="8">
        <v>462</v>
      </c>
      <c r="B496" s="29">
        <v>6.1130434782608579E-2</v>
      </c>
      <c r="C496" s="29">
        <v>1.1869565217391416E-2</v>
      </c>
    </row>
    <row r="497" spans="1:3" x14ac:dyDescent="0.25">
      <c r="A497" s="8">
        <v>463</v>
      </c>
      <c r="B497" s="29">
        <v>5.9550724637681039E-2</v>
      </c>
      <c r="C497" s="29">
        <v>1.0449275362318967E-2</v>
      </c>
    </row>
    <row r="498" spans="1:3" x14ac:dyDescent="0.25">
      <c r="A498" s="8">
        <v>464</v>
      </c>
      <c r="B498" s="29">
        <v>5.6521739130434699E-2</v>
      </c>
      <c r="C498" s="29">
        <v>1.0478260869565305E-2</v>
      </c>
    </row>
    <row r="499" spans="1:3" x14ac:dyDescent="0.25">
      <c r="A499" s="8">
        <v>465</v>
      </c>
      <c r="B499" s="29">
        <v>5.4768115942028898E-2</v>
      </c>
      <c r="C499" s="29">
        <v>1.3231884057971106E-2</v>
      </c>
    </row>
    <row r="500" spans="1:3" x14ac:dyDescent="0.25">
      <c r="A500" s="8">
        <v>466</v>
      </c>
      <c r="B500" s="29">
        <v>5.3115942028985473E-2</v>
      </c>
      <c r="C500" s="29">
        <v>1.288405797101453E-2</v>
      </c>
    </row>
    <row r="501" spans="1:3" x14ac:dyDescent="0.25">
      <c r="A501" s="8">
        <v>467</v>
      </c>
      <c r="B501" s="29">
        <v>5.4782608695652081E-2</v>
      </c>
      <c r="C501" s="29">
        <v>1.1217391304347922E-2</v>
      </c>
    </row>
    <row r="502" spans="1:3" x14ac:dyDescent="0.25">
      <c r="A502" s="8">
        <v>468</v>
      </c>
      <c r="B502" s="29">
        <v>5.5202898550724598E-2</v>
      </c>
      <c r="C502" s="29">
        <v>7.7971014492754023E-3</v>
      </c>
    </row>
    <row r="503" spans="1:3" x14ac:dyDescent="0.25">
      <c r="A503" s="8">
        <v>469</v>
      </c>
      <c r="B503" s="29">
        <v>6.4492753623188417E-2</v>
      </c>
      <c r="C503" s="29">
        <v>8.507246376811578E-3</v>
      </c>
    </row>
    <row r="504" spans="1:3" x14ac:dyDescent="0.25">
      <c r="A504" s="8">
        <v>470</v>
      </c>
      <c r="B504" s="29">
        <v>6.4391304347825973E-2</v>
      </c>
      <c r="C504" s="29">
        <v>7.6086956521740357E-3</v>
      </c>
    </row>
    <row r="505" spans="1:3" x14ac:dyDescent="0.25">
      <c r="A505" s="8">
        <v>471</v>
      </c>
      <c r="B505" s="29">
        <v>6.1652173913043402E-2</v>
      </c>
      <c r="C505" s="29">
        <v>7.3478260869566034E-3</v>
      </c>
    </row>
    <row r="506" spans="1:3" x14ac:dyDescent="0.25">
      <c r="A506" s="8">
        <v>472</v>
      </c>
      <c r="B506" s="29">
        <v>5.6550724637681071E-2</v>
      </c>
      <c r="C506" s="29">
        <v>5.4492753623189283E-3</v>
      </c>
    </row>
    <row r="507" spans="1:3" x14ac:dyDescent="0.25">
      <c r="A507" s="8">
        <v>473</v>
      </c>
      <c r="B507" s="29">
        <v>5.5101449275362209E-2</v>
      </c>
      <c r="C507" s="29">
        <v>5.8985507246377897E-3</v>
      </c>
    </row>
    <row r="508" spans="1:3" x14ac:dyDescent="0.25">
      <c r="A508" s="8">
        <v>474</v>
      </c>
      <c r="B508" s="29">
        <v>6.1130434782608579E-2</v>
      </c>
      <c r="C508" s="29">
        <v>1.869565217391421E-3</v>
      </c>
    </row>
    <row r="509" spans="1:3" x14ac:dyDescent="0.25">
      <c r="A509" s="8">
        <v>475</v>
      </c>
      <c r="B509" s="29">
        <v>5.9550724637681039E-2</v>
      </c>
      <c r="C509" s="29">
        <v>1.4492753623189594E-3</v>
      </c>
    </row>
    <row r="510" spans="1:3" x14ac:dyDescent="0.25">
      <c r="A510" s="8">
        <v>476</v>
      </c>
      <c r="B510" s="29">
        <v>5.6521739130434699E-2</v>
      </c>
      <c r="C510" s="29">
        <v>1.4782608695652968E-3</v>
      </c>
    </row>
    <row r="511" spans="1:3" x14ac:dyDescent="0.25">
      <c r="A511" s="8">
        <v>477</v>
      </c>
      <c r="B511" s="29">
        <v>5.4768115942028898E-2</v>
      </c>
      <c r="C511" s="29">
        <v>2.2318840579711036E-3</v>
      </c>
    </row>
    <row r="512" spans="1:3" x14ac:dyDescent="0.25">
      <c r="A512" s="8">
        <v>478</v>
      </c>
      <c r="B512" s="29">
        <v>5.3115942028985473E-2</v>
      </c>
      <c r="C512" s="29">
        <v>3.884057971014529E-3</v>
      </c>
    </row>
    <row r="513" spans="1:3" x14ac:dyDescent="0.25">
      <c r="A513" s="8">
        <v>479</v>
      </c>
      <c r="B513" s="29">
        <v>5.4782608695652081E-2</v>
      </c>
      <c r="C513" s="29">
        <v>1.2173913043479132E-3</v>
      </c>
    </row>
    <row r="514" spans="1:3" x14ac:dyDescent="0.25">
      <c r="A514" s="8">
        <v>480</v>
      </c>
      <c r="B514" s="29">
        <v>5.5202898550724598E-2</v>
      </c>
      <c r="C514" s="29">
        <v>-1.2028985507245918E-3</v>
      </c>
    </row>
    <row r="515" spans="1:3" x14ac:dyDescent="0.25">
      <c r="A515" s="8">
        <v>481</v>
      </c>
      <c r="B515" s="29">
        <v>6.4492753623188417E-2</v>
      </c>
      <c r="C515" s="29">
        <v>-1.492753623188417E-3</v>
      </c>
    </row>
    <row r="516" spans="1:3" x14ac:dyDescent="0.25">
      <c r="A516" s="8">
        <v>482</v>
      </c>
      <c r="B516" s="29">
        <v>6.4391304347825973E-2</v>
      </c>
      <c r="C516" s="29">
        <v>-2.3913043478259732E-3</v>
      </c>
    </row>
    <row r="517" spans="1:3" x14ac:dyDescent="0.25">
      <c r="A517" s="8">
        <v>483</v>
      </c>
      <c r="B517" s="29">
        <v>6.1652173913043402E-2</v>
      </c>
      <c r="C517" s="29">
        <v>-2.6521739130433986E-3</v>
      </c>
    </row>
    <row r="518" spans="1:3" x14ac:dyDescent="0.25">
      <c r="A518" s="8">
        <v>484</v>
      </c>
      <c r="B518" s="29">
        <v>5.6550724637681071E-2</v>
      </c>
      <c r="C518" s="29">
        <v>-3.5507246376810728E-3</v>
      </c>
    </row>
    <row r="519" spans="1:3" x14ac:dyDescent="0.25">
      <c r="A519" s="8">
        <v>485</v>
      </c>
      <c r="B519" s="29">
        <v>5.5101449275362209E-2</v>
      </c>
      <c r="C519" s="29">
        <v>-1.1014492753622027E-3</v>
      </c>
    </row>
    <row r="520" spans="1:3" x14ac:dyDescent="0.25">
      <c r="A520" s="8">
        <v>486</v>
      </c>
      <c r="B520" s="29">
        <v>6.1130434782608579E-2</v>
      </c>
      <c r="C520" s="29">
        <v>-6.1304347826085792E-3</v>
      </c>
    </row>
    <row r="521" spans="1:3" x14ac:dyDescent="0.25">
      <c r="A521" s="8">
        <v>487</v>
      </c>
      <c r="B521" s="29">
        <v>5.9550724637681039E-2</v>
      </c>
      <c r="C521" s="29">
        <v>-4.550724637681039E-3</v>
      </c>
    </row>
    <row r="522" spans="1:3" x14ac:dyDescent="0.25">
      <c r="A522" s="8">
        <v>488</v>
      </c>
      <c r="B522" s="29">
        <v>5.6521739130434699E-2</v>
      </c>
      <c r="C522" s="29">
        <v>-2.5217391304346928E-3</v>
      </c>
    </row>
    <row r="523" spans="1:3" x14ac:dyDescent="0.25">
      <c r="A523" s="8">
        <v>489</v>
      </c>
      <c r="B523" s="29">
        <v>5.4768115942028898E-2</v>
      </c>
      <c r="C523" s="29">
        <v>-2.7681159420288939E-3</v>
      </c>
    </row>
    <row r="524" spans="1:3" x14ac:dyDescent="0.25">
      <c r="A524" s="8">
        <v>490</v>
      </c>
      <c r="B524" s="29">
        <v>5.3115942028985473E-2</v>
      </c>
      <c r="C524" s="29">
        <v>-3.1159420289854703E-3</v>
      </c>
    </row>
    <row r="525" spans="1:3" x14ac:dyDescent="0.25">
      <c r="A525" s="8">
        <v>491</v>
      </c>
      <c r="B525" s="29">
        <v>5.4782608695652081E-2</v>
      </c>
      <c r="C525" s="29">
        <v>-2.7826086956520765E-3</v>
      </c>
    </row>
    <row r="526" spans="1:3" x14ac:dyDescent="0.25">
      <c r="A526" s="8">
        <v>492</v>
      </c>
      <c r="B526" s="29">
        <v>5.5202898550724598E-2</v>
      </c>
      <c r="C526" s="29">
        <v>-5.2028985507245953E-3</v>
      </c>
    </row>
    <row r="527" spans="1:3" x14ac:dyDescent="0.25">
      <c r="A527" s="8">
        <v>493</v>
      </c>
      <c r="B527" s="29">
        <v>6.4492753623188417E-2</v>
      </c>
      <c r="C527" s="29">
        <v>-4.4927536231884196E-3</v>
      </c>
    </row>
    <row r="528" spans="1:3" x14ac:dyDescent="0.25">
      <c r="A528" s="8">
        <v>494</v>
      </c>
      <c r="B528" s="29">
        <v>6.4391304347825973E-2</v>
      </c>
      <c r="C528" s="29">
        <v>-8.3913043478259786E-3</v>
      </c>
    </row>
    <row r="529" spans="1:3" x14ac:dyDescent="0.25">
      <c r="A529" s="8">
        <v>495</v>
      </c>
      <c r="B529" s="29">
        <v>6.1652173913043402E-2</v>
      </c>
      <c r="C529" s="29">
        <v>-9.6521739130433978E-3</v>
      </c>
    </row>
    <row r="530" spans="1:3" x14ac:dyDescent="0.25">
      <c r="A530" s="8">
        <v>496</v>
      </c>
      <c r="B530" s="29">
        <v>5.6550724637681071E-2</v>
      </c>
      <c r="C530" s="29">
        <v>-5.5507246376810745E-3</v>
      </c>
    </row>
    <row r="531" spans="1:3" x14ac:dyDescent="0.25">
      <c r="A531" s="8">
        <v>497</v>
      </c>
      <c r="B531" s="29">
        <v>5.5101449275362209E-2</v>
      </c>
      <c r="C531" s="29">
        <v>-5.1014492753622062E-3</v>
      </c>
    </row>
    <row r="532" spans="1:3" x14ac:dyDescent="0.25">
      <c r="A532" s="8">
        <v>498</v>
      </c>
      <c r="B532" s="29">
        <v>6.1130434782608579E-2</v>
      </c>
      <c r="C532" s="29">
        <v>-6.1304347826085792E-3</v>
      </c>
    </row>
    <row r="533" spans="1:3" x14ac:dyDescent="0.25">
      <c r="A533" s="8">
        <v>499</v>
      </c>
      <c r="B533" s="29">
        <v>5.9550724637681039E-2</v>
      </c>
      <c r="C533" s="29">
        <v>-6.5507246376810407E-3</v>
      </c>
    </row>
    <row r="534" spans="1:3" x14ac:dyDescent="0.25">
      <c r="A534" s="8">
        <v>500</v>
      </c>
      <c r="B534" s="29">
        <v>5.6521739130434699E-2</v>
      </c>
      <c r="C534" s="29">
        <v>-5.5217391304347024E-3</v>
      </c>
    </row>
    <row r="535" spans="1:3" x14ac:dyDescent="0.25">
      <c r="A535" s="8">
        <v>501</v>
      </c>
      <c r="B535" s="29">
        <v>5.4768115942028898E-2</v>
      </c>
      <c r="C535" s="29">
        <v>-3.7681159420289018E-3</v>
      </c>
    </row>
    <row r="536" spans="1:3" x14ac:dyDescent="0.25">
      <c r="A536" s="8">
        <v>502</v>
      </c>
      <c r="B536" s="29">
        <v>5.3115942028985473E-2</v>
      </c>
      <c r="C536" s="29">
        <v>-3.1159420289854703E-3</v>
      </c>
    </row>
    <row r="537" spans="1:3" x14ac:dyDescent="0.25">
      <c r="A537" s="8">
        <v>503</v>
      </c>
      <c r="B537" s="29">
        <v>5.4782608695652081E-2</v>
      </c>
      <c r="C537" s="29">
        <v>-2.7826086956520765E-3</v>
      </c>
    </row>
    <row r="538" spans="1:3" x14ac:dyDescent="0.25">
      <c r="A538" s="8">
        <v>504</v>
      </c>
      <c r="B538" s="29">
        <v>5.5202898550724598E-2</v>
      </c>
      <c r="C538" s="29">
        <v>-4.2028985507246014E-3</v>
      </c>
    </row>
    <row r="539" spans="1:3" x14ac:dyDescent="0.25">
      <c r="A539" s="8">
        <v>505</v>
      </c>
      <c r="B539" s="29">
        <v>6.4492753623188417E-2</v>
      </c>
      <c r="C539" s="29">
        <v>-4.4927536231884196E-3</v>
      </c>
    </row>
    <row r="540" spans="1:3" x14ac:dyDescent="0.25">
      <c r="A540" s="8">
        <v>506</v>
      </c>
      <c r="B540" s="29">
        <v>6.4391304347825973E-2</v>
      </c>
      <c r="C540" s="29">
        <v>-5.391304347825969E-3</v>
      </c>
    </row>
    <row r="541" spans="1:3" x14ac:dyDescent="0.25">
      <c r="A541" s="8">
        <v>507</v>
      </c>
      <c r="B541" s="29">
        <v>6.1652173913043402E-2</v>
      </c>
      <c r="C541" s="29">
        <v>-6.6521739130434021E-3</v>
      </c>
    </row>
    <row r="542" spans="1:3" x14ac:dyDescent="0.25">
      <c r="A542" s="8">
        <v>508</v>
      </c>
      <c r="B542" s="29">
        <v>5.6550724637681071E-2</v>
      </c>
      <c r="C542" s="29">
        <v>-3.5507246376810728E-3</v>
      </c>
    </row>
    <row r="543" spans="1:3" x14ac:dyDescent="0.25">
      <c r="A543" s="8">
        <v>509</v>
      </c>
      <c r="B543" s="29">
        <v>5.5101449275362209E-2</v>
      </c>
      <c r="C543" s="29">
        <v>-3.1014492753622044E-3</v>
      </c>
    </row>
    <row r="544" spans="1:3" x14ac:dyDescent="0.25">
      <c r="A544" s="8">
        <v>510</v>
      </c>
      <c r="B544" s="29">
        <v>6.1130434782608579E-2</v>
      </c>
      <c r="C544" s="29">
        <v>-7.1304347826085732E-3</v>
      </c>
    </row>
    <row r="545" spans="1:3" x14ac:dyDescent="0.25">
      <c r="A545" s="8">
        <v>511</v>
      </c>
      <c r="B545" s="29">
        <v>5.9550724637681039E-2</v>
      </c>
      <c r="C545" s="29">
        <v>-3.550724637681045E-3</v>
      </c>
    </row>
    <row r="546" spans="1:3" x14ac:dyDescent="0.25">
      <c r="A546" s="8">
        <v>512</v>
      </c>
      <c r="B546" s="29">
        <v>5.6521739130434699E-2</v>
      </c>
      <c r="C546" s="29">
        <v>-1.5217391304346989E-3</v>
      </c>
    </row>
    <row r="547" spans="1:3" x14ac:dyDescent="0.25">
      <c r="A547" s="8">
        <v>513</v>
      </c>
      <c r="B547" s="29">
        <v>5.4768115942028898E-2</v>
      </c>
      <c r="C547" s="29">
        <v>1.2318840579710957E-3</v>
      </c>
    </row>
    <row r="548" spans="1:3" x14ac:dyDescent="0.25">
      <c r="A548" s="8">
        <v>514</v>
      </c>
      <c r="B548" s="29">
        <v>5.3115942028985473E-2</v>
      </c>
      <c r="C548" s="29">
        <v>1.8840579710145272E-3</v>
      </c>
    </row>
    <row r="549" spans="1:3" x14ac:dyDescent="0.25">
      <c r="A549" s="8">
        <v>515</v>
      </c>
      <c r="B549" s="29">
        <v>5.4782608695652081E-2</v>
      </c>
      <c r="C549" s="29">
        <v>4.2173913043479228E-3</v>
      </c>
    </row>
    <row r="550" spans="1:3" x14ac:dyDescent="0.25">
      <c r="A550" s="8">
        <v>516</v>
      </c>
      <c r="B550" s="29">
        <v>5.5202898550724598E-2</v>
      </c>
      <c r="C550" s="29">
        <v>4.7971014492753997E-3</v>
      </c>
    </row>
    <row r="551" spans="1:3" x14ac:dyDescent="0.25">
      <c r="A551" s="8">
        <v>517</v>
      </c>
      <c r="B551" s="29">
        <v>6.4492753623188417E-2</v>
      </c>
      <c r="C551" s="29">
        <v>6.5072463768115762E-3</v>
      </c>
    </row>
    <row r="552" spans="1:3" x14ac:dyDescent="0.25">
      <c r="A552" s="8">
        <v>518</v>
      </c>
      <c r="B552" s="29">
        <v>6.4391304347825973E-2</v>
      </c>
      <c r="C552" s="29">
        <v>8.6086956521740227E-3</v>
      </c>
    </row>
    <row r="553" spans="1:3" x14ac:dyDescent="0.25">
      <c r="A553" s="8">
        <v>519</v>
      </c>
      <c r="B553" s="29">
        <v>6.1652173913043402E-2</v>
      </c>
      <c r="C553" s="29">
        <v>1.0347826086956606E-2</v>
      </c>
    </row>
    <row r="554" spans="1:3" x14ac:dyDescent="0.25">
      <c r="A554" s="8">
        <v>520</v>
      </c>
      <c r="B554" s="29">
        <v>5.6550724637681071E-2</v>
      </c>
      <c r="C554" s="29">
        <v>8.4492753623189309E-3</v>
      </c>
    </row>
    <row r="555" spans="1:3" x14ac:dyDescent="0.25">
      <c r="A555" s="8">
        <v>521</v>
      </c>
      <c r="B555" s="29">
        <v>5.5101449275362209E-2</v>
      </c>
      <c r="C555" s="29">
        <v>1.1898550724637795E-2</v>
      </c>
    </row>
    <row r="556" spans="1:3" x14ac:dyDescent="0.25">
      <c r="A556" s="8">
        <v>522</v>
      </c>
      <c r="B556" s="29">
        <v>6.1130434782608579E-2</v>
      </c>
      <c r="C556" s="29">
        <v>8.8695652173914272E-3</v>
      </c>
    </row>
    <row r="557" spans="1:3" x14ac:dyDescent="0.25">
      <c r="A557" s="8">
        <v>523</v>
      </c>
      <c r="B557" s="29">
        <v>5.9550724637681039E-2</v>
      </c>
      <c r="C557" s="29">
        <v>8.4492753623189656E-3</v>
      </c>
    </row>
    <row r="558" spans="1:3" x14ac:dyDescent="0.25">
      <c r="A558" s="8">
        <v>524</v>
      </c>
      <c r="B558" s="29">
        <v>5.6521739130434699E-2</v>
      </c>
      <c r="C558" s="29">
        <v>9.4782608695653039E-3</v>
      </c>
    </row>
    <row r="559" spans="1:3" x14ac:dyDescent="0.25">
      <c r="A559" s="8">
        <v>525</v>
      </c>
      <c r="B559" s="29">
        <v>5.4768115942028898E-2</v>
      </c>
      <c r="C559" s="29">
        <v>1.0231884057971104E-2</v>
      </c>
    </row>
    <row r="560" spans="1:3" x14ac:dyDescent="0.25">
      <c r="A560" s="8">
        <v>526</v>
      </c>
      <c r="B560" s="29">
        <v>5.3115942028985473E-2</v>
      </c>
      <c r="C560" s="29">
        <v>1.1884057971014529E-2</v>
      </c>
    </row>
    <row r="561" spans="1:3" x14ac:dyDescent="0.25">
      <c r="A561" s="8">
        <v>527</v>
      </c>
      <c r="B561" s="29">
        <v>5.4782608695652081E-2</v>
      </c>
      <c r="C561" s="29">
        <v>1.2217391304347923E-2</v>
      </c>
    </row>
    <row r="562" spans="1:3" x14ac:dyDescent="0.25">
      <c r="A562" s="8">
        <v>528</v>
      </c>
      <c r="B562" s="29">
        <v>5.5202898550724598E-2</v>
      </c>
      <c r="C562" s="29">
        <v>1.3797101449275408E-2</v>
      </c>
    </row>
    <row r="563" spans="1:3" x14ac:dyDescent="0.25">
      <c r="A563" s="8">
        <v>529</v>
      </c>
      <c r="B563" s="29">
        <v>6.4492753623188417E-2</v>
      </c>
      <c r="C563" s="29">
        <v>1.6507246376811585E-2</v>
      </c>
    </row>
    <row r="564" spans="1:3" x14ac:dyDescent="0.25">
      <c r="A564" s="8">
        <v>530</v>
      </c>
      <c r="B564" s="29">
        <v>6.4391304347825973E-2</v>
      </c>
      <c r="C564" s="29">
        <v>1.7608695652174017E-2</v>
      </c>
    </row>
    <row r="565" spans="1:3" x14ac:dyDescent="0.25">
      <c r="A565" s="8">
        <v>531</v>
      </c>
      <c r="B565" s="29">
        <v>6.1652173913043402E-2</v>
      </c>
      <c r="C565" s="29">
        <v>1.6347826086956598E-2</v>
      </c>
    </row>
    <row r="566" spans="1:3" x14ac:dyDescent="0.25">
      <c r="A566" s="8">
        <v>532</v>
      </c>
      <c r="B566" s="29">
        <v>5.6550724637681071E-2</v>
      </c>
      <c r="C566" s="29">
        <v>1.5449275362318937E-2</v>
      </c>
    </row>
    <row r="567" spans="1:3" x14ac:dyDescent="0.25">
      <c r="A567" s="8">
        <v>533</v>
      </c>
      <c r="B567" s="29">
        <v>5.5101449275362209E-2</v>
      </c>
      <c r="C567" s="29">
        <v>1.7898550724637786E-2</v>
      </c>
    </row>
    <row r="568" spans="1:3" x14ac:dyDescent="0.25">
      <c r="A568" s="8">
        <v>534</v>
      </c>
      <c r="B568" s="29">
        <v>6.1130434782608579E-2</v>
      </c>
      <c r="C568" s="29">
        <v>1.8869565217391422E-2</v>
      </c>
    </row>
    <row r="569" spans="1:3" x14ac:dyDescent="0.25">
      <c r="A569" s="8">
        <v>535</v>
      </c>
      <c r="B569" s="29">
        <v>5.9550724637681039E-2</v>
      </c>
      <c r="C569" s="29">
        <v>1.744927536231896E-2</v>
      </c>
    </row>
    <row r="570" spans="1:3" x14ac:dyDescent="0.25">
      <c r="A570" s="8">
        <v>536</v>
      </c>
      <c r="B570" s="29">
        <v>5.6521739130434699E-2</v>
      </c>
      <c r="C570" s="29">
        <v>1.7478260869565311E-2</v>
      </c>
    </row>
    <row r="571" spans="1:3" x14ac:dyDescent="0.25">
      <c r="A571" s="8">
        <v>537</v>
      </c>
      <c r="B571" s="29">
        <v>5.4768115942028898E-2</v>
      </c>
      <c r="C571" s="29">
        <v>1.8231884057971097E-2</v>
      </c>
    </row>
    <row r="572" spans="1:3" x14ac:dyDescent="0.25">
      <c r="A572" s="8">
        <v>538</v>
      </c>
      <c r="B572" s="29">
        <v>5.3115942028985473E-2</v>
      </c>
      <c r="C572" s="29">
        <v>1.5884057971014533E-2</v>
      </c>
    </row>
    <row r="573" spans="1:3" x14ac:dyDescent="0.25">
      <c r="A573" s="8">
        <v>539</v>
      </c>
      <c r="B573" s="29">
        <v>5.4782608695652081E-2</v>
      </c>
      <c r="C573" s="29">
        <v>1.6217391304347913E-2</v>
      </c>
    </row>
    <row r="574" spans="1:3" x14ac:dyDescent="0.25">
      <c r="A574" s="8">
        <v>540</v>
      </c>
      <c r="B574" s="29">
        <v>5.5202898550724598E-2</v>
      </c>
      <c r="C574" s="29">
        <v>1.5797101449275396E-2</v>
      </c>
    </row>
    <row r="575" spans="1:3" x14ac:dyDescent="0.25">
      <c r="A575" s="8">
        <v>541</v>
      </c>
      <c r="B575" s="29">
        <v>6.4492753623188417E-2</v>
      </c>
      <c r="C575" s="29">
        <v>1.5507246376811584E-2</v>
      </c>
    </row>
    <row r="576" spans="1:3" x14ac:dyDescent="0.25">
      <c r="A576" s="8">
        <v>542</v>
      </c>
      <c r="B576" s="29">
        <v>6.4391304347825973E-2</v>
      </c>
      <c r="C576" s="29">
        <v>1.3608695652174027E-2</v>
      </c>
    </row>
    <row r="577" spans="1:3" x14ac:dyDescent="0.25">
      <c r="A577" s="8">
        <v>543</v>
      </c>
      <c r="B577" s="29">
        <v>6.1652173913043402E-2</v>
      </c>
      <c r="C577" s="29">
        <v>1.2347826086956608E-2</v>
      </c>
    </row>
    <row r="578" spans="1:3" x14ac:dyDescent="0.25">
      <c r="A578" s="8">
        <v>544</v>
      </c>
      <c r="B578" s="29">
        <v>5.6550724637681071E-2</v>
      </c>
      <c r="C578" s="29">
        <v>1.2449275362318935E-2</v>
      </c>
    </row>
    <row r="579" spans="1:3" x14ac:dyDescent="0.25">
      <c r="A579" s="8">
        <v>545</v>
      </c>
      <c r="B579" s="29">
        <v>5.5101449275362209E-2</v>
      </c>
      <c r="C579" s="29">
        <v>1.2898550724637796E-2</v>
      </c>
    </row>
    <row r="580" spans="1:3" x14ac:dyDescent="0.25">
      <c r="A580" s="8">
        <v>546</v>
      </c>
      <c r="B580" s="29">
        <v>6.1130434782608579E-2</v>
      </c>
      <c r="C580" s="29">
        <v>1.0869565217391429E-2</v>
      </c>
    </row>
    <row r="581" spans="1:3" x14ac:dyDescent="0.25">
      <c r="A581" s="8">
        <v>547</v>
      </c>
      <c r="B581" s="29">
        <v>5.9550724637681039E-2</v>
      </c>
      <c r="C581" s="29">
        <v>1.0449275362318967E-2</v>
      </c>
    </row>
    <row r="582" spans="1:3" x14ac:dyDescent="0.25">
      <c r="A582" s="8">
        <v>548</v>
      </c>
      <c r="B582" s="29">
        <v>5.6521739130434699E-2</v>
      </c>
      <c r="C582" s="29">
        <v>9.4782608695653039E-3</v>
      </c>
    </row>
    <row r="583" spans="1:3" x14ac:dyDescent="0.25">
      <c r="A583" s="8">
        <v>549</v>
      </c>
      <c r="B583" s="29">
        <v>5.4768115942028898E-2</v>
      </c>
      <c r="C583" s="29">
        <v>9.2318840579711028E-3</v>
      </c>
    </row>
    <row r="584" spans="1:3" x14ac:dyDescent="0.25">
      <c r="A584" s="8">
        <v>550</v>
      </c>
      <c r="B584" s="29">
        <v>5.3115942028985473E-2</v>
      </c>
      <c r="C584" s="29">
        <v>1.0884057971014528E-2</v>
      </c>
    </row>
    <row r="585" spans="1:3" x14ac:dyDescent="0.25">
      <c r="A585" s="8">
        <v>551</v>
      </c>
      <c r="B585" s="29">
        <v>5.4782608695652081E-2</v>
      </c>
      <c r="C585" s="29">
        <v>7.2173913043479185E-3</v>
      </c>
    </row>
    <row r="586" spans="1:3" x14ac:dyDescent="0.25">
      <c r="A586" s="8">
        <v>552</v>
      </c>
      <c r="B586" s="29">
        <v>5.5202898550724598E-2</v>
      </c>
      <c r="C586" s="29">
        <v>5.7971014492754006E-3</v>
      </c>
    </row>
    <row r="587" spans="1:3" x14ac:dyDescent="0.25">
      <c r="A587" s="8">
        <v>553</v>
      </c>
      <c r="B587" s="29">
        <v>6.4492753623188417E-2</v>
      </c>
      <c r="C587" s="29">
        <v>8.507246376811578E-3</v>
      </c>
    </row>
    <row r="588" spans="1:3" x14ac:dyDescent="0.25">
      <c r="A588" s="8">
        <v>554</v>
      </c>
      <c r="B588" s="29">
        <v>6.4391304347825973E-2</v>
      </c>
      <c r="C588" s="29">
        <v>6.6086956521740209E-3</v>
      </c>
    </row>
    <row r="589" spans="1:3" x14ac:dyDescent="0.25">
      <c r="A589" s="8">
        <v>555</v>
      </c>
      <c r="B589" s="29">
        <v>6.1652173913043402E-2</v>
      </c>
      <c r="C589" s="29">
        <v>6.3478260869566025E-3</v>
      </c>
    </row>
    <row r="590" spans="1:3" x14ac:dyDescent="0.25">
      <c r="A590" s="8">
        <v>556</v>
      </c>
      <c r="B590" s="29">
        <v>5.6550724637681071E-2</v>
      </c>
      <c r="C590" s="29">
        <v>5.4492753623189283E-3</v>
      </c>
    </row>
    <row r="591" spans="1:3" x14ac:dyDescent="0.25">
      <c r="A591" s="8">
        <v>557</v>
      </c>
      <c r="B591" s="29">
        <v>5.5101449275362209E-2</v>
      </c>
      <c r="C591" s="29">
        <v>3.8985507246377948E-3</v>
      </c>
    </row>
    <row r="592" spans="1:3" x14ac:dyDescent="0.25">
      <c r="A592" s="8">
        <v>558</v>
      </c>
      <c r="B592" s="29">
        <v>6.1130434782608579E-2</v>
      </c>
      <c r="C592" s="29">
        <v>8.6956521739142006E-4</v>
      </c>
    </row>
    <row r="593" spans="1:3" x14ac:dyDescent="0.25">
      <c r="A593" s="8">
        <v>559</v>
      </c>
      <c r="B593" s="29">
        <v>5.9550724637681039E-2</v>
      </c>
      <c r="C593" s="29">
        <v>2.4492753623189603E-3</v>
      </c>
    </row>
    <row r="594" spans="1:3" x14ac:dyDescent="0.25">
      <c r="A594" s="8">
        <v>560</v>
      </c>
      <c r="B594" s="29">
        <v>5.6521739130434699E-2</v>
      </c>
      <c r="C594" s="29">
        <v>2.4782608695653047E-3</v>
      </c>
    </row>
    <row r="595" spans="1:3" x14ac:dyDescent="0.25">
      <c r="A595" s="8">
        <v>561</v>
      </c>
      <c r="B595" s="29">
        <v>5.4768115942028898E-2</v>
      </c>
      <c r="C595" s="29">
        <v>1.2318840579710957E-3</v>
      </c>
    </row>
    <row r="596" spans="1:3" x14ac:dyDescent="0.25">
      <c r="A596" s="8">
        <v>562</v>
      </c>
      <c r="B596" s="29">
        <v>5.3115942028985473E-2</v>
      </c>
      <c r="C596" s="29">
        <v>8.8405797101453326E-4</v>
      </c>
    </row>
    <row r="597" spans="1:3" x14ac:dyDescent="0.25">
      <c r="A597" s="8">
        <v>563</v>
      </c>
      <c r="B597" s="29">
        <v>5.4782608695652081E-2</v>
      </c>
      <c r="C597" s="29">
        <v>-1.7826086956520826E-3</v>
      </c>
    </row>
    <row r="598" spans="1:3" x14ac:dyDescent="0.25">
      <c r="A598" s="8">
        <v>564</v>
      </c>
      <c r="B598" s="29">
        <v>5.5202898550724598E-2</v>
      </c>
      <c r="C598" s="29">
        <v>-4.2028985507246014E-3</v>
      </c>
    </row>
    <row r="599" spans="1:3" x14ac:dyDescent="0.25">
      <c r="A599" s="8">
        <v>565</v>
      </c>
      <c r="B599" s="29">
        <v>6.4492753623188417E-2</v>
      </c>
      <c r="C599" s="29">
        <v>-2.4927536231884179E-3</v>
      </c>
    </row>
    <row r="600" spans="1:3" x14ac:dyDescent="0.25">
      <c r="A600" s="8">
        <v>566</v>
      </c>
      <c r="B600" s="29">
        <v>6.4391304347825973E-2</v>
      </c>
      <c r="C600" s="29">
        <v>-5.391304347825969E-3</v>
      </c>
    </row>
    <row r="601" spans="1:3" x14ac:dyDescent="0.25">
      <c r="A601" s="8">
        <v>567</v>
      </c>
      <c r="B601" s="29">
        <v>6.1652173913043402E-2</v>
      </c>
      <c r="C601" s="29">
        <v>-4.6521739130434003E-3</v>
      </c>
    </row>
    <row r="602" spans="1:3" x14ac:dyDescent="0.25">
      <c r="A602" s="8">
        <v>568</v>
      </c>
      <c r="B602" s="29">
        <v>5.6550724637681071E-2</v>
      </c>
      <c r="C602" s="29">
        <v>-5.5072463768107704E-4</v>
      </c>
    </row>
    <row r="603" spans="1:3" x14ac:dyDescent="0.25">
      <c r="A603" s="8">
        <v>569</v>
      </c>
      <c r="B603" s="29">
        <v>5.5101449275362209E-2</v>
      </c>
      <c r="C603" s="29">
        <v>-1.0144927536220871E-4</v>
      </c>
    </row>
    <row r="604" spans="1:3" x14ac:dyDescent="0.25">
      <c r="A604" s="8">
        <v>570</v>
      </c>
      <c r="B604" s="29">
        <v>6.1130434782608579E-2</v>
      </c>
      <c r="C604" s="29">
        <v>-3.1304347826085835E-3</v>
      </c>
    </row>
    <row r="605" spans="1:3" x14ac:dyDescent="0.25">
      <c r="A605" s="8">
        <v>571</v>
      </c>
      <c r="B605" s="29">
        <v>5.9550724637681039E-2</v>
      </c>
      <c r="C605" s="29">
        <v>-5.5072463768103541E-4</v>
      </c>
    </row>
    <row r="606" spans="1:3" x14ac:dyDescent="0.25">
      <c r="A606" s="8">
        <v>572</v>
      </c>
      <c r="B606" s="29">
        <v>5.6521739130434699E-2</v>
      </c>
      <c r="C606" s="29">
        <v>-5.2173913043470493E-4</v>
      </c>
    </row>
    <row r="607" spans="1:3" x14ac:dyDescent="0.25">
      <c r="A607" s="8">
        <v>573</v>
      </c>
      <c r="B607" s="29">
        <v>5.4768115942028898E-2</v>
      </c>
      <c r="C607" s="29">
        <v>-7.6811594202889216E-4</v>
      </c>
    </row>
    <row r="608" spans="1:3" x14ac:dyDescent="0.25">
      <c r="A608" s="8">
        <v>574</v>
      </c>
      <c r="B608" s="29">
        <v>5.3115942028985473E-2</v>
      </c>
      <c r="C608" s="29">
        <v>-1.1159420289854685E-3</v>
      </c>
    </row>
    <row r="609" spans="1:3" x14ac:dyDescent="0.25">
      <c r="A609" s="8">
        <v>575</v>
      </c>
      <c r="B609" s="29">
        <v>5.4782608695652081E-2</v>
      </c>
      <c r="C609" s="29">
        <v>-1.7826086956520826E-3</v>
      </c>
    </row>
    <row r="610" spans="1:3" x14ac:dyDescent="0.25">
      <c r="A610" s="8">
        <v>576</v>
      </c>
      <c r="B610" s="29">
        <v>5.5202898550724598E-2</v>
      </c>
      <c r="C610" s="29">
        <v>-3.2028985507245936E-3</v>
      </c>
    </row>
    <row r="611" spans="1:3" x14ac:dyDescent="0.25">
      <c r="A611" s="8">
        <v>577</v>
      </c>
      <c r="B611" s="29">
        <v>6.4492753623188417E-2</v>
      </c>
      <c r="C611" s="29">
        <v>-1.492753623188417E-3</v>
      </c>
    </row>
    <row r="612" spans="1:3" x14ac:dyDescent="0.25">
      <c r="A612" s="8">
        <v>578</v>
      </c>
      <c r="B612" s="29">
        <v>6.4391304347825973E-2</v>
      </c>
      <c r="C612" s="29">
        <v>-4.391304347825975E-3</v>
      </c>
    </row>
    <row r="613" spans="1:3" x14ac:dyDescent="0.25">
      <c r="A613" s="8">
        <v>579</v>
      </c>
      <c r="B613" s="29">
        <v>6.1652173913043402E-2</v>
      </c>
      <c r="C613" s="29">
        <v>-3.6521739130434064E-3</v>
      </c>
    </row>
    <row r="614" spans="1:3" x14ac:dyDescent="0.25">
      <c r="A614" s="8">
        <v>580</v>
      </c>
      <c r="B614" s="29">
        <v>5.6550724637681071E-2</v>
      </c>
      <c r="C614" s="29">
        <v>-2.5507246376810649E-3</v>
      </c>
    </row>
    <row r="615" spans="1:3" x14ac:dyDescent="0.25">
      <c r="A615" s="8">
        <v>581</v>
      </c>
      <c r="B615" s="29">
        <v>5.5101449275362209E-2</v>
      </c>
      <c r="C615" s="29">
        <v>-1.1014492753622027E-3</v>
      </c>
    </row>
    <row r="616" spans="1:3" x14ac:dyDescent="0.25">
      <c r="A616" s="8">
        <v>582</v>
      </c>
      <c r="B616" s="29">
        <v>6.1130434782608579E-2</v>
      </c>
      <c r="C616" s="29">
        <v>-6.1304347826085792E-3</v>
      </c>
    </row>
    <row r="617" spans="1:3" x14ac:dyDescent="0.25">
      <c r="A617" s="8">
        <v>583</v>
      </c>
      <c r="B617" s="29">
        <v>5.9550724637681039E-2</v>
      </c>
      <c r="C617" s="29">
        <v>-3.550724637681045E-3</v>
      </c>
    </row>
    <row r="618" spans="1:3" x14ac:dyDescent="0.25">
      <c r="A618" s="8">
        <v>584</v>
      </c>
      <c r="B618" s="29">
        <v>5.6521739130434699E-2</v>
      </c>
      <c r="C618" s="29">
        <v>-5.5217391304347024E-3</v>
      </c>
    </row>
    <row r="619" spans="1:3" x14ac:dyDescent="0.25">
      <c r="A619" s="8">
        <v>585</v>
      </c>
      <c r="B619" s="29">
        <v>5.4768115942028898E-2</v>
      </c>
      <c r="C619" s="29">
        <v>-4.7681159420288957E-3</v>
      </c>
    </row>
    <row r="620" spans="1:3" x14ac:dyDescent="0.25">
      <c r="A620" s="8">
        <v>586</v>
      </c>
      <c r="B620" s="29">
        <v>5.3115942028985473E-2</v>
      </c>
      <c r="C620" s="29">
        <v>-4.1159420289854712E-3</v>
      </c>
    </row>
    <row r="621" spans="1:3" x14ac:dyDescent="0.25">
      <c r="A621" s="8">
        <v>587</v>
      </c>
      <c r="B621" s="29">
        <v>5.4782608695652081E-2</v>
      </c>
      <c r="C621" s="29">
        <v>-4.7826086956520783E-3</v>
      </c>
    </row>
    <row r="622" spans="1:3" x14ac:dyDescent="0.25">
      <c r="A622" s="8">
        <v>588</v>
      </c>
      <c r="B622" s="29">
        <v>5.5202898550724598E-2</v>
      </c>
      <c r="C622" s="29">
        <v>-5.2028985507245953E-3</v>
      </c>
    </row>
    <row r="623" spans="1:3" x14ac:dyDescent="0.25">
      <c r="A623" s="8">
        <v>589</v>
      </c>
      <c r="B623" s="29">
        <v>6.4492753623188417E-2</v>
      </c>
      <c r="C623" s="29">
        <v>-5.4927536231884136E-3</v>
      </c>
    </row>
    <row r="624" spans="1:3" x14ac:dyDescent="0.25">
      <c r="A624" s="8">
        <v>590</v>
      </c>
      <c r="B624" s="29">
        <v>6.4391304347825973E-2</v>
      </c>
      <c r="C624" s="29">
        <v>-7.3913043478259707E-3</v>
      </c>
    </row>
    <row r="625" spans="1:3" x14ac:dyDescent="0.25">
      <c r="A625" s="8">
        <v>591</v>
      </c>
      <c r="B625" s="29">
        <v>6.1652173913043402E-2</v>
      </c>
      <c r="C625" s="29">
        <v>-6.6521739130434021E-3</v>
      </c>
    </row>
    <row r="626" spans="1:3" x14ac:dyDescent="0.25">
      <c r="A626" s="8">
        <v>592</v>
      </c>
      <c r="B626" s="29">
        <v>5.6550724637681071E-2</v>
      </c>
      <c r="C626" s="29">
        <v>-8.5507246376810703E-3</v>
      </c>
    </row>
    <row r="627" spans="1:3" x14ac:dyDescent="0.25">
      <c r="A627" s="8">
        <v>593</v>
      </c>
      <c r="B627" s="29">
        <v>5.5101449275362209E-2</v>
      </c>
      <c r="C627" s="29">
        <v>-8.1014492753622089E-3</v>
      </c>
    </row>
    <row r="628" spans="1:3" x14ac:dyDescent="0.25">
      <c r="A628" s="8">
        <v>594</v>
      </c>
      <c r="B628" s="29">
        <v>6.1130434782608579E-2</v>
      </c>
      <c r="C628" s="29">
        <v>-9.1304347826085749E-3</v>
      </c>
    </row>
    <row r="629" spans="1:3" x14ac:dyDescent="0.25">
      <c r="A629" s="8">
        <v>595</v>
      </c>
      <c r="B629" s="29">
        <v>5.9550724637681039E-2</v>
      </c>
      <c r="C629" s="29">
        <v>-9.5507246376810365E-3</v>
      </c>
    </row>
    <row r="630" spans="1:3" x14ac:dyDescent="0.25">
      <c r="A630" s="8">
        <v>596</v>
      </c>
      <c r="B630" s="29">
        <v>5.6521739130434699E-2</v>
      </c>
      <c r="C630" s="29">
        <v>-8.5217391304346982E-3</v>
      </c>
    </row>
    <row r="631" spans="1:3" x14ac:dyDescent="0.25">
      <c r="A631" s="8">
        <v>597</v>
      </c>
      <c r="B631" s="29">
        <v>5.4768115942028898E-2</v>
      </c>
      <c r="C631" s="29">
        <v>-7.7681159420288984E-3</v>
      </c>
    </row>
    <row r="632" spans="1:3" x14ac:dyDescent="0.25">
      <c r="A632" s="8">
        <v>598</v>
      </c>
      <c r="B632" s="29">
        <v>5.3115942028985473E-2</v>
      </c>
      <c r="C632" s="29">
        <v>-9.1159420289854687E-3</v>
      </c>
    </row>
    <row r="633" spans="1:3" x14ac:dyDescent="0.25">
      <c r="A633" s="8">
        <v>599</v>
      </c>
      <c r="B633" s="29">
        <v>5.4782608695652081E-2</v>
      </c>
      <c r="C633" s="29">
        <v>-1.1782608695652085E-2</v>
      </c>
    </row>
    <row r="634" spans="1:3" x14ac:dyDescent="0.25">
      <c r="A634" s="8">
        <v>600</v>
      </c>
      <c r="B634" s="29">
        <v>5.5202898550724598E-2</v>
      </c>
      <c r="C634" s="29">
        <v>-1.1202898550724594E-2</v>
      </c>
    </row>
    <row r="635" spans="1:3" x14ac:dyDescent="0.25">
      <c r="A635" s="8">
        <v>601</v>
      </c>
      <c r="B635" s="29">
        <v>6.4492753623188417E-2</v>
      </c>
      <c r="C635" s="29">
        <v>-1.2492753623188413E-2</v>
      </c>
    </row>
    <row r="636" spans="1:3" x14ac:dyDescent="0.25">
      <c r="A636" s="8">
        <v>602</v>
      </c>
      <c r="B636" s="29">
        <v>6.4391304347825973E-2</v>
      </c>
      <c r="C636" s="29">
        <v>-1.439130434782597E-2</v>
      </c>
    </row>
    <row r="637" spans="1:3" x14ac:dyDescent="0.25">
      <c r="A637" s="8">
        <v>603</v>
      </c>
      <c r="B637" s="29">
        <v>6.1652173913043402E-2</v>
      </c>
      <c r="C637" s="29">
        <v>-1.16521739130434E-2</v>
      </c>
    </row>
    <row r="638" spans="1:3" x14ac:dyDescent="0.25">
      <c r="A638" s="8">
        <v>604</v>
      </c>
      <c r="B638" s="29">
        <v>5.6550724637681071E-2</v>
      </c>
      <c r="C638" s="29">
        <v>-1.5550724637681076E-2</v>
      </c>
    </row>
    <row r="639" spans="1:3" x14ac:dyDescent="0.25">
      <c r="A639" s="8">
        <v>605</v>
      </c>
      <c r="B639" s="29">
        <v>5.5101449275362209E-2</v>
      </c>
      <c r="C639" s="29">
        <v>-1.3101449275362206E-2</v>
      </c>
    </row>
    <row r="640" spans="1:3" x14ac:dyDescent="0.25">
      <c r="A640" s="8">
        <v>606</v>
      </c>
      <c r="B640" s="29">
        <v>6.1130434782608579E-2</v>
      </c>
      <c r="C640" s="29">
        <v>-1.4130434782608579E-2</v>
      </c>
    </row>
    <row r="641" spans="1:3" x14ac:dyDescent="0.25">
      <c r="A641" s="8">
        <v>607</v>
      </c>
      <c r="B641" s="29">
        <v>5.9550724637681039E-2</v>
      </c>
      <c r="C641" s="29">
        <v>-1.2550724637681039E-2</v>
      </c>
    </row>
    <row r="642" spans="1:3" x14ac:dyDescent="0.25">
      <c r="A642" s="8">
        <v>608</v>
      </c>
      <c r="B642" s="29">
        <v>5.6521739130434699E-2</v>
      </c>
      <c r="C642" s="29">
        <v>-1.1521739130434701E-2</v>
      </c>
    </row>
    <row r="643" spans="1:3" x14ac:dyDescent="0.25">
      <c r="A643" s="8">
        <v>609</v>
      </c>
      <c r="B643" s="29">
        <v>5.4768115942028898E-2</v>
      </c>
      <c r="C643" s="29">
        <v>-1.0768115942028894E-2</v>
      </c>
    </row>
    <row r="644" spans="1:3" x14ac:dyDescent="0.25">
      <c r="A644" s="8">
        <v>610</v>
      </c>
      <c r="B644" s="29">
        <v>5.3115942028985473E-2</v>
      </c>
      <c r="C644" s="29">
        <v>-1.111594202898547E-2</v>
      </c>
    </row>
    <row r="645" spans="1:3" x14ac:dyDescent="0.25">
      <c r="A645" s="8">
        <v>611</v>
      </c>
      <c r="B645" s="29">
        <v>5.4782608695652081E-2</v>
      </c>
      <c r="C645" s="29">
        <v>-1.3782608695652086E-2</v>
      </c>
    </row>
    <row r="646" spans="1:3" x14ac:dyDescent="0.25">
      <c r="A646" s="8">
        <v>612</v>
      </c>
      <c r="B646" s="29">
        <v>5.5202898550724598E-2</v>
      </c>
      <c r="C646" s="29">
        <v>-1.5202898550724597E-2</v>
      </c>
    </row>
    <row r="647" spans="1:3" x14ac:dyDescent="0.25">
      <c r="A647" s="8">
        <v>613</v>
      </c>
      <c r="B647" s="29">
        <v>6.4492753623188417E-2</v>
      </c>
      <c r="C647" s="29">
        <v>-1.6492753623188416E-2</v>
      </c>
    </row>
    <row r="648" spans="1:3" x14ac:dyDescent="0.25">
      <c r="A648" s="8">
        <v>614</v>
      </c>
      <c r="B648" s="29">
        <v>6.4391304347825973E-2</v>
      </c>
      <c r="C648" s="29">
        <v>-1.7391304347825973E-2</v>
      </c>
    </row>
    <row r="649" spans="1:3" x14ac:dyDescent="0.25">
      <c r="A649" s="8">
        <v>615</v>
      </c>
      <c r="B649" s="29">
        <v>6.1652173913043402E-2</v>
      </c>
      <c r="C649" s="29">
        <v>-1.7652173913043398E-2</v>
      </c>
    </row>
    <row r="650" spans="1:3" x14ac:dyDescent="0.25">
      <c r="A650" s="8">
        <v>616</v>
      </c>
      <c r="B650" s="29">
        <v>5.6550724637681071E-2</v>
      </c>
      <c r="C650" s="29">
        <v>-1.5550724637681076E-2</v>
      </c>
    </row>
    <row r="651" spans="1:3" x14ac:dyDescent="0.25">
      <c r="A651" s="8">
        <v>617</v>
      </c>
      <c r="B651" s="29">
        <v>5.5101449275362209E-2</v>
      </c>
      <c r="C651" s="29">
        <v>-1.5101449275362208E-2</v>
      </c>
    </row>
    <row r="652" spans="1:3" x14ac:dyDescent="0.25">
      <c r="A652" s="8">
        <v>618</v>
      </c>
      <c r="B652" s="29">
        <v>6.1130434782608579E-2</v>
      </c>
      <c r="C652" s="29">
        <v>-1.6130434782608581E-2</v>
      </c>
    </row>
    <row r="653" spans="1:3" x14ac:dyDescent="0.25">
      <c r="A653" s="8">
        <v>619</v>
      </c>
      <c r="B653" s="29">
        <v>5.9550724637681039E-2</v>
      </c>
      <c r="C653" s="29">
        <v>-1.4550724637681041E-2</v>
      </c>
    </row>
    <row r="654" spans="1:3" x14ac:dyDescent="0.25">
      <c r="A654" s="8">
        <v>620</v>
      </c>
      <c r="B654" s="29">
        <v>5.6521739130434699E-2</v>
      </c>
      <c r="C654" s="29">
        <v>-1.4521739130434697E-2</v>
      </c>
    </row>
    <row r="655" spans="1:3" x14ac:dyDescent="0.25">
      <c r="A655" s="8">
        <v>621</v>
      </c>
      <c r="B655" s="29">
        <v>5.4768115942028898E-2</v>
      </c>
      <c r="C655" s="29">
        <v>-1.3768115942028904E-2</v>
      </c>
    </row>
    <row r="656" spans="1:3" x14ac:dyDescent="0.25">
      <c r="A656" s="8">
        <v>622</v>
      </c>
      <c r="B656" s="29">
        <v>5.3115942028985473E-2</v>
      </c>
      <c r="C656" s="29">
        <v>-1.5115942028985474E-2</v>
      </c>
    </row>
    <row r="657" spans="1:3" x14ac:dyDescent="0.25">
      <c r="A657" s="8">
        <v>623</v>
      </c>
      <c r="B657" s="29">
        <v>5.4782608695652081E-2</v>
      </c>
      <c r="C657" s="29">
        <v>-1.6782608695652082E-2</v>
      </c>
    </row>
    <row r="658" spans="1:3" x14ac:dyDescent="0.25">
      <c r="A658" s="8">
        <v>624</v>
      </c>
      <c r="B658" s="29">
        <v>5.5202898550724598E-2</v>
      </c>
      <c r="C658" s="29">
        <v>-1.8202898550724593E-2</v>
      </c>
    </row>
    <row r="659" spans="1:3" x14ac:dyDescent="0.25">
      <c r="A659" s="8">
        <v>625</v>
      </c>
      <c r="B659" s="29">
        <v>6.4492753623188417E-2</v>
      </c>
      <c r="C659" s="29">
        <v>-1.9492753623188419E-2</v>
      </c>
    </row>
    <row r="660" spans="1:3" x14ac:dyDescent="0.25">
      <c r="A660" s="8">
        <v>626</v>
      </c>
      <c r="B660" s="29">
        <v>6.4391304347825973E-2</v>
      </c>
      <c r="C660" s="29">
        <v>-2.0391304347825968E-2</v>
      </c>
    </row>
    <row r="661" spans="1:3" x14ac:dyDescent="0.25">
      <c r="A661" s="8">
        <v>627</v>
      </c>
      <c r="B661" s="29">
        <v>6.1652173913043402E-2</v>
      </c>
      <c r="C661" s="29">
        <v>-1.8652173913043406E-2</v>
      </c>
    </row>
    <row r="662" spans="1:3" x14ac:dyDescent="0.25">
      <c r="A662" s="8">
        <v>628</v>
      </c>
      <c r="B662" s="29">
        <v>5.6550724637681071E-2</v>
      </c>
      <c r="C662" s="29">
        <v>-1.9550724637681066E-2</v>
      </c>
    </row>
    <row r="663" spans="1:3" x14ac:dyDescent="0.25">
      <c r="A663" s="8">
        <v>629</v>
      </c>
      <c r="B663" s="29">
        <v>5.5101449275362209E-2</v>
      </c>
      <c r="C663" s="29">
        <v>-1.710144927536221E-2</v>
      </c>
    </row>
    <row r="664" spans="1:3" x14ac:dyDescent="0.25">
      <c r="A664" s="8">
        <v>630</v>
      </c>
      <c r="B664" s="29">
        <v>6.1130434782608579E-2</v>
      </c>
      <c r="C664" s="29">
        <v>-2.0130434782608585E-2</v>
      </c>
    </row>
    <row r="665" spans="1:3" x14ac:dyDescent="0.25">
      <c r="A665" s="8">
        <v>631</v>
      </c>
      <c r="B665" s="29">
        <v>5.9550724637681039E-2</v>
      </c>
      <c r="C665" s="29">
        <v>-1.7550724637681037E-2</v>
      </c>
    </row>
    <row r="666" spans="1:3" x14ac:dyDescent="0.25">
      <c r="A666" s="8">
        <v>632</v>
      </c>
      <c r="B666" s="29">
        <v>5.6521739130434699E-2</v>
      </c>
      <c r="C666" s="29">
        <v>-1.5521739130434704E-2</v>
      </c>
    </row>
    <row r="667" spans="1:3" x14ac:dyDescent="0.25">
      <c r="A667" s="8">
        <v>633</v>
      </c>
      <c r="B667" s="29">
        <v>5.4768115942028898E-2</v>
      </c>
      <c r="C667" s="29">
        <v>-1.6768115942028899E-2</v>
      </c>
    </row>
    <row r="668" spans="1:3" x14ac:dyDescent="0.25">
      <c r="A668" s="8">
        <v>634</v>
      </c>
      <c r="B668" s="29">
        <v>5.3115942028985473E-2</v>
      </c>
      <c r="C668" s="29">
        <v>-1.7115942028985469E-2</v>
      </c>
    </row>
    <row r="669" spans="1:3" x14ac:dyDescent="0.25">
      <c r="A669" s="8">
        <v>635</v>
      </c>
      <c r="B669" s="29">
        <v>5.4782608695652081E-2</v>
      </c>
      <c r="C669" s="29">
        <v>-1.7782608695652076E-2</v>
      </c>
    </row>
    <row r="670" spans="1:3" x14ac:dyDescent="0.25">
      <c r="A670" s="8">
        <v>636</v>
      </c>
      <c r="B670" s="29">
        <v>5.5202898550724598E-2</v>
      </c>
      <c r="C670" s="29">
        <v>-1.8202898550724593E-2</v>
      </c>
    </row>
    <row r="671" spans="1:3" x14ac:dyDescent="0.25">
      <c r="A671" s="8">
        <v>637</v>
      </c>
      <c r="B671" s="29">
        <v>6.4492753623188417E-2</v>
      </c>
      <c r="C671" s="29">
        <v>-1.7492753623188417E-2</v>
      </c>
    </row>
    <row r="672" spans="1:3" x14ac:dyDescent="0.25">
      <c r="A672" s="8">
        <v>638</v>
      </c>
      <c r="B672" s="29">
        <v>6.4391304347825973E-2</v>
      </c>
      <c r="C672" s="29">
        <v>-1.8391304347825974E-2</v>
      </c>
    </row>
    <row r="673" spans="1:3" x14ac:dyDescent="0.25">
      <c r="A673" s="8">
        <v>639</v>
      </c>
      <c r="B673" s="29">
        <v>6.1652173913043402E-2</v>
      </c>
      <c r="C673" s="29">
        <v>-1.6652173913043404E-2</v>
      </c>
    </row>
    <row r="674" spans="1:3" x14ac:dyDescent="0.25">
      <c r="A674" s="8">
        <v>640</v>
      </c>
      <c r="B674" s="29">
        <v>5.6550724637681071E-2</v>
      </c>
      <c r="C674" s="29">
        <v>-1.4550724637681069E-2</v>
      </c>
    </row>
    <row r="675" spans="1:3" x14ac:dyDescent="0.25">
      <c r="A675" s="8">
        <v>641</v>
      </c>
      <c r="B675" s="29">
        <v>5.5101449275362209E-2</v>
      </c>
      <c r="C675" s="29">
        <v>-1.4101449275362214E-2</v>
      </c>
    </row>
    <row r="676" spans="1:3" x14ac:dyDescent="0.25">
      <c r="A676" s="8">
        <v>642</v>
      </c>
      <c r="B676" s="29">
        <v>6.1130434782608579E-2</v>
      </c>
      <c r="C676" s="29">
        <v>-1.4130434782608579E-2</v>
      </c>
    </row>
    <row r="677" spans="1:3" x14ac:dyDescent="0.25">
      <c r="A677" s="8">
        <v>643</v>
      </c>
      <c r="B677" s="29">
        <v>5.9550724637681039E-2</v>
      </c>
      <c r="C677" s="29">
        <v>-1.2550724637681039E-2</v>
      </c>
    </row>
    <row r="678" spans="1:3" x14ac:dyDescent="0.25">
      <c r="A678" s="8">
        <v>644</v>
      </c>
      <c r="B678" s="29">
        <v>5.6521739130434699E-2</v>
      </c>
      <c r="C678" s="29">
        <v>-7.5217391304346973E-3</v>
      </c>
    </row>
    <row r="679" spans="1:3" x14ac:dyDescent="0.25">
      <c r="A679" s="8">
        <v>645</v>
      </c>
      <c r="B679" s="29">
        <v>5.4768115942028898E-2</v>
      </c>
      <c r="C679" s="29">
        <v>-7.7681159420288984E-3</v>
      </c>
    </row>
    <row r="680" spans="1:3" x14ac:dyDescent="0.25">
      <c r="A680" s="8">
        <v>646</v>
      </c>
      <c r="B680" s="29">
        <v>5.3115942028985473E-2</v>
      </c>
      <c r="C680" s="29">
        <v>-3.1159420289854703E-3</v>
      </c>
    </row>
    <row r="681" spans="1:3" x14ac:dyDescent="0.25">
      <c r="A681" s="8">
        <v>647</v>
      </c>
      <c r="B681" s="29">
        <v>5.4782608695652081E-2</v>
      </c>
      <c r="C681" s="29">
        <v>-1.7826086956520826E-3</v>
      </c>
    </row>
    <row r="682" spans="1:3" x14ac:dyDescent="0.25">
      <c r="A682" s="8">
        <v>648</v>
      </c>
      <c r="B682" s="29">
        <v>5.5202898550724598E-2</v>
      </c>
      <c r="C682" s="29">
        <v>-1.2028985507245918E-3</v>
      </c>
    </row>
    <row r="683" spans="1:3" x14ac:dyDescent="0.25">
      <c r="A683" s="8">
        <v>649</v>
      </c>
      <c r="B683" s="29">
        <v>6.4492753623188417E-2</v>
      </c>
      <c r="C683" s="29">
        <v>-1.492753623188417E-3</v>
      </c>
    </row>
    <row r="684" spans="1:3" x14ac:dyDescent="0.25">
      <c r="A684" s="8">
        <v>650</v>
      </c>
      <c r="B684" s="29">
        <v>6.4391304347825973E-2</v>
      </c>
      <c r="C684" s="29">
        <v>-3.3913043478259741E-3</v>
      </c>
    </row>
    <row r="685" spans="1:3" x14ac:dyDescent="0.25">
      <c r="A685" s="8">
        <v>651</v>
      </c>
      <c r="B685" s="29">
        <v>6.1652173913043402E-2</v>
      </c>
      <c r="C685" s="29">
        <v>-6.5217391304340372E-4</v>
      </c>
    </row>
    <row r="686" spans="1:3" x14ac:dyDescent="0.25">
      <c r="A686" s="8">
        <v>652</v>
      </c>
      <c r="B686" s="29">
        <v>5.6550724637681071E-2</v>
      </c>
      <c r="C686" s="29">
        <v>4.4927536231893078E-4</v>
      </c>
    </row>
    <row r="687" spans="1:3" x14ac:dyDescent="0.25">
      <c r="A687" s="8">
        <v>653</v>
      </c>
      <c r="B687" s="29">
        <v>5.5101449275362209E-2</v>
      </c>
      <c r="C687" s="29">
        <v>-1.0144927536220871E-4</v>
      </c>
    </row>
    <row r="688" spans="1:3" x14ac:dyDescent="0.25">
      <c r="A688" s="8">
        <v>654</v>
      </c>
      <c r="B688" s="29">
        <v>6.1130434782608579E-2</v>
      </c>
      <c r="C688" s="29">
        <v>-1.1304347826085817E-3</v>
      </c>
    </row>
    <row r="689" spans="1:3" x14ac:dyDescent="0.25">
      <c r="A689" s="8">
        <v>655</v>
      </c>
      <c r="B689" s="29">
        <v>5.9550724637681039E-2</v>
      </c>
      <c r="C689" s="29">
        <v>-5.5072463768103541E-4</v>
      </c>
    </row>
    <row r="690" spans="1:3" x14ac:dyDescent="0.25">
      <c r="A690" s="8">
        <v>656</v>
      </c>
      <c r="B690" s="29">
        <v>5.6521739130434699E-2</v>
      </c>
      <c r="C690" s="29">
        <v>4.7826086956530289E-4</v>
      </c>
    </row>
    <row r="691" spans="1:3" x14ac:dyDescent="0.25">
      <c r="A691" s="8">
        <v>657</v>
      </c>
      <c r="B691" s="29">
        <v>5.4768115942028898E-2</v>
      </c>
      <c r="C691" s="29">
        <v>-7.6811594202889216E-4</v>
      </c>
    </row>
    <row r="692" spans="1:3" x14ac:dyDescent="0.25">
      <c r="A692" s="8">
        <v>658</v>
      </c>
      <c r="B692" s="29">
        <v>5.3115942028985473E-2</v>
      </c>
      <c r="C692" s="29">
        <v>-1.1594202898547457E-4</v>
      </c>
    </row>
    <row r="693" spans="1:3" x14ac:dyDescent="0.25">
      <c r="A693" s="8">
        <v>659</v>
      </c>
      <c r="B693" s="29">
        <v>5.4782608695652081E-2</v>
      </c>
      <c r="C693" s="29">
        <v>1.2173913043479132E-3</v>
      </c>
    </row>
    <row r="694" spans="1:3" x14ac:dyDescent="0.25">
      <c r="A694" s="8">
        <v>660</v>
      </c>
      <c r="B694" s="29">
        <v>5.5202898550724598E-2</v>
      </c>
      <c r="C694" s="29">
        <v>1.7971014492754039E-3</v>
      </c>
    </row>
    <row r="695" spans="1:3" x14ac:dyDescent="0.25">
      <c r="A695" s="8">
        <v>661</v>
      </c>
      <c r="B695" s="29">
        <v>6.4492753623188417E-2</v>
      </c>
      <c r="C695" s="29">
        <v>5.072463768115848E-4</v>
      </c>
    </row>
    <row r="696" spans="1:3" x14ac:dyDescent="0.25">
      <c r="A696" s="8">
        <v>662</v>
      </c>
      <c r="B696" s="29">
        <v>6.4391304347825973E-2</v>
      </c>
      <c r="C696" s="29">
        <v>-3.9130434782597145E-4</v>
      </c>
    </row>
    <row r="697" spans="1:3" x14ac:dyDescent="0.25">
      <c r="A697" s="8">
        <v>663</v>
      </c>
      <c r="B697" s="29">
        <v>6.1652173913043402E-2</v>
      </c>
      <c r="C697" s="29">
        <v>3.4782608695659717E-4</v>
      </c>
    </row>
    <row r="698" spans="1:3" x14ac:dyDescent="0.25">
      <c r="A698" s="8">
        <v>664</v>
      </c>
      <c r="B698" s="29">
        <v>5.6550724637681071E-2</v>
      </c>
      <c r="C698" s="29">
        <v>1.4492753623189247E-3</v>
      </c>
    </row>
    <row r="699" spans="1:3" x14ac:dyDescent="0.25">
      <c r="A699" s="8">
        <v>665</v>
      </c>
      <c r="B699" s="29">
        <v>5.5101449275362209E-2</v>
      </c>
      <c r="C699" s="29">
        <v>2.898550724637787E-3</v>
      </c>
    </row>
    <row r="700" spans="1:3" x14ac:dyDescent="0.25">
      <c r="A700" s="8">
        <v>666</v>
      </c>
      <c r="B700" s="29">
        <v>6.1130434782608579E-2</v>
      </c>
      <c r="C700" s="29">
        <v>3.8695652173914227E-3</v>
      </c>
    </row>
    <row r="701" spans="1:3" x14ac:dyDescent="0.25">
      <c r="A701" s="8">
        <v>667</v>
      </c>
      <c r="B701" s="29">
        <v>5.9550724637681039E-2</v>
      </c>
      <c r="C701" s="29">
        <v>3.4492753623189612E-3</v>
      </c>
    </row>
    <row r="702" spans="1:3" x14ac:dyDescent="0.25">
      <c r="A702" s="8">
        <v>668</v>
      </c>
      <c r="B702" s="29">
        <v>5.6521739130434699E-2</v>
      </c>
      <c r="C702" s="29">
        <v>3.4782608695652986E-3</v>
      </c>
    </row>
    <row r="703" spans="1:3" x14ac:dyDescent="0.25">
      <c r="A703" s="8">
        <v>669</v>
      </c>
      <c r="B703" s="29">
        <v>5.4768115942028898E-2</v>
      </c>
      <c r="C703" s="29">
        <v>3.2318840579710975E-3</v>
      </c>
    </row>
    <row r="704" spans="1:3" x14ac:dyDescent="0.25">
      <c r="A704" s="8">
        <v>670</v>
      </c>
      <c r="B704" s="29">
        <v>5.3115942028985473E-2</v>
      </c>
      <c r="C704" s="29">
        <v>2.8840579710145212E-3</v>
      </c>
    </row>
    <row r="705" spans="1:3" x14ac:dyDescent="0.25">
      <c r="A705" s="8">
        <v>671</v>
      </c>
      <c r="B705" s="29">
        <v>5.4782608695652081E-2</v>
      </c>
      <c r="C705" s="29">
        <v>1.2173913043479132E-3</v>
      </c>
    </row>
    <row r="706" spans="1:3" x14ac:dyDescent="0.25">
      <c r="A706" s="8">
        <v>672</v>
      </c>
      <c r="B706" s="29">
        <v>5.5202898550724598E-2</v>
      </c>
      <c r="C706" s="29">
        <v>-1.2028985507245918E-3</v>
      </c>
    </row>
    <row r="707" spans="1:3" x14ac:dyDescent="0.25">
      <c r="A707" s="8">
        <v>673</v>
      </c>
      <c r="B707" s="29">
        <v>6.4492753623188417E-2</v>
      </c>
      <c r="C707" s="29">
        <v>-1.492753623188417E-3</v>
      </c>
    </row>
    <row r="708" spans="1:3" x14ac:dyDescent="0.25">
      <c r="A708" s="8">
        <v>674</v>
      </c>
      <c r="B708" s="29">
        <v>6.4391304347825973E-2</v>
      </c>
      <c r="C708" s="29">
        <v>-4.391304347825975E-3</v>
      </c>
    </row>
    <row r="709" spans="1:3" x14ac:dyDescent="0.25">
      <c r="A709" s="8">
        <v>675</v>
      </c>
      <c r="B709" s="29">
        <v>6.1652173913043402E-2</v>
      </c>
      <c r="C709" s="29">
        <v>-1.6521739130434046E-3</v>
      </c>
    </row>
    <row r="710" spans="1:3" x14ac:dyDescent="0.25">
      <c r="A710" s="8">
        <v>676</v>
      </c>
      <c r="B710" s="29">
        <v>5.6550724637681071E-2</v>
      </c>
      <c r="C710" s="29">
        <v>-2.5507246376810649E-3</v>
      </c>
    </row>
    <row r="711" spans="1:3" x14ac:dyDescent="0.25">
      <c r="A711" s="8">
        <v>677</v>
      </c>
      <c r="B711" s="29">
        <v>5.5101449275362209E-2</v>
      </c>
      <c r="C711" s="29">
        <v>-2.1014492753622105E-3</v>
      </c>
    </row>
    <row r="712" spans="1:3" x14ac:dyDescent="0.25">
      <c r="A712" s="8">
        <v>678</v>
      </c>
      <c r="B712" s="29">
        <v>6.1130434782608579E-2</v>
      </c>
      <c r="C712" s="29">
        <v>-3.1304347826085835E-3</v>
      </c>
    </row>
    <row r="713" spans="1:3" x14ac:dyDescent="0.25">
      <c r="A713" s="8">
        <v>679</v>
      </c>
      <c r="B713" s="29">
        <v>5.9550724637681039E-2</v>
      </c>
      <c r="C713" s="29">
        <v>-2.5507246376810372E-3</v>
      </c>
    </row>
    <row r="714" spans="1:3" x14ac:dyDescent="0.25">
      <c r="A714" s="8">
        <v>680</v>
      </c>
      <c r="B714" s="29">
        <v>5.6521739130434699E-2</v>
      </c>
      <c r="C714" s="29">
        <v>-2.5217391304346928E-3</v>
      </c>
    </row>
    <row r="715" spans="1:3" x14ac:dyDescent="0.25">
      <c r="A715" s="8">
        <v>681</v>
      </c>
      <c r="B715" s="29">
        <v>5.4768115942028898E-2</v>
      </c>
      <c r="C715" s="29">
        <v>-3.7681159420289018E-3</v>
      </c>
    </row>
    <row r="716" spans="1:3" x14ac:dyDescent="0.25">
      <c r="A716" s="8">
        <v>682</v>
      </c>
      <c r="B716" s="29">
        <v>5.3115942028985473E-2</v>
      </c>
      <c r="C716" s="29">
        <v>-2.1159420289854763E-3</v>
      </c>
    </row>
    <row r="717" spans="1:3" x14ac:dyDescent="0.25">
      <c r="A717" s="8">
        <v>683</v>
      </c>
      <c r="B717" s="29">
        <v>5.4782608695652081E-2</v>
      </c>
      <c r="C717" s="29">
        <v>-2.7826086956520765E-3</v>
      </c>
    </row>
    <row r="718" spans="1:3" x14ac:dyDescent="0.25">
      <c r="A718" s="8">
        <v>684</v>
      </c>
      <c r="B718" s="29">
        <v>5.5202898550724598E-2</v>
      </c>
      <c r="C718" s="29">
        <v>-4.2028985507246014E-3</v>
      </c>
    </row>
    <row r="719" spans="1:3" x14ac:dyDescent="0.25">
      <c r="A719" s="8">
        <v>685</v>
      </c>
      <c r="B719" s="29">
        <v>6.4492753623188417E-2</v>
      </c>
      <c r="C719" s="29">
        <v>-7.4927536231884154E-3</v>
      </c>
    </row>
    <row r="720" spans="1:3" x14ac:dyDescent="0.25">
      <c r="A720" s="8">
        <v>686</v>
      </c>
      <c r="B720" s="29">
        <v>6.4391304347825973E-2</v>
      </c>
      <c r="C720" s="29">
        <v>-6.3913043478259768E-3</v>
      </c>
    </row>
    <row r="721" spans="1:3" x14ac:dyDescent="0.25">
      <c r="A721" s="8">
        <v>687</v>
      </c>
      <c r="B721" s="29">
        <v>6.1652173913043402E-2</v>
      </c>
      <c r="C721" s="29">
        <v>-7.6521739130433961E-3</v>
      </c>
    </row>
    <row r="722" spans="1:3" x14ac:dyDescent="0.25">
      <c r="A722" s="8">
        <v>688</v>
      </c>
      <c r="B722" s="29">
        <v>5.6550724637681071E-2</v>
      </c>
      <c r="C722" s="29">
        <v>-7.5507246376810694E-3</v>
      </c>
    </row>
    <row r="723" spans="1:3" x14ac:dyDescent="0.25">
      <c r="A723" s="8">
        <v>689</v>
      </c>
      <c r="B723" s="29">
        <v>5.5101449275362209E-2</v>
      </c>
      <c r="C723" s="29">
        <v>-6.1014492753622071E-3</v>
      </c>
    </row>
    <row r="724" spans="1:3" x14ac:dyDescent="0.25">
      <c r="A724" s="8">
        <v>690</v>
      </c>
      <c r="B724" s="29">
        <v>6.1130434782608579E-2</v>
      </c>
      <c r="C724" s="29">
        <v>-9.1304347826085749E-3</v>
      </c>
    </row>
    <row r="725" spans="1:3" x14ac:dyDescent="0.25">
      <c r="A725" s="8">
        <v>691</v>
      </c>
      <c r="B725" s="29">
        <v>5.9550724637681039E-2</v>
      </c>
      <c r="C725" s="29">
        <v>-7.5507246376810347E-3</v>
      </c>
    </row>
    <row r="726" spans="1:3" x14ac:dyDescent="0.25">
      <c r="A726" s="8">
        <v>692</v>
      </c>
      <c r="B726" s="29">
        <v>5.6521739130434699E-2</v>
      </c>
      <c r="C726" s="29">
        <v>-7.5217391304346973E-3</v>
      </c>
    </row>
    <row r="727" spans="1:3" x14ac:dyDescent="0.25">
      <c r="A727" s="8">
        <v>693</v>
      </c>
      <c r="B727" s="29">
        <v>5.4768115942028898E-2</v>
      </c>
      <c r="C727" s="29">
        <v>-6.7681159420288975E-3</v>
      </c>
    </row>
    <row r="728" spans="1:3" x14ac:dyDescent="0.25">
      <c r="A728" s="8">
        <v>694</v>
      </c>
      <c r="B728" s="29">
        <v>5.3115942028985473E-2</v>
      </c>
      <c r="C728" s="29">
        <v>-7.1159420289854738E-3</v>
      </c>
    </row>
    <row r="729" spans="1:3" x14ac:dyDescent="0.25">
      <c r="A729" s="8">
        <v>695</v>
      </c>
      <c r="B729" s="29">
        <v>5.4782608695652081E-2</v>
      </c>
      <c r="C729" s="29">
        <v>-6.7826086956520801E-3</v>
      </c>
    </row>
    <row r="730" spans="1:3" x14ac:dyDescent="0.25">
      <c r="A730" s="8">
        <v>696</v>
      </c>
      <c r="B730" s="29">
        <v>5.5202898550724598E-2</v>
      </c>
      <c r="C730" s="29">
        <v>-9.2028985507245989E-3</v>
      </c>
    </row>
    <row r="731" spans="1:3" x14ac:dyDescent="0.25">
      <c r="A731" s="8">
        <v>697</v>
      </c>
      <c r="B731" s="29">
        <v>6.4492753623188417E-2</v>
      </c>
      <c r="C731" s="29">
        <v>-1.3492753623188421E-2</v>
      </c>
    </row>
    <row r="732" spans="1:3" x14ac:dyDescent="0.25">
      <c r="A732" s="8">
        <v>698</v>
      </c>
      <c r="B732" s="29">
        <v>6.4391304347825973E-2</v>
      </c>
      <c r="C732" s="29">
        <v>-1.3391304347825976E-2</v>
      </c>
    </row>
    <row r="733" spans="1:3" x14ac:dyDescent="0.25">
      <c r="A733" s="8">
        <v>699</v>
      </c>
      <c r="B733" s="29">
        <v>6.1652173913043402E-2</v>
      </c>
      <c r="C733" s="29">
        <v>-1.3652173913043401E-2</v>
      </c>
    </row>
    <row r="734" spans="1:3" x14ac:dyDescent="0.25">
      <c r="A734" s="8">
        <v>700</v>
      </c>
      <c r="B734" s="29">
        <v>5.6550724637681071E-2</v>
      </c>
      <c r="C734" s="29">
        <v>-1.1550724637681073E-2</v>
      </c>
    </row>
    <row r="735" spans="1:3" x14ac:dyDescent="0.25">
      <c r="A735" s="8">
        <v>701</v>
      </c>
      <c r="B735" s="29">
        <v>5.5101449275362209E-2</v>
      </c>
      <c r="C735" s="29">
        <v>-1.1101449275362205E-2</v>
      </c>
    </row>
    <row r="736" spans="1:3" x14ac:dyDescent="0.25">
      <c r="A736" s="8">
        <v>702</v>
      </c>
      <c r="B736" s="29">
        <v>6.1130434782608579E-2</v>
      </c>
      <c r="C736" s="29">
        <v>-1.3130434782608578E-2</v>
      </c>
    </row>
    <row r="737" spans="1:3" x14ac:dyDescent="0.25">
      <c r="A737" s="8">
        <v>703</v>
      </c>
      <c r="B737" s="29">
        <v>5.9550724637681039E-2</v>
      </c>
      <c r="C737" s="29">
        <v>-9.5507246376810365E-3</v>
      </c>
    </row>
    <row r="738" spans="1:3" x14ac:dyDescent="0.25">
      <c r="A738" s="8">
        <v>704</v>
      </c>
      <c r="B738" s="29">
        <v>5.6521739130434699E-2</v>
      </c>
      <c r="C738" s="29">
        <v>-1.05217391304347E-2</v>
      </c>
    </row>
    <row r="739" spans="1:3" x14ac:dyDescent="0.25">
      <c r="A739" s="8">
        <v>705</v>
      </c>
      <c r="B739" s="29">
        <v>5.4768115942028898E-2</v>
      </c>
      <c r="C739" s="29">
        <v>-1.0768115942028894E-2</v>
      </c>
    </row>
    <row r="740" spans="1:3" x14ac:dyDescent="0.25">
      <c r="A740" s="8">
        <v>706</v>
      </c>
      <c r="B740" s="29">
        <v>5.3115942028985473E-2</v>
      </c>
      <c r="C740" s="29">
        <v>-1.2115942028985478E-2</v>
      </c>
    </row>
    <row r="741" spans="1:3" x14ac:dyDescent="0.25">
      <c r="A741" s="8">
        <v>707</v>
      </c>
      <c r="B741" s="29">
        <v>5.4782608695652081E-2</v>
      </c>
      <c r="C741" s="29">
        <v>-1.1782608695652085E-2</v>
      </c>
    </row>
    <row r="742" spans="1:3" x14ac:dyDescent="0.25">
      <c r="A742" s="8">
        <v>708</v>
      </c>
      <c r="B742" s="29">
        <v>5.5202898550724598E-2</v>
      </c>
      <c r="C742" s="29">
        <v>-1.2202898550724602E-2</v>
      </c>
    </row>
    <row r="743" spans="1:3" x14ac:dyDescent="0.25">
      <c r="A743" s="8">
        <v>709</v>
      </c>
      <c r="B743" s="29">
        <v>6.4492753623188417E-2</v>
      </c>
      <c r="C743" s="29">
        <v>-1.4492753623188415E-2</v>
      </c>
    </row>
    <row r="744" spans="1:3" x14ac:dyDescent="0.25">
      <c r="A744" s="8">
        <v>710</v>
      </c>
      <c r="B744" s="29">
        <v>6.4391304347825973E-2</v>
      </c>
      <c r="C744" s="29">
        <v>-1.5391304347825971E-2</v>
      </c>
    </row>
    <row r="745" spans="1:3" x14ac:dyDescent="0.25">
      <c r="A745" s="8">
        <v>711</v>
      </c>
      <c r="B745" s="29">
        <v>6.1652173913043402E-2</v>
      </c>
      <c r="C745" s="29">
        <v>-1.6652173913043404E-2</v>
      </c>
    </row>
    <row r="746" spans="1:3" x14ac:dyDescent="0.25">
      <c r="A746" s="8">
        <v>712</v>
      </c>
      <c r="B746" s="29">
        <v>5.6550724637681071E-2</v>
      </c>
      <c r="C746" s="29">
        <v>-1.3550724637681075E-2</v>
      </c>
    </row>
    <row r="747" spans="1:3" x14ac:dyDescent="0.25">
      <c r="A747" s="8">
        <v>713</v>
      </c>
      <c r="B747" s="29">
        <v>5.5101449275362209E-2</v>
      </c>
      <c r="C747" s="29">
        <v>-1.2101449275362212E-2</v>
      </c>
    </row>
    <row r="748" spans="1:3" x14ac:dyDescent="0.25">
      <c r="A748" s="8">
        <v>714</v>
      </c>
      <c r="B748" s="29">
        <v>6.1130434782608579E-2</v>
      </c>
      <c r="C748" s="29">
        <v>-1.4130434782608579E-2</v>
      </c>
    </row>
    <row r="749" spans="1:3" x14ac:dyDescent="0.25">
      <c r="A749" s="8">
        <v>715</v>
      </c>
      <c r="B749" s="29">
        <v>5.9550724637681039E-2</v>
      </c>
      <c r="C749" s="29">
        <v>-1.0550724637681037E-2</v>
      </c>
    </row>
    <row r="750" spans="1:3" x14ac:dyDescent="0.25">
      <c r="A750" s="8">
        <v>716</v>
      </c>
      <c r="B750" s="29">
        <v>5.6521739130434699E-2</v>
      </c>
      <c r="C750" s="29">
        <v>-1.05217391304347E-2</v>
      </c>
    </row>
    <row r="751" spans="1:3" x14ac:dyDescent="0.25">
      <c r="A751" s="8">
        <v>717</v>
      </c>
      <c r="B751" s="29">
        <v>5.4768115942028898E-2</v>
      </c>
      <c r="C751" s="29">
        <v>-9.7681159420289002E-3</v>
      </c>
    </row>
    <row r="752" spans="1:3" x14ac:dyDescent="0.25">
      <c r="A752" s="8">
        <v>718</v>
      </c>
      <c r="B752" s="29">
        <v>5.3115942028985473E-2</v>
      </c>
      <c r="C752" s="29">
        <v>-9.1159420289854687E-3</v>
      </c>
    </row>
    <row r="753" spans="1:3" x14ac:dyDescent="0.25">
      <c r="A753" s="8">
        <v>719</v>
      </c>
      <c r="B753" s="29">
        <v>5.4782608695652081E-2</v>
      </c>
      <c r="C753" s="29">
        <v>-9.7826086956520827E-3</v>
      </c>
    </row>
    <row r="754" spans="1:3" x14ac:dyDescent="0.25">
      <c r="A754" s="8">
        <v>720</v>
      </c>
      <c r="B754" s="29">
        <v>5.5202898550724598E-2</v>
      </c>
      <c r="C754" s="29">
        <v>-7.2028985507245971E-3</v>
      </c>
    </row>
    <row r="755" spans="1:3" x14ac:dyDescent="0.25">
      <c r="A755" s="8">
        <v>721</v>
      </c>
      <c r="B755" s="29">
        <v>6.4492753623188417E-2</v>
      </c>
      <c r="C755" s="29">
        <v>-1.0492753623188411E-2</v>
      </c>
    </row>
    <row r="756" spans="1:3" x14ac:dyDescent="0.25">
      <c r="A756" s="8">
        <v>722</v>
      </c>
      <c r="B756" s="29">
        <v>6.4391304347825973E-2</v>
      </c>
      <c r="C756" s="29">
        <v>-1.2391304347825968E-2</v>
      </c>
    </row>
    <row r="757" spans="1:3" x14ac:dyDescent="0.25">
      <c r="A757" s="8">
        <v>723</v>
      </c>
      <c r="B757" s="29">
        <v>6.1652173913043402E-2</v>
      </c>
      <c r="C757" s="29">
        <v>-9.6521739130433978E-3</v>
      </c>
    </row>
    <row r="758" spans="1:3" x14ac:dyDescent="0.25">
      <c r="A758" s="8">
        <v>724</v>
      </c>
      <c r="B758" s="29">
        <v>5.6550724637681071E-2</v>
      </c>
      <c r="C758" s="29">
        <v>-8.5507246376810703E-3</v>
      </c>
    </row>
    <row r="759" spans="1:3" x14ac:dyDescent="0.25">
      <c r="A759" s="8">
        <v>725</v>
      </c>
      <c r="B759" s="29">
        <v>5.5101449275362209E-2</v>
      </c>
      <c r="C759" s="29">
        <v>-3.1014492753622044E-3</v>
      </c>
    </row>
    <row r="760" spans="1:3" x14ac:dyDescent="0.25">
      <c r="A760" s="8">
        <v>726</v>
      </c>
      <c r="B760" s="29">
        <v>6.1130434782608579E-2</v>
      </c>
      <c r="C760" s="29">
        <v>-4.1304347826085774E-3</v>
      </c>
    </row>
    <row r="761" spans="1:3" x14ac:dyDescent="0.25">
      <c r="A761" s="8">
        <v>727</v>
      </c>
      <c r="B761" s="29">
        <v>5.9550724637681039E-2</v>
      </c>
      <c r="C761" s="29">
        <v>4.4927536231895854E-4</v>
      </c>
    </row>
    <row r="762" spans="1:3" x14ac:dyDescent="0.25">
      <c r="A762" s="8">
        <v>728</v>
      </c>
      <c r="B762" s="29">
        <v>5.6521739130434699E-2</v>
      </c>
      <c r="C762" s="29">
        <v>4.4782608695652995E-3</v>
      </c>
    </row>
    <row r="763" spans="1:3" x14ac:dyDescent="0.25">
      <c r="A763" s="8">
        <v>729</v>
      </c>
      <c r="B763" s="29">
        <v>5.4768115942028898E-2</v>
      </c>
      <c r="C763" s="29">
        <v>5.2318840579710993E-3</v>
      </c>
    </row>
    <row r="764" spans="1:3" x14ac:dyDescent="0.25">
      <c r="A764" s="8">
        <v>730</v>
      </c>
      <c r="B764" s="29">
        <v>5.3115942028985473E-2</v>
      </c>
      <c r="C764" s="29">
        <v>7.8840579710145256E-3</v>
      </c>
    </row>
    <row r="765" spans="1:3" x14ac:dyDescent="0.25">
      <c r="A765" s="8">
        <v>731</v>
      </c>
      <c r="B765" s="29">
        <v>5.4782608695652081E-2</v>
      </c>
      <c r="C765" s="29">
        <v>1.0217391304347921E-2</v>
      </c>
    </row>
    <row r="766" spans="1:3" x14ac:dyDescent="0.25">
      <c r="A766" s="8">
        <v>732</v>
      </c>
      <c r="B766" s="29">
        <v>5.5202898550724598E-2</v>
      </c>
      <c r="C766" s="29">
        <v>1.5797101449275396E-2</v>
      </c>
    </row>
    <row r="767" spans="1:3" x14ac:dyDescent="0.25">
      <c r="A767" s="8">
        <v>733</v>
      </c>
      <c r="B767" s="29">
        <v>6.4492753623188417E-2</v>
      </c>
      <c r="C767" s="29">
        <v>2.0507246376811589E-2</v>
      </c>
    </row>
    <row r="768" spans="1:3" x14ac:dyDescent="0.25">
      <c r="A768" s="8">
        <v>734</v>
      </c>
      <c r="B768" s="29">
        <v>6.4391304347825973E-2</v>
      </c>
      <c r="C768" s="29">
        <v>2.4608695652174037E-2</v>
      </c>
    </row>
    <row r="769" spans="1:3" x14ac:dyDescent="0.25">
      <c r="A769" s="8">
        <v>735</v>
      </c>
      <c r="B769" s="29">
        <v>6.1652173913043402E-2</v>
      </c>
      <c r="C769" s="29">
        <v>2.8347826086956594E-2</v>
      </c>
    </row>
    <row r="770" spans="1:3" x14ac:dyDescent="0.25">
      <c r="A770" s="8">
        <v>736</v>
      </c>
      <c r="B770" s="29">
        <v>5.6550724637681071E-2</v>
      </c>
      <c r="C770" s="29">
        <v>2.9449275362318922E-2</v>
      </c>
    </row>
    <row r="771" spans="1:3" x14ac:dyDescent="0.25">
      <c r="A771" s="8">
        <v>737</v>
      </c>
      <c r="B771" s="29">
        <v>5.5101449275362209E-2</v>
      </c>
      <c r="C771" s="29">
        <v>3.5898550724637789E-2</v>
      </c>
    </row>
    <row r="772" spans="1:3" x14ac:dyDescent="0.25">
      <c r="A772" s="8">
        <v>738</v>
      </c>
      <c r="B772" s="29">
        <v>6.1130434782608579E-2</v>
      </c>
      <c r="C772" s="29">
        <v>3.586956521739141E-2</v>
      </c>
    </row>
    <row r="773" spans="1:3" x14ac:dyDescent="0.25">
      <c r="A773" s="8">
        <v>739</v>
      </c>
      <c r="B773" s="29">
        <v>5.9550724637681039E-2</v>
      </c>
      <c r="C773" s="29">
        <v>3.744927536231895E-2</v>
      </c>
    </row>
    <row r="774" spans="1:3" x14ac:dyDescent="0.25">
      <c r="A774" s="8">
        <v>740</v>
      </c>
      <c r="B774" s="29">
        <v>5.6521739130434699E-2</v>
      </c>
      <c r="C774" s="29">
        <v>3.9478260869565303E-2</v>
      </c>
    </row>
    <row r="775" spans="1:3" x14ac:dyDescent="0.25">
      <c r="A775" s="8">
        <v>741</v>
      </c>
      <c r="B775" s="29">
        <v>5.4768115942028898E-2</v>
      </c>
      <c r="C775" s="29">
        <v>4.0231884057971103E-2</v>
      </c>
    </row>
    <row r="776" spans="1:3" x14ac:dyDescent="0.25">
      <c r="A776" s="8">
        <v>742</v>
      </c>
      <c r="B776" s="29">
        <v>5.3115942028985473E-2</v>
      </c>
      <c r="C776" s="29">
        <v>4.1884057971014528E-2</v>
      </c>
    </row>
    <row r="777" spans="1:3" x14ac:dyDescent="0.25">
      <c r="A777" s="8">
        <v>743</v>
      </c>
      <c r="B777" s="29">
        <v>5.4782608695652081E-2</v>
      </c>
      <c r="C777" s="29">
        <v>3.9217391304347919E-2</v>
      </c>
    </row>
    <row r="778" spans="1:3" x14ac:dyDescent="0.25">
      <c r="A778" s="8">
        <v>744</v>
      </c>
      <c r="B778" s="29">
        <v>5.5202898550724598E-2</v>
      </c>
      <c r="C778" s="29">
        <v>4.1797101449275391E-2</v>
      </c>
    </row>
    <row r="779" spans="1:3" x14ac:dyDescent="0.25">
      <c r="A779" s="8">
        <v>745</v>
      </c>
      <c r="B779" s="29">
        <v>6.4492753623188417E-2</v>
      </c>
      <c r="C779" s="29">
        <v>4.150724637681158E-2</v>
      </c>
    </row>
    <row r="780" spans="1:3" x14ac:dyDescent="0.25">
      <c r="A780" s="8">
        <v>746</v>
      </c>
      <c r="B780" s="29">
        <v>6.4391304347825973E-2</v>
      </c>
      <c r="C780" s="29">
        <v>3.9608695652174036E-2</v>
      </c>
    </row>
    <row r="781" spans="1:3" x14ac:dyDescent="0.25">
      <c r="A781" s="8">
        <v>747</v>
      </c>
      <c r="B781" s="29">
        <v>6.1652173913043402E-2</v>
      </c>
      <c r="C781" s="29">
        <v>4.0347826086956591E-2</v>
      </c>
    </row>
    <row r="782" spans="1:3" x14ac:dyDescent="0.25">
      <c r="A782" s="8">
        <v>748</v>
      </c>
      <c r="B782" s="29">
        <v>5.6550724637681071E-2</v>
      </c>
      <c r="C782" s="29">
        <v>3.844927536231893E-2</v>
      </c>
    </row>
    <row r="783" spans="1:3" x14ac:dyDescent="0.25">
      <c r="A783" s="8">
        <v>749</v>
      </c>
      <c r="B783" s="29">
        <v>5.5101449275362209E-2</v>
      </c>
      <c r="C783" s="29">
        <v>3.7898550724637804E-2</v>
      </c>
    </row>
    <row r="784" spans="1:3" x14ac:dyDescent="0.25">
      <c r="A784" s="8">
        <v>750</v>
      </c>
      <c r="B784" s="29">
        <v>6.1130434782608579E-2</v>
      </c>
      <c r="C784" s="29">
        <v>3.4869565217391423E-2</v>
      </c>
    </row>
    <row r="785" spans="1:3" x14ac:dyDescent="0.25">
      <c r="A785" s="8">
        <v>751</v>
      </c>
      <c r="B785" s="29">
        <v>5.9550724637681039E-2</v>
      </c>
      <c r="C785" s="29">
        <v>3.744927536231895E-2</v>
      </c>
    </row>
    <row r="786" spans="1:3" x14ac:dyDescent="0.25">
      <c r="A786" s="8">
        <v>752</v>
      </c>
      <c r="B786" s="29">
        <v>5.6521739130434699E-2</v>
      </c>
      <c r="C786" s="29">
        <v>3.8478260869565302E-2</v>
      </c>
    </row>
    <row r="787" spans="1:3" x14ac:dyDescent="0.25">
      <c r="A787" s="8">
        <v>753</v>
      </c>
      <c r="B787" s="29">
        <v>5.4768115942028898E-2</v>
      </c>
      <c r="C787" s="29">
        <v>3.72318840579711E-2</v>
      </c>
    </row>
    <row r="788" spans="1:3" x14ac:dyDescent="0.25">
      <c r="A788" s="8">
        <v>754</v>
      </c>
      <c r="B788" s="29">
        <v>5.3115942028985473E-2</v>
      </c>
      <c r="C788" s="29">
        <v>3.6884057971014524E-2</v>
      </c>
    </row>
    <row r="789" spans="1:3" x14ac:dyDescent="0.25">
      <c r="A789" s="8">
        <v>755</v>
      </c>
      <c r="B789" s="29">
        <v>5.4782608695652081E-2</v>
      </c>
      <c r="C789" s="29">
        <v>3.8217391304347932E-2</v>
      </c>
    </row>
    <row r="790" spans="1:3" x14ac:dyDescent="0.25">
      <c r="A790" s="8">
        <v>756</v>
      </c>
      <c r="B790" s="29">
        <v>5.5202898550724598E-2</v>
      </c>
      <c r="C790" s="29">
        <v>3.5797101449275399E-2</v>
      </c>
    </row>
    <row r="791" spans="1:3" x14ac:dyDescent="0.25">
      <c r="A791" s="8">
        <v>757</v>
      </c>
      <c r="B791" s="29">
        <v>6.4492753623188417E-2</v>
      </c>
      <c r="C791" s="29">
        <v>3.3507246376811586E-2</v>
      </c>
    </row>
    <row r="792" spans="1:3" x14ac:dyDescent="0.25">
      <c r="A792" s="8">
        <v>758</v>
      </c>
      <c r="B792" s="29">
        <v>6.4391304347825973E-2</v>
      </c>
      <c r="C792" s="29">
        <v>3.0608695652174028E-2</v>
      </c>
    </row>
    <row r="793" spans="1:3" x14ac:dyDescent="0.25">
      <c r="A793" s="8">
        <v>759</v>
      </c>
      <c r="B793" s="29">
        <v>6.1652173913043402E-2</v>
      </c>
      <c r="C793" s="29">
        <v>3.0347826086956596E-2</v>
      </c>
    </row>
    <row r="794" spans="1:3" x14ac:dyDescent="0.25">
      <c r="A794" s="8">
        <v>760</v>
      </c>
      <c r="B794" s="29">
        <v>5.6550724637681071E-2</v>
      </c>
      <c r="C794" s="29">
        <v>3.0449275362318923E-2</v>
      </c>
    </row>
    <row r="795" spans="1:3" x14ac:dyDescent="0.25">
      <c r="A795" s="8">
        <v>761</v>
      </c>
      <c r="B795" s="29">
        <v>5.5101449275362209E-2</v>
      </c>
      <c r="C795" s="29">
        <v>3.1898550724637785E-2</v>
      </c>
    </row>
    <row r="796" spans="1:3" x14ac:dyDescent="0.25">
      <c r="A796" s="8">
        <v>762</v>
      </c>
      <c r="B796" s="29">
        <v>6.1130434782608579E-2</v>
      </c>
      <c r="C796" s="29">
        <v>3.1869565217391434E-2</v>
      </c>
    </row>
    <row r="797" spans="1:3" x14ac:dyDescent="0.25">
      <c r="A797" s="8">
        <v>763</v>
      </c>
      <c r="B797" s="29">
        <v>5.9550724637681039E-2</v>
      </c>
      <c r="C797" s="29">
        <v>3.3449275362318974E-2</v>
      </c>
    </row>
    <row r="798" spans="1:3" x14ac:dyDescent="0.25">
      <c r="A798" s="8">
        <v>764</v>
      </c>
      <c r="B798" s="29">
        <v>5.6521739130434699E-2</v>
      </c>
      <c r="C798" s="29">
        <v>3.4478260869565298E-2</v>
      </c>
    </row>
    <row r="799" spans="1:3" x14ac:dyDescent="0.25">
      <c r="A799" s="8">
        <v>765</v>
      </c>
      <c r="B799" s="29">
        <v>5.4768115942028898E-2</v>
      </c>
      <c r="C799" s="29">
        <v>3.323188405797111E-2</v>
      </c>
    </row>
    <row r="800" spans="1:3" x14ac:dyDescent="0.25">
      <c r="A800" s="8">
        <v>766</v>
      </c>
      <c r="B800" s="29">
        <v>5.3115942028985473E-2</v>
      </c>
      <c r="C800" s="29">
        <v>3.1884057971014533E-2</v>
      </c>
    </row>
    <row r="801" spans="1:3" x14ac:dyDescent="0.25">
      <c r="A801" s="8">
        <v>767</v>
      </c>
      <c r="B801" s="29">
        <v>5.4782608695652081E-2</v>
      </c>
      <c r="C801" s="29">
        <v>2.7217391304347908E-2</v>
      </c>
    </row>
    <row r="802" spans="1:3" x14ac:dyDescent="0.25">
      <c r="A802" s="8">
        <v>768</v>
      </c>
      <c r="B802" s="29">
        <v>5.5202898550724598E-2</v>
      </c>
      <c r="C802" s="29">
        <v>2.7797101449275406E-2</v>
      </c>
    </row>
    <row r="803" spans="1:3" x14ac:dyDescent="0.25">
      <c r="A803" s="8">
        <v>769</v>
      </c>
      <c r="B803" s="29">
        <v>6.4492753623188417E-2</v>
      </c>
      <c r="C803" s="29">
        <v>2.3507246376811591E-2</v>
      </c>
    </row>
    <row r="804" spans="1:3" x14ac:dyDescent="0.25">
      <c r="A804" s="8">
        <v>770</v>
      </c>
      <c r="B804" s="29">
        <v>6.4391304347825973E-2</v>
      </c>
      <c r="C804" s="29">
        <v>2.2608695652174021E-2</v>
      </c>
    </row>
    <row r="805" spans="1:3" x14ac:dyDescent="0.25">
      <c r="A805" s="8">
        <v>771</v>
      </c>
      <c r="B805" s="29">
        <v>6.1652173913043402E-2</v>
      </c>
      <c r="C805" s="29">
        <v>2.2347826086956603E-2</v>
      </c>
    </row>
    <row r="806" spans="1:3" x14ac:dyDescent="0.25">
      <c r="A806" s="8">
        <v>772</v>
      </c>
      <c r="B806" s="29">
        <v>5.6550724637681071E-2</v>
      </c>
      <c r="C806" s="29">
        <v>2.0449275362318928E-2</v>
      </c>
    </row>
    <row r="807" spans="1:3" x14ac:dyDescent="0.25">
      <c r="A807" s="8">
        <v>773</v>
      </c>
      <c r="B807" s="29">
        <v>5.5101449275362209E-2</v>
      </c>
      <c r="C807" s="29">
        <v>2.3898550724637792E-2</v>
      </c>
    </row>
    <row r="808" spans="1:3" x14ac:dyDescent="0.25">
      <c r="A808" s="8">
        <v>774</v>
      </c>
      <c r="B808" s="29">
        <v>6.1130434782608579E-2</v>
      </c>
      <c r="C808" s="29">
        <v>2.2869565217391426E-2</v>
      </c>
    </row>
    <row r="809" spans="1:3" x14ac:dyDescent="0.25">
      <c r="A809" s="8">
        <v>775</v>
      </c>
      <c r="B809" s="29">
        <v>5.9550724637681039E-2</v>
      </c>
      <c r="C809" s="29">
        <v>2.6449275362318954E-2</v>
      </c>
    </row>
    <row r="810" spans="1:3" x14ac:dyDescent="0.25">
      <c r="A810" s="8">
        <v>776</v>
      </c>
      <c r="B810" s="29">
        <v>5.6521739130434699E-2</v>
      </c>
      <c r="C810" s="29">
        <v>2.547826086956529E-2</v>
      </c>
    </row>
    <row r="811" spans="1:3" x14ac:dyDescent="0.25">
      <c r="A811" s="8">
        <v>777</v>
      </c>
      <c r="B811" s="29">
        <v>5.4768115942028898E-2</v>
      </c>
      <c r="C811" s="29">
        <v>2.12318840579711E-2</v>
      </c>
    </row>
    <row r="812" spans="1:3" x14ac:dyDescent="0.25">
      <c r="A812" s="8">
        <v>778</v>
      </c>
      <c r="B812" s="29">
        <v>5.3115942028985473E-2</v>
      </c>
      <c r="C812" s="29">
        <v>2.1884057971014524E-2</v>
      </c>
    </row>
    <row r="813" spans="1:3" x14ac:dyDescent="0.25">
      <c r="A813" s="8">
        <v>779</v>
      </c>
      <c r="B813" s="29">
        <v>5.4782608695652081E-2</v>
      </c>
      <c r="C813" s="29">
        <v>1.9217391304347929E-2</v>
      </c>
    </row>
    <row r="814" spans="1:3" x14ac:dyDescent="0.25">
      <c r="A814" s="8">
        <v>780</v>
      </c>
      <c r="B814" s="29">
        <v>5.5202898550724598E-2</v>
      </c>
      <c r="C814" s="29">
        <v>2.07971014492754E-2</v>
      </c>
    </row>
    <row r="815" spans="1:3" x14ac:dyDescent="0.25">
      <c r="A815" s="8">
        <v>781</v>
      </c>
      <c r="B815" s="29">
        <v>6.4492753623188417E-2</v>
      </c>
      <c r="C815" s="29">
        <v>2.0507246376811589E-2</v>
      </c>
    </row>
    <row r="816" spans="1:3" x14ac:dyDescent="0.25">
      <c r="A816" s="8">
        <v>782</v>
      </c>
      <c r="B816" s="29">
        <v>6.4391304347825973E-2</v>
      </c>
      <c r="C816" s="29">
        <v>1.660869565217403E-2</v>
      </c>
    </row>
    <row r="817" spans="1:3" x14ac:dyDescent="0.25">
      <c r="A817" s="8">
        <v>783</v>
      </c>
      <c r="B817" s="29">
        <v>6.1652173913043402E-2</v>
      </c>
      <c r="C817" s="29">
        <v>1.4347826086956596E-2</v>
      </c>
    </row>
    <row r="818" spans="1:3" x14ac:dyDescent="0.25">
      <c r="A818" s="8">
        <v>784</v>
      </c>
      <c r="B818" s="29">
        <v>5.6550724637681071E-2</v>
      </c>
      <c r="C818" s="29">
        <v>1.4449275362318922E-2</v>
      </c>
    </row>
    <row r="819" spans="1:3" x14ac:dyDescent="0.25">
      <c r="A819" s="8">
        <v>785</v>
      </c>
      <c r="B819" s="29">
        <v>5.5101449275362209E-2</v>
      </c>
      <c r="C819" s="29">
        <v>1.7898550724637786E-2</v>
      </c>
    </row>
    <row r="820" spans="1:3" x14ac:dyDescent="0.25">
      <c r="A820" s="8">
        <v>786</v>
      </c>
      <c r="B820" s="29">
        <v>6.1130434782608579E-2</v>
      </c>
      <c r="C820" s="29">
        <v>1.686956521739142E-2</v>
      </c>
    </row>
    <row r="821" spans="1:3" x14ac:dyDescent="0.25">
      <c r="A821" s="8">
        <v>787</v>
      </c>
      <c r="B821" s="29">
        <v>5.9550724637681039E-2</v>
      </c>
      <c r="C821" s="29">
        <v>1.744927536231896E-2</v>
      </c>
    </row>
    <row r="822" spans="1:3" x14ac:dyDescent="0.25">
      <c r="A822" s="8">
        <v>788</v>
      </c>
      <c r="B822" s="29">
        <v>5.6521739130434699E-2</v>
      </c>
      <c r="C822" s="29">
        <v>1.6478260869565296E-2</v>
      </c>
    </row>
    <row r="823" spans="1:3" x14ac:dyDescent="0.25">
      <c r="A823" s="8">
        <v>789</v>
      </c>
      <c r="B823" s="29">
        <v>5.4768115942028898E-2</v>
      </c>
      <c r="C823" s="29">
        <v>1.5231884057971108E-2</v>
      </c>
    </row>
    <row r="824" spans="1:3" x14ac:dyDescent="0.25">
      <c r="A824" s="8">
        <v>790</v>
      </c>
      <c r="B824" s="29">
        <v>5.3115942028985473E-2</v>
      </c>
      <c r="C824" s="29">
        <v>1.6884057971014534E-2</v>
      </c>
    </row>
    <row r="825" spans="1:3" x14ac:dyDescent="0.25">
      <c r="A825" s="8">
        <v>791</v>
      </c>
      <c r="B825" s="29">
        <v>5.4782608695652081E-2</v>
      </c>
      <c r="C825" s="29">
        <v>1.1217391304347922E-2</v>
      </c>
    </row>
    <row r="826" spans="1:3" x14ac:dyDescent="0.25">
      <c r="A826" s="8">
        <v>792</v>
      </c>
      <c r="B826" s="29">
        <v>5.5202898550724598E-2</v>
      </c>
      <c r="C826" s="29">
        <v>9.7971014492754041E-3</v>
      </c>
    </row>
    <row r="827" spans="1:3" x14ac:dyDescent="0.25">
      <c r="A827" s="8">
        <v>793</v>
      </c>
      <c r="B827" s="29">
        <v>6.4492753623188417E-2</v>
      </c>
      <c r="C827" s="29">
        <v>5.5072463768115892E-3</v>
      </c>
    </row>
    <row r="828" spans="1:3" x14ac:dyDescent="0.25">
      <c r="A828" s="8">
        <v>794</v>
      </c>
      <c r="B828" s="29">
        <v>6.4391304347825973E-2</v>
      </c>
      <c r="C828" s="29">
        <v>5.6086956521740339E-3</v>
      </c>
    </row>
    <row r="829" spans="1:3" x14ac:dyDescent="0.25">
      <c r="A829" s="8">
        <v>795</v>
      </c>
      <c r="B829" s="29">
        <v>6.1652173913043402E-2</v>
      </c>
      <c r="C829" s="29">
        <v>6.3478260869566025E-3</v>
      </c>
    </row>
    <row r="830" spans="1:3" x14ac:dyDescent="0.25">
      <c r="A830" s="8">
        <v>796</v>
      </c>
      <c r="B830" s="29">
        <v>5.6550724637681071E-2</v>
      </c>
      <c r="C830" s="29">
        <v>2.4492753623189326E-3</v>
      </c>
    </row>
    <row r="831" spans="1:3" x14ac:dyDescent="0.25">
      <c r="A831" s="8">
        <v>797</v>
      </c>
      <c r="B831" s="29">
        <v>5.5101449275362209E-2</v>
      </c>
      <c r="C831" s="29">
        <v>5.8985507246377897E-3</v>
      </c>
    </row>
    <row r="832" spans="1:3" x14ac:dyDescent="0.25">
      <c r="A832" s="8">
        <v>798</v>
      </c>
      <c r="B832" s="29">
        <v>6.1130434782608579E-2</v>
      </c>
      <c r="C832" s="29">
        <v>1.869565217391421E-3</v>
      </c>
    </row>
    <row r="833" spans="1:3" x14ac:dyDescent="0.25">
      <c r="A833" s="8">
        <v>799</v>
      </c>
      <c r="B833" s="29">
        <v>5.9550724637681039E-2</v>
      </c>
      <c r="C833" s="29">
        <v>5.449275362318963E-3</v>
      </c>
    </row>
    <row r="834" spans="1:3" x14ac:dyDescent="0.25">
      <c r="A834" s="8">
        <v>800</v>
      </c>
      <c r="B834" s="29">
        <v>5.6521739130434699E-2</v>
      </c>
      <c r="C834" s="29">
        <v>6.4782608695653013E-3</v>
      </c>
    </row>
    <row r="835" spans="1:3" x14ac:dyDescent="0.25">
      <c r="A835" s="8">
        <v>801</v>
      </c>
      <c r="B835" s="29">
        <v>5.4768115942028898E-2</v>
      </c>
      <c r="C835" s="29">
        <v>2.2318840579711036E-3</v>
      </c>
    </row>
    <row r="836" spans="1:3" x14ac:dyDescent="0.25">
      <c r="A836" s="8">
        <v>802</v>
      </c>
      <c r="B836" s="29">
        <v>5.3115942028985473E-2</v>
      </c>
      <c r="C836" s="29">
        <v>1.8840579710145272E-3</v>
      </c>
    </row>
    <row r="837" spans="1:3" x14ac:dyDescent="0.25">
      <c r="A837" s="8">
        <v>803</v>
      </c>
      <c r="B837" s="29">
        <v>5.4782608695652081E-2</v>
      </c>
      <c r="C837" s="29">
        <v>2.173913043479192E-4</v>
      </c>
    </row>
    <row r="838" spans="1:3" x14ac:dyDescent="0.25">
      <c r="A838" s="8">
        <v>804</v>
      </c>
      <c r="B838" s="29">
        <v>5.5202898550724598E-2</v>
      </c>
      <c r="C838" s="29">
        <v>-1.2028985507245918E-3</v>
      </c>
    </row>
    <row r="839" spans="1:3" x14ac:dyDescent="0.25">
      <c r="A839" s="8">
        <v>805</v>
      </c>
      <c r="B839" s="29">
        <v>6.4492753623188417E-2</v>
      </c>
      <c r="C839" s="29">
        <v>-3.4927536231884188E-3</v>
      </c>
    </row>
    <row r="840" spans="1:3" x14ac:dyDescent="0.25">
      <c r="A840" s="8">
        <v>806</v>
      </c>
      <c r="B840" s="29">
        <v>6.4391304347825973E-2</v>
      </c>
      <c r="C840" s="29">
        <v>-6.3913043478259768E-3</v>
      </c>
    </row>
    <row r="841" spans="1:3" x14ac:dyDescent="0.25">
      <c r="A841" s="8">
        <v>807</v>
      </c>
      <c r="B841" s="29">
        <v>6.1652173913043402E-2</v>
      </c>
      <c r="C841" s="29">
        <v>-5.6521739130434082E-3</v>
      </c>
    </row>
    <row r="842" spans="1:3" x14ac:dyDescent="0.25">
      <c r="A842" s="8">
        <v>808</v>
      </c>
      <c r="B842" s="29">
        <v>5.6550724637681071E-2</v>
      </c>
      <c r="C842" s="29">
        <v>-5.5507246376810745E-3</v>
      </c>
    </row>
    <row r="843" spans="1:3" x14ac:dyDescent="0.25">
      <c r="A843" s="8">
        <v>809</v>
      </c>
      <c r="B843" s="29">
        <v>5.5101449275362209E-2</v>
      </c>
      <c r="C843" s="29">
        <v>-2.1014492753622105E-3</v>
      </c>
    </row>
    <row r="844" spans="1:3" x14ac:dyDescent="0.25">
      <c r="A844" s="8">
        <v>810</v>
      </c>
      <c r="B844" s="29">
        <v>6.1130434782608579E-2</v>
      </c>
      <c r="C844" s="29">
        <v>-6.1304347826085792E-3</v>
      </c>
    </row>
    <row r="845" spans="1:3" x14ac:dyDescent="0.25">
      <c r="A845" s="8">
        <v>811</v>
      </c>
      <c r="B845" s="29">
        <v>5.9550724637681039E-2</v>
      </c>
      <c r="C845" s="29">
        <v>-3.550724637681045E-3</v>
      </c>
    </row>
    <row r="846" spans="1:3" x14ac:dyDescent="0.25">
      <c r="A846" s="8">
        <v>812</v>
      </c>
      <c r="B846" s="29">
        <v>5.6521739130434699E-2</v>
      </c>
      <c r="C846" s="29">
        <v>-4.5217391304346946E-3</v>
      </c>
    </row>
    <row r="847" spans="1:3" x14ac:dyDescent="0.25">
      <c r="A847" s="8">
        <v>813</v>
      </c>
      <c r="B847" s="29">
        <v>5.4768115942028898E-2</v>
      </c>
      <c r="C847" s="29">
        <v>-5.7681159420288966E-3</v>
      </c>
    </row>
    <row r="848" spans="1:3" x14ac:dyDescent="0.25">
      <c r="A848" s="8">
        <v>814</v>
      </c>
      <c r="B848" s="29">
        <v>5.3115942028985473E-2</v>
      </c>
      <c r="C848" s="29">
        <v>-5.1159420289854721E-3</v>
      </c>
    </row>
    <row r="849" spans="1:3" x14ac:dyDescent="0.25">
      <c r="A849" s="8">
        <v>815</v>
      </c>
      <c r="B849" s="29">
        <v>5.4782608695652081E-2</v>
      </c>
      <c r="C849" s="29">
        <v>-6.7826086956520801E-3</v>
      </c>
    </row>
    <row r="850" spans="1:3" x14ac:dyDescent="0.25">
      <c r="A850" s="8">
        <v>816</v>
      </c>
      <c r="B850" s="29">
        <v>5.5202898550724598E-2</v>
      </c>
      <c r="C850" s="29">
        <v>-7.2028985507245971E-3</v>
      </c>
    </row>
    <row r="851" spans="1:3" x14ac:dyDescent="0.25">
      <c r="A851" s="8">
        <v>817</v>
      </c>
      <c r="B851" s="29">
        <v>6.4492753623188417E-2</v>
      </c>
      <c r="C851" s="29">
        <v>-1.1492753623188419E-2</v>
      </c>
    </row>
    <row r="852" spans="1:3" x14ac:dyDescent="0.25">
      <c r="A852" s="8">
        <v>818</v>
      </c>
      <c r="B852" s="29">
        <v>6.4391304347825973E-2</v>
      </c>
      <c r="C852" s="29">
        <v>-1.2391304347825968E-2</v>
      </c>
    </row>
    <row r="853" spans="1:3" x14ac:dyDescent="0.25">
      <c r="A853" s="8">
        <v>819</v>
      </c>
      <c r="B853" s="29">
        <v>6.1652173913043402E-2</v>
      </c>
      <c r="C853" s="29">
        <v>-1.0652173913043406E-2</v>
      </c>
    </row>
    <row r="854" spans="1:3" x14ac:dyDescent="0.25">
      <c r="A854" s="8">
        <v>820</v>
      </c>
      <c r="B854" s="29">
        <v>5.6550724637681071E-2</v>
      </c>
      <c r="C854" s="29">
        <v>-9.5507246376810712E-3</v>
      </c>
    </row>
    <row r="855" spans="1:3" x14ac:dyDescent="0.25">
      <c r="A855" s="8">
        <v>821</v>
      </c>
      <c r="B855" s="29">
        <v>5.5101449275362209E-2</v>
      </c>
      <c r="C855" s="29">
        <v>-1.0101449275362211E-2</v>
      </c>
    </row>
    <row r="856" spans="1:3" x14ac:dyDescent="0.25">
      <c r="A856" s="8">
        <v>822</v>
      </c>
      <c r="B856" s="29">
        <v>6.1130434782608579E-2</v>
      </c>
      <c r="C856" s="29">
        <v>-1.0130434782608583E-2</v>
      </c>
    </row>
    <row r="857" spans="1:3" x14ac:dyDescent="0.25">
      <c r="A857" s="8">
        <v>823</v>
      </c>
      <c r="B857" s="29">
        <v>5.9550724637681039E-2</v>
      </c>
      <c r="C857" s="29">
        <v>-8.5507246376810425E-3</v>
      </c>
    </row>
    <row r="858" spans="1:3" x14ac:dyDescent="0.25">
      <c r="A858" s="8">
        <v>824</v>
      </c>
      <c r="B858" s="29">
        <v>5.6521739130434699E-2</v>
      </c>
      <c r="C858" s="29">
        <v>-6.5217391304346964E-3</v>
      </c>
    </row>
    <row r="859" spans="1:3" x14ac:dyDescent="0.25">
      <c r="A859" s="8">
        <v>825</v>
      </c>
      <c r="B859" s="29">
        <v>5.4768115942028898E-2</v>
      </c>
      <c r="C859" s="29">
        <v>-6.7681159420288975E-3</v>
      </c>
    </row>
    <row r="860" spans="1:3" x14ac:dyDescent="0.25">
      <c r="A860" s="8">
        <v>826</v>
      </c>
      <c r="B860" s="29">
        <v>5.3115942028985473E-2</v>
      </c>
      <c r="C860" s="29">
        <v>-6.115942028985473E-3</v>
      </c>
    </row>
    <row r="861" spans="1:3" x14ac:dyDescent="0.25">
      <c r="A861" s="8">
        <v>827</v>
      </c>
      <c r="B861" s="29">
        <v>5.4782608695652081E-2</v>
      </c>
      <c r="C861" s="29">
        <v>-1.0782608695652077E-2</v>
      </c>
    </row>
    <row r="862" spans="1:3" ht="13.8" thickBot="1" x14ac:dyDescent="0.3">
      <c r="A862" s="9">
        <v>828</v>
      </c>
      <c r="B862" s="30">
        <v>5.5202898550724598E-2</v>
      </c>
      <c r="C862" s="30">
        <v>-1.02028985507246E-2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30"/>
  <sheetViews>
    <sheetView workbookViewId="0">
      <pane xSplit="1" ySplit="1" topLeftCell="B730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RowHeight="14.4" x14ac:dyDescent="0.3"/>
  <cols>
    <col min="1" max="1" width="5.77734375" bestFit="1" customWidth="1"/>
    <col min="2" max="2" width="14.109375" bestFit="1" customWidth="1"/>
    <col min="3" max="3" width="24.88671875" style="18" bestFit="1" customWidth="1"/>
    <col min="4" max="4" width="32.109375" style="3" bestFit="1" customWidth="1"/>
    <col min="5" max="5" width="9.21875" bestFit="1" customWidth="1"/>
  </cols>
  <sheetData>
    <row r="1" spans="1:8" s="21" customFormat="1" x14ac:dyDescent="0.3">
      <c r="A1" s="20"/>
      <c r="B1" s="6" t="s">
        <v>31</v>
      </c>
      <c r="C1" s="16" t="s">
        <v>32</v>
      </c>
      <c r="D1" s="17" t="s">
        <v>33</v>
      </c>
      <c r="E1" s="7" t="s">
        <v>5</v>
      </c>
    </row>
    <row r="2" spans="1:8" x14ac:dyDescent="0.3">
      <c r="A2" s="2">
        <v>17533</v>
      </c>
      <c r="B2" s="23">
        <v>0.04</v>
      </c>
      <c r="C2" s="32">
        <v>6.4492753623188417E-2</v>
      </c>
      <c r="D2" s="24">
        <v>3.3612318840579629E-2</v>
      </c>
      <c r="E2" s="5">
        <v>0</v>
      </c>
      <c r="G2" s="34">
        <f>A2</f>
        <v>17533</v>
      </c>
      <c r="H2" s="34">
        <f>A698</f>
        <v>38718</v>
      </c>
    </row>
    <row r="3" spans="1:8" x14ac:dyDescent="0.3">
      <c r="A3" s="2">
        <v>17564</v>
      </c>
      <c r="B3" s="23">
        <v>4.7E-2</v>
      </c>
      <c r="C3" s="32">
        <v>6.4391304347825973E-2</v>
      </c>
      <c r="D3" s="24">
        <v>4.0713768115942073E-2</v>
      </c>
      <c r="E3" s="5">
        <v>0</v>
      </c>
      <c r="G3" s="34">
        <f>A829</f>
        <v>42705</v>
      </c>
      <c r="H3" s="34">
        <f>A757</f>
        <v>40513</v>
      </c>
    </row>
    <row r="4" spans="1:8" x14ac:dyDescent="0.3">
      <c r="A4" s="2">
        <v>17593</v>
      </c>
      <c r="B4" s="23">
        <v>4.4999999999999998E-2</v>
      </c>
      <c r="C4" s="32">
        <v>6.1652173913043402E-2</v>
      </c>
      <c r="D4" s="24">
        <v>4.1452898550724641E-2</v>
      </c>
      <c r="E4" s="5">
        <v>0</v>
      </c>
    </row>
    <row r="5" spans="1:8" x14ac:dyDescent="0.3">
      <c r="A5" s="2">
        <v>17624</v>
      </c>
      <c r="B5" s="23">
        <v>0.04</v>
      </c>
      <c r="C5" s="32">
        <v>5.6550724637681071E-2</v>
      </c>
      <c r="D5" s="24">
        <v>4.1554347826086975E-2</v>
      </c>
      <c r="E5" s="5">
        <v>0</v>
      </c>
      <c r="H5">
        <f>A5-A4</f>
        <v>31</v>
      </c>
    </row>
    <row r="6" spans="1:8" x14ac:dyDescent="0.3">
      <c r="A6" s="2">
        <v>17654</v>
      </c>
      <c r="B6" s="23">
        <v>3.4000000000000002E-2</v>
      </c>
      <c r="C6" s="32">
        <v>5.5101449275362209E-2</v>
      </c>
      <c r="D6" s="24">
        <v>3.7003623188405839E-2</v>
      </c>
      <c r="E6" s="5">
        <v>0</v>
      </c>
    </row>
    <row r="7" spans="1:8" x14ac:dyDescent="0.3">
      <c r="A7" s="2">
        <v>17685</v>
      </c>
      <c r="B7" s="23">
        <v>3.9E-2</v>
      </c>
      <c r="C7" s="32">
        <v>6.1130434782608579E-2</v>
      </c>
      <c r="D7" s="24">
        <v>3.5974637681159466E-2</v>
      </c>
      <c r="E7" s="5">
        <v>0</v>
      </c>
    </row>
    <row r="8" spans="1:8" x14ac:dyDescent="0.3">
      <c r="A8" s="2">
        <v>17715</v>
      </c>
      <c r="B8" s="23">
        <v>3.9E-2</v>
      </c>
      <c r="C8" s="32">
        <v>5.9550724637681039E-2</v>
      </c>
      <c r="D8" s="24">
        <v>3.7554347826087006E-2</v>
      </c>
      <c r="E8" s="5">
        <v>0</v>
      </c>
    </row>
    <row r="9" spans="1:8" x14ac:dyDescent="0.3">
      <c r="A9" s="2">
        <v>17746</v>
      </c>
      <c r="B9" s="23">
        <v>3.6000000000000004E-2</v>
      </c>
      <c r="C9" s="32">
        <v>5.6521739130434699E-2</v>
      </c>
      <c r="D9" s="24">
        <v>3.7583333333333351E-2</v>
      </c>
      <c r="E9" s="5">
        <v>0</v>
      </c>
    </row>
    <row r="10" spans="1:8" x14ac:dyDescent="0.3">
      <c r="A10" s="2">
        <v>17777</v>
      </c>
      <c r="B10" s="23">
        <v>3.4000000000000002E-2</v>
      </c>
      <c r="C10" s="32">
        <v>5.4768115942028898E-2</v>
      </c>
      <c r="D10" s="24">
        <v>3.7336956521739149E-2</v>
      </c>
      <c r="E10" s="5">
        <v>0</v>
      </c>
    </row>
    <row r="11" spans="1:8" x14ac:dyDescent="0.3">
      <c r="A11" s="2">
        <v>17807</v>
      </c>
      <c r="B11" s="23">
        <v>2.8999999999999998E-2</v>
      </c>
      <c r="C11" s="32">
        <v>5.3115942028985473E-2</v>
      </c>
      <c r="D11" s="24">
        <v>3.398913043478257E-2</v>
      </c>
      <c r="E11" s="5">
        <v>0</v>
      </c>
    </row>
    <row r="12" spans="1:8" x14ac:dyDescent="0.3">
      <c r="A12" s="2">
        <v>17838</v>
      </c>
      <c r="B12" s="23">
        <v>3.3000000000000002E-2</v>
      </c>
      <c r="C12" s="32">
        <v>5.4782608695652081E-2</v>
      </c>
      <c r="D12" s="24">
        <v>3.6322463768115966E-2</v>
      </c>
      <c r="E12" s="5">
        <v>0</v>
      </c>
    </row>
    <row r="13" spans="1:8" x14ac:dyDescent="0.3">
      <c r="A13" s="2">
        <v>17868</v>
      </c>
      <c r="B13" s="23">
        <v>3.6000000000000004E-2</v>
      </c>
      <c r="C13" s="32">
        <v>5.5202898550724598E-2</v>
      </c>
      <c r="D13" s="24">
        <v>3.8902173913043452E-2</v>
      </c>
      <c r="E13" s="5">
        <v>1</v>
      </c>
    </row>
    <row r="14" spans="1:8" x14ac:dyDescent="0.3">
      <c r="A14" s="2">
        <v>17899</v>
      </c>
      <c r="B14" s="23">
        <v>0.05</v>
      </c>
      <c r="C14" s="32">
        <v>6.4492753623188417E-2</v>
      </c>
      <c r="D14" s="24">
        <v>4.3612318840579631E-2</v>
      </c>
      <c r="E14" s="5">
        <v>1</v>
      </c>
    </row>
    <row r="15" spans="1:8" x14ac:dyDescent="0.3">
      <c r="A15" s="2">
        <v>17930</v>
      </c>
      <c r="B15" s="23">
        <v>5.7999999999999996E-2</v>
      </c>
      <c r="C15" s="32">
        <v>6.4391304347825973E-2</v>
      </c>
      <c r="D15" s="24">
        <v>5.1713768115942069E-2</v>
      </c>
      <c r="E15" s="5">
        <v>1</v>
      </c>
    </row>
    <row r="16" spans="1:8" x14ac:dyDescent="0.3">
      <c r="A16" s="2">
        <v>17958</v>
      </c>
      <c r="B16" s="23">
        <v>5.5999999999999994E-2</v>
      </c>
      <c r="C16" s="32">
        <v>6.1652173913043402E-2</v>
      </c>
      <c r="D16" s="24">
        <v>5.2452898550724637E-2</v>
      </c>
      <c r="E16" s="5">
        <v>1</v>
      </c>
    </row>
    <row r="17" spans="1:5" x14ac:dyDescent="0.3">
      <c r="A17" s="2">
        <v>17989</v>
      </c>
      <c r="B17" s="23">
        <v>5.4000000000000006E-2</v>
      </c>
      <c r="C17" s="32">
        <v>5.6550724637681071E-2</v>
      </c>
      <c r="D17" s="24">
        <v>5.5554347826086981E-2</v>
      </c>
      <c r="E17" s="5">
        <v>1</v>
      </c>
    </row>
    <row r="18" spans="1:5" x14ac:dyDescent="0.3">
      <c r="A18" s="2">
        <v>18019</v>
      </c>
      <c r="B18" s="23">
        <v>5.7000000000000002E-2</v>
      </c>
      <c r="C18" s="32">
        <v>5.5101449275362209E-2</v>
      </c>
      <c r="D18" s="24">
        <v>6.0003623188405839E-2</v>
      </c>
      <c r="E18" s="5">
        <v>1</v>
      </c>
    </row>
    <row r="19" spans="1:5" x14ac:dyDescent="0.3">
      <c r="A19" s="2">
        <v>18050</v>
      </c>
      <c r="B19" s="23">
        <v>6.4000000000000001E-2</v>
      </c>
      <c r="C19" s="32">
        <v>6.1130434782608579E-2</v>
      </c>
      <c r="D19" s="24">
        <v>6.0974637681159467E-2</v>
      </c>
      <c r="E19" s="5">
        <v>1</v>
      </c>
    </row>
    <row r="20" spans="1:5" x14ac:dyDescent="0.3">
      <c r="A20" s="2">
        <v>18080</v>
      </c>
      <c r="B20" s="23">
        <v>7.0000000000000007E-2</v>
      </c>
      <c r="C20" s="32">
        <v>5.9550724637681039E-2</v>
      </c>
      <c r="D20" s="24">
        <v>6.855434782608702E-2</v>
      </c>
      <c r="E20" s="5">
        <v>1</v>
      </c>
    </row>
    <row r="21" spans="1:5" x14ac:dyDescent="0.3">
      <c r="A21" s="2">
        <v>18111</v>
      </c>
      <c r="B21" s="23">
        <v>6.3E-2</v>
      </c>
      <c r="C21" s="32">
        <v>5.6521739130434699E-2</v>
      </c>
      <c r="D21" s="24">
        <v>6.4583333333333354E-2</v>
      </c>
      <c r="E21" s="5">
        <v>1</v>
      </c>
    </row>
    <row r="22" spans="1:5" x14ac:dyDescent="0.3">
      <c r="A22" s="2">
        <v>18142</v>
      </c>
      <c r="B22" s="23">
        <v>5.9000000000000004E-2</v>
      </c>
      <c r="C22" s="32">
        <v>5.4768115942028898E-2</v>
      </c>
      <c r="D22" s="24">
        <v>6.2336956521739151E-2</v>
      </c>
      <c r="E22" s="5">
        <v>1</v>
      </c>
    </row>
    <row r="23" spans="1:5" x14ac:dyDescent="0.3">
      <c r="A23" s="2">
        <v>18172</v>
      </c>
      <c r="B23" s="23">
        <v>6.0999999999999999E-2</v>
      </c>
      <c r="C23" s="32">
        <v>5.3115942028985473E-2</v>
      </c>
      <c r="D23" s="24">
        <v>6.5989130434782578E-2</v>
      </c>
      <c r="E23" s="5">
        <v>1</v>
      </c>
    </row>
    <row r="24" spans="1:5" x14ac:dyDescent="0.3">
      <c r="A24" s="2">
        <v>18203</v>
      </c>
      <c r="B24" s="23">
        <v>5.7000000000000002E-2</v>
      </c>
      <c r="C24" s="32">
        <v>5.4782608695652081E-2</v>
      </c>
      <c r="D24" s="24">
        <v>6.0322463768115966E-2</v>
      </c>
      <c r="E24" s="5">
        <v>0</v>
      </c>
    </row>
    <row r="25" spans="1:5" x14ac:dyDescent="0.3">
      <c r="A25" s="2">
        <v>18233</v>
      </c>
      <c r="B25" s="23">
        <v>0.06</v>
      </c>
      <c r="C25" s="32">
        <v>5.5202898550724598E-2</v>
      </c>
      <c r="D25" s="24">
        <v>6.2902173913043452E-2</v>
      </c>
      <c r="E25" s="5">
        <v>0</v>
      </c>
    </row>
    <row r="26" spans="1:5" x14ac:dyDescent="0.3">
      <c r="A26" s="2">
        <v>18264</v>
      </c>
      <c r="B26" s="23">
        <v>7.5999999999999998E-2</v>
      </c>
      <c r="C26" s="32">
        <v>6.4492753623188417E-2</v>
      </c>
      <c r="D26" s="24">
        <v>6.9612318840579626E-2</v>
      </c>
      <c r="E26" s="5">
        <v>0</v>
      </c>
    </row>
    <row r="27" spans="1:5" x14ac:dyDescent="0.3">
      <c r="A27" s="2">
        <v>18295</v>
      </c>
      <c r="B27" s="23">
        <v>7.9000000000000001E-2</v>
      </c>
      <c r="C27" s="32">
        <v>6.4391304347825973E-2</v>
      </c>
      <c r="D27" s="24">
        <v>7.2713768115942073E-2</v>
      </c>
      <c r="E27" s="5">
        <v>0</v>
      </c>
    </row>
    <row r="28" spans="1:5" x14ac:dyDescent="0.3">
      <c r="A28" s="2">
        <v>18323</v>
      </c>
      <c r="B28" s="23">
        <v>7.0999999999999994E-2</v>
      </c>
      <c r="C28" s="32">
        <v>6.1652173913043402E-2</v>
      </c>
      <c r="D28" s="24">
        <v>6.7452898550724644E-2</v>
      </c>
      <c r="E28" s="5">
        <v>0</v>
      </c>
    </row>
    <row r="29" spans="1:5" x14ac:dyDescent="0.3">
      <c r="A29" s="2">
        <v>18354</v>
      </c>
      <c r="B29" s="23">
        <v>0.06</v>
      </c>
      <c r="C29" s="32">
        <v>5.6550724637681071E-2</v>
      </c>
      <c r="D29" s="24">
        <v>6.1554347826086972E-2</v>
      </c>
      <c r="E29" s="5">
        <v>0</v>
      </c>
    </row>
    <row r="30" spans="1:5" x14ac:dyDescent="0.3">
      <c r="A30" s="2">
        <v>18384</v>
      </c>
      <c r="B30" s="23">
        <v>5.2999999999999999E-2</v>
      </c>
      <c r="C30" s="32">
        <v>5.5101449275362209E-2</v>
      </c>
      <c r="D30" s="24">
        <v>5.6003623188405835E-2</v>
      </c>
      <c r="E30" s="5">
        <v>0</v>
      </c>
    </row>
    <row r="31" spans="1:5" x14ac:dyDescent="0.3">
      <c r="A31" s="2">
        <v>18415</v>
      </c>
      <c r="B31" s="23">
        <v>5.5999999999999994E-2</v>
      </c>
      <c r="C31" s="32">
        <v>6.1130434782608579E-2</v>
      </c>
      <c r="D31" s="24">
        <v>5.297463768115946E-2</v>
      </c>
      <c r="E31" s="5">
        <v>0</v>
      </c>
    </row>
    <row r="32" spans="1:5" x14ac:dyDescent="0.3">
      <c r="A32" s="2">
        <v>18445</v>
      </c>
      <c r="B32" s="23">
        <v>5.2999999999999999E-2</v>
      </c>
      <c r="C32" s="32">
        <v>5.9550724637681039E-2</v>
      </c>
      <c r="D32" s="24">
        <v>5.1554347826087005E-2</v>
      </c>
      <c r="E32" s="5">
        <v>0</v>
      </c>
    </row>
    <row r="33" spans="1:5" x14ac:dyDescent="0.3">
      <c r="A33" s="2">
        <v>18476</v>
      </c>
      <c r="B33" s="23">
        <v>4.0999999999999995E-2</v>
      </c>
      <c r="C33" s="32">
        <v>5.6521739130434699E-2</v>
      </c>
      <c r="D33" s="24">
        <v>4.2583333333333341E-2</v>
      </c>
      <c r="E33" s="5">
        <v>0</v>
      </c>
    </row>
    <row r="34" spans="1:5" x14ac:dyDescent="0.3">
      <c r="A34" s="2">
        <v>18507</v>
      </c>
      <c r="B34" s="23">
        <v>0.04</v>
      </c>
      <c r="C34" s="32">
        <v>5.4768115942028898E-2</v>
      </c>
      <c r="D34" s="24">
        <v>4.3336956521739148E-2</v>
      </c>
      <c r="E34" s="5">
        <v>0</v>
      </c>
    </row>
    <row r="35" spans="1:5" x14ac:dyDescent="0.3">
      <c r="A35" s="2">
        <v>18537</v>
      </c>
      <c r="B35" s="23">
        <v>3.3000000000000002E-2</v>
      </c>
      <c r="C35" s="32">
        <v>5.3115942028985473E-2</v>
      </c>
      <c r="D35" s="24">
        <v>3.7989130434782574E-2</v>
      </c>
      <c r="E35" s="5">
        <v>0</v>
      </c>
    </row>
    <row r="36" spans="1:5" x14ac:dyDescent="0.3">
      <c r="A36" s="2">
        <v>18568</v>
      </c>
      <c r="B36" s="23">
        <v>3.7999999999999999E-2</v>
      </c>
      <c r="C36" s="32">
        <v>5.4782608695652081E-2</v>
      </c>
      <c r="D36" s="24">
        <v>4.1322463768115963E-2</v>
      </c>
      <c r="E36" s="5">
        <v>0</v>
      </c>
    </row>
    <row r="37" spans="1:5" x14ac:dyDescent="0.3">
      <c r="A37" s="2">
        <v>18598</v>
      </c>
      <c r="B37" s="23">
        <v>3.9E-2</v>
      </c>
      <c r="C37" s="32">
        <v>5.5202898550724598E-2</v>
      </c>
      <c r="D37" s="24">
        <v>4.1902173913043447E-2</v>
      </c>
      <c r="E37" s="5">
        <v>0</v>
      </c>
    </row>
    <row r="38" spans="1:5" x14ac:dyDescent="0.3">
      <c r="A38" s="2">
        <v>18629</v>
      </c>
      <c r="B38" s="23">
        <v>4.4000000000000004E-2</v>
      </c>
      <c r="C38" s="32">
        <v>6.4492753623188417E-2</v>
      </c>
      <c r="D38" s="24">
        <v>3.7612318840579632E-2</v>
      </c>
      <c r="E38" s="5">
        <v>0</v>
      </c>
    </row>
    <row r="39" spans="1:5" x14ac:dyDescent="0.3">
      <c r="A39" s="2">
        <v>18660</v>
      </c>
      <c r="B39" s="23">
        <v>4.2000000000000003E-2</v>
      </c>
      <c r="C39" s="32">
        <v>6.4391304347825973E-2</v>
      </c>
      <c r="D39" s="24">
        <v>3.5713768115942075E-2</v>
      </c>
      <c r="E39" s="5">
        <v>0</v>
      </c>
    </row>
    <row r="40" spans="1:5" x14ac:dyDescent="0.3">
      <c r="A40" s="2">
        <v>18688</v>
      </c>
      <c r="B40" s="23">
        <v>3.7999999999999999E-2</v>
      </c>
      <c r="C40" s="32">
        <v>6.1652173913043402E-2</v>
      </c>
      <c r="D40" s="24">
        <v>3.4452898550724642E-2</v>
      </c>
      <c r="E40" s="5">
        <v>0</v>
      </c>
    </row>
    <row r="41" spans="1:5" x14ac:dyDescent="0.3">
      <c r="A41" s="2">
        <v>18719</v>
      </c>
      <c r="B41" s="23">
        <v>3.2000000000000001E-2</v>
      </c>
      <c r="C41" s="32">
        <v>5.6550724637681071E-2</v>
      </c>
      <c r="D41" s="24">
        <v>3.3554347826086975E-2</v>
      </c>
      <c r="E41" s="5">
        <v>0</v>
      </c>
    </row>
    <row r="42" spans="1:5" x14ac:dyDescent="0.3">
      <c r="A42" s="2">
        <v>18749</v>
      </c>
      <c r="B42" s="23">
        <v>2.8999999999999998E-2</v>
      </c>
      <c r="C42" s="32">
        <v>5.5101449275362209E-2</v>
      </c>
      <c r="D42" s="24">
        <v>3.2003623188405834E-2</v>
      </c>
      <c r="E42" s="5">
        <v>0</v>
      </c>
    </row>
    <row r="43" spans="1:5" x14ac:dyDescent="0.3">
      <c r="A43" s="2">
        <v>18780</v>
      </c>
      <c r="B43" s="23">
        <v>3.4000000000000002E-2</v>
      </c>
      <c r="C43" s="32">
        <v>6.1130434782608579E-2</v>
      </c>
      <c r="D43" s="24">
        <v>3.0974637681159468E-2</v>
      </c>
      <c r="E43" s="5">
        <v>0</v>
      </c>
    </row>
    <row r="44" spans="1:5" x14ac:dyDescent="0.3">
      <c r="A44" s="2">
        <v>18810</v>
      </c>
      <c r="B44" s="23">
        <v>3.3000000000000002E-2</v>
      </c>
      <c r="C44" s="32">
        <v>5.9550724637681039E-2</v>
      </c>
      <c r="D44" s="24">
        <v>3.1554347826087008E-2</v>
      </c>
      <c r="E44" s="5">
        <v>0</v>
      </c>
    </row>
    <row r="45" spans="1:5" x14ac:dyDescent="0.3">
      <c r="A45" s="2">
        <v>18841</v>
      </c>
      <c r="B45" s="23">
        <v>2.8999999999999998E-2</v>
      </c>
      <c r="C45" s="32">
        <v>5.6521739130434699E-2</v>
      </c>
      <c r="D45" s="24">
        <v>3.0583333333333344E-2</v>
      </c>
      <c r="E45" s="5">
        <v>0</v>
      </c>
    </row>
    <row r="46" spans="1:5" x14ac:dyDescent="0.3">
      <c r="A46" s="2">
        <v>18872</v>
      </c>
      <c r="B46" s="23">
        <v>0.03</v>
      </c>
      <c r="C46" s="32">
        <v>5.4768115942028898E-2</v>
      </c>
      <c r="D46" s="24">
        <v>3.3336956521739146E-2</v>
      </c>
      <c r="E46" s="5">
        <v>0</v>
      </c>
    </row>
    <row r="47" spans="1:5" x14ac:dyDescent="0.3">
      <c r="A47" s="2">
        <v>18902</v>
      </c>
      <c r="B47" s="23">
        <v>2.7999999999999997E-2</v>
      </c>
      <c r="C47" s="32">
        <v>5.3115942028985473E-2</v>
      </c>
      <c r="D47" s="24">
        <v>3.298913043478257E-2</v>
      </c>
      <c r="E47" s="5">
        <v>0</v>
      </c>
    </row>
    <row r="48" spans="1:5" x14ac:dyDescent="0.3">
      <c r="A48" s="2">
        <v>18933</v>
      </c>
      <c r="B48" s="23">
        <v>3.2000000000000001E-2</v>
      </c>
      <c r="C48" s="32">
        <v>5.4782608695652081E-2</v>
      </c>
      <c r="D48" s="24">
        <v>3.5322463768115965E-2</v>
      </c>
      <c r="E48" s="5">
        <v>0</v>
      </c>
    </row>
    <row r="49" spans="1:5" x14ac:dyDescent="0.3">
      <c r="A49" s="2">
        <v>18963</v>
      </c>
      <c r="B49" s="23">
        <v>2.8999999999999998E-2</v>
      </c>
      <c r="C49" s="32">
        <v>5.5202898550724598E-2</v>
      </c>
      <c r="D49" s="24">
        <v>3.1902173913043445E-2</v>
      </c>
      <c r="E49" s="5">
        <v>0</v>
      </c>
    </row>
    <row r="50" spans="1:5" x14ac:dyDescent="0.3">
      <c r="A50" s="2">
        <v>18994</v>
      </c>
      <c r="B50" s="23">
        <v>3.7000000000000005E-2</v>
      </c>
      <c r="C50" s="32">
        <v>6.4492753623188417E-2</v>
      </c>
      <c r="D50" s="24">
        <v>3.0612318840579633E-2</v>
      </c>
      <c r="E50" s="5">
        <v>0</v>
      </c>
    </row>
    <row r="51" spans="1:5" x14ac:dyDescent="0.3">
      <c r="A51" s="2">
        <v>19025</v>
      </c>
      <c r="B51" s="23">
        <v>3.7999999999999999E-2</v>
      </c>
      <c r="C51" s="32">
        <v>6.4391304347825973E-2</v>
      </c>
      <c r="D51" s="24">
        <v>3.1713768115942072E-2</v>
      </c>
      <c r="E51" s="5">
        <v>0</v>
      </c>
    </row>
    <row r="52" spans="1:5" x14ac:dyDescent="0.3">
      <c r="A52" s="2">
        <v>19054</v>
      </c>
      <c r="B52" s="23">
        <v>3.3000000000000002E-2</v>
      </c>
      <c r="C52" s="32">
        <v>6.1652173913043402E-2</v>
      </c>
      <c r="D52" s="24">
        <v>2.9452898550724645E-2</v>
      </c>
      <c r="E52" s="5">
        <v>0</v>
      </c>
    </row>
    <row r="53" spans="1:5" x14ac:dyDescent="0.3">
      <c r="A53" s="2">
        <v>19085</v>
      </c>
      <c r="B53" s="23">
        <v>0.03</v>
      </c>
      <c r="C53" s="32">
        <v>5.6550724637681071E-2</v>
      </c>
      <c r="D53" s="24">
        <v>3.1554347826086973E-2</v>
      </c>
      <c r="E53" s="5">
        <v>0</v>
      </c>
    </row>
    <row r="54" spans="1:5" x14ac:dyDescent="0.3">
      <c r="A54" s="2">
        <v>19115</v>
      </c>
      <c r="B54" s="23">
        <v>2.8999999999999998E-2</v>
      </c>
      <c r="C54" s="32">
        <v>5.5101449275362209E-2</v>
      </c>
      <c r="D54" s="24">
        <v>3.2003623188405834E-2</v>
      </c>
      <c r="E54" s="5">
        <v>0</v>
      </c>
    </row>
    <row r="55" spans="1:5" x14ac:dyDescent="0.3">
      <c r="A55" s="2">
        <v>19146</v>
      </c>
      <c r="B55" s="23">
        <v>3.2000000000000001E-2</v>
      </c>
      <c r="C55" s="32">
        <v>6.1130434782608579E-2</v>
      </c>
      <c r="D55" s="24">
        <v>2.8974637681159467E-2</v>
      </c>
      <c r="E55" s="5">
        <v>0</v>
      </c>
    </row>
    <row r="56" spans="1:5" x14ac:dyDescent="0.3">
      <c r="A56" s="2">
        <v>19176</v>
      </c>
      <c r="B56" s="23">
        <v>3.3000000000000002E-2</v>
      </c>
      <c r="C56" s="32">
        <v>5.9550724637681039E-2</v>
      </c>
      <c r="D56" s="24">
        <v>3.1554347826087008E-2</v>
      </c>
      <c r="E56" s="5">
        <v>0</v>
      </c>
    </row>
    <row r="57" spans="1:5" x14ac:dyDescent="0.3">
      <c r="A57" s="2">
        <v>19207</v>
      </c>
      <c r="B57" s="23">
        <v>3.1E-2</v>
      </c>
      <c r="C57" s="32">
        <v>5.6521739130434699E-2</v>
      </c>
      <c r="D57" s="24">
        <v>3.2583333333333346E-2</v>
      </c>
      <c r="E57" s="5">
        <v>0</v>
      </c>
    </row>
    <row r="58" spans="1:5" x14ac:dyDescent="0.3">
      <c r="A58" s="2">
        <v>19238</v>
      </c>
      <c r="B58" s="23">
        <v>2.7000000000000003E-2</v>
      </c>
      <c r="C58" s="32">
        <v>5.4768115942028898E-2</v>
      </c>
      <c r="D58" s="24">
        <v>3.033695652173915E-2</v>
      </c>
      <c r="E58" s="5">
        <v>0</v>
      </c>
    </row>
    <row r="59" spans="1:5" x14ac:dyDescent="0.3">
      <c r="A59" s="2">
        <v>19268</v>
      </c>
      <c r="B59" s="23">
        <v>2.4E-2</v>
      </c>
      <c r="C59" s="32">
        <v>5.3115942028985473E-2</v>
      </c>
      <c r="D59" s="24">
        <v>2.8989130434782573E-2</v>
      </c>
      <c r="E59" s="5">
        <v>0</v>
      </c>
    </row>
    <row r="60" spans="1:5" x14ac:dyDescent="0.3">
      <c r="A60" s="2">
        <v>19299</v>
      </c>
      <c r="B60" s="23">
        <v>2.5000000000000001E-2</v>
      </c>
      <c r="C60" s="32">
        <v>5.4782608695652081E-2</v>
      </c>
      <c r="D60" s="24">
        <v>2.8322463768115966E-2</v>
      </c>
      <c r="E60" s="5">
        <v>0</v>
      </c>
    </row>
    <row r="61" spans="1:5" x14ac:dyDescent="0.3">
      <c r="A61" s="2">
        <v>19329</v>
      </c>
      <c r="B61" s="23">
        <v>2.5000000000000001E-2</v>
      </c>
      <c r="C61" s="32">
        <v>5.5202898550724598E-2</v>
      </c>
      <c r="D61" s="24">
        <v>2.7902173913043449E-2</v>
      </c>
      <c r="E61" s="5">
        <v>0</v>
      </c>
    </row>
    <row r="62" spans="1:5" x14ac:dyDescent="0.3">
      <c r="A62" s="2">
        <v>19360</v>
      </c>
      <c r="B62" s="23">
        <v>3.4000000000000002E-2</v>
      </c>
      <c r="C62" s="32">
        <v>6.4492753623188417E-2</v>
      </c>
      <c r="D62" s="24">
        <v>2.761231884057963E-2</v>
      </c>
      <c r="E62" s="5">
        <v>0</v>
      </c>
    </row>
    <row r="63" spans="1:5" x14ac:dyDescent="0.3">
      <c r="A63" s="2">
        <v>19391</v>
      </c>
      <c r="B63" s="23">
        <v>3.2000000000000001E-2</v>
      </c>
      <c r="C63" s="32">
        <v>6.4391304347825973E-2</v>
      </c>
      <c r="D63" s="24">
        <v>2.5713768115942073E-2</v>
      </c>
      <c r="E63" s="5">
        <v>0</v>
      </c>
    </row>
    <row r="64" spans="1:5" x14ac:dyDescent="0.3">
      <c r="A64" s="2">
        <v>19419</v>
      </c>
      <c r="B64" s="23">
        <v>2.8999999999999998E-2</v>
      </c>
      <c r="C64" s="32">
        <v>6.1652173913043402E-2</v>
      </c>
      <c r="D64" s="24">
        <v>2.5452898550724641E-2</v>
      </c>
      <c r="E64" s="5">
        <v>0</v>
      </c>
    </row>
    <row r="65" spans="1:5" x14ac:dyDescent="0.3">
      <c r="A65" s="2">
        <v>19450</v>
      </c>
      <c r="B65" s="23">
        <v>2.7999999999999997E-2</v>
      </c>
      <c r="C65" s="32">
        <v>5.6550724637681071E-2</v>
      </c>
      <c r="D65" s="24">
        <v>2.9554347826086971E-2</v>
      </c>
      <c r="E65" s="5">
        <v>0</v>
      </c>
    </row>
    <row r="66" spans="1:5" x14ac:dyDescent="0.3">
      <c r="A66" s="2">
        <v>19480</v>
      </c>
      <c r="B66" s="23">
        <v>2.5000000000000001E-2</v>
      </c>
      <c r="C66" s="32">
        <v>5.5101449275362209E-2</v>
      </c>
      <c r="D66" s="24">
        <v>2.8003623188405838E-2</v>
      </c>
      <c r="E66" s="5">
        <v>0</v>
      </c>
    </row>
    <row r="67" spans="1:5" x14ac:dyDescent="0.3">
      <c r="A67" s="2">
        <v>19511</v>
      </c>
      <c r="B67" s="23">
        <v>2.7000000000000003E-2</v>
      </c>
      <c r="C67" s="32">
        <v>6.1130434782608579E-2</v>
      </c>
      <c r="D67" s="24">
        <v>2.3974637681159469E-2</v>
      </c>
      <c r="E67" s="5">
        <v>0</v>
      </c>
    </row>
    <row r="68" spans="1:5" x14ac:dyDescent="0.3">
      <c r="A68" s="2">
        <v>19541</v>
      </c>
      <c r="B68" s="23">
        <v>2.7000000000000003E-2</v>
      </c>
      <c r="C68" s="32">
        <v>5.9550724637681039E-2</v>
      </c>
      <c r="D68" s="24">
        <v>2.5554347826087009E-2</v>
      </c>
      <c r="E68" s="5">
        <v>0</v>
      </c>
    </row>
    <row r="69" spans="1:5" x14ac:dyDescent="0.3">
      <c r="A69" s="2">
        <v>19572</v>
      </c>
      <c r="B69" s="23">
        <v>2.4E-2</v>
      </c>
      <c r="C69" s="32">
        <v>5.6521739130434699E-2</v>
      </c>
      <c r="D69" s="24">
        <v>2.5583333333333347E-2</v>
      </c>
      <c r="E69" s="5">
        <v>1</v>
      </c>
    </row>
    <row r="70" spans="1:5" x14ac:dyDescent="0.3">
      <c r="A70" s="2">
        <v>19603</v>
      </c>
      <c r="B70" s="23">
        <v>2.6000000000000002E-2</v>
      </c>
      <c r="C70" s="32">
        <v>5.4768115942028898E-2</v>
      </c>
      <c r="D70" s="24">
        <v>2.9336956521739149E-2</v>
      </c>
      <c r="E70" s="5">
        <v>1</v>
      </c>
    </row>
    <row r="71" spans="1:5" x14ac:dyDescent="0.3">
      <c r="A71" s="2">
        <v>19633</v>
      </c>
      <c r="B71" s="23">
        <v>2.5000000000000001E-2</v>
      </c>
      <c r="C71" s="32">
        <v>5.3115942028985473E-2</v>
      </c>
      <c r="D71" s="24">
        <v>2.9989130434782574E-2</v>
      </c>
      <c r="E71" s="5">
        <v>1</v>
      </c>
    </row>
    <row r="72" spans="1:5" x14ac:dyDescent="0.3">
      <c r="A72" s="2">
        <v>19664</v>
      </c>
      <c r="B72" s="23">
        <v>3.2000000000000001E-2</v>
      </c>
      <c r="C72" s="32">
        <v>5.4782608695652081E-2</v>
      </c>
      <c r="D72" s="24">
        <v>3.5322463768115965E-2</v>
      </c>
      <c r="E72" s="5">
        <v>1</v>
      </c>
    </row>
    <row r="73" spans="1:5" x14ac:dyDescent="0.3">
      <c r="A73" s="2">
        <v>19694</v>
      </c>
      <c r="B73" s="23">
        <v>4.2000000000000003E-2</v>
      </c>
      <c r="C73" s="32">
        <v>5.5202898550724598E-2</v>
      </c>
      <c r="D73" s="24">
        <v>4.490217391304345E-2</v>
      </c>
      <c r="E73" s="5">
        <v>1</v>
      </c>
    </row>
    <row r="74" spans="1:5" x14ac:dyDescent="0.3">
      <c r="A74" s="2">
        <v>19725</v>
      </c>
      <c r="B74" s="23">
        <v>5.7000000000000002E-2</v>
      </c>
      <c r="C74" s="32">
        <v>6.4492753623188417E-2</v>
      </c>
      <c r="D74" s="24">
        <v>5.061231884057963E-2</v>
      </c>
      <c r="E74" s="5">
        <v>1</v>
      </c>
    </row>
    <row r="75" spans="1:5" x14ac:dyDescent="0.3">
      <c r="A75" s="2">
        <v>19756</v>
      </c>
      <c r="B75" s="23">
        <v>6.3E-2</v>
      </c>
      <c r="C75" s="32">
        <v>6.4391304347825973E-2</v>
      </c>
      <c r="D75" s="24">
        <v>5.6713768115942073E-2</v>
      </c>
      <c r="E75" s="5">
        <v>1</v>
      </c>
    </row>
    <row r="76" spans="1:5" x14ac:dyDescent="0.3">
      <c r="A76" s="2">
        <v>19784</v>
      </c>
      <c r="B76" s="23">
        <v>6.4000000000000001E-2</v>
      </c>
      <c r="C76" s="32">
        <v>6.1652173913043402E-2</v>
      </c>
      <c r="D76" s="24">
        <v>6.0452898550724644E-2</v>
      </c>
      <c r="E76" s="5">
        <v>1</v>
      </c>
    </row>
    <row r="77" spans="1:5" x14ac:dyDescent="0.3">
      <c r="A77" s="2">
        <v>19815</v>
      </c>
      <c r="B77" s="23">
        <v>6.0999999999999999E-2</v>
      </c>
      <c r="C77" s="32">
        <v>5.6550724637681071E-2</v>
      </c>
      <c r="D77" s="24">
        <v>6.2554347826086973E-2</v>
      </c>
      <c r="E77" s="5">
        <v>1</v>
      </c>
    </row>
    <row r="78" spans="1:5" x14ac:dyDescent="0.3">
      <c r="A78" s="2">
        <v>19845</v>
      </c>
      <c r="B78" s="23">
        <v>5.7000000000000002E-2</v>
      </c>
      <c r="C78" s="32">
        <v>5.5101449275362209E-2</v>
      </c>
      <c r="D78" s="24">
        <v>6.0003623188405839E-2</v>
      </c>
      <c r="E78" s="5">
        <v>1</v>
      </c>
    </row>
    <row r="79" spans="1:5" x14ac:dyDescent="0.3">
      <c r="A79" s="2">
        <v>19876</v>
      </c>
      <c r="B79" s="23">
        <v>5.7000000000000002E-2</v>
      </c>
      <c r="C79" s="32">
        <v>6.1130434782608579E-2</v>
      </c>
      <c r="D79" s="24">
        <v>5.3974637681159468E-2</v>
      </c>
      <c r="E79" s="5">
        <v>0</v>
      </c>
    </row>
    <row r="80" spans="1:5" x14ac:dyDescent="0.3">
      <c r="A80" s="2">
        <v>19906</v>
      </c>
      <c r="B80" s="23">
        <v>5.7000000000000002E-2</v>
      </c>
      <c r="C80" s="32">
        <v>5.9550724637681039E-2</v>
      </c>
      <c r="D80" s="24">
        <v>5.5554347826087008E-2</v>
      </c>
      <c r="E80" s="5">
        <v>0</v>
      </c>
    </row>
    <row r="81" spans="1:5" x14ac:dyDescent="0.3">
      <c r="A81" s="2">
        <v>19937</v>
      </c>
      <c r="B81" s="23">
        <v>5.4000000000000006E-2</v>
      </c>
      <c r="C81" s="32">
        <v>5.6521739130434699E-2</v>
      </c>
      <c r="D81" s="24">
        <v>5.5583333333333353E-2</v>
      </c>
      <c r="E81" s="5">
        <v>0</v>
      </c>
    </row>
    <row r="82" spans="1:5" x14ac:dyDescent="0.3">
      <c r="A82" s="2">
        <v>19968</v>
      </c>
      <c r="B82" s="23">
        <v>5.2999999999999999E-2</v>
      </c>
      <c r="C82" s="32">
        <v>5.4768115942028898E-2</v>
      </c>
      <c r="D82" s="24">
        <v>5.6336956521739145E-2</v>
      </c>
      <c r="E82" s="5">
        <v>0</v>
      </c>
    </row>
    <row r="83" spans="1:5" x14ac:dyDescent="0.3">
      <c r="A83" s="2">
        <v>19998</v>
      </c>
      <c r="B83" s="23">
        <v>4.5999999999999999E-2</v>
      </c>
      <c r="C83" s="32">
        <v>5.3115942028985473E-2</v>
      </c>
      <c r="D83" s="24">
        <v>5.0989130434782572E-2</v>
      </c>
      <c r="E83" s="5">
        <v>0</v>
      </c>
    </row>
    <row r="84" spans="1:5" x14ac:dyDescent="0.3">
      <c r="A84" s="2">
        <v>20029</v>
      </c>
      <c r="B84" s="23">
        <v>4.9000000000000002E-2</v>
      </c>
      <c r="C84" s="32">
        <v>5.4782608695652081E-2</v>
      </c>
      <c r="D84" s="24">
        <v>5.2322463768115966E-2</v>
      </c>
      <c r="E84" s="5">
        <v>0</v>
      </c>
    </row>
    <row r="85" spans="1:5" x14ac:dyDescent="0.3">
      <c r="A85" s="2">
        <v>20059</v>
      </c>
      <c r="B85" s="23">
        <v>4.8000000000000001E-2</v>
      </c>
      <c r="C85" s="32">
        <v>5.5202898550724598E-2</v>
      </c>
      <c r="D85" s="24">
        <v>5.0902173913043448E-2</v>
      </c>
      <c r="E85" s="5">
        <v>0</v>
      </c>
    </row>
    <row r="86" spans="1:5" x14ac:dyDescent="0.3">
      <c r="A86" s="2">
        <v>20090</v>
      </c>
      <c r="B86" s="23">
        <v>5.7999999999999996E-2</v>
      </c>
      <c r="C86" s="32">
        <v>6.4492753623188417E-2</v>
      </c>
      <c r="D86" s="24">
        <v>5.1612318840579624E-2</v>
      </c>
      <c r="E86" s="5">
        <v>0</v>
      </c>
    </row>
    <row r="87" spans="1:5" x14ac:dyDescent="0.3">
      <c r="A87" s="2">
        <v>20121</v>
      </c>
      <c r="B87" s="23">
        <v>5.7000000000000002E-2</v>
      </c>
      <c r="C87" s="32">
        <v>6.4391304347825973E-2</v>
      </c>
      <c r="D87" s="24">
        <v>5.0713768115942075E-2</v>
      </c>
      <c r="E87" s="5">
        <v>0</v>
      </c>
    </row>
    <row r="88" spans="1:5" x14ac:dyDescent="0.3">
      <c r="A88" s="2">
        <v>20149</v>
      </c>
      <c r="B88" s="23">
        <v>5.2000000000000005E-2</v>
      </c>
      <c r="C88" s="32">
        <v>6.1652173913043402E-2</v>
      </c>
      <c r="D88" s="24">
        <v>4.8452898550724648E-2</v>
      </c>
      <c r="E88" s="5">
        <v>0</v>
      </c>
    </row>
    <row r="89" spans="1:5" x14ac:dyDescent="0.3">
      <c r="A89" s="2">
        <v>20180</v>
      </c>
      <c r="B89" s="23">
        <v>4.9000000000000002E-2</v>
      </c>
      <c r="C89" s="32">
        <v>5.6550724637681071E-2</v>
      </c>
      <c r="D89" s="24">
        <v>5.0554347826086976E-2</v>
      </c>
      <c r="E89" s="5">
        <v>0</v>
      </c>
    </row>
    <row r="90" spans="1:5" x14ac:dyDescent="0.3">
      <c r="A90" s="2">
        <v>20210</v>
      </c>
      <c r="B90" s="23">
        <v>4.2000000000000003E-2</v>
      </c>
      <c r="C90" s="32">
        <v>5.5101449275362209E-2</v>
      </c>
      <c r="D90" s="24">
        <v>4.5003623188405839E-2</v>
      </c>
      <c r="E90" s="5">
        <v>0</v>
      </c>
    </row>
    <row r="91" spans="1:5" x14ac:dyDescent="0.3">
      <c r="A91" s="2">
        <v>20241</v>
      </c>
      <c r="B91" s="23">
        <v>4.4000000000000004E-2</v>
      </c>
      <c r="C91" s="32">
        <v>6.1130434782608579E-2</v>
      </c>
      <c r="D91" s="24">
        <v>4.097463768115947E-2</v>
      </c>
      <c r="E91" s="5">
        <v>0</v>
      </c>
    </row>
    <row r="92" spans="1:5" x14ac:dyDescent="0.3">
      <c r="A92" s="2">
        <v>20271</v>
      </c>
      <c r="B92" s="23">
        <v>0.04</v>
      </c>
      <c r="C92" s="32">
        <v>5.9550724637681039E-2</v>
      </c>
      <c r="D92" s="24">
        <v>3.8554347826087007E-2</v>
      </c>
      <c r="E92" s="5">
        <v>0</v>
      </c>
    </row>
    <row r="93" spans="1:5" x14ac:dyDescent="0.3">
      <c r="A93" s="2">
        <v>20302</v>
      </c>
      <c r="B93" s="23">
        <v>3.7999999999999999E-2</v>
      </c>
      <c r="C93" s="32">
        <v>5.6521739130434699E-2</v>
      </c>
      <c r="D93" s="24">
        <v>3.9583333333333345E-2</v>
      </c>
      <c r="E93" s="5">
        <v>0</v>
      </c>
    </row>
    <row r="94" spans="1:5" x14ac:dyDescent="0.3">
      <c r="A94" s="2">
        <v>20333</v>
      </c>
      <c r="B94" s="23">
        <v>3.5000000000000003E-2</v>
      </c>
      <c r="C94" s="32">
        <v>5.4768115942028898E-2</v>
      </c>
      <c r="D94" s="24">
        <v>3.833695652173915E-2</v>
      </c>
      <c r="E94" s="5">
        <v>0</v>
      </c>
    </row>
    <row r="95" spans="1:5" x14ac:dyDescent="0.3">
      <c r="A95" s="2">
        <v>20363</v>
      </c>
      <c r="B95" s="23">
        <v>3.4000000000000002E-2</v>
      </c>
      <c r="C95" s="32">
        <v>5.3115942028985473E-2</v>
      </c>
      <c r="D95" s="24">
        <v>3.8989130434782575E-2</v>
      </c>
      <c r="E95" s="5">
        <v>0</v>
      </c>
    </row>
    <row r="96" spans="1:5" x14ac:dyDescent="0.3">
      <c r="A96" s="2">
        <v>20394</v>
      </c>
      <c r="B96" s="23">
        <v>3.7999999999999999E-2</v>
      </c>
      <c r="C96" s="32">
        <v>5.4782608695652081E-2</v>
      </c>
      <c r="D96" s="24">
        <v>4.1322463768115963E-2</v>
      </c>
      <c r="E96" s="5">
        <v>0</v>
      </c>
    </row>
    <row r="97" spans="1:5" x14ac:dyDescent="0.3">
      <c r="A97" s="2">
        <v>20424</v>
      </c>
      <c r="B97" s="23">
        <v>3.9E-2</v>
      </c>
      <c r="C97" s="32">
        <v>5.5202898550724598E-2</v>
      </c>
      <c r="D97" s="24">
        <v>4.1902173913043447E-2</v>
      </c>
      <c r="E97" s="5">
        <v>0</v>
      </c>
    </row>
    <row r="98" spans="1:5" x14ac:dyDescent="0.3">
      <c r="A98" s="2">
        <v>20455</v>
      </c>
      <c r="B98" s="23">
        <v>4.7E-2</v>
      </c>
      <c r="C98" s="32">
        <v>6.4492753623188417E-2</v>
      </c>
      <c r="D98" s="24">
        <v>4.0612318840579628E-2</v>
      </c>
      <c r="E98" s="5">
        <v>0</v>
      </c>
    </row>
    <row r="99" spans="1:5" x14ac:dyDescent="0.3">
      <c r="A99" s="2">
        <v>20486</v>
      </c>
      <c r="B99" s="23">
        <v>4.8000000000000001E-2</v>
      </c>
      <c r="C99" s="32">
        <v>6.4391304347825973E-2</v>
      </c>
      <c r="D99" s="24">
        <v>4.1713768115942074E-2</v>
      </c>
      <c r="E99" s="5">
        <v>0</v>
      </c>
    </row>
    <row r="100" spans="1:5" x14ac:dyDescent="0.3">
      <c r="A100" s="2">
        <v>20515</v>
      </c>
      <c r="B100" s="23">
        <v>4.7E-2</v>
      </c>
      <c r="C100" s="32">
        <v>6.1652173913043402E-2</v>
      </c>
      <c r="D100" s="24">
        <v>4.3452898550724643E-2</v>
      </c>
      <c r="E100" s="5">
        <v>0</v>
      </c>
    </row>
    <row r="101" spans="1:5" x14ac:dyDescent="0.3">
      <c r="A101" s="2">
        <v>20546</v>
      </c>
      <c r="B101" s="23">
        <v>4.0999999999999995E-2</v>
      </c>
      <c r="C101" s="32">
        <v>5.6550724637681071E-2</v>
      </c>
      <c r="D101" s="24">
        <v>4.2554347826086969E-2</v>
      </c>
      <c r="E101" s="5">
        <v>0</v>
      </c>
    </row>
    <row r="102" spans="1:5" x14ac:dyDescent="0.3">
      <c r="A102" s="2">
        <v>20576</v>
      </c>
      <c r="B102" s="23">
        <v>4.2000000000000003E-2</v>
      </c>
      <c r="C102" s="32">
        <v>5.5101449275362209E-2</v>
      </c>
      <c r="D102" s="24">
        <v>4.5003623188405839E-2</v>
      </c>
      <c r="E102" s="5">
        <v>0</v>
      </c>
    </row>
    <row r="103" spans="1:5" x14ac:dyDescent="0.3">
      <c r="A103" s="2">
        <v>20607</v>
      </c>
      <c r="B103" s="23">
        <v>4.7E-2</v>
      </c>
      <c r="C103" s="32">
        <v>6.1130434782608579E-2</v>
      </c>
      <c r="D103" s="24">
        <v>4.3974637681159466E-2</v>
      </c>
      <c r="E103" s="5">
        <v>0</v>
      </c>
    </row>
    <row r="104" spans="1:5" x14ac:dyDescent="0.3">
      <c r="A104" s="2">
        <v>20637</v>
      </c>
      <c r="B104" s="23">
        <v>4.4000000000000004E-2</v>
      </c>
      <c r="C104" s="32">
        <v>5.9550724637681039E-2</v>
      </c>
      <c r="D104" s="24">
        <v>4.2554347826087011E-2</v>
      </c>
      <c r="E104" s="5">
        <v>0</v>
      </c>
    </row>
    <row r="105" spans="1:5" x14ac:dyDescent="0.3">
      <c r="A105" s="2">
        <v>20668</v>
      </c>
      <c r="B105" s="23">
        <v>3.7000000000000005E-2</v>
      </c>
      <c r="C105" s="32">
        <v>5.6521739130434699E-2</v>
      </c>
      <c r="D105" s="24">
        <v>3.8583333333333351E-2</v>
      </c>
      <c r="E105" s="5">
        <v>0</v>
      </c>
    </row>
    <row r="106" spans="1:5" x14ac:dyDescent="0.3">
      <c r="A106" s="2">
        <v>20699</v>
      </c>
      <c r="B106" s="23">
        <v>3.4000000000000002E-2</v>
      </c>
      <c r="C106" s="32">
        <v>5.4768115942028898E-2</v>
      </c>
      <c r="D106" s="24">
        <v>3.7336956521739149E-2</v>
      </c>
      <c r="E106" s="5">
        <v>0</v>
      </c>
    </row>
    <row r="107" spans="1:5" x14ac:dyDescent="0.3">
      <c r="A107" s="2">
        <v>20729</v>
      </c>
      <c r="B107" s="23">
        <v>3.1E-2</v>
      </c>
      <c r="C107" s="32">
        <v>5.3115942028985473E-2</v>
      </c>
      <c r="D107" s="24">
        <v>3.5989130434782572E-2</v>
      </c>
      <c r="E107" s="5">
        <v>0</v>
      </c>
    </row>
    <row r="108" spans="1:5" x14ac:dyDescent="0.3">
      <c r="A108" s="2">
        <v>20760</v>
      </c>
      <c r="B108" s="23">
        <v>3.9E-2</v>
      </c>
      <c r="C108" s="32">
        <v>5.4782608695652081E-2</v>
      </c>
      <c r="D108" s="24">
        <v>4.2322463768115964E-2</v>
      </c>
      <c r="E108" s="5">
        <v>0</v>
      </c>
    </row>
    <row r="109" spans="1:5" x14ac:dyDescent="0.3">
      <c r="A109" s="2">
        <v>20790</v>
      </c>
      <c r="B109" s="23">
        <v>0.04</v>
      </c>
      <c r="C109" s="32">
        <v>5.5202898550724598E-2</v>
      </c>
      <c r="D109" s="24">
        <v>4.2902173913043448E-2</v>
      </c>
      <c r="E109" s="5">
        <v>0</v>
      </c>
    </row>
    <row r="110" spans="1:5" x14ac:dyDescent="0.3">
      <c r="A110" s="2">
        <v>20821</v>
      </c>
      <c r="B110" s="23">
        <v>4.9000000000000002E-2</v>
      </c>
      <c r="C110" s="32">
        <v>6.4492753623188417E-2</v>
      </c>
      <c r="D110" s="24">
        <v>4.261231884057963E-2</v>
      </c>
      <c r="E110" s="5">
        <v>0</v>
      </c>
    </row>
    <row r="111" spans="1:5" x14ac:dyDescent="0.3">
      <c r="A111" s="2">
        <v>20852</v>
      </c>
      <c r="B111" s="23">
        <v>4.7E-2</v>
      </c>
      <c r="C111" s="32">
        <v>6.4391304347825973E-2</v>
      </c>
      <c r="D111" s="24">
        <v>4.0713768115942073E-2</v>
      </c>
      <c r="E111" s="5">
        <v>0</v>
      </c>
    </row>
    <row r="112" spans="1:5" x14ac:dyDescent="0.3">
      <c r="A112" s="2">
        <v>20880</v>
      </c>
      <c r="B112" s="23">
        <v>4.2999999999999997E-2</v>
      </c>
      <c r="C112" s="32">
        <v>6.1652173913043402E-2</v>
      </c>
      <c r="D112" s="24">
        <v>3.945289855072464E-2</v>
      </c>
      <c r="E112" s="5">
        <v>0</v>
      </c>
    </row>
    <row r="113" spans="1:5" x14ac:dyDescent="0.3">
      <c r="A113" s="2">
        <v>20911</v>
      </c>
      <c r="B113" s="23">
        <v>0.04</v>
      </c>
      <c r="C113" s="32">
        <v>5.6550724637681071E-2</v>
      </c>
      <c r="D113" s="24">
        <v>4.1554347826086975E-2</v>
      </c>
      <c r="E113" s="5">
        <v>0</v>
      </c>
    </row>
    <row r="114" spans="1:5" x14ac:dyDescent="0.3">
      <c r="A114" s="2">
        <v>20941</v>
      </c>
      <c r="B114" s="23">
        <v>3.9E-2</v>
      </c>
      <c r="C114" s="32">
        <v>5.5101449275362209E-2</v>
      </c>
      <c r="D114" s="24">
        <v>4.2003623188405836E-2</v>
      </c>
      <c r="E114" s="5">
        <v>0</v>
      </c>
    </row>
    <row r="115" spans="1:5" x14ac:dyDescent="0.3">
      <c r="A115" s="2">
        <v>20972</v>
      </c>
      <c r="B115" s="23">
        <v>4.5999999999999999E-2</v>
      </c>
      <c r="C115" s="32">
        <v>6.1130434782608579E-2</v>
      </c>
      <c r="D115" s="24">
        <v>4.2974637681159465E-2</v>
      </c>
      <c r="E115" s="5">
        <v>0</v>
      </c>
    </row>
    <row r="116" spans="1:5" x14ac:dyDescent="0.3">
      <c r="A116" s="2">
        <v>21002</v>
      </c>
      <c r="B116" s="23">
        <v>4.0999999999999995E-2</v>
      </c>
      <c r="C116" s="32">
        <v>5.9550724637681039E-2</v>
      </c>
      <c r="D116" s="24">
        <v>3.9554347826087001E-2</v>
      </c>
      <c r="E116" s="5">
        <v>0</v>
      </c>
    </row>
    <row r="117" spans="1:5" x14ac:dyDescent="0.3">
      <c r="A117" s="2">
        <v>21033</v>
      </c>
      <c r="B117" s="23">
        <v>3.7000000000000005E-2</v>
      </c>
      <c r="C117" s="32">
        <v>5.6521739130434699E-2</v>
      </c>
      <c r="D117" s="24">
        <v>3.8583333333333351E-2</v>
      </c>
      <c r="E117" s="5">
        <v>0</v>
      </c>
    </row>
    <row r="118" spans="1:5" x14ac:dyDescent="0.3">
      <c r="A118" s="2">
        <v>21064</v>
      </c>
      <c r="B118" s="23">
        <v>3.7000000000000005E-2</v>
      </c>
      <c r="C118" s="32">
        <v>5.4768115942028898E-2</v>
      </c>
      <c r="D118" s="24">
        <v>4.0336956521739152E-2</v>
      </c>
      <c r="E118" s="5">
        <v>1</v>
      </c>
    </row>
    <row r="119" spans="1:5" x14ac:dyDescent="0.3">
      <c r="A119" s="2">
        <v>21094</v>
      </c>
      <c r="B119" s="23">
        <v>3.6000000000000004E-2</v>
      </c>
      <c r="C119" s="32">
        <v>5.3115942028985473E-2</v>
      </c>
      <c r="D119" s="24">
        <v>4.0989130434782577E-2</v>
      </c>
      <c r="E119" s="5">
        <v>1</v>
      </c>
    </row>
    <row r="120" spans="1:5" x14ac:dyDescent="0.3">
      <c r="A120" s="2">
        <v>21125</v>
      </c>
      <c r="B120" s="23">
        <v>4.5999999999999999E-2</v>
      </c>
      <c r="C120" s="32">
        <v>5.4782608695652081E-2</v>
      </c>
      <c r="D120" s="24">
        <v>4.9322463768115964E-2</v>
      </c>
      <c r="E120" s="5">
        <v>1</v>
      </c>
    </row>
    <row r="121" spans="1:5" x14ac:dyDescent="0.3">
      <c r="A121" s="2">
        <v>21155</v>
      </c>
      <c r="B121" s="23">
        <v>0.05</v>
      </c>
      <c r="C121" s="32">
        <v>5.5202898550724598E-2</v>
      </c>
      <c r="D121" s="24">
        <v>5.290217391304345E-2</v>
      </c>
      <c r="E121" s="5">
        <v>1</v>
      </c>
    </row>
    <row r="122" spans="1:5" x14ac:dyDescent="0.3">
      <c r="A122" s="2">
        <v>21186</v>
      </c>
      <c r="B122" s="23">
        <v>6.8000000000000005E-2</v>
      </c>
      <c r="C122" s="32">
        <v>6.4492753623188417E-2</v>
      </c>
      <c r="D122" s="24">
        <v>6.1612318840579633E-2</v>
      </c>
      <c r="E122" s="5">
        <v>1</v>
      </c>
    </row>
    <row r="123" spans="1:5" x14ac:dyDescent="0.3">
      <c r="A123" s="2">
        <v>21217</v>
      </c>
      <c r="B123" s="23">
        <v>7.6999999999999999E-2</v>
      </c>
      <c r="C123" s="32">
        <v>6.4391304347825973E-2</v>
      </c>
      <c r="D123" s="24">
        <v>7.0713768115942072E-2</v>
      </c>
      <c r="E123" s="5">
        <v>1</v>
      </c>
    </row>
    <row r="124" spans="1:5" x14ac:dyDescent="0.3">
      <c r="A124" s="2">
        <v>21245</v>
      </c>
      <c r="B124" s="23">
        <v>7.6999999999999999E-2</v>
      </c>
      <c r="C124" s="32">
        <v>6.1652173913043402E-2</v>
      </c>
      <c r="D124" s="24">
        <v>7.3452898550724649E-2</v>
      </c>
      <c r="E124" s="5">
        <v>1</v>
      </c>
    </row>
    <row r="125" spans="1:5" x14ac:dyDescent="0.3">
      <c r="A125" s="2">
        <v>21276</v>
      </c>
      <c r="B125" s="23">
        <v>7.4999999999999997E-2</v>
      </c>
      <c r="C125" s="32">
        <v>5.6550724637681071E-2</v>
      </c>
      <c r="D125" s="24">
        <v>7.6554347826086971E-2</v>
      </c>
      <c r="E125" s="5">
        <v>1</v>
      </c>
    </row>
    <row r="126" spans="1:5" x14ac:dyDescent="0.3">
      <c r="A126" s="2">
        <v>21306</v>
      </c>
      <c r="B126" s="23">
        <v>7.0999999999999994E-2</v>
      </c>
      <c r="C126" s="32">
        <v>5.5101449275362209E-2</v>
      </c>
      <c r="D126" s="24">
        <v>7.4003623188405837E-2</v>
      </c>
      <c r="E126" s="5">
        <v>0</v>
      </c>
    </row>
    <row r="127" spans="1:5" x14ac:dyDescent="0.3">
      <c r="A127" s="2">
        <v>21337</v>
      </c>
      <c r="B127" s="23">
        <v>7.5999999999999998E-2</v>
      </c>
      <c r="C127" s="32">
        <v>6.1130434782608579E-2</v>
      </c>
      <c r="D127" s="24">
        <v>7.2974637681159471E-2</v>
      </c>
      <c r="E127" s="5">
        <v>0</v>
      </c>
    </row>
    <row r="128" spans="1:5" x14ac:dyDescent="0.3">
      <c r="A128" s="2">
        <v>21367</v>
      </c>
      <c r="B128" s="23">
        <v>7.400000000000001E-2</v>
      </c>
      <c r="C128" s="32">
        <v>5.9550724637681039E-2</v>
      </c>
      <c r="D128" s="24">
        <v>7.2554347826087023E-2</v>
      </c>
      <c r="E128" s="5">
        <v>0</v>
      </c>
    </row>
    <row r="129" spans="1:5" x14ac:dyDescent="0.3">
      <c r="A129" s="2">
        <v>21398</v>
      </c>
      <c r="B129" s="23">
        <v>6.7000000000000004E-2</v>
      </c>
      <c r="C129" s="32">
        <v>5.6521739130434699E-2</v>
      </c>
      <c r="D129" s="24">
        <v>6.8583333333333357E-2</v>
      </c>
      <c r="E129" s="5">
        <v>0</v>
      </c>
    </row>
    <row r="130" spans="1:5" x14ac:dyDescent="0.3">
      <c r="A130" s="2">
        <v>21429</v>
      </c>
      <c r="B130" s="23">
        <v>0.06</v>
      </c>
      <c r="C130" s="32">
        <v>5.4768115942028898E-2</v>
      </c>
      <c r="D130" s="24">
        <v>6.3336956521739152E-2</v>
      </c>
      <c r="E130" s="5">
        <v>0</v>
      </c>
    </row>
    <row r="131" spans="1:5" x14ac:dyDescent="0.3">
      <c r="A131" s="2">
        <v>21459</v>
      </c>
      <c r="B131" s="23">
        <v>5.5E-2</v>
      </c>
      <c r="C131" s="32">
        <v>5.3115942028985473E-2</v>
      </c>
      <c r="D131" s="24">
        <v>5.9989130434782573E-2</v>
      </c>
      <c r="E131" s="5">
        <v>0</v>
      </c>
    </row>
    <row r="132" spans="1:5" x14ac:dyDescent="0.3">
      <c r="A132" s="2">
        <v>21490</v>
      </c>
      <c r="B132" s="23">
        <v>5.5999999999999994E-2</v>
      </c>
      <c r="C132" s="32">
        <v>5.4782608695652081E-2</v>
      </c>
      <c r="D132" s="24">
        <v>5.9322463768115959E-2</v>
      </c>
      <c r="E132" s="5">
        <v>0</v>
      </c>
    </row>
    <row r="133" spans="1:5" x14ac:dyDescent="0.3">
      <c r="A133" s="2">
        <v>21520</v>
      </c>
      <c r="B133" s="23">
        <v>0.06</v>
      </c>
      <c r="C133" s="32">
        <v>5.5202898550724598E-2</v>
      </c>
      <c r="D133" s="24">
        <v>6.2902173913043452E-2</v>
      </c>
      <c r="E133" s="5">
        <v>0</v>
      </c>
    </row>
    <row r="134" spans="1:5" x14ac:dyDescent="0.3">
      <c r="A134" s="2">
        <v>21551</v>
      </c>
      <c r="B134" s="23">
        <v>7.0000000000000007E-2</v>
      </c>
      <c r="C134" s="32">
        <v>6.4492753623188417E-2</v>
      </c>
      <c r="D134" s="24">
        <v>6.3612318840579635E-2</v>
      </c>
      <c r="E134" s="5">
        <v>0</v>
      </c>
    </row>
    <row r="135" spans="1:5" x14ac:dyDescent="0.3">
      <c r="A135" s="2">
        <v>21582</v>
      </c>
      <c r="B135" s="23">
        <v>7.0000000000000007E-2</v>
      </c>
      <c r="C135" s="32">
        <v>6.4391304347825973E-2</v>
      </c>
      <c r="D135" s="24">
        <v>6.3713768115942079E-2</v>
      </c>
      <c r="E135" s="5">
        <v>0</v>
      </c>
    </row>
    <row r="136" spans="1:5" x14ac:dyDescent="0.3">
      <c r="A136" s="2">
        <v>21610</v>
      </c>
      <c r="B136" s="23">
        <v>6.4000000000000001E-2</v>
      </c>
      <c r="C136" s="32">
        <v>6.1652173913043402E-2</v>
      </c>
      <c r="D136" s="24">
        <v>6.0452898550724644E-2</v>
      </c>
      <c r="E136" s="5">
        <v>0</v>
      </c>
    </row>
    <row r="137" spans="1:5" x14ac:dyDescent="0.3">
      <c r="A137" s="2">
        <v>21641</v>
      </c>
      <c r="B137" s="23">
        <v>5.2000000000000005E-2</v>
      </c>
      <c r="C137" s="32">
        <v>5.6550724637681071E-2</v>
      </c>
      <c r="D137" s="24">
        <v>5.3554347826086979E-2</v>
      </c>
      <c r="E137" s="5">
        <v>0</v>
      </c>
    </row>
    <row r="138" spans="1:5" x14ac:dyDescent="0.3">
      <c r="A138" s="2">
        <v>21671</v>
      </c>
      <c r="B138" s="23">
        <v>4.9000000000000002E-2</v>
      </c>
      <c r="C138" s="32">
        <v>5.5101449275362209E-2</v>
      </c>
      <c r="D138" s="24">
        <v>5.2003623188405838E-2</v>
      </c>
      <c r="E138" s="5">
        <v>0</v>
      </c>
    </row>
    <row r="139" spans="1:5" x14ac:dyDescent="0.3">
      <c r="A139" s="2">
        <v>21702</v>
      </c>
      <c r="B139" s="23">
        <v>5.4000000000000006E-2</v>
      </c>
      <c r="C139" s="32">
        <v>6.1130434782608579E-2</v>
      </c>
      <c r="D139" s="24">
        <v>5.0974637681159472E-2</v>
      </c>
      <c r="E139" s="5">
        <v>0</v>
      </c>
    </row>
    <row r="140" spans="1:5" x14ac:dyDescent="0.3">
      <c r="A140" s="2">
        <v>21732</v>
      </c>
      <c r="B140" s="23">
        <v>5.2000000000000005E-2</v>
      </c>
      <c r="C140" s="32">
        <v>5.9550724637681039E-2</v>
      </c>
      <c r="D140" s="24">
        <v>5.0554347826087011E-2</v>
      </c>
      <c r="E140" s="5">
        <v>0</v>
      </c>
    </row>
    <row r="141" spans="1:5" x14ac:dyDescent="0.3">
      <c r="A141" s="2">
        <v>21763</v>
      </c>
      <c r="B141" s="23">
        <v>4.8000000000000001E-2</v>
      </c>
      <c r="C141" s="32">
        <v>5.6521739130434699E-2</v>
      </c>
      <c r="D141" s="24">
        <v>4.9583333333333347E-2</v>
      </c>
      <c r="E141" s="5">
        <v>0</v>
      </c>
    </row>
    <row r="142" spans="1:5" x14ac:dyDescent="0.3">
      <c r="A142" s="2">
        <v>21794</v>
      </c>
      <c r="B142" s="23">
        <v>4.7E-2</v>
      </c>
      <c r="C142" s="32">
        <v>5.4768115942028898E-2</v>
      </c>
      <c r="D142" s="24">
        <v>5.0336956521739147E-2</v>
      </c>
      <c r="E142" s="5">
        <v>0</v>
      </c>
    </row>
    <row r="143" spans="1:5" x14ac:dyDescent="0.3">
      <c r="A143" s="2">
        <v>21824</v>
      </c>
      <c r="B143" s="23">
        <v>4.7E-2</v>
      </c>
      <c r="C143" s="32">
        <v>5.3115942028985473E-2</v>
      </c>
      <c r="D143" s="24">
        <v>5.1989130434782573E-2</v>
      </c>
      <c r="E143" s="5">
        <v>0</v>
      </c>
    </row>
    <row r="144" spans="1:5" x14ac:dyDescent="0.3">
      <c r="A144" s="2">
        <v>21855</v>
      </c>
      <c r="B144" s="23">
        <v>5.2999999999999999E-2</v>
      </c>
      <c r="C144" s="32">
        <v>5.4782608695652081E-2</v>
      </c>
      <c r="D144" s="24">
        <v>5.6322463768115963E-2</v>
      </c>
      <c r="E144" s="5">
        <v>0</v>
      </c>
    </row>
    <row r="145" spans="1:5" x14ac:dyDescent="0.3">
      <c r="A145" s="2">
        <v>21885</v>
      </c>
      <c r="B145" s="23">
        <v>5.0999999999999997E-2</v>
      </c>
      <c r="C145" s="32">
        <v>5.5202898550724598E-2</v>
      </c>
      <c r="D145" s="24">
        <v>5.3902173913043444E-2</v>
      </c>
      <c r="E145" s="5">
        <v>0</v>
      </c>
    </row>
    <row r="146" spans="1:5" x14ac:dyDescent="0.3">
      <c r="A146" s="2">
        <v>21916</v>
      </c>
      <c r="B146" s="23">
        <v>6.0999999999999999E-2</v>
      </c>
      <c r="C146" s="32">
        <v>6.4492753623188417E-2</v>
      </c>
      <c r="D146" s="24">
        <v>5.4612318840579627E-2</v>
      </c>
      <c r="E146" s="5">
        <v>0</v>
      </c>
    </row>
    <row r="147" spans="1:5" x14ac:dyDescent="0.3">
      <c r="A147" s="2">
        <v>21947</v>
      </c>
      <c r="B147" s="23">
        <v>5.7000000000000002E-2</v>
      </c>
      <c r="C147" s="32">
        <v>6.4391304347825973E-2</v>
      </c>
      <c r="D147" s="24">
        <v>5.0713768115942075E-2</v>
      </c>
      <c r="E147" s="5">
        <v>0</v>
      </c>
    </row>
    <row r="148" spans="1:5" x14ac:dyDescent="0.3">
      <c r="A148" s="2">
        <v>21976</v>
      </c>
      <c r="B148" s="23">
        <v>6.0999999999999999E-2</v>
      </c>
      <c r="C148" s="32">
        <v>6.1652173913043402E-2</v>
      </c>
      <c r="D148" s="24">
        <v>5.7452898550724642E-2</v>
      </c>
      <c r="E148" s="5">
        <v>0</v>
      </c>
    </row>
    <row r="149" spans="1:5" x14ac:dyDescent="0.3">
      <c r="A149" s="2">
        <v>22007</v>
      </c>
      <c r="B149" s="23">
        <v>5.2000000000000005E-2</v>
      </c>
      <c r="C149" s="32">
        <v>5.6550724637681071E-2</v>
      </c>
      <c r="D149" s="24">
        <v>5.3554347826086979E-2</v>
      </c>
      <c r="E149" s="5">
        <v>0</v>
      </c>
    </row>
    <row r="150" spans="1:5" x14ac:dyDescent="0.3">
      <c r="A150" s="2">
        <v>22037</v>
      </c>
      <c r="B150" s="23">
        <v>4.8000000000000001E-2</v>
      </c>
      <c r="C150" s="32">
        <v>5.5101449275362209E-2</v>
      </c>
      <c r="D150" s="24">
        <v>5.1003623188405837E-2</v>
      </c>
      <c r="E150" s="5">
        <v>1</v>
      </c>
    </row>
    <row r="151" spans="1:5" x14ac:dyDescent="0.3">
      <c r="A151" s="2">
        <v>22068</v>
      </c>
      <c r="B151" s="23">
        <v>5.7999999999999996E-2</v>
      </c>
      <c r="C151" s="32">
        <v>6.1130434782608579E-2</v>
      </c>
      <c r="D151" s="24">
        <v>5.4974637681159462E-2</v>
      </c>
      <c r="E151" s="5">
        <v>1</v>
      </c>
    </row>
    <row r="152" spans="1:5" x14ac:dyDescent="0.3">
      <c r="A152" s="2">
        <v>22098</v>
      </c>
      <c r="B152" s="23">
        <v>5.5E-2</v>
      </c>
      <c r="C152" s="32">
        <v>5.9550724637681039E-2</v>
      </c>
      <c r="D152" s="24">
        <v>5.3554347826087007E-2</v>
      </c>
      <c r="E152" s="5">
        <v>1</v>
      </c>
    </row>
    <row r="153" spans="1:5" x14ac:dyDescent="0.3">
      <c r="A153" s="2">
        <v>22129</v>
      </c>
      <c r="B153" s="23">
        <v>5.2000000000000005E-2</v>
      </c>
      <c r="C153" s="32">
        <v>5.6521739130434699E-2</v>
      </c>
      <c r="D153" s="24">
        <v>5.3583333333333351E-2</v>
      </c>
      <c r="E153" s="5">
        <v>1</v>
      </c>
    </row>
    <row r="154" spans="1:5" x14ac:dyDescent="0.3">
      <c r="A154" s="2">
        <v>22160</v>
      </c>
      <c r="B154" s="23">
        <v>4.7E-2</v>
      </c>
      <c r="C154" s="32">
        <v>5.4768115942028898E-2</v>
      </c>
      <c r="D154" s="24">
        <v>5.0336956521739147E-2</v>
      </c>
      <c r="E154" s="5">
        <v>1</v>
      </c>
    </row>
    <row r="155" spans="1:5" x14ac:dyDescent="0.3">
      <c r="A155" s="2">
        <v>22190</v>
      </c>
      <c r="B155" s="23">
        <v>0.05</v>
      </c>
      <c r="C155" s="32">
        <v>5.3115942028985473E-2</v>
      </c>
      <c r="D155" s="24">
        <v>5.4989130434782575E-2</v>
      </c>
      <c r="E155" s="5">
        <v>1</v>
      </c>
    </row>
    <row r="156" spans="1:5" x14ac:dyDescent="0.3">
      <c r="A156" s="2">
        <v>22221</v>
      </c>
      <c r="B156" s="23">
        <v>5.5999999999999994E-2</v>
      </c>
      <c r="C156" s="32">
        <v>5.4782608695652081E-2</v>
      </c>
      <c r="D156" s="24">
        <v>5.9322463768115959E-2</v>
      </c>
      <c r="E156" s="5">
        <v>1</v>
      </c>
    </row>
    <row r="157" spans="1:5" x14ac:dyDescent="0.3">
      <c r="A157" s="2">
        <v>22251</v>
      </c>
      <c r="B157" s="23">
        <v>6.4000000000000001E-2</v>
      </c>
      <c r="C157" s="32">
        <v>5.5202898550724598E-2</v>
      </c>
      <c r="D157" s="24">
        <v>6.6902173913043456E-2</v>
      </c>
      <c r="E157" s="5">
        <v>1</v>
      </c>
    </row>
    <row r="158" spans="1:5" x14ac:dyDescent="0.3">
      <c r="A158" s="2">
        <v>22282</v>
      </c>
      <c r="B158" s="23">
        <v>7.6999999999999999E-2</v>
      </c>
      <c r="C158" s="32">
        <v>6.4492753623188417E-2</v>
      </c>
      <c r="D158" s="24">
        <v>7.0612318840579627E-2</v>
      </c>
      <c r="E158" s="5">
        <v>1</v>
      </c>
    </row>
    <row r="159" spans="1:5" x14ac:dyDescent="0.3">
      <c r="A159" s="2">
        <v>22313</v>
      </c>
      <c r="B159" s="23">
        <v>8.1000000000000003E-2</v>
      </c>
      <c r="C159" s="32">
        <v>6.4391304347825973E-2</v>
      </c>
      <c r="D159" s="24">
        <v>7.4713768115942075E-2</v>
      </c>
      <c r="E159" s="5">
        <v>1</v>
      </c>
    </row>
    <row r="160" spans="1:5" x14ac:dyDescent="0.3">
      <c r="A160" s="2">
        <v>22341</v>
      </c>
      <c r="B160" s="23">
        <v>7.6999999999999999E-2</v>
      </c>
      <c r="C160" s="32">
        <v>6.1652173913043402E-2</v>
      </c>
      <c r="D160" s="24">
        <v>7.3452898550724649E-2</v>
      </c>
      <c r="E160" s="5">
        <v>0</v>
      </c>
    </row>
    <row r="161" spans="1:5" x14ac:dyDescent="0.3">
      <c r="A161" s="2">
        <v>22372</v>
      </c>
      <c r="B161" s="23">
        <v>7.0000000000000007E-2</v>
      </c>
      <c r="C161" s="32">
        <v>5.6550724637681071E-2</v>
      </c>
      <c r="D161" s="24">
        <v>7.1554347826086981E-2</v>
      </c>
      <c r="E161" s="5">
        <v>0</v>
      </c>
    </row>
    <row r="162" spans="1:5" x14ac:dyDescent="0.3">
      <c r="A162" s="2">
        <v>22402</v>
      </c>
      <c r="B162" s="23">
        <v>6.6000000000000003E-2</v>
      </c>
      <c r="C162" s="32">
        <v>5.5101449275362209E-2</v>
      </c>
      <c r="D162" s="24">
        <v>6.9003623188405833E-2</v>
      </c>
      <c r="E162" s="5">
        <v>0</v>
      </c>
    </row>
    <row r="163" spans="1:5" x14ac:dyDescent="0.3">
      <c r="A163" s="2">
        <v>22433</v>
      </c>
      <c r="B163" s="23">
        <v>7.2999999999999995E-2</v>
      </c>
      <c r="C163" s="32">
        <v>6.1130434782608579E-2</v>
      </c>
      <c r="D163" s="24">
        <v>6.9974637681159468E-2</v>
      </c>
      <c r="E163" s="5">
        <v>0</v>
      </c>
    </row>
    <row r="164" spans="1:5" x14ac:dyDescent="0.3">
      <c r="A164" s="2">
        <v>22463</v>
      </c>
      <c r="B164" s="23">
        <v>6.9000000000000006E-2</v>
      </c>
      <c r="C164" s="32">
        <v>5.9550724637681039E-2</v>
      </c>
      <c r="D164" s="24">
        <v>6.7554347826087019E-2</v>
      </c>
      <c r="E164" s="5">
        <v>0</v>
      </c>
    </row>
    <row r="165" spans="1:5" x14ac:dyDescent="0.3">
      <c r="A165" s="2">
        <v>22494</v>
      </c>
      <c r="B165" s="23">
        <v>6.2E-2</v>
      </c>
      <c r="C165" s="32">
        <v>5.6521739130434699E-2</v>
      </c>
      <c r="D165" s="24">
        <v>6.3583333333333353E-2</v>
      </c>
      <c r="E165" s="5">
        <v>0</v>
      </c>
    </row>
    <row r="166" spans="1:5" x14ac:dyDescent="0.3">
      <c r="A166" s="2">
        <v>22525</v>
      </c>
      <c r="B166" s="23">
        <v>5.7999999999999996E-2</v>
      </c>
      <c r="C166" s="32">
        <v>5.4768115942028898E-2</v>
      </c>
      <c r="D166" s="24">
        <v>6.1336956521739143E-2</v>
      </c>
      <c r="E166" s="5">
        <v>0</v>
      </c>
    </row>
    <row r="167" spans="1:5" x14ac:dyDescent="0.3">
      <c r="A167" s="2">
        <v>22555</v>
      </c>
      <c r="B167" s="23">
        <v>5.5E-2</v>
      </c>
      <c r="C167" s="32">
        <v>5.3115942028985473E-2</v>
      </c>
      <c r="D167" s="24">
        <v>5.9989130434782573E-2</v>
      </c>
      <c r="E167" s="5">
        <v>0</v>
      </c>
    </row>
    <row r="168" spans="1:5" x14ac:dyDescent="0.3">
      <c r="A168" s="2">
        <v>22586</v>
      </c>
      <c r="B168" s="23">
        <v>5.5999999999999994E-2</v>
      </c>
      <c r="C168" s="32">
        <v>5.4782608695652081E-2</v>
      </c>
      <c r="D168" s="24">
        <v>5.9322463768115959E-2</v>
      </c>
      <c r="E168" s="5">
        <v>0</v>
      </c>
    </row>
    <row r="169" spans="1:5" x14ac:dyDescent="0.3">
      <c r="A169" s="2">
        <v>22616</v>
      </c>
      <c r="B169" s="23">
        <v>5.7999999999999996E-2</v>
      </c>
      <c r="C169" s="32">
        <v>5.5202898550724598E-2</v>
      </c>
      <c r="D169" s="24">
        <v>6.0902173913043443E-2</v>
      </c>
      <c r="E169" s="5">
        <v>0</v>
      </c>
    </row>
    <row r="170" spans="1:5" x14ac:dyDescent="0.3">
      <c r="A170" s="2">
        <v>22647</v>
      </c>
      <c r="B170" s="23">
        <v>6.7000000000000004E-2</v>
      </c>
      <c r="C170" s="32">
        <v>6.4492753623188417E-2</v>
      </c>
      <c r="D170" s="24">
        <v>6.0612318840579632E-2</v>
      </c>
      <c r="E170" s="5">
        <v>0</v>
      </c>
    </row>
    <row r="171" spans="1:5" x14ac:dyDescent="0.3">
      <c r="A171" s="2">
        <v>22678</v>
      </c>
      <c r="B171" s="23">
        <v>6.5000000000000002E-2</v>
      </c>
      <c r="C171" s="32">
        <v>6.4391304347825973E-2</v>
      </c>
      <c r="D171" s="24">
        <v>5.8713768115942075E-2</v>
      </c>
      <c r="E171" s="5">
        <v>0</v>
      </c>
    </row>
    <row r="172" spans="1:5" x14ac:dyDescent="0.3">
      <c r="A172" s="2">
        <v>22706</v>
      </c>
      <c r="B172" s="23">
        <v>6.2E-2</v>
      </c>
      <c r="C172" s="32">
        <v>6.1652173913043402E-2</v>
      </c>
      <c r="D172" s="24">
        <v>5.8452898550724643E-2</v>
      </c>
      <c r="E172" s="5">
        <v>0</v>
      </c>
    </row>
    <row r="173" spans="1:5" x14ac:dyDescent="0.3">
      <c r="A173" s="2">
        <v>22737</v>
      </c>
      <c r="B173" s="23">
        <v>5.5E-2</v>
      </c>
      <c r="C173" s="32">
        <v>5.6550724637681071E-2</v>
      </c>
      <c r="D173" s="24">
        <v>5.6554347826086974E-2</v>
      </c>
      <c r="E173" s="5">
        <v>0</v>
      </c>
    </row>
    <row r="174" spans="1:5" x14ac:dyDescent="0.3">
      <c r="A174" s="2">
        <v>22767</v>
      </c>
      <c r="B174" s="23">
        <v>5.0999999999999997E-2</v>
      </c>
      <c r="C174" s="32">
        <v>5.5101449275362209E-2</v>
      </c>
      <c r="D174" s="24">
        <v>5.4003623188405833E-2</v>
      </c>
      <c r="E174" s="5">
        <v>0</v>
      </c>
    </row>
    <row r="175" spans="1:5" x14ac:dyDescent="0.3">
      <c r="A175" s="2">
        <v>22798</v>
      </c>
      <c r="B175" s="23">
        <v>5.9000000000000004E-2</v>
      </c>
      <c r="C175" s="32">
        <v>6.1130434782608579E-2</v>
      </c>
      <c r="D175" s="24">
        <v>5.597463768115947E-2</v>
      </c>
      <c r="E175" s="5">
        <v>0</v>
      </c>
    </row>
    <row r="176" spans="1:5" x14ac:dyDescent="0.3">
      <c r="A176" s="2">
        <v>22828</v>
      </c>
      <c r="B176" s="23">
        <v>5.2999999999999999E-2</v>
      </c>
      <c r="C176" s="32">
        <v>5.9550724637681039E-2</v>
      </c>
      <c r="D176" s="24">
        <v>5.1554347826087005E-2</v>
      </c>
      <c r="E176" s="5">
        <v>0</v>
      </c>
    </row>
    <row r="177" spans="1:5" x14ac:dyDescent="0.3">
      <c r="A177" s="2">
        <v>22859</v>
      </c>
      <c r="B177" s="23">
        <v>5.2999999999999999E-2</v>
      </c>
      <c r="C177" s="32">
        <v>5.6521739130434699E-2</v>
      </c>
      <c r="D177" s="24">
        <v>5.4583333333333345E-2</v>
      </c>
      <c r="E177" s="5">
        <v>0</v>
      </c>
    </row>
    <row r="178" spans="1:5" x14ac:dyDescent="0.3">
      <c r="A178" s="2">
        <v>22890</v>
      </c>
      <c r="B178" s="23">
        <v>4.9000000000000002E-2</v>
      </c>
      <c r="C178" s="32">
        <v>5.4768115942028898E-2</v>
      </c>
      <c r="D178" s="24">
        <v>5.2336956521739149E-2</v>
      </c>
      <c r="E178" s="5">
        <v>0</v>
      </c>
    </row>
    <row r="179" spans="1:5" x14ac:dyDescent="0.3">
      <c r="A179" s="2">
        <v>22920</v>
      </c>
      <c r="B179" s="23">
        <v>4.4999999999999998E-2</v>
      </c>
      <c r="C179" s="32">
        <v>5.3115942028985473E-2</v>
      </c>
      <c r="D179" s="24">
        <v>4.9989130434782571E-2</v>
      </c>
      <c r="E179" s="5">
        <v>0</v>
      </c>
    </row>
    <row r="180" spans="1:5" x14ac:dyDescent="0.3">
      <c r="A180" s="2">
        <v>22951</v>
      </c>
      <c r="B180" s="23">
        <v>5.2999999999999999E-2</v>
      </c>
      <c r="C180" s="32">
        <v>5.4782608695652081E-2</v>
      </c>
      <c r="D180" s="24">
        <v>5.6322463768115963E-2</v>
      </c>
      <c r="E180" s="5">
        <v>0</v>
      </c>
    </row>
    <row r="181" spans="1:5" x14ac:dyDescent="0.3">
      <c r="A181" s="2">
        <v>22981</v>
      </c>
      <c r="B181" s="23">
        <v>5.2999999999999999E-2</v>
      </c>
      <c r="C181" s="32">
        <v>5.5202898550724598E-2</v>
      </c>
      <c r="D181" s="24">
        <v>5.5902173913043446E-2</v>
      </c>
      <c r="E181" s="5">
        <v>0</v>
      </c>
    </row>
    <row r="182" spans="1:5" x14ac:dyDescent="0.3">
      <c r="A182" s="2">
        <v>23012</v>
      </c>
      <c r="B182" s="23">
        <v>6.6000000000000003E-2</v>
      </c>
      <c r="C182" s="32">
        <v>6.4492753623188417E-2</v>
      </c>
      <c r="D182" s="24">
        <v>5.9612318840579631E-2</v>
      </c>
      <c r="E182" s="5">
        <v>0</v>
      </c>
    </row>
    <row r="183" spans="1:5" x14ac:dyDescent="0.3">
      <c r="A183" s="2">
        <v>23043</v>
      </c>
      <c r="B183" s="23">
        <v>6.9000000000000006E-2</v>
      </c>
      <c r="C183" s="32">
        <v>6.4391304347825973E-2</v>
      </c>
      <c r="D183" s="24">
        <v>6.2713768115942078E-2</v>
      </c>
      <c r="E183" s="5">
        <v>0</v>
      </c>
    </row>
    <row r="184" spans="1:5" x14ac:dyDescent="0.3">
      <c r="A184" s="2">
        <v>23071</v>
      </c>
      <c r="B184" s="23">
        <v>6.3E-2</v>
      </c>
      <c r="C184" s="32">
        <v>6.1652173913043402E-2</v>
      </c>
      <c r="D184" s="24">
        <v>5.9452898550724644E-2</v>
      </c>
      <c r="E184" s="5">
        <v>0</v>
      </c>
    </row>
    <row r="185" spans="1:5" x14ac:dyDescent="0.3">
      <c r="A185" s="2">
        <v>23102</v>
      </c>
      <c r="B185" s="23">
        <v>5.5999999999999994E-2</v>
      </c>
      <c r="C185" s="32">
        <v>5.6550724637681071E-2</v>
      </c>
      <c r="D185" s="24">
        <v>5.7554347826086968E-2</v>
      </c>
      <c r="E185" s="5">
        <v>0</v>
      </c>
    </row>
    <row r="186" spans="1:5" x14ac:dyDescent="0.3">
      <c r="A186" s="2">
        <v>23132</v>
      </c>
      <c r="B186" s="23">
        <v>5.5E-2</v>
      </c>
      <c r="C186" s="32">
        <v>5.5101449275362209E-2</v>
      </c>
      <c r="D186" s="24">
        <v>5.8003623188405837E-2</v>
      </c>
      <c r="E186" s="5">
        <v>0</v>
      </c>
    </row>
    <row r="187" spans="1:5" x14ac:dyDescent="0.3">
      <c r="A187" s="2">
        <v>23163</v>
      </c>
      <c r="B187" s="23">
        <v>6.2E-2</v>
      </c>
      <c r="C187" s="32">
        <v>6.1130434782608579E-2</v>
      </c>
      <c r="D187" s="24">
        <v>5.8974637681159466E-2</v>
      </c>
      <c r="E187" s="5">
        <v>0</v>
      </c>
    </row>
    <row r="188" spans="1:5" x14ac:dyDescent="0.3">
      <c r="A188" s="2">
        <v>23193</v>
      </c>
      <c r="B188" s="23">
        <v>5.5999999999999994E-2</v>
      </c>
      <c r="C188" s="32">
        <v>5.9550724637681039E-2</v>
      </c>
      <c r="D188" s="24">
        <v>5.4554347826087E-2</v>
      </c>
      <c r="E188" s="5">
        <v>0</v>
      </c>
    </row>
    <row r="189" spans="1:5" x14ac:dyDescent="0.3">
      <c r="A189" s="2">
        <v>23224</v>
      </c>
      <c r="B189" s="23">
        <v>5.2000000000000005E-2</v>
      </c>
      <c r="C189" s="32">
        <v>5.6521739130434699E-2</v>
      </c>
      <c r="D189" s="24">
        <v>5.3583333333333351E-2</v>
      </c>
      <c r="E189" s="5">
        <v>0</v>
      </c>
    </row>
    <row r="190" spans="1:5" x14ac:dyDescent="0.3">
      <c r="A190" s="2">
        <v>23255</v>
      </c>
      <c r="B190" s="23">
        <v>4.8000000000000001E-2</v>
      </c>
      <c r="C190" s="32">
        <v>5.4768115942028898E-2</v>
      </c>
      <c r="D190" s="24">
        <v>5.1336956521739148E-2</v>
      </c>
      <c r="E190" s="5">
        <v>0</v>
      </c>
    </row>
    <row r="191" spans="1:5" x14ac:dyDescent="0.3">
      <c r="A191" s="2">
        <v>23285</v>
      </c>
      <c r="B191" s="23">
        <v>4.7E-2</v>
      </c>
      <c r="C191" s="32">
        <v>5.3115942028985473E-2</v>
      </c>
      <c r="D191" s="24">
        <v>5.1989130434782573E-2</v>
      </c>
      <c r="E191" s="5">
        <v>0</v>
      </c>
    </row>
    <row r="192" spans="1:5" x14ac:dyDescent="0.3">
      <c r="A192" s="2">
        <v>23316</v>
      </c>
      <c r="B192" s="23">
        <v>5.2999999999999999E-2</v>
      </c>
      <c r="C192" s="32">
        <v>5.4782608695652081E-2</v>
      </c>
      <c r="D192" s="24">
        <v>5.6322463768115963E-2</v>
      </c>
      <c r="E192" s="5">
        <v>0</v>
      </c>
    </row>
    <row r="193" spans="1:5" x14ac:dyDescent="0.3">
      <c r="A193" s="2">
        <v>23346</v>
      </c>
      <c r="B193" s="23">
        <v>5.2999999999999999E-2</v>
      </c>
      <c r="C193" s="32">
        <v>5.5202898550724598E-2</v>
      </c>
      <c r="D193" s="24">
        <v>5.5902173913043446E-2</v>
      </c>
      <c r="E193" s="5">
        <v>0</v>
      </c>
    </row>
    <row r="194" spans="1:5" x14ac:dyDescent="0.3">
      <c r="A194" s="2">
        <v>23377</v>
      </c>
      <c r="B194" s="23">
        <v>6.4000000000000001E-2</v>
      </c>
      <c r="C194" s="32">
        <v>6.4492753623188417E-2</v>
      </c>
      <c r="D194" s="24">
        <v>5.7612318840579629E-2</v>
      </c>
      <c r="E194" s="5">
        <v>0</v>
      </c>
    </row>
    <row r="195" spans="1:5" x14ac:dyDescent="0.3">
      <c r="A195" s="2">
        <v>23408</v>
      </c>
      <c r="B195" s="23">
        <v>6.2E-2</v>
      </c>
      <c r="C195" s="32">
        <v>6.4391304347825973E-2</v>
      </c>
      <c r="D195" s="24">
        <v>5.5713768115942072E-2</v>
      </c>
      <c r="E195" s="5">
        <v>0</v>
      </c>
    </row>
    <row r="196" spans="1:5" x14ac:dyDescent="0.3">
      <c r="A196" s="2">
        <v>23437</v>
      </c>
      <c r="B196" s="23">
        <v>5.9000000000000004E-2</v>
      </c>
      <c r="C196" s="32">
        <v>6.1652173913043402E-2</v>
      </c>
      <c r="D196" s="24">
        <v>5.5452898550724647E-2</v>
      </c>
      <c r="E196" s="5">
        <v>0</v>
      </c>
    </row>
    <row r="197" spans="1:5" x14ac:dyDescent="0.3">
      <c r="A197" s="2">
        <v>23468</v>
      </c>
      <c r="B197" s="23">
        <v>5.2999999999999999E-2</v>
      </c>
      <c r="C197" s="32">
        <v>5.6550724637681071E-2</v>
      </c>
      <c r="D197" s="24">
        <v>5.4554347826086973E-2</v>
      </c>
      <c r="E197" s="5">
        <v>0</v>
      </c>
    </row>
    <row r="198" spans="1:5" x14ac:dyDescent="0.3">
      <c r="A198" s="2">
        <v>23498</v>
      </c>
      <c r="B198" s="23">
        <v>4.8000000000000001E-2</v>
      </c>
      <c r="C198" s="32">
        <v>5.5101449275362209E-2</v>
      </c>
      <c r="D198" s="24">
        <v>5.1003623188405837E-2</v>
      </c>
      <c r="E198" s="5">
        <v>0</v>
      </c>
    </row>
    <row r="199" spans="1:5" x14ac:dyDescent="0.3">
      <c r="A199" s="2">
        <v>23529</v>
      </c>
      <c r="B199" s="23">
        <v>5.9000000000000004E-2</v>
      </c>
      <c r="C199" s="32">
        <v>6.1130434782608579E-2</v>
      </c>
      <c r="D199" s="24">
        <v>5.597463768115947E-2</v>
      </c>
      <c r="E199" s="5">
        <v>0</v>
      </c>
    </row>
    <row r="200" spans="1:5" x14ac:dyDescent="0.3">
      <c r="A200" s="2">
        <v>23559</v>
      </c>
      <c r="B200" s="23">
        <v>4.9000000000000002E-2</v>
      </c>
      <c r="C200" s="32">
        <v>5.9550724637681039E-2</v>
      </c>
      <c r="D200" s="24">
        <v>4.7554347826087008E-2</v>
      </c>
      <c r="E200" s="5">
        <v>0</v>
      </c>
    </row>
    <row r="201" spans="1:5" x14ac:dyDescent="0.3">
      <c r="A201" s="2">
        <v>23590</v>
      </c>
      <c r="B201" s="23">
        <v>4.8000000000000001E-2</v>
      </c>
      <c r="C201" s="32">
        <v>5.6521739130434699E-2</v>
      </c>
      <c r="D201" s="24">
        <v>4.9583333333333347E-2</v>
      </c>
      <c r="E201" s="5">
        <v>0</v>
      </c>
    </row>
    <row r="202" spans="1:5" x14ac:dyDescent="0.3">
      <c r="A202" s="2">
        <v>23621</v>
      </c>
      <c r="B202" s="23">
        <v>4.4999999999999998E-2</v>
      </c>
      <c r="C202" s="32">
        <v>5.4768115942028898E-2</v>
      </c>
      <c r="D202" s="24">
        <v>4.8336956521739145E-2</v>
      </c>
      <c r="E202" s="5">
        <v>0</v>
      </c>
    </row>
    <row r="203" spans="1:5" x14ac:dyDescent="0.3">
      <c r="A203" s="2">
        <v>23651</v>
      </c>
      <c r="B203" s="23">
        <v>4.4000000000000004E-2</v>
      </c>
      <c r="C203" s="32">
        <v>5.3115942028985473E-2</v>
      </c>
      <c r="D203" s="24">
        <v>4.8989130434782577E-2</v>
      </c>
      <c r="E203" s="5">
        <v>0</v>
      </c>
    </row>
    <row r="204" spans="1:5" x14ac:dyDescent="0.3">
      <c r="A204" s="2">
        <v>23682</v>
      </c>
      <c r="B204" s="23">
        <v>4.4999999999999998E-2</v>
      </c>
      <c r="C204" s="32">
        <v>5.4782608695652081E-2</v>
      </c>
      <c r="D204" s="24">
        <v>4.8322463768115963E-2</v>
      </c>
      <c r="E204" s="5">
        <v>0</v>
      </c>
    </row>
    <row r="205" spans="1:5" x14ac:dyDescent="0.3">
      <c r="A205" s="2">
        <v>23712</v>
      </c>
      <c r="B205" s="23">
        <v>4.7E-2</v>
      </c>
      <c r="C205" s="32">
        <v>5.5202898550724598E-2</v>
      </c>
      <c r="D205" s="24">
        <v>4.9902173913043447E-2</v>
      </c>
      <c r="E205" s="5">
        <v>0</v>
      </c>
    </row>
    <row r="206" spans="1:5" x14ac:dyDescent="0.3">
      <c r="A206" s="2">
        <v>23743</v>
      </c>
      <c r="B206" s="23">
        <v>5.5E-2</v>
      </c>
      <c r="C206" s="32">
        <v>6.4492753623188417E-2</v>
      </c>
      <c r="D206" s="24">
        <v>4.8612318840579628E-2</v>
      </c>
      <c r="E206" s="5">
        <v>0</v>
      </c>
    </row>
    <row r="207" spans="1:5" x14ac:dyDescent="0.3">
      <c r="A207" s="2">
        <v>23774</v>
      </c>
      <c r="B207" s="23">
        <v>5.7000000000000002E-2</v>
      </c>
      <c r="C207" s="32">
        <v>6.4391304347825973E-2</v>
      </c>
      <c r="D207" s="24">
        <v>5.0713768115942075E-2</v>
      </c>
      <c r="E207" s="5">
        <v>0</v>
      </c>
    </row>
    <row r="208" spans="1:5" x14ac:dyDescent="0.3">
      <c r="A208" s="2">
        <v>23802</v>
      </c>
      <c r="B208" s="23">
        <v>5.0999999999999997E-2</v>
      </c>
      <c r="C208" s="32">
        <v>6.1652173913043402E-2</v>
      </c>
      <c r="D208" s="24">
        <v>4.745289855072464E-2</v>
      </c>
      <c r="E208" s="5">
        <v>0</v>
      </c>
    </row>
    <row r="209" spans="1:5" x14ac:dyDescent="0.3">
      <c r="A209" s="2">
        <v>23833</v>
      </c>
      <c r="B209" s="23">
        <v>4.7E-2</v>
      </c>
      <c r="C209" s="32">
        <v>5.6550724637681071E-2</v>
      </c>
      <c r="D209" s="24">
        <v>4.8554347826086974E-2</v>
      </c>
      <c r="E209" s="5">
        <v>0</v>
      </c>
    </row>
    <row r="210" spans="1:5" x14ac:dyDescent="0.3">
      <c r="A210" s="2">
        <v>23863</v>
      </c>
      <c r="B210" s="23">
        <v>4.2999999999999997E-2</v>
      </c>
      <c r="C210" s="32">
        <v>5.5101449275362209E-2</v>
      </c>
      <c r="D210" s="24">
        <v>4.6003623188405833E-2</v>
      </c>
      <c r="E210" s="5">
        <v>0</v>
      </c>
    </row>
    <row r="211" spans="1:5" x14ac:dyDescent="0.3">
      <c r="A211" s="2">
        <v>23894</v>
      </c>
      <c r="B211" s="23">
        <v>5.2999999999999999E-2</v>
      </c>
      <c r="C211" s="32">
        <v>6.1130434782608579E-2</v>
      </c>
      <c r="D211" s="24">
        <v>4.9974637681159464E-2</v>
      </c>
      <c r="E211" s="5">
        <v>0</v>
      </c>
    </row>
    <row r="212" spans="1:5" x14ac:dyDescent="0.3">
      <c r="A212" s="2">
        <v>23924</v>
      </c>
      <c r="B212" s="23">
        <v>4.4999999999999998E-2</v>
      </c>
      <c r="C212" s="32">
        <v>5.9550724637681039E-2</v>
      </c>
      <c r="D212" s="24">
        <v>4.3554347826087005E-2</v>
      </c>
      <c r="E212" s="5">
        <v>0</v>
      </c>
    </row>
    <row r="213" spans="1:5" x14ac:dyDescent="0.3">
      <c r="A213" s="2">
        <v>23955</v>
      </c>
      <c r="B213" s="23">
        <v>4.2000000000000003E-2</v>
      </c>
      <c r="C213" s="32">
        <v>5.6521739130434699E-2</v>
      </c>
      <c r="D213" s="24">
        <v>4.3583333333333349E-2</v>
      </c>
      <c r="E213" s="5">
        <v>0</v>
      </c>
    </row>
    <row r="214" spans="1:5" x14ac:dyDescent="0.3">
      <c r="A214" s="2">
        <v>23986</v>
      </c>
      <c r="B214" s="23">
        <v>3.7999999999999999E-2</v>
      </c>
      <c r="C214" s="32">
        <v>5.4768115942028898E-2</v>
      </c>
      <c r="D214" s="24">
        <v>4.1336956521739146E-2</v>
      </c>
      <c r="E214" s="5">
        <v>0</v>
      </c>
    </row>
    <row r="215" spans="1:5" x14ac:dyDescent="0.3">
      <c r="A215" s="2">
        <v>24016</v>
      </c>
      <c r="B215" s="23">
        <v>3.6000000000000004E-2</v>
      </c>
      <c r="C215" s="32">
        <v>5.3115942028985473E-2</v>
      </c>
      <c r="D215" s="24">
        <v>4.0989130434782577E-2</v>
      </c>
      <c r="E215" s="5">
        <v>0</v>
      </c>
    </row>
    <row r="216" spans="1:5" x14ac:dyDescent="0.3">
      <c r="A216" s="2">
        <v>24047</v>
      </c>
      <c r="B216" s="23">
        <v>3.9E-2</v>
      </c>
      <c r="C216" s="32">
        <v>5.4782608695652081E-2</v>
      </c>
      <c r="D216" s="24">
        <v>4.2322463768115964E-2</v>
      </c>
      <c r="E216" s="5">
        <v>0</v>
      </c>
    </row>
    <row r="217" spans="1:5" x14ac:dyDescent="0.3">
      <c r="A217" s="2">
        <v>24077</v>
      </c>
      <c r="B217" s="23">
        <v>3.7000000000000005E-2</v>
      </c>
      <c r="C217" s="32">
        <v>5.5202898550724598E-2</v>
      </c>
      <c r="D217" s="24">
        <v>3.9902173913043452E-2</v>
      </c>
      <c r="E217" s="5">
        <v>0</v>
      </c>
    </row>
    <row r="218" spans="1:5" x14ac:dyDescent="0.3">
      <c r="A218" s="2">
        <v>24108</v>
      </c>
      <c r="B218" s="23">
        <v>4.4000000000000004E-2</v>
      </c>
      <c r="C218" s="32">
        <v>6.4492753623188417E-2</v>
      </c>
      <c r="D218" s="24">
        <v>3.7612318840579632E-2</v>
      </c>
      <c r="E218" s="5">
        <v>0</v>
      </c>
    </row>
    <row r="219" spans="1:5" x14ac:dyDescent="0.3">
      <c r="A219" s="2">
        <v>24139</v>
      </c>
      <c r="B219" s="23">
        <v>4.2000000000000003E-2</v>
      </c>
      <c r="C219" s="32">
        <v>6.4391304347825973E-2</v>
      </c>
      <c r="D219" s="24">
        <v>3.5713768115942075E-2</v>
      </c>
      <c r="E219" s="5">
        <v>0</v>
      </c>
    </row>
    <row r="220" spans="1:5" x14ac:dyDescent="0.3">
      <c r="A220" s="2">
        <v>24167</v>
      </c>
      <c r="B220" s="23">
        <v>0.04</v>
      </c>
      <c r="C220" s="32">
        <v>6.1652173913043402E-2</v>
      </c>
      <c r="D220" s="24">
        <v>3.6452898550724644E-2</v>
      </c>
      <c r="E220" s="5">
        <v>0</v>
      </c>
    </row>
    <row r="221" spans="1:5" x14ac:dyDescent="0.3">
      <c r="A221" s="2">
        <v>24198</v>
      </c>
      <c r="B221" s="23">
        <v>3.6000000000000004E-2</v>
      </c>
      <c r="C221" s="32">
        <v>5.6550724637681071E-2</v>
      </c>
      <c r="D221" s="24">
        <v>3.7554347826086978E-2</v>
      </c>
      <c r="E221" s="5">
        <v>0</v>
      </c>
    </row>
    <row r="222" spans="1:5" x14ac:dyDescent="0.3">
      <c r="A222" s="2">
        <v>24228</v>
      </c>
      <c r="B222" s="23">
        <v>3.7000000000000005E-2</v>
      </c>
      <c r="C222" s="32">
        <v>5.5101449275362209E-2</v>
      </c>
      <c r="D222" s="24">
        <v>4.0003623188405842E-2</v>
      </c>
      <c r="E222" s="5">
        <v>0</v>
      </c>
    </row>
    <row r="223" spans="1:5" x14ac:dyDescent="0.3">
      <c r="A223" s="2">
        <v>24259</v>
      </c>
      <c r="B223" s="23">
        <v>4.5999999999999999E-2</v>
      </c>
      <c r="C223" s="32">
        <v>6.1130434782608579E-2</v>
      </c>
      <c r="D223" s="24">
        <v>4.2974637681159465E-2</v>
      </c>
      <c r="E223" s="5">
        <v>0</v>
      </c>
    </row>
    <row r="224" spans="1:5" x14ac:dyDescent="0.3">
      <c r="A224" s="2">
        <v>24289</v>
      </c>
      <c r="B224" s="23">
        <v>3.9E-2</v>
      </c>
      <c r="C224" s="32">
        <v>5.9550724637681039E-2</v>
      </c>
      <c r="D224" s="24">
        <v>3.7554347826087006E-2</v>
      </c>
      <c r="E224" s="5">
        <v>0</v>
      </c>
    </row>
    <row r="225" spans="1:5" x14ac:dyDescent="0.3">
      <c r="A225" s="2">
        <v>24320</v>
      </c>
      <c r="B225" s="23">
        <v>3.6000000000000004E-2</v>
      </c>
      <c r="C225" s="32">
        <v>5.6521739130434699E-2</v>
      </c>
      <c r="D225" s="24">
        <v>3.7583333333333351E-2</v>
      </c>
      <c r="E225" s="5">
        <v>0</v>
      </c>
    </row>
    <row r="226" spans="1:5" x14ac:dyDescent="0.3">
      <c r="A226" s="2">
        <v>24351</v>
      </c>
      <c r="B226" s="23">
        <v>3.3000000000000002E-2</v>
      </c>
      <c r="C226" s="32">
        <v>5.4768115942028898E-2</v>
      </c>
      <c r="D226" s="24">
        <v>3.6336956521739149E-2</v>
      </c>
      <c r="E226" s="5">
        <v>0</v>
      </c>
    </row>
    <row r="227" spans="1:5" x14ac:dyDescent="0.3">
      <c r="A227" s="2">
        <v>24381</v>
      </c>
      <c r="B227" s="23">
        <v>3.2000000000000001E-2</v>
      </c>
      <c r="C227" s="32">
        <v>5.3115942028985473E-2</v>
      </c>
      <c r="D227" s="24">
        <v>3.6989130434782573E-2</v>
      </c>
      <c r="E227" s="5">
        <v>0</v>
      </c>
    </row>
    <row r="228" spans="1:5" x14ac:dyDescent="0.3">
      <c r="A228" s="2">
        <v>24412</v>
      </c>
      <c r="B228" s="23">
        <v>3.4000000000000002E-2</v>
      </c>
      <c r="C228" s="32">
        <v>5.4782608695652081E-2</v>
      </c>
      <c r="D228" s="24">
        <v>3.7322463768115967E-2</v>
      </c>
      <c r="E228" s="5">
        <v>0</v>
      </c>
    </row>
    <row r="229" spans="1:5" x14ac:dyDescent="0.3">
      <c r="A229" s="2">
        <v>24442</v>
      </c>
      <c r="B229" s="23">
        <v>3.5000000000000003E-2</v>
      </c>
      <c r="C229" s="32">
        <v>5.5202898550724598E-2</v>
      </c>
      <c r="D229" s="24">
        <v>3.7902173913043451E-2</v>
      </c>
      <c r="E229" s="5">
        <v>0</v>
      </c>
    </row>
    <row r="230" spans="1:5" x14ac:dyDescent="0.3">
      <c r="A230" s="2">
        <v>24473</v>
      </c>
      <c r="B230" s="23">
        <v>4.2000000000000003E-2</v>
      </c>
      <c r="C230" s="32">
        <v>6.4492753623188417E-2</v>
      </c>
      <c r="D230" s="24">
        <v>3.5612318840579631E-2</v>
      </c>
      <c r="E230" s="5">
        <v>0</v>
      </c>
    </row>
    <row r="231" spans="1:5" x14ac:dyDescent="0.3">
      <c r="A231" s="2">
        <v>24504</v>
      </c>
      <c r="B231" s="23">
        <v>4.2000000000000003E-2</v>
      </c>
      <c r="C231" s="32">
        <v>6.4391304347825973E-2</v>
      </c>
      <c r="D231" s="24">
        <v>3.5713768115942075E-2</v>
      </c>
      <c r="E231" s="5">
        <v>0</v>
      </c>
    </row>
    <row r="232" spans="1:5" x14ac:dyDescent="0.3">
      <c r="A232" s="2">
        <v>24532</v>
      </c>
      <c r="B232" s="23">
        <v>3.9E-2</v>
      </c>
      <c r="C232" s="32">
        <v>6.1652173913043402E-2</v>
      </c>
      <c r="D232" s="24">
        <v>3.5452898550724643E-2</v>
      </c>
      <c r="E232" s="5">
        <v>0</v>
      </c>
    </row>
    <row r="233" spans="1:5" x14ac:dyDescent="0.3">
      <c r="A233" s="2">
        <v>24563</v>
      </c>
      <c r="B233" s="23">
        <v>3.5000000000000003E-2</v>
      </c>
      <c r="C233" s="32">
        <v>5.6550724637681071E-2</v>
      </c>
      <c r="D233" s="24">
        <v>3.6554347826086978E-2</v>
      </c>
      <c r="E233" s="5">
        <v>0</v>
      </c>
    </row>
    <row r="234" spans="1:5" x14ac:dyDescent="0.3">
      <c r="A234" s="2">
        <v>24593</v>
      </c>
      <c r="B234" s="23">
        <v>3.2000000000000001E-2</v>
      </c>
      <c r="C234" s="32">
        <v>5.5101449275362209E-2</v>
      </c>
      <c r="D234" s="24">
        <v>3.5003623188405837E-2</v>
      </c>
      <c r="E234" s="5">
        <v>0</v>
      </c>
    </row>
    <row r="235" spans="1:5" x14ac:dyDescent="0.3">
      <c r="A235" s="2">
        <v>24624</v>
      </c>
      <c r="B235" s="23">
        <v>4.5999999999999999E-2</v>
      </c>
      <c r="C235" s="32">
        <v>6.1130434782608579E-2</v>
      </c>
      <c r="D235" s="24">
        <v>4.2974637681159465E-2</v>
      </c>
      <c r="E235" s="5">
        <v>0</v>
      </c>
    </row>
    <row r="236" spans="1:5" x14ac:dyDescent="0.3">
      <c r="A236" s="2">
        <v>24654</v>
      </c>
      <c r="B236" s="23">
        <v>4.0999999999999995E-2</v>
      </c>
      <c r="C236" s="32">
        <v>5.9550724637681039E-2</v>
      </c>
      <c r="D236" s="24">
        <v>3.9554347826087001E-2</v>
      </c>
      <c r="E236" s="5">
        <v>0</v>
      </c>
    </row>
    <row r="237" spans="1:5" x14ac:dyDescent="0.3">
      <c r="A237" s="2">
        <v>24685</v>
      </c>
      <c r="B237" s="23">
        <v>3.7000000000000005E-2</v>
      </c>
      <c r="C237" s="32">
        <v>5.6521739130434699E-2</v>
      </c>
      <c r="D237" s="24">
        <v>3.8583333333333351E-2</v>
      </c>
      <c r="E237" s="5">
        <v>0</v>
      </c>
    </row>
    <row r="238" spans="1:5" x14ac:dyDescent="0.3">
      <c r="A238" s="2">
        <v>24716</v>
      </c>
      <c r="B238" s="23">
        <v>3.7000000000000005E-2</v>
      </c>
      <c r="C238" s="32">
        <v>5.4768115942028898E-2</v>
      </c>
      <c r="D238" s="24">
        <v>4.0336956521739152E-2</v>
      </c>
      <c r="E238" s="5">
        <v>0</v>
      </c>
    </row>
    <row r="239" spans="1:5" x14ac:dyDescent="0.3">
      <c r="A239" s="2">
        <v>24746</v>
      </c>
      <c r="B239" s="23">
        <v>3.7999999999999999E-2</v>
      </c>
      <c r="C239" s="32">
        <v>5.3115942028985473E-2</v>
      </c>
      <c r="D239" s="24">
        <v>4.2989130434782571E-2</v>
      </c>
      <c r="E239" s="5">
        <v>0</v>
      </c>
    </row>
    <row r="240" spans="1:5" x14ac:dyDescent="0.3">
      <c r="A240" s="2">
        <v>24777</v>
      </c>
      <c r="B240" s="23">
        <v>3.7000000000000005E-2</v>
      </c>
      <c r="C240" s="32">
        <v>5.4782608695652081E-2</v>
      </c>
      <c r="D240" s="24">
        <v>4.0322463768115969E-2</v>
      </c>
      <c r="E240" s="5">
        <v>0</v>
      </c>
    </row>
    <row r="241" spans="1:5" x14ac:dyDescent="0.3">
      <c r="A241" s="2">
        <v>24807</v>
      </c>
      <c r="B241" s="23">
        <v>3.5000000000000003E-2</v>
      </c>
      <c r="C241" s="32">
        <v>5.5202898550724598E-2</v>
      </c>
      <c r="D241" s="24">
        <v>3.7902173913043451E-2</v>
      </c>
      <c r="E241" s="5">
        <v>0</v>
      </c>
    </row>
    <row r="242" spans="1:5" x14ac:dyDescent="0.3">
      <c r="A242" s="2">
        <v>24838</v>
      </c>
      <c r="B242" s="23">
        <v>0.04</v>
      </c>
      <c r="C242" s="32">
        <v>6.4492753623188417E-2</v>
      </c>
      <c r="D242" s="24">
        <v>3.3612318840579629E-2</v>
      </c>
      <c r="E242" s="5">
        <v>0</v>
      </c>
    </row>
    <row r="243" spans="1:5" x14ac:dyDescent="0.3">
      <c r="A243" s="2">
        <v>24869</v>
      </c>
      <c r="B243" s="23">
        <v>4.2000000000000003E-2</v>
      </c>
      <c r="C243" s="32">
        <v>6.4391304347825973E-2</v>
      </c>
      <c r="D243" s="24">
        <v>3.5713768115942075E-2</v>
      </c>
      <c r="E243" s="5">
        <v>0</v>
      </c>
    </row>
    <row r="244" spans="1:5" x14ac:dyDescent="0.3">
      <c r="A244" s="2">
        <v>24898</v>
      </c>
      <c r="B244" s="23">
        <v>3.7999999999999999E-2</v>
      </c>
      <c r="C244" s="32">
        <v>6.1652173913043402E-2</v>
      </c>
      <c r="D244" s="24">
        <v>3.4452898550724642E-2</v>
      </c>
      <c r="E244" s="5">
        <v>0</v>
      </c>
    </row>
    <row r="245" spans="1:5" x14ac:dyDescent="0.3">
      <c r="A245" s="2">
        <v>24929</v>
      </c>
      <c r="B245" s="23">
        <v>3.2000000000000001E-2</v>
      </c>
      <c r="C245" s="32">
        <v>5.6550724637681071E-2</v>
      </c>
      <c r="D245" s="24">
        <v>3.3554347826086975E-2</v>
      </c>
      <c r="E245" s="5">
        <v>0</v>
      </c>
    </row>
    <row r="246" spans="1:5" x14ac:dyDescent="0.3">
      <c r="A246" s="2">
        <v>24959</v>
      </c>
      <c r="B246" s="23">
        <v>2.8999999999999998E-2</v>
      </c>
      <c r="C246" s="32">
        <v>5.5101449275362209E-2</v>
      </c>
      <c r="D246" s="24">
        <v>3.2003623188405834E-2</v>
      </c>
      <c r="E246" s="5">
        <v>0</v>
      </c>
    </row>
    <row r="247" spans="1:5" x14ac:dyDescent="0.3">
      <c r="A247" s="2">
        <v>24990</v>
      </c>
      <c r="B247" s="23">
        <v>4.4999999999999998E-2</v>
      </c>
      <c r="C247" s="32">
        <v>6.1130434782608579E-2</v>
      </c>
      <c r="D247" s="24">
        <v>4.1974637681159464E-2</v>
      </c>
      <c r="E247" s="5">
        <v>0</v>
      </c>
    </row>
    <row r="248" spans="1:5" x14ac:dyDescent="0.3">
      <c r="A248" s="2">
        <v>25020</v>
      </c>
      <c r="B248" s="23">
        <v>0.04</v>
      </c>
      <c r="C248" s="32">
        <v>5.9550724637681039E-2</v>
      </c>
      <c r="D248" s="24">
        <v>3.8554347826087007E-2</v>
      </c>
      <c r="E248" s="5">
        <v>0</v>
      </c>
    </row>
    <row r="249" spans="1:5" x14ac:dyDescent="0.3">
      <c r="A249" s="2">
        <v>25051</v>
      </c>
      <c r="B249" s="23">
        <v>3.5000000000000003E-2</v>
      </c>
      <c r="C249" s="32">
        <v>5.6521739130434699E-2</v>
      </c>
      <c r="D249" s="24">
        <v>3.658333333333335E-2</v>
      </c>
      <c r="E249" s="5">
        <v>0</v>
      </c>
    </row>
    <row r="250" spans="1:5" x14ac:dyDescent="0.3">
      <c r="A250" s="2">
        <v>25082</v>
      </c>
      <c r="B250" s="23">
        <v>3.3000000000000002E-2</v>
      </c>
      <c r="C250" s="32">
        <v>5.4768115942028898E-2</v>
      </c>
      <c r="D250" s="24">
        <v>3.6336956521739149E-2</v>
      </c>
      <c r="E250" s="5">
        <v>0</v>
      </c>
    </row>
    <row r="251" spans="1:5" x14ac:dyDescent="0.3">
      <c r="A251" s="2">
        <v>25112</v>
      </c>
      <c r="B251" s="23">
        <v>3.2000000000000001E-2</v>
      </c>
      <c r="C251" s="32">
        <v>5.3115942028985473E-2</v>
      </c>
      <c r="D251" s="24">
        <v>3.6989130434782573E-2</v>
      </c>
      <c r="E251" s="5">
        <v>0</v>
      </c>
    </row>
    <row r="252" spans="1:5" x14ac:dyDescent="0.3">
      <c r="A252" s="2">
        <v>25143</v>
      </c>
      <c r="B252" s="23">
        <v>3.3000000000000002E-2</v>
      </c>
      <c r="C252" s="32">
        <v>5.4782608695652081E-2</v>
      </c>
      <c r="D252" s="24">
        <v>3.6322463768115966E-2</v>
      </c>
      <c r="E252" s="5">
        <v>0</v>
      </c>
    </row>
    <row r="253" spans="1:5" x14ac:dyDescent="0.3">
      <c r="A253" s="2">
        <v>25173</v>
      </c>
      <c r="B253" s="23">
        <v>3.1E-2</v>
      </c>
      <c r="C253" s="32">
        <v>5.5202898550724598E-2</v>
      </c>
      <c r="D253" s="24">
        <v>3.3902173913043447E-2</v>
      </c>
      <c r="E253" s="5">
        <v>0</v>
      </c>
    </row>
    <row r="254" spans="1:5" x14ac:dyDescent="0.3">
      <c r="A254" s="2">
        <v>25204</v>
      </c>
      <c r="B254" s="23">
        <v>3.7000000000000005E-2</v>
      </c>
      <c r="C254" s="32">
        <v>6.4492753623188417E-2</v>
      </c>
      <c r="D254" s="24">
        <v>3.0612318840579633E-2</v>
      </c>
      <c r="E254" s="5">
        <v>0</v>
      </c>
    </row>
    <row r="255" spans="1:5" x14ac:dyDescent="0.3">
      <c r="A255" s="2">
        <v>25235</v>
      </c>
      <c r="B255" s="23">
        <v>3.7000000000000005E-2</v>
      </c>
      <c r="C255" s="32">
        <v>6.4391304347825973E-2</v>
      </c>
      <c r="D255" s="24">
        <v>3.0713768115942078E-2</v>
      </c>
      <c r="E255" s="5">
        <v>0</v>
      </c>
    </row>
    <row r="256" spans="1:5" x14ac:dyDescent="0.3">
      <c r="A256" s="2">
        <v>25263</v>
      </c>
      <c r="B256" s="23">
        <v>3.5000000000000003E-2</v>
      </c>
      <c r="C256" s="32">
        <v>6.1652173913043402E-2</v>
      </c>
      <c r="D256" s="24">
        <v>3.1452898550724646E-2</v>
      </c>
      <c r="E256" s="5">
        <v>0</v>
      </c>
    </row>
    <row r="257" spans="1:5" x14ac:dyDescent="0.3">
      <c r="A257" s="2">
        <v>25294</v>
      </c>
      <c r="B257" s="23">
        <v>3.2000000000000001E-2</v>
      </c>
      <c r="C257" s="32">
        <v>5.6550724637681071E-2</v>
      </c>
      <c r="D257" s="24">
        <v>3.3554347826086975E-2</v>
      </c>
      <c r="E257" s="5">
        <v>0</v>
      </c>
    </row>
    <row r="258" spans="1:5" x14ac:dyDescent="0.3">
      <c r="A258" s="2">
        <v>25324</v>
      </c>
      <c r="B258" s="23">
        <v>2.8999999999999998E-2</v>
      </c>
      <c r="C258" s="32">
        <v>5.5101449275362209E-2</v>
      </c>
      <c r="D258" s="24">
        <v>3.2003623188405834E-2</v>
      </c>
      <c r="E258" s="5">
        <v>0</v>
      </c>
    </row>
    <row r="259" spans="1:5" x14ac:dyDescent="0.3">
      <c r="A259" s="2">
        <v>25355</v>
      </c>
      <c r="B259" s="23">
        <v>4.0999999999999995E-2</v>
      </c>
      <c r="C259" s="32">
        <v>6.1130434782608579E-2</v>
      </c>
      <c r="D259" s="24">
        <v>3.7974637681159461E-2</v>
      </c>
      <c r="E259" s="5">
        <v>0</v>
      </c>
    </row>
    <row r="260" spans="1:5" x14ac:dyDescent="0.3">
      <c r="A260" s="2">
        <v>25385</v>
      </c>
      <c r="B260" s="23">
        <v>3.7999999999999999E-2</v>
      </c>
      <c r="C260" s="32">
        <v>5.9550724637681039E-2</v>
      </c>
      <c r="D260" s="24">
        <v>3.6554347826087005E-2</v>
      </c>
      <c r="E260" s="5">
        <v>0</v>
      </c>
    </row>
    <row r="261" spans="1:5" x14ac:dyDescent="0.3">
      <c r="A261" s="2">
        <v>25416</v>
      </c>
      <c r="B261" s="23">
        <v>3.5000000000000003E-2</v>
      </c>
      <c r="C261" s="32">
        <v>5.6521739130434699E-2</v>
      </c>
      <c r="D261" s="24">
        <v>3.658333333333335E-2</v>
      </c>
      <c r="E261" s="5">
        <v>0</v>
      </c>
    </row>
    <row r="262" spans="1:5" x14ac:dyDescent="0.3">
      <c r="A262" s="2">
        <v>25447</v>
      </c>
      <c r="B262" s="23">
        <v>3.7000000000000005E-2</v>
      </c>
      <c r="C262" s="32">
        <v>5.4768115942028898E-2</v>
      </c>
      <c r="D262" s="24">
        <v>4.0336956521739152E-2</v>
      </c>
      <c r="E262" s="5">
        <v>0</v>
      </c>
    </row>
    <row r="263" spans="1:5" x14ac:dyDescent="0.3">
      <c r="A263" s="2">
        <v>25477</v>
      </c>
      <c r="B263" s="23">
        <v>3.5000000000000003E-2</v>
      </c>
      <c r="C263" s="32">
        <v>5.3115942028985473E-2</v>
      </c>
      <c r="D263" s="24">
        <v>3.9989130434782576E-2</v>
      </c>
      <c r="E263" s="5">
        <v>0</v>
      </c>
    </row>
    <row r="264" spans="1:5" x14ac:dyDescent="0.3">
      <c r="A264" s="2">
        <v>25508</v>
      </c>
      <c r="B264" s="23">
        <v>3.3000000000000002E-2</v>
      </c>
      <c r="C264" s="32">
        <v>5.4782608695652081E-2</v>
      </c>
      <c r="D264" s="24">
        <v>3.6322463768115966E-2</v>
      </c>
      <c r="E264" s="5">
        <v>0</v>
      </c>
    </row>
    <row r="265" spans="1:5" x14ac:dyDescent="0.3">
      <c r="A265" s="2">
        <v>25538</v>
      </c>
      <c r="B265" s="23">
        <v>3.2000000000000001E-2</v>
      </c>
      <c r="C265" s="32">
        <v>5.5202898550724598E-2</v>
      </c>
      <c r="D265" s="24">
        <v>3.4902173913043448E-2</v>
      </c>
      <c r="E265" s="5">
        <v>0</v>
      </c>
    </row>
    <row r="266" spans="1:5" x14ac:dyDescent="0.3">
      <c r="A266" s="2">
        <v>25569</v>
      </c>
      <c r="B266" s="23">
        <v>4.2000000000000003E-2</v>
      </c>
      <c r="C266" s="32">
        <v>6.4492753623188417E-2</v>
      </c>
      <c r="D266" s="24">
        <v>3.5612318840579631E-2</v>
      </c>
      <c r="E266" s="5">
        <v>1</v>
      </c>
    </row>
    <row r="267" spans="1:5" x14ac:dyDescent="0.3">
      <c r="A267" s="2">
        <v>25600</v>
      </c>
      <c r="B267" s="23">
        <v>4.7E-2</v>
      </c>
      <c r="C267" s="32">
        <v>6.4391304347825973E-2</v>
      </c>
      <c r="D267" s="24">
        <v>4.0713768115942073E-2</v>
      </c>
      <c r="E267" s="5">
        <v>1</v>
      </c>
    </row>
    <row r="268" spans="1:5" x14ac:dyDescent="0.3">
      <c r="A268" s="2">
        <v>25628</v>
      </c>
      <c r="B268" s="23">
        <v>4.5999999999999999E-2</v>
      </c>
      <c r="C268" s="32">
        <v>6.1652173913043402E-2</v>
      </c>
      <c r="D268" s="24">
        <v>4.2452898550724642E-2</v>
      </c>
      <c r="E268" s="5">
        <v>1</v>
      </c>
    </row>
    <row r="269" spans="1:5" x14ac:dyDescent="0.3">
      <c r="A269" s="2">
        <v>25659</v>
      </c>
      <c r="B269" s="23">
        <v>4.2999999999999997E-2</v>
      </c>
      <c r="C269" s="32">
        <v>5.6550724637681071E-2</v>
      </c>
      <c r="D269" s="24">
        <v>4.4554347826086971E-2</v>
      </c>
      <c r="E269" s="5">
        <v>1</v>
      </c>
    </row>
    <row r="270" spans="1:5" x14ac:dyDescent="0.3">
      <c r="A270" s="2">
        <v>25689</v>
      </c>
      <c r="B270" s="23">
        <v>4.0999999999999995E-2</v>
      </c>
      <c r="C270" s="32">
        <v>5.5101449275362209E-2</v>
      </c>
      <c r="D270" s="24">
        <v>4.4003623188405831E-2</v>
      </c>
      <c r="E270" s="5">
        <v>1</v>
      </c>
    </row>
    <row r="271" spans="1:5" x14ac:dyDescent="0.3">
      <c r="A271" s="2">
        <v>25720</v>
      </c>
      <c r="B271" s="23">
        <v>5.5999999999999994E-2</v>
      </c>
      <c r="C271" s="32">
        <v>6.1130434782608579E-2</v>
      </c>
      <c r="D271" s="24">
        <v>5.297463768115946E-2</v>
      </c>
      <c r="E271" s="5">
        <v>1</v>
      </c>
    </row>
    <row r="272" spans="1:5" x14ac:dyDescent="0.3">
      <c r="A272" s="2">
        <v>25750</v>
      </c>
      <c r="B272" s="23">
        <v>5.2999999999999999E-2</v>
      </c>
      <c r="C272" s="32">
        <v>5.9550724637681039E-2</v>
      </c>
      <c r="D272" s="24">
        <v>5.1554347826087005E-2</v>
      </c>
      <c r="E272" s="5">
        <v>1</v>
      </c>
    </row>
    <row r="273" spans="1:5" x14ac:dyDescent="0.3">
      <c r="A273" s="2">
        <v>25781</v>
      </c>
      <c r="B273" s="23">
        <v>0.05</v>
      </c>
      <c r="C273" s="32">
        <v>5.6521739130434699E-2</v>
      </c>
      <c r="D273" s="24">
        <v>5.1583333333333349E-2</v>
      </c>
      <c r="E273" s="5">
        <v>1</v>
      </c>
    </row>
    <row r="274" spans="1:5" x14ac:dyDescent="0.3">
      <c r="A274" s="2">
        <v>25812</v>
      </c>
      <c r="B274" s="23">
        <v>5.2000000000000005E-2</v>
      </c>
      <c r="C274" s="32">
        <v>5.4768115942028898E-2</v>
      </c>
      <c r="D274" s="24">
        <v>5.5336956521739152E-2</v>
      </c>
      <c r="E274" s="5">
        <v>1</v>
      </c>
    </row>
    <row r="275" spans="1:5" x14ac:dyDescent="0.3">
      <c r="A275" s="2">
        <v>25842</v>
      </c>
      <c r="B275" s="23">
        <v>5.0999999999999997E-2</v>
      </c>
      <c r="C275" s="32">
        <v>5.3115942028985473E-2</v>
      </c>
      <c r="D275" s="24">
        <v>5.5989130434782569E-2</v>
      </c>
      <c r="E275" s="5">
        <v>1</v>
      </c>
    </row>
    <row r="276" spans="1:5" x14ac:dyDescent="0.3">
      <c r="A276" s="2">
        <v>25873</v>
      </c>
      <c r="B276" s="23">
        <v>5.5E-2</v>
      </c>
      <c r="C276" s="32">
        <v>5.4782608695652081E-2</v>
      </c>
      <c r="D276" s="24">
        <v>5.8322463768115965E-2</v>
      </c>
      <c r="E276" s="5">
        <v>1</v>
      </c>
    </row>
    <row r="277" spans="1:5" x14ac:dyDescent="0.3">
      <c r="A277" s="2">
        <v>25903</v>
      </c>
      <c r="B277" s="23">
        <v>5.5999999999999994E-2</v>
      </c>
      <c r="C277" s="32">
        <v>5.5202898550724598E-2</v>
      </c>
      <c r="D277" s="24">
        <v>5.8902173913043442E-2</v>
      </c>
      <c r="E277" s="5">
        <v>0</v>
      </c>
    </row>
    <row r="278" spans="1:5" x14ac:dyDescent="0.3">
      <c r="A278" s="2">
        <v>25934</v>
      </c>
      <c r="B278" s="23">
        <v>6.6000000000000003E-2</v>
      </c>
      <c r="C278" s="32">
        <v>6.4492753623188417E-2</v>
      </c>
      <c r="D278" s="24">
        <v>5.9612318840579631E-2</v>
      </c>
      <c r="E278" s="5">
        <v>0</v>
      </c>
    </row>
    <row r="279" spans="1:5" x14ac:dyDescent="0.3">
      <c r="A279" s="2">
        <v>25965</v>
      </c>
      <c r="B279" s="23">
        <v>6.6000000000000003E-2</v>
      </c>
      <c r="C279" s="32">
        <v>6.4391304347825973E-2</v>
      </c>
      <c r="D279" s="24">
        <v>5.9713768115942076E-2</v>
      </c>
      <c r="E279" s="5">
        <v>0</v>
      </c>
    </row>
    <row r="280" spans="1:5" x14ac:dyDescent="0.3">
      <c r="A280" s="2">
        <v>25993</v>
      </c>
      <c r="B280" s="23">
        <v>6.3E-2</v>
      </c>
      <c r="C280" s="32">
        <v>6.1652173913043402E-2</v>
      </c>
      <c r="D280" s="24">
        <v>5.9452898550724644E-2</v>
      </c>
      <c r="E280" s="5">
        <v>0</v>
      </c>
    </row>
    <row r="281" spans="1:5" x14ac:dyDescent="0.3">
      <c r="A281" s="2">
        <v>26024</v>
      </c>
      <c r="B281" s="23">
        <v>5.7000000000000002E-2</v>
      </c>
      <c r="C281" s="32">
        <v>5.6550724637681071E-2</v>
      </c>
      <c r="D281" s="24">
        <v>5.8554347826086976E-2</v>
      </c>
      <c r="E281" s="5">
        <v>0</v>
      </c>
    </row>
    <row r="282" spans="1:5" x14ac:dyDescent="0.3">
      <c r="A282" s="2">
        <v>26054</v>
      </c>
      <c r="B282" s="23">
        <v>5.2999999999999999E-2</v>
      </c>
      <c r="C282" s="32">
        <v>5.5101449275362209E-2</v>
      </c>
      <c r="D282" s="24">
        <v>5.6003623188405835E-2</v>
      </c>
      <c r="E282" s="5">
        <v>0</v>
      </c>
    </row>
    <row r="283" spans="1:5" x14ac:dyDescent="0.3">
      <c r="A283" s="2">
        <v>26085</v>
      </c>
      <c r="B283" s="23">
        <v>6.5000000000000002E-2</v>
      </c>
      <c r="C283" s="32">
        <v>6.1130434782608579E-2</v>
      </c>
      <c r="D283" s="24">
        <v>6.1974637681159468E-2</v>
      </c>
      <c r="E283" s="5">
        <v>0</v>
      </c>
    </row>
    <row r="284" spans="1:5" x14ac:dyDescent="0.3">
      <c r="A284" s="2">
        <v>26115</v>
      </c>
      <c r="B284" s="23">
        <v>6.2E-2</v>
      </c>
      <c r="C284" s="32">
        <v>5.9550724637681039E-2</v>
      </c>
      <c r="D284" s="24">
        <v>6.0554347826087006E-2</v>
      </c>
      <c r="E284" s="5">
        <v>0</v>
      </c>
    </row>
    <row r="285" spans="1:5" x14ac:dyDescent="0.3">
      <c r="A285" s="2">
        <v>26146</v>
      </c>
      <c r="B285" s="23">
        <v>5.9000000000000004E-2</v>
      </c>
      <c r="C285" s="32">
        <v>5.6521739130434699E-2</v>
      </c>
      <c r="D285" s="24">
        <v>6.058333333333335E-2</v>
      </c>
      <c r="E285" s="5">
        <v>0</v>
      </c>
    </row>
    <row r="286" spans="1:5" x14ac:dyDescent="0.3">
      <c r="A286" s="2">
        <v>26177</v>
      </c>
      <c r="B286" s="23">
        <v>5.7999999999999996E-2</v>
      </c>
      <c r="C286" s="32">
        <v>5.4768115942028898E-2</v>
      </c>
      <c r="D286" s="24">
        <v>6.1336956521739143E-2</v>
      </c>
      <c r="E286" s="5">
        <v>0</v>
      </c>
    </row>
    <row r="287" spans="1:5" x14ac:dyDescent="0.3">
      <c r="A287" s="2">
        <v>26207</v>
      </c>
      <c r="B287" s="23">
        <v>5.4000000000000006E-2</v>
      </c>
      <c r="C287" s="32">
        <v>5.3115942028985473E-2</v>
      </c>
      <c r="D287" s="24">
        <v>5.8989130434782579E-2</v>
      </c>
      <c r="E287" s="5">
        <v>0</v>
      </c>
    </row>
    <row r="288" spans="1:5" x14ac:dyDescent="0.3">
      <c r="A288" s="2">
        <v>26238</v>
      </c>
      <c r="B288" s="23">
        <v>5.7000000000000002E-2</v>
      </c>
      <c r="C288" s="32">
        <v>5.4782608695652081E-2</v>
      </c>
      <c r="D288" s="24">
        <v>6.0322463768115966E-2</v>
      </c>
      <c r="E288" s="5">
        <v>0</v>
      </c>
    </row>
    <row r="289" spans="1:5" x14ac:dyDescent="0.3">
      <c r="A289" s="2">
        <v>26268</v>
      </c>
      <c r="B289" s="23">
        <v>5.5E-2</v>
      </c>
      <c r="C289" s="32">
        <v>5.5202898550724598E-2</v>
      </c>
      <c r="D289" s="24">
        <v>5.7902173913043448E-2</v>
      </c>
      <c r="E289" s="5">
        <v>0</v>
      </c>
    </row>
    <row r="290" spans="1:5" x14ac:dyDescent="0.3">
      <c r="A290" s="2">
        <v>26299</v>
      </c>
      <c r="B290" s="23">
        <v>6.5000000000000002E-2</v>
      </c>
      <c r="C290" s="32">
        <v>6.4492753623188417E-2</v>
      </c>
      <c r="D290" s="24">
        <v>5.861231884057963E-2</v>
      </c>
      <c r="E290" s="5">
        <v>0</v>
      </c>
    </row>
    <row r="291" spans="1:5" x14ac:dyDescent="0.3">
      <c r="A291" s="2">
        <v>26330</v>
      </c>
      <c r="B291" s="23">
        <v>6.4000000000000001E-2</v>
      </c>
      <c r="C291" s="32">
        <v>6.4391304347825973E-2</v>
      </c>
      <c r="D291" s="24">
        <v>5.7713768115942074E-2</v>
      </c>
      <c r="E291" s="5">
        <v>0</v>
      </c>
    </row>
    <row r="292" spans="1:5" x14ac:dyDescent="0.3">
      <c r="A292" s="2">
        <v>26359</v>
      </c>
      <c r="B292" s="23">
        <v>6.0999999999999999E-2</v>
      </c>
      <c r="C292" s="32">
        <v>6.1652173913043402E-2</v>
      </c>
      <c r="D292" s="24">
        <v>5.7452898550724642E-2</v>
      </c>
      <c r="E292" s="5">
        <v>0</v>
      </c>
    </row>
    <row r="293" spans="1:5" x14ac:dyDescent="0.3">
      <c r="A293" s="2">
        <v>26390</v>
      </c>
      <c r="B293" s="23">
        <v>5.5E-2</v>
      </c>
      <c r="C293" s="32">
        <v>5.6550724637681071E-2</v>
      </c>
      <c r="D293" s="24">
        <v>5.6554347826086974E-2</v>
      </c>
      <c r="E293" s="5">
        <v>0</v>
      </c>
    </row>
    <row r="294" spans="1:5" x14ac:dyDescent="0.3">
      <c r="A294" s="2">
        <v>26420</v>
      </c>
      <c r="B294" s="23">
        <v>5.0999999999999997E-2</v>
      </c>
      <c r="C294" s="32">
        <v>5.5101449275362209E-2</v>
      </c>
      <c r="D294" s="24">
        <v>5.4003623188405833E-2</v>
      </c>
      <c r="E294" s="5">
        <v>0</v>
      </c>
    </row>
    <row r="295" spans="1:5" x14ac:dyDescent="0.3">
      <c r="A295" s="2">
        <v>26451</v>
      </c>
      <c r="B295" s="23">
        <v>6.2E-2</v>
      </c>
      <c r="C295" s="32">
        <v>6.1130434782608579E-2</v>
      </c>
      <c r="D295" s="24">
        <v>5.8974637681159466E-2</v>
      </c>
      <c r="E295" s="5">
        <v>0</v>
      </c>
    </row>
    <row r="296" spans="1:5" x14ac:dyDescent="0.3">
      <c r="A296" s="2">
        <v>26481</v>
      </c>
      <c r="B296" s="23">
        <v>5.9000000000000004E-2</v>
      </c>
      <c r="C296" s="32">
        <v>5.9550724637681039E-2</v>
      </c>
      <c r="D296" s="24">
        <v>5.755434782608701E-2</v>
      </c>
      <c r="E296" s="5">
        <v>0</v>
      </c>
    </row>
    <row r="297" spans="1:5" x14ac:dyDescent="0.3">
      <c r="A297" s="2">
        <v>26512</v>
      </c>
      <c r="B297" s="23">
        <v>5.5E-2</v>
      </c>
      <c r="C297" s="32">
        <v>5.6521739130434699E-2</v>
      </c>
      <c r="D297" s="24">
        <v>5.6583333333333347E-2</v>
      </c>
      <c r="E297" s="5">
        <v>0</v>
      </c>
    </row>
    <row r="298" spans="1:5" x14ac:dyDescent="0.3">
      <c r="A298" s="2">
        <v>26543</v>
      </c>
      <c r="B298" s="23">
        <v>5.4000000000000006E-2</v>
      </c>
      <c r="C298" s="32">
        <v>5.4768115942028898E-2</v>
      </c>
      <c r="D298" s="24">
        <v>5.7336956521739153E-2</v>
      </c>
      <c r="E298" s="5">
        <v>0</v>
      </c>
    </row>
    <row r="299" spans="1:5" x14ac:dyDescent="0.3">
      <c r="A299" s="2">
        <v>26573</v>
      </c>
      <c r="B299" s="23">
        <v>5.0999999999999997E-2</v>
      </c>
      <c r="C299" s="32">
        <v>5.3115942028985473E-2</v>
      </c>
      <c r="D299" s="24">
        <v>5.5989130434782569E-2</v>
      </c>
      <c r="E299" s="5">
        <v>0</v>
      </c>
    </row>
    <row r="300" spans="1:5" x14ac:dyDescent="0.3">
      <c r="A300" s="2">
        <v>26604</v>
      </c>
      <c r="B300" s="23">
        <v>4.9000000000000002E-2</v>
      </c>
      <c r="C300" s="32">
        <v>5.4782608695652081E-2</v>
      </c>
      <c r="D300" s="24">
        <v>5.2322463768115966E-2</v>
      </c>
      <c r="E300" s="5">
        <v>0</v>
      </c>
    </row>
    <row r="301" spans="1:5" x14ac:dyDescent="0.3">
      <c r="A301" s="2">
        <v>26634</v>
      </c>
      <c r="B301" s="23">
        <v>4.8000000000000001E-2</v>
      </c>
      <c r="C301" s="32">
        <v>5.5202898550724598E-2</v>
      </c>
      <c r="D301" s="24">
        <v>5.0902173913043448E-2</v>
      </c>
      <c r="E301" s="5">
        <v>0</v>
      </c>
    </row>
    <row r="302" spans="1:5" x14ac:dyDescent="0.3">
      <c r="A302" s="2">
        <v>26665</v>
      </c>
      <c r="B302" s="23">
        <v>5.5E-2</v>
      </c>
      <c r="C302" s="32">
        <v>6.4492753623188417E-2</v>
      </c>
      <c r="D302" s="24">
        <v>4.8612318840579628E-2</v>
      </c>
      <c r="E302" s="5">
        <v>0</v>
      </c>
    </row>
    <row r="303" spans="1:5" x14ac:dyDescent="0.3">
      <c r="A303" s="2">
        <v>26696</v>
      </c>
      <c r="B303" s="23">
        <v>5.5999999999999994E-2</v>
      </c>
      <c r="C303" s="32">
        <v>6.4391304347825973E-2</v>
      </c>
      <c r="D303" s="24">
        <v>4.9713768115942067E-2</v>
      </c>
      <c r="E303" s="5">
        <v>0</v>
      </c>
    </row>
    <row r="304" spans="1:5" x14ac:dyDescent="0.3">
      <c r="A304" s="2">
        <v>26724</v>
      </c>
      <c r="B304" s="23">
        <v>5.2000000000000005E-2</v>
      </c>
      <c r="C304" s="32">
        <v>6.1652173913043402E-2</v>
      </c>
      <c r="D304" s="24">
        <v>4.8452898550724648E-2</v>
      </c>
      <c r="E304" s="5">
        <v>0</v>
      </c>
    </row>
    <row r="305" spans="1:5" x14ac:dyDescent="0.3">
      <c r="A305" s="2">
        <v>26755</v>
      </c>
      <c r="B305" s="23">
        <v>4.8000000000000001E-2</v>
      </c>
      <c r="C305" s="32">
        <v>5.6550724637681071E-2</v>
      </c>
      <c r="D305" s="24">
        <v>4.9554347826086975E-2</v>
      </c>
      <c r="E305" s="5">
        <v>0</v>
      </c>
    </row>
    <row r="306" spans="1:5" x14ac:dyDescent="0.3">
      <c r="A306" s="2">
        <v>26785</v>
      </c>
      <c r="B306" s="23">
        <v>4.4000000000000004E-2</v>
      </c>
      <c r="C306" s="32">
        <v>5.5101449275362209E-2</v>
      </c>
      <c r="D306" s="24">
        <v>4.7003623188405841E-2</v>
      </c>
      <c r="E306" s="5">
        <v>0</v>
      </c>
    </row>
    <row r="307" spans="1:5" x14ac:dyDescent="0.3">
      <c r="A307" s="2">
        <v>26816</v>
      </c>
      <c r="B307" s="23">
        <v>5.4000000000000006E-2</v>
      </c>
      <c r="C307" s="32">
        <v>6.1130434782608579E-2</v>
      </c>
      <c r="D307" s="24">
        <v>5.0974637681159472E-2</v>
      </c>
      <c r="E307" s="5">
        <v>0</v>
      </c>
    </row>
    <row r="308" spans="1:5" x14ac:dyDescent="0.3">
      <c r="A308" s="2">
        <v>26846</v>
      </c>
      <c r="B308" s="23">
        <v>0.05</v>
      </c>
      <c r="C308" s="32">
        <v>5.9550724637681039E-2</v>
      </c>
      <c r="D308" s="24">
        <v>4.8554347826087009E-2</v>
      </c>
      <c r="E308" s="5">
        <v>0</v>
      </c>
    </row>
    <row r="309" spans="1:5" x14ac:dyDescent="0.3">
      <c r="A309" s="2">
        <v>26877</v>
      </c>
      <c r="B309" s="23">
        <v>4.7E-2</v>
      </c>
      <c r="C309" s="32">
        <v>5.6521739130434699E-2</v>
      </c>
      <c r="D309" s="24">
        <v>4.8583333333333346E-2</v>
      </c>
      <c r="E309" s="5">
        <v>0</v>
      </c>
    </row>
    <row r="310" spans="1:5" x14ac:dyDescent="0.3">
      <c r="A310" s="2">
        <v>26908</v>
      </c>
      <c r="B310" s="23">
        <v>4.7E-2</v>
      </c>
      <c r="C310" s="32">
        <v>5.4768115942028898E-2</v>
      </c>
      <c r="D310" s="24">
        <v>5.0336956521739147E-2</v>
      </c>
      <c r="E310" s="5">
        <v>0</v>
      </c>
    </row>
    <row r="311" spans="1:5" x14ac:dyDescent="0.3">
      <c r="A311" s="2">
        <v>26938</v>
      </c>
      <c r="B311" s="23">
        <v>4.2000000000000003E-2</v>
      </c>
      <c r="C311" s="32">
        <v>5.3115942028985473E-2</v>
      </c>
      <c r="D311" s="24">
        <v>4.6989130434782575E-2</v>
      </c>
      <c r="E311" s="5">
        <v>0</v>
      </c>
    </row>
    <row r="312" spans="1:5" x14ac:dyDescent="0.3">
      <c r="A312" s="2">
        <v>26969</v>
      </c>
      <c r="B312" s="23">
        <v>4.5999999999999999E-2</v>
      </c>
      <c r="C312" s="32">
        <v>5.4782608695652081E-2</v>
      </c>
      <c r="D312" s="24">
        <v>4.9322463768115964E-2</v>
      </c>
      <c r="E312" s="5">
        <v>0</v>
      </c>
    </row>
    <row r="313" spans="1:5" x14ac:dyDescent="0.3">
      <c r="A313" s="2">
        <v>26999</v>
      </c>
      <c r="B313" s="23">
        <v>4.5999999999999999E-2</v>
      </c>
      <c r="C313" s="32">
        <v>5.5202898550724598E-2</v>
      </c>
      <c r="D313" s="24">
        <v>4.8902173913043447E-2</v>
      </c>
      <c r="E313" s="5">
        <v>1</v>
      </c>
    </row>
    <row r="314" spans="1:5" x14ac:dyDescent="0.3">
      <c r="A314" s="2">
        <v>27030</v>
      </c>
      <c r="B314" s="23">
        <v>5.7000000000000002E-2</v>
      </c>
      <c r="C314" s="32">
        <v>6.4492753623188417E-2</v>
      </c>
      <c r="D314" s="24">
        <v>5.061231884057963E-2</v>
      </c>
      <c r="E314" s="5">
        <v>1</v>
      </c>
    </row>
    <row r="315" spans="1:5" x14ac:dyDescent="0.3">
      <c r="A315" s="2">
        <v>27061</v>
      </c>
      <c r="B315" s="23">
        <v>5.7999999999999996E-2</v>
      </c>
      <c r="C315" s="32">
        <v>6.4391304347825973E-2</v>
      </c>
      <c r="D315" s="24">
        <v>5.1713768115942069E-2</v>
      </c>
      <c r="E315" s="5">
        <v>1</v>
      </c>
    </row>
    <row r="316" spans="1:5" x14ac:dyDescent="0.3">
      <c r="A316" s="2">
        <v>27089</v>
      </c>
      <c r="B316" s="23">
        <v>5.2999999999999999E-2</v>
      </c>
      <c r="C316" s="32">
        <v>6.1652173913043402E-2</v>
      </c>
      <c r="D316" s="24">
        <v>4.9452898550724642E-2</v>
      </c>
      <c r="E316" s="5">
        <v>1</v>
      </c>
    </row>
    <row r="317" spans="1:5" x14ac:dyDescent="0.3">
      <c r="A317" s="2">
        <v>27120</v>
      </c>
      <c r="B317" s="23">
        <v>4.8000000000000001E-2</v>
      </c>
      <c r="C317" s="32">
        <v>5.6550724637681071E-2</v>
      </c>
      <c r="D317" s="24">
        <v>4.9554347826086975E-2</v>
      </c>
      <c r="E317" s="5">
        <v>1</v>
      </c>
    </row>
    <row r="318" spans="1:5" x14ac:dyDescent="0.3">
      <c r="A318" s="2">
        <v>27150</v>
      </c>
      <c r="B318" s="23">
        <v>4.5999999999999999E-2</v>
      </c>
      <c r="C318" s="32">
        <v>5.5101449275362209E-2</v>
      </c>
      <c r="D318" s="24">
        <v>4.9003623188405836E-2</v>
      </c>
      <c r="E318" s="5">
        <v>1</v>
      </c>
    </row>
    <row r="319" spans="1:5" x14ac:dyDescent="0.3">
      <c r="A319" s="2">
        <v>27181</v>
      </c>
      <c r="B319" s="23">
        <v>5.7999999999999996E-2</v>
      </c>
      <c r="C319" s="32">
        <v>6.1130434782608579E-2</v>
      </c>
      <c r="D319" s="24">
        <v>5.4974637681159462E-2</v>
      </c>
      <c r="E319" s="5">
        <v>1</v>
      </c>
    </row>
    <row r="320" spans="1:5" x14ac:dyDescent="0.3">
      <c r="A320" s="2">
        <v>27211</v>
      </c>
      <c r="B320" s="23">
        <v>5.7000000000000002E-2</v>
      </c>
      <c r="C320" s="32">
        <v>5.9550724637681039E-2</v>
      </c>
      <c r="D320" s="24">
        <v>5.5554347826087008E-2</v>
      </c>
      <c r="E320" s="5">
        <v>1</v>
      </c>
    </row>
    <row r="321" spans="1:5" x14ac:dyDescent="0.3">
      <c r="A321" s="2">
        <v>27242</v>
      </c>
      <c r="B321" s="23">
        <v>5.2999999999999999E-2</v>
      </c>
      <c r="C321" s="32">
        <v>5.6521739130434699E-2</v>
      </c>
      <c r="D321" s="24">
        <v>5.4583333333333345E-2</v>
      </c>
      <c r="E321" s="5">
        <v>1</v>
      </c>
    </row>
    <row r="322" spans="1:5" x14ac:dyDescent="0.3">
      <c r="A322" s="2">
        <v>27273</v>
      </c>
      <c r="B322" s="23">
        <v>5.7000000000000002E-2</v>
      </c>
      <c r="C322" s="32">
        <v>5.4768115942028898E-2</v>
      </c>
      <c r="D322" s="24">
        <v>6.0336956521739149E-2</v>
      </c>
      <c r="E322" s="5">
        <v>1</v>
      </c>
    </row>
    <row r="323" spans="1:5" x14ac:dyDescent="0.3">
      <c r="A323" s="2">
        <v>27303</v>
      </c>
      <c r="B323" s="23">
        <v>5.5E-2</v>
      </c>
      <c r="C323" s="32">
        <v>5.3115942028985473E-2</v>
      </c>
      <c r="D323" s="24">
        <v>5.9989130434782573E-2</v>
      </c>
      <c r="E323" s="5">
        <v>1</v>
      </c>
    </row>
    <row r="324" spans="1:5" x14ac:dyDescent="0.3">
      <c r="A324" s="2">
        <v>27334</v>
      </c>
      <c r="B324" s="23">
        <v>6.2E-2</v>
      </c>
      <c r="C324" s="32">
        <v>5.4782608695652081E-2</v>
      </c>
      <c r="D324" s="24">
        <v>6.5322463768115957E-2</v>
      </c>
      <c r="E324" s="5">
        <v>1</v>
      </c>
    </row>
    <row r="325" spans="1:5" x14ac:dyDescent="0.3">
      <c r="A325" s="2">
        <v>27364</v>
      </c>
      <c r="B325" s="23">
        <v>6.7000000000000004E-2</v>
      </c>
      <c r="C325" s="32">
        <v>5.5202898550724598E-2</v>
      </c>
      <c r="D325" s="24">
        <v>6.9902173913043458E-2</v>
      </c>
      <c r="E325" s="5">
        <v>1</v>
      </c>
    </row>
    <row r="326" spans="1:5" x14ac:dyDescent="0.3">
      <c r="A326" s="2">
        <v>27395</v>
      </c>
      <c r="B326" s="23">
        <v>0.09</v>
      </c>
      <c r="C326" s="32">
        <v>6.4492753623188417E-2</v>
      </c>
      <c r="D326" s="24">
        <v>8.3612318840579625E-2</v>
      </c>
      <c r="E326" s="5">
        <v>1</v>
      </c>
    </row>
    <row r="327" spans="1:5" x14ac:dyDescent="0.3">
      <c r="A327" s="2">
        <v>27426</v>
      </c>
      <c r="B327" s="23">
        <v>9.0999999999999998E-2</v>
      </c>
      <c r="C327" s="32">
        <v>6.4391304347825973E-2</v>
      </c>
      <c r="D327" s="24">
        <v>8.471376811594207E-2</v>
      </c>
      <c r="E327" s="5">
        <v>1</v>
      </c>
    </row>
    <row r="328" spans="1:5" x14ac:dyDescent="0.3">
      <c r="A328" s="2">
        <v>27454</v>
      </c>
      <c r="B328" s="23">
        <v>9.0999999999999998E-2</v>
      </c>
      <c r="C328" s="32">
        <v>6.1652173913043402E-2</v>
      </c>
      <c r="D328" s="24">
        <v>8.7452898550724634E-2</v>
      </c>
      <c r="E328" s="5">
        <v>1</v>
      </c>
    </row>
    <row r="329" spans="1:5" x14ac:dyDescent="0.3">
      <c r="A329" s="2">
        <v>27485</v>
      </c>
      <c r="B329" s="23">
        <v>8.5999999999999993E-2</v>
      </c>
      <c r="C329" s="32">
        <v>5.6550724637681071E-2</v>
      </c>
      <c r="D329" s="24">
        <v>8.7554347826086967E-2</v>
      </c>
      <c r="E329" s="5">
        <v>0</v>
      </c>
    </row>
    <row r="330" spans="1:5" x14ac:dyDescent="0.3">
      <c r="A330" s="2">
        <v>27515</v>
      </c>
      <c r="B330" s="23">
        <v>8.3000000000000004E-2</v>
      </c>
      <c r="C330" s="32">
        <v>5.5101449275362209E-2</v>
      </c>
      <c r="D330" s="24">
        <v>8.6003623188405848E-2</v>
      </c>
      <c r="E330" s="5">
        <v>0</v>
      </c>
    </row>
    <row r="331" spans="1:5" x14ac:dyDescent="0.3">
      <c r="A331" s="2">
        <v>27546</v>
      </c>
      <c r="B331" s="23">
        <v>9.0999999999999998E-2</v>
      </c>
      <c r="C331" s="32">
        <v>6.1130434782608579E-2</v>
      </c>
      <c r="D331" s="24">
        <v>8.7974637681159457E-2</v>
      </c>
      <c r="E331" s="5">
        <v>0</v>
      </c>
    </row>
    <row r="332" spans="1:5" x14ac:dyDescent="0.3">
      <c r="A332" s="2">
        <v>27576</v>
      </c>
      <c r="B332" s="23">
        <v>8.6999999999999994E-2</v>
      </c>
      <c r="C332" s="32">
        <v>5.9550724637681039E-2</v>
      </c>
      <c r="D332" s="24">
        <v>8.5554347826087007E-2</v>
      </c>
      <c r="E332" s="5">
        <v>0</v>
      </c>
    </row>
    <row r="333" spans="1:5" x14ac:dyDescent="0.3">
      <c r="A333" s="2">
        <v>27607</v>
      </c>
      <c r="B333" s="23">
        <v>8.199999999999999E-2</v>
      </c>
      <c r="C333" s="32">
        <v>5.6521739130434699E-2</v>
      </c>
      <c r="D333" s="24">
        <v>8.3583333333333343E-2</v>
      </c>
      <c r="E333" s="5">
        <v>0</v>
      </c>
    </row>
    <row r="334" spans="1:5" x14ac:dyDescent="0.3">
      <c r="A334" s="2">
        <v>27638</v>
      </c>
      <c r="B334" s="23">
        <v>8.1000000000000003E-2</v>
      </c>
      <c r="C334" s="32">
        <v>5.4768115942028898E-2</v>
      </c>
      <c r="D334" s="24">
        <v>8.4336956521739143E-2</v>
      </c>
      <c r="E334" s="5">
        <v>0</v>
      </c>
    </row>
    <row r="335" spans="1:5" x14ac:dyDescent="0.3">
      <c r="A335" s="2">
        <v>27668</v>
      </c>
      <c r="B335" s="23">
        <v>7.8E-2</v>
      </c>
      <c r="C335" s="32">
        <v>5.3115942028985473E-2</v>
      </c>
      <c r="D335" s="24">
        <v>8.2989130434782565E-2</v>
      </c>
      <c r="E335" s="5">
        <v>0</v>
      </c>
    </row>
    <row r="336" spans="1:5" x14ac:dyDescent="0.3">
      <c r="A336" s="2">
        <v>27699</v>
      </c>
      <c r="B336" s="23">
        <v>7.8E-2</v>
      </c>
      <c r="C336" s="32">
        <v>5.4782608695652081E-2</v>
      </c>
      <c r="D336" s="24">
        <v>8.1322463768115971E-2</v>
      </c>
      <c r="E336" s="5">
        <v>0</v>
      </c>
    </row>
    <row r="337" spans="1:5" x14ac:dyDescent="0.3">
      <c r="A337" s="2">
        <v>27729</v>
      </c>
      <c r="B337" s="23">
        <v>7.8E-2</v>
      </c>
      <c r="C337" s="32">
        <v>5.5202898550724598E-2</v>
      </c>
      <c r="D337" s="24">
        <v>8.090217391304344E-2</v>
      </c>
      <c r="E337" s="5">
        <v>0</v>
      </c>
    </row>
    <row r="338" spans="1:5" x14ac:dyDescent="0.3">
      <c r="A338" s="2">
        <v>27760</v>
      </c>
      <c r="B338" s="23">
        <v>8.8000000000000009E-2</v>
      </c>
      <c r="C338" s="32">
        <v>6.4492753623188417E-2</v>
      </c>
      <c r="D338" s="24">
        <v>8.1612318840579637E-2</v>
      </c>
      <c r="E338" s="5">
        <v>0</v>
      </c>
    </row>
    <row r="339" spans="1:5" x14ac:dyDescent="0.3">
      <c r="A339" s="2">
        <v>27791</v>
      </c>
      <c r="B339" s="23">
        <v>8.6999999999999994E-2</v>
      </c>
      <c r="C339" s="32">
        <v>6.4391304347825973E-2</v>
      </c>
      <c r="D339" s="24">
        <v>8.0713768115942067E-2</v>
      </c>
      <c r="E339" s="5">
        <v>0</v>
      </c>
    </row>
    <row r="340" spans="1:5" x14ac:dyDescent="0.3">
      <c r="A340" s="2">
        <v>27820</v>
      </c>
      <c r="B340" s="23">
        <v>8.1000000000000003E-2</v>
      </c>
      <c r="C340" s="32">
        <v>6.1652173913043402E-2</v>
      </c>
      <c r="D340" s="24">
        <v>7.7452898550724653E-2</v>
      </c>
      <c r="E340" s="5">
        <v>0</v>
      </c>
    </row>
    <row r="341" spans="1:5" x14ac:dyDescent="0.3">
      <c r="A341" s="2">
        <v>27851</v>
      </c>
      <c r="B341" s="23">
        <v>7.400000000000001E-2</v>
      </c>
      <c r="C341" s="32">
        <v>5.6550724637681071E-2</v>
      </c>
      <c r="D341" s="24">
        <v>7.5554347826086984E-2</v>
      </c>
      <c r="E341" s="5">
        <v>0</v>
      </c>
    </row>
    <row r="342" spans="1:5" x14ac:dyDescent="0.3">
      <c r="A342" s="2">
        <v>27881</v>
      </c>
      <c r="B342" s="23">
        <v>6.8000000000000005E-2</v>
      </c>
      <c r="C342" s="32">
        <v>5.5101449275362209E-2</v>
      </c>
      <c r="D342" s="24">
        <v>7.1003623188405834E-2</v>
      </c>
      <c r="E342" s="5">
        <v>0</v>
      </c>
    </row>
    <row r="343" spans="1:5" x14ac:dyDescent="0.3">
      <c r="A343" s="2">
        <v>27912</v>
      </c>
      <c r="B343" s="23">
        <v>0.08</v>
      </c>
      <c r="C343" s="32">
        <v>6.1130434782608579E-2</v>
      </c>
      <c r="D343" s="24">
        <v>7.6974637681159475E-2</v>
      </c>
      <c r="E343" s="5">
        <v>0</v>
      </c>
    </row>
    <row r="344" spans="1:5" x14ac:dyDescent="0.3">
      <c r="A344" s="2">
        <v>27942</v>
      </c>
      <c r="B344" s="23">
        <v>7.8E-2</v>
      </c>
      <c r="C344" s="32">
        <v>5.9550724637681039E-2</v>
      </c>
      <c r="D344" s="24">
        <v>7.6554347826086999E-2</v>
      </c>
      <c r="E344" s="5">
        <v>0</v>
      </c>
    </row>
    <row r="345" spans="1:5" x14ac:dyDescent="0.3">
      <c r="A345" s="2">
        <v>27973</v>
      </c>
      <c r="B345" s="23">
        <v>7.5999999999999998E-2</v>
      </c>
      <c r="C345" s="32">
        <v>5.6521739130434699E-2</v>
      </c>
      <c r="D345" s="24">
        <v>7.7583333333333337E-2</v>
      </c>
      <c r="E345" s="5">
        <v>0</v>
      </c>
    </row>
    <row r="346" spans="1:5" x14ac:dyDescent="0.3">
      <c r="A346" s="2">
        <v>28004</v>
      </c>
      <c r="B346" s="23">
        <v>7.400000000000001E-2</v>
      </c>
      <c r="C346" s="32">
        <v>5.4768115942028898E-2</v>
      </c>
      <c r="D346" s="24">
        <v>7.7336956521739164E-2</v>
      </c>
      <c r="E346" s="5">
        <v>0</v>
      </c>
    </row>
    <row r="347" spans="1:5" x14ac:dyDescent="0.3">
      <c r="A347" s="2">
        <v>28034</v>
      </c>
      <c r="B347" s="23">
        <v>7.2000000000000008E-2</v>
      </c>
      <c r="C347" s="32">
        <v>5.3115942028985473E-2</v>
      </c>
      <c r="D347" s="24">
        <v>7.6989130434782588E-2</v>
      </c>
      <c r="E347" s="5">
        <v>0</v>
      </c>
    </row>
    <row r="348" spans="1:5" x14ac:dyDescent="0.3">
      <c r="A348" s="2">
        <v>28065</v>
      </c>
      <c r="B348" s="23">
        <v>7.400000000000001E-2</v>
      </c>
      <c r="C348" s="32">
        <v>5.4782608695652081E-2</v>
      </c>
      <c r="D348" s="24">
        <v>7.7322463768115968E-2</v>
      </c>
      <c r="E348" s="5">
        <v>0</v>
      </c>
    </row>
    <row r="349" spans="1:5" x14ac:dyDescent="0.3">
      <c r="A349" s="2">
        <v>28095</v>
      </c>
      <c r="B349" s="23">
        <v>7.400000000000001E-2</v>
      </c>
      <c r="C349" s="32">
        <v>5.5202898550724598E-2</v>
      </c>
      <c r="D349" s="24">
        <v>7.6902173913043465E-2</v>
      </c>
      <c r="E349" s="5">
        <v>0</v>
      </c>
    </row>
    <row r="350" spans="1:5" x14ac:dyDescent="0.3">
      <c r="A350" s="2">
        <v>28126</v>
      </c>
      <c r="B350" s="23">
        <v>8.3000000000000004E-2</v>
      </c>
      <c r="C350" s="32">
        <v>6.4492753623188417E-2</v>
      </c>
      <c r="D350" s="24">
        <v>7.6612318840579632E-2</v>
      </c>
      <c r="E350" s="5">
        <v>0</v>
      </c>
    </row>
    <row r="351" spans="1:5" x14ac:dyDescent="0.3">
      <c r="A351" s="2">
        <v>28157</v>
      </c>
      <c r="B351" s="23">
        <v>8.5000000000000006E-2</v>
      </c>
      <c r="C351" s="32">
        <v>6.4391304347825973E-2</v>
      </c>
      <c r="D351" s="24">
        <v>7.8713768115942079E-2</v>
      </c>
      <c r="E351" s="5">
        <v>0</v>
      </c>
    </row>
    <row r="352" spans="1:5" x14ac:dyDescent="0.3">
      <c r="A352" s="2">
        <v>28185</v>
      </c>
      <c r="B352" s="23">
        <v>7.9000000000000001E-2</v>
      </c>
      <c r="C352" s="32">
        <v>6.1652173913043402E-2</v>
      </c>
      <c r="D352" s="24">
        <v>7.5452898550724651E-2</v>
      </c>
      <c r="E352" s="5">
        <v>0</v>
      </c>
    </row>
    <row r="353" spans="1:5" x14ac:dyDescent="0.3">
      <c r="A353" s="2">
        <v>28216</v>
      </c>
      <c r="B353" s="23">
        <v>6.9000000000000006E-2</v>
      </c>
      <c r="C353" s="32">
        <v>5.6550724637681071E-2</v>
      </c>
      <c r="D353" s="24">
        <v>7.055434782608698E-2</v>
      </c>
      <c r="E353" s="5">
        <v>0</v>
      </c>
    </row>
    <row r="354" spans="1:5" x14ac:dyDescent="0.3">
      <c r="A354" s="2">
        <v>28246</v>
      </c>
      <c r="B354" s="23">
        <v>6.4000000000000001E-2</v>
      </c>
      <c r="C354" s="32">
        <v>5.5101449275362209E-2</v>
      </c>
      <c r="D354" s="24">
        <v>6.7003623188405831E-2</v>
      </c>
      <c r="E354" s="5">
        <v>0</v>
      </c>
    </row>
    <row r="355" spans="1:5" x14ac:dyDescent="0.3">
      <c r="A355" s="2">
        <v>28277</v>
      </c>
      <c r="B355" s="23">
        <v>7.4999999999999997E-2</v>
      </c>
      <c r="C355" s="32">
        <v>6.1130434782608579E-2</v>
      </c>
      <c r="D355" s="24">
        <v>7.197463768115947E-2</v>
      </c>
      <c r="E355" s="5">
        <v>0</v>
      </c>
    </row>
    <row r="356" spans="1:5" x14ac:dyDescent="0.3">
      <c r="A356" s="2">
        <v>28307</v>
      </c>
      <c r="B356" s="23">
        <v>7.0000000000000007E-2</v>
      </c>
      <c r="C356" s="32">
        <v>5.9550724637681039E-2</v>
      </c>
      <c r="D356" s="24">
        <v>6.855434782608702E-2</v>
      </c>
      <c r="E356" s="5">
        <v>0</v>
      </c>
    </row>
    <row r="357" spans="1:5" x14ac:dyDescent="0.3">
      <c r="A357" s="2">
        <v>28338</v>
      </c>
      <c r="B357" s="23">
        <v>6.8000000000000005E-2</v>
      </c>
      <c r="C357" s="32">
        <v>5.6521739130434699E-2</v>
      </c>
      <c r="D357" s="24">
        <v>6.9583333333333358E-2</v>
      </c>
      <c r="E357" s="5">
        <v>0</v>
      </c>
    </row>
    <row r="358" spans="1:5" x14ac:dyDescent="0.3">
      <c r="A358" s="2">
        <v>28369</v>
      </c>
      <c r="B358" s="23">
        <v>6.6000000000000003E-2</v>
      </c>
      <c r="C358" s="32">
        <v>5.4768115942028898E-2</v>
      </c>
      <c r="D358" s="24">
        <v>6.9336956521739157E-2</v>
      </c>
      <c r="E358" s="5">
        <v>0</v>
      </c>
    </row>
    <row r="359" spans="1:5" x14ac:dyDescent="0.3">
      <c r="A359" s="2">
        <v>28399</v>
      </c>
      <c r="B359" s="23">
        <v>6.4000000000000001E-2</v>
      </c>
      <c r="C359" s="32">
        <v>5.3115942028985473E-2</v>
      </c>
      <c r="D359" s="24">
        <v>6.8989130434782581E-2</v>
      </c>
      <c r="E359" s="5">
        <v>0</v>
      </c>
    </row>
    <row r="360" spans="1:5" x14ac:dyDescent="0.3">
      <c r="A360" s="2">
        <v>28430</v>
      </c>
      <c r="B360" s="23">
        <v>6.5000000000000002E-2</v>
      </c>
      <c r="C360" s="32">
        <v>5.4782608695652081E-2</v>
      </c>
      <c r="D360" s="24">
        <v>6.832246376811596E-2</v>
      </c>
      <c r="E360" s="5">
        <v>0</v>
      </c>
    </row>
    <row r="361" spans="1:5" x14ac:dyDescent="0.3">
      <c r="A361" s="2">
        <v>28460</v>
      </c>
      <c r="B361" s="23">
        <v>0.06</v>
      </c>
      <c r="C361" s="32">
        <v>5.5202898550724598E-2</v>
      </c>
      <c r="D361" s="24">
        <v>6.2902173913043452E-2</v>
      </c>
      <c r="E361" s="5">
        <v>0</v>
      </c>
    </row>
    <row r="362" spans="1:5" x14ac:dyDescent="0.3">
      <c r="A362" s="2">
        <v>28491</v>
      </c>
      <c r="B362" s="23">
        <v>7.0999999999999994E-2</v>
      </c>
      <c r="C362" s="32">
        <v>6.4492753623188417E-2</v>
      </c>
      <c r="D362" s="24">
        <v>6.4612318840579622E-2</v>
      </c>
      <c r="E362" s="5">
        <v>0</v>
      </c>
    </row>
    <row r="363" spans="1:5" x14ac:dyDescent="0.3">
      <c r="A363" s="2">
        <v>28522</v>
      </c>
      <c r="B363" s="23">
        <v>6.9000000000000006E-2</v>
      </c>
      <c r="C363" s="32">
        <v>6.4391304347825973E-2</v>
      </c>
      <c r="D363" s="24">
        <v>6.2713768115942078E-2</v>
      </c>
      <c r="E363" s="5">
        <v>0</v>
      </c>
    </row>
    <row r="364" spans="1:5" x14ac:dyDescent="0.3">
      <c r="A364" s="2">
        <v>28550</v>
      </c>
      <c r="B364" s="23">
        <v>6.6000000000000003E-2</v>
      </c>
      <c r="C364" s="32">
        <v>6.1652173913043402E-2</v>
      </c>
      <c r="D364" s="24">
        <v>6.2452898550724646E-2</v>
      </c>
      <c r="E364" s="5">
        <v>0</v>
      </c>
    </row>
    <row r="365" spans="1:5" x14ac:dyDescent="0.3">
      <c r="A365" s="2">
        <v>28581</v>
      </c>
      <c r="B365" s="23">
        <v>5.7999999999999996E-2</v>
      </c>
      <c r="C365" s="32">
        <v>5.6550724637681071E-2</v>
      </c>
      <c r="D365" s="24">
        <v>5.955434782608697E-2</v>
      </c>
      <c r="E365" s="5">
        <v>0</v>
      </c>
    </row>
    <row r="366" spans="1:5" x14ac:dyDescent="0.3">
      <c r="A366" s="2">
        <v>28611</v>
      </c>
      <c r="B366" s="23">
        <v>5.5E-2</v>
      </c>
      <c r="C366" s="32">
        <v>5.5101449275362209E-2</v>
      </c>
      <c r="D366" s="24">
        <v>5.8003623188405837E-2</v>
      </c>
      <c r="E366" s="5">
        <v>0</v>
      </c>
    </row>
    <row r="367" spans="1:5" x14ac:dyDescent="0.3">
      <c r="A367" s="2">
        <v>28642</v>
      </c>
      <c r="B367" s="23">
        <v>6.2E-2</v>
      </c>
      <c r="C367" s="32">
        <v>6.1130434782608579E-2</v>
      </c>
      <c r="D367" s="24">
        <v>5.8974637681159466E-2</v>
      </c>
      <c r="E367" s="5">
        <v>0</v>
      </c>
    </row>
    <row r="368" spans="1:5" x14ac:dyDescent="0.3">
      <c r="A368" s="2">
        <v>28672</v>
      </c>
      <c r="B368" s="23">
        <v>6.3E-2</v>
      </c>
      <c r="C368" s="32">
        <v>5.9550724637681039E-2</v>
      </c>
      <c r="D368" s="24">
        <v>6.1554347826087007E-2</v>
      </c>
      <c r="E368" s="5">
        <v>0</v>
      </c>
    </row>
    <row r="369" spans="1:5" x14ac:dyDescent="0.3">
      <c r="A369" s="2">
        <v>28703</v>
      </c>
      <c r="B369" s="23">
        <v>5.9000000000000004E-2</v>
      </c>
      <c r="C369" s="32">
        <v>5.6521739130434699E-2</v>
      </c>
      <c r="D369" s="24">
        <v>6.058333333333335E-2</v>
      </c>
      <c r="E369" s="5">
        <v>0</v>
      </c>
    </row>
    <row r="370" spans="1:5" x14ac:dyDescent="0.3">
      <c r="A370" s="2">
        <v>28734</v>
      </c>
      <c r="B370" s="23">
        <v>5.7999999999999996E-2</v>
      </c>
      <c r="C370" s="32">
        <v>5.4768115942028898E-2</v>
      </c>
      <c r="D370" s="24">
        <v>6.1336956521739143E-2</v>
      </c>
      <c r="E370" s="5">
        <v>0</v>
      </c>
    </row>
    <row r="371" spans="1:5" x14ac:dyDescent="0.3">
      <c r="A371" s="2">
        <v>28764</v>
      </c>
      <c r="B371" s="23">
        <v>5.4000000000000006E-2</v>
      </c>
      <c r="C371" s="32">
        <v>5.3115942028985473E-2</v>
      </c>
      <c r="D371" s="24">
        <v>5.8989130434782579E-2</v>
      </c>
      <c r="E371" s="5">
        <v>0</v>
      </c>
    </row>
    <row r="372" spans="1:5" x14ac:dyDescent="0.3">
      <c r="A372" s="2">
        <v>28795</v>
      </c>
      <c r="B372" s="23">
        <v>5.5999999999999994E-2</v>
      </c>
      <c r="C372" s="32">
        <v>5.4782608695652081E-2</v>
      </c>
      <c r="D372" s="24">
        <v>5.9322463768115959E-2</v>
      </c>
      <c r="E372" s="5">
        <v>0</v>
      </c>
    </row>
    <row r="373" spans="1:5" x14ac:dyDescent="0.3">
      <c r="A373" s="2">
        <v>28825</v>
      </c>
      <c r="B373" s="23">
        <v>5.7000000000000002E-2</v>
      </c>
      <c r="C373" s="32">
        <v>5.5202898550724598E-2</v>
      </c>
      <c r="D373" s="24">
        <v>5.9902173913043449E-2</v>
      </c>
      <c r="E373" s="5">
        <v>0</v>
      </c>
    </row>
    <row r="374" spans="1:5" x14ac:dyDescent="0.3">
      <c r="A374" s="2">
        <v>28856</v>
      </c>
      <c r="B374" s="23">
        <v>6.4000000000000001E-2</v>
      </c>
      <c r="C374" s="32">
        <v>6.4492753623188417E-2</v>
      </c>
      <c r="D374" s="24">
        <v>5.7612318840579629E-2</v>
      </c>
      <c r="E374" s="5">
        <v>0</v>
      </c>
    </row>
    <row r="375" spans="1:5" x14ac:dyDescent="0.3">
      <c r="A375" s="2">
        <v>28887</v>
      </c>
      <c r="B375" s="23">
        <v>6.4000000000000001E-2</v>
      </c>
      <c r="C375" s="32">
        <v>6.4391304347825973E-2</v>
      </c>
      <c r="D375" s="24">
        <v>5.7713768115942074E-2</v>
      </c>
      <c r="E375" s="5">
        <v>0</v>
      </c>
    </row>
    <row r="376" spans="1:5" x14ac:dyDescent="0.3">
      <c r="A376" s="2">
        <v>28915</v>
      </c>
      <c r="B376" s="23">
        <v>6.0999999999999999E-2</v>
      </c>
      <c r="C376" s="32">
        <v>6.1652173913043402E-2</v>
      </c>
      <c r="D376" s="24">
        <v>5.7452898550724642E-2</v>
      </c>
      <c r="E376" s="5">
        <v>0</v>
      </c>
    </row>
    <row r="377" spans="1:5" x14ac:dyDescent="0.3">
      <c r="A377" s="2">
        <v>28946</v>
      </c>
      <c r="B377" s="23">
        <v>5.5E-2</v>
      </c>
      <c r="C377" s="32">
        <v>5.6550724637681071E-2</v>
      </c>
      <c r="D377" s="24">
        <v>5.6554347826086974E-2</v>
      </c>
      <c r="E377" s="5">
        <v>0</v>
      </c>
    </row>
    <row r="378" spans="1:5" x14ac:dyDescent="0.3">
      <c r="A378" s="2">
        <v>28976</v>
      </c>
      <c r="B378" s="23">
        <v>5.2000000000000005E-2</v>
      </c>
      <c r="C378" s="32">
        <v>5.5101449275362209E-2</v>
      </c>
      <c r="D378" s="24">
        <v>5.5003623188405841E-2</v>
      </c>
      <c r="E378" s="5">
        <v>0</v>
      </c>
    </row>
    <row r="379" spans="1:5" x14ac:dyDescent="0.3">
      <c r="A379" s="2">
        <v>29007</v>
      </c>
      <c r="B379" s="23">
        <v>0.06</v>
      </c>
      <c r="C379" s="32">
        <v>6.1130434782608579E-2</v>
      </c>
      <c r="D379" s="24">
        <v>5.6974637681159464E-2</v>
      </c>
      <c r="E379" s="5">
        <v>0</v>
      </c>
    </row>
    <row r="380" spans="1:5" x14ac:dyDescent="0.3">
      <c r="A380" s="2">
        <v>29037</v>
      </c>
      <c r="B380" s="23">
        <v>5.9000000000000004E-2</v>
      </c>
      <c r="C380" s="32">
        <v>5.9550724637681039E-2</v>
      </c>
      <c r="D380" s="24">
        <v>5.755434782608701E-2</v>
      </c>
      <c r="E380" s="5">
        <v>0</v>
      </c>
    </row>
    <row r="381" spans="1:5" x14ac:dyDescent="0.3">
      <c r="A381" s="2">
        <v>29068</v>
      </c>
      <c r="B381" s="23">
        <v>5.9000000000000004E-2</v>
      </c>
      <c r="C381" s="32">
        <v>5.6521739130434699E-2</v>
      </c>
      <c r="D381" s="24">
        <v>6.058333333333335E-2</v>
      </c>
      <c r="E381" s="5">
        <v>0</v>
      </c>
    </row>
    <row r="382" spans="1:5" x14ac:dyDescent="0.3">
      <c r="A382" s="2">
        <v>29099</v>
      </c>
      <c r="B382" s="23">
        <v>5.7000000000000002E-2</v>
      </c>
      <c r="C382" s="32">
        <v>5.4768115942028898E-2</v>
      </c>
      <c r="D382" s="24">
        <v>6.0336956521739149E-2</v>
      </c>
      <c r="E382" s="5">
        <v>0</v>
      </c>
    </row>
    <row r="383" spans="1:5" x14ac:dyDescent="0.3">
      <c r="A383" s="2">
        <v>29129</v>
      </c>
      <c r="B383" s="23">
        <v>5.5999999999999994E-2</v>
      </c>
      <c r="C383" s="32">
        <v>5.3115942028985473E-2</v>
      </c>
      <c r="D383" s="24">
        <v>6.0989130434782567E-2</v>
      </c>
      <c r="E383" s="5">
        <v>0</v>
      </c>
    </row>
    <row r="384" spans="1:5" x14ac:dyDescent="0.3">
      <c r="A384" s="2">
        <v>29160</v>
      </c>
      <c r="B384" s="23">
        <v>5.5999999999999994E-2</v>
      </c>
      <c r="C384" s="32">
        <v>5.4782608695652081E-2</v>
      </c>
      <c r="D384" s="24">
        <v>5.9322463768115959E-2</v>
      </c>
      <c r="E384" s="5">
        <v>0</v>
      </c>
    </row>
    <row r="385" spans="1:5" x14ac:dyDescent="0.3">
      <c r="A385" s="2">
        <v>29190</v>
      </c>
      <c r="B385" s="23">
        <v>5.7000000000000002E-2</v>
      </c>
      <c r="C385" s="32">
        <v>5.5202898550724598E-2</v>
      </c>
      <c r="D385" s="24">
        <v>5.9902173913043449E-2</v>
      </c>
      <c r="E385" s="5">
        <v>0</v>
      </c>
    </row>
    <row r="386" spans="1:5" x14ac:dyDescent="0.3">
      <c r="A386" s="2">
        <v>29221</v>
      </c>
      <c r="B386" s="23">
        <v>6.9000000000000006E-2</v>
      </c>
      <c r="C386" s="32">
        <v>6.4492753623188417E-2</v>
      </c>
      <c r="D386" s="24">
        <v>6.2612318840579634E-2</v>
      </c>
      <c r="E386" s="5">
        <v>0</v>
      </c>
    </row>
    <row r="387" spans="1:5" x14ac:dyDescent="0.3">
      <c r="A387" s="2">
        <v>29252</v>
      </c>
      <c r="B387" s="23">
        <v>6.8000000000000005E-2</v>
      </c>
      <c r="C387" s="32">
        <v>6.4391304347825973E-2</v>
      </c>
      <c r="D387" s="24">
        <v>6.1713768115942078E-2</v>
      </c>
      <c r="E387" s="5">
        <v>1</v>
      </c>
    </row>
    <row r="388" spans="1:5" x14ac:dyDescent="0.3">
      <c r="A388" s="2">
        <v>29281</v>
      </c>
      <c r="B388" s="23">
        <v>6.6000000000000003E-2</v>
      </c>
      <c r="C388" s="32">
        <v>6.1652173913043402E-2</v>
      </c>
      <c r="D388" s="24">
        <v>6.2452898550724646E-2</v>
      </c>
      <c r="E388" s="5">
        <v>1</v>
      </c>
    </row>
    <row r="389" spans="1:5" x14ac:dyDescent="0.3">
      <c r="A389" s="2">
        <v>29312</v>
      </c>
      <c r="B389" s="23">
        <v>6.7000000000000004E-2</v>
      </c>
      <c r="C389" s="32">
        <v>5.6550724637681071E-2</v>
      </c>
      <c r="D389" s="24">
        <v>6.8554347826086978E-2</v>
      </c>
      <c r="E389" s="5">
        <v>1</v>
      </c>
    </row>
    <row r="390" spans="1:5" x14ac:dyDescent="0.3">
      <c r="A390" s="2">
        <v>29342</v>
      </c>
      <c r="B390" s="23">
        <v>7.0999999999999994E-2</v>
      </c>
      <c r="C390" s="32">
        <v>5.5101449275362209E-2</v>
      </c>
      <c r="D390" s="24">
        <v>7.4003623188405837E-2</v>
      </c>
      <c r="E390" s="5">
        <v>1</v>
      </c>
    </row>
    <row r="391" spans="1:5" x14ac:dyDescent="0.3">
      <c r="A391" s="2">
        <v>29373</v>
      </c>
      <c r="B391" s="23">
        <v>7.8E-2</v>
      </c>
      <c r="C391" s="32">
        <v>6.1130434782608579E-2</v>
      </c>
      <c r="D391" s="24">
        <v>7.4974637681159473E-2</v>
      </c>
      <c r="E391" s="5">
        <v>1</v>
      </c>
    </row>
    <row r="392" spans="1:5" x14ac:dyDescent="0.3">
      <c r="A392" s="2">
        <v>29403</v>
      </c>
      <c r="B392" s="23">
        <v>7.9000000000000001E-2</v>
      </c>
      <c r="C392" s="32">
        <v>5.9550724637681039E-2</v>
      </c>
      <c r="D392" s="24">
        <v>7.7554347826087E-2</v>
      </c>
      <c r="E392" s="5">
        <v>1</v>
      </c>
    </row>
    <row r="393" spans="1:5" x14ac:dyDescent="0.3">
      <c r="A393" s="2">
        <v>29434</v>
      </c>
      <c r="B393" s="23">
        <v>7.5999999999999998E-2</v>
      </c>
      <c r="C393" s="32">
        <v>5.6521739130434699E-2</v>
      </c>
      <c r="D393" s="24">
        <v>7.7583333333333337E-2</v>
      </c>
      <c r="E393" s="5">
        <v>0</v>
      </c>
    </row>
    <row r="394" spans="1:5" x14ac:dyDescent="0.3">
      <c r="A394" s="2">
        <v>29465</v>
      </c>
      <c r="B394" s="23">
        <v>7.2000000000000008E-2</v>
      </c>
      <c r="C394" s="32">
        <v>5.4768115942028898E-2</v>
      </c>
      <c r="D394" s="24">
        <v>7.5336956521739162E-2</v>
      </c>
      <c r="E394" s="5">
        <v>0</v>
      </c>
    </row>
    <row r="395" spans="1:5" x14ac:dyDescent="0.3">
      <c r="A395" s="2">
        <v>29495</v>
      </c>
      <c r="B395" s="23">
        <v>7.0999999999999994E-2</v>
      </c>
      <c r="C395" s="32">
        <v>5.3115942028985473E-2</v>
      </c>
      <c r="D395" s="24">
        <v>7.5989130434782559E-2</v>
      </c>
      <c r="E395" s="5">
        <v>0</v>
      </c>
    </row>
    <row r="396" spans="1:5" x14ac:dyDescent="0.3">
      <c r="A396" s="2">
        <v>29526</v>
      </c>
      <c r="B396" s="23">
        <v>7.0999999999999994E-2</v>
      </c>
      <c r="C396" s="32">
        <v>5.4782608695652081E-2</v>
      </c>
      <c r="D396" s="24">
        <v>7.4322463768115965E-2</v>
      </c>
      <c r="E396" s="5">
        <v>0</v>
      </c>
    </row>
    <row r="397" spans="1:5" x14ac:dyDescent="0.3">
      <c r="A397" s="2">
        <v>29556</v>
      </c>
      <c r="B397" s="23">
        <v>6.9000000000000006E-2</v>
      </c>
      <c r="C397" s="32">
        <v>5.5202898550724598E-2</v>
      </c>
      <c r="D397" s="24">
        <v>7.190217391304346E-2</v>
      </c>
      <c r="E397" s="5">
        <v>0</v>
      </c>
    </row>
    <row r="398" spans="1:5" x14ac:dyDescent="0.3">
      <c r="A398" s="2">
        <v>29587</v>
      </c>
      <c r="B398" s="23">
        <v>8.199999999999999E-2</v>
      </c>
      <c r="C398" s="32">
        <v>6.4492753623188417E-2</v>
      </c>
      <c r="D398" s="24">
        <v>7.5612318840579618E-2</v>
      </c>
      <c r="E398" s="5">
        <v>0</v>
      </c>
    </row>
    <row r="399" spans="1:5" x14ac:dyDescent="0.3">
      <c r="A399" s="2">
        <v>29618</v>
      </c>
      <c r="B399" s="23">
        <v>0.08</v>
      </c>
      <c r="C399" s="32">
        <v>6.4391304347825973E-2</v>
      </c>
      <c r="D399" s="24">
        <v>7.3713768115942074E-2</v>
      </c>
      <c r="E399" s="5">
        <v>0</v>
      </c>
    </row>
    <row r="400" spans="1:5" x14ac:dyDescent="0.3">
      <c r="A400" s="2">
        <v>29646</v>
      </c>
      <c r="B400" s="23">
        <v>7.6999999999999999E-2</v>
      </c>
      <c r="C400" s="32">
        <v>6.1652173913043402E-2</v>
      </c>
      <c r="D400" s="24">
        <v>7.3452898550724649E-2</v>
      </c>
      <c r="E400" s="5">
        <v>0</v>
      </c>
    </row>
    <row r="401" spans="1:5" x14ac:dyDescent="0.3">
      <c r="A401" s="2">
        <v>29677</v>
      </c>
      <c r="B401" s="23">
        <v>7.0000000000000007E-2</v>
      </c>
      <c r="C401" s="32">
        <v>5.6550724637681071E-2</v>
      </c>
      <c r="D401" s="24">
        <v>7.1554347826086981E-2</v>
      </c>
      <c r="E401" s="5">
        <v>0</v>
      </c>
    </row>
    <row r="402" spans="1:5" x14ac:dyDescent="0.3">
      <c r="A402" s="2">
        <v>29707</v>
      </c>
      <c r="B402" s="23">
        <v>7.0999999999999994E-2</v>
      </c>
      <c r="C402" s="32">
        <v>5.5101449275362209E-2</v>
      </c>
      <c r="D402" s="24">
        <v>7.4003623188405837E-2</v>
      </c>
      <c r="E402" s="5">
        <v>0</v>
      </c>
    </row>
    <row r="403" spans="1:5" x14ac:dyDescent="0.3">
      <c r="A403" s="2">
        <v>29738</v>
      </c>
      <c r="B403" s="23">
        <v>7.6999999999999999E-2</v>
      </c>
      <c r="C403" s="32">
        <v>6.1130434782608579E-2</v>
      </c>
      <c r="D403" s="24">
        <v>7.3974637681159472E-2</v>
      </c>
      <c r="E403" s="5">
        <v>0</v>
      </c>
    </row>
    <row r="404" spans="1:5" x14ac:dyDescent="0.3">
      <c r="A404" s="2">
        <v>29768</v>
      </c>
      <c r="B404" s="23">
        <v>7.2999999999999995E-2</v>
      </c>
      <c r="C404" s="32">
        <v>5.9550724637681039E-2</v>
      </c>
      <c r="D404" s="24">
        <v>7.1554347826086995E-2</v>
      </c>
      <c r="E404" s="5">
        <v>0</v>
      </c>
    </row>
    <row r="405" spans="1:5" x14ac:dyDescent="0.3">
      <c r="A405" s="2">
        <v>29799</v>
      </c>
      <c r="B405" s="23">
        <v>7.2000000000000008E-2</v>
      </c>
      <c r="C405" s="32">
        <v>5.6521739130434699E-2</v>
      </c>
      <c r="D405" s="24">
        <v>7.3583333333333362E-2</v>
      </c>
      <c r="E405" s="5">
        <v>1</v>
      </c>
    </row>
    <row r="406" spans="1:5" x14ac:dyDescent="0.3">
      <c r="A406" s="2">
        <v>29830</v>
      </c>
      <c r="B406" s="23">
        <v>7.2999999999999995E-2</v>
      </c>
      <c r="C406" s="32">
        <v>5.4768115942028898E-2</v>
      </c>
      <c r="D406" s="24">
        <v>7.6336956521739135E-2</v>
      </c>
      <c r="E406" s="5">
        <v>1</v>
      </c>
    </row>
    <row r="407" spans="1:5" x14ac:dyDescent="0.3">
      <c r="A407" s="2">
        <v>29860</v>
      </c>
      <c r="B407" s="23">
        <v>7.4999999999999997E-2</v>
      </c>
      <c r="C407" s="32">
        <v>5.3115942028985473E-2</v>
      </c>
      <c r="D407" s="24">
        <v>7.9989130434782563E-2</v>
      </c>
      <c r="E407" s="5">
        <v>1</v>
      </c>
    </row>
    <row r="408" spans="1:5" x14ac:dyDescent="0.3">
      <c r="A408" s="2">
        <v>29891</v>
      </c>
      <c r="B408" s="23">
        <v>7.9000000000000001E-2</v>
      </c>
      <c r="C408" s="32">
        <v>5.4782608695652081E-2</v>
      </c>
      <c r="D408" s="24">
        <v>8.2322463768115972E-2</v>
      </c>
      <c r="E408" s="5">
        <v>1</v>
      </c>
    </row>
    <row r="409" spans="1:5" x14ac:dyDescent="0.3">
      <c r="A409" s="2">
        <v>29921</v>
      </c>
      <c r="B409" s="23">
        <v>8.3000000000000004E-2</v>
      </c>
      <c r="C409" s="32">
        <v>5.5202898550724598E-2</v>
      </c>
      <c r="D409" s="24">
        <v>8.5902173913043445E-2</v>
      </c>
      <c r="E409" s="5">
        <v>1</v>
      </c>
    </row>
    <row r="410" spans="1:5" x14ac:dyDescent="0.3">
      <c r="A410" s="2">
        <v>29952</v>
      </c>
      <c r="B410" s="23">
        <v>9.4E-2</v>
      </c>
      <c r="C410" s="32">
        <v>6.4492753623188417E-2</v>
      </c>
      <c r="D410" s="24">
        <v>8.7612318840579628E-2</v>
      </c>
      <c r="E410" s="5">
        <v>1</v>
      </c>
    </row>
    <row r="411" spans="1:5" x14ac:dyDescent="0.3">
      <c r="A411" s="2">
        <v>29983</v>
      </c>
      <c r="B411" s="23">
        <v>9.6000000000000002E-2</v>
      </c>
      <c r="C411" s="32">
        <v>6.4391304347825973E-2</v>
      </c>
      <c r="D411" s="24">
        <v>8.9713768115942075E-2</v>
      </c>
      <c r="E411" s="5">
        <v>1</v>
      </c>
    </row>
    <row r="412" spans="1:5" x14ac:dyDescent="0.3">
      <c r="A412" s="2">
        <v>30011</v>
      </c>
      <c r="B412" s="23">
        <v>9.5000000000000001E-2</v>
      </c>
      <c r="C412" s="32">
        <v>6.1652173913043402E-2</v>
      </c>
      <c r="D412" s="24">
        <v>9.1452898550724637E-2</v>
      </c>
      <c r="E412" s="5">
        <v>1</v>
      </c>
    </row>
    <row r="413" spans="1:5" x14ac:dyDescent="0.3">
      <c r="A413" s="2">
        <v>30042</v>
      </c>
      <c r="B413" s="23">
        <v>9.1999999999999998E-2</v>
      </c>
      <c r="C413" s="32">
        <v>5.6550724637681071E-2</v>
      </c>
      <c r="D413" s="24">
        <v>9.3554347826086973E-2</v>
      </c>
      <c r="E413" s="5">
        <v>1</v>
      </c>
    </row>
    <row r="414" spans="1:5" x14ac:dyDescent="0.3">
      <c r="A414" s="2">
        <v>30072</v>
      </c>
      <c r="B414" s="23">
        <v>9.0999999999999998E-2</v>
      </c>
      <c r="C414" s="32">
        <v>5.5101449275362209E-2</v>
      </c>
      <c r="D414" s="24">
        <v>9.4003623188405827E-2</v>
      </c>
      <c r="E414" s="5">
        <v>1</v>
      </c>
    </row>
    <row r="415" spans="1:5" x14ac:dyDescent="0.3">
      <c r="A415" s="2">
        <v>30103</v>
      </c>
      <c r="B415" s="23">
        <v>9.8000000000000004E-2</v>
      </c>
      <c r="C415" s="32">
        <v>6.1130434782608579E-2</v>
      </c>
      <c r="D415" s="24">
        <v>9.4974637681159463E-2</v>
      </c>
      <c r="E415" s="5">
        <v>1</v>
      </c>
    </row>
    <row r="416" spans="1:5" x14ac:dyDescent="0.3">
      <c r="A416" s="2">
        <v>30133</v>
      </c>
      <c r="B416" s="23">
        <v>9.8000000000000004E-2</v>
      </c>
      <c r="C416" s="32">
        <v>5.9550724637681039E-2</v>
      </c>
      <c r="D416" s="24">
        <v>9.6554347826087017E-2</v>
      </c>
      <c r="E416" s="5">
        <v>1</v>
      </c>
    </row>
    <row r="417" spans="1:5" x14ac:dyDescent="0.3">
      <c r="A417" s="2">
        <v>30164</v>
      </c>
      <c r="B417" s="23">
        <v>9.6000000000000002E-2</v>
      </c>
      <c r="C417" s="32">
        <v>5.6521739130434699E-2</v>
      </c>
      <c r="D417" s="24">
        <v>9.7583333333333355E-2</v>
      </c>
      <c r="E417" s="5">
        <v>1</v>
      </c>
    </row>
    <row r="418" spans="1:5" x14ac:dyDescent="0.3">
      <c r="A418" s="2">
        <v>30195</v>
      </c>
      <c r="B418" s="23">
        <v>9.6999999999999989E-2</v>
      </c>
      <c r="C418" s="32">
        <v>5.4768115942028898E-2</v>
      </c>
      <c r="D418" s="24">
        <v>0.10033695652173913</v>
      </c>
      <c r="E418" s="5">
        <v>1</v>
      </c>
    </row>
    <row r="419" spans="1:5" x14ac:dyDescent="0.3">
      <c r="A419" s="2">
        <v>30225</v>
      </c>
      <c r="B419" s="23">
        <v>9.9000000000000005E-2</v>
      </c>
      <c r="C419" s="32">
        <v>5.3115942028985473E-2</v>
      </c>
      <c r="D419" s="24">
        <v>0.10398913043478258</v>
      </c>
      <c r="E419" s="5">
        <v>1</v>
      </c>
    </row>
    <row r="420" spans="1:5" x14ac:dyDescent="0.3">
      <c r="A420" s="2">
        <v>30256</v>
      </c>
      <c r="B420" s="23">
        <v>0.10400000000000001</v>
      </c>
      <c r="C420" s="32">
        <v>5.4782608695652081E-2</v>
      </c>
      <c r="D420" s="24">
        <v>0.10732246376811597</v>
      </c>
      <c r="E420" s="5">
        <v>1</v>
      </c>
    </row>
    <row r="421" spans="1:5" x14ac:dyDescent="0.3">
      <c r="A421" s="2">
        <v>30286</v>
      </c>
      <c r="B421" s="23">
        <v>0.105</v>
      </c>
      <c r="C421" s="32">
        <v>5.5202898550724598E-2</v>
      </c>
      <c r="D421" s="24">
        <v>0.10790217391304344</v>
      </c>
      <c r="E421" s="5">
        <v>0</v>
      </c>
    </row>
    <row r="422" spans="1:5" x14ac:dyDescent="0.3">
      <c r="A422" s="2">
        <v>30317</v>
      </c>
      <c r="B422" s="23">
        <v>0.114</v>
      </c>
      <c r="C422" s="32">
        <v>6.4492753623188417E-2</v>
      </c>
      <c r="D422" s="24">
        <v>0.10761231884057963</v>
      </c>
      <c r="E422" s="5">
        <v>0</v>
      </c>
    </row>
    <row r="423" spans="1:5" x14ac:dyDescent="0.3">
      <c r="A423" s="2">
        <v>30348</v>
      </c>
      <c r="B423" s="23">
        <v>0.113</v>
      </c>
      <c r="C423" s="32">
        <v>6.4391304347825973E-2</v>
      </c>
      <c r="D423" s="24">
        <v>0.10671376811594208</v>
      </c>
      <c r="E423" s="5">
        <v>0</v>
      </c>
    </row>
    <row r="424" spans="1:5" x14ac:dyDescent="0.3">
      <c r="A424" s="2">
        <v>30376</v>
      </c>
      <c r="B424" s="23">
        <v>0.10800000000000001</v>
      </c>
      <c r="C424" s="32">
        <v>6.1652173913043402E-2</v>
      </c>
      <c r="D424" s="24">
        <v>0.10445289855072465</v>
      </c>
      <c r="E424" s="5">
        <v>0</v>
      </c>
    </row>
    <row r="425" spans="1:5" x14ac:dyDescent="0.3">
      <c r="A425" s="2">
        <v>30407</v>
      </c>
      <c r="B425" s="23">
        <v>0.1</v>
      </c>
      <c r="C425" s="32">
        <v>5.6550724637681071E-2</v>
      </c>
      <c r="D425" s="24">
        <v>0.10155434782608698</v>
      </c>
      <c r="E425" s="5">
        <v>0</v>
      </c>
    </row>
    <row r="426" spans="1:5" x14ac:dyDescent="0.3">
      <c r="A426" s="2">
        <v>30437</v>
      </c>
      <c r="B426" s="23">
        <v>9.8000000000000004E-2</v>
      </c>
      <c r="C426" s="32">
        <v>5.5101449275362209E-2</v>
      </c>
      <c r="D426" s="24">
        <v>0.10100362318840583</v>
      </c>
      <c r="E426" s="5">
        <v>0</v>
      </c>
    </row>
    <row r="427" spans="1:5" x14ac:dyDescent="0.3">
      <c r="A427" s="2">
        <v>30468</v>
      </c>
      <c r="B427" s="23">
        <v>0.10199999999999999</v>
      </c>
      <c r="C427" s="32">
        <v>6.1130434782608579E-2</v>
      </c>
      <c r="D427" s="24">
        <v>9.8974637681159466E-2</v>
      </c>
      <c r="E427" s="5">
        <v>0</v>
      </c>
    </row>
    <row r="428" spans="1:5" x14ac:dyDescent="0.3">
      <c r="A428" s="2">
        <v>30498</v>
      </c>
      <c r="B428" s="23">
        <v>9.4E-2</v>
      </c>
      <c r="C428" s="32">
        <v>5.9550724637681039E-2</v>
      </c>
      <c r="D428" s="24">
        <v>9.2554347826087013E-2</v>
      </c>
      <c r="E428" s="5">
        <v>0</v>
      </c>
    </row>
    <row r="429" spans="1:5" x14ac:dyDescent="0.3">
      <c r="A429" s="2">
        <v>30529</v>
      </c>
      <c r="B429" s="23">
        <v>9.1999999999999998E-2</v>
      </c>
      <c r="C429" s="32">
        <v>5.6521739130434699E-2</v>
      </c>
      <c r="D429" s="24">
        <v>9.3583333333333352E-2</v>
      </c>
      <c r="E429" s="5">
        <v>0</v>
      </c>
    </row>
    <row r="430" spans="1:5" x14ac:dyDescent="0.3">
      <c r="A430" s="2">
        <v>30560</v>
      </c>
      <c r="B430" s="23">
        <v>8.8000000000000009E-2</v>
      </c>
      <c r="C430" s="32">
        <v>5.4768115942028898E-2</v>
      </c>
      <c r="D430" s="24">
        <v>9.1336956521739149E-2</v>
      </c>
      <c r="E430" s="5">
        <v>0</v>
      </c>
    </row>
    <row r="431" spans="1:5" x14ac:dyDescent="0.3">
      <c r="A431" s="2">
        <v>30590</v>
      </c>
      <c r="B431" s="23">
        <v>8.4000000000000005E-2</v>
      </c>
      <c r="C431" s="32">
        <v>5.3115942028985473E-2</v>
      </c>
      <c r="D431" s="24">
        <v>8.8989130434782571E-2</v>
      </c>
      <c r="E431" s="5">
        <v>0</v>
      </c>
    </row>
    <row r="432" spans="1:5" x14ac:dyDescent="0.3">
      <c r="A432" s="2">
        <v>30621</v>
      </c>
      <c r="B432" s="23">
        <v>8.1000000000000003E-2</v>
      </c>
      <c r="C432" s="32">
        <v>5.4782608695652081E-2</v>
      </c>
      <c r="D432" s="24">
        <v>8.4322463768115974E-2</v>
      </c>
      <c r="E432" s="5">
        <v>0</v>
      </c>
    </row>
    <row r="433" spans="1:5" x14ac:dyDescent="0.3">
      <c r="A433" s="2">
        <v>30651</v>
      </c>
      <c r="B433" s="23">
        <v>0.08</v>
      </c>
      <c r="C433" s="32">
        <v>5.5202898550724598E-2</v>
      </c>
      <c r="D433" s="24">
        <v>8.2902173913043442E-2</v>
      </c>
      <c r="E433" s="5">
        <v>0</v>
      </c>
    </row>
    <row r="434" spans="1:5" x14ac:dyDescent="0.3">
      <c r="A434" s="2">
        <v>30682</v>
      </c>
      <c r="B434" s="23">
        <v>8.8000000000000009E-2</v>
      </c>
      <c r="C434" s="32">
        <v>6.4492753623188417E-2</v>
      </c>
      <c r="D434" s="24">
        <v>8.1612318840579637E-2</v>
      </c>
      <c r="E434" s="5">
        <v>0</v>
      </c>
    </row>
    <row r="435" spans="1:5" x14ac:dyDescent="0.3">
      <c r="A435" s="2">
        <v>30713</v>
      </c>
      <c r="B435" s="23">
        <v>8.4000000000000005E-2</v>
      </c>
      <c r="C435" s="32">
        <v>6.4391304347825973E-2</v>
      </c>
      <c r="D435" s="24">
        <v>7.7713768115942078E-2</v>
      </c>
      <c r="E435" s="5">
        <v>0</v>
      </c>
    </row>
    <row r="436" spans="1:5" x14ac:dyDescent="0.3">
      <c r="A436" s="2">
        <v>30742</v>
      </c>
      <c r="B436" s="23">
        <v>8.1000000000000003E-2</v>
      </c>
      <c r="C436" s="32">
        <v>6.1652173913043402E-2</v>
      </c>
      <c r="D436" s="24">
        <v>7.7452898550724653E-2</v>
      </c>
      <c r="E436" s="5">
        <v>0</v>
      </c>
    </row>
    <row r="437" spans="1:5" x14ac:dyDescent="0.3">
      <c r="A437" s="2">
        <v>30773</v>
      </c>
      <c r="B437" s="23">
        <v>7.5999999999999998E-2</v>
      </c>
      <c r="C437" s="32">
        <v>5.6550724637681071E-2</v>
      </c>
      <c r="D437" s="24">
        <v>7.7554347826086972E-2</v>
      </c>
      <c r="E437" s="5">
        <v>0</v>
      </c>
    </row>
    <row r="438" spans="1:5" x14ac:dyDescent="0.3">
      <c r="A438" s="2">
        <v>30803</v>
      </c>
      <c r="B438" s="23">
        <v>7.2000000000000008E-2</v>
      </c>
      <c r="C438" s="32">
        <v>5.5101449275362209E-2</v>
      </c>
      <c r="D438" s="24">
        <v>7.5003623188405838E-2</v>
      </c>
      <c r="E438" s="5">
        <v>0</v>
      </c>
    </row>
    <row r="439" spans="1:5" x14ac:dyDescent="0.3">
      <c r="A439" s="2">
        <v>30834</v>
      </c>
      <c r="B439" s="23">
        <v>7.400000000000001E-2</v>
      </c>
      <c r="C439" s="32">
        <v>6.1130434782608579E-2</v>
      </c>
      <c r="D439" s="24">
        <v>7.0974637681159469E-2</v>
      </c>
      <c r="E439" s="5">
        <v>0</v>
      </c>
    </row>
    <row r="440" spans="1:5" x14ac:dyDescent="0.3">
      <c r="A440" s="2">
        <v>30864</v>
      </c>
      <c r="B440" s="23">
        <v>7.4999999999999997E-2</v>
      </c>
      <c r="C440" s="32">
        <v>5.9550724637681039E-2</v>
      </c>
      <c r="D440" s="24">
        <v>7.3554347826086997E-2</v>
      </c>
      <c r="E440" s="5">
        <v>0</v>
      </c>
    </row>
    <row r="441" spans="1:5" x14ac:dyDescent="0.3">
      <c r="A441" s="2">
        <v>30895</v>
      </c>
      <c r="B441" s="23">
        <v>7.2999999999999995E-2</v>
      </c>
      <c r="C441" s="32">
        <v>5.6521739130434699E-2</v>
      </c>
      <c r="D441" s="24">
        <v>7.4583333333333335E-2</v>
      </c>
      <c r="E441" s="5">
        <v>0</v>
      </c>
    </row>
    <row r="442" spans="1:5" x14ac:dyDescent="0.3">
      <c r="A442" s="2">
        <v>30926</v>
      </c>
      <c r="B442" s="23">
        <v>7.0999999999999994E-2</v>
      </c>
      <c r="C442" s="32">
        <v>5.4768115942028898E-2</v>
      </c>
      <c r="D442" s="24">
        <v>7.4336956521739134E-2</v>
      </c>
      <c r="E442" s="5">
        <v>0</v>
      </c>
    </row>
    <row r="443" spans="1:5" x14ac:dyDescent="0.3">
      <c r="A443" s="2">
        <v>30956</v>
      </c>
      <c r="B443" s="23">
        <v>7.0000000000000007E-2</v>
      </c>
      <c r="C443" s="32">
        <v>5.3115942028985473E-2</v>
      </c>
      <c r="D443" s="24">
        <v>7.4989130434782586E-2</v>
      </c>
      <c r="E443" s="5">
        <v>0</v>
      </c>
    </row>
    <row r="444" spans="1:5" x14ac:dyDescent="0.3">
      <c r="A444" s="2">
        <v>30987</v>
      </c>
      <c r="B444" s="23">
        <v>6.9000000000000006E-2</v>
      </c>
      <c r="C444" s="32">
        <v>5.4782608695652081E-2</v>
      </c>
      <c r="D444" s="24">
        <v>7.2322463768115963E-2</v>
      </c>
      <c r="E444" s="5">
        <v>0</v>
      </c>
    </row>
    <row r="445" spans="1:5" x14ac:dyDescent="0.3">
      <c r="A445" s="2">
        <v>31017</v>
      </c>
      <c r="B445" s="23">
        <v>7.0000000000000007E-2</v>
      </c>
      <c r="C445" s="32">
        <v>5.5202898550724598E-2</v>
      </c>
      <c r="D445" s="24">
        <v>7.2902173913043461E-2</v>
      </c>
      <c r="E445" s="5">
        <v>0</v>
      </c>
    </row>
    <row r="446" spans="1:5" x14ac:dyDescent="0.3">
      <c r="A446" s="2">
        <v>31048</v>
      </c>
      <c r="B446" s="23">
        <v>0.08</v>
      </c>
      <c r="C446" s="32">
        <v>6.4492753623188417E-2</v>
      </c>
      <c r="D446" s="24">
        <v>7.361231884057963E-2</v>
      </c>
      <c r="E446" s="5">
        <v>0</v>
      </c>
    </row>
    <row r="447" spans="1:5" x14ac:dyDescent="0.3">
      <c r="A447" s="2">
        <v>31079</v>
      </c>
      <c r="B447" s="23">
        <v>7.8E-2</v>
      </c>
      <c r="C447" s="32">
        <v>6.4391304347825973E-2</v>
      </c>
      <c r="D447" s="24">
        <v>7.1713768115942073E-2</v>
      </c>
      <c r="E447" s="5">
        <v>0</v>
      </c>
    </row>
    <row r="448" spans="1:5" x14ac:dyDescent="0.3">
      <c r="A448" s="2">
        <v>31107</v>
      </c>
      <c r="B448" s="23">
        <v>7.4999999999999997E-2</v>
      </c>
      <c r="C448" s="32">
        <v>6.1652173913043402E-2</v>
      </c>
      <c r="D448" s="24">
        <v>7.1452898550724647E-2</v>
      </c>
      <c r="E448" s="5">
        <v>0</v>
      </c>
    </row>
    <row r="449" spans="1:5" x14ac:dyDescent="0.3">
      <c r="A449" s="2">
        <v>31138</v>
      </c>
      <c r="B449" s="23">
        <v>7.0999999999999994E-2</v>
      </c>
      <c r="C449" s="32">
        <v>5.6550724637681071E-2</v>
      </c>
      <c r="D449" s="24">
        <v>7.2554347826086968E-2</v>
      </c>
      <c r="E449" s="5">
        <v>0</v>
      </c>
    </row>
    <row r="450" spans="1:5" x14ac:dyDescent="0.3">
      <c r="A450" s="2">
        <v>31168</v>
      </c>
      <c r="B450" s="23">
        <v>7.0000000000000007E-2</v>
      </c>
      <c r="C450" s="32">
        <v>5.5101449275362209E-2</v>
      </c>
      <c r="D450" s="24">
        <v>7.3003623188405836E-2</v>
      </c>
      <c r="E450" s="5">
        <v>0</v>
      </c>
    </row>
    <row r="451" spans="1:5" x14ac:dyDescent="0.3">
      <c r="A451" s="2">
        <v>31199</v>
      </c>
      <c r="B451" s="23">
        <v>7.4999999999999997E-2</v>
      </c>
      <c r="C451" s="32">
        <v>6.1130434782608579E-2</v>
      </c>
      <c r="D451" s="24">
        <v>7.197463768115947E-2</v>
      </c>
      <c r="E451" s="5">
        <v>0</v>
      </c>
    </row>
    <row r="452" spans="1:5" x14ac:dyDescent="0.3">
      <c r="A452" s="2">
        <v>31229</v>
      </c>
      <c r="B452" s="23">
        <v>7.400000000000001E-2</v>
      </c>
      <c r="C452" s="32">
        <v>5.9550724637681039E-2</v>
      </c>
      <c r="D452" s="24">
        <v>7.2554347826087023E-2</v>
      </c>
      <c r="E452" s="5">
        <v>0</v>
      </c>
    </row>
    <row r="453" spans="1:5" x14ac:dyDescent="0.3">
      <c r="A453" s="2">
        <v>31260</v>
      </c>
      <c r="B453" s="23">
        <v>6.9000000000000006E-2</v>
      </c>
      <c r="C453" s="32">
        <v>5.6521739130434699E-2</v>
      </c>
      <c r="D453" s="24">
        <v>7.0583333333333359E-2</v>
      </c>
      <c r="E453" s="5">
        <v>0</v>
      </c>
    </row>
    <row r="454" spans="1:5" x14ac:dyDescent="0.3">
      <c r="A454" s="2">
        <v>31291</v>
      </c>
      <c r="B454" s="23">
        <v>6.9000000000000006E-2</v>
      </c>
      <c r="C454" s="32">
        <v>5.4768115942028898E-2</v>
      </c>
      <c r="D454" s="24">
        <v>7.233695652173916E-2</v>
      </c>
      <c r="E454" s="5">
        <v>0</v>
      </c>
    </row>
    <row r="455" spans="1:5" x14ac:dyDescent="0.3">
      <c r="A455" s="2">
        <v>31321</v>
      </c>
      <c r="B455" s="23">
        <v>6.8000000000000005E-2</v>
      </c>
      <c r="C455" s="32">
        <v>5.3115942028985473E-2</v>
      </c>
      <c r="D455" s="24">
        <v>7.2989130434782584E-2</v>
      </c>
      <c r="E455" s="5">
        <v>0</v>
      </c>
    </row>
    <row r="456" spans="1:5" x14ac:dyDescent="0.3">
      <c r="A456" s="2">
        <v>31352</v>
      </c>
      <c r="B456" s="23">
        <v>6.7000000000000004E-2</v>
      </c>
      <c r="C456" s="32">
        <v>5.4782608695652081E-2</v>
      </c>
      <c r="D456" s="24">
        <v>7.0322463768115961E-2</v>
      </c>
      <c r="E456" s="5">
        <v>0</v>
      </c>
    </row>
    <row r="457" spans="1:5" x14ac:dyDescent="0.3">
      <c r="A457" s="2">
        <v>31382</v>
      </c>
      <c r="B457" s="23">
        <v>6.7000000000000004E-2</v>
      </c>
      <c r="C457" s="32">
        <v>5.5202898550724598E-2</v>
      </c>
      <c r="D457" s="24">
        <v>6.9902173913043458E-2</v>
      </c>
      <c r="E457" s="5">
        <v>0</v>
      </c>
    </row>
    <row r="458" spans="1:5" x14ac:dyDescent="0.3">
      <c r="A458" s="2">
        <v>31413</v>
      </c>
      <c r="B458" s="23">
        <v>7.2999999999999995E-2</v>
      </c>
      <c r="C458" s="32">
        <v>6.4492753623188417E-2</v>
      </c>
      <c r="D458" s="24">
        <v>6.6612318840579623E-2</v>
      </c>
      <c r="E458" s="5">
        <v>0</v>
      </c>
    </row>
    <row r="459" spans="1:5" x14ac:dyDescent="0.3">
      <c r="A459" s="2">
        <v>31444</v>
      </c>
      <c r="B459" s="23">
        <v>7.8E-2</v>
      </c>
      <c r="C459" s="32">
        <v>6.4391304347825973E-2</v>
      </c>
      <c r="D459" s="24">
        <v>7.1713768115942073E-2</v>
      </c>
      <c r="E459" s="5">
        <v>0</v>
      </c>
    </row>
    <row r="460" spans="1:5" x14ac:dyDescent="0.3">
      <c r="A460" s="2">
        <v>31472</v>
      </c>
      <c r="B460" s="23">
        <v>7.4999999999999997E-2</v>
      </c>
      <c r="C460" s="32">
        <v>6.1652173913043402E-2</v>
      </c>
      <c r="D460" s="24">
        <v>7.1452898550724647E-2</v>
      </c>
      <c r="E460" s="5">
        <v>0</v>
      </c>
    </row>
    <row r="461" spans="1:5" x14ac:dyDescent="0.3">
      <c r="A461" s="2">
        <v>31503</v>
      </c>
      <c r="B461" s="23">
        <v>7.0000000000000007E-2</v>
      </c>
      <c r="C461" s="32">
        <v>5.6550724637681071E-2</v>
      </c>
      <c r="D461" s="24">
        <v>7.1554347826086981E-2</v>
      </c>
      <c r="E461" s="5">
        <v>0</v>
      </c>
    </row>
    <row r="462" spans="1:5" x14ac:dyDescent="0.3">
      <c r="A462" s="2">
        <v>31533</v>
      </c>
      <c r="B462" s="23">
        <v>7.0000000000000007E-2</v>
      </c>
      <c r="C462" s="32">
        <v>5.5101449275362209E-2</v>
      </c>
      <c r="D462" s="24">
        <v>7.3003623188405836E-2</v>
      </c>
      <c r="E462" s="5">
        <v>0</v>
      </c>
    </row>
    <row r="463" spans="1:5" x14ac:dyDescent="0.3">
      <c r="A463" s="2">
        <v>31564</v>
      </c>
      <c r="B463" s="23">
        <v>7.2999999999999995E-2</v>
      </c>
      <c r="C463" s="32">
        <v>6.1130434782608579E-2</v>
      </c>
      <c r="D463" s="24">
        <v>6.9974637681159468E-2</v>
      </c>
      <c r="E463" s="5">
        <v>0</v>
      </c>
    </row>
    <row r="464" spans="1:5" x14ac:dyDescent="0.3">
      <c r="A464" s="2">
        <v>31594</v>
      </c>
      <c r="B464" s="23">
        <v>7.0000000000000007E-2</v>
      </c>
      <c r="C464" s="32">
        <v>5.9550724637681039E-2</v>
      </c>
      <c r="D464" s="24">
        <v>6.855434782608702E-2</v>
      </c>
      <c r="E464" s="5">
        <v>0</v>
      </c>
    </row>
    <row r="465" spans="1:5" x14ac:dyDescent="0.3">
      <c r="A465" s="2">
        <v>31625</v>
      </c>
      <c r="B465" s="23">
        <v>6.7000000000000004E-2</v>
      </c>
      <c r="C465" s="32">
        <v>5.6521739130434699E-2</v>
      </c>
      <c r="D465" s="24">
        <v>6.8583333333333357E-2</v>
      </c>
      <c r="E465" s="5">
        <v>0</v>
      </c>
    </row>
    <row r="466" spans="1:5" x14ac:dyDescent="0.3">
      <c r="A466" s="2">
        <v>31656</v>
      </c>
      <c r="B466" s="23">
        <v>6.8000000000000005E-2</v>
      </c>
      <c r="C466" s="32">
        <v>5.4768115942028898E-2</v>
      </c>
      <c r="D466" s="24">
        <v>7.1336956521739159E-2</v>
      </c>
      <c r="E466" s="5">
        <v>0</v>
      </c>
    </row>
    <row r="467" spans="1:5" x14ac:dyDescent="0.3">
      <c r="A467" s="2">
        <v>31686</v>
      </c>
      <c r="B467" s="23">
        <v>6.6000000000000003E-2</v>
      </c>
      <c r="C467" s="32">
        <v>5.3115942028985473E-2</v>
      </c>
      <c r="D467" s="24">
        <v>7.0989130434782582E-2</v>
      </c>
      <c r="E467" s="5">
        <v>0</v>
      </c>
    </row>
    <row r="468" spans="1:5" x14ac:dyDescent="0.3">
      <c r="A468" s="2">
        <v>31717</v>
      </c>
      <c r="B468" s="23">
        <v>6.6000000000000003E-2</v>
      </c>
      <c r="C468" s="32">
        <v>5.4782608695652081E-2</v>
      </c>
      <c r="D468" s="24">
        <v>6.9322463768115961E-2</v>
      </c>
      <c r="E468" s="5">
        <v>0</v>
      </c>
    </row>
    <row r="469" spans="1:5" x14ac:dyDescent="0.3">
      <c r="A469" s="2">
        <v>31747</v>
      </c>
      <c r="B469" s="23">
        <v>6.3E-2</v>
      </c>
      <c r="C469" s="32">
        <v>5.5202898550724598E-2</v>
      </c>
      <c r="D469" s="24">
        <v>6.5902173913043455E-2</v>
      </c>
      <c r="E469" s="5">
        <v>0</v>
      </c>
    </row>
    <row r="470" spans="1:5" x14ac:dyDescent="0.3">
      <c r="A470" s="2">
        <v>31778</v>
      </c>
      <c r="B470" s="23">
        <v>7.2999999999999995E-2</v>
      </c>
      <c r="C470" s="32">
        <v>6.4492753623188417E-2</v>
      </c>
      <c r="D470" s="24">
        <v>6.6612318840579623E-2</v>
      </c>
      <c r="E470" s="5">
        <v>0</v>
      </c>
    </row>
    <row r="471" spans="1:5" x14ac:dyDescent="0.3">
      <c r="A471" s="2">
        <v>31809</v>
      </c>
      <c r="B471" s="23">
        <v>7.2000000000000008E-2</v>
      </c>
      <c r="C471" s="32">
        <v>6.4391304347825973E-2</v>
      </c>
      <c r="D471" s="24">
        <v>6.5713768115942081E-2</v>
      </c>
      <c r="E471" s="5">
        <v>0</v>
      </c>
    </row>
    <row r="472" spans="1:5" x14ac:dyDescent="0.3">
      <c r="A472" s="2">
        <v>31837</v>
      </c>
      <c r="B472" s="23">
        <v>6.9000000000000006E-2</v>
      </c>
      <c r="C472" s="32">
        <v>6.1652173913043402E-2</v>
      </c>
      <c r="D472" s="24">
        <v>6.5452898550724642E-2</v>
      </c>
      <c r="E472" s="5">
        <v>0</v>
      </c>
    </row>
    <row r="473" spans="1:5" x14ac:dyDescent="0.3">
      <c r="A473" s="2">
        <v>31868</v>
      </c>
      <c r="B473" s="23">
        <v>6.2E-2</v>
      </c>
      <c r="C473" s="32">
        <v>5.6550724637681071E-2</v>
      </c>
      <c r="D473" s="24">
        <v>6.3554347826086974E-2</v>
      </c>
      <c r="E473" s="5">
        <v>0</v>
      </c>
    </row>
    <row r="474" spans="1:5" x14ac:dyDescent="0.3">
      <c r="A474" s="2">
        <v>31898</v>
      </c>
      <c r="B474" s="23">
        <v>6.0999999999999999E-2</v>
      </c>
      <c r="C474" s="32">
        <v>5.5101449275362209E-2</v>
      </c>
      <c r="D474" s="24">
        <v>6.4003623188405828E-2</v>
      </c>
      <c r="E474" s="5">
        <v>0</v>
      </c>
    </row>
    <row r="475" spans="1:5" x14ac:dyDescent="0.3">
      <c r="A475" s="2">
        <v>31929</v>
      </c>
      <c r="B475" s="23">
        <v>6.3E-2</v>
      </c>
      <c r="C475" s="32">
        <v>6.1130434782608579E-2</v>
      </c>
      <c r="D475" s="24">
        <v>5.9974637681159466E-2</v>
      </c>
      <c r="E475" s="5">
        <v>0</v>
      </c>
    </row>
    <row r="476" spans="1:5" x14ac:dyDescent="0.3">
      <c r="A476" s="2">
        <v>31959</v>
      </c>
      <c r="B476" s="23">
        <v>6.0999999999999999E-2</v>
      </c>
      <c r="C476" s="32">
        <v>5.9550724637681039E-2</v>
      </c>
      <c r="D476" s="24">
        <v>5.9554347826087005E-2</v>
      </c>
      <c r="E476" s="5">
        <v>0</v>
      </c>
    </row>
    <row r="477" spans="1:5" x14ac:dyDescent="0.3">
      <c r="A477" s="2">
        <v>31990</v>
      </c>
      <c r="B477" s="23">
        <v>5.7999999999999996E-2</v>
      </c>
      <c r="C477" s="32">
        <v>5.6521739130434699E-2</v>
      </c>
      <c r="D477" s="24">
        <v>5.9583333333333342E-2</v>
      </c>
      <c r="E477" s="5">
        <v>0</v>
      </c>
    </row>
    <row r="478" spans="1:5" x14ac:dyDescent="0.3">
      <c r="A478" s="2">
        <v>32021</v>
      </c>
      <c r="B478" s="23">
        <v>5.7000000000000002E-2</v>
      </c>
      <c r="C478" s="32">
        <v>5.4768115942028898E-2</v>
      </c>
      <c r="D478" s="24">
        <v>6.0336956521739149E-2</v>
      </c>
      <c r="E478" s="5">
        <v>0</v>
      </c>
    </row>
    <row r="479" spans="1:5" x14ac:dyDescent="0.3">
      <c r="A479" s="2">
        <v>32051</v>
      </c>
      <c r="B479" s="23">
        <v>5.7000000000000002E-2</v>
      </c>
      <c r="C479" s="32">
        <v>5.3115942028985473E-2</v>
      </c>
      <c r="D479" s="24">
        <v>6.1989130434782574E-2</v>
      </c>
      <c r="E479" s="5">
        <v>0</v>
      </c>
    </row>
    <row r="480" spans="1:5" x14ac:dyDescent="0.3">
      <c r="A480" s="2">
        <v>32082</v>
      </c>
      <c r="B480" s="23">
        <v>5.5999999999999994E-2</v>
      </c>
      <c r="C480" s="32">
        <v>5.4782608695652081E-2</v>
      </c>
      <c r="D480" s="24">
        <v>5.9322463768115959E-2</v>
      </c>
      <c r="E480" s="5">
        <v>0</v>
      </c>
    </row>
    <row r="481" spans="1:5" x14ac:dyDescent="0.3">
      <c r="A481" s="2">
        <v>32112</v>
      </c>
      <c r="B481" s="23">
        <v>5.4000000000000006E-2</v>
      </c>
      <c r="C481" s="32">
        <v>5.5202898550724598E-2</v>
      </c>
      <c r="D481" s="24">
        <v>5.6902173913043454E-2</v>
      </c>
      <c r="E481" s="5">
        <v>0</v>
      </c>
    </row>
    <row r="482" spans="1:5" x14ac:dyDescent="0.3">
      <c r="A482" s="2">
        <v>32143</v>
      </c>
      <c r="B482" s="23">
        <v>6.3E-2</v>
      </c>
      <c r="C482" s="32">
        <v>6.4492753623188417E-2</v>
      </c>
      <c r="D482" s="24">
        <v>5.6612318840579628E-2</v>
      </c>
      <c r="E482" s="5">
        <v>0</v>
      </c>
    </row>
    <row r="483" spans="1:5" x14ac:dyDescent="0.3">
      <c r="A483" s="2">
        <v>32174</v>
      </c>
      <c r="B483" s="23">
        <v>6.2E-2</v>
      </c>
      <c r="C483" s="32">
        <v>6.4391304347825973E-2</v>
      </c>
      <c r="D483" s="24">
        <v>5.5713768115942072E-2</v>
      </c>
      <c r="E483" s="5">
        <v>0</v>
      </c>
    </row>
    <row r="484" spans="1:5" x14ac:dyDescent="0.3">
      <c r="A484" s="2">
        <v>32203</v>
      </c>
      <c r="B484" s="23">
        <v>5.9000000000000004E-2</v>
      </c>
      <c r="C484" s="32">
        <v>6.1652173913043402E-2</v>
      </c>
      <c r="D484" s="24">
        <v>5.5452898550724647E-2</v>
      </c>
      <c r="E484" s="5">
        <v>0</v>
      </c>
    </row>
    <row r="485" spans="1:5" x14ac:dyDescent="0.3">
      <c r="A485" s="2">
        <v>32234</v>
      </c>
      <c r="B485" s="23">
        <v>5.2999999999999999E-2</v>
      </c>
      <c r="C485" s="32">
        <v>5.6550724637681071E-2</v>
      </c>
      <c r="D485" s="24">
        <v>5.4554347826086973E-2</v>
      </c>
      <c r="E485" s="5">
        <v>0</v>
      </c>
    </row>
    <row r="486" spans="1:5" x14ac:dyDescent="0.3">
      <c r="A486" s="2">
        <v>32264</v>
      </c>
      <c r="B486" s="23">
        <v>5.4000000000000006E-2</v>
      </c>
      <c r="C486" s="32">
        <v>5.5101449275362209E-2</v>
      </c>
      <c r="D486" s="24">
        <v>5.7003623188405843E-2</v>
      </c>
      <c r="E486" s="5">
        <v>0</v>
      </c>
    </row>
    <row r="487" spans="1:5" x14ac:dyDescent="0.3">
      <c r="A487" s="2">
        <v>32295</v>
      </c>
      <c r="B487" s="23">
        <v>5.5E-2</v>
      </c>
      <c r="C487" s="32">
        <v>6.1130434782608579E-2</v>
      </c>
      <c r="D487" s="24">
        <v>5.1974637681159466E-2</v>
      </c>
      <c r="E487" s="5">
        <v>0</v>
      </c>
    </row>
    <row r="488" spans="1:5" x14ac:dyDescent="0.3">
      <c r="A488" s="2">
        <v>32325</v>
      </c>
      <c r="B488" s="23">
        <v>5.5E-2</v>
      </c>
      <c r="C488" s="32">
        <v>5.9550724637681039E-2</v>
      </c>
      <c r="D488" s="24">
        <v>5.3554347826087007E-2</v>
      </c>
      <c r="E488" s="5">
        <v>0</v>
      </c>
    </row>
    <row r="489" spans="1:5" x14ac:dyDescent="0.3">
      <c r="A489" s="2">
        <v>32356</v>
      </c>
      <c r="B489" s="23">
        <v>5.4000000000000006E-2</v>
      </c>
      <c r="C489" s="32">
        <v>5.6521739130434699E-2</v>
      </c>
      <c r="D489" s="24">
        <v>5.5583333333333353E-2</v>
      </c>
      <c r="E489" s="5">
        <v>0</v>
      </c>
    </row>
    <row r="490" spans="1:5" x14ac:dyDescent="0.3">
      <c r="A490" s="2">
        <v>32387</v>
      </c>
      <c r="B490" s="23">
        <v>5.2000000000000005E-2</v>
      </c>
      <c r="C490" s="32">
        <v>5.4768115942028898E-2</v>
      </c>
      <c r="D490" s="24">
        <v>5.5336956521739152E-2</v>
      </c>
      <c r="E490" s="5">
        <v>0</v>
      </c>
    </row>
    <row r="491" spans="1:5" x14ac:dyDescent="0.3">
      <c r="A491" s="2">
        <v>32417</v>
      </c>
      <c r="B491" s="23">
        <v>0.05</v>
      </c>
      <c r="C491" s="32">
        <v>5.3115942028985473E-2</v>
      </c>
      <c r="D491" s="24">
        <v>5.4989130434782575E-2</v>
      </c>
      <c r="E491" s="5">
        <v>0</v>
      </c>
    </row>
    <row r="492" spans="1:5" x14ac:dyDescent="0.3">
      <c r="A492" s="2">
        <v>32448</v>
      </c>
      <c r="B492" s="23">
        <v>5.2000000000000005E-2</v>
      </c>
      <c r="C492" s="32">
        <v>5.4782608695652081E-2</v>
      </c>
      <c r="D492" s="24">
        <v>5.5322463768115969E-2</v>
      </c>
      <c r="E492" s="5">
        <v>0</v>
      </c>
    </row>
    <row r="493" spans="1:5" x14ac:dyDescent="0.3">
      <c r="A493" s="2">
        <v>32478</v>
      </c>
      <c r="B493" s="23">
        <v>0.05</v>
      </c>
      <c r="C493" s="32">
        <v>5.5202898550724598E-2</v>
      </c>
      <c r="D493" s="24">
        <v>5.290217391304345E-2</v>
      </c>
      <c r="E493" s="5">
        <v>0</v>
      </c>
    </row>
    <row r="494" spans="1:5" x14ac:dyDescent="0.3">
      <c r="A494" s="2">
        <v>32509</v>
      </c>
      <c r="B494" s="23">
        <v>0.06</v>
      </c>
      <c r="C494" s="32">
        <v>6.4492753623188417E-2</v>
      </c>
      <c r="D494" s="24">
        <v>5.3612318840579626E-2</v>
      </c>
      <c r="E494" s="5">
        <v>0</v>
      </c>
    </row>
    <row r="495" spans="1:5" x14ac:dyDescent="0.3">
      <c r="A495" s="2">
        <v>32540</v>
      </c>
      <c r="B495" s="23">
        <v>5.5999999999999994E-2</v>
      </c>
      <c r="C495" s="32">
        <v>6.4391304347825973E-2</v>
      </c>
      <c r="D495" s="24">
        <v>4.9713768115942067E-2</v>
      </c>
      <c r="E495" s="5">
        <v>0</v>
      </c>
    </row>
    <row r="496" spans="1:5" x14ac:dyDescent="0.3">
      <c r="A496" s="2">
        <v>32568</v>
      </c>
      <c r="B496" s="23">
        <v>5.2000000000000005E-2</v>
      </c>
      <c r="C496" s="32">
        <v>6.1652173913043402E-2</v>
      </c>
      <c r="D496" s="24">
        <v>4.8452898550724648E-2</v>
      </c>
      <c r="E496" s="5">
        <v>0</v>
      </c>
    </row>
    <row r="497" spans="1:5" x14ac:dyDescent="0.3">
      <c r="A497" s="2">
        <v>32599</v>
      </c>
      <c r="B497" s="23">
        <v>5.0999999999999997E-2</v>
      </c>
      <c r="C497" s="32">
        <v>5.6550724637681071E-2</v>
      </c>
      <c r="D497" s="24">
        <v>5.2554347826086971E-2</v>
      </c>
      <c r="E497" s="5">
        <v>0</v>
      </c>
    </row>
    <row r="498" spans="1:5" x14ac:dyDescent="0.3">
      <c r="A498" s="2">
        <v>32629</v>
      </c>
      <c r="B498" s="23">
        <v>0.05</v>
      </c>
      <c r="C498" s="32">
        <v>5.5101449275362209E-2</v>
      </c>
      <c r="D498" s="24">
        <v>5.3003623188405839E-2</v>
      </c>
      <c r="E498" s="5">
        <v>0</v>
      </c>
    </row>
    <row r="499" spans="1:5" x14ac:dyDescent="0.3">
      <c r="A499" s="2">
        <v>32660</v>
      </c>
      <c r="B499" s="23">
        <v>5.5E-2</v>
      </c>
      <c r="C499" s="32">
        <v>6.1130434782608579E-2</v>
      </c>
      <c r="D499" s="24">
        <v>5.1974637681159466E-2</v>
      </c>
      <c r="E499" s="5">
        <v>0</v>
      </c>
    </row>
    <row r="500" spans="1:5" x14ac:dyDescent="0.3">
      <c r="A500" s="2">
        <v>32690</v>
      </c>
      <c r="B500" s="23">
        <v>5.2999999999999999E-2</v>
      </c>
      <c r="C500" s="32">
        <v>5.9550724637681039E-2</v>
      </c>
      <c r="D500" s="24">
        <v>5.1554347826087005E-2</v>
      </c>
      <c r="E500" s="5">
        <v>0</v>
      </c>
    </row>
    <row r="501" spans="1:5" x14ac:dyDescent="0.3">
      <c r="A501" s="2">
        <v>32721</v>
      </c>
      <c r="B501" s="23">
        <v>5.0999999999999997E-2</v>
      </c>
      <c r="C501" s="32">
        <v>5.6521739130434699E-2</v>
      </c>
      <c r="D501" s="24">
        <v>5.2583333333333343E-2</v>
      </c>
      <c r="E501" s="5">
        <v>0</v>
      </c>
    </row>
    <row r="502" spans="1:5" x14ac:dyDescent="0.3">
      <c r="A502" s="2">
        <v>32752</v>
      </c>
      <c r="B502" s="23">
        <v>5.0999999999999997E-2</v>
      </c>
      <c r="C502" s="32">
        <v>5.4768115942028898E-2</v>
      </c>
      <c r="D502" s="24">
        <v>5.4336956521739144E-2</v>
      </c>
      <c r="E502" s="5">
        <v>0</v>
      </c>
    </row>
    <row r="503" spans="1:5" x14ac:dyDescent="0.3">
      <c r="A503" s="2">
        <v>32782</v>
      </c>
      <c r="B503" s="23">
        <v>0.05</v>
      </c>
      <c r="C503" s="32">
        <v>5.3115942028985473E-2</v>
      </c>
      <c r="D503" s="24">
        <v>5.4989130434782575E-2</v>
      </c>
      <c r="E503" s="5">
        <v>0</v>
      </c>
    </row>
    <row r="504" spans="1:5" x14ac:dyDescent="0.3">
      <c r="A504" s="2">
        <v>32813</v>
      </c>
      <c r="B504" s="23">
        <v>5.2000000000000005E-2</v>
      </c>
      <c r="C504" s="32">
        <v>5.4782608695652081E-2</v>
      </c>
      <c r="D504" s="24">
        <v>5.5322463768115969E-2</v>
      </c>
      <c r="E504" s="5">
        <v>0</v>
      </c>
    </row>
    <row r="505" spans="1:5" x14ac:dyDescent="0.3">
      <c r="A505" s="2">
        <v>32843</v>
      </c>
      <c r="B505" s="23">
        <v>5.0999999999999997E-2</v>
      </c>
      <c r="C505" s="32">
        <v>5.5202898550724598E-2</v>
      </c>
      <c r="D505" s="24">
        <v>5.3902173913043444E-2</v>
      </c>
      <c r="E505" s="5">
        <v>0</v>
      </c>
    </row>
    <row r="506" spans="1:5" x14ac:dyDescent="0.3">
      <c r="A506" s="2">
        <v>32874</v>
      </c>
      <c r="B506" s="23">
        <v>0.06</v>
      </c>
      <c r="C506" s="32">
        <v>6.4492753623188417E-2</v>
      </c>
      <c r="D506" s="24">
        <v>5.3612318840579626E-2</v>
      </c>
      <c r="E506" s="5">
        <v>0</v>
      </c>
    </row>
    <row r="507" spans="1:5" x14ac:dyDescent="0.3">
      <c r="A507" s="2">
        <v>32905</v>
      </c>
      <c r="B507" s="23">
        <v>5.9000000000000004E-2</v>
      </c>
      <c r="C507" s="32">
        <v>6.4391304347825973E-2</v>
      </c>
      <c r="D507" s="24">
        <v>5.2713768115942077E-2</v>
      </c>
      <c r="E507" s="5">
        <v>0</v>
      </c>
    </row>
    <row r="508" spans="1:5" x14ac:dyDescent="0.3">
      <c r="A508" s="2">
        <v>32933</v>
      </c>
      <c r="B508" s="23">
        <v>5.5E-2</v>
      </c>
      <c r="C508" s="32">
        <v>6.1652173913043402E-2</v>
      </c>
      <c r="D508" s="24">
        <v>5.1452898550724643E-2</v>
      </c>
      <c r="E508" s="5">
        <v>0</v>
      </c>
    </row>
    <row r="509" spans="1:5" x14ac:dyDescent="0.3">
      <c r="A509" s="2">
        <v>32964</v>
      </c>
      <c r="B509" s="23">
        <v>5.2999999999999999E-2</v>
      </c>
      <c r="C509" s="32">
        <v>5.6550724637681071E-2</v>
      </c>
      <c r="D509" s="24">
        <v>5.4554347826086973E-2</v>
      </c>
      <c r="E509" s="5">
        <v>0</v>
      </c>
    </row>
    <row r="510" spans="1:5" x14ac:dyDescent="0.3">
      <c r="A510" s="2">
        <v>32994</v>
      </c>
      <c r="B510" s="23">
        <v>5.2000000000000005E-2</v>
      </c>
      <c r="C510" s="32">
        <v>5.5101449275362209E-2</v>
      </c>
      <c r="D510" s="24">
        <v>5.5003623188405841E-2</v>
      </c>
      <c r="E510" s="5">
        <v>0</v>
      </c>
    </row>
    <row r="511" spans="1:5" x14ac:dyDescent="0.3">
      <c r="A511" s="2">
        <v>33025</v>
      </c>
      <c r="B511" s="23">
        <v>5.4000000000000006E-2</v>
      </c>
      <c r="C511" s="32">
        <v>6.1130434782608579E-2</v>
      </c>
      <c r="D511" s="24">
        <v>5.0974637681159472E-2</v>
      </c>
      <c r="E511" s="5">
        <v>0</v>
      </c>
    </row>
    <row r="512" spans="1:5" x14ac:dyDescent="0.3">
      <c r="A512" s="2">
        <v>33055</v>
      </c>
      <c r="B512" s="23">
        <v>5.5999999999999994E-2</v>
      </c>
      <c r="C512" s="32">
        <v>5.9550724637681039E-2</v>
      </c>
      <c r="D512" s="24">
        <v>5.4554347826087E-2</v>
      </c>
      <c r="E512" s="5">
        <v>0</v>
      </c>
    </row>
    <row r="513" spans="1:5" x14ac:dyDescent="0.3">
      <c r="A513" s="2">
        <v>33086</v>
      </c>
      <c r="B513" s="23">
        <v>5.5E-2</v>
      </c>
      <c r="C513" s="32">
        <v>5.6521739130434699E-2</v>
      </c>
      <c r="D513" s="24">
        <v>5.6583333333333347E-2</v>
      </c>
      <c r="E513" s="5">
        <v>1</v>
      </c>
    </row>
    <row r="514" spans="1:5" x14ac:dyDescent="0.3">
      <c r="A514" s="2">
        <v>33117</v>
      </c>
      <c r="B514" s="23">
        <v>5.5999999999999994E-2</v>
      </c>
      <c r="C514" s="32">
        <v>5.4768115942028898E-2</v>
      </c>
      <c r="D514" s="24">
        <v>5.9336956521739141E-2</v>
      </c>
      <c r="E514" s="5">
        <v>1</v>
      </c>
    </row>
    <row r="515" spans="1:5" x14ac:dyDescent="0.3">
      <c r="A515" s="2">
        <v>33147</v>
      </c>
      <c r="B515" s="23">
        <v>5.5E-2</v>
      </c>
      <c r="C515" s="32">
        <v>5.3115942028985473E-2</v>
      </c>
      <c r="D515" s="24">
        <v>5.9989130434782573E-2</v>
      </c>
      <c r="E515" s="5">
        <v>1</v>
      </c>
    </row>
    <row r="516" spans="1:5" x14ac:dyDescent="0.3">
      <c r="A516" s="2">
        <v>33178</v>
      </c>
      <c r="B516" s="23">
        <v>5.9000000000000004E-2</v>
      </c>
      <c r="C516" s="32">
        <v>5.4782608695652081E-2</v>
      </c>
      <c r="D516" s="24">
        <v>6.2322463768115968E-2</v>
      </c>
      <c r="E516" s="5">
        <v>1</v>
      </c>
    </row>
    <row r="517" spans="1:5" x14ac:dyDescent="0.3">
      <c r="A517" s="2">
        <v>33208</v>
      </c>
      <c r="B517" s="23">
        <v>0.06</v>
      </c>
      <c r="C517" s="32">
        <v>5.5202898550724598E-2</v>
      </c>
      <c r="D517" s="24">
        <v>6.2902173913043452E-2</v>
      </c>
      <c r="E517" s="5">
        <v>1</v>
      </c>
    </row>
    <row r="518" spans="1:5" x14ac:dyDescent="0.3">
      <c r="A518" s="2">
        <v>33239</v>
      </c>
      <c r="B518" s="23">
        <v>7.0999999999999994E-2</v>
      </c>
      <c r="C518" s="32">
        <v>6.4492753623188417E-2</v>
      </c>
      <c r="D518" s="24">
        <v>6.4612318840579622E-2</v>
      </c>
      <c r="E518" s="5">
        <v>1</v>
      </c>
    </row>
    <row r="519" spans="1:5" x14ac:dyDescent="0.3">
      <c r="A519" s="2">
        <v>33270</v>
      </c>
      <c r="B519" s="23">
        <v>7.2999999999999995E-2</v>
      </c>
      <c r="C519" s="32">
        <v>6.4391304347825973E-2</v>
      </c>
      <c r="D519" s="24">
        <v>6.6713768115942068E-2</v>
      </c>
      <c r="E519" s="5">
        <v>1</v>
      </c>
    </row>
    <row r="520" spans="1:5" x14ac:dyDescent="0.3">
      <c r="A520" s="2">
        <v>33298</v>
      </c>
      <c r="B520" s="23">
        <v>7.2000000000000008E-2</v>
      </c>
      <c r="C520" s="32">
        <v>6.1652173913043402E-2</v>
      </c>
      <c r="D520" s="24">
        <v>6.8452898550724645E-2</v>
      </c>
      <c r="E520" s="5">
        <v>1</v>
      </c>
    </row>
    <row r="521" spans="1:5" x14ac:dyDescent="0.3">
      <c r="A521" s="2">
        <v>33329</v>
      </c>
      <c r="B521" s="23">
        <v>6.5000000000000002E-2</v>
      </c>
      <c r="C521" s="32">
        <v>5.6550724637681071E-2</v>
      </c>
      <c r="D521" s="24">
        <v>6.6554347826086976E-2</v>
      </c>
      <c r="E521" s="5">
        <v>0</v>
      </c>
    </row>
    <row r="522" spans="1:5" x14ac:dyDescent="0.3">
      <c r="A522" s="2">
        <v>33359</v>
      </c>
      <c r="B522" s="23">
        <v>6.7000000000000004E-2</v>
      </c>
      <c r="C522" s="32">
        <v>5.5101449275362209E-2</v>
      </c>
      <c r="D522" s="24">
        <v>7.0003623188405834E-2</v>
      </c>
      <c r="E522" s="5">
        <v>0</v>
      </c>
    </row>
    <row r="523" spans="1:5" x14ac:dyDescent="0.3">
      <c r="A523" s="2">
        <v>33390</v>
      </c>
      <c r="B523" s="23">
        <v>7.0000000000000007E-2</v>
      </c>
      <c r="C523" s="32">
        <v>6.1130434782608579E-2</v>
      </c>
      <c r="D523" s="24">
        <v>6.6974637681159466E-2</v>
      </c>
      <c r="E523" s="5">
        <v>0</v>
      </c>
    </row>
    <row r="524" spans="1:5" x14ac:dyDescent="0.3">
      <c r="A524" s="2">
        <v>33420</v>
      </c>
      <c r="B524" s="23">
        <v>6.8000000000000005E-2</v>
      </c>
      <c r="C524" s="32">
        <v>5.9550724637681039E-2</v>
      </c>
      <c r="D524" s="24">
        <v>6.6554347826087018E-2</v>
      </c>
      <c r="E524" s="5">
        <v>0</v>
      </c>
    </row>
    <row r="525" spans="1:5" x14ac:dyDescent="0.3">
      <c r="A525" s="2">
        <v>33451</v>
      </c>
      <c r="B525" s="23">
        <v>6.6000000000000003E-2</v>
      </c>
      <c r="C525" s="32">
        <v>5.6521739130434699E-2</v>
      </c>
      <c r="D525" s="24">
        <v>6.7583333333333356E-2</v>
      </c>
      <c r="E525" s="5">
        <v>0</v>
      </c>
    </row>
    <row r="526" spans="1:5" x14ac:dyDescent="0.3">
      <c r="A526" s="2">
        <v>33482</v>
      </c>
      <c r="B526" s="23">
        <v>6.5000000000000002E-2</v>
      </c>
      <c r="C526" s="32">
        <v>5.4768115942028898E-2</v>
      </c>
      <c r="D526" s="24">
        <v>6.8336956521739156E-2</v>
      </c>
      <c r="E526" s="5">
        <v>0</v>
      </c>
    </row>
    <row r="527" spans="1:5" x14ac:dyDescent="0.3">
      <c r="A527" s="2">
        <v>33512</v>
      </c>
      <c r="B527" s="23">
        <v>6.5000000000000002E-2</v>
      </c>
      <c r="C527" s="32">
        <v>5.3115942028985473E-2</v>
      </c>
      <c r="D527" s="24">
        <v>6.9989130434782582E-2</v>
      </c>
      <c r="E527" s="5">
        <v>0</v>
      </c>
    </row>
    <row r="528" spans="1:5" x14ac:dyDescent="0.3">
      <c r="A528" s="2">
        <v>33543</v>
      </c>
      <c r="B528" s="23">
        <v>6.7000000000000004E-2</v>
      </c>
      <c r="C528" s="32">
        <v>5.4782608695652081E-2</v>
      </c>
      <c r="D528" s="24">
        <v>7.0322463768115961E-2</v>
      </c>
      <c r="E528" s="5">
        <v>0</v>
      </c>
    </row>
    <row r="529" spans="1:5" x14ac:dyDescent="0.3">
      <c r="A529" s="2">
        <v>33573</v>
      </c>
      <c r="B529" s="23">
        <v>6.9000000000000006E-2</v>
      </c>
      <c r="C529" s="32">
        <v>5.5202898550724598E-2</v>
      </c>
      <c r="D529" s="24">
        <v>7.190217391304346E-2</v>
      </c>
      <c r="E529" s="5">
        <v>0</v>
      </c>
    </row>
    <row r="530" spans="1:5" x14ac:dyDescent="0.3">
      <c r="A530" s="2">
        <v>33604</v>
      </c>
      <c r="B530" s="23">
        <v>8.1000000000000003E-2</v>
      </c>
      <c r="C530" s="32">
        <v>6.4492753623188417E-2</v>
      </c>
      <c r="D530" s="24">
        <v>7.4612318840579631E-2</v>
      </c>
      <c r="E530" s="5">
        <v>0</v>
      </c>
    </row>
    <row r="531" spans="1:5" x14ac:dyDescent="0.3">
      <c r="A531" s="2">
        <v>33635</v>
      </c>
      <c r="B531" s="23">
        <v>8.199999999999999E-2</v>
      </c>
      <c r="C531" s="32">
        <v>6.4391304347825973E-2</v>
      </c>
      <c r="D531" s="24">
        <v>7.5713768115942062E-2</v>
      </c>
      <c r="E531" s="5">
        <v>0</v>
      </c>
    </row>
    <row r="532" spans="1:5" x14ac:dyDescent="0.3">
      <c r="A532" s="2">
        <v>33664</v>
      </c>
      <c r="B532" s="23">
        <v>7.8E-2</v>
      </c>
      <c r="C532" s="32">
        <v>6.1652173913043402E-2</v>
      </c>
      <c r="D532" s="24">
        <v>7.445289855072465E-2</v>
      </c>
      <c r="E532" s="5">
        <v>0</v>
      </c>
    </row>
    <row r="533" spans="1:5" x14ac:dyDescent="0.3">
      <c r="A533" s="2">
        <v>33695</v>
      </c>
      <c r="B533" s="23">
        <v>7.2000000000000008E-2</v>
      </c>
      <c r="C533" s="32">
        <v>5.6550724637681071E-2</v>
      </c>
      <c r="D533" s="24">
        <v>7.3554347826086983E-2</v>
      </c>
      <c r="E533" s="5">
        <v>0</v>
      </c>
    </row>
    <row r="534" spans="1:5" x14ac:dyDescent="0.3">
      <c r="A534" s="2">
        <v>33725</v>
      </c>
      <c r="B534" s="23">
        <v>7.2999999999999995E-2</v>
      </c>
      <c r="C534" s="32">
        <v>5.5101449275362209E-2</v>
      </c>
      <c r="D534" s="24">
        <v>7.6003623188405839E-2</v>
      </c>
      <c r="E534" s="5">
        <v>0</v>
      </c>
    </row>
    <row r="535" spans="1:5" x14ac:dyDescent="0.3">
      <c r="A535" s="2">
        <v>33756</v>
      </c>
      <c r="B535" s="23">
        <v>0.08</v>
      </c>
      <c r="C535" s="32">
        <v>6.1130434782608579E-2</v>
      </c>
      <c r="D535" s="24">
        <v>7.6974637681159475E-2</v>
      </c>
      <c r="E535" s="5">
        <v>0</v>
      </c>
    </row>
    <row r="536" spans="1:5" x14ac:dyDescent="0.3">
      <c r="A536" s="2">
        <v>33786</v>
      </c>
      <c r="B536" s="23">
        <v>7.6999999999999999E-2</v>
      </c>
      <c r="C536" s="32">
        <v>5.9550724637681039E-2</v>
      </c>
      <c r="D536" s="24">
        <v>7.5554347826086998E-2</v>
      </c>
      <c r="E536" s="5">
        <v>0</v>
      </c>
    </row>
    <row r="537" spans="1:5" x14ac:dyDescent="0.3">
      <c r="A537" s="2">
        <v>33817</v>
      </c>
      <c r="B537" s="23">
        <v>7.400000000000001E-2</v>
      </c>
      <c r="C537" s="32">
        <v>5.6521739130434699E-2</v>
      </c>
      <c r="D537" s="24">
        <v>7.5583333333333363E-2</v>
      </c>
      <c r="E537" s="5">
        <v>0</v>
      </c>
    </row>
    <row r="538" spans="1:5" x14ac:dyDescent="0.3">
      <c r="A538" s="2">
        <v>33848</v>
      </c>
      <c r="B538" s="23">
        <v>7.2999999999999995E-2</v>
      </c>
      <c r="C538" s="32">
        <v>5.4768115942028898E-2</v>
      </c>
      <c r="D538" s="24">
        <v>7.6336956521739135E-2</v>
      </c>
      <c r="E538" s="5">
        <v>0</v>
      </c>
    </row>
    <row r="539" spans="1:5" x14ac:dyDescent="0.3">
      <c r="A539" s="2">
        <v>33878</v>
      </c>
      <c r="B539" s="23">
        <v>6.9000000000000006E-2</v>
      </c>
      <c r="C539" s="32">
        <v>5.3115942028985473E-2</v>
      </c>
      <c r="D539" s="24">
        <v>7.3989130434782585E-2</v>
      </c>
      <c r="E539" s="5">
        <v>0</v>
      </c>
    </row>
    <row r="540" spans="1:5" x14ac:dyDescent="0.3">
      <c r="A540" s="2">
        <v>33909</v>
      </c>
      <c r="B540" s="23">
        <v>7.0999999999999994E-2</v>
      </c>
      <c r="C540" s="32">
        <v>5.4782608695652081E-2</v>
      </c>
      <c r="D540" s="24">
        <v>7.4322463768115965E-2</v>
      </c>
      <c r="E540" s="5">
        <v>0</v>
      </c>
    </row>
    <row r="541" spans="1:5" x14ac:dyDescent="0.3">
      <c r="A541" s="2">
        <v>33939</v>
      </c>
      <c r="B541" s="23">
        <v>7.0999999999999994E-2</v>
      </c>
      <c r="C541" s="32">
        <v>5.5202898550724598E-2</v>
      </c>
      <c r="D541" s="24">
        <v>7.3902173913043434E-2</v>
      </c>
      <c r="E541" s="5">
        <v>0</v>
      </c>
    </row>
    <row r="542" spans="1:5" x14ac:dyDescent="0.3">
      <c r="A542" s="2">
        <v>33970</v>
      </c>
      <c r="B542" s="23">
        <v>0.08</v>
      </c>
      <c r="C542" s="32">
        <v>6.4492753623188417E-2</v>
      </c>
      <c r="D542" s="24">
        <v>7.361231884057963E-2</v>
      </c>
      <c r="E542" s="5">
        <v>0</v>
      </c>
    </row>
    <row r="543" spans="1:5" x14ac:dyDescent="0.3">
      <c r="A543" s="2">
        <v>34001</v>
      </c>
      <c r="B543" s="23">
        <v>7.8E-2</v>
      </c>
      <c r="C543" s="32">
        <v>6.4391304347825973E-2</v>
      </c>
      <c r="D543" s="24">
        <v>7.1713768115942073E-2</v>
      </c>
      <c r="E543" s="5">
        <v>0</v>
      </c>
    </row>
    <row r="544" spans="1:5" x14ac:dyDescent="0.3">
      <c r="A544" s="2">
        <v>34029</v>
      </c>
      <c r="B544" s="23">
        <v>7.400000000000001E-2</v>
      </c>
      <c r="C544" s="32">
        <v>6.1652173913043402E-2</v>
      </c>
      <c r="D544" s="24">
        <v>7.0452898550724646E-2</v>
      </c>
      <c r="E544" s="5">
        <v>0</v>
      </c>
    </row>
    <row r="545" spans="1:5" x14ac:dyDescent="0.3">
      <c r="A545" s="2">
        <v>34060</v>
      </c>
      <c r="B545" s="23">
        <v>6.9000000000000006E-2</v>
      </c>
      <c r="C545" s="32">
        <v>5.6550724637681071E-2</v>
      </c>
      <c r="D545" s="24">
        <v>7.055434782608698E-2</v>
      </c>
      <c r="E545" s="5">
        <v>0</v>
      </c>
    </row>
    <row r="546" spans="1:5" x14ac:dyDescent="0.3">
      <c r="A546" s="2">
        <v>34090</v>
      </c>
      <c r="B546" s="23">
        <v>6.8000000000000005E-2</v>
      </c>
      <c r="C546" s="32">
        <v>5.5101449275362209E-2</v>
      </c>
      <c r="D546" s="24">
        <v>7.1003623188405834E-2</v>
      </c>
      <c r="E546" s="5">
        <v>0</v>
      </c>
    </row>
    <row r="547" spans="1:5" x14ac:dyDescent="0.3">
      <c r="A547" s="2">
        <v>34121</v>
      </c>
      <c r="B547" s="23">
        <v>7.2000000000000008E-2</v>
      </c>
      <c r="C547" s="32">
        <v>6.1130434782608579E-2</v>
      </c>
      <c r="D547" s="24">
        <v>6.8974637681159467E-2</v>
      </c>
      <c r="E547" s="5">
        <v>0</v>
      </c>
    </row>
    <row r="548" spans="1:5" x14ac:dyDescent="0.3">
      <c r="A548" s="2">
        <v>34151</v>
      </c>
      <c r="B548" s="23">
        <v>7.0000000000000007E-2</v>
      </c>
      <c r="C548" s="32">
        <v>5.9550724637681039E-2</v>
      </c>
      <c r="D548" s="24">
        <v>6.855434782608702E-2</v>
      </c>
      <c r="E548" s="5">
        <v>0</v>
      </c>
    </row>
    <row r="549" spans="1:5" x14ac:dyDescent="0.3">
      <c r="A549" s="2">
        <v>34182</v>
      </c>
      <c r="B549" s="23">
        <v>6.6000000000000003E-2</v>
      </c>
      <c r="C549" s="32">
        <v>5.6521739130434699E-2</v>
      </c>
      <c r="D549" s="24">
        <v>6.7583333333333356E-2</v>
      </c>
      <c r="E549" s="5">
        <v>0</v>
      </c>
    </row>
    <row r="550" spans="1:5" x14ac:dyDescent="0.3">
      <c r="A550" s="2">
        <v>34213</v>
      </c>
      <c r="B550" s="23">
        <v>6.4000000000000001E-2</v>
      </c>
      <c r="C550" s="32">
        <v>5.4768115942028898E-2</v>
      </c>
      <c r="D550" s="24">
        <v>6.7336956521739155E-2</v>
      </c>
      <c r="E550" s="5">
        <v>0</v>
      </c>
    </row>
    <row r="551" spans="1:5" x14ac:dyDescent="0.3">
      <c r="A551" s="2">
        <v>34243</v>
      </c>
      <c r="B551" s="23">
        <v>6.4000000000000001E-2</v>
      </c>
      <c r="C551" s="32">
        <v>5.3115942028985473E-2</v>
      </c>
      <c r="D551" s="24">
        <v>6.8989130434782581E-2</v>
      </c>
      <c r="E551" s="5">
        <v>0</v>
      </c>
    </row>
    <row r="552" spans="1:5" x14ac:dyDescent="0.3">
      <c r="A552" s="2">
        <v>34274</v>
      </c>
      <c r="B552" s="23">
        <v>6.2E-2</v>
      </c>
      <c r="C552" s="32">
        <v>5.4782608695652081E-2</v>
      </c>
      <c r="D552" s="24">
        <v>6.5322463768115957E-2</v>
      </c>
      <c r="E552" s="5">
        <v>0</v>
      </c>
    </row>
    <row r="553" spans="1:5" x14ac:dyDescent="0.3">
      <c r="A553" s="2">
        <v>34304</v>
      </c>
      <c r="B553" s="23">
        <v>6.0999999999999999E-2</v>
      </c>
      <c r="C553" s="32">
        <v>5.5202898550724598E-2</v>
      </c>
      <c r="D553" s="24">
        <v>6.3902173913043453E-2</v>
      </c>
      <c r="E553" s="5">
        <v>0</v>
      </c>
    </row>
    <row r="554" spans="1:5" x14ac:dyDescent="0.3">
      <c r="A554" s="2">
        <v>34335</v>
      </c>
      <c r="B554" s="23">
        <v>7.2999999999999995E-2</v>
      </c>
      <c r="C554" s="32">
        <v>6.4492753623188417E-2</v>
      </c>
      <c r="D554" s="24">
        <v>6.6612318840579623E-2</v>
      </c>
      <c r="E554" s="5">
        <v>0</v>
      </c>
    </row>
    <row r="555" spans="1:5" x14ac:dyDescent="0.3">
      <c r="A555" s="2">
        <v>34366</v>
      </c>
      <c r="B555" s="23">
        <v>7.0999999999999994E-2</v>
      </c>
      <c r="C555" s="32">
        <v>6.4391304347825973E-2</v>
      </c>
      <c r="D555" s="24">
        <v>6.4713768115942066E-2</v>
      </c>
      <c r="E555" s="5">
        <v>0</v>
      </c>
    </row>
    <row r="556" spans="1:5" x14ac:dyDescent="0.3">
      <c r="A556" s="2">
        <v>34394</v>
      </c>
      <c r="B556" s="23">
        <v>6.8000000000000005E-2</v>
      </c>
      <c r="C556" s="32">
        <v>6.1652173913043402E-2</v>
      </c>
      <c r="D556" s="24">
        <v>6.4452898550724641E-2</v>
      </c>
      <c r="E556" s="5">
        <v>0</v>
      </c>
    </row>
    <row r="557" spans="1:5" x14ac:dyDescent="0.3">
      <c r="A557" s="2">
        <v>34425</v>
      </c>
      <c r="B557" s="23">
        <v>6.2E-2</v>
      </c>
      <c r="C557" s="32">
        <v>5.6550724637681071E-2</v>
      </c>
      <c r="D557" s="24">
        <v>6.3554347826086974E-2</v>
      </c>
      <c r="E557" s="5">
        <v>0</v>
      </c>
    </row>
    <row r="558" spans="1:5" x14ac:dyDescent="0.3">
      <c r="A558" s="2">
        <v>34455</v>
      </c>
      <c r="B558" s="23">
        <v>5.9000000000000004E-2</v>
      </c>
      <c r="C558" s="32">
        <v>5.5101449275362209E-2</v>
      </c>
      <c r="D558" s="24">
        <v>6.200362318840584E-2</v>
      </c>
      <c r="E558" s="5">
        <v>0</v>
      </c>
    </row>
    <row r="559" spans="1:5" x14ac:dyDescent="0.3">
      <c r="A559" s="2">
        <v>34486</v>
      </c>
      <c r="B559" s="23">
        <v>6.2E-2</v>
      </c>
      <c r="C559" s="32">
        <v>6.1130434782608579E-2</v>
      </c>
      <c r="D559" s="24">
        <v>5.8974637681159466E-2</v>
      </c>
      <c r="E559" s="5">
        <v>0</v>
      </c>
    </row>
    <row r="560" spans="1:5" x14ac:dyDescent="0.3">
      <c r="A560" s="2">
        <v>34516</v>
      </c>
      <c r="B560" s="23">
        <v>6.2E-2</v>
      </c>
      <c r="C560" s="32">
        <v>5.9550724637681039E-2</v>
      </c>
      <c r="D560" s="24">
        <v>6.0554347826087006E-2</v>
      </c>
      <c r="E560" s="5">
        <v>0</v>
      </c>
    </row>
    <row r="561" spans="1:5" x14ac:dyDescent="0.3">
      <c r="A561" s="2">
        <v>34547</v>
      </c>
      <c r="B561" s="23">
        <v>5.9000000000000004E-2</v>
      </c>
      <c r="C561" s="32">
        <v>5.6521739130434699E-2</v>
      </c>
      <c r="D561" s="24">
        <v>6.058333333333335E-2</v>
      </c>
      <c r="E561" s="5">
        <v>0</v>
      </c>
    </row>
    <row r="562" spans="1:5" x14ac:dyDescent="0.3">
      <c r="A562" s="2">
        <v>34578</v>
      </c>
      <c r="B562" s="23">
        <v>5.5999999999999994E-2</v>
      </c>
      <c r="C562" s="32">
        <v>5.4768115942028898E-2</v>
      </c>
      <c r="D562" s="24">
        <v>5.9336956521739141E-2</v>
      </c>
      <c r="E562" s="5">
        <v>0</v>
      </c>
    </row>
    <row r="563" spans="1:5" x14ac:dyDescent="0.3">
      <c r="A563" s="2">
        <v>34608</v>
      </c>
      <c r="B563" s="23">
        <v>5.4000000000000006E-2</v>
      </c>
      <c r="C563" s="32">
        <v>5.3115942028985473E-2</v>
      </c>
      <c r="D563" s="24">
        <v>5.8989130434782579E-2</v>
      </c>
      <c r="E563" s="5">
        <v>0</v>
      </c>
    </row>
    <row r="564" spans="1:5" x14ac:dyDescent="0.3">
      <c r="A564" s="2">
        <v>34639</v>
      </c>
      <c r="B564" s="23">
        <v>5.2999999999999999E-2</v>
      </c>
      <c r="C564" s="32">
        <v>5.4782608695652081E-2</v>
      </c>
      <c r="D564" s="24">
        <v>5.6322463768115963E-2</v>
      </c>
      <c r="E564" s="5">
        <v>0</v>
      </c>
    </row>
    <row r="565" spans="1:5" x14ac:dyDescent="0.3">
      <c r="A565" s="2">
        <v>34669</v>
      </c>
      <c r="B565" s="23">
        <v>5.0999999999999997E-2</v>
      </c>
      <c r="C565" s="32">
        <v>5.5202898550724598E-2</v>
      </c>
      <c r="D565" s="24">
        <v>5.3902173913043444E-2</v>
      </c>
      <c r="E565" s="5">
        <v>0</v>
      </c>
    </row>
    <row r="566" spans="1:5" x14ac:dyDescent="0.3">
      <c r="A566" s="2">
        <v>34700</v>
      </c>
      <c r="B566" s="23">
        <v>6.2E-2</v>
      </c>
      <c r="C566" s="32">
        <v>6.4492753623188417E-2</v>
      </c>
      <c r="D566" s="24">
        <v>5.5612318840579628E-2</v>
      </c>
      <c r="E566" s="5">
        <v>0</v>
      </c>
    </row>
    <row r="567" spans="1:5" x14ac:dyDescent="0.3">
      <c r="A567" s="2">
        <v>34731</v>
      </c>
      <c r="B567" s="23">
        <v>5.9000000000000004E-2</v>
      </c>
      <c r="C567" s="32">
        <v>6.4391304347825973E-2</v>
      </c>
      <c r="D567" s="24">
        <v>5.2713768115942077E-2</v>
      </c>
      <c r="E567" s="5">
        <v>0</v>
      </c>
    </row>
    <row r="568" spans="1:5" x14ac:dyDescent="0.3">
      <c r="A568" s="2">
        <v>34759</v>
      </c>
      <c r="B568" s="23">
        <v>5.7000000000000002E-2</v>
      </c>
      <c r="C568" s="32">
        <v>6.1652173913043402E-2</v>
      </c>
      <c r="D568" s="24">
        <v>5.3452898550724645E-2</v>
      </c>
      <c r="E568" s="5">
        <v>0</v>
      </c>
    </row>
    <row r="569" spans="1:5" x14ac:dyDescent="0.3">
      <c r="A569" s="2">
        <v>34790</v>
      </c>
      <c r="B569" s="23">
        <v>5.5999999999999994E-2</v>
      </c>
      <c r="C569" s="32">
        <v>5.6550724637681071E-2</v>
      </c>
      <c r="D569" s="24">
        <v>5.7554347826086968E-2</v>
      </c>
      <c r="E569" s="5">
        <v>0</v>
      </c>
    </row>
    <row r="570" spans="1:5" x14ac:dyDescent="0.3">
      <c r="A570" s="2">
        <v>34820</v>
      </c>
      <c r="B570" s="23">
        <v>5.5E-2</v>
      </c>
      <c r="C570" s="32">
        <v>5.5101449275362209E-2</v>
      </c>
      <c r="D570" s="24">
        <v>5.8003623188405837E-2</v>
      </c>
      <c r="E570" s="5">
        <v>0</v>
      </c>
    </row>
    <row r="571" spans="1:5" x14ac:dyDescent="0.3">
      <c r="A571" s="2">
        <v>34851</v>
      </c>
      <c r="B571" s="23">
        <v>5.7999999999999996E-2</v>
      </c>
      <c r="C571" s="32">
        <v>6.1130434782608579E-2</v>
      </c>
      <c r="D571" s="24">
        <v>5.4974637681159462E-2</v>
      </c>
      <c r="E571" s="5">
        <v>0</v>
      </c>
    </row>
    <row r="572" spans="1:5" x14ac:dyDescent="0.3">
      <c r="A572" s="2">
        <v>34881</v>
      </c>
      <c r="B572" s="23">
        <v>5.9000000000000004E-2</v>
      </c>
      <c r="C572" s="32">
        <v>5.9550724637681039E-2</v>
      </c>
      <c r="D572" s="24">
        <v>5.755434782608701E-2</v>
      </c>
      <c r="E572" s="5">
        <v>0</v>
      </c>
    </row>
    <row r="573" spans="1:5" x14ac:dyDescent="0.3">
      <c r="A573" s="2">
        <v>34912</v>
      </c>
      <c r="B573" s="23">
        <v>5.5999999999999994E-2</v>
      </c>
      <c r="C573" s="32">
        <v>5.6521739130434699E-2</v>
      </c>
      <c r="D573" s="24">
        <v>5.7583333333333341E-2</v>
      </c>
      <c r="E573" s="5">
        <v>0</v>
      </c>
    </row>
    <row r="574" spans="1:5" x14ac:dyDescent="0.3">
      <c r="A574" s="2">
        <v>34943</v>
      </c>
      <c r="B574" s="23">
        <v>5.4000000000000006E-2</v>
      </c>
      <c r="C574" s="32">
        <v>5.4768115942028898E-2</v>
      </c>
      <c r="D574" s="24">
        <v>5.7336956521739153E-2</v>
      </c>
      <c r="E574" s="5">
        <v>0</v>
      </c>
    </row>
    <row r="575" spans="1:5" x14ac:dyDescent="0.3">
      <c r="A575" s="2">
        <v>34973</v>
      </c>
      <c r="B575" s="23">
        <v>5.2000000000000005E-2</v>
      </c>
      <c r="C575" s="32">
        <v>5.3115942028985473E-2</v>
      </c>
      <c r="D575" s="24">
        <v>5.6989130434782577E-2</v>
      </c>
      <c r="E575" s="5">
        <v>0</v>
      </c>
    </row>
    <row r="576" spans="1:5" x14ac:dyDescent="0.3">
      <c r="A576" s="2">
        <v>35004</v>
      </c>
      <c r="B576" s="23">
        <v>5.2999999999999999E-2</v>
      </c>
      <c r="C576" s="32">
        <v>5.4782608695652081E-2</v>
      </c>
      <c r="D576" s="24">
        <v>5.6322463768115963E-2</v>
      </c>
      <c r="E576" s="5">
        <v>0</v>
      </c>
    </row>
    <row r="577" spans="1:5" x14ac:dyDescent="0.3">
      <c r="A577" s="2">
        <v>35034</v>
      </c>
      <c r="B577" s="23">
        <v>5.2000000000000005E-2</v>
      </c>
      <c r="C577" s="32">
        <v>5.5202898550724598E-2</v>
      </c>
      <c r="D577" s="24">
        <v>5.4902173913043452E-2</v>
      </c>
      <c r="E577" s="5">
        <v>0</v>
      </c>
    </row>
    <row r="578" spans="1:5" x14ac:dyDescent="0.3">
      <c r="A578" s="2">
        <v>35065</v>
      </c>
      <c r="B578" s="23">
        <v>6.3E-2</v>
      </c>
      <c r="C578" s="32">
        <v>6.4492753623188417E-2</v>
      </c>
      <c r="D578" s="24">
        <v>5.6612318840579628E-2</v>
      </c>
      <c r="E578" s="5">
        <v>0</v>
      </c>
    </row>
    <row r="579" spans="1:5" x14ac:dyDescent="0.3">
      <c r="A579" s="2">
        <v>35096</v>
      </c>
      <c r="B579" s="23">
        <v>0.06</v>
      </c>
      <c r="C579" s="32">
        <v>6.4391304347825973E-2</v>
      </c>
      <c r="D579" s="24">
        <v>5.371376811594207E-2</v>
      </c>
      <c r="E579" s="5">
        <v>0</v>
      </c>
    </row>
    <row r="580" spans="1:5" x14ac:dyDescent="0.3">
      <c r="A580" s="2">
        <v>35125</v>
      </c>
      <c r="B580" s="23">
        <v>5.7999999999999996E-2</v>
      </c>
      <c r="C580" s="32">
        <v>6.1652173913043402E-2</v>
      </c>
      <c r="D580" s="24">
        <v>5.4452898550724639E-2</v>
      </c>
      <c r="E580" s="5">
        <v>0</v>
      </c>
    </row>
    <row r="581" spans="1:5" x14ac:dyDescent="0.3">
      <c r="A581" s="2">
        <v>35156</v>
      </c>
      <c r="B581" s="23">
        <v>5.4000000000000006E-2</v>
      </c>
      <c r="C581" s="32">
        <v>5.6550724637681071E-2</v>
      </c>
      <c r="D581" s="24">
        <v>5.5554347826086981E-2</v>
      </c>
      <c r="E581" s="5">
        <v>0</v>
      </c>
    </row>
    <row r="582" spans="1:5" x14ac:dyDescent="0.3">
      <c r="A582" s="2">
        <v>35186</v>
      </c>
      <c r="B582" s="23">
        <v>5.4000000000000006E-2</v>
      </c>
      <c r="C582" s="32">
        <v>5.5101449275362209E-2</v>
      </c>
      <c r="D582" s="24">
        <v>5.7003623188405843E-2</v>
      </c>
      <c r="E582" s="5">
        <v>0</v>
      </c>
    </row>
    <row r="583" spans="1:5" x14ac:dyDescent="0.3">
      <c r="A583" s="2">
        <v>35217</v>
      </c>
      <c r="B583" s="23">
        <v>5.5E-2</v>
      </c>
      <c r="C583" s="32">
        <v>6.1130434782608579E-2</v>
      </c>
      <c r="D583" s="24">
        <v>5.1974637681159466E-2</v>
      </c>
      <c r="E583" s="5">
        <v>0</v>
      </c>
    </row>
    <row r="584" spans="1:5" x14ac:dyDescent="0.3">
      <c r="A584" s="2">
        <v>35247</v>
      </c>
      <c r="B584" s="23">
        <v>5.5999999999999994E-2</v>
      </c>
      <c r="C584" s="32">
        <v>5.9550724637681039E-2</v>
      </c>
      <c r="D584" s="24">
        <v>5.4554347826087E-2</v>
      </c>
      <c r="E584" s="5">
        <v>0</v>
      </c>
    </row>
    <row r="585" spans="1:5" x14ac:dyDescent="0.3">
      <c r="A585" s="2">
        <v>35278</v>
      </c>
      <c r="B585" s="23">
        <v>5.0999999999999997E-2</v>
      </c>
      <c r="C585" s="32">
        <v>5.6521739130434699E-2</v>
      </c>
      <c r="D585" s="24">
        <v>5.2583333333333343E-2</v>
      </c>
      <c r="E585" s="5">
        <v>0</v>
      </c>
    </row>
    <row r="586" spans="1:5" x14ac:dyDescent="0.3">
      <c r="A586" s="2">
        <v>35309</v>
      </c>
      <c r="B586" s="23">
        <v>0.05</v>
      </c>
      <c r="C586" s="32">
        <v>5.4768115942028898E-2</v>
      </c>
      <c r="D586" s="24">
        <v>5.333695652173915E-2</v>
      </c>
      <c r="E586" s="5">
        <v>0</v>
      </c>
    </row>
    <row r="587" spans="1:5" x14ac:dyDescent="0.3">
      <c r="A587" s="2">
        <v>35339</v>
      </c>
      <c r="B587" s="23">
        <v>4.9000000000000002E-2</v>
      </c>
      <c r="C587" s="32">
        <v>5.3115942028985473E-2</v>
      </c>
      <c r="D587" s="24">
        <v>5.3989130434782574E-2</v>
      </c>
      <c r="E587" s="5">
        <v>0</v>
      </c>
    </row>
    <row r="588" spans="1:5" x14ac:dyDescent="0.3">
      <c r="A588" s="2">
        <v>35370</v>
      </c>
      <c r="B588" s="23">
        <v>0.05</v>
      </c>
      <c r="C588" s="32">
        <v>5.4782608695652081E-2</v>
      </c>
      <c r="D588" s="24">
        <v>5.3322463768115967E-2</v>
      </c>
      <c r="E588" s="5">
        <v>0</v>
      </c>
    </row>
    <row r="589" spans="1:5" x14ac:dyDescent="0.3">
      <c r="A589" s="2">
        <v>35400</v>
      </c>
      <c r="B589" s="23">
        <v>0.05</v>
      </c>
      <c r="C589" s="32">
        <v>5.5202898550724598E-2</v>
      </c>
      <c r="D589" s="24">
        <v>5.290217391304345E-2</v>
      </c>
      <c r="E589" s="5">
        <v>0</v>
      </c>
    </row>
    <row r="590" spans="1:5" x14ac:dyDescent="0.3">
      <c r="A590" s="2">
        <v>35431</v>
      </c>
      <c r="B590" s="23">
        <v>5.9000000000000004E-2</v>
      </c>
      <c r="C590" s="32">
        <v>6.4492753623188417E-2</v>
      </c>
      <c r="D590" s="24">
        <v>5.2612318840579632E-2</v>
      </c>
      <c r="E590" s="5">
        <v>0</v>
      </c>
    </row>
    <row r="591" spans="1:5" x14ac:dyDescent="0.3">
      <c r="A591" s="2">
        <v>35462</v>
      </c>
      <c r="B591" s="23">
        <v>5.7000000000000002E-2</v>
      </c>
      <c r="C591" s="32">
        <v>6.4391304347825973E-2</v>
      </c>
      <c r="D591" s="24">
        <v>5.0713768115942075E-2</v>
      </c>
      <c r="E591" s="5">
        <v>0</v>
      </c>
    </row>
    <row r="592" spans="1:5" x14ac:dyDescent="0.3">
      <c r="A592" s="2">
        <v>35490</v>
      </c>
      <c r="B592" s="23">
        <v>5.5E-2</v>
      </c>
      <c r="C592" s="32">
        <v>6.1652173913043402E-2</v>
      </c>
      <c r="D592" s="24">
        <v>5.1452898550724643E-2</v>
      </c>
      <c r="E592" s="5">
        <v>0</v>
      </c>
    </row>
    <row r="593" spans="1:5" x14ac:dyDescent="0.3">
      <c r="A593" s="2">
        <v>35521</v>
      </c>
      <c r="B593" s="23">
        <v>4.8000000000000001E-2</v>
      </c>
      <c r="C593" s="32">
        <v>5.6550724637681071E-2</v>
      </c>
      <c r="D593" s="24">
        <v>4.9554347826086975E-2</v>
      </c>
      <c r="E593" s="5">
        <v>0</v>
      </c>
    </row>
    <row r="594" spans="1:5" x14ac:dyDescent="0.3">
      <c r="A594" s="2">
        <v>35551</v>
      </c>
      <c r="B594" s="23">
        <v>4.7E-2</v>
      </c>
      <c r="C594" s="32">
        <v>5.5101449275362209E-2</v>
      </c>
      <c r="D594" s="24">
        <v>5.0003623188405837E-2</v>
      </c>
      <c r="E594" s="5">
        <v>0</v>
      </c>
    </row>
    <row r="595" spans="1:5" x14ac:dyDescent="0.3">
      <c r="A595" s="2">
        <v>35582</v>
      </c>
      <c r="B595" s="23">
        <v>5.2000000000000005E-2</v>
      </c>
      <c r="C595" s="32">
        <v>6.1130434782608579E-2</v>
      </c>
      <c r="D595" s="24">
        <v>4.8974637681159471E-2</v>
      </c>
      <c r="E595" s="5">
        <v>0</v>
      </c>
    </row>
    <row r="596" spans="1:5" x14ac:dyDescent="0.3">
      <c r="A596" s="2">
        <v>35612</v>
      </c>
      <c r="B596" s="23">
        <v>0.05</v>
      </c>
      <c r="C596" s="32">
        <v>5.9550724637681039E-2</v>
      </c>
      <c r="D596" s="24">
        <v>4.8554347826087009E-2</v>
      </c>
      <c r="E596" s="5">
        <v>0</v>
      </c>
    </row>
    <row r="597" spans="1:5" x14ac:dyDescent="0.3">
      <c r="A597" s="2">
        <v>35643</v>
      </c>
      <c r="B597" s="23">
        <v>4.8000000000000001E-2</v>
      </c>
      <c r="C597" s="32">
        <v>5.6521739130434699E-2</v>
      </c>
      <c r="D597" s="24">
        <v>4.9583333333333347E-2</v>
      </c>
      <c r="E597" s="5">
        <v>0</v>
      </c>
    </row>
    <row r="598" spans="1:5" x14ac:dyDescent="0.3">
      <c r="A598" s="2">
        <v>35674</v>
      </c>
      <c r="B598" s="23">
        <v>4.7E-2</v>
      </c>
      <c r="C598" s="32">
        <v>5.4768115942028898E-2</v>
      </c>
      <c r="D598" s="24">
        <v>5.0336956521739147E-2</v>
      </c>
      <c r="E598" s="5">
        <v>0</v>
      </c>
    </row>
    <row r="599" spans="1:5" x14ac:dyDescent="0.3">
      <c r="A599" s="2">
        <v>35704</v>
      </c>
      <c r="B599" s="23">
        <v>4.4000000000000004E-2</v>
      </c>
      <c r="C599" s="32">
        <v>5.3115942028985473E-2</v>
      </c>
      <c r="D599" s="24">
        <v>4.8989130434782577E-2</v>
      </c>
      <c r="E599" s="5">
        <v>0</v>
      </c>
    </row>
    <row r="600" spans="1:5" x14ac:dyDescent="0.3">
      <c r="A600" s="2">
        <v>35735</v>
      </c>
      <c r="B600" s="23">
        <v>4.2999999999999997E-2</v>
      </c>
      <c r="C600" s="32">
        <v>5.4782608695652081E-2</v>
      </c>
      <c r="D600" s="24">
        <v>4.6322463768115961E-2</v>
      </c>
      <c r="E600" s="5">
        <v>0</v>
      </c>
    </row>
    <row r="601" spans="1:5" x14ac:dyDescent="0.3">
      <c r="A601" s="2">
        <v>35765</v>
      </c>
      <c r="B601" s="23">
        <v>4.4000000000000004E-2</v>
      </c>
      <c r="C601" s="32">
        <v>5.5202898550724598E-2</v>
      </c>
      <c r="D601" s="24">
        <v>4.6902173913043452E-2</v>
      </c>
      <c r="E601" s="5">
        <v>0</v>
      </c>
    </row>
    <row r="602" spans="1:5" x14ac:dyDescent="0.3">
      <c r="A602" s="2">
        <v>35796</v>
      </c>
      <c r="B602" s="23">
        <v>5.2000000000000005E-2</v>
      </c>
      <c r="C602" s="32">
        <v>6.4492753623188417E-2</v>
      </c>
      <c r="D602" s="24">
        <v>4.5612318840579633E-2</v>
      </c>
      <c r="E602" s="5">
        <v>0</v>
      </c>
    </row>
    <row r="603" spans="1:5" x14ac:dyDescent="0.3">
      <c r="A603" s="2">
        <v>35827</v>
      </c>
      <c r="B603" s="23">
        <v>0.05</v>
      </c>
      <c r="C603" s="32">
        <v>6.4391304347825973E-2</v>
      </c>
      <c r="D603" s="24">
        <v>4.3713768115942075E-2</v>
      </c>
      <c r="E603" s="5">
        <v>0</v>
      </c>
    </row>
    <row r="604" spans="1:5" x14ac:dyDescent="0.3">
      <c r="A604" s="2">
        <v>35855</v>
      </c>
      <c r="B604" s="23">
        <v>0.05</v>
      </c>
      <c r="C604" s="32">
        <v>6.1652173913043402E-2</v>
      </c>
      <c r="D604" s="24">
        <v>4.6452898550724646E-2</v>
      </c>
      <c r="E604" s="5">
        <v>0</v>
      </c>
    </row>
    <row r="605" spans="1:5" x14ac:dyDescent="0.3">
      <c r="A605" s="2">
        <v>35886</v>
      </c>
      <c r="B605" s="23">
        <v>4.0999999999999995E-2</v>
      </c>
      <c r="C605" s="32">
        <v>5.6550724637681071E-2</v>
      </c>
      <c r="D605" s="24">
        <v>4.2554347826086969E-2</v>
      </c>
      <c r="E605" s="5">
        <v>0</v>
      </c>
    </row>
    <row r="606" spans="1:5" x14ac:dyDescent="0.3">
      <c r="A606" s="2">
        <v>35916</v>
      </c>
      <c r="B606" s="23">
        <v>4.2000000000000003E-2</v>
      </c>
      <c r="C606" s="32">
        <v>5.5101449275362209E-2</v>
      </c>
      <c r="D606" s="24">
        <v>4.5003623188405839E-2</v>
      </c>
      <c r="E606" s="5">
        <v>0</v>
      </c>
    </row>
    <row r="607" spans="1:5" x14ac:dyDescent="0.3">
      <c r="A607" s="2">
        <v>35947</v>
      </c>
      <c r="B607" s="23">
        <v>4.7E-2</v>
      </c>
      <c r="C607" s="32">
        <v>6.1130434782608579E-2</v>
      </c>
      <c r="D607" s="24">
        <v>4.3974637681159466E-2</v>
      </c>
      <c r="E607" s="5">
        <v>0</v>
      </c>
    </row>
    <row r="608" spans="1:5" x14ac:dyDescent="0.3">
      <c r="A608" s="2">
        <v>35977</v>
      </c>
      <c r="B608" s="23">
        <v>4.7E-2</v>
      </c>
      <c r="C608" s="32">
        <v>5.9550724637681039E-2</v>
      </c>
      <c r="D608" s="24">
        <v>4.5554347826087006E-2</v>
      </c>
      <c r="E608" s="5">
        <v>0</v>
      </c>
    </row>
    <row r="609" spans="1:5" x14ac:dyDescent="0.3">
      <c r="A609" s="2">
        <v>36008</v>
      </c>
      <c r="B609" s="23">
        <v>4.4999999999999998E-2</v>
      </c>
      <c r="C609" s="32">
        <v>5.6521739130434699E-2</v>
      </c>
      <c r="D609" s="24">
        <v>4.6583333333333345E-2</v>
      </c>
      <c r="E609" s="5">
        <v>0</v>
      </c>
    </row>
    <row r="610" spans="1:5" x14ac:dyDescent="0.3">
      <c r="A610" s="2">
        <v>36039</v>
      </c>
      <c r="B610" s="23">
        <v>4.4000000000000004E-2</v>
      </c>
      <c r="C610" s="32">
        <v>5.4768115942028898E-2</v>
      </c>
      <c r="D610" s="24">
        <v>4.7336956521739151E-2</v>
      </c>
      <c r="E610" s="5">
        <v>0</v>
      </c>
    </row>
    <row r="611" spans="1:5" x14ac:dyDescent="0.3">
      <c r="A611" s="2">
        <v>36069</v>
      </c>
      <c r="B611" s="23">
        <v>4.2000000000000003E-2</v>
      </c>
      <c r="C611" s="32">
        <v>5.3115942028985473E-2</v>
      </c>
      <c r="D611" s="24">
        <v>4.6989130434782575E-2</v>
      </c>
      <c r="E611" s="5">
        <v>0</v>
      </c>
    </row>
    <row r="612" spans="1:5" x14ac:dyDescent="0.3">
      <c r="A612" s="2">
        <v>36100</v>
      </c>
      <c r="B612" s="23">
        <v>4.0999999999999995E-2</v>
      </c>
      <c r="C612" s="32">
        <v>5.4782608695652081E-2</v>
      </c>
      <c r="D612" s="24">
        <v>4.4322463768115959E-2</v>
      </c>
      <c r="E612" s="5">
        <v>0</v>
      </c>
    </row>
    <row r="613" spans="1:5" x14ac:dyDescent="0.3">
      <c r="A613" s="2">
        <v>36130</v>
      </c>
      <c r="B613" s="23">
        <v>0.04</v>
      </c>
      <c r="C613" s="32">
        <v>5.5202898550724598E-2</v>
      </c>
      <c r="D613" s="24">
        <v>4.2902173913043448E-2</v>
      </c>
      <c r="E613" s="5">
        <v>0</v>
      </c>
    </row>
    <row r="614" spans="1:5" x14ac:dyDescent="0.3">
      <c r="A614" s="2">
        <v>36161</v>
      </c>
      <c r="B614" s="23">
        <v>4.8000000000000001E-2</v>
      </c>
      <c r="C614" s="32">
        <v>6.4492753623188417E-2</v>
      </c>
      <c r="D614" s="24">
        <v>4.1612318840579629E-2</v>
      </c>
      <c r="E614" s="5">
        <v>0</v>
      </c>
    </row>
    <row r="615" spans="1:5" x14ac:dyDescent="0.3">
      <c r="A615" s="2">
        <v>36192</v>
      </c>
      <c r="B615" s="23">
        <v>4.7E-2</v>
      </c>
      <c r="C615" s="32">
        <v>6.4391304347825973E-2</v>
      </c>
      <c r="D615" s="24">
        <v>4.0713768115942073E-2</v>
      </c>
      <c r="E615" s="5">
        <v>0</v>
      </c>
    </row>
    <row r="616" spans="1:5" x14ac:dyDescent="0.3">
      <c r="A616" s="2">
        <v>36220</v>
      </c>
      <c r="B616" s="23">
        <v>4.4000000000000004E-2</v>
      </c>
      <c r="C616" s="32">
        <v>6.1652173913043402E-2</v>
      </c>
      <c r="D616" s="24">
        <v>4.0452898550724647E-2</v>
      </c>
      <c r="E616" s="5">
        <v>0</v>
      </c>
    </row>
    <row r="617" spans="1:5" x14ac:dyDescent="0.3">
      <c r="A617" s="2">
        <v>36251</v>
      </c>
      <c r="B617" s="23">
        <v>4.0999999999999995E-2</v>
      </c>
      <c r="C617" s="32">
        <v>5.6550724637681071E-2</v>
      </c>
      <c r="D617" s="24">
        <v>4.2554347826086969E-2</v>
      </c>
      <c r="E617" s="5">
        <v>0</v>
      </c>
    </row>
    <row r="618" spans="1:5" x14ac:dyDescent="0.3">
      <c r="A618" s="2">
        <v>36281</v>
      </c>
      <c r="B618" s="23">
        <v>0.04</v>
      </c>
      <c r="C618" s="32">
        <v>5.5101449275362209E-2</v>
      </c>
      <c r="D618" s="24">
        <v>4.3003623188405837E-2</v>
      </c>
      <c r="E618" s="5">
        <v>0</v>
      </c>
    </row>
    <row r="619" spans="1:5" x14ac:dyDescent="0.3">
      <c r="A619" s="2">
        <v>36312</v>
      </c>
      <c r="B619" s="23">
        <v>4.4999999999999998E-2</v>
      </c>
      <c r="C619" s="32">
        <v>6.1130434782608579E-2</v>
      </c>
      <c r="D619" s="24">
        <v>4.1974637681159464E-2</v>
      </c>
      <c r="E619" s="5">
        <v>0</v>
      </c>
    </row>
    <row r="620" spans="1:5" x14ac:dyDescent="0.3">
      <c r="A620" s="2">
        <v>36342</v>
      </c>
      <c r="B620" s="23">
        <v>4.4999999999999998E-2</v>
      </c>
      <c r="C620" s="32">
        <v>5.9550724637681039E-2</v>
      </c>
      <c r="D620" s="24">
        <v>4.3554347826087005E-2</v>
      </c>
      <c r="E620" s="5">
        <v>0</v>
      </c>
    </row>
    <row r="621" spans="1:5" x14ac:dyDescent="0.3">
      <c r="A621" s="2">
        <v>36373</v>
      </c>
      <c r="B621" s="23">
        <v>4.2000000000000003E-2</v>
      </c>
      <c r="C621" s="32">
        <v>5.6521739130434699E-2</v>
      </c>
      <c r="D621" s="24">
        <v>4.3583333333333349E-2</v>
      </c>
      <c r="E621" s="5">
        <v>0</v>
      </c>
    </row>
    <row r="622" spans="1:5" x14ac:dyDescent="0.3">
      <c r="A622" s="2">
        <v>36404</v>
      </c>
      <c r="B622" s="23">
        <v>4.0999999999999995E-2</v>
      </c>
      <c r="C622" s="32">
        <v>5.4768115942028898E-2</v>
      </c>
      <c r="D622" s="24">
        <v>4.4336956521739142E-2</v>
      </c>
      <c r="E622" s="5">
        <v>0</v>
      </c>
    </row>
    <row r="623" spans="1:5" x14ac:dyDescent="0.3">
      <c r="A623" s="2">
        <v>36434</v>
      </c>
      <c r="B623" s="23">
        <v>3.7999999999999999E-2</v>
      </c>
      <c r="C623" s="32">
        <v>5.3115942028985473E-2</v>
      </c>
      <c r="D623" s="24">
        <v>4.2989130434782571E-2</v>
      </c>
      <c r="E623" s="5">
        <v>0</v>
      </c>
    </row>
    <row r="624" spans="1:5" x14ac:dyDescent="0.3">
      <c r="A624" s="2">
        <v>36465</v>
      </c>
      <c r="B624" s="23">
        <v>3.7999999999999999E-2</v>
      </c>
      <c r="C624" s="32">
        <v>5.4782608695652081E-2</v>
      </c>
      <c r="D624" s="24">
        <v>4.1322463768115963E-2</v>
      </c>
      <c r="E624" s="5">
        <v>0</v>
      </c>
    </row>
    <row r="625" spans="1:5" x14ac:dyDescent="0.3">
      <c r="A625" s="2">
        <v>36495</v>
      </c>
      <c r="B625" s="23">
        <v>3.7000000000000005E-2</v>
      </c>
      <c r="C625" s="32">
        <v>5.5202898550724598E-2</v>
      </c>
      <c r="D625" s="24">
        <v>3.9902173913043452E-2</v>
      </c>
      <c r="E625" s="5">
        <v>0</v>
      </c>
    </row>
    <row r="626" spans="1:5" x14ac:dyDescent="0.3">
      <c r="A626" s="2">
        <v>36526</v>
      </c>
      <c r="B626" s="23">
        <v>4.4999999999999998E-2</v>
      </c>
      <c r="C626" s="32">
        <v>6.4492753623188417E-2</v>
      </c>
      <c r="D626" s="24">
        <v>3.8612318840579626E-2</v>
      </c>
      <c r="E626" s="5">
        <v>0</v>
      </c>
    </row>
    <row r="627" spans="1:5" x14ac:dyDescent="0.3">
      <c r="A627" s="2">
        <v>36557</v>
      </c>
      <c r="B627" s="23">
        <v>4.4000000000000004E-2</v>
      </c>
      <c r="C627" s="32">
        <v>6.4391304347825973E-2</v>
      </c>
      <c r="D627" s="24">
        <v>3.7713768115942077E-2</v>
      </c>
      <c r="E627" s="5">
        <v>0</v>
      </c>
    </row>
    <row r="628" spans="1:5" x14ac:dyDescent="0.3">
      <c r="A628" s="2">
        <v>36586</v>
      </c>
      <c r="B628" s="23">
        <v>4.2999999999999997E-2</v>
      </c>
      <c r="C628" s="32">
        <v>6.1652173913043402E-2</v>
      </c>
      <c r="D628" s="24">
        <v>3.945289855072464E-2</v>
      </c>
      <c r="E628" s="5">
        <v>0</v>
      </c>
    </row>
    <row r="629" spans="1:5" x14ac:dyDescent="0.3">
      <c r="A629" s="2">
        <v>36617</v>
      </c>
      <c r="B629" s="23">
        <v>3.7000000000000005E-2</v>
      </c>
      <c r="C629" s="32">
        <v>5.6550724637681071E-2</v>
      </c>
      <c r="D629" s="24">
        <v>3.8554347826086979E-2</v>
      </c>
      <c r="E629" s="5">
        <v>0</v>
      </c>
    </row>
    <row r="630" spans="1:5" x14ac:dyDescent="0.3">
      <c r="A630" s="2">
        <v>36647</v>
      </c>
      <c r="B630" s="23">
        <v>3.7999999999999999E-2</v>
      </c>
      <c r="C630" s="32">
        <v>5.5101449275362209E-2</v>
      </c>
      <c r="D630" s="24">
        <v>4.1003623188405836E-2</v>
      </c>
      <c r="E630" s="5">
        <v>0</v>
      </c>
    </row>
    <row r="631" spans="1:5" x14ac:dyDescent="0.3">
      <c r="A631" s="2">
        <v>36678</v>
      </c>
      <c r="B631" s="23">
        <v>4.0999999999999995E-2</v>
      </c>
      <c r="C631" s="32">
        <v>6.1130434782608579E-2</v>
      </c>
      <c r="D631" s="24">
        <v>3.7974637681159461E-2</v>
      </c>
      <c r="E631" s="5">
        <v>0</v>
      </c>
    </row>
    <row r="632" spans="1:5" x14ac:dyDescent="0.3">
      <c r="A632" s="2">
        <v>36708</v>
      </c>
      <c r="B632" s="23">
        <v>4.2000000000000003E-2</v>
      </c>
      <c r="C632" s="32">
        <v>5.9550724637681039E-2</v>
      </c>
      <c r="D632" s="24">
        <v>4.0554347826087009E-2</v>
      </c>
      <c r="E632" s="5">
        <v>0</v>
      </c>
    </row>
    <row r="633" spans="1:5" x14ac:dyDescent="0.3">
      <c r="A633" s="2">
        <v>36739</v>
      </c>
      <c r="B633" s="23">
        <v>4.0999999999999995E-2</v>
      </c>
      <c r="C633" s="32">
        <v>5.6521739130434699E-2</v>
      </c>
      <c r="D633" s="24">
        <v>4.2583333333333341E-2</v>
      </c>
      <c r="E633" s="5">
        <v>0</v>
      </c>
    </row>
    <row r="634" spans="1:5" x14ac:dyDescent="0.3">
      <c r="A634" s="2">
        <v>36770</v>
      </c>
      <c r="B634" s="23">
        <v>3.7999999999999999E-2</v>
      </c>
      <c r="C634" s="32">
        <v>5.4768115942028898E-2</v>
      </c>
      <c r="D634" s="24">
        <v>4.1336956521739146E-2</v>
      </c>
      <c r="E634" s="5">
        <v>0</v>
      </c>
    </row>
    <row r="635" spans="1:5" x14ac:dyDescent="0.3">
      <c r="A635" s="2">
        <v>36800</v>
      </c>
      <c r="B635" s="23">
        <v>3.6000000000000004E-2</v>
      </c>
      <c r="C635" s="32">
        <v>5.3115942028985473E-2</v>
      </c>
      <c r="D635" s="24">
        <v>4.0989130434782577E-2</v>
      </c>
      <c r="E635" s="5">
        <v>0</v>
      </c>
    </row>
    <row r="636" spans="1:5" x14ac:dyDescent="0.3">
      <c r="A636" s="2">
        <v>36831</v>
      </c>
      <c r="B636" s="23">
        <v>3.7000000000000005E-2</v>
      </c>
      <c r="C636" s="32">
        <v>5.4782608695652081E-2</v>
      </c>
      <c r="D636" s="24">
        <v>4.0322463768115969E-2</v>
      </c>
      <c r="E636" s="5">
        <v>0</v>
      </c>
    </row>
    <row r="637" spans="1:5" x14ac:dyDescent="0.3">
      <c r="A637" s="2">
        <v>36861</v>
      </c>
      <c r="B637" s="23">
        <v>3.7000000000000005E-2</v>
      </c>
      <c r="C637" s="32">
        <v>5.5202898550724598E-2</v>
      </c>
      <c r="D637" s="24">
        <v>3.9902173913043452E-2</v>
      </c>
      <c r="E637" s="5">
        <v>0</v>
      </c>
    </row>
    <row r="638" spans="1:5" x14ac:dyDescent="0.3">
      <c r="A638" s="2">
        <v>36892</v>
      </c>
      <c r="B638" s="23">
        <v>4.7E-2</v>
      </c>
      <c r="C638" s="32">
        <v>6.4492753623188417E-2</v>
      </c>
      <c r="D638" s="24">
        <v>4.0612318840579628E-2</v>
      </c>
      <c r="E638" s="5">
        <v>0</v>
      </c>
    </row>
    <row r="639" spans="1:5" x14ac:dyDescent="0.3">
      <c r="A639" s="2">
        <v>36923</v>
      </c>
      <c r="B639" s="23">
        <v>4.5999999999999999E-2</v>
      </c>
      <c r="C639" s="32">
        <v>6.4391304347825973E-2</v>
      </c>
      <c r="D639" s="24">
        <v>3.9713768115942072E-2</v>
      </c>
      <c r="E639" s="5">
        <v>0</v>
      </c>
    </row>
    <row r="640" spans="1:5" x14ac:dyDescent="0.3">
      <c r="A640" s="2">
        <v>36951</v>
      </c>
      <c r="B640" s="23">
        <v>4.4999999999999998E-2</v>
      </c>
      <c r="C640" s="32">
        <v>6.1652173913043402E-2</v>
      </c>
      <c r="D640" s="24">
        <v>4.1452898550724641E-2</v>
      </c>
      <c r="E640" s="5">
        <v>0</v>
      </c>
    </row>
    <row r="641" spans="1:5" x14ac:dyDescent="0.3">
      <c r="A641" s="2">
        <v>36982</v>
      </c>
      <c r="B641" s="23">
        <v>4.2000000000000003E-2</v>
      </c>
      <c r="C641" s="32">
        <v>5.6550724637681071E-2</v>
      </c>
      <c r="D641" s="24">
        <v>4.3554347826086977E-2</v>
      </c>
      <c r="E641" s="5">
        <v>1</v>
      </c>
    </row>
    <row r="642" spans="1:5" x14ac:dyDescent="0.3">
      <c r="A642" s="2">
        <v>37012</v>
      </c>
      <c r="B642" s="23">
        <v>4.0999999999999995E-2</v>
      </c>
      <c r="C642" s="32">
        <v>5.5101449275362209E-2</v>
      </c>
      <c r="D642" s="24">
        <v>4.4003623188405831E-2</v>
      </c>
      <c r="E642" s="5">
        <v>1</v>
      </c>
    </row>
    <row r="643" spans="1:5" x14ac:dyDescent="0.3">
      <c r="A643" s="2">
        <v>37043</v>
      </c>
      <c r="B643" s="23">
        <v>4.7E-2</v>
      </c>
      <c r="C643" s="32">
        <v>6.1130434782608579E-2</v>
      </c>
      <c r="D643" s="24">
        <v>4.3974637681159466E-2</v>
      </c>
      <c r="E643" s="5">
        <v>1</v>
      </c>
    </row>
    <row r="644" spans="1:5" x14ac:dyDescent="0.3">
      <c r="A644" s="2">
        <v>37073</v>
      </c>
      <c r="B644" s="23">
        <v>4.7E-2</v>
      </c>
      <c r="C644" s="32">
        <v>5.9550724637681039E-2</v>
      </c>
      <c r="D644" s="24">
        <v>4.5554347826087006E-2</v>
      </c>
      <c r="E644" s="5">
        <v>1</v>
      </c>
    </row>
    <row r="645" spans="1:5" x14ac:dyDescent="0.3">
      <c r="A645" s="2">
        <v>37104</v>
      </c>
      <c r="B645" s="23">
        <v>4.9000000000000002E-2</v>
      </c>
      <c r="C645" s="32">
        <v>5.6521739130434699E-2</v>
      </c>
      <c r="D645" s="24">
        <v>5.0583333333333348E-2</v>
      </c>
      <c r="E645" s="5">
        <v>1</v>
      </c>
    </row>
    <row r="646" spans="1:5" x14ac:dyDescent="0.3">
      <c r="A646" s="2">
        <v>37135</v>
      </c>
      <c r="B646" s="23">
        <v>4.7E-2</v>
      </c>
      <c r="C646" s="32">
        <v>5.4768115942028898E-2</v>
      </c>
      <c r="D646" s="24">
        <v>5.0336956521739147E-2</v>
      </c>
      <c r="E646" s="5">
        <v>1</v>
      </c>
    </row>
    <row r="647" spans="1:5" x14ac:dyDescent="0.3">
      <c r="A647" s="2">
        <v>37165</v>
      </c>
      <c r="B647" s="23">
        <v>0.05</v>
      </c>
      <c r="C647" s="32">
        <v>5.3115942028985473E-2</v>
      </c>
      <c r="D647" s="24">
        <v>5.4989130434782575E-2</v>
      </c>
      <c r="E647" s="5">
        <v>1</v>
      </c>
    </row>
    <row r="648" spans="1:5" x14ac:dyDescent="0.3">
      <c r="A648" s="2">
        <v>37196</v>
      </c>
      <c r="B648" s="23">
        <v>5.2999999999999999E-2</v>
      </c>
      <c r="C648" s="32">
        <v>5.4782608695652081E-2</v>
      </c>
      <c r="D648" s="24">
        <v>5.6322463768115963E-2</v>
      </c>
      <c r="E648" s="5">
        <v>1</v>
      </c>
    </row>
    <row r="649" spans="1:5" x14ac:dyDescent="0.3">
      <c r="A649" s="2">
        <v>37226</v>
      </c>
      <c r="B649" s="23">
        <v>5.4000000000000006E-2</v>
      </c>
      <c r="C649" s="32">
        <v>5.5202898550724598E-2</v>
      </c>
      <c r="D649" s="24">
        <v>5.6902173913043454E-2</v>
      </c>
      <c r="E649" s="5">
        <v>0</v>
      </c>
    </row>
    <row r="650" spans="1:5" x14ac:dyDescent="0.3">
      <c r="A650" s="2">
        <v>37257</v>
      </c>
      <c r="B650" s="23">
        <v>6.3E-2</v>
      </c>
      <c r="C650" s="32">
        <v>6.4492753623188417E-2</v>
      </c>
      <c r="D650" s="24">
        <v>5.6612318840579628E-2</v>
      </c>
      <c r="E650" s="5">
        <v>0</v>
      </c>
    </row>
    <row r="651" spans="1:5" x14ac:dyDescent="0.3">
      <c r="A651" s="2">
        <v>37288</v>
      </c>
      <c r="B651" s="23">
        <v>6.0999999999999999E-2</v>
      </c>
      <c r="C651" s="32">
        <v>6.4391304347825973E-2</v>
      </c>
      <c r="D651" s="24">
        <v>5.4713768115942071E-2</v>
      </c>
      <c r="E651" s="5">
        <v>0</v>
      </c>
    </row>
    <row r="652" spans="1:5" x14ac:dyDescent="0.3">
      <c r="A652" s="2">
        <v>37316</v>
      </c>
      <c r="B652" s="23">
        <v>6.0999999999999999E-2</v>
      </c>
      <c r="C652" s="32">
        <v>6.1652173913043402E-2</v>
      </c>
      <c r="D652" s="24">
        <v>5.7452898550724642E-2</v>
      </c>
      <c r="E652" s="5">
        <v>0</v>
      </c>
    </row>
    <row r="653" spans="1:5" x14ac:dyDescent="0.3">
      <c r="A653" s="2">
        <v>37347</v>
      </c>
      <c r="B653" s="23">
        <v>5.7000000000000002E-2</v>
      </c>
      <c r="C653" s="32">
        <v>5.6550724637681071E-2</v>
      </c>
      <c r="D653" s="24">
        <v>5.8554347826086976E-2</v>
      </c>
      <c r="E653" s="5">
        <v>0</v>
      </c>
    </row>
    <row r="654" spans="1:5" x14ac:dyDescent="0.3">
      <c r="A654" s="2">
        <v>37377</v>
      </c>
      <c r="B654" s="23">
        <v>5.5E-2</v>
      </c>
      <c r="C654" s="32">
        <v>5.5101449275362209E-2</v>
      </c>
      <c r="D654" s="24">
        <v>5.8003623188405837E-2</v>
      </c>
      <c r="E654" s="5">
        <v>0</v>
      </c>
    </row>
    <row r="655" spans="1:5" x14ac:dyDescent="0.3">
      <c r="A655" s="2">
        <v>37408</v>
      </c>
      <c r="B655" s="23">
        <v>0.06</v>
      </c>
      <c r="C655" s="32">
        <v>6.1130434782608579E-2</v>
      </c>
      <c r="D655" s="24">
        <v>5.6974637681159464E-2</v>
      </c>
      <c r="E655" s="5">
        <v>0</v>
      </c>
    </row>
    <row r="656" spans="1:5" x14ac:dyDescent="0.3">
      <c r="A656" s="2">
        <v>37438</v>
      </c>
      <c r="B656" s="23">
        <v>5.9000000000000004E-2</v>
      </c>
      <c r="C656" s="32">
        <v>5.9550724637681039E-2</v>
      </c>
      <c r="D656" s="24">
        <v>5.755434782608701E-2</v>
      </c>
      <c r="E656" s="5">
        <v>0</v>
      </c>
    </row>
    <row r="657" spans="1:5" x14ac:dyDescent="0.3">
      <c r="A657" s="2">
        <v>37469</v>
      </c>
      <c r="B657" s="23">
        <v>5.7000000000000002E-2</v>
      </c>
      <c r="C657" s="32">
        <v>5.6521739130434699E-2</v>
      </c>
      <c r="D657" s="24">
        <v>5.8583333333333348E-2</v>
      </c>
      <c r="E657" s="5">
        <v>0</v>
      </c>
    </row>
    <row r="658" spans="1:5" x14ac:dyDescent="0.3">
      <c r="A658" s="2">
        <v>37500</v>
      </c>
      <c r="B658" s="23">
        <v>5.4000000000000006E-2</v>
      </c>
      <c r="C658" s="32">
        <v>5.4768115942028898E-2</v>
      </c>
      <c r="D658" s="24">
        <v>5.7336956521739153E-2</v>
      </c>
      <c r="E658" s="5">
        <v>0</v>
      </c>
    </row>
    <row r="659" spans="1:5" x14ac:dyDescent="0.3">
      <c r="A659" s="2">
        <v>37530</v>
      </c>
      <c r="B659" s="23">
        <v>5.2999999999999999E-2</v>
      </c>
      <c r="C659" s="32">
        <v>5.3115942028985473E-2</v>
      </c>
      <c r="D659" s="24">
        <v>5.7989130434782571E-2</v>
      </c>
      <c r="E659" s="5">
        <v>0</v>
      </c>
    </row>
    <row r="660" spans="1:5" x14ac:dyDescent="0.3">
      <c r="A660" s="2">
        <v>37561</v>
      </c>
      <c r="B660" s="23">
        <v>5.5999999999999994E-2</v>
      </c>
      <c r="C660" s="32">
        <v>5.4782608695652081E-2</v>
      </c>
      <c r="D660" s="24">
        <v>5.9322463768115959E-2</v>
      </c>
      <c r="E660" s="5">
        <v>0</v>
      </c>
    </row>
    <row r="661" spans="1:5" x14ac:dyDescent="0.3">
      <c r="A661" s="2">
        <v>37591</v>
      </c>
      <c r="B661" s="23">
        <v>5.7000000000000002E-2</v>
      </c>
      <c r="C661" s="32">
        <v>5.5202898550724598E-2</v>
      </c>
      <c r="D661" s="24">
        <v>5.9902173913043449E-2</v>
      </c>
      <c r="E661" s="5">
        <v>0</v>
      </c>
    </row>
    <row r="662" spans="1:5" x14ac:dyDescent="0.3">
      <c r="A662" s="2">
        <v>37622</v>
      </c>
      <c r="B662" s="23">
        <v>6.5000000000000002E-2</v>
      </c>
      <c r="C662" s="32">
        <v>6.4492753623188417E-2</v>
      </c>
      <c r="D662" s="24">
        <v>5.861231884057963E-2</v>
      </c>
      <c r="E662" s="5">
        <v>0</v>
      </c>
    </row>
    <row r="663" spans="1:5" x14ac:dyDescent="0.3">
      <c r="A663" s="2">
        <v>37653</v>
      </c>
      <c r="B663" s="23">
        <v>6.4000000000000001E-2</v>
      </c>
      <c r="C663" s="32">
        <v>6.4391304347825973E-2</v>
      </c>
      <c r="D663" s="24">
        <v>5.7713768115942074E-2</v>
      </c>
      <c r="E663" s="5">
        <v>0</v>
      </c>
    </row>
    <row r="664" spans="1:5" x14ac:dyDescent="0.3">
      <c r="A664" s="2">
        <v>37681</v>
      </c>
      <c r="B664" s="23">
        <v>6.2E-2</v>
      </c>
      <c r="C664" s="32">
        <v>6.1652173913043402E-2</v>
      </c>
      <c r="D664" s="24">
        <v>5.8452898550724643E-2</v>
      </c>
      <c r="E664" s="5">
        <v>0</v>
      </c>
    </row>
    <row r="665" spans="1:5" x14ac:dyDescent="0.3">
      <c r="A665" s="2">
        <v>37712</v>
      </c>
      <c r="B665" s="23">
        <v>5.7999999999999996E-2</v>
      </c>
      <c r="C665" s="32">
        <v>5.6550724637681071E-2</v>
      </c>
      <c r="D665" s="24">
        <v>5.955434782608697E-2</v>
      </c>
      <c r="E665" s="5">
        <v>0</v>
      </c>
    </row>
    <row r="666" spans="1:5" x14ac:dyDescent="0.3">
      <c r="A666" s="2">
        <v>37742</v>
      </c>
      <c r="B666" s="23">
        <v>5.7999999999999996E-2</v>
      </c>
      <c r="C666" s="32">
        <v>5.5101449275362209E-2</v>
      </c>
      <c r="D666" s="24">
        <v>6.1003623188405832E-2</v>
      </c>
      <c r="E666" s="5">
        <v>0</v>
      </c>
    </row>
    <row r="667" spans="1:5" x14ac:dyDescent="0.3">
      <c r="A667" s="2">
        <v>37773</v>
      </c>
      <c r="B667" s="23">
        <v>6.5000000000000002E-2</v>
      </c>
      <c r="C667" s="32">
        <v>6.1130434782608579E-2</v>
      </c>
      <c r="D667" s="24">
        <v>6.1974637681159468E-2</v>
      </c>
      <c r="E667" s="5">
        <v>0</v>
      </c>
    </row>
    <row r="668" spans="1:5" x14ac:dyDescent="0.3">
      <c r="A668" s="2">
        <v>37803</v>
      </c>
      <c r="B668" s="23">
        <v>6.3E-2</v>
      </c>
      <c r="C668" s="32">
        <v>5.9550724637681039E-2</v>
      </c>
      <c r="D668" s="24">
        <v>6.1554347826087007E-2</v>
      </c>
      <c r="E668" s="5">
        <v>0</v>
      </c>
    </row>
    <row r="669" spans="1:5" x14ac:dyDescent="0.3">
      <c r="A669" s="2">
        <v>37834</v>
      </c>
      <c r="B669" s="23">
        <v>0.06</v>
      </c>
      <c r="C669" s="32">
        <v>5.6521739130434699E-2</v>
      </c>
      <c r="D669" s="24">
        <v>6.1583333333333344E-2</v>
      </c>
      <c r="E669" s="5">
        <v>0</v>
      </c>
    </row>
    <row r="670" spans="1:5" x14ac:dyDescent="0.3">
      <c r="A670" s="2">
        <v>37865</v>
      </c>
      <c r="B670" s="23">
        <v>5.7999999999999996E-2</v>
      </c>
      <c r="C670" s="32">
        <v>5.4768115942028898E-2</v>
      </c>
      <c r="D670" s="24">
        <v>6.1336956521739143E-2</v>
      </c>
      <c r="E670" s="5">
        <v>0</v>
      </c>
    </row>
    <row r="671" spans="1:5" x14ac:dyDescent="0.3">
      <c r="A671" s="2">
        <v>37895</v>
      </c>
      <c r="B671" s="23">
        <v>5.5999999999999994E-2</v>
      </c>
      <c r="C671" s="32">
        <v>5.3115942028985473E-2</v>
      </c>
      <c r="D671" s="24">
        <v>6.0989130434782567E-2</v>
      </c>
      <c r="E671" s="5">
        <v>0</v>
      </c>
    </row>
    <row r="672" spans="1:5" x14ac:dyDescent="0.3">
      <c r="A672" s="2">
        <v>37926</v>
      </c>
      <c r="B672" s="23">
        <v>5.5999999999999994E-2</v>
      </c>
      <c r="C672" s="32">
        <v>5.4782608695652081E-2</v>
      </c>
      <c r="D672" s="24">
        <v>5.9322463768115959E-2</v>
      </c>
      <c r="E672" s="5">
        <v>0</v>
      </c>
    </row>
    <row r="673" spans="1:5" x14ac:dyDescent="0.3">
      <c r="A673" s="2">
        <v>37956</v>
      </c>
      <c r="B673" s="23">
        <v>5.4000000000000006E-2</v>
      </c>
      <c r="C673" s="32">
        <v>5.5202898550724598E-2</v>
      </c>
      <c r="D673" s="24">
        <v>5.6902173913043454E-2</v>
      </c>
      <c r="E673" s="5">
        <v>0</v>
      </c>
    </row>
    <row r="674" spans="1:5" x14ac:dyDescent="0.3">
      <c r="A674" s="2">
        <v>37987</v>
      </c>
      <c r="B674" s="23">
        <v>6.3E-2</v>
      </c>
      <c r="C674" s="32">
        <v>6.4492753623188417E-2</v>
      </c>
      <c r="D674" s="24">
        <v>5.6612318840579628E-2</v>
      </c>
      <c r="E674" s="5">
        <v>0</v>
      </c>
    </row>
    <row r="675" spans="1:5" x14ac:dyDescent="0.3">
      <c r="A675" s="2">
        <v>38018</v>
      </c>
      <c r="B675" s="23">
        <v>0.06</v>
      </c>
      <c r="C675" s="32">
        <v>6.4391304347825973E-2</v>
      </c>
      <c r="D675" s="24">
        <v>5.371376811594207E-2</v>
      </c>
      <c r="E675" s="5">
        <v>0</v>
      </c>
    </row>
    <row r="676" spans="1:5" x14ac:dyDescent="0.3">
      <c r="A676" s="2">
        <v>38047</v>
      </c>
      <c r="B676" s="23">
        <v>0.06</v>
      </c>
      <c r="C676" s="32">
        <v>6.1652173913043402E-2</v>
      </c>
      <c r="D676" s="24">
        <v>5.6452898550724641E-2</v>
      </c>
      <c r="E676" s="5">
        <v>0</v>
      </c>
    </row>
    <row r="677" spans="1:5" x14ac:dyDescent="0.3">
      <c r="A677" s="2">
        <v>38078</v>
      </c>
      <c r="B677" s="23">
        <v>5.4000000000000006E-2</v>
      </c>
      <c r="C677" s="32">
        <v>5.6550724637681071E-2</v>
      </c>
      <c r="D677" s="24">
        <v>5.5554347826086981E-2</v>
      </c>
      <c r="E677" s="5">
        <v>0</v>
      </c>
    </row>
    <row r="678" spans="1:5" x14ac:dyDescent="0.3">
      <c r="A678" s="2">
        <v>38108</v>
      </c>
      <c r="B678" s="23">
        <v>5.2999999999999999E-2</v>
      </c>
      <c r="C678" s="32">
        <v>5.5101449275362209E-2</v>
      </c>
      <c r="D678" s="24">
        <v>5.6003623188405835E-2</v>
      </c>
      <c r="E678" s="5">
        <v>0</v>
      </c>
    </row>
    <row r="679" spans="1:5" x14ac:dyDescent="0.3">
      <c r="A679" s="2">
        <v>38139</v>
      </c>
      <c r="B679" s="23">
        <v>5.7999999999999996E-2</v>
      </c>
      <c r="C679" s="32">
        <v>6.1130434782608579E-2</v>
      </c>
      <c r="D679" s="24">
        <v>5.4974637681159462E-2</v>
      </c>
      <c r="E679" s="5">
        <v>0</v>
      </c>
    </row>
    <row r="680" spans="1:5" x14ac:dyDescent="0.3">
      <c r="A680" s="2">
        <v>38169</v>
      </c>
      <c r="B680" s="23">
        <v>5.7000000000000002E-2</v>
      </c>
      <c r="C680" s="32">
        <v>5.9550724637681039E-2</v>
      </c>
      <c r="D680" s="24">
        <v>5.5554347826087008E-2</v>
      </c>
      <c r="E680" s="5">
        <v>0</v>
      </c>
    </row>
    <row r="681" spans="1:5" x14ac:dyDescent="0.3">
      <c r="A681" s="2">
        <v>38200</v>
      </c>
      <c r="B681" s="23">
        <v>5.4000000000000006E-2</v>
      </c>
      <c r="C681" s="32">
        <v>5.6521739130434699E-2</v>
      </c>
      <c r="D681" s="24">
        <v>5.5583333333333353E-2</v>
      </c>
      <c r="E681" s="5">
        <v>0</v>
      </c>
    </row>
    <row r="682" spans="1:5" x14ac:dyDescent="0.3">
      <c r="A682" s="2">
        <v>38231</v>
      </c>
      <c r="B682" s="23">
        <v>5.0999999999999997E-2</v>
      </c>
      <c r="C682" s="32">
        <v>5.4768115942028898E-2</v>
      </c>
      <c r="D682" s="24">
        <v>5.4336956521739144E-2</v>
      </c>
      <c r="E682" s="5">
        <v>0</v>
      </c>
    </row>
    <row r="683" spans="1:5" x14ac:dyDescent="0.3">
      <c r="A683" s="2">
        <v>38261</v>
      </c>
      <c r="B683" s="23">
        <v>5.0999999999999997E-2</v>
      </c>
      <c r="C683" s="32">
        <v>5.3115942028985473E-2</v>
      </c>
      <c r="D683" s="24">
        <v>5.5989130434782569E-2</v>
      </c>
      <c r="E683" s="5">
        <v>0</v>
      </c>
    </row>
    <row r="684" spans="1:5" x14ac:dyDescent="0.3">
      <c r="A684" s="2">
        <v>38292</v>
      </c>
      <c r="B684" s="23">
        <v>5.2000000000000005E-2</v>
      </c>
      <c r="C684" s="32">
        <v>5.4782608695652081E-2</v>
      </c>
      <c r="D684" s="24">
        <v>5.5322463768115969E-2</v>
      </c>
      <c r="E684" s="5">
        <v>0</v>
      </c>
    </row>
    <row r="685" spans="1:5" x14ac:dyDescent="0.3">
      <c r="A685" s="2">
        <v>38322</v>
      </c>
      <c r="B685" s="23">
        <v>5.0999999999999997E-2</v>
      </c>
      <c r="C685" s="32">
        <v>5.5202898550724598E-2</v>
      </c>
      <c r="D685" s="24">
        <v>5.3902173913043444E-2</v>
      </c>
      <c r="E685" s="5">
        <v>0</v>
      </c>
    </row>
    <row r="686" spans="1:5" x14ac:dyDescent="0.3">
      <c r="A686" s="2">
        <v>38353</v>
      </c>
      <c r="B686" s="23">
        <v>5.7000000000000002E-2</v>
      </c>
      <c r="C686" s="32">
        <v>6.4492753623188417E-2</v>
      </c>
      <c r="D686" s="24">
        <v>5.061231884057963E-2</v>
      </c>
      <c r="E686" s="5">
        <v>0</v>
      </c>
    </row>
    <row r="687" spans="1:5" x14ac:dyDescent="0.3">
      <c r="A687" s="2">
        <v>38384</v>
      </c>
      <c r="B687" s="23">
        <v>5.7999999999999996E-2</v>
      </c>
      <c r="C687" s="32">
        <v>6.4391304347825973E-2</v>
      </c>
      <c r="D687" s="24">
        <v>5.1713768115942069E-2</v>
      </c>
      <c r="E687" s="5">
        <v>0</v>
      </c>
    </row>
    <row r="688" spans="1:5" x14ac:dyDescent="0.3">
      <c r="A688" s="2">
        <v>38412</v>
      </c>
      <c r="B688" s="23">
        <v>5.4000000000000006E-2</v>
      </c>
      <c r="C688" s="32">
        <v>6.1652173913043402E-2</v>
      </c>
      <c r="D688" s="24">
        <v>5.0452898550724649E-2</v>
      </c>
      <c r="E688" s="5">
        <v>0</v>
      </c>
    </row>
    <row r="689" spans="1:5" x14ac:dyDescent="0.3">
      <c r="A689" s="2">
        <v>38443</v>
      </c>
      <c r="B689" s="23">
        <v>4.9000000000000002E-2</v>
      </c>
      <c r="C689" s="32">
        <v>5.6550724637681071E-2</v>
      </c>
      <c r="D689" s="24">
        <v>5.0554347826086976E-2</v>
      </c>
      <c r="E689" s="5">
        <v>0</v>
      </c>
    </row>
    <row r="690" spans="1:5" x14ac:dyDescent="0.3">
      <c r="A690" s="2">
        <v>38473</v>
      </c>
      <c r="B690" s="23">
        <v>4.9000000000000002E-2</v>
      </c>
      <c r="C690" s="32">
        <v>5.5101449275362209E-2</v>
      </c>
      <c r="D690" s="24">
        <v>5.2003623188405838E-2</v>
      </c>
      <c r="E690" s="5">
        <v>0</v>
      </c>
    </row>
    <row r="691" spans="1:5" x14ac:dyDescent="0.3">
      <c r="A691" s="2">
        <v>38504</v>
      </c>
      <c r="B691" s="23">
        <v>5.2000000000000005E-2</v>
      </c>
      <c r="C691" s="32">
        <v>6.1130434782608579E-2</v>
      </c>
      <c r="D691" s="24">
        <v>4.8974637681159471E-2</v>
      </c>
      <c r="E691" s="5">
        <v>0</v>
      </c>
    </row>
    <row r="692" spans="1:5" x14ac:dyDescent="0.3">
      <c r="A692" s="2">
        <v>38534</v>
      </c>
      <c r="B692" s="23">
        <v>5.2000000000000005E-2</v>
      </c>
      <c r="C692" s="32">
        <v>5.9550724637681039E-2</v>
      </c>
      <c r="D692" s="24">
        <v>5.0554347826087011E-2</v>
      </c>
      <c r="E692" s="5">
        <v>0</v>
      </c>
    </row>
    <row r="693" spans="1:5" x14ac:dyDescent="0.3">
      <c r="A693" s="2">
        <v>38565</v>
      </c>
      <c r="B693" s="23">
        <v>4.9000000000000002E-2</v>
      </c>
      <c r="C693" s="32">
        <v>5.6521739130434699E-2</v>
      </c>
      <c r="D693" s="24">
        <v>5.0583333333333348E-2</v>
      </c>
      <c r="E693" s="5">
        <v>0</v>
      </c>
    </row>
    <row r="694" spans="1:5" x14ac:dyDescent="0.3">
      <c r="A694" s="2">
        <v>38596</v>
      </c>
      <c r="B694" s="23">
        <v>4.8000000000000001E-2</v>
      </c>
      <c r="C694" s="32">
        <v>5.4768115942028898E-2</v>
      </c>
      <c r="D694" s="24">
        <v>5.1336956521739148E-2</v>
      </c>
      <c r="E694" s="5">
        <v>0</v>
      </c>
    </row>
    <row r="695" spans="1:5" x14ac:dyDescent="0.3">
      <c r="A695" s="2">
        <v>38626</v>
      </c>
      <c r="B695" s="23">
        <v>4.5999999999999999E-2</v>
      </c>
      <c r="C695" s="32">
        <v>5.3115942028985473E-2</v>
      </c>
      <c r="D695" s="24">
        <v>5.0989130434782572E-2</v>
      </c>
      <c r="E695" s="5">
        <v>0</v>
      </c>
    </row>
    <row r="696" spans="1:5" x14ac:dyDescent="0.3">
      <c r="A696" s="2">
        <v>38657</v>
      </c>
      <c r="B696" s="23">
        <v>4.8000000000000001E-2</v>
      </c>
      <c r="C696" s="32">
        <v>5.4782608695652081E-2</v>
      </c>
      <c r="D696" s="24">
        <v>5.1322463768115965E-2</v>
      </c>
      <c r="E696" s="5">
        <v>0</v>
      </c>
    </row>
    <row r="697" spans="1:5" x14ac:dyDescent="0.3">
      <c r="A697" s="2">
        <v>38687</v>
      </c>
      <c r="B697" s="23">
        <v>4.5999999999999999E-2</v>
      </c>
      <c r="C697" s="32">
        <v>5.5202898550724598E-2</v>
      </c>
      <c r="D697" s="24">
        <v>4.8902173913043447E-2</v>
      </c>
      <c r="E697" s="5">
        <v>0</v>
      </c>
    </row>
    <row r="698" spans="1:5" x14ac:dyDescent="0.3">
      <c r="A698" s="2">
        <v>38718</v>
      </c>
      <c r="B698" s="23">
        <v>5.0999999999999997E-2</v>
      </c>
      <c r="C698" s="32">
        <v>6.4492753623188417E-2</v>
      </c>
      <c r="D698" s="24">
        <v>4.4612318840579625E-2</v>
      </c>
      <c r="E698" s="5">
        <v>0</v>
      </c>
    </row>
    <row r="699" spans="1:5" x14ac:dyDescent="0.3">
      <c r="A699" s="2">
        <v>38749</v>
      </c>
      <c r="B699" s="23">
        <v>5.0999999999999997E-2</v>
      </c>
      <c r="C699" s="32">
        <v>6.4391304347825973E-2</v>
      </c>
      <c r="D699" s="24">
        <v>4.4713768115942069E-2</v>
      </c>
      <c r="E699" s="5">
        <v>0</v>
      </c>
    </row>
    <row r="700" spans="1:5" x14ac:dyDescent="0.3">
      <c r="A700" s="2">
        <v>38777</v>
      </c>
      <c r="B700" s="23">
        <v>4.8000000000000001E-2</v>
      </c>
      <c r="C700" s="32">
        <v>6.1652173913043402E-2</v>
      </c>
      <c r="D700" s="24">
        <v>4.4452898550724644E-2</v>
      </c>
      <c r="E700" s="5">
        <v>0</v>
      </c>
    </row>
    <row r="701" spans="1:5" x14ac:dyDescent="0.3">
      <c r="A701" s="2">
        <v>38808</v>
      </c>
      <c r="B701" s="23">
        <v>4.4999999999999998E-2</v>
      </c>
      <c r="C701" s="32">
        <v>5.6550724637681071E-2</v>
      </c>
      <c r="D701" s="24">
        <v>4.6554347826086973E-2</v>
      </c>
      <c r="E701" s="5">
        <v>0</v>
      </c>
    </row>
    <row r="702" spans="1:5" x14ac:dyDescent="0.3">
      <c r="A702" s="2">
        <v>38838</v>
      </c>
      <c r="B702" s="23">
        <v>4.4000000000000004E-2</v>
      </c>
      <c r="C702" s="32">
        <v>5.5101449275362209E-2</v>
      </c>
      <c r="D702" s="24">
        <v>4.7003623188405841E-2</v>
      </c>
      <c r="E702" s="5">
        <v>0</v>
      </c>
    </row>
    <row r="703" spans="1:5" x14ac:dyDescent="0.3">
      <c r="A703" s="2">
        <v>38869</v>
      </c>
      <c r="B703" s="23">
        <v>4.8000000000000001E-2</v>
      </c>
      <c r="C703" s="32">
        <v>6.1130434782608579E-2</v>
      </c>
      <c r="D703" s="24">
        <v>4.4974637681159467E-2</v>
      </c>
      <c r="E703" s="5">
        <v>0</v>
      </c>
    </row>
    <row r="704" spans="1:5" x14ac:dyDescent="0.3">
      <c r="A704" s="2">
        <v>38899</v>
      </c>
      <c r="B704" s="23">
        <v>0.05</v>
      </c>
      <c r="C704" s="32">
        <v>5.9550724637681039E-2</v>
      </c>
      <c r="D704" s="24">
        <v>4.8554347826087009E-2</v>
      </c>
      <c r="E704" s="5">
        <v>0</v>
      </c>
    </row>
    <row r="705" spans="1:5" x14ac:dyDescent="0.3">
      <c r="A705" s="2">
        <v>38930</v>
      </c>
      <c r="B705" s="23">
        <v>4.5999999999999999E-2</v>
      </c>
      <c r="C705" s="32">
        <v>5.6521739130434699E-2</v>
      </c>
      <c r="D705" s="24">
        <v>4.7583333333333346E-2</v>
      </c>
      <c r="E705" s="5">
        <v>0</v>
      </c>
    </row>
    <row r="706" spans="1:5" x14ac:dyDescent="0.3">
      <c r="A706" s="2">
        <v>38961</v>
      </c>
      <c r="B706" s="23">
        <v>4.4000000000000004E-2</v>
      </c>
      <c r="C706" s="32">
        <v>5.4768115942028898E-2</v>
      </c>
      <c r="D706" s="24">
        <v>4.7336956521739151E-2</v>
      </c>
      <c r="E706" s="5">
        <v>0</v>
      </c>
    </row>
    <row r="707" spans="1:5" x14ac:dyDescent="0.3">
      <c r="A707" s="2">
        <v>38991</v>
      </c>
      <c r="B707" s="23">
        <v>4.0999999999999995E-2</v>
      </c>
      <c r="C707" s="32">
        <v>5.3115942028985473E-2</v>
      </c>
      <c r="D707" s="24">
        <v>4.5989130434782567E-2</v>
      </c>
      <c r="E707" s="5">
        <v>0</v>
      </c>
    </row>
    <row r="708" spans="1:5" x14ac:dyDescent="0.3">
      <c r="A708" s="2">
        <v>39022</v>
      </c>
      <c r="B708" s="23">
        <v>4.2999999999999997E-2</v>
      </c>
      <c r="C708" s="32">
        <v>5.4782608695652081E-2</v>
      </c>
      <c r="D708" s="24">
        <v>4.6322463768115961E-2</v>
      </c>
      <c r="E708" s="5">
        <v>0</v>
      </c>
    </row>
    <row r="709" spans="1:5" x14ac:dyDescent="0.3">
      <c r="A709" s="2">
        <v>39052</v>
      </c>
      <c r="B709" s="23">
        <v>4.2999999999999997E-2</v>
      </c>
      <c r="C709" s="32">
        <v>5.5202898550724598E-2</v>
      </c>
      <c r="D709" s="24">
        <v>4.5902173913043444E-2</v>
      </c>
      <c r="E709" s="5">
        <v>0</v>
      </c>
    </row>
    <row r="710" spans="1:5" x14ac:dyDescent="0.3">
      <c r="A710" s="2">
        <v>39083</v>
      </c>
      <c r="B710" s="23">
        <v>0.05</v>
      </c>
      <c r="C710" s="32">
        <v>6.4492753623188417E-2</v>
      </c>
      <c r="D710" s="24">
        <v>4.3612318840579631E-2</v>
      </c>
      <c r="E710" s="5">
        <v>0</v>
      </c>
    </row>
    <row r="711" spans="1:5" x14ac:dyDescent="0.3">
      <c r="A711" s="2">
        <v>39114</v>
      </c>
      <c r="B711" s="23">
        <v>4.9000000000000002E-2</v>
      </c>
      <c r="C711" s="32">
        <v>6.4391304347825973E-2</v>
      </c>
      <c r="D711" s="24">
        <v>4.2713768115942075E-2</v>
      </c>
      <c r="E711" s="5">
        <v>0</v>
      </c>
    </row>
    <row r="712" spans="1:5" x14ac:dyDescent="0.3">
      <c r="A712" s="2">
        <v>39142</v>
      </c>
      <c r="B712" s="23">
        <v>4.4999999999999998E-2</v>
      </c>
      <c r="C712" s="32">
        <v>6.1652173913043402E-2</v>
      </c>
      <c r="D712" s="24">
        <v>4.1452898550724641E-2</v>
      </c>
      <c r="E712" s="5">
        <v>0</v>
      </c>
    </row>
    <row r="713" spans="1:5" x14ac:dyDescent="0.3">
      <c r="A713" s="2">
        <v>39173</v>
      </c>
      <c r="B713" s="23">
        <v>4.2999999999999997E-2</v>
      </c>
      <c r="C713" s="32">
        <v>5.6550724637681071E-2</v>
      </c>
      <c r="D713" s="24">
        <v>4.4554347826086971E-2</v>
      </c>
      <c r="E713" s="5">
        <v>0</v>
      </c>
    </row>
    <row r="714" spans="1:5" x14ac:dyDescent="0.3">
      <c r="A714" s="2">
        <v>39203</v>
      </c>
      <c r="B714" s="23">
        <v>4.2999999999999997E-2</v>
      </c>
      <c r="C714" s="32">
        <v>5.5101449275362209E-2</v>
      </c>
      <c r="D714" s="24">
        <v>4.6003623188405833E-2</v>
      </c>
      <c r="E714" s="5">
        <v>0</v>
      </c>
    </row>
    <row r="715" spans="1:5" x14ac:dyDescent="0.3">
      <c r="A715" s="2">
        <v>39234</v>
      </c>
      <c r="B715" s="23">
        <v>4.7E-2</v>
      </c>
      <c r="C715" s="32">
        <v>6.1130434782608579E-2</v>
      </c>
      <c r="D715" s="24">
        <v>4.3974637681159466E-2</v>
      </c>
      <c r="E715" s="5">
        <v>0</v>
      </c>
    </row>
    <row r="716" spans="1:5" x14ac:dyDescent="0.3">
      <c r="A716" s="2">
        <v>39264</v>
      </c>
      <c r="B716" s="23">
        <v>4.9000000000000002E-2</v>
      </c>
      <c r="C716" s="32">
        <v>5.9550724637681039E-2</v>
      </c>
      <c r="D716" s="24">
        <v>4.7554347826087008E-2</v>
      </c>
      <c r="E716" s="5">
        <v>0</v>
      </c>
    </row>
    <row r="717" spans="1:5" x14ac:dyDescent="0.3">
      <c r="A717" s="2">
        <v>39295</v>
      </c>
      <c r="B717" s="23">
        <v>4.5999999999999999E-2</v>
      </c>
      <c r="C717" s="32">
        <v>5.6521739130434699E-2</v>
      </c>
      <c r="D717" s="24">
        <v>4.7583333333333346E-2</v>
      </c>
      <c r="E717" s="5">
        <v>0</v>
      </c>
    </row>
    <row r="718" spans="1:5" x14ac:dyDescent="0.3">
      <c r="A718" s="2">
        <v>39326</v>
      </c>
      <c r="B718" s="23">
        <v>4.4999999999999998E-2</v>
      </c>
      <c r="C718" s="32">
        <v>5.4768115942028898E-2</v>
      </c>
      <c r="D718" s="24">
        <v>4.8336956521739145E-2</v>
      </c>
      <c r="E718" s="5">
        <v>0</v>
      </c>
    </row>
    <row r="719" spans="1:5" x14ac:dyDescent="0.3">
      <c r="A719" s="2">
        <v>39356</v>
      </c>
      <c r="B719" s="23">
        <v>4.4000000000000004E-2</v>
      </c>
      <c r="C719" s="32">
        <v>5.3115942028985473E-2</v>
      </c>
      <c r="D719" s="24">
        <v>4.8989130434782577E-2</v>
      </c>
      <c r="E719" s="5">
        <v>0</v>
      </c>
    </row>
    <row r="720" spans="1:5" x14ac:dyDescent="0.3">
      <c r="A720" s="2">
        <v>39387</v>
      </c>
      <c r="B720" s="23">
        <v>4.4999999999999998E-2</v>
      </c>
      <c r="C720" s="32">
        <v>5.4782608695652081E-2</v>
      </c>
      <c r="D720" s="24">
        <v>4.8322463768115963E-2</v>
      </c>
      <c r="E720" s="5">
        <v>0</v>
      </c>
    </row>
    <row r="721" spans="1:5" x14ac:dyDescent="0.3">
      <c r="A721" s="2">
        <v>39417</v>
      </c>
      <c r="B721" s="23">
        <v>4.8000000000000001E-2</v>
      </c>
      <c r="C721" s="32">
        <v>5.5202898550724598E-2</v>
      </c>
      <c r="D721" s="24">
        <v>5.0902173913043448E-2</v>
      </c>
      <c r="E721" s="5">
        <v>0</v>
      </c>
    </row>
    <row r="722" spans="1:5" x14ac:dyDescent="0.3">
      <c r="A722" s="2">
        <v>39448</v>
      </c>
      <c r="B722" s="23">
        <v>5.4000000000000006E-2</v>
      </c>
      <c r="C722" s="32">
        <v>6.4492753623188417E-2</v>
      </c>
      <c r="D722" s="24">
        <v>4.7612318840579634E-2</v>
      </c>
      <c r="E722" s="5">
        <v>1</v>
      </c>
    </row>
    <row r="723" spans="1:5" x14ac:dyDescent="0.3">
      <c r="A723" s="2">
        <v>39479</v>
      </c>
      <c r="B723" s="23">
        <v>5.2000000000000005E-2</v>
      </c>
      <c r="C723" s="32">
        <v>6.4391304347825973E-2</v>
      </c>
      <c r="D723" s="24">
        <v>4.5713768115942077E-2</v>
      </c>
      <c r="E723" s="5">
        <v>1</v>
      </c>
    </row>
    <row r="724" spans="1:5" x14ac:dyDescent="0.3">
      <c r="A724" s="2">
        <v>39508</v>
      </c>
      <c r="B724" s="23">
        <v>5.2000000000000005E-2</v>
      </c>
      <c r="C724" s="32">
        <v>6.1652173913043402E-2</v>
      </c>
      <c r="D724" s="24">
        <v>4.8452898550724648E-2</v>
      </c>
      <c r="E724" s="5">
        <v>1</v>
      </c>
    </row>
    <row r="725" spans="1:5" x14ac:dyDescent="0.3">
      <c r="A725" s="2">
        <v>39539</v>
      </c>
      <c r="B725" s="23">
        <v>4.8000000000000001E-2</v>
      </c>
      <c r="C725" s="32">
        <v>5.6550724637681071E-2</v>
      </c>
      <c r="D725" s="24">
        <v>4.9554347826086975E-2</v>
      </c>
      <c r="E725" s="5">
        <v>1</v>
      </c>
    </row>
    <row r="726" spans="1:5" x14ac:dyDescent="0.3">
      <c r="A726" s="2">
        <v>39569</v>
      </c>
      <c r="B726" s="23">
        <v>5.2000000000000005E-2</v>
      </c>
      <c r="C726" s="32">
        <v>5.5101449275362209E-2</v>
      </c>
      <c r="D726" s="24">
        <v>5.5003623188405841E-2</v>
      </c>
      <c r="E726" s="5">
        <v>1</v>
      </c>
    </row>
    <row r="727" spans="1:5" x14ac:dyDescent="0.3">
      <c r="A727" s="2">
        <v>39600</v>
      </c>
      <c r="B727" s="23">
        <v>5.7000000000000002E-2</v>
      </c>
      <c r="C727" s="32">
        <v>6.1130434782608579E-2</v>
      </c>
      <c r="D727" s="24">
        <v>5.3974637681159468E-2</v>
      </c>
      <c r="E727" s="5">
        <v>1</v>
      </c>
    </row>
    <row r="728" spans="1:5" x14ac:dyDescent="0.3">
      <c r="A728" s="2">
        <v>39630</v>
      </c>
      <c r="B728" s="23">
        <v>0.06</v>
      </c>
      <c r="C728" s="32">
        <v>5.9550724637681039E-2</v>
      </c>
      <c r="D728" s="24">
        <v>5.8554347826087004E-2</v>
      </c>
      <c r="E728" s="5">
        <v>1</v>
      </c>
    </row>
    <row r="729" spans="1:5" x14ac:dyDescent="0.3">
      <c r="A729" s="2">
        <v>39661</v>
      </c>
      <c r="B729" s="23">
        <v>6.0999999999999999E-2</v>
      </c>
      <c r="C729" s="32">
        <v>5.6521739130434699E-2</v>
      </c>
      <c r="D729" s="24">
        <v>6.2583333333333352E-2</v>
      </c>
      <c r="E729" s="5">
        <v>1</v>
      </c>
    </row>
    <row r="730" spans="1:5" x14ac:dyDescent="0.3">
      <c r="A730" s="2">
        <v>39692</v>
      </c>
      <c r="B730" s="23">
        <v>0.06</v>
      </c>
      <c r="C730" s="32">
        <v>5.4768115942028898E-2</v>
      </c>
      <c r="D730" s="24">
        <v>6.3336956521739152E-2</v>
      </c>
      <c r="E730" s="5">
        <v>1</v>
      </c>
    </row>
    <row r="731" spans="1:5" x14ac:dyDescent="0.3">
      <c r="A731" s="2">
        <v>39722</v>
      </c>
      <c r="B731" s="23">
        <v>6.0999999999999999E-2</v>
      </c>
      <c r="C731" s="32">
        <v>5.3115942028985473E-2</v>
      </c>
      <c r="D731" s="24">
        <v>6.5989130434782578E-2</v>
      </c>
      <c r="E731" s="5">
        <v>1</v>
      </c>
    </row>
    <row r="732" spans="1:5" x14ac:dyDescent="0.3">
      <c r="A732" s="2">
        <v>39753</v>
      </c>
      <c r="B732" s="23">
        <v>6.5000000000000002E-2</v>
      </c>
      <c r="C732" s="32">
        <v>5.4782608695652081E-2</v>
      </c>
      <c r="D732" s="24">
        <v>6.832246376811596E-2</v>
      </c>
      <c r="E732" s="5">
        <v>1</v>
      </c>
    </row>
    <row r="733" spans="1:5" x14ac:dyDescent="0.3">
      <c r="A733" s="2">
        <v>39783</v>
      </c>
      <c r="B733" s="23">
        <v>7.0999999999999994E-2</v>
      </c>
      <c r="C733" s="32">
        <v>5.5202898550724598E-2</v>
      </c>
      <c r="D733" s="24">
        <v>7.3902173913043434E-2</v>
      </c>
      <c r="E733" s="5">
        <v>1</v>
      </c>
    </row>
    <row r="734" spans="1:5" x14ac:dyDescent="0.3">
      <c r="A734" s="2">
        <v>39814</v>
      </c>
      <c r="B734" s="23">
        <v>8.5000000000000006E-2</v>
      </c>
      <c r="C734" s="32">
        <v>6.4492753623188417E-2</v>
      </c>
      <c r="D734" s="24">
        <v>7.8612318840579634E-2</v>
      </c>
      <c r="E734" s="5">
        <v>1</v>
      </c>
    </row>
    <row r="735" spans="1:5" x14ac:dyDescent="0.3">
      <c r="A735" s="2">
        <v>39845</v>
      </c>
      <c r="B735" s="23">
        <v>8.900000000000001E-2</v>
      </c>
      <c r="C735" s="32">
        <v>6.4391304347825973E-2</v>
      </c>
      <c r="D735" s="24">
        <v>8.2713768115942082E-2</v>
      </c>
      <c r="E735" s="5">
        <v>1</v>
      </c>
    </row>
    <row r="736" spans="1:5" x14ac:dyDescent="0.3">
      <c r="A736" s="2">
        <v>39873</v>
      </c>
      <c r="B736" s="23">
        <v>0.09</v>
      </c>
      <c r="C736" s="32">
        <v>6.1652173913043402E-2</v>
      </c>
      <c r="D736" s="24">
        <v>8.6452898550724633E-2</v>
      </c>
      <c r="E736" s="5">
        <v>1</v>
      </c>
    </row>
    <row r="737" spans="1:5" x14ac:dyDescent="0.3">
      <c r="A737" s="2">
        <v>39904</v>
      </c>
      <c r="B737" s="23">
        <v>8.5999999999999993E-2</v>
      </c>
      <c r="C737" s="32">
        <v>5.6550724637681071E-2</v>
      </c>
      <c r="D737" s="24">
        <v>8.7554347826086967E-2</v>
      </c>
      <c r="E737" s="5">
        <v>1</v>
      </c>
    </row>
    <row r="738" spans="1:5" x14ac:dyDescent="0.3">
      <c r="A738" s="2">
        <v>39934</v>
      </c>
      <c r="B738" s="23">
        <v>9.0999999999999998E-2</v>
      </c>
      <c r="C738" s="32">
        <v>5.5101449275362209E-2</v>
      </c>
      <c r="D738" s="24">
        <v>9.4003623188405827E-2</v>
      </c>
      <c r="E738" s="5">
        <v>1</v>
      </c>
    </row>
    <row r="739" spans="1:5" x14ac:dyDescent="0.3">
      <c r="A739" s="2">
        <v>39965</v>
      </c>
      <c r="B739" s="23">
        <v>9.6999999999999989E-2</v>
      </c>
      <c r="C739" s="32">
        <v>6.1130434782608579E-2</v>
      </c>
      <c r="D739" s="24">
        <v>9.3974637681159462E-2</v>
      </c>
      <c r="E739" s="5">
        <v>1</v>
      </c>
    </row>
    <row r="740" spans="1:5" x14ac:dyDescent="0.3">
      <c r="A740" s="2">
        <v>39995</v>
      </c>
      <c r="B740" s="23">
        <v>9.6999999999999989E-2</v>
      </c>
      <c r="C740" s="32">
        <v>5.9550724637681039E-2</v>
      </c>
      <c r="D740" s="24">
        <v>9.5554347826086988E-2</v>
      </c>
      <c r="E740" s="5">
        <v>0</v>
      </c>
    </row>
    <row r="741" spans="1:5" x14ac:dyDescent="0.3">
      <c r="A741" s="2">
        <v>40026</v>
      </c>
      <c r="B741" s="23">
        <v>9.6000000000000002E-2</v>
      </c>
      <c r="C741" s="32">
        <v>5.6521739130434699E-2</v>
      </c>
      <c r="D741" s="24">
        <v>9.7583333333333355E-2</v>
      </c>
      <c r="E741" s="5">
        <v>0</v>
      </c>
    </row>
    <row r="742" spans="1:5" x14ac:dyDescent="0.3">
      <c r="A742" s="2">
        <v>40057</v>
      </c>
      <c r="B742" s="23">
        <v>9.5000000000000001E-2</v>
      </c>
      <c r="C742" s="32">
        <v>5.4768115942028898E-2</v>
      </c>
      <c r="D742" s="24">
        <v>9.8336956521739155E-2</v>
      </c>
      <c r="E742" s="5">
        <v>0</v>
      </c>
    </row>
    <row r="743" spans="1:5" x14ac:dyDescent="0.3">
      <c r="A743" s="2">
        <v>40087</v>
      </c>
      <c r="B743" s="23">
        <v>9.5000000000000001E-2</v>
      </c>
      <c r="C743" s="32">
        <v>5.3115942028985473E-2</v>
      </c>
      <c r="D743" s="24">
        <v>9.998913043478258E-2</v>
      </c>
      <c r="E743" s="5">
        <v>0</v>
      </c>
    </row>
    <row r="744" spans="1:5" x14ac:dyDescent="0.3">
      <c r="A744" s="2">
        <v>40118</v>
      </c>
      <c r="B744" s="23">
        <v>9.4E-2</v>
      </c>
      <c r="C744" s="32">
        <v>5.4782608695652081E-2</v>
      </c>
      <c r="D744" s="24">
        <v>9.7322463768115958E-2</v>
      </c>
      <c r="E744" s="5">
        <v>0</v>
      </c>
    </row>
    <row r="745" spans="1:5" x14ac:dyDescent="0.3">
      <c r="A745" s="2">
        <v>40148</v>
      </c>
      <c r="B745" s="23">
        <v>9.6999999999999989E-2</v>
      </c>
      <c r="C745" s="32">
        <v>5.5202898550724598E-2</v>
      </c>
      <c r="D745" s="24">
        <v>9.9902173913043429E-2</v>
      </c>
      <c r="E745" s="5">
        <v>0</v>
      </c>
    </row>
    <row r="746" spans="1:5" x14ac:dyDescent="0.3">
      <c r="A746" s="2">
        <v>40179</v>
      </c>
      <c r="B746" s="23">
        <v>0.106</v>
      </c>
      <c r="C746" s="32">
        <v>6.4492753623188417E-2</v>
      </c>
      <c r="D746" s="24">
        <v>9.9612318840579625E-2</v>
      </c>
      <c r="E746" s="5">
        <v>0</v>
      </c>
    </row>
    <row r="747" spans="1:5" x14ac:dyDescent="0.3">
      <c r="A747" s="2">
        <v>40210</v>
      </c>
      <c r="B747" s="23">
        <v>0.10400000000000001</v>
      </c>
      <c r="C747" s="32">
        <v>6.4391304347825973E-2</v>
      </c>
      <c r="D747" s="24">
        <v>9.7713768115942082E-2</v>
      </c>
      <c r="E747" s="5">
        <v>0</v>
      </c>
    </row>
    <row r="748" spans="1:5" x14ac:dyDescent="0.3">
      <c r="A748" s="2">
        <v>40238</v>
      </c>
      <c r="B748" s="23">
        <v>0.10199999999999999</v>
      </c>
      <c r="C748" s="32">
        <v>6.1652173913043402E-2</v>
      </c>
      <c r="D748" s="24">
        <v>9.8452898550724643E-2</v>
      </c>
      <c r="E748" s="5">
        <v>0</v>
      </c>
    </row>
    <row r="749" spans="1:5" x14ac:dyDescent="0.3">
      <c r="A749" s="2">
        <v>40269</v>
      </c>
      <c r="B749" s="23">
        <v>9.5000000000000001E-2</v>
      </c>
      <c r="C749" s="32">
        <v>5.6550724637681071E-2</v>
      </c>
      <c r="D749" s="24">
        <v>9.6554347826086975E-2</v>
      </c>
      <c r="E749" s="5">
        <v>0</v>
      </c>
    </row>
    <row r="750" spans="1:5" x14ac:dyDescent="0.3">
      <c r="A750" s="2">
        <v>40299</v>
      </c>
      <c r="B750" s="23">
        <v>9.3000000000000013E-2</v>
      </c>
      <c r="C750" s="32">
        <v>5.5101449275362209E-2</v>
      </c>
      <c r="D750" s="24">
        <v>9.6003623188405857E-2</v>
      </c>
      <c r="E750" s="5">
        <v>0</v>
      </c>
    </row>
    <row r="751" spans="1:5" x14ac:dyDescent="0.3">
      <c r="A751" s="2">
        <v>40330</v>
      </c>
      <c r="B751" s="23">
        <v>9.6000000000000002E-2</v>
      </c>
      <c r="C751" s="32">
        <v>6.1130434782608579E-2</v>
      </c>
      <c r="D751" s="24">
        <v>9.2974637681159461E-2</v>
      </c>
      <c r="E751" s="5">
        <v>0</v>
      </c>
    </row>
    <row r="752" spans="1:5" x14ac:dyDescent="0.3">
      <c r="A752" s="2">
        <v>40360</v>
      </c>
      <c r="B752" s="23">
        <v>9.6999999999999989E-2</v>
      </c>
      <c r="C752" s="32">
        <v>5.9550724637681039E-2</v>
      </c>
      <c r="D752" s="24">
        <v>9.5554347826086988E-2</v>
      </c>
      <c r="E752" s="5">
        <v>0</v>
      </c>
    </row>
    <row r="753" spans="1:5" x14ac:dyDescent="0.3">
      <c r="A753" s="2">
        <v>40391</v>
      </c>
      <c r="B753" s="23">
        <v>9.5000000000000001E-2</v>
      </c>
      <c r="C753" s="32">
        <v>5.6521739130434699E-2</v>
      </c>
      <c r="D753" s="24">
        <v>9.6583333333333354E-2</v>
      </c>
      <c r="E753" s="5">
        <v>0</v>
      </c>
    </row>
    <row r="754" spans="1:5" x14ac:dyDescent="0.3">
      <c r="A754" s="2">
        <v>40422</v>
      </c>
      <c r="B754" s="23">
        <v>9.1999999999999998E-2</v>
      </c>
      <c r="C754" s="32">
        <v>5.4768115942028898E-2</v>
      </c>
      <c r="D754" s="24">
        <v>9.5336956521739152E-2</v>
      </c>
      <c r="E754" s="5">
        <v>0</v>
      </c>
    </row>
    <row r="755" spans="1:5" x14ac:dyDescent="0.3">
      <c r="A755" s="2">
        <v>40452</v>
      </c>
      <c r="B755" s="23">
        <v>0.09</v>
      </c>
      <c r="C755" s="32">
        <v>5.3115942028985473E-2</v>
      </c>
      <c r="D755" s="24">
        <v>9.4989130434782576E-2</v>
      </c>
      <c r="E755" s="5">
        <v>0</v>
      </c>
    </row>
    <row r="756" spans="1:5" x14ac:dyDescent="0.3">
      <c r="A756" s="2">
        <v>40483</v>
      </c>
      <c r="B756" s="23">
        <v>9.3000000000000013E-2</v>
      </c>
      <c r="C756" s="32">
        <v>5.4782608695652081E-2</v>
      </c>
      <c r="D756" s="24">
        <v>9.6322463768115985E-2</v>
      </c>
      <c r="E756" s="5">
        <v>0</v>
      </c>
    </row>
    <row r="757" spans="1:5" x14ac:dyDescent="0.3">
      <c r="A757" s="2">
        <v>40513</v>
      </c>
      <c r="B757" s="23">
        <v>9.0999999999999998E-2</v>
      </c>
      <c r="C757" s="32">
        <v>5.5202898550724598E-2</v>
      </c>
      <c r="D757" s="24">
        <v>9.3902173913043452E-2</v>
      </c>
      <c r="E757" s="5">
        <v>0</v>
      </c>
    </row>
    <row r="758" spans="1:5" x14ac:dyDescent="0.3">
      <c r="A758" s="2">
        <v>40544</v>
      </c>
      <c r="B758" s="23">
        <v>9.8000000000000004E-2</v>
      </c>
      <c r="C758" s="32">
        <v>6.4492753623188417E-2</v>
      </c>
      <c r="D758" s="24">
        <v>9.1612318840579632E-2</v>
      </c>
      <c r="E758" s="5">
        <v>0</v>
      </c>
    </row>
    <row r="759" spans="1:5" x14ac:dyDescent="0.3">
      <c r="A759" s="2">
        <v>40575</v>
      </c>
      <c r="B759" s="23">
        <v>9.5000000000000001E-2</v>
      </c>
      <c r="C759" s="32">
        <v>6.4391304347825973E-2</v>
      </c>
      <c r="D759" s="24">
        <v>8.8713768115942074E-2</v>
      </c>
      <c r="E759" s="5">
        <v>0</v>
      </c>
    </row>
    <row r="760" spans="1:5" x14ac:dyDescent="0.3">
      <c r="A760" s="2">
        <v>40603</v>
      </c>
      <c r="B760" s="23">
        <v>9.1999999999999998E-2</v>
      </c>
      <c r="C760" s="32">
        <v>6.1652173913043402E-2</v>
      </c>
      <c r="D760" s="24">
        <v>8.8452898550724635E-2</v>
      </c>
      <c r="E760" s="5">
        <v>0</v>
      </c>
    </row>
    <row r="761" spans="1:5" x14ac:dyDescent="0.3">
      <c r="A761" s="2">
        <v>40634</v>
      </c>
      <c r="B761" s="23">
        <v>8.6999999999999994E-2</v>
      </c>
      <c r="C761" s="32">
        <v>5.6550724637681071E-2</v>
      </c>
      <c r="D761" s="24">
        <v>8.8554347826086968E-2</v>
      </c>
      <c r="E761" s="5">
        <v>0</v>
      </c>
    </row>
    <row r="762" spans="1:5" x14ac:dyDescent="0.3">
      <c r="A762" s="2">
        <v>40664</v>
      </c>
      <c r="B762" s="23">
        <v>8.6999999999999994E-2</v>
      </c>
      <c r="C762" s="32">
        <v>5.5101449275362209E-2</v>
      </c>
      <c r="D762" s="24">
        <v>9.0003623188405824E-2</v>
      </c>
      <c r="E762" s="5">
        <v>0</v>
      </c>
    </row>
    <row r="763" spans="1:5" x14ac:dyDescent="0.3">
      <c r="A763" s="2">
        <v>40695</v>
      </c>
      <c r="B763" s="23">
        <v>9.3000000000000013E-2</v>
      </c>
      <c r="C763" s="32">
        <v>6.1130434782608579E-2</v>
      </c>
      <c r="D763" s="24">
        <v>8.9974637681159486E-2</v>
      </c>
      <c r="E763" s="5">
        <v>0</v>
      </c>
    </row>
    <row r="764" spans="1:5" x14ac:dyDescent="0.3">
      <c r="A764" s="2">
        <v>40725</v>
      </c>
      <c r="B764" s="23">
        <v>9.3000000000000013E-2</v>
      </c>
      <c r="C764" s="32">
        <v>5.9550724637681039E-2</v>
      </c>
      <c r="D764" s="24">
        <v>9.1554347826087012E-2</v>
      </c>
      <c r="E764" s="5">
        <v>0</v>
      </c>
    </row>
    <row r="765" spans="1:5" x14ac:dyDescent="0.3">
      <c r="A765" s="2">
        <v>40756</v>
      </c>
      <c r="B765" s="23">
        <v>9.0999999999999998E-2</v>
      </c>
      <c r="C765" s="32">
        <v>5.6521739130434699E-2</v>
      </c>
      <c r="D765" s="24">
        <v>9.2583333333333351E-2</v>
      </c>
      <c r="E765" s="5">
        <v>0</v>
      </c>
    </row>
    <row r="766" spans="1:5" x14ac:dyDescent="0.3">
      <c r="A766" s="2">
        <v>40787</v>
      </c>
      <c r="B766" s="23">
        <v>8.8000000000000009E-2</v>
      </c>
      <c r="C766" s="32">
        <v>5.4768115942028898E-2</v>
      </c>
      <c r="D766" s="24">
        <v>9.1336956521739149E-2</v>
      </c>
      <c r="E766" s="5">
        <v>0</v>
      </c>
    </row>
    <row r="767" spans="1:5" x14ac:dyDescent="0.3">
      <c r="A767" s="2">
        <v>40817</v>
      </c>
      <c r="B767" s="23">
        <v>8.5000000000000006E-2</v>
      </c>
      <c r="C767" s="32">
        <v>5.3115942028985473E-2</v>
      </c>
      <c r="D767" s="24">
        <v>8.9989130434782572E-2</v>
      </c>
      <c r="E767" s="5">
        <v>0</v>
      </c>
    </row>
    <row r="768" spans="1:5" x14ac:dyDescent="0.3">
      <c r="A768" s="2">
        <v>40848</v>
      </c>
      <c r="B768" s="23">
        <v>8.199999999999999E-2</v>
      </c>
      <c r="C768" s="32">
        <v>5.4782608695652081E-2</v>
      </c>
      <c r="D768" s="24">
        <v>8.5322463768115947E-2</v>
      </c>
      <c r="E768" s="5">
        <v>0</v>
      </c>
    </row>
    <row r="769" spans="1:5" x14ac:dyDescent="0.3">
      <c r="A769" s="2">
        <v>40878</v>
      </c>
      <c r="B769" s="23">
        <v>8.3000000000000004E-2</v>
      </c>
      <c r="C769" s="32">
        <v>5.5202898550724598E-2</v>
      </c>
      <c r="D769" s="24">
        <v>8.5902173913043445E-2</v>
      </c>
      <c r="E769" s="5">
        <v>0</v>
      </c>
    </row>
    <row r="770" spans="1:5" x14ac:dyDescent="0.3">
      <c r="A770" s="2">
        <v>40909</v>
      </c>
      <c r="B770" s="23">
        <v>8.8000000000000009E-2</v>
      </c>
      <c r="C770" s="32">
        <v>6.4492753623188417E-2</v>
      </c>
      <c r="D770" s="24">
        <v>8.1612318840579637E-2</v>
      </c>
      <c r="E770" s="5">
        <v>0</v>
      </c>
    </row>
    <row r="771" spans="1:5" x14ac:dyDescent="0.3">
      <c r="A771" s="2">
        <v>40940</v>
      </c>
      <c r="B771" s="23">
        <v>8.6999999999999994E-2</v>
      </c>
      <c r="C771" s="32">
        <v>6.4391304347825973E-2</v>
      </c>
      <c r="D771" s="24">
        <v>8.0713768115942067E-2</v>
      </c>
      <c r="E771" s="5">
        <v>0</v>
      </c>
    </row>
    <row r="772" spans="1:5" x14ac:dyDescent="0.3">
      <c r="A772" s="2">
        <v>40969</v>
      </c>
      <c r="B772" s="23">
        <v>8.4000000000000005E-2</v>
      </c>
      <c r="C772" s="32">
        <v>6.1652173913043402E-2</v>
      </c>
      <c r="D772" s="24">
        <v>8.0452898550724655E-2</v>
      </c>
      <c r="E772" s="5">
        <v>0</v>
      </c>
    </row>
    <row r="773" spans="1:5" x14ac:dyDescent="0.3">
      <c r="A773" s="2">
        <v>41000</v>
      </c>
      <c r="B773" s="23">
        <v>7.6999999999999999E-2</v>
      </c>
      <c r="C773" s="32">
        <v>5.6550724637681071E-2</v>
      </c>
      <c r="D773" s="24">
        <v>7.8554347826086973E-2</v>
      </c>
      <c r="E773" s="5">
        <v>0</v>
      </c>
    </row>
    <row r="774" spans="1:5" x14ac:dyDescent="0.3">
      <c r="A774" s="2">
        <v>41030</v>
      </c>
      <c r="B774" s="23">
        <v>7.9000000000000001E-2</v>
      </c>
      <c r="C774" s="32">
        <v>5.5101449275362209E-2</v>
      </c>
      <c r="D774" s="24">
        <v>8.2003623188405844E-2</v>
      </c>
      <c r="E774" s="5">
        <v>0</v>
      </c>
    </row>
    <row r="775" spans="1:5" x14ac:dyDescent="0.3">
      <c r="A775" s="2">
        <v>41061</v>
      </c>
      <c r="B775" s="23">
        <v>8.4000000000000005E-2</v>
      </c>
      <c r="C775" s="32">
        <v>6.1130434782608579E-2</v>
      </c>
      <c r="D775" s="24">
        <v>8.0974637681159478E-2</v>
      </c>
      <c r="E775" s="5">
        <v>0</v>
      </c>
    </row>
    <row r="776" spans="1:5" x14ac:dyDescent="0.3">
      <c r="A776" s="2">
        <v>41091</v>
      </c>
      <c r="B776" s="23">
        <v>8.5999999999999993E-2</v>
      </c>
      <c r="C776" s="32">
        <v>5.9550724637681039E-2</v>
      </c>
      <c r="D776" s="24">
        <v>8.4554347826087006E-2</v>
      </c>
      <c r="E776" s="5">
        <v>0</v>
      </c>
    </row>
    <row r="777" spans="1:5" x14ac:dyDescent="0.3">
      <c r="A777" s="2">
        <v>41122</v>
      </c>
      <c r="B777" s="23">
        <v>8.199999999999999E-2</v>
      </c>
      <c r="C777" s="32">
        <v>5.6521739130434699E-2</v>
      </c>
      <c r="D777" s="24">
        <v>8.3583333333333343E-2</v>
      </c>
      <c r="E777" s="5">
        <v>0</v>
      </c>
    </row>
    <row r="778" spans="1:5" x14ac:dyDescent="0.3">
      <c r="A778" s="2">
        <v>41153</v>
      </c>
      <c r="B778" s="23">
        <v>7.5999999999999998E-2</v>
      </c>
      <c r="C778" s="32">
        <v>5.4768115942028898E-2</v>
      </c>
      <c r="D778" s="24">
        <v>7.9336956521739138E-2</v>
      </c>
      <c r="E778" s="5">
        <v>0</v>
      </c>
    </row>
    <row r="779" spans="1:5" x14ac:dyDescent="0.3">
      <c r="A779" s="2">
        <v>41183</v>
      </c>
      <c r="B779" s="23">
        <v>7.4999999999999997E-2</v>
      </c>
      <c r="C779" s="32">
        <v>5.3115942028985473E-2</v>
      </c>
      <c r="D779" s="24">
        <v>7.9989130434782563E-2</v>
      </c>
      <c r="E779" s="5">
        <v>0</v>
      </c>
    </row>
    <row r="780" spans="1:5" x14ac:dyDescent="0.3">
      <c r="A780" s="2">
        <v>41214</v>
      </c>
      <c r="B780" s="23">
        <v>7.400000000000001E-2</v>
      </c>
      <c r="C780" s="32">
        <v>5.4782608695652081E-2</v>
      </c>
      <c r="D780" s="24">
        <v>7.7322463768115968E-2</v>
      </c>
      <c r="E780" s="5">
        <v>0</v>
      </c>
    </row>
    <row r="781" spans="1:5" x14ac:dyDescent="0.3">
      <c r="A781" s="2">
        <v>41244</v>
      </c>
      <c r="B781" s="23">
        <v>7.5999999999999998E-2</v>
      </c>
      <c r="C781" s="32">
        <v>5.5202898550724598E-2</v>
      </c>
      <c r="D781" s="24">
        <v>7.8902173913043439E-2</v>
      </c>
      <c r="E781" s="5">
        <v>0</v>
      </c>
    </row>
    <row r="782" spans="1:5" x14ac:dyDescent="0.3">
      <c r="A782" s="2">
        <v>41275</v>
      </c>
      <c r="B782" s="23">
        <v>8.5000000000000006E-2</v>
      </c>
      <c r="C782" s="32">
        <v>6.4492753623188417E-2</v>
      </c>
      <c r="D782" s="24">
        <v>7.8612318840579634E-2</v>
      </c>
      <c r="E782" s="5">
        <v>0</v>
      </c>
    </row>
    <row r="783" spans="1:5" x14ac:dyDescent="0.3">
      <c r="A783" s="2">
        <v>41306</v>
      </c>
      <c r="B783" s="23">
        <v>8.1000000000000003E-2</v>
      </c>
      <c r="C783" s="32">
        <v>6.4391304347825973E-2</v>
      </c>
      <c r="D783" s="24">
        <v>7.4713768115942075E-2</v>
      </c>
      <c r="E783" s="5">
        <v>0</v>
      </c>
    </row>
    <row r="784" spans="1:5" x14ac:dyDescent="0.3">
      <c r="A784" s="2">
        <v>41334</v>
      </c>
      <c r="B784" s="23">
        <v>7.5999999999999998E-2</v>
      </c>
      <c r="C784" s="32">
        <v>6.1652173913043402E-2</v>
      </c>
      <c r="D784" s="24">
        <v>7.2452898550724648E-2</v>
      </c>
      <c r="E784" s="5">
        <v>0</v>
      </c>
    </row>
    <row r="785" spans="1:5" x14ac:dyDescent="0.3">
      <c r="A785" s="2">
        <v>41365</v>
      </c>
      <c r="B785" s="23">
        <v>7.0999999999999994E-2</v>
      </c>
      <c r="C785" s="32">
        <v>5.6550724637681071E-2</v>
      </c>
      <c r="D785" s="24">
        <v>7.2554347826086968E-2</v>
      </c>
      <c r="E785" s="5">
        <v>0</v>
      </c>
    </row>
    <row r="786" spans="1:5" x14ac:dyDescent="0.3">
      <c r="A786" s="2">
        <v>41395</v>
      </c>
      <c r="B786" s="23">
        <v>7.2999999999999995E-2</v>
      </c>
      <c r="C786" s="32">
        <v>5.5101449275362209E-2</v>
      </c>
      <c r="D786" s="24">
        <v>7.6003623188405839E-2</v>
      </c>
      <c r="E786" s="5">
        <v>0</v>
      </c>
    </row>
    <row r="787" spans="1:5" x14ac:dyDescent="0.3">
      <c r="A787" s="2">
        <v>41426</v>
      </c>
      <c r="B787" s="23">
        <v>7.8E-2</v>
      </c>
      <c r="C787" s="32">
        <v>6.1130434782608579E-2</v>
      </c>
      <c r="D787" s="24">
        <v>7.4974637681159473E-2</v>
      </c>
      <c r="E787" s="5">
        <v>0</v>
      </c>
    </row>
    <row r="788" spans="1:5" x14ac:dyDescent="0.3">
      <c r="A788" s="2">
        <v>41456</v>
      </c>
      <c r="B788" s="23">
        <v>7.6999999999999999E-2</v>
      </c>
      <c r="C788" s="32">
        <v>5.9550724637681039E-2</v>
      </c>
      <c r="D788" s="24">
        <v>7.5554347826086998E-2</v>
      </c>
      <c r="E788" s="5">
        <v>0</v>
      </c>
    </row>
    <row r="789" spans="1:5" x14ac:dyDescent="0.3">
      <c r="A789" s="2">
        <v>41487</v>
      </c>
      <c r="B789" s="23">
        <v>7.2999999999999995E-2</v>
      </c>
      <c r="C789" s="32">
        <v>5.6521739130434699E-2</v>
      </c>
      <c r="D789" s="24">
        <v>7.4583333333333335E-2</v>
      </c>
      <c r="E789" s="5">
        <v>0</v>
      </c>
    </row>
    <row r="790" spans="1:5" x14ac:dyDescent="0.3">
      <c r="A790" s="2">
        <v>41518</v>
      </c>
      <c r="B790" s="23">
        <v>7.0000000000000007E-2</v>
      </c>
      <c r="C790" s="32">
        <v>5.4768115942028898E-2</v>
      </c>
      <c r="D790" s="24">
        <v>7.3336956521739161E-2</v>
      </c>
      <c r="E790" s="5">
        <v>0</v>
      </c>
    </row>
    <row r="791" spans="1:5" x14ac:dyDescent="0.3">
      <c r="A791" s="2">
        <v>41548</v>
      </c>
      <c r="B791" s="23">
        <v>7.0000000000000007E-2</v>
      </c>
      <c r="C791" s="32">
        <v>5.3115942028985473E-2</v>
      </c>
      <c r="D791" s="24">
        <v>7.4989130434782586E-2</v>
      </c>
      <c r="E791" s="5">
        <v>0</v>
      </c>
    </row>
    <row r="792" spans="1:5" x14ac:dyDescent="0.3">
      <c r="A792" s="2">
        <v>41579</v>
      </c>
      <c r="B792" s="23">
        <v>6.6000000000000003E-2</v>
      </c>
      <c r="C792" s="32">
        <v>5.4782608695652081E-2</v>
      </c>
      <c r="D792" s="24">
        <v>6.9322463768115961E-2</v>
      </c>
      <c r="E792" s="5">
        <v>0</v>
      </c>
    </row>
    <row r="793" spans="1:5" x14ac:dyDescent="0.3">
      <c r="A793" s="2">
        <v>41609</v>
      </c>
      <c r="B793" s="23">
        <v>6.5000000000000002E-2</v>
      </c>
      <c r="C793" s="32">
        <v>5.5202898550724598E-2</v>
      </c>
      <c r="D793" s="24">
        <v>6.7902173913043457E-2</v>
      </c>
      <c r="E793" s="5">
        <v>0</v>
      </c>
    </row>
    <row r="794" spans="1:5" x14ac:dyDescent="0.3">
      <c r="A794" s="2">
        <v>41640</v>
      </c>
      <c r="B794" s="23">
        <v>7.0000000000000007E-2</v>
      </c>
      <c r="C794" s="32">
        <v>6.4492753623188417E-2</v>
      </c>
      <c r="D794" s="24">
        <v>6.3612318840579635E-2</v>
      </c>
      <c r="E794" s="5">
        <v>0</v>
      </c>
    </row>
    <row r="795" spans="1:5" x14ac:dyDescent="0.3">
      <c r="A795" s="2">
        <v>41671</v>
      </c>
      <c r="B795" s="23">
        <v>7.0000000000000007E-2</v>
      </c>
      <c r="C795" s="32">
        <v>6.4391304347825973E-2</v>
      </c>
      <c r="D795" s="24">
        <v>6.3713768115942079E-2</v>
      </c>
      <c r="E795" s="5">
        <v>0</v>
      </c>
    </row>
    <row r="796" spans="1:5" x14ac:dyDescent="0.3">
      <c r="A796" s="2">
        <v>41699</v>
      </c>
      <c r="B796" s="23">
        <v>6.8000000000000005E-2</v>
      </c>
      <c r="C796" s="32">
        <v>6.1652173913043402E-2</v>
      </c>
      <c r="D796" s="24">
        <v>6.4452898550724641E-2</v>
      </c>
      <c r="E796" s="5">
        <v>0</v>
      </c>
    </row>
    <row r="797" spans="1:5" x14ac:dyDescent="0.3">
      <c r="A797" s="2">
        <v>41730</v>
      </c>
      <c r="B797" s="23">
        <v>5.9000000000000004E-2</v>
      </c>
      <c r="C797" s="32">
        <v>5.6550724637681071E-2</v>
      </c>
      <c r="D797" s="24">
        <v>6.0554347826086978E-2</v>
      </c>
      <c r="E797" s="5">
        <v>0</v>
      </c>
    </row>
    <row r="798" spans="1:5" x14ac:dyDescent="0.3">
      <c r="A798" s="2">
        <v>41760</v>
      </c>
      <c r="B798" s="23">
        <v>6.0999999999999999E-2</v>
      </c>
      <c r="C798" s="32">
        <v>5.5101449275362209E-2</v>
      </c>
      <c r="D798" s="24">
        <v>6.4003623188405828E-2</v>
      </c>
      <c r="E798" s="5">
        <v>0</v>
      </c>
    </row>
    <row r="799" spans="1:5" x14ac:dyDescent="0.3">
      <c r="A799" s="2">
        <v>41791</v>
      </c>
      <c r="B799" s="23">
        <v>6.3E-2</v>
      </c>
      <c r="C799" s="32">
        <v>6.1130434782608579E-2</v>
      </c>
      <c r="D799" s="24">
        <v>5.9974637681159466E-2</v>
      </c>
      <c r="E799" s="5">
        <v>0</v>
      </c>
    </row>
    <row r="800" spans="1:5" x14ac:dyDescent="0.3">
      <c r="A800" s="2">
        <v>41821</v>
      </c>
      <c r="B800" s="23">
        <v>6.5000000000000002E-2</v>
      </c>
      <c r="C800" s="32">
        <v>5.9550724637681039E-2</v>
      </c>
      <c r="D800" s="24">
        <v>6.3554347826087015E-2</v>
      </c>
      <c r="E800" s="5">
        <v>0</v>
      </c>
    </row>
    <row r="801" spans="1:5" x14ac:dyDescent="0.3">
      <c r="A801" s="2">
        <v>41852</v>
      </c>
      <c r="B801" s="23">
        <v>6.3E-2</v>
      </c>
      <c r="C801" s="32">
        <v>5.6521739130434699E-2</v>
      </c>
      <c r="D801" s="24">
        <v>6.4583333333333354E-2</v>
      </c>
      <c r="E801" s="5">
        <v>0</v>
      </c>
    </row>
    <row r="802" spans="1:5" x14ac:dyDescent="0.3">
      <c r="A802" s="2">
        <v>41883</v>
      </c>
      <c r="B802" s="23">
        <v>5.7000000000000002E-2</v>
      </c>
      <c r="C802" s="32">
        <v>5.4768115942028898E-2</v>
      </c>
      <c r="D802" s="24">
        <v>6.0336956521739149E-2</v>
      </c>
      <c r="E802" s="5">
        <v>0</v>
      </c>
    </row>
    <row r="803" spans="1:5" x14ac:dyDescent="0.3">
      <c r="A803" s="2">
        <v>41913</v>
      </c>
      <c r="B803" s="23">
        <v>5.5E-2</v>
      </c>
      <c r="C803" s="32">
        <v>5.3115942028985473E-2</v>
      </c>
      <c r="D803" s="24">
        <v>5.9989130434782573E-2</v>
      </c>
      <c r="E803" s="5">
        <v>0</v>
      </c>
    </row>
    <row r="804" spans="1:5" x14ac:dyDescent="0.3">
      <c r="A804" s="2">
        <v>41944</v>
      </c>
      <c r="B804" s="23">
        <v>5.5E-2</v>
      </c>
      <c r="C804" s="32">
        <v>5.4782608695652081E-2</v>
      </c>
      <c r="D804" s="24">
        <v>5.8322463768115965E-2</v>
      </c>
      <c r="E804" s="5">
        <v>0</v>
      </c>
    </row>
    <row r="805" spans="1:5" x14ac:dyDescent="0.3">
      <c r="A805" s="2">
        <v>41974</v>
      </c>
      <c r="B805" s="23">
        <v>5.4000000000000006E-2</v>
      </c>
      <c r="C805" s="32">
        <v>5.5202898550724598E-2</v>
      </c>
      <c r="D805" s="24">
        <v>5.6902173913043454E-2</v>
      </c>
      <c r="E805" s="5">
        <v>0</v>
      </c>
    </row>
    <row r="806" spans="1:5" x14ac:dyDescent="0.3">
      <c r="A806" s="2">
        <v>42005</v>
      </c>
      <c r="B806" s="23">
        <v>6.0999999999999999E-2</v>
      </c>
      <c r="C806" s="32">
        <v>6.4492753623188417E-2</v>
      </c>
      <c r="D806" s="24">
        <v>5.4612318840579627E-2</v>
      </c>
      <c r="E806" s="5">
        <v>0</v>
      </c>
    </row>
    <row r="807" spans="1:5" x14ac:dyDescent="0.3">
      <c r="A807" s="2">
        <v>42036</v>
      </c>
      <c r="B807" s="23">
        <v>5.7999999999999996E-2</v>
      </c>
      <c r="C807" s="32">
        <v>6.4391304347825973E-2</v>
      </c>
      <c r="D807" s="24">
        <v>5.1713768115942069E-2</v>
      </c>
      <c r="E807" s="5">
        <v>0</v>
      </c>
    </row>
    <row r="808" spans="1:5" x14ac:dyDescent="0.3">
      <c r="A808" s="2">
        <v>42064</v>
      </c>
      <c r="B808" s="23">
        <v>5.5999999999999994E-2</v>
      </c>
      <c r="C808" s="32">
        <v>6.1652173913043402E-2</v>
      </c>
      <c r="D808" s="24">
        <v>5.2452898550724637E-2</v>
      </c>
      <c r="E808" s="5">
        <v>0</v>
      </c>
    </row>
    <row r="809" spans="1:5" x14ac:dyDescent="0.3">
      <c r="A809" s="2">
        <v>42095</v>
      </c>
      <c r="B809" s="23">
        <v>5.0999999999999997E-2</v>
      </c>
      <c r="C809" s="32">
        <v>5.6550724637681071E-2</v>
      </c>
      <c r="D809" s="24">
        <v>5.2554347826086971E-2</v>
      </c>
      <c r="E809" s="5">
        <v>0</v>
      </c>
    </row>
    <row r="810" spans="1:5" x14ac:dyDescent="0.3">
      <c r="A810" s="2">
        <v>42125</v>
      </c>
      <c r="B810" s="23">
        <v>5.2999999999999999E-2</v>
      </c>
      <c r="C810" s="32">
        <v>5.5101449275362209E-2</v>
      </c>
      <c r="D810" s="24">
        <v>5.6003623188405835E-2</v>
      </c>
      <c r="E810" s="5">
        <v>0</v>
      </c>
    </row>
    <row r="811" spans="1:5" x14ac:dyDescent="0.3">
      <c r="A811" s="2">
        <v>42156</v>
      </c>
      <c r="B811" s="23">
        <v>5.5E-2</v>
      </c>
      <c r="C811" s="32">
        <v>6.1130434782608579E-2</v>
      </c>
      <c r="D811" s="24">
        <v>5.1974637681159466E-2</v>
      </c>
      <c r="E811" s="5">
        <v>0</v>
      </c>
    </row>
    <row r="812" spans="1:5" x14ac:dyDescent="0.3">
      <c r="A812" s="2">
        <v>42186</v>
      </c>
      <c r="B812" s="23">
        <v>5.5999999999999994E-2</v>
      </c>
      <c r="C812" s="32">
        <v>5.9550724637681039E-2</v>
      </c>
      <c r="D812" s="24">
        <v>5.4554347826087E-2</v>
      </c>
      <c r="E812" s="5">
        <v>0</v>
      </c>
    </row>
    <row r="813" spans="1:5" x14ac:dyDescent="0.3">
      <c r="A813" s="2">
        <v>42217</v>
      </c>
      <c r="B813" s="23">
        <v>5.2000000000000005E-2</v>
      </c>
      <c r="C813" s="32">
        <v>5.6521739130434699E-2</v>
      </c>
      <c r="D813" s="24">
        <v>5.3583333333333351E-2</v>
      </c>
      <c r="E813" s="5">
        <v>0</v>
      </c>
    </row>
    <row r="814" spans="1:5" x14ac:dyDescent="0.3">
      <c r="A814" s="2">
        <v>42248</v>
      </c>
      <c r="B814" s="23">
        <v>4.9000000000000002E-2</v>
      </c>
      <c r="C814" s="32">
        <v>5.4768115942028898E-2</v>
      </c>
      <c r="D814" s="24">
        <v>5.2336956521739149E-2</v>
      </c>
      <c r="E814" s="5">
        <v>0</v>
      </c>
    </row>
    <row r="815" spans="1:5" x14ac:dyDescent="0.3">
      <c r="A815" s="2">
        <v>42278</v>
      </c>
      <c r="B815" s="23">
        <v>4.8000000000000001E-2</v>
      </c>
      <c r="C815" s="32">
        <v>5.3115942028985473E-2</v>
      </c>
      <c r="D815" s="24">
        <v>5.2989130434782573E-2</v>
      </c>
      <c r="E815" s="5">
        <v>0</v>
      </c>
    </row>
    <row r="816" spans="1:5" x14ac:dyDescent="0.3">
      <c r="A816" s="2">
        <v>42309</v>
      </c>
      <c r="B816" s="23">
        <v>4.8000000000000001E-2</v>
      </c>
      <c r="C816" s="32">
        <v>5.4782608695652081E-2</v>
      </c>
      <c r="D816" s="24">
        <v>5.1322463768115965E-2</v>
      </c>
      <c r="E816" s="5">
        <v>0</v>
      </c>
    </row>
    <row r="817" spans="1:5" x14ac:dyDescent="0.3">
      <c r="A817" s="2">
        <v>42339</v>
      </c>
      <c r="B817" s="23">
        <v>4.8000000000000001E-2</v>
      </c>
      <c r="C817" s="32">
        <v>5.5202898550724598E-2</v>
      </c>
      <c r="D817" s="24">
        <v>5.0902173913043448E-2</v>
      </c>
      <c r="E817" s="5">
        <v>0</v>
      </c>
    </row>
    <row r="818" spans="1:5" x14ac:dyDescent="0.3">
      <c r="A818" s="2">
        <v>42370</v>
      </c>
      <c r="B818" s="23">
        <v>5.2999999999999999E-2</v>
      </c>
      <c r="C818" s="32">
        <v>6.4492753623188417E-2</v>
      </c>
      <c r="D818" s="24">
        <v>4.6612318840579627E-2</v>
      </c>
      <c r="E818" s="5">
        <v>0</v>
      </c>
    </row>
    <row r="819" spans="1:5" x14ac:dyDescent="0.3">
      <c r="A819" s="2">
        <v>42401</v>
      </c>
      <c r="B819" s="23">
        <v>5.2000000000000005E-2</v>
      </c>
      <c r="C819" s="32">
        <v>6.4391304347825973E-2</v>
      </c>
      <c r="D819" s="24">
        <v>4.5713768115942077E-2</v>
      </c>
      <c r="E819" s="5">
        <v>0</v>
      </c>
    </row>
    <row r="820" spans="1:5" x14ac:dyDescent="0.3">
      <c r="A820" s="2">
        <v>42430</v>
      </c>
      <c r="B820" s="23">
        <v>5.0999999999999997E-2</v>
      </c>
      <c r="C820" s="32">
        <v>6.1652173913043402E-2</v>
      </c>
      <c r="D820" s="24">
        <v>4.745289855072464E-2</v>
      </c>
      <c r="E820" s="5">
        <v>0</v>
      </c>
    </row>
    <row r="821" spans="1:5" x14ac:dyDescent="0.3">
      <c r="A821" s="2">
        <v>42461</v>
      </c>
      <c r="B821" s="23">
        <v>4.7E-2</v>
      </c>
      <c r="C821" s="32">
        <v>5.6550724637681071E-2</v>
      </c>
      <c r="D821" s="24">
        <v>4.8554347826086974E-2</v>
      </c>
      <c r="E821" s="5">
        <v>0</v>
      </c>
    </row>
    <row r="822" spans="1:5" x14ac:dyDescent="0.3">
      <c r="A822" s="2">
        <v>42491</v>
      </c>
      <c r="B822" s="23">
        <v>4.4999999999999998E-2</v>
      </c>
      <c r="C822" s="32">
        <v>5.5101449275362209E-2</v>
      </c>
      <c r="D822" s="24">
        <v>4.8003623188405835E-2</v>
      </c>
      <c r="E822" s="5">
        <v>0</v>
      </c>
    </row>
    <row r="823" spans="1:5" x14ac:dyDescent="0.3">
      <c r="A823" s="2">
        <v>42522</v>
      </c>
      <c r="B823" s="23">
        <v>5.0999999999999997E-2</v>
      </c>
      <c r="C823" s="32">
        <v>6.1130434782608579E-2</v>
      </c>
      <c r="D823" s="24">
        <v>4.7974637681159463E-2</v>
      </c>
      <c r="E823" s="5">
        <v>0</v>
      </c>
    </row>
    <row r="824" spans="1:5" x14ac:dyDescent="0.3">
      <c r="A824" s="2">
        <v>42552</v>
      </c>
      <c r="B824" s="23">
        <v>5.0999999999999997E-2</v>
      </c>
      <c r="C824" s="32">
        <v>5.9550724637681039E-2</v>
      </c>
      <c r="D824" s="24">
        <v>4.9554347826087003E-2</v>
      </c>
      <c r="E824" s="5">
        <v>0</v>
      </c>
    </row>
    <row r="825" spans="1:5" x14ac:dyDescent="0.3">
      <c r="A825" s="2">
        <v>42583</v>
      </c>
      <c r="B825" s="23">
        <v>0.05</v>
      </c>
      <c r="C825" s="32">
        <v>5.6521739130434699E-2</v>
      </c>
      <c r="D825" s="24">
        <v>5.1583333333333349E-2</v>
      </c>
      <c r="E825" s="5">
        <v>0</v>
      </c>
    </row>
    <row r="826" spans="1:5" x14ac:dyDescent="0.3">
      <c r="A826" s="2">
        <v>42614</v>
      </c>
      <c r="B826" s="23">
        <v>4.8000000000000001E-2</v>
      </c>
      <c r="C826" s="32">
        <v>5.4768115942028898E-2</v>
      </c>
      <c r="D826" s="24">
        <v>5.1336956521739148E-2</v>
      </c>
      <c r="E826" s="5">
        <v>0</v>
      </c>
    </row>
    <row r="827" spans="1:5" x14ac:dyDescent="0.3">
      <c r="A827" s="2">
        <v>42644</v>
      </c>
      <c r="B827" s="23">
        <v>4.7E-2</v>
      </c>
      <c r="C827" s="32">
        <v>5.3115942028985473E-2</v>
      </c>
      <c r="D827" s="24">
        <v>5.1989130434782573E-2</v>
      </c>
      <c r="E827" s="5">
        <v>0</v>
      </c>
    </row>
    <row r="828" spans="1:5" x14ac:dyDescent="0.3">
      <c r="A828" s="2">
        <v>42675</v>
      </c>
      <c r="B828" s="23">
        <v>4.4000000000000004E-2</v>
      </c>
      <c r="C828" s="32">
        <v>5.4782608695652081E-2</v>
      </c>
      <c r="D828" s="24">
        <v>4.7322463768115969E-2</v>
      </c>
      <c r="E828" s="5">
        <v>0</v>
      </c>
    </row>
    <row r="829" spans="1:5" x14ac:dyDescent="0.3">
      <c r="A829" s="2">
        <v>42705</v>
      </c>
      <c r="B829" s="23">
        <v>4.4999999999999998E-2</v>
      </c>
      <c r="C829" s="32">
        <v>5.5202898550724598E-2</v>
      </c>
      <c r="D829" s="24">
        <v>4.7902173913043446E-2</v>
      </c>
      <c r="E829" s="5">
        <v>0</v>
      </c>
    </row>
    <row r="830" spans="1:5" x14ac:dyDescent="0.3">
      <c r="C83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Note</vt:lpstr>
      <vt:lpstr>Unemployment</vt:lpstr>
      <vt:lpstr>Regression</vt:lpstr>
      <vt:lpstr>Chart Data</vt:lpstr>
      <vt:lpstr>Chart</vt:lpstr>
      <vt:lpstr>Chart Recession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2017-11-01T23:23:23Z</dcterms:created>
  <dcterms:modified xsi:type="dcterms:W3CDTF">2017-11-02T00:59:08Z</dcterms:modified>
</cp:coreProperties>
</file>