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5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hilip\Dropbox\Courses\Teaching\FIN 203\FIN 203 Fall 2017\4 Multiple Linear Regression\Excel\"/>
    </mc:Choice>
  </mc:AlternateContent>
  <bookViews>
    <workbookView xWindow="0" yWindow="0" windowWidth="18000" windowHeight="8226" tabRatio="642" activeTab="2" xr2:uid="{C20A87D4-BCEF-4287-8786-16E27E10B376}"/>
  </bookViews>
  <sheets>
    <sheet name="Note" sheetId="2" r:id="rId1"/>
    <sheet name="Returns" sheetId="1" r:id="rId2"/>
    <sheet name="FF3 Regression" sheetId="3" r:id="rId3"/>
    <sheet name="Replication" sheetId="8" r:id="rId4"/>
    <sheet name="CAPM Regression" sheetId="10" r:id="rId5"/>
    <sheet name="F-test" sheetId="12" r:id="rId6"/>
    <sheet name="Price" sheetId="4" r:id="rId7"/>
    <sheet name="Market" sheetId="5" r:id="rId8"/>
    <sheet name="Size" sheetId="6" r:id="rId9"/>
    <sheet name="Value" sheetId="7" r:id="rId10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8" i="12" l="1"/>
  <c r="B19" i="12" s="1"/>
  <c r="F12" i="8" l="1"/>
  <c r="B6" i="8"/>
  <c r="B5" i="8"/>
  <c r="B7" i="8"/>
  <c r="E12" i="8"/>
  <c r="D13" i="8"/>
  <c r="D12" i="8"/>
  <c r="C14" i="8"/>
  <c r="C13" i="8"/>
  <c r="C12" i="8"/>
  <c r="B14" i="8"/>
  <c r="B13" i="8"/>
  <c r="B8" i="8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2" i="1"/>
  <c r="I4" i="4" l="1"/>
  <c r="I3" i="4"/>
  <c r="E434" i="4"/>
  <c r="F434" i="4"/>
  <c r="G434" i="4"/>
  <c r="E435" i="4"/>
  <c r="E436" i="4" s="1"/>
  <c r="E437" i="4" s="1"/>
  <c r="E438" i="4" s="1"/>
  <c r="E439" i="4" s="1"/>
  <c r="E440" i="4" s="1"/>
  <c r="E441" i="4" s="1"/>
  <c r="E442" i="4" s="1"/>
  <c r="E443" i="4" s="1"/>
  <c r="E444" i="4" s="1"/>
  <c r="E445" i="4" s="1"/>
  <c r="E446" i="4" s="1"/>
  <c r="F435" i="4"/>
  <c r="G435" i="4"/>
  <c r="F436" i="4"/>
  <c r="F437" i="4" s="1"/>
  <c r="F438" i="4" s="1"/>
  <c r="F439" i="4" s="1"/>
  <c r="G436" i="4"/>
  <c r="G437" i="4"/>
  <c r="G438" i="4" s="1"/>
  <c r="G439" i="4" s="1"/>
  <c r="G440" i="4" s="1"/>
  <c r="F440" i="4"/>
  <c r="F441" i="4" s="1"/>
  <c r="F442" i="4" s="1"/>
  <c r="F443" i="4" s="1"/>
  <c r="F444" i="4" s="1"/>
  <c r="F445" i="4" s="1"/>
  <c r="F446" i="4" s="1"/>
  <c r="F447" i="4" s="1"/>
  <c r="F448" i="4" s="1"/>
  <c r="F449" i="4" s="1"/>
  <c r="F450" i="4" s="1"/>
  <c r="F451" i="4" s="1"/>
  <c r="F452" i="4" s="1"/>
  <c r="F453" i="4" s="1"/>
  <c r="F454" i="4" s="1"/>
  <c r="F455" i="4" s="1"/>
  <c r="F456" i="4" s="1"/>
  <c r="F457" i="4" s="1"/>
  <c r="F458" i="4" s="1"/>
  <c r="F459" i="4" s="1"/>
  <c r="F460" i="4" s="1"/>
  <c r="F461" i="4" s="1"/>
  <c r="F462" i="4" s="1"/>
  <c r="F463" i="4" s="1"/>
  <c r="F464" i="4" s="1"/>
  <c r="F465" i="4" s="1"/>
  <c r="F466" i="4" s="1"/>
  <c r="F467" i="4" s="1"/>
  <c r="F468" i="4" s="1"/>
  <c r="F469" i="4" s="1"/>
  <c r="F470" i="4" s="1"/>
  <c r="F471" i="4" s="1"/>
  <c r="F472" i="4" s="1"/>
  <c r="F473" i="4" s="1"/>
  <c r="F474" i="4" s="1"/>
  <c r="F475" i="4" s="1"/>
  <c r="F476" i="4" s="1"/>
  <c r="F477" i="4" s="1"/>
  <c r="F478" i="4" s="1"/>
  <c r="F479" i="4" s="1"/>
  <c r="F480" i="4" s="1"/>
  <c r="F481" i="4" s="1"/>
  <c r="F482" i="4" s="1"/>
  <c r="F483" i="4" s="1"/>
  <c r="F484" i="4" s="1"/>
  <c r="F485" i="4" s="1"/>
  <c r="F486" i="4" s="1"/>
  <c r="F487" i="4" s="1"/>
  <c r="F488" i="4" s="1"/>
  <c r="F489" i="4" s="1"/>
  <c r="F490" i="4" s="1"/>
  <c r="F491" i="4" s="1"/>
  <c r="F492" i="4" s="1"/>
  <c r="F493" i="4" s="1"/>
  <c r="F494" i="4" s="1"/>
  <c r="F495" i="4" s="1"/>
  <c r="F496" i="4" s="1"/>
  <c r="F497" i="4" s="1"/>
  <c r="F498" i="4" s="1"/>
  <c r="F499" i="4" s="1"/>
  <c r="F500" i="4" s="1"/>
  <c r="F501" i="4" s="1"/>
  <c r="F502" i="4" s="1"/>
  <c r="F503" i="4" s="1"/>
  <c r="F504" i="4" s="1"/>
  <c r="F505" i="4" s="1"/>
  <c r="F506" i="4" s="1"/>
  <c r="F507" i="4" s="1"/>
  <c r="F508" i="4" s="1"/>
  <c r="F509" i="4" s="1"/>
  <c r="F510" i="4" s="1"/>
  <c r="F511" i="4" s="1"/>
  <c r="F512" i="4" s="1"/>
  <c r="F513" i="4" s="1"/>
  <c r="F514" i="4" s="1"/>
  <c r="F515" i="4" s="1"/>
  <c r="F516" i="4" s="1"/>
  <c r="F517" i="4" s="1"/>
  <c r="F518" i="4" s="1"/>
  <c r="F519" i="4" s="1"/>
  <c r="F520" i="4" s="1"/>
  <c r="F521" i="4" s="1"/>
  <c r="F522" i="4" s="1"/>
  <c r="F523" i="4" s="1"/>
  <c r="F524" i="4" s="1"/>
  <c r="F525" i="4" s="1"/>
  <c r="F526" i="4" s="1"/>
  <c r="F527" i="4" s="1"/>
  <c r="F528" i="4" s="1"/>
  <c r="F529" i="4" s="1"/>
  <c r="F530" i="4" s="1"/>
  <c r="F531" i="4" s="1"/>
  <c r="F532" i="4" s="1"/>
  <c r="F533" i="4" s="1"/>
  <c r="F534" i="4" s="1"/>
  <c r="F535" i="4" s="1"/>
  <c r="F536" i="4" s="1"/>
  <c r="F537" i="4" s="1"/>
  <c r="F538" i="4" s="1"/>
  <c r="F539" i="4" s="1"/>
  <c r="F540" i="4" s="1"/>
  <c r="F541" i="4" s="1"/>
  <c r="F542" i="4" s="1"/>
  <c r="F543" i="4" s="1"/>
  <c r="F544" i="4" s="1"/>
  <c r="F545" i="4" s="1"/>
  <c r="F546" i="4" s="1"/>
  <c r="F547" i="4" s="1"/>
  <c r="F548" i="4" s="1"/>
  <c r="F549" i="4" s="1"/>
  <c r="F550" i="4" s="1"/>
  <c r="F551" i="4" s="1"/>
  <c r="F552" i="4" s="1"/>
  <c r="F553" i="4" s="1"/>
  <c r="F554" i="4" s="1"/>
  <c r="F555" i="4" s="1"/>
  <c r="F556" i="4" s="1"/>
  <c r="F557" i="4" s="1"/>
  <c r="F558" i="4" s="1"/>
  <c r="F559" i="4" s="1"/>
  <c r="F560" i="4" s="1"/>
  <c r="F561" i="4" s="1"/>
  <c r="F562" i="4" s="1"/>
  <c r="F563" i="4" s="1"/>
  <c r="F564" i="4" s="1"/>
  <c r="F565" i="4" s="1"/>
  <c r="F566" i="4" s="1"/>
  <c r="F567" i="4" s="1"/>
  <c r="F568" i="4" s="1"/>
  <c r="F569" i="4" s="1"/>
  <c r="F570" i="4" s="1"/>
  <c r="F571" i="4" s="1"/>
  <c r="F572" i="4" s="1"/>
  <c r="F573" i="4" s="1"/>
  <c r="F574" i="4" s="1"/>
  <c r="F575" i="4" s="1"/>
  <c r="F576" i="4" s="1"/>
  <c r="F577" i="4" s="1"/>
  <c r="F578" i="4" s="1"/>
  <c r="F579" i="4" s="1"/>
  <c r="F580" i="4" s="1"/>
  <c r="F581" i="4" s="1"/>
  <c r="F582" i="4" s="1"/>
  <c r="F583" i="4" s="1"/>
  <c r="F584" i="4" s="1"/>
  <c r="F585" i="4" s="1"/>
  <c r="F586" i="4" s="1"/>
  <c r="F587" i="4" s="1"/>
  <c r="F588" i="4" s="1"/>
  <c r="F589" i="4" s="1"/>
  <c r="F590" i="4" s="1"/>
  <c r="F591" i="4" s="1"/>
  <c r="F592" i="4" s="1"/>
  <c r="F593" i="4" s="1"/>
  <c r="F594" i="4" s="1"/>
  <c r="F595" i="4" s="1"/>
  <c r="F596" i="4" s="1"/>
  <c r="F597" i="4" s="1"/>
  <c r="F598" i="4" s="1"/>
  <c r="F599" i="4" s="1"/>
  <c r="F600" i="4" s="1"/>
  <c r="F601" i="4" s="1"/>
  <c r="F602" i="4" s="1"/>
  <c r="F603" i="4" s="1"/>
  <c r="F604" i="4" s="1"/>
  <c r="F605" i="4" s="1"/>
  <c r="F606" i="4" s="1"/>
  <c r="F607" i="4" s="1"/>
  <c r="F608" i="4" s="1"/>
  <c r="F609" i="4" s="1"/>
  <c r="F610" i="4" s="1"/>
  <c r="F611" i="4" s="1"/>
  <c r="F612" i="4" s="1"/>
  <c r="F613" i="4" s="1"/>
  <c r="F614" i="4" s="1"/>
  <c r="F615" i="4" s="1"/>
  <c r="F616" i="4" s="1"/>
  <c r="F617" i="4" s="1"/>
  <c r="F618" i="4" s="1"/>
  <c r="F619" i="4" s="1"/>
  <c r="F620" i="4" s="1"/>
  <c r="F621" i="4" s="1"/>
  <c r="F622" i="4" s="1"/>
  <c r="F623" i="4" s="1"/>
  <c r="F624" i="4" s="1"/>
  <c r="F625" i="4" s="1"/>
  <c r="F626" i="4" s="1"/>
  <c r="F627" i="4" s="1"/>
  <c r="F628" i="4" s="1"/>
  <c r="F629" i="4" s="1"/>
  <c r="F630" i="4" s="1"/>
  <c r="F631" i="4" s="1"/>
  <c r="F632" i="4" s="1"/>
  <c r="F633" i="4" s="1"/>
  <c r="F634" i="4" s="1"/>
  <c r="F635" i="4" s="1"/>
  <c r="F636" i="4" s="1"/>
  <c r="F637" i="4" s="1"/>
  <c r="F638" i="4" s="1"/>
  <c r="F639" i="4" s="1"/>
  <c r="F640" i="4" s="1"/>
  <c r="F641" i="4" s="1"/>
  <c r="F642" i="4" s="1"/>
  <c r="F643" i="4" s="1"/>
  <c r="F644" i="4" s="1"/>
  <c r="F645" i="4" s="1"/>
  <c r="F646" i="4" s="1"/>
  <c r="F647" i="4" s="1"/>
  <c r="F648" i="4" s="1"/>
  <c r="F649" i="4" s="1"/>
  <c r="F650" i="4" s="1"/>
  <c r="F651" i="4" s="1"/>
  <c r="F652" i="4" s="1"/>
  <c r="F653" i="4" s="1"/>
  <c r="F654" i="4" s="1"/>
  <c r="F655" i="4" s="1"/>
  <c r="F656" i="4" s="1"/>
  <c r="F657" i="4" s="1"/>
  <c r="F658" i="4" s="1"/>
  <c r="F659" i="4" s="1"/>
  <c r="F660" i="4" s="1"/>
  <c r="F661" i="4" s="1"/>
  <c r="F662" i="4" s="1"/>
  <c r="F663" i="4" s="1"/>
  <c r="F664" i="4" s="1"/>
  <c r="F665" i="4" s="1"/>
  <c r="F666" i="4" s="1"/>
  <c r="F667" i="4" s="1"/>
  <c r="F668" i="4" s="1"/>
  <c r="F669" i="4" s="1"/>
  <c r="F670" i="4" s="1"/>
  <c r="F671" i="4" s="1"/>
  <c r="F672" i="4" s="1"/>
  <c r="F673" i="4" s="1"/>
  <c r="F674" i="4" s="1"/>
  <c r="F675" i="4" s="1"/>
  <c r="F676" i="4" s="1"/>
  <c r="F677" i="4" s="1"/>
  <c r="F678" i="4" s="1"/>
  <c r="F679" i="4" s="1"/>
  <c r="F680" i="4" s="1"/>
  <c r="F681" i="4" s="1"/>
  <c r="F682" i="4" s="1"/>
  <c r="F683" i="4" s="1"/>
  <c r="F684" i="4" s="1"/>
  <c r="F685" i="4" s="1"/>
  <c r="F686" i="4" s="1"/>
  <c r="F687" i="4" s="1"/>
  <c r="F688" i="4" s="1"/>
  <c r="F689" i="4" s="1"/>
  <c r="F690" i="4" s="1"/>
  <c r="F691" i="4" s="1"/>
  <c r="F692" i="4" s="1"/>
  <c r="F693" i="4" s="1"/>
  <c r="F694" i="4" s="1"/>
  <c r="F695" i="4" s="1"/>
  <c r="F696" i="4" s="1"/>
  <c r="F697" i="4" s="1"/>
  <c r="F698" i="4" s="1"/>
  <c r="F699" i="4" s="1"/>
  <c r="F700" i="4" s="1"/>
  <c r="F701" i="4" s="1"/>
  <c r="F702" i="4" s="1"/>
  <c r="F703" i="4" s="1"/>
  <c r="F704" i="4" s="1"/>
  <c r="F705" i="4" s="1"/>
  <c r="F706" i="4" s="1"/>
  <c r="F707" i="4" s="1"/>
  <c r="F708" i="4" s="1"/>
  <c r="F709" i="4" s="1"/>
  <c r="F710" i="4" s="1"/>
  <c r="F711" i="4" s="1"/>
  <c r="F712" i="4" s="1"/>
  <c r="F713" i="4" s="1"/>
  <c r="F714" i="4" s="1"/>
  <c r="F715" i="4" s="1"/>
  <c r="F716" i="4" s="1"/>
  <c r="F717" i="4" s="1"/>
  <c r="F718" i="4" s="1"/>
  <c r="F719" i="4" s="1"/>
  <c r="F720" i="4" s="1"/>
  <c r="F721" i="4" s="1"/>
  <c r="F722" i="4" s="1"/>
  <c r="F723" i="4" s="1"/>
  <c r="F724" i="4" s="1"/>
  <c r="F725" i="4" s="1"/>
  <c r="F726" i="4" s="1"/>
  <c r="F727" i="4" s="1"/>
  <c r="F728" i="4" s="1"/>
  <c r="F729" i="4" s="1"/>
  <c r="F730" i="4" s="1"/>
  <c r="F731" i="4" s="1"/>
  <c r="F732" i="4" s="1"/>
  <c r="F733" i="4" s="1"/>
  <c r="F734" i="4" s="1"/>
  <c r="F735" i="4" s="1"/>
  <c r="F736" i="4" s="1"/>
  <c r="F737" i="4" s="1"/>
  <c r="F738" i="4" s="1"/>
  <c r="F739" i="4" s="1"/>
  <c r="F740" i="4" s="1"/>
  <c r="F741" i="4" s="1"/>
  <c r="F742" i="4" s="1"/>
  <c r="F743" i="4" s="1"/>
  <c r="F744" i="4" s="1"/>
  <c r="F745" i="4" s="1"/>
  <c r="F746" i="4" s="1"/>
  <c r="F747" i="4" s="1"/>
  <c r="F748" i="4" s="1"/>
  <c r="F749" i="4" s="1"/>
  <c r="F750" i="4" s="1"/>
  <c r="F751" i="4" s="1"/>
  <c r="F752" i="4" s="1"/>
  <c r="F753" i="4" s="1"/>
  <c r="F754" i="4" s="1"/>
  <c r="F755" i="4" s="1"/>
  <c r="F756" i="4" s="1"/>
  <c r="F757" i="4" s="1"/>
  <c r="F758" i="4" s="1"/>
  <c r="F759" i="4" s="1"/>
  <c r="F760" i="4" s="1"/>
  <c r="F761" i="4" s="1"/>
  <c r="F762" i="4" s="1"/>
  <c r="F763" i="4" s="1"/>
  <c r="F764" i="4" s="1"/>
  <c r="F765" i="4" s="1"/>
  <c r="F766" i="4" s="1"/>
  <c r="F767" i="4" s="1"/>
  <c r="F768" i="4" s="1"/>
  <c r="F769" i="4" s="1"/>
  <c r="F770" i="4" s="1"/>
  <c r="F771" i="4" s="1"/>
  <c r="F772" i="4" s="1"/>
  <c r="F773" i="4" s="1"/>
  <c r="F774" i="4" s="1"/>
  <c r="F775" i="4" s="1"/>
  <c r="F776" i="4" s="1"/>
  <c r="F777" i="4" s="1"/>
  <c r="F778" i="4" s="1"/>
  <c r="F779" i="4" s="1"/>
  <c r="F780" i="4" s="1"/>
  <c r="F781" i="4" s="1"/>
  <c r="F782" i="4" s="1"/>
  <c r="F783" i="4" s="1"/>
  <c r="F784" i="4" s="1"/>
  <c r="F785" i="4" s="1"/>
  <c r="F786" i="4" s="1"/>
  <c r="F787" i="4" s="1"/>
  <c r="F788" i="4" s="1"/>
  <c r="F789" i="4" s="1"/>
  <c r="F790" i="4" s="1"/>
  <c r="F791" i="4" s="1"/>
  <c r="F792" i="4" s="1"/>
  <c r="F793" i="4" s="1"/>
  <c r="F794" i="4" s="1"/>
  <c r="F795" i="4" s="1"/>
  <c r="F796" i="4" s="1"/>
  <c r="F797" i="4" s="1"/>
  <c r="F798" i="4" s="1"/>
  <c r="F799" i="4" s="1"/>
  <c r="F800" i="4" s="1"/>
  <c r="F801" i="4" s="1"/>
  <c r="F802" i="4" s="1"/>
  <c r="F803" i="4" s="1"/>
  <c r="F804" i="4" s="1"/>
  <c r="F805" i="4" s="1"/>
  <c r="F806" i="4" s="1"/>
  <c r="F807" i="4" s="1"/>
  <c r="F808" i="4" s="1"/>
  <c r="F809" i="4" s="1"/>
  <c r="F810" i="4" s="1"/>
  <c r="F811" i="4" s="1"/>
  <c r="F812" i="4" s="1"/>
  <c r="F813" i="4" s="1"/>
  <c r="F814" i="4" s="1"/>
  <c r="F815" i="4" s="1"/>
  <c r="F816" i="4" s="1"/>
  <c r="F817" i="4" s="1"/>
  <c r="F818" i="4" s="1"/>
  <c r="F819" i="4" s="1"/>
  <c r="F820" i="4" s="1"/>
  <c r="F821" i="4" s="1"/>
  <c r="F822" i="4" s="1"/>
  <c r="F823" i="4" s="1"/>
  <c r="F824" i="4" s="1"/>
  <c r="F825" i="4" s="1"/>
  <c r="F826" i="4" s="1"/>
  <c r="F827" i="4" s="1"/>
  <c r="F828" i="4" s="1"/>
  <c r="F829" i="4" s="1"/>
  <c r="F830" i="4" s="1"/>
  <c r="F831" i="4" s="1"/>
  <c r="F832" i="4" s="1"/>
  <c r="F833" i="4" s="1"/>
  <c r="F834" i="4" s="1"/>
  <c r="F835" i="4" s="1"/>
  <c r="F836" i="4" s="1"/>
  <c r="F837" i="4" s="1"/>
  <c r="F838" i="4" s="1"/>
  <c r="F839" i="4" s="1"/>
  <c r="F840" i="4" s="1"/>
  <c r="F841" i="4" s="1"/>
  <c r="F842" i="4" s="1"/>
  <c r="F843" i="4" s="1"/>
  <c r="F844" i="4" s="1"/>
  <c r="F845" i="4" s="1"/>
  <c r="F846" i="4" s="1"/>
  <c r="F847" i="4" s="1"/>
  <c r="F848" i="4" s="1"/>
  <c r="F849" i="4" s="1"/>
  <c r="F850" i="4" s="1"/>
  <c r="F851" i="4" s="1"/>
  <c r="F852" i="4" s="1"/>
  <c r="F853" i="4" s="1"/>
  <c r="F854" i="4" s="1"/>
  <c r="F855" i="4" s="1"/>
  <c r="F856" i="4" s="1"/>
  <c r="F857" i="4" s="1"/>
  <c r="F858" i="4" s="1"/>
  <c r="F859" i="4" s="1"/>
  <c r="F860" i="4" s="1"/>
  <c r="F861" i="4" s="1"/>
  <c r="F862" i="4" s="1"/>
  <c r="F863" i="4" s="1"/>
  <c r="F864" i="4" s="1"/>
  <c r="F865" i="4" s="1"/>
  <c r="F866" i="4" s="1"/>
  <c r="F867" i="4" s="1"/>
  <c r="F868" i="4" s="1"/>
  <c r="F869" i="4" s="1"/>
  <c r="F870" i="4" s="1"/>
  <c r="F871" i="4" s="1"/>
  <c r="F872" i="4" s="1"/>
  <c r="F873" i="4" s="1"/>
  <c r="F874" i="4" s="1"/>
  <c r="F875" i="4" s="1"/>
  <c r="F876" i="4" s="1"/>
  <c r="F877" i="4" s="1"/>
  <c r="F878" i="4" s="1"/>
  <c r="F879" i="4" s="1"/>
  <c r="F880" i="4" s="1"/>
  <c r="F881" i="4" s="1"/>
  <c r="F882" i="4" s="1"/>
  <c r="F883" i="4" s="1"/>
  <c r="F884" i="4" s="1"/>
  <c r="F885" i="4" s="1"/>
  <c r="F886" i="4" s="1"/>
  <c r="F887" i="4" s="1"/>
  <c r="F888" i="4" s="1"/>
  <c r="F889" i="4" s="1"/>
  <c r="F890" i="4" s="1"/>
  <c r="F891" i="4" s="1"/>
  <c r="F892" i="4" s="1"/>
  <c r="F893" i="4" s="1"/>
  <c r="F894" i="4" s="1"/>
  <c r="F895" i="4" s="1"/>
  <c r="F896" i="4" s="1"/>
  <c r="F897" i="4" s="1"/>
  <c r="F898" i="4" s="1"/>
  <c r="F899" i="4" s="1"/>
  <c r="F900" i="4" s="1"/>
  <c r="F901" i="4" s="1"/>
  <c r="F902" i="4" s="1"/>
  <c r="F903" i="4" s="1"/>
  <c r="F904" i="4" s="1"/>
  <c r="F905" i="4" s="1"/>
  <c r="F906" i="4" s="1"/>
  <c r="F907" i="4" s="1"/>
  <c r="F908" i="4" s="1"/>
  <c r="F909" i="4" s="1"/>
  <c r="F910" i="4" s="1"/>
  <c r="F911" i="4" s="1"/>
  <c r="F912" i="4" s="1"/>
  <c r="F913" i="4" s="1"/>
  <c r="F914" i="4" s="1"/>
  <c r="F915" i="4" s="1"/>
  <c r="F916" i="4" s="1"/>
  <c r="F917" i="4" s="1"/>
  <c r="F918" i="4" s="1"/>
  <c r="F919" i="4" s="1"/>
  <c r="F920" i="4" s="1"/>
  <c r="F921" i="4" s="1"/>
  <c r="F922" i="4" s="1"/>
  <c r="F923" i="4" s="1"/>
  <c r="F924" i="4" s="1"/>
  <c r="F925" i="4" s="1"/>
  <c r="F926" i="4" s="1"/>
  <c r="F927" i="4" s="1"/>
  <c r="F928" i="4" s="1"/>
  <c r="F929" i="4" s="1"/>
  <c r="F930" i="4" s="1"/>
  <c r="F931" i="4" s="1"/>
  <c r="F932" i="4" s="1"/>
  <c r="F933" i="4" s="1"/>
  <c r="F934" i="4" s="1"/>
  <c r="F935" i="4" s="1"/>
  <c r="F936" i="4" s="1"/>
  <c r="F937" i="4" s="1"/>
  <c r="F938" i="4" s="1"/>
  <c r="F939" i="4" s="1"/>
  <c r="F940" i="4" s="1"/>
  <c r="F941" i="4" s="1"/>
  <c r="F942" i="4" s="1"/>
  <c r="F943" i="4" s="1"/>
  <c r="F944" i="4" s="1"/>
  <c r="F945" i="4" s="1"/>
  <c r="F946" i="4" s="1"/>
  <c r="F947" i="4" s="1"/>
  <c r="F948" i="4" s="1"/>
  <c r="F949" i="4" s="1"/>
  <c r="F950" i="4" s="1"/>
  <c r="F951" i="4" s="1"/>
  <c r="F952" i="4" s="1"/>
  <c r="F953" i="4" s="1"/>
  <c r="F954" i="4" s="1"/>
  <c r="F955" i="4" s="1"/>
  <c r="F956" i="4" s="1"/>
  <c r="F957" i="4" s="1"/>
  <c r="F958" i="4" s="1"/>
  <c r="F959" i="4" s="1"/>
  <c r="F960" i="4" s="1"/>
  <c r="F961" i="4" s="1"/>
  <c r="F962" i="4" s="1"/>
  <c r="F963" i="4" s="1"/>
  <c r="F964" i="4" s="1"/>
  <c r="F965" i="4" s="1"/>
  <c r="F966" i="4" s="1"/>
  <c r="F967" i="4" s="1"/>
  <c r="F968" i="4" s="1"/>
  <c r="F969" i="4" s="1"/>
  <c r="F970" i="4" s="1"/>
  <c r="F971" i="4" s="1"/>
  <c r="F972" i="4" s="1"/>
  <c r="F973" i="4" s="1"/>
  <c r="F974" i="4" s="1"/>
  <c r="F975" i="4" s="1"/>
  <c r="F976" i="4" s="1"/>
  <c r="F977" i="4" s="1"/>
  <c r="F978" i="4" s="1"/>
  <c r="F979" i="4" s="1"/>
  <c r="F980" i="4" s="1"/>
  <c r="F981" i="4" s="1"/>
  <c r="F982" i="4" s="1"/>
  <c r="F983" i="4" s="1"/>
  <c r="F984" i="4" s="1"/>
  <c r="F985" i="4" s="1"/>
  <c r="F986" i="4" s="1"/>
  <c r="F987" i="4" s="1"/>
  <c r="F988" i="4" s="1"/>
  <c r="F989" i="4" s="1"/>
  <c r="F990" i="4" s="1"/>
  <c r="F991" i="4" s="1"/>
  <c r="F992" i="4" s="1"/>
  <c r="F993" i="4" s="1"/>
  <c r="F994" i="4" s="1"/>
  <c r="F995" i="4" s="1"/>
  <c r="F996" i="4" s="1"/>
  <c r="F997" i="4" s="1"/>
  <c r="F998" i="4" s="1"/>
  <c r="F999" i="4" s="1"/>
  <c r="F1000" i="4" s="1"/>
  <c r="F1001" i="4" s="1"/>
  <c r="F1002" i="4" s="1"/>
  <c r="F1003" i="4" s="1"/>
  <c r="F1004" i="4" s="1"/>
  <c r="F1005" i="4" s="1"/>
  <c r="F1006" i="4" s="1"/>
  <c r="F1007" i="4" s="1"/>
  <c r="F1008" i="4" s="1"/>
  <c r="F1009" i="4" s="1"/>
  <c r="F1010" i="4" s="1"/>
  <c r="F1011" i="4" s="1"/>
  <c r="F1012" i="4" s="1"/>
  <c r="F1013" i="4" s="1"/>
  <c r="F1014" i="4" s="1"/>
  <c r="F1015" i="4" s="1"/>
  <c r="F1016" i="4" s="1"/>
  <c r="F1017" i="4" s="1"/>
  <c r="F1018" i="4" s="1"/>
  <c r="F1019" i="4" s="1"/>
  <c r="F1020" i="4" s="1"/>
  <c r="F1021" i="4" s="1"/>
  <c r="F1022" i="4" s="1"/>
  <c r="F1023" i="4" s="1"/>
  <c r="F1024" i="4" s="1"/>
  <c r="F1025" i="4" s="1"/>
  <c r="F1026" i="4" s="1"/>
  <c r="F1027" i="4" s="1"/>
  <c r="F1028" i="4" s="1"/>
  <c r="F1029" i="4" s="1"/>
  <c r="F1030" i="4" s="1"/>
  <c r="F1031" i="4" s="1"/>
  <c r="F1032" i="4" s="1"/>
  <c r="F1033" i="4" s="1"/>
  <c r="F1034" i="4" s="1"/>
  <c r="F1035" i="4" s="1"/>
  <c r="F1036" i="4" s="1"/>
  <c r="F1037" i="4" s="1"/>
  <c r="F1038" i="4" s="1"/>
  <c r="F1039" i="4" s="1"/>
  <c r="F1040" i="4" s="1"/>
  <c r="F1041" i="4" s="1"/>
  <c r="F1042" i="4" s="1"/>
  <c r="F1043" i="4" s="1"/>
  <c r="F1044" i="4" s="1"/>
  <c r="F1045" i="4" s="1"/>
  <c r="F1046" i="4" s="1"/>
  <c r="F1047" i="4" s="1"/>
  <c r="F1048" i="4" s="1"/>
  <c r="F1049" i="4" s="1"/>
  <c r="F1050" i="4" s="1"/>
  <c r="F1051" i="4" s="1"/>
  <c r="F1052" i="4" s="1"/>
  <c r="F1053" i="4" s="1"/>
  <c r="F1054" i="4" s="1"/>
  <c r="F1055" i="4" s="1"/>
  <c r="F1056" i="4" s="1"/>
  <c r="F1057" i="4" s="1"/>
  <c r="F1058" i="4" s="1"/>
  <c r="F1059" i="4" s="1"/>
  <c r="F1060" i="4" s="1"/>
  <c r="F1061" i="4" s="1"/>
  <c r="F1062" i="4" s="1"/>
  <c r="F1063" i="4" s="1"/>
  <c r="F1064" i="4" s="1"/>
  <c r="F1065" i="4" s="1"/>
  <c r="F1066" i="4" s="1"/>
  <c r="F1067" i="4" s="1"/>
  <c r="F1068" i="4" s="1"/>
  <c r="F1069" i="4" s="1"/>
  <c r="F1070" i="4" s="1"/>
  <c r="F1071" i="4" s="1"/>
  <c r="F1072" i="4" s="1"/>
  <c r="F1073" i="4" s="1"/>
  <c r="F1074" i="4" s="1"/>
  <c r="F1075" i="4" s="1"/>
  <c r="F1076" i="4" s="1"/>
  <c r="F1077" i="4" s="1"/>
  <c r="F1078" i="4" s="1"/>
  <c r="F1079" i="4" s="1"/>
  <c r="F1080" i="4" s="1"/>
  <c r="F1081" i="4" s="1"/>
  <c r="F1082" i="4" s="1"/>
  <c r="F1083" i="4" s="1"/>
  <c r="F1084" i="4" s="1"/>
  <c r="F1085" i="4" s="1"/>
  <c r="F1086" i="4" s="1"/>
  <c r="F1087" i="4" s="1"/>
  <c r="G441" i="4"/>
  <c r="G442" i="4" s="1"/>
  <c r="G443" i="4" s="1"/>
  <c r="G444" i="4" s="1"/>
  <c r="G445" i="4" s="1"/>
  <c r="G446" i="4" s="1"/>
  <c r="G447" i="4" s="1"/>
  <c r="G448" i="4" s="1"/>
  <c r="G449" i="4" s="1"/>
  <c r="G450" i="4" s="1"/>
  <c r="G451" i="4" s="1"/>
  <c r="G452" i="4" s="1"/>
  <c r="G453" i="4" s="1"/>
  <c r="G454" i="4" s="1"/>
  <c r="G455" i="4" s="1"/>
  <c r="G456" i="4" s="1"/>
  <c r="G457" i="4" s="1"/>
  <c r="G458" i="4" s="1"/>
  <c r="G459" i="4" s="1"/>
  <c r="G460" i="4" s="1"/>
  <c r="G461" i="4" s="1"/>
  <c r="G462" i="4" s="1"/>
  <c r="G463" i="4" s="1"/>
  <c r="G464" i="4" s="1"/>
  <c r="G465" i="4" s="1"/>
  <c r="G466" i="4" s="1"/>
  <c r="G467" i="4" s="1"/>
  <c r="G468" i="4" s="1"/>
  <c r="G469" i="4" s="1"/>
  <c r="G470" i="4" s="1"/>
  <c r="G471" i="4" s="1"/>
  <c r="G472" i="4" s="1"/>
  <c r="G473" i="4" s="1"/>
  <c r="G474" i="4" s="1"/>
  <c r="G475" i="4" s="1"/>
  <c r="G476" i="4" s="1"/>
  <c r="G477" i="4" s="1"/>
  <c r="G478" i="4" s="1"/>
  <c r="G479" i="4" s="1"/>
  <c r="G480" i="4" s="1"/>
  <c r="G481" i="4" s="1"/>
  <c r="G482" i="4" s="1"/>
  <c r="G483" i="4" s="1"/>
  <c r="G484" i="4" s="1"/>
  <c r="G485" i="4" s="1"/>
  <c r="G486" i="4" s="1"/>
  <c r="G487" i="4" s="1"/>
  <c r="G488" i="4" s="1"/>
  <c r="G489" i="4" s="1"/>
  <c r="G490" i="4" s="1"/>
  <c r="G491" i="4" s="1"/>
  <c r="G492" i="4" s="1"/>
  <c r="G493" i="4" s="1"/>
  <c r="G494" i="4" s="1"/>
  <c r="G495" i="4" s="1"/>
  <c r="G496" i="4" s="1"/>
  <c r="G497" i="4" s="1"/>
  <c r="G498" i="4" s="1"/>
  <c r="G499" i="4" s="1"/>
  <c r="G500" i="4" s="1"/>
  <c r="G501" i="4" s="1"/>
  <c r="G502" i="4" s="1"/>
  <c r="G503" i="4" s="1"/>
  <c r="G504" i="4" s="1"/>
  <c r="G505" i="4" s="1"/>
  <c r="G506" i="4" s="1"/>
  <c r="G507" i="4" s="1"/>
  <c r="G508" i="4" s="1"/>
  <c r="G509" i="4" s="1"/>
  <c r="G510" i="4" s="1"/>
  <c r="G511" i="4" s="1"/>
  <c r="G512" i="4" s="1"/>
  <c r="G513" i="4" s="1"/>
  <c r="G514" i="4" s="1"/>
  <c r="G515" i="4" s="1"/>
  <c r="G516" i="4" s="1"/>
  <c r="G517" i="4" s="1"/>
  <c r="G518" i="4" s="1"/>
  <c r="G519" i="4" s="1"/>
  <c r="G520" i="4" s="1"/>
  <c r="G521" i="4" s="1"/>
  <c r="G522" i="4" s="1"/>
  <c r="G523" i="4" s="1"/>
  <c r="G524" i="4" s="1"/>
  <c r="G525" i="4" s="1"/>
  <c r="G526" i="4" s="1"/>
  <c r="G527" i="4" s="1"/>
  <c r="G528" i="4" s="1"/>
  <c r="G529" i="4" s="1"/>
  <c r="G530" i="4" s="1"/>
  <c r="G531" i="4" s="1"/>
  <c r="G532" i="4" s="1"/>
  <c r="G533" i="4" s="1"/>
  <c r="G534" i="4" s="1"/>
  <c r="G535" i="4" s="1"/>
  <c r="G536" i="4" s="1"/>
  <c r="G537" i="4" s="1"/>
  <c r="G538" i="4" s="1"/>
  <c r="G539" i="4" s="1"/>
  <c r="G540" i="4" s="1"/>
  <c r="G541" i="4" s="1"/>
  <c r="G542" i="4" s="1"/>
  <c r="G543" i="4" s="1"/>
  <c r="G544" i="4" s="1"/>
  <c r="G545" i="4" s="1"/>
  <c r="G546" i="4" s="1"/>
  <c r="G547" i="4" s="1"/>
  <c r="G548" i="4" s="1"/>
  <c r="G549" i="4" s="1"/>
  <c r="G550" i="4" s="1"/>
  <c r="G551" i="4" s="1"/>
  <c r="G552" i="4" s="1"/>
  <c r="G553" i="4" s="1"/>
  <c r="G554" i="4" s="1"/>
  <c r="G555" i="4" s="1"/>
  <c r="G556" i="4" s="1"/>
  <c r="G557" i="4" s="1"/>
  <c r="G558" i="4" s="1"/>
  <c r="G559" i="4" s="1"/>
  <c r="G560" i="4" s="1"/>
  <c r="G561" i="4" s="1"/>
  <c r="G562" i="4" s="1"/>
  <c r="G563" i="4" s="1"/>
  <c r="G564" i="4" s="1"/>
  <c r="G565" i="4" s="1"/>
  <c r="G566" i="4" s="1"/>
  <c r="G567" i="4" s="1"/>
  <c r="G568" i="4" s="1"/>
  <c r="G569" i="4" s="1"/>
  <c r="G570" i="4" s="1"/>
  <c r="G571" i="4" s="1"/>
  <c r="G572" i="4" s="1"/>
  <c r="G573" i="4" s="1"/>
  <c r="G574" i="4" s="1"/>
  <c r="G575" i="4" s="1"/>
  <c r="G576" i="4" s="1"/>
  <c r="G577" i="4" s="1"/>
  <c r="G578" i="4" s="1"/>
  <c r="G579" i="4" s="1"/>
  <c r="G580" i="4" s="1"/>
  <c r="G581" i="4" s="1"/>
  <c r="G582" i="4" s="1"/>
  <c r="G583" i="4" s="1"/>
  <c r="G584" i="4" s="1"/>
  <c r="G585" i="4" s="1"/>
  <c r="G586" i="4" s="1"/>
  <c r="E447" i="4"/>
  <c r="E448" i="4" s="1"/>
  <c r="E449" i="4" s="1"/>
  <c r="E450" i="4" s="1"/>
  <c r="E451" i="4" s="1"/>
  <c r="E452" i="4" s="1"/>
  <c r="E453" i="4" s="1"/>
  <c r="E454" i="4" s="1"/>
  <c r="E455" i="4" s="1"/>
  <c r="E456" i="4" s="1"/>
  <c r="E457" i="4" s="1"/>
  <c r="E458" i="4" s="1"/>
  <c r="E459" i="4" s="1"/>
  <c r="E460" i="4" s="1"/>
  <c r="E461" i="4" s="1"/>
  <c r="E462" i="4" s="1"/>
  <c r="E463" i="4" s="1"/>
  <c r="E464" i="4" s="1"/>
  <c r="E465" i="4" s="1"/>
  <c r="E466" i="4" s="1"/>
  <c r="E467" i="4" s="1"/>
  <c r="E468" i="4" s="1"/>
  <c r="E469" i="4" s="1"/>
  <c r="E470" i="4" s="1"/>
  <c r="E471" i="4" s="1"/>
  <c r="E472" i="4" s="1"/>
  <c r="E473" i="4" s="1"/>
  <c r="E474" i="4" s="1"/>
  <c r="E475" i="4" s="1"/>
  <c r="E476" i="4" s="1"/>
  <c r="E477" i="4" s="1"/>
  <c r="E478" i="4" s="1"/>
  <c r="E479" i="4" s="1"/>
  <c r="E480" i="4" s="1"/>
  <c r="E481" i="4" s="1"/>
  <c r="E482" i="4" s="1"/>
  <c r="E483" i="4" s="1"/>
  <c r="E484" i="4" s="1"/>
  <c r="E485" i="4" s="1"/>
  <c r="E486" i="4" s="1"/>
  <c r="E487" i="4" s="1"/>
  <c r="E488" i="4" s="1"/>
  <c r="E489" i="4" s="1"/>
  <c r="E490" i="4" s="1"/>
  <c r="E491" i="4" s="1"/>
  <c r="E492" i="4" s="1"/>
  <c r="E493" i="4" s="1"/>
  <c r="E494" i="4" s="1"/>
  <c r="E495" i="4" s="1"/>
  <c r="E496" i="4" s="1"/>
  <c r="E497" i="4" s="1"/>
  <c r="E498" i="4" s="1"/>
  <c r="E499" i="4" s="1"/>
  <c r="E500" i="4" s="1"/>
  <c r="E501" i="4" s="1"/>
  <c r="E502" i="4" s="1"/>
  <c r="E503" i="4" s="1"/>
  <c r="E504" i="4" s="1"/>
  <c r="E505" i="4" s="1"/>
  <c r="E506" i="4" s="1"/>
  <c r="E507" i="4" s="1"/>
  <c r="E508" i="4" s="1"/>
  <c r="E509" i="4" s="1"/>
  <c r="E510" i="4" s="1"/>
  <c r="E511" i="4" s="1"/>
  <c r="E512" i="4" s="1"/>
  <c r="E513" i="4" s="1"/>
  <c r="E514" i="4" s="1"/>
  <c r="E515" i="4" s="1"/>
  <c r="E516" i="4" s="1"/>
  <c r="E517" i="4" s="1"/>
  <c r="E518" i="4" s="1"/>
  <c r="E519" i="4" s="1"/>
  <c r="E520" i="4" s="1"/>
  <c r="E521" i="4" s="1"/>
  <c r="E522" i="4" s="1"/>
  <c r="E523" i="4" s="1"/>
  <c r="E524" i="4" s="1"/>
  <c r="E525" i="4" s="1"/>
  <c r="E526" i="4" s="1"/>
  <c r="E527" i="4" s="1"/>
  <c r="E528" i="4" s="1"/>
  <c r="E529" i="4" s="1"/>
  <c r="E530" i="4" s="1"/>
  <c r="E531" i="4" s="1"/>
  <c r="E532" i="4" s="1"/>
  <c r="E533" i="4" s="1"/>
  <c r="E534" i="4" s="1"/>
  <c r="E535" i="4" s="1"/>
  <c r="E536" i="4" s="1"/>
  <c r="E537" i="4" s="1"/>
  <c r="E538" i="4" s="1"/>
  <c r="E539" i="4" s="1"/>
  <c r="E540" i="4" s="1"/>
  <c r="E541" i="4" s="1"/>
  <c r="E542" i="4" s="1"/>
  <c r="E543" i="4" s="1"/>
  <c r="E544" i="4" s="1"/>
  <c r="E545" i="4" s="1"/>
  <c r="E546" i="4" s="1"/>
  <c r="E547" i="4" s="1"/>
  <c r="E548" i="4" s="1"/>
  <c r="E549" i="4" s="1"/>
  <c r="E550" i="4" s="1"/>
  <c r="E551" i="4" s="1"/>
  <c r="E552" i="4" s="1"/>
  <c r="E553" i="4" s="1"/>
  <c r="E554" i="4" s="1"/>
  <c r="E555" i="4" s="1"/>
  <c r="E556" i="4" s="1"/>
  <c r="E557" i="4" s="1"/>
  <c r="E558" i="4" s="1"/>
  <c r="E559" i="4" s="1"/>
  <c r="E560" i="4" s="1"/>
  <c r="E561" i="4" s="1"/>
  <c r="E562" i="4" s="1"/>
  <c r="E563" i="4" s="1"/>
  <c r="E564" i="4" s="1"/>
  <c r="E565" i="4" s="1"/>
  <c r="E566" i="4" s="1"/>
  <c r="E567" i="4" s="1"/>
  <c r="E568" i="4" s="1"/>
  <c r="E569" i="4" s="1"/>
  <c r="E570" i="4" s="1"/>
  <c r="E571" i="4" s="1"/>
  <c r="E572" i="4" s="1"/>
  <c r="E573" i="4" s="1"/>
  <c r="E574" i="4" s="1"/>
  <c r="E575" i="4" s="1"/>
  <c r="E576" i="4" s="1"/>
  <c r="E577" i="4" s="1"/>
  <c r="E578" i="4" s="1"/>
  <c r="E579" i="4" s="1"/>
  <c r="E580" i="4" s="1"/>
  <c r="E581" i="4" s="1"/>
  <c r="E582" i="4" s="1"/>
  <c r="E583" i="4" s="1"/>
  <c r="E584" i="4" s="1"/>
  <c r="E585" i="4" s="1"/>
  <c r="E586" i="4" s="1"/>
  <c r="E587" i="4" s="1"/>
  <c r="E588" i="4" s="1"/>
  <c r="E589" i="4" s="1"/>
  <c r="E590" i="4" s="1"/>
  <c r="E591" i="4" s="1"/>
  <c r="E592" i="4" s="1"/>
  <c r="E593" i="4" s="1"/>
  <c r="E594" i="4" s="1"/>
  <c r="E595" i="4" s="1"/>
  <c r="E596" i="4" s="1"/>
  <c r="E597" i="4" s="1"/>
  <c r="E598" i="4" s="1"/>
  <c r="E599" i="4" s="1"/>
  <c r="E600" i="4" s="1"/>
  <c r="E601" i="4" s="1"/>
  <c r="E602" i="4" s="1"/>
  <c r="E603" i="4" s="1"/>
  <c r="E604" i="4" s="1"/>
  <c r="E605" i="4" s="1"/>
  <c r="E606" i="4" s="1"/>
  <c r="E607" i="4" s="1"/>
  <c r="E608" i="4" s="1"/>
  <c r="E609" i="4" s="1"/>
  <c r="E610" i="4" s="1"/>
  <c r="E611" i="4" s="1"/>
  <c r="E612" i="4" s="1"/>
  <c r="E613" i="4" s="1"/>
  <c r="E614" i="4" s="1"/>
  <c r="E615" i="4" s="1"/>
  <c r="E616" i="4" s="1"/>
  <c r="E617" i="4" s="1"/>
  <c r="E618" i="4" s="1"/>
  <c r="E619" i="4" s="1"/>
  <c r="E620" i="4" s="1"/>
  <c r="E621" i="4" s="1"/>
  <c r="E622" i="4" s="1"/>
  <c r="E623" i="4" s="1"/>
  <c r="E624" i="4" s="1"/>
  <c r="E625" i="4" s="1"/>
  <c r="E626" i="4" s="1"/>
  <c r="E627" i="4" s="1"/>
  <c r="E628" i="4" s="1"/>
  <c r="E629" i="4" s="1"/>
  <c r="E630" i="4" s="1"/>
  <c r="E631" i="4" s="1"/>
  <c r="E632" i="4" s="1"/>
  <c r="E633" i="4" s="1"/>
  <c r="E634" i="4" s="1"/>
  <c r="E635" i="4" s="1"/>
  <c r="E636" i="4" s="1"/>
  <c r="E637" i="4" s="1"/>
  <c r="E638" i="4" s="1"/>
  <c r="E639" i="4" s="1"/>
  <c r="E640" i="4" s="1"/>
  <c r="E641" i="4" s="1"/>
  <c r="E642" i="4" s="1"/>
  <c r="E643" i="4" s="1"/>
  <c r="E644" i="4" s="1"/>
  <c r="E645" i="4" s="1"/>
  <c r="E646" i="4" s="1"/>
  <c r="E647" i="4" s="1"/>
  <c r="E648" i="4" s="1"/>
  <c r="E649" i="4" s="1"/>
  <c r="E650" i="4" s="1"/>
  <c r="E651" i="4" s="1"/>
  <c r="E652" i="4" s="1"/>
  <c r="E653" i="4" s="1"/>
  <c r="E654" i="4" s="1"/>
  <c r="E655" i="4" s="1"/>
  <c r="E656" i="4" s="1"/>
  <c r="E657" i="4" s="1"/>
  <c r="E658" i="4" s="1"/>
  <c r="E659" i="4" s="1"/>
  <c r="E660" i="4" s="1"/>
  <c r="E661" i="4" s="1"/>
  <c r="E662" i="4" s="1"/>
  <c r="E663" i="4" s="1"/>
  <c r="E664" i="4" s="1"/>
  <c r="E665" i="4" s="1"/>
  <c r="E666" i="4" s="1"/>
  <c r="E667" i="4" s="1"/>
  <c r="E668" i="4" s="1"/>
  <c r="E669" i="4" s="1"/>
  <c r="E670" i="4" s="1"/>
  <c r="E671" i="4" s="1"/>
  <c r="E672" i="4" s="1"/>
  <c r="E673" i="4" s="1"/>
  <c r="E674" i="4" s="1"/>
  <c r="E675" i="4" s="1"/>
  <c r="E676" i="4" s="1"/>
  <c r="E677" i="4" s="1"/>
  <c r="E678" i="4" s="1"/>
  <c r="E679" i="4" s="1"/>
  <c r="E680" i="4" s="1"/>
  <c r="E681" i="4" s="1"/>
  <c r="E682" i="4" s="1"/>
  <c r="E683" i="4" s="1"/>
  <c r="E684" i="4" s="1"/>
  <c r="E685" i="4" s="1"/>
  <c r="E686" i="4" s="1"/>
  <c r="E687" i="4" s="1"/>
  <c r="E688" i="4" s="1"/>
  <c r="E689" i="4" s="1"/>
  <c r="E690" i="4" s="1"/>
  <c r="E691" i="4" s="1"/>
  <c r="E692" i="4" s="1"/>
  <c r="E693" i="4" s="1"/>
  <c r="E694" i="4" s="1"/>
  <c r="E695" i="4" s="1"/>
  <c r="E696" i="4" s="1"/>
  <c r="E697" i="4" s="1"/>
  <c r="E698" i="4" s="1"/>
  <c r="E699" i="4" s="1"/>
  <c r="E700" i="4" s="1"/>
  <c r="E701" i="4" s="1"/>
  <c r="E702" i="4" s="1"/>
  <c r="E703" i="4" s="1"/>
  <c r="E704" i="4" s="1"/>
  <c r="E705" i="4" s="1"/>
  <c r="E706" i="4" s="1"/>
  <c r="E707" i="4" s="1"/>
  <c r="E708" i="4" s="1"/>
  <c r="E709" i="4" s="1"/>
  <c r="E710" i="4" s="1"/>
  <c r="E711" i="4" s="1"/>
  <c r="E712" i="4" s="1"/>
  <c r="E713" i="4" s="1"/>
  <c r="E714" i="4" s="1"/>
  <c r="E715" i="4" s="1"/>
  <c r="E716" i="4" s="1"/>
  <c r="E717" i="4" s="1"/>
  <c r="E718" i="4" s="1"/>
  <c r="E719" i="4" s="1"/>
  <c r="E720" i="4" s="1"/>
  <c r="E721" i="4" s="1"/>
  <c r="E722" i="4" s="1"/>
  <c r="E723" i="4" s="1"/>
  <c r="E724" i="4" s="1"/>
  <c r="E725" i="4" s="1"/>
  <c r="E726" i="4" s="1"/>
  <c r="E727" i="4" s="1"/>
  <c r="E728" i="4" s="1"/>
  <c r="E729" i="4" s="1"/>
  <c r="E730" i="4" s="1"/>
  <c r="E731" i="4" s="1"/>
  <c r="E732" i="4" s="1"/>
  <c r="E733" i="4" s="1"/>
  <c r="E734" i="4" s="1"/>
  <c r="E735" i="4" s="1"/>
  <c r="E736" i="4" s="1"/>
  <c r="E737" i="4" s="1"/>
  <c r="E738" i="4" s="1"/>
  <c r="E739" i="4" s="1"/>
  <c r="E740" i="4" s="1"/>
  <c r="E741" i="4" s="1"/>
  <c r="E742" i="4" s="1"/>
  <c r="E743" i="4" s="1"/>
  <c r="E744" i="4" s="1"/>
  <c r="E745" i="4" s="1"/>
  <c r="E746" i="4" s="1"/>
  <c r="E747" i="4" s="1"/>
  <c r="E748" i="4" s="1"/>
  <c r="E749" i="4" s="1"/>
  <c r="E750" i="4" s="1"/>
  <c r="E751" i="4" s="1"/>
  <c r="E752" i="4" s="1"/>
  <c r="E753" i="4" s="1"/>
  <c r="E754" i="4" s="1"/>
  <c r="E755" i="4" s="1"/>
  <c r="E756" i="4" s="1"/>
  <c r="E757" i="4" s="1"/>
  <c r="E758" i="4" s="1"/>
  <c r="E759" i="4" s="1"/>
  <c r="E760" i="4" s="1"/>
  <c r="E761" i="4" s="1"/>
  <c r="E762" i="4" s="1"/>
  <c r="E763" i="4" s="1"/>
  <c r="E764" i="4" s="1"/>
  <c r="E765" i="4" s="1"/>
  <c r="E766" i="4" s="1"/>
  <c r="E767" i="4" s="1"/>
  <c r="E768" i="4" s="1"/>
  <c r="E769" i="4" s="1"/>
  <c r="E770" i="4" s="1"/>
  <c r="E771" i="4" s="1"/>
  <c r="E772" i="4" s="1"/>
  <c r="E773" i="4" s="1"/>
  <c r="E774" i="4" s="1"/>
  <c r="E775" i="4" s="1"/>
  <c r="E776" i="4" s="1"/>
  <c r="E777" i="4" s="1"/>
  <c r="E778" i="4" s="1"/>
  <c r="E779" i="4" s="1"/>
  <c r="E780" i="4" s="1"/>
  <c r="E781" i="4" s="1"/>
  <c r="E782" i="4" s="1"/>
  <c r="E783" i="4" s="1"/>
  <c r="E784" i="4" s="1"/>
  <c r="E785" i="4" s="1"/>
  <c r="E786" i="4" s="1"/>
  <c r="E787" i="4" s="1"/>
  <c r="E788" i="4" s="1"/>
  <c r="E789" i="4" s="1"/>
  <c r="E790" i="4" s="1"/>
  <c r="E791" i="4" s="1"/>
  <c r="E792" i="4" s="1"/>
  <c r="E793" i="4" s="1"/>
  <c r="E794" i="4" s="1"/>
  <c r="E795" i="4" s="1"/>
  <c r="E796" i="4" s="1"/>
  <c r="E797" i="4" s="1"/>
  <c r="E798" i="4" s="1"/>
  <c r="E799" i="4" s="1"/>
  <c r="E800" i="4" s="1"/>
  <c r="E801" i="4" s="1"/>
  <c r="E802" i="4" s="1"/>
  <c r="E803" i="4" s="1"/>
  <c r="E804" i="4" s="1"/>
  <c r="E805" i="4" s="1"/>
  <c r="E806" i="4" s="1"/>
  <c r="E807" i="4" s="1"/>
  <c r="E808" i="4" s="1"/>
  <c r="E809" i="4" s="1"/>
  <c r="E810" i="4" s="1"/>
  <c r="E811" i="4" s="1"/>
  <c r="E812" i="4" s="1"/>
  <c r="E813" i="4" s="1"/>
  <c r="E814" i="4" s="1"/>
  <c r="E815" i="4" s="1"/>
  <c r="E816" i="4" s="1"/>
  <c r="E817" i="4" s="1"/>
  <c r="E818" i="4" s="1"/>
  <c r="E819" i="4" s="1"/>
  <c r="E820" i="4" s="1"/>
  <c r="E821" i="4" s="1"/>
  <c r="E822" i="4" s="1"/>
  <c r="E823" i="4" s="1"/>
  <c r="E824" i="4" s="1"/>
  <c r="E825" i="4" s="1"/>
  <c r="E826" i="4" s="1"/>
  <c r="E827" i="4" s="1"/>
  <c r="E828" i="4" s="1"/>
  <c r="E829" i="4" s="1"/>
  <c r="E830" i="4" s="1"/>
  <c r="E831" i="4" s="1"/>
  <c r="E832" i="4" s="1"/>
  <c r="E833" i="4" s="1"/>
  <c r="E834" i="4" s="1"/>
  <c r="E835" i="4" s="1"/>
  <c r="E836" i="4" s="1"/>
  <c r="E837" i="4" s="1"/>
  <c r="E838" i="4" s="1"/>
  <c r="E839" i="4" s="1"/>
  <c r="E840" i="4" s="1"/>
  <c r="E841" i="4" s="1"/>
  <c r="E842" i="4" s="1"/>
  <c r="E843" i="4" s="1"/>
  <c r="E844" i="4" s="1"/>
  <c r="E845" i="4" s="1"/>
  <c r="E846" i="4" s="1"/>
  <c r="E847" i="4" s="1"/>
  <c r="E848" i="4" s="1"/>
  <c r="E849" i="4" s="1"/>
  <c r="E850" i="4" s="1"/>
  <c r="E851" i="4" s="1"/>
  <c r="E852" i="4" s="1"/>
  <c r="E853" i="4" s="1"/>
  <c r="E854" i="4" s="1"/>
  <c r="E855" i="4" s="1"/>
  <c r="E856" i="4" s="1"/>
  <c r="E857" i="4" s="1"/>
  <c r="E858" i="4" s="1"/>
  <c r="E859" i="4" s="1"/>
  <c r="E860" i="4" s="1"/>
  <c r="E861" i="4" s="1"/>
  <c r="E862" i="4" s="1"/>
  <c r="E863" i="4" s="1"/>
  <c r="E864" i="4" s="1"/>
  <c r="E865" i="4" s="1"/>
  <c r="E866" i="4" s="1"/>
  <c r="E867" i="4" s="1"/>
  <c r="E868" i="4" s="1"/>
  <c r="E869" i="4" s="1"/>
  <c r="E870" i="4" s="1"/>
  <c r="E871" i="4" s="1"/>
  <c r="E872" i="4" s="1"/>
  <c r="E873" i="4" s="1"/>
  <c r="E874" i="4" s="1"/>
  <c r="E875" i="4" s="1"/>
  <c r="E876" i="4" s="1"/>
  <c r="E877" i="4" s="1"/>
  <c r="E878" i="4" s="1"/>
  <c r="E879" i="4" s="1"/>
  <c r="E880" i="4" s="1"/>
  <c r="E881" i="4" s="1"/>
  <c r="E882" i="4" s="1"/>
  <c r="E883" i="4" s="1"/>
  <c r="E884" i="4" s="1"/>
  <c r="E885" i="4" s="1"/>
  <c r="E886" i="4" s="1"/>
  <c r="E887" i="4" s="1"/>
  <c r="E888" i="4" s="1"/>
  <c r="E889" i="4" s="1"/>
  <c r="E890" i="4" s="1"/>
  <c r="E891" i="4" s="1"/>
  <c r="E892" i="4" s="1"/>
  <c r="E893" i="4" s="1"/>
  <c r="E894" i="4" s="1"/>
  <c r="E895" i="4" s="1"/>
  <c r="E896" i="4" s="1"/>
  <c r="E897" i="4" s="1"/>
  <c r="E898" i="4" s="1"/>
  <c r="E899" i="4" s="1"/>
  <c r="E900" i="4" s="1"/>
  <c r="E901" i="4" s="1"/>
  <c r="E902" i="4" s="1"/>
  <c r="E903" i="4" s="1"/>
  <c r="E904" i="4" s="1"/>
  <c r="E905" i="4" s="1"/>
  <c r="E906" i="4" s="1"/>
  <c r="E907" i="4" s="1"/>
  <c r="E908" i="4" s="1"/>
  <c r="E909" i="4" s="1"/>
  <c r="E910" i="4" s="1"/>
  <c r="E911" i="4" s="1"/>
  <c r="E912" i="4" s="1"/>
  <c r="E913" i="4" s="1"/>
  <c r="E914" i="4" s="1"/>
  <c r="E915" i="4" s="1"/>
  <c r="E916" i="4" s="1"/>
  <c r="E917" i="4" s="1"/>
  <c r="E918" i="4" s="1"/>
  <c r="E919" i="4" s="1"/>
  <c r="E920" i="4" s="1"/>
  <c r="E921" i="4" s="1"/>
  <c r="E922" i="4" s="1"/>
  <c r="E923" i="4" s="1"/>
  <c r="E924" i="4" s="1"/>
  <c r="E925" i="4" s="1"/>
  <c r="E926" i="4" s="1"/>
  <c r="E927" i="4" s="1"/>
  <c r="E928" i="4" s="1"/>
  <c r="E929" i="4" s="1"/>
  <c r="E930" i="4" s="1"/>
  <c r="E931" i="4" s="1"/>
  <c r="E932" i="4" s="1"/>
  <c r="E933" i="4" s="1"/>
  <c r="E934" i="4" s="1"/>
  <c r="E935" i="4" s="1"/>
  <c r="E936" i="4" s="1"/>
  <c r="E937" i="4" s="1"/>
  <c r="E938" i="4" s="1"/>
  <c r="E939" i="4" s="1"/>
  <c r="E940" i="4" s="1"/>
  <c r="E941" i="4" s="1"/>
  <c r="E942" i="4" s="1"/>
  <c r="E943" i="4" s="1"/>
  <c r="E944" i="4" s="1"/>
  <c r="E945" i="4" s="1"/>
  <c r="E946" i="4" s="1"/>
  <c r="E947" i="4" s="1"/>
  <c r="E948" i="4" s="1"/>
  <c r="E949" i="4" s="1"/>
  <c r="E950" i="4" s="1"/>
  <c r="E951" i="4" s="1"/>
  <c r="E952" i="4" s="1"/>
  <c r="E953" i="4" s="1"/>
  <c r="E954" i="4" s="1"/>
  <c r="E955" i="4" s="1"/>
  <c r="E956" i="4" s="1"/>
  <c r="E957" i="4" s="1"/>
  <c r="E958" i="4" s="1"/>
  <c r="E959" i="4" s="1"/>
  <c r="E960" i="4" s="1"/>
  <c r="E961" i="4" s="1"/>
  <c r="E962" i="4" s="1"/>
  <c r="E963" i="4" s="1"/>
  <c r="E964" i="4" s="1"/>
  <c r="E965" i="4" s="1"/>
  <c r="E966" i="4" s="1"/>
  <c r="E967" i="4" s="1"/>
  <c r="E968" i="4" s="1"/>
  <c r="E969" i="4" s="1"/>
  <c r="E970" i="4" s="1"/>
  <c r="E971" i="4" s="1"/>
  <c r="E972" i="4" s="1"/>
  <c r="E973" i="4" s="1"/>
  <c r="E974" i="4" s="1"/>
  <c r="E975" i="4" s="1"/>
  <c r="E976" i="4" s="1"/>
  <c r="E977" i="4" s="1"/>
  <c r="E978" i="4" s="1"/>
  <c r="E979" i="4" s="1"/>
  <c r="E980" i="4" s="1"/>
  <c r="E981" i="4" s="1"/>
  <c r="E982" i="4" s="1"/>
  <c r="E983" i="4" s="1"/>
  <c r="E984" i="4" s="1"/>
  <c r="E985" i="4" s="1"/>
  <c r="E986" i="4" s="1"/>
  <c r="E987" i="4" s="1"/>
  <c r="E988" i="4" s="1"/>
  <c r="E989" i="4" s="1"/>
  <c r="E990" i="4" s="1"/>
  <c r="E991" i="4" s="1"/>
  <c r="E992" i="4" s="1"/>
  <c r="E993" i="4" s="1"/>
  <c r="E994" i="4" s="1"/>
  <c r="E995" i="4" s="1"/>
  <c r="E996" i="4" s="1"/>
  <c r="E997" i="4" s="1"/>
  <c r="E998" i="4" s="1"/>
  <c r="E999" i="4" s="1"/>
  <c r="E1000" i="4" s="1"/>
  <c r="E1001" i="4" s="1"/>
  <c r="E1002" i="4" s="1"/>
  <c r="E1003" i="4" s="1"/>
  <c r="E1004" i="4" s="1"/>
  <c r="E1005" i="4" s="1"/>
  <c r="E1006" i="4" s="1"/>
  <c r="E1007" i="4" s="1"/>
  <c r="E1008" i="4" s="1"/>
  <c r="E1009" i="4" s="1"/>
  <c r="E1010" i="4" s="1"/>
  <c r="E1011" i="4" s="1"/>
  <c r="E1012" i="4" s="1"/>
  <c r="E1013" i="4" s="1"/>
  <c r="E1014" i="4" s="1"/>
  <c r="E1015" i="4" s="1"/>
  <c r="E1016" i="4" s="1"/>
  <c r="E1017" i="4" s="1"/>
  <c r="E1018" i="4" s="1"/>
  <c r="E1019" i="4" s="1"/>
  <c r="E1020" i="4" s="1"/>
  <c r="E1021" i="4" s="1"/>
  <c r="E1022" i="4" s="1"/>
  <c r="E1023" i="4" s="1"/>
  <c r="E1024" i="4" s="1"/>
  <c r="E1025" i="4" s="1"/>
  <c r="E1026" i="4" s="1"/>
  <c r="E1027" i="4" s="1"/>
  <c r="E1028" i="4" s="1"/>
  <c r="E1029" i="4" s="1"/>
  <c r="E1030" i="4" s="1"/>
  <c r="E1031" i="4" s="1"/>
  <c r="E1032" i="4" s="1"/>
  <c r="E1033" i="4" s="1"/>
  <c r="E1034" i="4" s="1"/>
  <c r="E1035" i="4" s="1"/>
  <c r="E1036" i="4" s="1"/>
  <c r="E1037" i="4" s="1"/>
  <c r="E1038" i="4" s="1"/>
  <c r="E1039" i="4" s="1"/>
  <c r="E1040" i="4" s="1"/>
  <c r="E1041" i="4" s="1"/>
  <c r="E1042" i="4" s="1"/>
  <c r="E1043" i="4" s="1"/>
  <c r="E1044" i="4" s="1"/>
  <c r="E1045" i="4" s="1"/>
  <c r="E1046" i="4" s="1"/>
  <c r="E1047" i="4" s="1"/>
  <c r="E1048" i="4" s="1"/>
  <c r="E1049" i="4" s="1"/>
  <c r="E1050" i="4" s="1"/>
  <c r="E1051" i="4" s="1"/>
  <c r="E1052" i="4" s="1"/>
  <c r="E1053" i="4" s="1"/>
  <c r="E1054" i="4" s="1"/>
  <c r="E1055" i="4" s="1"/>
  <c r="E1056" i="4" s="1"/>
  <c r="E1057" i="4" s="1"/>
  <c r="E1058" i="4" s="1"/>
  <c r="E1059" i="4" s="1"/>
  <c r="E1060" i="4" s="1"/>
  <c r="E1061" i="4" s="1"/>
  <c r="E1062" i="4" s="1"/>
  <c r="E1063" i="4" s="1"/>
  <c r="E1064" i="4" s="1"/>
  <c r="E1065" i="4" s="1"/>
  <c r="E1066" i="4" s="1"/>
  <c r="E1067" i="4" s="1"/>
  <c r="E1068" i="4" s="1"/>
  <c r="E1069" i="4" s="1"/>
  <c r="E1070" i="4" s="1"/>
  <c r="E1071" i="4" s="1"/>
  <c r="E1072" i="4" s="1"/>
  <c r="E1073" i="4" s="1"/>
  <c r="E1074" i="4" s="1"/>
  <c r="E1075" i="4" s="1"/>
  <c r="E1076" i="4" s="1"/>
  <c r="E1077" i="4" s="1"/>
  <c r="E1078" i="4" s="1"/>
  <c r="E1079" i="4" s="1"/>
  <c r="E1080" i="4" s="1"/>
  <c r="E1081" i="4" s="1"/>
  <c r="E1082" i="4" s="1"/>
  <c r="E1083" i="4" s="1"/>
  <c r="E1084" i="4" s="1"/>
  <c r="E1085" i="4" s="1"/>
  <c r="E1086" i="4" s="1"/>
  <c r="E1087" i="4" s="1"/>
  <c r="G587" i="4"/>
  <c r="G588" i="4" s="1"/>
  <c r="G589" i="4" s="1"/>
  <c r="G590" i="4" s="1"/>
  <c r="G591" i="4" s="1"/>
  <c r="G592" i="4" s="1"/>
  <c r="G593" i="4" s="1"/>
  <c r="G594" i="4" s="1"/>
  <c r="G595" i="4" s="1"/>
  <c r="G596" i="4" s="1"/>
  <c r="G597" i="4" s="1"/>
  <c r="G598" i="4" s="1"/>
  <c r="G599" i="4" s="1"/>
  <c r="G600" i="4" s="1"/>
  <c r="G601" i="4" s="1"/>
  <c r="G602" i="4" s="1"/>
  <c r="G603" i="4" s="1"/>
  <c r="G604" i="4" s="1"/>
  <c r="G605" i="4" s="1"/>
  <c r="G606" i="4" s="1"/>
  <c r="G607" i="4" s="1"/>
  <c r="G608" i="4" s="1"/>
  <c r="G609" i="4" s="1"/>
  <c r="G610" i="4" s="1"/>
  <c r="G611" i="4" s="1"/>
  <c r="G612" i="4" s="1"/>
  <c r="G613" i="4" s="1"/>
  <c r="G614" i="4" s="1"/>
  <c r="G615" i="4" s="1"/>
  <c r="G616" i="4" s="1"/>
  <c r="G617" i="4" s="1"/>
  <c r="G618" i="4" s="1"/>
  <c r="G619" i="4" s="1"/>
  <c r="G620" i="4" s="1"/>
  <c r="G621" i="4" s="1"/>
  <c r="G622" i="4" s="1"/>
  <c r="G623" i="4" s="1"/>
  <c r="G624" i="4" s="1"/>
  <c r="G625" i="4" s="1"/>
  <c r="G626" i="4" s="1"/>
  <c r="G627" i="4" s="1"/>
  <c r="G628" i="4" s="1"/>
  <c r="G629" i="4" s="1"/>
  <c r="G630" i="4" s="1"/>
  <c r="G631" i="4" s="1"/>
  <c r="G632" i="4" s="1"/>
  <c r="G633" i="4" s="1"/>
  <c r="G634" i="4" s="1"/>
  <c r="G635" i="4" s="1"/>
  <c r="G636" i="4" s="1"/>
  <c r="G637" i="4" s="1"/>
  <c r="G638" i="4" s="1"/>
  <c r="G639" i="4" s="1"/>
  <c r="G640" i="4" s="1"/>
  <c r="G641" i="4" s="1"/>
  <c r="G642" i="4" s="1"/>
  <c r="G643" i="4" s="1"/>
  <c r="G644" i="4" s="1"/>
  <c r="G645" i="4" s="1"/>
  <c r="G646" i="4" s="1"/>
  <c r="G647" i="4" s="1"/>
  <c r="G648" i="4" s="1"/>
  <c r="G649" i="4"/>
  <c r="G650" i="4" s="1"/>
  <c r="G651" i="4" s="1"/>
  <c r="G652" i="4" s="1"/>
  <c r="G653" i="4" s="1"/>
  <c r="G654" i="4" s="1"/>
  <c r="G655" i="4" s="1"/>
  <c r="G656" i="4" s="1"/>
  <c r="G657" i="4" s="1"/>
  <c r="G658" i="4" s="1"/>
  <c r="G659" i="4" s="1"/>
  <c r="G660" i="4" s="1"/>
  <c r="G661" i="4" s="1"/>
  <c r="G662" i="4" s="1"/>
  <c r="G663" i="4" s="1"/>
  <c r="G664" i="4" s="1"/>
  <c r="G665" i="4" s="1"/>
  <c r="G666" i="4" s="1"/>
  <c r="G667" i="4" s="1"/>
  <c r="G668" i="4" s="1"/>
  <c r="G669" i="4" s="1"/>
  <c r="G670" i="4" s="1"/>
  <c r="G671" i="4" s="1"/>
  <c r="G672" i="4" s="1"/>
  <c r="G673" i="4" s="1"/>
  <c r="G674" i="4" s="1"/>
  <c r="G675" i="4" s="1"/>
  <c r="G676" i="4" s="1"/>
  <c r="G677" i="4" s="1"/>
  <c r="G678" i="4" s="1"/>
  <c r="G679" i="4" s="1"/>
  <c r="G680" i="4" s="1"/>
  <c r="G681" i="4" s="1"/>
  <c r="G682" i="4" s="1"/>
  <c r="G683" i="4" s="1"/>
  <c r="G684" i="4" s="1"/>
  <c r="G685" i="4" s="1"/>
  <c r="G686" i="4" s="1"/>
  <c r="G687" i="4" s="1"/>
  <c r="G688" i="4" s="1"/>
  <c r="G689" i="4" s="1"/>
  <c r="G690" i="4" s="1"/>
  <c r="G691" i="4" s="1"/>
  <c r="G692" i="4" s="1"/>
  <c r="G693" i="4" s="1"/>
  <c r="G694" i="4" s="1"/>
  <c r="G695" i="4" s="1"/>
  <c r="G696" i="4" s="1"/>
  <c r="G697" i="4" s="1"/>
  <c r="G698" i="4" s="1"/>
  <c r="G699" i="4" s="1"/>
  <c r="G700" i="4" s="1"/>
  <c r="G701" i="4" s="1"/>
  <c r="G702" i="4" s="1"/>
  <c r="G703" i="4" s="1"/>
  <c r="G704" i="4" s="1"/>
  <c r="G705" i="4" s="1"/>
  <c r="G706" i="4" s="1"/>
  <c r="G707" i="4" s="1"/>
  <c r="G708" i="4" s="1"/>
  <c r="G709" i="4" s="1"/>
  <c r="G710" i="4" s="1"/>
  <c r="G711" i="4" s="1"/>
  <c r="G712" i="4" s="1"/>
  <c r="G713" i="4" s="1"/>
  <c r="G714" i="4" s="1"/>
  <c r="G715" i="4" s="1"/>
  <c r="G716" i="4" s="1"/>
  <c r="G717" i="4" s="1"/>
  <c r="G718" i="4" s="1"/>
  <c r="G719" i="4" s="1"/>
  <c r="G720" i="4" s="1"/>
  <c r="G721" i="4" s="1"/>
  <c r="G722" i="4" s="1"/>
  <c r="G723" i="4" s="1"/>
  <c r="G724" i="4" s="1"/>
  <c r="G725" i="4" s="1"/>
  <c r="G726" i="4" s="1"/>
  <c r="G727" i="4" s="1"/>
  <c r="G728" i="4" s="1"/>
  <c r="G729" i="4" s="1"/>
  <c r="G730" i="4" s="1"/>
  <c r="G731" i="4" s="1"/>
  <c r="G732" i="4" s="1"/>
  <c r="G733" i="4" s="1"/>
  <c r="G734" i="4" s="1"/>
  <c r="G735" i="4" s="1"/>
  <c r="G736" i="4" s="1"/>
  <c r="G737" i="4" s="1"/>
  <c r="G738" i="4" s="1"/>
  <c r="G739" i="4" s="1"/>
  <c r="G740" i="4" s="1"/>
  <c r="G741" i="4" s="1"/>
  <c r="G742" i="4" s="1"/>
  <c r="G743" i="4" s="1"/>
  <c r="G744" i="4" s="1"/>
  <c r="G745" i="4" s="1"/>
  <c r="G746" i="4" s="1"/>
  <c r="G747" i="4" s="1"/>
  <c r="G748" i="4" s="1"/>
  <c r="G749" i="4" s="1"/>
  <c r="G750" i="4" s="1"/>
  <c r="G751" i="4" s="1"/>
  <c r="G752" i="4" s="1"/>
  <c r="G753" i="4" s="1"/>
  <c r="G754" i="4" s="1"/>
  <c r="G755" i="4" s="1"/>
  <c r="G756" i="4" s="1"/>
  <c r="G757" i="4" s="1"/>
  <c r="G758" i="4" s="1"/>
  <c r="G759" i="4" s="1"/>
  <c r="G760" i="4" s="1"/>
  <c r="G761" i="4" s="1"/>
  <c r="G762" i="4" s="1"/>
  <c r="G763" i="4" s="1"/>
  <c r="G764" i="4" s="1"/>
  <c r="G765" i="4" s="1"/>
  <c r="G766" i="4" s="1"/>
  <c r="G767" i="4" s="1"/>
  <c r="G768" i="4" s="1"/>
  <c r="G769" i="4" s="1"/>
  <c r="G770" i="4" s="1"/>
  <c r="G771" i="4" s="1"/>
  <c r="G772" i="4" s="1"/>
  <c r="G773" i="4" s="1"/>
  <c r="G774" i="4" s="1"/>
  <c r="G775" i="4" s="1"/>
  <c r="G776" i="4" s="1"/>
  <c r="G777" i="4" s="1"/>
  <c r="G778" i="4" s="1"/>
  <c r="G779" i="4" s="1"/>
  <c r="G780" i="4" s="1"/>
  <c r="G781" i="4" s="1"/>
  <c r="G782" i="4" s="1"/>
  <c r="G783" i="4" s="1"/>
  <c r="G784" i="4" s="1"/>
  <c r="G785" i="4" s="1"/>
  <c r="G786" i="4" s="1"/>
  <c r="G787" i="4" s="1"/>
  <c r="G788" i="4" s="1"/>
  <c r="G789" i="4" s="1"/>
  <c r="G790" i="4" s="1"/>
  <c r="G791" i="4" s="1"/>
  <c r="G792" i="4" s="1"/>
  <c r="G793" i="4" s="1"/>
  <c r="G794" i="4" s="1"/>
  <c r="G795" i="4" s="1"/>
  <c r="G796" i="4" s="1"/>
  <c r="G797" i="4" s="1"/>
  <c r="G798" i="4" s="1"/>
  <c r="G799" i="4" s="1"/>
  <c r="G800" i="4" s="1"/>
  <c r="G801" i="4" s="1"/>
  <c r="G802" i="4" s="1"/>
  <c r="G803" i="4" s="1"/>
  <c r="G804" i="4" s="1"/>
  <c r="G805" i="4" s="1"/>
  <c r="G806" i="4" s="1"/>
  <c r="G807" i="4" s="1"/>
  <c r="G808" i="4" s="1"/>
  <c r="G809" i="4" s="1"/>
  <c r="G810" i="4" s="1"/>
  <c r="G811" i="4" s="1"/>
  <c r="G812" i="4" s="1"/>
  <c r="G813" i="4" s="1"/>
  <c r="G814" i="4" s="1"/>
  <c r="G815" i="4" s="1"/>
  <c r="G816" i="4" s="1"/>
  <c r="G817" i="4" s="1"/>
  <c r="G818" i="4" s="1"/>
  <c r="G819" i="4" s="1"/>
  <c r="G820" i="4" s="1"/>
  <c r="G821" i="4" s="1"/>
  <c r="G822" i="4" s="1"/>
  <c r="G823" i="4" s="1"/>
  <c r="G824" i="4" s="1"/>
  <c r="G825" i="4" s="1"/>
  <c r="G826" i="4" s="1"/>
  <c r="G827" i="4" s="1"/>
  <c r="G828" i="4" s="1"/>
  <c r="G829" i="4" s="1"/>
  <c r="G830" i="4" s="1"/>
  <c r="G831" i="4" s="1"/>
  <c r="G832" i="4" s="1"/>
  <c r="G833" i="4" s="1"/>
  <c r="G834" i="4" s="1"/>
  <c r="G835" i="4" s="1"/>
  <c r="G836" i="4" s="1"/>
  <c r="G837" i="4" s="1"/>
  <c r="G838" i="4" s="1"/>
  <c r="G839" i="4" s="1"/>
  <c r="G840" i="4" s="1"/>
  <c r="G841" i="4" s="1"/>
  <c r="G842" i="4" s="1"/>
  <c r="G843" i="4" s="1"/>
  <c r="G844" i="4" s="1"/>
  <c r="G845" i="4" s="1"/>
  <c r="G846" i="4" s="1"/>
  <c r="G847" i="4" s="1"/>
  <c r="G848" i="4" s="1"/>
  <c r="G849" i="4" s="1"/>
  <c r="G850" i="4" s="1"/>
  <c r="G851" i="4" s="1"/>
  <c r="G852" i="4" s="1"/>
  <c r="G853" i="4" s="1"/>
  <c r="G854" i="4" s="1"/>
  <c r="G855" i="4" s="1"/>
  <c r="G856" i="4" s="1"/>
  <c r="G857" i="4" s="1"/>
  <c r="G858" i="4" s="1"/>
  <c r="G859" i="4" s="1"/>
  <c r="G860" i="4" s="1"/>
  <c r="G861" i="4" s="1"/>
  <c r="G862" i="4" s="1"/>
  <c r="G863" i="4" s="1"/>
  <c r="G864" i="4" s="1"/>
  <c r="G865" i="4" s="1"/>
  <c r="G866" i="4" s="1"/>
  <c r="G867" i="4" s="1"/>
  <c r="G868" i="4" s="1"/>
  <c r="G869" i="4" s="1"/>
  <c r="G870" i="4" s="1"/>
  <c r="G871" i="4" s="1"/>
  <c r="G872" i="4" s="1"/>
  <c r="G873" i="4" s="1"/>
  <c r="G874" i="4" s="1"/>
  <c r="G875" i="4" s="1"/>
  <c r="G876" i="4" s="1"/>
  <c r="G877" i="4" s="1"/>
  <c r="G878" i="4" s="1"/>
  <c r="G879" i="4" s="1"/>
  <c r="G880" i="4" s="1"/>
  <c r="G881" i="4" s="1"/>
  <c r="G882" i="4" s="1"/>
  <c r="G883" i="4" s="1"/>
  <c r="G884" i="4" s="1"/>
  <c r="G885" i="4" s="1"/>
  <c r="G886" i="4" s="1"/>
  <c r="G887" i="4" s="1"/>
  <c r="G888" i="4" s="1"/>
  <c r="G889" i="4" s="1"/>
  <c r="G890" i="4" s="1"/>
  <c r="G891" i="4" s="1"/>
  <c r="G892" i="4" s="1"/>
  <c r="G893" i="4" s="1"/>
  <c r="G894" i="4" s="1"/>
  <c r="G895" i="4" s="1"/>
  <c r="G896" i="4" s="1"/>
  <c r="G897" i="4" s="1"/>
  <c r="G898" i="4" s="1"/>
  <c r="G899" i="4" s="1"/>
  <c r="G900" i="4" s="1"/>
  <c r="G901" i="4" s="1"/>
  <c r="G902" i="4" s="1"/>
  <c r="G903" i="4" s="1"/>
  <c r="G904" i="4" s="1"/>
  <c r="G905" i="4" s="1"/>
  <c r="G906" i="4" s="1"/>
  <c r="G907" i="4" s="1"/>
  <c r="G908" i="4" s="1"/>
  <c r="G909" i="4" s="1"/>
  <c r="G910" i="4" s="1"/>
  <c r="G911" i="4" s="1"/>
  <c r="G912" i="4" s="1"/>
  <c r="G913" i="4" s="1"/>
  <c r="G914" i="4" s="1"/>
  <c r="G915" i="4" s="1"/>
  <c r="G916" i="4" s="1"/>
  <c r="G917" i="4" s="1"/>
  <c r="G918" i="4" s="1"/>
  <c r="G919" i="4" s="1"/>
  <c r="G920" i="4" s="1"/>
  <c r="G921" i="4" s="1"/>
  <c r="G922" i="4" s="1"/>
  <c r="G923" i="4" s="1"/>
  <c r="G924" i="4" s="1"/>
  <c r="G925" i="4" s="1"/>
  <c r="G926" i="4" s="1"/>
  <c r="G927" i="4" s="1"/>
  <c r="G928" i="4" s="1"/>
  <c r="G929" i="4" s="1"/>
  <c r="G930" i="4" s="1"/>
  <c r="G931" i="4" s="1"/>
  <c r="G932" i="4" s="1"/>
  <c r="G933" i="4" s="1"/>
  <c r="G934" i="4" s="1"/>
  <c r="G935" i="4" s="1"/>
  <c r="G936" i="4" s="1"/>
  <c r="G937" i="4" s="1"/>
  <c r="G938" i="4" s="1"/>
  <c r="G939" i="4" s="1"/>
  <c r="G940" i="4" s="1"/>
  <c r="G941" i="4" s="1"/>
  <c r="G942" i="4" s="1"/>
  <c r="G943" i="4" s="1"/>
  <c r="G944" i="4" s="1"/>
  <c r="G945" i="4" s="1"/>
  <c r="G946" i="4" s="1"/>
  <c r="G947" i="4" s="1"/>
  <c r="G948" i="4" s="1"/>
  <c r="G949" i="4" s="1"/>
  <c r="G950" i="4" s="1"/>
  <c r="G951" i="4" s="1"/>
  <c r="G952" i="4" s="1"/>
  <c r="G953" i="4" s="1"/>
  <c r="G954" i="4" s="1"/>
  <c r="G955" i="4" s="1"/>
  <c r="G956" i="4" s="1"/>
  <c r="G957" i="4" s="1"/>
  <c r="G958" i="4" s="1"/>
  <c r="G959" i="4" s="1"/>
  <c r="G960" i="4" s="1"/>
  <c r="G961" i="4" s="1"/>
  <c r="G962" i="4" s="1"/>
  <c r="G963" i="4" s="1"/>
  <c r="G964" i="4" s="1"/>
  <c r="G965" i="4" s="1"/>
  <c r="G966" i="4" s="1"/>
  <c r="G967" i="4" s="1"/>
  <c r="G968" i="4" s="1"/>
  <c r="G969" i="4" s="1"/>
  <c r="G970" i="4" s="1"/>
  <c r="G971" i="4" s="1"/>
  <c r="G972" i="4" s="1"/>
  <c r="G973" i="4" s="1"/>
  <c r="G974" i="4" s="1"/>
  <c r="G975" i="4" s="1"/>
  <c r="G976" i="4" s="1"/>
  <c r="G977" i="4" s="1"/>
  <c r="G978" i="4" s="1"/>
  <c r="G979" i="4" s="1"/>
  <c r="G980" i="4" s="1"/>
  <c r="G981" i="4" s="1"/>
  <c r="G982" i="4" s="1"/>
  <c r="G983" i="4" s="1"/>
  <c r="G984" i="4" s="1"/>
  <c r="G985" i="4" s="1"/>
  <c r="G986" i="4" s="1"/>
  <c r="G987" i="4" s="1"/>
  <c r="G988" i="4" s="1"/>
  <c r="G989" i="4" s="1"/>
  <c r="G990" i="4" s="1"/>
  <c r="G991" i="4" s="1"/>
  <c r="G992" i="4" s="1"/>
  <c r="G993" i="4" s="1"/>
  <c r="G994" i="4" s="1"/>
  <c r="G995" i="4" s="1"/>
  <c r="G996" i="4" s="1"/>
  <c r="G997" i="4" s="1"/>
  <c r="G998" i="4" s="1"/>
  <c r="G999" i="4" s="1"/>
  <c r="G1000" i="4" s="1"/>
  <c r="G1001" i="4" s="1"/>
  <c r="G1002" i="4" s="1"/>
  <c r="G1003" i="4" s="1"/>
  <c r="G1004" i="4" s="1"/>
  <c r="G1005" i="4" s="1"/>
  <c r="G1006" i="4" s="1"/>
  <c r="G1007" i="4" s="1"/>
  <c r="G1008" i="4" s="1"/>
  <c r="G1009" i="4" s="1"/>
  <c r="G1010" i="4" s="1"/>
  <c r="G1011" i="4" s="1"/>
  <c r="G1012" i="4" s="1"/>
  <c r="G1013" i="4" s="1"/>
  <c r="G1014" i="4" s="1"/>
  <c r="G1015" i="4" s="1"/>
  <c r="G1016" i="4" s="1"/>
  <c r="G1017" i="4" s="1"/>
  <c r="G1018" i="4" s="1"/>
  <c r="G1019" i="4" s="1"/>
  <c r="G1020" i="4" s="1"/>
  <c r="G1021" i="4" s="1"/>
  <c r="G1022" i="4" s="1"/>
  <c r="G1023" i="4" s="1"/>
  <c r="G1024" i="4" s="1"/>
  <c r="G1025" i="4" s="1"/>
  <c r="G1026" i="4" s="1"/>
  <c r="G1027" i="4" s="1"/>
  <c r="G1028" i="4" s="1"/>
  <c r="G1029" i="4" s="1"/>
  <c r="G1030" i="4" s="1"/>
  <c r="G1031" i="4" s="1"/>
  <c r="G1032" i="4" s="1"/>
  <c r="G1033" i="4" s="1"/>
  <c r="G1034" i="4" s="1"/>
  <c r="G1035" i="4" s="1"/>
  <c r="G1036" i="4" s="1"/>
  <c r="G1037" i="4" s="1"/>
  <c r="G1038" i="4" s="1"/>
  <c r="G1039" i="4" s="1"/>
  <c r="G1040" i="4" s="1"/>
  <c r="G1041" i="4" s="1"/>
  <c r="G1042" i="4" s="1"/>
  <c r="G1043" i="4" s="1"/>
  <c r="G1044" i="4" s="1"/>
  <c r="G1045" i="4" s="1"/>
  <c r="G1046" i="4" s="1"/>
  <c r="G1047" i="4" s="1"/>
  <c r="G1048" i="4" s="1"/>
  <c r="G1049" i="4" s="1"/>
  <c r="G1050" i="4" s="1"/>
  <c r="G1051" i="4" s="1"/>
  <c r="G1052" i="4" s="1"/>
  <c r="G1053" i="4" s="1"/>
  <c r="G1054" i="4" s="1"/>
  <c r="G1055" i="4" s="1"/>
  <c r="G1056" i="4" s="1"/>
  <c r="G1057" i="4" s="1"/>
  <c r="G1058" i="4" s="1"/>
  <c r="G1059" i="4" s="1"/>
  <c r="G1060" i="4" s="1"/>
  <c r="G1061" i="4" s="1"/>
  <c r="G1062" i="4" s="1"/>
  <c r="G1063" i="4" s="1"/>
  <c r="G1064" i="4" s="1"/>
  <c r="G1065" i="4" s="1"/>
  <c r="G1066" i="4" s="1"/>
  <c r="G1067" i="4" s="1"/>
  <c r="G1068" i="4" s="1"/>
  <c r="G1069" i="4" s="1"/>
  <c r="G1070" i="4" s="1"/>
  <c r="G1071" i="4" s="1"/>
  <c r="G1072" i="4" s="1"/>
  <c r="G1073" i="4" s="1"/>
  <c r="G1074" i="4" s="1"/>
  <c r="G1075" i="4" s="1"/>
  <c r="G1076" i="4" s="1"/>
  <c r="G1077" i="4" s="1"/>
  <c r="G1078" i="4" s="1"/>
  <c r="G1079" i="4" s="1"/>
  <c r="G1080" i="4" s="1"/>
  <c r="G1081" i="4" s="1"/>
  <c r="G1082" i="4" s="1"/>
  <c r="G1083" i="4" s="1"/>
  <c r="G1084" i="4" s="1"/>
  <c r="G1085" i="4" s="1"/>
  <c r="G1086" i="4" s="1"/>
  <c r="G1087" i="4" s="1"/>
  <c r="I2" i="4" l="1"/>
  <c r="F3" i="4"/>
  <c r="F4" i="4" s="1"/>
  <c r="F5" i="4" s="1"/>
  <c r="F6" i="4" s="1"/>
  <c r="F7" i="4" s="1"/>
  <c r="F8" i="4" s="1"/>
  <c r="F9" i="4" s="1"/>
  <c r="F10" i="4" s="1"/>
  <c r="F11" i="4" s="1"/>
  <c r="F12" i="4" s="1"/>
  <c r="F13" i="4" s="1"/>
  <c r="F14" i="4" s="1"/>
  <c r="F15" i="4" s="1"/>
  <c r="F16" i="4" s="1"/>
  <c r="F17" i="4" s="1"/>
  <c r="F18" i="4" s="1"/>
  <c r="F19" i="4" s="1"/>
  <c r="F20" i="4" s="1"/>
  <c r="F21" i="4" s="1"/>
  <c r="F22" i="4" s="1"/>
  <c r="F23" i="4" s="1"/>
  <c r="F24" i="4" s="1"/>
  <c r="F25" i="4" s="1"/>
  <c r="F26" i="4" s="1"/>
  <c r="F27" i="4" s="1"/>
  <c r="F28" i="4" s="1"/>
  <c r="F29" i="4" s="1"/>
  <c r="F30" i="4" s="1"/>
  <c r="F31" i="4" s="1"/>
  <c r="F32" i="4" s="1"/>
  <c r="F33" i="4" s="1"/>
  <c r="F34" i="4" s="1"/>
  <c r="F35" i="4" s="1"/>
  <c r="F36" i="4" s="1"/>
  <c r="F37" i="4" s="1"/>
  <c r="F38" i="4" s="1"/>
  <c r="F39" i="4" s="1"/>
  <c r="F40" i="4" s="1"/>
  <c r="F41" i="4" s="1"/>
  <c r="F42" i="4" s="1"/>
  <c r="F43" i="4" s="1"/>
  <c r="F44" i="4" s="1"/>
  <c r="F45" i="4" s="1"/>
  <c r="F46" i="4" s="1"/>
  <c r="F47" i="4" s="1"/>
  <c r="F48" i="4" s="1"/>
  <c r="F49" i="4" s="1"/>
  <c r="F50" i="4" s="1"/>
  <c r="F51" i="4" s="1"/>
  <c r="F52" i="4" s="1"/>
  <c r="F53" i="4" s="1"/>
  <c r="F54" i="4" s="1"/>
  <c r="F55" i="4" s="1"/>
  <c r="F56" i="4" s="1"/>
  <c r="F57" i="4" s="1"/>
  <c r="F58" i="4" s="1"/>
  <c r="F59" i="4" s="1"/>
  <c r="F60" i="4" s="1"/>
  <c r="F61" i="4" s="1"/>
  <c r="F62" i="4" s="1"/>
  <c r="F63" i="4" s="1"/>
  <c r="F64" i="4" s="1"/>
  <c r="F65" i="4" s="1"/>
  <c r="F66" i="4" s="1"/>
  <c r="F67" i="4" s="1"/>
  <c r="F68" i="4" s="1"/>
  <c r="F69" i="4" s="1"/>
  <c r="F70" i="4" s="1"/>
  <c r="F71" i="4" s="1"/>
  <c r="F72" i="4" s="1"/>
  <c r="F73" i="4" s="1"/>
  <c r="F74" i="4" s="1"/>
  <c r="F75" i="4" s="1"/>
  <c r="F76" i="4" s="1"/>
  <c r="F77" i="4" s="1"/>
  <c r="F78" i="4" s="1"/>
  <c r="F79" i="4" s="1"/>
  <c r="F80" i="4" s="1"/>
  <c r="F81" i="4" s="1"/>
  <c r="F82" i="4" s="1"/>
  <c r="F83" i="4" s="1"/>
  <c r="F84" i="4" s="1"/>
  <c r="F85" i="4" s="1"/>
  <c r="F86" i="4" s="1"/>
  <c r="F87" i="4" s="1"/>
  <c r="F88" i="4" s="1"/>
  <c r="F89" i="4" s="1"/>
  <c r="F90" i="4" s="1"/>
  <c r="F91" i="4" s="1"/>
  <c r="F92" i="4" s="1"/>
  <c r="F93" i="4" s="1"/>
  <c r="F94" i="4" s="1"/>
  <c r="F95" i="4" s="1"/>
  <c r="F96" i="4" s="1"/>
  <c r="F97" i="4" s="1"/>
  <c r="F98" i="4" s="1"/>
  <c r="F99" i="4" s="1"/>
  <c r="F100" i="4" s="1"/>
  <c r="F101" i="4" s="1"/>
  <c r="F102" i="4" s="1"/>
  <c r="F103" i="4" s="1"/>
  <c r="F104" i="4" s="1"/>
  <c r="F105" i="4" s="1"/>
  <c r="F106" i="4" s="1"/>
  <c r="F107" i="4" s="1"/>
  <c r="F108" i="4" s="1"/>
  <c r="F109" i="4" s="1"/>
  <c r="F110" i="4" s="1"/>
  <c r="F111" i="4" s="1"/>
  <c r="F112" i="4" s="1"/>
  <c r="F113" i="4" s="1"/>
  <c r="F114" i="4" s="1"/>
  <c r="F115" i="4" s="1"/>
  <c r="F116" i="4" s="1"/>
  <c r="F117" i="4" s="1"/>
  <c r="F118" i="4" s="1"/>
  <c r="F119" i="4" s="1"/>
  <c r="F120" i="4" s="1"/>
  <c r="F121" i="4" s="1"/>
  <c r="F122" i="4" s="1"/>
  <c r="F123" i="4" s="1"/>
  <c r="F124" i="4" s="1"/>
  <c r="F125" i="4" s="1"/>
  <c r="F126" i="4" s="1"/>
  <c r="F127" i="4" s="1"/>
  <c r="F128" i="4" s="1"/>
  <c r="F129" i="4" s="1"/>
  <c r="F130" i="4" s="1"/>
  <c r="F131" i="4" s="1"/>
  <c r="F132" i="4" s="1"/>
  <c r="F133" i="4" s="1"/>
  <c r="F134" i="4" s="1"/>
  <c r="F135" i="4" s="1"/>
  <c r="F136" i="4" s="1"/>
  <c r="F137" i="4" s="1"/>
  <c r="F138" i="4" s="1"/>
  <c r="F139" i="4" s="1"/>
  <c r="F140" i="4" s="1"/>
  <c r="F141" i="4" s="1"/>
  <c r="F142" i="4" s="1"/>
  <c r="F143" i="4" s="1"/>
  <c r="F144" i="4" s="1"/>
  <c r="F145" i="4" s="1"/>
  <c r="F146" i="4" s="1"/>
  <c r="F147" i="4" s="1"/>
  <c r="F148" i="4" s="1"/>
  <c r="F149" i="4" s="1"/>
  <c r="F150" i="4" s="1"/>
  <c r="F151" i="4" s="1"/>
  <c r="F152" i="4" s="1"/>
  <c r="F153" i="4" s="1"/>
  <c r="F154" i="4" s="1"/>
  <c r="F155" i="4" s="1"/>
  <c r="F156" i="4" s="1"/>
  <c r="F157" i="4" s="1"/>
  <c r="F158" i="4" s="1"/>
  <c r="F159" i="4" s="1"/>
  <c r="F160" i="4" s="1"/>
  <c r="F161" i="4" s="1"/>
  <c r="F162" i="4" s="1"/>
  <c r="F163" i="4" s="1"/>
  <c r="F164" i="4" s="1"/>
  <c r="F165" i="4" s="1"/>
  <c r="F166" i="4" s="1"/>
  <c r="F167" i="4" s="1"/>
  <c r="F168" i="4" s="1"/>
  <c r="F169" i="4" s="1"/>
  <c r="F170" i="4" s="1"/>
  <c r="F171" i="4" s="1"/>
  <c r="F172" i="4" s="1"/>
  <c r="F173" i="4" s="1"/>
  <c r="F174" i="4" s="1"/>
  <c r="F175" i="4" s="1"/>
  <c r="F176" i="4" s="1"/>
  <c r="F177" i="4" s="1"/>
  <c r="F178" i="4" s="1"/>
  <c r="F179" i="4" s="1"/>
  <c r="F180" i="4" s="1"/>
  <c r="F181" i="4" s="1"/>
  <c r="F182" i="4" s="1"/>
  <c r="F183" i="4" s="1"/>
  <c r="F184" i="4" s="1"/>
  <c r="F185" i="4" s="1"/>
  <c r="F186" i="4" s="1"/>
  <c r="F187" i="4" s="1"/>
  <c r="F188" i="4" s="1"/>
  <c r="F189" i="4" s="1"/>
  <c r="F190" i="4" s="1"/>
  <c r="F191" i="4" s="1"/>
  <c r="F192" i="4" s="1"/>
  <c r="F193" i="4" s="1"/>
  <c r="F194" i="4" s="1"/>
  <c r="F195" i="4" s="1"/>
  <c r="F196" i="4" s="1"/>
  <c r="F197" i="4" s="1"/>
  <c r="F198" i="4" s="1"/>
  <c r="F199" i="4" s="1"/>
  <c r="F200" i="4" s="1"/>
  <c r="F201" i="4" s="1"/>
  <c r="F202" i="4" s="1"/>
  <c r="F203" i="4" s="1"/>
  <c r="F204" i="4" s="1"/>
  <c r="F205" i="4" s="1"/>
  <c r="F206" i="4" s="1"/>
  <c r="F207" i="4" s="1"/>
  <c r="F208" i="4" s="1"/>
  <c r="F209" i="4" s="1"/>
  <c r="F210" i="4" s="1"/>
  <c r="F211" i="4" s="1"/>
  <c r="F212" i="4" s="1"/>
  <c r="F213" i="4" s="1"/>
  <c r="F214" i="4" s="1"/>
  <c r="F215" i="4" s="1"/>
  <c r="F216" i="4" s="1"/>
  <c r="F217" i="4" s="1"/>
  <c r="F218" i="4" s="1"/>
  <c r="F219" i="4" s="1"/>
  <c r="F220" i="4" s="1"/>
  <c r="F221" i="4" s="1"/>
  <c r="F222" i="4" s="1"/>
  <c r="F223" i="4" s="1"/>
  <c r="F224" i="4" s="1"/>
  <c r="F225" i="4" s="1"/>
  <c r="F226" i="4" s="1"/>
  <c r="F227" i="4" s="1"/>
  <c r="F228" i="4" s="1"/>
  <c r="F229" i="4" s="1"/>
  <c r="F230" i="4" s="1"/>
  <c r="F231" i="4" s="1"/>
  <c r="F232" i="4" s="1"/>
  <c r="F233" i="4" s="1"/>
  <c r="F234" i="4" s="1"/>
  <c r="F235" i="4" s="1"/>
  <c r="F236" i="4" s="1"/>
  <c r="F237" i="4" s="1"/>
  <c r="F238" i="4" s="1"/>
  <c r="F239" i="4" s="1"/>
  <c r="F240" i="4" s="1"/>
  <c r="F241" i="4" s="1"/>
  <c r="F242" i="4" s="1"/>
  <c r="F243" i="4" s="1"/>
  <c r="F244" i="4" s="1"/>
  <c r="F245" i="4" s="1"/>
  <c r="F246" i="4" s="1"/>
  <c r="F247" i="4" s="1"/>
  <c r="F248" i="4" s="1"/>
  <c r="F249" i="4" s="1"/>
  <c r="F250" i="4" s="1"/>
  <c r="F251" i="4" s="1"/>
  <c r="F252" i="4" s="1"/>
  <c r="F253" i="4" s="1"/>
  <c r="F254" i="4" s="1"/>
  <c r="F255" i="4" s="1"/>
  <c r="F256" i="4" s="1"/>
  <c r="F257" i="4" s="1"/>
  <c r="F258" i="4" s="1"/>
  <c r="F259" i="4" s="1"/>
  <c r="F260" i="4" s="1"/>
  <c r="F261" i="4" s="1"/>
  <c r="F262" i="4" s="1"/>
  <c r="F263" i="4" s="1"/>
  <c r="F264" i="4" s="1"/>
  <c r="F265" i="4" s="1"/>
  <c r="F266" i="4" s="1"/>
  <c r="F267" i="4" s="1"/>
  <c r="F268" i="4" s="1"/>
  <c r="F269" i="4" s="1"/>
  <c r="F270" i="4" s="1"/>
  <c r="F271" i="4" s="1"/>
  <c r="F272" i="4" s="1"/>
  <c r="F273" i="4" s="1"/>
  <c r="F274" i="4" s="1"/>
  <c r="F275" i="4" s="1"/>
  <c r="F276" i="4" s="1"/>
  <c r="F277" i="4" s="1"/>
  <c r="F278" i="4" s="1"/>
  <c r="F279" i="4" s="1"/>
  <c r="F280" i="4" s="1"/>
  <c r="F281" i="4" s="1"/>
  <c r="F282" i="4" s="1"/>
  <c r="F283" i="4" s="1"/>
  <c r="F284" i="4" s="1"/>
  <c r="F285" i="4" s="1"/>
  <c r="F286" i="4" s="1"/>
  <c r="F287" i="4" s="1"/>
  <c r="F288" i="4" s="1"/>
  <c r="F289" i="4" s="1"/>
  <c r="F290" i="4" s="1"/>
  <c r="F291" i="4" s="1"/>
  <c r="F292" i="4" s="1"/>
  <c r="F293" i="4" s="1"/>
  <c r="F294" i="4" s="1"/>
  <c r="F295" i="4" s="1"/>
  <c r="F296" i="4" s="1"/>
  <c r="F297" i="4" s="1"/>
  <c r="F298" i="4" s="1"/>
  <c r="F299" i="4" s="1"/>
  <c r="F300" i="4" s="1"/>
  <c r="F301" i="4" s="1"/>
  <c r="F302" i="4" s="1"/>
  <c r="F303" i="4" s="1"/>
  <c r="F304" i="4" s="1"/>
  <c r="F305" i="4" s="1"/>
  <c r="F306" i="4" s="1"/>
  <c r="F307" i="4" s="1"/>
  <c r="F308" i="4" s="1"/>
  <c r="F309" i="4" s="1"/>
  <c r="F310" i="4" s="1"/>
  <c r="F311" i="4" s="1"/>
  <c r="F312" i="4" s="1"/>
  <c r="F313" i="4" s="1"/>
  <c r="F314" i="4" s="1"/>
  <c r="F315" i="4" s="1"/>
  <c r="F316" i="4" s="1"/>
  <c r="F317" i="4" s="1"/>
  <c r="F318" i="4" s="1"/>
  <c r="F319" i="4" s="1"/>
  <c r="F320" i="4" s="1"/>
  <c r="F321" i="4" s="1"/>
  <c r="F322" i="4" s="1"/>
  <c r="F323" i="4" s="1"/>
  <c r="F324" i="4" s="1"/>
  <c r="F325" i="4" s="1"/>
  <c r="F326" i="4" s="1"/>
  <c r="F327" i="4" s="1"/>
  <c r="F328" i="4" s="1"/>
  <c r="F329" i="4" s="1"/>
  <c r="F330" i="4" s="1"/>
  <c r="F331" i="4" s="1"/>
  <c r="F332" i="4" s="1"/>
  <c r="F333" i="4" s="1"/>
  <c r="F334" i="4" s="1"/>
  <c r="F335" i="4" s="1"/>
  <c r="F336" i="4" s="1"/>
  <c r="F337" i="4" s="1"/>
  <c r="F338" i="4" s="1"/>
  <c r="F339" i="4" s="1"/>
  <c r="F340" i="4" s="1"/>
  <c r="F341" i="4" s="1"/>
  <c r="F342" i="4" s="1"/>
  <c r="F343" i="4" s="1"/>
  <c r="F344" i="4" s="1"/>
  <c r="F345" i="4" s="1"/>
  <c r="F346" i="4" s="1"/>
  <c r="F347" i="4" s="1"/>
  <c r="F348" i="4" s="1"/>
  <c r="F349" i="4" s="1"/>
  <c r="F350" i="4" s="1"/>
  <c r="F351" i="4" s="1"/>
  <c r="F352" i="4" s="1"/>
  <c r="F353" i="4" s="1"/>
  <c r="F354" i="4" s="1"/>
  <c r="F355" i="4" s="1"/>
  <c r="F356" i="4" s="1"/>
  <c r="F357" i="4" s="1"/>
  <c r="F358" i="4" s="1"/>
  <c r="F359" i="4" s="1"/>
  <c r="F360" i="4" s="1"/>
  <c r="F361" i="4" s="1"/>
  <c r="F362" i="4" s="1"/>
  <c r="F363" i="4" s="1"/>
  <c r="F364" i="4" s="1"/>
  <c r="F365" i="4" s="1"/>
  <c r="F366" i="4" s="1"/>
  <c r="F367" i="4" s="1"/>
  <c r="F368" i="4" s="1"/>
  <c r="F369" i="4" s="1"/>
  <c r="F370" i="4" s="1"/>
  <c r="F371" i="4" s="1"/>
  <c r="F372" i="4" s="1"/>
  <c r="F373" i="4" s="1"/>
  <c r="F374" i="4" s="1"/>
  <c r="F375" i="4" s="1"/>
  <c r="F376" i="4" s="1"/>
  <c r="F377" i="4" s="1"/>
  <c r="F378" i="4" s="1"/>
  <c r="F379" i="4" s="1"/>
  <c r="F380" i="4" s="1"/>
  <c r="F381" i="4" s="1"/>
  <c r="F382" i="4" s="1"/>
  <c r="F383" i="4" s="1"/>
  <c r="F384" i="4" s="1"/>
  <c r="F385" i="4" s="1"/>
  <c r="F386" i="4" s="1"/>
  <c r="F387" i="4" s="1"/>
  <c r="F388" i="4" s="1"/>
  <c r="F389" i="4" s="1"/>
  <c r="F390" i="4" s="1"/>
  <c r="F391" i="4" s="1"/>
  <c r="F392" i="4" s="1"/>
  <c r="F393" i="4" s="1"/>
  <c r="F394" i="4" s="1"/>
  <c r="F395" i="4" s="1"/>
  <c r="F396" i="4" s="1"/>
  <c r="F397" i="4" s="1"/>
  <c r="F398" i="4" s="1"/>
  <c r="F399" i="4" s="1"/>
  <c r="F400" i="4" s="1"/>
  <c r="F401" i="4" s="1"/>
  <c r="F402" i="4" s="1"/>
  <c r="F403" i="4" s="1"/>
  <c r="F404" i="4" s="1"/>
  <c r="F405" i="4" s="1"/>
  <c r="F406" i="4" s="1"/>
  <c r="F407" i="4" s="1"/>
  <c r="F408" i="4" s="1"/>
  <c r="F409" i="4" s="1"/>
  <c r="F410" i="4" s="1"/>
  <c r="F411" i="4" s="1"/>
  <c r="F412" i="4" s="1"/>
  <c r="F413" i="4" s="1"/>
  <c r="F414" i="4" s="1"/>
  <c r="F415" i="4" s="1"/>
  <c r="F416" i="4" s="1"/>
  <c r="F417" i="4" s="1"/>
  <c r="F418" i="4" s="1"/>
  <c r="F419" i="4" s="1"/>
  <c r="F420" i="4" s="1"/>
  <c r="F421" i="4" s="1"/>
  <c r="F422" i="4" s="1"/>
  <c r="F423" i="4" s="1"/>
  <c r="F424" i="4" s="1"/>
  <c r="F425" i="4" s="1"/>
  <c r="F426" i="4" s="1"/>
  <c r="F427" i="4" s="1"/>
  <c r="F428" i="4" s="1"/>
  <c r="F429" i="4" s="1"/>
  <c r="F430" i="4" s="1"/>
  <c r="F431" i="4" s="1"/>
  <c r="F432" i="4" s="1"/>
  <c r="F433" i="4" s="1"/>
  <c r="G3" i="4"/>
  <c r="G4" i="4" s="1"/>
  <c r="G5" i="4" s="1"/>
  <c r="G6" i="4" s="1"/>
  <c r="G7" i="4" s="1"/>
  <c r="G8" i="4" s="1"/>
  <c r="G9" i="4" s="1"/>
  <c r="G10" i="4" s="1"/>
  <c r="G11" i="4" s="1"/>
  <c r="G12" i="4" s="1"/>
  <c r="G13" i="4" s="1"/>
  <c r="G14" i="4" s="1"/>
  <c r="G15" i="4" s="1"/>
  <c r="G16" i="4" s="1"/>
  <c r="G17" i="4" s="1"/>
  <c r="G18" i="4" s="1"/>
  <c r="G19" i="4" s="1"/>
  <c r="G20" i="4" s="1"/>
  <c r="G21" i="4" s="1"/>
  <c r="G22" i="4" s="1"/>
  <c r="G23" i="4" s="1"/>
  <c r="G24" i="4" s="1"/>
  <c r="G25" i="4" s="1"/>
  <c r="G26" i="4" s="1"/>
  <c r="G27" i="4" s="1"/>
  <c r="G28" i="4" s="1"/>
  <c r="G29" i="4" s="1"/>
  <c r="G30" i="4" s="1"/>
  <c r="G31" i="4" s="1"/>
  <c r="G32" i="4" s="1"/>
  <c r="G33" i="4" s="1"/>
  <c r="G34" i="4" s="1"/>
  <c r="G35" i="4" s="1"/>
  <c r="G36" i="4" s="1"/>
  <c r="G37" i="4" s="1"/>
  <c r="G38" i="4" s="1"/>
  <c r="G39" i="4" s="1"/>
  <c r="G40" i="4" s="1"/>
  <c r="G41" i="4" s="1"/>
  <c r="G42" i="4" s="1"/>
  <c r="G43" i="4" s="1"/>
  <c r="G44" i="4" s="1"/>
  <c r="G45" i="4" s="1"/>
  <c r="G46" i="4" s="1"/>
  <c r="G47" i="4" s="1"/>
  <c r="G48" i="4" s="1"/>
  <c r="G49" i="4" s="1"/>
  <c r="G50" i="4" s="1"/>
  <c r="G51" i="4" s="1"/>
  <c r="G52" i="4" s="1"/>
  <c r="G53" i="4" s="1"/>
  <c r="G54" i="4" s="1"/>
  <c r="G55" i="4" s="1"/>
  <c r="G56" i="4" s="1"/>
  <c r="G57" i="4" s="1"/>
  <c r="G58" i="4" s="1"/>
  <c r="G59" i="4" s="1"/>
  <c r="G60" i="4" s="1"/>
  <c r="G61" i="4" s="1"/>
  <c r="G62" i="4" s="1"/>
  <c r="G63" i="4" s="1"/>
  <c r="G64" i="4" s="1"/>
  <c r="G65" i="4" s="1"/>
  <c r="G66" i="4" s="1"/>
  <c r="G67" i="4" s="1"/>
  <c r="G68" i="4" s="1"/>
  <c r="G69" i="4" s="1"/>
  <c r="G70" i="4" s="1"/>
  <c r="G71" i="4" s="1"/>
  <c r="G72" i="4" s="1"/>
  <c r="G73" i="4" s="1"/>
  <c r="G74" i="4" s="1"/>
  <c r="G75" i="4" s="1"/>
  <c r="G76" i="4" s="1"/>
  <c r="G77" i="4" s="1"/>
  <c r="G78" i="4" s="1"/>
  <c r="G79" i="4" s="1"/>
  <c r="G80" i="4" s="1"/>
  <c r="G81" i="4" s="1"/>
  <c r="G82" i="4" s="1"/>
  <c r="G83" i="4" s="1"/>
  <c r="G84" i="4" s="1"/>
  <c r="G85" i="4" s="1"/>
  <c r="G86" i="4" s="1"/>
  <c r="G87" i="4" s="1"/>
  <c r="G88" i="4" s="1"/>
  <c r="G89" i="4" s="1"/>
  <c r="G90" i="4" s="1"/>
  <c r="G91" i="4" s="1"/>
  <c r="G92" i="4" s="1"/>
  <c r="G93" i="4" s="1"/>
  <c r="G94" i="4" s="1"/>
  <c r="G95" i="4" s="1"/>
  <c r="G96" i="4" s="1"/>
  <c r="G97" i="4" s="1"/>
  <c r="G98" i="4" s="1"/>
  <c r="G99" i="4" s="1"/>
  <c r="G100" i="4" s="1"/>
  <c r="G101" i="4" s="1"/>
  <c r="G102" i="4" s="1"/>
  <c r="G103" i="4" s="1"/>
  <c r="G104" i="4" s="1"/>
  <c r="G105" i="4" s="1"/>
  <c r="G106" i="4" s="1"/>
  <c r="G107" i="4" s="1"/>
  <c r="G108" i="4" s="1"/>
  <c r="G109" i="4" s="1"/>
  <c r="G110" i="4" s="1"/>
  <c r="G111" i="4" s="1"/>
  <c r="G112" i="4" s="1"/>
  <c r="G113" i="4" s="1"/>
  <c r="G114" i="4" s="1"/>
  <c r="G115" i="4" s="1"/>
  <c r="G116" i="4" s="1"/>
  <c r="G117" i="4" s="1"/>
  <c r="G118" i="4" s="1"/>
  <c r="G119" i="4" s="1"/>
  <c r="G120" i="4" s="1"/>
  <c r="G121" i="4" s="1"/>
  <c r="G122" i="4" s="1"/>
  <c r="G123" i="4" s="1"/>
  <c r="G124" i="4" s="1"/>
  <c r="G125" i="4" s="1"/>
  <c r="G126" i="4" s="1"/>
  <c r="G127" i="4" s="1"/>
  <c r="G128" i="4" s="1"/>
  <c r="G129" i="4" s="1"/>
  <c r="G130" i="4" s="1"/>
  <c r="G131" i="4" s="1"/>
  <c r="G132" i="4" s="1"/>
  <c r="G133" i="4" s="1"/>
  <c r="G134" i="4" s="1"/>
  <c r="G135" i="4" s="1"/>
  <c r="G136" i="4" s="1"/>
  <c r="G137" i="4" s="1"/>
  <c r="G138" i="4" s="1"/>
  <c r="G139" i="4" s="1"/>
  <c r="G140" i="4" s="1"/>
  <c r="G141" i="4" s="1"/>
  <c r="G142" i="4" s="1"/>
  <c r="G143" i="4" s="1"/>
  <c r="G144" i="4" s="1"/>
  <c r="G145" i="4" s="1"/>
  <c r="G146" i="4" s="1"/>
  <c r="G147" i="4" s="1"/>
  <c r="G148" i="4" s="1"/>
  <c r="G149" i="4" s="1"/>
  <c r="G150" i="4" s="1"/>
  <c r="G151" i="4" s="1"/>
  <c r="G152" i="4" s="1"/>
  <c r="G153" i="4" s="1"/>
  <c r="G154" i="4" s="1"/>
  <c r="G155" i="4" s="1"/>
  <c r="G156" i="4" s="1"/>
  <c r="G157" i="4" s="1"/>
  <c r="G158" i="4" s="1"/>
  <c r="G159" i="4" s="1"/>
  <c r="G160" i="4" s="1"/>
  <c r="G161" i="4" s="1"/>
  <c r="G162" i="4" s="1"/>
  <c r="G163" i="4" s="1"/>
  <c r="G164" i="4" s="1"/>
  <c r="G165" i="4" s="1"/>
  <c r="G166" i="4" s="1"/>
  <c r="G167" i="4" s="1"/>
  <c r="G168" i="4" s="1"/>
  <c r="G169" i="4" s="1"/>
  <c r="G170" i="4" s="1"/>
  <c r="G171" i="4" s="1"/>
  <c r="G172" i="4" s="1"/>
  <c r="G173" i="4" s="1"/>
  <c r="G174" i="4" s="1"/>
  <c r="G175" i="4" s="1"/>
  <c r="G176" i="4" s="1"/>
  <c r="G177" i="4" s="1"/>
  <c r="G178" i="4" s="1"/>
  <c r="G179" i="4" s="1"/>
  <c r="G180" i="4" s="1"/>
  <c r="G181" i="4" s="1"/>
  <c r="G182" i="4" s="1"/>
  <c r="G183" i="4" s="1"/>
  <c r="G184" i="4" s="1"/>
  <c r="G185" i="4" s="1"/>
  <c r="G186" i="4" s="1"/>
  <c r="G187" i="4" s="1"/>
  <c r="G188" i="4" s="1"/>
  <c r="G189" i="4" s="1"/>
  <c r="G190" i="4" s="1"/>
  <c r="G191" i="4" s="1"/>
  <c r="G192" i="4" s="1"/>
  <c r="G193" i="4" s="1"/>
  <c r="G194" i="4" s="1"/>
  <c r="G195" i="4" s="1"/>
  <c r="G196" i="4" s="1"/>
  <c r="G197" i="4" s="1"/>
  <c r="G198" i="4" s="1"/>
  <c r="G199" i="4" s="1"/>
  <c r="G200" i="4" s="1"/>
  <c r="G201" i="4" s="1"/>
  <c r="G202" i="4" s="1"/>
  <c r="G203" i="4" s="1"/>
  <c r="G204" i="4" s="1"/>
  <c r="G205" i="4" s="1"/>
  <c r="G206" i="4" s="1"/>
  <c r="G207" i="4" s="1"/>
  <c r="G208" i="4" s="1"/>
  <c r="G209" i="4" s="1"/>
  <c r="G210" i="4" s="1"/>
  <c r="G211" i="4" s="1"/>
  <c r="G212" i="4" s="1"/>
  <c r="G213" i="4" s="1"/>
  <c r="G214" i="4" s="1"/>
  <c r="G215" i="4" s="1"/>
  <c r="G216" i="4" s="1"/>
  <c r="G217" i="4" s="1"/>
  <c r="G218" i="4" s="1"/>
  <c r="G219" i="4" s="1"/>
  <c r="G220" i="4" s="1"/>
  <c r="G221" i="4" s="1"/>
  <c r="G222" i="4" s="1"/>
  <c r="G223" i="4" s="1"/>
  <c r="G224" i="4" s="1"/>
  <c r="G225" i="4" s="1"/>
  <c r="G226" i="4" s="1"/>
  <c r="G227" i="4" s="1"/>
  <c r="G228" i="4" s="1"/>
  <c r="G229" i="4" s="1"/>
  <c r="G230" i="4" s="1"/>
  <c r="G231" i="4" s="1"/>
  <c r="G232" i="4" s="1"/>
  <c r="G233" i="4" s="1"/>
  <c r="G234" i="4" s="1"/>
  <c r="G235" i="4" s="1"/>
  <c r="G236" i="4" s="1"/>
  <c r="G237" i="4" s="1"/>
  <c r="G238" i="4" s="1"/>
  <c r="G239" i="4" s="1"/>
  <c r="G240" i="4" s="1"/>
  <c r="G241" i="4" s="1"/>
  <c r="G242" i="4" s="1"/>
  <c r="G243" i="4" s="1"/>
  <c r="G244" i="4" s="1"/>
  <c r="G245" i="4" s="1"/>
  <c r="G246" i="4" s="1"/>
  <c r="G247" i="4" s="1"/>
  <c r="G248" i="4" s="1"/>
  <c r="G249" i="4" s="1"/>
  <c r="G250" i="4" s="1"/>
  <c r="G251" i="4" s="1"/>
  <c r="G252" i="4" s="1"/>
  <c r="G253" i="4" s="1"/>
  <c r="G254" i="4" s="1"/>
  <c r="G255" i="4" s="1"/>
  <c r="G256" i="4" s="1"/>
  <c r="G257" i="4" s="1"/>
  <c r="G258" i="4" s="1"/>
  <c r="G259" i="4" s="1"/>
  <c r="G260" i="4" s="1"/>
  <c r="G261" i="4" s="1"/>
  <c r="G262" i="4" s="1"/>
  <c r="G263" i="4" s="1"/>
  <c r="G264" i="4" s="1"/>
  <c r="G265" i="4" s="1"/>
  <c r="G266" i="4" s="1"/>
  <c r="G267" i="4" s="1"/>
  <c r="G268" i="4" s="1"/>
  <c r="G269" i="4" s="1"/>
  <c r="G270" i="4" s="1"/>
  <c r="G271" i="4" s="1"/>
  <c r="G272" i="4" s="1"/>
  <c r="G273" i="4" s="1"/>
  <c r="G274" i="4" s="1"/>
  <c r="G275" i="4" s="1"/>
  <c r="G276" i="4" s="1"/>
  <c r="G277" i="4" s="1"/>
  <c r="G278" i="4" s="1"/>
  <c r="G279" i="4" s="1"/>
  <c r="G280" i="4" s="1"/>
  <c r="G281" i="4" s="1"/>
  <c r="G282" i="4" s="1"/>
  <c r="G283" i="4" s="1"/>
  <c r="G284" i="4" s="1"/>
  <c r="G285" i="4" s="1"/>
  <c r="G286" i="4" s="1"/>
  <c r="G287" i="4" s="1"/>
  <c r="G288" i="4" s="1"/>
  <c r="G289" i="4" s="1"/>
  <c r="G290" i="4" s="1"/>
  <c r="G291" i="4" s="1"/>
  <c r="G292" i="4" s="1"/>
  <c r="G293" i="4" s="1"/>
  <c r="G294" i="4" s="1"/>
  <c r="G295" i="4" s="1"/>
  <c r="G296" i="4" s="1"/>
  <c r="G297" i="4" s="1"/>
  <c r="G298" i="4" s="1"/>
  <c r="G299" i="4" s="1"/>
  <c r="G300" i="4" s="1"/>
  <c r="G301" i="4" s="1"/>
  <c r="G302" i="4" s="1"/>
  <c r="G303" i="4" s="1"/>
  <c r="G304" i="4" s="1"/>
  <c r="G305" i="4" s="1"/>
  <c r="G306" i="4" s="1"/>
  <c r="G307" i="4" s="1"/>
  <c r="G308" i="4" s="1"/>
  <c r="G309" i="4" s="1"/>
  <c r="G310" i="4" s="1"/>
  <c r="G311" i="4" s="1"/>
  <c r="G312" i="4" s="1"/>
  <c r="G313" i="4" s="1"/>
  <c r="G314" i="4" s="1"/>
  <c r="G315" i="4" s="1"/>
  <c r="G316" i="4" s="1"/>
  <c r="G317" i="4" s="1"/>
  <c r="G318" i="4" s="1"/>
  <c r="G319" i="4" s="1"/>
  <c r="G320" i="4" s="1"/>
  <c r="G321" i="4" s="1"/>
  <c r="G322" i="4" s="1"/>
  <c r="G323" i="4" s="1"/>
  <c r="G324" i="4" s="1"/>
  <c r="G325" i="4" s="1"/>
  <c r="G326" i="4" s="1"/>
  <c r="G327" i="4" s="1"/>
  <c r="G328" i="4" s="1"/>
  <c r="G329" i="4" s="1"/>
  <c r="G330" i="4" s="1"/>
  <c r="G331" i="4" s="1"/>
  <c r="G332" i="4" s="1"/>
  <c r="G333" i="4" s="1"/>
  <c r="G334" i="4" s="1"/>
  <c r="G335" i="4" s="1"/>
  <c r="G336" i="4" s="1"/>
  <c r="G337" i="4" s="1"/>
  <c r="G338" i="4" s="1"/>
  <c r="G339" i="4" s="1"/>
  <c r="G340" i="4" s="1"/>
  <c r="G341" i="4" s="1"/>
  <c r="G342" i="4" s="1"/>
  <c r="G343" i="4" s="1"/>
  <c r="G344" i="4" s="1"/>
  <c r="G345" i="4" s="1"/>
  <c r="G346" i="4" s="1"/>
  <c r="G347" i="4" s="1"/>
  <c r="G348" i="4" s="1"/>
  <c r="G349" i="4" s="1"/>
  <c r="G350" i="4" s="1"/>
  <c r="G351" i="4" s="1"/>
  <c r="G352" i="4" s="1"/>
  <c r="G353" i="4" s="1"/>
  <c r="G354" i="4" s="1"/>
  <c r="G355" i="4" s="1"/>
  <c r="G356" i="4" s="1"/>
  <c r="G357" i="4" s="1"/>
  <c r="G358" i="4" s="1"/>
  <c r="G359" i="4" s="1"/>
  <c r="G360" i="4" s="1"/>
  <c r="G361" i="4" s="1"/>
  <c r="G362" i="4" s="1"/>
  <c r="G363" i="4" s="1"/>
  <c r="G364" i="4" s="1"/>
  <c r="G365" i="4" s="1"/>
  <c r="G366" i="4" s="1"/>
  <c r="G367" i="4" s="1"/>
  <c r="G368" i="4" s="1"/>
  <c r="G369" i="4" s="1"/>
  <c r="G370" i="4" s="1"/>
  <c r="G371" i="4" s="1"/>
  <c r="G372" i="4" s="1"/>
  <c r="G373" i="4" s="1"/>
  <c r="G374" i="4" s="1"/>
  <c r="G375" i="4" s="1"/>
  <c r="G376" i="4" s="1"/>
  <c r="G377" i="4" s="1"/>
  <c r="G378" i="4" s="1"/>
  <c r="G379" i="4" s="1"/>
  <c r="G380" i="4" s="1"/>
  <c r="G381" i="4" s="1"/>
  <c r="G382" i="4" s="1"/>
  <c r="G383" i="4" s="1"/>
  <c r="G384" i="4" s="1"/>
  <c r="G385" i="4" s="1"/>
  <c r="G386" i="4" s="1"/>
  <c r="G387" i="4" s="1"/>
  <c r="G388" i="4" s="1"/>
  <c r="G389" i="4" s="1"/>
  <c r="G390" i="4" s="1"/>
  <c r="G391" i="4" s="1"/>
  <c r="G392" i="4" s="1"/>
  <c r="G393" i="4" s="1"/>
  <c r="G394" i="4" s="1"/>
  <c r="G395" i="4" s="1"/>
  <c r="G396" i="4" s="1"/>
  <c r="G397" i="4" s="1"/>
  <c r="G398" i="4" s="1"/>
  <c r="G399" i="4" s="1"/>
  <c r="G400" i="4" s="1"/>
  <c r="G401" i="4" s="1"/>
  <c r="G402" i="4" s="1"/>
  <c r="G403" i="4" s="1"/>
  <c r="G404" i="4" s="1"/>
  <c r="G405" i="4" s="1"/>
  <c r="G406" i="4" s="1"/>
  <c r="G407" i="4" s="1"/>
  <c r="G408" i="4" s="1"/>
  <c r="G409" i="4" s="1"/>
  <c r="G410" i="4" s="1"/>
  <c r="G411" i="4" s="1"/>
  <c r="G412" i="4" s="1"/>
  <c r="G413" i="4" s="1"/>
  <c r="G414" i="4" s="1"/>
  <c r="G415" i="4" s="1"/>
  <c r="G416" i="4" s="1"/>
  <c r="G417" i="4" s="1"/>
  <c r="G418" i="4" s="1"/>
  <c r="G419" i="4" s="1"/>
  <c r="G420" i="4" s="1"/>
  <c r="G421" i="4" s="1"/>
  <c r="G422" i="4" s="1"/>
  <c r="G423" i="4" s="1"/>
  <c r="G424" i="4" s="1"/>
  <c r="G425" i="4" s="1"/>
  <c r="G426" i="4" s="1"/>
  <c r="G427" i="4" s="1"/>
  <c r="G428" i="4" s="1"/>
  <c r="G429" i="4" s="1"/>
  <c r="G430" i="4" s="1"/>
  <c r="G431" i="4" s="1"/>
  <c r="G432" i="4" s="1"/>
  <c r="G433" i="4" s="1"/>
  <c r="E3" i="4"/>
  <c r="E4" i="4" s="1"/>
  <c r="E5" i="4" s="1"/>
  <c r="E6" i="4" s="1"/>
  <c r="E7" i="4" s="1"/>
  <c r="E8" i="4" s="1"/>
  <c r="E9" i="4" s="1"/>
  <c r="E10" i="4" s="1"/>
  <c r="E11" i="4" s="1"/>
  <c r="E12" i="4" s="1"/>
  <c r="E13" i="4" s="1"/>
  <c r="E14" i="4" s="1"/>
  <c r="E15" i="4" s="1"/>
  <c r="E16" i="4" s="1"/>
  <c r="E17" i="4" s="1"/>
  <c r="E18" i="4" s="1"/>
  <c r="E19" i="4" s="1"/>
  <c r="E20" i="4" s="1"/>
  <c r="E21" i="4" s="1"/>
  <c r="E22" i="4" s="1"/>
  <c r="E23" i="4" s="1"/>
  <c r="E24" i="4" s="1"/>
  <c r="E25" i="4" s="1"/>
  <c r="E26" i="4" s="1"/>
  <c r="E27" i="4" s="1"/>
  <c r="E28" i="4" s="1"/>
  <c r="E29" i="4" s="1"/>
  <c r="E30" i="4" s="1"/>
  <c r="E31" i="4" s="1"/>
  <c r="E32" i="4" s="1"/>
  <c r="E33" i="4" s="1"/>
  <c r="E34" i="4" s="1"/>
  <c r="E35" i="4" s="1"/>
  <c r="E36" i="4" s="1"/>
  <c r="E37" i="4" s="1"/>
  <c r="E38" i="4" s="1"/>
  <c r="E39" i="4" s="1"/>
  <c r="E40" i="4" s="1"/>
  <c r="E41" i="4" s="1"/>
  <c r="E42" i="4" s="1"/>
  <c r="E43" i="4" s="1"/>
  <c r="E44" i="4" s="1"/>
  <c r="E45" i="4" s="1"/>
  <c r="E46" i="4" s="1"/>
  <c r="E47" i="4" s="1"/>
  <c r="E48" i="4" s="1"/>
  <c r="E49" i="4" s="1"/>
  <c r="E50" i="4" s="1"/>
  <c r="E51" i="4" s="1"/>
  <c r="E52" i="4" s="1"/>
  <c r="E53" i="4" s="1"/>
  <c r="E54" i="4" s="1"/>
  <c r="E55" i="4" s="1"/>
  <c r="E56" i="4" s="1"/>
  <c r="E57" i="4" s="1"/>
  <c r="E58" i="4" s="1"/>
  <c r="E59" i="4" s="1"/>
  <c r="E60" i="4" s="1"/>
  <c r="E61" i="4" s="1"/>
  <c r="E62" i="4" s="1"/>
  <c r="E63" i="4" s="1"/>
  <c r="E64" i="4" s="1"/>
  <c r="E65" i="4" s="1"/>
  <c r="E66" i="4" s="1"/>
  <c r="E67" i="4" s="1"/>
  <c r="E68" i="4" s="1"/>
  <c r="E69" i="4" s="1"/>
  <c r="E70" i="4" s="1"/>
  <c r="E71" i="4" s="1"/>
  <c r="E72" i="4" s="1"/>
  <c r="E73" i="4" s="1"/>
  <c r="E74" i="4" s="1"/>
  <c r="E75" i="4" s="1"/>
  <c r="E76" i="4" s="1"/>
  <c r="E77" i="4" s="1"/>
  <c r="E78" i="4" s="1"/>
  <c r="E79" i="4" s="1"/>
  <c r="E80" i="4" s="1"/>
  <c r="E81" i="4" s="1"/>
  <c r="E82" i="4" s="1"/>
  <c r="E83" i="4" s="1"/>
  <c r="E84" i="4" s="1"/>
  <c r="E85" i="4" s="1"/>
  <c r="E86" i="4" s="1"/>
  <c r="E87" i="4" s="1"/>
  <c r="E88" i="4" s="1"/>
  <c r="E89" i="4" s="1"/>
  <c r="E90" i="4" s="1"/>
  <c r="E91" i="4" s="1"/>
  <c r="E92" i="4" s="1"/>
  <c r="E93" i="4" s="1"/>
  <c r="E94" i="4" s="1"/>
  <c r="E95" i="4" s="1"/>
  <c r="E96" i="4" s="1"/>
  <c r="E97" i="4" s="1"/>
  <c r="E98" i="4" s="1"/>
  <c r="E99" i="4" s="1"/>
  <c r="E100" i="4" s="1"/>
  <c r="E101" i="4" s="1"/>
  <c r="E102" i="4" s="1"/>
  <c r="E103" i="4" s="1"/>
  <c r="E104" i="4" s="1"/>
  <c r="E105" i="4" s="1"/>
  <c r="E106" i="4" s="1"/>
  <c r="E107" i="4" s="1"/>
  <c r="E108" i="4" s="1"/>
  <c r="E109" i="4" s="1"/>
  <c r="E110" i="4" s="1"/>
  <c r="E111" i="4" s="1"/>
  <c r="E112" i="4" s="1"/>
  <c r="E113" i="4" s="1"/>
  <c r="E114" i="4" s="1"/>
  <c r="E115" i="4" s="1"/>
  <c r="E116" i="4" s="1"/>
  <c r="E117" i="4" s="1"/>
  <c r="E118" i="4" s="1"/>
  <c r="E119" i="4" s="1"/>
  <c r="E120" i="4" s="1"/>
  <c r="E121" i="4" s="1"/>
  <c r="E122" i="4" s="1"/>
  <c r="E123" i="4" s="1"/>
  <c r="E124" i="4" s="1"/>
  <c r="E125" i="4" s="1"/>
  <c r="E126" i="4" s="1"/>
  <c r="E127" i="4" s="1"/>
  <c r="E128" i="4" s="1"/>
  <c r="E129" i="4" s="1"/>
  <c r="E130" i="4" s="1"/>
  <c r="E131" i="4" s="1"/>
  <c r="E132" i="4" s="1"/>
  <c r="E133" i="4" s="1"/>
  <c r="E134" i="4" s="1"/>
  <c r="E135" i="4" s="1"/>
  <c r="E136" i="4" s="1"/>
  <c r="E137" i="4" s="1"/>
  <c r="E138" i="4" s="1"/>
  <c r="E139" i="4" s="1"/>
  <c r="E140" i="4" s="1"/>
  <c r="E141" i="4" s="1"/>
  <c r="E142" i="4" s="1"/>
  <c r="E143" i="4" s="1"/>
  <c r="E144" i="4" s="1"/>
  <c r="E145" i="4" s="1"/>
  <c r="E146" i="4" s="1"/>
  <c r="E147" i="4" s="1"/>
  <c r="E148" i="4" s="1"/>
  <c r="E149" i="4" s="1"/>
  <c r="E150" i="4" s="1"/>
  <c r="E151" i="4" s="1"/>
  <c r="E152" i="4" s="1"/>
  <c r="E153" i="4" s="1"/>
  <c r="E154" i="4" s="1"/>
  <c r="E155" i="4" s="1"/>
  <c r="E156" i="4" s="1"/>
  <c r="E157" i="4" s="1"/>
  <c r="E158" i="4" s="1"/>
  <c r="E159" i="4" s="1"/>
  <c r="E160" i="4" s="1"/>
  <c r="E161" i="4" s="1"/>
  <c r="E162" i="4" s="1"/>
  <c r="E163" i="4" s="1"/>
  <c r="E164" i="4" s="1"/>
  <c r="E165" i="4" s="1"/>
  <c r="E166" i="4" s="1"/>
  <c r="E167" i="4" s="1"/>
  <c r="E168" i="4" s="1"/>
  <c r="E169" i="4" s="1"/>
  <c r="E170" i="4" s="1"/>
  <c r="E171" i="4" s="1"/>
  <c r="E172" i="4" s="1"/>
  <c r="E173" i="4" s="1"/>
  <c r="E174" i="4" s="1"/>
  <c r="E175" i="4" s="1"/>
  <c r="E176" i="4" s="1"/>
  <c r="E177" i="4" s="1"/>
  <c r="E178" i="4" s="1"/>
  <c r="E179" i="4" s="1"/>
  <c r="E180" i="4" s="1"/>
  <c r="E181" i="4" s="1"/>
  <c r="E182" i="4" s="1"/>
  <c r="E183" i="4" s="1"/>
  <c r="E184" i="4" s="1"/>
  <c r="E185" i="4" s="1"/>
  <c r="E186" i="4" s="1"/>
  <c r="E187" i="4" s="1"/>
  <c r="E188" i="4" s="1"/>
  <c r="E189" i="4" s="1"/>
  <c r="E190" i="4" s="1"/>
  <c r="E191" i="4" s="1"/>
  <c r="E192" i="4" s="1"/>
  <c r="E193" i="4" s="1"/>
  <c r="E194" i="4" s="1"/>
  <c r="E195" i="4" s="1"/>
  <c r="E196" i="4" s="1"/>
  <c r="E197" i="4" s="1"/>
  <c r="E198" i="4" s="1"/>
  <c r="E199" i="4" s="1"/>
  <c r="E200" i="4" s="1"/>
  <c r="E201" i="4" s="1"/>
  <c r="E202" i="4" s="1"/>
  <c r="E203" i="4" s="1"/>
  <c r="E204" i="4" s="1"/>
  <c r="E205" i="4" s="1"/>
  <c r="E206" i="4" s="1"/>
  <c r="E207" i="4" s="1"/>
  <c r="E208" i="4" s="1"/>
  <c r="E209" i="4" s="1"/>
  <c r="E210" i="4" s="1"/>
  <c r="E211" i="4" s="1"/>
  <c r="E212" i="4" s="1"/>
  <c r="E213" i="4" s="1"/>
  <c r="E214" i="4" s="1"/>
  <c r="E215" i="4" s="1"/>
  <c r="E216" i="4" s="1"/>
  <c r="E217" i="4" s="1"/>
  <c r="E218" i="4" s="1"/>
  <c r="E219" i="4" s="1"/>
  <c r="E220" i="4" s="1"/>
  <c r="E221" i="4" s="1"/>
  <c r="E222" i="4" s="1"/>
  <c r="E223" i="4" s="1"/>
  <c r="E224" i="4" s="1"/>
  <c r="E225" i="4" s="1"/>
  <c r="E226" i="4" s="1"/>
  <c r="E227" i="4" s="1"/>
  <c r="E228" i="4" s="1"/>
  <c r="E229" i="4" s="1"/>
  <c r="E230" i="4" s="1"/>
  <c r="E231" i="4" s="1"/>
  <c r="E232" i="4" s="1"/>
  <c r="E233" i="4" s="1"/>
  <c r="E234" i="4" s="1"/>
  <c r="E235" i="4" s="1"/>
  <c r="E236" i="4" s="1"/>
  <c r="E237" i="4" s="1"/>
  <c r="E238" i="4" s="1"/>
  <c r="E239" i="4" s="1"/>
  <c r="E240" i="4" s="1"/>
  <c r="E241" i="4" s="1"/>
  <c r="E242" i="4" s="1"/>
  <c r="E243" i="4" s="1"/>
  <c r="E244" i="4" s="1"/>
  <c r="E245" i="4" s="1"/>
  <c r="E246" i="4" s="1"/>
  <c r="E247" i="4" s="1"/>
  <c r="E248" i="4" s="1"/>
  <c r="E249" i="4" s="1"/>
  <c r="E250" i="4" s="1"/>
  <c r="E251" i="4" s="1"/>
  <c r="E252" i="4" s="1"/>
  <c r="E253" i="4" s="1"/>
  <c r="E254" i="4" s="1"/>
  <c r="E255" i="4" s="1"/>
  <c r="E256" i="4" s="1"/>
  <c r="E257" i="4" s="1"/>
  <c r="E258" i="4" s="1"/>
  <c r="E259" i="4" s="1"/>
  <c r="E260" i="4" s="1"/>
  <c r="E261" i="4" s="1"/>
  <c r="E262" i="4" s="1"/>
  <c r="E263" i="4" s="1"/>
  <c r="E264" i="4" s="1"/>
  <c r="E265" i="4" s="1"/>
  <c r="E266" i="4" s="1"/>
  <c r="E267" i="4" s="1"/>
  <c r="E268" i="4" s="1"/>
  <c r="E269" i="4" s="1"/>
  <c r="E270" i="4" s="1"/>
  <c r="E271" i="4" s="1"/>
  <c r="E272" i="4" s="1"/>
  <c r="E273" i="4" s="1"/>
  <c r="E274" i="4" s="1"/>
  <c r="E275" i="4" s="1"/>
  <c r="E276" i="4" s="1"/>
  <c r="E277" i="4" s="1"/>
  <c r="E278" i="4" s="1"/>
  <c r="E279" i="4" s="1"/>
  <c r="E280" i="4" s="1"/>
  <c r="E281" i="4" s="1"/>
  <c r="E282" i="4" s="1"/>
  <c r="E283" i="4" s="1"/>
  <c r="E284" i="4" s="1"/>
  <c r="E285" i="4" s="1"/>
  <c r="E286" i="4" s="1"/>
  <c r="E287" i="4" s="1"/>
  <c r="E288" i="4" s="1"/>
  <c r="E289" i="4" s="1"/>
  <c r="E290" i="4" s="1"/>
  <c r="E291" i="4" s="1"/>
  <c r="E292" i="4" s="1"/>
  <c r="E293" i="4" s="1"/>
  <c r="E294" i="4" s="1"/>
  <c r="E295" i="4" s="1"/>
  <c r="E296" i="4" s="1"/>
  <c r="E297" i="4" s="1"/>
  <c r="E298" i="4" s="1"/>
  <c r="E299" i="4" s="1"/>
  <c r="E300" i="4" s="1"/>
  <c r="E301" i="4" s="1"/>
  <c r="E302" i="4" s="1"/>
  <c r="E303" i="4" s="1"/>
  <c r="E304" i="4" s="1"/>
  <c r="E305" i="4" s="1"/>
  <c r="E306" i="4" s="1"/>
  <c r="E307" i="4" s="1"/>
  <c r="E308" i="4" s="1"/>
  <c r="E309" i="4" s="1"/>
  <c r="E310" i="4" s="1"/>
  <c r="E311" i="4" s="1"/>
  <c r="E312" i="4" s="1"/>
  <c r="E313" i="4" s="1"/>
  <c r="E314" i="4" s="1"/>
  <c r="E315" i="4" s="1"/>
  <c r="E316" i="4" s="1"/>
  <c r="E317" i="4" s="1"/>
  <c r="E318" i="4" s="1"/>
  <c r="E319" i="4" s="1"/>
  <c r="E320" i="4" s="1"/>
  <c r="E321" i="4" s="1"/>
  <c r="E322" i="4" s="1"/>
  <c r="E323" i="4" s="1"/>
  <c r="E324" i="4" s="1"/>
  <c r="E325" i="4" s="1"/>
  <c r="E326" i="4" s="1"/>
  <c r="E327" i="4" s="1"/>
  <c r="E328" i="4" s="1"/>
  <c r="E329" i="4" s="1"/>
  <c r="E330" i="4" s="1"/>
  <c r="E331" i="4" s="1"/>
  <c r="E332" i="4" s="1"/>
  <c r="E333" i="4" s="1"/>
  <c r="E334" i="4" s="1"/>
  <c r="E335" i="4" s="1"/>
  <c r="E336" i="4" s="1"/>
  <c r="E337" i="4" s="1"/>
  <c r="E338" i="4" s="1"/>
  <c r="E339" i="4" s="1"/>
  <c r="E340" i="4" s="1"/>
  <c r="E341" i="4" s="1"/>
  <c r="E342" i="4" s="1"/>
  <c r="E343" i="4" s="1"/>
  <c r="E344" i="4" s="1"/>
  <c r="E345" i="4" s="1"/>
  <c r="E346" i="4" s="1"/>
  <c r="E347" i="4" s="1"/>
  <c r="E348" i="4" s="1"/>
  <c r="E349" i="4" s="1"/>
  <c r="E350" i="4" s="1"/>
  <c r="E351" i="4" s="1"/>
  <c r="E352" i="4" s="1"/>
  <c r="E353" i="4" s="1"/>
  <c r="E354" i="4" s="1"/>
  <c r="E355" i="4" s="1"/>
  <c r="E356" i="4" s="1"/>
  <c r="E357" i="4" s="1"/>
  <c r="E358" i="4" s="1"/>
  <c r="E359" i="4" s="1"/>
  <c r="E360" i="4" s="1"/>
  <c r="E361" i="4" s="1"/>
  <c r="E362" i="4" s="1"/>
  <c r="E363" i="4" s="1"/>
  <c r="E364" i="4" s="1"/>
  <c r="E365" i="4" s="1"/>
  <c r="E366" i="4" s="1"/>
  <c r="E367" i="4" s="1"/>
  <c r="E368" i="4" s="1"/>
  <c r="E369" i="4" s="1"/>
  <c r="E370" i="4" s="1"/>
  <c r="E371" i="4" s="1"/>
  <c r="E372" i="4" s="1"/>
  <c r="E373" i="4" s="1"/>
  <c r="E374" i="4" s="1"/>
  <c r="E375" i="4" s="1"/>
  <c r="E376" i="4" s="1"/>
  <c r="E377" i="4" s="1"/>
  <c r="E378" i="4" s="1"/>
  <c r="E379" i="4" s="1"/>
  <c r="E380" i="4" s="1"/>
  <c r="E381" i="4" s="1"/>
  <c r="E382" i="4" s="1"/>
  <c r="E383" i="4" s="1"/>
  <c r="E384" i="4" s="1"/>
  <c r="E385" i="4" s="1"/>
  <c r="E386" i="4" s="1"/>
  <c r="E387" i="4" s="1"/>
  <c r="E388" i="4" s="1"/>
  <c r="E389" i="4" s="1"/>
  <c r="E390" i="4" s="1"/>
  <c r="E391" i="4" s="1"/>
  <c r="E392" i="4" s="1"/>
  <c r="E393" i="4" s="1"/>
  <c r="E394" i="4" s="1"/>
  <c r="E395" i="4" s="1"/>
  <c r="E396" i="4" s="1"/>
  <c r="E397" i="4" s="1"/>
  <c r="E398" i="4" s="1"/>
  <c r="E399" i="4" s="1"/>
  <c r="E400" i="4" s="1"/>
  <c r="E401" i="4" s="1"/>
  <c r="E402" i="4" s="1"/>
  <c r="E403" i="4" s="1"/>
  <c r="E404" i="4" s="1"/>
  <c r="E405" i="4" s="1"/>
  <c r="E406" i="4" s="1"/>
  <c r="E407" i="4" s="1"/>
  <c r="E408" i="4" s="1"/>
  <c r="E409" i="4" s="1"/>
  <c r="E410" i="4" s="1"/>
  <c r="E411" i="4" s="1"/>
  <c r="E412" i="4" s="1"/>
  <c r="E413" i="4" s="1"/>
  <c r="E414" i="4" s="1"/>
  <c r="E415" i="4" s="1"/>
  <c r="E416" i="4" s="1"/>
  <c r="E417" i="4" s="1"/>
  <c r="E418" i="4" s="1"/>
  <c r="E419" i="4" s="1"/>
  <c r="E420" i="4" s="1"/>
  <c r="E421" i="4" s="1"/>
  <c r="E422" i="4" s="1"/>
  <c r="E423" i="4" s="1"/>
  <c r="E424" i="4" s="1"/>
  <c r="E425" i="4" s="1"/>
  <c r="E426" i="4" s="1"/>
  <c r="E427" i="4" s="1"/>
  <c r="E428" i="4" s="1"/>
  <c r="E429" i="4" s="1"/>
  <c r="E430" i="4" s="1"/>
  <c r="E431" i="4" s="1"/>
  <c r="E432" i="4" s="1"/>
  <c r="E433" i="4" s="1"/>
  <c r="J3" i="1" l="1"/>
  <c r="K2" i="1"/>
  <c r="K3" i="1" s="1"/>
  <c r="L2" i="1"/>
  <c r="L3" i="1" s="1"/>
  <c r="M2" i="1"/>
  <c r="M3" i="1" s="1"/>
  <c r="J2" i="1"/>
</calcChain>
</file>

<file path=xl/sharedStrings.xml><?xml version="1.0" encoding="utf-8"?>
<sst xmlns="http://schemas.openxmlformats.org/spreadsheetml/2006/main" count="131" uniqueCount="64">
  <si>
    <t>Mkt</t>
  </si>
  <si>
    <t>SMB</t>
  </si>
  <si>
    <t>HML</t>
  </si>
  <si>
    <t>Apple</t>
  </si>
  <si>
    <t>Variable</t>
  </si>
  <si>
    <t>Description</t>
  </si>
  <si>
    <t>Apple's Excess Return: Ra-Rf</t>
  </si>
  <si>
    <t>Market Excess Return: Rm-Rf</t>
  </si>
  <si>
    <t>Small minus Big: Small cap - Large Cap</t>
  </si>
  <si>
    <t>High minus Low: High B/M minus Low B/M</t>
  </si>
  <si>
    <t>Market Risk Factor</t>
  </si>
  <si>
    <t>Size Risk Factor</t>
  </si>
  <si>
    <t>Value Risk Factor</t>
  </si>
  <si>
    <t>Asset we want to price</t>
  </si>
  <si>
    <t>Explanation</t>
  </si>
  <si>
    <t>Expected Return</t>
  </si>
  <si>
    <t>Annualized</t>
  </si>
  <si>
    <t>SUMMARY OUTPUT</t>
  </si>
  <si>
    <t>Regression Statistics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</si>
  <si>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</si>
  <si>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</si>
  <si>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</si>
  <si>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</si>
  <si>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</si>
  <si>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</si>
  <si>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</si>
  <si>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</si>
  <si>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</si>
  <si>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</si>
  <si>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</si>
  <si>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</si>
  <si>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</si>
  <si>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</si>
  <si>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</si>
  <si>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</si>
  <si>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</si>
  <si>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</si>
  <si>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</si>
  <si>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Predicted Apple</t>
  </si>
  <si>
    <t>Error</t>
  </si>
  <si>
    <t>Predicted</t>
  </si>
  <si>
    <t>RESIDUAL OUTPUT</t>
  </si>
  <si>
    <t>Observation</t>
  </si>
  <si>
    <t>Residuals</t>
  </si>
  <si>
    <t>Full: FF3</t>
  </si>
  <si>
    <t>Reduced: CAPM</t>
  </si>
  <si>
    <t>Apple = alpha+bM*Mkt+bS*SMB+bV*HML</t>
  </si>
  <si>
    <t>Apple = alpha+bM*Mkt</t>
  </si>
  <si>
    <t>Ho: bS=bV=0</t>
  </si>
  <si>
    <t>Ha: At least one of bS, bV not 0</t>
  </si>
  <si>
    <t>F-stat</t>
  </si>
  <si>
    <t>MSE</t>
  </si>
  <si>
    <t>SSE</t>
  </si>
  <si>
    <t>FF3:</t>
  </si>
  <si>
    <t>CAPM:</t>
  </si>
  <si>
    <t>P-val</t>
  </si>
  <si>
    <t>n</t>
  </si>
  <si>
    <t>k</t>
  </si>
  <si>
    <t>r</t>
  </si>
  <si>
    <t>Reject null=&gt; FF3 better model than CAPM</t>
  </si>
  <si>
    <t>Conclusion</t>
  </si>
  <si>
    <t>H0:</t>
  </si>
  <si>
    <t>Ha:</t>
  </si>
  <si>
    <t>=1-f.dist(f-stat,r,n-(k+1))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</si>
</sst>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164" formatCode="mm/yy"/>
    <numFmt numFmtId="165" formatCode="0.0%"/>
    <numFmt numFmtId="166" formatCode="_(&quot;$&quot;* #,##0_);_(&quot;$&quot;* \(#,##0\);_(&quot;$&quot;* &quot;-&quot;??_);_(@_)"/>
    <numFmt numFmtId="167" formatCode="0.000"/>
  </numFmts>
  <fonts count="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8">
    <xf numFmtId="0" fontId="0" fillId="0" borderId="0"/>
    <xf numFmtId="0" fontId="2" fillId="0" borderId="0"/>
    <xf numFmtId="0" fontId="1" fillId="0" borderId="0"/>
    <xf numFmtId="9" fontId="1" fillId="0" borderId="0" applyFont="0" applyFill="0" applyBorder="0" applyAlignment="0" applyProtection="0"/>
    <xf numFmtId="0" fontId="3" fillId="0" borderId="0"/>
    <xf numFmtId="9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4" fillId="0" borderId="0" xfId="0" applyFont="1"/>
    <xf numFmtId="0" fontId="5" fillId="0" borderId="0" xfId="0" applyFont="1"/>
    <xf numFmtId="0" fontId="5" fillId="0" borderId="0" xfId="0" applyFont="1" applyFill="1" applyBorder="1" applyAlignment="1"/>
    <xf numFmtId="2" fontId="5" fillId="0" borderId="0" xfId="0" applyNumberFormat="1" applyFont="1" applyFill="1" applyBorder="1" applyAlignment="1"/>
    <xf numFmtId="0" fontId="5" fillId="2" borderId="0" xfId="0" applyFont="1" applyFill="1" applyBorder="1" applyAlignment="1"/>
    <xf numFmtId="2" fontId="5" fillId="2" borderId="0" xfId="0" applyNumberFormat="1" applyFont="1" applyFill="1" applyBorder="1" applyAlignment="1"/>
    <xf numFmtId="0" fontId="5" fillId="0" borderId="1" xfId="0" applyFont="1" applyFill="1" applyBorder="1" applyAlignment="1"/>
    <xf numFmtId="0" fontId="6" fillId="0" borderId="2" xfId="0" applyFont="1" applyFill="1" applyBorder="1" applyAlignment="1">
      <alignment horizontal="center"/>
    </xf>
    <xf numFmtId="1" fontId="5" fillId="2" borderId="0" xfId="0" applyNumberFormat="1" applyFont="1" applyFill="1" applyBorder="1" applyAlignment="1"/>
    <xf numFmtId="2" fontId="5" fillId="0" borderId="1" xfId="0" applyNumberFormat="1" applyFont="1" applyFill="1" applyBorder="1" applyAlignment="1"/>
    <xf numFmtId="2" fontId="5" fillId="2" borderId="1" xfId="0" applyNumberFormat="1" applyFont="1" applyFill="1" applyBorder="1" applyAlignment="1"/>
    <xf numFmtId="0" fontId="6" fillId="0" borderId="2" xfId="0" applyFont="1" applyFill="1" applyBorder="1" applyAlignment="1">
      <alignment horizontal="center"/>
    </xf>
    <xf numFmtId="164" fontId="7" fillId="0" borderId="0" xfId="1" applyNumberFormat="1" applyFont="1" applyAlignment="1">
      <alignment horizontal="center"/>
    </xf>
    <xf numFmtId="2" fontId="7" fillId="0" borderId="0" xfId="1" applyNumberFormat="1" applyFont="1" applyAlignment="1">
      <alignment horizontal="center"/>
    </xf>
    <xf numFmtId="9" fontId="7" fillId="0" borderId="0" xfId="5" applyFont="1" applyAlignment="1">
      <alignment horizontal="center"/>
    </xf>
    <xf numFmtId="0" fontId="8" fillId="0" borderId="0" xfId="0" applyFont="1"/>
    <xf numFmtId="164" fontId="7" fillId="0" borderId="0" xfId="1" applyNumberFormat="1" applyFont="1"/>
    <xf numFmtId="9" fontId="7" fillId="0" borderId="0" xfId="5" applyFont="1" applyAlignment="1"/>
    <xf numFmtId="10" fontId="8" fillId="2" borderId="0" xfId="0" applyNumberFormat="1" applyFont="1" applyFill="1" applyAlignment="1">
      <alignment horizontal="center"/>
    </xf>
    <xf numFmtId="165" fontId="8" fillId="0" borderId="0" xfId="0" applyNumberFormat="1" applyFont="1" applyAlignment="1">
      <alignment horizontal="center"/>
    </xf>
    <xf numFmtId="9" fontId="8" fillId="0" borderId="0" xfId="0" applyNumberFormat="1" applyFont="1"/>
    <xf numFmtId="164" fontId="0" fillId="0" borderId="0" xfId="0" applyNumberFormat="1"/>
    <xf numFmtId="9" fontId="0" fillId="0" borderId="0" xfId="7" applyFont="1"/>
    <xf numFmtId="166" fontId="0" fillId="0" borderId="0" xfId="0" applyNumberFormat="1"/>
    <xf numFmtId="166" fontId="0" fillId="0" borderId="0" xfId="6" applyNumberFormat="1" applyFont="1"/>
    <xf numFmtId="9" fontId="0" fillId="0" borderId="0" xfId="7" applyFont="1" applyAlignment="1">
      <alignment horizontal="center"/>
    </xf>
    <xf numFmtId="166" fontId="0" fillId="0" borderId="0" xfId="0" applyNumberFormat="1" applyAlignment="1">
      <alignment horizontal="center"/>
    </xf>
    <xf numFmtId="1" fontId="0" fillId="0" borderId="0" xfId="0" applyNumberFormat="1"/>
    <xf numFmtId="9" fontId="2" fillId="0" borderId="0" xfId="5" applyFont="1" applyAlignment="1">
      <alignment horizontal="center"/>
    </xf>
    <xf numFmtId="9" fontId="7" fillId="2" borderId="0" xfId="5" applyFont="1" applyFill="1" applyAlignment="1">
      <alignment horizontal="center"/>
    </xf>
    <xf numFmtId="0" fontId="5" fillId="2" borderId="1" xfId="0" applyFont="1" applyFill="1" applyBorder="1" applyAlignment="1"/>
    <xf numFmtId="167" fontId="5" fillId="2" borderId="0" xfId="0" applyNumberFormat="1" applyFont="1" applyFill="1" applyBorder="1" applyAlignment="1"/>
    <xf numFmtId="167" fontId="5" fillId="0" borderId="0" xfId="0" applyNumberFormat="1" applyFont="1" applyFill="1" applyBorder="1" applyAlignment="1"/>
    <xf numFmtId="0" fontId="0" fillId="0" borderId="0" xfId="0" applyFont="1"/>
    <xf numFmtId="0" fontId="0" fillId="0" borderId="0" xfId="0" applyFill="1" applyBorder="1" applyAlignment="1"/>
    <xf numFmtId="0" fontId="0" fillId="0" borderId="1" xfId="0" applyFill="1" applyBorder="1" applyAlignment="1"/>
    <xf numFmtId="0" fontId="6" fillId="0" borderId="2" xfId="0" applyFont="1" applyFill="1" applyBorder="1" applyAlignment="1">
      <alignment horizontal="centerContinuous"/>
    </xf>
    <xf numFmtId="9" fontId="6" fillId="0" borderId="2" xfId="7" applyFont="1" applyFill="1" applyBorder="1" applyAlignment="1">
      <alignment horizontal="center"/>
    </xf>
    <xf numFmtId="9" fontId="0" fillId="0" borderId="0" xfId="7" applyFont="1" applyFill="1" applyBorder="1" applyAlignment="1"/>
    <xf numFmtId="9" fontId="0" fillId="0" borderId="1" xfId="7" applyFont="1" applyFill="1" applyBorder="1" applyAlignment="1"/>
    <xf numFmtId="2" fontId="0" fillId="0" borderId="0" xfId="0" applyNumberFormat="1" applyFill="1" applyBorder="1" applyAlignment="1"/>
    <xf numFmtId="2" fontId="0" fillId="0" borderId="1" xfId="0" applyNumberFormat="1" applyFill="1" applyBorder="1" applyAlignment="1"/>
    <xf numFmtId="1" fontId="0" fillId="0" borderId="0" xfId="0" applyNumberFormat="1" applyFill="1" applyBorder="1" applyAlignment="1"/>
    <xf numFmtId="1" fontId="0" fillId="0" borderId="1" xfId="0" applyNumberFormat="1" applyFill="1" applyBorder="1" applyAlignment="1"/>
    <xf numFmtId="2" fontId="0" fillId="2" borderId="0" xfId="0" applyNumberFormat="1" applyFill="1" applyAlignment="1">
      <alignment horizontal="left"/>
    </xf>
    <xf numFmtId="2" fontId="0" fillId="2" borderId="0" xfId="0" applyNumberFormat="1" applyFill="1"/>
    <xf numFmtId="0" fontId="0" fillId="2" borderId="0" xfId="0" applyFill="1"/>
    <xf numFmtId="1" fontId="5" fillId="0" borderId="0" xfId="0" applyNumberFormat="1" applyFont="1"/>
    <xf numFmtId="0" fontId="0" fillId="0" borderId="0" xfId="0" quotePrefix="1"/>
    <xf numFmtId="0" fontId="6" fillId="0" borderId="2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0" fillId="2" borderId="0" xfId="0" applyFill="1" applyAlignment="1">
      <alignment horizontal="left"/>
    </xf>
  </cellXfs>
  <cellStyles count="8">
    <cellStyle name="Currency" xfId="6" builtinId="4"/>
    <cellStyle name="Normal" xfId="0" builtinId="0"/>
    <cellStyle name="Normal 2" xfId="2" xr:uid="{00000000-0005-0000-0000-000001000000}"/>
    <cellStyle name="Normal 3" xfId="4" xr:uid="{00000000-0005-0000-0000-000031000000}"/>
    <cellStyle name="Normal 4" xfId="1" xr:uid="{00000000-0005-0000-0000-00002F000000}"/>
    <cellStyle name="Percent" xfId="7" builtinId="5"/>
    <cellStyle name="Percent 2" xfId="3" xr:uid="{00000000-0005-0000-0000-000002000000}"/>
    <cellStyle name="Percent 3" xfId="5" xr:uid="{00000000-0005-0000-0000-00003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hartsheet" Target="chartsheets/sheet3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2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800">
                <a:solidFill>
                  <a:sysClr val="windowText" lastClr="000000"/>
                </a:solidFill>
              </a:rPr>
              <a:t>Market Risk Factor: Mkt</a:t>
            </a:r>
            <a:endParaRPr lang="en-US" sz="1800" b="0" i="0" u="none" strike="noStrike" baseline="0">
              <a:solidFill>
                <a:sysClr val="windowText" lastClr="000000"/>
              </a:solidFill>
              <a:effectLst/>
            </a:endParaRPr>
          </a:p>
          <a:p>
            <a:pPr>
              <a:defRPr sz="1800">
                <a:solidFill>
                  <a:sysClr val="windowText" lastClr="000000"/>
                </a:solidFill>
              </a:defRPr>
            </a:pPr>
            <a:r>
              <a:rPr lang="en-US" sz="1600" b="0" i="0" u="none" strike="noStrike" baseline="0">
                <a:solidFill>
                  <a:sysClr val="windowText" lastClr="000000"/>
                </a:solidFill>
                <a:effectLst/>
              </a:rPr>
              <a:t>Long Market &amp; Short Risk-free Bond</a:t>
            </a:r>
            <a:endParaRPr lang="en-US" sz="1800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3"/>
          <c:order val="0"/>
          <c:tx>
            <c:strRef>
              <c:f>Price!$E$1</c:f>
              <c:strCache>
                <c:ptCount val="1"/>
                <c:pt idx="0">
                  <c:v> Mkt </c:v>
                </c:pt>
              </c:strCache>
            </c:strRef>
          </c:tx>
          <c:spPr>
            <a:ln w="3810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xVal>
            <c:numRef>
              <c:f>Price!$A$2:$A$1087</c:f>
              <c:numCache>
                <c:formatCode>mm/yy</c:formatCode>
                <c:ptCount val="1086"/>
                <c:pt idx="0">
                  <c:v>9679</c:v>
                </c:pt>
                <c:pt idx="1">
                  <c:v>9710</c:v>
                </c:pt>
                <c:pt idx="2">
                  <c:v>9741</c:v>
                </c:pt>
                <c:pt idx="3">
                  <c:v>9771</c:v>
                </c:pt>
                <c:pt idx="4">
                  <c:v>9802</c:v>
                </c:pt>
                <c:pt idx="5">
                  <c:v>9832</c:v>
                </c:pt>
                <c:pt idx="6">
                  <c:v>9863</c:v>
                </c:pt>
                <c:pt idx="7">
                  <c:v>9894</c:v>
                </c:pt>
                <c:pt idx="8">
                  <c:v>9922</c:v>
                </c:pt>
                <c:pt idx="9">
                  <c:v>9953</c:v>
                </c:pt>
                <c:pt idx="10">
                  <c:v>9983</c:v>
                </c:pt>
                <c:pt idx="11">
                  <c:v>10014</c:v>
                </c:pt>
                <c:pt idx="12">
                  <c:v>10044</c:v>
                </c:pt>
                <c:pt idx="13">
                  <c:v>10075</c:v>
                </c:pt>
                <c:pt idx="14">
                  <c:v>10106</c:v>
                </c:pt>
                <c:pt idx="15">
                  <c:v>10136</c:v>
                </c:pt>
                <c:pt idx="16">
                  <c:v>10167</c:v>
                </c:pt>
                <c:pt idx="17">
                  <c:v>10197</c:v>
                </c:pt>
                <c:pt idx="18">
                  <c:v>10228</c:v>
                </c:pt>
                <c:pt idx="19">
                  <c:v>10259</c:v>
                </c:pt>
                <c:pt idx="20">
                  <c:v>10288</c:v>
                </c:pt>
                <c:pt idx="21">
                  <c:v>10319</c:v>
                </c:pt>
                <c:pt idx="22">
                  <c:v>10349</c:v>
                </c:pt>
                <c:pt idx="23">
                  <c:v>10380</c:v>
                </c:pt>
                <c:pt idx="24">
                  <c:v>10410</c:v>
                </c:pt>
                <c:pt idx="25">
                  <c:v>10441</c:v>
                </c:pt>
                <c:pt idx="26">
                  <c:v>10472</c:v>
                </c:pt>
                <c:pt idx="27">
                  <c:v>10502</c:v>
                </c:pt>
                <c:pt idx="28">
                  <c:v>10533</c:v>
                </c:pt>
                <c:pt idx="29">
                  <c:v>10563</c:v>
                </c:pt>
                <c:pt idx="30">
                  <c:v>10594</c:v>
                </c:pt>
                <c:pt idx="31">
                  <c:v>10625</c:v>
                </c:pt>
                <c:pt idx="32">
                  <c:v>10653</c:v>
                </c:pt>
                <c:pt idx="33">
                  <c:v>10684</c:v>
                </c:pt>
                <c:pt idx="34">
                  <c:v>10714</c:v>
                </c:pt>
                <c:pt idx="35">
                  <c:v>10745</c:v>
                </c:pt>
                <c:pt idx="36">
                  <c:v>10775</c:v>
                </c:pt>
                <c:pt idx="37">
                  <c:v>10806</c:v>
                </c:pt>
                <c:pt idx="38">
                  <c:v>10837</c:v>
                </c:pt>
                <c:pt idx="39">
                  <c:v>10867</c:v>
                </c:pt>
                <c:pt idx="40">
                  <c:v>10898</c:v>
                </c:pt>
                <c:pt idx="41">
                  <c:v>10928</c:v>
                </c:pt>
                <c:pt idx="42">
                  <c:v>10959</c:v>
                </c:pt>
                <c:pt idx="43">
                  <c:v>10990</c:v>
                </c:pt>
                <c:pt idx="44">
                  <c:v>11018</c:v>
                </c:pt>
                <c:pt idx="45">
                  <c:v>11049</c:v>
                </c:pt>
                <c:pt idx="46">
                  <c:v>11079</c:v>
                </c:pt>
                <c:pt idx="47">
                  <c:v>11110</c:v>
                </c:pt>
                <c:pt idx="48">
                  <c:v>11140</c:v>
                </c:pt>
                <c:pt idx="49">
                  <c:v>11171</c:v>
                </c:pt>
                <c:pt idx="50">
                  <c:v>11202</c:v>
                </c:pt>
                <c:pt idx="51">
                  <c:v>11232</c:v>
                </c:pt>
                <c:pt idx="52">
                  <c:v>11263</c:v>
                </c:pt>
                <c:pt idx="53">
                  <c:v>11293</c:v>
                </c:pt>
                <c:pt idx="54">
                  <c:v>11324</c:v>
                </c:pt>
                <c:pt idx="55">
                  <c:v>11355</c:v>
                </c:pt>
                <c:pt idx="56">
                  <c:v>11383</c:v>
                </c:pt>
                <c:pt idx="57">
                  <c:v>11414</c:v>
                </c:pt>
                <c:pt idx="58">
                  <c:v>11444</c:v>
                </c:pt>
                <c:pt idx="59">
                  <c:v>11475</c:v>
                </c:pt>
                <c:pt idx="60">
                  <c:v>11505</c:v>
                </c:pt>
                <c:pt idx="61">
                  <c:v>11536</c:v>
                </c:pt>
                <c:pt idx="62">
                  <c:v>11567</c:v>
                </c:pt>
                <c:pt idx="63">
                  <c:v>11597</c:v>
                </c:pt>
                <c:pt idx="64">
                  <c:v>11628</c:v>
                </c:pt>
                <c:pt idx="65">
                  <c:v>11658</c:v>
                </c:pt>
                <c:pt idx="66">
                  <c:v>11689</c:v>
                </c:pt>
                <c:pt idx="67">
                  <c:v>11720</c:v>
                </c:pt>
                <c:pt idx="68">
                  <c:v>11749</c:v>
                </c:pt>
                <c:pt idx="69">
                  <c:v>11780</c:v>
                </c:pt>
                <c:pt idx="70">
                  <c:v>11810</c:v>
                </c:pt>
                <c:pt idx="71">
                  <c:v>11841</c:v>
                </c:pt>
                <c:pt idx="72">
                  <c:v>11871</c:v>
                </c:pt>
                <c:pt idx="73">
                  <c:v>11902</c:v>
                </c:pt>
                <c:pt idx="74">
                  <c:v>11933</c:v>
                </c:pt>
                <c:pt idx="75">
                  <c:v>11963</c:v>
                </c:pt>
                <c:pt idx="76">
                  <c:v>11994</c:v>
                </c:pt>
                <c:pt idx="77">
                  <c:v>12024</c:v>
                </c:pt>
                <c:pt idx="78">
                  <c:v>12055</c:v>
                </c:pt>
                <c:pt idx="79">
                  <c:v>12086</c:v>
                </c:pt>
                <c:pt idx="80">
                  <c:v>12114</c:v>
                </c:pt>
                <c:pt idx="81">
                  <c:v>12145</c:v>
                </c:pt>
                <c:pt idx="82">
                  <c:v>12175</c:v>
                </c:pt>
                <c:pt idx="83">
                  <c:v>12206</c:v>
                </c:pt>
                <c:pt idx="84">
                  <c:v>12236</c:v>
                </c:pt>
                <c:pt idx="85">
                  <c:v>12267</c:v>
                </c:pt>
                <c:pt idx="86">
                  <c:v>12298</c:v>
                </c:pt>
                <c:pt idx="87">
                  <c:v>12328</c:v>
                </c:pt>
                <c:pt idx="88">
                  <c:v>12359</c:v>
                </c:pt>
                <c:pt idx="89">
                  <c:v>12389</c:v>
                </c:pt>
                <c:pt idx="90">
                  <c:v>12420</c:v>
                </c:pt>
                <c:pt idx="91">
                  <c:v>12451</c:v>
                </c:pt>
                <c:pt idx="92">
                  <c:v>12479</c:v>
                </c:pt>
                <c:pt idx="93">
                  <c:v>12510</c:v>
                </c:pt>
                <c:pt idx="94">
                  <c:v>12540</c:v>
                </c:pt>
                <c:pt idx="95">
                  <c:v>12571</c:v>
                </c:pt>
                <c:pt idx="96">
                  <c:v>12601</c:v>
                </c:pt>
                <c:pt idx="97">
                  <c:v>12632</c:v>
                </c:pt>
                <c:pt idx="98">
                  <c:v>12663</c:v>
                </c:pt>
                <c:pt idx="99">
                  <c:v>12693</c:v>
                </c:pt>
                <c:pt idx="100">
                  <c:v>12724</c:v>
                </c:pt>
                <c:pt idx="101">
                  <c:v>12754</c:v>
                </c:pt>
                <c:pt idx="102">
                  <c:v>12785</c:v>
                </c:pt>
                <c:pt idx="103">
                  <c:v>12816</c:v>
                </c:pt>
                <c:pt idx="104">
                  <c:v>12844</c:v>
                </c:pt>
                <c:pt idx="105">
                  <c:v>12875</c:v>
                </c:pt>
                <c:pt idx="106">
                  <c:v>12905</c:v>
                </c:pt>
                <c:pt idx="107">
                  <c:v>12936</c:v>
                </c:pt>
                <c:pt idx="108">
                  <c:v>12966</c:v>
                </c:pt>
                <c:pt idx="109">
                  <c:v>12997</c:v>
                </c:pt>
                <c:pt idx="110">
                  <c:v>13028</c:v>
                </c:pt>
                <c:pt idx="111">
                  <c:v>13058</c:v>
                </c:pt>
                <c:pt idx="112">
                  <c:v>13089</c:v>
                </c:pt>
                <c:pt idx="113">
                  <c:v>13119</c:v>
                </c:pt>
                <c:pt idx="114">
                  <c:v>13150</c:v>
                </c:pt>
                <c:pt idx="115">
                  <c:v>13181</c:v>
                </c:pt>
                <c:pt idx="116">
                  <c:v>13210</c:v>
                </c:pt>
                <c:pt idx="117">
                  <c:v>13241</c:v>
                </c:pt>
                <c:pt idx="118">
                  <c:v>13271</c:v>
                </c:pt>
                <c:pt idx="119">
                  <c:v>13302</c:v>
                </c:pt>
                <c:pt idx="120">
                  <c:v>13332</c:v>
                </c:pt>
                <c:pt idx="121">
                  <c:v>13363</c:v>
                </c:pt>
                <c:pt idx="122">
                  <c:v>13394</c:v>
                </c:pt>
                <c:pt idx="123">
                  <c:v>13424</c:v>
                </c:pt>
                <c:pt idx="124">
                  <c:v>13455</c:v>
                </c:pt>
                <c:pt idx="125">
                  <c:v>13485</c:v>
                </c:pt>
                <c:pt idx="126">
                  <c:v>13516</c:v>
                </c:pt>
                <c:pt idx="127">
                  <c:v>13547</c:v>
                </c:pt>
                <c:pt idx="128">
                  <c:v>13575</c:v>
                </c:pt>
                <c:pt idx="129">
                  <c:v>13606</c:v>
                </c:pt>
                <c:pt idx="130">
                  <c:v>13636</c:v>
                </c:pt>
                <c:pt idx="131">
                  <c:v>13667</c:v>
                </c:pt>
                <c:pt idx="132">
                  <c:v>13697</c:v>
                </c:pt>
                <c:pt idx="133">
                  <c:v>13728</c:v>
                </c:pt>
                <c:pt idx="134">
                  <c:v>13759</c:v>
                </c:pt>
                <c:pt idx="135">
                  <c:v>13789</c:v>
                </c:pt>
                <c:pt idx="136">
                  <c:v>13820</c:v>
                </c:pt>
                <c:pt idx="137">
                  <c:v>13850</c:v>
                </c:pt>
                <c:pt idx="138">
                  <c:v>13881</c:v>
                </c:pt>
                <c:pt idx="139">
                  <c:v>13912</c:v>
                </c:pt>
                <c:pt idx="140">
                  <c:v>13940</c:v>
                </c:pt>
                <c:pt idx="141">
                  <c:v>13971</c:v>
                </c:pt>
                <c:pt idx="142">
                  <c:v>14001</c:v>
                </c:pt>
                <c:pt idx="143">
                  <c:v>14032</c:v>
                </c:pt>
                <c:pt idx="144">
                  <c:v>14062</c:v>
                </c:pt>
                <c:pt idx="145">
                  <c:v>14093</c:v>
                </c:pt>
                <c:pt idx="146">
                  <c:v>14124</c:v>
                </c:pt>
                <c:pt idx="147">
                  <c:v>14154</c:v>
                </c:pt>
                <c:pt idx="148">
                  <c:v>14185</c:v>
                </c:pt>
                <c:pt idx="149">
                  <c:v>14215</c:v>
                </c:pt>
                <c:pt idx="150">
                  <c:v>14246</c:v>
                </c:pt>
                <c:pt idx="151">
                  <c:v>14277</c:v>
                </c:pt>
                <c:pt idx="152">
                  <c:v>14305</c:v>
                </c:pt>
                <c:pt idx="153">
                  <c:v>14336</c:v>
                </c:pt>
                <c:pt idx="154">
                  <c:v>14366</c:v>
                </c:pt>
                <c:pt idx="155">
                  <c:v>14397</c:v>
                </c:pt>
                <c:pt idx="156">
                  <c:v>14427</c:v>
                </c:pt>
                <c:pt idx="157">
                  <c:v>14458</c:v>
                </c:pt>
                <c:pt idx="158">
                  <c:v>14489</c:v>
                </c:pt>
                <c:pt idx="159">
                  <c:v>14519</c:v>
                </c:pt>
                <c:pt idx="160">
                  <c:v>14550</c:v>
                </c:pt>
                <c:pt idx="161">
                  <c:v>14580</c:v>
                </c:pt>
                <c:pt idx="162">
                  <c:v>14611</c:v>
                </c:pt>
                <c:pt idx="163">
                  <c:v>14642</c:v>
                </c:pt>
                <c:pt idx="164">
                  <c:v>14671</c:v>
                </c:pt>
                <c:pt idx="165">
                  <c:v>14702</c:v>
                </c:pt>
                <c:pt idx="166">
                  <c:v>14732</c:v>
                </c:pt>
                <c:pt idx="167">
                  <c:v>14763</c:v>
                </c:pt>
                <c:pt idx="168">
                  <c:v>14793</c:v>
                </c:pt>
                <c:pt idx="169">
                  <c:v>14824</c:v>
                </c:pt>
                <c:pt idx="170">
                  <c:v>14855</c:v>
                </c:pt>
                <c:pt idx="171">
                  <c:v>14885</c:v>
                </c:pt>
                <c:pt idx="172">
                  <c:v>14916</c:v>
                </c:pt>
                <c:pt idx="173">
                  <c:v>14946</c:v>
                </c:pt>
                <c:pt idx="174">
                  <c:v>14977</c:v>
                </c:pt>
                <c:pt idx="175">
                  <c:v>15008</c:v>
                </c:pt>
                <c:pt idx="176">
                  <c:v>15036</c:v>
                </c:pt>
                <c:pt idx="177">
                  <c:v>15067</c:v>
                </c:pt>
                <c:pt idx="178">
                  <c:v>15097</c:v>
                </c:pt>
                <c:pt idx="179">
                  <c:v>15128</c:v>
                </c:pt>
                <c:pt idx="180">
                  <c:v>15158</c:v>
                </c:pt>
                <c:pt idx="181">
                  <c:v>15189</c:v>
                </c:pt>
                <c:pt idx="182">
                  <c:v>15220</c:v>
                </c:pt>
                <c:pt idx="183">
                  <c:v>15250</c:v>
                </c:pt>
                <c:pt idx="184">
                  <c:v>15281</c:v>
                </c:pt>
                <c:pt idx="185">
                  <c:v>15311</c:v>
                </c:pt>
                <c:pt idx="186">
                  <c:v>15342</c:v>
                </c:pt>
                <c:pt idx="187">
                  <c:v>15373</c:v>
                </c:pt>
                <c:pt idx="188">
                  <c:v>15401</c:v>
                </c:pt>
                <c:pt idx="189">
                  <c:v>15432</c:v>
                </c:pt>
                <c:pt idx="190">
                  <c:v>15462</c:v>
                </c:pt>
                <c:pt idx="191">
                  <c:v>15493</c:v>
                </c:pt>
                <c:pt idx="192">
                  <c:v>15523</c:v>
                </c:pt>
                <c:pt idx="193">
                  <c:v>15554</c:v>
                </c:pt>
                <c:pt idx="194">
                  <c:v>15585</c:v>
                </c:pt>
                <c:pt idx="195">
                  <c:v>15615</c:v>
                </c:pt>
                <c:pt idx="196">
                  <c:v>15646</c:v>
                </c:pt>
                <c:pt idx="197">
                  <c:v>15676</c:v>
                </c:pt>
                <c:pt idx="198">
                  <c:v>15707</c:v>
                </c:pt>
                <c:pt idx="199">
                  <c:v>15738</c:v>
                </c:pt>
                <c:pt idx="200">
                  <c:v>15766</c:v>
                </c:pt>
                <c:pt idx="201">
                  <c:v>15797</c:v>
                </c:pt>
                <c:pt idx="202">
                  <c:v>15827</c:v>
                </c:pt>
                <c:pt idx="203">
                  <c:v>15858</c:v>
                </c:pt>
                <c:pt idx="204">
                  <c:v>15888</c:v>
                </c:pt>
                <c:pt idx="205">
                  <c:v>15919</c:v>
                </c:pt>
                <c:pt idx="206">
                  <c:v>15950</c:v>
                </c:pt>
                <c:pt idx="207">
                  <c:v>15980</c:v>
                </c:pt>
                <c:pt idx="208">
                  <c:v>16011</c:v>
                </c:pt>
                <c:pt idx="209">
                  <c:v>16041</c:v>
                </c:pt>
                <c:pt idx="210">
                  <c:v>16072</c:v>
                </c:pt>
                <c:pt idx="211">
                  <c:v>16103</c:v>
                </c:pt>
                <c:pt idx="212">
                  <c:v>16132</c:v>
                </c:pt>
                <c:pt idx="213">
                  <c:v>16163</c:v>
                </c:pt>
                <c:pt idx="214">
                  <c:v>16193</c:v>
                </c:pt>
                <c:pt idx="215">
                  <c:v>16224</c:v>
                </c:pt>
                <c:pt idx="216">
                  <c:v>16254</c:v>
                </c:pt>
                <c:pt idx="217">
                  <c:v>16285</c:v>
                </c:pt>
                <c:pt idx="218">
                  <c:v>16316</c:v>
                </c:pt>
                <c:pt idx="219">
                  <c:v>16346</c:v>
                </c:pt>
                <c:pt idx="220">
                  <c:v>16377</c:v>
                </c:pt>
                <c:pt idx="221">
                  <c:v>16407</c:v>
                </c:pt>
                <c:pt idx="222">
                  <c:v>16438</c:v>
                </c:pt>
                <c:pt idx="223">
                  <c:v>16469</c:v>
                </c:pt>
                <c:pt idx="224">
                  <c:v>16497</c:v>
                </c:pt>
                <c:pt idx="225">
                  <c:v>16528</c:v>
                </c:pt>
                <c:pt idx="226">
                  <c:v>16558</c:v>
                </c:pt>
                <c:pt idx="227">
                  <c:v>16589</c:v>
                </c:pt>
                <c:pt idx="228">
                  <c:v>16619</c:v>
                </c:pt>
                <c:pt idx="229">
                  <c:v>16650</c:v>
                </c:pt>
                <c:pt idx="230">
                  <c:v>16681</c:v>
                </c:pt>
                <c:pt idx="231">
                  <c:v>16711</c:v>
                </c:pt>
                <c:pt idx="232">
                  <c:v>16742</c:v>
                </c:pt>
                <c:pt idx="233">
                  <c:v>16772</c:v>
                </c:pt>
                <c:pt idx="234">
                  <c:v>16803</c:v>
                </c:pt>
                <c:pt idx="235">
                  <c:v>16834</c:v>
                </c:pt>
                <c:pt idx="236">
                  <c:v>16862</c:v>
                </c:pt>
                <c:pt idx="237">
                  <c:v>16893</c:v>
                </c:pt>
                <c:pt idx="238">
                  <c:v>16923</c:v>
                </c:pt>
                <c:pt idx="239">
                  <c:v>16954</c:v>
                </c:pt>
                <c:pt idx="240">
                  <c:v>16984</c:v>
                </c:pt>
                <c:pt idx="241">
                  <c:v>17015</c:v>
                </c:pt>
                <c:pt idx="242">
                  <c:v>17046</c:v>
                </c:pt>
                <c:pt idx="243">
                  <c:v>17076</c:v>
                </c:pt>
                <c:pt idx="244">
                  <c:v>17107</c:v>
                </c:pt>
                <c:pt idx="245">
                  <c:v>17137</c:v>
                </c:pt>
                <c:pt idx="246">
                  <c:v>17168</c:v>
                </c:pt>
                <c:pt idx="247">
                  <c:v>17199</c:v>
                </c:pt>
                <c:pt idx="248">
                  <c:v>17227</c:v>
                </c:pt>
                <c:pt idx="249">
                  <c:v>17258</c:v>
                </c:pt>
                <c:pt idx="250">
                  <c:v>17288</c:v>
                </c:pt>
                <c:pt idx="251">
                  <c:v>17319</c:v>
                </c:pt>
                <c:pt idx="252">
                  <c:v>17349</c:v>
                </c:pt>
                <c:pt idx="253">
                  <c:v>17380</c:v>
                </c:pt>
                <c:pt idx="254">
                  <c:v>17411</c:v>
                </c:pt>
                <c:pt idx="255">
                  <c:v>17441</c:v>
                </c:pt>
                <c:pt idx="256">
                  <c:v>17472</c:v>
                </c:pt>
                <c:pt idx="257">
                  <c:v>17502</c:v>
                </c:pt>
                <c:pt idx="258">
                  <c:v>17533</c:v>
                </c:pt>
                <c:pt idx="259">
                  <c:v>17564</c:v>
                </c:pt>
                <c:pt idx="260">
                  <c:v>17593</c:v>
                </c:pt>
                <c:pt idx="261">
                  <c:v>17624</c:v>
                </c:pt>
                <c:pt idx="262">
                  <c:v>17654</c:v>
                </c:pt>
                <c:pt idx="263">
                  <c:v>17685</c:v>
                </c:pt>
                <c:pt idx="264">
                  <c:v>17715</c:v>
                </c:pt>
                <c:pt idx="265">
                  <c:v>17746</c:v>
                </c:pt>
                <c:pt idx="266">
                  <c:v>17777</c:v>
                </c:pt>
                <c:pt idx="267">
                  <c:v>17807</c:v>
                </c:pt>
                <c:pt idx="268">
                  <c:v>17838</c:v>
                </c:pt>
                <c:pt idx="269">
                  <c:v>17868</c:v>
                </c:pt>
                <c:pt idx="270">
                  <c:v>17899</c:v>
                </c:pt>
                <c:pt idx="271">
                  <c:v>17930</c:v>
                </c:pt>
                <c:pt idx="272">
                  <c:v>17958</c:v>
                </c:pt>
                <c:pt idx="273">
                  <c:v>17989</c:v>
                </c:pt>
                <c:pt idx="274">
                  <c:v>18019</c:v>
                </c:pt>
                <c:pt idx="275">
                  <c:v>18050</c:v>
                </c:pt>
                <c:pt idx="276">
                  <c:v>18080</c:v>
                </c:pt>
                <c:pt idx="277">
                  <c:v>18111</c:v>
                </c:pt>
                <c:pt idx="278">
                  <c:v>18142</c:v>
                </c:pt>
                <c:pt idx="279">
                  <c:v>18172</c:v>
                </c:pt>
                <c:pt idx="280">
                  <c:v>18203</c:v>
                </c:pt>
                <c:pt idx="281">
                  <c:v>18233</c:v>
                </c:pt>
                <c:pt idx="282">
                  <c:v>18264</c:v>
                </c:pt>
                <c:pt idx="283">
                  <c:v>18295</c:v>
                </c:pt>
                <c:pt idx="284">
                  <c:v>18323</c:v>
                </c:pt>
                <c:pt idx="285">
                  <c:v>18354</c:v>
                </c:pt>
                <c:pt idx="286">
                  <c:v>18384</c:v>
                </c:pt>
                <c:pt idx="287">
                  <c:v>18415</c:v>
                </c:pt>
                <c:pt idx="288">
                  <c:v>18445</c:v>
                </c:pt>
                <c:pt idx="289">
                  <c:v>18476</c:v>
                </c:pt>
                <c:pt idx="290">
                  <c:v>18507</c:v>
                </c:pt>
                <c:pt idx="291">
                  <c:v>18537</c:v>
                </c:pt>
                <c:pt idx="292">
                  <c:v>18568</c:v>
                </c:pt>
                <c:pt idx="293">
                  <c:v>18598</c:v>
                </c:pt>
                <c:pt idx="294">
                  <c:v>18629</c:v>
                </c:pt>
                <c:pt idx="295">
                  <c:v>18660</c:v>
                </c:pt>
                <c:pt idx="296">
                  <c:v>18688</c:v>
                </c:pt>
                <c:pt idx="297">
                  <c:v>18719</c:v>
                </c:pt>
                <c:pt idx="298">
                  <c:v>18749</c:v>
                </c:pt>
                <c:pt idx="299">
                  <c:v>18780</c:v>
                </c:pt>
                <c:pt idx="300">
                  <c:v>18810</c:v>
                </c:pt>
                <c:pt idx="301">
                  <c:v>18841</c:v>
                </c:pt>
                <c:pt idx="302">
                  <c:v>18872</c:v>
                </c:pt>
                <c:pt idx="303">
                  <c:v>18902</c:v>
                </c:pt>
                <c:pt idx="304">
                  <c:v>18933</c:v>
                </c:pt>
                <c:pt idx="305">
                  <c:v>18963</c:v>
                </c:pt>
                <c:pt idx="306">
                  <c:v>18994</c:v>
                </c:pt>
                <c:pt idx="307">
                  <c:v>19025</c:v>
                </c:pt>
                <c:pt idx="308">
                  <c:v>19054</c:v>
                </c:pt>
                <c:pt idx="309">
                  <c:v>19085</c:v>
                </c:pt>
                <c:pt idx="310">
                  <c:v>19115</c:v>
                </c:pt>
                <c:pt idx="311">
                  <c:v>19146</c:v>
                </c:pt>
                <c:pt idx="312">
                  <c:v>19176</c:v>
                </c:pt>
                <c:pt idx="313">
                  <c:v>19207</c:v>
                </c:pt>
                <c:pt idx="314">
                  <c:v>19238</c:v>
                </c:pt>
                <c:pt idx="315">
                  <c:v>19268</c:v>
                </c:pt>
                <c:pt idx="316">
                  <c:v>19299</c:v>
                </c:pt>
                <c:pt idx="317">
                  <c:v>19329</c:v>
                </c:pt>
                <c:pt idx="318">
                  <c:v>19360</c:v>
                </c:pt>
                <c:pt idx="319">
                  <c:v>19391</c:v>
                </c:pt>
                <c:pt idx="320">
                  <c:v>19419</c:v>
                </c:pt>
                <c:pt idx="321">
                  <c:v>19450</c:v>
                </c:pt>
                <c:pt idx="322">
                  <c:v>19480</c:v>
                </c:pt>
                <c:pt idx="323">
                  <c:v>19511</c:v>
                </c:pt>
                <c:pt idx="324">
                  <c:v>19541</c:v>
                </c:pt>
                <c:pt idx="325">
                  <c:v>19572</c:v>
                </c:pt>
                <c:pt idx="326">
                  <c:v>19603</c:v>
                </c:pt>
                <c:pt idx="327">
                  <c:v>19633</c:v>
                </c:pt>
                <c:pt idx="328">
                  <c:v>19664</c:v>
                </c:pt>
                <c:pt idx="329">
                  <c:v>19694</c:v>
                </c:pt>
                <c:pt idx="330">
                  <c:v>19725</c:v>
                </c:pt>
                <c:pt idx="331">
                  <c:v>19756</c:v>
                </c:pt>
                <c:pt idx="332">
                  <c:v>19784</c:v>
                </c:pt>
                <c:pt idx="333">
                  <c:v>19815</c:v>
                </c:pt>
                <c:pt idx="334">
                  <c:v>19845</c:v>
                </c:pt>
                <c:pt idx="335">
                  <c:v>19876</c:v>
                </c:pt>
                <c:pt idx="336">
                  <c:v>19906</c:v>
                </c:pt>
                <c:pt idx="337">
                  <c:v>19937</c:v>
                </c:pt>
                <c:pt idx="338">
                  <c:v>19968</c:v>
                </c:pt>
                <c:pt idx="339">
                  <c:v>19998</c:v>
                </c:pt>
                <c:pt idx="340">
                  <c:v>20029</c:v>
                </c:pt>
                <c:pt idx="341">
                  <c:v>20059</c:v>
                </c:pt>
                <c:pt idx="342">
                  <c:v>20090</c:v>
                </c:pt>
                <c:pt idx="343">
                  <c:v>20121</c:v>
                </c:pt>
                <c:pt idx="344">
                  <c:v>20149</c:v>
                </c:pt>
                <c:pt idx="345">
                  <c:v>20180</c:v>
                </c:pt>
                <c:pt idx="346">
                  <c:v>20210</c:v>
                </c:pt>
                <c:pt idx="347">
                  <c:v>20241</c:v>
                </c:pt>
                <c:pt idx="348">
                  <c:v>20271</c:v>
                </c:pt>
                <c:pt idx="349">
                  <c:v>20302</c:v>
                </c:pt>
                <c:pt idx="350">
                  <c:v>20333</c:v>
                </c:pt>
                <c:pt idx="351">
                  <c:v>20363</c:v>
                </c:pt>
                <c:pt idx="352">
                  <c:v>20394</c:v>
                </c:pt>
                <c:pt idx="353">
                  <c:v>20424</c:v>
                </c:pt>
                <c:pt idx="354">
                  <c:v>20455</c:v>
                </c:pt>
                <c:pt idx="355">
                  <c:v>20486</c:v>
                </c:pt>
                <c:pt idx="356">
                  <c:v>20515</c:v>
                </c:pt>
                <c:pt idx="357">
                  <c:v>20546</c:v>
                </c:pt>
                <c:pt idx="358">
                  <c:v>20576</c:v>
                </c:pt>
                <c:pt idx="359">
                  <c:v>20607</c:v>
                </c:pt>
                <c:pt idx="360">
                  <c:v>20637</c:v>
                </c:pt>
                <c:pt idx="361">
                  <c:v>20668</c:v>
                </c:pt>
                <c:pt idx="362">
                  <c:v>20699</c:v>
                </c:pt>
                <c:pt idx="363">
                  <c:v>20729</c:v>
                </c:pt>
                <c:pt idx="364">
                  <c:v>20760</c:v>
                </c:pt>
                <c:pt idx="365">
                  <c:v>20790</c:v>
                </c:pt>
                <c:pt idx="366">
                  <c:v>20821</c:v>
                </c:pt>
                <c:pt idx="367">
                  <c:v>20852</c:v>
                </c:pt>
                <c:pt idx="368">
                  <c:v>20880</c:v>
                </c:pt>
                <c:pt idx="369">
                  <c:v>20911</c:v>
                </c:pt>
                <c:pt idx="370">
                  <c:v>20941</c:v>
                </c:pt>
                <c:pt idx="371">
                  <c:v>20972</c:v>
                </c:pt>
                <c:pt idx="372">
                  <c:v>21002</c:v>
                </c:pt>
                <c:pt idx="373">
                  <c:v>21033</c:v>
                </c:pt>
                <c:pt idx="374">
                  <c:v>21064</c:v>
                </c:pt>
                <c:pt idx="375">
                  <c:v>21094</c:v>
                </c:pt>
                <c:pt idx="376">
                  <c:v>21125</c:v>
                </c:pt>
                <c:pt idx="377">
                  <c:v>21155</c:v>
                </c:pt>
                <c:pt idx="378">
                  <c:v>21186</c:v>
                </c:pt>
                <c:pt idx="379">
                  <c:v>21217</c:v>
                </c:pt>
                <c:pt idx="380">
                  <c:v>21245</c:v>
                </c:pt>
                <c:pt idx="381">
                  <c:v>21276</c:v>
                </c:pt>
                <c:pt idx="382">
                  <c:v>21306</c:v>
                </c:pt>
                <c:pt idx="383">
                  <c:v>21337</c:v>
                </c:pt>
                <c:pt idx="384">
                  <c:v>21367</c:v>
                </c:pt>
                <c:pt idx="385">
                  <c:v>21398</c:v>
                </c:pt>
                <c:pt idx="386">
                  <c:v>21429</c:v>
                </c:pt>
                <c:pt idx="387">
                  <c:v>21459</c:v>
                </c:pt>
                <c:pt idx="388">
                  <c:v>21490</c:v>
                </c:pt>
                <c:pt idx="389">
                  <c:v>21520</c:v>
                </c:pt>
                <c:pt idx="390">
                  <c:v>21551</c:v>
                </c:pt>
                <c:pt idx="391">
                  <c:v>21582</c:v>
                </c:pt>
                <c:pt idx="392">
                  <c:v>21610</c:v>
                </c:pt>
                <c:pt idx="393">
                  <c:v>21641</c:v>
                </c:pt>
                <c:pt idx="394">
                  <c:v>21671</c:v>
                </c:pt>
                <c:pt idx="395">
                  <c:v>21702</c:v>
                </c:pt>
                <c:pt idx="396">
                  <c:v>21732</c:v>
                </c:pt>
                <c:pt idx="397">
                  <c:v>21763</c:v>
                </c:pt>
                <c:pt idx="398">
                  <c:v>21794</c:v>
                </c:pt>
                <c:pt idx="399">
                  <c:v>21824</c:v>
                </c:pt>
                <c:pt idx="400">
                  <c:v>21855</c:v>
                </c:pt>
                <c:pt idx="401">
                  <c:v>21885</c:v>
                </c:pt>
                <c:pt idx="402">
                  <c:v>21916</c:v>
                </c:pt>
                <c:pt idx="403">
                  <c:v>21947</c:v>
                </c:pt>
                <c:pt idx="404">
                  <c:v>21976</c:v>
                </c:pt>
                <c:pt idx="405">
                  <c:v>22007</c:v>
                </c:pt>
                <c:pt idx="406">
                  <c:v>22037</c:v>
                </c:pt>
                <c:pt idx="407">
                  <c:v>22068</c:v>
                </c:pt>
                <c:pt idx="408">
                  <c:v>22098</c:v>
                </c:pt>
                <c:pt idx="409">
                  <c:v>22129</c:v>
                </c:pt>
                <c:pt idx="410">
                  <c:v>22160</c:v>
                </c:pt>
                <c:pt idx="411">
                  <c:v>22190</c:v>
                </c:pt>
                <c:pt idx="412">
                  <c:v>22221</c:v>
                </c:pt>
                <c:pt idx="413">
                  <c:v>22251</c:v>
                </c:pt>
                <c:pt idx="414">
                  <c:v>22282</c:v>
                </c:pt>
                <c:pt idx="415">
                  <c:v>22313</c:v>
                </c:pt>
                <c:pt idx="416">
                  <c:v>22341</c:v>
                </c:pt>
                <c:pt idx="417">
                  <c:v>22372</c:v>
                </c:pt>
                <c:pt idx="418">
                  <c:v>22402</c:v>
                </c:pt>
                <c:pt idx="419">
                  <c:v>22433</c:v>
                </c:pt>
                <c:pt idx="420">
                  <c:v>22463</c:v>
                </c:pt>
                <c:pt idx="421">
                  <c:v>22494</c:v>
                </c:pt>
                <c:pt idx="422">
                  <c:v>22525</c:v>
                </c:pt>
                <c:pt idx="423">
                  <c:v>22555</c:v>
                </c:pt>
                <c:pt idx="424">
                  <c:v>22586</c:v>
                </c:pt>
                <c:pt idx="425">
                  <c:v>22616</c:v>
                </c:pt>
                <c:pt idx="426">
                  <c:v>22647</c:v>
                </c:pt>
                <c:pt idx="427">
                  <c:v>22678</c:v>
                </c:pt>
                <c:pt idx="428">
                  <c:v>22706</c:v>
                </c:pt>
                <c:pt idx="429">
                  <c:v>22737</c:v>
                </c:pt>
                <c:pt idx="430">
                  <c:v>22767</c:v>
                </c:pt>
                <c:pt idx="431">
                  <c:v>22798</c:v>
                </c:pt>
                <c:pt idx="432">
                  <c:v>22828</c:v>
                </c:pt>
                <c:pt idx="433">
                  <c:v>22859</c:v>
                </c:pt>
                <c:pt idx="434">
                  <c:v>22890</c:v>
                </c:pt>
                <c:pt idx="435">
                  <c:v>22920</c:v>
                </c:pt>
                <c:pt idx="436">
                  <c:v>22951</c:v>
                </c:pt>
                <c:pt idx="437">
                  <c:v>22981</c:v>
                </c:pt>
                <c:pt idx="438">
                  <c:v>23012</c:v>
                </c:pt>
                <c:pt idx="439">
                  <c:v>23043</c:v>
                </c:pt>
                <c:pt idx="440">
                  <c:v>23071</c:v>
                </c:pt>
                <c:pt idx="441">
                  <c:v>23102</c:v>
                </c:pt>
                <c:pt idx="442">
                  <c:v>23132</c:v>
                </c:pt>
                <c:pt idx="443">
                  <c:v>23163</c:v>
                </c:pt>
                <c:pt idx="444">
                  <c:v>23193</c:v>
                </c:pt>
                <c:pt idx="445">
                  <c:v>23224</c:v>
                </c:pt>
                <c:pt idx="446">
                  <c:v>23255</c:v>
                </c:pt>
                <c:pt idx="447">
                  <c:v>23285</c:v>
                </c:pt>
                <c:pt idx="448">
                  <c:v>23316</c:v>
                </c:pt>
                <c:pt idx="449">
                  <c:v>23346</c:v>
                </c:pt>
                <c:pt idx="450">
                  <c:v>23377</c:v>
                </c:pt>
                <c:pt idx="451">
                  <c:v>23408</c:v>
                </c:pt>
                <c:pt idx="452">
                  <c:v>23437</c:v>
                </c:pt>
                <c:pt idx="453">
                  <c:v>23468</c:v>
                </c:pt>
                <c:pt idx="454">
                  <c:v>23498</c:v>
                </c:pt>
                <c:pt idx="455">
                  <c:v>23529</c:v>
                </c:pt>
                <c:pt idx="456">
                  <c:v>23559</c:v>
                </c:pt>
                <c:pt idx="457">
                  <c:v>23590</c:v>
                </c:pt>
                <c:pt idx="458">
                  <c:v>23621</c:v>
                </c:pt>
                <c:pt idx="459">
                  <c:v>23651</c:v>
                </c:pt>
                <c:pt idx="460">
                  <c:v>23682</c:v>
                </c:pt>
                <c:pt idx="461">
                  <c:v>23712</c:v>
                </c:pt>
                <c:pt idx="462">
                  <c:v>23743</c:v>
                </c:pt>
                <c:pt idx="463">
                  <c:v>23774</c:v>
                </c:pt>
                <c:pt idx="464">
                  <c:v>23802</c:v>
                </c:pt>
                <c:pt idx="465">
                  <c:v>23833</c:v>
                </c:pt>
                <c:pt idx="466">
                  <c:v>23863</c:v>
                </c:pt>
                <c:pt idx="467">
                  <c:v>23894</c:v>
                </c:pt>
                <c:pt idx="468">
                  <c:v>23924</c:v>
                </c:pt>
                <c:pt idx="469">
                  <c:v>23955</c:v>
                </c:pt>
                <c:pt idx="470">
                  <c:v>23986</c:v>
                </c:pt>
                <c:pt idx="471">
                  <c:v>24016</c:v>
                </c:pt>
                <c:pt idx="472">
                  <c:v>24047</c:v>
                </c:pt>
                <c:pt idx="473">
                  <c:v>24077</c:v>
                </c:pt>
                <c:pt idx="474">
                  <c:v>24108</c:v>
                </c:pt>
                <c:pt idx="475">
                  <c:v>24139</c:v>
                </c:pt>
                <c:pt idx="476">
                  <c:v>24167</c:v>
                </c:pt>
                <c:pt idx="477">
                  <c:v>24198</c:v>
                </c:pt>
                <c:pt idx="478">
                  <c:v>24228</c:v>
                </c:pt>
                <c:pt idx="479">
                  <c:v>24259</c:v>
                </c:pt>
                <c:pt idx="480">
                  <c:v>24289</c:v>
                </c:pt>
                <c:pt idx="481">
                  <c:v>24320</c:v>
                </c:pt>
                <c:pt idx="482">
                  <c:v>24351</c:v>
                </c:pt>
                <c:pt idx="483">
                  <c:v>24381</c:v>
                </c:pt>
                <c:pt idx="484">
                  <c:v>24412</c:v>
                </c:pt>
                <c:pt idx="485">
                  <c:v>24442</c:v>
                </c:pt>
                <c:pt idx="486">
                  <c:v>24473</c:v>
                </c:pt>
                <c:pt idx="487">
                  <c:v>24504</c:v>
                </c:pt>
                <c:pt idx="488">
                  <c:v>24532</c:v>
                </c:pt>
                <c:pt idx="489">
                  <c:v>24563</c:v>
                </c:pt>
                <c:pt idx="490">
                  <c:v>24593</c:v>
                </c:pt>
                <c:pt idx="491">
                  <c:v>24624</c:v>
                </c:pt>
                <c:pt idx="492">
                  <c:v>24654</c:v>
                </c:pt>
                <c:pt idx="493">
                  <c:v>24685</c:v>
                </c:pt>
                <c:pt idx="494">
                  <c:v>24716</c:v>
                </c:pt>
                <c:pt idx="495">
                  <c:v>24746</c:v>
                </c:pt>
                <c:pt idx="496">
                  <c:v>24777</c:v>
                </c:pt>
                <c:pt idx="497">
                  <c:v>24807</c:v>
                </c:pt>
                <c:pt idx="498">
                  <c:v>24838</c:v>
                </c:pt>
                <c:pt idx="499">
                  <c:v>24869</c:v>
                </c:pt>
                <c:pt idx="500">
                  <c:v>24898</c:v>
                </c:pt>
                <c:pt idx="501">
                  <c:v>24929</c:v>
                </c:pt>
                <c:pt idx="502">
                  <c:v>24959</c:v>
                </c:pt>
                <c:pt idx="503">
                  <c:v>24990</c:v>
                </c:pt>
                <c:pt idx="504">
                  <c:v>25020</c:v>
                </c:pt>
                <c:pt idx="505">
                  <c:v>25051</c:v>
                </c:pt>
                <c:pt idx="506">
                  <c:v>25082</c:v>
                </c:pt>
                <c:pt idx="507">
                  <c:v>25112</c:v>
                </c:pt>
                <c:pt idx="508">
                  <c:v>25143</c:v>
                </c:pt>
                <c:pt idx="509">
                  <c:v>25173</c:v>
                </c:pt>
                <c:pt idx="510">
                  <c:v>25204</c:v>
                </c:pt>
                <c:pt idx="511">
                  <c:v>25235</c:v>
                </c:pt>
                <c:pt idx="512">
                  <c:v>25263</c:v>
                </c:pt>
                <c:pt idx="513">
                  <c:v>25294</c:v>
                </c:pt>
                <c:pt idx="514">
                  <c:v>25324</c:v>
                </c:pt>
                <c:pt idx="515">
                  <c:v>25355</c:v>
                </c:pt>
                <c:pt idx="516">
                  <c:v>25385</c:v>
                </c:pt>
                <c:pt idx="517">
                  <c:v>25416</c:v>
                </c:pt>
                <c:pt idx="518">
                  <c:v>25447</c:v>
                </c:pt>
                <c:pt idx="519">
                  <c:v>25477</c:v>
                </c:pt>
                <c:pt idx="520">
                  <c:v>25508</c:v>
                </c:pt>
                <c:pt idx="521">
                  <c:v>25538</c:v>
                </c:pt>
                <c:pt idx="522">
                  <c:v>25569</c:v>
                </c:pt>
                <c:pt idx="523">
                  <c:v>25600</c:v>
                </c:pt>
                <c:pt idx="524">
                  <c:v>25628</c:v>
                </c:pt>
                <c:pt idx="525">
                  <c:v>25659</c:v>
                </c:pt>
                <c:pt idx="526">
                  <c:v>25689</c:v>
                </c:pt>
                <c:pt idx="527">
                  <c:v>25720</c:v>
                </c:pt>
                <c:pt idx="528">
                  <c:v>25750</c:v>
                </c:pt>
                <c:pt idx="529">
                  <c:v>25781</c:v>
                </c:pt>
                <c:pt idx="530">
                  <c:v>25812</c:v>
                </c:pt>
                <c:pt idx="531">
                  <c:v>25842</c:v>
                </c:pt>
                <c:pt idx="532">
                  <c:v>25873</c:v>
                </c:pt>
                <c:pt idx="533">
                  <c:v>25903</c:v>
                </c:pt>
                <c:pt idx="534">
                  <c:v>25934</c:v>
                </c:pt>
                <c:pt idx="535">
                  <c:v>25965</c:v>
                </c:pt>
                <c:pt idx="536">
                  <c:v>25993</c:v>
                </c:pt>
                <c:pt idx="537">
                  <c:v>26024</c:v>
                </c:pt>
                <c:pt idx="538">
                  <c:v>26054</c:v>
                </c:pt>
                <c:pt idx="539">
                  <c:v>26085</c:v>
                </c:pt>
                <c:pt idx="540">
                  <c:v>26115</c:v>
                </c:pt>
                <c:pt idx="541">
                  <c:v>26146</c:v>
                </c:pt>
                <c:pt idx="542">
                  <c:v>26177</c:v>
                </c:pt>
                <c:pt idx="543">
                  <c:v>26207</c:v>
                </c:pt>
                <c:pt idx="544">
                  <c:v>26238</c:v>
                </c:pt>
                <c:pt idx="545">
                  <c:v>26268</c:v>
                </c:pt>
                <c:pt idx="546">
                  <c:v>26299</c:v>
                </c:pt>
                <c:pt idx="547">
                  <c:v>26330</c:v>
                </c:pt>
                <c:pt idx="548">
                  <c:v>26359</c:v>
                </c:pt>
                <c:pt idx="549">
                  <c:v>26390</c:v>
                </c:pt>
                <c:pt idx="550">
                  <c:v>26420</c:v>
                </c:pt>
                <c:pt idx="551">
                  <c:v>26451</c:v>
                </c:pt>
                <c:pt idx="552">
                  <c:v>26481</c:v>
                </c:pt>
                <c:pt idx="553">
                  <c:v>26512</c:v>
                </c:pt>
                <c:pt idx="554">
                  <c:v>26543</c:v>
                </c:pt>
                <c:pt idx="555">
                  <c:v>26573</c:v>
                </c:pt>
                <c:pt idx="556">
                  <c:v>26604</c:v>
                </c:pt>
                <c:pt idx="557">
                  <c:v>26634</c:v>
                </c:pt>
                <c:pt idx="558">
                  <c:v>26665</c:v>
                </c:pt>
                <c:pt idx="559">
                  <c:v>26696</c:v>
                </c:pt>
                <c:pt idx="560">
                  <c:v>26724</c:v>
                </c:pt>
                <c:pt idx="561">
                  <c:v>26755</c:v>
                </c:pt>
                <c:pt idx="562">
                  <c:v>26785</c:v>
                </c:pt>
                <c:pt idx="563">
                  <c:v>26816</c:v>
                </c:pt>
                <c:pt idx="564">
                  <c:v>26846</c:v>
                </c:pt>
                <c:pt idx="565">
                  <c:v>26877</c:v>
                </c:pt>
                <c:pt idx="566">
                  <c:v>26908</c:v>
                </c:pt>
                <c:pt idx="567">
                  <c:v>26938</c:v>
                </c:pt>
                <c:pt idx="568">
                  <c:v>26969</c:v>
                </c:pt>
                <c:pt idx="569">
                  <c:v>26999</c:v>
                </c:pt>
                <c:pt idx="570">
                  <c:v>27030</c:v>
                </c:pt>
                <c:pt idx="571">
                  <c:v>27061</c:v>
                </c:pt>
                <c:pt idx="572">
                  <c:v>27089</c:v>
                </c:pt>
                <c:pt idx="573">
                  <c:v>27120</c:v>
                </c:pt>
                <c:pt idx="574">
                  <c:v>27150</c:v>
                </c:pt>
                <c:pt idx="575">
                  <c:v>27181</c:v>
                </c:pt>
                <c:pt idx="576">
                  <c:v>27211</c:v>
                </c:pt>
                <c:pt idx="577">
                  <c:v>27242</c:v>
                </c:pt>
                <c:pt idx="578">
                  <c:v>27273</c:v>
                </c:pt>
                <c:pt idx="579">
                  <c:v>27303</c:v>
                </c:pt>
                <c:pt idx="580">
                  <c:v>27334</c:v>
                </c:pt>
                <c:pt idx="581">
                  <c:v>27364</c:v>
                </c:pt>
                <c:pt idx="582">
                  <c:v>27395</c:v>
                </c:pt>
                <c:pt idx="583">
                  <c:v>27426</c:v>
                </c:pt>
                <c:pt idx="584">
                  <c:v>27454</c:v>
                </c:pt>
                <c:pt idx="585">
                  <c:v>27485</c:v>
                </c:pt>
                <c:pt idx="586">
                  <c:v>27515</c:v>
                </c:pt>
                <c:pt idx="587">
                  <c:v>27546</c:v>
                </c:pt>
                <c:pt idx="588">
                  <c:v>27576</c:v>
                </c:pt>
                <c:pt idx="589">
                  <c:v>27607</c:v>
                </c:pt>
                <c:pt idx="590">
                  <c:v>27638</c:v>
                </c:pt>
                <c:pt idx="591">
                  <c:v>27668</c:v>
                </c:pt>
                <c:pt idx="592">
                  <c:v>27699</c:v>
                </c:pt>
                <c:pt idx="593">
                  <c:v>27729</c:v>
                </c:pt>
                <c:pt idx="594">
                  <c:v>27760</c:v>
                </c:pt>
                <c:pt idx="595">
                  <c:v>27791</c:v>
                </c:pt>
                <c:pt idx="596">
                  <c:v>27820</c:v>
                </c:pt>
                <c:pt idx="597">
                  <c:v>27851</c:v>
                </c:pt>
                <c:pt idx="598">
                  <c:v>27881</c:v>
                </c:pt>
                <c:pt idx="599">
                  <c:v>27912</c:v>
                </c:pt>
                <c:pt idx="600">
                  <c:v>27942</c:v>
                </c:pt>
                <c:pt idx="601">
                  <c:v>27973</c:v>
                </c:pt>
                <c:pt idx="602">
                  <c:v>28004</c:v>
                </c:pt>
                <c:pt idx="603">
                  <c:v>28034</c:v>
                </c:pt>
                <c:pt idx="604">
                  <c:v>28065</c:v>
                </c:pt>
                <c:pt idx="605">
                  <c:v>28095</c:v>
                </c:pt>
                <c:pt idx="606">
                  <c:v>28126</c:v>
                </c:pt>
                <c:pt idx="607">
                  <c:v>28157</c:v>
                </c:pt>
                <c:pt idx="608">
                  <c:v>28185</c:v>
                </c:pt>
                <c:pt idx="609">
                  <c:v>28216</c:v>
                </c:pt>
                <c:pt idx="610">
                  <c:v>28246</c:v>
                </c:pt>
                <c:pt idx="611">
                  <c:v>28277</c:v>
                </c:pt>
                <c:pt idx="612">
                  <c:v>28307</c:v>
                </c:pt>
                <c:pt idx="613">
                  <c:v>28338</c:v>
                </c:pt>
                <c:pt idx="614">
                  <c:v>28369</c:v>
                </c:pt>
                <c:pt idx="615">
                  <c:v>28399</c:v>
                </c:pt>
                <c:pt idx="616">
                  <c:v>28430</c:v>
                </c:pt>
                <c:pt idx="617">
                  <c:v>28460</c:v>
                </c:pt>
                <c:pt idx="618">
                  <c:v>28491</c:v>
                </c:pt>
                <c:pt idx="619">
                  <c:v>28522</c:v>
                </c:pt>
                <c:pt idx="620">
                  <c:v>28550</c:v>
                </c:pt>
                <c:pt idx="621">
                  <c:v>28581</c:v>
                </c:pt>
                <c:pt idx="622">
                  <c:v>28611</c:v>
                </c:pt>
                <c:pt idx="623">
                  <c:v>28642</c:v>
                </c:pt>
                <c:pt idx="624">
                  <c:v>28672</c:v>
                </c:pt>
                <c:pt idx="625">
                  <c:v>28703</c:v>
                </c:pt>
                <c:pt idx="626">
                  <c:v>28734</c:v>
                </c:pt>
                <c:pt idx="627">
                  <c:v>28764</c:v>
                </c:pt>
                <c:pt idx="628">
                  <c:v>28795</c:v>
                </c:pt>
                <c:pt idx="629">
                  <c:v>28825</c:v>
                </c:pt>
                <c:pt idx="630">
                  <c:v>28856</c:v>
                </c:pt>
                <c:pt idx="631">
                  <c:v>28887</c:v>
                </c:pt>
                <c:pt idx="632">
                  <c:v>28915</c:v>
                </c:pt>
                <c:pt idx="633">
                  <c:v>28946</c:v>
                </c:pt>
                <c:pt idx="634">
                  <c:v>28976</c:v>
                </c:pt>
                <c:pt idx="635">
                  <c:v>29007</c:v>
                </c:pt>
                <c:pt idx="636">
                  <c:v>29037</c:v>
                </c:pt>
                <c:pt idx="637">
                  <c:v>29068</c:v>
                </c:pt>
                <c:pt idx="638">
                  <c:v>29099</c:v>
                </c:pt>
                <c:pt idx="639">
                  <c:v>29129</c:v>
                </c:pt>
                <c:pt idx="640">
                  <c:v>29160</c:v>
                </c:pt>
                <c:pt idx="641">
                  <c:v>29190</c:v>
                </c:pt>
                <c:pt idx="642">
                  <c:v>29221</c:v>
                </c:pt>
                <c:pt idx="643">
                  <c:v>29252</c:v>
                </c:pt>
                <c:pt idx="644">
                  <c:v>29281</c:v>
                </c:pt>
                <c:pt idx="645">
                  <c:v>29312</c:v>
                </c:pt>
                <c:pt idx="646">
                  <c:v>29342</c:v>
                </c:pt>
                <c:pt idx="647">
                  <c:v>29373</c:v>
                </c:pt>
                <c:pt idx="648">
                  <c:v>29403</c:v>
                </c:pt>
                <c:pt idx="649">
                  <c:v>29434</c:v>
                </c:pt>
                <c:pt idx="650">
                  <c:v>29465</c:v>
                </c:pt>
                <c:pt idx="651">
                  <c:v>29495</c:v>
                </c:pt>
                <c:pt idx="652">
                  <c:v>29526</c:v>
                </c:pt>
                <c:pt idx="653">
                  <c:v>29556</c:v>
                </c:pt>
                <c:pt idx="654">
                  <c:v>29587</c:v>
                </c:pt>
                <c:pt idx="655">
                  <c:v>29618</c:v>
                </c:pt>
                <c:pt idx="656">
                  <c:v>29646</c:v>
                </c:pt>
                <c:pt idx="657">
                  <c:v>29677</c:v>
                </c:pt>
                <c:pt idx="658">
                  <c:v>29707</c:v>
                </c:pt>
                <c:pt idx="659">
                  <c:v>29738</c:v>
                </c:pt>
                <c:pt idx="660">
                  <c:v>29768</c:v>
                </c:pt>
                <c:pt idx="661">
                  <c:v>29799</c:v>
                </c:pt>
                <c:pt idx="662">
                  <c:v>29830</c:v>
                </c:pt>
                <c:pt idx="663">
                  <c:v>29860</c:v>
                </c:pt>
                <c:pt idx="664">
                  <c:v>29891</c:v>
                </c:pt>
                <c:pt idx="665">
                  <c:v>29921</c:v>
                </c:pt>
                <c:pt idx="666">
                  <c:v>29952</c:v>
                </c:pt>
                <c:pt idx="667">
                  <c:v>29983</c:v>
                </c:pt>
                <c:pt idx="668">
                  <c:v>30011</c:v>
                </c:pt>
                <c:pt idx="669">
                  <c:v>30042</c:v>
                </c:pt>
                <c:pt idx="670">
                  <c:v>30072</c:v>
                </c:pt>
                <c:pt idx="671">
                  <c:v>30103</c:v>
                </c:pt>
                <c:pt idx="672">
                  <c:v>30133</c:v>
                </c:pt>
                <c:pt idx="673">
                  <c:v>30164</c:v>
                </c:pt>
                <c:pt idx="674">
                  <c:v>30195</c:v>
                </c:pt>
                <c:pt idx="675">
                  <c:v>30225</c:v>
                </c:pt>
                <c:pt idx="676">
                  <c:v>30256</c:v>
                </c:pt>
                <c:pt idx="677">
                  <c:v>30286</c:v>
                </c:pt>
                <c:pt idx="678">
                  <c:v>30317</c:v>
                </c:pt>
                <c:pt idx="679">
                  <c:v>30348</c:v>
                </c:pt>
                <c:pt idx="680">
                  <c:v>30376</c:v>
                </c:pt>
                <c:pt idx="681">
                  <c:v>30407</c:v>
                </c:pt>
                <c:pt idx="682">
                  <c:v>30437</c:v>
                </c:pt>
                <c:pt idx="683">
                  <c:v>30468</c:v>
                </c:pt>
                <c:pt idx="684">
                  <c:v>30498</c:v>
                </c:pt>
                <c:pt idx="685">
                  <c:v>30529</c:v>
                </c:pt>
                <c:pt idx="686">
                  <c:v>30560</c:v>
                </c:pt>
                <c:pt idx="687">
                  <c:v>30590</c:v>
                </c:pt>
                <c:pt idx="688">
                  <c:v>30621</c:v>
                </c:pt>
                <c:pt idx="689">
                  <c:v>30651</c:v>
                </c:pt>
                <c:pt idx="690">
                  <c:v>30682</c:v>
                </c:pt>
                <c:pt idx="691">
                  <c:v>30713</c:v>
                </c:pt>
                <c:pt idx="692">
                  <c:v>30742</c:v>
                </c:pt>
                <c:pt idx="693">
                  <c:v>30773</c:v>
                </c:pt>
                <c:pt idx="694">
                  <c:v>30803</c:v>
                </c:pt>
                <c:pt idx="695">
                  <c:v>30834</c:v>
                </c:pt>
                <c:pt idx="696">
                  <c:v>30864</c:v>
                </c:pt>
                <c:pt idx="697">
                  <c:v>30895</c:v>
                </c:pt>
                <c:pt idx="698">
                  <c:v>30926</c:v>
                </c:pt>
                <c:pt idx="699">
                  <c:v>30956</c:v>
                </c:pt>
                <c:pt idx="700">
                  <c:v>30987</c:v>
                </c:pt>
                <c:pt idx="701">
                  <c:v>31017</c:v>
                </c:pt>
                <c:pt idx="702">
                  <c:v>31048</c:v>
                </c:pt>
                <c:pt idx="703">
                  <c:v>31079</c:v>
                </c:pt>
                <c:pt idx="704">
                  <c:v>31107</c:v>
                </c:pt>
                <c:pt idx="705">
                  <c:v>31138</c:v>
                </c:pt>
                <c:pt idx="706">
                  <c:v>31168</c:v>
                </c:pt>
                <c:pt idx="707">
                  <c:v>31199</c:v>
                </c:pt>
                <c:pt idx="708">
                  <c:v>31229</c:v>
                </c:pt>
                <c:pt idx="709">
                  <c:v>31260</c:v>
                </c:pt>
                <c:pt idx="710">
                  <c:v>31291</c:v>
                </c:pt>
                <c:pt idx="711">
                  <c:v>31321</c:v>
                </c:pt>
                <c:pt idx="712">
                  <c:v>31352</c:v>
                </c:pt>
                <c:pt idx="713">
                  <c:v>31382</c:v>
                </c:pt>
                <c:pt idx="714">
                  <c:v>31413</c:v>
                </c:pt>
                <c:pt idx="715">
                  <c:v>31444</c:v>
                </c:pt>
                <c:pt idx="716">
                  <c:v>31472</c:v>
                </c:pt>
                <c:pt idx="717">
                  <c:v>31503</c:v>
                </c:pt>
                <c:pt idx="718">
                  <c:v>31533</c:v>
                </c:pt>
                <c:pt idx="719">
                  <c:v>31564</c:v>
                </c:pt>
                <c:pt idx="720">
                  <c:v>31594</c:v>
                </c:pt>
                <c:pt idx="721">
                  <c:v>31625</c:v>
                </c:pt>
                <c:pt idx="722">
                  <c:v>31656</c:v>
                </c:pt>
                <c:pt idx="723">
                  <c:v>31686</c:v>
                </c:pt>
                <c:pt idx="724">
                  <c:v>31717</c:v>
                </c:pt>
                <c:pt idx="725">
                  <c:v>31747</c:v>
                </c:pt>
                <c:pt idx="726">
                  <c:v>31778</c:v>
                </c:pt>
                <c:pt idx="727">
                  <c:v>31809</c:v>
                </c:pt>
                <c:pt idx="728">
                  <c:v>31837</c:v>
                </c:pt>
                <c:pt idx="729">
                  <c:v>31868</c:v>
                </c:pt>
                <c:pt idx="730">
                  <c:v>31898</c:v>
                </c:pt>
                <c:pt idx="731">
                  <c:v>31929</c:v>
                </c:pt>
                <c:pt idx="732">
                  <c:v>31959</c:v>
                </c:pt>
                <c:pt idx="733">
                  <c:v>31990</c:v>
                </c:pt>
                <c:pt idx="734">
                  <c:v>32021</c:v>
                </c:pt>
                <c:pt idx="735">
                  <c:v>32051</c:v>
                </c:pt>
                <c:pt idx="736">
                  <c:v>32082</c:v>
                </c:pt>
                <c:pt idx="737">
                  <c:v>32112</c:v>
                </c:pt>
                <c:pt idx="738">
                  <c:v>32143</c:v>
                </c:pt>
                <c:pt idx="739">
                  <c:v>32174</c:v>
                </c:pt>
                <c:pt idx="740">
                  <c:v>32203</c:v>
                </c:pt>
                <c:pt idx="741">
                  <c:v>32234</c:v>
                </c:pt>
                <c:pt idx="742">
                  <c:v>32264</c:v>
                </c:pt>
                <c:pt idx="743">
                  <c:v>32295</c:v>
                </c:pt>
                <c:pt idx="744">
                  <c:v>32325</c:v>
                </c:pt>
                <c:pt idx="745">
                  <c:v>32356</c:v>
                </c:pt>
                <c:pt idx="746">
                  <c:v>32387</c:v>
                </c:pt>
                <c:pt idx="747">
                  <c:v>32417</c:v>
                </c:pt>
                <c:pt idx="748">
                  <c:v>32448</c:v>
                </c:pt>
                <c:pt idx="749">
                  <c:v>32478</c:v>
                </c:pt>
                <c:pt idx="750">
                  <c:v>32509</c:v>
                </c:pt>
                <c:pt idx="751">
                  <c:v>32540</c:v>
                </c:pt>
                <c:pt idx="752">
                  <c:v>32568</c:v>
                </c:pt>
                <c:pt idx="753">
                  <c:v>32599</c:v>
                </c:pt>
                <c:pt idx="754">
                  <c:v>32629</c:v>
                </c:pt>
                <c:pt idx="755">
                  <c:v>32660</c:v>
                </c:pt>
                <c:pt idx="756">
                  <c:v>32690</c:v>
                </c:pt>
                <c:pt idx="757">
                  <c:v>32721</c:v>
                </c:pt>
                <c:pt idx="758">
                  <c:v>32752</c:v>
                </c:pt>
                <c:pt idx="759">
                  <c:v>32782</c:v>
                </c:pt>
                <c:pt idx="760">
                  <c:v>32813</c:v>
                </c:pt>
                <c:pt idx="761">
                  <c:v>32843</c:v>
                </c:pt>
                <c:pt idx="762">
                  <c:v>32874</c:v>
                </c:pt>
                <c:pt idx="763">
                  <c:v>32905</c:v>
                </c:pt>
                <c:pt idx="764">
                  <c:v>32933</c:v>
                </c:pt>
                <c:pt idx="765">
                  <c:v>32964</c:v>
                </c:pt>
                <c:pt idx="766">
                  <c:v>32994</c:v>
                </c:pt>
                <c:pt idx="767">
                  <c:v>33025</c:v>
                </c:pt>
                <c:pt idx="768">
                  <c:v>33055</c:v>
                </c:pt>
                <c:pt idx="769">
                  <c:v>33086</c:v>
                </c:pt>
                <c:pt idx="770">
                  <c:v>33117</c:v>
                </c:pt>
                <c:pt idx="771">
                  <c:v>33147</c:v>
                </c:pt>
                <c:pt idx="772">
                  <c:v>33178</c:v>
                </c:pt>
                <c:pt idx="773">
                  <c:v>33208</c:v>
                </c:pt>
                <c:pt idx="774">
                  <c:v>33239</c:v>
                </c:pt>
                <c:pt idx="775">
                  <c:v>33270</c:v>
                </c:pt>
                <c:pt idx="776">
                  <c:v>33298</c:v>
                </c:pt>
                <c:pt idx="777">
                  <c:v>33329</c:v>
                </c:pt>
                <c:pt idx="778">
                  <c:v>33359</c:v>
                </c:pt>
                <c:pt idx="779">
                  <c:v>33390</c:v>
                </c:pt>
                <c:pt idx="780">
                  <c:v>33420</c:v>
                </c:pt>
                <c:pt idx="781">
                  <c:v>33451</c:v>
                </c:pt>
                <c:pt idx="782">
                  <c:v>33482</c:v>
                </c:pt>
                <c:pt idx="783">
                  <c:v>33512</c:v>
                </c:pt>
                <c:pt idx="784">
                  <c:v>33543</c:v>
                </c:pt>
                <c:pt idx="785">
                  <c:v>33573</c:v>
                </c:pt>
                <c:pt idx="786">
                  <c:v>33604</c:v>
                </c:pt>
                <c:pt idx="787">
                  <c:v>33635</c:v>
                </c:pt>
                <c:pt idx="788">
                  <c:v>33664</c:v>
                </c:pt>
                <c:pt idx="789">
                  <c:v>33695</c:v>
                </c:pt>
                <c:pt idx="790">
                  <c:v>33725</c:v>
                </c:pt>
                <c:pt idx="791">
                  <c:v>33756</c:v>
                </c:pt>
                <c:pt idx="792">
                  <c:v>33786</c:v>
                </c:pt>
                <c:pt idx="793">
                  <c:v>33817</c:v>
                </c:pt>
                <c:pt idx="794">
                  <c:v>33848</c:v>
                </c:pt>
                <c:pt idx="795">
                  <c:v>33878</c:v>
                </c:pt>
                <c:pt idx="796">
                  <c:v>33909</c:v>
                </c:pt>
                <c:pt idx="797">
                  <c:v>33939</c:v>
                </c:pt>
                <c:pt idx="798">
                  <c:v>33970</c:v>
                </c:pt>
                <c:pt idx="799">
                  <c:v>34001</c:v>
                </c:pt>
                <c:pt idx="800">
                  <c:v>34029</c:v>
                </c:pt>
                <c:pt idx="801">
                  <c:v>34060</c:v>
                </c:pt>
                <c:pt idx="802">
                  <c:v>34090</c:v>
                </c:pt>
                <c:pt idx="803">
                  <c:v>34121</c:v>
                </c:pt>
                <c:pt idx="804">
                  <c:v>34151</c:v>
                </c:pt>
                <c:pt idx="805">
                  <c:v>34182</c:v>
                </c:pt>
                <c:pt idx="806">
                  <c:v>34213</c:v>
                </c:pt>
                <c:pt idx="807">
                  <c:v>34243</c:v>
                </c:pt>
                <c:pt idx="808">
                  <c:v>34274</c:v>
                </c:pt>
                <c:pt idx="809">
                  <c:v>34304</c:v>
                </c:pt>
                <c:pt idx="810">
                  <c:v>34335</c:v>
                </c:pt>
                <c:pt idx="811">
                  <c:v>34366</c:v>
                </c:pt>
                <c:pt idx="812">
                  <c:v>34394</c:v>
                </c:pt>
                <c:pt idx="813">
                  <c:v>34425</c:v>
                </c:pt>
                <c:pt idx="814">
                  <c:v>34455</c:v>
                </c:pt>
                <c:pt idx="815">
                  <c:v>34486</c:v>
                </c:pt>
                <c:pt idx="816">
                  <c:v>34516</c:v>
                </c:pt>
                <c:pt idx="817">
                  <c:v>34547</c:v>
                </c:pt>
                <c:pt idx="818">
                  <c:v>34578</c:v>
                </c:pt>
                <c:pt idx="819">
                  <c:v>34608</c:v>
                </c:pt>
                <c:pt idx="820">
                  <c:v>34639</c:v>
                </c:pt>
                <c:pt idx="821">
                  <c:v>34669</c:v>
                </c:pt>
                <c:pt idx="822">
                  <c:v>34700</c:v>
                </c:pt>
                <c:pt idx="823">
                  <c:v>34731</c:v>
                </c:pt>
                <c:pt idx="824">
                  <c:v>34759</c:v>
                </c:pt>
                <c:pt idx="825">
                  <c:v>34790</c:v>
                </c:pt>
                <c:pt idx="826">
                  <c:v>34820</c:v>
                </c:pt>
                <c:pt idx="827">
                  <c:v>34851</c:v>
                </c:pt>
                <c:pt idx="828">
                  <c:v>34881</c:v>
                </c:pt>
                <c:pt idx="829">
                  <c:v>34912</c:v>
                </c:pt>
                <c:pt idx="830">
                  <c:v>34943</c:v>
                </c:pt>
                <c:pt idx="831">
                  <c:v>34973</c:v>
                </c:pt>
                <c:pt idx="832">
                  <c:v>35004</c:v>
                </c:pt>
                <c:pt idx="833">
                  <c:v>35034</c:v>
                </c:pt>
                <c:pt idx="834">
                  <c:v>35065</c:v>
                </c:pt>
                <c:pt idx="835">
                  <c:v>35096</c:v>
                </c:pt>
                <c:pt idx="836">
                  <c:v>35125</c:v>
                </c:pt>
                <c:pt idx="837">
                  <c:v>35156</c:v>
                </c:pt>
                <c:pt idx="838">
                  <c:v>35186</c:v>
                </c:pt>
                <c:pt idx="839">
                  <c:v>35217</c:v>
                </c:pt>
                <c:pt idx="840">
                  <c:v>35247</c:v>
                </c:pt>
                <c:pt idx="841">
                  <c:v>35278</c:v>
                </c:pt>
                <c:pt idx="842">
                  <c:v>35309</c:v>
                </c:pt>
                <c:pt idx="843">
                  <c:v>35339</c:v>
                </c:pt>
                <c:pt idx="844">
                  <c:v>35370</c:v>
                </c:pt>
                <c:pt idx="845">
                  <c:v>35400</c:v>
                </c:pt>
                <c:pt idx="846">
                  <c:v>35431</c:v>
                </c:pt>
                <c:pt idx="847">
                  <c:v>35462</c:v>
                </c:pt>
                <c:pt idx="848">
                  <c:v>35490</c:v>
                </c:pt>
                <c:pt idx="849">
                  <c:v>35521</c:v>
                </c:pt>
                <c:pt idx="850">
                  <c:v>35551</c:v>
                </c:pt>
                <c:pt idx="851">
                  <c:v>35582</c:v>
                </c:pt>
                <c:pt idx="852">
                  <c:v>35612</c:v>
                </c:pt>
                <c:pt idx="853">
                  <c:v>35643</c:v>
                </c:pt>
                <c:pt idx="854">
                  <c:v>35674</c:v>
                </c:pt>
                <c:pt idx="855">
                  <c:v>35704</c:v>
                </c:pt>
                <c:pt idx="856">
                  <c:v>35735</c:v>
                </c:pt>
                <c:pt idx="857">
                  <c:v>35765</c:v>
                </c:pt>
                <c:pt idx="858">
                  <c:v>35796</c:v>
                </c:pt>
                <c:pt idx="859">
                  <c:v>35827</c:v>
                </c:pt>
                <c:pt idx="860">
                  <c:v>35855</c:v>
                </c:pt>
                <c:pt idx="861">
                  <c:v>35886</c:v>
                </c:pt>
                <c:pt idx="862">
                  <c:v>35916</c:v>
                </c:pt>
                <c:pt idx="863">
                  <c:v>35947</c:v>
                </c:pt>
                <c:pt idx="864">
                  <c:v>35977</c:v>
                </c:pt>
                <c:pt idx="865">
                  <c:v>36008</c:v>
                </c:pt>
                <c:pt idx="866">
                  <c:v>36039</c:v>
                </c:pt>
                <c:pt idx="867">
                  <c:v>36069</c:v>
                </c:pt>
                <c:pt idx="868">
                  <c:v>36100</c:v>
                </c:pt>
                <c:pt idx="869">
                  <c:v>36130</c:v>
                </c:pt>
                <c:pt idx="870">
                  <c:v>36161</c:v>
                </c:pt>
                <c:pt idx="871">
                  <c:v>36192</c:v>
                </c:pt>
                <c:pt idx="872">
                  <c:v>36220</c:v>
                </c:pt>
                <c:pt idx="873">
                  <c:v>36251</c:v>
                </c:pt>
                <c:pt idx="874">
                  <c:v>36281</c:v>
                </c:pt>
                <c:pt idx="875">
                  <c:v>36312</c:v>
                </c:pt>
                <c:pt idx="876">
                  <c:v>36342</c:v>
                </c:pt>
                <c:pt idx="877">
                  <c:v>36373</c:v>
                </c:pt>
                <c:pt idx="878">
                  <c:v>36404</c:v>
                </c:pt>
                <c:pt idx="879">
                  <c:v>36434</c:v>
                </c:pt>
                <c:pt idx="880">
                  <c:v>36465</c:v>
                </c:pt>
                <c:pt idx="881">
                  <c:v>36495</c:v>
                </c:pt>
                <c:pt idx="882">
                  <c:v>36526</c:v>
                </c:pt>
                <c:pt idx="883">
                  <c:v>36557</c:v>
                </c:pt>
                <c:pt idx="884">
                  <c:v>36586</c:v>
                </c:pt>
                <c:pt idx="885">
                  <c:v>36617</c:v>
                </c:pt>
                <c:pt idx="886">
                  <c:v>36647</c:v>
                </c:pt>
                <c:pt idx="887">
                  <c:v>36678</c:v>
                </c:pt>
                <c:pt idx="888">
                  <c:v>36708</c:v>
                </c:pt>
                <c:pt idx="889">
                  <c:v>36739</c:v>
                </c:pt>
                <c:pt idx="890">
                  <c:v>36770</c:v>
                </c:pt>
                <c:pt idx="891">
                  <c:v>36800</c:v>
                </c:pt>
                <c:pt idx="892">
                  <c:v>36831</c:v>
                </c:pt>
                <c:pt idx="893">
                  <c:v>36861</c:v>
                </c:pt>
                <c:pt idx="894">
                  <c:v>36892</c:v>
                </c:pt>
                <c:pt idx="895">
                  <c:v>36923</c:v>
                </c:pt>
                <c:pt idx="896">
                  <c:v>36951</c:v>
                </c:pt>
                <c:pt idx="897">
                  <c:v>36982</c:v>
                </c:pt>
                <c:pt idx="898">
                  <c:v>37012</c:v>
                </c:pt>
                <c:pt idx="899">
                  <c:v>37043</c:v>
                </c:pt>
                <c:pt idx="900">
                  <c:v>37073</c:v>
                </c:pt>
                <c:pt idx="901">
                  <c:v>37104</c:v>
                </c:pt>
                <c:pt idx="902">
                  <c:v>37135</c:v>
                </c:pt>
                <c:pt idx="903">
                  <c:v>37165</c:v>
                </c:pt>
                <c:pt idx="904">
                  <c:v>37196</c:v>
                </c:pt>
                <c:pt idx="905">
                  <c:v>37226</c:v>
                </c:pt>
                <c:pt idx="906">
                  <c:v>37257</c:v>
                </c:pt>
                <c:pt idx="907">
                  <c:v>37288</c:v>
                </c:pt>
                <c:pt idx="908">
                  <c:v>37316</c:v>
                </c:pt>
                <c:pt idx="909">
                  <c:v>37347</c:v>
                </c:pt>
                <c:pt idx="910">
                  <c:v>37377</c:v>
                </c:pt>
                <c:pt idx="911">
                  <c:v>37408</c:v>
                </c:pt>
                <c:pt idx="912">
                  <c:v>37438</c:v>
                </c:pt>
                <c:pt idx="913">
                  <c:v>37469</c:v>
                </c:pt>
                <c:pt idx="914">
                  <c:v>37500</c:v>
                </c:pt>
                <c:pt idx="915">
                  <c:v>37530</c:v>
                </c:pt>
                <c:pt idx="916">
                  <c:v>37561</c:v>
                </c:pt>
                <c:pt idx="917">
                  <c:v>37591</c:v>
                </c:pt>
                <c:pt idx="918">
                  <c:v>37622</c:v>
                </c:pt>
                <c:pt idx="919">
                  <c:v>37653</c:v>
                </c:pt>
                <c:pt idx="920">
                  <c:v>37681</c:v>
                </c:pt>
                <c:pt idx="921">
                  <c:v>37712</c:v>
                </c:pt>
                <c:pt idx="922">
                  <c:v>37742</c:v>
                </c:pt>
                <c:pt idx="923">
                  <c:v>37773</c:v>
                </c:pt>
                <c:pt idx="924">
                  <c:v>37803</c:v>
                </c:pt>
                <c:pt idx="925">
                  <c:v>37834</c:v>
                </c:pt>
                <c:pt idx="926">
                  <c:v>37865</c:v>
                </c:pt>
                <c:pt idx="927">
                  <c:v>37895</c:v>
                </c:pt>
                <c:pt idx="928">
                  <c:v>37926</c:v>
                </c:pt>
                <c:pt idx="929">
                  <c:v>37956</c:v>
                </c:pt>
                <c:pt idx="930">
                  <c:v>37987</c:v>
                </c:pt>
                <c:pt idx="931">
                  <c:v>38018</c:v>
                </c:pt>
                <c:pt idx="932">
                  <c:v>38047</c:v>
                </c:pt>
                <c:pt idx="933">
                  <c:v>38078</c:v>
                </c:pt>
                <c:pt idx="934">
                  <c:v>38108</c:v>
                </c:pt>
                <c:pt idx="935">
                  <c:v>38139</c:v>
                </c:pt>
                <c:pt idx="936">
                  <c:v>38169</c:v>
                </c:pt>
                <c:pt idx="937">
                  <c:v>38200</c:v>
                </c:pt>
                <c:pt idx="938">
                  <c:v>38231</c:v>
                </c:pt>
                <c:pt idx="939">
                  <c:v>38261</c:v>
                </c:pt>
                <c:pt idx="940">
                  <c:v>38292</c:v>
                </c:pt>
                <c:pt idx="941">
                  <c:v>38322</c:v>
                </c:pt>
                <c:pt idx="942">
                  <c:v>38353</c:v>
                </c:pt>
                <c:pt idx="943">
                  <c:v>38384</c:v>
                </c:pt>
                <c:pt idx="944">
                  <c:v>38412</c:v>
                </c:pt>
                <c:pt idx="945">
                  <c:v>38443</c:v>
                </c:pt>
                <c:pt idx="946">
                  <c:v>38473</c:v>
                </c:pt>
                <c:pt idx="947">
                  <c:v>38504</c:v>
                </c:pt>
                <c:pt idx="948">
                  <c:v>38534</c:v>
                </c:pt>
                <c:pt idx="949">
                  <c:v>38565</c:v>
                </c:pt>
                <c:pt idx="950">
                  <c:v>38596</c:v>
                </c:pt>
                <c:pt idx="951">
                  <c:v>38626</c:v>
                </c:pt>
                <c:pt idx="952">
                  <c:v>38657</c:v>
                </c:pt>
                <c:pt idx="953">
                  <c:v>38687</c:v>
                </c:pt>
                <c:pt idx="954">
                  <c:v>38718</c:v>
                </c:pt>
                <c:pt idx="955">
                  <c:v>38749</c:v>
                </c:pt>
                <c:pt idx="956">
                  <c:v>38777</c:v>
                </c:pt>
                <c:pt idx="957">
                  <c:v>38808</c:v>
                </c:pt>
                <c:pt idx="958">
                  <c:v>38838</c:v>
                </c:pt>
                <c:pt idx="959">
                  <c:v>38869</c:v>
                </c:pt>
                <c:pt idx="960">
                  <c:v>38899</c:v>
                </c:pt>
                <c:pt idx="961">
                  <c:v>38930</c:v>
                </c:pt>
                <c:pt idx="962">
                  <c:v>38961</c:v>
                </c:pt>
                <c:pt idx="963">
                  <c:v>38991</c:v>
                </c:pt>
                <c:pt idx="964">
                  <c:v>39022</c:v>
                </c:pt>
                <c:pt idx="965">
                  <c:v>39052</c:v>
                </c:pt>
                <c:pt idx="966">
                  <c:v>39083</c:v>
                </c:pt>
                <c:pt idx="967">
                  <c:v>39114</c:v>
                </c:pt>
                <c:pt idx="968">
                  <c:v>39142</c:v>
                </c:pt>
                <c:pt idx="969">
                  <c:v>39173</c:v>
                </c:pt>
                <c:pt idx="970">
                  <c:v>39203</c:v>
                </c:pt>
                <c:pt idx="971">
                  <c:v>39234</c:v>
                </c:pt>
                <c:pt idx="972">
                  <c:v>39264</c:v>
                </c:pt>
                <c:pt idx="973">
                  <c:v>39295</c:v>
                </c:pt>
                <c:pt idx="974">
                  <c:v>39326</c:v>
                </c:pt>
                <c:pt idx="975">
                  <c:v>39356</c:v>
                </c:pt>
                <c:pt idx="976">
                  <c:v>39387</c:v>
                </c:pt>
                <c:pt idx="977">
                  <c:v>39417</c:v>
                </c:pt>
                <c:pt idx="978">
                  <c:v>39448</c:v>
                </c:pt>
                <c:pt idx="979">
                  <c:v>39479</c:v>
                </c:pt>
                <c:pt idx="980">
                  <c:v>39508</c:v>
                </c:pt>
                <c:pt idx="981">
                  <c:v>39539</c:v>
                </c:pt>
                <c:pt idx="982">
                  <c:v>39569</c:v>
                </c:pt>
                <c:pt idx="983">
                  <c:v>39600</c:v>
                </c:pt>
                <c:pt idx="984">
                  <c:v>39630</c:v>
                </c:pt>
                <c:pt idx="985">
                  <c:v>39661</c:v>
                </c:pt>
                <c:pt idx="986">
                  <c:v>39692</c:v>
                </c:pt>
                <c:pt idx="987">
                  <c:v>39722</c:v>
                </c:pt>
                <c:pt idx="988">
                  <c:v>39753</c:v>
                </c:pt>
                <c:pt idx="989">
                  <c:v>39783</c:v>
                </c:pt>
                <c:pt idx="990">
                  <c:v>39814</c:v>
                </c:pt>
                <c:pt idx="991">
                  <c:v>39845</c:v>
                </c:pt>
                <c:pt idx="992">
                  <c:v>39873</c:v>
                </c:pt>
                <c:pt idx="993">
                  <c:v>39904</c:v>
                </c:pt>
                <c:pt idx="994">
                  <c:v>39934</c:v>
                </c:pt>
                <c:pt idx="995">
                  <c:v>39965</c:v>
                </c:pt>
                <c:pt idx="996">
                  <c:v>39995</c:v>
                </c:pt>
                <c:pt idx="997">
                  <c:v>40026</c:v>
                </c:pt>
                <c:pt idx="998">
                  <c:v>40057</c:v>
                </c:pt>
                <c:pt idx="999">
                  <c:v>40087</c:v>
                </c:pt>
                <c:pt idx="1000">
                  <c:v>40118</c:v>
                </c:pt>
                <c:pt idx="1001">
                  <c:v>40148</c:v>
                </c:pt>
                <c:pt idx="1002">
                  <c:v>40179</c:v>
                </c:pt>
                <c:pt idx="1003">
                  <c:v>40210</c:v>
                </c:pt>
                <c:pt idx="1004">
                  <c:v>40238</c:v>
                </c:pt>
                <c:pt idx="1005">
                  <c:v>40269</c:v>
                </c:pt>
                <c:pt idx="1006">
                  <c:v>40299</c:v>
                </c:pt>
                <c:pt idx="1007">
                  <c:v>40330</c:v>
                </c:pt>
                <c:pt idx="1008">
                  <c:v>40360</c:v>
                </c:pt>
                <c:pt idx="1009">
                  <c:v>40391</c:v>
                </c:pt>
                <c:pt idx="1010">
                  <c:v>40422</c:v>
                </c:pt>
                <c:pt idx="1011">
                  <c:v>40452</c:v>
                </c:pt>
                <c:pt idx="1012">
                  <c:v>40483</c:v>
                </c:pt>
                <c:pt idx="1013">
                  <c:v>40513</c:v>
                </c:pt>
                <c:pt idx="1014">
                  <c:v>40544</c:v>
                </c:pt>
                <c:pt idx="1015">
                  <c:v>40575</c:v>
                </c:pt>
                <c:pt idx="1016">
                  <c:v>40603</c:v>
                </c:pt>
                <c:pt idx="1017">
                  <c:v>40634</c:v>
                </c:pt>
                <c:pt idx="1018">
                  <c:v>40664</c:v>
                </c:pt>
                <c:pt idx="1019">
                  <c:v>40695</c:v>
                </c:pt>
                <c:pt idx="1020">
                  <c:v>40725</c:v>
                </c:pt>
                <c:pt idx="1021">
                  <c:v>40756</c:v>
                </c:pt>
                <c:pt idx="1022">
                  <c:v>40787</c:v>
                </c:pt>
                <c:pt idx="1023">
                  <c:v>40817</c:v>
                </c:pt>
                <c:pt idx="1024">
                  <c:v>40848</c:v>
                </c:pt>
                <c:pt idx="1025">
                  <c:v>40878</c:v>
                </c:pt>
                <c:pt idx="1026">
                  <c:v>40909</c:v>
                </c:pt>
                <c:pt idx="1027">
                  <c:v>40940</c:v>
                </c:pt>
                <c:pt idx="1028">
                  <c:v>40969</c:v>
                </c:pt>
                <c:pt idx="1029">
                  <c:v>41000</c:v>
                </c:pt>
                <c:pt idx="1030">
                  <c:v>41030</c:v>
                </c:pt>
                <c:pt idx="1031">
                  <c:v>41061</c:v>
                </c:pt>
                <c:pt idx="1032">
                  <c:v>41091</c:v>
                </c:pt>
                <c:pt idx="1033">
                  <c:v>41122</c:v>
                </c:pt>
                <c:pt idx="1034">
                  <c:v>41153</c:v>
                </c:pt>
                <c:pt idx="1035">
                  <c:v>41183</c:v>
                </c:pt>
                <c:pt idx="1036">
                  <c:v>41214</c:v>
                </c:pt>
                <c:pt idx="1037">
                  <c:v>41244</c:v>
                </c:pt>
                <c:pt idx="1038">
                  <c:v>41275</c:v>
                </c:pt>
                <c:pt idx="1039">
                  <c:v>41306</c:v>
                </c:pt>
                <c:pt idx="1040">
                  <c:v>41334</c:v>
                </c:pt>
                <c:pt idx="1041">
                  <c:v>41365</c:v>
                </c:pt>
                <c:pt idx="1042">
                  <c:v>41395</c:v>
                </c:pt>
                <c:pt idx="1043">
                  <c:v>41426</c:v>
                </c:pt>
                <c:pt idx="1044">
                  <c:v>41456</c:v>
                </c:pt>
                <c:pt idx="1045">
                  <c:v>41487</c:v>
                </c:pt>
                <c:pt idx="1046">
                  <c:v>41518</c:v>
                </c:pt>
                <c:pt idx="1047">
                  <c:v>41548</c:v>
                </c:pt>
                <c:pt idx="1048">
                  <c:v>41579</c:v>
                </c:pt>
                <c:pt idx="1049">
                  <c:v>41609</c:v>
                </c:pt>
                <c:pt idx="1050">
                  <c:v>41640</c:v>
                </c:pt>
                <c:pt idx="1051">
                  <c:v>41671</c:v>
                </c:pt>
                <c:pt idx="1052">
                  <c:v>41699</c:v>
                </c:pt>
                <c:pt idx="1053">
                  <c:v>41730</c:v>
                </c:pt>
                <c:pt idx="1054">
                  <c:v>41760</c:v>
                </c:pt>
                <c:pt idx="1055">
                  <c:v>41791</c:v>
                </c:pt>
                <c:pt idx="1056">
                  <c:v>41821</c:v>
                </c:pt>
                <c:pt idx="1057">
                  <c:v>41852</c:v>
                </c:pt>
                <c:pt idx="1058">
                  <c:v>41883</c:v>
                </c:pt>
                <c:pt idx="1059">
                  <c:v>41913</c:v>
                </c:pt>
                <c:pt idx="1060">
                  <c:v>41944</c:v>
                </c:pt>
                <c:pt idx="1061">
                  <c:v>41974</c:v>
                </c:pt>
                <c:pt idx="1062">
                  <c:v>42005</c:v>
                </c:pt>
                <c:pt idx="1063">
                  <c:v>42036</c:v>
                </c:pt>
                <c:pt idx="1064">
                  <c:v>42064</c:v>
                </c:pt>
                <c:pt idx="1065">
                  <c:v>42095</c:v>
                </c:pt>
                <c:pt idx="1066">
                  <c:v>42125</c:v>
                </c:pt>
                <c:pt idx="1067">
                  <c:v>42156</c:v>
                </c:pt>
                <c:pt idx="1068">
                  <c:v>42186</c:v>
                </c:pt>
                <c:pt idx="1069">
                  <c:v>42217</c:v>
                </c:pt>
                <c:pt idx="1070">
                  <c:v>42248</c:v>
                </c:pt>
                <c:pt idx="1071">
                  <c:v>42278</c:v>
                </c:pt>
                <c:pt idx="1072">
                  <c:v>42309</c:v>
                </c:pt>
                <c:pt idx="1073">
                  <c:v>42339</c:v>
                </c:pt>
                <c:pt idx="1074">
                  <c:v>42370</c:v>
                </c:pt>
                <c:pt idx="1075">
                  <c:v>42401</c:v>
                </c:pt>
                <c:pt idx="1076">
                  <c:v>42430</c:v>
                </c:pt>
                <c:pt idx="1077">
                  <c:v>42461</c:v>
                </c:pt>
                <c:pt idx="1078">
                  <c:v>42491</c:v>
                </c:pt>
                <c:pt idx="1079">
                  <c:v>42522</c:v>
                </c:pt>
                <c:pt idx="1080">
                  <c:v>42552</c:v>
                </c:pt>
                <c:pt idx="1081">
                  <c:v>42583</c:v>
                </c:pt>
                <c:pt idx="1082">
                  <c:v>42614</c:v>
                </c:pt>
                <c:pt idx="1083">
                  <c:v>42644</c:v>
                </c:pt>
                <c:pt idx="1084">
                  <c:v>42675</c:v>
                </c:pt>
                <c:pt idx="1085">
                  <c:v>42705</c:v>
                </c:pt>
              </c:numCache>
            </c:numRef>
          </c:xVal>
          <c:yVal>
            <c:numRef>
              <c:f>Price!$E$2:$E$1087</c:f>
              <c:numCache>
                <c:formatCode>_("$"* #,##0_);_("$"* \(#,##0\);_("$"* "-"??_);_(@_)</c:formatCode>
                <c:ptCount val="1086"/>
                <c:pt idx="0">
                  <c:v>100</c:v>
                </c:pt>
                <c:pt idx="1">
                  <c:v>102.64</c:v>
                </c:pt>
                <c:pt idx="2">
                  <c:v>103.00950400000001</c:v>
                </c:pt>
                <c:pt idx="3">
                  <c:v>99.671996070400013</c:v>
                </c:pt>
                <c:pt idx="4">
                  <c:v>102.19369757098114</c:v>
                </c:pt>
                <c:pt idx="5">
                  <c:v>104.87117244734085</c:v>
                </c:pt>
                <c:pt idx="6">
                  <c:v>104.80824974387244</c:v>
                </c:pt>
                <c:pt idx="7">
                  <c:v>109.18923458316631</c:v>
                </c:pt>
                <c:pt idx="8">
                  <c:v>109.33118058812444</c:v>
                </c:pt>
                <c:pt idx="9">
                  <c:v>109.83410401882981</c:v>
                </c:pt>
                <c:pt idx="10">
                  <c:v>115.80907927745415</c:v>
                </c:pt>
                <c:pt idx="11">
                  <c:v>113.09914682236172</c:v>
                </c:pt>
                <c:pt idx="12">
                  <c:v>121.31014488166518</c:v>
                </c:pt>
                <c:pt idx="13">
                  <c:v>123.699954735834</c:v>
                </c:pt>
                <c:pt idx="14">
                  <c:v>129.58807258125969</c:v>
                </c:pt>
                <c:pt idx="15">
                  <c:v>124.0028266530074</c:v>
                </c:pt>
                <c:pt idx="16">
                  <c:v>132.16221264677529</c:v>
                </c:pt>
                <c:pt idx="17">
                  <c:v>134.92440289109288</c:v>
                </c:pt>
                <c:pt idx="18">
                  <c:v>134.00691695143345</c:v>
                </c:pt>
                <c:pt idx="19">
                  <c:v>131.72879936325907</c:v>
                </c:pt>
                <c:pt idx="20">
                  <c:v>143.33410658716221</c:v>
                </c:pt>
                <c:pt idx="21">
                  <c:v>149.39713929579918</c:v>
                </c:pt>
                <c:pt idx="22">
                  <c:v>151.66797581309535</c:v>
                </c:pt>
                <c:pt idx="23">
                  <c:v>144.31207898616023</c:v>
                </c:pt>
                <c:pt idx="24">
                  <c:v>145.20681387587442</c:v>
                </c:pt>
                <c:pt idx="25">
                  <c:v>154.90662904278281</c:v>
                </c:pt>
                <c:pt idx="26">
                  <c:v>159.36793995921494</c:v>
                </c:pt>
                <c:pt idx="27">
                  <c:v>161.48753356067252</c:v>
                </c:pt>
                <c:pt idx="28">
                  <c:v>180.55921127418796</c:v>
                </c:pt>
                <c:pt idx="29">
                  <c:v>181.20922443477505</c:v>
                </c:pt>
                <c:pt idx="30">
                  <c:v>189.65357429343555</c:v>
                </c:pt>
                <c:pt idx="31">
                  <c:v>189.00875214083788</c:v>
                </c:pt>
                <c:pt idx="32">
                  <c:v>187.32657424678442</c:v>
                </c:pt>
                <c:pt idx="33">
                  <c:v>190.00534425851342</c:v>
                </c:pt>
                <c:pt idx="34">
                  <c:v>177.86400276039441</c:v>
                </c:pt>
                <c:pt idx="35">
                  <c:v>195.11681102815265</c:v>
                </c:pt>
                <c:pt idx="36">
                  <c:v>203.81902080000825</c:v>
                </c:pt>
                <c:pt idx="37">
                  <c:v>220.49141670144894</c:v>
                </c:pt>
                <c:pt idx="38">
                  <c:v>208.4305362078797</c:v>
                </c:pt>
                <c:pt idx="39">
                  <c:v>166.49431232285428</c:v>
                </c:pt>
                <c:pt idx="40">
                  <c:v>145.28293693292267</c:v>
                </c:pt>
                <c:pt idx="41">
                  <c:v>147.21519999413056</c:v>
                </c:pt>
                <c:pt idx="42">
                  <c:v>155.47397271380129</c:v>
                </c:pt>
                <c:pt idx="43">
                  <c:v>159.36082203164631</c:v>
                </c:pt>
                <c:pt idx="44">
                  <c:v>170.67544039589319</c:v>
                </c:pt>
                <c:pt idx="45">
                  <c:v>167.15952632373779</c:v>
                </c:pt>
                <c:pt idx="46">
                  <c:v>164.38467818676375</c:v>
                </c:pt>
                <c:pt idx="47">
                  <c:v>137.63929104577727</c:v>
                </c:pt>
                <c:pt idx="48">
                  <c:v>143.31002983686329</c:v>
                </c:pt>
                <c:pt idx="49">
                  <c:v>143.73995992637387</c:v>
                </c:pt>
                <c:pt idx="50">
                  <c:v>125.41311503576121</c:v>
                </c:pt>
                <c:pt idx="51">
                  <c:v>114.40184353562138</c:v>
                </c:pt>
                <c:pt idx="52">
                  <c:v>110.92402749213849</c:v>
                </c:pt>
                <c:pt idx="53">
                  <c:v>102.23867613950405</c:v>
                </c:pt>
                <c:pt idx="54">
                  <c:v>108.6183695306091</c:v>
                </c:pt>
                <c:pt idx="55">
                  <c:v>120.43604813553937</c:v>
                </c:pt>
                <c:pt idx="56">
                  <c:v>112.69201024042418</c:v>
                </c:pt>
                <c:pt idx="57">
                  <c:v>101.44534761842985</c:v>
                </c:pt>
                <c:pt idx="58">
                  <c:v>88.013983593749728</c:v>
                </c:pt>
                <c:pt idx="59">
                  <c:v>100.24792731328094</c:v>
                </c:pt>
                <c:pt idx="60">
                  <c:v>93.611514525141743</c:v>
                </c:pt>
                <c:pt idx="61">
                  <c:v>93.995321734694826</c:v>
                </c:pt>
                <c:pt idx="62">
                  <c:v>66.61448451337823</c:v>
                </c:pt>
                <c:pt idx="63">
                  <c:v>71.970289068253848</c:v>
                </c:pt>
                <c:pt idx="64">
                  <c:v>65.435386820856394</c:v>
                </c:pt>
                <c:pt idx="65">
                  <c:v>56.581978983994524</c:v>
                </c:pt>
                <c:pt idx="66">
                  <c:v>55.687983716047405</c:v>
                </c:pt>
                <c:pt idx="67">
                  <c:v>58.728547626943595</c:v>
                </c:pt>
                <c:pt idx="68">
                  <c:v>52.145077437963216</c:v>
                </c:pt>
                <c:pt idx="69">
                  <c:v>42.779821530105025</c:v>
                </c:pt>
                <c:pt idx="70">
                  <c:v>34.005680134280482</c:v>
                </c:pt>
                <c:pt idx="71">
                  <c:v>33.767640373340519</c:v>
                </c:pt>
                <c:pt idx="72">
                  <c:v>45.19460987567895</c:v>
                </c:pt>
                <c:pt idx="73">
                  <c:v>61.943732295605571</c:v>
                </c:pt>
                <c:pt idx="74">
                  <c:v>60.122586566114769</c:v>
                </c:pt>
                <c:pt idx="75">
                  <c:v>52.204441915357449</c:v>
                </c:pt>
                <c:pt idx="76">
                  <c:v>49.134820730734432</c:v>
                </c:pt>
                <c:pt idx="77">
                  <c:v>51.296752842886747</c:v>
                </c:pt>
                <c:pt idx="78">
                  <c:v>51.937962253422832</c:v>
                </c:pt>
                <c:pt idx="79">
                  <c:v>44.022616806001196</c:v>
                </c:pt>
                <c:pt idx="80">
                  <c:v>45.470960898918634</c:v>
                </c:pt>
                <c:pt idx="81">
                  <c:v>63.136429208148527</c:v>
                </c:pt>
                <c:pt idx="82">
                  <c:v>76.666565987454746</c:v>
                </c:pt>
                <c:pt idx="83">
                  <c:v>86.71755278841006</c:v>
                </c:pt>
                <c:pt idx="84">
                  <c:v>78.366652454886164</c:v>
                </c:pt>
                <c:pt idx="85">
                  <c:v>87.809834075699953</c:v>
                </c:pt>
                <c:pt idx="86">
                  <c:v>78.458086746637903</c:v>
                </c:pt>
                <c:pt idx="87">
                  <c:v>71.898990694618973</c:v>
                </c:pt>
                <c:pt idx="88">
                  <c:v>79.067320066872483</c:v>
                </c:pt>
                <c:pt idx="89">
                  <c:v>80.514252024096251</c:v>
                </c:pt>
                <c:pt idx="90">
                  <c:v>90.659047779132365</c:v>
                </c:pt>
                <c:pt idx="91">
                  <c:v>88.39257158465405</c:v>
                </c:pt>
                <c:pt idx="92">
                  <c:v>88.472124899080228</c:v>
                </c:pt>
                <c:pt idx="93">
                  <c:v>86.888473863386693</c:v>
                </c:pt>
                <c:pt idx="94">
                  <c:v>80.589059508291157</c:v>
                </c:pt>
                <c:pt idx="95">
                  <c:v>82.716610679310037</c:v>
                </c:pt>
                <c:pt idx="96">
                  <c:v>73.650870148857649</c:v>
                </c:pt>
                <c:pt idx="97">
                  <c:v>77.760588703163904</c:v>
                </c:pt>
                <c:pt idx="98">
                  <c:v>77.581739349146631</c:v>
                </c:pt>
                <c:pt idx="99">
                  <c:v>76.293882475950795</c:v>
                </c:pt>
                <c:pt idx="100">
                  <c:v>82.649162886197487</c:v>
                </c:pt>
                <c:pt idx="101">
                  <c:v>82.9466998725878</c:v>
                </c:pt>
                <c:pt idx="102">
                  <c:v>80.085038726983527</c:v>
                </c:pt>
                <c:pt idx="103">
                  <c:v>78.531388975680045</c:v>
                </c:pt>
                <c:pt idx="104">
                  <c:v>75.64143386137502</c:v>
                </c:pt>
                <c:pt idx="105">
                  <c:v>82.4945477692156</c:v>
                </c:pt>
                <c:pt idx="106">
                  <c:v>85.357108576807377</c:v>
                </c:pt>
                <c:pt idx="107">
                  <c:v>90.418785115412049</c:v>
                </c:pt>
                <c:pt idx="108">
                  <c:v>97.209235877579488</c:v>
                </c:pt>
                <c:pt idx="109">
                  <c:v>99.785280628335343</c:v>
                </c:pt>
                <c:pt idx="110">
                  <c:v>102.40963350886057</c:v>
                </c:pt>
                <c:pt idx="111">
                  <c:v>109.60903074453347</c:v>
                </c:pt>
                <c:pt idx="112">
                  <c:v>114.95795144486669</c:v>
                </c:pt>
                <c:pt idx="113">
                  <c:v>120.20003403075262</c:v>
                </c:pt>
                <c:pt idx="114">
                  <c:v>128.48181637547148</c:v>
                </c:pt>
                <c:pt idx="115">
                  <c:v>131.68101360322072</c:v>
                </c:pt>
                <c:pt idx="116">
                  <c:v>132.98465563789262</c:v>
                </c:pt>
                <c:pt idx="117">
                  <c:v>122.15970466896815</c:v>
                </c:pt>
                <c:pt idx="118">
                  <c:v>128.49979334128761</c:v>
                </c:pt>
                <c:pt idx="119">
                  <c:v>131.58378838147851</c:v>
                </c:pt>
                <c:pt idx="120">
                  <c:v>140.36042706652313</c:v>
                </c:pt>
                <c:pt idx="121">
                  <c:v>141.74999529448172</c:v>
                </c:pt>
                <c:pt idx="122">
                  <c:v>143.13914524836764</c:v>
                </c:pt>
                <c:pt idx="123">
                  <c:v>153.3306523900514</c:v>
                </c:pt>
                <c:pt idx="124">
                  <c:v>158.34456472320608</c:v>
                </c:pt>
                <c:pt idx="125">
                  <c:v>158.6770883091248</c:v>
                </c:pt>
                <c:pt idx="126">
                  <c:v>163.99277076748049</c:v>
                </c:pt>
                <c:pt idx="127">
                  <c:v>165.78029196884603</c:v>
                </c:pt>
                <c:pt idx="128">
                  <c:v>165.33268518053015</c:v>
                </c:pt>
                <c:pt idx="129">
                  <c:v>153.16419955124314</c:v>
                </c:pt>
                <c:pt idx="130">
                  <c:v>151.89293669496783</c:v>
                </c:pt>
                <c:pt idx="131">
                  <c:v>145.49824406010967</c:v>
                </c:pt>
                <c:pt idx="132">
                  <c:v>158.46213760586542</c:v>
                </c:pt>
                <c:pt idx="133">
                  <c:v>150.76087771822037</c:v>
                </c:pt>
                <c:pt idx="134">
                  <c:v>130.24232226077058</c:v>
                </c:pt>
                <c:pt idx="135">
                  <c:v>117.72603509151052</c:v>
                </c:pt>
                <c:pt idx="136">
                  <c:v>107.94300157540599</c:v>
                </c:pt>
                <c:pt idx="137">
                  <c:v>103.36621830860878</c:v>
                </c:pt>
                <c:pt idx="138">
                  <c:v>103.87271277832095</c:v>
                </c:pt>
                <c:pt idx="139">
                  <c:v>109.93887920457489</c:v>
                </c:pt>
                <c:pt idx="140">
                  <c:v>83.751438178045149</c:v>
                </c:pt>
                <c:pt idx="141">
                  <c:v>95.903771857679502</c:v>
                </c:pt>
                <c:pt idx="142">
                  <c:v>92.230657395530372</c:v>
                </c:pt>
                <c:pt idx="143">
                  <c:v>114.24611531584348</c:v>
                </c:pt>
                <c:pt idx="144">
                  <c:v>122.63178018002638</c:v>
                </c:pt>
                <c:pt idx="145">
                  <c:v>119.35751164921969</c:v>
                </c:pt>
                <c:pt idx="146">
                  <c:v>120.32430749357837</c:v>
                </c:pt>
                <c:pt idx="147">
                  <c:v>129.7096034780775</c:v>
                </c:pt>
                <c:pt idx="148">
                  <c:v>127.47859829825457</c:v>
                </c:pt>
                <c:pt idx="149">
                  <c:v>132.81995156695143</c:v>
                </c:pt>
                <c:pt idx="150">
                  <c:v>124.90388245356112</c:v>
                </c:pt>
                <c:pt idx="151">
                  <c:v>129.2880087276811</c:v>
                </c:pt>
                <c:pt idx="152">
                  <c:v>113.78637648123214</c:v>
                </c:pt>
                <c:pt idx="153">
                  <c:v>113.58156100356592</c:v>
                </c:pt>
                <c:pt idx="154">
                  <c:v>121.30510715180841</c:v>
                </c:pt>
                <c:pt idx="155">
                  <c:v>114.86380596204738</c:v>
                </c:pt>
                <c:pt idx="156">
                  <c:v>126.62585969256104</c:v>
                </c:pt>
                <c:pt idx="157">
                  <c:v>118.16725226509796</c:v>
                </c:pt>
                <c:pt idx="158">
                  <c:v>138.11388444744651</c:v>
                </c:pt>
                <c:pt idx="159">
                  <c:v>137.38188085987505</c:v>
                </c:pt>
                <c:pt idx="160">
                  <c:v>132.40865677274758</c:v>
                </c:pt>
                <c:pt idx="161">
                  <c:v>136.42063907296182</c:v>
                </c:pt>
                <c:pt idx="162">
                  <c:v>133.13290167130344</c:v>
                </c:pt>
                <c:pt idx="163">
                  <c:v>135.05001545537021</c:v>
                </c:pt>
                <c:pt idx="164">
                  <c:v>137.8185407722053</c:v>
                </c:pt>
                <c:pt idx="165">
                  <c:v>138.12174156190414</c:v>
                </c:pt>
                <c:pt idx="166">
                  <c:v>107.80401928906618</c:v>
                </c:pt>
                <c:pt idx="167">
                  <c:v>114.99454737564689</c:v>
                </c:pt>
                <c:pt idx="168">
                  <c:v>118.62837507271733</c:v>
                </c:pt>
                <c:pt idx="169">
                  <c:v>121.22633648680984</c:v>
                </c:pt>
                <c:pt idx="170">
                  <c:v>124.1236459288446</c:v>
                </c:pt>
                <c:pt idx="171">
                  <c:v>127.87218003589571</c:v>
                </c:pt>
                <c:pt idx="172">
                  <c:v>125.81343793731779</c:v>
                </c:pt>
                <c:pt idx="173">
                  <c:v>126.68155065908526</c:v>
                </c:pt>
                <c:pt idx="174">
                  <c:v>121.39892999660141</c:v>
                </c:pt>
                <c:pt idx="175">
                  <c:v>119.66292529765001</c:v>
                </c:pt>
                <c:pt idx="176">
                  <c:v>120.66809387015026</c:v>
                </c:pt>
                <c:pt idx="177">
                  <c:v>114.07961594484006</c:v>
                </c:pt>
                <c:pt idx="178">
                  <c:v>115.66532260647334</c:v>
                </c:pt>
                <c:pt idx="179">
                  <c:v>122.40861091443074</c:v>
                </c:pt>
                <c:pt idx="180">
                  <c:v>129.59399637510782</c:v>
                </c:pt>
                <c:pt idx="181">
                  <c:v>129.37368658127014</c:v>
                </c:pt>
                <c:pt idx="182">
                  <c:v>128.24813550801309</c:v>
                </c:pt>
                <c:pt idx="183">
                  <c:v>121.51510839384241</c:v>
                </c:pt>
                <c:pt idx="184">
                  <c:v>119.18201831268064</c:v>
                </c:pt>
                <c:pt idx="185">
                  <c:v>113.37785402085309</c:v>
                </c:pt>
                <c:pt idx="186">
                  <c:v>114.27353906761783</c:v>
                </c:pt>
                <c:pt idx="187">
                  <c:v>111.46241000655444</c:v>
                </c:pt>
                <c:pt idx="188">
                  <c:v>104.12818342812315</c:v>
                </c:pt>
                <c:pt idx="189">
                  <c:v>99.577781812314171</c:v>
                </c:pt>
                <c:pt idx="190">
                  <c:v>105.49270205196562</c:v>
                </c:pt>
                <c:pt idx="191">
                  <c:v>108.33045573716349</c:v>
                </c:pt>
                <c:pt idx="192">
                  <c:v>112.13285473353793</c:v>
                </c:pt>
                <c:pt idx="193">
                  <c:v>114.15124611874161</c:v>
                </c:pt>
                <c:pt idx="194">
                  <c:v>117.13059364244077</c:v>
                </c:pt>
                <c:pt idx="195">
                  <c:v>125.11890012885523</c:v>
                </c:pt>
                <c:pt idx="196">
                  <c:v>125.30657847904853</c:v>
                </c:pt>
                <c:pt idx="197">
                  <c:v>131.7222752971758</c:v>
                </c:pt>
                <c:pt idx="198">
                  <c:v>141.11407352586443</c:v>
                </c:pt>
                <c:pt idx="199">
                  <c:v>149.79258904770509</c:v>
                </c:pt>
                <c:pt idx="200">
                  <c:v>158.79512364947217</c:v>
                </c:pt>
                <c:pt idx="201">
                  <c:v>160.08136415103289</c:v>
                </c:pt>
                <c:pt idx="202">
                  <c:v>169.27003445330215</c:v>
                </c:pt>
                <c:pt idx="203">
                  <c:v>172.35074908035224</c:v>
                </c:pt>
                <c:pt idx="204">
                  <c:v>164.12961834921944</c:v>
                </c:pt>
                <c:pt idx="205">
                  <c:v>166.26330338775927</c:v>
                </c:pt>
                <c:pt idx="206">
                  <c:v>170.25362266906549</c:v>
                </c:pt>
                <c:pt idx="207">
                  <c:v>168.29570600837124</c:v>
                </c:pt>
                <c:pt idx="208">
                  <c:v>158.34942978327649</c:v>
                </c:pt>
                <c:pt idx="209">
                  <c:v>168.42045351749289</c:v>
                </c:pt>
                <c:pt idx="210">
                  <c:v>171.35096940869727</c:v>
                </c:pt>
                <c:pt idx="211">
                  <c:v>171.98496799550946</c:v>
                </c:pt>
                <c:pt idx="212">
                  <c:v>176.21579820819898</c:v>
                </c:pt>
                <c:pt idx="213">
                  <c:v>173.23775121848041</c:v>
                </c:pt>
                <c:pt idx="214">
                  <c:v>182.02090520525735</c:v>
                </c:pt>
                <c:pt idx="215">
                  <c:v>192.01385290102596</c:v>
                </c:pt>
                <c:pt idx="216">
                  <c:v>189.15284649280068</c:v>
                </c:pt>
                <c:pt idx="217">
                  <c:v>192.12254618273766</c:v>
                </c:pt>
                <c:pt idx="218">
                  <c:v>192.14175843735595</c:v>
                </c:pt>
                <c:pt idx="219">
                  <c:v>192.44918525085572</c:v>
                </c:pt>
                <c:pt idx="220">
                  <c:v>195.74006631864532</c:v>
                </c:pt>
                <c:pt idx="221">
                  <c:v>203.62839099128672</c:v>
                </c:pt>
                <c:pt idx="222">
                  <c:v>207.72132165021159</c:v>
                </c:pt>
                <c:pt idx="223">
                  <c:v>220.66235998901979</c:v>
                </c:pt>
                <c:pt idx="224">
                  <c:v>212.07859418544692</c:v>
                </c:pt>
                <c:pt idx="225">
                  <c:v>228.6207245319118</c:v>
                </c:pt>
                <c:pt idx="226">
                  <c:v>232.5758630663139</c:v>
                </c:pt>
                <c:pt idx="227">
                  <c:v>233.48290893227252</c:v>
                </c:pt>
                <c:pt idx="228">
                  <c:v>228.41632980844219</c:v>
                </c:pt>
                <c:pt idx="229">
                  <c:v>242.57814225656563</c:v>
                </c:pt>
                <c:pt idx="230">
                  <c:v>254.14911964220383</c:v>
                </c:pt>
                <c:pt idx="231">
                  <c:v>264.03552039628556</c:v>
                </c:pt>
                <c:pt idx="232">
                  <c:v>278.26703494564538</c:v>
                </c:pt>
                <c:pt idx="233">
                  <c:v>281.60623936499314</c:v>
                </c:pt>
                <c:pt idx="234">
                  <c:v>299.17846870136873</c:v>
                </c:pt>
                <c:pt idx="235">
                  <c:v>281.73636397607891</c:v>
                </c:pt>
                <c:pt idx="236">
                  <c:v>298.27428854147473</c:v>
                </c:pt>
                <c:pt idx="237">
                  <c:v>310.89129094677912</c:v>
                </c:pt>
                <c:pt idx="238">
                  <c:v>323.10931868098749</c:v>
                </c:pt>
                <c:pt idx="239">
                  <c:v>310.54036618429706</c:v>
                </c:pt>
                <c:pt idx="240">
                  <c:v>302.18683033393944</c:v>
                </c:pt>
                <c:pt idx="241">
                  <c:v>282.72599846043374</c:v>
                </c:pt>
                <c:pt idx="242">
                  <c:v>253.97276441700762</c:v>
                </c:pt>
                <c:pt idx="243">
                  <c:v>250.31555660940273</c:v>
                </c:pt>
                <c:pt idx="244">
                  <c:v>250.29052505374179</c:v>
                </c:pt>
                <c:pt idx="245">
                  <c:v>262.70493509640738</c:v>
                </c:pt>
                <c:pt idx="246">
                  <c:v>265.98874678511248</c:v>
                </c:pt>
                <c:pt idx="247">
                  <c:v>263.11606831983323</c:v>
                </c:pt>
                <c:pt idx="248">
                  <c:v>258.72202997889201</c:v>
                </c:pt>
                <c:pt idx="249">
                  <c:v>246.30337253990518</c:v>
                </c:pt>
                <c:pt idx="250">
                  <c:v>243.9142298262681</c:v>
                </c:pt>
                <c:pt idx="251">
                  <c:v>256.81729258407768</c:v>
                </c:pt>
                <c:pt idx="252">
                  <c:v>267.44952849705851</c:v>
                </c:pt>
                <c:pt idx="253">
                  <c:v>262.79590670120967</c:v>
                </c:pt>
                <c:pt idx="254">
                  <c:v>261.37680880502313</c:v>
                </c:pt>
                <c:pt idx="255">
                  <c:v>267.83281598250721</c:v>
                </c:pt>
                <c:pt idx="256">
                  <c:v>262.55650950765181</c:v>
                </c:pt>
                <c:pt idx="257">
                  <c:v>270.43320479288138</c:v>
                </c:pt>
                <c:pt idx="258">
                  <c:v>259.80517984452115</c:v>
                </c:pt>
                <c:pt idx="259">
                  <c:v>248.42571296733112</c:v>
                </c:pt>
                <c:pt idx="260">
                  <c:v>268.47366800379473</c:v>
                </c:pt>
                <c:pt idx="261">
                  <c:v>278.27295688593324</c:v>
                </c:pt>
                <c:pt idx="262">
                  <c:v>298.58688273860633</c:v>
                </c:pt>
                <c:pt idx="263">
                  <c:v>298.28829585586772</c:v>
                </c:pt>
                <c:pt idx="264">
                  <c:v>283.10542159680409</c:v>
                </c:pt>
                <c:pt idx="265">
                  <c:v>283.81318515079607</c:v>
                </c:pt>
                <c:pt idx="266">
                  <c:v>275.38393355181739</c:v>
                </c:pt>
                <c:pt idx="267">
                  <c:v>291.79681599150575</c:v>
                </c:pt>
                <c:pt idx="268">
                  <c:v>264.65971210429575</c:v>
                </c:pt>
                <c:pt idx="269">
                  <c:v>273.28761871889577</c:v>
                </c:pt>
                <c:pt idx="270">
                  <c:v>273.91618024194923</c:v>
                </c:pt>
                <c:pt idx="271">
                  <c:v>265.89043616086013</c:v>
                </c:pt>
                <c:pt idx="272">
                  <c:v>276.63240978175889</c:v>
                </c:pt>
                <c:pt idx="273">
                  <c:v>271.45938371884</c:v>
                </c:pt>
                <c:pt idx="274">
                  <c:v>263.47847783750609</c:v>
                </c:pt>
                <c:pt idx="275">
                  <c:v>263.74195631534354</c:v>
                </c:pt>
                <c:pt idx="276">
                  <c:v>278.35326069521352</c:v>
                </c:pt>
                <c:pt idx="277">
                  <c:v>285.59044547328909</c:v>
                </c:pt>
                <c:pt idx="278">
                  <c:v>294.41519023841369</c:v>
                </c:pt>
                <c:pt idx="279">
                  <c:v>303.65982721189988</c:v>
                </c:pt>
                <c:pt idx="280">
                  <c:v>309.18643606715648</c:v>
                </c:pt>
                <c:pt idx="281">
                  <c:v>325.04770023740156</c:v>
                </c:pt>
                <c:pt idx="282">
                  <c:v>330.57351114143734</c:v>
                </c:pt>
                <c:pt idx="283">
                  <c:v>335.46599910633057</c:v>
                </c:pt>
                <c:pt idx="284">
                  <c:v>339.69287069507033</c:v>
                </c:pt>
                <c:pt idx="285">
                  <c:v>353.07676980045613</c:v>
                </c:pt>
                <c:pt idx="286">
                  <c:v>368.29437857885574</c:v>
                </c:pt>
                <c:pt idx="287">
                  <c:v>346.41769249127168</c:v>
                </c:pt>
                <c:pt idx="288">
                  <c:v>351.12897310915298</c:v>
                </c:pt>
                <c:pt idx="289">
                  <c:v>368.15872830494692</c:v>
                </c:pt>
                <c:pt idx="290">
                  <c:v>385.86716313641489</c:v>
                </c:pt>
                <c:pt idx="291">
                  <c:v>385.17260224276936</c:v>
                </c:pt>
                <c:pt idx="292">
                  <c:v>395.80336606466983</c:v>
                </c:pt>
                <c:pt idx="293">
                  <c:v>417.73087254465258</c:v>
                </c:pt>
                <c:pt idx="294">
                  <c:v>441.54153227969778</c:v>
                </c:pt>
                <c:pt idx="295">
                  <c:v>447.76726788484149</c:v>
                </c:pt>
                <c:pt idx="296">
                  <c:v>438.14027162531744</c:v>
                </c:pt>
                <c:pt idx="297">
                  <c:v>459.43388882630785</c:v>
                </c:pt>
                <c:pt idx="298">
                  <c:v>448.68313582777228</c:v>
                </c:pt>
                <c:pt idx="299">
                  <c:v>436.92763766908462</c:v>
                </c:pt>
                <c:pt idx="300">
                  <c:v>467.25041572331907</c:v>
                </c:pt>
                <c:pt idx="301">
                  <c:v>487.20200847470477</c:v>
                </c:pt>
                <c:pt idx="302">
                  <c:v>490.61242253402764</c:v>
                </c:pt>
                <c:pt idx="303">
                  <c:v>478.19992824391676</c:v>
                </c:pt>
                <c:pt idx="304">
                  <c:v>480.92566783490713</c:v>
                </c:pt>
                <c:pt idx="305">
                  <c:v>496.94049257380959</c:v>
                </c:pt>
                <c:pt idx="306">
                  <c:v>504.14612971612979</c:v>
                </c:pt>
                <c:pt idx="307">
                  <c:v>490.93750111756719</c:v>
                </c:pt>
                <c:pt idx="308">
                  <c:v>512.73512616718722</c:v>
                </c:pt>
                <c:pt idx="309">
                  <c:v>487.25219039667803</c:v>
                </c:pt>
                <c:pt idx="310">
                  <c:v>502.84426048937172</c:v>
                </c:pt>
                <c:pt idx="311">
                  <c:v>522.10319566611463</c:v>
                </c:pt>
                <c:pt idx="312">
                  <c:v>526.85433474667627</c:v>
                </c:pt>
                <c:pt idx="313">
                  <c:v>522.85024180260154</c:v>
                </c:pt>
                <c:pt idx="314">
                  <c:v>512.23638189400879</c:v>
                </c:pt>
                <c:pt idx="315">
                  <c:v>508.85562177350829</c:v>
                </c:pt>
                <c:pt idx="316">
                  <c:v>539.0816457068546</c:v>
                </c:pt>
                <c:pt idx="317">
                  <c:v>554.87673792606552</c:v>
                </c:pt>
                <c:pt idx="318">
                  <c:v>552.99015701711687</c:v>
                </c:pt>
                <c:pt idx="319">
                  <c:v>551.4970835931706</c:v>
                </c:pt>
                <c:pt idx="320">
                  <c:v>543.61067529778825</c:v>
                </c:pt>
                <c:pt idx="321">
                  <c:v>528.22649318686081</c:v>
                </c:pt>
                <c:pt idx="322">
                  <c:v>530.97327095143248</c:v>
                </c:pt>
                <c:pt idx="323">
                  <c:v>520.93787613045038</c:v>
                </c:pt>
                <c:pt idx="324">
                  <c:v>533.4403851575812</c:v>
                </c:pt>
                <c:pt idx="325">
                  <c:v>509.32887974845852</c:v>
                </c:pt>
                <c:pt idx="326">
                  <c:v>510.34753750795545</c:v>
                </c:pt>
                <c:pt idx="327">
                  <c:v>533.82352423332145</c:v>
                </c:pt>
                <c:pt idx="328">
                  <c:v>548.9307299691244</c:v>
                </c:pt>
                <c:pt idx="329">
                  <c:v>549.09540918811513</c:v>
                </c:pt>
                <c:pt idx="330">
                  <c:v>577.26400367946542</c:v>
                </c:pt>
                <c:pt idx="331">
                  <c:v>586.90431254091243</c:v>
                </c:pt>
                <c:pt idx="332">
                  <c:v>608.32631994865574</c:v>
                </c:pt>
                <c:pt idx="333">
                  <c:v>634.30185381046329</c:v>
                </c:pt>
                <c:pt idx="334">
                  <c:v>653.90178109320652</c:v>
                </c:pt>
                <c:pt idx="335">
                  <c:v>660.89853015090375</c:v>
                </c:pt>
                <c:pt idx="336">
                  <c:v>693.87736680543389</c:v>
                </c:pt>
                <c:pt idx="337">
                  <c:v>677.64063642218673</c:v>
                </c:pt>
                <c:pt idx="338">
                  <c:v>720.94187308956452</c:v>
                </c:pt>
                <c:pt idx="339">
                  <c:v>708.90214380896873</c:v>
                </c:pt>
                <c:pt idx="340">
                  <c:v>775.39716489825003</c:v>
                </c:pt>
                <c:pt idx="341">
                  <c:v>817.88892953467405</c:v>
                </c:pt>
                <c:pt idx="342">
                  <c:v>822.79626311188213</c:v>
                </c:pt>
                <c:pt idx="343">
                  <c:v>847.64471025786099</c:v>
                </c:pt>
                <c:pt idx="344">
                  <c:v>846.28847872144843</c:v>
                </c:pt>
                <c:pt idx="345">
                  <c:v>872.60805040968535</c:v>
                </c:pt>
                <c:pt idx="346">
                  <c:v>880.72330527849545</c:v>
                </c:pt>
                <c:pt idx="347">
                  <c:v>938.41068177423676</c:v>
                </c:pt>
                <c:pt idx="348">
                  <c:v>956.24048472794721</c:v>
                </c:pt>
                <c:pt idx="349">
                  <c:v>958.24858974587585</c:v>
                </c:pt>
                <c:pt idx="350">
                  <c:v>954.79889482279066</c:v>
                </c:pt>
                <c:pt idx="351">
                  <c:v>929.21028444153978</c:v>
                </c:pt>
                <c:pt idx="352">
                  <c:v>994.53376743778006</c:v>
                </c:pt>
                <c:pt idx="353">
                  <c:v>1009.3523205726029</c:v>
                </c:pt>
                <c:pt idx="354">
                  <c:v>978.76894525925309</c:v>
                </c:pt>
                <c:pt idx="355">
                  <c:v>1015.668534495527</c:v>
                </c:pt>
                <c:pt idx="356">
                  <c:v>1083.1089251860299</c:v>
                </c:pt>
                <c:pt idx="357">
                  <c:v>1086.1416301765507</c:v>
                </c:pt>
                <c:pt idx="358">
                  <c:v>1029.6622654073701</c:v>
                </c:pt>
                <c:pt idx="359">
                  <c:v>1065.4945122435465</c:v>
                </c:pt>
                <c:pt idx="360">
                  <c:v>1117.0644466361341</c:v>
                </c:pt>
                <c:pt idx="361">
                  <c:v>1081.5417972331049</c:v>
                </c:pt>
                <c:pt idx="362">
                  <c:v>1025.9505488553234</c:v>
                </c:pt>
                <c:pt idx="363">
                  <c:v>1031.2854917093712</c:v>
                </c:pt>
                <c:pt idx="364">
                  <c:v>1034.998119479525</c:v>
                </c:pt>
                <c:pt idx="365">
                  <c:v>1067.7040600550781</c:v>
                </c:pt>
                <c:pt idx="366">
                  <c:v>1029.4802547051063</c:v>
                </c:pt>
                <c:pt idx="367">
                  <c:v>1008.2729614581812</c:v>
                </c:pt>
                <c:pt idx="368">
                  <c:v>1029.7491755372405</c:v>
                </c:pt>
                <c:pt idx="369">
                  <c:v>1073.6164904151269</c:v>
                </c:pt>
                <c:pt idx="370">
                  <c:v>1110.6562593344488</c:v>
                </c:pt>
                <c:pt idx="371">
                  <c:v>1102.437403015374</c:v>
                </c:pt>
                <c:pt idx="372">
                  <c:v>1109.7134898752754</c:v>
                </c:pt>
                <c:pt idx="373">
                  <c:v>1053.0071305426488</c:v>
                </c:pt>
                <c:pt idx="374">
                  <c:v>990.03730413619849</c:v>
                </c:pt>
                <c:pt idx="375">
                  <c:v>947.26769259751472</c:v>
                </c:pt>
                <c:pt idx="376">
                  <c:v>969.05484952725749</c:v>
                </c:pt>
                <c:pt idx="377">
                  <c:v>931.16480491074174</c:v>
                </c:pt>
                <c:pt idx="378">
                  <c:v>974.55708481958231</c:v>
                </c:pt>
                <c:pt idx="379">
                  <c:v>959.74381713032471</c:v>
                </c:pt>
                <c:pt idx="380">
                  <c:v>991.12743995048629</c:v>
                </c:pt>
                <c:pt idx="381">
                  <c:v>1021.7532778449563</c:v>
                </c:pt>
                <c:pt idx="382">
                  <c:v>1045.3557785631747</c:v>
                </c:pt>
                <c:pt idx="383">
                  <c:v>1075.9847028750758</c:v>
                </c:pt>
                <c:pt idx="384">
                  <c:v>1123.2204313312916</c:v>
                </c:pt>
                <c:pt idx="385">
                  <c:v>1144.6739415697191</c:v>
                </c:pt>
                <c:pt idx="386">
                  <c:v>1198.0157472468679</c:v>
                </c:pt>
                <c:pt idx="387">
                  <c:v>1228.3255456522138</c:v>
                </c:pt>
                <c:pt idx="388">
                  <c:v>1265.2981445763455</c:v>
                </c:pt>
                <c:pt idx="389">
                  <c:v>1330.4609990220274</c:v>
                </c:pt>
                <c:pt idx="390">
                  <c:v>1339.907272115084</c:v>
                </c:pt>
                <c:pt idx="391">
                  <c:v>1352.6363912001773</c:v>
                </c:pt>
                <c:pt idx="392">
                  <c:v>1356.4237730955376</c:v>
                </c:pt>
                <c:pt idx="393">
                  <c:v>1406.0688831908342</c:v>
                </c:pt>
                <c:pt idx="394">
                  <c:v>1430.3938748700357</c:v>
                </c:pt>
                <c:pt idx="395">
                  <c:v>1426.8178901828608</c:v>
                </c:pt>
                <c:pt idx="396">
                  <c:v>1472.0480173016576</c:v>
                </c:pt>
                <c:pt idx="397">
                  <c:v>1451.5865498611645</c:v>
                </c:pt>
                <c:pt idx="398">
                  <c:v>1381.9103954678285</c:v>
                </c:pt>
                <c:pt idx="399">
                  <c:v>1399.5988485298167</c:v>
                </c:pt>
                <c:pt idx="400">
                  <c:v>1421.9924301062938</c:v>
                </c:pt>
                <c:pt idx="401">
                  <c:v>1456.8312446438979</c:v>
                </c:pt>
                <c:pt idx="402">
                  <c:v>1355.1444237677538</c:v>
                </c:pt>
                <c:pt idx="403">
                  <c:v>1370.9996135258366</c:v>
                </c:pt>
                <c:pt idx="404">
                  <c:v>1348.6523198253656</c:v>
                </c:pt>
                <c:pt idx="405">
                  <c:v>1325.5903651563517</c:v>
                </c:pt>
                <c:pt idx="406">
                  <c:v>1366.9487845492297</c:v>
                </c:pt>
                <c:pt idx="407">
                  <c:v>1395.3813192678535</c:v>
                </c:pt>
                <c:pt idx="408">
                  <c:v>1362.3107820012053</c:v>
                </c:pt>
                <c:pt idx="409">
                  <c:v>1403.3163365394416</c:v>
                </c:pt>
                <c:pt idx="410">
                  <c:v>1319.2576879807291</c:v>
                </c:pt>
                <c:pt idx="411">
                  <c:v>1309.890958396066</c:v>
                </c:pt>
                <c:pt idx="412">
                  <c:v>1371.3248443448415</c:v>
                </c:pt>
                <c:pt idx="413">
                  <c:v>1435.9142445134835</c:v>
                </c:pt>
                <c:pt idx="414">
                  <c:v>1524.9409276733195</c:v>
                </c:pt>
                <c:pt idx="415">
                  <c:v>1579.3813187912572</c:v>
                </c:pt>
                <c:pt idx="416">
                  <c:v>1625.0254389043243</c:v>
                </c:pt>
                <c:pt idx="417">
                  <c:v>1629.7380126771468</c:v>
                </c:pt>
                <c:pt idx="418">
                  <c:v>1668.8517249813983</c:v>
                </c:pt>
                <c:pt idx="419">
                  <c:v>1617.4510918519711</c:v>
                </c:pt>
                <c:pt idx="420">
                  <c:v>1663.2249577513819</c:v>
                </c:pt>
                <c:pt idx="421">
                  <c:v>1705.9698391655925</c:v>
                </c:pt>
                <c:pt idx="422">
                  <c:v>1669.2914876235322</c:v>
                </c:pt>
                <c:pt idx="423">
                  <c:v>1712.1922788554571</c:v>
                </c:pt>
                <c:pt idx="424">
                  <c:v>1788.3848352645248</c:v>
                </c:pt>
                <c:pt idx="425">
                  <c:v>1785.1657425610485</c:v>
                </c:pt>
                <c:pt idx="426">
                  <c:v>1716.079828323936</c:v>
                </c:pt>
                <c:pt idx="427">
                  <c:v>1747.1408732165992</c:v>
                </c:pt>
                <c:pt idx="428">
                  <c:v>1735.2603152787262</c:v>
                </c:pt>
                <c:pt idx="429">
                  <c:v>1620.9066605018581</c:v>
                </c:pt>
                <c:pt idx="430">
                  <c:v>1480.6982343684474</c:v>
                </c:pt>
                <c:pt idx="431">
                  <c:v>1355.2830939174398</c:v>
                </c:pt>
                <c:pt idx="432">
                  <c:v>1440.3948722154551</c:v>
                </c:pt>
                <c:pt idx="433">
                  <c:v>1471.0752829936444</c:v>
                </c:pt>
                <c:pt idx="434">
                  <c:v>1394.285153221376</c:v>
                </c:pt>
                <c:pt idx="435">
                  <c:v>1393.5880106447655</c:v>
                </c:pt>
                <c:pt idx="436">
                  <c:v>1545.0710274018516</c:v>
                </c:pt>
                <c:pt idx="437">
                  <c:v>1560.6762447786102</c:v>
                </c:pt>
                <c:pt idx="438">
                  <c:v>1637.6175836461955</c:v>
                </c:pt>
                <c:pt idx="439">
                  <c:v>1598.6422851554159</c:v>
                </c:pt>
                <c:pt idx="440">
                  <c:v>1647.8804675382028</c:v>
                </c:pt>
                <c:pt idx="441">
                  <c:v>1722.1998766241757</c:v>
                </c:pt>
                <c:pt idx="442">
                  <c:v>1752.5105944527613</c:v>
                </c:pt>
                <c:pt idx="443">
                  <c:v>1717.4603825637062</c:v>
                </c:pt>
                <c:pt idx="444">
                  <c:v>1710.7622870717078</c:v>
                </c:pt>
                <c:pt idx="445">
                  <c:v>1797.4979350262433</c:v>
                </c:pt>
                <c:pt idx="446">
                  <c:v>1769.2772174463312</c:v>
                </c:pt>
                <c:pt idx="447">
                  <c:v>1814.0399310477235</c:v>
                </c:pt>
                <c:pt idx="448">
                  <c:v>1798.6205916338179</c:v>
                </c:pt>
                <c:pt idx="449">
                  <c:v>1831.5353484607167</c:v>
                </c:pt>
                <c:pt idx="450">
                  <c:v>1872.5617402662367</c:v>
                </c:pt>
                <c:pt idx="451">
                  <c:v>1901.3991910663369</c:v>
                </c:pt>
                <c:pt idx="452">
                  <c:v>1928.2089196603722</c:v>
                </c:pt>
                <c:pt idx="453">
                  <c:v>1930.1371285800324</c:v>
                </c:pt>
                <c:pt idx="454">
                  <c:v>1957.5450758058689</c:v>
                </c:pt>
                <c:pt idx="455">
                  <c:v>1982.4058982686033</c:v>
                </c:pt>
                <c:pt idx="456">
                  <c:v>2016.8997608984771</c:v>
                </c:pt>
                <c:pt idx="457">
                  <c:v>1987.856404341539</c:v>
                </c:pt>
                <c:pt idx="458">
                  <c:v>2041.3297416183264</c:v>
                </c:pt>
                <c:pt idx="459">
                  <c:v>2053.3735870938744</c:v>
                </c:pt>
                <c:pt idx="460">
                  <c:v>2053.3735870938744</c:v>
                </c:pt>
                <c:pt idx="461">
                  <c:v>2053.9895991700027</c:v>
                </c:pt>
                <c:pt idx="462">
                  <c:v>2126.700830980621</c:v>
                </c:pt>
                <c:pt idx="463">
                  <c:v>2136.0583146369358</c:v>
                </c:pt>
                <c:pt idx="464">
                  <c:v>2107.4351332208012</c:v>
                </c:pt>
                <c:pt idx="465">
                  <c:v>2172.9763658639677</c:v>
                </c:pt>
                <c:pt idx="466">
                  <c:v>2156.2444478468151</c:v>
                </c:pt>
                <c:pt idx="467">
                  <c:v>2037.4353787704556</c:v>
                </c:pt>
                <c:pt idx="468">
                  <c:v>2066.5707046868729</c:v>
                </c:pt>
                <c:pt idx="469">
                  <c:v>2122.9880849248248</c:v>
                </c:pt>
                <c:pt idx="470">
                  <c:v>2183.7055441536745</c:v>
                </c:pt>
                <c:pt idx="471">
                  <c:v>2240.4818883016701</c:v>
                </c:pt>
                <c:pt idx="472">
                  <c:v>2239.8097437351798</c:v>
                </c:pt>
                <c:pt idx="473">
                  <c:v>2262.4318221469052</c:v>
                </c:pt>
                <c:pt idx="474">
                  <c:v>2278.721331266363</c:v>
                </c:pt>
                <c:pt idx="475">
                  <c:v>2251.1488031580402</c:v>
                </c:pt>
                <c:pt idx="476">
                  <c:v>2194.6449681987733</c:v>
                </c:pt>
                <c:pt idx="477">
                  <c:v>2241.6103705182272</c:v>
                </c:pt>
                <c:pt idx="478">
                  <c:v>2114.7352235468957</c:v>
                </c:pt>
                <c:pt idx="479">
                  <c:v>2084.2830363278204</c:v>
                </c:pt>
                <c:pt idx="480">
                  <c:v>2050.3092228356768</c:v>
                </c:pt>
                <c:pt idx="481">
                  <c:v>1888.1297633093748</c:v>
                </c:pt>
                <c:pt idx="482">
                  <c:v>1868.1155878182954</c:v>
                </c:pt>
                <c:pt idx="483">
                  <c:v>1940.2248495080814</c:v>
                </c:pt>
                <c:pt idx="484">
                  <c:v>1967.3879974011945</c:v>
                </c:pt>
                <c:pt idx="485">
                  <c:v>1969.9456017978162</c:v>
                </c:pt>
                <c:pt idx="486">
                  <c:v>2130.496168344338</c:v>
                </c:pt>
                <c:pt idx="487">
                  <c:v>2147.1140384574237</c:v>
                </c:pt>
                <c:pt idx="488">
                  <c:v>2232.783888591875</c:v>
                </c:pt>
                <c:pt idx="489">
                  <c:v>2319.6391818580987</c:v>
                </c:pt>
                <c:pt idx="490">
                  <c:v>2219.1988052836432</c:v>
                </c:pt>
                <c:pt idx="491">
                  <c:v>2272.681496490979</c:v>
                </c:pt>
                <c:pt idx="492">
                  <c:v>2376.7703090302662</c:v>
                </c:pt>
                <c:pt idx="493">
                  <c:v>2355.6170532798969</c:v>
                </c:pt>
                <c:pt idx="494">
                  <c:v>2428.8767436369017</c:v>
                </c:pt>
                <c:pt idx="495">
                  <c:v>2353.8244522585214</c:v>
                </c:pt>
                <c:pt idx="496">
                  <c:v>2362.5336027318781</c:v>
                </c:pt>
                <c:pt idx="497">
                  <c:v>2434.5908776152005</c:v>
                </c:pt>
                <c:pt idx="498">
                  <c:v>2335.7464879840236</c:v>
                </c:pt>
                <c:pt idx="499">
                  <c:v>2248.1559946846228</c:v>
                </c:pt>
                <c:pt idx="500">
                  <c:v>2252.6523066739919</c:v>
                </c:pt>
                <c:pt idx="501">
                  <c:v>2456.5173404279881</c:v>
                </c:pt>
                <c:pt idx="502">
                  <c:v>2512.5259357897462</c:v>
                </c:pt>
                <c:pt idx="503">
                  <c:v>2529.8623647466952</c:v>
                </c:pt>
                <c:pt idx="504">
                  <c:v>2461.0501084255852</c:v>
                </c:pt>
                <c:pt idx="505">
                  <c:v>2494.0281798784881</c:v>
                </c:pt>
                <c:pt idx="506">
                  <c:v>2594.537515527591</c:v>
                </c:pt>
                <c:pt idx="507">
                  <c:v>2605.4345730928067</c:v>
                </c:pt>
                <c:pt idx="508">
                  <c:v>2746.909670411746</c:v>
                </c:pt>
                <c:pt idx="509">
                  <c:v>2638.6814293975231</c:v>
                </c:pt>
                <c:pt idx="510">
                  <c:v>2605.6979115300542</c:v>
                </c:pt>
                <c:pt idx="511">
                  <c:v>2453.5251534966992</c:v>
                </c:pt>
                <c:pt idx="512">
                  <c:v>2518.298217549012</c:v>
                </c:pt>
                <c:pt idx="513">
                  <c:v>2555.0653715252274</c:v>
                </c:pt>
                <c:pt idx="514">
                  <c:v>2552.510306153702</c:v>
                </c:pt>
                <c:pt idx="515">
                  <c:v>2369.2400661718661</c:v>
                </c:pt>
                <c:pt idx="516">
                  <c:v>2203.3932615398357</c:v>
                </c:pt>
                <c:pt idx="517">
                  <c:v>2306.5120661799001</c:v>
                </c:pt>
                <c:pt idx="518">
                  <c:v>2237.7780066077389</c:v>
                </c:pt>
                <c:pt idx="519">
                  <c:v>2351.0095737420907</c:v>
                </c:pt>
                <c:pt idx="520">
                  <c:v>2261.9063108972655</c:v>
                </c:pt>
                <c:pt idx="521">
                  <c:v>2202.4181749206673</c:v>
                </c:pt>
                <c:pt idx="522">
                  <c:v>2024.0223027520933</c:v>
                </c:pt>
                <c:pt idx="523">
                  <c:v>2127.8546468832756</c:v>
                </c:pt>
                <c:pt idx="524">
                  <c:v>2105.2993876263126</c:v>
                </c:pt>
                <c:pt idx="525">
                  <c:v>1873.7164549874183</c:v>
                </c:pt>
                <c:pt idx="526">
                  <c:v>1744.0552763022888</c:v>
                </c:pt>
                <c:pt idx="527">
                  <c:v>1643.0744758043863</c:v>
                </c:pt>
                <c:pt idx="528">
                  <c:v>1756.9395369776303</c:v>
                </c:pt>
                <c:pt idx="529">
                  <c:v>1835.8261221879259</c:v>
                </c:pt>
                <c:pt idx="530">
                  <c:v>1912.5636540953813</c:v>
                </c:pt>
                <c:pt idx="531">
                  <c:v>1868.9572027820066</c:v>
                </c:pt>
                <c:pt idx="532">
                  <c:v>1954.7423383897008</c:v>
                </c:pt>
                <c:pt idx="533">
                  <c:v>2066.5536001455916</c:v>
                </c:pt>
                <c:pt idx="534">
                  <c:v>2166.5747943926381</c:v>
                </c:pt>
                <c:pt idx="535">
                  <c:v>2197.1234989935742</c:v>
                </c:pt>
                <c:pt idx="536">
                  <c:v>2287.8646995020085</c:v>
                </c:pt>
                <c:pt idx="537">
                  <c:v>2359.9324375363221</c:v>
                </c:pt>
                <c:pt idx="538">
                  <c:v>2266.0071265223764</c:v>
                </c:pt>
                <c:pt idx="539">
                  <c:v>2263.7411193958542</c:v>
                </c:pt>
                <c:pt idx="540">
                  <c:v>2161.8727690230407</c:v>
                </c:pt>
                <c:pt idx="541">
                  <c:v>2243.8077469690143</c:v>
                </c:pt>
                <c:pt idx="542">
                  <c:v>2224.7353811197777</c:v>
                </c:pt>
                <c:pt idx="543">
                  <c:v>2126.4020772742833</c:v>
                </c:pt>
                <c:pt idx="544">
                  <c:v>2116.6206277188217</c:v>
                </c:pt>
                <c:pt idx="545">
                  <c:v>2300.9782843931307</c:v>
                </c:pt>
                <c:pt idx="546">
                  <c:v>2358.2726436745193</c:v>
                </c:pt>
                <c:pt idx="547">
                  <c:v>2425.955068547978</c:v>
                </c:pt>
                <c:pt idx="548">
                  <c:v>2441.2385854798304</c:v>
                </c:pt>
                <c:pt idx="549">
                  <c:v>2448.3181773777214</c:v>
                </c:pt>
                <c:pt idx="550">
                  <c:v>2478.9221545949426</c:v>
                </c:pt>
                <c:pt idx="551">
                  <c:v>2418.6843462382853</c:v>
                </c:pt>
                <c:pt idx="552">
                  <c:v>2399.3348714683789</c:v>
                </c:pt>
                <c:pt idx="553">
                  <c:v>2477.5531882782479</c:v>
                </c:pt>
                <c:pt idx="554">
                  <c:v>2449.3090819318759</c:v>
                </c:pt>
                <c:pt idx="555">
                  <c:v>2462.045489157922</c:v>
                </c:pt>
                <c:pt idx="556">
                  <c:v>2575.2995816591865</c:v>
                </c:pt>
                <c:pt idx="557">
                  <c:v>2591.2664390654736</c:v>
                </c:pt>
                <c:pt idx="558">
                  <c:v>2506.0137732202193</c:v>
                </c:pt>
                <c:pt idx="559">
                  <c:v>2384.4721052190384</c:v>
                </c:pt>
                <c:pt idx="560">
                  <c:v>2353.7124150617128</c:v>
                </c:pt>
                <c:pt idx="561">
                  <c:v>2220.0215498862076</c:v>
                </c:pt>
                <c:pt idx="562">
                  <c:v>2154.7529163195532</c:v>
                </c:pt>
                <c:pt idx="563">
                  <c:v>2121.1387708249681</c:v>
                </c:pt>
                <c:pt idx="564">
                  <c:v>2228.0441648745464</c:v>
                </c:pt>
                <c:pt idx="565">
                  <c:v>2142.4872689433637</c:v>
                </c:pt>
                <c:pt idx="566">
                  <c:v>2244.2554142181739</c:v>
                </c:pt>
                <c:pt idx="567">
                  <c:v>2224.9548176558974</c:v>
                </c:pt>
                <c:pt idx="568">
                  <c:v>1941.4955738865362</c:v>
                </c:pt>
                <c:pt idx="569">
                  <c:v>1952.7562482150781</c:v>
                </c:pt>
                <c:pt idx="570">
                  <c:v>1949.4365625931125</c:v>
                </c:pt>
                <c:pt idx="571">
                  <c:v>1940.0792670926655</c:v>
                </c:pt>
                <c:pt idx="572">
                  <c:v>1885.5630396873617</c:v>
                </c:pt>
                <c:pt idx="573">
                  <c:v>1785.8167548879003</c:v>
                </c:pt>
                <c:pt idx="574">
                  <c:v>1702.4191124346355</c:v>
                </c:pt>
                <c:pt idx="575">
                  <c:v>1654.2406515527352</c:v>
                </c:pt>
                <c:pt idx="576">
                  <c:v>1521.0742791027401</c:v>
                </c:pt>
                <c:pt idx="577">
                  <c:v>1378.8538340066339</c:v>
                </c:pt>
                <c:pt idx="578">
                  <c:v>1216.562737744053</c:v>
                </c:pt>
                <c:pt idx="579">
                  <c:v>1412.4293385208457</c:v>
                </c:pt>
                <c:pt idx="580">
                  <c:v>1348.7287753535554</c:v>
                </c:pt>
                <c:pt idx="581">
                  <c:v>1302.1976326038578</c:v>
                </c:pt>
                <c:pt idx="582">
                  <c:v>1480.0778292175448</c:v>
                </c:pt>
                <c:pt idx="583">
                  <c:v>1562.3701565220404</c:v>
                </c:pt>
                <c:pt idx="584">
                  <c:v>1603.9292026855267</c:v>
                </c:pt>
                <c:pt idx="585">
                  <c:v>1671.7754079591245</c:v>
                </c:pt>
                <c:pt idx="586">
                  <c:v>1758.5405516322032</c:v>
                </c:pt>
                <c:pt idx="587">
                  <c:v>1843.4780602760386</c:v>
                </c:pt>
                <c:pt idx="588">
                  <c:v>1721.9928561038478</c:v>
                </c:pt>
                <c:pt idx="589">
                  <c:v>1672.9160597048881</c:v>
                </c:pt>
                <c:pt idx="590">
                  <c:v>1601.6498355614599</c:v>
                </c:pt>
                <c:pt idx="591">
                  <c:v>1686.6974418297732</c:v>
                </c:pt>
                <c:pt idx="592">
                  <c:v>1731.3949240382622</c:v>
                </c:pt>
                <c:pt idx="593">
                  <c:v>1703.6926052536498</c:v>
                </c:pt>
                <c:pt idx="594">
                  <c:v>1910.8616260524936</c:v>
                </c:pt>
                <c:pt idx="595">
                  <c:v>1916.9763832558617</c:v>
                </c:pt>
                <c:pt idx="596">
                  <c:v>1961.6419329857235</c:v>
                </c:pt>
                <c:pt idx="597">
                  <c:v>1932.4134681842363</c:v>
                </c:pt>
                <c:pt idx="598">
                  <c:v>1906.5191277105675</c:v>
                </c:pt>
                <c:pt idx="599">
                  <c:v>1983.7331523828454</c:v>
                </c:pt>
                <c:pt idx="600">
                  <c:v>1962.5072076523488</c:v>
                </c:pt>
                <c:pt idx="601">
                  <c:v>1951.5171672894955</c:v>
                </c:pt>
                <c:pt idx="602">
                  <c:v>1991.718420935659</c:v>
                </c:pt>
                <c:pt idx="603">
                  <c:v>1943.518835149016</c:v>
                </c:pt>
                <c:pt idx="604">
                  <c:v>1950.5155029555526</c:v>
                </c:pt>
                <c:pt idx="605">
                  <c:v>2060.7196288725413</c:v>
                </c:pt>
                <c:pt idx="606">
                  <c:v>1977.2604839032035</c:v>
                </c:pt>
                <c:pt idx="607">
                  <c:v>1938.7039044670912</c:v>
                </c:pt>
                <c:pt idx="608">
                  <c:v>1912.1436609758919</c:v>
                </c:pt>
                <c:pt idx="609">
                  <c:v>1915.0118764673557</c:v>
                </c:pt>
                <c:pt idx="610">
                  <c:v>1887.0527030709325</c:v>
                </c:pt>
                <c:pt idx="611">
                  <c:v>1975.9328853855732</c:v>
                </c:pt>
                <c:pt idx="612">
                  <c:v>1942.539619622557</c:v>
                </c:pt>
                <c:pt idx="613">
                  <c:v>1908.5451762791622</c:v>
                </c:pt>
                <c:pt idx="614">
                  <c:v>1903.3921043032085</c:v>
                </c:pt>
                <c:pt idx="615">
                  <c:v>1820.0235301347282</c:v>
                </c:pt>
                <c:pt idx="616">
                  <c:v>1892.8244713401173</c:v>
                </c:pt>
                <c:pt idx="617">
                  <c:v>1897.9350974127353</c:v>
                </c:pt>
                <c:pt idx="618">
                  <c:v>1783.8691980582298</c:v>
                </c:pt>
                <c:pt idx="619">
                  <c:v>1759.2518031250261</c:v>
                </c:pt>
                <c:pt idx="620">
                  <c:v>1809.3904795140893</c:v>
                </c:pt>
                <c:pt idx="621">
                  <c:v>1951.9704492997994</c:v>
                </c:pt>
                <c:pt idx="622">
                  <c:v>1986.325129207476</c:v>
                </c:pt>
                <c:pt idx="623">
                  <c:v>1952.7562345238696</c:v>
                </c:pt>
                <c:pt idx="624">
                  <c:v>2052.5420781080393</c:v>
                </c:pt>
                <c:pt idx="625">
                  <c:v>2129.5124060370908</c:v>
                </c:pt>
                <c:pt idx="626">
                  <c:v>2099.0603786307606</c:v>
                </c:pt>
                <c:pt idx="627">
                  <c:v>1849.062287535837</c:v>
                </c:pt>
                <c:pt idx="628">
                  <c:v>1899.1718755280579</c:v>
                </c:pt>
                <c:pt idx="629">
                  <c:v>1915.8845880327046</c:v>
                </c:pt>
                <c:pt idx="630">
                  <c:v>1996.926506106488</c:v>
                </c:pt>
                <c:pt idx="631">
                  <c:v>1925.8359224890971</c:v>
                </c:pt>
                <c:pt idx="632">
                  <c:v>2035.2234028864777</c:v>
                </c:pt>
                <c:pt idx="633">
                  <c:v>2034.0022688447457</c:v>
                </c:pt>
                <c:pt idx="634">
                  <c:v>1989.0508187032767</c:v>
                </c:pt>
                <c:pt idx="635">
                  <c:v>2065.629275223353</c:v>
                </c:pt>
                <c:pt idx="636">
                  <c:v>2082.5674352801843</c:v>
                </c:pt>
                <c:pt idx="637">
                  <c:v>2197.7334144511783</c:v>
                </c:pt>
                <c:pt idx="638">
                  <c:v>2179.7120004526787</c:v>
                </c:pt>
                <c:pt idx="639">
                  <c:v>2003.1553284160118</c:v>
                </c:pt>
                <c:pt idx="640">
                  <c:v>2107.519721026486</c:v>
                </c:pt>
                <c:pt idx="641">
                  <c:v>2145.2443240328603</c:v>
                </c:pt>
                <c:pt idx="642">
                  <c:v>2263.4472862870707</c:v>
                </c:pt>
                <c:pt idx="643">
                  <c:v>2235.8332293943686</c:v>
                </c:pt>
                <c:pt idx="644">
                  <c:v>1947.410742802495</c:v>
                </c:pt>
                <c:pt idx="645">
                  <c:v>2024.722949291754</c:v>
                </c:pt>
                <c:pt idx="646">
                  <c:v>2131.2233764245002</c:v>
                </c:pt>
                <c:pt idx="647">
                  <c:v>2196.4388117430899</c:v>
                </c:pt>
                <c:pt idx="648">
                  <c:v>2338.9876906252161</c:v>
                </c:pt>
                <c:pt idx="649">
                  <c:v>2381.0894690564701</c:v>
                </c:pt>
                <c:pt idx="650">
                  <c:v>2433.235328428807</c:v>
                </c:pt>
                <c:pt idx="651">
                  <c:v>2459.0276229101523</c:v>
                </c:pt>
                <c:pt idx="652">
                  <c:v>2694.848371947236</c:v>
                </c:pt>
                <c:pt idx="653">
                  <c:v>2573.0412255352207</c:v>
                </c:pt>
                <c:pt idx="654">
                  <c:v>2443.3599477682455</c:v>
                </c:pt>
                <c:pt idx="655">
                  <c:v>2457.042763475748</c:v>
                </c:pt>
                <c:pt idx="656">
                  <c:v>2544.5134858554848</c:v>
                </c:pt>
                <c:pt idx="657">
                  <c:v>2491.0787026525195</c:v>
                </c:pt>
                <c:pt idx="658">
                  <c:v>2493.8188892254375</c:v>
                </c:pt>
                <c:pt idx="659">
                  <c:v>2434.9647634397174</c:v>
                </c:pt>
                <c:pt idx="660">
                  <c:v>2397.4663060827461</c:v>
                </c:pt>
                <c:pt idx="661">
                  <c:v>2228.9244247651291</c:v>
                </c:pt>
                <c:pt idx="662">
                  <c:v>2069.1105435094692</c:v>
                </c:pt>
                <c:pt idx="663">
                  <c:v>2170.9107822501351</c:v>
                </c:pt>
                <c:pt idx="664">
                  <c:v>2243.8533845337397</c:v>
                </c:pt>
                <c:pt idx="665">
                  <c:v>2161.952735998258</c:v>
                </c:pt>
                <c:pt idx="666">
                  <c:v>2091.9054673519145</c:v>
                </c:pt>
                <c:pt idx="667">
                  <c:v>1969.3198069650923</c:v>
                </c:pt>
                <c:pt idx="668">
                  <c:v>1932.493526574845</c:v>
                </c:pt>
                <c:pt idx="669">
                  <c:v>1995.6860648938423</c:v>
                </c:pt>
                <c:pt idx="670">
                  <c:v>1916.0581909045779</c:v>
                </c:pt>
                <c:pt idx="671">
                  <c:v>1856.8519928056264</c:v>
                </c:pt>
                <c:pt idx="672">
                  <c:v>1797.6184142351269</c:v>
                </c:pt>
                <c:pt idx="673">
                  <c:v>1997.8731055809199</c:v>
                </c:pt>
                <c:pt idx="674">
                  <c:v>2023.6456686429135</c:v>
                </c:pt>
                <c:pt idx="675">
                  <c:v>2252.3176291995628</c:v>
                </c:pt>
                <c:pt idx="676">
                  <c:v>2357.5008624831821</c:v>
                </c:pt>
                <c:pt idx="677">
                  <c:v>2370.4671172268399</c:v>
                </c:pt>
                <c:pt idx="678">
                  <c:v>2455.8039334470063</c:v>
                </c:pt>
                <c:pt idx="679">
                  <c:v>2519.409255323284</c:v>
                </c:pt>
                <c:pt idx="680">
                  <c:v>2590.4565963234008</c:v>
                </c:pt>
                <c:pt idx="681">
                  <c:v>2763.2400512981717</c:v>
                </c:pt>
                <c:pt idx="682">
                  <c:v>2777.6088995649225</c:v>
                </c:pt>
                <c:pt idx="683">
                  <c:v>2862.8814927815656</c:v>
                </c:pt>
                <c:pt idx="684">
                  <c:v>2746.3622160253558</c:v>
                </c:pt>
                <c:pt idx="685">
                  <c:v>2732.6304049452292</c:v>
                </c:pt>
                <c:pt idx="686">
                  <c:v>2757.7706046707258</c:v>
                </c:pt>
                <c:pt idx="687">
                  <c:v>2662.9032958700527</c:v>
                </c:pt>
                <c:pt idx="688">
                  <c:v>2720.4220070608462</c:v>
                </c:pt>
                <c:pt idx="689">
                  <c:v>2671.9984953351632</c:v>
                </c:pt>
                <c:pt idx="690">
                  <c:v>2620.696124224728</c:v>
                </c:pt>
                <c:pt idx="691">
                  <c:v>2494.3785710370962</c:v>
                </c:pt>
                <c:pt idx="692">
                  <c:v>2510.0931560346298</c:v>
                </c:pt>
                <c:pt idx="693">
                  <c:v>2497.0406716232496</c:v>
                </c:pt>
                <c:pt idx="694">
                  <c:v>2347.9673435273417</c:v>
                </c:pt>
                <c:pt idx="695">
                  <c:v>2390.7003491795394</c:v>
                </c:pt>
                <c:pt idx="696">
                  <c:v>2325.1951596120202</c:v>
                </c:pt>
                <c:pt idx="697">
                  <c:v>2564.2252220201358</c:v>
                </c:pt>
                <c:pt idx="698">
                  <c:v>2543.7114202439748</c:v>
                </c:pt>
                <c:pt idx="699">
                  <c:v>2522.3442443139256</c:v>
                </c:pt>
                <c:pt idx="700">
                  <c:v>2477.9509856140007</c:v>
                </c:pt>
                <c:pt idx="701">
                  <c:v>2523.5452837492981</c:v>
                </c:pt>
                <c:pt idx="702">
                  <c:v>2725.176551920867</c:v>
                </c:pt>
                <c:pt idx="703">
                  <c:v>2758.4237058543017</c:v>
                </c:pt>
                <c:pt idx="704">
                  <c:v>2735.2529467251256</c:v>
                </c:pt>
                <c:pt idx="705">
                  <c:v>2708.9945184365642</c:v>
                </c:pt>
                <c:pt idx="706">
                  <c:v>2846.8823394249853</c:v>
                </c:pt>
                <c:pt idx="707">
                  <c:v>2883.0377451356826</c:v>
                </c:pt>
                <c:pt idx="708">
                  <c:v>2861.7032658216785</c:v>
                </c:pt>
                <c:pt idx="709">
                  <c:v>2832.5138925102974</c:v>
                </c:pt>
                <c:pt idx="710">
                  <c:v>2703.9177617903301</c:v>
                </c:pt>
                <c:pt idx="711">
                  <c:v>2812.6152558143012</c:v>
                </c:pt>
                <c:pt idx="712">
                  <c:v>2994.872724391068</c:v>
                </c:pt>
                <c:pt idx="713">
                  <c:v>3111.0737860974414</c:v>
                </c:pt>
                <c:pt idx="714">
                  <c:v>3131.2957657070747</c:v>
                </c:pt>
                <c:pt idx="715">
                  <c:v>3354.557153801989</c:v>
                </c:pt>
                <c:pt idx="716">
                  <c:v>3518.2595429075259</c:v>
                </c:pt>
                <c:pt idx="717">
                  <c:v>3472.1703428954374</c:v>
                </c:pt>
                <c:pt idx="718">
                  <c:v>3632.5846127372065</c:v>
                </c:pt>
                <c:pt idx="719">
                  <c:v>3670.0002342483995</c:v>
                </c:pt>
                <c:pt idx="720">
                  <c:v>3433.2852191393777</c:v>
                </c:pt>
                <c:pt idx="721">
                  <c:v>3641.6856319411377</c:v>
                </c:pt>
                <c:pt idx="722">
                  <c:v>3328.5006675942</c:v>
                </c:pt>
                <c:pt idx="723">
                  <c:v>3483.6087987040896</c:v>
                </c:pt>
                <c:pt idx="724">
                  <c:v>3524.3670216489277</c:v>
                </c:pt>
                <c:pt idx="725">
                  <c:v>3409.120220041008</c:v>
                </c:pt>
                <c:pt idx="726">
                  <c:v>3834.2375114801216</c:v>
                </c:pt>
                <c:pt idx="727">
                  <c:v>4002.5605382340991</c:v>
                </c:pt>
                <c:pt idx="728">
                  <c:v>4068.2025310611384</c:v>
                </c:pt>
                <c:pt idx="729">
                  <c:v>3982.3634576557483</c:v>
                </c:pt>
                <c:pt idx="730">
                  <c:v>3986.7440574591701</c:v>
                </c:pt>
                <c:pt idx="731">
                  <c:v>4143.8217733230622</c:v>
                </c:pt>
                <c:pt idx="732">
                  <c:v>4303.3589115960003</c:v>
                </c:pt>
                <c:pt idx="733">
                  <c:v>4454.8371452841802</c:v>
                </c:pt>
                <c:pt idx="734">
                  <c:v>4339.4568632213195</c:v>
                </c:pt>
                <c:pt idx="735">
                  <c:v>3330.9670882086853</c:v>
                </c:pt>
                <c:pt idx="736">
                  <c:v>3072.1509454548705</c:v>
                </c:pt>
                <c:pt idx="737">
                  <c:v>3281.3644248403471</c:v>
                </c:pt>
                <c:pt idx="738">
                  <c:v>3419.5098671261258</c:v>
                </c:pt>
                <c:pt idx="739">
                  <c:v>3581.936585814617</c:v>
                </c:pt>
                <c:pt idx="740">
                  <c:v>3500.626625316625</c:v>
                </c:pt>
                <c:pt idx="741">
                  <c:v>3520.2301344183984</c:v>
                </c:pt>
                <c:pt idx="742">
                  <c:v>3510.021467028585</c:v>
                </c:pt>
                <c:pt idx="743">
                  <c:v>3678.1514952992543</c:v>
                </c:pt>
                <c:pt idx="744">
                  <c:v>3632.1746016080137</c:v>
                </c:pt>
                <c:pt idx="745">
                  <c:v>3511.9496222947882</c:v>
                </c:pt>
                <c:pt idx="746">
                  <c:v>3627.8439598305158</c:v>
                </c:pt>
                <c:pt idx="747">
                  <c:v>3669.564165368567</c:v>
                </c:pt>
                <c:pt idx="748">
                  <c:v>3585.5311459816267</c:v>
                </c:pt>
                <c:pt idx="749">
                  <c:v>3638.9555600567528</c:v>
                </c:pt>
                <c:pt idx="750">
                  <c:v>3860.9318492202146</c:v>
                </c:pt>
                <c:pt idx="751">
                  <c:v>3774.06088261276</c:v>
                </c:pt>
                <c:pt idx="752">
                  <c:v>3833.3136384697805</c:v>
                </c:pt>
                <c:pt idx="753">
                  <c:v>3999.2961190155215</c:v>
                </c:pt>
                <c:pt idx="754">
                  <c:v>4133.2725390025416</c:v>
                </c:pt>
                <c:pt idx="755">
                  <c:v>4077.4733597260074</c:v>
                </c:pt>
                <c:pt idx="756">
                  <c:v>4371.0514416262804</c:v>
                </c:pt>
                <c:pt idx="757">
                  <c:v>4433.9945823856988</c:v>
                </c:pt>
                <c:pt idx="758">
                  <c:v>4400.2962235595669</c:v>
                </c:pt>
                <c:pt idx="759">
                  <c:v>4238.8053521549309</c:v>
                </c:pt>
                <c:pt idx="760">
                  <c:v>4282.4650472821268</c:v>
                </c:pt>
                <c:pt idx="761">
                  <c:v>4332.1416418305998</c:v>
                </c:pt>
                <c:pt idx="762">
                  <c:v>3992.0685229468977</c:v>
                </c:pt>
                <c:pt idx="763">
                  <c:v>4036.3804835516089</c:v>
                </c:pt>
                <c:pt idx="764">
                  <c:v>4110.246246400603</c:v>
                </c:pt>
                <c:pt idx="765">
                  <c:v>3972.1419725215428</c:v>
                </c:pt>
                <c:pt idx="766">
                  <c:v>4306.596326607857</c:v>
                </c:pt>
                <c:pt idx="767">
                  <c:v>4259.6544266478313</c:v>
                </c:pt>
                <c:pt idx="768">
                  <c:v>4178.7209925415227</c:v>
                </c:pt>
                <c:pt idx="769">
                  <c:v>3754.580811798558</c:v>
                </c:pt>
                <c:pt idx="770">
                  <c:v>3524.8004661164859</c:v>
                </c:pt>
                <c:pt idx="771">
                  <c:v>3457.1242971670495</c:v>
                </c:pt>
                <c:pt idx="772">
                  <c:v>3676.6516900371566</c:v>
                </c:pt>
                <c:pt idx="773">
                  <c:v>3767.0973216120706</c:v>
                </c:pt>
                <c:pt idx="774">
                  <c:v>3943.7741859956764</c:v>
                </c:pt>
                <c:pt idx="775">
                  <c:v>4227.331549968766</c:v>
                </c:pt>
                <c:pt idx="776">
                  <c:v>4339.3558360429379</c:v>
                </c:pt>
                <c:pt idx="777">
                  <c:v>4327.2056397020178</c:v>
                </c:pt>
                <c:pt idx="778">
                  <c:v>4485.1486455511413</c:v>
                </c:pt>
                <c:pt idx="779">
                  <c:v>4263.5823024609153</c:v>
                </c:pt>
                <c:pt idx="780">
                  <c:v>4444.3581920852585</c:v>
                </c:pt>
                <c:pt idx="781">
                  <c:v>4547.4673021416365</c:v>
                </c:pt>
                <c:pt idx="782">
                  <c:v>4475.1625720375841</c:v>
                </c:pt>
                <c:pt idx="783">
                  <c:v>4532.8921692168688</c:v>
                </c:pt>
                <c:pt idx="784">
                  <c:v>4342.9639873266815</c:v>
                </c:pt>
                <c:pt idx="785">
                  <c:v>4813.7412835528939</c:v>
                </c:pt>
                <c:pt idx="786">
                  <c:v>4785.3402099799314</c:v>
                </c:pt>
                <c:pt idx="787">
                  <c:v>4837.5004182687126</c:v>
                </c:pt>
                <c:pt idx="788">
                  <c:v>4708.822907142765</c:v>
                </c:pt>
                <c:pt idx="789">
                  <c:v>4759.207312249192</c:v>
                </c:pt>
                <c:pt idx="790">
                  <c:v>4773.484934185939</c:v>
                </c:pt>
                <c:pt idx="791">
                  <c:v>4661.7853867259882</c:v>
                </c:pt>
                <c:pt idx="792">
                  <c:v>4837.5346958055579</c:v>
                </c:pt>
                <c:pt idx="793">
                  <c:v>4722.4013700453852</c:v>
                </c:pt>
                <c:pt idx="794">
                  <c:v>4778.5979463489257</c:v>
                </c:pt>
                <c:pt idx="795">
                  <c:v>4827.3396454016847</c:v>
                </c:pt>
                <c:pt idx="796">
                  <c:v>5026.708772756775</c:v>
                </c:pt>
                <c:pt idx="797">
                  <c:v>5103.6174169799542</c:v>
                </c:pt>
                <c:pt idx="798">
                  <c:v>5151.0810589578687</c:v>
                </c:pt>
                <c:pt idx="799">
                  <c:v>5157.262356228619</c:v>
                </c:pt>
                <c:pt idx="800">
                  <c:v>5275.8793904218765</c:v>
                </c:pt>
                <c:pt idx="801">
                  <c:v>5114.9650690140097</c:v>
                </c:pt>
                <c:pt idx="802">
                  <c:v>5262.7875595085143</c:v>
                </c:pt>
                <c:pt idx="803">
                  <c:v>5279.1022009429917</c:v>
                </c:pt>
                <c:pt idx="804">
                  <c:v>5261.1532534597854</c:v>
                </c:pt>
                <c:pt idx="805">
                  <c:v>5456.3420391631435</c:v>
                </c:pt>
                <c:pt idx="806">
                  <c:v>5449.7944287161481</c:v>
                </c:pt>
                <c:pt idx="807">
                  <c:v>5526.6365301610458</c:v>
                </c:pt>
                <c:pt idx="808">
                  <c:v>5422.1830997410016</c:v>
                </c:pt>
                <c:pt idx="809">
                  <c:v>5511.6491208867283</c:v>
                </c:pt>
                <c:pt idx="810">
                  <c:v>5669.8334506561769</c:v>
                </c:pt>
                <c:pt idx="811">
                  <c:v>5525.2526976644449</c:v>
                </c:pt>
                <c:pt idx="812">
                  <c:v>5261.1456187160848</c:v>
                </c:pt>
                <c:pt idx="813">
                  <c:v>5296.9214089233537</c:v>
                </c:pt>
                <c:pt idx="814">
                  <c:v>5327.6435530951094</c:v>
                </c:pt>
                <c:pt idx="815">
                  <c:v>5166.2159534363273</c:v>
                </c:pt>
                <c:pt idx="816">
                  <c:v>5311.9032433232314</c:v>
                </c:pt>
                <c:pt idx="817">
                  <c:v>5524.9105633804929</c:v>
                </c:pt>
                <c:pt idx="818">
                  <c:v>5397.2851293664035</c:v>
                </c:pt>
                <c:pt idx="819">
                  <c:v>5469.6087500999138</c:v>
                </c:pt>
                <c:pt idx="820">
                  <c:v>5248.6365565958777</c:v>
                </c:pt>
                <c:pt idx="821">
                  <c:v>5293.774830982602</c:v>
                </c:pt>
                <c:pt idx="822">
                  <c:v>5389.0627779402885</c:v>
                </c:pt>
                <c:pt idx="823">
                  <c:v>5584.6857567795205</c:v>
                </c:pt>
                <c:pt idx="824">
                  <c:v>5706.9903748529923</c:v>
                </c:pt>
                <c:pt idx="825">
                  <c:v>5827.4078717623897</c:v>
                </c:pt>
                <c:pt idx="826">
                  <c:v>5996.402700043499</c:v>
                </c:pt>
                <c:pt idx="827">
                  <c:v>6159.5048534846828</c:v>
                </c:pt>
                <c:pt idx="828">
                  <c:v>6388.638434034312</c:v>
                </c:pt>
                <c:pt idx="829">
                  <c:v>6423.7759454215011</c:v>
                </c:pt>
                <c:pt idx="830">
                  <c:v>6638.9724395931216</c:v>
                </c:pt>
                <c:pt idx="831">
                  <c:v>6538.0600585113061</c:v>
                </c:pt>
                <c:pt idx="832">
                  <c:v>6796.9672368283545</c:v>
                </c:pt>
                <c:pt idx="833">
                  <c:v>6866.9759993676862</c:v>
                </c:pt>
                <c:pt idx="834">
                  <c:v>7022.169656953396</c:v>
                </c:pt>
                <c:pt idx="835">
                  <c:v>7115.5645133908765</c:v>
                </c:pt>
                <c:pt idx="836">
                  <c:v>7167.508134338631</c:v>
                </c:pt>
                <c:pt idx="837">
                  <c:v>7315.1588019060064</c:v>
                </c:pt>
                <c:pt idx="838">
                  <c:v>7487.7965496309889</c:v>
                </c:pt>
                <c:pt idx="839">
                  <c:v>7402.4356689651959</c:v>
                </c:pt>
                <c:pt idx="840">
                  <c:v>6960.5102595279741</c:v>
                </c:pt>
                <c:pt idx="841">
                  <c:v>7153.3163937168993</c:v>
                </c:pt>
                <c:pt idx="842">
                  <c:v>7511.697545042116</c:v>
                </c:pt>
                <c:pt idx="843">
                  <c:v>7576.2981439294781</c:v>
                </c:pt>
                <c:pt idx="844">
                  <c:v>8049.8167779250707</c:v>
                </c:pt>
                <c:pt idx="845">
                  <c:v>7912.9698927003446</c:v>
                </c:pt>
                <c:pt idx="846">
                  <c:v>8307.035793356823</c:v>
                </c:pt>
                <c:pt idx="847">
                  <c:v>8266.3313179693741</c:v>
                </c:pt>
                <c:pt idx="848">
                  <c:v>7851.3614858073115</c:v>
                </c:pt>
                <c:pt idx="849">
                  <c:v>8168.5564898339271</c:v>
                </c:pt>
                <c:pt idx="850">
                  <c:v>8719.1171972487336</c:v>
                </c:pt>
                <c:pt idx="851">
                  <c:v>9076.6010023359304</c:v>
                </c:pt>
                <c:pt idx="852">
                  <c:v>9741.915855807154</c:v>
                </c:pt>
                <c:pt idx="853">
                  <c:v>9337.626347791158</c:v>
                </c:pt>
                <c:pt idx="854">
                  <c:v>9837.1893573979851</c:v>
                </c:pt>
                <c:pt idx="855">
                  <c:v>9463.376161816861</c:v>
                </c:pt>
                <c:pt idx="856">
                  <c:v>9745.3847714390031</c:v>
                </c:pt>
                <c:pt idx="857">
                  <c:v>9874.0238504219997</c:v>
                </c:pt>
                <c:pt idx="858">
                  <c:v>9888.8348861976338</c:v>
                </c:pt>
                <c:pt idx="859">
                  <c:v>10585.008862185947</c:v>
                </c:pt>
                <c:pt idx="860">
                  <c:v>11088.855284025998</c:v>
                </c:pt>
                <c:pt idx="861">
                  <c:v>11169.803927599389</c:v>
                </c:pt>
                <c:pt idx="862">
                  <c:v>10826.890947022088</c:v>
                </c:pt>
                <c:pt idx="863">
                  <c:v>11171.186079137391</c:v>
                </c:pt>
                <c:pt idx="864">
                  <c:v>10896.374901590612</c:v>
                </c:pt>
                <c:pt idx="865">
                  <c:v>9144.2378174148416</c:v>
                </c:pt>
                <c:pt idx="866">
                  <c:v>9706.6084431858562</c:v>
                </c:pt>
                <c:pt idx="867">
                  <c:v>10398.689625185007</c:v>
                </c:pt>
                <c:pt idx="868">
                  <c:v>11033.009692321291</c:v>
                </c:pt>
                <c:pt idx="869">
                  <c:v>11712.643089368285</c:v>
                </c:pt>
                <c:pt idx="870">
                  <c:v>12122.585597496174</c:v>
                </c:pt>
                <c:pt idx="871">
                  <c:v>11627.98410511833</c:v>
                </c:pt>
                <c:pt idx="872">
                  <c:v>12029.149556744913</c:v>
                </c:pt>
                <c:pt idx="873">
                  <c:v>12550.011732551966</c:v>
                </c:pt>
                <c:pt idx="874">
                  <c:v>12241.281443931188</c:v>
                </c:pt>
                <c:pt idx="875">
                  <c:v>12825.190568806707</c:v>
                </c:pt>
                <c:pt idx="876">
                  <c:v>12380.156456069115</c:v>
                </c:pt>
                <c:pt idx="877">
                  <c:v>12209.31029697536</c:v>
                </c:pt>
                <c:pt idx="878">
                  <c:v>11866.228677630352</c:v>
                </c:pt>
                <c:pt idx="879">
                  <c:v>12593.628495569092</c:v>
                </c:pt>
                <c:pt idx="880">
                  <c:v>13018.033775869771</c:v>
                </c:pt>
                <c:pt idx="881">
                  <c:v>14023.025983366917</c:v>
                </c:pt>
                <c:pt idx="882">
                  <c:v>13358.334551755324</c:v>
                </c:pt>
                <c:pt idx="883">
                  <c:v>13685.61374827333</c:v>
                </c:pt>
                <c:pt idx="884">
                  <c:v>14397.265663183543</c:v>
                </c:pt>
                <c:pt idx="885">
                  <c:v>13475.840660739796</c:v>
                </c:pt>
                <c:pt idx="886">
                  <c:v>12880.208503535096</c:v>
                </c:pt>
                <c:pt idx="887">
                  <c:v>13477.850178099125</c:v>
                </c:pt>
                <c:pt idx="888">
                  <c:v>13139.556138628837</c:v>
                </c:pt>
                <c:pt idx="889">
                  <c:v>14063.266935174444</c:v>
                </c:pt>
                <c:pt idx="890">
                  <c:v>13296.818887207437</c:v>
                </c:pt>
                <c:pt idx="891">
                  <c:v>12929.826685920512</c:v>
                </c:pt>
                <c:pt idx="892">
                  <c:v>11543.749265189834</c:v>
                </c:pt>
                <c:pt idx="893">
                  <c:v>11681.119881445593</c:v>
                </c:pt>
                <c:pt idx="894">
                  <c:v>12046.738933734838</c:v>
                </c:pt>
                <c:pt idx="895">
                  <c:v>10836.041670894487</c:v>
                </c:pt>
                <c:pt idx="896">
                  <c:v>10049.345045587546</c:v>
                </c:pt>
                <c:pt idx="897">
                  <c:v>10847.263042207196</c:v>
                </c:pt>
                <c:pt idx="898">
                  <c:v>10925.36333611109</c:v>
                </c:pt>
                <c:pt idx="899">
                  <c:v>10713.411287390534</c:v>
                </c:pt>
                <c:pt idx="900">
                  <c:v>10485.215626969117</c:v>
                </c:pt>
                <c:pt idx="901">
                  <c:v>9807.8706974669112</c:v>
                </c:pt>
                <c:pt idx="902">
                  <c:v>8900.6426579512208</c:v>
                </c:pt>
                <c:pt idx="903">
                  <c:v>9119.5984673368202</c:v>
                </c:pt>
                <c:pt idx="904">
                  <c:v>9807.2161917740159</c:v>
                </c:pt>
                <c:pt idx="905">
                  <c:v>9965.1123724615773</c:v>
                </c:pt>
                <c:pt idx="906">
                  <c:v>9821.6147542981307</c:v>
                </c:pt>
                <c:pt idx="907">
                  <c:v>9596.6997764247026</c:v>
                </c:pt>
                <c:pt idx="908">
                  <c:v>10003.59984694511</c:v>
                </c:pt>
                <c:pt idx="909">
                  <c:v>9483.4126549039629</c:v>
                </c:pt>
                <c:pt idx="910">
                  <c:v>9352.541560266287</c:v>
                </c:pt>
                <c:pt idx="911">
                  <c:v>8678.2233137710864</c:v>
                </c:pt>
                <c:pt idx="912">
                  <c:v>7968.3446467046115</c:v>
                </c:pt>
                <c:pt idx="913">
                  <c:v>8008.1863699381338</c:v>
                </c:pt>
                <c:pt idx="914">
                  <c:v>7179.3390806495363</c:v>
                </c:pt>
                <c:pt idx="915">
                  <c:v>7742.1992645724604</c:v>
                </c:pt>
                <c:pt idx="916">
                  <c:v>8203.6343407409804</c:v>
                </c:pt>
                <c:pt idx="917">
                  <c:v>7731.1050027143001</c:v>
                </c:pt>
                <c:pt idx="918">
                  <c:v>7532.4156041445431</c:v>
                </c:pt>
                <c:pt idx="919">
                  <c:v>7390.8061907866249</c:v>
                </c:pt>
                <c:pt idx="920">
                  <c:v>7471.3659782661989</c:v>
                </c:pt>
                <c:pt idx="921">
                  <c:v>8085.5122616796807</c:v>
                </c:pt>
                <c:pt idx="922">
                  <c:v>8574.6857535113013</c:v>
                </c:pt>
                <c:pt idx="923">
                  <c:v>8696.4462912111612</c:v>
                </c:pt>
                <c:pt idx="924">
                  <c:v>8900.8127790546241</c:v>
                </c:pt>
                <c:pt idx="925">
                  <c:v>9109.0917980845024</c:v>
                </c:pt>
                <c:pt idx="926">
                  <c:v>8996.1390597882546</c:v>
                </c:pt>
                <c:pt idx="927">
                  <c:v>9543.1043146233806</c:v>
                </c:pt>
                <c:pt idx="928">
                  <c:v>9671.936222870796</c:v>
                </c:pt>
                <c:pt idx="929">
                  <c:v>10086.862286831953</c:v>
                </c:pt>
                <c:pt idx="930">
                  <c:v>10303.72982599884</c:v>
                </c:pt>
                <c:pt idx="931">
                  <c:v>10447.982043562824</c:v>
                </c:pt>
                <c:pt idx="932">
                  <c:v>10310.068680587796</c:v>
                </c:pt>
                <c:pt idx="933">
                  <c:v>10121.39442373304</c:v>
                </c:pt>
                <c:pt idx="934">
                  <c:v>10239.814738490717</c:v>
                </c:pt>
                <c:pt idx="935">
                  <c:v>10430.275292626644</c:v>
                </c:pt>
                <c:pt idx="936">
                  <c:v>10006.806115746003</c:v>
                </c:pt>
                <c:pt idx="937">
                  <c:v>10014.8115606386</c:v>
                </c:pt>
                <c:pt idx="938">
                  <c:v>10175.048545608817</c:v>
                </c:pt>
                <c:pt idx="939">
                  <c:v>10320.551739811022</c:v>
                </c:pt>
                <c:pt idx="940">
                  <c:v>10789.104788798444</c:v>
                </c:pt>
                <c:pt idx="941">
                  <c:v>11159.171083054231</c:v>
                </c:pt>
                <c:pt idx="942">
                  <c:v>10851.177961161935</c:v>
                </c:pt>
                <c:pt idx="943">
                  <c:v>11056.265224627894</c:v>
                </c:pt>
                <c:pt idx="944">
                  <c:v>10838.456799702724</c:v>
                </c:pt>
                <c:pt idx="945">
                  <c:v>10555.573077230483</c:v>
                </c:pt>
                <c:pt idx="946">
                  <c:v>10940.851494549395</c:v>
                </c:pt>
                <c:pt idx="947">
                  <c:v>11003.214348068328</c:v>
                </c:pt>
                <c:pt idx="948">
                  <c:v>11434.540350512605</c:v>
                </c:pt>
                <c:pt idx="949">
                  <c:v>11295.038958236351</c:v>
                </c:pt>
                <c:pt idx="950">
                  <c:v>11350.384649131709</c:v>
                </c:pt>
                <c:pt idx="951">
                  <c:v>11121.106879219249</c:v>
                </c:pt>
                <c:pt idx="952">
                  <c:v>11522.578837559064</c:v>
                </c:pt>
                <c:pt idx="953">
                  <c:v>11493.772390465167</c:v>
                </c:pt>
                <c:pt idx="954">
                  <c:v>11843.183071135307</c:v>
                </c:pt>
                <c:pt idx="955">
                  <c:v>11807.6535219219</c:v>
                </c:pt>
                <c:pt idx="956">
                  <c:v>11980.045263341959</c:v>
                </c:pt>
                <c:pt idx="957">
                  <c:v>12067.499593764356</c:v>
                </c:pt>
                <c:pt idx="958">
                  <c:v>11636.689858266969</c:v>
                </c:pt>
                <c:pt idx="959">
                  <c:v>11595.961443763035</c:v>
                </c:pt>
                <c:pt idx="960">
                  <c:v>11505.512944501683</c:v>
                </c:pt>
                <c:pt idx="961">
                  <c:v>11739.074857275067</c:v>
                </c:pt>
                <c:pt idx="962">
                  <c:v>11955.073834648929</c:v>
                </c:pt>
                <c:pt idx="963">
                  <c:v>12341.222719508089</c:v>
                </c:pt>
                <c:pt idx="964">
                  <c:v>12552.257628011675</c:v>
                </c:pt>
                <c:pt idx="965">
                  <c:v>12661.462269375375</c:v>
                </c:pt>
                <c:pt idx="966">
                  <c:v>12838.72274114663</c:v>
                </c:pt>
                <c:pt idx="967">
                  <c:v>12587.083775420157</c:v>
                </c:pt>
                <c:pt idx="968">
                  <c:v>12672.675945093013</c:v>
                </c:pt>
                <c:pt idx="969">
                  <c:v>13114.952335576758</c:v>
                </c:pt>
                <c:pt idx="970">
                  <c:v>13539.876791249444</c:v>
                </c:pt>
                <c:pt idx="971">
                  <c:v>13274.495206140955</c:v>
                </c:pt>
                <c:pt idx="972">
                  <c:v>12779.356534951898</c:v>
                </c:pt>
                <c:pt idx="973">
                  <c:v>12896.926615073457</c:v>
                </c:pt>
                <c:pt idx="974">
                  <c:v>13312.207652078821</c:v>
                </c:pt>
                <c:pt idx="975">
                  <c:v>13551.827389816241</c:v>
                </c:pt>
                <c:pt idx="976">
                  <c:v>12897.274126888116</c:v>
                </c:pt>
                <c:pt idx="977">
                  <c:v>12785.06784198419</c:v>
                </c:pt>
                <c:pt idx="978">
                  <c:v>11971.937527233995</c:v>
                </c:pt>
                <c:pt idx="979">
                  <c:v>11602.004657642465</c:v>
                </c:pt>
                <c:pt idx="980">
                  <c:v>11494.106014326389</c:v>
                </c:pt>
                <c:pt idx="981">
                  <c:v>12022.834890985403</c:v>
                </c:pt>
                <c:pt idx="982">
                  <c:v>12246.459619957732</c:v>
                </c:pt>
                <c:pt idx="983">
                  <c:v>11212.858428033298</c:v>
                </c:pt>
                <c:pt idx="984">
                  <c:v>11126.519418137441</c:v>
                </c:pt>
                <c:pt idx="985">
                  <c:v>11296.755165234945</c:v>
                </c:pt>
                <c:pt idx="986">
                  <c:v>10252.934987967235</c:v>
                </c:pt>
                <c:pt idx="987">
                  <c:v>8486.3542895404807</c:v>
                </c:pt>
                <c:pt idx="988">
                  <c:v>7819.3268423825994</c:v>
                </c:pt>
                <c:pt idx="989">
                  <c:v>7955.383129440057</c:v>
                </c:pt>
                <c:pt idx="990">
                  <c:v>7309.4060193295245</c:v>
                </c:pt>
                <c:pt idx="991">
                  <c:v>6571.156011377243</c:v>
                </c:pt>
                <c:pt idx="992">
                  <c:v>7159.2744743955054</c:v>
                </c:pt>
                <c:pt idx="993">
                  <c:v>7888.8045433364077</c:v>
                </c:pt>
                <c:pt idx="994">
                  <c:v>8299.8112600442346</c:v>
                </c:pt>
                <c:pt idx="995">
                  <c:v>8335.5004484624242</c:v>
                </c:pt>
                <c:pt idx="996">
                  <c:v>8979.0010830837236</c:v>
                </c:pt>
                <c:pt idx="997">
                  <c:v>9278.0018191504132</c:v>
                </c:pt>
                <c:pt idx="998">
                  <c:v>9656.5442933717495</c:v>
                </c:pt>
                <c:pt idx="999">
                  <c:v>9406.4397961734212</c:v>
                </c:pt>
                <c:pt idx="1000">
                  <c:v>9929.4378488406637</c:v>
                </c:pt>
                <c:pt idx="1001">
                  <c:v>10202.497389683782</c:v>
                </c:pt>
                <c:pt idx="1002">
                  <c:v>9859.6934773904068</c:v>
                </c:pt>
                <c:pt idx="1003">
                  <c:v>10194.923055621681</c:v>
                </c:pt>
                <c:pt idx="1004">
                  <c:v>10838.222700431408</c:v>
                </c:pt>
                <c:pt idx="1005">
                  <c:v>11054.987154440036</c:v>
                </c:pt>
                <c:pt idx="1006">
                  <c:v>10182.748667954716</c:v>
                </c:pt>
                <c:pt idx="1007">
                  <c:v>9616.5878420164336</c:v>
                </c:pt>
                <c:pt idx="1008">
                  <c:v>10283.017379468172</c:v>
                </c:pt>
                <c:pt idx="1009">
                  <c:v>9792.5174504675415</c:v>
                </c:pt>
                <c:pt idx="1010">
                  <c:v>10726.723615242145</c:v>
                </c:pt>
                <c:pt idx="1011">
                  <c:v>11142.92049151354</c:v>
                </c:pt>
                <c:pt idx="1012">
                  <c:v>11209.778014462621</c:v>
                </c:pt>
                <c:pt idx="1013">
                  <c:v>11974.284875048972</c:v>
                </c:pt>
                <c:pt idx="1014">
                  <c:v>12212.573144062448</c:v>
                </c:pt>
                <c:pt idx="1015">
                  <c:v>12638.791946790227</c:v>
                </c:pt>
                <c:pt idx="1016">
                  <c:v>12695.666510550782</c:v>
                </c:pt>
                <c:pt idx="1017">
                  <c:v>13063.840839356753</c:v>
                </c:pt>
                <c:pt idx="1018">
                  <c:v>12897.930060696923</c:v>
                </c:pt>
                <c:pt idx="1019">
                  <c:v>12672.216284634727</c:v>
                </c:pt>
                <c:pt idx="1020">
                  <c:v>12373.151980317349</c:v>
                </c:pt>
                <c:pt idx="1021">
                  <c:v>11632.00017669634</c:v>
                </c:pt>
                <c:pt idx="1022">
                  <c:v>10749.131363285087</c:v>
                </c:pt>
                <c:pt idx="1023">
                  <c:v>11969.157773017943</c:v>
                </c:pt>
                <c:pt idx="1024">
                  <c:v>11935.644131253493</c:v>
                </c:pt>
                <c:pt idx="1025">
                  <c:v>12023.96789782477</c:v>
                </c:pt>
                <c:pt idx="1026">
                  <c:v>12631.178276664921</c:v>
                </c:pt>
                <c:pt idx="1027">
                  <c:v>13189.476356493511</c:v>
                </c:pt>
                <c:pt idx="1028">
                  <c:v>13599.669071180459</c:v>
                </c:pt>
                <c:pt idx="1029">
                  <c:v>13484.071884075425</c:v>
                </c:pt>
                <c:pt idx="1030">
                  <c:v>12649.407834451156</c:v>
                </c:pt>
                <c:pt idx="1031">
                  <c:v>13141.469799211305</c:v>
                </c:pt>
                <c:pt idx="1032">
                  <c:v>13245.287410625075</c:v>
                </c:pt>
                <c:pt idx="1033">
                  <c:v>13583.042239596016</c:v>
                </c:pt>
                <c:pt idx="1034">
                  <c:v>13953.859292736988</c:v>
                </c:pt>
                <c:pt idx="1035">
                  <c:v>13708.271369184818</c:v>
                </c:pt>
                <c:pt idx="1036">
                  <c:v>13815.195885864461</c:v>
                </c:pt>
                <c:pt idx="1037">
                  <c:v>13978.215197317662</c:v>
                </c:pt>
                <c:pt idx="1038">
                  <c:v>14756.801783808258</c:v>
                </c:pt>
                <c:pt idx="1039">
                  <c:v>14947.164526819382</c:v>
                </c:pt>
                <c:pt idx="1040">
                  <c:v>15549.535257250203</c:v>
                </c:pt>
                <c:pt idx="1041">
                  <c:v>15790.553053737583</c:v>
                </c:pt>
                <c:pt idx="1042">
                  <c:v>16232.688539242235</c:v>
                </c:pt>
                <c:pt idx="1043">
                  <c:v>16037.896276771329</c:v>
                </c:pt>
                <c:pt idx="1044">
                  <c:v>16944.037416408908</c:v>
                </c:pt>
                <c:pt idx="1045">
                  <c:v>16484.854002424225</c:v>
                </c:pt>
                <c:pt idx="1046">
                  <c:v>17106.332998315618</c:v>
                </c:pt>
                <c:pt idx="1047">
                  <c:v>17821.377717645213</c:v>
                </c:pt>
                <c:pt idx="1048">
                  <c:v>18377.404702435742</c:v>
                </c:pt>
                <c:pt idx="1049">
                  <c:v>18893.809774574187</c:v>
                </c:pt>
                <c:pt idx="1050">
                  <c:v>18266.535290058324</c:v>
                </c:pt>
                <c:pt idx="1051">
                  <c:v>19115.929181046035</c:v>
                </c:pt>
                <c:pt idx="1052">
                  <c:v>19198.127676524531</c:v>
                </c:pt>
                <c:pt idx="1053">
                  <c:v>19161.651233939134</c:v>
                </c:pt>
                <c:pt idx="1054">
                  <c:v>19556.381249358277</c:v>
                </c:pt>
                <c:pt idx="1055">
                  <c:v>20066.802799966528</c:v>
                </c:pt>
                <c:pt idx="1056">
                  <c:v>19657.440022847211</c:v>
                </c:pt>
                <c:pt idx="1057">
                  <c:v>20490.915479815932</c:v>
                </c:pt>
                <c:pt idx="1058">
                  <c:v>20087.244444863558</c:v>
                </c:pt>
                <c:pt idx="1059">
                  <c:v>20593.443004874116</c:v>
                </c:pt>
                <c:pt idx="1060">
                  <c:v>21118.575801498406</c:v>
                </c:pt>
                <c:pt idx="1061">
                  <c:v>21105.904656017505</c:v>
                </c:pt>
                <c:pt idx="1062">
                  <c:v>20449.51102121536</c:v>
                </c:pt>
                <c:pt idx="1063">
                  <c:v>21703.06604681586</c:v>
                </c:pt>
                <c:pt idx="1064">
                  <c:v>21459.991707091522</c:v>
                </c:pt>
                <c:pt idx="1065">
                  <c:v>21586.60565816336</c:v>
                </c:pt>
                <c:pt idx="1066">
                  <c:v>21880.183495114383</c:v>
                </c:pt>
                <c:pt idx="1067">
                  <c:v>21545.416687639132</c:v>
                </c:pt>
                <c:pt idx="1068">
                  <c:v>21877.216104628777</c:v>
                </c:pt>
                <c:pt idx="1069">
                  <c:v>20555.8322519092</c:v>
                </c:pt>
                <c:pt idx="1070">
                  <c:v>19922.712618550395</c:v>
                </c:pt>
                <c:pt idx="1071">
                  <c:v>21466.72284648805</c:v>
                </c:pt>
                <c:pt idx="1072">
                  <c:v>21586.936494428384</c:v>
                </c:pt>
                <c:pt idx="1073">
                  <c:v>21118.499972499289</c:v>
                </c:pt>
                <c:pt idx="1074">
                  <c:v>19899.962524086081</c:v>
                </c:pt>
                <c:pt idx="1075">
                  <c:v>19886.032550319218</c:v>
                </c:pt>
                <c:pt idx="1076">
                  <c:v>21270.100415821435</c:v>
                </c:pt>
                <c:pt idx="1077">
                  <c:v>21465.785339646995</c:v>
                </c:pt>
                <c:pt idx="1078">
                  <c:v>21847.876318692714</c:v>
                </c:pt>
                <c:pt idx="1079">
                  <c:v>21836.95238053337</c:v>
                </c:pt>
                <c:pt idx="1080">
                  <c:v>22699.511999564442</c:v>
                </c:pt>
                <c:pt idx="1081">
                  <c:v>22813.009559562262</c:v>
                </c:pt>
                <c:pt idx="1082">
                  <c:v>22870.042083461169</c:v>
                </c:pt>
                <c:pt idx="1083">
                  <c:v>22408.067233375252</c:v>
                </c:pt>
                <c:pt idx="1084">
                  <c:v>23497.099300917289</c:v>
                </c:pt>
                <c:pt idx="1085">
                  <c:v>23924.746508193984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264-49D3-A8BA-2107886A86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5995760"/>
        <c:axId val="535986904"/>
      </c:scatterChart>
      <c:valAx>
        <c:axId val="535995760"/>
        <c:scaling>
          <c:orientation val="minMax"/>
          <c:max val="42705"/>
          <c:min val="967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m/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5986904"/>
        <c:crosses val="autoZero"/>
        <c:crossBetween val="midCat"/>
        <c:majorUnit val="3650"/>
      </c:valAx>
      <c:valAx>
        <c:axId val="535986904"/>
        <c:scaling>
          <c:logBase val="10"/>
          <c:orientation val="minMax"/>
          <c:min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59957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800">
                <a:solidFill>
                  <a:sysClr val="windowText" lastClr="000000"/>
                </a:solidFill>
              </a:rPr>
              <a:t> Size Risk Factor: SMB</a:t>
            </a:r>
          </a:p>
          <a:p>
            <a:pPr>
              <a:defRPr sz="1800">
                <a:solidFill>
                  <a:sysClr val="windowText" lastClr="000000"/>
                </a:solidFill>
              </a:defRPr>
            </a:pPr>
            <a:r>
              <a:rPr lang="en-US" sz="1600">
                <a:solidFill>
                  <a:sysClr val="windowText" lastClr="000000"/>
                </a:solidFill>
              </a:rPr>
              <a:t>Long Small</a:t>
            </a:r>
            <a:r>
              <a:rPr lang="en-US" sz="1600" baseline="0">
                <a:solidFill>
                  <a:sysClr val="windowText" lastClr="000000"/>
                </a:solidFill>
              </a:rPr>
              <a:t> Cap &amp; Short Large Cap</a:t>
            </a:r>
            <a:r>
              <a:rPr lang="en-US" sz="1600">
                <a:solidFill>
                  <a:sysClr val="windowText" lastClr="000000"/>
                </a:solidFill>
              </a:rPr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4"/>
          <c:order val="0"/>
          <c:tx>
            <c:strRef>
              <c:f>Price!$F$1</c:f>
              <c:strCache>
                <c:ptCount val="1"/>
                <c:pt idx="0">
                  <c:v> SMB </c:v>
                </c:pt>
              </c:strCache>
            </c:strRef>
          </c:tx>
          <c:spPr>
            <a:ln w="3810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xVal>
            <c:numRef>
              <c:f>Price!$A$2:$A$1087</c:f>
              <c:numCache>
                <c:formatCode>mm/yy</c:formatCode>
                <c:ptCount val="1086"/>
                <c:pt idx="0">
                  <c:v>9679</c:v>
                </c:pt>
                <c:pt idx="1">
                  <c:v>9710</c:v>
                </c:pt>
                <c:pt idx="2">
                  <c:v>9741</c:v>
                </c:pt>
                <c:pt idx="3">
                  <c:v>9771</c:v>
                </c:pt>
                <c:pt idx="4">
                  <c:v>9802</c:v>
                </c:pt>
                <c:pt idx="5">
                  <c:v>9832</c:v>
                </c:pt>
                <c:pt idx="6">
                  <c:v>9863</c:v>
                </c:pt>
                <c:pt idx="7">
                  <c:v>9894</c:v>
                </c:pt>
                <c:pt idx="8">
                  <c:v>9922</c:v>
                </c:pt>
                <c:pt idx="9">
                  <c:v>9953</c:v>
                </c:pt>
                <c:pt idx="10">
                  <c:v>9983</c:v>
                </c:pt>
                <c:pt idx="11">
                  <c:v>10014</c:v>
                </c:pt>
                <c:pt idx="12">
                  <c:v>10044</c:v>
                </c:pt>
                <c:pt idx="13">
                  <c:v>10075</c:v>
                </c:pt>
                <c:pt idx="14">
                  <c:v>10106</c:v>
                </c:pt>
                <c:pt idx="15">
                  <c:v>10136</c:v>
                </c:pt>
                <c:pt idx="16">
                  <c:v>10167</c:v>
                </c:pt>
                <c:pt idx="17">
                  <c:v>10197</c:v>
                </c:pt>
                <c:pt idx="18">
                  <c:v>10228</c:v>
                </c:pt>
                <c:pt idx="19">
                  <c:v>10259</c:v>
                </c:pt>
                <c:pt idx="20">
                  <c:v>10288</c:v>
                </c:pt>
                <c:pt idx="21">
                  <c:v>10319</c:v>
                </c:pt>
                <c:pt idx="22">
                  <c:v>10349</c:v>
                </c:pt>
                <c:pt idx="23">
                  <c:v>10380</c:v>
                </c:pt>
                <c:pt idx="24">
                  <c:v>10410</c:v>
                </c:pt>
                <c:pt idx="25">
                  <c:v>10441</c:v>
                </c:pt>
                <c:pt idx="26">
                  <c:v>10472</c:v>
                </c:pt>
                <c:pt idx="27">
                  <c:v>10502</c:v>
                </c:pt>
                <c:pt idx="28">
                  <c:v>10533</c:v>
                </c:pt>
                <c:pt idx="29">
                  <c:v>10563</c:v>
                </c:pt>
                <c:pt idx="30">
                  <c:v>10594</c:v>
                </c:pt>
                <c:pt idx="31">
                  <c:v>10625</c:v>
                </c:pt>
                <c:pt idx="32">
                  <c:v>10653</c:v>
                </c:pt>
                <c:pt idx="33">
                  <c:v>10684</c:v>
                </c:pt>
                <c:pt idx="34">
                  <c:v>10714</c:v>
                </c:pt>
                <c:pt idx="35">
                  <c:v>10745</c:v>
                </c:pt>
                <c:pt idx="36">
                  <c:v>10775</c:v>
                </c:pt>
                <c:pt idx="37">
                  <c:v>10806</c:v>
                </c:pt>
                <c:pt idx="38">
                  <c:v>10837</c:v>
                </c:pt>
                <c:pt idx="39">
                  <c:v>10867</c:v>
                </c:pt>
                <c:pt idx="40">
                  <c:v>10898</c:v>
                </c:pt>
                <c:pt idx="41">
                  <c:v>10928</c:v>
                </c:pt>
                <c:pt idx="42">
                  <c:v>10959</c:v>
                </c:pt>
                <c:pt idx="43">
                  <c:v>10990</c:v>
                </c:pt>
                <c:pt idx="44">
                  <c:v>11018</c:v>
                </c:pt>
                <c:pt idx="45">
                  <c:v>11049</c:v>
                </c:pt>
                <c:pt idx="46">
                  <c:v>11079</c:v>
                </c:pt>
                <c:pt idx="47">
                  <c:v>11110</c:v>
                </c:pt>
                <c:pt idx="48">
                  <c:v>11140</c:v>
                </c:pt>
                <c:pt idx="49">
                  <c:v>11171</c:v>
                </c:pt>
                <c:pt idx="50">
                  <c:v>11202</c:v>
                </c:pt>
                <c:pt idx="51">
                  <c:v>11232</c:v>
                </c:pt>
                <c:pt idx="52">
                  <c:v>11263</c:v>
                </c:pt>
                <c:pt idx="53">
                  <c:v>11293</c:v>
                </c:pt>
                <c:pt idx="54">
                  <c:v>11324</c:v>
                </c:pt>
                <c:pt idx="55">
                  <c:v>11355</c:v>
                </c:pt>
                <c:pt idx="56">
                  <c:v>11383</c:v>
                </c:pt>
                <c:pt idx="57">
                  <c:v>11414</c:v>
                </c:pt>
                <c:pt idx="58">
                  <c:v>11444</c:v>
                </c:pt>
                <c:pt idx="59">
                  <c:v>11475</c:v>
                </c:pt>
                <c:pt idx="60">
                  <c:v>11505</c:v>
                </c:pt>
                <c:pt idx="61">
                  <c:v>11536</c:v>
                </c:pt>
                <c:pt idx="62">
                  <c:v>11567</c:v>
                </c:pt>
                <c:pt idx="63">
                  <c:v>11597</c:v>
                </c:pt>
                <c:pt idx="64">
                  <c:v>11628</c:v>
                </c:pt>
                <c:pt idx="65">
                  <c:v>11658</c:v>
                </c:pt>
                <c:pt idx="66">
                  <c:v>11689</c:v>
                </c:pt>
                <c:pt idx="67">
                  <c:v>11720</c:v>
                </c:pt>
                <c:pt idx="68">
                  <c:v>11749</c:v>
                </c:pt>
                <c:pt idx="69">
                  <c:v>11780</c:v>
                </c:pt>
                <c:pt idx="70">
                  <c:v>11810</c:v>
                </c:pt>
                <c:pt idx="71">
                  <c:v>11841</c:v>
                </c:pt>
                <c:pt idx="72">
                  <c:v>11871</c:v>
                </c:pt>
                <c:pt idx="73">
                  <c:v>11902</c:v>
                </c:pt>
                <c:pt idx="74">
                  <c:v>11933</c:v>
                </c:pt>
                <c:pt idx="75">
                  <c:v>11963</c:v>
                </c:pt>
                <c:pt idx="76">
                  <c:v>11994</c:v>
                </c:pt>
                <c:pt idx="77">
                  <c:v>12024</c:v>
                </c:pt>
                <c:pt idx="78">
                  <c:v>12055</c:v>
                </c:pt>
                <c:pt idx="79">
                  <c:v>12086</c:v>
                </c:pt>
                <c:pt idx="80">
                  <c:v>12114</c:v>
                </c:pt>
                <c:pt idx="81">
                  <c:v>12145</c:v>
                </c:pt>
                <c:pt idx="82">
                  <c:v>12175</c:v>
                </c:pt>
                <c:pt idx="83">
                  <c:v>12206</c:v>
                </c:pt>
                <c:pt idx="84">
                  <c:v>12236</c:v>
                </c:pt>
                <c:pt idx="85">
                  <c:v>12267</c:v>
                </c:pt>
                <c:pt idx="86">
                  <c:v>12298</c:v>
                </c:pt>
                <c:pt idx="87">
                  <c:v>12328</c:v>
                </c:pt>
                <c:pt idx="88">
                  <c:v>12359</c:v>
                </c:pt>
                <c:pt idx="89">
                  <c:v>12389</c:v>
                </c:pt>
                <c:pt idx="90">
                  <c:v>12420</c:v>
                </c:pt>
                <c:pt idx="91">
                  <c:v>12451</c:v>
                </c:pt>
                <c:pt idx="92">
                  <c:v>12479</c:v>
                </c:pt>
                <c:pt idx="93">
                  <c:v>12510</c:v>
                </c:pt>
                <c:pt idx="94">
                  <c:v>12540</c:v>
                </c:pt>
                <c:pt idx="95">
                  <c:v>12571</c:v>
                </c:pt>
                <c:pt idx="96">
                  <c:v>12601</c:v>
                </c:pt>
                <c:pt idx="97">
                  <c:v>12632</c:v>
                </c:pt>
                <c:pt idx="98">
                  <c:v>12663</c:v>
                </c:pt>
                <c:pt idx="99">
                  <c:v>12693</c:v>
                </c:pt>
                <c:pt idx="100">
                  <c:v>12724</c:v>
                </c:pt>
                <c:pt idx="101">
                  <c:v>12754</c:v>
                </c:pt>
                <c:pt idx="102">
                  <c:v>12785</c:v>
                </c:pt>
                <c:pt idx="103">
                  <c:v>12816</c:v>
                </c:pt>
                <c:pt idx="104">
                  <c:v>12844</c:v>
                </c:pt>
                <c:pt idx="105">
                  <c:v>12875</c:v>
                </c:pt>
                <c:pt idx="106">
                  <c:v>12905</c:v>
                </c:pt>
                <c:pt idx="107">
                  <c:v>12936</c:v>
                </c:pt>
                <c:pt idx="108">
                  <c:v>12966</c:v>
                </c:pt>
                <c:pt idx="109">
                  <c:v>12997</c:v>
                </c:pt>
                <c:pt idx="110">
                  <c:v>13028</c:v>
                </c:pt>
                <c:pt idx="111">
                  <c:v>13058</c:v>
                </c:pt>
                <c:pt idx="112">
                  <c:v>13089</c:v>
                </c:pt>
                <c:pt idx="113">
                  <c:v>13119</c:v>
                </c:pt>
                <c:pt idx="114">
                  <c:v>13150</c:v>
                </c:pt>
                <c:pt idx="115">
                  <c:v>13181</c:v>
                </c:pt>
                <c:pt idx="116">
                  <c:v>13210</c:v>
                </c:pt>
                <c:pt idx="117">
                  <c:v>13241</c:v>
                </c:pt>
                <c:pt idx="118">
                  <c:v>13271</c:v>
                </c:pt>
                <c:pt idx="119">
                  <c:v>13302</c:v>
                </c:pt>
                <c:pt idx="120">
                  <c:v>13332</c:v>
                </c:pt>
                <c:pt idx="121">
                  <c:v>13363</c:v>
                </c:pt>
                <c:pt idx="122">
                  <c:v>13394</c:v>
                </c:pt>
                <c:pt idx="123">
                  <c:v>13424</c:v>
                </c:pt>
                <c:pt idx="124">
                  <c:v>13455</c:v>
                </c:pt>
                <c:pt idx="125">
                  <c:v>13485</c:v>
                </c:pt>
                <c:pt idx="126">
                  <c:v>13516</c:v>
                </c:pt>
                <c:pt idx="127">
                  <c:v>13547</c:v>
                </c:pt>
                <c:pt idx="128">
                  <c:v>13575</c:v>
                </c:pt>
                <c:pt idx="129">
                  <c:v>13606</c:v>
                </c:pt>
                <c:pt idx="130">
                  <c:v>13636</c:v>
                </c:pt>
                <c:pt idx="131">
                  <c:v>13667</c:v>
                </c:pt>
                <c:pt idx="132">
                  <c:v>13697</c:v>
                </c:pt>
                <c:pt idx="133">
                  <c:v>13728</c:v>
                </c:pt>
                <c:pt idx="134">
                  <c:v>13759</c:v>
                </c:pt>
                <c:pt idx="135">
                  <c:v>13789</c:v>
                </c:pt>
                <c:pt idx="136">
                  <c:v>13820</c:v>
                </c:pt>
                <c:pt idx="137">
                  <c:v>13850</c:v>
                </c:pt>
                <c:pt idx="138">
                  <c:v>13881</c:v>
                </c:pt>
                <c:pt idx="139">
                  <c:v>13912</c:v>
                </c:pt>
                <c:pt idx="140">
                  <c:v>13940</c:v>
                </c:pt>
                <c:pt idx="141">
                  <c:v>13971</c:v>
                </c:pt>
                <c:pt idx="142">
                  <c:v>14001</c:v>
                </c:pt>
                <c:pt idx="143">
                  <c:v>14032</c:v>
                </c:pt>
                <c:pt idx="144">
                  <c:v>14062</c:v>
                </c:pt>
                <c:pt idx="145">
                  <c:v>14093</c:v>
                </c:pt>
                <c:pt idx="146">
                  <c:v>14124</c:v>
                </c:pt>
                <c:pt idx="147">
                  <c:v>14154</c:v>
                </c:pt>
                <c:pt idx="148">
                  <c:v>14185</c:v>
                </c:pt>
                <c:pt idx="149">
                  <c:v>14215</c:v>
                </c:pt>
                <c:pt idx="150">
                  <c:v>14246</c:v>
                </c:pt>
                <c:pt idx="151">
                  <c:v>14277</c:v>
                </c:pt>
                <c:pt idx="152">
                  <c:v>14305</c:v>
                </c:pt>
                <c:pt idx="153">
                  <c:v>14336</c:v>
                </c:pt>
                <c:pt idx="154">
                  <c:v>14366</c:v>
                </c:pt>
                <c:pt idx="155">
                  <c:v>14397</c:v>
                </c:pt>
                <c:pt idx="156">
                  <c:v>14427</c:v>
                </c:pt>
                <c:pt idx="157">
                  <c:v>14458</c:v>
                </c:pt>
                <c:pt idx="158">
                  <c:v>14489</c:v>
                </c:pt>
                <c:pt idx="159">
                  <c:v>14519</c:v>
                </c:pt>
                <c:pt idx="160">
                  <c:v>14550</c:v>
                </c:pt>
                <c:pt idx="161">
                  <c:v>14580</c:v>
                </c:pt>
                <c:pt idx="162">
                  <c:v>14611</c:v>
                </c:pt>
                <c:pt idx="163">
                  <c:v>14642</c:v>
                </c:pt>
                <c:pt idx="164">
                  <c:v>14671</c:v>
                </c:pt>
                <c:pt idx="165">
                  <c:v>14702</c:v>
                </c:pt>
                <c:pt idx="166">
                  <c:v>14732</c:v>
                </c:pt>
                <c:pt idx="167">
                  <c:v>14763</c:v>
                </c:pt>
                <c:pt idx="168">
                  <c:v>14793</c:v>
                </c:pt>
                <c:pt idx="169">
                  <c:v>14824</c:v>
                </c:pt>
                <c:pt idx="170">
                  <c:v>14855</c:v>
                </c:pt>
                <c:pt idx="171">
                  <c:v>14885</c:v>
                </c:pt>
                <c:pt idx="172">
                  <c:v>14916</c:v>
                </c:pt>
                <c:pt idx="173">
                  <c:v>14946</c:v>
                </c:pt>
                <c:pt idx="174">
                  <c:v>14977</c:v>
                </c:pt>
                <c:pt idx="175">
                  <c:v>15008</c:v>
                </c:pt>
                <c:pt idx="176">
                  <c:v>15036</c:v>
                </c:pt>
                <c:pt idx="177">
                  <c:v>15067</c:v>
                </c:pt>
                <c:pt idx="178">
                  <c:v>15097</c:v>
                </c:pt>
                <c:pt idx="179">
                  <c:v>15128</c:v>
                </c:pt>
                <c:pt idx="180">
                  <c:v>15158</c:v>
                </c:pt>
                <c:pt idx="181">
                  <c:v>15189</c:v>
                </c:pt>
                <c:pt idx="182">
                  <c:v>15220</c:v>
                </c:pt>
                <c:pt idx="183">
                  <c:v>15250</c:v>
                </c:pt>
                <c:pt idx="184">
                  <c:v>15281</c:v>
                </c:pt>
                <c:pt idx="185">
                  <c:v>15311</c:v>
                </c:pt>
                <c:pt idx="186">
                  <c:v>15342</c:v>
                </c:pt>
                <c:pt idx="187">
                  <c:v>15373</c:v>
                </c:pt>
                <c:pt idx="188">
                  <c:v>15401</c:v>
                </c:pt>
                <c:pt idx="189">
                  <c:v>15432</c:v>
                </c:pt>
                <c:pt idx="190">
                  <c:v>15462</c:v>
                </c:pt>
                <c:pt idx="191">
                  <c:v>15493</c:v>
                </c:pt>
                <c:pt idx="192">
                  <c:v>15523</c:v>
                </c:pt>
                <c:pt idx="193">
                  <c:v>15554</c:v>
                </c:pt>
                <c:pt idx="194">
                  <c:v>15585</c:v>
                </c:pt>
                <c:pt idx="195">
                  <c:v>15615</c:v>
                </c:pt>
                <c:pt idx="196">
                  <c:v>15646</c:v>
                </c:pt>
                <c:pt idx="197">
                  <c:v>15676</c:v>
                </c:pt>
                <c:pt idx="198">
                  <c:v>15707</c:v>
                </c:pt>
                <c:pt idx="199">
                  <c:v>15738</c:v>
                </c:pt>
                <c:pt idx="200">
                  <c:v>15766</c:v>
                </c:pt>
                <c:pt idx="201">
                  <c:v>15797</c:v>
                </c:pt>
                <c:pt idx="202">
                  <c:v>15827</c:v>
                </c:pt>
                <c:pt idx="203">
                  <c:v>15858</c:v>
                </c:pt>
                <c:pt idx="204">
                  <c:v>15888</c:v>
                </c:pt>
                <c:pt idx="205">
                  <c:v>15919</c:v>
                </c:pt>
                <c:pt idx="206">
                  <c:v>15950</c:v>
                </c:pt>
                <c:pt idx="207">
                  <c:v>15980</c:v>
                </c:pt>
                <c:pt idx="208">
                  <c:v>16011</c:v>
                </c:pt>
                <c:pt idx="209">
                  <c:v>16041</c:v>
                </c:pt>
                <c:pt idx="210">
                  <c:v>16072</c:v>
                </c:pt>
                <c:pt idx="211">
                  <c:v>16103</c:v>
                </c:pt>
                <c:pt idx="212">
                  <c:v>16132</c:v>
                </c:pt>
                <c:pt idx="213">
                  <c:v>16163</c:v>
                </c:pt>
                <c:pt idx="214">
                  <c:v>16193</c:v>
                </c:pt>
                <c:pt idx="215">
                  <c:v>16224</c:v>
                </c:pt>
                <c:pt idx="216">
                  <c:v>16254</c:v>
                </c:pt>
                <c:pt idx="217">
                  <c:v>16285</c:v>
                </c:pt>
                <c:pt idx="218">
                  <c:v>16316</c:v>
                </c:pt>
                <c:pt idx="219">
                  <c:v>16346</c:v>
                </c:pt>
                <c:pt idx="220">
                  <c:v>16377</c:v>
                </c:pt>
                <c:pt idx="221">
                  <c:v>16407</c:v>
                </c:pt>
                <c:pt idx="222">
                  <c:v>16438</c:v>
                </c:pt>
                <c:pt idx="223">
                  <c:v>16469</c:v>
                </c:pt>
                <c:pt idx="224">
                  <c:v>16497</c:v>
                </c:pt>
                <c:pt idx="225">
                  <c:v>16528</c:v>
                </c:pt>
                <c:pt idx="226">
                  <c:v>16558</c:v>
                </c:pt>
                <c:pt idx="227">
                  <c:v>16589</c:v>
                </c:pt>
                <c:pt idx="228">
                  <c:v>16619</c:v>
                </c:pt>
                <c:pt idx="229">
                  <c:v>16650</c:v>
                </c:pt>
                <c:pt idx="230">
                  <c:v>16681</c:v>
                </c:pt>
                <c:pt idx="231">
                  <c:v>16711</c:v>
                </c:pt>
                <c:pt idx="232">
                  <c:v>16742</c:v>
                </c:pt>
                <c:pt idx="233">
                  <c:v>16772</c:v>
                </c:pt>
                <c:pt idx="234">
                  <c:v>16803</c:v>
                </c:pt>
                <c:pt idx="235">
                  <c:v>16834</c:v>
                </c:pt>
                <c:pt idx="236">
                  <c:v>16862</c:v>
                </c:pt>
                <c:pt idx="237">
                  <c:v>16893</c:v>
                </c:pt>
                <c:pt idx="238">
                  <c:v>16923</c:v>
                </c:pt>
                <c:pt idx="239">
                  <c:v>16954</c:v>
                </c:pt>
                <c:pt idx="240">
                  <c:v>16984</c:v>
                </c:pt>
                <c:pt idx="241">
                  <c:v>17015</c:v>
                </c:pt>
                <c:pt idx="242">
                  <c:v>17046</c:v>
                </c:pt>
                <c:pt idx="243">
                  <c:v>17076</c:v>
                </c:pt>
                <c:pt idx="244">
                  <c:v>17107</c:v>
                </c:pt>
                <c:pt idx="245">
                  <c:v>17137</c:v>
                </c:pt>
                <c:pt idx="246">
                  <c:v>17168</c:v>
                </c:pt>
                <c:pt idx="247">
                  <c:v>17199</c:v>
                </c:pt>
                <c:pt idx="248">
                  <c:v>17227</c:v>
                </c:pt>
                <c:pt idx="249">
                  <c:v>17258</c:v>
                </c:pt>
                <c:pt idx="250">
                  <c:v>17288</c:v>
                </c:pt>
                <c:pt idx="251">
                  <c:v>17319</c:v>
                </c:pt>
                <c:pt idx="252">
                  <c:v>17349</c:v>
                </c:pt>
                <c:pt idx="253">
                  <c:v>17380</c:v>
                </c:pt>
                <c:pt idx="254">
                  <c:v>17411</c:v>
                </c:pt>
                <c:pt idx="255">
                  <c:v>17441</c:v>
                </c:pt>
                <c:pt idx="256">
                  <c:v>17472</c:v>
                </c:pt>
                <c:pt idx="257">
                  <c:v>17502</c:v>
                </c:pt>
                <c:pt idx="258">
                  <c:v>17533</c:v>
                </c:pt>
                <c:pt idx="259">
                  <c:v>17564</c:v>
                </c:pt>
                <c:pt idx="260">
                  <c:v>17593</c:v>
                </c:pt>
                <c:pt idx="261">
                  <c:v>17624</c:v>
                </c:pt>
                <c:pt idx="262">
                  <c:v>17654</c:v>
                </c:pt>
                <c:pt idx="263">
                  <c:v>17685</c:v>
                </c:pt>
                <c:pt idx="264">
                  <c:v>17715</c:v>
                </c:pt>
                <c:pt idx="265">
                  <c:v>17746</c:v>
                </c:pt>
                <c:pt idx="266">
                  <c:v>17777</c:v>
                </c:pt>
                <c:pt idx="267">
                  <c:v>17807</c:v>
                </c:pt>
                <c:pt idx="268">
                  <c:v>17838</c:v>
                </c:pt>
                <c:pt idx="269">
                  <c:v>17868</c:v>
                </c:pt>
                <c:pt idx="270">
                  <c:v>17899</c:v>
                </c:pt>
                <c:pt idx="271">
                  <c:v>17930</c:v>
                </c:pt>
                <c:pt idx="272">
                  <c:v>17958</c:v>
                </c:pt>
                <c:pt idx="273">
                  <c:v>17989</c:v>
                </c:pt>
                <c:pt idx="274">
                  <c:v>18019</c:v>
                </c:pt>
                <c:pt idx="275">
                  <c:v>18050</c:v>
                </c:pt>
                <c:pt idx="276">
                  <c:v>18080</c:v>
                </c:pt>
                <c:pt idx="277">
                  <c:v>18111</c:v>
                </c:pt>
                <c:pt idx="278">
                  <c:v>18142</c:v>
                </c:pt>
                <c:pt idx="279">
                  <c:v>18172</c:v>
                </c:pt>
                <c:pt idx="280">
                  <c:v>18203</c:v>
                </c:pt>
                <c:pt idx="281">
                  <c:v>18233</c:v>
                </c:pt>
                <c:pt idx="282">
                  <c:v>18264</c:v>
                </c:pt>
                <c:pt idx="283">
                  <c:v>18295</c:v>
                </c:pt>
                <c:pt idx="284">
                  <c:v>18323</c:v>
                </c:pt>
                <c:pt idx="285">
                  <c:v>18354</c:v>
                </c:pt>
                <c:pt idx="286">
                  <c:v>18384</c:v>
                </c:pt>
                <c:pt idx="287">
                  <c:v>18415</c:v>
                </c:pt>
                <c:pt idx="288">
                  <c:v>18445</c:v>
                </c:pt>
                <c:pt idx="289">
                  <c:v>18476</c:v>
                </c:pt>
                <c:pt idx="290">
                  <c:v>18507</c:v>
                </c:pt>
                <c:pt idx="291">
                  <c:v>18537</c:v>
                </c:pt>
                <c:pt idx="292">
                  <c:v>18568</c:v>
                </c:pt>
                <c:pt idx="293">
                  <c:v>18598</c:v>
                </c:pt>
                <c:pt idx="294">
                  <c:v>18629</c:v>
                </c:pt>
                <c:pt idx="295">
                  <c:v>18660</c:v>
                </c:pt>
                <c:pt idx="296">
                  <c:v>18688</c:v>
                </c:pt>
                <c:pt idx="297">
                  <c:v>18719</c:v>
                </c:pt>
                <c:pt idx="298">
                  <c:v>18749</c:v>
                </c:pt>
                <c:pt idx="299">
                  <c:v>18780</c:v>
                </c:pt>
                <c:pt idx="300">
                  <c:v>18810</c:v>
                </c:pt>
                <c:pt idx="301">
                  <c:v>18841</c:v>
                </c:pt>
                <c:pt idx="302">
                  <c:v>18872</c:v>
                </c:pt>
                <c:pt idx="303">
                  <c:v>18902</c:v>
                </c:pt>
                <c:pt idx="304">
                  <c:v>18933</c:v>
                </c:pt>
                <c:pt idx="305">
                  <c:v>18963</c:v>
                </c:pt>
                <c:pt idx="306">
                  <c:v>18994</c:v>
                </c:pt>
                <c:pt idx="307">
                  <c:v>19025</c:v>
                </c:pt>
                <c:pt idx="308">
                  <c:v>19054</c:v>
                </c:pt>
                <c:pt idx="309">
                  <c:v>19085</c:v>
                </c:pt>
                <c:pt idx="310">
                  <c:v>19115</c:v>
                </c:pt>
                <c:pt idx="311">
                  <c:v>19146</c:v>
                </c:pt>
                <c:pt idx="312">
                  <c:v>19176</c:v>
                </c:pt>
                <c:pt idx="313">
                  <c:v>19207</c:v>
                </c:pt>
                <c:pt idx="314">
                  <c:v>19238</c:v>
                </c:pt>
                <c:pt idx="315">
                  <c:v>19268</c:v>
                </c:pt>
                <c:pt idx="316">
                  <c:v>19299</c:v>
                </c:pt>
                <c:pt idx="317">
                  <c:v>19329</c:v>
                </c:pt>
                <c:pt idx="318">
                  <c:v>19360</c:v>
                </c:pt>
                <c:pt idx="319">
                  <c:v>19391</c:v>
                </c:pt>
                <c:pt idx="320">
                  <c:v>19419</c:v>
                </c:pt>
                <c:pt idx="321">
                  <c:v>19450</c:v>
                </c:pt>
                <c:pt idx="322">
                  <c:v>19480</c:v>
                </c:pt>
                <c:pt idx="323">
                  <c:v>19511</c:v>
                </c:pt>
                <c:pt idx="324">
                  <c:v>19541</c:v>
                </c:pt>
                <c:pt idx="325">
                  <c:v>19572</c:v>
                </c:pt>
                <c:pt idx="326">
                  <c:v>19603</c:v>
                </c:pt>
                <c:pt idx="327">
                  <c:v>19633</c:v>
                </c:pt>
                <c:pt idx="328">
                  <c:v>19664</c:v>
                </c:pt>
                <c:pt idx="329">
                  <c:v>19694</c:v>
                </c:pt>
                <c:pt idx="330">
                  <c:v>19725</c:v>
                </c:pt>
                <c:pt idx="331">
                  <c:v>19756</c:v>
                </c:pt>
                <c:pt idx="332">
                  <c:v>19784</c:v>
                </c:pt>
                <c:pt idx="333">
                  <c:v>19815</c:v>
                </c:pt>
                <c:pt idx="334">
                  <c:v>19845</c:v>
                </c:pt>
                <c:pt idx="335">
                  <c:v>19876</c:v>
                </c:pt>
                <c:pt idx="336">
                  <c:v>19906</c:v>
                </c:pt>
                <c:pt idx="337">
                  <c:v>19937</c:v>
                </c:pt>
                <c:pt idx="338">
                  <c:v>19968</c:v>
                </c:pt>
                <c:pt idx="339">
                  <c:v>19998</c:v>
                </c:pt>
                <c:pt idx="340">
                  <c:v>20029</c:v>
                </c:pt>
                <c:pt idx="341">
                  <c:v>20059</c:v>
                </c:pt>
                <c:pt idx="342">
                  <c:v>20090</c:v>
                </c:pt>
                <c:pt idx="343">
                  <c:v>20121</c:v>
                </c:pt>
                <c:pt idx="344">
                  <c:v>20149</c:v>
                </c:pt>
                <c:pt idx="345">
                  <c:v>20180</c:v>
                </c:pt>
                <c:pt idx="346">
                  <c:v>20210</c:v>
                </c:pt>
                <c:pt idx="347">
                  <c:v>20241</c:v>
                </c:pt>
                <c:pt idx="348">
                  <c:v>20271</c:v>
                </c:pt>
                <c:pt idx="349">
                  <c:v>20302</c:v>
                </c:pt>
                <c:pt idx="350">
                  <c:v>20333</c:v>
                </c:pt>
                <c:pt idx="351">
                  <c:v>20363</c:v>
                </c:pt>
                <c:pt idx="352">
                  <c:v>20394</c:v>
                </c:pt>
                <c:pt idx="353">
                  <c:v>20424</c:v>
                </c:pt>
                <c:pt idx="354">
                  <c:v>20455</c:v>
                </c:pt>
                <c:pt idx="355">
                  <c:v>20486</c:v>
                </c:pt>
                <c:pt idx="356">
                  <c:v>20515</c:v>
                </c:pt>
                <c:pt idx="357">
                  <c:v>20546</c:v>
                </c:pt>
                <c:pt idx="358">
                  <c:v>20576</c:v>
                </c:pt>
                <c:pt idx="359">
                  <c:v>20607</c:v>
                </c:pt>
                <c:pt idx="360">
                  <c:v>20637</c:v>
                </c:pt>
                <c:pt idx="361">
                  <c:v>20668</c:v>
                </c:pt>
                <c:pt idx="362">
                  <c:v>20699</c:v>
                </c:pt>
                <c:pt idx="363">
                  <c:v>20729</c:v>
                </c:pt>
                <c:pt idx="364">
                  <c:v>20760</c:v>
                </c:pt>
                <c:pt idx="365">
                  <c:v>20790</c:v>
                </c:pt>
                <c:pt idx="366">
                  <c:v>20821</c:v>
                </c:pt>
                <c:pt idx="367">
                  <c:v>20852</c:v>
                </c:pt>
                <c:pt idx="368">
                  <c:v>20880</c:v>
                </c:pt>
                <c:pt idx="369">
                  <c:v>20911</c:v>
                </c:pt>
                <c:pt idx="370">
                  <c:v>20941</c:v>
                </c:pt>
                <c:pt idx="371">
                  <c:v>20972</c:v>
                </c:pt>
                <c:pt idx="372">
                  <c:v>21002</c:v>
                </c:pt>
                <c:pt idx="373">
                  <c:v>21033</c:v>
                </c:pt>
                <c:pt idx="374">
                  <c:v>21064</c:v>
                </c:pt>
                <c:pt idx="375">
                  <c:v>21094</c:v>
                </c:pt>
                <c:pt idx="376">
                  <c:v>21125</c:v>
                </c:pt>
                <c:pt idx="377">
                  <c:v>21155</c:v>
                </c:pt>
                <c:pt idx="378">
                  <c:v>21186</c:v>
                </c:pt>
                <c:pt idx="379">
                  <c:v>21217</c:v>
                </c:pt>
                <c:pt idx="380">
                  <c:v>21245</c:v>
                </c:pt>
                <c:pt idx="381">
                  <c:v>21276</c:v>
                </c:pt>
                <c:pt idx="382">
                  <c:v>21306</c:v>
                </c:pt>
                <c:pt idx="383">
                  <c:v>21337</c:v>
                </c:pt>
                <c:pt idx="384">
                  <c:v>21367</c:v>
                </c:pt>
                <c:pt idx="385">
                  <c:v>21398</c:v>
                </c:pt>
                <c:pt idx="386">
                  <c:v>21429</c:v>
                </c:pt>
                <c:pt idx="387">
                  <c:v>21459</c:v>
                </c:pt>
                <c:pt idx="388">
                  <c:v>21490</c:v>
                </c:pt>
                <c:pt idx="389">
                  <c:v>21520</c:v>
                </c:pt>
                <c:pt idx="390">
                  <c:v>21551</c:v>
                </c:pt>
                <c:pt idx="391">
                  <c:v>21582</c:v>
                </c:pt>
                <c:pt idx="392">
                  <c:v>21610</c:v>
                </c:pt>
                <c:pt idx="393">
                  <c:v>21641</c:v>
                </c:pt>
                <c:pt idx="394">
                  <c:v>21671</c:v>
                </c:pt>
                <c:pt idx="395">
                  <c:v>21702</c:v>
                </c:pt>
                <c:pt idx="396">
                  <c:v>21732</c:v>
                </c:pt>
                <c:pt idx="397">
                  <c:v>21763</c:v>
                </c:pt>
                <c:pt idx="398">
                  <c:v>21794</c:v>
                </c:pt>
                <c:pt idx="399">
                  <c:v>21824</c:v>
                </c:pt>
                <c:pt idx="400">
                  <c:v>21855</c:v>
                </c:pt>
                <c:pt idx="401">
                  <c:v>21885</c:v>
                </c:pt>
                <c:pt idx="402">
                  <c:v>21916</c:v>
                </c:pt>
                <c:pt idx="403">
                  <c:v>21947</c:v>
                </c:pt>
                <c:pt idx="404">
                  <c:v>21976</c:v>
                </c:pt>
                <c:pt idx="405">
                  <c:v>22007</c:v>
                </c:pt>
                <c:pt idx="406">
                  <c:v>22037</c:v>
                </c:pt>
                <c:pt idx="407">
                  <c:v>22068</c:v>
                </c:pt>
                <c:pt idx="408">
                  <c:v>22098</c:v>
                </c:pt>
                <c:pt idx="409">
                  <c:v>22129</c:v>
                </c:pt>
                <c:pt idx="410">
                  <c:v>22160</c:v>
                </c:pt>
                <c:pt idx="411">
                  <c:v>22190</c:v>
                </c:pt>
                <c:pt idx="412">
                  <c:v>22221</c:v>
                </c:pt>
                <c:pt idx="413">
                  <c:v>22251</c:v>
                </c:pt>
                <c:pt idx="414">
                  <c:v>22282</c:v>
                </c:pt>
                <c:pt idx="415">
                  <c:v>22313</c:v>
                </c:pt>
                <c:pt idx="416">
                  <c:v>22341</c:v>
                </c:pt>
                <c:pt idx="417">
                  <c:v>22372</c:v>
                </c:pt>
                <c:pt idx="418">
                  <c:v>22402</c:v>
                </c:pt>
                <c:pt idx="419">
                  <c:v>22433</c:v>
                </c:pt>
                <c:pt idx="420">
                  <c:v>22463</c:v>
                </c:pt>
                <c:pt idx="421">
                  <c:v>22494</c:v>
                </c:pt>
                <c:pt idx="422">
                  <c:v>22525</c:v>
                </c:pt>
                <c:pt idx="423">
                  <c:v>22555</c:v>
                </c:pt>
                <c:pt idx="424">
                  <c:v>22586</c:v>
                </c:pt>
                <c:pt idx="425">
                  <c:v>22616</c:v>
                </c:pt>
                <c:pt idx="426">
                  <c:v>22647</c:v>
                </c:pt>
                <c:pt idx="427">
                  <c:v>22678</c:v>
                </c:pt>
                <c:pt idx="428">
                  <c:v>22706</c:v>
                </c:pt>
                <c:pt idx="429">
                  <c:v>22737</c:v>
                </c:pt>
                <c:pt idx="430">
                  <c:v>22767</c:v>
                </c:pt>
                <c:pt idx="431">
                  <c:v>22798</c:v>
                </c:pt>
                <c:pt idx="432">
                  <c:v>22828</c:v>
                </c:pt>
                <c:pt idx="433">
                  <c:v>22859</c:v>
                </c:pt>
                <c:pt idx="434">
                  <c:v>22890</c:v>
                </c:pt>
                <c:pt idx="435">
                  <c:v>22920</c:v>
                </c:pt>
                <c:pt idx="436">
                  <c:v>22951</c:v>
                </c:pt>
                <c:pt idx="437">
                  <c:v>22981</c:v>
                </c:pt>
                <c:pt idx="438">
                  <c:v>23012</c:v>
                </c:pt>
                <c:pt idx="439">
                  <c:v>23043</c:v>
                </c:pt>
                <c:pt idx="440">
                  <c:v>23071</c:v>
                </c:pt>
                <c:pt idx="441">
                  <c:v>23102</c:v>
                </c:pt>
                <c:pt idx="442">
                  <c:v>23132</c:v>
                </c:pt>
                <c:pt idx="443">
                  <c:v>23163</c:v>
                </c:pt>
                <c:pt idx="444">
                  <c:v>23193</c:v>
                </c:pt>
                <c:pt idx="445">
                  <c:v>23224</c:v>
                </c:pt>
                <c:pt idx="446">
                  <c:v>23255</c:v>
                </c:pt>
                <c:pt idx="447">
                  <c:v>23285</c:v>
                </c:pt>
                <c:pt idx="448">
                  <c:v>23316</c:v>
                </c:pt>
                <c:pt idx="449">
                  <c:v>23346</c:v>
                </c:pt>
                <c:pt idx="450">
                  <c:v>23377</c:v>
                </c:pt>
                <c:pt idx="451">
                  <c:v>23408</c:v>
                </c:pt>
                <c:pt idx="452">
                  <c:v>23437</c:v>
                </c:pt>
                <c:pt idx="453">
                  <c:v>23468</c:v>
                </c:pt>
                <c:pt idx="454">
                  <c:v>23498</c:v>
                </c:pt>
                <c:pt idx="455">
                  <c:v>23529</c:v>
                </c:pt>
                <c:pt idx="456">
                  <c:v>23559</c:v>
                </c:pt>
                <c:pt idx="457">
                  <c:v>23590</c:v>
                </c:pt>
                <c:pt idx="458">
                  <c:v>23621</c:v>
                </c:pt>
                <c:pt idx="459">
                  <c:v>23651</c:v>
                </c:pt>
                <c:pt idx="460">
                  <c:v>23682</c:v>
                </c:pt>
                <c:pt idx="461">
                  <c:v>23712</c:v>
                </c:pt>
                <c:pt idx="462">
                  <c:v>23743</c:v>
                </c:pt>
                <c:pt idx="463">
                  <c:v>23774</c:v>
                </c:pt>
                <c:pt idx="464">
                  <c:v>23802</c:v>
                </c:pt>
                <c:pt idx="465">
                  <c:v>23833</c:v>
                </c:pt>
                <c:pt idx="466">
                  <c:v>23863</c:v>
                </c:pt>
                <c:pt idx="467">
                  <c:v>23894</c:v>
                </c:pt>
                <c:pt idx="468">
                  <c:v>23924</c:v>
                </c:pt>
                <c:pt idx="469">
                  <c:v>23955</c:v>
                </c:pt>
                <c:pt idx="470">
                  <c:v>23986</c:v>
                </c:pt>
                <c:pt idx="471">
                  <c:v>24016</c:v>
                </c:pt>
                <c:pt idx="472">
                  <c:v>24047</c:v>
                </c:pt>
                <c:pt idx="473">
                  <c:v>24077</c:v>
                </c:pt>
                <c:pt idx="474">
                  <c:v>24108</c:v>
                </c:pt>
                <c:pt idx="475">
                  <c:v>24139</c:v>
                </c:pt>
                <c:pt idx="476">
                  <c:v>24167</c:v>
                </c:pt>
                <c:pt idx="477">
                  <c:v>24198</c:v>
                </c:pt>
                <c:pt idx="478">
                  <c:v>24228</c:v>
                </c:pt>
                <c:pt idx="479">
                  <c:v>24259</c:v>
                </c:pt>
                <c:pt idx="480">
                  <c:v>24289</c:v>
                </c:pt>
                <c:pt idx="481">
                  <c:v>24320</c:v>
                </c:pt>
                <c:pt idx="482">
                  <c:v>24351</c:v>
                </c:pt>
                <c:pt idx="483">
                  <c:v>24381</c:v>
                </c:pt>
                <c:pt idx="484">
                  <c:v>24412</c:v>
                </c:pt>
                <c:pt idx="485">
                  <c:v>24442</c:v>
                </c:pt>
                <c:pt idx="486">
                  <c:v>24473</c:v>
                </c:pt>
                <c:pt idx="487">
                  <c:v>24504</c:v>
                </c:pt>
                <c:pt idx="488">
                  <c:v>24532</c:v>
                </c:pt>
                <c:pt idx="489">
                  <c:v>24563</c:v>
                </c:pt>
                <c:pt idx="490">
                  <c:v>24593</c:v>
                </c:pt>
                <c:pt idx="491">
                  <c:v>24624</c:v>
                </c:pt>
                <c:pt idx="492">
                  <c:v>24654</c:v>
                </c:pt>
                <c:pt idx="493">
                  <c:v>24685</c:v>
                </c:pt>
                <c:pt idx="494">
                  <c:v>24716</c:v>
                </c:pt>
                <c:pt idx="495">
                  <c:v>24746</c:v>
                </c:pt>
                <c:pt idx="496">
                  <c:v>24777</c:v>
                </c:pt>
                <c:pt idx="497">
                  <c:v>24807</c:v>
                </c:pt>
                <c:pt idx="498">
                  <c:v>24838</c:v>
                </c:pt>
                <c:pt idx="499">
                  <c:v>24869</c:v>
                </c:pt>
                <c:pt idx="500">
                  <c:v>24898</c:v>
                </c:pt>
                <c:pt idx="501">
                  <c:v>24929</c:v>
                </c:pt>
                <c:pt idx="502">
                  <c:v>24959</c:v>
                </c:pt>
                <c:pt idx="503">
                  <c:v>24990</c:v>
                </c:pt>
                <c:pt idx="504">
                  <c:v>25020</c:v>
                </c:pt>
                <c:pt idx="505">
                  <c:v>25051</c:v>
                </c:pt>
                <c:pt idx="506">
                  <c:v>25082</c:v>
                </c:pt>
                <c:pt idx="507">
                  <c:v>25112</c:v>
                </c:pt>
                <c:pt idx="508">
                  <c:v>25143</c:v>
                </c:pt>
                <c:pt idx="509">
                  <c:v>25173</c:v>
                </c:pt>
                <c:pt idx="510">
                  <c:v>25204</c:v>
                </c:pt>
                <c:pt idx="511">
                  <c:v>25235</c:v>
                </c:pt>
                <c:pt idx="512">
                  <c:v>25263</c:v>
                </c:pt>
                <c:pt idx="513">
                  <c:v>25294</c:v>
                </c:pt>
                <c:pt idx="514">
                  <c:v>25324</c:v>
                </c:pt>
                <c:pt idx="515">
                  <c:v>25355</c:v>
                </c:pt>
                <c:pt idx="516">
                  <c:v>25385</c:v>
                </c:pt>
                <c:pt idx="517">
                  <c:v>25416</c:v>
                </c:pt>
                <c:pt idx="518">
                  <c:v>25447</c:v>
                </c:pt>
                <c:pt idx="519">
                  <c:v>25477</c:v>
                </c:pt>
                <c:pt idx="520">
                  <c:v>25508</c:v>
                </c:pt>
                <c:pt idx="521">
                  <c:v>25538</c:v>
                </c:pt>
                <c:pt idx="522">
                  <c:v>25569</c:v>
                </c:pt>
                <c:pt idx="523">
                  <c:v>25600</c:v>
                </c:pt>
                <c:pt idx="524">
                  <c:v>25628</c:v>
                </c:pt>
                <c:pt idx="525">
                  <c:v>25659</c:v>
                </c:pt>
                <c:pt idx="526">
                  <c:v>25689</c:v>
                </c:pt>
                <c:pt idx="527">
                  <c:v>25720</c:v>
                </c:pt>
                <c:pt idx="528">
                  <c:v>25750</c:v>
                </c:pt>
                <c:pt idx="529">
                  <c:v>25781</c:v>
                </c:pt>
                <c:pt idx="530">
                  <c:v>25812</c:v>
                </c:pt>
                <c:pt idx="531">
                  <c:v>25842</c:v>
                </c:pt>
                <c:pt idx="532">
                  <c:v>25873</c:v>
                </c:pt>
                <c:pt idx="533">
                  <c:v>25903</c:v>
                </c:pt>
                <c:pt idx="534">
                  <c:v>25934</c:v>
                </c:pt>
                <c:pt idx="535">
                  <c:v>25965</c:v>
                </c:pt>
                <c:pt idx="536">
                  <c:v>25993</c:v>
                </c:pt>
                <c:pt idx="537">
                  <c:v>26024</c:v>
                </c:pt>
                <c:pt idx="538">
                  <c:v>26054</c:v>
                </c:pt>
                <c:pt idx="539">
                  <c:v>26085</c:v>
                </c:pt>
                <c:pt idx="540">
                  <c:v>26115</c:v>
                </c:pt>
                <c:pt idx="541">
                  <c:v>26146</c:v>
                </c:pt>
                <c:pt idx="542">
                  <c:v>26177</c:v>
                </c:pt>
                <c:pt idx="543">
                  <c:v>26207</c:v>
                </c:pt>
                <c:pt idx="544">
                  <c:v>26238</c:v>
                </c:pt>
                <c:pt idx="545">
                  <c:v>26268</c:v>
                </c:pt>
                <c:pt idx="546">
                  <c:v>26299</c:v>
                </c:pt>
                <c:pt idx="547">
                  <c:v>26330</c:v>
                </c:pt>
                <c:pt idx="548">
                  <c:v>26359</c:v>
                </c:pt>
                <c:pt idx="549">
                  <c:v>26390</c:v>
                </c:pt>
                <c:pt idx="550">
                  <c:v>26420</c:v>
                </c:pt>
                <c:pt idx="551">
                  <c:v>26451</c:v>
                </c:pt>
                <c:pt idx="552">
                  <c:v>26481</c:v>
                </c:pt>
                <c:pt idx="553">
                  <c:v>26512</c:v>
                </c:pt>
                <c:pt idx="554">
                  <c:v>26543</c:v>
                </c:pt>
                <c:pt idx="555">
                  <c:v>26573</c:v>
                </c:pt>
                <c:pt idx="556">
                  <c:v>26604</c:v>
                </c:pt>
                <c:pt idx="557">
                  <c:v>26634</c:v>
                </c:pt>
                <c:pt idx="558">
                  <c:v>26665</c:v>
                </c:pt>
                <c:pt idx="559">
                  <c:v>26696</c:v>
                </c:pt>
                <c:pt idx="560">
                  <c:v>26724</c:v>
                </c:pt>
                <c:pt idx="561">
                  <c:v>26755</c:v>
                </c:pt>
                <c:pt idx="562">
                  <c:v>26785</c:v>
                </c:pt>
                <c:pt idx="563">
                  <c:v>26816</c:v>
                </c:pt>
                <c:pt idx="564">
                  <c:v>26846</c:v>
                </c:pt>
                <c:pt idx="565">
                  <c:v>26877</c:v>
                </c:pt>
                <c:pt idx="566">
                  <c:v>26908</c:v>
                </c:pt>
                <c:pt idx="567">
                  <c:v>26938</c:v>
                </c:pt>
                <c:pt idx="568">
                  <c:v>26969</c:v>
                </c:pt>
                <c:pt idx="569">
                  <c:v>26999</c:v>
                </c:pt>
                <c:pt idx="570">
                  <c:v>27030</c:v>
                </c:pt>
                <c:pt idx="571">
                  <c:v>27061</c:v>
                </c:pt>
                <c:pt idx="572">
                  <c:v>27089</c:v>
                </c:pt>
                <c:pt idx="573">
                  <c:v>27120</c:v>
                </c:pt>
                <c:pt idx="574">
                  <c:v>27150</c:v>
                </c:pt>
                <c:pt idx="575">
                  <c:v>27181</c:v>
                </c:pt>
                <c:pt idx="576">
                  <c:v>27211</c:v>
                </c:pt>
                <c:pt idx="577">
                  <c:v>27242</c:v>
                </c:pt>
                <c:pt idx="578">
                  <c:v>27273</c:v>
                </c:pt>
                <c:pt idx="579">
                  <c:v>27303</c:v>
                </c:pt>
                <c:pt idx="580">
                  <c:v>27334</c:v>
                </c:pt>
                <c:pt idx="581">
                  <c:v>27364</c:v>
                </c:pt>
                <c:pt idx="582">
                  <c:v>27395</c:v>
                </c:pt>
                <c:pt idx="583">
                  <c:v>27426</c:v>
                </c:pt>
                <c:pt idx="584">
                  <c:v>27454</c:v>
                </c:pt>
                <c:pt idx="585">
                  <c:v>27485</c:v>
                </c:pt>
                <c:pt idx="586">
                  <c:v>27515</c:v>
                </c:pt>
                <c:pt idx="587">
                  <c:v>27546</c:v>
                </c:pt>
                <c:pt idx="588">
                  <c:v>27576</c:v>
                </c:pt>
                <c:pt idx="589">
                  <c:v>27607</c:v>
                </c:pt>
                <c:pt idx="590">
                  <c:v>27638</c:v>
                </c:pt>
                <c:pt idx="591">
                  <c:v>27668</c:v>
                </c:pt>
                <c:pt idx="592">
                  <c:v>27699</c:v>
                </c:pt>
                <c:pt idx="593">
                  <c:v>27729</c:v>
                </c:pt>
                <c:pt idx="594">
                  <c:v>27760</c:v>
                </c:pt>
                <c:pt idx="595">
                  <c:v>27791</c:v>
                </c:pt>
                <c:pt idx="596">
                  <c:v>27820</c:v>
                </c:pt>
                <c:pt idx="597">
                  <c:v>27851</c:v>
                </c:pt>
                <c:pt idx="598">
                  <c:v>27881</c:v>
                </c:pt>
                <c:pt idx="599">
                  <c:v>27912</c:v>
                </c:pt>
                <c:pt idx="600">
                  <c:v>27942</c:v>
                </c:pt>
                <c:pt idx="601">
                  <c:v>27973</c:v>
                </c:pt>
                <c:pt idx="602">
                  <c:v>28004</c:v>
                </c:pt>
                <c:pt idx="603">
                  <c:v>28034</c:v>
                </c:pt>
                <c:pt idx="604">
                  <c:v>28065</c:v>
                </c:pt>
                <c:pt idx="605">
                  <c:v>28095</c:v>
                </c:pt>
                <c:pt idx="606">
                  <c:v>28126</c:v>
                </c:pt>
                <c:pt idx="607">
                  <c:v>28157</c:v>
                </c:pt>
                <c:pt idx="608">
                  <c:v>28185</c:v>
                </c:pt>
                <c:pt idx="609">
                  <c:v>28216</c:v>
                </c:pt>
                <c:pt idx="610">
                  <c:v>28246</c:v>
                </c:pt>
                <c:pt idx="611">
                  <c:v>28277</c:v>
                </c:pt>
                <c:pt idx="612">
                  <c:v>28307</c:v>
                </c:pt>
                <c:pt idx="613">
                  <c:v>28338</c:v>
                </c:pt>
                <c:pt idx="614">
                  <c:v>28369</c:v>
                </c:pt>
                <c:pt idx="615">
                  <c:v>28399</c:v>
                </c:pt>
                <c:pt idx="616">
                  <c:v>28430</c:v>
                </c:pt>
                <c:pt idx="617">
                  <c:v>28460</c:v>
                </c:pt>
                <c:pt idx="618">
                  <c:v>28491</c:v>
                </c:pt>
                <c:pt idx="619">
                  <c:v>28522</c:v>
                </c:pt>
                <c:pt idx="620">
                  <c:v>28550</c:v>
                </c:pt>
                <c:pt idx="621">
                  <c:v>28581</c:v>
                </c:pt>
                <c:pt idx="622">
                  <c:v>28611</c:v>
                </c:pt>
                <c:pt idx="623">
                  <c:v>28642</c:v>
                </c:pt>
                <c:pt idx="624">
                  <c:v>28672</c:v>
                </c:pt>
                <c:pt idx="625">
                  <c:v>28703</c:v>
                </c:pt>
                <c:pt idx="626">
                  <c:v>28734</c:v>
                </c:pt>
                <c:pt idx="627">
                  <c:v>28764</c:v>
                </c:pt>
                <c:pt idx="628">
                  <c:v>28795</c:v>
                </c:pt>
                <c:pt idx="629">
                  <c:v>28825</c:v>
                </c:pt>
                <c:pt idx="630">
                  <c:v>28856</c:v>
                </c:pt>
                <c:pt idx="631">
                  <c:v>28887</c:v>
                </c:pt>
                <c:pt idx="632">
                  <c:v>28915</c:v>
                </c:pt>
                <c:pt idx="633">
                  <c:v>28946</c:v>
                </c:pt>
                <c:pt idx="634">
                  <c:v>28976</c:v>
                </c:pt>
                <c:pt idx="635">
                  <c:v>29007</c:v>
                </c:pt>
                <c:pt idx="636">
                  <c:v>29037</c:v>
                </c:pt>
                <c:pt idx="637">
                  <c:v>29068</c:v>
                </c:pt>
                <c:pt idx="638">
                  <c:v>29099</c:v>
                </c:pt>
                <c:pt idx="639">
                  <c:v>29129</c:v>
                </c:pt>
                <c:pt idx="640">
                  <c:v>29160</c:v>
                </c:pt>
                <c:pt idx="641">
                  <c:v>29190</c:v>
                </c:pt>
                <c:pt idx="642">
                  <c:v>29221</c:v>
                </c:pt>
                <c:pt idx="643">
                  <c:v>29252</c:v>
                </c:pt>
                <c:pt idx="644">
                  <c:v>29281</c:v>
                </c:pt>
                <c:pt idx="645">
                  <c:v>29312</c:v>
                </c:pt>
                <c:pt idx="646">
                  <c:v>29342</c:v>
                </c:pt>
                <c:pt idx="647">
                  <c:v>29373</c:v>
                </c:pt>
                <c:pt idx="648">
                  <c:v>29403</c:v>
                </c:pt>
                <c:pt idx="649">
                  <c:v>29434</c:v>
                </c:pt>
                <c:pt idx="650">
                  <c:v>29465</c:v>
                </c:pt>
                <c:pt idx="651">
                  <c:v>29495</c:v>
                </c:pt>
                <c:pt idx="652">
                  <c:v>29526</c:v>
                </c:pt>
                <c:pt idx="653">
                  <c:v>29556</c:v>
                </c:pt>
                <c:pt idx="654">
                  <c:v>29587</c:v>
                </c:pt>
                <c:pt idx="655">
                  <c:v>29618</c:v>
                </c:pt>
                <c:pt idx="656">
                  <c:v>29646</c:v>
                </c:pt>
                <c:pt idx="657">
                  <c:v>29677</c:v>
                </c:pt>
                <c:pt idx="658">
                  <c:v>29707</c:v>
                </c:pt>
                <c:pt idx="659">
                  <c:v>29738</c:v>
                </c:pt>
                <c:pt idx="660">
                  <c:v>29768</c:v>
                </c:pt>
                <c:pt idx="661">
                  <c:v>29799</c:v>
                </c:pt>
                <c:pt idx="662">
                  <c:v>29830</c:v>
                </c:pt>
                <c:pt idx="663">
                  <c:v>29860</c:v>
                </c:pt>
                <c:pt idx="664">
                  <c:v>29891</c:v>
                </c:pt>
                <c:pt idx="665">
                  <c:v>29921</c:v>
                </c:pt>
                <c:pt idx="666">
                  <c:v>29952</c:v>
                </c:pt>
                <c:pt idx="667">
                  <c:v>29983</c:v>
                </c:pt>
                <c:pt idx="668">
                  <c:v>30011</c:v>
                </c:pt>
                <c:pt idx="669">
                  <c:v>30042</c:v>
                </c:pt>
                <c:pt idx="670">
                  <c:v>30072</c:v>
                </c:pt>
                <c:pt idx="671">
                  <c:v>30103</c:v>
                </c:pt>
                <c:pt idx="672">
                  <c:v>30133</c:v>
                </c:pt>
                <c:pt idx="673">
                  <c:v>30164</c:v>
                </c:pt>
                <c:pt idx="674">
                  <c:v>30195</c:v>
                </c:pt>
                <c:pt idx="675">
                  <c:v>30225</c:v>
                </c:pt>
                <c:pt idx="676">
                  <c:v>30256</c:v>
                </c:pt>
                <c:pt idx="677">
                  <c:v>30286</c:v>
                </c:pt>
                <c:pt idx="678">
                  <c:v>30317</c:v>
                </c:pt>
                <c:pt idx="679">
                  <c:v>30348</c:v>
                </c:pt>
                <c:pt idx="680">
                  <c:v>30376</c:v>
                </c:pt>
                <c:pt idx="681">
                  <c:v>30407</c:v>
                </c:pt>
                <c:pt idx="682">
                  <c:v>30437</c:v>
                </c:pt>
                <c:pt idx="683">
                  <c:v>30468</c:v>
                </c:pt>
                <c:pt idx="684">
                  <c:v>30498</c:v>
                </c:pt>
                <c:pt idx="685">
                  <c:v>30529</c:v>
                </c:pt>
                <c:pt idx="686">
                  <c:v>30560</c:v>
                </c:pt>
                <c:pt idx="687">
                  <c:v>30590</c:v>
                </c:pt>
                <c:pt idx="688">
                  <c:v>30621</c:v>
                </c:pt>
                <c:pt idx="689">
                  <c:v>30651</c:v>
                </c:pt>
                <c:pt idx="690">
                  <c:v>30682</c:v>
                </c:pt>
                <c:pt idx="691">
                  <c:v>30713</c:v>
                </c:pt>
                <c:pt idx="692">
                  <c:v>30742</c:v>
                </c:pt>
                <c:pt idx="693">
                  <c:v>30773</c:v>
                </c:pt>
                <c:pt idx="694">
                  <c:v>30803</c:v>
                </c:pt>
                <c:pt idx="695">
                  <c:v>30834</c:v>
                </c:pt>
                <c:pt idx="696">
                  <c:v>30864</c:v>
                </c:pt>
                <c:pt idx="697">
                  <c:v>30895</c:v>
                </c:pt>
                <c:pt idx="698">
                  <c:v>30926</c:v>
                </c:pt>
                <c:pt idx="699">
                  <c:v>30956</c:v>
                </c:pt>
                <c:pt idx="700">
                  <c:v>30987</c:v>
                </c:pt>
                <c:pt idx="701">
                  <c:v>31017</c:v>
                </c:pt>
                <c:pt idx="702">
                  <c:v>31048</c:v>
                </c:pt>
                <c:pt idx="703">
                  <c:v>31079</c:v>
                </c:pt>
                <c:pt idx="704">
                  <c:v>31107</c:v>
                </c:pt>
                <c:pt idx="705">
                  <c:v>31138</c:v>
                </c:pt>
                <c:pt idx="706">
                  <c:v>31168</c:v>
                </c:pt>
                <c:pt idx="707">
                  <c:v>31199</c:v>
                </c:pt>
                <c:pt idx="708">
                  <c:v>31229</c:v>
                </c:pt>
                <c:pt idx="709">
                  <c:v>31260</c:v>
                </c:pt>
                <c:pt idx="710">
                  <c:v>31291</c:v>
                </c:pt>
                <c:pt idx="711">
                  <c:v>31321</c:v>
                </c:pt>
                <c:pt idx="712">
                  <c:v>31352</c:v>
                </c:pt>
                <c:pt idx="713">
                  <c:v>31382</c:v>
                </c:pt>
                <c:pt idx="714">
                  <c:v>31413</c:v>
                </c:pt>
                <c:pt idx="715">
                  <c:v>31444</c:v>
                </c:pt>
                <c:pt idx="716">
                  <c:v>31472</c:v>
                </c:pt>
                <c:pt idx="717">
                  <c:v>31503</c:v>
                </c:pt>
                <c:pt idx="718">
                  <c:v>31533</c:v>
                </c:pt>
                <c:pt idx="719">
                  <c:v>31564</c:v>
                </c:pt>
                <c:pt idx="720">
                  <c:v>31594</c:v>
                </c:pt>
                <c:pt idx="721">
                  <c:v>31625</c:v>
                </c:pt>
                <c:pt idx="722">
                  <c:v>31656</c:v>
                </c:pt>
                <c:pt idx="723">
                  <c:v>31686</c:v>
                </c:pt>
                <c:pt idx="724">
                  <c:v>31717</c:v>
                </c:pt>
                <c:pt idx="725">
                  <c:v>31747</c:v>
                </c:pt>
                <c:pt idx="726">
                  <c:v>31778</c:v>
                </c:pt>
                <c:pt idx="727">
                  <c:v>31809</c:v>
                </c:pt>
                <c:pt idx="728">
                  <c:v>31837</c:v>
                </c:pt>
                <c:pt idx="729">
                  <c:v>31868</c:v>
                </c:pt>
                <c:pt idx="730">
                  <c:v>31898</c:v>
                </c:pt>
                <c:pt idx="731">
                  <c:v>31929</c:v>
                </c:pt>
                <c:pt idx="732">
                  <c:v>31959</c:v>
                </c:pt>
                <c:pt idx="733">
                  <c:v>31990</c:v>
                </c:pt>
                <c:pt idx="734">
                  <c:v>32021</c:v>
                </c:pt>
                <c:pt idx="735">
                  <c:v>32051</c:v>
                </c:pt>
                <c:pt idx="736">
                  <c:v>32082</c:v>
                </c:pt>
                <c:pt idx="737">
                  <c:v>32112</c:v>
                </c:pt>
                <c:pt idx="738">
                  <c:v>32143</c:v>
                </c:pt>
                <c:pt idx="739">
                  <c:v>32174</c:v>
                </c:pt>
                <c:pt idx="740">
                  <c:v>32203</c:v>
                </c:pt>
                <c:pt idx="741">
                  <c:v>32234</c:v>
                </c:pt>
                <c:pt idx="742">
                  <c:v>32264</c:v>
                </c:pt>
                <c:pt idx="743">
                  <c:v>32295</c:v>
                </c:pt>
                <c:pt idx="744">
                  <c:v>32325</c:v>
                </c:pt>
                <c:pt idx="745">
                  <c:v>32356</c:v>
                </c:pt>
                <c:pt idx="746">
                  <c:v>32387</c:v>
                </c:pt>
                <c:pt idx="747">
                  <c:v>32417</c:v>
                </c:pt>
                <c:pt idx="748">
                  <c:v>32448</c:v>
                </c:pt>
                <c:pt idx="749">
                  <c:v>32478</c:v>
                </c:pt>
                <c:pt idx="750">
                  <c:v>32509</c:v>
                </c:pt>
                <c:pt idx="751">
                  <c:v>32540</c:v>
                </c:pt>
                <c:pt idx="752">
                  <c:v>32568</c:v>
                </c:pt>
                <c:pt idx="753">
                  <c:v>32599</c:v>
                </c:pt>
                <c:pt idx="754">
                  <c:v>32629</c:v>
                </c:pt>
                <c:pt idx="755">
                  <c:v>32660</c:v>
                </c:pt>
                <c:pt idx="756">
                  <c:v>32690</c:v>
                </c:pt>
                <c:pt idx="757">
                  <c:v>32721</c:v>
                </c:pt>
                <c:pt idx="758">
                  <c:v>32752</c:v>
                </c:pt>
                <c:pt idx="759">
                  <c:v>32782</c:v>
                </c:pt>
                <c:pt idx="760">
                  <c:v>32813</c:v>
                </c:pt>
                <c:pt idx="761">
                  <c:v>32843</c:v>
                </c:pt>
                <c:pt idx="762">
                  <c:v>32874</c:v>
                </c:pt>
                <c:pt idx="763">
                  <c:v>32905</c:v>
                </c:pt>
                <c:pt idx="764">
                  <c:v>32933</c:v>
                </c:pt>
                <c:pt idx="765">
                  <c:v>32964</c:v>
                </c:pt>
                <c:pt idx="766">
                  <c:v>32994</c:v>
                </c:pt>
                <c:pt idx="767">
                  <c:v>33025</c:v>
                </c:pt>
                <c:pt idx="768">
                  <c:v>33055</c:v>
                </c:pt>
                <c:pt idx="769">
                  <c:v>33086</c:v>
                </c:pt>
                <c:pt idx="770">
                  <c:v>33117</c:v>
                </c:pt>
                <c:pt idx="771">
                  <c:v>33147</c:v>
                </c:pt>
                <c:pt idx="772">
                  <c:v>33178</c:v>
                </c:pt>
                <c:pt idx="773">
                  <c:v>33208</c:v>
                </c:pt>
                <c:pt idx="774">
                  <c:v>33239</c:v>
                </c:pt>
                <c:pt idx="775">
                  <c:v>33270</c:v>
                </c:pt>
                <c:pt idx="776">
                  <c:v>33298</c:v>
                </c:pt>
                <c:pt idx="777">
                  <c:v>33329</c:v>
                </c:pt>
                <c:pt idx="778">
                  <c:v>33359</c:v>
                </c:pt>
                <c:pt idx="779">
                  <c:v>33390</c:v>
                </c:pt>
                <c:pt idx="780">
                  <c:v>33420</c:v>
                </c:pt>
                <c:pt idx="781">
                  <c:v>33451</c:v>
                </c:pt>
                <c:pt idx="782">
                  <c:v>33482</c:v>
                </c:pt>
                <c:pt idx="783">
                  <c:v>33512</c:v>
                </c:pt>
                <c:pt idx="784">
                  <c:v>33543</c:v>
                </c:pt>
                <c:pt idx="785">
                  <c:v>33573</c:v>
                </c:pt>
                <c:pt idx="786">
                  <c:v>33604</c:v>
                </c:pt>
                <c:pt idx="787">
                  <c:v>33635</c:v>
                </c:pt>
                <c:pt idx="788">
                  <c:v>33664</c:v>
                </c:pt>
                <c:pt idx="789">
                  <c:v>33695</c:v>
                </c:pt>
                <c:pt idx="790">
                  <c:v>33725</c:v>
                </c:pt>
                <c:pt idx="791">
                  <c:v>33756</c:v>
                </c:pt>
                <c:pt idx="792">
                  <c:v>33786</c:v>
                </c:pt>
                <c:pt idx="793">
                  <c:v>33817</c:v>
                </c:pt>
                <c:pt idx="794">
                  <c:v>33848</c:v>
                </c:pt>
                <c:pt idx="795">
                  <c:v>33878</c:v>
                </c:pt>
                <c:pt idx="796">
                  <c:v>33909</c:v>
                </c:pt>
                <c:pt idx="797">
                  <c:v>33939</c:v>
                </c:pt>
                <c:pt idx="798">
                  <c:v>33970</c:v>
                </c:pt>
                <c:pt idx="799">
                  <c:v>34001</c:v>
                </c:pt>
                <c:pt idx="800">
                  <c:v>34029</c:v>
                </c:pt>
                <c:pt idx="801">
                  <c:v>34060</c:v>
                </c:pt>
                <c:pt idx="802">
                  <c:v>34090</c:v>
                </c:pt>
                <c:pt idx="803">
                  <c:v>34121</c:v>
                </c:pt>
                <c:pt idx="804">
                  <c:v>34151</c:v>
                </c:pt>
                <c:pt idx="805">
                  <c:v>34182</c:v>
                </c:pt>
                <c:pt idx="806">
                  <c:v>34213</c:v>
                </c:pt>
                <c:pt idx="807">
                  <c:v>34243</c:v>
                </c:pt>
                <c:pt idx="808">
                  <c:v>34274</c:v>
                </c:pt>
                <c:pt idx="809">
                  <c:v>34304</c:v>
                </c:pt>
                <c:pt idx="810">
                  <c:v>34335</c:v>
                </c:pt>
                <c:pt idx="811">
                  <c:v>34366</c:v>
                </c:pt>
                <c:pt idx="812">
                  <c:v>34394</c:v>
                </c:pt>
                <c:pt idx="813">
                  <c:v>34425</c:v>
                </c:pt>
                <c:pt idx="814">
                  <c:v>34455</c:v>
                </c:pt>
                <c:pt idx="815">
                  <c:v>34486</c:v>
                </c:pt>
                <c:pt idx="816">
                  <c:v>34516</c:v>
                </c:pt>
                <c:pt idx="817">
                  <c:v>34547</c:v>
                </c:pt>
                <c:pt idx="818">
                  <c:v>34578</c:v>
                </c:pt>
                <c:pt idx="819">
                  <c:v>34608</c:v>
                </c:pt>
                <c:pt idx="820">
                  <c:v>34639</c:v>
                </c:pt>
                <c:pt idx="821">
                  <c:v>34669</c:v>
                </c:pt>
                <c:pt idx="822">
                  <c:v>34700</c:v>
                </c:pt>
                <c:pt idx="823">
                  <c:v>34731</c:v>
                </c:pt>
                <c:pt idx="824">
                  <c:v>34759</c:v>
                </c:pt>
                <c:pt idx="825">
                  <c:v>34790</c:v>
                </c:pt>
                <c:pt idx="826">
                  <c:v>34820</c:v>
                </c:pt>
                <c:pt idx="827">
                  <c:v>34851</c:v>
                </c:pt>
                <c:pt idx="828">
                  <c:v>34881</c:v>
                </c:pt>
                <c:pt idx="829">
                  <c:v>34912</c:v>
                </c:pt>
                <c:pt idx="830">
                  <c:v>34943</c:v>
                </c:pt>
                <c:pt idx="831">
                  <c:v>34973</c:v>
                </c:pt>
                <c:pt idx="832">
                  <c:v>35004</c:v>
                </c:pt>
                <c:pt idx="833">
                  <c:v>35034</c:v>
                </c:pt>
                <c:pt idx="834">
                  <c:v>35065</c:v>
                </c:pt>
                <c:pt idx="835">
                  <c:v>35096</c:v>
                </c:pt>
                <c:pt idx="836">
                  <c:v>35125</c:v>
                </c:pt>
                <c:pt idx="837">
                  <c:v>35156</c:v>
                </c:pt>
                <c:pt idx="838">
                  <c:v>35186</c:v>
                </c:pt>
                <c:pt idx="839">
                  <c:v>35217</c:v>
                </c:pt>
                <c:pt idx="840">
                  <c:v>35247</c:v>
                </c:pt>
                <c:pt idx="841">
                  <c:v>35278</c:v>
                </c:pt>
                <c:pt idx="842">
                  <c:v>35309</c:v>
                </c:pt>
                <c:pt idx="843">
                  <c:v>35339</c:v>
                </c:pt>
                <c:pt idx="844">
                  <c:v>35370</c:v>
                </c:pt>
                <c:pt idx="845">
                  <c:v>35400</c:v>
                </c:pt>
                <c:pt idx="846">
                  <c:v>35431</c:v>
                </c:pt>
                <c:pt idx="847">
                  <c:v>35462</c:v>
                </c:pt>
                <c:pt idx="848">
                  <c:v>35490</c:v>
                </c:pt>
                <c:pt idx="849">
                  <c:v>35521</c:v>
                </c:pt>
                <c:pt idx="850">
                  <c:v>35551</c:v>
                </c:pt>
                <c:pt idx="851">
                  <c:v>35582</c:v>
                </c:pt>
                <c:pt idx="852">
                  <c:v>35612</c:v>
                </c:pt>
                <c:pt idx="853">
                  <c:v>35643</c:v>
                </c:pt>
                <c:pt idx="854">
                  <c:v>35674</c:v>
                </c:pt>
                <c:pt idx="855">
                  <c:v>35704</c:v>
                </c:pt>
                <c:pt idx="856">
                  <c:v>35735</c:v>
                </c:pt>
                <c:pt idx="857">
                  <c:v>35765</c:v>
                </c:pt>
                <c:pt idx="858">
                  <c:v>35796</c:v>
                </c:pt>
                <c:pt idx="859">
                  <c:v>35827</c:v>
                </c:pt>
                <c:pt idx="860">
                  <c:v>35855</c:v>
                </c:pt>
                <c:pt idx="861">
                  <c:v>35886</c:v>
                </c:pt>
                <c:pt idx="862">
                  <c:v>35916</c:v>
                </c:pt>
                <c:pt idx="863">
                  <c:v>35947</c:v>
                </c:pt>
                <c:pt idx="864">
                  <c:v>35977</c:v>
                </c:pt>
                <c:pt idx="865">
                  <c:v>36008</c:v>
                </c:pt>
                <c:pt idx="866">
                  <c:v>36039</c:v>
                </c:pt>
                <c:pt idx="867">
                  <c:v>36069</c:v>
                </c:pt>
                <c:pt idx="868">
                  <c:v>36100</c:v>
                </c:pt>
                <c:pt idx="869">
                  <c:v>36130</c:v>
                </c:pt>
                <c:pt idx="870">
                  <c:v>36161</c:v>
                </c:pt>
                <c:pt idx="871">
                  <c:v>36192</c:v>
                </c:pt>
                <c:pt idx="872">
                  <c:v>36220</c:v>
                </c:pt>
                <c:pt idx="873">
                  <c:v>36251</c:v>
                </c:pt>
                <c:pt idx="874">
                  <c:v>36281</c:v>
                </c:pt>
                <c:pt idx="875">
                  <c:v>36312</c:v>
                </c:pt>
                <c:pt idx="876">
                  <c:v>36342</c:v>
                </c:pt>
                <c:pt idx="877">
                  <c:v>36373</c:v>
                </c:pt>
                <c:pt idx="878">
                  <c:v>36404</c:v>
                </c:pt>
                <c:pt idx="879">
                  <c:v>36434</c:v>
                </c:pt>
                <c:pt idx="880">
                  <c:v>36465</c:v>
                </c:pt>
                <c:pt idx="881">
                  <c:v>36495</c:v>
                </c:pt>
                <c:pt idx="882">
                  <c:v>36526</c:v>
                </c:pt>
                <c:pt idx="883">
                  <c:v>36557</c:v>
                </c:pt>
                <c:pt idx="884">
                  <c:v>36586</c:v>
                </c:pt>
                <c:pt idx="885">
                  <c:v>36617</c:v>
                </c:pt>
                <c:pt idx="886">
                  <c:v>36647</c:v>
                </c:pt>
                <c:pt idx="887">
                  <c:v>36678</c:v>
                </c:pt>
                <c:pt idx="888">
                  <c:v>36708</c:v>
                </c:pt>
                <c:pt idx="889">
                  <c:v>36739</c:v>
                </c:pt>
                <c:pt idx="890">
                  <c:v>36770</c:v>
                </c:pt>
                <c:pt idx="891">
                  <c:v>36800</c:v>
                </c:pt>
                <c:pt idx="892">
                  <c:v>36831</c:v>
                </c:pt>
                <c:pt idx="893">
                  <c:v>36861</c:v>
                </c:pt>
                <c:pt idx="894">
                  <c:v>36892</c:v>
                </c:pt>
                <c:pt idx="895">
                  <c:v>36923</c:v>
                </c:pt>
                <c:pt idx="896">
                  <c:v>36951</c:v>
                </c:pt>
                <c:pt idx="897">
                  <c:v>36982</c:v>
                </c:pt>
                <c:pt idx="898">
                  <c:v>37012</c:v>
                </c:pt>
                <c:pt idx="899">
                  <c:v>37043</c:v>
                </c:pt>
                <c:pt idx="900">
                  <c:v>37073</c:v>
                </c:pt>
                <c:pt idx="901">
                  <c:v>37104</c:v>
                </c:pt>
                <c:pt idx="902">
                  <c:v>37135</c:v>
                </c:pt>
                <c:pt idx="903">
                  <c:v>37165</c:v>
                </c:pt>
                <c:pt idx="904">
                  <c:v>37196</c:v>
                </c:pt>
                <c:pt idx="905">
                  <c:v>37226</c:v>
                </c:pt>
                <c:pt idx="906">
                  <c:v>37257</c:v>
                </c:pt>
                <c:pt idx="907">
                  <c:v>37288</c:v>
                </c:pt>
                <c:pt idx="908">
                  <c:v>37316</c:v>
                </c:pt>
                <c:pt idx="909">
                  <c:v>37347</c:v>
                </c:pt>
                <c:pt idx="910">
                  <c:v>37377</c:v>
                </c:pt>
                <c:pt idx="911">
                  <c:v>37408</c:v>
                </c:pt>
                <c:pt idx="912">
                  <c:v>37438</c:v>
                </c:pt>
                <c:pt idx="913">
                  <c:v>37469</c:v>
                </c:pt>
                <c:pt idx="914">
                  <c:v>37500</c:v>
                </c:pt>
                <c:pt idx="915">
                  <c:v>37530</c:v>
                </c:pt>
                <c:pt idx="916">
                  <c:v>37561</c:v>
                </c:pt>
                <c:pt idx="917">
                  <c:v>37591</c:v>
                </c:pt>
                <c:pt idx="918">
                  <c:v>37622</c:v>
                </c:pt>
                <c:pt idx="919">
                  <c:v>37653</c:v>
                </c:pt>
                <c:pt idx="920">
                  <c:v>37681</c:v>
                </c:pt>
                <c:pt idx="921">
                  <c:v>37712</c:v>
                </c:pt>
                <c:pt idx="922">
                  <c:v>37742</c:v>
                </c:pt>
                <c:pt idx="923">
                  <c:v>37773</c:v>
                </c:pt>
                <c:pt idx="924">
                  <c:v>37803</c:v>
                </c:pt>
                <c:pt idx="925">
                  <c:v>37834</c:v>
                </c:pt>
                <c:pt idx="926">
                  <c:v>37865</c:v>
                </c:pt>
                <c:pt idx="927">
                  <c:v>37895</c:v>
                </c:pt>
                <c:pt idx="928">
                  <c:v>37926</c:v>
                </c:pt>
                <c:pt idx="929">
                  <c:v>37956</c:v>
                </c:pt>
                <c:pt idx="930">
                  <c:v>37987</c:v>
                </c:pt>
                <c:pt idx="931">
                  <c:v>38018</c:v>
                </c:pt>
                <c:pt idx="932">
                  <c:v>38047</c:v>
                </c:pt>
                <c:pt idx="933">
                  <c:v>38078</c:v>
                </c:pt>
                <c:pt idx="934">
                  <c:v>38108</c:v>
                </c:pt>
                <c:pt idx="935">
                  <c:v>38139</c:v>
                </c:pt>
                <c:pt idx="936">
                  <c:v>38169</c:v>
                </c:pt>
                <c:pt idx="937">
                  <c:v>38200</c:v>
                </c:pt>
                <c:pt idx="938">
                  <c:v>38231</c:v>
                </c:pt>
                <c:pt idx="939">
                  <c:v>38261</c:v>
                </c:pt>
                <c:pt idx="940">
                  <c:v>38292</c:v>
                </c:pt>
                <c:pt idx="941">
                  <c:v>38322</c:v>
                </c:pt>
                <c:pt idx="942">
                  <c:v>38353</c:v>
                </c:pt>
                <c:pt idx="943">
                  <c:v>38384</c:v>
                </c:pt>
                <c:pt idx="944">
                  <c:v>38412</c:v>
                </c:pt>
                <c:pt idx="945">
                  <c:v>38443</c:v>
                </c:pt>
                <c:pt idx="946">
                  <c:v>38473</c:v>
                </c:pt>
                <c:pt idx="947">
                  <c:v>38504</c:v>
                </c:pt>
                <c:pt idx="948">
                  <c:v>38534</c:v>
                </c:pt>
                <c:pt idx="949">
                  <c:v>38565</c:v>
                </c:pt>
                <c:pt idx="950">
                  <c:v>38596</c:v>
                </c:pt>
                <c:pt idx="951">
                  <c:v>38626</c:v>
                </c:pt>
                <c:pt idx="952">
                  <c:v>38657</c:v>
                </c:pt>
                <c:pt idx="953">
                  <c:v>38687</c:v>
                </c:pt>
                <c:pt idx="954">
                  <c:v>38718</c:v>
                </c:pt>
                <c:pt idx="955">
                  <c:v>38749</c:v>
                </c:pt>
                <c:pt idx="956">
                  <c:v>38777</c:v>
                </c:pt>
                <c:pt idx="957">
                  <c:v>38808</c:v>
                </c:pt>
                <c:pt idx="958">
                  <c:v>38838</c:v>
                </c:pt>
                <c:pt idx="959">
                  <c:v>38869</c:v>
                </c:pt>
                <c:pt idx="960">
                  <c:v>38899</c:v>
                </c:pt>
                <c:pt idx="961">
                  <c:v>38930</c:v>
                </c:pt>
                <c:pt idx="962">
                  <c:v>38961</c:v>
                </c:pt>
                <c:pt idx="963">
                  <c:v>38991</c:v>
                </c:pt>
                <c:pt idx="964">
                  <c:v>39022</c:v>
                </c:pt>
                <c:pt idx="965">
                  <c:v>39052</c:v>
                </c:pt>
                <c:pt idx="966">
                  <c:v>39083</c:v>
                </c:pt>
                <c:pt idx="967">
                  <c:v>39114</c:v>
                </c:pt>
                <c:pt idx="968">
                  <c:v>39142</c:v>
                </c:pt>
                <c:pt idx="969">
                  <c:v>39173</c:v>
                </c:pt>
                <c:pt idx="970">
                  <c:v>39203</c:v>
                </c:pt>
                <c:pt idx="971">
                  <c:v>39234</c:v>
                </c:pt>
                <c:pt idx="972">
                  <c:v>39264</c:v>
                </c:pt>
                <c:pt idx="973">
                  <c:v>39295</c:v>
                </c:pt>
                <c:pt idx="974">
                  <c:v>39326</c:v>
                </c:pt>
                <c:pt idx="975">
                  <c:v>39356</c:v>
                </c:pt>
                <c:pt idx="976">
                  <c:v>39387</c:v>
                </c:pt>
                <c:pt idx="977">
                  <c:v>39417</c:v>
                </c:pt>
                <c:pt idx="978">
                  <c:v>39448</c:v>
                </c:pt>
                <c:pt idx="979">
                  <c:v>39479</c:v>
                </c:pt>
                <c:pt idx="980">
                  <c:v>39508</c:v>
                </c:pt>
                <c:pt idx="981">
                  <c:v>39539</c:v>
                </c:pt>
                <c:pt idx="982">
                  <c:v>39569</c:v>
                </c:pt>
                <c:pt idx="983">
                  <c:v>39600</c:v>
                </c:pt>
                <c:pt idx="984">
                  <c:v>39630</c:v>
                </c:pt>
                <c:pt idx="985">
                  <c:v>39661</c:v>
                </c:pt>
                <c:pt idx="986">
                  <c:v>39692</c:v>
                </c:pt>
                <c:pt idx="987">
                  <c:v>39722</c:v>
                </c:pt>
                <c:pt idx="988">
                  <c:v>39753</c:v>
                </c:pt>
                <c:pt idx="989">
                  <c:v>39783</c:v>
                </c:pt>
                <c:pt idx="990">
                  <c:v>39814</c:v>
                </c:pt>
                <c:pt idx="991">
                  <c:v>39845</c:v>
                </c:pt>
                <c:pt idx="992">
                  <c:v>39873</c:v>
                </c:pt>
                <c:pt idx="993">
                  <c:v>39904</c:v>
                </c:pt>
                <c:pt idx="994">
                  <c:v>39934</c:v>
                </c:pt>
                <c:pt idx="995">
                  <c:v>39965</c:v>
                </c:pt>
                <c:pt idx="996">
                  <c:v>39995</c:v>
                </c:pt>
                <c:pt idx="997">
                  <c:v>40026</c:v>
                </c:pt>
                <c:pt idx="998">
                  <c:v>40057</c:v>
                </c:pt>
                <c:pt idx="999">
                  <c:v>40087</c:v>
                </c:pt>
                <c:pt idx="1000">
                  <c:v>40118</c:v>
                </c:pt>
                <c:pt idx="1001">
                  <c:v>40148</c:v>
                </c:pt>
                <c:pt idx="1002">
                  <c:v>40179</c:v>
                </c:pt>
                <c:pt idx="1003">
                  <c:v>40210</c:v>
                </c:pt>
                <c:pt idx="1004">
                  <c:v>40238</c:v>
                </c:pt>
                <c:pt idx="1005">
                  <c:v>40269</c:v>
                </c:pt>
                <c:pt idx="1006">
                  <c:v>40299</c:v>
                </c:pt>
                <c:pt idx="1007">
                  <c:v>40330</c:v>
                </c:pt>
                <c:pt idx="1008">
                  <c:v>40360</c:v>
                </c:pt>
                <c:pt idx="1009">
                  <c:v>40391</c:v>
                </c:pt>
                <c:pt idx="1010">
                  <c:v>40422</c:v>
                </c:pt>
                <c:pt idx="1011">
                  <c:v>40452</c:v>
                </c:pt>
                <c:pt idx="1012">
                  <c:v>40483</c:v>
                </c:pt>
                <c:pt idx="1013">
                  <c:v>40513</c:v>
                </c:pt>
                <c:pt idx="1014">
                  <c:v>40544</c:v>
                </c:pt>
                <c:pt idx="1015">
                  <c:v>40575</c:v>
                </c:pt>
                <c:pt idx="1016">
                  <c:v>40603</c:v>
                </c:pt>
                <c:pt idx="1017">
                  <c:v>40634</c:v>
                </c:pt>
                <c:pt idx="1018">
                  <c:v>40664</c:v>
                </c:pt>
                <c:pt idx="1019">
                  <c:v>40695</c:v>
                </c:pt>
                <c:pt idx="1020">
                  <c:v>40725</c:v>
                </c:pt>
                <c:pt idx="1021">
                  <c:v>40756</c:v>
                </c:pt>
                <c:pt idx="1022">
                  <c:v>40787</c:v>
                </c:pt>
                <c:pt idx="1023">
                  <c:v>40817</c:v>
                </c:pt>
                <c:pt idx="1024">
                  <c:v>40848</c:v>
                </c:pt>
                <c:pt idx="1025">
                  <c:v>40878</c:v>
                </c:pt>
                <c:pt idx="1026">
                  <c:v>40909</c:v>
                </c:pt>
                <c:pt idx="1027">
                  <c:v>40940</c:v>
                </c:pt>
                <c:pt idx="1028">
                  <c:v>40969</c:v>
                </c:pt>
                <c:pt idx="1029">
                  <c:v>41000</c:v>
                </c:pt>
                <c:pt idx="1030">
                  <c:v>41030</c:v>
                </c:pt>
                <c:pt idx="1031">
                  <c:v>41061</c:v>
                </c:pt>
                <c:pt idx="1032">
                  <c:v>41091</c:v>
                </c:pt>
                <c:pt idx="1033">
                  <c:v>41122</c:v>
                </c:pt>
                <c:pt idx="1034">
                  <c:v>41153</c:v>
                </c:pt>
                <c:pt idx="1035">
                  <c:v>41183</c:v>
                </c:pt>
                <c:pt idx="1036">
                  <c:v>41214</c:v>
                </c:pt>
                <c:pt idx="1037">
                  <c:v>41244</c:v>
                </c:pt>
                <c:pt idx="1038">
                  <c:v>41275</c:v>
                </c:pt>
                <c:pt idx="1039">
                  <c:v>41306</c:v>
                </c:pt>
                <c:pt idx="1040">
                  <c:v>41334</c:v>
                </c:pt>
                <c:pt idx="1041">
                  <c:v>41365</c:v>
                </c:pt>
                <c:pt idx="1042">
                  <c:v>41395</c:v>
                </c:pt>
                <c:pt idx="1043">
                  <c:v>41426</c:v>
                </c:pt>
                <c:pt idx="1044">
                  <c:v>41456</c:v>
                </c:pt>
                <c:pt idx="1045">
                  <c:v>41487</c:v>
                </c:pt>
                <c:pt idx="1046">
                  <c:v>41518</c:v>
                </c:pt>
                <c:pt idx="1047">
                  <c:v>41548</c:v>
                </c:pt>
                <c:pt idx="1048">
                  <c:v>41579</c:v>
                </c:pt>
                <c:pt idx="1049">
                  <c:v>41609</c:v>
                </c:pt>
                <c:pt idx="1050">
                  <c:v>41640</c:v>
                </c:pt>
                <c:pt idx="1051">
                  <c:v>41671</c:v>
                </c:pt>
                <c:pt idx="1052">
                  <c:v>41699</c:v>
                </c:pt>
                <c:pt idx="1053">
                  <c:v>41730</c:v>
                </c:pt>
                <c:pt idx="1054">
                  <c:v>41760</c:v>
                </c:pt>
                <c:pt idx="1055">
                  <c:v>41791</c:v>
                </c:pt>
                <c:pt idx="1056">
                  <c:v>41821</c:v>
                </c:pt>
                <c:pt idx="1057">
                  <c:v>41852</c:v>
                </c:pt>
                <c:pt idx="1058">
                  <c:v>41883</c:v>
                </c:pt>
                <c:pt idx="1059">
                  <c:v>41913</c:v>
                </c:pt>
                <c:pt idx="1060">
                  <c:v>41944</c:v>
                </c:pt>
                <c:pt idx="1061">
                  <c:v>41974</c:v>
                </c:pt>
                <c:pt idx="1062">
                  <c:v>42005</c:v>
                </c:pt>
                <c:pt idx="1063">
                  <c:v>42036</c:v>
                </c:pt>
                <c:pt idx="1064">
                  <c:v>42064</c:v>
                </c:pt>
                <c:pt idx="1065">
                  <c:v>42095</c:v>
                </c:pt>
                <c:pt idx="1066">
                  <c:v>42125</c:v>
                </c:pt>
                <c:pt idx="1067">
                  <c:v>42156</c:v>
                </c:pt>
                <c:pt idx="1068">
                  <c:v>42186</c:v>
                </c:pt>
                <c:pt idx="1069">
                  <c:v>42217</c:v>
                </c:pt>
                <c:pt idx="1070">
                  <c:v>42248</c:v>
                </c:pt>
                <c:pt idx="1071">
                  <c:v>42278</c:v>
                </c:pt>
                <c:pt idx="1072">
                  <c:v>42309</c:v>
                </c:pt>
                <c:pt idx="1073">
                  <c:v>42339</c:v>
                </c:pt>
                <c:pt idx="1074">
                  <c:v>42370</c:v>
                </c:pt>
                <c:pt idx="1075">
                  <c:v>42401</c:v>
                </c:pt>
                <c:pt idx="1076">
                  <c:v>42430</c:v>
                </c:pt>
                <c:pt idx="1077">
                  <c:v>42461</c:v>
                </c:pt>
                <c:pt idx="1078">
                  <c:v>42491</c:v>
                </c:pt>
                <c:pt idx="1079">
                  <c:v>42522</c:v>
                </c:pt>
                <c:pt idx="1080">
                  <c:v>42552</c:v>
                </c:pt>
                <c:pt idx="1081">
                  <c:v>42583</c:v>
                </c:pt>
                <c:pt idx="1082">
                  <c:v>42614</c:v>
                </c:pt>
                <c:pt idx="1083">
                  <c:v>42644</c:v>
                </c:pt>
                <c:pt idx="1084">
                  <c:v>42675</c:v>
                </c:pt>
                <c:pt idx="1085">
                  <c:v>42705</c:v>
                </c:pt>
              </c:numCache>
            </c:numRef>
          </c:xVal>
          <c:yVal>
            <c:numRef>
              <c:f>Price!$F$2:$F$1087</c:f>
              <c:numCache>
                <c:formatCode>_("$"* #,##0_);_("$"* \(#,##0\);_("$"* "-"??_);_(@_)</c:formatCode>
                <c:ptCount val="1086"/>
                <c:pt idx="0">
                  <c:v>100</c:v>
                </c:pt>
                <c:pt idx="1">
                  <c:v>98.6</c:v>
                </c:pt>
                <c:pt idx="2">
                  <c:v>97.298479999999998</c:v>
                </c:pt>
                <c:pt idx="3">
                  <c:v>97.337399391999995</c:v>
                </c:pt>
                <c:pt idx="4">
                  <c:v>97.142724593215988</c:v>
                </c:pt>
                <c:pt idx="5">
                  <c:v>97.103867503378709</c:v>
                </c:pt>
                <c:pt idx="6">
                  <c:v>96.560085845359779</c:v>
                </c:pt>
                <c:pt idx="7">
                  <c:v>96.463525759514425</c:v>
                </c:pt>
                <c:pt idx="8">
                  <c:v>94.9201093473622</c:v>
                </c:pt>
                <c:pt idx="9">
                  <c:v>95.328265817555859</c:v>
                </c:pt>
                <c:pt idx="10">
                  <c:v>96.672394365583401</c:v>
                </c:pt>
                <c:pt idx="11">
                  <c:v>97.126754619101632</c:v>
                </c:pt>
                <c:pt idx="12">
                  <c:v>93.989560444904654</c:v>
                </c:pt>
                <c:pt idx="13">
                  <c:v>93.312835609701338</c:v>
                </c:pt>
                <c:pt idx="14">
                  <c:v>89.981567378435003</c:v>
                </c:pt>
                <c:pt idx="15">
                  <c:v>91.898174763595676</c:v>
                </c:pt>
                <c:pt idx="16">
                  <c:v>94.434564387070921</c:v>
                </c:pt>
                <c:pt idx="17">
                  <c:v>95.312805835870691</c:v>
                </c:pt>
                <c:pt idx="18">
                  <c:v>99.363600083895193</c:v>
                </c:pt>
                <c:pt idx="19">
                  <c:v>97.346519002192125</c:v>
                </c:pt>
                <c:pt idx="20">
                  <c:v>97.093418052786419</c:v>
                </c:pt>
                <c:pt idx="21">
                  <c:v>100.80238662240286</c:v>
                </c:pt>
                <c:pt idx="22">
                  <c:v>103.80629774375048</c:v>
                </c:pt>
                <c:pt idx="23">
                  <c:v>100.17307732271921</c:v>
                </c:pt>
                <c:pt idx="24">
                  <c:v>98.820740778862501</c:v>
                </c:pt>
                <c:pt idx="25">
                  <c:v>96.775151444740047</c:v>
                </c:pt>
                <c:pt idx="26">
                  <c:v>98.884849746235389</c:v>
                </c:pt>
                <c:pt idx="27">
                  <c:v>101.12953583547493</c:v>
                </c:pt>
                <c:pt idx="28">
                  <c:v>99.299091236852831</c:v>
                </c:pt>
                <c:pt idx="29">
                  <c:v>98.455048961339585</c:v>
                </c:pt>
                <c:pt idx="30">
                  <c:v>94.959894723212031</c:v>
                </c:pt>
                <c:pt idx="31">
                  <c:v>94.589551133791502</c:v>
                </c:pt>
                <c:pt idx="32">
                  <c:v>90.068170589596278</c:v>
                </c:pt>
                <c:pt idx="33">
                  <c:v>89.176495700759276</c:v>
                </c:pt>
                <c:pt idx="34">
                  <c:v>84.307459035497814</c:v>
                </c:pt>
                <c:pt idx="35">
                  <c:v>82.477987174427511</c:v>
                </c:pt>
                <c:pt idx="36">
                  <c:v>79.286089070777166</c:v>
                </c:pt>
                <c:pt idx="37">
                  <c:v>71.745982000146256</c:v>
                </c:pt>
                <c:pt idx="38">
                  <c:v>72.585409989547969</c:v>
                </c:pt>
                <c:pt idx="39">
                  <c:v>69.623925261974421</c:v>
                </c:pt>
                <c:pt idx="40">
                  <c:v>68.294108289470714</c:v>
                </c:pt>
                <c:pt idx="41">
                  <c:v>65.42575574131294</c:v>
                </c:pt>
                <c:pt idx="42">
                  <c:v>67.767997796851944</c:v>
                </c:pt>
                <c:pt idx="43">
                  <c:v>67.849319394208166</c:v>
                </c:pt>
                <c:pt idx="44">
                  <c:v>70.183335981368927</c:v>
                </c:pt>
                <c:pt idx="45">
                  <c:v>70.064024310200594</c:v>
                </c:pt>
                <c:pt idx="46">
                  <c:v>68.63471821427251</c:v>
                </c:pt>
                <c:pt idx="47">
                  <c:v>66.424680287772929</c:v>
                </c:pt>
                <c:pt idx="48">
                  <c:v>66.178908970708164</c:v>
                </c:pt>
                <c:pt idx="49">
                  <c:v>64.709737191558446</c:v>
                </c:pt>
                <c:pt idx="50">
                  <c:v>63.273181025905849</c:v>
                </c:pt>
                <c:pt idx="51">
                  <c:v>63.209907844879943</c:v>
                </c:pt>
                <c:pt idx="52">
                  <c:v>64.606846808251788</c:v>
                </c:pt>
                <c:pt idx="53">
                  <c:v>61.583246377625606</c:v>
                </c:pt>
                <c:pt idx="54">
                  <c:v>63.929568064613143</c:v>
                </c:pt>
                <c:pt idx="55">
                  <c:v>66.096780422003533</c:v>
                </c:pt>
                <c:pt idx="56">
                  <c:v>68.12595158095904</c:v>
                </c:pt>
                <c:pt idx="57">
                  <c:v>64.985345213076826</c:v>
                </c:pt>
                <c:pt idx="58">
                  <c:v>68.338589026071602</c:v>
                </c:pt>
                <c:pt idx="59">
                  <c:v>64.661972936468956</c:v>
                </c:pt>
                <c:pt idx="60">
                  <c:v>65.586639149460467</c:v>
                </c:pt>
                <c:pt idx="61">
                  <c:v>64.29458235821609</c:v>
                </c:pt>
                <c:pt idx="62">
                  <c:v>64.65463201942211</c:v>
                </c:pt>
                <c:pt idx="63">
                  <c:v>63.445590400658915</c:v>
                </c:pt>
                <c:pt idx="64">
                  <c:v>66.173750787887244</c:v>
                </c:pt>
                <c:pt idx="65">
                  <c:v>65.803177783475078</c:v>
                </c:pt>
                <c:pt idx="66">
                  <c:v>68.395822988144005</c:v>
                </c:pt>
                <c:pt idx="67">
                  <c:v>66.501258691372414</c:v>
                </c:pt>
                <c:pt idx="68">
                  <c:v>68.010837263666559</c:v>
                </c:pt>
                <c:pt idx="69">
                  <c:v>68.990193320263359</c:v>
                </c:pt>
                <c:pt idx="70">
                  <c:v>71.556628511777149</c:v>
                </c:pt>
                <c:pt idx="71">
                  <c:v>71.807076711568371</c:v>
                </c:pt>
                <c:pt idx="72">
                  <c:v>68.618842505574733</c:v>
                </c:pt>
                <c:pt idx="73">
                  <c:v>78.424475099621361</c:v>
                </c:pt>
                <c:pt idx="74">
                  <c:v>76.518760354700561</c:v>
                </c:pt>
                <c:pt idx="75">
                  <c:v>74.406842568910832</c:v>
                </c:pt>
                <c:pt idx="76">
                  <c:v>75.954504894344169</c:v>
                </c:pt>
                <c:pt idx="77">
                  <c:v>69.673067339581905</c:v>
                </c:pt>
                <c:pt idx="78">
                  <c:v>70.112007663821274</c:v>
                </c:pt>
                <c:pt idx="79">
                  <c:v>68.18392745306619</c:v>
                </c:pt>
                <c:pt idx="80">
                  <c:v>70.843100623735765</c:v>
                </c:pt>
                <c:pt idx="81">
                  <c:v>74.073546012178127</c:v>
                </c:pt>
                <c:pt idx="82">
                  <c:v>101.2585373986475</c:v>
                </c:pt>
                <c:pt idx="83">
                  <c:v>110.03765259111024</c:v>
                </c:pt>
                <c:pt idx="84">
                  <c:v>108.92627229994004</c:v>
                </c:pt>
                <c:pt idx="85">
                  <c:v>102.98979045959331</c:v>
                </c:pt>
                <c:pt idx="86">
                  <c:v>102.66022313012262</c:v>
                </c:pt>
                <c:pt idx="87">
                  <c:v>102.57809495161851</c:v>
                </c:pt>
                <c:pt idx="88">
                  <c:v>95.931034398753638</c:v>
                </c:pt>
                <c:pt idx="89">
                  <c:v>96.564179225785409</c:v>
                </c:pt>
                <c:pt idx="90">
                  <c:v>108.66367088277632</c:v>
                </c:pt>
                <c:pt idx="91">
                  <c:v>114.30331540159241</c:v>
                </c:pt>
                <c:pt idx="92">
                  <c:v>117.17232861817237</c:v>
                </c:pt>
                <c:pt idx="93">
                  <c:v>120.4531538194812</c:v>
                </c:pt>
                <c:pt idx="94">
                  <c:v>120.13997561955054</c:v>
                </c:pt>
                <c:pt idx="95">
                  <c:v>117.56898014129216</c:v>
                </c:pt>
                <c:pt idx="96">
                  <c:v>109.40969291948647</c:v>
                </c:pt>
                <c:pt idx="97">
                  <c:v>115.33969827572264</c:v>
                </c:pt>
                <c:pt idx="98">
                  <c:v>113.58653486193165</c:v>
                </c:pt>
                <c:pt idx="99">
                  <c:v>114.9950078942196</c:v>
                </c:pt>
                <c:pt idx="100">
                  <c:v>122.45818390655444</c:v>
                </c:pt>
                <c:pt idx="101">
                  <c:v>126.22989597087631</c:v>
                </c:pt>
                <c:pt idx="102">
                  <c:v>127.58055585776468</c:v>
                </c:pt>
                <c:pt idx="103">
                  <c:v>128.1163941923673</c:v>
                </c:pt>
                <c:pt idx="104">
                  <c:v>123.58107383795749</c:v>
                </c:pt>
                <c:pt idx="105">
                  <c:v>121.65320908608535</c:v>
                </c:pt>
                <c:pt idx="106">
                  <c:v>117.66298382806177</c:v>
                </c:pt>
                <c:pt idx="107">
                  <c:v>111.74453574151026</c:v>
                </c:pt>
                <c:pt idx="108">
                  <c:v>113.38718041691045</c:v>
                </c:pt>
                <c:pt idx="109">
                  <c:v>120.50789534709243</c:v>
                </c:pt>
                <c:pt idx="110">
                  <c:v>122.39986930404179</c:v>
                </c:pt>
                <c:pt idx="111">
                  <c:v>125.64346584059889</c:v>
                </c:pt>
                <c:pt idx="112">
                  <c:v>131.04613487174464</c:v>
                </c:pt>
                <c:pt idx="113">
                  <c:v>131.33443636846249</c:v>
                </c:pt>
                <c:pt idx="114">
                  <c:v>138.03249262325406</c:v>
                </c:pt>
                <c:pt idx="115">
                  <c:v>139.60606303915915</c:v>
                </c:pt>
                <c:pt idx="116">
                  <c:v>140.52746305521759</c:v>
                </c:pt>
                <c:pt idx="117">
                  <c:v>132.05365703298799</c:v>
                </c:pt>
                <c:pt idx="118">
                  <c:v>133.12329165495518</c:v>
                </c:pt>
                <c:pt idx="119">
                  <c:v>128.79678467616915</c:v>
                </c:pt>
                <c:pt idx="120">
                  <c:v>130.2650680214775</c:v>
                </c:pt>
                <c:pt idx="121">
                  <c:v>131.20297651123215</c:v>
                </c:pt>
                <c:pt idx="122">
                  <c:v>135.23090789012699</c:v>
                </c:pt>
                <c:pt idx="123">
                  <c:v>131.99888919155293</c:v>
                </c:pt>
                <c:pt idx="124">
                  <c:v>143.89198910771185</c:v>
                </c:pt>
                <c:pt idx="125">
                  <c:v>149.08648991450025</c:v>
                </c:pt>
                <c:pt idx="126">
                  <c:v>155.51211762981521</c:v>
                </c:pt>
                <c:pt idx="127">
                  <c:v>157.42491667666192</c:v>
                </c:pt>
                <c:pt idx="128">
                  <c:v>154.62275315981734</c:v>
                </c:pt>
                <c:pt idx="129">
                  <c:v>148.79347536569222</c:v>
                </c:pt>
                <c:pt idx="130">
                  <c:v>147.81143842827865</c:v>
                </c:pt>
                <c:pt idx="131">
                  <c:v>142.41632092564649</c:v>
                </c:pt>
                <c:pt idx="132">
                  <c:v>143.62685965351449</c:v>
                </c:pt>
                <c:pt idx="133">
                  <c:v>144.23009246405925</c:v>
                </c:pt>
                <c:pt idx="134">
                  <c:v>134.29263909328557</c:v>
                </c:pt>
                <c:pt idx="135">
                  <c:v>134.89695596920535</c:v>
                </c:pt>
                <c:pt idx="136">
                  <c:v>129.97321707632935</c:v>
                </c:pt>
                <c:pt idx="137">
                  <c:v>119.88729543120618</c:v>
                </c:pt>
                <c:pt idx="138">
                  <c:v>125.84569401413714</c:v>
                </c:pt>
                <c:pt idx="139">
                  <c:v>126.28615394318662</c:v>
                </c:pt>
                <c:pt idx="140">
                  <c:v>120.9316210159955</c:v>
                </c:pt>
                <c:pt idx="141">
                  <c:v>128.63496527471443</c:v>
                </c:pt>
                <c:pt idx="142">
                  <c:v>125.45768163242897</c:v>
                </c:pt>
                <c:pt idx="143">
                  <c:v>130.53871773854235</c:v>
                </c:pt>
                <c:pt idx="144">
                  <c:v>139.23259633992927</c:v>
                </c:pt>
                <c:pt idx="145">
                  <c:v>135.83532098923502</c:v>
                </c:pt>
                <c:pt idx="146">
                  <c:v>132.14060025832782</c:v>
                </c:pt>
                <c:pt idx="147">
                  <c:v>139.84439725338834</c:v>
                </c:pt>
                <c:pt idx="148">
                  <c:v>136.2643806837016</c:v>
                </c:pt>
                <c:pt idx="149">
                  <c:v>133.81162183139497</c:v>
                </c:pt>
                <c:pt idx="150">
                  <c:v>131.72416053082523</c:v>
                </c:pt>
                <c:pt idx="151">
                  <c:v>132.55402274216942</c:v>
                </c:pt>
                <c:pt idx="152">
                  <c:v>126.24445125964216</c:v>
                </c:pt>
                <c:pt idx="153">
                  <c:v>128.34010915055222</c:v>
                </c:pt>
                <c:pt idx="154">
                  <c:v>131.94646621768274</c:v>
                </c:pt>
                <c:pt idx="155">
                  <c:v>130.60061226226239</c:v>
                </c:pt>
                <c:pt idx="156">
                  <c:v>136.2425587119921</c:v>
                </c:pt>
                <c:pt idx="157">
                  <c:v>129.96177675536927</c:v>
                </c:pt>
                <c:pt idx="158">
                  <c:v>156.25304419298047</c:v>
                </c:pt>
                <c:pt idx="159">
                  <c:v>156.23741888856117</c:v>
                </c:pt>
                <c:pt idx="160">
                  <c:v>148.31618175091111</c:v>
                </c:pt>
                <c:pt idx="161">
                  <c:v>149.4878795867433</c:v>
                </c:pt>
                <c:pt idx="162">
                  <c:v>149.84665049775148</c:v>
                </c:pt>
                <c:pt idx="163">
                  <c:v>153.60780142524504</c:v>
                </c:pt>
                <c:pt idx="164">
                  <c:v>155.52789894306059</c:v>
                </c:pt>
                <c:pt idx="165">
                  <c:v>161.62459258162855</c:v>
                </c:pt>
                <c:pt idx="166">
                  <c:v>150.86039471569208</c:v>
                </c:pt>
                <c:pt idx="167">
                  <c:v>147.64706830824784</c:v>
                </c:pt>
                <c:pt idx="168">
                  <c:v>149.13830369816114</c:v>
                </c:pt>
                <c:pt idx="169">
                  <c:v>148.97425156409315</c:v>
                </c:pt>
                <c:pt idx="170">
                  <c:v>153.77122246445694</c:v>
                </c:pt>
                <c:pt idx="171">
                  <c:v>154.20178188735741</c:v>
                </c:pt>
                <c:pt idx="172">
                  <c:v>157.19329645597216</c:v>
                </c:pt>
                <c:pt idx="173">
                  <c:v>153.81364058216877</c:v>
                </c:pt>
                <c:pt idx="174">
                  <c:v>155.35177698799046</c:v>
                </c:pt>
                <c:pt idx="175">
                  <c:v>152.91275408927899</c:v>
                </c:pt>
                <c:pt idx="176">
                  <c:v>153.06566684336826</c:v>
                </c:pt>
                <c:pt idx="177">
                  <c:v>150.47885707371535</c:v>
                </c:pt>
                <c:pt idx="178">
                  <c:v>149.48569661702882</c:v>
                </c:pt>
                <c:pt idx="179">
                  <c:v>151.45890781237361</c:v>
                </c:pt>
                <c:pt idx="180">
                  <c:v>160.09206555767889</c:v>
                </c:pt>
                <c:pt idx="181">
                  <c:v>159.43568808889242</c:v>
                </c:pt>
                <c:pt idx="182">
                  <c:v>157.85727477681237</c:v>
                </c:pt>
                <c:pt idx="183">
                  <c:v>154.66855782632078</c:v>
                </c:pt>
                <c:pt idx="184">
                  <c:v>152.7970682766223</c:v>
                </c:pt>
                <c:pt idx="185">
                  <c:v>148.24371564197895</c:v>
                </c:pt>
                <c:pt idx="186">
                  <c:v>159.39164305825577</c:v>
                </c:pt>
                <c:pt idx="187">
                  <c:v>162.13317931885777</c:v>
                </c:pt>
                <c:pt idx="188">
                  <c:v>165.01914991073343</c:v>
                </c:pt>
                <c:pt idx="189">
                  <c:v>164.02903501126903</c:v>
                </c:pt>
                <c:pt idx="190">
                  <c:v>159.02614944342534</c:v>
                </c:pt>
                <c:pt idx="191">
                  <c:v>157.08603042021556</c:v>
                </c:pt>
                <c:pt idx="192">
                  <c:v>156.83469277154322</c:v>
                </c:pt>
                <c:pt idx="193">
                  <c:v>156.69354154804881</c:v>
                </c:pt>
                <c:pt idx="194">
                  <c:v>157.72771892226592</c:v>
                </c:pt>
                <c:pt idx="195">
                  <c:v>160.59836340665117</c:v>
                </c:pt>
                <c:pt idx="196">
                  <c:v>158.12514861018875</c:v>
                </c:pt>
                <c:pt idx="197">
                  <c:v>154.18783240979505</c:v>
                </c:pt>
                <c:pt idx="198">
                  <c:v>167.72552409537508</c:v>
                </c:pt>
                <c:pt idx="199">
                  <c:v>175.84343946159123</c:v>
                </c:pt>
                <c:pt idx="200">
                  <c:v>184.68836446650928</c:v>
                </c:pt>
                <c:pt idx="201">
                  <c:v>188.49294477451937</c:v>
                </c:pt>
                <c:pt idx="202">
                  <c:v>196.80548363907567</c:v>
                </c:pt>
                <c:pt idx="203">
                  <c:v>194.71934551250146</c:v>
                </c:pt>
                <c:pt idx="204">
                  <c:v>190.02660928565018</c:v>
                </c:pt>
                <c:pt idx="205">
                  <c:v>188.84844430807917</c:v>
                </c:pt>
                <c:pt idx="206">
                  <c:v>191.26570439522257</c:v>
                </c:pt>
                <c:pt idx="207">
                  <c:v>192.37504548071487</c:v>
                </c:pt>
                <c:pt idx="208">
                  <c:v>189.22009473483115</c:v>
                </c:pt>
                <c:pt idx="209">
                  <c:v>195.54004589897454</c:v>
                </c:pt>
                <c:pt idx="210">
                  <c:v>200.54587107398831</c:v>
                </c:pt>
                <c:pt idx="211">
                  <c:v>200.34532520291432</c:v>
                </c:pt>
                <c:pt idx="212">
                  <c:v>203.77123026388415</c:v>
                </c:pt>
                <c:pt idx="213">
                  <c:v>201.02031865532172</c:v>
                </c:pt>
                <c:pt idx="214">
                  <c:v>204.37735797686557</c:v>
                </c:pt>
                <c:pt idx="215">
                  <c:v>212.63420323913093</c:v>
                </c:pt>
                <c:pt idx="216">
                  <c:v>213.80369135694616</c:v>
                </c:pt>
                <c:pt idx="217">
                  <c:v>218.95636031864856</c:v>
                </c:pt>
                <c:pt idx="218">
                  <c:v>219.98545521214621</c:v>
                </c:pt>
                <c:pt idx="219">
                  <c:v>219.67747557484921</c:v>
                </c:pt>
                <c:pt idx="220">
                  <c:v>220.49028223447615</c:v>
                </c:pt>
                <c:pt idx="221">
                  <c:v>225.42926455652841</c:v>
                </c:pt>
                <c:pt idx="222">
                  <c:v>230.92973861170771</c:v>
                </c:pt>
                <c:pt idx="223">
                  <c:v>234.53224253405037</c:v>
                </c:pt>
                <c:pt idx="224">
                  <c:v>230.75627342925216</c:v>
                </c:pt>
                <c:pt idx="225">
                  <c:v>231.49469350422578</c:v>
                </c:pt>
                <c:pt idx="226">
                  <c:v>234.99026337613955</c:v>
                </c:pt>
                <c:pt idx="227">
                  <c:v>242.27496154079986</c:v>
                </c:pt>
                <c:pt idx="228">
                  <c:v>238.73774710230421</c:v>
                </c:pt>
                <c:pt idx="229">
                  <c:v>242.58142483065132</c:v>
                </c:pt>
                <c:pt idx="230">
                  <c:v>246.72956719525541</c:v>
                </c:pt>
                <c:pt idx="231">
                  <c:v>252.79911454825867</c:v>
                </c:pt>
                <c:pt idx="232">
                  <c:v>263.31555771346626</c:v>
                </c:pt>
                <c:pt idx="233">
                  <c:v>268.89784753699178</c:v>
                </c:pt>
                <c:pt idx="234">
                  <c:v>279.70754100797888</c:v>
                </c:pt>
                <c:pt idx="235">
                  <c:v>277.66567595862062</c:v>
                </c:pt>
                <c:pt idx="236">
                  <c:v>278.52643955409241</c:v>
                </c:pt>
                <c:pt idx="237">
                  <c:v>285.12751617152441</c:v>
                </c:pt>
                <c:pt idx="238">
                  <c:v>289.29037790762862</c:v>
                </c:pt>
                <c:pt idx="239">
                  <c:v>284.86423512564193</c:v>
                </c:pt>
                <c:pt idx="240">
                  <c:v>278.99603188205373</c:v>
                </c:pt>
                <c:pt idx="241">
                  <c:v>274.02990251455316</c:v>
                </c:pt>
                <c:pt idx="242">
                  <c:v>261.94518381366134</c:v>
                </c:pt>
                <c:pt idx="243">
                  <c:v>262.18093447909359</c:v>
                </c:pt>
                <c:pt idx="244">
                  <c:v>261.13221074117723</c:v>
                </c:pt>
                <c:pt idx="245">
                  <c:v>261.28889006762194</c:v>
                </c:pt>
                <c:pt idx="246">
                  <c:v>266.98498787109611</c:v>
                </c:pt>
                <c:pt idx="247">
                  <c:v>268.80048578861954</c:v>
                </c:pt>
                <c:pt idx="248">
                  <c:v>264.47279796742276</c:v>
                </c:pt>
                <c:pt idx="249">
                  <c:v>253.9732278881161</c:v>
                </c:pt>
                <c:pt idx="250">
                  <c:v>245.69370065896354</c:v>
                </c:pt>
                <c:pt idx="251">
                  <c:v>244.93205018692075</c:v>
                </c:pt>
                <c:pt idx="252">
                  <c:v>248.4345785045937</c:v>
                </c:pt>
                <c:pt idx="253">
                  <c:v>249.17988224010745</c:v>
                </c:pt>
                <c:pt idx="254">
                  <c:v>253.2664323088452</c:v>
                </c:pt>
                <c:pt idx="255">
                  <c:v>254.55809111362032</c:v>
                </c:pt>
                <c:pt idx="256">
                  <c:v>250.12878032824332</c:v>
                </c:pt>
                <c:pt idx="257">
                  <c:v>243.92558657610289</c:v>
                </c:pt>
                <c:pt idx="258">
                  <c:v>249.99933368184784</c:v>
                </c:pt>
                <c:pt idx="259">
                  <c:v>245.72434507588824</c:v>
                </c:pt>
                <c:pt idx="260">
                  <c:v>246.04378672448692</c:v>
                </c:pt>
                <c:pt idx="261">
                  <c:v>241.95945986486046</c:v>
                </c:pt>
                <c:pt idx="262">
                  <c:v>244.20968284160369</c:v>
                </c:pt>
                <c:pt idx="263">
                  <c:v>239.66738274074987</c:v>
                </c:pt>
                <c:pt idx="264">
                  <c:v>238.90044711597949</c:v>
                </c:pt>
                <c:pt idx="265">
                  <c:v>236.2725421977037</c:v>
                </c:pt>
                <c:pt idx="266">
                  <c:v>233.36638992867196</c:v>
                </c:pt>
                <c:pt idx="267">
                  <c:v>229.86589407974188</c:v>
                </c:pt>
                <c:pt idx="268">
                  <c:v>228.44072553644747</c:v>
                </c:pt>
                <c:pt idx="269">
                  <c:v>222.04438522142695</c:v>
                </c:pt>
                <c:pt idx="270">
                  <c:v>226.06338859393477</c:v>
                </c:pt>
                <c:pt idx="271">
                  <c:v>221.79079054950941</c:v>
                </c:pt>
                <c:pt idx="272">
                  <c:v>227.29120215513723</c:v>
                </c:pt>
                <c:pt idx="273">
                  <c:v>225.26831045595651</c:v>
                </c:pt>
                <c:pt idx="274">
                  <c:v>223.53374446544564</c:v>
                </c:pt>
                <c:pt idx="275">
                  <c:v>221.56664751414971</c:v>
                </c:pt>
                <c:pt idx="276">
                  <c:v>222.82957740498037</c:v>
                </c:pt>
                <c:pt idx="277">
                  <c:v>223.11925585560687</c:v>
                </c:pt>
                <c:pt idx="278">
                  <c:v>225.46200804209073</c:v>
                </c:pt>
                <c:pt idx="279">
                  <c:v>227.78426672492427</c:v>
                </c:pt>
                <c:pt idx="280">
                  <c:v>225.66587304438247</c:v>
                </c:pt>
                <c:pt idx="281">
                  <c:v>230.33715661640116</c:v>
                </c:pt>
                <c:pt idx="282">
                  <c:v>238.07648507871227</c:v>
                </c:pt>
                <c:pt idx="283">
                  <c:v>238.17171567274374</c:v>
                </c:pt>
                <c:pt idx="284">
                  <c:v>234.81349448175806</c:v>
                </c:pt>
                <c:pt idx="285">
                  <c:v>239.48628302194504</c:v>
                </c:pt>
                <c:pt idx="286">
                  <c:v>234.40917382187982</c:v>
                </c:pt>
                <c:pt idx="287">
                  <c:v>228.83023548491906</c:v>
                </c:pt>
                <c:pt idx="288">
                  <c:v>229.99726968589218</c:v>
                </c:pt>
                <c:pt idx="289">
                  <c:v>231.67624975459921</c:v>
                </c:pt>
                <c:pt idx="290">
                  <c:v>232.99680437820044</c:v>
                </c:pt>
                <c:pt idx="291">
                  <c:v>231.64542291280688</c:v>
                </c:pt>
                <c:pt idx="292">
                  <c:v>229.6996013603393</c:v>
                </c:pt>
                <c:pt idx="293">
                  <c:v>233.12212542060834</c:v>
                </c:pt>
                <c:pt idx="294">
                  <c:v>237.15513819038489</c:v>
                </c:pt>
                <c:pt idx="295">
                  <c:v>237.36857781475621</c:v>
                </c:pt>
                <c:pt idx="296">
                  <c:v>235.84941891674177</c:v>
                </c:pt>
                <c:pt idx="297">
                  <c:v>232.33526257488231</c:v>
                </c:pt>
                <c:pt idx="298">
                  <c:v>232.31202904862482</c:v>
                </c:pt>
                <c:pt idx="299">
                  <c:v>227.78194448217664</c:v>
                </c:pt>
                <c:pt idx="300">
                  <c:v>223.40853114811884</c:v>
                </c:pt>
                <c:pt idx="301">
                  <c:v>225.28516280976302</c:v>
                </c:pt>
                <c:pt idx="302">
                  <c:v>229.52052387058654</c:v>
                </c:pt>
                <c:pt idx="303">
                  <c:v>228.8778664037489</c:v>
                </c:pt>
                <c:pt idx="304">
                  <c:v>227.8708037915724</c:v>
                </c:pt>
                <c:pt idx="305">
                  <c:v>223.17666523346603</c:v>
                </c:pt>
                <c:pt idx="306">
                  <c:v>221.48052257769166</c:v>
                </c:pt>
                <c:pt idx="307">
                  <c:v>222.96444207896218</c:v>
                </c:pt>
                <c:pt idx="308">
                  <c:v>216.23091592817752</c:v>
                </c:pt>
                <c:pt idx="309">
                  <c:v>217.05259340870461</c:v>
                </c:pt>
                <c:pt idx="310">
                  <c:v>214.75183591857234</c:v>
                </c:pt>
                <c:pt idx="311">
                  <c:v>211.31580654387517</c:v>
                </c:pt>
                <c:pt idx="312">
                  <c:v>210.57620122097163</c:v>
                </c:pt>
                <c:pt idx="313">
                  <c:v>213.12417325574538</c:v>
                </c:pt>
                <c:pt idx="314">
                  <c:v>215.66035091748876</c:v>
                </c:pt>
                <c:pt idx="315">
                  <c:v>213.28808705739638</c:v>
                </c:pt>
                <c:pt idx="316">
                  <c:v>211.81639925670035</c:v>
                </c:pt>
                <c:pt idx="317">
                  <c:v>208.8086063872552</c:v>
                </c:pt>
                <c:pt idx="318">
                  <c:v>216.20043105336404</c:v>
                </c:pt>
                <c:pt idx="319">
                  <c:v>220.87036036411672</c:v>
                </c:pt>
                <c:pt idx="320">
                  <c:v>220.56114185960698</c:v>
                </c:pt>
                <c:pt idx="321">
                  <c:v>221.1566569426279</c:v>
                </c:pt>
                <c:pt idx="322">
                  <c:v>221.09030994554513</c:v>
                </c:pt>
                <c:pt idx="323">
                  <c:v>217.00013921155255</c:v>
                </c:pt>
                <c:pt idx="324">
                  <c:v>214.80843780551587</c:v>
                </c:pt>
                <c:pt idx="325">
                  <c:v>215.75359493186014</c:v>
                </c:pt>
                <c:pt idx="326">
                  <c:v>214.00599081291207</c:v>
                </c:pt>
                <c:pt idx="327">
                  <c:v>211.00990694153131</c:v>
                </c:pt>
                <c:pt idx="328">
                  <c:v>208.41448508615048</c:v>
                </c:pt>
                <c:pt idx="329">
                  <c:v>206.91390079353019</c:v>
                </c:pt>
                <c:pt idx="330">
                  <c:v>207.78293917686301</c:v>
                </c:pt>
                <c:pt idx="331">
                  <c:v>207.34659500459159</c:v>
                </c:pt>
                <c:pt idx="332">
                  <c:v>206.28912737006817</c:v>
                </c:pt>
                <c:pt idx="333">
                  <c:v>199.15152356306382</c:v>
                </c:pt>
                <c:pt idx="334">
                  <c:v>199.86846904789087</c:v>
                </c:pt>
                <c:pt idx="335">
                  <c:v>200.66794292408244</c:v>
                </c:pt>
                <c:pt idx="336">
                  <c:v>202.77495632478531</c:v>
                </c:pt>
                <c:pt idx="337">
                  <c:v>208.20932515428953</c:v>
                </c:pt>
                <c:pt idx="338">
                  <c:v>202.87916643033972</c:v>
                </c:pt>
                <c:pt idx="339">
                  <c:v>204.03557767899267</c:v>
                </c:pt>
                <c:pt idx="340">
                  <c:v>198.62863487049935</c:v>
                </c:pt>
                <c:pt idx="341">
                  <c:v>202.8991505202151</c:v>
                </c:pt>
                <c:pt idx="342">
                  <c:v>203.38610848146362</c:v>
                </c:pt>
                <c:pt idx="343">
                  <c:v>206.51825455207819</c:v>
                </c:pt>
                <c:pt idx="344">
                  <c:v>205.09327859566883</c:v>
                </c:pt>
                <c:pt idx="345">
                  <c:v>201.44261823666591</c:v>
                </c:pt>
                <c:pt idx="346">
                  <c:v>200.87857890560323</c:v>
                </c:pt>
                <c:pt idx="347">
                  <c:v>191.53772498649269</c:v>
                </c:pt>
                <c:pt idx="348">
                  <c:v>188.93281192667638</c:v>
                </c:pt>
                <c:pt idx="349">
                  <c:v>188.21486724135499</c:v>
                </c:pt>
                <c:pt idx="350">
                  <c:v>188.77951184307904</c:v>
                </c:pt>
                <c:pt idx="351">
                  <c:v>191.61120452072521</c:v>
                </c:pt>
                <c:pt idx="352">
                  <c:v>186.89756888951538</c:v>
                </c:pt>
                <c:pt idx="353">
                  <c:v>190.80372807930624</c:v>
                </c:pt>
                <c:pt idx="354">
                  <c:v>191.64326448285519</c:v>
                </c:pt>
                <c:pt idx="355">
                  <c:v>189.66933885868178</c:v>
                </c:pt>
                <c:pt idx="356">
                  <c:v>185.09830779218754</c:v>
                </c:pt>
                <c:pt idx="357">
                  <c:v>185.20936677686285</c:v>
                </c:pt>
                <c:pt idx="358">
                  <c:v>188.00602821519345</c:v>
                </c:pt>
                <c:pt idx="359">
                  <c:v>185.24233960043011</c:v>
                </c:pt>
                <c:pt idx="360">
                  <c:v>181.90797748762236</c:v>
                </c:pt>
                <c:pt idx="361">
                  <c:v>185.58251863287234</c:v>
                </c:pt>
                <c:pt idx="362">
                  <c:v>188.58895543472488</c:v>
                </c:pt>
                <c:pt idx="363">
                  <c:v>188.34378979265975</c:v>
                </c:pt>
                <c:pt idx="364">
                  <c:v>187.8164271812403</c:v>
                </c:pt>
                <c:pt idx="365">
                  <c:v>187.44079432687781</c:v>
                </c:pt>
                <c:pt idx="366">
                  <c:v>194.13243068434736</c:v>
                </c:pt>
                <c:pt idx="367">
                  <c:v>192.69585069728319</c:v>
                </c:pt>
                <c:pt idx="368">
                  <c:v>193.21612949416584</c:v>
                </c:pt>
                <c:pt idx="369">
                  <c:v>189.75756077622026</c:v>
                </c:pt>
                <c:pt idx="370">
                  <c:v>187.68920336375945</c:v>
                </c:pt>
                <c:pt idx="371">
                  <c:v>188.77780074326927</c:v>
                </c:pt>
                <c:pt idx="372">
                  <c:v>187.34308945762041</c:v>
                </c:pt>
                <c:pt idx="373">
                  <c:v>187.47422962024072</c:v>
                </c:pt>
                <c:pt idx="374">
                  <c:v>187.60546158097486</c:v>
                </c:pt>
                <c:pt idx="375">
                  <c:v>182.87780394913429</c:v>
                </c:pt>
                <c:pt idx="376">
                  <c:v>183.62760294532575</c:v>
                </c:pt>
                <c:pt idx="377">
                  <c:v>181.93822899822877</c:v>
                </c:pt>
                <c:pt idx="378">
                  <c:v>189.88892960545138</c:v>
                </c:pt>
                <c:pt idx="379">
                  <c:v>191.21815211268952</c:v>
                </c:pt>
                <c:pt idx="380">
                  <c:v>192.42282647099947</c:v>
                </c:pt>
                <c:pt idx="381">
                  <c:v>191.28753179482058</c:v>
                </c:pt>
                <c:pt idx="382">
                  <c:v>195.55324375384507</c:v>
                </c:pt>
                <c:pt idx="383">
                  <c:v>195.08391596883584</c:v>
                </c:pt>
                <c:pt idx="384">
                  <c:v>196.02031876548622</c:v>
                </c:pt>
                <c:pt idx="385">
                  <c:v>198.31375649504241</c:v>
                </c:pt>
                <c:pt idx="386">
                  <c:v>198.59139575413548</c:v>
                </c:pt>
                <c:pt idx="387">
                  <c:v>200.83547852615723</c:v>
                </c:pt>
                <c:pt idx="388">
                  <c:v>204.93252228809084</c:v>
                </c:pt>
                <c:pt idx="389">
                  <c:v>200.73140558118499</c:v>
                </c:pt>
                <c:pt idx="390">
                  <c:v>206.75334774862054</c:v>
                </c:pt>
                <c:pt idx="391">
                  <c:v>209.91667396917447</c:v>
                </c:pt>
                <c:pt idx="392">
                  <c:v>213.04443241131514</c:v>
                </c:pt>
                <c:pt idx="393">
                  <c:v>211.89399247629404</c:v>
                </c:pt>
                <c:pt idx="394">
                  <c:v>207.42302923504423</c:v>
                </c:pt>
                <c:pt idx="395">
                  <c:v>208.79202122799549</c:v>
                </c:pt>
                <c:pt idx="396">
                  <c:v>208.1030075579431</c:v>
                </c:pt>
                <c:pt idx="397">
                  <c:v>206.47980409899114</c:v>
                </c:pt>
                <c:pt idx="398">
                  <c:v>206.31462025571193</c:v>
                </c:pt>
                <c:pt idx="399">
                  <c:v>209.2649193253686</c:v>
                </c:pt>
                <c:pt idx="400">
                  <c:v>211.96443678466582</c:v>
                </c:pt>
                <c:pt idx="401">
                  <c:v>210.69265016395784</c:v>
                </c:pt>
                <c:pt idx="402">
                  <c:v>215.01184949231896</c:v>
                </c:pt>
                <c:pt idx="403">
                  <c:v>216.21591584947595</c:v>
                </c:pt>
                <c:pt idx="404">
                  <c:v>215.19970104498341</c:v>
                </c:pt>
                <c:pt idx="405">
                  <c:v>216.03897987905884</c:v>
                </c:pt>
                <c:pt idx="406">
                  <c:v>218.78267492352288</c:v>
                </c:pt>
                <c:pt idx="407">
                  <c:v>218.41074437615288</c:v>
                </c:pt>
                <c:pt idx="408">
                  <c:v>217.16580313320881</c:v>
                </c:pt>
                <c:pt idx="409">
                  <c:v>219.07686220078102</c:v>
                </c:pt>
                <c:pt idx="410">
                  <c:v>216.57938597169212</c:v>
                </c:pt>
                <c:pt idx="411">
                  <c:v>208.02450022581027</c:v>
                </c:pt>
                <c:pt idx="412">
                  <c:v>208.6277712764651</c:v>
                </c:pt>
                <c:pt idx="413">
                  <c:v>205.28972693604166</c:v>
                </c:pt>
                <c:pt idx="414">
                  <c:v>206.68569707920673</c:v>
                </c:pt>
                <c:pt idx="415">
                  <c:v>214.82911354412749</c:v>
                </c:pt>
                <c:pt idx="416">
                  <c:v>221.68216226618517</c:v>
                </c:pt>
                <c:pt idx="417">
                  <c:v>221.94818086090461</c:v>
                </c:pt>
                <c:pt idx="418">
                  <c:v>226.23178075152009</c:v>
                </c:pt>
                <c:pt idx="419">
                  <c:v>220.62123258888238</c:v>
                </c:pt>
                <c:pt idx="420">
                  <c:v>216.42942916969361</c:v>
                </c:pt>
                <c:pt idx="421">
                  <c:v>212.51205650172216</c:v>
                </c:pt>
                <c:pt idx="422">
                  <c:v>210.13192146890287</c:v>
                </c:pt>
                <c:pt idx="423">
                  <c:v>205.97130942381858</c:v>
                </c:pt>
                <c:pt idx="424">
                  <c:v>208.13400817276866</c:v>
                </c:pt>
                <c:pt idx="425">
                  <c:v>205.80290728123364</c:v>
                </c:pt>
                <c:pt idx="426">
                  <c:v>209.58968077520834</c:v>
                </c:pt>
                <c:pt idx="427">
                  <c:v>207.09556357398336</c:v>
                </c:pt>
                <c:pt idx="428">
                  <c:v>207.57188337020352</c:v>
                </c:pt>
                <c:pt idx="429">
                  <c:v>205.53767891317551</c:v>
                </c:pt>
                <c:pt idx="430">
                  <c:v>199.35099477788893</c:v>
                </c:pt>
                <c:pt idx="431">
                  <c:v>197.81599211809919</c:v>
                </c:pt>
                <c:pt idx="432">
                  <c:v>200.98104799198879</c:v>
                </c:pt>
                <c:pt idx="433">
                  <c:v>203.49331109188864</c:v>
                </c:pt>
                <c:pt idx="434">
                  <c:v>198.42632764570061</c:v>
                </c:pt>
                <c:pt idx="435">
                  <c:v>190.469431907108</c:v>
                </c:pt>
                <c:pt idx="436">
                  <c:v>195.38354325031139</c:v>
                </c:pt>
                <c:pt idx="437">
                  <c:v>187.97850696112459</c:v>
                </c:pt>
                <c:pt idx="438">
                  <c:v>193.80584067691944</c:v>
                </c:pt>
                <c:pt idx="439">
                  <c:v>194.73610871216863</c:v>
                </c:pt>
                <c:pt idx="440">
                  <c:v>189.84823238349318</c:v>
                </c:pt>
                <c:pt idx="441">
                  <c:v>187.34223571603107</c:v>
                </c:pt>
                <c:pt idx="442">
                  <c:v>189.34679763819258</c:v>
                </c:pt>
                <c:pt idx="443">
                  <c:v>188.83556128456945</c:v>
                </c:pt>
                <c:pt idx="444">
                  <c:v>187.79696569750433</c:v>
                </c:pt>
                <c:pt idx="445">
                  <c:v>186.0316742199478</c:v>
                </c:pt>
                <c:pt idx="446">
                  <c:v>185.47357919728796</c:v>
                </c:pt>
                <c:pt idx="447">
                  <c:v>184.49056922754235</c:v>
                </c:pt>
                <c:pt idx="448">
                  <c:v>182.44272390911664</c:v>
                </c:pt>
                <c:pt idx="449">
                  <c:v>178.86684652049797</c:v>
                </c:pt>
                <c:pt idx="450">
                  <c:v>178.50911282745699</c:v>
                </c:pt>
                <c:pt idx="451">
                  <c:v>178.65192011771893</c:v>
                </c:pt>
                <c:pt idx="452">
                  <c:v>180.40270893487258</c:v>
                </c:pt>
                <c:pt idx="453">
                  <c:v>177.85903073889088</c:v>
                </c:pt>
                <c:pt idx="454">
                  <c:v>176.31165717146251</c:v>
                </c:pt>
                <c:pt idx="455">
                  <c:v>175.81798453138242</c:v>
                </c:pt>
                <c:pt idx="456">
                  <c:v>176.22236589580459</c:v>
                </c:pt>
                <c:pt idx="457">
                  <c:v>176.38096602511078</c:v>
                </c:pt>
                <c:pt idx="458">
                  <c:v>175.4637850017802</c:v>
                </c:pt>
                <c:pt idx="459">
                  <c:v>176.25337203428819</c:v>
                </c:pt>
                <c:pt idx="460">
                  <c:v>177.31089226649391</c:v>
                </c:pt>
                <c:pt idx="461">
                  <c:v>176.88534612505433</c:v>
                </c:pt>
                <c:pt idx="462">
                  <c:v>181.62587340120578</c:v>
                </c:pt>
                <c:pt idx="463">
                  <c:v>187.94645379556772</c:v>
                </c:pt>
                <c:pt idx="464">
                  <c:v>191.31069531850838</c:v>
                </c:pt>
                <c:pt idx="465">
                  <c:v>193.58729259279863</c:v>
                </c:pt>
                <c:pt idx="466">
                  <c:v>193.64536878057646</c:v>
                </c:pt>
                <c:pt idx="467">
                  <c:v>185.22179523862138</c:v>
                </c:pt>
                <c:pt idx="468">
                  <c:v>186.79618049814965</c:v>
                </c:pt>
                <c:pt idx="469">
                  <c:v>192.10119202429709</c:v>
                </c:pt>
                <c:pt idx="470">
                  <c:v>193.29221941484772</c:v>
                </c:pt>
                <c:pt idx="471">
                  <c:v>197.98922034662851</c:v>
                </c:pt>
                <c:pt idx="472">
                  <c:v>207.25511585885073</c:v>
                </c:pt>
                <c:pt idx="473">
                  <c:v>211.54529675712894</c:v>
                </c:pt>
                <c:pt idx="474">
                  <c:v>219.71094521195411</c:v>
                </c:pt>
                <c:pt idx="475">
                  <c:v>229.48808227388608</c:v>
                </c:pt>
                <c:pt idx="476">
                  <c:v>231.66821905548801</c:v>
                </c:pt>
                <c:pt idx="477">
                  <c:v>239.61443896909125</c:v>
                </c:pt>
                <c:pt idx="478">
                  <c:v>228.47236755702852</c:v>
                </c:pt>
                <c:pt idx="479">
                  <c:v>230.89417465313301</c:v>
                </c:pt>
                <c:pt idx="480">
                  <c:v>230.0398662069164</c:v>
                </c:pt>
                <c:pt idx="481">
                  <c:v>222.35653467560539</c:v>
                </c:pt>
                <c:pt idx="482">
                  <c:v>219.95508410110884</c:v>
                </c:pt>
                <c:pt idx="483">
                  <c:v>205.41605304202554</c:v>
                </c:pt>
                <c:pt idx="484">
                  <c:v>214.37219295465786</c:v>
                </c:pt>
                <c:pt idx="485">
                  <c:v>218.48813905938732</c:v>
                </c:pt>
                <c:pt idx="486">
                  <c:v>236.90668918209369</c:v>
                </c:pt>
                <c:pt idx="487">
                  <c:v>244.89044460753027</c:v>
                </c:pt>
                <c:pt idx="488">
                  <c:v>249.02909312139752</c:v>
                </c:pt>
                <c:pt idx="489">
                  <c:v>250.49836477081377</c:v>
                </c:pt>
                <c:pt idx="490">
                  <c:v>255.45823239327589</c:v>
                </c:pt>
                <c:pt idx="491">
                  <c:v>270.76018051363314</c:v>
                </c:pt>
                <c:pt idx="492">
                  <c:v>279.09959407345303</c:v>
                </c:pt>
                <c:pt idx="493">
                  <c:v>280.41136216559823</c:v>
                </c:pt>
                <c:pt idx="494">
                  <c:v>289.10411439273173</c:v>
                </c:pt>
                <c:pt idx="495">
                  <c:v>293.20939281710849</c:v>
                </c:pt>
                <c:pt idx="496">
                  <c:v>293.79581160274273</c:v>
                </c:pt>
                <c:pt idx="497">
                  <c:v>310.63031160757987</c:v>
                </c:pt>
                <c:pt idx="498">
                  <c:v>322.77595679143622</c:v>
                </c:pt>
                <c:pt idx="499">
                  <c:v>313.25406606608885</c:v>
                </c:pt>
                <c:pt idx="500">
                  <c:v>309.24441402044289</c:v>
                </c:pt>
                <c:pt idx="501">
                  <c:v>326.96411894381424</c:v>
                </c:pt>
                <c:pt idx="502">
                  <c:v>347.98791179190152</c:v>
                </c:pt>
                <c:pt idx="503">
                  <c:v>347.39633234185527</c:v>
                </c:pt>
                <c:pt idx="504">
                  <c:v>342.88018002141115</c:v>
                </c:pt>
                <c:pt idx="505">
                  <c:v>350.90357623391219</c:v>
                </c:pt>
                <c:pt idx="506">
                  <c:v>360.58851493796817</c:v>
                </c:pt>
                <c:pt idx="507">
                  <c:v>358.89374891775969</c:v>
                </c:pt>
                <c:pt idx="508">
                  <c:v>367.36364139221882</c:v>
                </c:pt>
                <c:pt idx="509">
                  <c:v>379.96421429197193</c:v>
                </c:pt>
                <c:pt idx="510">
                  <c:v>377.00049342049454</c:v>
                </c:pt>
                <c:pt idx="511">
                  <c:v>362.33517422643729</c:v>
                </c:pt>
                <c:pt idx="512">
                  <c:v>361.42933629087122</c:v>
                </c:pt>
                <c:pt idx="513">
                  <c:v>358.24875813151152</c:v>
                </c:pt>
                <c:pt idx="514">
                  <c:v>357.28148648455641</c:v>
                </c:pt>
                <c:pt idx="515">
                  <c:v>338.02401436303882</c:v>
                </c:pt>
                <c:pt idx="516">
                  <c:v>327.17344350198528</c:v>
                </c:pt>
                <c:pt idx="517">
                  <c:v>330.24887387090394</c:v>
                </c:pt>
                <c:pt idx="518">
                  <c:v>334.21186035735479</c:v>
                </c:pt>
                <c:pt idx="519">
                  <c:v>346.94533223697005</c:v>
                </c:pt>
                <c:pt idx="520">
                  <c:v>338.16761533137469</c:v>
                </c:pt>
                <c:pt idx="521">
                  <c:v>325.7906806102464</c:v>
                </c:pt>
                <c:pt idx="522">
                  <c:v>335.23861034794351</c:v>
                </c:pt>
                <c:pt idx="523">
                  <c:v>327.15935983855809</c:v>
                </c:pt>
                <c:pt idx="524">
                  <c:v>319.56926269030356</c:v>
                </c:pt>
                <c:pt idx="525">
                  <c:v>300.04358073992597</c:v>
                </c:pt>
                <c:pt idx="526">
                  <c:v>286.5416196066293</c:v>
                </c:pt>
                <c:pt idx="527">
                  <c:v>280.32366646116543</c:v>
                </c:pt>
                <c:pt idx="528">
                  <c:v>278.83795102892128</c:v>
                </c:pt>
                <c:pt idx="529">
                  <c:v>283.10417167966381</c:v>
                </c:pt>
                <c:pt idx="530">
                  <c:v>307.59268252995474</c:v>
                </c:pt>
                <c:pt idx="531">
                  <c:v>294.55075279068467</c:v>
                </c:pt>
                <c:pt idx="532">
                  <c:v>282.59199222738289</c:v>
                </c:pt>
                <c:pt idx="533">
                  <c:v>290.90019679886797</c:v>
                </c:pt>
                <c:pt idx="534">
                  <c:v>312.51408142102389</c:v>
                </c:pt>
                <c:pt idx="535">
                  <c:v>318.45184896802334</c:v>
                </c:pt>
                <c:pt idx="536">
                  <c:v>326.63606148650155</c:v>
                </c:pt>
                <c:pt idx="537">
                  <c:v>325.03554478521767</c:v>
                </c:pt>
                <c:pt idx="538">
                  <c:v>321.46015379258029</c:v>
                </c:pt>
                <c:pt idx="539">
                  <c:v>316.86327359334638</c:v>
                </c:pt>
                <c:pt idx="540">
                  <c:v>312.11032448944616</c:v>
                </c:pt>
                <c:pt idx="541">
                  <c:v>311.57973693781406</c:v>
                </c:pt>
                <c:pt idx="542">
                  <c:v>312.8572138592591</c:v>
                </c:pt>
                <c:pt idx="543">
                  <c:v>307.22578400979245</c:v>
                </c:pt>
                <c:pt idx="544">
                  <c:v>298.46984916551338</c:v>
                </c:pt>
                <c:pt idx="545">
                  <c:v>308.37904815780837</c:v>
                </c:pt>
                <c:pt idx="546">
                  <c:v>327.2518459050662</c:v>
                </c:pt>
                <c:pt idx="547">
                  <c:v>331.73519619396563</c:v>
                </c:pt>
                <c:pt idx="548">
                  <c:v>330.87268468386134</c:v>
                </c:pt>
                <c:pt idx="549">
                  <c:v>330.9057719523297</c:v>
                </c:pt>
                <c:pt idx="550">
                  <c:v>321.64041033766443</c:v>
                </c:pt>
                <c:pt idx="551">
                  <c:v>322.70182369177877</c:v>
                </c:pt>
                <c:pt idx="552">
                  <c:v>313.37574098708637</c:v>
                </c:pt>
                <c:pt idx="553">
                  <c:v>300.55867318071455</c:v>
                </c:pt>
                <c:pt idx="554">
                  <c:v>292.5337566067895</c:v>
                </c:pt>
                <c:pt idx="555">
                  <c:v>284.51833167576348</c:v>
                </c:pt>
                <c:pt idx="556">
                  <c:v>281.36017819416253</c:v>
                </c:pt>
                <c:pt idx="557">
                  <c:v>276.12687887975113</c:v>
                </c:pt>
                <c:pt idx="558">
                  <c:v>266.51766349473581</c:v>
                </c:pt>
                <c:pt idx="559">
                  <c:v>255.88360872129584</c:v>
                </c:pt>
                <c:pt idx="560">
                  <c:v>248.66769095535531</c:v>
                </c:pt>
                <c:pt idx="561">
                  <c:v>238.74585008623663</c:v>
                </c:pt>
                <c:pt idx="562">
                  <c:v>224.13460406095894</c:v>
                </c:pt>
                <c:pt idx="563">
                  <c:v>217.52263324116066</c:v>
                </c:pt>
                <c:pt idx="564">
                  <c:v>234.66341674056412</c:v>
                </c:pt>
                <c:pt idx="565">
                  <c:v>229.85281669738256</c:v>
                </c:pt>
                <c:pt idx="566">
                  <c:v>236.54153366327637</c:v>
                </c:pt>
                <c:pt idx="567">
                  <c:v>236.1394130560488</c:v>
                </c:pt>
                <c:pt idx="568">
                  <c:v>217.98029219203866</c:v>
                </c:pt>
                <c:pt idx="569">
                  <c:v>206.3837406474222</c:v>
                </c:pt>
                <c:pt idx="570">
                  <c:v>226.77445422338752</c:v>
                </c:pt>
                <c:pt idx="571">
                  <c:v>226.79713166880987</c:v>
                </c:pt>
                <c:pt idx="572">
                  <c:v>232.42170053419633</c:v>
                </c:pt>
                <c:pt idx="573">
                  <c:v>230.77150646040354</c:v>
                </c:pt>
                <c:pt idx="574">
                  <c:v>223.73297551336125</c:v>
                </c:pt>
                <c:pt idx="575">
                  <c:v>223.35262945498854</c:v>
                </c:pt>
                <c:pt idx="576">
                  <c:v>225.38513838302896</c:v>
                </c:pt>
                <c:pt idx="577">
                  <c:v>223.82998092818605</c:v>
                </c:pt>
                <c:pt idx="578">
                  <c:v>224.41193887859933</c:v>
                </c:pt>
                <c:pt idx="579">
                  <c:v>216.55752101784836</c:v>
                </c:pt>
                <c:pt idx="580">
                  <c:v>214.00214226983775</c:v>
                </c:pt>
                <c:pt idx="581">
                  <c:v>203.62303836975062</c:v>
                </c:pt>
                <c:pt idx="582">
                  <c:v>226.04193489426018</c:v>
                </c:pt>
                <c:pt idx="583">
                  <c:v>226.403601990091</c:v>
                </c:pt>
                <c:pt idx="584">
                  <c:v>234.96165814531645</c:v>
                </c:pt>
                <c:pt idx="585">
                  <c:v>233.73985752296082</c:v>
                </c:pt>
                <c:pt idx="586">
                  <c:v>242.71546805184252</c:v>
                </c:pt>
                <c:pt idx="587">
                  <c:v>244.58437715584171</c:v>
                </c:pt>
                <c:pt idx="588">
                  <c:v>251.16369690133382</c:v>
                </c:pt>
                <c:pt idx="589">
                  <c:v>243.12645860049113</c:v>
                </c:pt>
                <c:pt idx="590">
                  <c:v>242.81039420431051</c:v>
                </c:pt>
                <c:pt idx="591">
                  <c:v>233.04941635729722</c:v>
                </c:pt>
                <c:pt idx="592">
                  <c:v>230.27612830264539</c:v>
                </c:pt>
                <c:pt idx="593">
                  <c:v>228.52602972754528</c:v>
                </c:pt>
                <c:pt idx="594">
                  <c:v>239.49527915446745</c:v>
                </c:pt>
                <c:pt idx="595">
                  <c:v>256.33179727902655</c:v>
                </c:pt>
                <c:pt idx="596">
                  <c:v>253.33271525086192</c:v>
                </c:pt>
                <c:pt idx="597">
                  <c:v>253.25671543628667</c:v>
                </c:pt>
                <c:pt idx="598">
                  <c:v>250.11633216487672</c:v>
                </c:pt>
                <c:pt idx="599">
                  <c:v>246.7397616806509</c:v>
                </c:pt>
                <c:pt idx="600">
                  <c:v>247.47998096569282</c:v>
                </c:pt>
                <c:pt idx="601">
                  <c:v>242.53038134637896</c:v>
                </c:pt>
                <c:pt idx="602">
                  <c:v>242.53038134637896</c:v>
                </c:pt>
                <c:pt idx="603">
                  <c:v>243.1367072997449</c:v>
                </c:pt>
                <c:pt idx="604">
                  <c:v>248.77747890909902</c:v>
                </c:pt>
                <c:pt idx="605">
                  <c:v>256.2656810242629</c:v>
                </c:pt>
                <c:pt idx="606">
                  <c:v>268.48955400912024</c:v>
                </c:pt>
                <c:pt idx="607">
                  <c:v>271.4160901478196</c:v>
                </c:pt>
                <c:pt idx="608">
                  <c:v>274.10310944028305</c:v>
                </c:pt>
                <c:pt idx="609">
                  <c:v>273.77418570895469</c:v>
                </c:pt>
                <c:pt idx="610">
                  <c:v>277.00472110032035</c:v>
                </c:pt>
                <c:pt idx="611">
                  <c:v>282.87722118764719</c:v>
                </c:pt>
                <c:pt idx="612">
                  <c:v>288.90250599894409</c:v>
                </c:pt>
                <c:pt idx="613">
                  <c:v>293.32271434072794</c:v>
                </c:pt>
                <c:pt idx="614">
                  <c:v>297.57589369866849</c:v>
                </c:pt>
                <c:pt idx="615">
                  <c:v>301.35510754864157</c:v>
                </c:pt>
                <c:pt idx="616">
                  <c:v>312.47511101718641</c:v>
                </c:pt>
                <c:pt idx="617">
                  <c:v>316.631029993715</c:v>
                </c:pt>
                <c:pt idx="618">
                  <c:v>323.66023885957549</c:v>
                </c:pt>
                <c:pt idx="619">
                  <c:v>335.21490938686236</c:v>
                </c:pt>
                <c:pt idx="620">
                  <c:v>346.74630226977041</c:v>
                </c:pt>
                <c:pt idx="621">
                  <c:v>348.06393821839555</c:v>
                </c:pt>
                <c:pt idx="622">
                  <c:v>363.97046019497623</c:v>
                </c:pt>
                <c:pt idx="623">
                  <c:v>370.12156097227131</c:v>
                </c:pt>
                <c:pt idx="624">
                  <c:v>371.12088918689642</c:v>
                </c:pt>
                <c:pt idx="625">
                  <c:v>389.93671826867205</c:v>
                </c:pt>
                <c:pt idx="626">
                  <c:v>388.41596506742422</c:v>
                </c:pt>
                <c:pt idx="627">
                  <c:v>350.04046771876273</c:v>
                </c:pt>
                <c:pt idx="628">
                  <c:v>360.61168984386939</c:v>
                </c:pt>
                <c:pt idx="629">
                  <c:v>365.11933596691773</c:v>
                </c:pt>
                <c:pt idx="630">
                  <c:v>378.55572753050029</c:v>
                </c:pt>
                <c:pt idx="631">
                  <c:v>380.29708387714055</c:v>
                </c:pt>
                <c:pt idx="632">
                  <c:v>392.39053114443362</c:v>
                </c:pt>
                <c:pt idx="633">
                  <c:v>400.8661666171534</c:v>
                </c:pt>
                <c:pt idx="634">
                  <c:v>403.11101715020948</c:v>
                </c:pt>
                <c:pt idx="635">
                  <c:v>407.82741605086693</c:v>
                </c:pt>
                <c:pt idx="636">
                  <c:v>413.00682423471289</c:v>
                </c:pt>
                <c:pt idx="637">
                  <c:v>421.55606549637145</c:v>
                </c:pt>
                <c:pt idx="638">
                  <c:v>420.50217533263054</c:v>
                </c:pt>
                <c:pt idx="639">
                  <c:v>406.54150311158719</c:v>
                </c:pt>
                <c:pt idx="640">
                  <c:v>417.6807402968447</c:v>
                </c:pt>
                <c:pt idx="641">
                  <c:v>435.18156331528252</c:v>
                </c:pt>
                <c:pt idx="642">
                  <c:v>442.31854095365316</c:v>
                </c:pt>
                <c:pt idx="643">
                  <c:v>434.26834350829665</c:v>
                </c:pt>
                <c:pt idx="644">
                  <c:v>405.43292549934574</c:v>
                </c:pt>
                <c:pt idx="645">
                  <c:v>409.32508158413947</c:v>
                </c:pt>
                <c:pt idx="646">
                  <c:v>418.00277331372325</c:v>
                </c:pt>
                <c:pt idx="647">
                  <c:v>424.98341962806239</c:v>
                </c:pt>
                <c:pt idx="648">
                  <c:v>443.04521496225505</c:v>
                </c:pt>
                <c:pt idx="649">
                  <c:v>460.41258738877542</c:v>
                </c:pt>
                <c:pt idx="650">
                  <c:v>464.51025941653546</c:v>
                </c:pt>
                <c:pt idx="651">
                  <c:v>475.98366282412388</c:v>
                </c:pt>
                <c:pt idx="652">
                  <c:v>459.56222645669163</c:v>
                </c:pt>
                <c:pt idx="653">
                  <c:v>458.32140844525856</c:v>
                </c:pt>
                <c:pt idx="654">
                  <c:v>472.07105069861632</c:v>
                </c:pt>
                <c:pt idx="655">
                  <c:v>470.60763044145062</c:v>
                </c:pt>
                <c:pt idx="656">
                  <c:v>487.4553836112546</c:v>
                </c:pt>
                <c:pt idx="657">
                  <c:v>509.00091156687205</c:v>
                </c:pt>
                <c:pt idx="658">
                  <c:v>519.18092979820949</c:v>
                </c:pt>
                <c:pt idx="659">
                  <c:v>514.76789189492479</c:v>
                </c:pt>
                <c:pt idx="660">
                  <c:v>503.59742864080488</c:v>
                </c:pt>
                <c:pt idx="661">
                  <c:v>493.77727878230922</c:v>
                </c:pt>
                <c:pt idx="662">
                  <c:v>480.64280316669982</c:v>
                </c:pt>
                <c:pt idx="663">
                  <c:v>490.92855915446722</c:v>
                </c:pt>
                <c:pt idx="664">
                  <c:v>486.16655213066889</c:v>
                </c:pt>
                <c:pt idx="665">
                  <c:v>491.85470079059775</c:v>
                </c:pt>
                <c:pt idx="666">
                  <c:v>485.5589606204781</c:v>
                </c:pt>
                <c:pt idx="667">
                  <c:v>487.88964363145635</c:v>
                </c:pt>
                <c:pt idx="668">
                  <c:v>486.91386434419343</c:v>
                </c:pt>
                <c:pt idx="669">
                  <c:v>494.26626369579071</c:v>
                </c:pt>
                <c:pt idx="670">
                  <c:v>496.58931513516092</c:v>
                </c:pt>
                <c:pt idx="671">
                  <c:v>494.60295787462024</c:v>
                </c:pt>
                <c:pt idx="672">
                  <c:v>498.75762272076702</c:v>
                </c:pt>
                <c:pt idx="673">
                  <c:v>478.30856018921554</c:v>
                </c:pt>
                <c:pt idx="674">
                  <c:v>492.13167757868382</c:v>
                </c:pt>
                <c:pt idx="675">
                  <c:v>503.7459851695408</c:v>
                </c:pt>
                <c:pt idx="676">
                  <c:v>527.82504326064486</c:v>
                </c:pt>
                <c:pt idx="677">
                  <c:v>526.71661066979755</c:v>
                </c:pt>
                <c:pt idx="678">
                  <c:v>540.88528749681507</c:v>
                </c:pt>
                <c:pt idx="679">
                  <c:v>558.4099708117119</c:v>
                </c:pt>
                <c:pt idx="680">
                  <c:v>568.23798629799808</c:v>
                </c:pt>
                <c:pt idx="681">
                  <c:v>571.36329522263713</c:v>
                </c:pt>
                <c:pt idx="682">
                  <c:v>606.55927420835167</c:v>
                </c:pt>
                <c:pt idx="683">
                  <c:v>612.07896360364771</c:v>
                </c:pt>
                <c:pt idx="684">
                  <c:v>621.01531647226091</c:v>
                </c:pt>
                <c:pt idx="685">
                  <c:v>594.37375939560093</c:v>
                </c:pt>
                <c:pt idx="686">
                  <c:v>597.70225244821631</c:v>
                </c:pt>
                <c:pt idx="687">
                  <c:v>576.18497136008045</c:v>
                </c:pt>
                <c:pt idx="688">
                  <c:v>587.8815262786901</c:v>
                </c:pt>
                <c:pt idx="689">
                  <c:v>586.11788169985402</c:v>
                </c:pt>
                <c:pt idx="690">
                  <c:v>583.65618659671463</c:v>
                </c:pt>
                <c:pt idx="691">
                  <c:v>573.7340314245705</c:v>
                </c:pt>
                <c:pt idx="692">
                  <c:v>574.13564524656761</c:v>
                </c:pt>
                <c:pt idx="693">
                  <c:v>567.24601750360875</c:v>
                </c:pt>
                <c:pt idx="694">
                  <c:v>567.52964051236052</c:v>
                </c:pt>
                <c:pt idx="695">
                  <c:v>565.713545662721</c:v>
                </c:pt>
                <c:pt idx="696">
                  <c:v>553.21127630357489</c:v>
                </c:pt>
                <c:pt idx="697">
                  <c:v>551.77292698518556</c:v>
                </c:pt>
                <c:pt idx="698">
                  <c:v>552.87647283915589</c:v>
                </c:pt>
                <c:pt idx="699">
                  <c:v>546.24195516508598</c:v>
                </c:pt>
                <c:pt idx="700">
                  <c:v>542.85525504306247</c:v>
                </c:pt>
                <c:pt idx="701">
                  <c:v>539.59812351280414</c:v>
                </c:pt>
                <c:pt idx="702">
                  <c:v>557.29694196402409</c:v>
                </c:pt>
                <c:pt idx="703">
                  <c:v>561.53239872295069</c:v>
                </c:pt>
                <c:pt idx="704">
                  <c:v>555.07477613763683</c:v>
                </c:pt>
                <c:pt idx="705">
                  <c:v>555.85188082422951</c:v>
                </c:pt>
                <c:pt idx="706">
                  <c:v>543.34521350568434</c:v>
                </c:pt>
                <c:pt idx="707">
                  <c:v>546.3879467013162</c:v>
                </c:pt>
                <c:pt idx="708">
                  <c:v>561.96000318230369</c:v>
                </c:pt>
                <c:pt idx="709">
                  <c:v>560.04933917148389</c:v>
                </c:pt>
                <c:pt idx="710">
                  <c:v>551.20055961257447</c:v>
                </c:pt>
                <c:pt idx="711">
                  <c:v>542.54671082665698</c:v>
                </c:pt>
                <c:pt idx="712">
                  <c:v>543.79456826155831</c:v>
                </c:pt>
                <c:pt idx="713">
                  <c:v>541.12997487707662</c:v>
                </c:pt>
                <c:pt idx="714">
                  <c:v>547.73176057057697</c:v>
                </c:pt>
                <c:pt idx="715">
                  <c:v>544.17150412686829</c:v>
                </c:pt>
                <c:pt idx="716">
                  <c:v>541.34181230540855</c:v>
                </c:pt>
                <c:pt idx="717">
                  <c:v>556.77005395611263</c:v>
                </c:pt>
                <c:pt idx="718">
                  <c:v>549.42068924389196</c:v>
                </c:pt>
                <c:pt idx="719">
                  <c:v>544.4209609717725</c:v>
                </c:pt>
                <c:pt idx="720">
                  <c:v>526.01953249092651</c:v>
                </c:pt>
                <c:pt idx="721">
                  <c:v>504.03191603280578</c:v>
                </c:pt>
                <c:pt idx="722">
                  <c:v>515.52384371835376</c:v>
                </c:pt>
                <c:pt idx="723">
                  <c:v>502.68730000976672</c:v>
                </c:pt>
                <c:pt idx="724">
                  <c:v>493.08597257958019</c:v>
                </c:pt>
                <c:pt idx="725">
                  <c:v>493.43113276038588</c:v>
                </c:pt>
                <c:pt idx="726">
                  <c:v>484.50002925742291</c:v>
                </c:pt>
                <c:pt idx="727">
                  <c:v>501.40908027850696</c:v>
                </c:pt>
                <c:pt idx="728">
                  <c:v>503.26429387553748</c:v>
                </c:pt>
                <c:pt idx="729">
                  <c:v>494.70880087965332</c:v>
                </c:pt>
                <c:pt idx="730">
                  <c:v>492.13631511507913</c:v>
                </c:pt>
                <c:pt idx="731">
                  <c:v>481.3585298140589</c:v>
                </c:pt>
                <c:pt idx="732">
                  <c:v>478.27783522324893</c:v>
                </c:pt>
                <c:pt idx="733">
                  <c:v>474.73857924259693</c:v>
                </c:pt>
                <c:pt idx="734">
                  <c:v>477.20721985465849</c:v>
                </c:pt>
                <c:pt idx="735">
                  <c:v>437.02637194289622</c:v>
                </c:pt>
                <c:pt idx="736">
                  <c:v>449.08829980852016</c:v>
                </c:pt>
                <c:pt idx="737">
                  <c:v>449.67211459827126</c:v>
                </c:pt>
                <c:pt idx="738">
                  <c:v>446.52440979608338</c:v>
                </c:pt>
                <c:pt idx="739">
                  <c:v>461.43832508327262</c:v>
                </c:pt>
                <c:pt idx="740">
                  <c:v>489.81678207589391</c:v>
                </c:pt>
                <c:pt idx="741">
                  <c:v>494.47004150561492</c:v>
                </c:pt>
                <c:pt idx="742">
                  <c:v>481.36658540571614</c:v>
                </c:pt>
                <c:pt idx="743">
                  <c:v>491.57155701631734</c:v>
                </c:pt>
                <c:pt idx="744">
                  <c:v>490.53925674658308</c:v>
                </c:pt>
                <c:pt idx="745">
                  <c:v>490.7354724492817</c:v>
                </c:pt>
                <c:pt idx="746">
                  <c:v>484.60127904366573</c:v>
                </c:pt>
                <c:pt idx="747">
                  <c:v>470.54784195139939</c:v>
                </c:pt>
                <c:pt idx="748">
                  <c:v>462.36030950144504</c:v>
                </c:pt>
                <c:pt idx="749">
                  <c:v>471.37633553672327</c:v>
                </c:pt>
                <c:pt idx="750">
                  <c:v>461.28888195623739</c:v>
                </c:pt>
                <c:pt idx="751">
                  <c:v>474.02045509822955</c:v>
                </c:pt>
                <c:pt idx="752">
                  <c:v>477.48080442044665</c:v>
                </c:pt>
                <c:pt idx="753">
                  <c:v>474.71141575480806</c:v>
                </c:pt>
                <c:pt idx="754">
                  <c:v>474.52153118850617</c:v>
                </c:pt>
                <c:pt idx="755">
                  <c:v>469.68141157038343</c:v>
                </c:pt>
                <c:pt idx="756">
                  <c:v>450.80021882525403</c:v>
                </c:pt>
                <c:pt idx="757">
                  <c:v>453.05421991938027</c:v>
                </c:pt>
                <c:pt idx="758">
                  <c:v>454.3227717351545</c:v>
                </c:pt>
                <c:pt idx="759">
                  <c:v>439.33012026789442</c:v>
                </c:pt>
                <c:pt idx="760">
                  <c:v>433.88242677657252</c:v>
                </c:pt>
                <c:pt idx="761">
                  <c:v>423.4258602912571</c:v>
                </c:pt>
                <c:pt idx="762">
                  <c:v>417.96366669349987</c:v>
                </c:pt>
                <c:pt idx="763">
                  <c:v>422.26869246044294</c:v>
                </c:pt>
                <c:pt idx="764">
                  <c:v>428.68717658584171</c:v>
                </c:pt>
                <c:pt idx="765">
                  <c:v>426.54374070291249</c:v>
                </c:pt>
                <c:pt idx="766">
                  <c:v>415.58156656684764</c:v>
                </c:pt>
                <c:pt idx="767">
                  <c:v>421.52438296875357</c:v>
                </c:pt>
                <c:pt idx="768">
                  <c:v>407.99345027545655</c:v>
                </c:pt>
                <c:pt idx="769">
                  <c:v>393.3872847555952</c:v>
                </c:pt>
                <c:pt idx="770">
                  <c:v>378.9499714050649</c:v>
                </c:pt>
                <c:pt idx="771">
                  <c:v>358.03193298350533</c:v>
                </c:pt>
                <c:pt idx="772">
                  <c:v>359.21343836235093</c:v>
                </c:pt>
                <c:pt idx="773">
                  <c:v>362.12306721308596</c:v>
                </c:pt>
                <c:pt idx="774">
                  <c:v>375.88374376718326</c:v>
                </c:pt>
                <c:pt idx="775">
                  <c:v>390.69356327161034</c:v>
                </c:pt>
                <c:pt idx="776">
                  <c:v>405.93061223920313</c:v>
                </c:pt>
                <c:pt idx="777">
                  <c:v>408.0008583616231</c:v>
                </c:pt>
                <c:pt idx="778">
                  <c:v>406.61365544319358</c:v>
                </c:pt>
                <c:pt idx="779">
                  <c:v>406.85762363645949</c:v>
                </c:pt>
                <c:pt idx="780">
                  <c:v>403.0738477366404</c:v>
                </c:pt>
                <c:pt idx="781">
                  <c:v>409.52302930042663</c:v>
                </c:pt>
                <c:pt idx="782">
                  <c:v>416.1982546780236</c:v>
                </c:pt>
                <c:pt idx="783">
                  <c:v>419.94403897012575</c:v>
                </c:pt>
                <c:pt idx="784">
                  <c:v>417.92830758306911</c:v>
                </c:pt>
                <c:pt idx="785">
                  <c:v>408.60850632396665</c:v>
                </c:pt>
                <c:pt idx="786">
                  <c:v>443.13592510834184</c:v>
                </c:pt>
                <c:pt idx="787">
                  <c:v>447.07983484180602</c:v>
                </c:pt>
                <c:pt idx="788">
                  <c:v>442.43020455945123</c:v>
                </c:pt>
                <c:pt idx="789">
                  <c:v>415.39771906086872</c:v>
                </c:pt>
                <c:pt idx="790">
                  <c:v>417.05930993711218</c:v>
                </c:pt>
                <c:pt idx="791">
                  <c:v>404.17217726005538</c:v>
                </c:pt>
                <c:pt idx="792">
                  <c:v>402.39381968011116</c:v>
                </c:pt>
                <c:pt idx="793">
                  <c:v>401.95118647846306</c:v>
                </c:pt>
                <c:pt idx="794">
                  <c:v>404.20211312274245</c:v>
                </c:pt>
                <c:pt idx="795">
                  <c:v>412.48825644175867</c:v>
                </c:pt>
                <c:pt idx="796">
                  <c:v>427.75032193010372</c:v>
                </c:pt>
                <c:pt idx="797">
                  <c:v>434.76542720975743</c:v>
                </c:pt>
                <c:pt idx="798">
                  <c:v>443.59116538211549</c:v>
                </c:pt>
                <c:pt idx="799">
                  <c:v>428.37598840950892</c:v>
                </c:pt>
                <c:pt idx="800">
                  <c:v>429.36125318285076</c:v>
                </c:pt>
                <c:pt idx="801">
                  <c:v>426.35572441057082</c:v>
                </c:pt>
                <c:pt idx="802">
                  <c:v>434.71229660901804</c:v>
                </c:pt>
                <c:pt idx="803">
                  <c:v>433.40815971919096</c:v>
                </c:pt>
                <c:pt idx="804">
                  <c:v>437.43885560457949</c:v>
                </c:pt>
                <c:pt idx="805">
                  <c:v>438.8386599425142</c:v>
                </c:pt>
                <c:pt idx="806">
                  <c:v>452.48654226672636</c:v>
                </c:pt>
                <c:pt idx="807">
                  <c:v>459.0475971295939</c:v>
                </c:pt>
                <c:pt idx="808">
                  <c:v>452.4832164906407</c:v>
                </c:pt>
                <c:pt idx="809">
                  <c:v>458.00351173182651</c:v>
                </c:pt>
                <c:pt idx="810">
                  <c:v>458.64471664825112</c:v>
                </c:pt>
                <c:pt idx="811">
                  <c:v>471.16571741274845</c:v>
                </c:pt>
                <c:pt idx="812">
                  <c:v>466.54829338210351</c:v>
                </c:pt>
                <c:pt idx="813">
                  <c:v>462.20939425364998</c:v>
                </c:pt>
                <c:pt idx="814">
                  <c:v>452.87276448972625</c:v>
                </c:pt>
                <c:pt idx="815">
                  <c:v>450.74426249662451</c:v>
                </c:pt>
                <c:pt idx="816">
                  <c:v>442.99146118168255</c:v>
                </c:pt>
                <c:pt idx="817">
                  <c:v>448.88324761539894</c:v>
                </c:pt>
                <c:pt idx="818">
                  <c:v>461.54175519815317</c:v>
                </c:pt>
                <c:pt idx="819">
                  <c:v>450.64936977547677</c:v>
                </c:pt>
                <c:pt idx="820">
                  <c:v>451.86612307387054</c:v>
                </c:pt>
                <c:pt idx="821">
                  <c:v>452.00168291079268</c:v>
                </c:pt>
                <c:pt idx="822">
                  <c:v>440.0236383136567</c:v>
                </c:pt>
                <c:pt idx="823">
                  <c:v>436.98747520929248</c:v>
                </c:pt>
                <c:pt idx="824">
                  <c:v>433.92856288282741</c:v>
                </c:pt>
                <c:pt idx="825">
                  <c:v>431.19481293666558</c:v>
                </c:pt>
                <c:pt idx="826">
                  <c:v>421.70852705205891</c:v>
                </c:pt>
                <c:pt idx="827">
                  <c:v>434.06458689468428</c:v>
                </c:pt>
                <c:pt idx="828">
                  <c:v>443.13653676078314</c:v>
                </c:pt>
                <c:pt idx="829">
                  <c:v>450.22672134895566</c:v>
                </c:pt>
                <c:pt idx="830">
                  <c:v>440.72693752849267</c:v>
                </c:pt>
                <c:pt idx="831">
                  <c:v>424.24375006492704</c:v>
                </c:pt>
                <c:pt idx="832">
                  <c:v>419.32252256417388</c:v>
                </c:pt>
                <c:pt idx="833">
                  <c:v>421.71266094278968</c:v>
                </c:pt>
                <c:pt idx="834">
                  <c:v>410.70596049218284</c:v>
                </c:pt>
                <c:pt idx="835">
                  <c:v>418.38616195338665</c:v>
                </c:pt>
                <c:pt idx="836">
                  <c:v>423.82518205878063</c:v>
                </c:pt>
                <c:pt idx="837">
                  <c:v>444.63499849786672</c:v>
                </c:pt>
                <c:pt idx="838">
                  <c:v>458.10743895235208</c:v>
                </c:pt>
                <c:pt idx="839">
                  <c:v>441.70719263785787</c:v>
                </c:pt>
                <c:pt idx="840">
                  <c:v>424.78980715982789</c:v>
                </c:pt>
                <c:pt idx="841">
                  <c:v>434.5174937437879</c:v>
                </c:pt>
                <c:pt idx="842">
                  <c:v>430.73719154821691</c:v>
                </c:pt>
                <c:pt idx="843">
                  <c:v>411.48323908601162</c:v>
                </c:pt>
                <c:pt idx="844">
                  <c:v>395.39424443774857</c:v>
                </c:pt>
                <c:pt idx="845">
                  <c:v>408.08639968420033</c:v>
                </c:pt>
                <c:pt idx="846">
                  <c:v>400.57760993001108</c:v>
                </c:pt>
                <c:pt idx="847">
                  <c:v>388.92080148104776</c:v>
                </c:pt>
                <c:pt idx="848">
                  <c:v>387.4429024354198</c:v>
                </c:pt>
                <c:pt idx="849">
                  <c:v>365.55237844781857</c:v>
                </c:pt>
                <c:pt idx="850">
                  <c:v>383.57411070529599</c:v>
                </c:pt>
                <c:pt idx="851">
                  <c:v>388.71400378874699</c:v>
                </c:pt>
                <c:pt idx="852">
                  <c:v>377.83001168266208</c:v>
                </c:pt>
                <c:pt idx="853">
                  <c:v>405.4116025354964</c:v>
                </c:pt>
                <c:pt idx="854">
                  <c:v>415.91176304116578</c:v>
                </c:pt>
                <c:pt idx="855">
                  <c:v>413.08356305248583</c:v>
                </c:pt>
                <c:pt idx="856">
                  <c:v>392.55330996877728</c:v>
                </c:pt>
                <c:pt idx="857">
                  <c:v>383.28905185351414</c:v>
                </c:pt>
                <c:pt idx="858">
                  <c:v>378.88122775719876</c:v>
                </c:pt>
                <c:pt idx="859">
                  <c:v>378.84333963442305</c:v>
                </c:pt>
                <c:pt idx="860">
                  <c:v>375.3200965758229</c:v>
                </c:pt>
                <c:pt idx="861">
                  <c:v>376.1458007882897</c:v>
                </c:pt>
                <c:pt idx="862">
                  <c:v>362.00271867865001</c:v>
                </c:pt>
                <c:pt idx="863">
                  <c:v>350.56343276840471</c:v>
                </c:pt>
                <c:pt idx="864">
                  <c:v>332.61458501066238</c:v>
                </c:pt>
                <c:pt idx="865">
                  <c:v>314.98601200509728</c:v>
                </c:pt>
                <c:pt idx="866">
                  <c:v>314.60802879069115</c:v>
                </c:pt>
                <c:pt idx="867">
                  <c:v>304.16304223484019</c:v>
                </c:pt>
                <c:pt idx="868">
                  <c:v>307.41758678675296</c:v>
                </c:pt>
                <c:pt idx="869">
                  <c:v>306.40310875035669</c:v>
                </c:pt>
                <c:pt idx="870">
                  <c:v>307.59808087448312</c:v>
                </c:pt>
                <c:pt idx="871">
                  <c:v>290.12650988081248</c:v>
                </c:pt>
                <c:pt idx="872">
                  <c:v>278.69552539150845</c:v>
                </c:pt>
                <c:pt idx="873">
                  <c:v>289.81547685462965</c:v>
                </c:pt>
                <c:pt idx="874">
                  <c:v>299.72716616305797</c:v>
                </c:pt>
                <c:pt idx="875">
                  <c:v>308.86884473103123</c:v>
                </c:pt>
                <c:pt idx="876">
                  <c:v>317.11564288534976</c:v>
                </c:pt>
                <c:pt idx="877">
                  <c:v>313.05656265641727</c:v>
                </c:pt>
                <c:pt idx="878">
                  <c:v>323.481346192876</c:v>
                </c:pt>
                <c:pt idx="879">
                  <c:v>300.99939263247114</c:v>
                </c:pt>
                <c:pt idx="880">
                  <c:v>323.21314780874752</c:v>
                </c:pt>
                <c:pt idx="881">
                  <c:v>346.32288787707296</c:v>
                </c:pt>
                <c:pt idx="882">
                  <c:v>363.46587082698812</c:v>
                </c:pt>
                <c:pt idx="883">
                  <c:v>442.37431138352724</c:v>
                </c:pt>
                <c:pt idx="884">
                  <c:v>367.70152762198785</c:v>
                </c:pt>
                <c:pt idx="885">
                  <c:v>339.20465923128381</c:v>
                </c:pt>
                <c:pt idx="886">
                  <c:v>321.87130114456522</c:v>
                </c:pt>
                <c:pt idx="887">
                  <c:v>366.48266348320197</c:v>
                </c:pt>
                <c:pt idx="888">
                  <c:v>356.25779717202062</c:v>
                </c:pt>
                <c:pt idx="889">
                  <c:v>352.2320840639768</c:v>
                </c:pt>
                <c:pt idx="890">
                  <c:v>347.33605809548749</c:v>
                </c:pt>
                <c:pt idx="891">
                  <c:v>334.27622231109717</c:v>
                </c:pt>
                <c:pt idx="892">
                  <c:v>324.94991570861754</c:v>
                </c:pt>
                <c:pt idx="893">
                  <c:v>328.10192989099113</c:v>
                </c:pt>
                <c:pt idx="894">
                  <c:v>349.65822668482929</c:v>
                </c:pt>
                <c:pt idx="895">
                  <c:v>347.07075580736154</c:v>
                </c:pt>
                <c:pt idx="896">
                  <c:v>348.25079637710661</c:v>
                </c:pt>
                <c:pt idx="897">
                  <c:v>350.06170051826757</c:v>
                </c:pt>
                <c:pt idx="898">
                  <c:v>359.16330473174253</c:v>
                </c:pt>
                <c:pt idx="899">
                  <c:v>380.89268466801298</c:v>
                </c:pt>
                <c:pt idx="900">
                  <c:v>364.32385288495442</c:v>
                </c:pt>
                <c:pt idx="901">
                  <c:v>373.39551682178978</c:v>
                </c:pt>
                <c:pt idx="902">
                  <c:v>350.50637164061408</c:v>
                </c:pt>
                <c:pt idx="903">
                  <c:v>377.25000779679294</c:v>
                </c:pt>
                <c:pt idx="904">
                  <c:v>375.7032827648261</c:v>
                </c:pt>
                <c:pt idx="905">
                  <c:v>392.87292278717865</c:v>
                </c:pt>
                <c:pt idx="906">
                  <c:v>397.54811056834609</c:v>
                </c:pt>
                <c:pt idx="907">
                  <c:v>393.17508135209425</c:v>
                </c:pt>
                <c:pt idx="908">
                  <c:v>409.80638729328786</c:v>
                </c:pt>
                <c:pt idx="909">
                  <c:v>434.1488866985091</c:v>
                </c:pt>
                <c:pt idx="910">
                  <c:v>420.21270743548695</c:v>
                </c:pt>
                <c:pt idx="911">
                  <c:v>438.1137687722387</c:v>
                </c:pt>
                <c:pt idx="912">
                  <c:v>414.89373902731</c:v>
                </c:pt>
                <c:pt idx="913">
                  <c:v>404.77033179504366</c:v>
                </c:pt>
                <c:pt idx="914">
                  <c:v>415.17292932217629</c:v>
                </c:pt>
                <c:pt idx="915">
                  <c:v>403.13291437183318</c:v>
                </c:pt>
                <c:pt idx="916">
                  <c:v>414.58188913999322</c:v>
                </c:pt>
                <c:pt idx="917">
                  <c:v>414.58188913999322</c:v>
                </c:pt>
                <c:pt idx="918">
                  <c:v>420.34457739903911</c:v>
                </c:pt>
                <c:pt idx="919">
                  <c:v>418.91540583588238</c:v>
                </c:pt>
                <c:pt idx="920">
                  <c:v>422.64375294782172</c:v>
                </c:pt>
                <c:pt idx="921">
                  <c:v>425.0528223396243</c:v>
                </c:pt>
                <c:pt idx="922">
                  <c:v>445.03030498958663</c:v>
                </c:pt>
                <c:pt idx="923">
                  <c:v>452.46231108291272</c:v>
                </c:pt>
                <c:pt idx="924">
                  <c:v>476.21658241476564</c:v>
                </c:pt>
                <c:pt idx="925">
                  <c:v>488.59821355754957</c:v>
                </c:pt>
                <c:pt idx="926">
                  <c:v>492.45813944465419</c:v>
                </c:pt>
                <c:pt idx="927">
                  <c:v>505.65601758177087</c:v>
                </c:pt>
                <c:pt idx="928">
                  <c:v>515.81970353516442</c:v>
                </c:pt>
                <c:pt idx="929">
                  <c:v>500.29353045875598</c:v>
                </c:pt>
                <c:pt idx="930">
                  <c:v>514.30174931160116</c:v>
                </c:pt>
                <c:pt idx="931">
                  <c:v>506.94723429644529</c:v>
                </c:pt>
                <c:pt idx="932">
                  <c:v>515.81881089663307</c:v>
                </c:pt>
                <c:pt idx="933">
                  <c:v>505.19294339216248</c:v>
                </c:pt>
                <c:pt idx="934">
                  <c:v>504.13203821103895</c:v>
                </c:pt>
                <c:pt idx="935">
                  <c:v>515.52542227460845</c:v>
                </c:pt>
                <c:pt idx="936">
                  <c:v>495.98700877040073</c:v>
                </c:pt>
                <c:pt idx="937">
                  <c:v>487.90242052744321</c:v>
                </c:pt>
                <c:pt idx="938">
                  <c:v>502.73465411147748</c:v>
                </c:pt>
                <c:pt idx="939">
                  <c:v>504.29313153922311</c:v>
                </c:pt>
                <c:pt idx="940">
                  <c:v>524.01099298240672</c:v>
                </c:pt>
                <c:pt idx="941">
                  <c:v>524.63980617398568</c:v>
                </c:pt>
                <c:pt idx="942">
                  <c:v>516.66528112014112</c:v>
                </c:pt>
                <c:pt idx="943">
                  <c:v>514.08195471454042</c:v>
                </c:pt>
                <c:pt idx="944">
                  <c:v>506.88480734853687</c:v>
                </c:pt>
                <c:pt idx="945">
                  <c:v>486.60941505459539</c:v>
                </c:pt>
                <c:pt idx="946">
                  <c:v>500.62376620816769</c:v>
                </c:pt>
                <c:pt idx="947">
                  <c:v>513.74010888282169</c:v>
                </c:pt>
                <c:pt idx="948">
                  <c:v>528.79269407308846</c:v>
                </c:pt>
                <c:pt idx="949">
                  <c:v>523.92780128761603</c:v>
                </c:pt>
                <c:pt idx="950">
                  <c:v>520.8890200401479</c:v>
                </c:pt>
                <c:pt idx="951">
                  <c:v>514.5862628976621</c:v>
                </c:pt>
                <c:pt idx="952">
                  <c:v>519.26899789003085</c:v>
                </c:pt>
                <c:pt idx="953">
                  <c:v>516.88036049973664</c:v>
                </c:pt>
                <c:pt idx="954">
                  <c:v>544.89527603882243</c:v>
                </c:pt>
                <c:pt idx="955">
                  <c:v>542.8246739898749</c:v>
                </c:pt>
                <c:pt idx="956">
                  <c:v>562.09494991651547</c:v>
                </c:pt>
                <c:pt idx="957">
                  <c:v>554.56287758763415</c:v>
                </c:pt>
                <c:pt idx="958">
                  <c:v>537.70416610897007</c:v>
                </c:pt>
                <c:pt idx="959">
                  <c:v>535.82220152758873</c:v>
                </c:pt>
                <c:pt idx="960">
                  <c:v>513.96065570526309</c:v>
                </c:pt>
                <c:pt idx="961">
                  <c:v>518.58630160661039</c:v>
                </c:pt>
                <c:pt idx="962">
                  <c:v>511.48166927459982</c:v>
                </c:pt>
                <c:pt idx="963">
                  <c:v>520.33030215305041</c:v>
                </c:pt>
                <c:pt idx="964">
                  <c:v>524.80514275156656</c:v>
                </c:pt>
                <c:pt idx="965">
                  <c:v>519.03228618129936</c:v>
                </c:pt>
                <c:pt idx="966">
                  <c:v>519.55131846748054</c:v>
                </c:pt>
                <c:pt idx="967">
                  <c:v>526.40939587125138</c:v>
                </c:pt>
                <c:pt idx="968">
                  <c:v>526.09355023372859</c:v>
                </c:pt>
                <c:pt idx="969">
                  <c:v>515.25602309891383</c:v>
                </c:pt>
                <c:pt idx="970">
                  <c:v>515.41059990584347</c:v>
                </c:pt>
                <c:pt idx="971">
                  <c:v>519.37926152511852</c:v>
                </c:pt>
                <c:pt idx="972">
                  <c:v>506.34284206083805</c:v>
                </c:pt>
                <c:pt idx="973">
                  <c:v>505.68459636615898</c:v>
                </c:pt>
                <c:pt idx="974">
                  <c:v>494.10441910937391</c:v>
                </c:pt>
                <c:pt idx="975">
                  <c:v>495.1914488314145</c:v>
                </c:pt>
                <c:pt idx="976">
                  <c:v>482.16791372714829</c:v>
                </c:pt>
                <c:pt idx="977">
                  <c:v>483.13224955460259</c:v>
                </c:pt>
                <c:pt idx="978">
                  <c:v>478.83237253356663</c:v>
                </c:pt>
                <c:pt idx="979">
                  <c:v>477.73105807673943</c:v>
                </c:pt>
                <c:pt idx="980">
                  <c:v>482.22173002266084</c:v>
                </c:pt>
                <c:pt idx="981">
                  <c:v>474.31329365028921</c:v>
                </c:pt>
                <c:pt idx="982">
                  <c:v>489.5387503764635</c:v>
                </c:pt>
                <c:pt idx="983">
                  <c:v>495.75589250624455</c:v>
                </c:pt>
                <c:pt idx="984">
                  <c:v>508.00106305114878</c:v>
                </c:pt>
                <c:pt idx="985">
                  <c:v>526.33990142729522</c:v>
                </c:pt>
                <c:pt idx="986">
                  <c:v>520.39226054116682</c:v>
                </c:pt>
                <c:pt idx="987">
                  <c:v>508.26712087055762</c:v>
                </c:pt>
                <c:pt idx="988">
                  <c:v>493.0699339565279</c:v>
                </c:pt>
                <c:pt idx="989">
                  <c:v>510.7711445855673</c:v>
                </c:pt>
                <c:pt idx="990">
                  <c:v>510.72006747110873</c:v>
                </c:pt>
                <c:pt idx="991">
                  <c:v>511.58829158580966</c:v>
                </c:pt>
                <c:pt idx="992">
                  <c:v>511.12786212338244</c:v>
                </c:pt>
                <c:pt idx="993">
                  <c:v>535.81533786394186</c:v>
                </c:pt>
                <c:pt idx="994">
                  <c:v>523.33084049171202</c:v>
                </c:pt>
                <c:pt idx="995">
                  <c:v>536.98977542854573</c:v>
                </c:pt>
                <c:pt idx="996">
                  <c:v>548.10546377991659</c:v>
                </c:pt>
                <c:pt idx="997">
                  <c:v>543.17251460589739</c:v>
                </c:pt>
                <c:pt idx="998">
                  <c:v>556.48024121374181</c:v>
                </c:pt>
                <c:pt idx="999">
                  <c:v>532.99677503452187</c:v>
                </c:pt>
                <c:pt idx="1000">
                  <c:v>519.67185565865884</c:v>
                </c:pt>
                <c:pt idx="1001">
                  <c:v>551.42380603940285</c:v>
                </c:pt>
                <c:pt idx="1002">
                  <c:v>553.51921650235261</c:v>
                </c:pt>
                <c:pt idx="1003">
                  <c:v>560.16144710038088</c:v>
                </c:pt>
                <c:pt idx="1004">
                  <c:v>568.11573964920626</c:v>
                </c:pt>
                <c:pt idx="1005">
                  <c:v>596.40790348373673</c:v>
                </c:pt>
                <c:pt idx="1006">
                  <c:v>596.70610743547854</c:v>
                </c:pt>
                <c:pt idx="1007">
                  <c:v>584.95099711899957</c:v>
                </c:pt>
                <c:pt idx="1008">
                  <c:v>585.88691871439005</c:v>
                </c:pt>
                <c:pt idx="1009">
                  <c:v>568.31031115295832</c:v>
                </c:pt>
                <c:pt idx="1010">
                  <c:v>590.58807535015421</c:v>
                </c:pt>
                <c:pt idx="1011">
                  <c:v>597.37983821668104</c:v>
                </c:pt>
                <c:pt idx="1012">
                  <c:v>619.48289223069821</c:v>
                </c:pt>
                <c:pt idx="1013">
                  <c:v>623.81927247631302</c:v>
                </c:pt>
                <c:pt idx="1014">
                  <c:v>608.41093644614807</c:v>
                </c:pt>
                <c:pt idx="1015">
                  <c:v>617.65878268012955</c:v>
                </c:pt>
                <c:pt idx="1016">
                  <c:v>633.71791102981297</c:v>
                </c:pt>
                <c:pt idx="1017">
                  <c:v>631.56327013231157</c:v>
                </c:pt>
                <c:pt idx="1018">
                  <c:v>627.14232724138537</c:v>
                </c:pt>
                <c:pt idx="1019">
                  <c:v>626.01347105235084</c:v>
                </c:pt>
                <c:pt idx="1020">
                  <c:v>617.8126945815651</c:v>
                </c:pt>
                <c:pt idx="1021">
                  <c:v>598.90762612736921</c:v>
                </c:pt>
                <c:pt idx="1022">
                  <c:v>578.06564073813684</c:v>
                </c:pt>
                <c:pt idx="1023">
                  <c:v>597.77767908730732</c:v>
                </c:pt>
                <c:pt idx="1024">
                  <c:v>596.76145703285886</c:v>
                </c:pt>
                <c:pt idx="1025">
                  <c:v>592.52445068792554</c:v>
                </c:pt>
                <c:pt idx="1026">
                  <c:v>605.26372637771601</c:v>
                </c:pt>
                <c:pt idx="1027">
                  <c:v>594.671611166106</c:v>
                </c:pt>
                <c:pt idx="1028">
                  <c:v>591.04411433799271</c:v>
                </c:pt>
                <c:pt idx="1029">
                  <c:v>587.97068494343512</c:v>
                </c:pt>
                <c:pt idx="1030">
                  <c:v>588.08827908042383</c:v>
                </c:pt>
                <c:pt idx="1031">
                  <c:v>592.61655882934315</c:v>
                </c:pt>
                <c:pt idx="1032">
                  <c:v>577.32705161154604</c:v>
                </c:pt>
                <c:pt idx="1033">
                  <c:v>579.69409252315336</c:v>
                </c:pt>
                <c:pt idx="1034">
                  <c:v>582.59256298576906</c:v>
                </c:pt>
                <c:pt idx="1035">
                  <c:v>575.95100776773131</c:v>
                </c:pt>
                <c:pt idx="1036">
                  <c:v>579.34911871356098</c:v>
                </c:pt>
                <c:pt idx="1037">
                  <c:v>587.86555075865033</c:v>
                </c:pt>
                <c:pt idx="1038">
                  <c:v>590.15822640660906</c:v>
                </c:pt>
                <c:pt idx="1039">
                  <c:v>587.50251438777934</c:v>
                </c:pt>
                <c:pt idx="1040">
                  <c:v>592.14378425144287</c:v>
                </c:pt>
                <c:pt idx="1041">
                  <c:v>577.69547591570768</c:v>
                </c:pt>
                <c:pt idx="1042">
                  <c:v>587.34299036350001</c:v>
                </c:pt>
                <c:pt idx="1043">
                  <c:v>594.50857484593473</c:v>
                </c:pt>
                <c:pt idx="1044">
                  <c:v>605.56643433806914</c:v>
                </c:pt>
                <c:pt idx="1045">
                  <c:v>607.3831336410833</c:v>
                </c:pt>
                <c:pt idx="1046">
                  <c:v>625.2401977701312</c:v>
                </c:pt>
                <c:pt idx="1047">
                  <c:v>615.92411882335625</c:v>
                </c:pt>
                <c:pt idx="1048">
                  <c:v>623.56157789676581</c:v>
                </c:pt>
                <c:pt idx="1049">
                  <c:v>620.44377000728196</c:v>
                </c:pt>
                <c:pt idx="1050">
                  <c:v>625.84163080634528</c:v>
                </c:pt>
                <c:pt idx="1051">
                  <c:v>627.90690818800624</c:v>
                </c:pt>
                <c:pt idx="1052">
                  <c:v>616.0394676232529</c:v>
                </c:pt>
                <c:pt idx="1053">
                  <c:v>589.85779024926467</c:v>
                </c:pt>
                <c:pt idx="1054">
                  <c:v>579.06339268770319</c:v>
                </c:pt>
                <c:pt idx="1055">
                  <c:v>596.78273250394693</c:v>
                </c:pt>
                <c:pt idx="1056">
                  <c:v>571.53882291902994</c:v>
                </c:pt>
                <c:pt idx="1057">
                  <c:v>573.65351656383041</c:v>
                </c:pt>
                <c:pt idx="1058">
                  <c:v>551.73995223109205</c:v>
                </c:pt>
                <c:pt idx="1059">
                  <c:v>575.07855221046725</c:v>
                </c:pt>
                <c:pt idx="1060">
                  <c:v>563.23193403493167</c:v>
                </c:pt>
                <c:pt idx="1061">
                  <c:v>577.53802515941902</c:v>
                </c:pt>
                <c:pt idx="1062">
                  <c:v>574.24605841601033</c:v>
                </c:pt>
                <c:pt idx="1063">
                  <c:v>577.28956252561522</c:v>
                </c:pt>
                <c:pt idx="1064">
                  <c:v>594.89689418264652</c:v>
                </c:pt>
                <c:pt idx="1065">
                  <c:v>577.228456425422</c:v>
                </c:pt>
                <c:pt idx="1066">
                  <c:v>582.65440391582104</c:v>
                </c:pt>
                <c:pt idx="1067">
                  <c:v>599.02699266585557</c:v>
                </c:pt>
                <c:pt idx="1068">
                  <c:v>574.16737247022263</c:v>
                </c:pt>
                <c:pt idx="1069">
                  <c:v>576.98079259532665</c:v>
                </c:pt>
                <c:pt idx="1070">
                  <c:v>561.74849967081002</c:v>
                </c:pt>
                <c:pt idx="1071">
                  <c:v>550.62587937732792</c:v>
                </c:pt>
                <c:pt idx="1072">
                  <c:v>570.66866138666262</c:v>
                </c:pt>
                <c:pt idx="1073">
                  <c:v>554.63287200169736</c:v>
                </c:pt>
                <c:pt idx="1074">
                  <c:v>535.83081764083977</c:v>
                </c:pt>
                <c:pt idx="1075">
                  <c:v>540.01029801843833</c:v>
                </c:pt>
                <c:pt idx="1076">
                  <c:v>544.81638967080244</c:v>
                </c:pt>
                <c:pt idx="1077">
                  <c:v>548.46665948159682</c:v>
                </c:pt>
                <c:pt idx="1078">
                  <c:v>547.04064616694461</c:v>
                </c:pt>
                <c:pt idx="1079">
                  <c:v>550.59641036702976</c:v>
                </c:pt>
                <c:pt idx="1080">
                  <c:v>565.13215560071933</c:v>
                </c:pt>
                <c:pt idx="1081">
                  <c:v>571.74420182124777</c:v>
                </c:pt>
                <c:pt idx="1082">
                  <c:v>583.23626027785485</c:v>
                </c:pt>
                <c:pt idx="1083">
                  <c:v>557.80715932974044</c:v>
                </c:pt>
                <c:pt idx="1084">
                  <c:v>588.3749916610102</c:v>
                </c:pt>
                <c:pt idx="1085">
                  <c:v>588.84569165433891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7BC-4BBA-BF19-13245571F9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5995760"/>
        <c:axId val="535986904"/>
      </c:scatterChart>
      <c:valAx>
        <c:axId val="535995760"/>
        <c:scaling>
          <c:orientation val="minMax"/>
          <c:max val="42705"/>
          <c:min val="967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m/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5986904"/>
        <c:crosses val="autoZero"/>
        <c:crossBetween val="midCat"/>
        <c:majorUnit val="3650"/>
      </c:valAx>
      <c:valAx>
        <c:axId val="535986904"/>
        <c:scaling>
          <c:logBase val="10"/>
          <c:orientation val="minMax"/>
          <c:min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59957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800">
                <a:solidFill>
                  <a:sysClr val="windowText" lastClr="000000"/>
                </a:solidFill>
              </a:rPr>
              <a:t> Value Risk Factor: HML</a:t>
            </a:r>
          </a:p>
          <a:p>
            <a:pPr>
              <a:defRPr sz="1800">
                <a:solidFill>
                  <a:sysClr val="windowText" lastClr="000000"/>
                </a:solidFill>
              </a:defRPr>
            </a:pPr>
            <a:r>
              <a:rPr lang="en-US" sz="1600">
                <a:solidFill>
                  <a:sysClr val="windowText" lastClr="000000"/>
                </a:solidFill>
              </a:rPr>
              <a:t>Long High B/M &amp; Short Low B/M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5"/>
          <c:order val="0"/>
          <c:tx>
            <c:strRef>
              <c:f>Price!$G$1</c:f>
              <c:strCache>
                <c:ptCount val="1"/>
                <c:pt idx="0">
                  <c:v> HML </c:v>
                </c:pt>
              </c:strCache>
            </c:strRef>
          </c:tx>
          <c:spPr>
            <a:ln w="3810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xVal>
            <c:numRef>
              <c:f>Price!$A$2:$A$1087</c:f>
              <c:numCache>
                <c:formatCode>mm/yy</c:formatCode>
                <c:ptCount val="1086"/>
                <c:pt idx="0">
                  <c:v>9679</c:v>
                </c:pt>
                <c:pt idx="1">
                  <c:v>9710</c:v>
                </c:pt>
                <c:pt idx="2">
                  <c:v>9741</c:v>
                </c:pt>
                <c:pt idx="3">
                  <c:v>9771</c:v>
                </c:pt>
                <c:pt idx="4">
                  <c:v>9802</c:v>
                </c:pt>
                <c:pt idx="5">
                  <c:v>9832</c:v>
                </c:pt>
                <c:pt idx="6">
                  <c:v>9863</c:v>
                </c:pt>
                <c:pt idx="7">
                  <c:v>9894</c:v>
                </c:pt>
                <c:pt idx="8">
                  <c:v>9922</c:v>
                </c:pt>
                <c:pt idx="9">
                  <c:v>9953</c:v>
                </c:pt>
                <c:pt idx="10">
                  <c:v>9983</c:v>
                </c:pt>
                <c:pt idx="11">
                  <c:v>10014</c:v>
                </c:pt>
                <c:pt idx="12">
                  <c:v>10044</c:v>
                </c:pt>
                <c:pt idx="13">
                  <c:v>10075</c:v>
                </c:pt>
                <c:pt idx="14">
                  <c:v>10106</c:v>
                </c:pt>
                <c:pt idx="15">
                  <c:v>10136</c:v>
                </c:pt>
                <c:pt idx="16">
                  <c:v>10167</c:v>
                </c:pt>
                <c:pt idx="17">
                  <c:v>10197</c:v>
                </c:pt>
                <c:pt idx="18">
                  <c:v>10228</c:v>
                </c:pt>
                <c:pt idx="19">
                  <c:v>10259</c:v>
                </c:pt>
                <c:pt idx="20">
                  <c:v>10288</c:v>
                </c:pt>
                <c:pt idx="21">
                  <c:v>10319</c:v>
                </c:pt>
                <c:pt idx="22">
                  <c:v>10349</c:v>
                </c:pt>
                <c:pt idx="23">
                  <c:v>10380</c:v>
                </c:pt>
                <c:pt idx="24">
                  <c:v>10410</c:v>
                </c:pt>
                <c:pt idx="25">
                  <c:v>10441</c:v>
                </c:pt>
                <c:pt idx="26">
                  <c:v>10472</c:v>
                </c:pt>
                <c:pt idx="27">
                  <c:v>10502</c:v>
                </c:pt>
                <c:pt idx="28">
                  <c:v>10533</c:v>
                </c:pt>
                <c:pt idx="29">
                  <c:v>10563</c:v>
                </c:pt>
                <c:pt idx="30">
                  <c:v>10594</c:v>
                </c:pt>
                <c:pt idx="31">
                  <c:v>10625</c:v>
                </c:pt>
                <c:pt idx="32">
                  <c:v>10653</c:v>
                </c:pt>
                <c:pt idx="33">
                  <c:v>10684</c:v>
                </c:pt>
                <c:pt idx="34">
                  <c:v>10714</c:v>
                </c:pt>
                <c:pt idx="35">
                  <c:v>10745</c:v>
                </c:pt>
                <c:pt idx="36">
                  <c:v>10775</c:v>
                </c:pt>
                <c:pt idx="37">
                  <c:v>10806</c:v>
                </c:pt>
                <c:pt idx="38">
                  <c:v>10837</c:v>
                </c:pt>
                <c:pt idx="39">
                  <c:v>10867</c:v>
                </c:pt>
                <c:pt idx="40">
                  <c:v>10898</c:v>
                </c:pt>
                <c:pt idx="41">
                  <c:v>10928</c:v>
                </c:pt>
                <c:pt idx="42">
                  <c:v>10959</c:v>
                </c:pt>
                <c:pt idx="43">
                  <c:v>10990</c:v>
                </c:pt>
                <c:pt idx="44">
                  <c:v>11018</c:v>
                </c:pt>
                <c:pt idx="45">
                  <c:v>11049</c:v>
                </c:pt>
                <c:pt idx="46">
                  <c:v>11079</c:v>
                </c:pt>
                <c:pt idx="47">
                  <c:v>11110</c:v>
                </c:pt>
                <c:pt idx="48">
                  <c:v>11140</c:v>
                </c:pt>
                <c:pt idx="49">
                  <c:v>11171</c:v>
                </c:pt>
                <c:pt idx="50">
                  <c:v>11202</c:v>
                </c:pt>
                <c:pt idx="51">
                  <c:v>11232</c:v>
                </c:pt>
                <c:pt idx="52">
                  <c:v>11263</c:v>
                </c:pt>
                <c:pt idx="53">
                  <c:v>11293</c:v>
                </c:pt>
                <c:pt idx="54">
                  <c:v>11324</c:v>
                </c:pt>
                <c:pt idx="55">
                  <c:v>11355</c:v>
                </c:pt>
                <c:pt idx="56">
                  <c:v>11383</c:v>
                </c:pt>
                <c:pt idx="57">
                  <c:v>11414</c:v>
                </c:pt>
                <c:pt idx="58">
                  <c:v>11444</c:v>
                </c:pt>
                <c:pt idx="59">
                  <c:v>11475</c:v>
                </c:pt>
                <c:pt idx="60">
                  <c:v>11505</c:v>
                </c:pt>
                <c:pt idx="61">
                  <c:v>11536</c:v>
                </c:pt>
                <c:pt idx="62">
                  <c:v>11567</c:v>
                </c:pt>
                <c:pt idx="63">
                  <c:v>11597</c:v>
                </c:pt>
                <c:pt idx="64">
                  <c:v>11628</c:v>
                </c:pt>
                <c:pt idx="65">
                  <c:v>11658</c:v>
                </c:pt>
                <c:pt idx="66">
                  <c:v>11689</c:v>
                </c:pt>
                <c:pt idx="67">
                  <c:v>11720</c:v>
                </c:pt>
                <c:pt idx="68">
                  <c:v>11749</c:v>
                </c:pt>
                <c:pt idx="69">
                  <c:v>11780</c:v>
                </c:pt>
                <c:pt idx="70">
                  <c:v>11810</c:v>
                </c:pt>
                <c:pt idx="71">
                  <c:v>11841</c:v>
                </c:pt>
                <c:pt idx="72">
                  <c:v>11871</c:v>
                </c:pt>
                <c:pt idx="73">
                  <c:v>11902</c:v>
                </c:pt>
                <c:pt idx="74">
                  <c:v>11933</c:v>
                </c:pt>
                <c:pt idx="75">
                  <c:v>11963</c:v>
                </c:pt>
                <c:pt idx="76">
                  <c:v>11994</c:v>
                </c:pt>
                <c:pt idx="77">
                  <c:v>12024</c:v>
                </c:pt>
                <c:pt idx="78">
                  <c:v>12055</c:v>
                </c:pt>
                <c:pt idx="79">
                  <c:v>12086</c:v>
                </c:pt>
                <c:pt idx="80">
                  <c:v>12114</c:v>
                </c:pt>
                <c:pt idx="81">
                  <c:v>12145</c:v>
                </c:pt>
                <c:pt idx="82">
                  <c:v>12175</c:v>
                </c:pt>
                <c:pt idx="83">
                  <c:v>12206</c:v>
                </c:pt>
                <c:pt idx="84">
                  <c:v>12236</c:v>
                </c:pt>
                <c:pt idx="85">
                  <c:v>12267</c:v>
                </c:pt>
                <c:pt idx="86">
                  <c:v>12298</c:v>
                </c:pt>
                <c:pt idx="87">
                  <c:v>12328</c:v>
                </c:pt>
                <c:pt idx="88">
                  <c:v>12359</c:v>
                </c:pt>
                <c:pt idx="89">
                  <c:v>12389</c:v>
                </c:pt>
                <c:pt idx="90">
                  <c:v>12420</c:v>
                </c:pt>
                <c:pt idx="91">
                  <c:v>12451</c:v>
                </c:pt>
                <c:pt idx="92">
                  <c:v>12479</c:v>
                </c:pt>
                <c:pt idx="93">
                  <c:v>12510</c:v>
                </c:pt>
                <c:pt idx="94">
                  <c:v>12540</c:v>
                </c:pt>
                <c:pt idx="95">
                  <c:v>12571</c:v>
                </c:pt>
                <c:pt idx="96">
                  <c:v>12601</c:v>
                </c:pt>
                <c:pt idx="97">
                  <c:v>12632</c:v>
                </c:pt>
                <c:pt idx="98">
                  <c:v>12663</c:v>
                </c:pt>
                <c:pt idx="99">
                  <c:v>12693</c:v>
                </c:pt>
                <c:pt idx="100">
                  <c:v>12724</c:v>
                </c:pt>
                <c:pt idx="101">
                  <c:v>12754</c:v>
                </c:pt>
                <c:pt idx="102">
                  <c:v>12785</c:v>
                </c:pt>
                <c:pt idx="103">
                  <c:v>12816</c:v>
                </c:pt>
                <c:pt idx="104">
                  <c:v>12844</c:v>
                </c:pt>
                <c:pt idx="105">
                  <c:v>12875</c:v>
                </c:pt>
                <c:pt idx="106">
                  <c:v>12905</c:v>
                </c:pt>
                <c:pt idx="107">
                  <c:v>12936</c:v>
                </c:pt>
                <c:pt idx="108">
                  <c:v>12966</c:v>
                </c:pt>
                <c:pt idx="109">
                  <c:v>12997</c:v>
                </c:pt>
                <c:pt idx="110">
                  <c:v>13028</c:v>
                </c:pt>
                <c:pt idx="111">
                  <c:v>13058</c:v>
                </c:pt>
                <c:pt idx="112">
                  <c:v>13089</c:v>
                </c:pt>
                <c:pt idx="113">
                  <c:v>13119</c:v>
                </c:pt>
                <c:pt idx="114">
                  <c:v>13150</c:v>
                </c:pt>
                <c:pt idx="115">
                  <c:v>13181</c:v>
                </c:pt>
                <c:pt idx="116">
                  <c:v>13210</c:v>
                </c:pt>
                <c:pt idx="117">
                  <c:v>13241</c:v>
                </c:pt>
                <c:pt idx="118">
                  <c:v>13271</c:v>
                </c:pt>
                <c:pt idx="119">
                  <c:v>13302</c:v>
                </c:pt>
                <c:pt idx="120">
                  <c:v>13332</c:v>
                </c:pt>
                <c:pt idx="121">
                  <c:v>13363</c:v>
                </c:pt>
                <c:pt idx="122">
                  <c:v>13394</c:v>
                </c:pt>
                <c:pt idx="123">
                  <c:v>13424</c:v>
                </c:pt>
                <c:pt idx="124">
                  <c:v>13455</c:v>
                </c:pt>
                <c:pt idx="125">
                  <c:v>13485</c:v>
                </c:pt>
                <c:pt idx="126">
                  <c:v>13516</c:v>
                </c:pt>
                <c:pt idx="127">
                  <c:v>13547</c:v>
                </c:pt>
                <c:pt idx="128">
                  <c:v>13575</c:v>
                </c:pt>
                <c:pt idx="129">
                  <c:v>13606</c:v>
                </c:pt>
                <c:pt idx="130">
                  <c:v>13636</c:v>
                </c:pt>
                <c:pt idx="131">
                  <c:v>13667</c:v>
                </c:pt>
                <c:pt idx="132">
                  <c:v>13697</c:v>
                </c:pt>
                <c:pt idx="133">
                  <c:v>13728</c:v>
                </c:pt>
                <c:pt idx="134">
                  <c:v>13759</c:v>
                </c:pt>
                <c:pt idx="135">
                  <c:v>13789</c:v>
                </c:pt>
                <c:pt idx="136">
                  <c:v>13820</c:v>
                </c:pt>
                <c:pt idx="137">
                  <c:v>13850</c:v>
                </c:pt>
                <c:pt idx="138">
                  <c:v>13881</c:v>
                </c:pt>
                <c:pt idx="139">
                  <c:v>13912</c:v>
                </c:pt>
                <c:pt idx="140">
                  <c:v>13940</c:v>
                </c:pt>
                <c:pt idx="141">
                  <c:v>13971</c:v>
                </c:pt>
                <c:pt idx="142">
                  <c:v>14001</c:v>
                </c:pt>
                <c:pt idx="143">
                  <c:v>14032</c:v>
                </c:pt>
                <c:pt idx="144">
                  <c:v>14062</c:v>
                </c:pt>
                <c:pt idx="145">
                  <c:v>14093</c:v>
                </c:pt>
                <c:pt idx="146">
                  <c:v>14124</c:v>
                </c:pt>
                <c:pt idx="147">
                  <c:v>14154</c:v>
                </c:pt>
                <c:pt idx="148">
                  <c:v>14185</c:v>
                </c:pt>
                <c:pt idx="149">
                  <c:v>14215</c:v>
                </c:pt>
                <c:pt idx="150">
                  <c:v>14246</c:v>
                </c:pt>
                <c:pt idx="151">
                  <c:v>14277</c:v>
                </c:pt>
                <c:pt idx="152">
                  <c:v>14305</c:v>
                </c:pt>
                <c:pt idx="153">
                  <c:v>14336</c:v>
                </c:pt>
                <c:pt idx="154">
                  <c:v>14366</c:v>
                </c:pt>
                <c:pt idx="155">
                  <c:v>14397</c:v>
                </c:pt>
                <c:pt idx="156">
                  <c:v>14427</c:v>
                </c:pt>
                <c:pt idx="157">
                  <c:v>14458</c:v>
                </c:pt>
                <c:pt idx="158">
                  <c:v>14489</c:v>
                </c:pt>
                <c:pt idx="159">
                  <c:v>14519</c:v>
                </c:pt>
                <c:pt idx="160">
                  <c:v>14550</c:v>
                </c:pt>
                <c:pt idx="161">
                  <c:v>14580</c:v>
                </c:pt>
                <c:pt idx="162">
                  <c:v>14611</c:v>
                </c:pt>
                <c:pt idx="163">
                  <c:v>14642</c:v>
                </c:pt>
                <c:pt idx="164">
                  <c:v>14671</c:v>
                </c:pt>
                <c:pt idx="165">
                  <c:v>14702</c:v>
                </c:pt>
                <c:pt idx="166">
                  <c:v>14732</c:v>
                </c:pt>
                <c:pt idx="167">
                  <c:v>14763</c:v>
                </c:pt>
                <c:pt idx="168">
                  <c:v>14793</c:v>
                </c:pt>
                <c:pt idx="169">
                  <c:v>14824</c:v>
                </c:pt>
                <c:pt idx="170">
                  <c:v>14855</c:v>
                </c:pt>
                <c:pt idx="171">
                  <c:v>14885</c:v>
                </c:pt>
                <c:pt idx="172">
                  <c:v>14916</c:v>
                </c:pt>
                <c:pt idx="173">
                  <c:v>14946</c:v>
                </c:pt>
                <c:pt idx="174">
                  <c:v>14977</c:v>
                </c:pt>
                <c:pt idx="175">
                  <c:v>15008</c:v>
                </c:pt>
                <c:pt idx="176">
                  <c:v>15036</c:v>
                </c:pt>
                <c:pt idx="177">
                  <c:v>15067</c:v>
                </c:pt>
                <c:pt idx="178">
                  <c:v>15097</c:v>
                </c:pt>
                <c:pt idx="179">
                  <c:v>15128</c:v>
                </c:pt>
                <c:pt idx="180">
                  <c:v>15158</c:v>
                </c:pt>
                <c:pt idx="181">
                  <c:v>15189</c:v>
                </c:pt>
                <c:pt idx="182">
                  <c:v>15220</c:v>
                </c:pt>
                <c:pt idx="183">
                  <c:v>15250</c:v>
                </c:pt>
                <c:pt idx="184">
                  <c:v>15281</c:v>
                </c:pt>
                <c:pt idx="185">
                  <c:v>15311</c:v>
                </c:pt>
                <c:pt idx="186">
                  <c:v>15342</c:v>
                </c:pt>
                <c:pt idx="187">
                  <c:v>15373</c:v>
                </c:pt>
                <c:pt idx="188">
                  <c:v>15401</c:v>
                </c:pt>
                <c:pt idx="189">
                  <c:v>15432</c:v>
                </c:pt>
                <c:pt idx="190">
                  <c:v>15462</c:v>
                </c:pt>
                <c:pt idx="191">
                  <c:v>15493</c:v>
                </c:pt>
                <c:pt idx="192">
                  <c:v>15523</c:v>
                </c:pt>
                <c:pt idx="193">
                  <c:v>15554</c:v>
                </c:pt>
                <c:pt idx="194">
                  <c:v>15585</c:v>
                </c:pt>
                <c:pt idx="195">
                  <c:v>15615</c:v>
                </c:pt>
                <c:pt idx="196">
                  <c:v>15646</c:v>
                </c:pt>
                <c:pt idx="197">
                  <c:v>15676</c:v>
                </c:pt>
                <c:pt idx="198">
                  <c:v>15707</c:v>
                </c:pt>
                <c:pt idx="199">
                  <c:v>15738</c:v>
                </c:pt>
                <c:pt idx="200">
                  <c:v>15766</c:v>
                </c:pt>
                <c:pt idx="201">
                  <c:v>15797</c:v>
                </c:pt>
                <c:pt idx="202">
                  <c:v>15827</c:v>
                </c:pt>
                <c:pt idx="203">
                  <c:v>15858</c:v>
                </c:pt>
                <c:pt idx="204">
                  <c:v>15888</c:v>
                </c:pt>
                <c:pt idx="205">
                  <c:v>15919</c:v>
                </c:pt>
                <c:pt idx="206">
                  <c:v>15950</c:v>
                </c:pt>
                <c:pt idx="207">
                  <c:v>15980</c:v>
                </c:pt>
                <c:pt idx="208">
                  <c:v>16011</c:v>
                </c:pt>
                <c:pt idx="209">
                  <c:v>16041</c:v>
                </c:pt>
                <c:pt idx="210">
                  <c:v>16072</c:v>
                </c:pt>
                <c:pt idx="211">
                  <c:v>16103</c:v>
                </c:pt>
                <c:pt idx="212">
                  <c:v>16132</c:v>
                </c:pt>
                <c:pt idx="213">
                  <c:v>16163</c:v>
                </c:pt>
                <c:pt idx="214">
                  <c:v>16193</c:v>
                </c:pt>
                <c:pt idx="215">
                  <c:v>16224</c:v>
                </c:pt>
                <c:pt idx="216">
                  <c:v>16254</c:v>
                </c:pt>
                <c:pt idx="217">
                  <c:v>16285</c:v>
                </c:pt>
                <c:pt idx="218">
                  <c:v>16316</c:v>
                </c:pt>
                <c:pt idx="219">
                  <c:v>16346</c:v>
                </c:pt>
                <c:pt idx="220">
                  <c:v>16377</c:v>
                </c:pt>
                <c:pt idx="221">
                  <c:v>16407</c:v>
                </c:pt>
                <c:pt idx="222">
                  <c:v>16438</c:v>
                </c:pt>
                <c:pt idx="223">
                  <c:v>16469</c:v>
                </c:pt>
                <c:pt idx="224">
                  <c:v>16497</c:v>
                </c:pt>
                <c:pt idx="225">
                  <c:v>16528</c:v>
                </c:pt>
                <c:pt idx="226">
                  <c:v>16558</c:v>
                </c:pt>
                <c:pt idx="227">
                  <c:v>16589</c:v>
                </c:pt>
                <c:pt idx="228">
                  <c:v>16619</c:v>
                </c:pt>
                <c:pt idx="229">
                  <c:v>16650</c:v>
                </c:pt>
                <c:pt idx="230">
                  <c:v>16681</c:v>
                </c:pt>
                <c:pt idx="231">
                  <c:v>16711</c:v>
                </c:pt>
                <c:pt idx="232">
                  <c:v>16742</c:v>
                </c:pt>
                <c:pt idx="233">
                  <c:v>16772</c:v>
                </c:pt>
                <c:pt idx="234">
                  <c:v>16803</c:v>
                </c:pt>
                <c:pt idx="235">
                  <c:v>16834</c:v>
                </c:pt>
                <c:pt idx="236">
                  <c:v>16862</c:v>
                </c:pt>
                <c:pt idx="237">
                  <c:v>16893</c:v>
                </c:pt>
                <c:pt idx="238">
                  <c:v>16923</c:v>
                </c:pt>
                <c:pt idx="239">
                  <c:v>16954</c:v>
                </c:pt>
                <c:pt idx="240">
                  <c:v>16984</c:v>
                </c:pt>
                <c:pt idx="241">
                  <c:v>17015</c:v>
                </c:pt>
                <c:pt idx="242">
                  <c:v>17046</c:v>
                </c:pt>
                <c:pt idx="243">
                  <c:v>17076</c:v>
                </c:pt>
                <c:pt idx="244">
                  <c:v>17107</c:v>
                </c:pt>
                <c:pt idx="245">
                  <c:v>17137</c:v>
                </c:pt>
                <c:pt idx="246">
                  <c:v>17168</c:v>
                </c:pt>
                <c:pt idx="247">
                  <c:v>17199</c:v>
                </c:pt>
                <c:pt idx="248">
                  <c:v>17227</c:v>
                </c:pt>
                <c:pt idx="249">
                  <c:v>17258</c:v>
                </c:pt>
                <c:pt idx="250">
                  <c:v>17288</c:v>
                </c:pt>
                <c:pt idx="251">
                  <c:v>17319</c:v>
                </c:pt>
                <c:pt idx="252">
                  <c:v>17349</c:v>
                </c:pt>
                <c:pt idx="253">
                  <c:v>17380</c:v>
                </c:pt>
                <c:pt idx="254">
                  <c:v>17411</c:v>
                </c:pt>
                <c:pt idx="255">
                  <c:v>17441</c:v>
                </c:pt>
                <c:pt idx="256">
                  <c:v>17472</c:v>
                </c:pt>
                <c:pt idx="257">
                  <c:v>17502</c:v>
                </c:pt>
                <c:pt idx="258">
                  <c:v>17533</c:v>
                </c:pt>
                <c:pt idx="259">
                  <c:v>17564</c:v>
                </c:pt>
                <c:pt idx="260">
                  <c:v>17593</c:v>
                </c:pt>
                <c:pt idx="261">
                  <c:v>17624</c:v>
                </c:pt>
                <c:pt idx="262">
                  <c:v>17654</c:v>
                </c:pt>
                <c:pt idx="263">
                  <c:v>17685</c:v>
                </c:pt>
                <c:pt idx="264">
                  <c:v>17715</c:v>
                </c:pt>
                <c:pt idx="265">
                  <c:v>17746</c:v>
                </c:pt>
                <c:pt idx="266">
                  <c:v>17777</c:v>
                </c:pt>
                <c:pt idx="267">
                  <c:v>17807</c:v>
                </c:pt>
                <c:pt idx="268">
                  <c:v>17838</c:v>
                </c:pt>
                <c:pt idx="269">
                  <c:v>17868</c:v>
                </c:pt>
                <c:pt idx="270">
                  <c:v>17899</c:v>
                </c:pt>
                <c:pt idx="271">
                  <c:v>17930</c:v>
                </c:pt>
                <c:pt idx="272">
                  <c:v>17958</c:v>
                </c:pt>
                <c:pt idx="273">
                  <c:v>17989</c:v>
                </c:pt>
                <c:pt idx="274">
                  <c:v>18019</c:v>
                </c:pt>
                <c:pt idx="275">
                  <c:v>18050</c:v>
                </c:pt>
                <c:pt idx="276">
                  <c:v>18080</c:v>
                </c:pt>
                <c:pt idx="277">
                  <c:v>18111</c:v>
                </c:pt>
                <c:pt idx="278">
                  <c:v>18142</c:v>
                </c:pt>
                <c:pt idx="279">
                  <c:v>18172</c:v>
                </c:pt>
                <c:pt idx="280">
                  <c:v>18203</c:v>
                </c:pt>
                <c:pt idx="281">
                  <c:v>18233</c:v>
                </c:pt>
                <c:pt idx="282">
                  <c:v>18264</c:v>
                </c:pt>
                <c:pt idx="283">
                  <c:v>18295</c:v>
                </c:pt>
                <c:pt idx="284">
                  <c:v>18323</c:v>
                </c:pt>
                <c:pt idx="285">
                  <c:v>18354</c:v>
                </c:pt>
                <c:pt idx="286">
                  <c:v>18384</c:v>
                </c:pt>
                <c:pt idx="287">
                  <c:v>18415</c:v>
                </c:pt>
                <c:pt idx="288">
                  <c:v>18445</c:v>
                </c:pt>
                <c:pt idx="289">
                  <c:v>18476</c:v>
                </c:pt>
                <c:pt idx="290">
                  <c:v>18507</c:v>
                </c:pt>
                <c:pt idx="291">
                  <c:v>18537</c:v>
                </c:pt>
                <c:pt idx="292">
                  <c:v>18568</c:v>
                </c:pt>
                <c:pt idx="293">
                  <c:v>18598</c:v>
                </c:pt>
                <c:pt idx="294">
                  <c:v>18629</c:v>
                </c:pt>
                <c:pt idx="295">
                  <c:v>18660</c:v>
                </c:pt>
                <c:pt idx="296">
                  <c:v>18688</c:v>
                </c:pt>
                <c:pt idx="297">
                  <c:v>18719</c:v>
                </c:pt>
                <c:pt idx="298">
                  <c:v>18749</c:v>
                </c:pt>
                <c:pt idx="299">
                  <c:v>18780</c:v>
                </c:pt>
                <c:pt idx="300">
                  <c:v>18810</c:v>
                </c:pt>
                <c:pt idx="301">
                  <c:v>18841</c:v>
                </c:pt>
                <c:pt idx="302">
                  <c:v>18872</c:v>
                </c:pt>
                <c:pt idx="303">
                  <c:v>18902</c:v>
                </c:pt>
                <c:pt idx="304">
                  <c:v>18933</c:v>
                </c:pt>
                <c:pt idx="305">
                  <c:v>18963</c:v>
                </c:pt>
                <c:pt idx="306">
                  <c:v>18994</c:v>
                </c:pt>
                <c:pt idx="307">
                  <c:v>19025</c:v>
                </c:pt>
                <c:pt idx="308">
                  <c:v>19054</c:v>
                </c:pt>
                <c:pt idx="309">
                  <c:v>19085</c:v>
                </c:pt>
                <c:pt idx="310">
                  <c:v>19115</c:v>
                </c:pt>
                <c:pt idx="311">
                  <c:v>19146</c:v>
                </c:pt>
                <c:pt idx="312">
                  <c:v>19176</c:v>
                </c:pt>
                <c:pt idx="313">
                  <c:v>19207</c:v>
                </c:pt>
                <c:pt idx="314">
                  <c:v>19238</c:v>
                </c:pt>
                <c:pt idx="315">
                  <c:v>19268</c:v>
                </c:pt>
                <c:pt idx="316">
                  <c:v>19299</c:v>
                </c:pt>
                <c:pt idx="317">
                  <c:v>19329</c:v>
                </c:pt>
                <c:pt idx="318">
                  <c:v>19360</c:v>
                </c:pt>
                <c:pt idx="319">
                  <c:v>19391</c:v>
                </c:pt>
                <c:pt idx="320">
                  <c:v>19419</c:v>
                </c:pt>
                <c:pt idx="321">
                  <c:v>19450</c:v>
                </c:pt>
                <c:pt idx="322">
                  <c:v>19480</c:v>
                </c:pt>
                <c:pt idx="323">
                  <c:v>19511</c:v>
                </c:pt>
                <c:pt idx="324">
                  <c:v>19541</c:v>
                </c:pt>
                <c:pt idx="325">
                  <c:v>19572</c:v>
                </c:pt>
                <c:pt idx="326">
                  <c:v>19603</c:v>
                </c:pt>
                <c:pt idx="327">
                  <c:v>19633</c:v>
                </c:pt>
                <c:pt idx="328">
                  <c:v>19664</c:v>
                </c:pt>
                <c:pt idx="329">
                  <c:v>19694</c:v>
                </c:pt>
                <c:pt idx="330">
                  <c:v>19725</c:v>
                </c:pt>
                <c:pt idx="331">
                  <c:v>19756</c:v>
                </c:pt>
                <c:pt idx="332">
                  <c:v>19784</c:v>
                </c:pt>
                <c:pt idx="333">
                  <c:v>19815</c:v>
                </c:pt>
                <c:pt idx="334">
                  <c:v>19845</c:v>
                </c:pt>
                <c:pt idx="335">
                  <c:v>19876</c:v>
                </c:pt>
                <c:pt idx="336">
                  <c:v>19906</c:v>
                </c:pt>
                <c:pt idx="337">
                  <c:v>19937</c:v>
                </c:pt>
                <c:pt idx="338">
                  <c:v>19968</c:v>
                </c:pt>
                <c:pt idx="339">
                  <c:v>19998</c:v>
                </c:pt>
                <c:pt idx="340">
                  <c:v>20029</c:v>
                </c:pt>
                <c:pt idx="341">
                  <c:v>20059</c:v>
                </c:pt>
                <c:pt idx="342">
                  <c:v>20090</c:v>
                </c:pt>
                <c:pt idx="343">
                  <c:v>20121</c:v>
                </c:pt>
                <c:pt idx="344">
                  <c:v>20149</c:v>
                </c:pt>
                <c:pt idx="345">
                  <c:v>20180</c:v>
                </c:pt>
                <c:pt idx="346">
                  <c:v>20210</c:v>
                </c:pt>
                <c:pt idx="347">
                  <c:v>20241</c:v>
                </c:pt>
                <c:pt idx="348">
                  <c:v>20271</c:v>
                </c:pt>
                <c:pt idx="349">
                  <c:v>20302</c:v>
                </c:pt>
                <c:pt idx="350">
                  <c:v>20333</c:v>
                </c:pt>
                <c:pt idx="351">
                  <c:v>20363</c:v>
                </c:pt>
                <c:pt idx="352">
                  <c:v>20394</c:v>
                </c:pt>
                <c:pt idx="353">
                  <c:v>20424</c:v>
                </c:pt>
                <c:pt idx="354">
                  <c:v>20455</c:v>
                </c:pt>
                <c:pt idx="355">
                  <c:v>20486</c:v>
                </c:pt>
                <c:pt idx="356">
                  <c:v>20515</c:v>
                </c:pt>
                <c:pt idx="357">
                  <c:v>20546</c:v>
                </c:pt>
                <c:pt idx="358">
                  <c:v>20576</c:v>
                </c:pt>
                <c:pt idx="359">
                  <c:v>20607</c:v>
                </c:pt>
                <c:pt idx="360">
                  <c:v>20637</c:v>
                </c:pt>
                <c:pt idx="361">
                  <c:v>20668</c:v>
                </c:pt>
                <c:pt idx="362">
                  <c:v>20699</c:v>
                </c:pt>
                <c:pt idx="363">
                  <c:v>20729</c:v>
                </c:pt>
                <c:pt idx="364">
                  <c:v>20760</c:v>
                </c:pt>
                <c:pt idx="365">
                  <c:v>20790</c:v>
                </c:pt>
                <c:pt idx="366">
                  <c:v>20821</c:v>
                </c:pt>
                <c:pt idx="367">
                  <c:v>20852</c:v>
                </c:pt>
                <c:pt idx="368">
                  <c:v>20880</c:v>
                </c:pt>
                <c:pt idx="369">
                  <c:v>20911</c:v>
                </c:pt>
                <c:pt idx="370">
                  <c:v>20941</c:v>
                </c:pt>
                <c:pt idx="371">
                  <c:v>20972</c:v>
                </c:pt>
                <c:pt idx="372">
                  <c:v>21002</c:v>
                </c:pt>
                <c:pt idx="373">
                  <c:v>21033</c:v>
                </c:pt>
                <c:pt idx="374">
                  <c:v>21064</c:v>
                </c:pt>
                <c:pt idx="375">
                  <c:v>21094</c:v>
                </c:pt>
                <c:pt idx="376">
                  <c:v>21125</c:v>
                </c:pt>
                <c:pt idx="377">
                  <c:v>21155</c:v>
                </c:pt>
                <c:pt idx="378">
                  <c:v>21186</c:v>
                </c:pt>
                <c:pt idx="379">
                  <c:v>21217</c:v>
                </c:pt>
                <c:pt idx="380">
                  <c:v>21245</c:v>
                </c:pt>
                <c:pt idx="381">
                  <c:v>21276</c:v>
                </c:pt>
                <c:pt idx="382">
                  <c:v>21306</c:v>
                </c:pt>
                <c:pt idx="383">
                  <c:v>21337</c:v>
                </c:pt>
                <c:pt idx="384">
                  <c:v>21367</c:v>
                </c:pt>
                <c:pt idx="385">
                  <c:v>21398</c:v>
                </c:pt>
                <c:pt idx="386">
                  <c:v>21429</c:v>
                </c:pt>
                <c:pt idx="387">
                  <c:v>21459</c:v>
                </c:pt>
                <c:pt idx="388">
                  <c:v>21490</c:v>
                </c:pt>
                <c:pt idx="389">
                  <c:v>21520</c:v>
                </c:pt>
                <c:pt idx="390">
                  <c:v>21551</c:v>
                </c:pt>
                <c:pt idx="391">
                  <c:v>21582</c:v>
                </c:pt>
                <c:pt idx="392">
                  <c:v>21610</c:v>
                </c:pt>
                <c:pt idx="393">
                  <c:v>21641</c:v>
                </c:pt>
                <c:pt idx="394">
                  <c:v>21671</c:v>
                </c:pt>
                <c:pt idx="395">
                  <c:v>21702</c:v>
                </c:pt>
                <c:pt idx="396">
                  <c:v>21732</c:v>
                </c:pt>
                <c:pt idx="397">
                  <c:v>21763</c:v>
                </c:pt>
                <c:pt idx="398">
                  <c:v>21794</c:v>
                </c:pt>
                <c:pt idx="399">
                  <c:v>21824</c:v>
                </c:pt>
                <c:pt idx="400">
                  <c:v>21855</c:v>
                </c:pt>
                <c:pt idx="401">
                  <c:v>21885</c:v>
                </c:pt>
                <c:pt idx="402">
                  <c:v>21916</c:v>
                </c:pt>
                <c:pt idx="403">
                  <c:v>21947</c:v>
                </c:pt>
                <c:pt idx="404">
                  <c:v>21976</c:v>
                </c:pt>
                <c:pt idx="405">
                  <c:v>22007</c:v>
                </c:pt>
                <c:pt idx="406">
                  <c:v>22037</c:v>
                </c:pt>
                <c:pt idx="407">
                  <c:v>22068</c:v>
                </c:pt>
                <c:pt idx="408">
                  <c:v>22098</c:v>
                </c:pt>
                <c:pt idx="409">
                  <c:v>22129</c:v>
                </c:pt>
                <c:pt idx="410">
                  <c:v>22160</c:v>
                </c:pt>
                <c:pt idx="411">
                  <c:v>22190</c:v>
                </c:pt>
                <c:pt idx="412">
                  <c:v>22221</c:v>
                </c:pt>
                <c:pt idx="413">
                  <c:v>22251</c:v>
                </c:pt>
                <c:pt idx="414">
                  <c:v>22282</c:v>
                </c:pt>
                <c:pt idx="415">
                  <c:v>22313</c:v>
                </c:pt>
                <c:pt idx="416">
                  <c:v>22341</c:v>
                </c:pt>
                <c:pt idx="417">
                  <c:v>22372</c:v>
                </c:pt>
                <c:pt idx="418">
                  <c:v>22402</c:v>
                </c:pt>
                <c:pt idx="419">
                  <c:v>22433</c:v>
                </c:pt>
                <c:pt idx="420">
                  <c:v>22463</c:v>
                </c:pt>
                <c:pt idx="421">
                  <c:v>22494</c:v>
                </c:pt>
                <c:pt idx="422">
                  <c:v>22525</c:v>
                </c:pt>
                <c:pt idx="423">
                  <c:v>22555</c:v>
                </c:pt>
                <c:pt idx="424">
                  <c:v>22586</c:v>
                </c:pt>
                <c:pt idx="425">
                  <c:v>22616</c:v>
                </c:pt>
                <c:pt idx="426">
                  <c:v>22647</c:v>
                </c:pt>
                <c:pt idx="427">
                  <c:v>22678</c:v>
                </c:pt>
                <c:pt idx="428">
                  <c:v>22706</c:v>
                </c:pt>
                <c:pt idx="429">
                  <c:v>22737</c:v>
                </c:pt>
                <c:pt idx="430">
                  <c:v>22767</c:v>
                </c:pt>
                <c:pt idx="431">
                  <c:v>22798</c:v>
                </c:pt>
                <c:pt idx="432">
                  <c:v>22828</c:v>
                </c:pt>
                <c:pt idx="433">
                  <c:v>22859</c:v>
                </c:pt>
                <c:pt idx="434">
                  <c:v>22890</c:v>
                </c:pt>
                <c:pt idx="435">
                  <c:v>22920</c:v>
                </c:pt>
                <c:pt idx="436">
                  <c:v>22951</c:v>
                </c:pt>
                <c:pt idx="437">
                  <c:v>22981</c:v>
                </c:pt>
                <c:pt idx="438">
                  <c:v>23012</c:v>
                </c:pt>
                <c:pt idx="439">
                  <c:v>23043</c:v>
                </c:pt>
                <c:pt idx="440">
                  <c:v>23071</c:v>
                </c:pt>
                <c:pt idx="441">
                  <c:v>23102</c:v>
                </c:pt>
                <c:pt idx="442">
                  <c:v>23132</c:v>
                </c:pt>
                <c:pt idx="443">
                  <c:v>23163</c:v>
                </c:pt>
                <c:pt idx="444">
                  <c:v>23193</c:v>
                </c:pt>
                <c:pt idx="445">
                  <c:v>23224</c:v>
                </c:pt>
                <c:pt idx="446">
                  <c:v>23255</c:v>
                </c:pt>
                <c:pt idx="447">
                  <c:v>23285</c:v>
                </c:pt>
                <c:pt idx="448">
                  <c:v>23316</c:v>
                </c:pt>
                <c:pt idx="449">
                  <c:v>23346</c:v>
                </c:pt>
                <c:pt idx="450">
                  <c:v>23377</c:v>
                </c:pt>
                <c:pt idx="451">
                  <c:v>23408</c:v>
                </c:pt>
                <c:pt idx="452">
                  <c:v>23437</c:v>
                </c:pt>
                <c:pt idx="453">
                  <c:v>23468</c:v>
                </c:pt>
                <c:pt idx="454">
                  <c:v>23498</c:v>
                </c:pt>
                <c:pt idx="455">
                  <c:v>23529</c:v>
                </c:pt>
                <c:pt idx="456">
                  <c:v>23559</c:v>
                </c:pt>
                <c:pt idx="457">
                  <c:v>23590</c:v>
                </c:pt>
                <c:pt idx="458">
                  <c:v>23621</c:v>
                </c:pt>
                <c:pt idx="459">
                  <c:v>23651</c:v>
                </c:pt>
                <c:pt idx="460">
                  <c:v>23682</c:v>
                </c:pt>
                <c:pt idx="461">
                  <c:v>23712</c:v>
                </c:pt>
                <c:pt idx="462">
                  <c:v>23743</c:v>
                </c:pt>
                <c:pt idx="463">
                  <c:v>23774</c:v>
                </c:pt>
                <c:pt idx="464">
                  <c:v>23802</c:v>
                </c:pt>
                <c:pt idx="465">
                  <c:v>23833</c:v>
                </c:pt>
                <c:pt idx="466">
                  <c:v>23863</c:v>
                </c:pt>
                <c:pt idx="467">
                  <c:v>23894</c:v>
                </c:pt>
                <c:pt idx="468">
                  <c:v>23924</c:v>
                </c:pt>
                <c:pt idx="469">
                  <c:v>23955</c:v>
                </c:pt>
                <c:pt idx="470">
                  <c:v>23986</c:v>
                </c:pt>
                <c:pt idx="471">
                  <c:v>24016</c:v>
                </c:pt>
                <c:pt idx="472">
                  <c:v>24047</c:v>
                </c:pt>
                <c:pt idx="473">
                  <c:v>24077</c:v>
                </c:pt>
                <c:pt idx="474">
                  <c:v>24108</c:v>
                </c:pt>
                <c:pt idx="475">
                  <c:v>24139</c:v>
                </c:pt>
                <c:pt idx="476">
                  <c:v>24167</c:v>
                </c:pt>
                <c:pt idx="477">
                  <c:v>24198</c:v>
                </c:pt>
                <c:pt idx="478">
                  <c:v>24228</c:v>
                </c:pt>
                <c:pt idx="479">
                  <c:v>24259</c:v>
                </c:pt>
                <c:pt idx="480">
                  <c:v>24289</c:v>
                </c:pt>
                <c:pt idx="481">
                  <c:v>24320</c:v>
                </c:pt>
                <c:pt idx="482">
                  <c:v>24351</c:v>
                </c:pt>
                <c:pt idx="483">
                  <c:v>24381</c:v>
                </c:pt>
                <c:pt idx="484">
                  <c:v>24412</c:v>
                </c:pt>
                <c:pt idx="485">
                  <c:v>24442</c:v>
                </c:pt>
                <c:pt idx="486">
                  <c:v>24473</c:v>
                </c:pt>
                <c:pt idx="487">
                  <c:v>24504</c:v>
                </c:pt>
                <c:pt idx="488">
                  <c:v>24532</c:v>
                </c:pt>
                <c:pt idx="489">
                  <c:v>24563</c:v>
                </c:pt>
                <c:pt idx="490">
                  <c:v>24593</c:v>
                </c:pt>
                <c:pt idx="491">
                  <c:v>24624</c:v>
                </c:pt>
                <c:pt idx="492">
                  <c:v>24654</c:v>
                </c:pt>
                <c:pt idx="493">
                  <c:v>24685</c:v>
                </c:pt>
                <c:pt idx="494">
                  <c:v>24716</c:v>
                </c:pt>
                <c:pt idx="495">
                  <c:v>24746</c:v>
                </c:pt>
                <c:pt idx="496">
                  <c:v>24777</c:v>
                </c:pt>
                <c:pt idx="497">
                  <c:v>24807</c:v>
                </c:pt>
                <c:pt idx="498">
                  <c:v>24838</c:v>
                </c:pt>
                <c:pt idx="499">
                  <c:v>24869</c:v>
                </c:pt>
                <c:pt idx="500">
                  <c:v>24898</c:v>
                </c:pt>
                <c:pt idx="501">
                  <c:v>24929</c:v>
                </c:pt>
                <c:pt idx="502">
                  <c:v>24959</c:v>
                </c:pt>
                <c:pt idx="503">
                  <c:v>24990</c:v>
                </c:pt>
                <c:pt idx="504">
                  <c:v>25020</c:v>
                </c:pt>
                <c:pt idx="505">
                  <c:v>25051</c:v>
                </c:pt>
                <c:pt idx="506">
                  <c:v>25082</c:v>
                </c:pt>
                <c:pt idx="507">
                  <c:v>25112</c:v>
                </c:pt>
                <c:pt idx="508">
                  <c:v>25143</c:v>
                </c:pt>
                <c:pt idx="509">
                  <c:v>25173</c:v>
                </c:pt>
                <c:pt idx="510">
                  <c:v>25204</c:v>
                </c:pt>
                <c:pt idx="511">
                  <c:v>25235</c:v>
                </c:pt>
                <c:pt idx="512">
                  <c:v>25263</c:v>
                </c:pt>
                <c:pt idx="513">
                  <c:v>25294</c:v>
                </c:pt>
                <c:pt idx="514">
                  <c:v>25324</c:v>
                </c:pt>
                <c:pt idx="515">
                  <c:v>25355</c:v>
                </c:pt>
                <c:pt idx="516">
                  <c:v>25385</c:v>
                </c:pt>
                <c:pt idx="517">
                  <c:v>25416</c:v>
                </c:pt>
                <c:pt idx="518">
                  <c:v>25447</c:v>
                </c:pt>
                <c:pt idx="519">
                  <c:v>25477</c:v>
                </c:pt>
                <c:pt idx="520">
                  <c:v>25508</c:v>
                </c:pt>
                <c:pt idx="521">
                  <c:v>25538</c:v>
                </c:pt>
                <c:pt idx="522">
                  <c:v>25569</c:v>
                </c:pt>
                <c:pt idx="523">
                  <c:v>25600</c:v>
                </c:pt>
                <c:pt idx="524">
                  <c:v>25628</c:v>
                </c:pt>
                <c:pt idx="525">
                  <c:v>25659</c:v>
                </c:pt>
                <c:pt idx="526">
                  <c:v>25689</c:v>
                </c:pt>
                <c:pt idx="527">
                  <c:v>25720</c:v>
                </c:pt>
                <c:pt idx="528">
                  <c:v>25750</c:v>
                </c:pt>
                <c:pt idx="529">
                  <c:v>25781</c:v>
                </c:pt>
                <c:pt idx="530">
                  <c:v>25812</c:v>
                </c:pt>
                <c:pt idx="531">
                  <c:v>25842</c:v>
                </c:pt>
                <c:pt idx="532">
                  <c:v>25873</c:v>
                </c:pt>
                <c:pt idx="533">
                  <c:v>25903</c:v>
                </c:pt>
                <c:pt idx="534">
                  <c:v>25934</c:v>
                </c:pt>
                <c:pt idx="535">
                  <c:v>25965</c:v>
                </c:pt>
                <c:pt idx="536">
                  <c:v>25993</c:v>
                </c:pt>
                <c:pt idx="537">
                  <c:v>26024</c:v>
                </c:pt>
                <c:pt idx="538">
                  <c:v>26054</c:v>
                </c:pt>
                <c:pt idx="539">
                  <c:v>26085</c:v>
                </c:pt>
                <c:pt idx="540">
                  <c:v>26115</c:v>
                </c:pt>
                <c:pt idx="541">
                  <c:v>26146</c:v>
                </c:pt>
                <c:pt idx="542">
                  <c:v>26177</c:v>
                </c:pt>
                <c:pt idx="543">
                  <c:v>26207</c:v>
                </c:pt>
                <c:pt idx="544">
                  <c:v>26238</c:v>
                </c:pt>
                <c:pt idx="545">
                  <c:v>26268</c:v>
                </c:pt>
                <c:pt idx="546">
                  <c:v>26299</c:v>
                </c:pt>
                <c:pt idx="547">
                  <c:v>26330</c:v>
                </c:pt>
                <c:pt idx="548">
                  <c:v>26359</c:v>
                </c:pt>
                <c:pt idx="549">
                  <c:v>26390</c:v>
                </c:pt>
                <c:pt idx="550">
                  <c:v>26420</c:v>
                </c:pt>
                <c:pt idx="551">
                  <c:v>26451</c:v>
                </c:pt>
                <c:pt idx="552">
                  <c:v>26481</c:v>
                </c:pt>
                <c:pt idx="553">
                  <c:v>26512</c:v>
                </c:pt>
                <c:pt idx="554">
                  <c:v>26543</c:v>
                </c:pt>
                <c:pt idx="555">
                  <c:v>26573</c:v>
                </c:pt>
                <c:pt idx="556">
                  <c:v>26604</c:v>
                </c:pt>
                <c:pt idx="557">
                  <c:v>26634</c:v>
                </c:pt>
                <c:pt idx="558">
                  <c:v>26665</c:v>
                </c:pt>
                <c:pt idx="559">
                  <c:v>26696</c:v>
                </c:pt>
                <c:pt idx="560">
                  <c:v>26724</c:v>
                </c:pt>
                <c:pt idx="561">
                  <c:v>26755</c:v>
                </c:pt>
                <c:pt idx="562">
                  <c:v>26785</c:v>
                </c:pt>
                <c:pt idx="563">
                  <c:v>26816</c:v>
                </c:pt>
                <c:pt idx="564">
                  <c:v>26846</c:v>
                </c:pt>
                <c:pt idx="565">
                  <c:v>26877</c:v>
                </c:pt>
                <c:pt idx="566">
                  <c:v>26908</c:v>
                </c:pt>
                <c:pt idx="567">
                  <c:v>26938</c:v>
                </c:pt>
                <c:pt idx="568">
                  <c:v>26969</c:v>
                </c:pt>
                <c:pt idx="569">
                  <c:v>26999</c:v>
                </c:pt>
                <c:pt idx="570">
                  <c:v>27030</c:v>
                </c:pt>
                <c:pt idx="571">
                  <c:v>27061</c:v>
                </c:pt>
                <c:pt idx="572">
                  <c:v>27089</c:v>
                </c:pt>
                <c:pt idx="573">
                  <c:v>27120</c:v>
                </c:pt>
                <c:pt idx="574">
                  <c:v>27150</c:v>
                </c:pt>
                <c:pt idx="575">
                  <c:v>27181</c:v>
                </c:pt>
                <c:pt idx="576">
                  <c:v>27211</c:v>
                </c:pt>
                <c:pt idx="577">
                  <c:v>27242</c:v>
                </c:pt>
                <c:pt idx="578">
                  <c:v>27273</c:v>
                </c:pt>
                <c:pt idx="579">
                  <c:v>27303</c:v>
                </c:pt>
                <c:pt idx="580">
                  <c:v>27334</c:v>
                </c:pt>
                <c:pt idx="581">
                  <c:v>27364</c:v>
                </c:pt>
                <c:pt idx="582">
                  <c:v>27395</c:v>
                </c:pt>
                <c:pt idx="583">
                  <c:v>27426</c:v>
                </c:pt>
                <c:pt idx="584">
                  <c:v>27454</c:v>
                </c:pt>
                <c:pt idx="585">
                  <c:v>27485</c:v>
                </c:pt>
                <c:pt idx="586">
                  <c:v>27515</c:v>
                </c:pt>
                <c:pt idx="587">
                  <c:v>27546</c:v>
                </c:pt>
                <c:pt idx="588">
                  <c:v>27576</c:v>
                </c:pt>
                <c:pt idx="589">
                  <c:v>27607</c:v>
                </c:pt>
                <c:pt idx="590">
                  <c:v>27638</c:v>
                </c:pt>
                <c:pt idx="591">
                  <c:v>27668</c:v>
                </c:pt>
                <c:pt idx="592">
                  <c:v>27699</c:v>
                </c:pt>
                <c:pt idx="593">
                  <c:v>27729</c:v>
                </c:pt>
                <c:pt idx="594">
                  <c:v>27760</c:v>
                </c:pt>
                <c:pt idx="595">
                  <c:v>27791</c:v>
                </c:pt>
                <c:pt idx="596">
                  <c:v>27820</c:v>
                </c:pt>
                <c:pt idx="597">
                  <c:v>27851</c:v>
                </c:pt>
                <c:pt idx="598">
                  <c:v>27881</c:v>
                </c:pt>
                <c:pt idx="599">
                  <c:v>27912</c:v>
                </c:pt>
                <c:pt idx="600">
                  <c:v>27942</c:v>
                </c:pt>
                <c:pt idx="601">
                  <c:v>27973</c:v>
                </c:pt>
                <c:pt idx="602">
                  <c:v>28004</c:v>
                </c:pt>
                <c:pt idx="603">
                  <c:v>28034</c:v>
                </c:pt>
                <c:pt idx="604">
                  <c:v>28065</c:v>
                </c:pt>
                <c:pt idx="605">
                  <c:v>28095</c:v>
                </c:pt>
                <c:pt idx="606">
                  <c:v>28126</c:v>
                </c:pt>
                <c:pt idx="607">
                  <c:v>28157</c:v>
                </c:pt>
                <c:pt idx="608">
                  <c:v>28185</c:v>
                </c:pt>
                <c:pt idx="609">
                  <c:v>28216</c:v>
                </c:pt>
                <c:pt idx="610">
                  <c:v>28246</c:v>
                </c:pt>
                <c:pt idx="611">
                  <c:v>28277</c:v>
                </c:pt>
                <c:pt idx="612">
                  <c:v>28307</c:v>
                </c:pt>
                <c:pt idx="613">
                  <c:v>28338</c:v>
                </c:pt>
                <c:pt idx="614">
                  <c:v>28369</c:v>
                </c:pt>
                <c:pt idx="615">
                  <c:v>28399</c:v>
                </c:pt>
                <c:pt idx="616">
                  <c:v>28430</c:v>
                </c:pt>
                <c:pt idx="617">
                  <c:v>28460</c:v>
                </c:pt>
                <c:pt idx="618">
                  <c:v>28491</c:v>
                </c:pt>
                <c:pt idx="619">
                  <c:v>28522</c:v>
                </c:pt>
                <c:pt idx="620">
                  <c:v>28550</c:v>
                </c:pt>
                <c:pt idx="621">
                  <c:v>28581</c:v>
                </c:pt>
                <c:pt idx="622">
                  <c:v>28611</c:v>
                </c:pt>
                <c:pt idx="623">
                  <c:v>28642</c:v>
                </c:pt>
                <c:pt idx="624">
                  <c:v>28672</c:v>
                </c:pt>
                <c:pt idx="625">
                  <c:v>28703</c:v>
                </c:pt>
                <c:pt idx="626">
                  <c:v>28734</c:v>
                </c:pt>
                <c:pt idx="627">
                  <c:v>28764</c:v>
                </c:pt>
                <c:pt idx="628">
                  <c:v>28795</c:v>
                </c:pt>
                <c:pt idx="629">
                  <c:v>28825</c:v>
                </c:pt>
                <c:pt idx="630">
                  <c:v>28856</c:v>
                </c:pt>
                <c:pt idx="631">
                  <c:v>28887</c:v>
                </c:pt>
                <c:pt idx="632">
                  <c:v>28915</c:v>
                </c:pt>
                <c:pt idx="633">
                  <c:v>28946</c:v>
                </c:pt>
                <c:pt idx="634">
                  <c:v>28976</c:v>
                </c:pt>
                <c:pt idx="635">
                  <c:v>29007</c:v>
                </c:pt>
                <c:pt idx="636">
                  <c:v>29037</c:v>
                </c:pt>
                <c:pt idx="637">
                  <c:v>29068</c:v>
                </c:pt>
                <c:pt idx="638">
                  <c:v>29099</c:v>
                </c:pt>
                <c:pt idx="639">
                  <c:v>29129</c:v>
                </c:pt>
                <c:pt idx="640">
                  <c:v>29160</c:v>
                </c:pt>
                <c:pt idx="641">
                  <c:v>29190</c:v>
                </c:pt>
                <c:pt idx="642">
                  <c:v>29221</c:v>
                </c:pt>
                <c:pt idx="643">
                  <c:v>29252</c:v>
                </c:pt>
                <c:pt idx="644">
                  <c:v>29281</c:v>
                </c:pt>
                <c:pt idx="645">
                  <c:v>29312</c:v>
                </c:pt>
                <c:pt idx="646">
                  <c:v>29342</c:v>
                </c:pt>
                <c:pt idx="647">
                  <c:v>29373</c:v>
                </c:pt>
                <c:pt idx="648">
                  <c:v>29403</c:v>
                </c:pt>
                <c:pt idx="649">
                  <c:v>29434</c:v>
                </c:pt>
                <c:pt idx="650">
                  <c:v>29465</c:v>
                </c:pt>
                <c:pt idx="651">
                  <c:v>29495</c:v>
                </c:pt>
                <c:pt idx="652">
                  <c:v>29526</c:v>
                </c:pt>
                <c:pt idx="653">
                  <c:v>29556</c:v>
                </c:pt>
                <c:pt idx="654">
                  <c:v>29587</c:v>
                </c:pt>
                <c:pt idx="655">
                  <c:v>29618</c:v>
                </c:pt>
                <c:pt idx="656">
                  <c:v>29646</c:v>
                </c:pt>
                <c:pt idx="657">
                  <c:v>29677</c:v>
                </c:pt>
                <c:pt idx="658">
                  <c:v>29707</c:v>
                </c:pt>
                <c:pt idx="659">
                  <c:v>29738</c:v>
                </c:pt>
                <c:pt idx="660">
                  <c:v>29768</c:v>
                </c:pt>
                <c:pt idx="661">
                  <c:v>29799</c:v>
                </c:pt>
                <c:pt idx="662">
                  <c:v>29830</c:v>
                </c:pt>
                <c:pt idx="663">
                  <c:v>29860</c:v>
                </c:pt>
                <c:pt idx="664">
                  <c:v>29891</c:v>
                </c:pt>
                <c:pt idx="665">
                  <c:v>29921</c:v>
                </c:pt>
                <c:pt idx="666">
                  <c:v>29952</c:v>
                </c:pt>
                <c:pt idx="667">
                  <c:v>29983</c:v>
                </c:pt>
                <c:pt idx="668">
                  <c:v>30011</c:v>
                </c:pt>
                <c:pt idx="669">
                  <c:v>30042</c:v>
                </c:pt>
                <c:pt idx="670">
                  <c:v>30072</c:v>
                </c:pt>
                <c:pt idx="671">
                  <c:v>30103</c:v>
                </c:pt>
                <c:pt idx="672">
                  <c:v>30133</c:v>
                </c:pt>
                <c:pt idx="673">
                  <c:v>30164</c:v>
                </c:pt>
                <c:pt idx="674">
                  <c:v>30195</c:v>
                </c:pt>
                <c:pt idx="675">
                  <c:v>30225</c:v>
                </c:pt>
                <c:pt idx="676">
                  <c:v>30256</c:v>
                </c:pt>
                <c:pt idx="677">
                  <c:v>30286</c:v>
                </c:pt>
                <c:pt idx="678">
                  <c:v>30317</c:v>
                </c:pt>
                <c:pt idx="679">
                  <c:v>30348</c:v>
                </c:pt>
                <c:pt idx="680">
                  <c:v>30376</c:v>
                </c:pt>
                <c:pt idx="681">
                  <c:v>30407</c:v>
                </c:pt>
                <c:pt idx="682">
                  <c:v>30437</c:v>
                </c:pt>
                <c:pt idx="683">
                  <c:v>30468</c:v>
                </c:pt>
                <c:pt idx="684">
                  <c:v>30498</c:v>
                </c:pt>
                <c:pt idx="685">
                  <c:v>30529</c:v>
                </c:pt>
                <c:pt idx="686">
                  <c:v>30560</c:v>
                </c:pt>
                <c:pt idx="687">
                  <c:v>30590</c:v>
                </c:pt>
                <c:pt idx="688">
                  <c:v>30621</c:v>
                </c:pt>
                <c:pt idx="689">
                  <c:v>30651</c:v>
                </c:pt>
                <c:pt idx="690">
                  <c:v>30682</c:v>
                </c:pt>
                <c:pt idx="691">
                  <c:v>30713</c:v>
                </c:pt>
                <c:pt idx="692">
                  <c:v>30742</c:v>
                </c:pt>
                <c:pt idx="693">
                  <c:v>30773</c:v>
                </c:pt>
                <c:pt idx="694">
                  <c:v>30803</c:v>
                </c:pt>
                <c:pt idx="695">
                  <c:v>30834</c:v>
                </c:pt>
                <c:pt idx="696">
                  <c:v>30864</c:v>
                </c:pt>
                <c:pt idx="697">
                  <c:v>30895</c:v>
                </c:pt>
                <c:pt idx="698">
                  <c:v>30926</c:v>
                </c:pt>
                <c:pt idx="699">
                  <c:v>30956</c:v>
                </c:pt>
                <c:pt idx="700">
                  <c:v>30987</c:v>
                </c:pt>
                <c:pt idx="701">
                  <c:v>31017</c:v>
                </c:pt>
                <c:pt idx="702">
                  <c:v>31048</c:v>
                </c:pt>
                <c:pt idx="703">
                  <c:v>31079</c:v>
                </c:pt>
                <c:pt idx="704">
                  <c:v>31107</c:v>
                </c:pt>
                <c:pt idx="705">
                  <c:v>31138</c:v>
                </c:pt>
                <c:pt idx="706">
                  <c:v>31168</c:v>
                </c:pt>
                <c:pt idx="707">
                  <c:v>31199</c:v>
                </c:pt>
                <c:pt idx="708">
                  <c:v>31229</c:v>
                </c:pt>
                <c:pt idx="709">
                  <c:v>31260</c:v>
                </c:pt>
                <c:pt idx="710">
                  <c:v>31291</c:v>
                </c:pt>
                <c:pt idx="711">
                  <c:v>31321</c:v>
                </c:pt>
                <c:pt idx="712">
                  <c:v>31352</c:v>
                </c:pt>
                <c:pt idx="713">
                  <c:v>31382</c:v>
                </c:pt>
                <c:pt idx="714">
                  <c:v>31413</c:v>
                </c:pt>
                <c:pt idx="715">
                  <c:v>31444</c:v>
                </c:pt>
                <c:pt idx="716">
                  <c:v>31472</c:v>
                </c:pt>
                <c:pt idx="717">
                  <c:v>31503</c:v>
                </c:pt>
                <c:pt idx="718">
                  <c:v>31533</c:v>
                </c:pt>
                <c:pt idx="719">
                  <c:v>31564</c:v>
                </c:pt>
                <c:pt idx="720">
                  <c:v>31594</c:v>
                </c:pt>
                <c:pt idx="721">
                  <c:v>31625</c:v>
                </c:pt>
                <c:pt idx="722">
                  <c:v>31656</c:v>
                </c:pt>
                <c:pt idx="723">
                  <c:v>31686</c:v>
                </c:pt>
                <c:pt idx="724">
                  <c:v>31717</c:v>
                </c:pt>
                <c:pt idx="725">
                  <c:v>31747</c:v>
                </c:pt>
                <c:pt idx="726">
                  <c:v>31778</c:v>
                </c:pt>
                <c:pt idx="727">
                  <c:v>31809</c:v>
                </c:pt>
                <c:pt idx="728">
                  <c:v>31837</c:v>
                </c:pt>
                <c:pt idx="729">
                  <c:v>31868</c:v>
                </c:pt>
                <c:pt idx="730">
                  <c:v>31898</c:v>
                </c:pt>
                <c:pt idx="731">
                  <c:v>31929</c:v>
                </c:pt>
                <c:pt idx="732">
                  <c:v>31959</c:v>
                </c:pt>
                <c:pt idx="733">
                  <c:v>31990</c:v>
                </c:pt>
                <c:pt idx="734">
                  <c:v>32021</c:v>
                </c:pt>
                <c:pt idx="735">
                  <c:v>32051</c:v>
                </c:pt>
                <c:pt idx="736">
                  <c:v>32082</c:v>
                </c:pt>
                <c:pt idx="737">
                  <c:v>32112</c:v>
                </c:pt>
                <c:pt idx="738">
                  <c:v>32143</c:v>
                </c:pt>
                <c:pt idx="739">
                  <c:v>32174</c:v>
                </c:pt>
                <c:pt idx="740">
                  <c:v>32203</c:v>
                </c:pt>
                <c:pt idx="741">
                  <c:v>32234</c:v>
                </c:pt>
                <c:pt idx="742">
                  <c:v>32264</c:v>
                </c:pt>
                <c:pt idx="743">
                  <c:v>32295</c:v>
                </c:pt>
                <c:pt idx="744">
                  <c:v>32325</c:v>
                </c:pt>
                <c:pt idx="745">
                  <c:v>32356</c:v>
                </c:pt>
                <c:pt idx="746">
                  <c:v>32387</c:v>
                </c:pt>
                <c:pt idx="747">
                  <c:v>32417</c:v>
                </c:pt>
                <c:pt idx="748">
                  <c:v>32448</c:v>
                </c:pt>
                <c:pt idx="749">
                  <c:v>32478</c:v>
                </c:pt>
                <c:pt idx="750">
                  <c:v>32509</c:v>
                </c:pt>
                <c:pt idx="751">
                  <c:v>32540</c:v>
                </c:pt>
                <c:pt idx="752">
                  <c:v>32568</c:v>
                </c:pt>
                <c:pt idx="753">
                  <c:v>32599</c:v>
                </c:pt>
                <c:pt idx="754">
                  <c:v>32629</c:v>
                </c:pt>
                <c:pt idx="755">
                  <c:v>32660</c:v>
                </c:pt>
                <c:pt idx="756">
                  <c:v>32690</c:v>
                </c:pt>
                <c:pt idx="757">
                  <c:v>32721</c:v>
                </c:pt>
                <c:pt idx="758">
                  <c:v>32752</c:v>
                </c:pt>
                <c:pt idx="759">
                  <c:v>32782</c:v>
                </c:pt>
                <c:pt idx="760">
                  <c:v>32813</c:v>
                </c:pt>
                <c:pt idx="761">
                  <c:v>32843</c:v>
                </c:pt>
                <c:pt idx="762">
                  <c:v>32874</c:v>
                </c:pt>
                <c:pt idx="763">
                  <c:v>32905</c:v>
                </c:pt>
                <c:pt idx="764">
                  <c:v>32933</c:v>
                </c:pt>
                <c:pt idx="765">
                  <c:v>32964</c:v>
                </c:pt>
                <c:pt idx="766">
                  <c:v>32994</c:v>
                </c:pt>
                <c:pt idx="767">
                  <c:v>33025</c:v>
                </c:pt>
                <c:pt idx="768">
                  <c:v>33055</c:v>
                </c:pt>
                <c:pt idx="769">
                  <c:v>33086</c:v>
                </c:pt>
                <c:pt idx="770">
                  <c:v>33117</c:v>
                </c:pt>
                <c:pt idx="771">
                  <c:v>33147</c:v>
                </c:pt>
                <c:pt idx="772">
                  <c:v>33178</c:v>
                </c:pt>
                <c:pt idx="773">
                  <c:v>33208</c:v>
                </c:pt>
                <c:pt idx="774">
                  <c:v>33239</c:v>
                </c:pt>
                <c:pt idx="775">
                  <c:v>33270</c:v>
                </c:pt>
                <c:pt idx="776">
                  <c:v>33298</c:v>
                </c:pt>
                <c:pt idx="777">
                  <c:v>33329</c:v>
                </c:pt>
                <c:pt idx="778">
                  <c:v>33359</c:v>
                </c:pt>
                <c:pt idx="779">
                  <c:v>33390</c:v>
                </c:pt>
                <c:pt idx="780">
                  <c:v>33420</c:v>
                </c:pt>
                <c:pt idx="781">
                  <c:v>33451</c:v>
                </c:pt>
                <c:pt idx="782">
                  <c:v>33482</c:v>
                </c:pt>
                <c:pt idx="783">
                  <c:v>33512</c:v>
                </c:pt>
                <c:pt idx="784">
                  <c:v>33543</c:v>
                </c:pt>
                <c:pt idx="785">
                  <c:v>33573</c:v>
                </c:pt>
                <c:pt idx="786">
                  <c:v>33604</c:v>
                </c:pt>
                <c:pt idx="787">
                  <c:v>33635</c:v>
                </c:pt>
                <c:pt idx="788">
                  <c:v>33664</c:v>
                </c:pt>
                <c:pt idx="789">
                  <c:v>33695</c:v>
                </c:pt>
                <c:pt idx="790">
                  <c:v>33725</c:v>
                </c:pt>
                <c:pt idx="791">
                  <c:v>33756</c:v>
                </c:pt>
                <c:pt idx="792">
                  <c:v>33786</c:v>
                </c:pt>
                <c:pt idx="793">
                  <c:v>33817</c:v>
                </c:pt>
                <c:pt idx="794">
                  <c:v>33848</c:v>
                </c:pt>
                <c:pt idx="795">
                  <c:v>33878</c:v>
                </c:pt>
                <c:pt idx="796">
                  <c:v>33909</c:v>
                </c:pt>
                <c:pt idx="797">
                  <c:v>33939</c:v>
                </c:pt>
                <c:pt idx="798">
                  <c:v>33970</c:v>
                </c:pt>
                <c:pt idx="799">
                  <c:v>34001</c:v>
                </c:pt>
                <c:pt idx="800">
                  <c:v>34029</c:v>
                </c:pt>
                <c:pt idx="801">
                  <c:v>34060</c:v>
                </c:pt>
                <c:pt idx="802">
                  <c:v>34090</c:v>
                </c:pt>
                <c:pt idx="803">
                  <c:v>34121</c:v>
                </c:pt>
                <c:pt idx="804">
                  <c:v>34151</c:v>
                </c:pt>
                <c:pt idx="805">
                  <c:v>34182</c:v>
                </c:pt>
                <c:pt idx="806">
                  <c:v>34213</c:v>
                </c:pt>
                <c:pt idx="807">
                  <c:v>34243</c:v>
                </c:pt>
                <c:pt idx="808">
                  <c:v>34274</c:v>
                </c:pt>
                <c:pt idx="809">
                  <c:v>34304</c:v>
                </c:pt>
                <c:pt idx="810">
                  <c:v>34335</c:v>
                </c:pt>
                <c:pt idx="811">
                  <c:v>34366</c:v>
                </c:pt>
                <c:pt idx="812">
                  <c:v>34394</c:v>
                </c:pt>
                <c:pt idx="813">
                  <c:v>34425</c:v>
                </c:pt>
                <c:pt idx="814">
                  <c:v>34455</c:v>
                </c:pt>
                <c:pt idx="815">
                  <c:v>34486</c:v>
                </c:pt>
                <c:pt idx="816">
                  <c:v>34516</c:v>
                </c:pt>
                <c:pt idx="817">
                  <c:v>34547</c:v>
                </c:pt>
                <c:pt idx="818">
                  <c:v>34578</c:v>
                </c:pt>
                <c:pt idx="819">
                  <c:v>34608</c:v>
                </c:pt>
                <c:pt idx="820">
                  <c:v>34639</c:v>
                </c:pt>
                <c:pt idx="821">
                  <c:v>34669</c:v>
                </c:pt>
                <c:pt idx="822">
                  <c:v>34700</c:v>
                </c:pt>
                <c:pt idx="823">
                  <c:v>34731</c:v>
                </c:pt>
                <c:pt idx="824">
                  <c:v>34759</c:v>
                </c:pt>
                <c:pt idx="825">
                  <c:v>34790</c:v>
                </c:pt>
                <c:pt idx="826">
                  <c:v>34820</c:v>
                </c:pt>
                <c:pt idx="827">
                  <c:v>34851</c:v>
                </c:pt>
                <c:pt idx="828">
                  <c:v>34881</c:v>
                </c:pt>
                <c:pt idx="829">
                  <c:v>34912</c:v>
                </c:pt>
                <c:pt idx="830">
                  <c:v>34943</c:v>
                </c:pt>
                <c:pt idx="831">
                  <c:v>34973</c:v>
                </c:pt>
                <c:pt idx="832">
                  <c:v>35004</c:v>
                </c:pt>
                <c:pt idx="833">
                  <c:v>35034</c:v>
                </c:pt>
                <c:pt idx="834">
                  <c:v>35065</c:v>
                </c:pt>
                <c:pt idx="835">
                  <c:v>35096</c:v>
                </c:pt>
                <c:pt idx="836">
                  <c:v>35125</c:v>
                </c:pt>
                <c:pt idx="837">
                  <c:v>35156</c:v>
                </c:pt>
                <c:pt idx="838">
                  <c:v>35186</c:v>
                </c:pt>
                <c:pt idx="839">
                  <c:v>35217</c:v>
                </c:pt>
                <c:pt idx="840">
                  <c:v>35247</c:v>
                </c:pt>
                <c:pt idx="841">
                  <c:v>35278</c:v>
                </c:pt>
                <c:pt idx="842">
                  <c:v>35309</c:v>
                </c:pt>
                <c:pt idx="843">
                  <c:v>35339</c:v>
                </c:pt>
                <c:pt idx="844">
                  <c:v>35370</c:v>
                </c:pt>
                <c:pt idx="845">
                  <c:v>35400</c:v>
                </c:pt>
                <c:pt idx="846">
                  <c:v>35431</c:v>
                </c:pt>
                <c:pt idx="847">
                  <c:v>35462</c:v>
                </c:pt>
                <c:pt idx="848">
                  <c:v>35490</c:v>
                </c:pt>
                <c:pt idx="849">
                  <c:v>35521</c:v>
                </c:pt>
                <c:pt idx="850">
                  <c:v>35551</c:v>
                </c:pt>
                <c:pt idx="851">
                  <c:v>35582</c:v>
                </c:pt>
                <c:pt idx="852">
                  <c:v>35612</c:v>
                </c:pt>
                <c:pt idx="853">
                  <c:v>35643</c:v>
                </c:pt>
                <c:pt idx="854">
                  <c:v>35674</c:v>
                </c:pt>
                <c:pt idx="855">
                  <c:v>35704</c:v>
                </c:pt>
                <c:pt idx="856">
                  <c:v>35735</c:v>
                </c:pt>
                <c:pt idx="857">
                  <c:v>35765</c:v>
                </c:pt>
                <c:pt idx="858">
                  <c:v>35796</c:v>
                </c:pt>
                <c:pt idx="859">
                  <c:v>35827</c:v>
                </c:pt>
                <c:pt idx="860">
                  <c:v>35855</c:v>
                </c:pt>
                <c:pt idx="861">
                  <c:v>35886</c:v>
                </c:pt>
                <c:pt idx="862">
                  <c:v>35916</c:v>
                </c:pt>
                <c:pt idx="863">
                  <c:v>35947</c:v>
                </c:pt>
                <c:pt idx="864">
                  <c:v>35977</c:v>
                </c:pt>
                <c:pt idx="865">
                  <c:v>36008</c:v>
                </c:pt>
                <c:pt idx="866">
                  <c:v>36039</c:v>
                </c:pt>
                <c:pt idx="867">
                  <c:v>36069</c:v>
                </c:pt>
                <c:pt idx="868">
                  <c:v>36100</c:v>
                </c:pt>
                <c:pt idx="869">
                  <c:v>36130</c:v>
                </c:pt>
                <c:pt idx="870">
                  <c:v>36161</c:v>
                </c:pt>
                <c:pt idx="871">
                  <c:v>36192</c:v>
                </c:pt>
                <c:pt idx="872">
                  <c:v>36220</c:v>
                </c:pt>
                <c:pt idx="873">
                  <c:v>36251</c:v>
                </c:pt>
                <c:pt idx="874">
                  <c:v>36281</c:v>
                </c:pt>
                <c:pt idx="875">
                  <c:v>36312</c:v>
                </c:pt>
                <c:pt idx="876">
                  <c:v>36342</c:v>
                </c:pt>
                <c:pt idx="877">
                  <c:v>36373</c:v>
                </c:pt>
                <c:pt idx="878">
                  <c:v>36404</c:v>
                </c:pt>
                <c:pt idx="879">
                  <c:v>36434</c:v>
                </c:pt>
                <c:pt idx="880">
                  <c:v>36465</c:v>
                </c:pt>
                <c:pt idx="881">
                  <c:v>36495</c:v>
                </c:pt>
                <c:pt idx="882">
                  <c:v>36526</c:v>
                </c:pt>
                <c:pt idx="883">
                  <c:v>36557</c:v>
                </c:pt>
                <c:pt idx="884">
                  <c:v>36586</c:v>
                </c:pt>
                <c:pt idx="885">
                  <c:v>36617</c:v>
                </c:pt>
                <c:pt idx="886">
                  <c:v>36647</c:v>
                </c:pt>
                <c:pt idx="887">
                  <c:v>36678</c:v>
                </c:pt>
                <c:pt idx="888">
                  <c:v>36708</c:v>
                </c:pt>
                <c:pt idx="889">
                  <c:v>36739</c:v>
                </c:pt>
                <c:pt idx="890">
                  <c:v>36770</c:v>
                </c:pt>
                <c:pt idx="891">
                  <c:v>36800</c:v>
                </c:pt>
                <c:pt idx="892">
                  <c:v>36831</c:v>
                </c:pt>
                <c:pt idx="893">
                  <c:v>36861</c:v>
                </c:pt>
                <c:pt idx="894">
                  <c:v>36892</c:v>
                </c:pt>
                <c:pt idx="895">
                  <c:v>36923</c:v>
                </c:pt>
                <c:pt idx="896">
                  <c:v>36951</c:v>
                </c:pt>
                <c:pt idx="897">
                  <c:v>36982</c:v>
                </c:pt>
                <c:pt idx="898">
                  <c:v>37012</c:v>
                </c:pt>
                <c:pt idx="899">
                  <c:v>37043</c:v>
                </c:pt>
                <c:pt idx="900">
                  <c:v>37073</c:v>
                </c:pt>
                <c:pt idx="901">
                  <c:v>37104</c:v>
                </c:pt>
                <c:pt idx="902">
                  <c:v>37135</c:v>
                </c:pt>
                <c:pt idx="903">
                  <c:v>37165</c:v>
                </c:pt>
                <c:pt idx="904">
                  <c:v>37196</c:v>
                </c:pt>
                <c:pt idx="905">
                  <c:v>37226</c:v>
                </c:pt>
                <c:pt idx="906">
                  <c:v>37257</c:v>
                </c:pt>
                <c:pt idx="907">
                  <c:v>37288</c:v>
                </c:pt>
                <c:pt idx="908">
                  <c:v>37316</c:v>
                </c:pt>
                <c:pt idx="909">
                  <c:v>37347</c:v>
                </c:pt>
                <c:pt idx="910">
                  <c:v>37377</c:v>
                </c:pt>
                <c:pt idx="911">
                  <c:v>37408</c:v>
                </c:pt>
                <c:pt idx="912">
                  <c:v>37438</c:v>
                </c:pt>
                <c:pt idx="913">
                  <c:v>37469</c:v>
                </c:pt>
                <c:pt idx="914">
                  <c:v>37500</c:v>
                </c:pt>
                <c:pt idx="915">
                  <c:v>37530</c:v>
                </c:pt>
                <c:pt idx="916">
                  <c:v>37561</c:v>
                </c:pt>
                <c:pt idx="917">
                  <c:v>37591</c:v>
                </c:pt>
                <c:pt idx="918">
                  <c:v>37622</c:v>
                </c:pt>
                <c:pt idx="919">
                  <c:v>37653</c:v>
                </c:pt>
                <c:pt idx="920">
                  <c:v>37681</c:v>
                </c:pt>
                <c:pt idx="921">
                  <c:v>37712</c:v>
                </c:pt>
                <c:pt idx="922">
                  <c:v>37742</c:v>
                </c:pt>
                <c:pt idx="923">
                  <c:v>37773</c:v>
                </c:pt>
                <c:pt idx="924">
                  <c:v>37803</c:v>
                </c:pt>
                <c:pt idx="925">
                  <c:v>37834</c:v>
                </c:pt>
                <c:pt idx="926">
                  <c:v>37865</c:v>
                </c:pt>
                <c:pt idx="927">
                  <c:v>37895</c:v>
                </c:pt>
                <c:pt idx="928">
                  <c:v>37926</c:v>
                </c:pt>
                <c:pt idx="929">
                  <c:v>37956</c:v>
                </c:pt>
                <c:pt idx="930">
                  <c:v>37987</c:v>
                </c:pt>
                <c:pt idx="931">
                  <c:v>38018</c:v>
                </c:pt>
                <c:pt idx="932">
                  <c:v>38047</c:v>
                </c:pt>
                <c:pt idx="933">
                  <c:v>38078</c:v>
                </c:pt>
                <c:pt idx="934">
                  <c:v>38108</c:v>
                </c:pt>
                <c:pt idx="935">
                  <c:v>38139</c:v>
                </c:pt>
                <c:pt idx="936">
                  <c:v>38169</c:v>
                </c:pt>
                <c:pt idx="937">
                  <c:v>38200</c:v>
                </c:pt>
                <c:pt idx="938">
                  <c:v>38231</c:v>
                </c:pt>
                <c:pt idx="939">
                  <c:v>38261</c:v>
                </c:pt>
                <c:pt idx="940">
                  <c:v>38292</c:v>
                </c:pt>
                <c:pt idx="941">
                  <c:v>38322</c:v>
                </c:pt>
                <c:pt idx="942">
                  <c:v>38353</c:v>
                </c:pt>
                <c:pt idx="943">
                  <c:v>38384</c:v>
                </c:pt>
                <c:pt idx="944">
                  <c:v>38412</c:v>
                </c:pt>
                <c:pt idx="945">
                  <c:v>38443</c:v>
                </c:pt>
                <c:pt idx="946">
                  <c:v>38473</c:v>
                </c:pt>
                <c:pt idx="947">
                  <c:v>38504</c:v>
                </c:pt>
                <c:pt idx="948">
                  <c:v>38534</c:v>
                </c:pt>
                <c:pt idx="949">
                  <c:v>38565</c:v>
                </c:pt>
                <c:pt idx="950">
                  <c:v>38596</c:v>
                </c:pt>
                <c:pt idx="951">
                  <c:v>38626</c:v>
                </c:pt>
                <c:pt idx="952">
                  <c:v>38657</c:v>
                </c:pt>
                <c:pt idx="953">
                  <c:v>38687</c:v>
                </c:pt>
                <c:pt idx="954">
                  <c:v>38718</c:v>
                </c:pt>
                <c:pt idx="955">
                  <c:v>38749</c:v>
                </c:pt>
                <c:pt idx="956">
                  <c:v>38777</c:v>
                </c:pt>
                <c:pt idx="957">
                  <c:v>38808</c:v>
                </c:pt>
                <c:pt idx="958">
                  <c:v>38838</c:v>
                </c:pt>
                <c:pt idx="959">
                  <c:v>38869</c:v>
                </c:pt>
                <c:pt idx="960">
                  <c:v>38899</c:v>
                </c:pt>
                <c:pt idx="961">
                  <c:v>38930</c:v>
                </c:pt>
                <c:pt idx="962">
                  <c:v>38961</c:v>
                </c:pt>
                <c:pt idx="963">
                  <c:v>38991</c:v>
                </c:pt>
                <c:pt idx="964">
                  <c:v>39022</c:v>
                </c:pt>
                <c:pt idx="965">
                  <c:v>39052</c:v>
                </c:pt>
                <c:pt idx="966">
                  <c:v>39083</c:v>
                </c:pt>
                <c:pt idx="967">
                  <c:v>39114</c:v>
                </c:pt>
                <c:pt idx="968">
                  <c:v>39142</c:v>
                </c:pt>
                <c:pt idx="969">
                  <c:v>39173</c:v>
                </c:pt>
                <c:pt idx="970">
                  <c:v>39203</c:v>
                </c:pt>
                <c:pt idx="971">
                  <c:v>39234</c:v>
                </c:pt>
                <c:pt idx="972">
                  <c:v>39264</c:v>
                </c:pt>
                <c:pt idx="973">
                  <c:v>39295</c:v>
                </c:pt>
                <c:pt idx="974">
                  <c:v>39326</c:v>
                </c:pt>
                <c:pt idx="975">
                  <c:v>39356</c:v>
                </c:pt>
                <c:pt idx="976">
                  <c:v>39387</c:v>
                </c:pt>
                <c:pt idx="977">
                  <c:v>39417</c:v>
                </c:pt>
                <c:pt idx="978">
                  <c:v>39448</c:v>
                </c:pt>
                <c:pt idx="979">
                  <c:v>39479</c:v>
                </c:pt>
                <c:pt idx="980">
                  <c:v>39508</c:v>
                </c:pt>
                <c:pt idx="981">
                  <c:v>39539</c:v>
                </c:pt>
                <c:pt idx="982">
                  <c:v>39569</c:v>
                </c:pt>
                <c:pt idx="983">
                  <c:v>39600</c:v>
                </c:pt>
                <c:pt idx="984">
                  <c:v>39630</c:v>
                </c:pt>
                <c:pt idx="985">
                  <c:v>39661</c:v>
                </c:pt>
                <c:pt idx="986">
                  <c:v>39692</c:v>
                </c:pt>
                <c:pt idx="987">
                  <c:v>39722</c:v>
                </c:pt>
                <c:pt idx="988">
                  <c:v>39753</c:v>
                </c:pt>
                <c:pt idx="989">
                  <c:v>39783</c:v>
                </c:pt>
                <c:pt idx="990">
                  <c:v>39814</c:v>
                </c:pt>
                <c:pt idx="991">
                  <c:v>39845</c:v>
                </c:pt>
                <c:pt idx="992">
                  <c:v>39873</c:v>
                </c:pt>
                <c:pt idx="993">
                  <c:v>39904</c:v>
                </c:pt>
                <c:pt idx="994">
                  <c:v>39934</c:v>
                </c:pt>
                <c:pt idx="995">
                  <c:v>39965</c:v>
                </c:pt>
                <c:pt idx="996">
                  <c:v>39995</c:v>
                </c:pt>
                <c:pt idx="997">
                  <c:v>40026</c:v>
                </c:pt>
                <c:pt idx="998">
                  <c:v>40057</c:v>
                </c:pt>
                <c:pt idx="999">
                  <c:v>40087</c:v>
                </c:pt>
                <c:pt idx="1000">
                  <c:v>40118</c:v>
                </c:pt>
                <c:pt idx="1001">
                  <c:v>40148</c:v>
                </c:pt>
                <c:pt idx="1002">
                  <c:v>40179</c:v>
                </c:pt>
                <c:pt idx="1003">
                  <c:v>40210</c:v>
                </c:pt>
                <c:pt idx="1004">
                  <c:v>40238</c:v>
                </c:pt>
                <c:pt idx="1005">
                  <c:v>40269</c:v>
                </c:pt>
                <c:pt idx="1006">
                  <c:v>40299</c:v>
                </c:pt>
                <c:pt idx="1007">
                  <c:v>40330</c:v>
                </c:pt>
                <c:pt idx="1008">
                  <c:v>40360</c:v>
                </c:pt>
                <c:pt idx="1009">
                  <c:v>40391</c:v>
                </c:pt>
                <c:pt idx="1010">
                  <c:v>40422</c:v>
                </c:pt>
                <c:pt idx="1011">
                  <c:v>40452</c:v>
                </c:pt>
                <c:pt idx="1012">
                  <c:v>40483</c:v>
                </c:pt>
                <c:pt idx="1013">
                  <c:v>40513</c:v>
                </c:pt>
                <c:pt idx="1014">
                  <c:v>40544</c:v>
                </c:pt>
                <c:pt idx="1015">
                  <c:v>40575</c:v>
                </c:pt>
                <c:pt idx="1016">
                  <c:v>40603</c:v>
                </c:pt>
                <c:pt idx="1017">
                  <c:v>40634</c:v>
                </c:pt>
                <c:pt idx="1018">
                  <c:v>40664</c:v>
                </c:pt>
                <c:pt idx="1019">
                  <c:v>40695</c:v>
                </c:pt>
                <c:pt idx="1020">
                  <c:v>40725</c:v>
                </c:pt>
                <c:pt idx="1021">
                  <c:v>40756</c:v>
                </c:pt>
                <c:pt idx="1022">
                  <c:v>40787</c:v>
                </c:pt>
                <c:pt idx="1023">
                  <c:v>40817</c:v>
                </c:pt>
                <c:pt idx="1024">
                  <c:v>40848</c:v>
                </c:pt>
                <c:pt idx="1025">
                  <c:v>40878</c:v>
                </c:pt>
                <c:pt idx="1026">
                  <c:v>40909</c:v>
                </c:pt>
                <c:pt idx="1027">
                  <c:v>40940</c:v>
                </c:pt>
                <c:pt idx="1028">
                  <c:v>40969</c:v>
                </c:pt>
                <c:pt idx="1029">
                  <c:v>41000</c:v>
                </c:pt>
                <c:pt idx="1030">
                  <c:v>41030</c:v>
                </c:pt>
                <c:pt idx="1031">
                  <c:v>41061</c:v>
                </c:pt>
                <c:pt idx="1032">
                  <c:v>41091</c:v>
                </c:pt>
                <c:pt idx="1033">
                  <c:v>41122</c:v>
                </c:pt>
                <c:pt idx="1034">
                  <c:v>41153</c:v>
                </c:pt>
                <c:pt idx="1035">
                  <c:v>41183</c:v>
                </c:pt>
                <c:pt idx="1036">
                  <c:v>41214</c:v>
                </c:pt>
                <c:pt idx="1037">
                  <c:v>41244</c:v>
                </c:pt>
                <c:pt idx="1038">
                  <c:v>41275</c:v>
                </c:pt>
                <c:pt idx="1039">
                  <c:v>41306</c:v>
                </c:pt>
                <c:pt idx="1040">
                  <c:v>41334</c:v>
                </c:pt>
                <c:pt idx="1041">
                  <c:v>41365</c:v>
                </c:pt>
                <c:pt idx="1042">
                  <c:v>41395</c:v>
                </c:pt>
                <c:pt idx="1043">
                  <c:v>41426</c:v>
                </c:pt>
                <c:pt idx="1044">
                  <c:v>41456</c:v>
                </c:pt>
                <c:pt idx="1045">
                  <c:v>41487</c:v>
                </c:pt>
                <c:pt idx="1046">
                  <c:v>41518</c:v>
                </c:pt>
                <c:pt idx="1047">
                  <c:v>41548</c:v>
                </c:pt>
                <c:pt idx="1048">
                  <c:v>41579</c:v>
                </c:pt>
                <c:pt idx="1049">
                  <c:v>41609</c:v>
                </c:pt>
                <c:pt idx="1050">
                  <c:v>41640</c:v>
                </c:pt>
                <c:pt idx="1051">
                  <c:v>41671</c:v>
                </c:pt>
                <c:pt idx="1052">
                  <c:v>41699</c:v>
                </c:pt>
                <c:pt idx="1053">
                  <c:v>41730</c:v>
                </c:pt>
                <c:pt idx="1054">
                  <c:v>41760</c:v>
                </c:pt>
                <c:pt idx="1055">
                  <c:v>41791</c:v>
                </c:pt>
                <c:pt idx="1056">
                  <c:v>41821</c:v>
                </c:pt>
                <c:pt idx="1057">
                  <c:v>41852</c:v>
                </c:pt>
                <c:pt idx="1058">
                  <c:v>41883</c:v>
                </c:pt>
                <c:pt idx="1059">
                  <c:v>41913</c:v>
                </c:pt>
                <c:pt idx="1060">
                  <c:v>41944</c:v>
                </c:pt>
                <c:pt idx="1061">
                  <c:v>41974</c:v>
                </c:pt>
                <c:pt idx="1062">
                  <c:v>42005</c:v>
                </c:pt>
                <c:pt idx="1063">
                  <c:v>42036</c:v>
                </c:pt>
                <c:pt idx="1064">
                  <c:v>42064</c:v>
                </c:pt>
                <c:pt idx="1065">
                  <c:v>42095</c:v>
                </c:pt>
                <c:pt idx="1066">
                  <c:v>42125</c:v>
                </c:pt>
                <c:pt idx="1067">
                  <c:v>42156</c:v>
                </c:pt>
                <c:pt idx="1068">
                  <c:v>42186</c:v>
                </c:pt>
                <c:pt idx="1069">
                  <c:v>42217</c:v>
                </c:pt>
                <c:pt idx="1070">
                  <c:v>42248</c:v>
                </c:pt>
                <c:pt idx="1071">
                  <c:v>42278</c:v>
                </c:pt>
                <c:pt idx="1072">
                  <c:v>42309</c:v>
                </c:pt>
                <c:pt idx="1073">
                  <c:v>42339</c:v>
                </c:pt>
                <c:pt idx="1074">
                  <c:v>42370</c:v>
                </c:pt>
                <c:pt idx="1075">
                  <c:v>42401</c:v>
                </c:pt>
                <c:pt idx="1076">
                  <c:v>42430</c:v>
                </c:pt>
                <c:pt idx="1077">
                  <c:v>42461</c:v>
                </c:pt>
                <c:pt idx="1078">
                  <c:v>42491</c:v>
                </c:pt>
                <c:pt idx="1079">
                  <c:v>42522</c:v>
                </c:pt>
                <c:pt idx="1080">
                  <c:v>42552</c:v>
                </c:pt>
                <c:pt idx="1081">
                  <c:v>42583</c:v>
                </c:pt>
                <c:pt idx="1082">
                  <c:v>42614</c:v>
                </c:pt>
                <c:pt idx="1083">
                  <c:v>42644</c:v>
                </c:pt>
                <c:pt idx="1084">
                  <c:v>42675</c:v>
                </c:pt>
                <c:pt idx="1085">
                  <c:v>42705</c:v>
                </c:pt>
              </c:numCache>
            </c:numRef>
          </c:xVal>
          <c:yVal>
            <c:numRef>
              <c:f>Price!$G$2:$G$1087</c:f>
              <c:numCache>
                <c:formatCode>_("$"* #,##0_);_("$"* \(#,##0\);_("$"* "-"??_);_(@_)</c:formatCode>
                <c:ptCount val="1086"/>
                <c:pt idx="0">
                  <c:v>100</c:v>
                </c:pt>
                <c:pt idx="1">
                  <c:v>104.19</c:v>
                </c:pt>
                <c:pt idx="2">
                  <c:v>104.200419</c:v>
                </c:pt>
                <c:pt idx="3">
                  <c:v>104.7318411369</c:v>
                </c:pt>
                <c:pt idx="4">
                  <c:v>104.36527969292085</c:v>
                </c:pt>
                <c:pt idx="5">
                  <c:v>104.34440663698227</c:v>
                </c:pt>
                <c:pt idx="6">
                  <c:v>109.38424147754851</c:v>
                </c:pt>
                <c:pt idx="7">
                  <c:v>112.85172193238681</c:v>
                </c:pt>
                <c:pt idx="8">
                  <c:v>109.83858095679209</c:v>
                </c:pt>
                <c:pt idx="9">
                  <c:v>110.49761244253284</c:v>
                </c:pt>
                <c:pt idx="10">
                  <c:v>115.9451447359497</c:v>
                </c:pt>
                <c:pt idx="11">
                  <c:v>114.17118402148967</c:v>
                </c:pt>
                <c:pt idx="12">
                  <c:v>112.84679828684038</c:v>
                </c:pt>
                <c:pt idx="13">
                  <c:v>108.68275143005597</c:v>
                </c:pt>
                <c:pt idx="14">
                  <c:v>107.91110389490258</c:v>
                </c:pt>
                <c:pt idx="15">
                  <c:v>103.2385530962533</c:v>
                </c:pt>
                <c:pt idx="16">
                  <c:v>102.91851358165492</c:v>
                </c:pt>
                <c:pt idx="17">
                  <c:v>101.82757733768938</c:v>
                </c:pt>
                <c:pt idx="18">
                  <c:v>101.09441878085802</c:v>
                </c:pt>
                <c:pt idx="19">
                  <c:v>100.3968672912701</c:v>
                </c:pt>
                <c:pt idx="20">
                  <c:v>99.19210488377486</c:v>
                </c:pt>
                <c:pt idx="21">
                  <c:v>102.83245513300939</c:v>
                </c:pt>
                <c:pt idx="22">
                  <c:v>99.27445218540727</c:v>
                </c:pt>
                <c:pt idx="23">
                  <c:v>99.21488751409602</c:v>
                </c:pt>
                <c:pt idx="24">
                  <c:v>98.748577542779771</c:v>
                </c:pt>
                <c:pt idx="25">
                  <c:v>96.664982556627123</c:v>
                </c:pt>
                <c:pt idx="26">
                  <c:v>97.399636424057491</c:v>
                </c:pt>
                <c:pt idx="27">
                  <c:v>95.19840464087379</c:v>
                </c:pt>
                <c:pt idx="28">
                  <c:v>97.863959970818257</c:v>
                </c:pt>
                <c:pt idx="29">
                  <c:v>97.276776210993347</c:v>
                </c:pt>
                <c:pt idx="30">
                  <c:v>96.099727218840329</c:v>
                </c:pt>
                <c:pt idx="31">
                  <c:v>97.714202636116838</c:v>
                </c:pt>
                <c:pt idx="32">
                  <c:v>99.238544197240273</c:v>
                </c:pt>
                <c:pt idx="33">
                  <c:v>99.843899316843434</c:v>
                </c:pt>
                <c:pt idx="34">
                  <c:v>98.276350097568994</c:v>
                </c:pt>
                <c:pt idx="35">
                  <c:v>95.563922834876095</c:v>
                </c:pt>
                <c:pt idx="36">
                  <c:v>98.115479574567289</c:v>
                </c:pt>
                <c:pt idx="37">
                  <c:v>98.184160410269484</c:v>
                </c:pt>
                <c:pt idx="38">
                  <c:v>97.565600199684795</c:v>
                </c:pt>
                <c:pt idx="39">
                  <c:v>105.22449981536005</c:v>
                </c:pt>
                <c:pt idx="40">
                  <c:v>110.83296565551873</c:v>
                </c:pt>
                <c:pt idx="41">
                  <c:v>110.17905115815117</c:v>
                </c:pt>
                <c:pt idx="42">
                  <c:v>109.06624274145385</c:v>
                </c:pt>
                <c:pt idx="43">
                  <c:v>109.49160108814552</c:v>
                </c:pt>
                <c:pt idx="44">
                  <c:v>109.65583848977774</c:v>
                </c:pt>
                <c:pt idx="45">
                  <c:v>108.7347294464636</c:v>
                </c:pt>
                <c:pt idx="46">
                  <c:v>108.04970065095088</c:v>
                </c:pt>
                <c:pt idx="47">
                  <c:v>110.2106946639699</c:v>
                </c:pt>
                <c:pt idx="48">
                  <c:v>108.49140782721197</c:v>
                </c:pt>
                <c:pt idx="49">
                  <c:v>107.64517484615972</c:v>
                </c:pt>
                <c:pt idx="50">
                  <c:v>101.97227413176711</c:v>
                </c:pt>
                <c:pt idx="51">
                  <c:v>100.59564843098826</c:v>
                </c:pt>
                <c:pt idx="52">
                  <c:v>97.044622041374382</c:v>
                </c:pt>
                <c:pt idx="53">
                  <c:v>91.8139169133443</c:v>
                </c:pt>
                <c:pt idx="54">
                  <c:v>98.433700322796426</c:v>
                </c:pt>
                <c:pt idx="55">
                  <c:v>100.00863952796117</c:v>
                </c:pt>
                <c:pt idx="56">
                  <c:v>96.358324185190583</c:v>
                </c:pt>
                <c:pt idx="57">
                  <c:v>92.581077877131108</c:v>
                </c:pt>
                <c:pt idx="58">
                  <c:v>86.498501060603601</c:v>
                </c:pt>
                <c:pt idx="59">
                  <c:v>96.272831680451802</c:v>
                </c:pt>
                <c:pt idx="60">
                  <c:v>94.251102215162305</c:v>
                </c:pt>
                <c:pt idx="61">
                  <c:v>92.846760792156388</c:v>
                </c:pt>
                <c:pt idx="62">
                  <c:v>86.579604438685834</c:v>
                </c:pt>
                <c:pt idx="63">
                  <c:v>88.051457714143481</c:v>
                </c:pt>
                <c:pt idx="64">
                  <c:v>83.60485909957923</c:v>
                </c:pt>
                <c:pt idx="65">
                  <c:v>76.19746858335651</c:v>
                </c:pt>
                <c:pt idx="66">
                  <c:v>83.085719743291946</c:v>
                </c:pt>
                <c:pt idx="67">
                  <c:v>81.880976807014221</c:v>
                </c:pt>
                <c:pt idx="68">
                  <c:v>79.981338145091485</c:v>
                </c:pt>
                <c:pt idx="69">
                  <c:v>81.117073146751778</c:v>
                </c:pt>
                <c:pt idx="70">
                  <c:v>78.45643314753832</c:v>
                </c:pt>
                <c:pt idx="71">
                  <c:v>82.630315390987349</c:v>
                </c:pt>
                <c:pt idx="72">
                  <c:v>111.93102522863147</c:v>
                </c:pt>
                <c:pt idx="73">
                  <c:v>148.90184286164845</c:v>
                </c:pt>
                <c:pt idx="74">
                  <c:v>138.74673717848401</c:v>
                </c:pt>
                <c:pt idx="75">
                  <c:v>124.81656476576421</c:v>
                </c:pt>
                <c:pt idx="76">
                  <c:v>108.24092496487071</c:v>
                </c:pt>
                <c:pt idx="77">
                  <c:v>99.40846548773726</c:v>
                </c:pt>
                <c:pt idx="78">
                  <c:v>105.51214526868432</c:v>
                </c:pt>
                <c:pt idx="79">
                  <c:v>102.63166370284924</c:v>
                </c:pt>
                <c:pt idx="80">
                  <c:v>110.20588048411952</c:v>
                </c:pt>
                <c:pt idx="81">
                  <c:v>129.41476545250157</c:v>
                </c:pt>
                <c:pt idx="82">
                  <c:v>154.04239531811263</c:v>
                </c:pt>
                <c:pt idx="83">
                  <c:v>151.1463982861321</c:v>
                </c:pt>
                <c:pt idx="84">
                  <c:v>156.0888855100886</c:v>
                </c:pt>
                <c:pt idx="85">
                  <c:v>160.70911652118724</c:v>
                </c:pt>
                <c:pt idx="86">
                  <c:v>141.79365350664349</c:v>
                </c:pt>
                <c:pt idx="87">
                  <c:v>129.79791041998146</c:v>
                </c:pt>
                <c:pt idx="88">
                  <c:v>132.82220173276704</c:v>
                </c:pt>
                <c:pt idx="89">
                  <c:v>130.7900220462557</c:v>
                </c:pt>
                <c:pt idx="90">
                  <c:v>151.11479147224384</c:v>
                </c:pt>
                <c:pt idx="91">
                  <c:v>154.31842505145542</c:v>
                </c:pt>
                <c:pt idx="92">
                  <c:v>150.1055320475507</c:v>
                </c:pt>
                <c:pt idx="93">
                  <c:v>144.47657459576754</c:v>
                </c:pt>
                <c:pt idx="94">
                  <c:v>135.93800903715768</c:v>
                </c:pt>
                <c:pt idx="95">
                  <c:v>131.96861917327269</c:v>
                </c:pt>
                <c:pt idx="96">
                  <c:v>117.90076436940181</c:v>
                </c:pt>
                <c:pt idx="97">
                  <c:v>118.49026819124882</c:v>
                </c:pt>
                <c:pt idx="98">
                  <c:v>117.02098886567734</c:v>
                </c:pt>
                <c:pt idx="99">
                  <c:v>111.04121633464122</c:v>
                </c:pt>
                <c:pt idx="100">
                  <c:v>108.55389308874526</c:v>
                </c:pt>
                <c:pt idx="101">
                  <c:v>105.11273467783204</c:v>
                </c:pt>
                <c:pt idx="102">
                  <c:v>103.12610399242101</c:v>
                </c:pt>
                <c:pt idx="103">
                  <c:v>95.659774063369724</c:v>
                </c:pt>
                <c:pt idx="104">
                  <c:v>90.819389495763218</c:v>
                </c:pt>
                <c:pt idx="105">
                  <c:v>94.697377427232297</c:v>
                </c:pt>
                <c:pt idx="106">
                  <c:v>97.083751338398542</c:v>
                </c:pt>
                <c:pt idx="107">
                  <c:v>99.151635241906448</c:v>
                </c:pt>
                <c:pt idx="108">
                  <c:v>105.95343741950123</c:v>
                </c:pt>
                <c:pt idx="109">
                  <c:v>111.99278335241279</c:v>
                </c:pt>
                <c:pt idx="110">
                  <c:v>107.45707562664008</c:v>
                </c:pt>
                <c:pt idx="111">
                  <c:v>104.95332576453936</c:v>
                </c:pt>
                <c:pt idx="112">
                  <c:v>117.45326686309599</c:v>
                </c:pt>
                <c:pt idx="113">
                  <c:v>118.71001681853112</c:v>
                </c:pt>
                <c:pt idx="114">
                  <c:v>131.18643958615874</c:v>
                </c:pt>
                <c:pt idx="115">
                  <c:v>137.79823614130115</c:v>
                </c:pt>
                <c:pt idx="116">
                  <c:v>135.51078542135556</c:v>
                </c:pt>
                <c:pt idx="117">
                  <c:v>132.69216108459136</c:v>
                </c:pt>
                <c:pt idx="118">
                  <c:v>136.1819649211161</c:v>
                </c:pt>
                <c:pt idx="119">
                  <c:v>134.54778134206271</c:v>
                </c:pt>
                <c:pt idx="120">
                  <c:v>137.99220454441951</c:v>
                </c:pt>
                <c:pt idx="121">
                  <c:v>143.49809350574185</c:v>
                </c:pt>
                <c:pt idx="122">
                  <c:v>144.76087672859236</c:v>
                </c:pt>
                <c:pt idx="123">
                  <c:v>148.40885082215289</c:v>
                </c:pt>
                <c:pt idx="124">
                  <c:v>147.04348939458907</c:v>
                </c:pt>
                <c:pt idx="125">
                  <c:v>152.8664115746148</c:v>
                </c:pt>
                <c:pt idx="126">
                  <c:v>156.85622491671225</c:v>
                </c:pt>
                <c:pt idx="127">
                  <c:v>164.77746427500622</c:v>
                </c:pt>
                <c:pt idx="128">
                  <c:v>175.30674424217912</c:v>
                </c:pt>
                <c:pt idx="129">
                  <c:v>168.97817077503646</c:v>
                </c:pt>
                <c:pt idx="130">
                  <c:v>163.08083261498768</c:v>
                </c:pt>
                <c:pt idx="131">
                  <c:v>157.84593788804656</c:v>
                </c:pt>
                <c:pt idx="132">
                  <c:v>159.14027457872854</c:v>
                </c:pt>
                <c:pt idx="133">
                  <c:v>155.55961840070714</c:v>
                </c:pt>
                <c:pt idx="134">
                  <c:v>148.45054383979482</c:v>
                </c:pt>
                <c:pt idx="135">
                  <c:v>146.04564502959013</c:v>
                </c:pt>
                <c:pt idx="136">
                  <c:v>146.33773631964931</c:v>
                </c:pt>
                <c:pt idx="137">
                  <c:v>145.76701914800267</c:v>
                </c:pt>
                <c:pt idx="138">
                  <c:v>143.43474684163462</c:v>
                </c:pt>
                <c:pt idx="139">
                  <c:v>140.53736495543359</c:v>
                </c:pt>
                <c:pt idx="140">
                  <c:v>135.59044970900231</c:v>
                </c:pt>
                <c:pt idx="141">
                  <c:v>135.83451251847853</c:v>
                </c:pt>
                <c:pt idx="142">
                  <c:v>135.45417588342679</c:v>
                </c:pt>
                <c:pt idx="143">
                  <c:v>135.86053841107704</c:v>
                </c:pt>
                <c:pt idx="144">
                  <c:v>138.82229814843853</c:v>
                </c:pt>
                <c:pt idx="145">
                  <c:v>132.26988567583223</c:v>
                </c:pt>
                <c:pt idx="146">
                  <c:v>130.12711352788375</c:v>
                </c:pt>
                <c:pt idx="147">
                  <c:v>136.64648191563074</c:v>
                </c:pt>
                <c:pt idx="148">
                  <c:v>134.96573018806848</c:v>
                </c:pt>
                <c:pt idx="149">
                  <c:v>135.6405588390088</c:v>
                </c:pt>
                <c:pt idx="150">
                  <c:v>130.32344893251965</c:v>
                </c:pt>
                <c:pt idx="151">
                  <c:v>134.16799067602901</c:v>
                </c:pt>
                <c:pt idx="152">
                  <c:v>123.04546424898621</c:v>
                </c:pt>
                <c:pt idx="153">
                  <c:v>122.67632785623925</c:v>
                </c:pt>
                <c:pt idx="154">
                  <c:v>123.25290659716357</c:v>
                </c:pt>
                <c:pt idx="155">
                  <c:v>116.58492435025703</c:v>
                </c:pt>
                <c:pt idx="156">
                  <c:v>116.54994887295196</c:v>
                </c:pt>
                <c:pt idx="157">
                  <c:v>113.72944011022652</c:v>
                </c:pt>
                <c:pt idx="158">
                  <c:v>139.00012170271884</c:v>
                </c:pt>
                <c:pt idx="159">
                  <c:v>132.20301575145589</c:v>
                </c:pt>
                <c:pt idx="160">
                  <c:v>123.66270093391185</c:v>
                </c:pt>
                <c:pt idx="161">
                  <c:v>118.64199527599503</c:v>
                </c:pt>
                <c:pt idx="162">
                  <c:v>117.72845191236986</c:v>
                </c:pt>
                <c:pt idx="163">
                  <c:v>117.35172086625028</c:v>
                </c:pt>
                <c:pt idx="164">
                  <c:v>115.86135401124889</c:v>
                </c:pt>
                <c:pt idx="165">
                  <c:v>115.71073425103427</c:v>
                </c:pt>
                <c:pt idx="166">
                  <c:v>111.4410081571711</c:v>
                </c:pt>
                <c:pt idx="167">
                  <c:v>116.60072683484812</c:v>
                </c:pt>
                <c:pt idx="168">
                  <c:v>115.73788145627024</c:v>
                </c:pt>
                <c:pt idx="169">
                  <c:v>116.38601359242536</c:v>
                </c:pt>
                <c:pt idx="170">
                  <c:v>115.07085163883096</c:v>
                </c:pt>
                <c:pt idx="171">
                  <c:v>120.41013915487271</c:v>
                </c:pt>
                <c:pt idx="172">
                  <c:v>120.55463132185857</c:v>
                </c:pt>
                <c:pt idx="173">
                  <c:v>119.48169510309403</c:v>
                </c:pt>
                <c:pt idx="174">
                  <c:v>124.05784402554252</c:v>
                </c:pt>
                <c:pt idx="175">
                  <c:v>125.16195883736984</c:v>
                </c:pt>
                <c:pt idx="176">
                  <c:v>128.96688238602587</c:v>
                </c:pt>
                <c:pt idx="177">
                  <c:v>133.36465307538936</c:v>
                </c:pt>
                <c:pt idx="178">
                  <c:v>134.16484099384169</c:v>
                </c:pt>
                <c:pt idx="179">
                  <c:v>134.95641355570535</c:v>
                </c:pt>
                <c:pt idx="180">
                  <c:v>144.740753538494</c:v>
                </c:pt>
                <c:pt idx="181">
                  <c:v>143.14860524957058</c:v>
                </c:pt>
                <c:pt idx="182">
                  <c:v>142.74778915487178</c:v>
                </c:pt>
                <c:pt idx="183">
                  <c:v>145.07457811809618</c:v>
                </c:pt>
                <c:pt idx="184">
                  <c:v>144.14610081814038</c:v>
                </c:pt>
                <c:pt idx="185">
                  <c:v>135.58382242954283</c:v>
                </c:pt>
                <c:pt idx="186">
                  <c:v>149.27778849492665</c:v>
                </c:pt>
                <c:pt idx="187">
                  <c:v>147.59094948493399</c:v>
                </c:pt>
                <c:pt idx="188">
                  <c:v>146.67588559812739</c:v>
                </c:pt>
                <c:pt idx="189">
                  <c:v>149.74141160712824</c:v>
                </c:pt>
                <c:pt idx="190">
                  <c:v>145.77326419953934</c:v>
                </c:pt>
                <c:pt idx="191">
                  <c:v>146.56043982621685</c:v>
                </c:pt>
                <c:pt idx="192">
                  <c:v>150.07789038204606</c:v>
                </c:pt>
                <c:pt idx="193">
                  <c:v>152.07392632412729</c:v>
                </c:pt>
                <c:pt idx="194">
                  <c:v>155.70849316327394</c:v>
                </c:pt>
                <c:pt idx="195">
                  <c:v>165.78283267093775</c:v>
                </c:pt>
                <c:pt idx="196">
                  <c:v>158.75364056568998</c:v>
                </c:pt>
                <c:pt idx="197">
                  <c:v>159.64266095285785</c:v>
                </c:pt>
                <c:pt idx="198">
                  <c:v>172.78125194927807</c:v>
                </c:pt>
                <c:pt idx="199">
                  <c:v>184.02931145117606</c:v>
                </c:pt>
                <c:pt idx="200">
                  <c:v>194.1141177187005</c:v>
                </c:pt>
                <c:pt idx="201">
                  <c:v>205.48920501701633</c:v>
                </c:pt>
                <c:pt idx="202">
                  <c:v>212.22925094157446</c:v>
                </c:pt>
                <c:pt idx="203">
                  <c:v>210.65875448460682</c:v>
                </c:pt>
                <c:pt idx="204">
                  <c:v>205.87680075780622</c:v>
                </c:pt>
                <c:pt idx="205">
                  <c:v>204.90917979424452</c:v>
                </c:pt>
                <c:pt idx="206">
                  <c:v>207.83938106530221</c:v>
                </c:pt>
                <c:pt idx="207">
                  <c:v>211.26873085287968</c:v>
                </c:pt>
                <c:pt idx="208">
                  <c:v>202.73347412642335</c:v>
                </c:pt>
                <c:pt idx="209">
                  <c:v>209.26149199329419</c:v>
                </c:pt>
                <c:pt idx="210">
                  <c:v>213.80246636954868</c:v>
                </c:pt>
                <c:pt idx="211">
                  <c:v>215.57702684041593</c:v>
                </c:pt>
                <c:pt idx="212">
                  <c:v>222.97131886104219</c:v>
                </c:pt>
                <c:pt idx="213">
                  <c:v>220.45174295791242</c:v>
                </c:pt>
                <c:pt idx="214">
                  <c:v>222.70035073608312</c:v>
                </c:pt>
                <c:pt idx="215">
                  <c:v>226.75349711947985</c:v>
                </c:pt>
                <c:pt idx="216">
                  <c:v>225.77845708186609</c:v>
                </c:pt>
                <c:pt idx="217">
                  <c:v>222.09826823143169</c:v>
                </c:pt>
                <c:pt idx="218">
                  <c:v>219.41087918583136</c:v>
                </c:pt>
                <c:pt idx="219">
                  <c:v>218.66488219659954</c:v>
                </c:pt>
                <c:pt idx="220">
                  <c:v>223.71604097534097</c:v>
                </c:pt>
                <c:pt idx="221">
                  <c:v>236.9376589969836</c:v>
                </c:pt>
                <c:pt idx="222">
                  <c:v>238.6199163758622</c:v>
                </c:pt>
                <c:pt idx="223">
                  <c:v>249.11919269640015</c:v>
                </c:pt>
                <c:pt idx="224">
                  <c:v>244.68487106640421</c:v>
                </c:pt>
                <c:pt idx="225">
                  <c:v>252.53925542763579</c:v>
                </c:pt>
                <c:pt idx="226">
                  <c:v>253.42314282163252</c:v>
                </c:pt>
                <c:pt idx="227">
                  <c:v>264.37102259152704</c:v>
                </c:pt>
                <c:pt idx="228">
                  <c:v>257.20656787929664</c:v>
                </c:pt>
                <c:pt idx="229">
                  <c:v>245.88947889260757</c:v>
                </c:pt>
                <c:pt idx="230">
                  <c:v>247.06974839129208</c:v>
                </c:pt>
                <c:pt idx="231">
                  <c:v>252.62881773009613</c:v>
                </c:pt>
                <c:pt idx="232">
                  <c:v>263.59290841958233</c:v>
                </c:pt>
                <c:pt idx="233">
                  <c:v>257.47755294424803</c:v>
                </c:pt>
                <c:pt idx="234">
                  <c:v>263.16780686431593</c:v>
                </c:pt>
                <c:pt idx="235">
                  <c:v>259.82557571713909</c:v>
                </c:pt>
                <c:pt idx="236">
                  <c:v>258.8902036445574</c:v>
                </c:pt>
                <c:pt idx="237">
                  <c:v>260.05520956095791</c:v>
                </c:pt>
                <c:pt idx="238">
                  <c:v>262.88981134517235</c:v>
                </c:pt>
                <c:pt idx="239">
                  <c:v>261.33876145823581</c:v>
                </c:pt>
                <c:pt idx="240">
                  <c:v>261.44329696281909</c:v>
                </c:pt>
                <c:pt idx="241">
                  <c:v>263.01195674459603</c:v>
                </c:pt>
                <c:pt idx="242">
                  <c:v>257.85692239240194</c:v>
                </c:pt>
                <c:pt idx="243">
                  <c:v>266.72720052270057</c:v>
                </c:pt>
                <c:pt idx="244">
                  <c:v>270.78145397064566</c:v>
                </c:pt>
                <c:pt idx="245">
                  <c:v>267.04466990585075</c:v>
                </c:pt>
                <c:pt idx="246">
                  <c:v>265.09524381553803</c:v>
                </c:pt>
                <c:pt idx="247">
                  <c:v>265.46637715687979</c:v>
                </c:pt>
                <c:pt idx="248">
                  <c:v>267.08572205753677</c:v>
                </c:pt>
                <c:pt idx="249">
                  <c:v>269.3559506950258</c:v>
                </c:pt>
                <c:pt idx="250">
                  <c:v>270.27176092738893</c:v>
                </c:pt>
                <c:pt idx="251">
                  <c:v>268.65013036182461</c:v>
                </c:pt>
                <c:pt idx="252">
                  <c:v>276.22606403802808</c:v>
                </c:pt>
                <c:pt idx="253">
                  <c:v>276.66802574048893</c:v>
                </c:pt>
                <c:pt idx="254">
                  <c:v>280.43071089055957</c:v>
                </c:pt>
                <c:pt idx="255">
                  <c:v>280.65505545927198</c:v>
                </c:pt>
                <c:pt idx="256">
                  <c:v>283.62999904714025</c:v>
                </c:pt>
                <c:pt idx="257">
                  <c:v>294.09594601197972</c:v>
                </c:pt>
                <c:pt idx="258">
                  <c:v>298.15447006694507</c:v>
                </c:pt>
                <c:pt idx="259">
                  <c:v>298.36317819599191</c:v>
                </c:pt>
                <c:pt idx="260">
                  <c:v>311.75968489699193</c:v>
                </c:pt>
                <c:pt idx="261">
                  <c:v>324.5418319777686</c:v>
                </c:pt>
                <c:pt idx="262">
                  <c:v>320.54996744444207</c:v>
                </c:pt>
                <c:pt idx="263">
                  <c:v>329.36509154916428</c:v>
                </c:pt>
                <c:pt idx="264">
                  <c:v>329.59564711324867</c:v>
                </c:pt>
                <c:pt idx="265">
                  <c:v>330.48555536045444</c:v>
                </c:pt>
                <c:pt idx="266">
                  <c:v>324.56986391950232</c:v>
                </c:pt>
                <c:pt idx="267">
                  <c:v>326.38745515745154</c:v>
                </c:pt>
                <c:pt idx="268">
                  <c:v>312.87501451393302</c:v>
                </c:pt>
                <c:pt idx="269">
                  <c:v>306.80523923236274</c:v>
                </c:pt>
                <c:pt idx="270">
                  <c:v>310.39486053138137</c:v>
                </c:pt>
                <c:pt idx="271">
                  <c:v>307.57026730054582</c:v>
                </c:pt>
                <c:pt idx="272">
                  <c:v>311.69170888237318</c:v>
                </c:pt>
                <c:pt idx="273">
                  <c:v>308.01374671756116</c:v>
                </c:pt>
                <c:pt idx="274">
                  <c:v>300.55981404699617</c:v>
                </c:pt>
                <c:pt idx="275">
                  <c:v>295.26996131976904</c:v>
                </c:pt>
                <c:pt idx="276">
                  <c:v>296.39198717278418</c:v>
                </c:pt>
                <c:pt idx="277">
                  <c:v>294.70255284589928</c:v>
                </c:pt>
                <c:pt idx="278">
                  <c:v>295.38036871744481</c:v>
                </c:pt>
                <c:pt idx="279">
                  <c:v>293.93300491072932</c:v>
                </c:pt>
                <c:pt idx="280">
                  <c:v>291.25821456604172</c:v>
                </c:pt>
                <c:pt idx="281">
                  <c:v>296.35523332094749</c:v>
                </c:pt>
                <c:pt idx="282">
                  <c:v>296.77013064759683</c:v>
                </c:pt>
                <c:pt idx="283">
                  <c:v>294.3662925893513</c:v>
                </c:pt>
                <c:pt idx="284">
                  <c:v>286.21234628462628</c:v>
                </c:pt>
                <c:pt idx="285">
                  <c:v>290.04759172484029</c:v>
                </c:pt>
                <c:pt idx="286">
                  <c:v>291.38181064677451</c:v>
                </c:pt>
                <c:pt idx="287">
                  <c:v>289.10903252372964</c:v>
                </c:pt>
                <c:pt idx="288">
                  <c:v>328.60132636647114</c:v>
                </c:pt>
                <c:pt idx="289">
                  <c:v>323.96804766470387</c:v>
                </c:pt>
                <c:pt idx="290">
                  <c:v>320.37200233562567</c:v>
                </c:pt>
                <c:pt idx="291">
                  <c:v>324.98535916925869</c:v>
                </c:pt>
                <c:pt idx="292">
                  <c:v>335.28739505492422</c:v>
                </c:pt>
                <c:pt idx="293">
                  <c:v>359.52867371739524</c:v>
                </c:pt>
                <c:pt idx="294">
                  <c:v>372.90314037968233</c:v>
                </c:pt>
                <c:pt idx="295">
                  <c:v>362.3499815069373</c:v>
                </c:pt>
                <c:pt idx="296">
                  <c:v>347.05881228734455</c:v>
                </c:pt>
                <c:pt idx="297">
                  <c:v>358.44234133036946</c:v>
                </c:pt>
                <c:pt idx="298">
                  <c:v>353.67505819067554</c:v>
                </c:pt>
                <c:pt idx="299">
                  <c:v>339.66952588632478</c:v>
                </c:pt>
                <c:pt idx="300">
                  <c:v>346.15721383075356</c:v>
                </c:pt>
                <c:pt idx="301">
                  <c:v>347.02260686533043</c:v>
                </c:pt>
                <c:pt idx="302">
                  <c:v>349.24355154926855</c:v>
                </c:pt>
                <c:pt idx="303">
                  <c:v>350.08173607298676</c:v>
                </c:pt>
                <c:pt idx="304">
                  <c:v>350.99194858677652</c:v>
                </c:pt>
                <c:pt idx="305">
                  <c:v>344.21780397905172</c:v>
                </c:pt>
                <c:pt idx="306">
                  <c:v>350.48256801147045</c:v>
                </c:pt>
                <c:pt idx="307">
                  <c:v>349.71150636184524</c:v>
                </c:pt>
                <c:pt idx="308">
                  <c:v>357.44013065244201</c:v>
                </c:pt>
                <c:pt idx="309">
                  <c:v>358.3337309790731</c:v>
                </c:pt>
                <c:pt idx="310">
                  <c:v>359.05039844103123</c:v>
                </c:pt>
                <c:pt idx="311">
                  <c:v>363.28719314263543</c:v>
                </c:pt>
                <c:pt idx="312">
                  <c:v>361.83404437006487</c:v>
                </c:pt>
                <c:pt idx="313">
                  <c:v>361.39984351682079</c:v>
                </c:pt>
                <c:pt idx="314">
                  <c:v>355.65358600490333</c:v>
                </c:pt>
                <c:pt idx="315">
                  <c:v>354.01757950928078</c:v>
                </c:pt>
                <c:pt idx="316">
                  <c:v>357.13293420896241</c:v>
                </c:pt>
                <c:pt idx="317">
                  <c:v>357.13293420896241</c:v>
                </c:pt>
                <c:pt idx="318">
                  <c:v>361.70423576683709</c:v>
                </c:pt>
                <c:pt idx="319">
                  <c:v>361.23402026034023</c:v>
                </c:pt>
                <c:pt idx="320">
                  <c:v>357.51330985165873</c:v>
                </c:pt>
                <c:pt idx="321">
                  <c:v>362.69725284450777</c:v>
                </c:pt>
                <c:pt idx="322">
                  <c:v>363.16875927320564</c:v>
                </c:pt>
                <c:pt idx="323">
                  <c:v>361.46186610462155</c:v>
                </c:pt>
                <c:pt idx="324">
                  <c:v>360.12445720003444</c:v>
                </c:pt>
                <c:pt idx="325">
                  <c:v>347.08795184939316</c:v>
                </c:pt>
                <c:pt idx="326">
                  <c:v>338.23720907723367</c:v>
                </c:pt>
                <c:pt idx="327">
                  <c:v>338.13573791451051</c:v>
                </c:pt>
                <c:pt idx="328">
                  <c:v>336.78319496285246</c:v>
                </c:pt>
                <c:pt idx="329">
                  <c:v>326.81441239195203</c:v>
                </c:pt>
                <c:pt idx="330">
                  <c:v>338.3509611493879</c:v>
                </c:pt>
                <c:pt idx="331">
                  <c:v>337.57275393874431</c:v>
                </c:pt>
                <c:pt idx="332">
                  <c:v>332.34037625269377</c:v>
                </c:pt>
                <c:pt idx="333">
                  <c:v>330.6786743714303</c:v>
                </c:pt>
                <c:pt idx="334">
                  <c:v>339.04484483302753</c:v>
                </c:pt>
                <c:pt idx="335">
                  <c:v>338.87532241061103</c:v>
                </c:pt>
                <c:pt idx="336">
                  <c:v>352.87087322616924</c:v>
                </c:pt>
                <c:pt idx="337">
                  <c:v>347.78953265171242</c:v>
                </c:pt>
                <c:pt idx="338">
                  <c:v>350.15450147374406</c:v>
                </c:pt>
                <c:pt idx="339">
                  <c:v>352.64059843420767</c:v>
                </c:pt>
                <c:pt idx="340">
                  <c:v>367.38097544875757</c:v>
                </c:pt>
                <c:pt idx="341">
                  <c:v>388.4686434395162</c:v>
                </c:pt>
                <c:pt idx="342">
                  <c:v>397.09264732387345</c:v>
                </c:pt>
                <c:pt idx="343">
                  <c:v>399.5149124725491</c:v>
                </c:pt>
                <c:pt idx="344">
                  <c:v>407.54516221324735</c:v>
                </c:pt>
                <c:pt idx="345">
                  <c:v>410.56099641362539</c:v>
                </c:pt>
                <c:pt idx="346">
                  <c:v>406.98911574482685</c:v>
                </c:pt>
                <c:pt idx="347">
                  <c:v>414.5591132976806</c:v>
                </c:pt>
                <c:pt idx="348">
                  <c:v>417.17083571145599</c:v>
                </c:pt>
                <c:pt idx="349">
                  <c:v>419.63214364215361</c:v>
                </c:pt>
                <c:pt idx="350">
                  <c:v>415.18404291954676</c:v>
                </c:pt>
                <c:pt idx="351">
                  <c:v>415.05948770667089</c:v>
                </c:pt>
                <c:pt idx="352">
                  <c:v>417.17629109397495</c:v>
                </c:pt>
                <c:pt idx="353">
                  <c:v>407.74810691525113</c:v>
                </c:pt>
                <c:pt idx="354">
                  <c:v>412.31488571270199</c:v>
                </c:pt>
                <c:pt idx="355">
                  <c:v>410.04715384128218</c:v>
                </c:pt>
                <c:pt idx="356">
                  <c:v>409.4320831105203</c:v>
                </c:pt>
                <c:pt idx="357">
                  <c:v>408.77699177754346</c:v>
                </c:pt>
                <c:pt idx="358">
                  <c:v>403.29938008772439</c:v>
                </c:pt>
                <c:pt idx="359">
                  <c:v>398.05648814658394</c:v>
                </c:pt>
                <c:pt idx="360">
                  <c:v>398.81279547406245</c:v>
                </c:pt>
                <c:pt idx="361">
                  <c:v>395.3830054329855</c:v>
                </c:pt>
                <c:pt idx="362">
                  <c:v>402.30220802806275</c:v>
                </c:pt>
                <c:pt idx="363">
                  <c:v>402.34243824886556</c:v>
                </c:pt>
                <c:pt idx="364">
                  <c:v>410.34905277001798</c:v>
                </c:pt>
                <c:pt idx="365">
                  <c:v>402.67552548321862</c:v>
                </c:pt>
                <c:pt idx="366">
                  <c:v>412.94375138304071</c:v>
                </c:pt>
                <c:pt idx="367">
                  <c:v>410.0531451233594</c:v>
                </c:pt>
                <c:pt idx="368">
                  <c:v>408.08489002676725</c:v>
                </c:pt>
                <c:pt idx="369">
                  <c:v>402.98382890143267</c:v>
                </c:pt>
                <c:pt idx="370">
                  <c:v>394.642063643173</c:v>
                </c:pt>
                <c:pt idx="371">
                  <c:v>394.36581419862279</c:v>
                </c:pt>
                <c:pt idx="372">
                  <c:v>395.90384087399741</c:v>
                </c:pt>
                <c:pt idx="373">
                  <c:v>394.12227359006442</c:v>
                </c:pt>
                <c:pt idx="374">
                  <c:v>397.59054959765695</c:v>
                </c:pt>
                <c:pt idx="375">
                  <c:v>390.3146425400198</c:v>
                </c:pt>
                <c:pt idx="376">
                  <c:v>378.99551790635923</c:v>
                </c:pt>
                <c:pt idx="377">
                  <c:v>372.47679499836983</c:v>
                </c:pt>
                <c:pt idx="378">
                  <c:v>388.19531574730104</c:v>
                </c:pt>
                <c:pt idx="379">
                  <c:v>389.28226263139345</c:v>
                </c:pt>
                <c:pt idx="380">
                  <c:v>385.70086581518461</c:v>
                </c:pt>
                <c:pt idx="381">
                  <c:v>391.37066854266783</c:v>
                </c:pt>
                <c:pt idx="382">
                  <c:v>390.00087120276851</c:v>
                </c:pt>
                <c:pt idx="383">
                  <c:v>391.98987564590266</c:v>
                </c:pt>
                <c:pt idx="384">
                  <c:v>404.14156179092561</c:v>
                </c:pt>
                <c:pt idx="385">
                  <c:v>405.39440063247753</c:v>
                </c:pt>
                <c:pt idx="386">
                  <c:v>417.47515377132538</c:v>
                </c:pt>
                <c:pt idx="387">
                  <c:v>412.54894695682373</c:v>
                </c:pt>
                <c:pt idx="388">
                  <c:v>407.26832043577639</c:v>
                </c:pt>
                <c:pt idx="389">
                  <c:v>406.94250577942773</c:v>
                </c:pt>
                <c:pt idx="390">
                  <c:v>419.27286370454436</c:v>
                </c:pt>
                <c:pt idx="391">
                  <c:v>423.42366505521937</c:v>
                </c:pt>
                <c:pt idx="392">
                  <c:v>421.81465512800952</c:v>
                </c:pt>
                <c:pt idx="393">
                  <c:v>416.2467016803198</c:v>
                </c:pt>
                <c:pt idx="394">
                  <c:v>423.6558929702295</c:v>
                </c:pt>
                <c:pt idx="395">
                  <c:v>429.5023442932187</c:v>
                </c:pt>
                <c:pt idx="396">
                  <c:v>430.70495085723968</c:v>
                </c:pt>
                <c:pt idx="397">
                  <c:v>432.42777066066861</c:v>
                </c:pt>
                <c:pt idx="398">
                  <c:v>434.58990951397192</c:v>
                </c:pt>
                <c:pt idx="399">
                  <c:v>425.72427535988692</c:v>
                </c:pt>
                <c:pt idx="400">
                  <c:v>411.80309155561861</c:v>
                </c:pt>
                <c:pt idx="401">
                  <c:v>411.4736490823741</c:v>
                </c:pt>
                <c:pt idx="402">
                  <c:v>422.54229024268994</c:v>
                </c:pt>
                <c:pt idx="403">
                  <c:v>413.96468175076336</c:v>
                </c:pt>
                <c:pt idx="404">
                  <c:v>402.20808478904166</c:v>
                </c:pt>
                <c:pt idx="405">
                  <c:v>392.67575317954135</c:v>
                </c:pt>
                <c:pt idx="406">
                  <c:v>378.0682151612624</c:v>
                </c:pt>
                <c:pt idx="407">
                  <c:v>377.08523780184311</c:v>
                </c:pt>
                <c:pt idx="408">
                  <c:v>385.07944484324224</c:v>
                </c:pt>
                <c:pt idx="409">
                  <c:v>384.42480978700871</c:v>
                </c:pt>
                <c:pt idx="410">
                  <c:v>390.65249170555825</c:v>
                </c:pt>
                <c:pt idx="411">
                  <c:v>400.84852173907331</c:v>
                </c:pt>
                <c:pt idx="412">
                  <c:v>391.22815721733554</c:v>
                </c:pt>
                <c:pt idx="413">
                  <c:v>388.45043730109245</c:v>
                </c:pt>
                <c:pt idx="414">
                  <c:v>402.70656835004252</c:v>
                </c:pt>
                <c:pt idx="415">
                  <c:v>399.9681636852622</c:v>
                </c:pt>
                <c:pt idx="416">
                  <c:v>397.24838017220242</c:v>
                </c:pt>
                <c:pt idx="417">
                  <c:v>405.35224712771532</c:v>
                </c:pt>
                <c:pt idx="418">
                  <c:v>407.41954358806669</c:v>
                </c:pt>
                <c:pt idx="419">
                  <c:v>406.64544645524933</c:v>
                </c:pt>
                <c:pt idx="420">
                  <c:v>406.1168073748575</c:v>
                </c:pt>
                <c:pt idx="421">
                  <c:v>405.34518544084528</c:v>
                </c:pt>
                <c:pt idx="422">
                  <c:v>403.3995285507292</c:v>
                </c:pt>
                <c:pt idx="423">
                  <c:v>405.86026567488864</c:v>
                </c:pt>
                <c:pt idx="424">
                  <c:v>402.20752328381462</c:v>
                </c:pt>
                <c:pt idx="425">
                  <c:v>411.09630954838696</c:v>
                </c:pt>
                <c:pt idx="426">
                  <c:v>431.61001539485147</c:v>
                </c:pt>
                <c:pt idx="427">
                  <c:v>435.45134453186563</c:v>
                </c:pt>
                <c:pt idx="428">
                  <c:v>431.0532859520938</c:v>
                </c:pt>
                <c:pt idx="429">
                  <c:v>433.12234172466384</c:v>
                </c:pt>
                <c:pt idx="430">
                  <c:v>443.12746781850353</c:v>
                </c:pt>
                <c:pt idx="431">
                  <c:v>455.53503691742162</c:v>
                </c:pt>
                <c:pt idx="432">
                  <c:v>439.13577558839444</c:v>
                </c:pt>
                <c:pt idx="433">
                  <c:v>433.73440554865721</c:v>
                </c:pt>
                <c:pt idx="434">
                  <c:v>439.41632626134469</c:v>
                </c:pt>
                <c:pt idx="435">
                  <c:v>445.39238829849899</c:v>
                </c:pt>
                <c:pt idx="436">
                  <c:v>450.02446913680336</c:v>
                </c:pt>
                <c:pt idx="437">
                  <c:v>451.50954988495482</c:v>
                </c:pt>
                <c:pt idx="438">
                  <c:v>461.39760902743535</c:v>
                </c:pt>
                <c:pt idx="439">
                  <c:v>471.77905523055261</c:v>
                </c:pt>
                <c:pt idx="440">
                  <c:v>480.8843909965023</c:v>
                </c:pt>
                <c:pt idx="441">
                  <c:v>485.83750022376626</c:v>
                </c:pt>
                <c:pt idx="442">
                  <c:v>498.27494022949469</c:v>
                </c:pt>
                <c:pt idx="443">
                  <c:v>501.91234729317006</c:v>
                </c:pt>
                <c:pt idx="444">
                  <c:v>497.84685728009538</c:v>
                </c:pt>
                <c:pt idx="445">
                  <c:v>505.96176105376094</c:v>
                </c:pt>
                <c:pt idx="446">
                  <c:v>506.92308839976312</c:v>
                </c:pt>
                <c:pt idx="447">
                  <c:v>506.3654730025234</c:v>
                </c:pt>
                <c:pt idx="448">
                  <c:v>514.77113985436529</c:v>
                </c:pt>
                <c:pt idx="449">
                  <c:v>514.20489160052546</c:v>
                </c:pt>
                <c:pt idx="450">
                  <c:v>522.63785182277411</c:v>
                </c:pt>
                <c:pt idx="451">
                  <c:v>537.42850302935858</c:v>
                </c:pt>
                <c:pt idx="452">
                  <c:v>555.48610073114503</c:v>
                </c:pt>
                <c:pt idx="453">
                  <c:v>553.15305910807422</c:v>
                </c:pt>
                <c:pt idx="454">
                  <c:v>563.55233661930595</c:v>
                </c:pt>
                <c:pt idx="455">
                  <c:v>567.60991344296497</c:v>
                </c:pt>
                <c:pt idx="456">
                  <c:v>571.58318283706569</c:v>
                </c:pt>
                <c:pt idx="457">
                  <c:v>572.26908265647023</c:v>
                </c:pt>
                <c:pt idx="458">
                  <c:v>581.71152252030197</c:v>
                </c:pt>
                <c:pt idx="459">
                  <c:v>588.34303387703346</c:v>
                </c:pt>
                <c:pt idx="460">
                  <c:v>576.81151041304361</c:v>
                </c:pt>
                <c:pt idx="461">
                  <c:v>561.92977344438702</c:v>
                </c:pt>
                <c:pt idx="462">
                  <c:v>563.10982596862027</c:v>
                </c:pt>
                <c:pt idx="463">
                  <c:v>564.17973463796068</c:v>
                </c:pt>
                <c:pt idx="464">
                  <c:v>570.21645779858682</c:v>
                </c:pt>
                <c:pt idx="465">
                  <c:v>574.2079730031769</c:v>
                </c:pt>
                <c:pt idx="466">
                  <c:v>564.90580384052544</c:v>
                </c:pt>
                <c:pt idx="467">
                  <c:v>568.18225750280055</c:v>
                </c:pt>
                <c:pt idx="468">
                  <c:v>580.79590361936278</c:v>
                </c:pt>
                <c:pt idx="469">
                  <c:v>574.58138745063559</c:v>
                </c:pt>
                <c:pt idx="470">
                  <c:v>573.94934792443985</c:v>
                </c:pt>
                <c:pt idx="471">
                  <c:v>583.13253749123089</c:v>
                </c:pt>
                <c:pt idx="472">
                  <c:v>584.47374232746074</c:v>
                </c:pt>
                <c:pt idx="473">
                  <c:v>596.63079616787184</c:v>
                </c:pt>
                <c:pt idx="474">
                  <c:v>617.93051559106493</c:v>
                </c:pt>
                <c:pt idx="475">
                  <c:v>620.15506544719278</c:v>
                </c:pt>
                <c:pt idx="476">
                  <c:v>607.44188660552538</c:v>
                </c:pt>
                <c:pt idx="477">
                  <c:v>604.70839811580061</c:v>
                </c:pt>
                <c:pt idx="478">
                  <c:v>594.7307095468899</c:v>
                </c:pt>
                <c:pt idx="479">
                  <c:v>597.64489002366963</c:v>
                </c:pt>
                <c:pt idx="480">
                  <c:v>603.02369403388263</c:v>
                </c:pt>
                <c:pt idx="481">
                  <c:v>606.64183619808591</c:v>
                </c:pt>
                <c:pt idx="482">
                  <c:v>609.49305282821683</c:v>
                </c:pt>
                <c:pt idx="483">
                  <c:v>626.863604833821</c:v>
                </c:pt>
                <c:pt idx="484">
                  <c:v>597.71444720904833</c:v>
                </c:pt>
                <c:pt idx="485">
                  <c:v>589.28667350340072</c:v>
                </c:pt>
                <c:pt idx="486">
                  <c:v>601.13133564081909</c:v>
                </c:pt>
                <c:pt idx="487">
                  <c:v>587.48565432177247</c:v>
                </c:pt>
                <c:pt idx="488">
                  <c:v>589.18936271930556</c:v>
                </c:pt>
                <c:pt idx="489">
                  <c:v>574.10611503369137</c:v>
                </c:pt>
                <c:pt idx="490">
                  <c:v>579.38789129200143</c:v>
                </c:pt>
                <c:pt idx="491">
                  <c:v>584.89207625927543</c:v>
                </c:pt>
                <c:pt idx="492">
                  <c:v>600.39171628014617</c:v>
                </c:pt>
                <c:pt idx="493">
                  <c:v>609.15743533783632</c:v>
                </c:pt>
                <c:pt idx="494">
                  <c:v>594.11124668499178</c:v>
                </c:pt>
                <c:pt idx="495">
                  <c:v>573.97087542237057</c:v>
                </c:pt>
                <c:pt idx="496">
                  <c:v>564.15597345264803</c:v>
                </c:pt>
                <c:pt idx="497">
                  <c:v>561.95576515618268</c:v>
                </c:pt>
                <c:pt idx="498">
                  <c:v>588.64866400110145</c:v>
                </c:pt>
                <c:pt idx="499">
                  <c:v>595.53585336991432</c:v>
                </c:pt>
                <c:pt idx="500">
                  <c:v>592.02219183503178</c:v>
                </c:pt>
                <c:pt idx="501">
                  <c:v>585.92436325913093</c:v>
                </c:pt>
                <c:pt idx="502">
                  <c:v>590.84612791050756</c:v>
                </c:pt>
                <c:pt idx="503">
                  <c:v>594.80479696750797</c:v>
                </c:pt>
                <c:pt idx="504">
                  <c:v>627.45958032102408</c:v>
                </c:pt>
                <c:pt idx="505">
                  <c:v>633.7341761242343</c:v>
                </c:pt>
                <c:pt idx="506">
                  <c:v>635.19176472931997</c:v>
                </c:pt>
                <c:pt idx="507">
                  <c:v>653.61232590647023</c:v>
                </c:pt>
                <c:pt idx="508">
                  <c:v>647.66445374072134</c:v>
                </c:pt>
                <c:pt idx="509">
                  <c:v>647.79398663146947</c:v>
                </c:pt>
                <c:pt idx="510">
                  <c:v>658.74170500554123</c:v>
                </c:pt>
                <c:pt idx="511">
                  <c:v>664.80212869159232</c:v>
                </c:pt>
                <c:pt idx="512">
                  <c:v>661.81051911248016</c:v>
                </c:pt>
                <c:pt idx="513">
                  <c:v>662.07524332012508</c:v>
                </c:pt>
                <c:pt idx="514">
                  <c:v>666.90839259636209</c:v>
                </c:pt>
                <c:pt idx="515">
                  <c:v>659.63909111706175</c:v>
                </c:pt>
                <c:pt idx="516">
                  <c:v>669.13789402914745</c:v>
                </c:pt>
                <c:pt idx="517">
                  <c:v>643.17534374081652</c:v>
                </c:pt>
                <c:pt idx="518">
                  <c:v>622.65805027548447</c:v>
                </c:pt>
                <c:pt idx="519">
                  <c:v>602.60846105661392</c:v>
                </c:pt>
                <c:pt idx="520">
                  <c:v>595.97976798499121</c:v>
                </c:pt>
                <c:pt idx="521">
                  <c:v>577.86198303824744</c:v>
                </c:pt>
                <c:pt idx="522">
                  <c:v>595.60234591752157</c:v>
                </c:pt>
                <c:pt idx="523">
                  <c:v>619.6646806925894</c:v>
                </c:pt>
                <c:pt idx="524">
                  <c:v>645.93846315395524</c:v>
                </c:pt>
                <c:pt idx="525">
                  <c:v>687.40771248843919</c:v>
                </c:pt>
                <c:pt idx="526">
                  <c:v>712.56683476551609</c:v>
                </c:pt>
                <c:pt idx="527">
                  <c:v>718.62365286102295</c:v>
                </c:pt>
                <c:pt idx="528">
                  <c:v>725.80988938963321</c:v>
                </c:pt>
                <c:pt idx="529">
                  <c:v>733.57605520610218</c:v>
                </c:pt>
                <c:pt idx="530">
                  <c:v>692.86258414216354</c:v>
                </c:pt>
                <c:pt idx="531">
                  <c:v>694.59474060251887</c:v>
                </c:pt>
                <c:pt idx="532">
                  <c:v>706.33339171870136</c:v>
                </c:pt>
                <c:pt idx="533">
                  <c:v>713.04355894002902</c:v>
                </c:pt>
                <c:pt idx="534">
                  <c:v>722.74095134161348</c:v>
                </c:pt>
                <c:pt idx="535">
                  <c:v>712.98394849850172</c:v>
                </c:pt>
                <c:pt idx="536">
                  <c:v>684.32199376886194</c:v>
                </c:pt>
                <c:pt idx="537">
                  <c:v>689.52284092150535</c:v>
                </c:pt>
                <c:pt idx="538">
                  <c:v>680.00742571678859</c:v>
                </c:pt>
                <c:pt idx="539">
                  <c:v>666.47527794502446</c:v>
                </c:pt>
                <c:pt idx="540">
                  <c:v>667.60828591753102</c:v>
                </c:pt>
                <c:pt idx="541">
                  <c:v>685.5669488087126</c:v>
                </c:pt>
                <c:pt idx="542">
                  <c:v>665.34272381885557</c:v>
                </c:pt>
                <c:pt idx="543">
                  <c:v>662.41521583405267</c:v>
                </c:pt>
                <c:pt idx="544">
                  <c:v>651.15415716487382</c:v>
                </c:pt>
                <c:pt idx="545">
                  <c:v>648.87511761479675</c:v>
                </c:pt>
                <c:pt idx="546">
                  <c:v>661.9823949906156</c:v>
                </c:pt>
                <c:pt idx="547">
                  <c:v>643.84407736787273</c:v>
                </c:pt>
                <c:pt idx="548">
                  <c:v>632.8343436448821</c:v>
                </c:pt>
                <c:pt idx="549">
                  <c:v>634.28986263526531</c:v>
                </c:pt>
                <c:pt idx="550">
                  <c:v>617.29089431664022</c:v>
                </c:pt>
                <c:pt idx="551">
                  <c:v>601.92035104815591</c:v>
                </c:pt>
                <c:pt idx="552">
                  <c:v>606.61532978633159</c:v>
                </c:pt>
                <c:pt idx="553">
                  <c:v>635.06558875331052</c:v>
                </c:pt>
                <c:pt idx="554">
                  <c:v>638.05039702045099</c:v>
                </c:pt>
                <c:pt idx="555">
                  <c:v>646.79168745963125</c:v>
                </c:pt>
                <c:pt idx="556">
                  <c:v>677.5789717827098</c:v>
                </c:pt>
                <c:pt idx="557">
                  <c:v>662.19792912324226</c:v>
                </c:pt>
                <c:pt idx="558">
                  <c:v>679.94483362374513</c:v>
                </c:pt>
                <c:pt idx="559">
                  <c:v>691.50389579534874</c:v>
                </c:pt>
                <c:pt idx="560">
                  <c:v>710.72770409845941</c:v>
                </c:pt>
                <c:pt idx="561">
                  <c:v>751.16811046166174</c:v>
                </c:pt>
                <c:pt idx="562">
                  <c:v>752.74556349363127</c:v>
                </c:pt>
                <c:pt idx="563">
                  <c:v>763.58509960793958</c:v>
                </c:pt>
                <c:pt idx="564">
                  <c:v>723.80231591836593</c:v>
                </c:pt>
                <c:pt idx="565">
                  <c:v>732.56032394097815</c:v>
                </c:pt>
                <c:pt idx="566">
                  <c:v>748.23711487331514</c:v>
                </c:pt>
                <c:pt idx="567">
                  <c:v>761.10679324913622</c:v>
                </c:pt>
                <c:pt idx="568">
                  <c:v>791.47495429977675</c:v>
                </c:pt>
                <c:pt idx="569">
                  <c:v>824.79604987579739</c:v>
                </c:pt>
                <c:pt idx="570">
                  <c:v>873.2115780035067</c:v>
                </c:pt>
                <c:pt idx="571">
                  <c:v>895.39115208479586</c:v>
                </c:pt>
                <c:pt idx="572">
                  <c:v>894.40622181750257</c:v>
                </c:pt>
                <c:pt idx="573">
                  <c:v>903.35028403567765</c:v>
                </c:pt>
                <c:pt idx="574">
                  <c:v>884.74126818454272</c:v>
                </c:pt>
                <c:pt idx="575">
                  <c:v>891.55377594956371</c:v>
                </c:pt>
                <c:pt idx="576">
                  <c:v>938.09288305413099</c:v>
                </c:pt>
                <c:pt idx="577">
                  <c:v>962.10806086031675</c:v>
                </c:pt>
                <c:pt idx="578">
                  <c:v>1015.4088474319782</c:v>
                </c:pt>
                <c:pt idx="579">
                  <c:v>916.7111074615899</c:v>
                </c:pt>
                <c:pt idx="580">
                  <c:v>915.79439635412837</c:v>
                </c:pt>
                <c:pt idx="581">
                  <c:v>916.43545243157621</c:v>
                </c:pt>
                <c:pt idx="582">
                  <c:v>991.76644662145179</c:v>
                </c:pt>
                <c:pt idx="583">
                  <c:v>947.13695652348645</c:v>
                </c:pt>
                <c:pt idx="584">
                  <c:v>969.96295717570251</c:v>
                </c:pt>
                <c:pt idx="585">
                  <c:v>959.19636835105223</c:v>
                </c:pt>
                <c:pt idx="586">
                  <c:v>920.06115652232938</c:v>
                </c:pt>
                <c:pt idx="587">
                  <c:v>931.83793932581511</c:v>
                </c:pt>
                <c:pt idx="588">
                  <c:v>947.67918429435383</c:v>
                </c:pt>
                <c:pt idx="589">
                  <c:v>939.15007163570465</c:v>
                </c:pt>
                <c:pt idx="590">
                  <c:v>942.34318187926613</c:v>
                </c:pt>
                <c:pt idx="591">
                  <c:v>945.17021142490387</c:v>
                </c:pt>
                <c:pt idx="592">
                  <c:v>963.97909863225948</c:v>
                </c:pt>
                <c:pt idx="593">
                  <c:v>980.94513076818725</c:v>
                </c:pt>
                <c:pt idx="594">
                  <c:v>1065.1102229880978</c:v>
                </c:pt>
                <c:pt idx="595">
                  <c:v>1126.6735938768099</c:v>
                </c:pt>
                <c:pt idx="596">
                  <c:v>1126.2229244392593</c:v>
                </c:pt>
                <c:pt idx="597">
                  <c:v>1125.5471906845958</c:v>
                </c:pt>
                <c:pt idx="598">
                  <c:v>1110.6899677675592</c:v>
                </c:pt>
                <c:pt idx="599">
                  <c:v>1118.2426595483785</c:v>
                </c:pt>
                <c:pt idx="600">
                  <c:v>1137.7000818245203</c:v>
                </c:pt>
                <c:pt idx="601">
                  <c:v>1146.4603724545691</c:v>
                </c:pt>
                <c:pt idx="602">
                  <c:v>1143.2502834116963</c:v>
                </c:pt>
                <c:pt idx="603">
                  <c:v>1141.764058043261</c:v>
                </c:pt>
                <c:pt idx="604">
                  <c:v>1158.8905189139098</c:v>
                </c:pt>
                <c:pt idx="605">
                  <c:v>1184.7337774856899</c:v>
                </c:pt>
                <c:pt idx="606">
                  <c:v>1235.4403831620773</c:v>
                </c:pt>
                <c:pt idx="607">
                  <c:v>1241.4940410395714</c:v>
                </c:pt>
                <c:pt idx="608">
                  <c:v>1254.4055790663829</c:v>
                </c:pt>
                <c:pt idx="609">
                  <c:v>1297.682571544173</c:v>
                </c:pt>
                <c:pt idx="610">
                  <c:v>1308.4533368879895</c:v>
                </c:pt>
                <c:pt idx="611">
                  <c:v>1299.9483901982176</c:v>
                </c:pt>
                <c:pt idx="612">
                  <c:v>1292.0187050180084</c:v>
                </c:pt>
                <c:pt idx="613">
                  <c:v>1255.7129794070024</c:v>
                </c:pt>
                <c:pt idx="614">
                  <c:v>1249.5599858079081</c:v>
                </c:pt>
                <c:pt idx="615">
                  <c:v>1270.9274615652232</c:v>
                </c:pt>
                <c:pt idx="616">
                  <c:v>1275.5028004268581</c:v>
                </c:pt>
                <c:pt idx="617">
                  <c:v>1271.0385406253642</c:v>
                </c:pt>
                <c:pt idx="618">
                  <c:v>1312.7286047578762</c:v>
                </c:pt>
                <c:pt idx="619">
                  <c:v>1323.2304335959391</c:v>
                </c:pt>
                <c:pt idx="620">
                  <c:v>1340.0354601026074</c:v>
                </c:pt>
                <c:pt idx="621">
                  <c:v>1293.4022260910367</c:v>
                </c:pt>
                <c:pt idx="622">
                  <c:v>1285.2537920666632</c:v>
                </c:pt>
                <c:pt idx="623">
                  <c:v>1292.70826406065</c:v>
                </c:pt>
                <c:pt idx="624">
                  <c:v>1278.2299315031707</c:v>
                </c:pt>
                <c:pt idx="625">
                  <c:v>1272.2222508251059</c:v>
                </c:pt>
                <c:pt idx="626">
                  <c:v>1296.0128069155353</c:v>
                </c:pt>
                <c:pt idx="627">
                  <c:v>1313.6385810895868</c:v>
                </c:pt>
                <c:pt idx="628">
                  <c:v>1284.475804589398</c:v>
                </c:pt>
                <c:pt idx="629">
                  <c:v>1256.2173368884312</c:v>
                </c:pt>
                <c:pt idx="630">
                  <c:v>1284.4822269684209</c:v>
                </c:pt>
                <c:pt idx="631">
                  <c:v>1299.6391172466483</c:v>
                </c:pt>
                <c:pt idx="632">
                  <c:v>1290.9315351610958</c:v>
                </c:pt>
                <c:pt idx="633">
                  <c:v>1304.7445025873194</c:v>
                </c:pt>
                <c:pt idx="634">
                  <c:v>1329.795597036996</c:v>
                </c:pt>
                <c:pt idx="635">
                  <c:v>1349.3435923134398</c:v>
                </c:pt>
                <c:pt idx="636">
                  <c:v>1372.0125646643055</c:v>
                </c:pt>
                <c:pt idx="637">
                  <c:v>1351.2951749378744</c:v>
                </c:pt>
                <c:pt idx="638">
                  <c:v>1339.4037773984212</c:v>
                </c:pt>
                <c:pt idx="639">
                  <c:v>1314.0890460055909</c:v>
                </c:pt>
                <c:pt idx="640">
                  <c:v>1271.2497431058086</c:v>
                </c:pt>
                <c:pt idx="641">
                  <c:v>1245.5704982950713</c:v>
                </c:pt>
                <c:pt idx="642">
                  <c:v>1267.9907672643826</c:v>
                </c:pt>
                <c:pt idx="643">
                  <c:v>1275.9791090981482</c:v>
                </c:pt>
                <c:pt idx="644">
                  <c:v>1262.3261326307979</c:v>
                </c:pt>
                <c:pt idx="645">
                  <c:v>1275.5805570234213</c:v>
                </c:pt>
                <c:pt idx="646">
                  <c:v>1281.3206695300266</c:v>
                </c:pt>
                <c:pt idx="647">
                  <c:v>1270.3013117720684</c:v>
                </c:pt>
                <c:pt idx="648">
                  <c:v>1190.1452989992511</c:v>
                </c:pt>
                <c:pt idx="649">
                  <c:v>1158.6064485757709</c:v>
                </c:pt>
                <c:pt idx="650">
                  <c:v>1103.1091996889913</c:v>
                </c:pt>
                <c:pt idx="651">
                  <c:v>1072.7736966975442</c:v>
                </c:pt>
                <c:pt idx="652">
                  <c:v>982.9825382839598</c:v>
                </c:pt>
                <c:pt idx="653">
                  <c:v>1009.4247685637982</c:v>
                </c:pt>
                <c:pt idx="654">
                  <c:v>1078.5703652104185</c:v>
                </c:pt>
                <c:pt idx="655">
                  <c:v>1089.0324977529597</c:v>
                </c:pt>
                <c:pt idx="656">
                  <c:v>1096.1112089883538</c:v>
                </c:pt>
                <c:pt idx="657">
                  <c:v>1120.8833223114905</c:v>
                </c:pt>
                <c:pt idx="658">
                  <c:v>1115.95143569332</c:v>
                </c:pt>
                <c:pt idx="659">
                  <c:v>1173.1997443443872</c:v>
                </c:pt>
                <c:pt idx="660">
                  <c:v>1165.8085859550176</c:v>
                </c:pt>
                <c:pt idx="661">
                  <c:v>1222.117140656645</c:v>
                </c:pt>
                <c:pt idx="662">
                  <c:v>1285.4228085426594</c:v>
                </c:pt>
                <c:pt idx="663">
                  <c:v>1231.3065083030133</c:v>
                </c:pt>
                <c:pt idx="664">
                  <c:v>1254.5782013099401</c:v>
                </c:pt>
                <c:pt idx="665">
                  <c:v>1263.9875378197648</c:v>
                </c:pt>
                <c:pt idx="666">
                  <c:v>1303.6767465073056</c:v>
                </c:pt>
                <c:pt idx="667">
                  <c:v>1382.809925020299</c:v>
                </c:pt>
                <c:pt idx="668">
                  <c:v>1435.0801401860665</c:v>
                </c:pt>
                <c:pt idx="669">
                  <c:v>1394.7543882468381</c:v>
                </c:pt>
                <c:pt idx="670">
                  <c:v>1420.1389181129305</c:v>
                </c:pt>
                <c:pt idx="671">
                  <c:v>1441.5830157764356</c:v>
                </c:pt>
                <c:pt idx="672">
                  <c:v>1443.7453903001003</c:v>
                </c:pt>
                <c:pt idx="673">
                  <c:v>1460.3484622885517</c:v>
                </c:pt>
                <c:pt idx="674">
                  <c:v>1465.1676122141041</c:v>
                </c:pt>
                <c:pt idx="675">
                  <c:v>1410.8098938009607</c:v>
                </c:pt>
                <c:pt idx="676">
                  <c:v>1382.7347769143216</c:v>
                </c:pt>
                <c:pt idx="677">
                  <c:v>1383.9792382135445</c:v>
                </c:pt>
                <c:pt idx="678">
                  <c:v>1372.077016764908</c:v>
                </c:pt>
                <c:pt idx="679">
                  <c:v>1380.9955173738797</c:v>
                </c:pt>
                <c:pt idx="680">
                  <c:v>1409.8583236869936</c:v>
                </c:pt>
                <c:pt idx="681">
                  <c:v>1417.6125444672721</c:v>
                </c:pt>
                <c:pt idx="682">
                  <c:v>1397.4824463358368</c:v>
                </c:pt>
                <c:pt idx="683">
                  <c:v>1343.679372151907</c:v>
                </c:pt>
                <c:pt idx="684">
                  <c:v>1419.0597849296291</c:v>
                </c:pt>
                <c:pt idx="685">
                  <c:v>1497.5337910362375</c:v>
                </c:pt>
                <c:pt idx="686">
                  <c:v>1514.0066627376359</c:v>
                </c:pt>
                <c:pt idx="687">
                  <c:v>1590.6153998721602</c:v>
                </c:pt>
                <c:pt idx="688">
                  <c:v>1580.91264593294</c:v>
                </c:pt>
                <c:pt idx="689">
                  <c:v>1607.4719783846133</c:v>
                </c:pt>
                <c:pt idx="690">
                  <c:v>1729.961343137521</c:v>
                </c:pt>
                <c:pt idx="691">
                  <c:v>1787.7420519983143</c:v>
                </c:pt>
                <c:pt idx="692">
                  <c:v>1796.5019880531058</c:v>
                </c:pt>
                <c:pt idx="693">
                  <c:v>1819.6768636989907</c:v>
                </c:pt>
                <c:pt idx="694">
                  <c:v>1823.8621204854983</c:v>
                </c:pt>
                <c:pt idx="695">
                  <c:v>1776.4417053528753</c:v>
                </c:pt>
                <c:pt idx="696">
                  <c:v>1784.2580488564279</c:v>
                </c:pt>
                <c:pt idx="697">
                  <c:v>1751.7845523672408</c:v>
                </c:pt>
                <c:pt idx="698">
                  <c:v>1844.8043120979412</c:v>
                </c:pt>
                <c:pt idx="699">
                  <c:v>1853.6593727960112</c:v>
                </c:pt>
                <c:pt idx="700">
                  <c:v>1929.2886752060883</c:v>
                </c:pt>
                <c:pt idx="701">
                  <c:v>1925.8159555907173</c:v>
                </c:pt>
                <c:pt idx="702">
                  <c:v>1821.6293123932594</c:v>
                </c:pt>
                <c:pt idx="703">
                  <c:v>1819.2611942871483</c:v>
                </c:pt>
                <c:pt idx="704">
                  <c:v>1893.4870510140638</c:v>
                </c:pt>
                <c:pt idx="705">
                  <c:v>1963.9247693117868</c:v>
                </c:pt>
                <c:pt idx="706">
                  <c:v>1946.6422313418429</c:v>
                </c:pt>
                <c:pt idx="707">
                  <c:v>1957.3487636142231</c:v>
                </c:pt>
                <c:pt idx="708">
                  <c:v>1925.4439787673114</c:v>
                </c:pt>
                <c:pt idx="709">
                  <c:v>1969.344101483206</c:v>
                </c:pt>
                <c:pt idx="710">
                  <c:v>1995.3394436227845</c:v>
                </c:pt>
                <c:pt idx="711">
                  <c:v>2010.9030912830424</c:v>
                </c:pt>
                <c:pt idx="712">
                  <c:v>1953.1901725632192</c:v>
                </c:pt>
                <c:pt idx="713">
                  <c:v>1923.3063629230021</c:v>
                </c:pt>
                <c:pt idx="714">
                  <c:v>1933.4998866464941</c:v>
                </c:pt>
                <c:pt idx="715">
                  <c:v>1915.3249877120172</c:v>
                </c:pt>
                <c:pt idx="716">
                  <c:v>1906.8975577660844</c:v>
                </c:pt>
                <c:pt idx="717">
                  <c:v>1852.5509773697511</c:v>
                </c:pt>
                <c:pt idx="718">
                  <c:v>1850.5131712946443</c:v>
                </c:pt>
                <c:pt idx="719">
                  <c:v>1876.4203556927694</c:v>
                </c:pt>
                <c:pt idx="720">
                  <c:v>1966.3008907304531</c:v>
                </c:pt>
                <c:pt idx="721">
                  <c:v>2035.5146820841649</c:v>
                </c:pt>
                <c:pt idx="722">
                  <c:v>2100.2440489744413</c:v>
                </c:pt>
                <c:pt idx="723">
                  <c:v>2072.3108031230813</c:v>
                </c:pt>
                <c:pt idx="724">
                  <c:v>2070.8601855608949</c:v>
                </c:pt>
                <c:pt idx="725">
                  <c:v>2077.6940241732459</c:v>
                </c:pt>
                <c:pt idx="726">
                  <c:v>2012.0388930093713</c:v>
                </c:pt>
                <c:pt idx="727">
                  <c:v>1891.3165594288089</c:v>
                </c:pt>
                <c:pt idx="728">
                  <c:v>1922.3341510034413</c:v>
                </c:pt>
                <c:pt idx="729">
                  <c:v>1916.1826817202304</c:v>
                </c:pt>
                <c:pt idx="730">
                  <c:v>1918.4821009382949</c:v>
                </c:pt>
                <c:pt idx="731">
                  <c:v>1939.0098594183346</c:v>
                </c:pt>
                <c:pt idx="732">
                  <c:v>1953.1646313920885</c:v>
                </c:pt>
                <c:pt idx="733">
                  <c:v>1934.6095673938637</c:v>
                </c:pt>
                <c:pt idx="734">
                  <c:v>1940.2199351393058</c:v>
                </c:pt>
                <c:pt idx="735">
                  <c:v>2021.7091724151567</c:v>
                </c:pt>
                <c:pt idx="736">
                  <c:v>2084.1799858427848</c:v>
                </c:pt>
                <c:pt idx="737">
                  <c:v>1991.2255584741968</c:v>
                </c:pt>
                <c:pt idx="738">
                  <c:v>2093.9727972914657</c:v>
                </c:pt>
                <c:pt idx="739">
                  <c:v>2059.6316434158857</c:v>
                </c:pt>
                <c:pt idx="740">
                  <c:v>2075.0788807415051</c:v>
                </c:pt>
                <c:pt idx="741">
                  <c:v>2109.9402059379622</c:v>
                </c:pt>
                <c:pt idx="742">
                  <c:v>2158.0468426333478</c:v>
                </c:pt>
                <c:pt idx="743">
                  <c:v>2134.3083273643811</c:v>
                </c:pt>
                <c:pt idx="744">
                  <c:v>2182.7571263955524</c:v>
                </c:pt>
                <c:pt idx="745">
                  <c:v>2227.067096061382</c:v>
                </c:pt>
                <c:pt idx="746">
                  <c:v>2211.9230398081645</c:v>
                </c:pt>
                <c:pt idx="747">
                  <c:v>2249.746923788884</c:v>
                </c:pt>
                <c:pt idx="748">
                  <c:v>2277.6437856438661</c:v>
                </c:pt>
                <c:pt idx="749">
                  <c:v>2242.1125425878217</c:v>
                </c:pt>
                <c:pt idx="750">
                  <c:v>2253.5473165550197</c:v>
                </c:pt>
                <c:pt idx="751">
                  <c:v>2273.3785329407037</c:v>
                </c:pt>
                <c:pt idx="752">
                  <c:v>2284.0634120455247</c:v>
                </c:pt>
                <c:pt idx="753">
                  <c:v>2250.71608622966</c:v>
                </c:pt>
                <c:pt idx="754">
                  <c:v>2232.035142713954</c:v>
                </c:pt>
                <c:pt idx="755">
                  <c:v>2280.9167123393895</c:v>
                </c:pt>
                <c:pt idx="756">
                  <c:v>2216.3667693801849</c:v>
                </c:pt>
                <c:pt idx="757">
                  <c:v>2232.3246101197224</c:v>
                </c:pt>
                <c:pt idx="758">
                  <c:v>2202.411460344118</c:v>
                </c:pt>
                <c:pt idx="759">
                  <c:v>2179.7266223025736</c:v>
                </c:pt>
                <c:pt idx="760">
                  <c:v>2155.3136841327846</c:v>
                </c:pt>
                <c:pt idx="761">
                  <c:v>2161.348562448356</c:v>
                </c:pt>
                <c:pt idx="762">
                  <c:v>2180.1522949416567</c:v>
                </c:pt>
                <c:pt idx="763">
                  <c:v>2193.4512239408009</c:v>
                </c:pt>
                <c:pt idx="764">
                  <c:v>2129.8411384465176</c:v>
                </c:pt>
                <c:pt idx="765">
                  <c:v>2075.5301894161316</c:v>
                </c:pt>
                <c:pt idx="766">
                  <c:v>1997.9053603319683</c:v>
                </c:pt>
                <c:pt idx="767">
                  <c:v>1959.1459963415282</c:v>
                </c:pt>
                <c:pt idx="768">
                  <c:v>1958.75416714226</c:v>
                </c:pt>
                <c:pt idx="769">
                  <c:v>1989.898358399822</c:v>
                </c:pt>
                <c:pt idx="770">
                  <c:v>2004.4246164161409</c:v>
                </c:pt>
                <c:pt idx="771">
                  <c:v>2009.435677957181</c:v>
                </c:pt>
                <c:pt idx="772">
                  <c:v>1945.9375105337342</c:v>
                </c:pt>
                <c:pt idx="773">
                  <c:v>1915.580885369408</c:v>
                </c:pt>
                <c:pt idx="774">
                  <c:v>1880.1426389900739</c:v>
                </c:pt>
                <c:pt idx="775">
                  <c:v>1870.1778830034266</c:v>
                </c:pt>
                <c:pt idx="776">
                  <c:v>1846.9876772541841</c:v>
                </c:pt>
                <c:pt idx="777">
                  <c:v>1873.0302035034681</c:v>
                </c:pt>
                <c:pt idx="778">
                  <c:v>1862.3539313434983</c:v>
                </c:pt>
                <c:pt idx="779">
                  <c:v>1885.0746493058889</c:v>
                </c:pt>
                <c:pt idx="780">
                  <c:v>1861.3227087246348</c:v>
                </c:pt>
                <c:pt idx="781">
                  <c:v>1846.6182593257101</c:v>
                </c:pt>
                <c:pt idx="782">
                  <c:v>1828.152076732453</c:v>
                </c:pt>
                <c:pt idx="783">
                  <c:v>1820.1082075948302</c:v>
                </c:pt>
                <c:pt idx="784">
                  <c:v>1784.98011918825</c:v>
                </c:pt>
                <c:pt idx="785">
                  <c:v>1712.8669223730446</c:v>
                </c:pt>
                <c:pt idx="786">
                  <c:v>1790.4597939565433</c:v>
                </c:pt>
                <c:pt idx="787">
                  <c:v>1904.5120828315753</c:v>
                </c:pt>
                <c:pt idx="788">
                  <c:v>1974.0267738549278</c:v>
                </c:pt>
                <c:pt idx="789">
                  <c:v>2058.9099251306898</c:v>
                </c:pt>
                <c:pt idx="790">
                  <c:v>2085.0580811798495</c:v>
                </c:pt>
                <c:pt idx="791">
                  <c:v>2156.1585617480823</c:v>
                </c:pt>
                <c:pt idx="792">
                  <c:v>2144.7309213708177</c:v>
                </c:pt>
                <c:pt idx="793">
                  <c:v>2122.4257197885613</c:v>
                </c:pt>
                <c:pt idx="794">
                  <c:v>2117.9686257770054</c:v>
                </c:pt>
                <c:pt idx="795">
                  <c:v>2073.4912846356883</c:v>
                </c:pt>
                <c:pt idx="796">
                  <c:v>2042.8036136230801</c:v>
                </c:pt>
                <c:pt idx="797">
                  <c:v>2094.2822646863815</c:v>
                </c:pt>
                <c:pt idx="798">
                  <c:v>2217.2166336234723</c:v>
                </c:pt>
                <c:pt idx="799">
                  <c:v>2359.5619415020992</c:v>
                </c:pt>
                <c:pt idx="800">
                  <c:v>2388.3485971884247</c:v>
                </c:pt>
                <c:pt idx="801">
                  <c:v>2450.6844955750425</c:v>
                </c:pt>
                <c:pt idx="802">
                  <c:v>2367.1161542759337</c:v>
                </c:pt>
                <c:pt idx="803">
                  <c:v>2428.8978859025356</c:v>
                </c:pt>
                <c:pt idx="804">
                  <c:v>2507.5941774057778</c:v>
                </c:pt>
                <c:pt idx="805">
                  <c:v>2496.310003607452</c:v>
                </c:pt>
                <c:pt idx="806">
                  <c:v>2485.0766085912187</c:v>
                </c:pt>
                <c:pt idx="807">
                  <c:v>2446.8064288189139</c:v>
                </c:pt>
                <c:pt idx="808">
                  <c:v>2440.2000514611027</c:v>
                </c:pt>
                <c:pt idx="809">
                  <c:v>2454.1091917544309</c:v>
                </c:pt>
                <c:pt idx="810">
                  <c:v>2505.4000738620985</c:v>
                </c:pt>
                <c:pt idx="811">
                  <c:v>2469.3223127984843</c:v>
                </c:pt>
                <c:pt idx="812">
                  <c:v>2501.6704350961445</c:v>
                </c:pt>
                <c:pt idx="813">
                  <c:v>2543.6984984057594</c:v>
                </c:pt>
                <c:pt idx="814">
                  <c:v>2548.785895402571</c:v>
                </c:pt>
                <c:pt idx="815">
                  <c:v>2591.605498445334</c:v>
                </c:pt>
                <c:pt idx="816">
                  <c:v>2607.1551314360058</c:v>
                </c:pt>
                <c:pt idx="817">
                  <c:v>2533.3726412163669</c:v>
                </c:pt>
                <c:pt idx="818">
                  <c:v>2484.9852237691343</c:v>
                </c:pt>
                <c:pt idx="819">
                  <c:v>2441.4979823531744</c:v>
                </c:pt>
                <c:pt idx="820">
                  <c:v>2418.3037515208193</c:v>
                </c:pt>
                <c:pt idx="821">
                  <c:v>2431.1207614038799</c:v>
                </c:pt>
                <c:pt idx="822">
                  <c:v>2451.0559516473918</c:v>
                </c:pt>
                <c:pt idx="823">
                  <c:v>2476.7920391396892</c:v>
                </c:pt>
                <c:pt idx="824">
                  <c:v>2450.2903643208942</c:v>
                </c:pt>
                <c:pt idx="825">
                  <c:v>2505.4218975181143</c:v>
                </c:pt>
                <c:pt idx="826">
                  <c:v>2547.7635275861703</c:v>
                </c:pt>
                <c:pt idx="827">
                  <c:v>2489.929295509964</c:v>
                </c:pt>
                <c:pt idx="828">
                  <c:v>2447.8494904158456</c:v>
                </c:pt>
                <c:pt idx="829">
                  <c:v>2514.1862116061147</c:v>
                </c:pt>
                <c:pt idx="830">
                  <c:v>2494.8269777767478</c:v>
                </c:pt>
                <c:pt idx="831">
                  <c:v>2476.1157754434221</c:v>
                </c:pt>
                <c:pt idx="832">
                  <c:v>2499.3912637325902</c:v>
                </c:pt>
                <c:pt idx="833">
                  <c:v>2520.636089474317</c:v>
                </c:pt>
                <c:pt idx="834">
                  <c:v>2528.702124960635</c:v>
                </c:pt>
                <c:pt idx="835">
                  <c:v>2492.5416845736981</c:v>
                </c:pt>
                <c:pt idx="836">
                  <c:v>2517.2178472509777</c:v>
                </c:pt>
                <c:pt idx="837">
                  <c:v>2419.0463512081897</c:v>
                </c:pt>
                <c:pt idx="838">
                  <c:v>2389.7758903585705</c:v>
                </c:pt>
                <c:pt idx="839">
                  <c:v>2426.8174166591284</c:v>
                </c:pt>
                <c:pt idx="840">
                  <c:v>2534.082746475462</c:v>
                </c:pt>
                <c:pt idx="841">
                  <c:v>2523.1861906656177</c:v>
                </c:pt>
                <c:pt idx="842">
                  <c:v>2444.4627815168506</c:v>
                </c:pt>
                <c:pt idx="843">
                  <c:v>2569.1303833742099</c:v>
                </c:pt>
                <c:pt idx="844">
                  <c:v>2600.2168610130379</c:v>
                </c:pt>
                <c:pt idx="845">
                  <c:v>2622.8387477038514</c:v>
                </c:pt>
                <c:pt idx="846">
                  <c:v>2579.561908366738</c:v>
                </c:pt>
                <c:pt idx="847">
                  <c:v>2713.4411714109719</c:v>
                </c:pt>
                <c:pt idx="848">
                  <c:v>2815.7379035731656</c:v>
                </c:pt>
                <c:pt idx="849">
                  <c:v>2813.7668870406642</c:v>
                </c:pt>
                <c:pt idx="850">
                  <c:v>2703.7486017573742</c:v>
                </c:pt>
                <c:pt idx="851">
                  <c:v>2736.4639598386384</c:v>
                </c:pt>
                <c:pt idx="852">
                  <c:v>2760.8184890812022</c:v>
                </c:pt>
                <c:pt idx="853">
                  <c:v>2798.6417023816148</c:v>
                </c:pt>
                <c:pt idx="854">
                  <c:v>2799.7611590625675</c:v>
                </c:pt>
                <c:pt idx="855">
                  <c:v>2854.9164538961004</c:v>
                </c:pt>
                <c:pt idx="856">
                  <c:v>2878.3267688180485</c:v>
                </c:pt>
                <c:pt idx="857">
                  <c:v>2979.3560384035618</c:v>
                </c:pt>
                <c:pt idx="858">
                  <c:v>2936.1553758467103</c:v>
                </c:pt>
                <c:pt idx="859">
                  <c:v>2932.6319893956943</c:v>
                </c:pt>
                <c:pt idx="860">
                  <c:v>2963.1313620854094</c:v>
                </c:pt>
                <c:pt idx="861">
                  <c:v>2985.9474735734671</c:v>
                </c:pt>
                <c:pt idx="862">
                  <c:v>3110.7600779688382</c:v>
                </c:pt>
                <c:pt idx="863">
                  <c:v>3039.2125961755551</c:v>
                </c:pt>
                <c:pt idx="864">
                  <c:v>3009.7322339926523</c:v>
                </c:pt>
                <c:pt idx="865">
                  <c:v>3112.0631299484025</c:v>
                </c:pt>
                <c:pt idx="866">
                  <c:v>3009.0538403471105</c:v>
                </c:pt>
                <c:pt idx="867">
                  <c:v>2942.854655859474</c:v>
                </c:pt>
                <c:pt idx="868">
                  <c:v>2850.4490196654865</c:v>
                </c:pt>
                <c:pt idx="869">
                  <c:v>2723.3189933884059</c:v>
                </c:pt>
                <c:pt idx="870">
                  <c:v>2613.5692379548532</c:v>
                </c:pt>
                <c:pt idx="871">
                  <c:v>2650.1592072862213</c:v>
                </c:pt>
                <c:pt idx="872">
                  <c:v>2580.1950042138651</c:v>
                </c:pt>
                <c:pt idx="873">
                  <c:v>2644.9578988196326</c:v>
                </c:pt>
                <c:pt idx="874">
                  <c:v>2708.4368883913039</c:v>
                </c:pt>
                <c:pt idx="875">
                  <c:v>2611.204004098056</c:v>
                </c:pt>
                <c:pt idx="876">
                  <c:v>2591.0977332665007</c:v>
                </c:pt>
                <c:pt idx="877">
                  <c:v>2557.1543529607093</c:v>
                </c:pt>
                <c:pt idx="878">
                  <c:v>2470.4668203953411</c:v>
                </c:pt>
                <c:pt idx="879">
                  <c:v>2399.3173759679553</c:v>
                </c:pt>
                <c:pt idx="880">
                  <c:v>2243.3617465300385</c:v>
                </c:pt>
                <c:pt idx="881">
                  <c:v>2048.8622831058842</c:v>
                </c:pt>
                <c:pt idx="882">
                  <c:v>2042.5108100282559</c:v>
                </c:pt>
                <c:pt idx="883">
                  <c:v>1839.4852355114474</c:v>
                </c:pt>
                <c:pt idx="884">
                  <c:v>1975.0552973686413</c:v>
                </c:pt>
                <c:pt idx="885">
                  <c:v>2144.9100529423445</c:v>
                </c:pt>
                <c:pt idx="886">
                  <c:v>2199.8197502976686</c:v>
                </c:pt>
                <c:pt idx="887">
                  <c:v>1982.9175229183184</c:v>
                </c:pt>
                <c:pt idx="888">
                  <c:v>2144.3270092838693</c:v>
                </c:pt>
                <c:pt idx="889">
                  <c:v>2129.7455856207389</c:v>
                </c:pt>
                <c:pt idx="890">
                  <c:v>2262.6417101634729</c:v>
                </c:pt>
                <c:pt idx="891">
                  <c:v>2387.5395325644963</c:v>
                </c:pt>
                <c:pt idx="892">
                  <c:v>2657.3314997442844</c:v>
                </c:pt>
                <c:pt idx="893">
                  <c:v>2852.1138986755404</c:v>
                </c:pt>
                <c:pt idx="894">
                  <c:v>2712.360317640439</c:v>
                </c:pt>
                <c:pt idx="895">
                  <c:v>3062.2547986160557</c:v>
                </c:pt>
                <c:pt idx="896">
                  <c:v>3259.7702331267915</c:v>
                </c:pt>
                <c:pt idx="897">
                  <c:v>3106.8870091931449</c:v>
                </c:pt>
                <c:pt idx="898">
                  <c:v>3204.44326128181</c:v>
                </c:pt>
                <c:pt idx="899">
                  <c:v>3170.4761627122225</c:v>
                </c:pt>
                <c:pt idx="900">
                  <c:v>3347.3887325915648</c:v>
                </c:pt>
                <c:pt idx="901">
                  <c:v>3431.0734509063536</c:v>
                </c:pt>
                <c:pt idx="902">
                  <c:v>3485.9706261208553</c:v>
                </c:pt>
                <c:pt idx="903">
                  <c:v>3203.258408342454</c:v>
                </c:pt>
                <c:pt idx="904">
                  <c:v>3267.3235765093032</c:v>
                </c:pt>
                <c:pt idx="905">
                  <c:v>3303.2641358509049</c:v>
                </c:pt>
                <c:pt idx="906">
                  <c:v>3413.2628315747406</c:v>
                </c:pt>
                <c:pt idx="907">
                  <c:v>3498.5944023641086</c:v>
                </c:pt>
                <c:pt idx="908">
                  <c:v>3537.0789407901134</c:v>
                </c:pt>
                <c:pt idx="909">
                  <c:v>3676.0861431631643</c:v>
                </c:pt>
                <c:pt idx="910">
                  <c:v>3738.2119989826215</c:v>
                </c:pt>
                <c:pt idx="911">
                  <c:v>3743.0716745812992</c:v>
                </c:pt>
                <c:pt idx="912">
                  <c:v>3615.4329304780767</c:v>
                </c:pt>
                <c:pt idx="913">
                  <c:v>3705.4572104469808</c:v>
                </c:pt>
                <c:pt idx="914">
                  <c:v>3753.9986999038365</c:v>
                </c:pt>
                <c:pt idx="915">
                  <c:v>3549.030370889087</c:v>
                </c:pt>
                <c:pt idx="916">
                  <c:v>3508.2165216238627</c:v>
                </c:pt>
                <c:pt idx="917">
                  <c:v>3587.1513933603997</c:v>
                </c:pt>
                <c:pt idx="918">
                  <c:v>3553.790885402148</c:v>
                </c:pt>
                <c:pt idx="919">
                  <c:v>3502.2609175638172</c:v>
                </c:pt>
                <c:pt idx="920">
                  <c:v>3429.0636643867333</c:v>
                </c:pt>
                <c:pt idx="921">
                  <c:v>3464.3830201299165</c:v>
                </c:pt>
                <c:pt idx="922">
                  <c:v>3453.989871069527</c:v>
                </c:pt>
                <c:pt idx="923">
                  <c:v>3476.7862042185857</c:v>
                </c:pt>
                <c:pt idx="924">
                  <c:v>3436.8031628700719</c:v>
                </c:pt>
                <c:pt idx="925">
                  <c:v>3506.5702670763344</c:v>
                </c:pt>
                <c:pt idx="926">
                  <c:v>3507.2715811297494</c:v>
                </c:pt>
                <c:pt idx="927">
                  <c:v>3568.6488337995202</c:v>
                </c:pt>
                <c:pt idx="928">
                  <c:v>3635.0257021081911</c:v>
                </c:pt>
                <c:pt idx="929">
                  <c:v>3722.9933240992095</c:v>
                </c:pt>
                <c:pt idx="930">
                  <c:v>3796.7085919163742</c:v>
                </c:pt>
                <c:pt idx="931">
                  <c:v>3815.3124640167639</c:v>
                </c:pt>
                <c:pt idx="932">
                  <c:v>3823.3246201911988</c:v>
                </c:pt>
                <c:pt idx="933">
                  <c:v>3723.1535151421895</c:v>
                </c:pt>
                <c:pt idx="934">
                  <c:v>3708.6332164331347</c:v>
                </c:pt>
                <c:pt idx="935">
                  <c:v>3759.8123548199123</c:v>
                </c:pt>
                <c:pt idx="936">
                  <c:v>3914.3406426030106</c:v>
                </c:pt>
                <c:pt idx="937">
                  <c:v>3954.6583512218217</c:v>
                </c:pt>
                <c:pt idx="938">
                  <c:v>3944.7717053437673</c:v>
                </c:pt>
                <c:pt idx="939">
                  <c:v>3920.3141207706358</c:v>
                </c:pt>
                <c:pt idx="940">
                  <c:v>3990.8797749445071</c:v>
                </c:pt>
                <c:pt idx="941">
                  <c:v>3988.4852470795404</c:v>
                </c:pt>
                <c:pt idx="942">
                  <c:v>4066.6595579222994</c:v>
                </c:pt>
                <c:pt idx="943">
                  <c:v>4133.3527746722248</c:v>
                </c:pt>
                <c:pt idx="944">
                  <c:v>4197.8330779571115</c:v>
                </c:pt>
                <c:pt idx="945">
                  <c:v>4183.1406621842616</c:v>
                </c:pt>
                <c:pt idx="946">
                  <c:v>4148.420594688132</c:v>
                </c:pt>
                <c:pt idx="947">
                  <c:v>4257.1092142689613</c:v>
                </c:pt>
                <c:pt idx="948">
                  <c:v>4235.39795727619</c:v>
                </c:pt>
                <c:pt idx="949">
                  <c:v>4289.1875113335973</c:v>
                </c:pt>
                <c:pt idx="950">
                  <c:v>4322.2142551708657</c:v>
                </c:pt>
                <c:pt idx="951">
                  <c:v>4332.1553479577587</c:v>
                </c:pt>
                <c:pt idx="952">
                  <c:v>4281.0359148518573</c:v>
                </c:pt>
                <c:pt idx="953">
                  <c:v>4299.8724728772049</c:v>
                </c:pt>
                <c:pt idx="954">
                  <c:v>4348.0310445734303</c:v>
                </c:pt>
                <c:pt idx="955">
                  <c:v>4337.1609669619966</c:v>
                </c:pt>
                <c:pt idx="956">
                  <c:v>4363.6176488604651</c:v>
                </c:pt>
                <c:pt idx="957">
                  <c:v>4476.6353459659513</c:v>
                </c:pt>
                <c:pt idx="958">
                  <c:v>4590.7895472880837</c:v>
                </c:pt>
                <c:pt idx="959">
                  <c:v>4630.7294163494898</c:v>
                </c:pt>
                <c:pt idx="960">
                  <c:v>4766.8728611901652</c:v>
                </c:pt>
                <c:pt idx="961">
                  <c:v>4684.8826479776944</c:v>
                </c:pt>
                <c:pt idx="962">
                  <c:v>4687.2250893016826</c:v>
                </c:pt>
                <c:pt idx="963">
                  <c:v>4685.3501992659621</c:v>
                </c:pt>
                <c:pt idx="964">
                  <c:v>4688.6299444054475</c:v>
                </c:pt>
                <c:pt idx="965">
                  <c:v>4836.7906506486597</c:v>
                </c:pt>
                <c:pt idx="966">
                  <c:v>4831.4701809329463</c:v>
                </c:pt>
                <c:pt idx="967">
                  <c:v>4827.1218577701065</c:v>
                </c:pt>
                <c:pt idx="968">
                  <c:v>4816.5021896830121</c:v>
                </c:pt>
                <c:pt idx="969">
                  <c:v>4761.1124145016574</c:v>
                </c:pt>
                <c:pt idx="970">
                  <c:v>4758.7318582944072</c:v>
                </c:pt>
                <c:pt idx="971">
                  <c:v>4704.9581882956809</c:v>
                </c:pt>
                <c:pt idx="972">
                  <c:v>4547.8125848066056</c:v>
                </c:pt>
                <c:pt idx="973">
                  <c:v>4445.9415829069376</c:v>
                </c:pt>
                <c:pt idx="974">
                  <c:v>4363.2470694648691</c:v>
                </c:pt>
                <c:pt idx="975">
                  <c:v>4250.2389703657291</c:v>
                </c:pt>
                <c:pt idx="976">
                  <c:v>4200.0861505154135</c:v>
                </c:pt>
                <c:pt idx="977">
                  <c:v>4178.245702532733</c:v>
                </c:pt>
                <c:pt idx="978">
                  <c:v>4330.7516706751776</c:v>
                </c:pt>
                <c:pt idx="979">
                  <c:v>4290.0426049708312</c:v>
                </c:pt>
                <c:pt idx="980">
                  <c:v>4283.6075410633748</c:v>
                </c:pt>
                <c:pt idx="981">
                  <c:v>4242.4849086691665</c:v>
                </c:pt>
                <c:pt idx="982">
                  <c:v>4183.9386169295321</c:v>
                </c:pt>
                <c:pt idx="983">
                  <c:v>4082.2689085381444</c:v>
                </c:pt>
                <c:pt idx="984">
                  <c:v>4319.4487321242104</c:v>
                </c:pt>
                <c:pt idx="985">
                  <c:v>4386.8321323453483</c:v>
                </c:pt>
                <c:pt idx="986">
                  <c:v>4664.5186063228084</c:v>
                </c:pt>
                <c:pt idx="987">
                  <c:v>4529.2475667394465</c:v>
                </c:pt>
                <c:pt idx="988">
                  <c:v>4260.2102612751232</c:v>
                </c:pt>
                <c:pt idx="989">
                  <c:v>4249.9857566480632</c:v>
                </c:pt>
                <c:pt idx="990">
                  <c:v>3778.2373376601281</c:v>
                </c:pt>
                <c:pt idx="991">
                  <c:v>3504.3151306797686</c:v>
                </c:pt>
                <c:pt idx="992">
                  <c:v>3627.667023279696</c:v>
                </c:pt>
                <c:pt idx="993">
                  <c:v>3825.7376427507675</c:v>
                </c:pt>
                <c:pt idx="994">
                  <c:v>3817.703593700991</c:v>
                </c:pt>
                <c:pt idx="995">
                  <c:v>3714.2438263116942</c:v>
                </c:pt>
                <c:pt idx="996">
                  <c:v>3910.3559003409514</c:v>
                </c:pt>
                <c:pt idx="997">
                  <c:v>4213.7995182074092</c:v>
                </c:pt>
                <c:pt idx="998">
                  <c:v>4252.5664737749175</c:v>
                </c:pt>
                <c:pt idx="999">
                  <c:v>4075.2344518185037</c:v>
                </c:pt>
                <c:pt idx="1000">
                  <c:v>4068.306553250412</c:v>
                </c:pt>
                <c:pt idx="1001">
                  <c:v>4068.7133839057369</c:v>
                </c:pt>
                <c:pt idx="1002">
                  <c:v>4081.3263953958453</c:v>
                </c:pt>
                <c:pt idx="1003">
                  <c:v>4210.2963094903544</c:v>
                </c:pt>
                <c:pt idx="1004">
                  <c:v>4298.7125319896513</c:v>
                </c:pt>
                <c:pt idx="1005">
                  <c:v>4419.5063541385607</c:v>
                </c:pt>
                <c:pt idx="1006">
                  <c:v>4314.3221029100632</c:v>
                </c:pt>
                <c:pt idx="1007">
                  <c:v>4120.1776082791102</c:v>
                </c:pt>
                <c:pt idx="1008">
                  <c:v>4109.0531287367567</c:v>
                </c:pt>
                <c:pt idx="1009">
                  <c:v>4028.92659272639</c:v>
                </c:pt>
                <c:pt idx="1010">
                  <c:v>3903.2240830333267</c:v>
                </c:pt>
                <c:pt idx="1011">
                  <c:v>3802.1305792827634</c:v>
                </c:pt>
                <c:pt idx="1012">
                  <c:v>3767.9114040692184</c:v>
                </c:pt>
                <c:pt idx="1013">
                  <c:v>3911.4688285642555</c:v>
                </c:pt>
                <c:pt idx="1014">
                  <c:v>3943.1517260756259</c:v>
                </c:pt>
                <c:pt idx="1015">
                  <c:v>3986.13207988985</c:v>
                </c:pt>
                <c:pt idx="1016">
                  <c:v>3924.3470326515576</c:v>
                </c:pt>
                <c:pt idx="1017">
                  <c:v>3825.8459221320036</c:v>
                </c:pt>
                <c:pt idx="1018">
                  <c:v>3746.6509115438707</c:v>
                </c:pt>
                <c:pt idx="1019">
                  <c:v>3735.0362937180848</c:v>
                </c:pt>
                <c:pt idx="1020">
                  <c:v>3689.0953473053523</c:v>
                </c:pt>
                <c:pt idx="1021">
                  <c:v>3599.0814208311017</c:v>
                </c:pt>
                <c:pt idx="1022">
                  <c:v>3546.534832086968</c:v>
                </c:pt>
                <c:pt idx="1023">
                  <c:v>3540.5057228724199</c:v>
                </c:pt>
                <c:pt idx="1024">
                  <c:v>3528.1139528423669</c:v>
                </c:pt>
                <c:pt idx="1025">
                  <c:v>3589.5031356218242</c:v>
                </c:pt>
                <c:pt idx="1026">
                  <c:v>3550.3775514435461</c:v>
                </c:pt>
                <c:pt idx="1027">
                  <c:v>3553.5728912398449</c:v>
                </c:pt>
                <c:pt idx="1028">
                  <c:v>3584.4889753936313</c:v>
                </c:pt>
                <c:pt idx="1029">
                  <c:v>3567.6418772092811</c:v>
                </c:pt>
                <c:pt idx="1030">
                  <c:v>3545.5224975705837</c:v>
                </c:pt>
                <c:pt idx="1031">
                  <c:v>3561.1227965598941</c:v>
                </c:pt>
                <c:pt idx="1032">
                  <c:v>3552.2199895684944</c:v>
                </c:pt>
                <c:pt idx="1033">
                  <c:v>3597.6884054349707</c:v>
                </c:pt>
                <c:pt idx="1034">
                  <c:v>3652.3732691975824</c:v>
                </c:pt>
                <c:pt idx="1035">
                  <c:v>3790.798216100171</c:v>
                </c:pt>
                <c:pt idx="1036">
                  <c:v>3754.4065532256091</c:v>
                </c:pt>
                <c:pt idx="1037">
                  <c:v>3887.6879858651187</c:v>
                </c:pt>
                <c:pt idx="1038">
                  <c:v>3923.4547153350782</c:v>
                </c:pt>
                <c:pt idx="1039">
                  <c:v>3923.4547153350782</c:v>
                </c:pt>
                <c:pt idx="1040">
                  <c:v>3913.2537330752066</c:v>
                </c:pt>
                <c:pt idx="1041">
                  <c:v>3936.3419301003505</c:v>
                </c:pt>
                <c:pt idx="1042">
                  <c:v>4036.7186493179097</c:v>
                </c:pt>
                <c:pt idx="1043">
                  <c:v>4029.0488838842057</c:v>
                </c:pt>
                <c:pt idx="1044">
                  <c:v>4051.208652745569</c:v>
                </c:pt>
                <c:pt idx="1045">
                  <c:v>3938.585052199242</c:v>
                </c:pt>
                <c:pt idx="1046">
                  <c:v>3892.1097485832906</c:v>
                </c:pt>
                <c:pt idx="1047">
                  <c:v>3936.8690106919989</c:v>
                </c:pt>
                <c:pt idx="1048">
                  <c:v>3946.3174963176598</c:v>
                </c:pt>
                <c:pt idx="1049">
                  <c:v>3934.4785438287067</c:v>
                </c:pt>
                <c:pt idx="1050">
                  <c:v>3852.6413901170695</c:v>
                </c:pt>
                <c:pt idx="1051">
                  <c:v>3837.6160886956127</c:v>
                </c:pt>
                <c:pt idx="1052">
                  <c:v>4032.950747610219</c:v>
                </c:pt>
                <c:pt idx="1053">
                  <c:v>4078.9263861329759</c:v>
                </c:pt>
                <c:pt idx="1054">
                  <c:v>4068.3211775290301</c:v>
                </c:pt>
                <c:pt idx="1055">
                  <c:v>4038.2156008153156</c:v>
                </c:pt>
                <c:pt idx="1056">
                  <c:v>4038.6194223753969</c:v>
                </c:pt>
                <c:pt idx="1057">
                  <c:v>4015.599291667857</c:v>
                </c:pt>
                <c:pt idx="1058">
                  <c:v>3966.6089803095092</c:v>
                </c:pt>
                <c:pt idx="1059">
                  <c:v>3899.5732885422785</c:v>
                </c:pt>
                <c:pt idx="1060">
                  <c:v>3782.9760472148641</c:v>
                </c:pt>
                <c:pt idx="1061">
                  <c:v>3861.2836513922116</c:v>
                </c:pt>
                <c:pt idx="1062">
                  <c:v>3727.297108688902</c:v>
                </c:pt>
                <c:pt idx="1063">
                  <c:v>3661.3239498651083</c:v>
                </c:pt>
                <c:pt idx="1064">
                  <c:v>3644.8479920907153</c:v>
                </c:pt>
                <c:pt idx="1065">
                  <c:v>3712.2776799443932</c:v>
                </c:pt>
                <c:pt idx="1066">
                  <c:v>3662.9043868011327</c:v>
                </c:pt>
                <c:pt idx="1067">
                  <c:v>3633.2348612680435</c:v>
                </c:pt>
                <c:pt idx="1068">
                  <c:v>3482.8189380115464</c:v>
                </c:pt>
                <c:pt idx="1069">
                  <c:v>3576.5067674440565</c:v>
                </c:pt>
                <c:pt idx="1070">
                  <c:v>3595.4622533115103</c:v>
                </c:pt>
                <c:pt idx="1071">
                  <c:v>3592.22633728353</c:v>
                </c:pt>
                <c:pt idx="1072">
                  <c:v>3573.9059829633838</c:v>
                </c:pt>
                <c:pt idx="1073">
                  <c:v>3482.0565992012253</c:v>
                </c:pt>
                <c:pt idx="1074">
                  <c:v>3555.1797877844506</c:v>
                </c:pt>
                <c:pt idx="1075">
                  <c:v>3538.1149248030852</c:v>
                </c:pt>
                <c:pt idx="1076">
                  <c:v>3578.4494349458405</c:v>
                </c:pt>
                <c:pt idx="1077">
                  <c:v>3694.7490415815801</c:v>
                </c:pt>
                <c:pt idx="1078">
                  <c:v>3628.2435588331114</c:v>
                </c:pt>
                <c:pt idx="1079">
                  <c:v>3574.1827298064977</c:v>
                </c:pt>
                <c:pt idx="1080">
                  <c:v>3533.7944649596843</c:v>
                </c:pt>
                <c:pt idx="1081">
                  <c:v>3651.8232000893381</c:v>
                </c:pt>
                <c:pt idx="1082">
                  <c:v>3597.4110344080068</c:v>
                </c:pt>
                <c:pt idx="1083">
                  <c:v>3747.0633334393801</c:v>
                </c:pt>
                <c:pt idx="1084">
                  <c:v>4056.9454711148169</c:v>
                </c:pt>
                <c:pt idx="1085">
                  <c:v>4203.4012026220616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002-4560-98BD-95F0F4E135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5995760"/>
        <c:axId val="535986904"/>
      </c:scatterChart>
      <c:valAx>
        <c:axId val="535995760"/>
        <c:scaling>
          <c:orientation val="minMax"/>
          <c:max val="42705"/>
          <c:min val="967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m/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5986904"/>
        <c:crosses val="autoZero"/>
        <c:crossBetween val="midCat"/>
        <c:majorUnit val="3650"/>
      </c:valAx>
      <c:valAx>
        <c:axId val="535986904"/>
        <c:scaling>
          <c:logBase val="10"/>
          <c:orientation val="minMax"/>
          <c:min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59957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931E578-7F3B-49E4-8666-F31782C8D1F4}">
  <sheetPr/>
  <sheetViews>
    <sheetView zoomScale="79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27B6F89-25E2-4850-9368-60442BE30FEB}">
  <sheetPr/>
  <sheetViews>
    <sheetView zoomScale="79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54BD4A9-1837-4005-80A5-ABF8B52FDC00}">
  <sheetPr/>
  <sheetViews>
    <sheetView zoomScale="91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71367" cy="629373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4EBA919-AF32-4162-B5DB-33786FFDC9F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71367" cy="629373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BDF5B10-47D2-4B04-8A43-B1700944510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62516" cy="628859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55BCF57-45AD-467D-8E39-7EA9D50A824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9B352-F1BA-4913-B187-0EA396EA65DC}">
  <dimension ref="A1:C5"/>
  <sheetViews>
    <sheetView workbookViewId="0"/>
  </sheetViews>
  <sheetFormatPr defaultRowHeight="15.6" x14ac:dyDescent="0.6"/>
  <cols>
    <col min="1" max="1" width="7.59765625" bestFit="1" customWidth="1"/>
    <col min="2" max="2" width="35.75" bestFit="1" customWidth="1"/>
    <col min="3" max="3" width="19.25" bestFit="1" customWidth="1"/>
  </cols>
  <sheetData>
    <row r="1" spans="1:3" s="1" customFormat="1" x14ac:dyDescent="0.6">
      <c r="A1" s="1" t="s">
        <v>4</v>
      </c>
      <c r="B1" s="1" t="s">
        <v>5</v>
      </c>
      <c r="C1" s="1" t="s">
        <v>14</v>
      </c>
    </row>
    <row r="2" spans="1:3" x14ac:dyDescent="0.6">
      <c r="A2" t="s">
        <v>3</v>
      </c>
      <c r="B2" t="s">
        <v>6</v>
      </c>
      <c r="C2" t="s">
        <v>13</v>
      </c>
    </row>
    <row r="3" spans="1:3" x14ac:dyDescent="0.6">
      <c r="A3" t="s">
        <v>0</v>
      </c>
      <c r="B3" t="s">
        <v>7</v>
      </c>
      <c r="C3" t="s">
        <v>10</v>
      </c>
    </row>
    <row r="4" spans="1:3" x14ac:dyDescent="0.6">
      <c r="A4" t="s">
        <v>1</v>
      </c>
      <c r="B4" t="s">
        <v>8</v>
      </c>
      <c r="C4" t="s">
        <v>11</v>
      </c>
    </row>
    <row r="5" spans="1:3" x14ac:dyDescent="0.6">
      <c r="A5" t="s">
        <v>2</v>
      </c>
      <c r="B5" t="s">
        <v>9</v>
      </c>
      <c r="C5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E3FF0-D3AD-48D6-988E-18EF1F03B3B4}">
  <dimension ref="A1:M43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.6" x14ac:dyDescent="0.6"/>
  <cols>
    <col min="1" max="1" width="5.1484375" style="16" bestFit="1" customWidth="1"/>
    <col min="2" max="8" width="8.796875" style="16"/>
    <col min="9" max="9" width="12.94921875" style="16" bestFit="1" customWidth="1"/>
    <col min="10" max="16384" width="8.796875" style="16"/>
  </cols>
  <sheetData>
    <row r="1" spans="1:13" x14ac:dyDescent="0.6">
      <c r="A1" s="13"/>
      <c r="B1" s="14" t="s">
        <v>3</v>
      </c>
      <c r="C1" s="15" t="s">
        <v>0</v>
      </c>
      <c r="D1" s="15" t="s">
        <v>1</v>
      </c>
      <c r="E1" s="15" t="s">
        <v>2</v>
      </c>
      <c r="F1" s="29" t="s">
        <v>40</v>
      </c>
      <c r="G1" s="29" t="s">
        <v>39</v>
      </c>
      <c r="H1" s="15"/>
      <c r="I1" s="15"/>
      <c r="J1" s="14" t="s">
        <v>3</v>
      </c>
      <c r="K1" s="15" t="s">
        <v>0</v>
      </c>
      <c r="L1" s="15" t="s">
        <v>1</v>
      </c>
      <c r="M1" s="15" t="s">
        <v>2</v>
      </c>
    </row>
    <row r="2" spans="1:13" x14ac:dyDescent="0.6">
      <c r="A2" s="17">
        <v>29587</v>
      </c>
      <c r="B2" s="15">
        <v>-0.180418</v>
      </c>
      <c r="C2" s="15">
        <v>-5.04E-2</v>
      </c>
      <c r="D2" s="15">
        <v>0.03</v>
      </c>
      <c r="E2" s="15">
        <v>6.8499999999999991E-2</v>
      </c>
      <c r="F2" s="30">
        <f>'FF3 Regression'!$B$17+'FF3 Regression'!$B$18*Returns!C2+'FF3 Regression'!$B$19*Returns!D2+'FF3 Regression'!$B$20*Returns!E2</f>
        <v>-0.10134165388070278</v>
      </c>
      <c r="G2" s="30">
        <f>B2-F2</f>
        <v>-7.9076346119297217E-2</v>
      </c>
      <c r="H2" s="15"/>
      <c r="I2" s="18" t="s">
        <v>15</v>
      </c>
      <c r="J2" s="19">
        <f>AVERAGE(B2:B433)</f>
        <v>1.8374828703703699E-2</v>
      </c>
      <c r="K2" s="19">
        <f>AVERAGE(C2:C433)</f>
        <v>6.1668981481481436E-3</v>
      </c>
      <c r="L2" s="19">
        <f>AVERAGE(D2:D433)</f>
        <v>1.0324074074074074E-3</v>
      </c>
      <c r="M2" s="19">
        <f>AVERAGE(E2:E433)</f>
        <v>3.7337962962962997E-3</v>
      </c>
    </row>
    <row r="3" spans="1:13" x14ac:dyDescent="0.6">
      <c r="A3" s="17">
        <v>29618</v>
      </c>
      <c r="B3" s="15">
        <v>-7.2373999999999994E-2</v>
      </c>
      <c r="C3" s="15">
        <v>5.6000000000000008E-3</v>
      </c>
      <c r="D3" s="15">
        <v>-3.0999999999999999E-3</v>
      </c>
      <c r="E3" s="15">
        <v>9.7000000000000003E-3</v>
      </c>
      <c r="F3" s="30">
        <f>'FF3 Regression'!$B$17+'FF3 Regression'!$B$18*Returns!C3+'FF3 Regression'!$B$19*Returns!D3+'FF3 Regression'!$B$20*Returns!E3</f>
        <v>1.115071820606958E-2</v>
      </c>
      <c r="G3" s="30">
        <f t="shared" ref="G3:G66" si="0">B3-F3</f>
        <v>-8.3524718206069576E-2</v>
      </c>
      <c r="H3" s="15"/>
      <c r="I3" s="18" t="s">
        <v>16</v>
      </c>
      <c r="J3" s="20">
        <f>J2*12</f>
        <v>0.22049794444444437</v>
      </c>
      <c r="K3" s="20">
        <f t="shared" ref="K3:M3" si="1">K2*12</f>
        <v>7.4002777777777723E-2</v>
      </c>
      <c r="L3" s="20">
        <f t="shared" si="1"/>
        <v>1.238888888888889E-2</v>
      </c>
      <c r="M3" s="20">
        <f t="shared" si="1"/>
        <v>4.4805555555555598E-2</v>
      </c>
    </row>
    <row r="4" spans="1:13" x14ac:dyDescent="0.6">
      <c r="A4" s="17">
        <v>29646</v>
      </c>
      <c r="B4" s="15">
        <v>-8.7217000000000003E-2</v>
      </c>
      <c r="C4" s="15">
        <v>3.5599999999999993E-2</v>
      </c>
      <c r="D4" s="15">
        <v>3.5799999999999998E-2</v>
      </c>
      <c r="E4" s="15">
        <v>6.5000000000000006E-3</v>
      </c>
      <c r="F4" s="30">
        <f>'FF3 Regression'!$B$17+'FF3 Regression'!$B$18*Returns!C4+'FF3 Regression'!$B$19*Returns!D4+'FF3 Regression'!$B$20*Returns!E4</f>
        <v>6.1689809644290217E-2</v>
      </c>
      <c r="G4" s="30">
        <f t="shared" si="0"/>
        <v>-0.14890680964429021</v>
      </c>
      <c r="H4" s="15"/>
      <c r="I4" s="15"/>
      <c r="J4" s="21"/>
      <c r="K4" s="21"/>
    </row>
    <row r="5" spans="1:13" x14ac:dyDescent="0.6">
      <c r="A5" s="17">
        <v>29677</v>
      </c>
      <c r="B5" s="15">
        <v>0.14656</v>
      </c>
      <c r="C5" s="15">
        <v>-2.1000000000000001E-2</v>
      </c>
      <c r="D5" s="15">
        <v>4.4199999999999996E-2</v>
      </c>
      <c r="E5" s="15">
        <v>2.2599999999999999E-2</v>
      </c>
      <c r="F5" s="30">
        <f>'FF3 Regression'!$B$17+'FF3 Regression'!$B$18*Returns!C5+'FF3 Regression'!$B$19*Returns!D5+'FF3 Regression'!$B$20*Returns!E5</f>
        <v>-1.993872335197687E-2</v>
      </c>
      <c r="G5" s="30">
        <f t="shared" si="0"/>
        <v>0.16649872335197685</v>
      </c>
      <c r="H5" s="15"/>
      <c r="I5" s="15"/>
      <c r="J5" s="21"/>
      <c r="K5" s="21"/>
    </row>
    <row r="6" spans="1:13" x14ac:dyDescent="0.6">
      <c r="A6" s="17">
        <v>29707</v>
      </c>
      <c r="B6" s="15">
        <v>0.152974</v>
      </c>
      <c r="C6" s="15">
        <v>1.1000000000000003E-3</v>
      </c>
      <c r="D6" s="15">
        <v>0.02</v>
      </c>
      <c r="E6" s="15">
        <v>-4.4000000000000003E-3</v>
      </c>
      <c r="F6" s="30">
        <f>'FF3 Regression'!$B$17+'FF3 Regression'!$B$18*Returns!C6+'FF3 Regression'!$B$19*Returns!D6+'FF3 Regression'!$B$20*Returns!E6</f>
        <v>2.4772416659506614E-2</v>
      </c>
      <c r="G6" s="30">
        <f t="shared" si="0"/>
        <v>0.12820158334049339</v>
      </c>
      <c r="H6" s="15"/>
      <c r="I6" s="15"/>
      <c r="J6" s="21"/>
      <c r="K6" s="21"/>
    </row>
    <row r="7" spans="1:13" x14ac:dyDescent="0.6">
      <c r="A7" s="17">
        <v>29738</v>
      </c>
      <c r="B7" s="15">
        <v>-0.228189</v>
      </c>
      <c r="C7" s="15">
        <v>-2.3599999999999999E-2</v>
      </c>
      <c r="D7" s="15">
        <v>-8.5000000000000006E-3</v>
      </c>
      <c r="E7" s="15">
        <v>5.1299999999999998E-2</v>
      </c>
      <c r="F7" s="30">
        <f>'FF3 Regression'!$B$17+'FF3 Regression'!$B$18*Returns!C7+'FF3 Regression'!$B$19*Returns!D7+'FF3 Regression'!$B$20*Returns!E7</f>
        <v>-6.3679397776429128E-2</v>
      </c>
      <c r="G7" s="30">
        <f t="shared" si="0"/>
        <v>-0.16450960222357086</v>
      </c>
      <c r="H7" s="15"/>
      <c r="I7" s="15"/>
      <c r="J7" s="21"/>
      <c r="K7" s="21"/>
    </row>
    <row r="8" spans="1:13" x14ac:dyDescent="0.6">
      <c r="A8" s="17">
        <v>29768</v>
      </c>
      <c r="B8" s="15">
        <v>-5.0769000000000002E-2</v>
      </c>
      <c r="C8" s="15">
        <v>-1.54E-2</v>
      </c>
      <c r="D8" s="15">
        <v>-2.1700000000000001E-2</v>
      </c>
      <c r="E8" s="15">
        <v>-6.3E-3</v>
      </c>
      <c r="F8" s="30">
        <f>'FF3 Regression'!$B$17+'FF3 Regression'!$B$18*Returns!C8+'FF3 Regression'!$B$19*Returns!D8+'FF3 Regression'!$B$20*Returns!E8</f>
        <v>-5.3834438351035097E-3</v>
      </c>
      <c r="G8" s="30">
        <f t="shared" si="0"/>
        <v>-4.5385556164896493E-2</v>
      </c>
      <c r="H8" s="15"/>
      <c r="I8" s="15"/>
      <c r="J8" s="21"/>
      <c r="K8" s="21"/>
    </row>
    <row r="9" spans="1:13" x14ac:dyDescent="0.6">
      <c r="A9" s="17">
        <v>29799</v>
      </c>
      <c r="B9" s="15">
        <v>-0.207314</v>
      </c>
      <c r="C9" s="15">
        <v>-7.0300000000000001E-2</v>
      </c>
      <c r="D9" s="15">
        <v>-1.95E-2</v>
      </c>
      <c r="E9" s="15">
        <v>4.8300000000000003E-2</v>
      </c>
      <c r="F9" s="30">
        <f>'FF3 Regression'!$B$17+'FF3 Regression'!$B$18*Returns!C9+'FF3 Regression'!$B$19*Returns!D9+'FF3 Regression'!$B$20*Returns!E9</f>
        <v>-0.12135083226572538</v>
      </c>
      <c r="G9" s="30">
        <f t="shared" si="0"/>
        <v>-8.596316773427462E-2</v>
      </c>
      <c r="H9" s="15"/>
      <c r="I9" s="15"/>
      <c r="J9" s="21"/>
      <c r="K9" s="21"/>
    </row>
    <row r="10" spans="1:13" x14ac:dyDescent="0.6">
      <c r="A10" s="17">
        <v>29830</v>
      </c>
      <c r="B10" s="15">
        <v>-0.253886</v>
      </c>
      <c r="C10" s="15">
        <v>-7.17E-2</v>
      </c>
      <c r="D10" s="15">
        <v>-2.6600000000000002E-2</v>
      </c>
      <c r="E10" s="15">
        <v>5.1799999999999999E-2</v>
      </c>
      <c r="F10" s="30">
        <f>'FF3 Regression'!$B$17+'FF3 Regression'!$B$18*Returns!C10+'FF3 Regression'!$B$19*Returns!D10+'FF3 Regression'!$B$20*Returns!E10</f>
        <v>-0.12820159944616794</v>
      </c>
      <c r="G10" s="30">
        <f t="shared" si="0"/>
        <v>-0.12568440055383207</v>
      </c>
      <c r="H10" s="15"/>
      <c r="I10" s="15"/>
      <c r="J10" s="21"/>
      <c r="K10" s="21"/>
    </row>
    <row r="11" spans="1:13" x14ac:dyDescent="0.6">
      <c r="A11" s="17">
        <v>29860</v>
      </c>
      <c r="B11" s="15">
        <v>0.29810399999999998</v>
      </c>
      <c r="C11" s="15">
        <v>4.9200000000000001E-2</v>
      </c>
      <c r="D11" s="15">
        <v>2.1400000000000002E-2</v>
      </c>
      <c r="E11" s="15">
        <v>-4.2099999999999999E-2</v>
      </c>
      <c r="F11" s="30">
        <f>'FF3 Regression'!$B$17+'FF3 Regression'!$B$18*Returns!C11+'FF3 Regression'!$B$19*Returns!D11+'FF3 Regression'!$B$20*Returns!E11</f>
        <v>0.11816714565519884</v>
      </c>
      <c r="G11" s="30">
        <f t="shared" si="0"/>
        <v>0.17993685434480114</v>
      </c>
      <c r="H11" s="15"/>
      <c r="I11" s="15"/>
      <c r="J11" s="21"/>
      <c r="K11" s="21"/>
    </row>
    <row r="12" spans="1:13" x14ac:dyDescent="0.6">
      <c r="A12" s="17">
        <v>29891</v>
      </c>
      <c r="B12" s="15">
        <v>-7.9236000000000001E-2</v>
      </c>
      <c r="C12" s="15">
        <v>3.3599999999999998E-2</v>
      </c>
      <c r="D12" s="15">
        <v>-9.7000000000000003E-3</v>
      </c>
      <c r="E12" s="15">
        <v>1.89E-2</v>
      </c>
      <c r="F12" s="30">
        <f>'FF3 Regression'!$B$17+'FF3 Regression'!$B$18*Returns!C12+'FF3 Regression'!$B$19*Returns!D12+'FF3 Regression'!$B$20*Returns!E12</f>
        <v>3.5381800016677421E-2</v>
      </c>
      <c r="G12" s="30">
        <f t="shared" si="0"/>
        <v>-0.11461780001667743</v>
      </c>
      <c r="H12" s="15"/>
      <c r="I12" s="15"/>
      <c r="J12" s="21"/>
      <c r="K12" s="21"/>
    </row>
    <row r="13" spans="1:13" x14ac:dyDescent="0.6">
      <c r="A13" s="17">
        <v>29921</v>
      </c>
      <c r="B13" s="15">
        <v>0.178591</v>
      </c>
      <c r="C13" s="15">
        <v>-3.6499999999999998E-2</v>
      </c>
      <c r="D13" s="15">
        <v>1.1699999999999999E-2</v>
      </c>
      <c r="E13" s="15">
        <v>7.4999999999999997E-3</v>
      </c>
      <c r="F13" s="30">
        <f>'FF3 Regression'!$B$17+'FF3 Regression'!$B$18*Returns!C13+'FF3 Regression'!$B$19*Returns!D13+'FF3 Regression'!$B$20*Returns!E13</f>
        <v>-3.4407575956861343E-2</v>
      </c>
      <c r="G13" s="30">
        <f t="shared" si="0"/>
        <v>0.21299857595686134</v>
      </c>
      <c r="H13" s="15"/>
      <c r="I13" s="15"/>
      <c r="J13" s="21"/>
      <c r="K13" s="21"/>
    </row>
    <row r="14" spans="1:13" x14ac:dyDescent="0.6">
      <c r="A14" s="17">
        <v>29952</v>
      </c>
      <c r="B14" s="15">
        <v>-8.6873000000000006E-2</v>
      </c>
      <c r="C14" s="15">
        <v>-3.2400000000000005E-2</v>
      </c>
      <c r="D14" s="15">
        <v>-1.2800000000000001E-2</v>
      </c>
      <c r="E14" s="15">
        <v>3.1400000000000004E-2</v>
      </c>
      <c r="F14" s="30">
        <f>'FF3 Regression'!$B$17+'FF3 Regression'!$B$18*Returns!C14+'FF3 Regression'!$B$19*Returns!D14+'FF3 Regression'!$B$20*Returns!E14</f>
        <v>-5.7742344063728697E-2</v>
      </c>
      <c r="G14" s="30">
        <f t="shared" si="0"/>
        <v>-2.9130655936271309E-2</v>
      </c>
      <c r="H14" s="15"/>
      <c r="I14" s="15"/>
      <c r="J14" s="21"/>
      <c r="K14" s="21"/>
    </row>
    <row r="15" spans="1:13" x14ac:dyDescent="0.6">
      <c r="A15" s="17">
        <v>29983</v>
      </c>
      <c r="B15" s="15">
        <v>-0.113176</v>
      </c>
      <c r="C15" s="15">
        <v>-5.8600000000000006E-2</v>
      </c>
      <c r="D15" s="15">
        <v>4.7999999999999996E-3</v>
      </c>
      <c r="E15" s="15">
        <v>6.0700000000000004E-2</v>
      </c>
      <c r="F15" s="30">
        <f>'FF3 Regression'!$B$17+'FF3 Regression'!$B$18*Returns!C15+'FF3 Regression'!$B$19*Returns!D15+'FF3 Regression'!$B$20*Returns!E15</f>
        <v>-0.11139687755636171</v>
      </c>
      <c r="G15" s="30">
        <f t="shared" si="0"/>
        <v>-1.7791224436382869E-3</v>
      </c>
      <c r="H15" s="15"/>
      <c r="I15" s="15"/>
      <c r="J15" s="21"/>
      <c r="K15" s="21"/>
    </row>
    <row r="16" spans="1:13" x14ac:dyDescent="0.6">
      <c r="A16" s="17">
        <v>30011</v>
      </c>
      <c r="B16" s="15">
        <v>-8.4885000000000002E-2</v>
      </c>
      <c r="C16" s="15">
        <v>-1.8700000000000001E-2</v>
      </c>
      <c r="D16" s="15">
        <v>-2E-3</v>
      </c>
      <c r="E16" s="15">
        <v>3.78E-2</v>
      </c>
      <c r="F16" s="30">
        <f>'FF3 Regression'!$B$17+'FF3 Regression'!$B$18*Returns!C16+'FF3 Regression'!$B$19*Returns!D16+'FF3 Regression'!$B$20*Returns!E16</f>
        <v>-4.3688295925594207E-2</v>
      </c>
      <c r="G16" s="30">
        <f t="shared" si="0"/>
        <v>-4.1196704074405795E-2</v>
      </c>
      <c r="H16" s="15"/>
      <c r="I16" s="15"/>
      <c r="J16" s="21"/>
      <c r="K16" s="21"/>
    </row>
    <row r="17" spans="1:11" x14ac:dyDescent="0.6">
      <c r="A17" s="17">
        <v>30042</v>
      </c>
      <c r="B17" s="15">
        <v>-0.13676099999999999</v>
      </c>
      <c r="C17" s="15">
        <v>3.2700000000000007E-2</v>
      </c>
      <c r="D17" s="15">
        <v>1.5100000000000001E-2</v>
      </c>
      <c r="E17" s="15">
        <v>-2.81E-2</v>
      </c>
      <c r="F17" s="30">
        <f>'FF3 Regression'!$B$17+'FF3 Regression'!$B$18*Returns!C17+'FF3 Regression'!$B$19*Returns!D17+'FF3 Regression'!$B$20*Returns!E17</f>
        <v>8.354568395634121E-2</v>
      </c>
      <c r="G17" s="30">
        <f t="shared" si="0"/>
        <v>-0.2203066839563412</v>
      </c>
      <c r="H17" s="15"/>
      <c r="I17" s="15"/>
      <c r="J17" s="21"/>
      <c r="K17" s="21"/>
    </row>
    <row r="18" spans="1:11" x14ac:dyDescent="0.6">
      <c r="A18" s="17">
        <v>30072</v>
      </c>
      <c r="B18" s="15">
        <v>-6.1232999999999996E-2</v>
      </c>
      <c r="C18" s="15">
        <v>-3.9900000000000005E-2</v>
      </c>
      <c r="D18" s="15">
        <v>4.6999999999999993E-3</v>
      </c>
      <c r="E18" s="15">
        <v>1.8200000000000001E-2</v>
      </c>
      <c r="F18" s="30">
        <f>'FF3 Regression'!$B$17+'FF3 Regression'!$B$18*Returns!C18+'FF3 Regression'!$B$19*Returns!D18+'FF3 Regression'!$B$20*Returns!E18</f>
        <v>-5.0173752204489802E-2</v>
      </c>
      <c r="G18" s="30">
        <f t="shared" si="0"/>
        <v>-1.1059247795510194E-2</v>
      </c>
      <c r="H18" s="15"/>
      <c r="I18" s="15"/>
      <c r="J18" s="21"/>
      <c r="K18" s="21"/>
    </row>
    <row r="19" spans="1:11" x14ac:dyDescent="0.6">
      <c r="A19" s="17">
        <v>30103</v>
      </c>
      <c r="B19" s="15">
        <v>-9.8488999999999993E-2</v>
      </c>
      <c r="C19" s="15">
        <v>-3.0899999999999997E-2</v>
      </c>
      <c r="D19" s="15">
        <v>-4.0000000000000001E-3</v>
      </c>
      <c r="E19" s="15">
        <v>1.5100000000000001E-2</v>
      </c>
      <c r="F19" s="30">
        <f>'FF3 Regression'!$B$17+'FF3 Regression'!$B$18*Returns!C19+'FF3 Regression'!$B$19*Returns!D19+'FF3 Regression'!$B$20*Returns!E19</f>
        <v>-3.8759371910236554E-2</v>
      </c>
      <c r="G19" s="30">
        <f t="shared" si="0"/>
        <v>-5.972962808976344E-2</v>
      </c>
      <c r="H19" s="15"/>
      <c r="I19" s="15"/>
      <c r="J19" s="21"/>
      <c r="K19" s="21"/>
    </row>
    <row r="20" spans="1:11" x14ac:dyDescent="0.6">
      <c r="A20" s="17">
        <v>30133</v>
      </c>
      <c r="B20" s="15">
        <v>4.8036999999999996E-2</v>
      </c>
      <c r="C20" s="15">
        <v>-3.1899999999999998E-2</v>
      </c>
      <c r="D20" s="15">
        <v>8.3999999999999995E-3</v>
      </c>
      <c r="E20" s="15">
        <v>1.5E-3</v>
      </c>
      <c r="F20" s="30">
        <f>'FF3 Regression'!$B$17+'FF3 Regression'!$B$18*Returns!C20+'FF3 Regression'!$B$19*Returns!D20+'FF3 Regression'!$B$20*Returns!E20</f>
        <v>-2.4274600131065981E-2</v>
      </c>
      <c r="G20" s="30">
        <f t="shared" si="0"/>
        <v>7.2311600131065981E-2</v>
      </c>
      <c r="H20" s="15"/>
      <c r="I20" s="15"/>
      <c r="J20" s="21"/>
      <c r="K20" s="21"/>
    </row>
    <row r="21" spans="1:11" x14ac:dyDescent="0.6">
      <c r="A21" s="17">
        <v>30164</v>
      </c>
      <c r="B21" s="15">
        <v>0.32419700000000001</v>
      </c>
      <c r="C21" s="15">
        <v>0.11140000000000001</v>
      </c>
      <c r="D21" s="15">
        <v>-4.0999999999999995E-2</v>
      </c>
      <c r="E21" s="15">
        <v>1.15E-2</v>
      </c>
      <c r="F21" s="30">
        <f>'FF3 Regression'!$B$17+'FF3 Regression'!$B$18*Returns!C21+'FF3 Regression'!$B$19*Returns!D21+'FF3 Regression'!$B$20*Returns!E21</f>
        <v>0.12880519560552428</v>
      </c>
      <c r="G21" s="30">
        <f t="shared" si="0"/>
        <v>0.19539180439447573</v>
      </c>
      <c r="H21" s="15"/>
      <c r="I21" s="15"/>
      <c r="J21" s="21"/>
      <c r="K21" s="21"/>
    </row>
    <row r="22" spans="1:11" x14ac:dyDescent="0.6">
      <c r="A22" s="17">
        <v>30195</v>
      </c>
      <c r="B22" s="15">
        <v>8.7409999999999988E-3</v>
      </c>
      <c r="C22" s="15">
        <v>1.2900000000000002E-2</v>
      </c>
      <c r="D22" s="15">
        <v>2.8900000000000002E-2</v>
      </c>
      <c r="E22" s="15">
        <v>3.3E-3</v>
      </c>
      <c r="F22" s="30">
        <f>'FF3 Regression'!$B$17+'FF3 Regression'!$B$18*Returns!C22+'FF3 Regression'!$B$19*Returns!D22+'FF3 Regression'!$B$20*Returns!E22</f>
        <v>3.479376459782621E-2</v>
      </c>
      <c r="G22" s="30">
        <f t="shared" si="0"/>
        <v>-2.6052764597826211E-2</v>
      </c>
      <c r="H22" s="15"/>
      <c r="I22" s="15"/>
      <c r="J22" s="21"/>
      <c r="K22" s="21"/>
    </row>
    <row r="23" spans="1:11" x14ac:dyDescent="0.6">
      <c r="A23" s="17">
        <v>30225</v>
      </c>
      <c r="B23" s="15">
        <v>0.37976599999999999</v>
      </c>
      <c r="C23" s="15">
        <v>0.113</v>
      </c>
      <c r="D23" s="15">
        <v>2.3599999999999999E-2</v>
      </c>
      <c r="E23" s="15">
        <v>-3.7100000000000001E-2</v>
      </c>
      <c r="F23" s="30">
        <f>'FF3 Regression'!$B$17+'FF3 Regression'!$B$18*Returns!C23+'FF3 Regression'!$B$19*Returns!D23+'FF3 Regression'!$B$20*Returns!E23</f>
        <v>0.19256909116634782</v>
      </c>
      <c r="G23" s="30">
        <f t="shared" si="0"/>
        <v>0.18719690883365217</v>
      </c>
      <c r="H23" s="15"/>
      <c r="I23" s="15"/>
      <c r="J23" s="21"/>
      <c r="K23" s="21"/>
    </row>
    <row r="24" spans="1:11" x14ac:dyDescent="0.6">
      <c r="A24" s="17">
        <v>30256</v>
      </c>
      <c r="B24" s="15">
        <v>0.249858</v>
      </c>
      <c r="C24" s="15">
        <v>4.6699999999999998E-2</v>
      </c>
      <c r="D24" s="15">
        <v>4.7800000000000002E-2</v>
      </c>
      <c r="E24" s="15">
        <v>-1.9900000000000001E-2</v>
      </c>
      <c r="F24" s="30">
        <f>'FF3 Regression'!$B$17+'FF3 Regression'!$B$18*Returns!C24+'FF3 Regression'!$B$19*Returns!D24+'FF3 Regression'!$B$20*Returns!E24</f>
        <v>0.10244798338223991</v>
      </c>
      <c r="G24" s="30">
        <f t="shared" si="0"/>
        <v>0.1474100166177601</v>
      </c>
      <c r="H24" s="15"/>
      <c r="I24" s="15"/>
      <c r="J24" s="21"/>
      <c r="K24" s="21"/>
    </row>
    <row r="25" spans="1:11" x14ac:dyDescent="0.6">
      <c r="A25" s="17">
        <v>30286</v>
      </c>
      <c r="B25" s="15">
        <v>-6.9444999999999993E-2</v>
      </c>
      <c r="C25" s="15">
        <v>5.5000000000000023E-3</v>
      </c>
      <c r="D25" s="15">
        <v>-2.0999999999999999E-3</v>
      </c>
      <c r="E25" s="15">
        <v>8.9999999999999998E-4</v>
      </c>
      <c r="F25" s="30">
        <f>'FF3 Regression'!$B$17+'FF3 Regression'!$B$18*Returns!C25+'FF3 Regression'!$B$19*Returns!D25+'FF3 Regression'!$B$20*Returns!E25</f>
        <v>1.9237498576882114E-2</v>
      </c>
      <c r="G25" s="30">
        <f t="shared" si="0"/>
        <v>-8.868249857688211E-2</v>
      </c>
      <c r="H25" s="15"/>
      <c r="I25" s="15"/>
      <c r="J25" s="21"/>
      <c r="K25" s="21"/>
    </row>
    <row r="26" spans="1:11" x14ac:dyDescent="0.6">
      <c r="A26" s="17">
        <v>30317</v>
      </c>
      <c r="B26" s="15">
        <v>0.36130099999999998</v>
      </c>
      <c r="C26" s="15">
        <v>3.6000000000000004E-2</v>
      </c>
      <c r="D26" s="15">
        <v>2.69E-2</v>
      </c>
      <c r="E26" s="15">
        <v>-8.6E-3</v>
      </c>
      <c r="F26" s="30">
        <f>'FF3 Regression'!$B$17+'FF3 Regression'!$B$18*Returns!C26+'FF3 Regression'!$B$19*Returns!D26+'FF3 Regression'!$B$20*Returns!E26</f>
        <v>7.3309379674907499E-2</v>
      </c>
      <c r="G26" s="30">
        <f t="shared" si="0"/>
        <v>0.28799162032509251</v>
      </c>
      <c r="H26" s="15"/>
      <c r="I26" s="15"/>
      <c r="J26" s="21"/>
      <c r="K26" s="21"/>
    </row>
    <row r="27" spans="1:11" x14ac:dyDescent="0.6">
      <c r="A27" s="17">
        <v>30348</v>
      </c>
      <c r="B27" s="15">
        <v>0.11000800000000001</v>
      </c>
      <c r="C27" s="15">
        <v>2.5899999999999996E-2</v>
      </c>
      <c r="D27" s="15">
        <v>3.2400000000000005E-2</v>
      </c>
      <c r="E27" s="15">
        <v>6.5000000000000006E-3</v>
      </c>
      <c r="F27" s="30">
        <f>'FF3 Regression'!$B$17+'FF3 Regression'!$B$18*Returns!C27+'FF3 Regression'!$B$19*Returns!D27+'FF3 Regression'!$B$20*Returns!E27</f>
        <v>4.8838618774274402E-2</v>
      </c>
      <c r="G27" s="30">
        <f t="shared" si="0"/>
        <v>6.1169381225725607E-2</v>
      </c>
      <c r="H27" s="15"/>
      <c r="I27" s="15"/>
      <c r="J27" s="21"/>
      <c r="K27" s="21"/>
    </row>
    <row r="28" spans="1:11" x14ac:dyDescent="0.6">
      <c r="A28" s="17">
        <v>30376</v>
      </c>
      <c r="B28" s="15">
        <v>-8.0272999999999997E-2</v>
      </c>
      <c r="C28" s="15">
        <v>2.8199999999999996E-2</v>
      </c>
      <c r="D28" s="15">
        <v>1.7600000000000001E-2</v>
      </c>
      <c r="E28" s="15">
        <v>2.0899999999999998E-2</v>
      </c>
      <c r="F28" s="30">
        <f>'FF3 Regression'!$B$17+'FF3 Regression'!$B$18*Returns!C28+'FF3 Regression'!$B$19*Returns!D28+'FF3 Regression'!$B$20*Returns!E28</f>
        <v>3.4559468115224375E-2</v>
      </c>
      <c r="G28" s="30">
        <f t="shared" si="0"/>
        <v>-0.11483246811522438</v>
      </c>
      <c r="H28" s="15"/>
      <c r="I28" s="15"/>
      <c r="J28" s="21"/>
      <c r="K28" s="21"/>
    </row>
    <row r="29" spans="1:11" x14ac:dyDescent="0.6">
      <c r="A29" s="17">
        <v>30407</v>
      </c>
      <c r="B29" s="15">
        <v>0.188166</v>
      </c>
      <c r="C29" s="15">
        <v>6.6700000000000009E-2</v>
      </c>
      <c r="D29" s="15">
        <v>5.5000000000000005E-3</v>
      </c>
      <c r="E29" s="15">
        <v>5.5000000000000005E-3</v>
      </c>
      <c r="F29" s="30">
        <f>'FF3 Regression'!$B$17+'FF3 Regression'!$B$18*Returns!C29+'FF3 Regression'!$B$19*Returns!D29+'FF3 Regression'!$B$20*Returns!E29</f>
        <v>9.2313908205460982E-2</v>
      </c>
      <c r="G29" s="30">
        <f t="shared" si="0"/>
        <v>9.5852091794539018E-2</v>
      </c>
      <c r="H29" s="15"/>
      <c r="I29" s="15"/>
      <c r="J29" s="21"/>
      <c r="K29" s="21"/>
    </row>
    <row r="30" spans="1:11" x14ac:dyDescent="0.6">
      <c r="A30" s="17">
        <v>30437</v>
      </c>
      <c r="B30" s="15">
        <v>0.13666400000000001</v>
      </c>
      <c r="C30" s="15">
        <v>5.1999999999999998E-3</v>
      </c>
      <c r="D30" s="15">
        <v>6.1600000000000002E-2</v>
      </c>
      <c r="E30" s="15">
        <v>-1.4199999999999999E-2</v>
      </c>
      <c r="F30" s="30">
        <f>'FF3 Regression'!$B$17+'FF3 Regression'!$B$18*Returns!C30+'FF3 Regression'!$B$19*Returns!D30+'FF3 Regression'!$B$20*Returns!E30</f>
        <v>5.0227617001522146E-2</v>
      </c>
      <c r="G30" s="30">
        <f t="shared" si="0"/>
        <v>8.6436382998477862E-2</v>
      </c>
      <c r="H30" s="15"/>
      <c r="I30" s="15"/>
      <c r="J30" s="21"/>
      <c r="K30" s="21"/>
    </row>
    <row r="31" spans="1:11" x14ac:dyDescent="0.6">
      <c r="A31" s="17">
        <v>30468</v>
      </c>
      <c r="B31" s="15">
        <v>-0.16038000000000002</v>
      </c>
      <c r="C31" s="15">
        <v>3.0699999999999995E-2</v>
      </c>
      <c r="D31" s="15">
        <v>9.1000000000000004E-3</v>
      </c>
      <c r="E31" s="15">
        <v>-3.85E-2</v>
      </c>
      <c r="F31" s="30">
        <f>'FF3 Regression'!$B$17+'FF3 Regression'!$B$18*Returns!C31+'FF3 Regression'!$B$19*Returns!D31+'FF3 Regression'!$B$20*Returns!E31</f>
        <v>8.8792254933035275E-2</v>
      </c>
      <c r="G31" s="30">
        <f t="shared" si="0"/>
        <v>-0.2491722549330353</v>
      </c>
      <c r="H31" s="15"/>
      <c r="I31" s="15"/>
      <c r="J31" s="21"/>
      <c r="K31" s="21"/>
    </row>
    <row r="32" spans="1:11" x14ac:dyDescent="0.6">
      <c r="A32" s="17">
        <v>30498</v>
      </c>
      <c r="B32" s="15">
        <v>-0.29384500000000002</v>
      </c>
      <c r="C32" s="15">
        <v>-4.07E-2</v>
      </c>
      <c r="D32" s="15">
        <v>1.46E-2</v>
      </c>
      <c r="E32" s="15">
        <v>5.6100000000000004E-2</v>
      </c>
      <c r="F32" s="30">
        <f>'FF3 Regression'!$B$17+'FF3 Regression'!$B$18*Returns!C32+'FF3 Regression'!$B$19*Returns!D32+'FF3 Regression'!$B$20*Returns!E32</f>
        <v>-8.2553681836431497E-2</v>
      </c>
      <c r="G32" s="30">
        <f t="shared" si="0"/>
        <v>-0.21129131816356853</v>
      </c>
      <c r="H32" s="15"/>
      <c r="I32" s="15"/>
      <c r="J32" s="21"/>
      <c r="K32" s="21"/>
    </row>
    <row r="33" spans="1:11" x14ac:dyDescent="0.6">
      <c r="A33" s="17">
        <v>30529</v>
      </c>
      <c r="B33" s="15">
        <v>6.0499999999999991E-2</v>
      </c>
      <c r="C33" s="15">
        <v>-5.0000000000000001E-3</v>
      </c>
      <c r="D33" s="15">
        <v>-4.2900000000000001E-2</v>
      </c>
      <c r="E33" s="15">
        <v>5.5300000000000002E-2</v>
      </c>
      <c r="F33" s="30">
        <f>'FF3 Regression'!$B$17+'FF3 Regression'!$B$18*Returns!C33+'FF3 Regression'!$B$19*Returns!D33+'FF3 Regression'!$B$20*Returns!E33</f>
        <v>-5.4043857498712232E-2</v>
      </c>
      <c r="G33" s="30">
        <f t="shared" si="0"/>
        <v>0.11454385749871222</v>
      </c>
      <c r="H33" s="15"/>
      <c r="I33" s="15"/>
      <c r="J33" s="21"/>
      <c r="K33" s="21"/>
    </row>
    <row r="34" spans="1:11" x14ac:dyDescent="0.6">
      <c r="A34" s="17">
        <v>30560</v>
      </c>
      <c r="B34" s="15">
        <v>-0.386795</v>
      </c>
      <c r="C34" s="15">
        <v>9.2000000000000033E-3</v>
      </c>
      <c r="D34" s="15">
        <v>5.6000000000000008E-3</v>
      </c>
      <c r="E34" s="15">
        <v>1.1000000000000001E-2</v>
      </c>
      <c r="F34" s="30">
        <f>'FF3 Regression'!$B$17+'FF3 Regression'!$B$18*Returns!C34+'FF3 Regression'!$B$19*Returns!D34+'FF3 Regression'!$B$20*Returns!E34</f>
        <v>1.6821226160172086E-2</v>
      </c>
      <c r="G34" s="30">
        <f t="shared" si="0"/>
        <v>-0.40361622616017206</v>
      </c>
      <c r="H34" s="15"/>
      <c r="I34" s="15"/>
      <c r="J34" s="21"/>
      <c r="K34" s="21"/>
    </row>
    <row r="35" spans="1:11" x14ac:dyDescent="0.6">
      <c r="A35" s="17">
        <v>30590</v>
      </c>
      <c r="B35" s="15">
        <v>-2.9221999999999998E-2</v>
      </c>
      <c r="C35" s="15">
        <v>-3.44E-2</v>
      </c>
      <c r="D35" s="15">
        <v>-3.6000000000000004E-2</v>
      </c>
      <c r="E35" s="15">
        <v>5.0599999999999999E-2</v>
      </c>
      <c r="F35" s="30">
        <f>'FF3 Regression'!$B$17+'FF3 Regression'!$B$18*Returns!C35+'FF3 Regression'!$B$19*Returns!D35+'FF3 Regression'!$B$20*Returns!E35</f>
        <v>-8.3964971303156222E-2</v>
      </c>
      <c r="G35" s="30">
        <f t="shared" si="0"/>
        <v>5.4742971303156224E-2</v>
      </c>
      <c r="H35" s="15"/>
      <c r="I35" s="15"/>
      <c r="J35" s="21"/>
      <c r="K35" s="21"/>
    </row>
    <row r="36" spans="1:11" x14ac:dyDescent="0.6">
      <c r="A36" s="17">
        <v>30621</v>
      </c>
      <c r="B36" s="15">
        <v>-0.10644799999999999</v>
      </c>
      <c r="C36" s="15">
        <v>2.1600000000000005E-2</v>
      </c>
      <c r="D36" s="15">
        <v>2.0299999999999999E-2</v>
      </c>
      <c r="E36" s="15">
        <v>-6.0999999999999995E-3</v>
      </c>
      <c r="F36" s="30">
        <f>'FF3 Regression'!$B$17+'FF3 Regression'!$B$18*Returns!C36+'FF3 Regression'!$B$19*Returns!D36+'FF3 Regression'!$B$20*Returns!E36</f>
        <v>5.1545622149126682E-2</v>
      </c>
      <c r="G36" s="30">
        <f t="shared" si="0"/>
        <v>-0.15799362214912666</v>
      </c>
      <c r="H36" s="15"/>
      <c r="I36" s="15"/>
      <c r="J36" s="21"/>
      <c r="K36" s="21"/>
    </row>
    <row r="37" spans="1:11" x14ac:dyDescent="0.6">
      <c r="A37" s="17">
        <v>30651</v>
      </c>
      <c r="B37" s="15">
        <v>0.18901899999999999</v>
      </c>
      <c r="C37" s="15">
        <v>-1.78E-2</v>
      </c>
      <c r="D37" s="15">
        <v>-3.0000000000000001E-3</v>
      </c>
      <c r="E37" s="15">
        <v>1.6799999999999999E-2</v>
      </c>
      <c r="F37" s="30">
        <f>'FF3 Regression'!$B$17+'FF3 Regression'!$B$18*Returns!C37+'FF3 Regression'!$B$19*Returns!D37+'FF3 Regression'!$B$20*Returns!E37</f>
        <v>-2.3936558844678355E-2</v>
      </c>
      <c r="G37" s="30">
        <f t="shared" si="0"/>
        <v>0.21295555884467834</v>
      </c>
      <c r="H37" s="15"/>
      <c r="I37" s="15"/>
      <c r="J37" s="21"/>
      <c r="K37" s="21"/>
    </row>
    <row r="38" spans="1:11" x14ac:dyDescent="0.6">
      <c r="A38" s="17">
        <v>30682</v>
      </c>
      <c r="B38" s="15">
        <v>7.7849999999999994E-3</v>
      </c>
      <c r="C38" s="15">
        <v>-1.9199999999999998E-2</v>
      </c>
      <c r="D38" s="15">
        <v>-4.1999999999999997E-3</v>
      </c>
      <c r="E38" s="15">
        <v>7.6200000000000004E-2</v>
      </c>
      <c r="F38" s="30">
        <f>'FF3 Regression'!$B$17+'FF3 Regression'!$B$18*Returns!C38+'FF3 Regression'!$B$19*Returns!D38+'FF3 Regression'!$B$20*Returns!E38</f>
        <v>-7.9522281174115625E-2</v>
      </c>
      <c r="G38" s="30">
        <f t="shared" si="0"/>
        <v>8.7307281174115625E-2</v>
      </c>
      <c r="H38" s="15"/>
      <c r="I38" s="15"/>
      <c r="J38" s="21"/>
      <c r="K38" s="21"/>
    </row>
    <row r="39" spans="1:11" x14ac:dyDescent="0.6">
      <c r="A39" s="17">
        <v>30713</v>
      </c>
      <c r="B39" s="15">
        <v>5.3505999999999998E-2</v>
      </c>
      <c r="C39" s="15">
        <v>-4.8200000000000007E-2</v>
      </c>
      <c r="D39" s="15">
        <v>-1.7000000000000001E-2</v>
      </c>
      <c r="E39" s="15">
        <v>3.3399999999999999E-2</v>
      </c>
      <c r="F39" s="30">
        <f>'FF3 Regression'!$B$17+'FF3 Regression'!$B$18*Returns!C39+'FF3 Regression'!$B$19*Returns!D39+'FF3 Regression'!$B$20*Returns!E39</f>
        <v>-8.0104812370165604E-2</v>
      </c>
      <c r="G39" s="30">
        <f t="shared" si="0"/>
        <v>0.13361081237016559</v>
      </c>
      <c r="H39" s="15"/>
      <c r="I39" s="15"/>
      <c r="J39" s="21"/>
      <c r="K39" s="21"/>
    </row>
    <row r="40" spans="1:11" x14ac:dyDescent="0.6">
      <c r="A40" s="17">
        <v>30742</v>
      </c>
      <c r="B40" s="15">
        <v>-6.4443E-2</v>
      </c>
      <c r="C40" s="15">
        <v>6.2999999999999992E-3</v>
      </c>
      <c r="D40" s="15">
        <v>7.000000000000001E-4</v>
      </c>
      <c r="E40" s="15">
        <v>4.8999999999999998E-3</v>
      </c>
      <c r="F40" s="30">
        <f>'FF3 Regression'!$B$17+'FF3 Regression'!$B$18*Returns!C40+'FF3 Regression'!$B$19*Returns!D40+'FF3 Regression'!$B$20*Returns!E40</f>
        <v>1.7394525330761773E-2</v>
      </c>
      <c r="G40" s="30">
        <f t="shared" si="0"/>
        <v>-8.1837525330761773E-2</v>
      </c>
      <c r="H40" s="15"/>
      <c r="I40" s="15"/>
      <c r="J40" s="21"/>
      <c r="K40" s="21"/>
    </row>
    <row r="41" spans="1:11" x14ac:dyDescent="0.6">
      <c r="A41" s="17">
        <v>30773</v>
      </c>
      <c r="B41" s="15">
        <v>0.259577</v>
      </c>
      <c r="C41" s="15">
        <v>-5.2000000000000015E-3</v>
      </c>
      <c r="D41" s="15">
        <v>-1.2E-2</v>
      </c>
      <c r="E41" s="15">
        <v>1.29E-2</v>
      </c>
      <c r="F41" s="30">
        <f>'FF3 Regression'!$B$17+'FF3 Regression'!$B$18*Returns!C41+'FF3 Regression'!$B$19*Returns!D41+'FF3 Regression'!$B$20*Returns!E41</f>
        <v>-7.4668799271671998E-3</v>
      </c>
      <c r="G41" s="30">
        <f t="shared" si="0"/>
        <v>0.26704387992716722</v>
      </c>
      <c r="H41" s="15"/>
      <c r="I41" s="15"/>
      <c r="J41" s="21"/>
      <c r="K41" s="21"/>
    </row>
    <row r="42" spans="1:11" x14ac:dyDescent="0.6">
      <c r="A42" s="17">
        <v>30803</v>
      </c>
      <c r="B42" s="15">
        <v>-7.1544999999999997E-2</v>
      </c>
      <c r="C42" s="15">
        <v>-5.9699999999999996E-2</v>
      </c>
      <c r="D42" s="15">
        <v>5.0000000000000001E-4</v>
      </c>
      <c r="E42" s="15">
        <v>2.3E-3</v>
      </c>
      <c r="F42" s="30">
        <f>'FF3 Regression'!$B$17+'FF3 Regression'!$B$18*Returns!C42+'FF3 Regression'!$B$19*Returns!D42+'FF3 Regression'!$B$20*Returns!E42</f>
        <v>-6.1312922808021121E-2</v>
      </c>
      <c r="G42" s="30">
        <f t="shared" si="0"/>
        <v>-1.0232077191978876E-2</v>
      </c>
      <c r="H42" s="15"/>
      <c r="I42" s="15"/>
      <c r="J42" s="21"/>
      <c r="K42" s="21"/>
    </row>
    <row r="43" spans="1:11" x14ac:dyDescent="0.6">
      <c r="A43" s="17">
        <v>30834</v>
      </c>
      <c r="B43" s="15">
        <v>-0.10537199999999999</v>
      </c>
      <c r="C43" s="15">
        <v>1.8200000000000004E-2</v>
      </c>
      <c r="D43" s="15">
        <v>-3.2000000000000002E-3</v>
      </c>
      <c r="E43" s="15">
        <v>-2.6000000000000002E-2</v>
      </c>
      <c r="F43" s="30">
        <f>'FF3 Regression'!$B$17+'FF3 Regression'!$B$18*Returns!C43+'FF3 Regression'!$B$19*Returns!D43+'FF3 Regression'!$B$20*Returns!E43</f>
        <v>5.8759560466937422E-2</v>
      </c>
      <c r="G43" s="30">
        <f t="shared" si="0"/>
        <v>-0.16413156046693742</v>
      </c>
      <c r="H43" s="15"/>
      <c r="I43" s="15"/>
      <c r="J43" s="21"/>
      <c r="K43" s="21"/>
    </row>
    <row r="44" spans="1:11" x14ac:dyDescent="0.6">
      <c r="A44" s="17">
        <v>30864</v>
      </c>
      <c r="B44" s="15">
        <v>-4.5935999999999998E-2</v>
      </c>
      <c r="C44" s="15">
        <v>-2.7400000000000004E-2</v>
      </c>
      <c r="D44" s="15">
        <v>-2.2099999999999998E-2</v>
      </c>
      <c r="E44" s="15">
        <v>4.4000000000000003E-3</v>
      </c>
      <c r="F44" s="30">
        <f>'FF3 Regression'!$B$17+'FF3 Regression'!$B$18*Returns!C44+'FF3 Regression'!$B$19*Returns!D44+'FF3 Regression'!$B$20*Returns!E44</f>
        <v>-2.9864451227024406E-2</v>
      </c>
      <c r="G44" s="30">
        <f t="shared" si="0"/>
        <v>-1.6071548772975591E-2</v>
      </c>
      <c r="H44" s="15"/>
      <c r="I44" s="15"/>
      <c r="J44" s="21"/>
      <c r="K44" s="21"/>
    </row>
    <row r="45" spans="1:11" x14ac:dyDescent="0.6">
      <c r="A45" s="17">
        <v>30895</v>
      </c>
      <c r="B45" s="15">
        <v>3.0915999999999999E-2</v>
      </c>
      <c r="C45" s="15">
        <v>0.10279999999999999</v>
      </c>
      <c r="D45" s="15">
        <v>-2.5999999999999999E-3</v>
      </c>
      <c r="E45" s="15">
        <v>-1.8200000000000001E-2</v>
      </c>
      <c r="F45" s="30">
        <f>'FF3 Regression'!$B$17+'FF3 Regression'!$B$18*Returns!C45+'FF3 Regression'!$B$19*Returns!D45+'FF3 Regression'!$B$20*Returns!E45</f>
        <v>0.15571789468869002</v>
      </c>
      <c r="G45" s="30">
        <f t="shared" si="0"/>
        <v>-0.12480189468869002</v>
      </c>
      <c r="H45" s="15"/>
      <c r="I45" s="15"/>
      <c r="J45" s="21"/>
      <c r="K45" s="21"/>
    </row>
    <row r="46" spans="1:11" x14ac:dyDescent="0.6">
      <c r="A46" s="17">
        <v>30926</v>
      </c>
      <c r="B46" s="15">
        <v>-6.0486999999999999E-2</v>
      </c>
      <c r="C46" s="15">
        <v>-8.0000000000000002E-3</v>
      </c>
      <c r="D46" s="15">
        <v>2E-3</v>
      </c>
      <c r="E46" s="15">
        <v>5.3099999999999994E-2</v>
      </c>
      <c r="F46" s="30">
        <f>'FF3 Regression'!$B$17+'FF3 Regression'!$B$18*Returns!C46+'FF3 Regression'!$B$19*Returns!D46+'FF3 Regression'!$B$20*Returns!E46</f>
        <v>-4.3231596357635543E-2</v>
      </c>
      <c r="G46" s="30">
        <f t="shared" si="0"/>
        <v>-1.7255403642364456E-2</v>
      </c>
      <c r="H46" s="15"/>
      <c r="I46" s="15"/>
      <c r="J46" s="21"/>
      <c r="K46" s="21"/>
    </row>
    <row r="47" spans="1:11" x14ac:dyDescent="0.6">
      <c r="A47" s="17">
        <v>30956</v>
      </c>
      <c r="B47" s="15">
        <v>-1.9950000000000002E-2</v>
      </c>
      <c r="C47" s="15">
        <v>-8.3999999999999995E-3</v>
      </c>
      <c r="D47" s="15">
        <v>-1.2E-2</v>
      </c>
      <c r="E47" s="15">
        <v>4.7999999999999996E-3</v>
      </c>
      <c r="F47" s="30">
        <f>'FF3 Regression'!$B$17+'FF3 Regression'!$B$18*Returns!C47+'FF3 Regression'!$B$19*Returns!D47+'FF3 Regression'!$B$20*Returns!E47</f>
        <v>-4.0939146495690649E-3</v>
      </c>
      <c r="G47" s="30">
        <f t="shared" si="0"/>
        <v>-1.5856085350430937E-2</v>
      </c>
      <c r="H47" s="15"/>
      <c r="I47" s="15"/>
      <c r="J47" s="21"/>
      <c r="K47" s="21"/>
    </row>
    <row r="48" spans="1:11" x14ac:dyDescent="0.6">
      <c r="A48" s="17">
        <v>30987</v>
      </c>
      <c r="B48" s="15">
        <v>-1.2324999999999999E-2</v>
      </c>
      <c r="C48" s="15">
        <v>-1.7600000000000001E-2</v>
      </c>
      <c r="D48" s="15">
        <v>-6.1999999999999998E-3</v>
      </c>
      <c r="E48" s="15">
        <v>4.0800000000000003E-2</v>
      </c>
      <c r="F48" s="30">
        <f>'FF3 Regression'!$B$17+'FF3 Regression'!$B$18*Returns!C48+'FF3 Regression'!$B$19*Returns!D48+'FF3 Regression'!$B$20*Returns!E48</f>
        <v>-4.6212387829875613E-2</v>
      </c>
      <c r="G48" s="30">
        <f t="shared" si="0"/>
        <v>3.3887387829875618E-2</v>
      </c>
      <c r="H48" s="15"/>
      <c r="I48" s="15"/>
      <c r="J48" s="21"/>
      <c r="K48" s="21"/>
    </row>
    <row r="49" spans="1:11" x14ac:dyDescent="0.6">
      <c r="A49" s="17">
        <v>31017</v>
      </c>
      <c r="B49" s="15">
        <v>0.17036800000000002</v>
      </c>
      <c r="C49" s="15">
        <v>1.84E-2</v>
      </c>
      <c r="D49" s="15">
        <v>-6.0000000000000001E-3</v>
      </c>
      <c r="E49" s="15">
        <v>-1.8E-3</v>
      </c>
      <c r="F49" s="30">
        <f>'FF3 Regression'!$B$17+'FF3 Regression'!$B$18*Returns!C49+'FF3 Regression'!$B$19*Returns!D49+'FF3 Regression'!$B$20*Returns!E49</f>
        <v>3.641494253650622E-2</v>
      </c>
      <c r="G49" s="30">
        <f t="shared" si="0"/>
        <v>0.13395305746349379</v>
      </c>
      <c r="H49" s="15"/>
      <c r="I49" s="15"/>
      <c r="J49" s="21"/>
      <c r="K49" s="21"/>
    </row>
    <row r="50" spans="1:11" x14ac:dyDescent="0.6">
      <c r="A50" s="17">
        <v>31048</v>
      </c>
      <c r="B50" s="15">
        <v>-1.0792E-2</v>
      </c>
      <c r="C50" s="15">
        <v>7.9899999999999999E-2</v>
      </c>
      <c r="D50" s="15">
        <v>3.2799999999999996E-2</v>
      </c>
      <c r="E50" s="15">
        <v>-5.4100000000000002E-2</v>
      </c>
      <c r="F50" s="30">
        <f>'FF3 Regression'!$B$17+'FF3 Regression'!$B$18*Returns!C50+'FF3 Regression'!$B$19*Returns!D50+'FF3 Regression'!$B$20*Returns!E50</f>
        <v>0.16983340794359</v>
      </c>
      <c r="G50" s="30">
        <f t="shared" si="0"/>
        <v>-0.18062540794359</v>
      </c>
      <c r="H50" s="15"/>
      <c r="I50" s="15"/>
      <c r="J50" s="21"/>
      <c r="K50" s="21"/>
    </row>
    <row r="51" spans="1:11" x14ac:dyDescent="0.6">
      <c r="A51" s="17">
        <v>31079</v>
      </c>
      <c r="B51" s="15">
        <v>-0.15235199999999999</v>
      </c>
      <c r="C51" s="15">
        <v>1.2199999999999999E-2</v>
      </c>
      <c r="D51" s="15">
        <v>7.6E-3</v>
      </c>
      <c r="E51" s="15">
        <v>-1.2999999999999999E-3</v>
      </c>
      <c r="F51" s="30">
        <f>'FF3 Regression'!$B$17+'FF3 Regression'!$B$18*Returns!C51+'FF3 Regression'!$B$19*Returns!D51+'FF3 Regression'!$B$20*Returns!E51</f>
        <v>3.2145275655908606E-2</v>
      </c>
      <c r="G51" s="30">
        <f t="shared" si="0"/>
        <v>-0.18449727565590859</v>
      </c>
      <c r="H51" s="15"/>
      <c r="I51" s="15"/>
      <c r="J51" s="21"/>
      <c r="K51" s="21"/>
    </row>
    <row r="52" spans="1:11" x14ac:dyDescent="0.6">
      <c r="A52" s="17">
        <v>31107</v>
      </c>
      <c r="B52" s="15">
        <v>-0.112261</v>
      </c>
      <c r="C52" s="15">
        <v>-8.3999999999999995E-3</v>
      </c>
      <c r="D52" s="15">
        <v>-1.15E-2</v>
      </c>
      <c r="E52" s="15">
        <v>4.0800000000000003E-2</v>
      </c>
      <c r="F52" s="30">
        <f>'FF3 Regression'!$B$17+'FF3 Regression'!$B$18*Returns!C52+'FF3 Regression'!$B$19*Returns!D52+'FF3 Regression'!$B$20*Returns!E52</f>
        <v>-3.639900141454662E-2</v>
      </c>
      <c r="G52" s="30">
        <f t="shared" si="0"/>
        <v>-7.586199858545338E-2</v>
      </c>
      <c r="H52" s="15"/>
      <c r="I52" s="15"/>
      <c r="J52" s="21"/>
      <c r="K52" s="21"/>
    </row>
    <row r="53" spans="1:11" x14ac:dyDescent="0.6">
      <c r="A53" s="17">
        <v>31138</v>
      </c>
      <c r="B53" s="15">
        <v>-4.6747999999999998E-2</v>
      </c>
      <c r="C53" s="15">
        <v>-9.5999999999999992E-3</v>
      </c>
      <c r="D53" s="15">
        <v>1.4000000000000002E-3</v>
      </c>
      <c r="E53" s="15">
        <v>3.7200000000000004E-2</v>
      </c>
      <c r="F53" s="30">
        <f>'FF3 Regression'!$B$17+'FF3 Regression'!$B$18*Returns!C53+'FF3 Regression'!$B$19*Returns!D53+'FF3 Regression'!$B$20*Returns!E53</f>
        <v>-3.1032682420183453E-2</v>
      </c>
      <c r="G53" s="30">
        <f t="shared" si="0"/>
        <v>-1.5715317579816545E-2</v>
      </c>
      <c r="H53" s="15"/>
      <c r="I53" s="15"/>
      <c r="J53" s="21"/>
      <c r="K53" s="21"/>
    </row>
    <row r="54" spans="1:11" x14ac:dyDescent="0.6">
      <c r="A54" s="17">
        <v>31168</v>
      </c>
      <c r="B54" s="15">
        <v>-0.18895299999999998</v>
      </c>
      <c r="C54" s="15">
        <v>5.0900000000000001E-2</v>
      </c>
      <c r="D54" s="15">
        <v>-2.2499999999999999E-2</v>
      </c>
      <c r="E54" s="15">
        <v>-8.8000000000000005E-3</v>
      </c>
      <c r="F54" s="30">
        <f>'FF3 Regression'!$B$17+'FF3 Regression'!$B$18*Returns!C54+'FF3 Regression'!$B$19*Returns!D54+'FF3 Regression'!$B$20*Returns!E54</f>
        <v>7.800980990455858E-2</v>
      </c>
      <c r="G54" s="30">
        <f t="shared" si="0"/>
        <v>-0.26696280990455856</v>
      </c>
      <c r="H54" s="15"/>
      <c r="I54" s="15"/>
      <c r="J54" s="21"/>
      <c r="K54" s="21"/>
    </row>
    <row r="55" spans="1:11" x14ac:dyDescent="0.6">
      <c r="A55" s="17">
        <v>31199</v>
      </c>
      <c r="B55" s="15">
        <v>3.0471000000000002E-2</v>
      </c>
      <c r="C55" s="15">
        <v>1.2699999999999999E-2</v>
      </c>
      <c r="D55" s="15">
        <v>5.6000000000000008E-3</v>
      </c>
      <c r="E55" s="15">
        <v>5.5000000000000005E-3</v>
      </c>
      <c r="F55" s="30">
        <f>'FF3 Regression'!$B$17+'FF3 Regression'!$B$18*Returns!C55+'FF3 Regression'!$B$19*Returns!D55+'FF3 Regression'!$B$20*Returns!E55</f>
        <v>2.6073196365149157E-2</v>
      </c>
      <c r="G55" s="30">
        <f t="shared" si="0"/>
        <v>4.3978036348508442E-3</v>
      </c>
      <c r="H55" s="15"/>
      <c r="I55" s="15"/>
      <c r="J55" s="21"/>
      <c r="K55" s="21"/>
    </row>
    <row r="56" spans="1:11" x14ac:dyDescent="0.6">
      <c r="A56" s="17">
        <v>31229</v>
      </c>
      <c r="B56" s="15">
        <v>-0.12425599999999999</v>
      </c>
      <c r="C56" s="15">
        <v>-7.3999999999999995E-3</v>
      </c>
      <c r="D56" s="15">
        <v>2.8500000000000001E-2</v>
      </c>
      <c r="E56" s="15">
        <v>-1.6299999999999999E-2</v>
      </c>
      <c r="F56" s="30">
        <f>'FF3 Regression'!$B$17+'FF3 Regression'!$B$18*Returns!C56+'FF3 Regression'!$B$19*Returns!D56+'FF3 Regression'!$B$20*Returns!E56</f>
        <v>2.7434409149444054E-2</v>
      </c>
      <c r="G56" s="30">
        <f t="shared" si="0"/>
        <v>-0.15169040914944404</v>
      </c>
      <c r="H56" s="15"/>
      <c r="I56" s="15"/>
      <c r="J56" s="21"/>
      <c r="K56" s="21"/>
    </row>
    <row r="57" spans="1:11" x14ac:dyDescent="0.6">
      <c r="A57" s="17">
        <v>31260</v>
      </c>
      <c r="B57" s="15">
        <v>-6.0617999999999998E-2</v>
      </c>
      <c r="C57" s="15">
        <v>-1.0200000000000001E-2</v>
      </c>
      <c r="D57" s="15">
        <v>-3.4000000000000002E-3</v>
      </c>
      <c r="E57" s="15">
        <v>2.2799999999999997E-2</v>
      </c>
      <c r="F57" s="30">
        <f>'FF3 Regression'!$B$17+'FF3 Regression'!$B$18*Returns!C57+'FF3 Regression'!$B$19*Returns!D57+'FF3 Regression'!$B$20*Returns!E57</f>
        <v>-2.0128729598592132E-2</v>
      </c>
      <c r="G57" s="30">
        <f t="shared" si="0"/>
        <v>-4.0489270401407866E-2</v>
      </c>
      <c r="H57" s="15"/>
      <c r="I57" s="15"/>
      <c r="J57" s="21"/>
      <c r="K57" s="21"/>
    </row>
    <row r="58" spans="1:11" x14ac:dyDescent="0.6">
      <c r="A58" s="17">
        <v>31291</v>
      </c>
      <c r="B58" s="15">
        <v>4.4000000000000004E-2</v>
      </c>
      <c r="C58" s="15">
        <v>-4.5399999999999996E-2</v>
      </c>
      <c r="D58" s="15">
        <v>-1.5800000000000002E-2</v>
      </c>
      <c r="E58" s="15">
        <v>1.32E-2</v>
      </c>
      <c r="F58" s="30">
        <f>'FF3 Regression'!$B$17+'FF3 Regression'!$B$18*Returns!C58+'FF3 Regression'!$B$19*Returns!D58+'FF3 Regression'!$B$20*Returns!E58</f>
        <v>-5.8129372284729502E-2</v>
      </c>
      <c r="G58" s="30">
        <f t="shared" si="0"/>
        <v>0.10212937228472951</v>
      </c>
      <c r="H58" s="15"/>
      <c r="I58" s="15"/>
      <c r="J58" s="21"/>
      <c r="K58" s="21"/>
    </row>
    <row r="59" spans="1:11" x14ac:dyDescent="0.6">
      <c r="A59" s="17">
        <v>31321</v>
      </c>
      <c r="B59" s="15">
        <v>0.17604</v>
      </c>
      <c r="C59" s="15">
        <v>4.02E-2</v>
      </c>
      <c r="D59" s="15">
        <v>-1.5700000000000002E-2</v>
      </c>
      <c r="E59" s="15">
        <v>7.8000000000000005E-3</v>
      </c>
      <c r="F59" s="30">
        <f>'FF3 Regression'!$B$17+'FF3 Regression'!$B$18*Returns!C59+'FF3 Regression'!$B$19*Returns!D59+'FF3 Regression'!$B$20*Returns!E59</f>
        <v>5.181311887231764E-2</v>
      </c>
      <c r="G59" s="30">
        <f t="shared" si="0"/>
        <v>0.12422688112768236</v>
      </c>
      <c r="H59" s="15"/>
      <c r="I59" s="15"/>
      <c r="J59" s="21"/>
      <c r="K59" s="21"/>
    </row>
    <row r="60" spans="1:11" x14ac:dyDescent="0.6">
      <c r="A60" s="17">
        <v>31352</v>
      </c>
      <c r="B60" s="15">
        <v>7.4437000000000003E-2</v>
      </c>
      <c r="C60" s="15">
        <v>6.480000000000001E-2</v>
      </c>
      <c r="D60" s="15">
        <v>2.3E-3</v>
      </c>
      <c r="E60" s="15">
        <v>-2.87E-2</v>
      </c>
      <c r="F60" s="30">
        <f>'FF3 Regression'!$B$17+'FF3 Regression'!$B$18*Returns!C60+'FF3 Regression'!$B$19*Returns!D60+'FF3 Regression'!$B$20*Returns!E60</f>
        <v>0.11991276243661343</v>
      </c>
      <c r="G60" s="30">
        <f t="shared" si="0"/>
        <v>-4.5475762436613429E-2</v>
      </c>
      <c r="H60" s="15"/>
      <c r="I60" s="15"/>
      <c r="J60" s="21"/>
      <c r="K60" s="21"/>
    </row>
    <row r="61" spans="1:11" x14ac:dyDescent="0.6">
      <c r="A61" s="17">
        <v>31382</v>
      </c>
      <c r="B61" s="15">
        <v>8.6667999999999995E-2</v>
      </c>
      <c r="C61" s="15">
        <v>3.8800000000000001E-2</v>
      </c>
      <c r="D61" s="15">
        <v>-4.8999999999999998E-3</v>
      </c>
      <c r="E61" s="15">
        <v>-1.5300000000000001E-2</v>
      </c>
      <c r="F61" s="30">
        <f>'FF3 Regression'!$B$17+'FF3 Regression'!$B$18*Returns!C61+'FF3 Regression'!$B$19*Returns!D61+'FF3 Regression'!$B$20*Returns!E61</f>
        <v>7.392290025954075E-2</v>
      </c>
      <c r="G61" s="30">
        <f t="shared" si="0"/>
        <v>1.2745099740459245E-2</v>
      </c>
      <c r="H61" s="15"/>
      <c r="I61" s="15"/>
      <c r="J61" s="21"/>
      <c r="K61" s="21"/>
    </row>
    <row r="62" spans="1:11" x14ac:dyDescent="0.6">
      <c r="A62" s="17">
        <v>31413</v>
      </c>
      <c r="B62" s="15">
        <v>4.5536E-2</v>
      </c>
      <c r="C62" s="15">
        <v>6.4999999999999988E-3</v>
      </c>
      <c r="D62" s="15">
        <v>1.2199999999999999E-2</v>
      </c>
      <c r="E62" s="15">
        <v>5.3E-3</v>
      </c>
      <c r="F62" s="30">
        <f>'FF3 Regression'!$B$17+'FF3 Regression'!$B$18*Returns!C62+'FF3 Regression'!$B$19*Returns!D62+'FF3 Regression'!$B$20*Returns!E62</f>
        <v>2.0483881994435887E-2</v>
      </c>
      <c r="G62" s="30">
        <f t="shared" si="0"/>
        <v>2.5052118005564113E-2</v>
      </c>
      <c r="H62" s="15"/>
      <c r="I62" s="15"/>
      <c r="J62" s="21"/>
      <c r="K62" s="21"/>
    </row>
    <row r="63" spans="1:11" x14ac:dyDescent="0.6">
      <c r="A63" s="17">
        <v>31444</v>
      </c>
      <c r="B63" s="15">
        <v>7.5781000000000001E-2</v>
      </c>
      <c r="C63" s="15">
        <v>7.1300000000000002E-2</v>
      </c>
      <c r="D63" s="15">
        <v>-6.5000000000000006E-3</v>
      </c>
      <c r="E63" s="15">
        <v>-9.3999999999999986E-3</v>
      </c>
      <c r="F63" s="30">
        <f>'FF3 Regression'!$B$17+'FF3 Regression'!$B$18*Returns!C63+'FF3 Regression'!$B$19*Returns!D63+'FF3 Regression'!$B$20*Returns!E63</f>
        <v>0.10804365639162264</v>
      </c>
      <c r="G63" s="30">
        <f t="shared" si="0"/>
        <v>-3.2262656391622638E-2</v>
      </c>
      <c r="H63" s="15"/>
      <c r="I63" s="15"/>
      <c r="J63" s="21"/>
      <c r="K63" s="21"/>
    </row>
    <row r="64" spans="1:11" x14ac:dyDescent="0.6">
      <c r="A64" s="17">
        <v>31472</v>
      </c>
      <c r="B64" s="15">
        <v>0.124</v>
      </c>
      <c r="C64" s="15">
        <v>4.8799999999999996E-2</v>
      </c>
      <c r="D64" s="15">
        <v>-5.1999999999999998E-3</v>
      </c>
      <c r="E64" s="15">
        <v>-4.4000000000000003E-3</v>
      </c>
      <c r="F64" s="30">
        <f>'FF3 Regression'!$B$17+'FF3 Regression'!$B$18*Returns!C64+'FF3 Regression'!$B$19*Returns!D64+'FF3 Regression'!$B$20*Returns!E64</f>
        <v>7.6287819449992827E-2</v>
      </c>
      <c r="G64" s="30">
        <f t="shared" si="0"/>
        <v>4.7712180550007172E-2</v>
      </c>
      <c r="H64" s="15"/>
      <c r="I64" s="15"/>
      <c r="J64" s="21"/>
      <c r="K64" s="21"/>
    </row>
    <row r="65" spans="1:11" x14ac:dyDescent="0.6">
      <c r="A65" s="17">
        <v>31503</v>
      </c>
      <c r="B65" s="15">
        <v>6.5596000000000002E-2</v>
      </c>
      <c r="C65" s="15">
        <v>-1.3100000000000001E-2</v>
      </c>
      <c r="D65" s="15">
        <v>2.8500000000000001E-2</v>
      </c>
      <c r="E65" s="15">
        <v>-2.8500000000000001E-2</v>
      </c>
      <c r="F65" s="30">
        <f>'FF3 Regression'!$B$17+'FF3 Regression'!$B$18*Returns!C65+'FF3 Regression'!$B$19*Returns!D65+'FF3 Regression'!$B$20*Returns!E65</f>
        <v>3.1434442473593241E-2</v>
      </c>
      <c r="G65" s="30">
        <f t="shared" si="0"/>
        <v>3.4161557526406761E-2</v>
      </c>
      <c r="H65" s="15"/>
      <c r="I65" s="15"/>
      <c r="J65" s="21"/>
      <c r="K65" s="21"/>
    </row>
    <row r="66" spans="1:11" x14ac:dyDescent="0.6">
      <c r="A66" s="17">
        <v>31533</v>
      </c>
      <c r="B66" s="15">
        <v>0.21824000000000002</v>
      </c>
      <c r="C66" s="15">
        <v>4.6200000000000005E-2</v>
      </c>
      <c r="D66" s="15">
        <v>-1.32E-2</v>
      </c>
      <c r="E66" s="15">
        <v>-1.1000000000000001E-3</v>
      </c>
      <c r="F66" s="30">
        <f>'FF3 Regression'!$B$17+'FF3 Regression'!$B$18*Returns!C66+'FF3 Regression'!$B$19*Returns!D66+'FF3 Regression'!$B$20*Returns!E66</f>
        <v>6.789388397212405E-2</v>
      </c>
      <c r="G66" s="30">
        <f t="shared" si="0"/>
        <v>0.15034611602787595</v>
      </c>
      <c r="H66" s="15"/>
      <c r="I66" s="15"/>
      <c r="J66" s="21"/>
      <c r="K66" s="21"/>
    </row>
    <row r="67" spans="1:11" x14ac:dyDescent="0.6">
      <c r="A67" s="17">
        <v>31564</v>
      </c>
      <c r="B67" s="15">
        <v>-3.5604999999999998E-2</v>
      </c>
      <c r="C67" s="15">
        <v>1.03E-2</v>
      </c>
      <c r="D67" s="15">
        <v>-9.1000000000000004E-3</v>
      </c>
      <c r="E67" s="15">
        <v>1.3999999999999999E-2</v>
      </c>
      <c r="F67" s="30">
        <f>'FF3 Regression'!$B$17+'FF3 Regression'!$B$18*Returns!C67+'FF3 Regression'!$B$19*Returns!D67+'FF3 Regression'!$B$20*Returns!E67</f>
        <v>1.1371367758826098E-2</v>
      </c>
      <c r="G67" s="30">
        <f t="shared" ref="G67:G130" si="2">B67-F67</f>
        <v>-4.6976367758826097E-2</v>
      </c>
      <c r="H67" s="15"/>
      <c r="I67" s="15"/>
      <c r="J67" s="21"/>
      <c r="K67" s="21"/>
    </row>
    <row r="68" spans="1:11" x14ac:dyDescent="0.6">
      <c r="A68" s="17">
        <v>31594</v>
      </c>
      <c r="B68" s="15">
        <v>-0.13412000000000002</v>
      </c>
      <c r="C68" s="15">
        <v>-6.4500000000000002E-2</v>
      </c>
      <c r="D68" s="15">
        <v>-3.3799999999999997E-2</v>
      </c>
      <c r="E68" s="15">
        <v>4.7899999999999998E-2</v>
      </c>
      <c r="F68" s="30">
        <f>'FF3 Regression'!$B$17+'FF3 Regression'!$B$18*Returns!C68+'FF3 Regression'!$B$19*Returns!D68+'FF3 Regression'!$B$20*Returns!E68</f>
        <v>-0.1178572181860455</v>
      </c>
      <c r="G68" s="30">
        <f t="shared" si="2"/>
        <v>-1.6262781813954519E-2</v>
      </c>
      <c r="H68" s="15"/>
      <c r="I68" s="15"/>
      <c r="J68" s="21"/>
      <c r="K68" s="21"/>
    </row>
    <row r="69" spans="1:11" x14ac:dyDescent="0.6">
      <c r="A69" s="17">
        <v>31625</v>
      </c>
      <c r="B69" s="15">
        <v>0.1794</v>
      </c>
      <c r="C69" s="15">
        <v>6.0699999999999997E-2</v>
      </c>
      <c r="D69" s="15">
        <v>-4.1799999999999997E-2</v>
      </c>
      <c r="E69" s="15">
        <v>3.5200000000000002E-2</v>
      </c>
      <c r="F69" s="30">
        <f>'FF3 Regression'!$B$17+'FF3 Regression'!$B$18*Returns!C69+'FF3 Regression'!$B$19*Returns!D69+'FF3 Regression'!$B$20*Returns!E69</f>
        <v>4.5004214196907644E-2</v>
      </c>
      <c r="G69" s="30">
        <f t="shared" si="2"/>
        <v>0.13439578580309236</v>
      </c>
      <c r="H69" s="15"/>
      <c r="I69" s="15"/>
      <c r="J69" s="21"/>
      <c r="K69" s="21"/>
    </row>
    <row r="70" spans="1:11" x14ac:dyDescent="0.6">
      <c r="A70" s="17">
        <v>31656</v>
      </c>
      <c r="B70" s="15">
        <v>-9.9095000000000003E-2</v>
      </c>
      <c r="C70" s="15">
        <v>-8.6000000000000007E-2</v>
      </c>
      <c r="D70" s="15">
        <v>2.2799999999999997E-2</v>
      </c>
      <c r="E70" s="15">
        <v>3.1800000000000002E-2</v>
      </c>
      <c r="F70" s="30">
        <f>'FF3 Regression'!$B$17+'FF3 Regression'!$B$18*Returns!C70+'FF3 Regression'!$B$19*Returns!D70+'FF3 Regression'!$B$20*Returns!E70</f>
        <v>-0.11396079378994259</v>
      </c>
      <c r="G70" s="30">
        <f t="shared" si="2"/>
        <v>1.4865793789942586E-2</v>
      </c>
      <c r="H70" s="15"/>
      <c r="I70" s="15"/>
      <c r="J70" s="21"/>
      <c r="K70" s="21"/>
    </row>
    <row r="71" spans="1:11" x14ac:dyDescent="0.6">
      <c r="A71" s="17">
        <v>31686</v>
      </c>
      <c r="B71" s="15">
        <v>2.8982000000000001E-2</v>
      </c>
      <c r="C71" s="15">
        <v>4.6600000000000003E-2</v>
      </c>
      <c r="D71" s="15">
        <v>-2.4900000000000002E-2</v>
      </c>
      <c r="E71" s="15">
        <v>-1.3300000000000001E-2</v>
      </c>
      <c r="F71" s="30">
        <f>'FF3 Regression'!$B$17+'FF3 Regression'!$B$18*Returns!C71+'FF3 Regression'!$B$19*Returns!D71+'FF3 Regression'!$B$20*Returns!E71</f>
        <v>7.6119672213539158E-2</v>
      </c>
      <c r="G71" s="30">
        <f t="shared" si="2"/>
        <v>-4.7137672213539157E-2</v>
      </c>
      <c r="H71" s="15"/>
      <c r="I71" s="15"/>
      <c r="J71" s="21"/>
      <c r="K71" s="21"/>
    </row>
    <row r="72" spans="1:11" x14ac:dyDescent="0.6">
      <c r="A72" s="17">
        <v>31717</v>
      </c>
      <c r="B72" s="15">
        <v>0.15133500000000003</v>
      </c>
      <c r="C72" s="15">
        <v>1.17E-2</v>
      </c>
      <c r="D72" s="15">
        <v>-1.9099999999999999E-2</v>
      </c>
      <c r="E72" s="15">
        <v>-7.000000000000001E-4</v>
      </c>
      <c r="F72" s="30">
        <f>'FF3 Regression'!$B$17+'FF3 Regression'!$B$18*Returns!C72+'FF3 Regression'!$B$19*Returns!D72+'FF3 Regression'!$B$20*Returns!E72</f>
        <v>2.3551131342316154E-2</v>
      </c>
      <c r="G72" s="30">
        <f t="shared" si="2"/>
        <v>0.12778386865768387</v>
      </c>
      <c r="H72" s="15"/>
      <c r="I72" s="15"/>
      <c r="J72" s="21"/>
      <c r="K72" s="21"/>
    </row>
    <row r="73" spans="1:11" x14ac:dyDescent="0.6">
      <c r="A73" s="17">
        <v>31747</v>
      </c>
      <c r="B73" s="15">
        <v>7.6000000000000009E-3</v>
      </c>
      <c r="C73" s="15">
        <v>-3.27E-2</v>
      </c>
      <c r="D73" s="15">
        <v>7.000000000000001E-4</v>
      </c>
      <c r="E73" s="15">
        <v>3.3E-3</v>
      </c>
      <c r="F73" s="30">
        <f>'FF3 Regression'!$B$17+'FF3 Regression'!$B$18*Returns!C73+'FF3 Regression'!$B$19*Returns!D73+'FF3 Regression'!$B$20*Returns!E73</f>
        <v>-2.9024139363545681E-2</v>
      </c>
      <c r="G73" s="30">
        <f t="shared" si="2"/>
        <v>3.662413936354568E-2</v>
      </c>
      <c r="H73" s="15"/>
      <c r="I73" s="15"/>
      <c r="J73" s="21"/>
      <c r="K73" s="21"/>
    </row>
    <row r="74" spans="1:11" x14ac:dyDescent="0.6">
      <c r="A74" s="17">
        <v>31778</v>
      </c>
      <c r="B74" s="15">
        <v>0.36617</v>
      </c>
      <c r="C74" s="15">
        <v>0.12470000000000002</v>
      </c>
      <c r="D74" s="15">
        <v>-1.8100000000000002E-2</v>
      </c>
      <c r="E74" s="15">
        <v>-3.1600000000000003E-2</v>
      </c>
      <c r="F74" s="30">
        <f>'FF3 Regression'!$B$17+'FF3 Regression'!$B$18*Returns!C74+'FF3 Regression'!$B$19*Returns!D74+'FF3 Regression'!$B$20*Returns!E74</f>
        <v>0.19035102532944706</v>
      </c>
      <c r="G74" s="30">
        <f t="shared" si="2"/>
        <v>0.17581897467055294</v>
      </c>
      <c r="H74" s="15"/>
      <c r="I74" s="15"/>
      <c r="J74" s="21"/>
      <c r="K74" s="21"/>
    </row>
    <row r="75" spans="1:11" x14ac:dyDescent="0.6">
      <c r="A75" s="17">
        <v>31809</v>
      </c>
      <c r="B75" s="15">
        <v>0.25696099999999999</v>
      </c>
      <c r="C75" s="15">
        <v>4.3899999999999995E-2</v>
      </c>
      <c r="D75" s="15">
        <v>3.49E-2</v>
      </c>
      <c r="E75" s="15">
        <v>-0.06</v>
      </c>
      <c r="F75" s="30">
        <f>'FF3 Regression'!$B$17+'FF3 Regression'!$B$18*Returns!C75+'FF3 Regression'!$B$19*Returns!D75+'FF3 Regression'!$B$20*Returns!E75</f>
        <v>0.13155678852582081</v>
      </c>
      <c r="G75" s="30">
        <f t="shared" si="2"/>
        <v>0.12540421147417918</v>
      </c>
      <c r="H75" s="15"/>
      <c r="I75" s="15"/>
      <c r="J75" s="21"/>
      <c r="K75" s="21"/>
    </row>
    <row r="76" spans="1:11" x14ac:dyDescent="0.6">
      <c r="A76" s="17">
        <v>31837</v>
      </c>
      <c r="B76" s="15">
        <v>-8.3270999999999998E-2</v>
      </c>
      <c r="C76" s="15">
        <v>1.6399999999999998E-2</v>
      </c>
      <c r="D76" s="15">
        <v>3.7000000000000002E-3</v>
      </c>
      <c r="E76" s="15">
        <v>1.6399999999999998E-2</v>
      </c>
      <c r="F76" s="30">
        <f>'FF3 Regression'!$B$17+'FF3 Regression'!$B$18*Returns!C76+'FF3 Regression'!$B$19*Returns!D76+'FF3 Regression'!$B$20*Returns!E76</f>
        <v>2.0260950570634477E-2</v>
      </c>
      <c r="G76" s="30">
        <f t="shared" si="2"/>
        <v>-0.10353195057063447</v>
      </c>
      <c r="H76" s="15"/>
      <c r="I76" s="15"/>
      <c r="J76" s="21"/>
      <c r="K76" s="21"/>
    </row>
    <row r="77" spans="1:11" x14ac:dyDescent="0.6">
      <c r="A77" s="17">
        <v>31868</v>
      </c>
      <c r="B77" s="15">
        <v>0.22428200000000001</v>
      </c>
      <c r="C77" s="15">
        <v>-2.1100000000000001E-2</v>
      </c>
      <c r="D77" s="15">
        <v>-1.7000000000000001E-2</v>
      </c>
      <c r="E77" s="15">
        <v>-3.2000000000000002E-3</v>
      </c>
      <c r="F77" s="30">
        <f>'FF3 Regression'!$B$17+'FF3 Regression'!$B$18*Returns!C77+'FF3 Regression'!$B$19*Returns!D77+'FF3 Regression'!$B$20*Returns!E77</f>
        <v>-1.3862655514110041E-2</v>
      </c>
      <c r="G77" s="30">
        <f t="shared" si="2"/>
        <v>0.23814465551411004</v>
      </c>
      <c r="H77" s="15"/>
      <c r="I77" s="15"/>
      <c r="J77" s="21"/>
      <c r="K77" s="21"/>
    </row>
    <row r="78" spans="1:11" x14ac:dyDescent="0.6">
      <c r="A78" s="17">
        <v>31898</v>
      </c>
      <c r="B78" s="15">
        <v>-5.4400000000000004E-3</v>
      </c>
      <c r="C78" s="15">
        <v>1.0999999999999998E-3</v>
      </c>
      <c r="D78" s="15">
        <v>-5.1999999999999998E-3</v>
      </c>
      <c r="E78" s="15">
        <v>1.1999999999999999E-3</v>
      </c>
      <c r="F78" s="30">
        <f>'FF3 Regression'!$B$17+'FF3 Regression'!$B$18*Returns!C78+'FF3 Regression'!$B$19*Returns!D78+'FF3 Regression'!$B$20*Returns!E78</f>
        <v>1.2703669003132401E-2</v>
      </c>
      <c r="G78" s="30">
        <f t="shared" si="2"/>
        <v>-1.8143669003132402E-2</v>
      </c>
      <c r="H78" s="15"/>
      <c r="I78" s="15"/>
      <c r="J78" s="21"/>
      <c r="K78" s="21"/>
    </row>
    <row r="79" spans="1:11" x14ac:dyDescent="0.6">
      <c r="A79" s="17">
        <v>31929</v>
      </c>
      <c r="B79" s="15">
        <v>2.0516000000000003E-2</v>
      </c>
      <c r="C79" s="15">
        <v>3.9399999999999998E-2</v>
      </c>
      <c r="D79" s="15">
        <v>-2.1899999999999999E-2</v>
      </c>
      <c r="E79" s="15">
        <v>1.0700000000000001E-2</v>
      </c>
      <c r="F79" s="30">
        <f>'FF3 Regression'!$B$17+'FF3 Regression'!$B$18*Returns!C79+'FF3 Regression'!$B$19*Returns!D79+'FF3 Regression'!$B$20*Returns!E79</f>
        <v>4.6490189341246969E-2</v>
      </c>
      <c r="G79" s="30">
        <f t="shared" si="2"/>
        <v>-2.5974189341246966E-2</v>
      </c>
      <c r="H79" s="15"/>
      <c r="I79" s="15"/>
      <c r="J79" s="21"/>
      <c r="K79" s="21"/>
    </row>
    <row r="80" spans="1:11" x14ac:dyDescent="0.6">
      <c r="A80" s="17">
        <v>31959</v>
      </c>
      <c r="B80" s="15">
        <v>1.3919000000000001E-2</v>
      </c>
      <c r="C80" s="15">
        <v>3.8500000000000006E-2</v>
      </c>
      <c r="D80" s="15">
        <v>-6.4000000000000003E-3</v>
      </c>
      <c r="E80" s="15">
        <v>7.3000000000000001E-3</v>
      </c>
      <c r="F80" s="30">
        <f>'FF3 Regression'!$B$17+'FF3 Regression'!$B$18*Returns!C80+'FF3 Regression'!$B$19*Returns!D80+'FF3 Regression'!$B$20*Returns!E80</f>
        <v>5.2768895889746877E-2</v>
      </c>
      <c r="G80" s="30">
        <f t="shared" si="2"/>
        <v>-3.8849895889746876E-2</v>
      </c>
      <c r="H80" s="15"/>
      <c r="I80" s="15"/>
      <c r="J80" s="21"/>
      <c r="K80" s="21"/>
    </row>
    <row r="81" spans="1:11" x14ac:dyDescent="0.6">
      <c r="A81" s="17">
        <v>31990</v>
      </c>
      <c r="B81" s="15">
        <v>0.30584500000000003</v>
      </c>
      <c r="C81" s="15">
        <v>3.5200000000000009E-2</v>
      </c>
      <c r="D81" s="15">
        <v>-7.4000000000000003E-3</v>
      </c>
      <c r="E81" s="15">
        <v>-9.4999999999999998E-3</v>
      </c>
      <c r="F81" s="30">
        <f>'FF3 Regression'!$B$17+'FF3 Regression'!$B$18*Returns!C81+'FF3 Regression'!$B$19*Returns!D81+'FF3 Regression'!$B$20*Returns!E81</f>
        <v>6.358122932329846E-2</v>
      </c>
      <c r="G81" s="30">
        <f t="shared" si="2"/>
        <v>0.24226377067670157</v>
      </c>
      <c r="H81" s="15"/>
      <c r="I81" s="15"/>
      <c r="J81" s="21"/>
      <c r="K81" s="21"/>
    </row>
    <row r="82" spans="1:11" x14ac:dyDescent="0.6">
      <c r="A82" s="17">
        <v>32021</v>
      </c>
      <c r="B82" s="15">
        <v>4.1796E-2</v>
      </c>
      <c r="C82" s="15">
        <v>-2.5899999999999996E-2</v>
      </c>
      <c r="D82" s="15">
        <v>5.1999999999999998E-3</v>
      </c>
      <c r="E82" s="15">
        <v>2.8999999999999998E-3</v>
      </c>
      <c r="F82" s="30">
        <f>'FF3 Regression'!$B$17+'FF3 Regression'!$B$18*Returns!C82+'FF3 Regression'!$B$19*Returns!D82+'FF3 Regression'!$B$20*Returns!E82</f>
        <v>-1.9064814174883527E-2</v>
      </c>
      <c r="G82" s="30">
        <f t="shared" si="2"/>
        <v>6.0860814174883524E-2</v>
      </c>
      <c r="H82" s="15"/>
      <c r="I82" s="15"/>
      <c r="J82" s="21"/>
      <c r="K82" s="21"/>
    </row>
    <row r="83" spans="1:11" x14ac:dyDescent="0.6">
      <c r="A83" s="17">
        <v>32051</v>
      </c>
      <c r="B83" s="15">
        <v>-0.32237199999999999</v>
      </c>
      <c r="C83" s="15">
        <v>-0.23239999999999997</v>
      </c>
      <c r="D83" s="15">
        <v>-8.4199999999999997E-2</v>
      </c>
      <c r="E83" s="15">
        <v>4.2000000000000003E-2</v>
      </c>
      <c r="F83" s="30">
        <f>'FF3 Regression'!$B$17+'FF3 Regression'!$B$18*Returns!C83+'FF3 Regression'!$B$19*Returns!D83+'FF3 Regression'!$B$20*Returns!E83</f>
        <v>-0.33262980363999495</v>
      </c>
      <c r="G83" s="30">
        <f t="shared" si="2"/>
        <v>1.0257803639994956E-2</v>
      </c>
      <c r="H83" s="15"/>
      <c r="I83" s="15"/>
      <c r="J83" s="21"/>
      <c r="K83" s="21"/>
    </row>
    <row r="84" spans="1:11" x14ac:dyDescent="0.6">
      <c r="A84" s="17">
        <v>32082</v>
      </c>
      <c r="B84" s="15">
        <v>-0.14706</v>
      </c>
      <c r="C84" s="15">
        <v>-7.7700000000000005E-2</v>
      </c>
      <c r="D84" s="15">
        <v>2.76E-2</v>
      </c>
      <c r="E84" s="15">
        <v>3.0899999999999997E-2</v>
      </c>
      <c r="F84" s="30">
        <f>'FF3 Regression'!$B$17+'FF3 Regression'!$B$18*Returns!C84+'FF3 Regression'!$B$19*Returns!D84+'FF3 Regression'!$B$20*Returns!E84</f>
        <v>-0.10162646469577336</v>
      </c>
      <c r="G84" s="30">
        <f t="shared" si="2"/>
        <v>-4.5433535304226641E-2</v>
      </c>
      <c r="H84" s="15"/>
      <c r="I84" s="15"/>
      <c r="J84" s="21"/>
      <c r="K84" s="21"/>
    </row>
    <row r="85" spans="1:11" x14ac:dyDescent="0.6">
      <c r="A85" s="17">
        <v>32112</v>
      </c>
      <c r="B85" s="15">
        <v>0.26882699999999998</v>
      </c>
      <c r="C85" s="15">
        <v>6.8099999999999994E-2</v>
      </c>
      <c r="D85" s="15">
        <v>1.2999999999999999E-3</v>
      </c>
      <c r="E85" s="15">
        <v>-4.4600000000000001E-2</v>
      </c>
      <c r="F85" s="30">
        <f>'FF3 Regression'!$B$17+'FF3 Regression'!$B$18*Returns!C85+'FF3 Regression'!$B$19*Returns!D85+'FF3 Regression'!$B$20*Returns!E85</f>
        <v>0.13801347830251526</v>
      </c>
      <c r="G85" s="30">
        <f t="shared" si="2"/>
        <v>0.13081352169748472</v>
      </c>
      <c r="H85" s="15"/>
      <c r="I85" s="15"/>
      <c r="J85" s="21"/>
      <c r="K85" s="21"/>
    </row>
    <row r="86" spans="1:11" x14ac:dyDescent="0.6">
      <c r="A86" s="17">
        <v>32143</v>
      </c>
      <c r="B86" s="15">
        <v>-1.4805E-2</v>
      </c>
      <c r="C86" s="15">
        <v>4.2099999999999999E-2</v>
      </c>
      <c r="D86" s="15">
        <v>-6.9999999999999993E-3</v>
      </c>
      <c r="E86" s="15">
        <v>5.16E-2</v>
      </c>
      <c r="F86" s="30">
        <f>'FF3 Regression'!$B$17+'FF3 Regression'!$B$18*Returns!C86+'FF3 Regression'!$B$19*Returns!D86+'FF3 Regression'!$B$20*Returns!E86</f>
        <v>1.7094966602337523E-2</v>
      </c>
      <c r="G86" s="30">
        <f t="shared" si="2"/>
        <v>-3.1899966602337522E-2</v>
      </c>
      <c r="H86" s="15"/>
      <c r="I86" s="15"/>
      <c r="J86" s="21"/>
      <c r="K86" s="21"/>
    </row>
    <row r="87" spans="1:11" x14ac:dyDescent="0.6">
      <c r="A87" s="17">
        <v>32174</v>
      </c>
      <c r="B87" s="15">
        <v>3.3472000000000002E-2</v>
      </c>
      <c r="C87" s="15">
        <v>4.7500000000000001E-2</v>
      </c>
      <c r="D87" s="15">
        <v>3.3399999999999999E-2</v>
      </c>
      <c r="E87" s="15">
        <v>-1.6399999999999998E-2</v>
      </c>
      <c r="F87" s="30">
        <f>'FF3 Regression'!$B$17+'FF3 Regression'!$B$18*Returns!C87+'FF3 Regression'!$B$19*Returns!D87+'FF3 Regression'!$B$20*Returns!E87</f>
        <v>9.6262942760876213E-2</v>
      </c>
      <c r="G87" s="30">
        <f t="shared" si="2"/>
        <v>-6.2790942760876212E-2</v>
      </c>
      <c r="H87" s="15"/>
      <c r="I87" s="15"/>
      <c r="J87" s="21"/>
      <c r="K87" s="21"/>
    </row>
    <row r="88" spans="1:11" x14ac:dyDescent="0.6">
      <c r="A88" s="17">
        <v>32203</v>
      </c>
      <c r="B88" s="15">
        <v>-7.4166999999999997E-2</v>
      </c>
      <c r="C88" s="15">
        <v>-2.2700000000000001E-2</v>
      </c>
      <c r="D88" s="15">
        <v>6.1500000000000006E-2</v>
      </c>
      <c r="E88" s="15">
        <v>7.4999999999999997E-3</v>
      </c>
      <c r="F88" s="30">
        <f>'FF3 Regression'!$B$17+'FF3 Regression'!$B$18*Returns!C88+'FF3 Regression'!$B$19*Returns!D88+'FF3 Regression'!$B$20*Returns!E88</f>
        <v>-3.5957806000126522E-3</v>
      </c>
      <c r="G88" s="30">
        <f t="shared" si="2"/>
        <v>-7.0571219399987339E-2</v>
      </c>
      <c r="H88" s="15"/>
      <c r="I88" s="15"/>
      <c r="J88" s="21"/>
      <c r="K88" s="21"/>
    </row>
    <row r="89" spans="1:11" x14ac:dyDescent="0.6">
      <c r="A89" s="17">
        <v>32234</v>
      </c>
      <c r="B89" s="15">
        <v>2.0400000000000001E-2</v>
      </c>
      <c r="C89" s="15">
        <v>5.6000000000000008E-3</v>
      </c>
      <c r="D89" s="15">
        <v>9.4999999999999998E-3</v>
      </c>
      <c r="E89" s="15">
        <v>1.6799999999999999E-2</v>
      </c>
      <c r="F89" s="30">
        <f>'FF3 Regression'!$B$17+'FF3 Regression'!$B$18*Returns!C89+'FF3 Regression'!$B$19*Returns!D89+'FF3 Regression'!$B$20*Returns!E89</f>
        <v>8.2628795649977282E-3</v>
      </c>
      <c r="G89" s="30">
        <f t="shared" si="2"/>
        <v>1.2137120435002273E-2</v>
      </c>
      <c r="H89" s="15"/>
      <c r="I89" s="15"/>
      <c r="J89" s="21"/>
      <c r="K89" s="21"/>
    </row>
    <row r="90" spans="1:11" x14ac:dyDescent="0.6">
      <c r="A90" s="17">
        <v>32264</v>
      </c>
      <c r="B90" s="15">
        <v>9.0460000000000002E-3</v>
      </c>
      <c r="C90" s="15">
        <v>-2.9000000000000002E-3</v>
      </c>
      <c r="D90" s="15">
        <v>-2.6499999999999999E-2</v>
      </c>
      <c r="E90" s="15">
        <v>2.2799999999999997E-2</v>
      </c>
      <c r="F90" s="30">
        <f>'FF3 Regression'!$B$17+'FF3 Regression'!$B$18*Returns!C90+'FF3 Regression'!$B$19*Returns!D90+'FF3 Regression'!$B$20*Returns!E90</f>
        <v>-1.7606886135339228E-2</v>
      </c>
      <c r="G90" s="30">
        <f t="shared" si="2"/>
        <v>2.6652886135339227E-2</v>
      </c>
      <c r="H90" s="15"/>
      <c r="I90" s="15"/>
      <c r="J90" s="21"/>
      <c r="K90" s="21"/>
    </row>
    <row r="91" spans="1:11" x14ac:dyDescent="0.6">
      <c r="A91" s="17">
        <v>32295</v>
      </c>
      <c r="B91" s="15">
        <v>0.109558</v>
      </c>
      <c r="C91" s="15">
        <v>4.7899999999999998E-2</v>
      </c>
      <c r="D91" s="15">
        <v>2.12E-2</v>
      </c>
      <c r="E91" s="15">
        <v>-1.1000000000000001E-2</v>
      </c>
      <c r="F91" s="30">
        <f>'FF3 Regression'!$B$17+'FF3 Regression'!$B$18*Returns!C91+'FF3 Regression'!$B$19*Returns!D91+'FF3 Regression'!$B$20*Returns!E91</f>
        <v>8.8487697731685022E-2</v>
      </c>
      <c r="G91" s="30">
        <f t="shared" si="2"/>
        <v>2.107030226831498E-2</v>
      </c>
      <c r="H91" s="15"/>
      <c r="I91" s="15"/>
      <c r="J91" s="21"/>
      <c r="K91" s="21"/>
    </row>
    <row r="92" spans="1:11" x14ac:dyDescent="0.6">
      <c r="A92" s="17">
        <v>32325</v>
      </c>
      <c r="B92" s="15">
        <v>-4.5641000000000001E-2</v>
      </c>
      <c r="C92" s="15">
        <v>-1.2500000000000001E-2</v>
      </c>
      <c r="D92" s="15">
        <v>-2.0999999999999999E-3</v>
      </c>
      <c r="E92" s="15">
        <v>2.2700000000000001E-2</v>
      </c>
      <c r="F92" s="30">
        <f>'FF3 Regression'!$B$17+'FF3 Regression'!$B$18*Returns!C92+'FF3 Regression'!$B$19*Returns!D92+'FF3 Regression'!$B$20*Returns!E92</f>
        <v>-2.249891895485634E-2</v>
      </c>
      <c r="G92" s="30">
        <f t="shared" si="2"/>
        <v>-2.3142081045143661E-2</v>
      </c>
      <c r="H92" s="15"/>
      <c r="I92" s="15"/>
      <c r="J92" s="21"/>
      <c r="K92" s="21"/>
    </row>
    <row r="93" spans="1:11" x14ac:dyDescent="0.6">
      <c r="A93" s="17">
        <v>32356</v>
      </c>
      <c r="B93" s="15">
        <v>-0.105506</v>
      </c>
      <c r="C93" s="15">
        <v>-3.3100000000000004E-2</v>
      </c>
      <c r="D93" s="15">
        <v>4.0000000000000002E-4</v>
      </c>
      <c r="E93" s="15">
        <v>2.0299999999999999E-2</v>
      </c>
      <c r="F93" s="30">
        <f>'FF3 Regression'!$B$17+'FF3 Regression'!$B$18*Returns!C93+'FF3 Regression'!$B$19*Returns!D93+'FF3 Regression'!$B$20*Returns!E93</f>
        <v>-4.4919581941679637E-2</v>
      </c>
      <c r="G93" s="30">
        <f t="shared" si="2"/>
        <v>-6.0586418058320365E-2</v>
      </c>
      <c r="H93" s="15"/>
      <c r="I93" s="15"/>
      <c r="J93" s="21"/>
      <c r="K93" s="21"/>
    </row>
    <row r="94" spans="1:11" x14ac:dyDescent="0.6">
      <c r="A94" s="17">
        <v>32387</v>
      </c>
      <c r="B94" s="15">
        <v>7.8439000000000009E-2</v>
      </c>
      <c r="C94" s="15">
        <v>3.3000000000000002E-2</v>
      </c>
      <c r="D94" s="15">
        <v>-1.2500000000000001E-2</v>
      </c>
      <c r="E94" s="15">
        <v>-6.8000000000000005E-3</v>
      </c>
      <c r="F94" s="30">
        <f>'FF3 Regression'!$B$17+'FF3 Regression'!$B$18*Returns!C94+'FF3 Regression'!$B$19*Returns!D94+'FF3 Regression'!$B$20*Returns!E94</f>
        <v>5.7026981179966227E-2</v>
      </c>
      <c r="G94" s="30">
        <f t="shared" si="2"/>
        <v>2.1412018820033782E-2</v>
      </c>
      <c r="H94" s="15"/>
      <c r="I94" s="15"/>
      <c r="J94" s="21"/>
      <c r="K94" s="21"/>
    </row>
    <row r="95" spans="1:11" x14ac:dyDescent="0.6">
      <c r="A95" s="17">
        <v>32417</v>
      </c>
      <c r="B95" s="15">
        <v>-0.113036</v>
      </c>
      <c r="C95" s="15">
        <v>1.1499999999999998E-2</v>
      </c>
      <c r="D95" s="15">
        <v>-2.8999999999999998E-2</v>
      </c>
      <c r="E95" s="15">
        <v>1.7100000000000001E-2</v>
      </c>
      <c r="F95" s="30">
        <f>'FF3 Regression'!$B$17+'FF3 Regression'!$B$18*Returns!C95+'FF3 Regression'!$B$19*Returns!D95+'FF3 Regression'!$B$20*Returns!E95</f>
        <v>4.505154557796591E-3</v>
      </c>
      <c r="G95" s="30">
        <f t="shared" si="2"/>
        <v>-0.1175411545577966</v>
      </c>
      <c r="H95" s="15"/>
      <c r="I95" s="15"/>
      <c r="J95" s="21"/>
      <c r="K95" s="21"/>
    </row>
    <row r="96" spans="1:11" x14ac:dyDescent="0.6">
      <c r="A96" s="17">
        <v>32448</v>
      </c>
      <c r="B96" s="15">
        <v>-2.9000999999999999E-2</v>
      </c>
      <c r="C96" s="15">
        <v>-2.2900000000000004E-2</v>
      </c>
      <c r="D96" s="15">
        <v>-1.7399999999999999E-2</v>
      </c>
      <c r="E96" s="15">
        <v>1.24E-2</v>
      </c>
      <c r="F96" s="30">
        <f>'FF3 Regression'!$B$17+'FF3 Regression'!$B$18*Returns!C96+'FF3 Regression'!$B$19*Returns!D96+'FF3 Regression'!$B$20*Returns!E96</f>
        <v>-3.0242309719151664E-2</v>
      </c>
      <c r="G96" s="30">
        <f t="shared" si="2"/>
        <v>1.2413097191516648E-3</v>
      </c>
      <c r="H96" s="15"/>
      <c r="I96" s="15"/>
      <c r="J96" s="21"/>
      <c r="K96" s="21"/>
    </row>
    <row r="97" spans="1:11" x14ac:dyDescent="0.6">
      <c r="A97" s="17">
        <v>32478</v>
      </c>
      <c r="B97" s="15">
        <v>6.3466999999999996E-2</v>
      </c>
      <c r="C97" s="15">
        <v>1.49E-2</v>
      </c>
      <c r="D97" s="15">
        <v>1.95E-2</v>
      </c>
      <c r="E97" s="15">
        <v>-1.5600000000000001E-2</v>
      </c>
      <c r="F97" s="30">
        <f>'FF3 Regression'!$B$17+'FF3 Regression'!$B$18*Returns!C97+'FF3 Regression'!$B$19*Returns!D97+'FF3 Regression'!$B$20*Returns!E97</f>
        <v>5.1662213400112914E-2</v>
      </c>
      <c r="G97" s="30">
        <f t="shared" si="2"/>
        <v>1.1804786599887082E-2</v>
      </c>
      <c r="H97" s="15"/>
      <c r="I97" s="15"/>
      <c r="J97" s="21"/>
      <c r="K97" s="21"/>
    </row>
    <row r="98" spans="1:11" x14ac:dyDescent="0.6">
      <c r="A98" s="17">
        <v>32509</v>
      </c>
      <c r="B98" s="15">
        <v>-6.7612000000000005E-2</v>
      </c>
      <c r="C98" s="15">
        <v>6.0999999999999992E-2</v>
      </c>
      <c r="D98" s="15">
        <v>-2.1400000000000002E-2</v>
      </c>
      <c r="E98" s="15">
        <v>5.1000000000000004E-3</v>
      </c>
      <c r="F98" s="30">
        <f>'FF3 Regression'!$B$17+'FF3 Regression'!$B$18*Returns!C98+'FF3 Regression'!$B$19*Returns!D98+'FF3 Regression'!$B$20*Returns!E98</f>
        <v>7.8183850132068494E-2</v>
      </c>
      <c r="G98" s="30">
        <f t="shared" si="2"/>
        <v>-0.1457958501320685</v>
      </c>
      <c r="H98" s="15"/>
      <c r="I98" s="15"/>
      <c r="J98" s="21"/>
      <c r="K98" s="21"/>
    </row>
    <row r="99" spans="1:11" x14ac:dyDescent="0.6">
      <c r="A99" s="17">
        <v>32540</v>
      </c>
      <c r="B99" s="15">
        <v>-4.3186000000000002E-2</v>
      </c>
      <c r="C99" s="15">
        <v>-2.2499999999999999E-2</v>
      </c>
      <c r="D99" s="15">
        <v>2.76E-2</v>
      </c>
      <c r="E99" s="15">
        <v>8.8000000000000005E-3</v>
      </c>
      <c r="F99" s="30">
        <f>'FF3 Regression'!$B$17+'FF3 Regression'!$B$18*Returns!C99+'FF3 Regression'!$B$19*Returns!D99+'FF3 Regression'!$B$20*Returns!E99</f>
        <v>-1.3967991205267299E-2</v>
      </c>
      <c r="G99" s="30">
        <f t="shared" si="2"/>
        <v>-2.9218008794732703E-2</v>
      </c>
      <c r="H99" s="15"/>
      <c r="I99" s="15"/>
      <c r="J99" s="21"/>
      <c r="K99" s="21"/>
    </row>
    <row r="100" spans="1:11" x14ac:dyDescent="0.6">
      <c r="A100" s="17">
        <v>32568</v>
      </c>
      <c r="B100" s="15">
        <v>-2.3941E-2</v>
      </c>
      <c r="C100" s="15">
        <v>1.5700000000000002E-2</v>
      </c>
      <c r="D100" s="15">
        <v>7.3000000000000001E-3</v>
      </c>
      <c r="E100" s="15">
        <v>4.6999999999999993E-3</v>
      </c>
      <c r="F100" s="30">
        <f>'FF3 Regression'!$B$17+'FF3 Regression'!$B$18*Returns!C100+'FF3 Regression'!$B$19*Returns!D100+'FF3 Regression'!$B$20*Returns!E100</f>
        <v>3.0949466330733689E-2</v>
      </c>
      <c r="G100" s="30">
        <f t="shared" si="2"/>
        <v>-5.4890466330733689E-2</v>
      </c>
      <c r="H100" s="15"/>
      <c r="I100" s="15"/>
      <c r="J100" s="21"/>
      <c r="K100" s="21"/>
    </row>
    <row r="101" spans="1:11" x14ac:dyDescent="0.6">
      <c r="A101" s="17">
        <v>32599</v>
      </c>
      <c r="B101" s="15">
        <v>8.8037000000000004E-2</v>
      </c>
      <c r="C101" s="15">
        <v>4.3300000000000005E-2</v>
      </c>
      <c r="D101" s="15">
        <v>-5.7999999999999996E-3</v>
      </c>
      <c r="E101" s="15">
        <v>-1.46E-2</v>
      </c>
      <c r="F101" s="30">
        <f>'FF3 Regression'!$B$17+'FF3 Regression'!$B$18*Returns!C101+'FF3 Regression'!$B$19*Returns!D101+'FF3 Regression'!$B$20*Returns!E101</f>
        <v>7.856363812307908E-2</v>
      </c>
      <c r="G101" s="30">
        <f t="shared" si="2"/>
        <v>9.4733618769209244E-3</v>
      </c>
      <c r="H101" s="15"/>
      <c r="I101" s="15"/>
      <c r="J101" s="21"/>
      <c r="K101" s="21"/>
    </row>
    <row r="102" spans="1:11" x14ac:dyDescent="0.6">
      <c r="A102" s="17">
        <v>32629</v>
      </c>
      <c r="B102" s="15">
        <v>0.21902300000000002</v>
      </c>
      <c r="C102" s="15">
        <v>3.3500000000000002E-2</v>
      </c>
      <c r="D102" s="15">
        <v>-4.0000000000000002E-4</v>
      </c>
      <c r="E102" s="15">
        <v>-8.3000000000000001E-3</v>
      </c>
      <c r="F102" s="30">
        <f>'FF3 Regression'!$B$17+'FF3 Regression'!$B$18*Returns!C102+'FF3 Regression'!$B$19*Returns!D102+'FF3 Regression'!$B$20*Returns!E102</f>
        <v>6.2364027064975541E-2</v>
      </c>
      <c r="G102" s="30">
        <f t="shared" si="2"/>
        <v>0.15665897293502448</v>
      </c>
      <c r="H102" s="15"/>
      <c r="I102" s="15"/>
      <c r="J102" s="21"/>
      <c r="K102" s="21"/>
    </row>
    <row r="103" spans="1:11" x14ac:dyDescent="0.6">
      <c r="A103" s="17">
        <v>32660</v>
      </c>
      <c r="B103" s="15">
        <v>-0.14322599999999999</v>
      </c>
      <c r="C103" s="15">
        <v>-1.3500000000000002E-2</v>
      </c>
      <c r="D103" s="15">
        <v>-1.0200000000000001E-2</v>
      </c>
      <c r="E103" s="15">
        <v>2.1899999999999999E-2</v>
      </c>
      <c r="F103" s="30">
        <f>'FF3 Regression'!$B$17+'FF3 Regression'!$B$18*Returns!C103+'FF3 Regression'!$B$19*Returns!D103+'FF3 Regression'!$B$20*Returns!E103</f>
        <v>-2.5262147814912903E-2</v>
      </c>
      <c r="G103" s="30">
        <f t="shared" si="2"/>
        <v>-0.11796385218508709</v>
      </c>
      <c r="H103" s="15"/>
      <c r="I103" s="15"/>
      <c r="J103" s="21"/>
      <c r="K103" s="21"/>
    </row>
    <row r="104" spans="1:11" x14ac:dyDescent="0.6">
      <c r="A104" s="17">
        <v>32690</v>
      </c>
      <c r="B104" s="15">
        <v>-4.3364E-2</v>
      </c>
      <c r="C104" s="15">
        <v>7.2000000000000008E-2</v>
      </c>
      <c r="D104" s="15">
        <v>-4.0199999999999993E-2</v>
      </c>
      <c r="E104" s="15">
        <v>-2.8300000000000002E-2</v>
      </c>
      <c r="F104" s="30">
        <f>'FF3 Regression'!$B$17+'FF3 Regression'!$B$18*Returns!C104+'FF3 Regression'!$B$19*Returns!D104+'FF3 Regression'!$B$20*Returns!E104</f>
        <v>0.11654569097219325</v>
      </c>
      <c r="G104" s="30">
        <f t="shared" si="2"/>
        <v>-0.15990969097219326</v>
      </c>
      <c r="H104" s="15"/>
      <c r="I104" s="15"/>
      <c r="J104" s="21"/>
      <c r="K104" s="21"/>
    </row>
    <row r="105" spans="1:11" x14ac:dyDescent="0.6">
      <c r="A105" s="17">
        <v>32721</v>
      </c>
      <c r="B105" s="15">
        <v>0.11461299999999999</v>
      </c>
      <c r="C105" s="15">
        <v>1.4399999999999996E-2</v>
      </c>
      <c r="D105" s="15">
        <v>5.0000000000000001E-3</v>
      </c>
      <c r="E105" s="15">
        <v>7.1999999999999998E-3</v>
      </c>
      <c r="F105" s="30">
        <f>'FF3 Regression'!$B$17+'FF3 Regression'!$B$18*Returns!C105+'FF3 Regression'!$B$19*Returns!D105+'FF3 Regression'!$B$20*Returns!E105</f>
        <v>2.646014557455505E-2</v>
      </c>
      <c r="G105" s="30">
        <f t="shared" si="2"/>
        <v>8.8152854425444946E-2</v>
      </c>
      <c r="H105" s="15"/>
      <c r="I105" s="15"/>
      <c r="J105" s="21"/>
      <c r="K105" s="21"/>
    </row>
    <row r="106" spans="1:11" x14ac:dyDescent="0.6">
      <c r="A106" s="17">
        <v>32752</v>
      </c>
      <c r="B106" s="15">
        <v>-6.5000000000000006E-3</v>
      </c>
      <c r="C106" s="15">
        <v>-7.6000000000000009E-3</v>
      </c>
      <c r="D106" s="15">
        <v>2.8000000000000004E-3</v>
      </c>
      <c r="E106" s="15">
        <v>-1.34E-2</v>
      </c>
      <c r="F106" s="30">
        <f>'FF3 Regression'!$B$17+'FF3 Regression'!$B$18*Returns!C106+'FF3 Regression'!$B$19*Returns!D106+'FF3 Regression'!$B$20*Returns!E106</f>
        <v>1.7414230780939129E-2</v>
      </c>
      <c r="G106" s="30">
        <f t="shared" si="2"/>
        <v>-2.3914230780939127E-2</v>
      </c>
      <c r="H106" s="15"/>
      <c r="I106" s="15"/>
      <c r="J106" s="21"/>
      <c r="K106" s="21"/>
    </row>
    <row r="107" spans="1:11" x14ac:dyDescent="0.6">
      <c r="A107" s="17">
        <v>32782</v>
      </c>
      <c r="B107" s="15">
        <v>3.8143999999999997E-2</v>
      </c>
      <c r="C107" s="15">
        <v>-3.6699999999999997E-2</v>
      </c>
      <c r="D107" s="15">
        <v>-3.3000000000000002E-2</v>
      </c>
      <c r="E107" s="15">
        <v>-1.03E-2</v>
      </c>
      <c r="F107" s="30">
        <f>'FF3 Regression'!$B$17+'FF3 Regression'!$B$18*Returns!C107+'FF3 Regression'!$B$19*Returns!D107+'FF3 Regression'!$B$20*Returns!E107</f>
        <v>-3.1066463299915695E-2</v>
      </c>
      <c r="G107" s="30">
        <f t="shared" si="2"/>
        <v>6.9210463299915689E-2</v>
      </c>
      <c r="H107" s="15"/>
      <c r="I107" s="15"/>
      <c r="J107" s="21"/>
      <c r="K107" s="21"/>
    </row>
    <row r="108" spans="1:11" x14ac:dyDescent="0.6">
      <c r="A108" s="17">
        <v>32813</v>
      </c>
      <c r="B108" s="15">
        <v>-5.2921999999999997E-2</v>
      </c>
      <c r="C108" s="15">
        <v>1.03E-2</v>
      </c>
      <c r="D108" s="15">
        <v>-1.24E-2</v>
      </c>
      <c r="E108" s="15">
        <v>-1.1200000000000002E-2</v>
      </c>
      <c r="F108" s="30">
        <f>'FF3 Regression'!$B$17+'FF3 Regression'!$B$18*Returns!C108+'FF3 Regression'!$B$19*Returns!D108+'FF3 Regression'!$B$20*Returns!E108</f>
        <v>3.3162927430849379E-2</v>
      </c>
      <c r="G108" s="30">
        <f t="shared" si="2"/>
        <v>-8.6084927430849376E-2</v>
      </c>
      <c r="H108" s="15"/>
      <c r="I108" s="15"/>
      <c r="J108" s="21"/>
      <c r="K108" s="21"/>
    </row>
    <row r="109" spans="1:11" x14ac:dyDescent="0.6">
      <c r="A109" s="17">
        <v>32843</v>
      </c>
      <c r="B109" s="15">
        <v>-0.20948999999999998</v>
      </c>
      <c r="C109" s="15">
        <v>1.1600000000000001E-2</v>
      </c>
      <c r="D109" s="15">
        <v>-2.41E-2</v>
      </c>
      <c r="E109" s="15">
        <v>2.8000000000000004E-3</v>
      </c>
      <c r="F109" s="30">
        <f>'FF3 Regression'!$B$17+'FF3 Regression'!$B$18*Returns!C109+'FF3 Regression'!$B$19*Returns!D109+'FF3 Regression'!$B$20*Returns!E109</f>
        <v>1.8880872075510303E-2</v>
      </c>
      <c r="G109" s="30">
        <f t="shared" si="2"/>
        <v>-0.22837087207551029</v>
      </c>
      <c r="H109" s="15"/>
      <c r="I109" s="15"/>
      <c r="J109" s="21"/>
      <c r="K109" s="21"/>
    </row>
    <row r="110" spans="1:11" x14ac:dyDescent="0.6">
      <c r="A110" s="17">
        <v>32874</v>
      </c>
      <c r="B110" s="15">
        <v>-4.1160999999999996E-2</v>
      </c>
      <c r="C110" s="15">
        <v>-7.8499999999999986E-2</v>
      </c>
      <c r="D110" s="15">
        <v>-1.29E-2</v>
      </c>
      <c r="E110" s="15">
        <v>8.6999999999999994E-3</v>
      </c>
      <c r="F110" s="30">
        <f>'FF3 Regression'!$B$17+'FF3 Regression'!$B$18*Returns!C110+'FF3 Regression'!$B$19*Returns!D110+'FF3 Regression'!$B$20*Returns!E110</f>
        <v>-9.388593519014389E-2</v>
      </c>
      <c r="G110" s="30">
        <f t="shared" si="2"/>
        <v>5.2724935190143894E-2</v>
      </c>
      <c r="H110" s="15"/>
      <c r="I110" s="15"/>
      <c r="J110" s="21"/>
      <c r="K110" s="21"/>
    </row>
    <row r="111" spans="1:11" x14ac:dyDescent="0.6">
      <c r="A111" s="17">
        <v>32905</v>
      </c>
      <c r="B111" s="15">
        <v>-2.4649999999999993E-3</v>
      </c>
      <c r="C111" s="15">
        <v>1.1100000000000002E-2</v>
      </c>
      <c r="D111" s="15">
        <v>1.03E-2</v>
      </c>
      <c r="E111" s="15">
        <v>6.0999999999999995E-3</v>
      </c>
      <c r="F111" s="30">
        <f>'FF3 Regression'!$B$17+'FF3 Regression'!$B$18*Returns!C111+'FF3 Regression'!$B$19*Returns!D111+'FF3 Regression'!$B$20*Returns!E111</f>
        <v>2.4878571657116544E-2</v>
      </c>
      <c r="G111" s="30">
        <f t="shared" si="2"/>
        <v>-2.7343571657116542E-2</v>
      </c>
      <c r="H111" s="15"/>
      <c r="I111" s="15"/>
      <c r="J111" s="21"/>
      <c r="K111" s="21"/>
    </row>
    <row r="112" spans="1:11" x14ac:dyDescent="0.6">
      <c r="A112" s="17">
        <v>32933</v>
      </c>
      <c r="B112" s="15">
        <v>0.177424</v>
      </c>
      <c r="C112" s="15">
        <v>1.8300000000000004E-2</v>
      </c>
      <c r="D112" s="15">
        <v>1.52E-2</v>
      </c>
      <c r="E112" s="15">
        <v>-2.8999999999999998E-2</v>
      </c>
      <c r="F112" s="30">
        <f>'FF3 Regression'!$B$17+'FF3 Regression'!$B$18*Returns!C112+'FF3 Regression'!$B$19*Returns!D112+'FF3 Regression'!$B$20*Returns!E112</f>
        <v>6.6713038281477552E-2</v>
      </c>
      <c r="G112" s="30">
        <f t="shared" si="2"/>
        <v>0.11071096171852245</v>
      </c>
      <c r="H112" s="15"/>
      <c r="I112" s="15"/>
      <c r="J112" s="21"/>
      <c r="K112" s="21"/>
    </row>
    <row r="113" spans="1:11" x14ac:dyDescent="0.6">
      <c r="A113" s="17">
        <v>32964</v>
      </c>
      <c r="B113" s="15">
        <v>-2.8639000000000001E-2</v>
      </c>
      <c r="C113" s="15">
        <v>-3.3599999999999998E-2</v>
      </c>
      <c r="D113" s="15">
        <v>-5.0000000000000001E-3</v>
      </c>
      <c r="E113" s="15">
        <v>-2.5499999999999998E-2</v>
      </c>
      <c r="F113" s="30">
        <f>'FF3 Regression'!$B$17+'FF3 Regression'!$B$18*Returns!C113+'FF3 Regression'!$B$19*Returns!D113+'FF3 Regression'!$B$20*Returns!E113</f>
        <v>-5.7613616928962087E-3</v>
      </c>
      <c r="G113" s="30">
        <f t="shared" si="2"/>
        <v>-2.2877638307103793E-2</v>
      </c>
      <c r="H113" s="15"/>
      <c r="I113" s="15"/>
      <c r="J113" s="21"/>
      <c r="K113" s="21"/>
    </row>
    <row r="114" spans="1:11" x14ac:dyDescent="0.6">
      <c r="A114" s="17">
        <v>32994</v>
      </c>
      <c r="B114" s="15">
        <v>4.3612999999999999E-2</v>
      </c>
      <c r="C114" s="15">
        <v>8.4199999999999997E-2</v>
      </c>
      <c r="D114" s="15">
        <v>-2.5699999999999997E-2</v>
      </c>
      <c r="E114" s="15">
        <v>-3.7400000000000003E-2</v>
      </c>
      <c r="F114" s="30">
        <f>'FF3 Regression'!$B$17+'FF3 Regression'!$B$18*Returns!C114+'FF3 Regression'!$B$19*Returns!D114+'FF3 Regression'!$B$20*Returns!E114</f>
        <v>0.143759050242043</v>
      </c>
      <c r="G114" s="30">
        <f t="shared" si="2"/>
        <v>-0.100146050242043</v>
      </c>
      <c r="H114" s="15"/>
      <c r="I114" s="15"/>
      <c r="J114" s="21"/>
      <c r="K114" s="21"/>
    </row>
    <row r="115" spans="1:11" x14ac:dyDescent="0.6">
      <c r="A115" s="17">
        <v>33025</v>
      </c>
      <c r="B115" s="15">
        <v>7.8548000000000007E-2</v>
      </c>
      <c r="C115" s="15">
        <v>-1.09E-2</v>
      </c>
      <c r="D115" s="15">
        <v>1.43E-2</v>
      </c>
      <c r="E115" s="15">
        <v>-1.9400000000000001E-2</v>
      </c>
      <c r="F115" s="30">
        <f>'FF3 Regression'!$B$17+'FF3 Regression'!$B$18*Returns!C115+'FF3 Regression'!$B$19*Returns!D115+'FF3 Regression'!$B$20*Returns!E115</f>
        <v>2.1976296874401991E-2</v>
      </c>
      <c r="G115" s="30">
        <f t="shared" si="2"/>
        <v>5.6571703125598019E-2</v>
      </c>
      <c r="H115" s="15"/>
      <c r="I115" s="15"/>
      <c r="J115" s="21"/>
      <c r="K115" s="21"/>
    </row>
    <row r="116" spans="1:11" x14ac:dyDescent="0.6">
      <c r="A116" s="17">
        <v>33055</v>
      </c>
      <c r="B116" s="15">
        <v>-6.8253000000000008E-2</v>
      </c>
      <c r="C116" s="15">
        <v>-1.8999999999999996E-2</v>
      </c>
      <c r="D116" s="15">
        <v>-3.2099999999999997E-2</v>
      </c>
      <c r="E116" s="15">
        <v>-2.0000000000000001E-4</v>
      </c>
      <c r="F116" s="30">
        <f>'FF3 Regression'!$B$17+'FF3 Regression'!$B$18*Returns!C116+'FF3 Regression'!$B$19*Returns!D116+'FF3 Regression'!$B$20*Returns!E116</f>
        <v>-1.8196775829677558E-2</v>
      </c>
      <c r="G116" s="30">
        <f t="shared" si="2"/>
        <v>-5.0056224170322447E-2</v>
      </c>
      <c r="H116" s="15"/>
      <c r="I116" s="15"/>
      <c r="J116" s="21"/>
      <c r="K116" s="21"/>
    </row>
    <row r="117" spans="1:11" x14ac:dyDescent="0.6">
      <c r="A117" s="17">
        <v>33086</v>
      </c>
      <c r="B117" s="15">
        <v>-0.123029</v>
      </c>
      <c r="C117" s="15">
        <v>-0.10149999999999999</v>
      </c>
      <c r="D117" s="15">
        <v>-3.5799999999999998E-2</v>
      </c>
      <c r="E117" s="15">
        <v>1.5900000000000001E-2</v>
      </c>
      <c r="F117" s="30">
        <f>'FF3 Regression'!$B$17+'FF3 Regression'!$B$18*Returns!C117+'FF3 Regression'!$B$19*Returns!D117+'FF3 Regression'!$B$20*Returns!E117</f>
        <v>-0.134981279107042</v>
      </c>
      <c r="G117" s="30">
        <f t="shared" si="2"/>
        <v>1.1952279107041996E-2</v>
      </c>
      <c r="H117" s="15"/>
      <c r="I117" s="15"/>
      <c r="J117" s="21"/>
      <c r="K117" s="21"/>
    </row>
    <row r="118" spans="1:11" x14ac:dyDescent="0.6">
      <c r="A118" s="17">
        <v>33117</v>
      </c>
      <c r="B118" s="15">
        <v>-0.222216</v>
      </c>
      <c r="C118" s="15">
        <v>-6.1200000000000004E-2</v>
      </c>
      <c r="D118" s="15">
        <v>-3.6699999999999997E-2</v>
      </c>
      <c r="E118" s="15">
        <v>7.3000000000000001E-3</v>
      </c>
      <c r="F118" s="30">
        <f>'FF3 Regression'!$B$17+'FF3 Regression'!$B$18*Returns!C118+'FF3 Regression'!$B$19*Returns!D118+'FF3 Regression'!$B$20*Returns!E118</f>
        <v>-7.8025457239888463E-2</v>
      </c>
      <c r="G118" s="30">
        <f t="shared" si="2"/>
        <v>-0.14419054276011153</v>
      </c>
      <c r="H118" s="15"/>
      <c r="I118" s="15"/>
      <c r="J118" s="21"/>
      <c r="K118" s="21"/>
    </row>
    <row r="119" spans="1:11" x14ac:dyDescent="0.6">
      <c r="A119" s="17">
        <v>33147</v>
      </c>
      <c r="B119" s="15">
        <v>5.3545000000000002E-2</v>
      </c>
      <c r="C119" s="15">
        <v>-1.9199999999999998E-2</v>
      </c>
      <c r="D119" s="15">
        <v>-5.5199999999999999E-2</v>
      </c>
      <c r="E119" s="15">
        <v>2.5000000000000001E-3</v>
      </c>
      <c r="F119" s="30">
        <f>'FF3 Regression'!$B$17+'FF3 Regression'!$B$18*Returns!C119+'FF3 Regression'!$B$19*Returns!D119+'FF3 Regression'!$B$20*Returns!E119</f>
        <v>-2.7312231968072948E-2</v>
      </c>
      <c r="G119" s="30">
        <f t="shared" si="2"/>
        <v>8.0857231968072957E-2</v>
      </c>
      <c r="H119" s="15"/>
      <c r="I119" s="15"/>
      <c r="J119" s="21"/>
      <c r="K119" s="21"/>
    </row>
    <row r="120" spans="1:11" x14ac:dyDescent="0.6">
      <c r="A120" s="17">
        <v>33178</v>
      </c>
      <c r="B120" s="15">
        <v>0.193324</v>
      </c>
      <c r="C120" s="15">
        <v>6.3500000000000001E-2</v>
      </c>
      <c r="D120" s="15">
        <v>3.3E-3</v>
      </c>
      <c r="E120" s="15">
        <v>-3.1600000000000003E-2</v>
      </c>
      <c r="F120" s="30">
        <f>'FF3 Regression'!$B$17+'FF3 Regression'!$B$18*Returns!C120+'FF3 Regression'!$B$19*Returns!D120+'FF3 Regression'!$B$20*Returns!E120</f>
        <v>0.12120962964066648</v>
      </c>
      <c r="G120" s="30">
        <f t="shared" si="2"/>
        <v>7.2114370359333518E-2</v>
      </c>
      <c r="H120" s="15"/>
      <c r="I120" s="15"/>
      <c r="J120" s="21"/>
      <c r="K120" s="21"/>
    </row>
    <row r="121" spans="1:11" x14ac:dyDescent="0.6">
      <c r="A121" s="17">
        <v>33208</v>
      </c>
      <c r="B121" s="15">
        <v>0.16406799999999999</v>
      </c>
      <c r="C121" s="15">
        <v>2.4600000000000004E-2</v>
      </c>
      <c r="D121" s="15">
        <v>8.1000000000000013E-3</v>
      </c>
      <c r="E121" s="15">
        <v>-1.5600000000000001E-2</v>
      </c>
      <c r="F121" s="30">
        <f>'FF3 Regression'!$B$17+'FF3 Regression'!$B$18*Returns!C121+'FF3 Regression'!$B$19*Returns!D121+'FF3 Regression'!$B$20*Returns!E121</f>
        <v>6.038946673140913E-2</v>
      </c>
      <c r="G121" s="30">
        <f t="shared" si="2"/>
        <v>0.10367853326859086</v>
      </c>
      <c r="H121" s="15"/>
      <c r="I121" s="15"/>
      <c r="J121" s="21"/>
      <c r="K121" s="21"/>
    </row>
    <row r="122" spans="1:11" x14ac:dyDescent="0.6">
      <c r="A122" s="17">
        <v>33239</v>
      </c>
      <c r="B122" s="15">
        <v>0.28549800000000003</v>
      </c>
      <c r="C122" s="15">
        <v>4.6900000000000011E-2</v>
      </c>
      <c r="D122" s="15">
        <v>3.7999999999999999E-2</v>
      </c>
      <c r="E122" s="15">
        <v>-1.8500000000000003E-2</v>
      </c>
      <c r="F122" s="30">
        <f>'FF3 Regression'!$B$17+'FF3 Regression'!$B$18*Returns!C122+'FF3 Regression'!$B$19*Returns!D122+'FF3 Regression'!$B$20*Returns!E122</f>
        <v>9.870098014054389E-2</v>
      </c>
      <c r="G122" s="30">
        <f t="shared" si="2"/>
        <v>0.18679701985945613</v>
      </c>
      <c r="H122" s="15"/>
      <c r="I122" s="15"/>
      <c r="J122" s="21"/>
      <c r="K122" s="21"/>
    </row>
    <row r="123" spans="1:11" x14ac:dyDescent="0.6">
      <c r="A123" s="17">
        <v>33270</v>
      </c>
      <c r="B123" s="15">
        <v>2.8894000000000003E-2</v>
      </c>
      <c r="C123" s="15">
        <v>7.1900000000000006E-2</v>
      </c>
      <c r="D123" s="15">
        <v>3.9399999999999998E-2</v>
      </c>
      <c r="E123" s="15">
        <v>-5.3E-3</v>
      </c>
      <c r="F123" s="30">
        <f>'FF3 Regression'!$B$17+'FF3 Regression'!$B$18*Returns!C123+'FF3 Regression'!$B$19*Returns!D123+'FF3 Regression'!$B$20*Returns!E123</f>
        <v>0.11787469547518731</v>
      </c>
      <c r="G123" s="30">
        <f t="shared" si="2"/>
        <v>-8.8980695475187305E-2</v>
      </c>
      <c r="H123" s="15"/>
      <c r="I123" s="15"/>
      <c r="J123" s="21"/>
      <c r="K123" s="21"/>
    </row>
    <row r="124" spans="1:11" x14ac:dyDescent="0.6">
      <c r="A124" s="17">
        <v>33298</v>
      </c>
      <c r="B124" s="15">
        <v>0.18337300000000001</v>
      </c>
      <c r="C124" s="15">
        <v>2.6499999999999996E-2</v>
      </c>
      <c r="D124" s="15">
        <v>3.9E-2</v>
      </c>
      <c r="E124" s="15">
        <v>-1.24E-2</v>
      </c>
      <c r="F124" s="30">
        <f>'FF3 Regression'!$B$17+'FF3 Regression'!$B$18*Returns!C124+'FF3 Regression'!$B$19*Returns!D124+'FF3 Regression'!$B$20*Returns!E124</f>
        <v>6.8447304229297665E-2</v>
      </c>
      <c r="G124" s="30">
        <f t="shared" si="2"/>
        <v>0.11492569577070234</v>
      </c>
      <c r="H124" s="15"/>
      <c r="I124" s="15"/>
      <c r="J124" s="21"/>
      <c r="K124" s="21"/>
    </row>
    <row r="125" spans="1:11" x14ac:dyDescent="0.6">
      <c r="A125" s="17">
        <v>33329</v>
      </c>
      <c r="B125" s="15">
        <v>-0.19647600000000001</v>
      </c>
      <c r="C125" s="15">
        <v>-2.8E-3</v>
      </c>
      <c r="D125" s="15">
        <v>5.1000000000000004E-3</v>
      </c>
      <c r="E125" s="15">
        <v>1.41E-2</v>
      </c>
      <c r="F125" s="30">
        <f>'FF3 Regression'!$B$17+'FF3 Regression'!$B$18*Returns!C125+'FF3 Regression'!$B$19*Returns!D125+'FF3 Regression'!$B$20*Returns!E125</f>
        <v>-8.3827044565193062E-4</v>
      </c>
      <c r="G125" s="30">
        <f t="shared" si="2"/>
        <v>-0.19563772955434808</v>
      </c>
      <c r="H125" s="15"/>
      <c r="I125" s="15"/>
      <c r="J125" s="21"/>
      <c r="K125" s="21"/>
    </row>
    <row r="126" spans="1:11" x14ac:dyDescent="0.6">
      <c r="A126" s="17">
        <v>33359</v>
      </c>
      <c r="B126" s="15">
        <v>-0.14797300000000002</v>
      </c>
      <c r="C126" s="15">
        <v>3.6500000000000005E-2</v>
      </c>
      <c r="D126" s="15">
        <v>-3.4000000000000002E-3</v>
      </c>
      <c r="E126" s="15">
        <v>-5.6999999999999993E-3</v>
      </c>
      <c r="F126" s="30">
        <f>'FF3 Regression'!$B$17+'FF3 Regression'!$B$18*Returns!C126+'FF3 Regression'!$B$19*Returns!D126+'FF3 Regression'!$B$20*Returns!E126</f>
        <v>6.2866474036226652E-2</v>
      </c>
      <c r="G126" s="30">
        <f t="shared" si="2"/>
        <v>-0.21083947403622666</v>
      </c>
      <c r="H126" s="15"/>
      <c r="I126" s="15"/>
      <c r="J126" s="21"/>
      <c r="K126" s="21"/>
    </row>
    <row r="127" spans="1:11" x14ac:dyDescent="0.6">
      <c r="A127" s="17">
        <v>33390</v>
      </c>
      <c r="B127" s="15">
        <v>-0.121221</v>
      </c>
      <c r="C127" s="15">
        <v>-4.9400000000000006E-2</v>
      </c>
      <c r="D127" s="15">
        <v>5.9999999999999995E-4</v>
      </c>
      <c r="E127" s="15">
        <v>1.2199999999999999E-2</v>
      </c>
      <c r="F127" s="30">
        <f>'FF3 Regression'!$B$17+'FF3 Regression'!$B$18*Returns!C127+'FF3 Regression'!$B$19*Returns!D127+'FF3 Regression'!$B$20*Returns!E127</f>
        <v>-5.7567153506370303E-2</v>
      </c>
      <c r="G127" s="30">
        <f t="shared" si="2"/>
        <v>-6.3653846493629693E-2</v>
      </c>
      <c r="H127" s="15"/>
      <c r="I127" s="15"/>
      <c r="J127" s="21"/>
      <c r="K127" s="21"/>
    </row>
    <row r="128" spans="1:11" x14ac:dyDescent="0.6">
      <c r="A128" s="17">
        <v>33420</v>
      </c>
      <c r="B128" s="15">
        <v>0.109558</v>
      </c>
      <c r="C128" s="15">
        <v>4.24E-2</v>
      </c>
      <c r="D128" s="15">
        <v>-9.300000000000001E-3</v>
      </c>
      <c r="E128" s="15">
        <v>-1.26E-2</v>
      </c>
      <c r="F128" s="30">
        <f>'FF3 Regression'!$B$17+'FF3 Regression'!$B$18*Returns!C128+'FF3 Regression'!$B$19*Returns!D128+'FF3 Regression'!$B$20*Returns!E128</f>
        <v>7.4681439187165008E-2</v>
      </c>
      <c r="G128" s="30">
        <f t="shared" si="2"/>
        <v>3.4876560812834995E-2</v>
      </c>
      <c r="H128" s="15"/>
      <c r="I128" s="15"/>
      <c r="J128" s="21"/>
      <c r="K128" s="21"/>
    </row>
    <row r="129" spans="1:11" x14ac:dyDescent="0.6">
      <c r="A129" s="17">
        <v>33451</v>
      </c>
      <c r="B129" s="15">
        <v>0.14394100000000001</v>
      </c>
      <c r="C129" s="15">
        <v>2.3199999999999998E-2</v>
      </c>
      <c r="D129" s="15">
        <v>1.6E-2</v>
      </c>
      <c r="E129" s="15">
        <v>-7.9000000000000008E-3</v>
      </c>
      <c r="F129" s="30">
        <f>'FF3 Regression'!$B$17+'FF3 Regression'!$B$18*Returns!C129+'FF3 Regression'!$B$19*Returns!D129+'FF3 Regression'!$B$20*Returns!E129</f>
        <v>5.393318492778016E-2</v>
      </c>
      <c r="G129" s="30">
        <f t="shared" si="2"/>
        <v>9.000781507221986E-2</v>
      </c>
      <c r="H129" s="15"/>
      <c r="I129" s="15"/>
      <c r="J129" s="21"/>
      <c r="K129" s="21"/>
    </row>
    <row r="130" spans="1:11" x14ac:dyDescent="0.6">
      <c r="A130" s="17">
        <v>33482</v>
      </c>
      <c r="B130" s="15">
        <v>-7.0638000000000006E-2</v>
      </c>
      <c r="C130" s="15">
        <v>-1.5900000000000001E-2</v>
      </c>
      <c r="D130" s="15">
        <v>1.6299999999999999E-2</v>
      </c>
      <c r="E130" s="15">
        <v>-0.01</v>
      </c>
      <c r="F130" s="30">
        <f>'FF3 Regression'!$B$17+'FF3 Regression'!$B$18*Returns!C130+'FF3 Regression'!$B$19*Returns!D130+'FF3 Regression'!$B$20*Returns!E130</f>
        <v>7.9260107676274554E-3</v>
      </c>
      <c r="G130" s="30">
        <f t="shared" si="2"/>
        <v>-7.8564010767627465E-2</v>
      </c>
      <c r="H130" s="15"/>
      <c r="I130" s="15"/>
      <c r="J130" s="21"/>
      <c r="K130" s="21"/>
    </row>
    <row r="131" spans="1:11" x14ac:dyDescent="0.6">
      <c r="A131" s="17">
        <v>33512</v>
      </c>
      <c r="B131" s="15">
        <v>3.6204E-2</v>
      </c>
      <c r="C131" s="15">
        <v>1.2900000000000002E-2</v>
      </c>
      <c r="D131" s="15">
        <v>9.0000000000000011E-3</v>
      </c>
      <c r="E131" s="15">
        <v>-4.4000000000000003E-3</v>
      </c>
      <c r="F131" s="30">
        <f>'FF3 Regression'!$B$17+'FF3 Regression'!$B$18*Returns!C131+'FF3 Regression'!$B$19*Returns!D131+'FF3 Regression'!$B$20*Returns!E131</f>
        <v>3.6188239062019498E-2</v>
      </c>
      <c r="G131" s="30">
        <f t="shared" ref="G131:G194" si="3">B131-F131</f>
        <v>1.5760937980502376E-5</v>
      </c>
      <c r="H131" s="15"/>
      <c r="I131" s="15"/>
      <c r="J131" s="21"/>
      <c r="K131" s="21"/>
    </row>
    <row r="132" spans="1:11" x14ac:dyDescent="0.6">
      <c r="A132" s="17">
        <v>33543</v>
      </c>
      <c r="B132" s="15">
        <v>-1.6133000000000002E-2</v>
      </c>
      <c r="C132" s="15">
        <v>-4.1900000000000007E-2</v>
      </c>
      <c r="D132" s="15">
        <v>-4.7999999999999996E-3</v>
      </c>
      <c r="E132" s="15">
        <v>-1.9299999999999998E-2</v>
      </c>
      <c r="F132" s="30">
        <f>'FF3 Regression'!$B$17+'FF3 Regression'!$B$18*Returns!C132+'FF3 Regression'!$B$19*Returns!D132+'FF3 Regression'!$B$20*Returns!E132</f>
        <v>-2.1479006634199306E-2</v>
      </c>
      <c r="G132" s="30">
        <f t="shared" si="3"/>
        <v>5.3460066341993046E-3</v>
      </c>
      <c r="H132" s="15"/>
      <c r="I132" s="15"/>
      <c r="J132" s="21"/>
      <c r="K132" s="21"/>
    </row>
    <row r="133" spans="1:11" x14ac:dyDescent="0.6">
      <c r="A133" s="17">
        <v>33573</v>
      </c>
      <c r="B133" s="15">
        <v>0.10703700000000001</v>
      </c>
      <c r="C133" s="15">
        <v>0.10840000000000001</v>
      </c>
      <c r="D133" s="15">
        <v>-2.23E-2</v>
      </c>
      <c r="E133" s="15">
        <v>-4.0399999999999998E-2</v>
      </c>
      <c r="F133" s="30">
        <f>'FF3 Regression'!$B$17+'FF3 Regression'!$B$18*Returns!C133+'FF3 Regression'!$B$19*Returns!D133+'FF3 Regression'!$B$20*Returns!E133</f>
        <v>0.1771082817881996</v>
      </c>
      <c r="G133" s="30">
        <f t="shared" si="3"/>
        <v>-7.0071281788199588E-2</v>
      </c>
      <c r="H133" s="15"/>
      <c r="I133" s="15"/>
      <c r="J133" s="21"/>
      <c r="K133" s="21"/>
    </row>
    <row r="134" spans="1:11" x14ac:dyDescent="0.6">
      <c r="A134" s="17">
        <v>33604</v>
      </c>
      <c r="B134" s="15">
        <v>0.14515899999999998</v>
      </c>
      <c r="C134" s="15">
        <v>-5.8999999999999999E-3</v>
      </c>
      <c r="D134" s="15">
        <v>8.4499999999999992E-2</v>
      </c>
      <c r="E134" s="15">
        <v>4.53E-2</v>
      </c>
      <c r="F134" s="30">
        <f>'FF3 Regression'!$B$17+'FF3 Regression'!$B$18*Returns!C134+'FF3 Regression'!$B$19*Returns!D134+'FF3 Regression'!$B$20*Returns!E134</f>
        <v>-1.063669777817999E-2</v>
      </c>
      <c r="G134" s="30">
        <f t="shared" si="3"/>
        <v>0.15579569777817998</v>
      </c>
      <c r="H134" s="15"/>
      <c r="I134" s="15"/>
      <c r="J134" s="21"/>
      <c r="K134" s="21"/>
    </row>
    <row r="135" spans="1:11" x14ac:dyDescent="0.6">
      <c r="A135" s="17">
        <v>33635</v>
      </c>
      <c r="B135" s="15">
        <v>4.1524000000000005E-2</v>
      </c>
      <c r="C135" s="15">
        <v>1.09E-2</v>
      </c>
      <c r="D135" s="15">
        <v>8.8999999999999999E-3</v>
      </c>
      <c r="E135" s="15">
        <v>6.3700000000000007E-2</v>
      </c>
      <c r="F135" s="30">
        <f>'FF3 Regression'!$B$17+'FF3 Regression'!$B$18*Returns!C135+'FF3 Regression'!$B$19*Returns!D135+'FF3 Regression'!$B$20*Returns!E135</f>
        <v>-2.7668024080508689E-2</v>
      </c>
      <c r="G135" s="30">
        <f t="shared" si="3"/>
        <v>6.9192024080508702E-2</v>
      </c>
      <c r="H135" s="15"/>
      <c r="I135" s="15"/>
      <c r="J135" s="21"/>
      <c r="K135" s="21"/>
    </row>
    <row r="136" spans="1:11" x14ac:dyDescent="0.6">
      <c r="A136" s="17">
        <v>33664</v>
      </c>
      <c r="B136" s="15">
        <v>-0.14043699999999998</v>
      </c>
      <c r="C136" s="15">
        <v>-2.6600000000000002E-2</v>
      </c>
      <c r="D136" s="15">
        <v>-1.04E-2</v>
      </c>
      <c r="E136" s="15">
        <v>3.6499999999999998E-2</v>
      </c>
      <c r="F136" s="30">
        <f>'FF3 Regression'!$B$17+'FF3 Regression'!$B$18*Returns!C136+'FF3 Regression'!$B$19*Returns!D136+'FF3 Regression'!$B$20*Returns!E136</f>
        <v>-5.4552152736718526E-2</v>
      </c>
      <c r="G136" s="30">
        <f t="shared" si="3"/>
        <v>-8.5884847263281452E-2</v>
      </c>
      <c r="H136" s="15"/>
      <c r="I136" s="15"/>
      <c r="J136" s="21"/>
      <c r="K136" s="21"/>
    </row>
    <row r="137" spans="1:11" x14ac:dyDescent="0.6">
      <c r="A137" s="17">
        <v>33695</v>
      </c>
      <c r="B137" s="15">
        <v>2.8989000000000001E-2</v>
      </c>
      <c r="C137" s="15">
        <v>1.0700000000000001E-2</v>
      </c>
      <c r="D137" s="15">
        <v>-6.1100000000000002E-2</v>
      </c>
      <c r="E137" s="15">
        <v>4.2999999999999997E-2</v>
      </c>
      <c r="F137" s="30">
        <f>'FF3 Regression'!$B$17+'FF3 Regression'!$B$18*Returns!C137+'FF3 Regression'!$B$19*Returns!D137+'FF3 Regression'!$B$20*Returns!E137</f>
        <v>-2.8763038069362281E-2</v>
      </c>
      <c r="G137" s="30">
        <f t="shared" si="3"/>
        <v>5.7752038069362285E-2</v>
      </c>
      <c r="H137" s="15"/>
      <c r="I137" s="15"/>
      <c r="J137" s="21"/>
      <c r="K137" s="21"/>
    </row>
    <row r="138" spans="1:11" x14ac:dyDescent="0.6">
      <c r="A138" s="17">
        <v>33725</v>
      </c>
      <c r="B138" s="15">
        <v>-9.0369999999999999E-3</v>
      </c>
      <c r="C138" s="15">
        <v>3.0000000000000001E-3</v>
      </c>
      <c r="D138" s="15">
        <v>4.0000000000000001E-3</v>
      </c>
      <c r="E138" s="15">
        <v>1.2699999999999999E-2</v>
      </c>
      <c r="F138" s="30">
        <f>'FF3 Regression'!$B$17+'FF3 Regression'!$B$18*Returns!C138+'FF3 Regression'!$B$19*Returns!D138+'FF3 Regression'!$B$20*Returns!E138</f>
        <v>7.2346836702340024E-3</v>
      </c>
      <c r="G138" s="30">
        <f t="shared" si="3"/>
        <v>-1.6271683670234002E-2</v>
      </c>
      <c r="H138" s="15"/>
      <c r="I138" s="15"/>
      <c r="J138" s="21"/>
      <c r="K138" s="21"/>
    </row>
    <row r="139" spans="1:11" x14ac:dyDescent="0.6">
      <c r="A139" s="17">
        <v>33756</v>
      </c>
      <c r="B139" s="15">
        <v>-0.19784400000000002</v>
      </c>
      <c r="C139" s="15">
        <v>-2.3400000000000001E-2</v>
      </c>
      <c r="D139" s="15">
        <v>-3.0899999999999997E-2</v>
      </c>
      <c r="E139" s="15">
        <v>3.4099999999999998E-2</v>
      </c>
      <c r="F139" s="30">
        <f>'FF3 Regression'!$B$17+'FF3 Regression'!$B$18*Returns!C139+'FF3 Regression'!$B$19*Returns!D139+'FF3 Regression'!$B$20*Returns!E139</f>
        <v>-5.4174376175388866E-2</v>
      </c>
      <c r="G139" s="30">
        <f t="shared" si="3"/>
        <v>-0.14366962382461115</v>
      </c>
      <c r="H139" s="15"/>
      <c r="I139" s="15"/>
      <c r="J139" s="21"/>
      <c r="K139" s="21"/>
    </row>
    <row r="140" spans="1:11" x14ac:dyDescent="0.6">
      <c r="A140" s="17">
        <v>33786</v>
      </c>
      <c r="B140" s="15">
        <v>-2.9141999999999998E-2</v>
      </c>
      <c r="C140" s="15">
        <v>3.7700000000000004E-2</v>
      </c>
      <c r="D140" s="15">
        <v>-4.4000000000000003E-3</v>
      </c>
      <c r="E140" s="15">
        <v>-5.3E-3</v>
      </c>
      <c r="F140" s="30">
        <f>'FF3 Regression'!$B$17+'FF3 Regression'!$B$18*Returns!C140+'FF3 Regression'!$B$19*Returns!D140+'FF3 Regression'!$B$20*Returns!E140</f>
        <v>6.3699971203347652E-2</v>
      </c>
      <c r="G140" s="30">
        <f t="shared" si="3"/>
        <v>-9.2841971203347654E-2</v>
      </c>
      <c r="H140" s="15"/>
      <c r="I140" s="15"/>
      <c r="J140" s="21"/>
      <c r="K140" s="21"/>
    </row>
    <row r="141" spans="1:11" x14ac:dyDescent="0.6">
      <c r="A141" s="17">
        <v>33817</v>
      </c>
      <c r="B141" s="15">
        <v>-1.6076E-2</v>
      </c>
      <c r="C141" s="15">
        <v>-2.3800000000000002E-2</v>
      </c>
      <c r="D141" s="15">
        <v>-1.1000000000000001E-3</v>
      </c>
      <c r="E141" s="15">
        <v>-1.04E-2</v>
      </c>
      <c r="F141" s="30">
        <f>'FF3 Regression'!$B$17+'FF3 Regression'!$B$18*Returns!C141+'FF3 Regression'!$B$19*Returns!D141+'FF3 Regression'!$B$20*Returns!E141</f>
        <v>-6.2567561226017383E-3</v>
      </c>
      <c r="G141" s="30">
        <f t="shared" si="3"/>
        <v>-9.8192438773982618E-3</v>
      </c>
      <c r="H141" s="15"/>
      <c r="I141" s="15"/>
      <c r="J141" s="21"/>
      <c r="K141" s="21"/>
    </row>
    <row r="142" spans="1:11" x14ac:dyDescent="0.6">
      <c r="A142" s="17">
        <v>33848</v>
      </c>
      <c r="B142" s="15">
        <v>-2.1622000000000002E-2</v>
      </c>
      <c r="C142" s="15">
        <v>1.1899999999999999E-2</v>
      </c>
      <c r="D142" s="15">
        <v>5.6000000000000008E-3</v>
      </c>
      <c r="E142" s="15">
        <v>-2.0999999999999999E-3</v>
      </c>
      <c r="F142" s="30">
        <f>'FF3 Regression'!$B$17+'FF3 Regression'!$B$18*Returns!C142+'FF3 Regression'!$B$19*Returns!D142+'FF3 Regression'!$B$20*Returns!E142</f>
        <v>3.1940814908399062E-2</v>
      </c>
      <c r="G142" s="30">
        <f t="shared" si="3"/>
        <v>-5.3562814908399065E-2</v>
      </c>
      <c r="H142" s="15"/>
      <c r="I142" s="15"/>
      <c r="J142" s="21"/>
      <c r="K142" s="21"/>
    </row>
    <row r="143" spans="1:11" x14ac:dyDescent="0.6">
      <c r="A143" s="17">
        <v>33878</v>
      </c>
      <c r="B143" s="15">
        <v>0.161135</v>
      </c>
      <c r="C143" s="15">
        <v>1.0200000000000001E-2</v>
      </c>
      <c r="D143" s="15">
        <v>2.0499999999999997E-2</v>
      </c>
      <c r="E143" s="15">
        <v>-2.1000000000000001E-2</v>
      </c>
      <c r="F143" s="30">
        <f>'FF3 Regression'!$B$17+'FF3 Regression'!$B$18*Returns!C143+'FF3 Regression'!$B$19*Returns!D143+'FF3 Regression'!$B$20*Returns!E143</f>
        <v>5.1039698646925841E-2</v>
      </c>
      <c r="G143" s="30">
        <f t="shared" si="3"/>
        <v>0.11009530135307416</v>
      </c>
      <c r="H143" s="15"/>
      <c r="I143" s="15"/>
      <c r="J143" s="21"/>
      <c r="K143" s="21"/>
    </row>
    <row r="144" spans="1:11" x14ac:dyDescent="0.6">
      <c r="A144" s="17">
        <v>33909</v>
      </c>
      <c r="B144" s="15">
        <v>9.5224000000000003E-2</v>
      </c>
      <c r="C144" s="15">
        <v>4.1300000000000003E-2</v>
      </c>
      <c r="D144" s="15">
        <v>3.7000000000000005E-2</v>
      </c>
      <c r="E144" s="15">
        <v>-1.4800000000000001E-2</v>
      </c>
      <c r="F144" s="30">
        <f>'FF3 Regression'!$B$17+'FF3 Regression'!$B$18*Returns!C144+'FF3 Regression'!$B$19*Returns!D144+'FF3 Regression'!$B$20*Returns!E144</f>
        <v>8.8215474656331186E-2</v>
      </c>
      <c r="G144" s="30">
        <f t="shared" si="3"/>
        <v>7.0085253436688172E-3</v>
      </c>
      <c r="H144" s="15"/>
      <c r="I144" s="15"/>
      <c r="J144" s="21"/>
      <c r="K144" s="21"/>
    </row>
    <row r="145" spans="1:11" x14ac:dyDescent="0.6">
      <c r="A145" s="17">
        <v>33939</v>
      </c>
      <c r="B145" s="15">
        <v>3.6330000000000001E-2</v>
      </c>
      <c r="C145" s="15">
        <v>1.5300000000000001E-2</v>
      </c>
      <c r="D145" s="15">
        <v>1.6399999999999998E-2</v>
      </c>
      <c r="E145" s="15">
        <v>2.52E-2</v>
      </c>
      <c r="F145" s="30">
        <f>'FF3 Regression'!$B$17+'FF3 Regression'!$B$18*Returns!C145+'FF3 Regression'!$B$19*Returns!D145+'FF3 Regression'!$B$20*Returns!E145</f>
        <v>1.4518963838906256E-2</v>
      </c>
      <c r="G145" s="30">
        <f t="shared" si="3"/>
        <v>2.1811036161093745E-2</v>
      </c>
      <c r="H145" s="15"/>
      <c r="I145" s="15"/>
      <c r="J145" s="21"/>
      <c r="K145" s="21"/>
    </row>
    <row r="146" spans="1:11" x14ac:dyDescent="0.6">
      <c r="A146" s="17">
        <v>33970</v>
      </c>
      <c r="B146" s="15">
        <v>-6.4840000000000002E-3</v>
      </c>
      <c r="C146" s="15">
        <v>9.300000000000001E-3</v>
      </c>
      <c r="D146" s="15">
        <v>2.0299999999999999E-2</v>
      </c>
      <c r="E146" s="15">
        <v>5.8700000000000002E-2</v>
      </c>
      <c r="F146" s="30">
        <f>'FF3 Regression'!$B$17+'FF3 Regression'!$B$18*Returns!C146+'FF3 Regression'!$B$19*Returns!D146+'FF3 Regression'!$B$20*Returns!E146</f>
        <v>-2.1948823055566599E-2</v>
      </c>
      <c r="G146" s="30">
        <f t="shared" si="3"/>
        <v>1.5464823055566599E-2</v>
      </c>
      <c r="H146" s="15"/>
      <c r="I146" s="15"/>
      <c r="J146" s="21"/>
      <c r="K146" s="21"/>
    </row>
    <row r="147" spans="1:11" x14ac:dyDescent="0.6">
      <c r="A147" s="17">
        <v>34001</v>
      </c>
      <c r="B147" s="15">
        <v>-0.109427</v>
      </c>
      <c r="C147" s="15">
        <v>1.1999999999999997E-3</v>
      </c>
      <c r="D147" s="15">
        <v>-3.4300000000000004E-2</v>
      </c>
      <c r="E147" s="15">
        <v>6.4199999999999993E-2</v>
      </c>
      <c r="F147" s="30">
        <f>'FF3 Regression'!$B$17+'FF3 Regression'!$B$18*Returns!C147+'FF3 Regression'!$B$19*Returns!D147+'FF3 Regression'!$B$20*Returns!E147</f>
        <v>-5.2059879987917446E-2</v>
      </c>
      <c r="G147" s="30">
        <f t="shared" si="3"/>
        <v>-5.7367120012082551E-2</v>
      </c>
      <c r="H147" s="15"/>
      <c r="I147" s="15"/>
      <c r="J147" s="21"/>
      <c r="K147" s="21"/>
    </row>
    <row r="148" spans="1:11" x14ac:dyDescent="0.6">
      <c r="A148" s="17">
        <v>34029</v>
      </c>
      <c r="B148" s="15">
        <v>-3.0802E-2</v>
      </c>
      <c r="C148" s="15">
        <v>2.3E-2</v>
      </c>
      <c r="D148" s="15">
        <v>2.3E-3</v>
      </c>
      <c r="E148" s="15">
        <v>1.2199999999999999E-2</v>
      </c>
      <c r="F148" s="30">
        <f>'FF3 Regression'!$B$17+'FF3 Regression'!$B$18*Returns!C148+'FF3 Regression'!$B$19*Returns!D148+'FF3 Regression'!$B$20*Returns!E148</f>
        <v>3.1755522075418624E-2</v>
      </c>
      <c r="G148" s="30">
        <f t="shared" si="3"/>
        <v>-6.255752207541862E-2</v>
      </c>
      <c r="H148" s="15"/>
      <c r="I148" s="15"/>
      <c r="J148" s="21"/>
      <c r="K148" s="21"/>
    </row>
    <row r="149" spans="1:11" x14ac:dyDescent="0.6">
      <c r="A149" s="17">
        <v>34060</v>
      </c>
      <c r="B149" s="15">
        <v>-7.254E-3</v>
      </c>
      <c r="C149" s="15">
        <v>-3.0499999999999996E-2</v>
      </c>
      <c r="D149" s="15">
        <v>-6.9999999999999993E-3</v>
      </c>
      <c r="E149" s="15">
        <v>2.6099999999999998E-2</v>
      </c>
      <c r="F149" s="30">
        <f>'FF3 Regression'!$B$17+'FF3 Regression'!$B$18*Returns!C149+'FF3 Regression'!$B$19*Returns!D149+'FF3 Regression'!$B$20*Returns!E149</f>
        <v>-4.9017996262561793E-2</v>
      </c>
      <c r="G149" s="30">
        <f t="shared" si="3"/>
        <v>4.1763996262561789E-2</v>
      </c>
      <c r="H149" s="15"/>
      <c r="I149" s="15"/>
      <c r="J149" s="21"/>
      <c r="K149" s="21"/>
    </row>
    <row r="150" spans="1:11" x14ac:dyDescent="0.6">
      <c r="A150" s="17">
        <v>34090</v>
      </c>
      <c r="B150" s="15">
        <v>0.10502</v>
      </c>
      <c r="C150" s="15">
        <v>2.8900000000000002E-2</v>
      </c>
      <c r="D150" s="15">
        <v>1.9599999999999999E-2</v>
      </c>
      <c r="E150" s="15">
        <v>-3.4099999999999998E-2</v>
      </c>
      <c r="F150" s="30">
        <f>'FF3 Regression'!$B$17+'FF3 Regression'!$B$18*Returns!C150+'FF3 Regression'!$B$19*Returns!D150+'FF3 Regression'!$B$20*Returns!E150</f>
        <v>8.5543641123213401E-2</v>
      </c>
      <c r="G150" s="30">
        <f t="shared" si="3"/>
        <v>1.9476358876786601E-2</v>
      </c>
      <c r="H150" s="15"/>
      <c r="I150" s="15"/>
      <c r="J150" s="21"/>
      <c r="K150" s="21"/>
    </row>
    <row r="151" spans="1:11" x14ac:dyDescent="0.6">
      <c r="A151" s="17">
        <v>34121</v>
      </c>
      <c r="B151" s="15">
        <v>-0.30492799999999998</v>
      </c>
      <c r="C151" s="15">
        <v>3.1000000000000008E-3</v>
      </c>
      <c r="D151" s="15">
        <v>-3.0000000000000001E-3</v>
      </c>
      <c r="E151" s="15">
        <v>2.6099999999999998E-2</v>
      </c>
      <c r="F151" s="30">
        <f>'FF3 Regression'!$B$17+'FF3 Regression'!$B$18*Returns!C151+'FF3 Regression'!$B$19*Returns!D151+'FF3 Regression'!$B$20*Returns!E151</f>
        <v>-6.6696377509954941E-3</v>
      </c>
      <c r="G151" s="30">
        <f t="shared" si="3"/>
        <v>-0.29825836224900448</v>
      </c>
      <c r="H151" s="15"/>
      <c r="I151" s="15"/>
      <c r="J151" s="21"/>
      <c r="K151" s="21"/>
    </row>
    <row r="152" spans="1:11" x14ac:dyDescent="0.6">
      <c r="A152" s="17">
        <v>34151</v>
      </c>
      <c r="B152" s="15">
        <v>-0.29986800000000002</v>
      </c>
      <c r="C152" s="15">
        <v>-3.4000000000000002E-3</v>
      </c>
      <c r="D152" s="15">
        <v>9.300000000000001E-3</v>
      </c>
      <c r="E152" s="15">
        <v>3.2400000000000005E-2</v>
      </c>
      <c r="F152" s="30">
        <f>'FF3 Regression'!$B$17+'FF3 Regression'!$B$18*Returns!C152+'FF3 Regression'!$B$19*Returns!D152+'FF3 Regression'!$B$20*Returns!E152</f>
        <v>-1.6896855925470994E-2</v>
      </c>
      <c r="G152" s="30">
        <f t="shared" si="3"/>
        <v>-0.28297114407452906</v>
      </c>
      <c r="H152" s="15"/>
      <c r="I152" s="15"/>
      <c r="J152" s="21"/>
      <c r="K152" s="21"/>
    </row>
    <row r="153" spans="1:11" x14ac:dyDescent="0.6">
      <c r="A153" s="17">
        <v>34182</v>
      </c>
      <c r="B153" s="15">
        <v>-4.3221000000000002E-2</v>
      </c>
      <c r="C153" s="15">
        <v>3.7099999999999994E-2</v>
      </c>
      <c r="D153" s="15">
        <v>3.2000000000000002E-3</v>
      </c>
      <c r="E153" s="15">
        <v>-4.5000000000000005E-3</v>
      </c>
      <c r="F153" s="30">
        <f>'FF3 Regression'!$B$17+'FF3 Regression'!$B$18*Returns!C153+'FF3 Regression'!$B$19*Returns!D153+'FF3 Regression'!$B$20*Returns!E153</f>
        <v>6.4360364477905954E-2</v>
      </c>
      <c r="G153" s="30">
        <f t="shared" si="3"/>
        <v>-0.10758136447790595</v>
      </c>
      <c r="H153" s="15"/>
      <c r="I153" s="15"/>
      <c r="J153" s="21"/>
      <c r="K153" s="21"/>
    </row>
    <row r="154" spans="1:11" x14ac:dyDescent="0.6">
      <c r="A154" s="17">
        <v>34213</v>
      </c>
      <c r="B154" s="15">
        <v>-0.12052500000000001</v>
      </c>
      <c r="C154" s="15">
        <v>-1.1999999999999997E-3</v>
      </c>
      <c r="D154" s="15">
        <v>3.1099999999999999E-2</v>
      </c>
      <c r="E154" s="15">
        <v>-4.5000000000000005E-3</v>
      </c>
      <c r="F154" s="30">
        <f>'FF3 Regression'!$B$17+'FF3 Regression'!$B$18*Returns!C154+'FF3 Regression'!$B$19*Returns!D154+'FF3 Regression'!$B$20*Returns!E154</f>
        <v>2.5132942700502689E-2</v>
      </c>
      <c r="G154" s="30">
        <f t="shared" si="3"/>
        <v>-0.1456579427005027</v>
      </c>
      <c r="H154" s="15"/>
      <c r="I154" s="15"/>
      <c r="J154" s="21"/>
      <c r="K154" s="21"/>
    </row>
    <row r="155" spans="1:11" x14ac:dyDescent="0.6">
      <c r="A155" s="17">
        <v>34243</v>
      </c>
      <c r="B155" s="15">
        <v>0.31330800000000003</v>
      </c>
      <c r="C155" s="15">
        <v>1.4099999999999998E-2</v>
      </c>
      <c r="D155" s="15">
        <v>1.4499999999999999E-2</v>
      </c>
      <c r="E155" s="15">
        <v>-1.54E-2</v>
      </c>
      <c r="F155" s="30">
        <f>'FF3 Regression'!$B$17+'FF3 Regression'!$B$18*Returns!C155+'FF3 Regression'!$B$19*Returns!D155+'FF3 Regression'!$B$20*Returns!E155</f>
        <v>4.9106987856426726E-2</v>
      </c>
      <c r="G155" s="30">
        <f t="shared" si="3"/>
        <v>0.26420101214357328</v>
      </c>
      <c r="H155" s="15"/>
      <c r="I155" s="15"/>
      <c r="J155" s="21"/>
      <c r="K155" s="21"/>
    </row>
    <row r="156" spans="1:11" x14ac:dyDescent="0.6">
      <c r="A156" s="17">
        <v>34274</v>
      </c>
      <c r="B156" s="15">
        <v>2.5793E-2</v>
      </c>
      <c r="C156" s="15">
        <v>-1.8899999999999997E-2</v>
      </c>
      <c r="D156" s="15">
        <v>-1.43E-2</v>
      </c>
      <c r="E156" s="15">
        <v>-2.7000000000000001E-3</v>
      </c>
      <c r="F156" s="30">
        <f>'FF3 Regression'!$B$17+'FF3 Regression'!$B$18*Returns!C156+'FF3 Regression'!$B$19*Returns!D156+'FF3 Regression'!$B$20*Returns!E156</f>
        <v>-1.0861101463489266E-2</v>
      </c>
      <c r="G156" s="30">
        <f t="shared" si="3"/>
        <v>3.6654101463489269E-2</v>
      </c>
      <c r="H156" s="15"/>
      <c r="I156" s="15"/>
      <c r="J156" s="21"/>
      <c r="K156" s="21"/>
    </row>
    <row r="157" spans="1:11" x14ac:dyDescent="0.6">
      <c r="A157" s="17">
        <v>34304</v>
      </c>
      <c r="B157" s="15">
        <v>-7.3729000000000003E-2</v>
      </c>
      <c r="C157" s="15">
        <v>1.6499999999999997E-2</v>
      </c>
      <c r="D157" s="15">
        <v>1.2199999999999999E-2</v>
      </c>
      <c r="E157" s="15">
        <v>5.6999999999999993E-3</v>
      </c>
      <c r="F157" s="30">
        <f>'FF3 Regression'!$B$17+'FF3 Regression'!$B$18*Returns!C157+'FF3 Regression'!$B$19*Returns!D157+'FF3 Regression'!$B$20*Returns!E157</f>
        <v>3.2395347132286548E-2</v>
      </c>
      <c r="G157" s="30">
        <f t="shared" si="3"/>
        <v>-0.10612434713228655</v>
      </c>
      <c r="H157" s="15"/>
      <c r="I157" s="15"/>
      <c r="J157" s="21"/>
      <c r="K157" s="21"/>
    </row>
    <row r="158" spans="1:11" x14ac:dyDescent="0.6">
      <c r="A158" s="17">
        <v>34335</v>
      </c>
      <c r="B158" s="15">
        <v>0.117158</v>
      </c>
      <c r="C158" s="15">
        <v>2.8700000000000003E-2</v>
      </c>
      <c r="D158" s="15">
        <v>1.4000000000000002E-3</v>
      </c>
      <c r="E158" s="15">
        <v>2.0899999999999998E-2</v>
      </c>
      <c r="F158" s="30">
        <f>'FF3 Regression'!$B$17+'FF3 Regression'!$B$18*Returns!C158+'FF3 Regression'!$B$19*Returns!D158+'FF3 Regression'!$B$20*Returns!E158</f>
        <v>3.0659026305443766E-2</v>
      </c>
      <c r="G158" s="30">
        <f t="shared" si="3"/>
        <v>8.6498973694556225E-2</v>
      </c>
      <c r="H158" s="15"/>
      <c r="I158" s="15"/>
      <c r="J158" s="21"/>
      <c r="K158" s="21"/>
    </row>
    <row r="159" spans="1:11" x14ac:dyDescent="0.6">
      <c r="A159" s="17">
        <v>34366</v>
      </c>
      <c r="B159" s="15">
        <v>0.11606799999999999</v>
      </c>
      <c r="C159" s="15">
        <v>-2.5499999999999998E-2</v>
      </c>
      <c r="D159" s="15">
        <v>2.7300000000000001E-2</v>
      </c>
      <c r="E159" s="15">
        <v>-1.44E-2</v>
      </c>
      <c r="F159" s="30">
        <f>'FF3 Regression'!$B$17+'FF3 Regression'!$B$18*Returns!C159+'FF3 Regression'!$B$19*Returns!D159+'FF3 Regression'!$B$20*Returns!E159</f>
        <v>3.1754470148391122E-3</v>
      </c>
      <c r="G159" s="30">
        <f t="shared" si="3"/>
        <v>0.11289255298516088</v>
      </c>
      <c r="H159" s="15"/>
      <c r="I159" s="15"/>
      <c r="J159" s="21"/>
      <c r="K159" s="21"/>
    </row>
    <row r="160" spans="1:11" x14ac:dyDescent="0.6">
      <c r="A160" s="17">
        <v>34394</v>
      </c>
      <c r="B160" s="15">
        <v>-9.1740999999999989E-2</v>
      </c>
      <c r="C160" s="15">
        <v>-4.7800000000000002E-2</v>
      </c>
      <c r="D160" s="15">
        <v>-9.7999999999999997E-3</v>
      </c>
      <c r="E160" s="15">
        <v>1.3100000000000001E-2</v>
      </c>
      <c r="F160" s="30">
        <f>'FF3 Regression'!$B$17+'FF3 Regression'!$B$18*Returns!C160+'FF3 Regression'!$B$19*Returns!D160+'FF3 Regression'!$B$20*Returns!E160</f>
        <v>-5.9312652413731466E-2</v>
      </c>
      <c r="G160" s="30">
        <f t="shared" si="3"/>
        <v>-3.2428347586268523E-2</v>
      </c>
      <c r="H160" s="15"/>
      <c r="I160" s="15"/>
      <c r="J160" s="21"/>
      <c r="K160" s="21"/>
    </row>
    <row r="161" spans="1:11" x14ac:dyDescent="0.6">
      <c r="A161" s="17">
        <v>34425</v>
      </c>
      <c r="B161" s="15">
        <v>-0.10044399999999999</v>
      </c>
      <c r="C161" s="15">
        <v>6.8000000000000014E-3</v>
      </c>
      <c r="D161" s="15">
        <v>-9.300000000000001E-3</v>
      </c>
      <c r="E161" s="15">
        <v>1.6799999999999999E-2</v>
      </c>
      <c r="F161" s="30">
        <f>'FF3 Regression'!$B$17+'FF3 Regression'!$B$18*Returns!C161+'FF3 Regression'!$B$19*Returns!D161+'FF3 Regression'!$B$20*Returns!E161</f>
        <v>4.4969993416249087E-3</v>
      </c>
      <c r="G161" s="30">
        <f t="shared" si="3"/>
        <v>-0.1049409993416249</v>
      </c>
      <c r="H161" s="15"/>
      <c r="I161" s="15"/>
      <c r="J161" s="21"/>
      <c r="K161" s="21"/>
    </row>
    <row r="162" spans="1:11" x14ac:dyDescent="0.6">
      <c r="A162" s="17">
        <v>34455</v>
      </c>
      <c r="B162" s="15">
        <v>-2.41E-2</v>
      </c>
      <c r="C162" s="15">
        <v>5.7999999999999979E-3</v>
      </c>
      <c r="D162" s="15">
        <v>-2.0199999999999999E-2</v>
      </c>
      <c r="E162" s="15">
        <v>2E-3</v>
      </c>
      <c r="F162" s="30">
        <f>'FF3 Regression'!$B$17+'FF3 Regression'!$B$18*Returns!C162+'FF3 Regression'!$B$19*Returns!D162+'FF3 Regression'!$B$20*Returns!E162</f>
        <v>1.3570836240899133E-2</v>
      </c>
      <c r="G162" s="30">
        <f t="shared" si="3"/>
        <v>-3.7670836240899133E-2</v>
      </c>
      <c r="H162" s="15"/>
      <c r="I162" s="15"/>
      <c r="J162" s="21"/>
      <c r="K162" s="21"/>
    </row>
    <row r="163" spans="1:11" x14ac:dyDescent="0.6">
      <c r="A163" s="17">
        <v>34486</v>
      </c>
      <c r="B163" s="15">
        <v>-9.7117000000000009E-2</v>
      </c>
      <c r="C163" s="15">
        <v>-3.0299999999999997E-2</v>
      </c>
      <c r="D163" s="15">
        <v>-4.6999999999999993E-3</v>
      </c>
      <c r="E163" s="15">
        <v>1.6799999999999999E-2</v>
      </c>
      <c r="F163" s="30">
        <f>'FF3 Regression'!$B$17+'FF3 Regression'!$B$18*Returns!C163+'FF3 Regression'!$B$19*Returns!D163+'FF3 Regression'!$B$20*Returns!E163</f>
        <v>-3.9750202586464563E-2</v>
      </c>
      <c r="G163" s="30">
        <f t="shared" si="3"/>
        <v>-5.7366797413535446E-2</v>
      </c>
      <c r="H163" s="15"/>
      <c r="I163" s="15"/>
      <c r="J163" s="21"/>
      <c r="K163" s="21"/>
    </row>
    <row r="164" spans="1:11" x14ac:dyDescent="0.6">
      <c r="A164" s="17">
        <v>34516</v>
      </c>
      <c r="B164" s="15">
        <v>0.268426</v>
      </c>
      <c r="C164" s="15">
        <v>2.8199999999999996E-2</v>
      </c>
      <c r="D164" s="15">
        <v>-1.72E-2</v>
      </c>
      <c r="E164" s="15">
        <v>6.0000000000000001E-3</v>
      </c>
      <c r="F164" s="30">
        <f>'FF3 Regression'!$B$17+'FF3 Regression'!$B$18*Returns!C164+'FF3 Regression'!$B$19*Returns!D164+'FF3 Regression'!$B$20*Returns!E164</f>
        <v>3.8291022393693572E-2</v>
      </c>
      <c r="G164" s="30">
        <f t="shared" si="3"/>
        <v>0.23013497760630641</v>
      </c>
      <c r="H164" s="15"/>
      <c r="I164" s="15"/>
      <c r="J164" s="21"/>
      <c r="K164" s="21"/>
    </row>
    <row r="165" spans="1:11" x14ac:dyDescent="0.6">
      <c r="A165" s="17">
        <v>34547</v>
      </c>
      <c r="B165" s="15">
        <v>7.4074000000000001E-2</v>
      </c>
      <c r="C165" s="15">
        <v>4.0099999999999997E-2</v>
      </c>
      <c r="D165" s="15">
        <v>1.3300000000000001E-2</v>
      </c>
      <c r="E165" s="15">
        <v>-2.8300000000000002E-2</v>
      </c>
      <c r="F165" s="30">
        <f>'FF3 Regression'!$B$17+'FF3 Regression'!$B$18*Returns!C165+'FF3 Regression'!$B$19*Returns!D165+'FF3 Regression'!$B$20*Returns!E165</f>
        <v>9.2305620044471029E-2</v>
      </c>
      <c r="G165" s="30">
        <f t="shared" si="3"/>
        <v>-1.8231620044471028E-2</v>
      </c>
      <c r="H165" s="15"/>
      <c r="I165" s="15"/>
      <c r="J165" s="21"/>
      <c r="K165" s="21"/>
    </row>
    <row r="166" spans="1:11" x14ac:dyDescent="0.6">
      <c r="A166" s="17">
        <v>34578</v>
      </c>
      <c r="B166" s="15">
        <v>-7.2784999999999989E-2</v>
      </c>
      <c r="C166" s="15">
        <v>-2.3100000000000002E-2</v>
      </c>
      <c r="D166" s="15">
        <v>2.8199999999999999E-2</v>
      </c>
      <c r="E166" s="15">
        <v>-1.9099999999999999E-2</v>
      </c>
      <c r="F166" s="30">
        <f>'FF3 Regression'!$B$17+'FF3 Regression'!$B$18*Returns!C166+'FF3 Regression'!$B$19*Returns!D166+'FF3 Regression'!$B$20*Returns!E166</f>
        <v>1.0607294896271394E-2</v>
      </c>
      <c r="G166" s="30">
        <f t="shared" si="3"/>
        <v>-8.3392294896271382E-2</v>
      </c>
      <c r="H166" s="15"/>
      <c r="I166" s="15"/>
      <c r="J166" s="21"/>
      <c r="K166" s="21"/>
    </row>
    <row r="167" spans="1:11" x14ac:dyDescent="0.6">
      <c r="A167" s="17">
        <v>34608</v>
      </c>
      <c r="B167" s="15">
        <v>0.27820399999999995</v>
      </c>
      <c r="C167" s="15">
        <v>1.3400000000000004E-2</v>
      </c>
      <c r="D167" s="15">
        <v>-2.3599999999999999E-2</v>
      </c>
      <c r="E167" s="15">
        <v>-1.7500000000000002E-2</v>
      </c>
      <c r="F167" s="30">
        <f>'FF3 Regression'!$B$17+'FF3 Regression'!$B$18*Returns!C167+'FF3 Regression'!$B$19*Returns!D167+'FF3 Regression'!$B$20*Returns!E167</f>
        <v>3.9524188562322239E-2</v>
      </c>
      <c r="G167" s="30">
        <f t="shared" si="3"/>
        <v>0.23867981143767772</v>
      </c>
      <c r="H167" s="15"/>
      <c r="I167" s="15"/>
      <c r="J167" s="21"/>
      <c r="K167" s="21"/>
    </row>
    <row r="168" spans="1:11" x14ac:dyDescent="0.6">
      <c r="A168" s="17">
        <v>34639</v>
      </c>
      <c r="B168" s="15">
        <v>-0.138403</v>
      </c>
      <c r="C168" s="15">
        <v>-4.0399999999999998E-2</v>
      </c>
      <c r="D168" s="15">
        <v>2.7000000000000001E-3</v>
      </c>
      <c r="E168" s="15">
        <v>-9.4999999999999998E-3</v>
      </c>
      <c r="F168" s="30">
        <f>'FF3 Regression'!$B$17+'FF3 Regression'!$B$18*Returns!C168+'FF3 Regression'!$B$19*Returns!D168+'FF3 Regression'!$B$20*Returns!E168</f>
        <v>-2.6380468747351116E-2</v>
      </c>
      <c r="G168" s="30">
        <f t="shared" si="3"/>
        <v>-0.11202253125264888</v>
      </c>
      <c r="H168" s="15"/>
      <c r="I168" s="15"/>
      <c r="J168" s="21"/>
      <c r="K168" s="21"/>
    </row>
    <row r="169" spans="1:11" x14ac:dyDescent="0.6">
      <c r="A169" s="17">
        <v>34669</v>
      </c>
      <c r="B169" s="15">
        <v>4.258E-2</v>
      </c>
      <c r="C169" s="15">
        <v>8.6E-3</v>
      </c>
      <c r="D169" s="15">
        <v>2.9999999999999997E-4</v>
      </c>
      <c r="E169" s="15">
        <v>5.3E-3</v>
      </c>
      <c r="F169" s="30">
        <f>'FF3 Regression'!$B$17+'FF3 Regression'!$B$18*Returns!C169+'FF3 Regression'!$B$19*Returns!D169+'FF3 Regression'!$B$20*Returns!E169</f>
        <v>1.9745124597662624E-2</v>
      </c>
      <c r="G169" s="30">
        <f t="shared" si="3"/>
        <v>2.2834875402337376E-2</v>
      </c>
      <c r="H169" s="15"/>
      <c r="I169" s="15"/>
      <c r="J169" s="21"/>
      <c r="K169" s="21"/>
    </row>
    <row r="170" spans="1:11" x14ac:dyDescent="0.6">
      <c r="A170" s="17">
        <v>34700</v>
      </c>
      <c r="B170" s="15">
        <v>3.1056000000000004E-2</v>
      </c>
      <c r="C170" s="15">
        <v>1.8000000000000002E-2</v>
      </c>
      <c r="D170" s="15">
        <v>-2.6499999999999999E-2</v>
      </c>
      <c r="E170" s="15">
        <v>8.199999999999999E-3</v>
      </c>
      <c r="F170" s="30">
        <f>'FF3 Regression'!$B$17+'FF3 Regression'!$B$18*Returns!C170+'FF3 Regression'!$B$19*Returns!D170+'FF3 Regression'!$B$20*Returns!E170</f>
        <v>2.1199517586150612E-2</v>
      </c>
      <c r="G170" s="30">
        <f t="shared" si="3"/>
        <v>9.856482413849392E-3</v>
      </c>
      <c r="H170" s="15"/>
      <c r="I170" s="15"/>
      <c r="J170" s="21"/>
      <c r="K170" s="21"/>
    </row>
    <row r="171" spans="1:11" x14ac:dyDescent="0.6">
      <c r="A171" s="17">
        <v>34731</v>
      </c>
      <c r="B171" s="15">
        <v>-2.2700000000000001E-2</v>
      </c>
      <c r="C171" s="15">
        <v>3.6299999999999999E-2</v>
      </c>
      <c r="D171" s="15">
        <v>-6.8999999999999999E-3</v>
      </c>
      <c r="E171" s="15">
        <v>1.0500000000000001E-2</v>
      </c>
      <c r="F171" s="30">
        <f>'FF3 Regression'!$B$17+'FF3 Regression'!$B$18*Returns!C171+'FF3 Regression'!$B$19*Returns!D171+'FF3 Regression'!$B$20*Returns!E171</f>
        <v>4.7045795325180502E-2</v>
      </c>
      <c r="G171" s="30">
        <f t="shared" si="3"/>
        <v>-6.9745795325180507E-2</v>
      </c>
      <c r="H171" s="15"/>
      <c r="I171" s="15"/>
      <c r="J171" s="21"/>
      <c r="K171" s="21"/>
    </row>
    <row r="172" spans="1:11" x14ac:dyDescent="0.6">
      <c r="A172" s="17">
        <v>34759</v>
      </c>
      <c r="B172" s="15">
        <v>-0.11219499999999999</v>
      </c>
      <c r="C172" s="15">
        <v>2.1899999999999999E-2</v>
      </c>
      <c r="D172" s="15">
        <v>-6.9999999999999993E-3</v>
      </c>
      <c r="E172" s="15">
        <v>-1.0700000000000001E-2</v>
      </c>
      <c r="F172" s="30">
        <f>'FF3 Regression'!$B$17+'FF3 Regression'!$B$18*Returns!C172+'FF3 Regression'!$B$19*Returns!D172+'FF3 Regression'!$B$20*Returns!E172</f>
        <v>4.8452462494553102E-2</v>
      </c>
      <c r="G172" s="30">
        <f t="shared" si="3"/>
        <v>-0.16064746249455308</v>
      </c>
      <c r="H172" s="15"/>
      <c r="I172" s="15"/>
      <c r="J172" s="21"/>
      <c r="K172" s="21"/>
    </row>
    <row r="173" spans="1:11" x14ac:dyDescent="0.6">
      <c r="A173" s="17">
        <v>34790</v>
      </c>
      <c r="B173" s="15">
        <v>8.0706E-2</v>
      </c>
      <c r="C173" s="15">
        <v>2.1099999999999997E-2</v>
      </c>
      <c r="D173" s="15">
        <v>-6.3E-3</v>
      </c>
      <c r="E173" s="15">
        <v>2.2499999999999999E-2</v>
      </c>
      <c r="F173" s="30">
        <f>'FF3 Regression'!$B$17+'FF3 Regression'!$B$18*Returns!C173+'FF3 Regression'!$B$19*Returns!D173+'FF3 Regression'!$B$20*Returns!E173</f>
        <v>1.7744801961267362E-2</v>
      </c>
      <c r="G173" s="30">
        <f t="shared" si="3"/>
        <v>6.2961198038732638E-2</v>
      </c>
      <c r="H173" s="15"/>
      <c r="I173" s="15"/>
      <c r="J173" s="21"/>
      <c r="K173" s="21"/>
    </row>
    <row r="174" spans="1:11" x14ac:dyDescent="0.6">
      <c r="A174" s="17">
        <v>34820</v>
      </c>
      <c r="B174" s="15">
        <v>8.4338999999999997E-2</v>
      </c>
      <c r="C174" s="15">
        <v>2.8999999999999998E-2</v>
      </c>
      <c r="D174" s="15">
        <v>-2.2000000000000002E-2</v>
      </c>
      <c r="E174" s="15">
        <v>1.6899999999999998E-2</v>
      </c>
      <c r="F174" s="30">
        <f>'FF3 Regression'!$B$17+'FF3 Regression'!$B$18*Returns!C174+'FF3 Regression'!$B$19*Returns!D174+'FF3 Regression'!$B$20*Returns!E174</f>
        <v>2.8111839771556395E-2</v>
      </c>
      <c r="G174" s="30">
        <f t="shared" si="3"/>
        <v>5.6227160228443603E-2</v>
      </c>
      <c r="H174" s="15"/>
      <c r="I174" s="15"/>
      <c r="J174" s="21"/>
      <c r="K174" s="21"/>
    </row>
    <row r="175" spans="1:11" x14ac:dyDescent="0.6">
      <c r="A175" s="17">
        <v>34851</v>
      </c>
      <c r="B175" s="15">
        <v>0.112593</v>
      </c>
      <c r="C175" s="15">
        <v>2.7200000000000005E-2</v>
      </c>
      <c r="D175" s="15">
        <v>2.9300000000000003E-2</v>
      </c>
      <c r="E175" s="15">
        <v>-2.2700000000000001E-2</v>
      </c>
      <c r="F175" s="30">
        <f>'FF3 Regression'!$B$17+'FF3 Regression'!$B$18*Returns!C175+'FF3 Regression'!$B$19*Returns!D175+'FF3 Regression'!$B$20*Returns!E175</f>
        <v>7.5886196277193563E-2</v>
      </c>
      <c r="G175" s="30">
        <f t="shared" si="3"/>
        <v>3.6706803722806436E-2</v>
      </c>
      <c r="H175" s="15"/>
      <c r="I175" s="15"/>
      <c r="J175" s="21"/>
      <c r="K175" s="21"/>
    </row>
    <row r="176" spans="1:11" x14ac:dyDescent="0.6">
      <c r="A176" s="17">
        <v>34881</v>
      </c>
      <c r="B176" s="15">
        <v>-3.5456000000000001E-2</v>
      </c>
      <c r="C176" s="15">
        <v>3.7199999999999997E-2</v>
      </c>
      <c r="D176" s="15">
        <v>2.0899999999999998E-2</v>
      </c>
      <c r="E176" s="15">
        <v>-1.6899999999999998E-2</v>
      </c>
      <c r="F176" s="30">
        <f>'FF3 Regression'!$B$17+'FF3 Regression'!$B$18*Returns!C176+'FF3 Regression'!$B$19*Returns!D176+'FF3 Regression'!$B$20*Returns!E176</f>
        <v>8.0590386870524028E-2</v>
      </c>
      <c r="G176" s="30">
        <f t="shared" si="3"/>
        <v>-0.11604638687052403</v>
      </c>
      <c r="H176" s="15"/>
      <c r="I176" s="15"/>
      <c r="J176" s="21"/>
      <c r="K176" s="21"/>
    </row>
    <row r="177" spans="1:11" x14ac:dyDescent="0.6">
      <c r="A177" s="17">
        <v>34912</v>
      </c>
      <c r="B177" s="15">
        <v>-4.6478000000000005E-2</v>
      </c>
      <c r="C177" s="15">
        <v>5.5000000000000014E-3</v>
      </c>
      <c r="D177" s="15">
        <v>1.6E-2</v>
      </c>
      <c r="E177" s="15">
        <v>2.7099999999999999E-2</v>
      </c>
      <c r="F177" s="30">
        <f>'FF3 Regression'!$B$17+'FF3 Regression'!$B$18*Returns!C177+'FF3 Regression'!$B$19*Returns!D177+'FF3 Regression'!$B$20*Returns!E177</f>
        <v>6.686428608250021E-4</v>
      </c>
      <c r="G177" s="30">
        <f t="shared" si="3"/>
        <v>-4.7146642860825011E-2</v>
      </c>
      <c r="H177" s="15"/>
      <c r="I177" s="15"/>
      <c r="J177" s="21"/>
      <c r="K177" s="21"/>
    </row>
    <row r="178" spans="1:11" x14ac:dyDescent="0.6">
      <c r="A178" s="17">
        <v>34943</v>
      </c>
      <c r="B178" s="15">
        <v>-0.138021</v>
      </c>
      <c r="C178" s="15">
        <v>3.3500000000000002E-2</v>
      </c>
      <c r="D178" s="15">
        <v>-2.1099999999999997E-2</v>
      </c>
      <c r="E178" s="15">
        <v>-7.7000000000000002E-3</v>
      </c>
      <c r="F178" s="30">
        <f>'FF3 Regression'!$B$17+'FF3 Regression'!$B$18*Returns!C178+'FF3 Regression'!$B$19*Returns!D178+'FF3 Regression'!$B$20*Returns!E178</f>
        <v>5.6055347249681885E-2</v>
      </c>
      <c r="G178" s="30">
        <f t="shared" si="3"/>
        <v>-0.1940763472496819</v>
      </c>
      <c r="H178" s="15"/>
      <c r="I178" s="15"/>
      <c r="J178" s="21"/>
      <c r="K178" s="21"/>
    </row>
    <row r="179" spans="1:11" x14ac:dyDescent="0.6">
      <c r="A179" s="17">
        <v>34973</v>
      </c>
      <c r="B179" s="15">
        <v>-2.9867999999999999E-2</v>
      </c>
      <c r="C179" s="15">
        <v>-1.52E-2</v>
      </c>
      <c r="D179" s="15">
        <v>-3.7400000000000003E-2</v>
      </c>
      <c r="E179" s="15">
        <v>-7.4999999999999997E-3</v>
      </c>
      <c r="F179" s="30">
        <f>'FF3 Regression'!$B$17+'FF3 Regression'!$B$18*Returns!C179+'FF3 Regression'!$B$19*Returns!D179+'FF3 Regression'!$B$20*Returns!E179</f>
        <v>-8.4312418885626374E-3</v>
      </c>
      <c r="G179" s="30">
        <f t="shared" si="3"/>
        <v>-2.143675811143736E-2</v>
      </c>
      <c r="H179" s="15"/>
      <c r="I179" s="15"/>
      <c r="J179" s="21"/>
      <c r="K179" s="21"/>
    </row>
    <row r="180" spans="1:11" x14ac:dyDescent="0.6">
      <c r="A180" s="17">
        <v>35004</v>
      </c>
      <c r="B180" s="15">
        <v>4.9019E-2</v>
      </c>
      <c r="C180" s="15">
        <v>3.9599999999999996E-2</v>
      </c>
      <c r="D180" s="15">
        <v>-1.1599999999999999E-2</v>
      </c>
      <c r="E180" s="15">
        <v>9.3999999999999986E-3</v>
      </c>
      <c r="F180" s="30">
        <f>'FF3 Regression'!$B$17+'FF3 Regression'!$B$18*Returns!C180+'FF3 Regression'!$B$19*Returns!D180+'FF3 Regression'!$B$20*Returns!E180</f>
        <v>5.0777269781651681E-2</v>
      </c>
      <c r="G180" s="30">
        <f t="shared" si="3"/>
        <v>-1.7582697816516807E-3</v>
      </c>
      <c r="H180" s="15"/>
      <c r="I180" s="15"/>
      <c r="J180" s="21"/>
      <c r="K180" s="21"/>
    </row>
    <row r="181" spans="1:11" x14ac:dyDescent="0.6">
      <c r="A181" s="17">
        <v>35034</v>
      </c>
      <c r="B181" s="15">
        <v>-0.16883399999999998</v>
      </c>
      <c r="C181" s="15">
        <v>1.03E-2</v>
      </c>
      <c r="D181" s="15">
        <v>5.6999999999999993E-3</v>
      </c>
      <c r="E181" s="15">
        <v>8.5000000000000006E-3</v>
      </c>
      <c r="F181" s="30">
        <f>'FF3 Regression'!$B$17+'FF3 Regression'!$B$18*Returns!C181+'FF3 Regression'!$B$19*Returns!D181+'FF3 Regression'!$B$20*Returns!E181</f>
        <v>2.0452090002689566E-2</v>
      </c>
      <c r="G181" s="30">
        <f t="shared" si="3"/>
        <v>-0.18928609000268956</v>
      </c>
      <c r="H181" s="15"/>
      <c r="I181" s="15"/>
      <c r="J181" s="21"/>
      <c r="K181" s="21"/>
    </row>
    <row r="182" spans="1:11" x14ac:dyDescent="0.6">
      <c r="A182" s="17">
        <v>35065</v>
      </c>
      <c r="B182" s="15">
        <v>-0.13763300000000001</v>
      </c>
      <c r="C182" s="15">
        <v>2.2600000000000002E-2</v>
      </c>
      <c r="D182" s="15">
        <v>-2.6099999999999998E-2</v>
      </c>
      <c r="E182" s="15">
        <v>3.2000000000000002E-3</v>
      </c>
      <c r="F182" s="30">
        <f>'FF3 Regression'!$B$17+'FF3 Regression'!$B$18*Returns!C182+'FF3 Regression'!$B$19*Returns!D182+'FF3 Regression'!$B$20*Returns!E182</f>
        <v>3.1462244213872434E-2</v>
      </c>
      <c r="G182" s="30">
        <f t="shared" si="3"/>
        <v>-0.16909524421387245</v>
      </c>
      <c r="H182" s="15"/>
      <c r="I182" s="15"/>
      <c r="J182" s="21"/>
      <c r="K182" s="21"/>
    </row>
    <row r="183" spans="1:11" x14ac:dyDescent="0.6">
      <c r="A183" s="17">
        <v>35096</v>
      </c>
      <c r="B183" s="15">
        <v>-8.4250000000000002E-3</v>
      </c>
      <c r="C183" s="15">
        <v>1.3300000000000003E-2</v>
      </c>
      <c r="D183" s="15">
        <v>1.8700000000000001E-2</v>
      </c>
      <c r="E183" s="15">
        <v>-1.43E-2</v>
      </c>
      <c r="F183" s="30">
        <f>'FF3 Regression'!$B$17+'FF3 Regression'!$B$18*Returns!C183+'FF3 Regression'!$B$19*Returns!D183+'FF3 Regression'!$B$20*Returns!E183</f>
        <v>4.8304180828547635E-2</v>
      </c>
      <c r="G183" s="30">
        <f t="shared" si="3"/>
        <v>-5.6729180828547637E-2</v>
      </c>
      <c r="H183" s="15"/>
      <c r="I183" s="15"/>
      <c r="J183" s="21"/>
      <c r="K183" s="21"/>
    </row>
    <row r="184" spans="1:11" x14ac:dyDescent="0.6">
      <c r="A184" s="17">
        <v>35125</v>
      </c>
      <c r="B184" s="15">
        <v>-0.110718</v>
      </c>
      <c r="C184" s="15">
        <v>7.3000000000000009E-3</v>
      </c>
      <c r="D184" s="15">
        <v>1.3000000000000001E-2</v>
      </c>
      <c r="E184" s="15">
        <v>9.8999999999999991E-3</v>
      </c>
      <c r="F184" s="30">
        <f>'FF3 Regression'!$B$17+'FF3 Regression'!$B$18*Returns!C184+'FF3 Regression'!$B$19*Returns!D184+'FF3 Regression'!$B$20*Returns!E184</f>
        <v>1.7542879742079773E-2</v>
      </c>
      <c r="G184" s="30">
        <f t="shared" si="3"/>
        <v>-0.12826087974207978</v>
      </c>
      <c r="H184" s="15"/>
      <c r="I184" s="15"/>
      <c r="J184" s="21"/>
      <c r="K184" s="21"/>
    </row>
    <row r="185" spans="1:11" x14ac:dyDescent="0.6">
      <c r="A185" s="17">
        <v>35156</v>
      </c>
      <c r="B185" s="15">
        <v>-1.2234E-2</v>
      </c>
      <c r="C185" s="15">
        <v>2.06E-2</v>
      </c>
      <c r="D185" s="15">
        <v>4.9100000000000005E-2</v>
      </c>
      <c r="E185" s="15">
        <v>-3.9E-2</v>
      </c>
      <c r="F185" s="30">
        <f>'FF3 Regression'!$B$17+'FF3 Regression'!$B$18*Returns!C185+'FF3 Regression'!$B$19*Returns!D185+'FF3 Regression'!$B$20*Returns!E185</f>
        <v>8.799397069942505E-2</v>
      </c>
      <c r="G185" s="30">
        <f t="shared" si="3"/>
        <v>-0.10022797069942505</v>
      </c>
      <c r="H185" s="15"/>
      <c r="I185" s="15"/>
      <c r="J185" s="21"/>
      <c r="K185" s="21"/>
    </row>
    <row r="186" spans="1:11" x14ac:dyDescent="0.6">
      <c r="A186" s="17">
        <v>35186</v>
      </c>
      <c r="B186" s="15">
        <v>6.7595000000000002E-2</v>
      </c>
      <c r="C186" s="15">
        <v>2.3599999999999999E-2</v>
      </c>
      <c r="D186" s="15">
        <v>3.0299999999999997E-2</v>
      </c>
      <c r="E186" s="15">
        <v>-1.21E-2</v>
      </c>
      <c r="F186" s="30">
        <f>'FF3 Regression'!$B$17+'FF3 Regression'!$B$18*Returns!C186+'FF3 Regression'!$B$19*Returns!D186+'FF3 Regression'!$B$20*Returns!E186</f>
        <v>6.2193859642756318E-2</v>
      </c>
      <c r="G186" s="30">
        <f t="shared" si="3"/>
        <v>5.4011403572436847E-3</v>
      </c>
      <c r="H186" s="15"/>
      <c r="I186" s="15"/>
      <c r="J186" s="21"/>
      <c r="K186" s="21"/>
    </row>
    <row r="187" spans="1:11" x14ac:dyDescent="0.6">
      <c r="A187" s="17">
        <v>35217</v>
      </c>
      <c r="B187" s="15">
        <v>-0.20017200000000002</v>
      </c>
      <c r="C187" s="15">
        <v>-1.1399999999999999E-2</v>
      </c>
      <c r="D187" s="15">
        <v>-3.5799999999999998E-2</v>
      </c>
      <c r="E187" s="15">
        <v>1.55E-2</v>
      </c>
      <c r="F187" s="30">
        <f>'FF3 Regression'!$B$17+'FF3 Regression'!$B$18*Returns!C187+'FF3 Regression'!$B$19*Returns!D187+'FF3 Regression'!$B$20*Returns!E187</f>
        <v>-2.4050438949662765E-2</v>
      </c>
      <c r="G187" s="30">
        <f t="shared" si="3"/>
        <v>-0.17612156105033724</v>
      </c>
      <c r="H187" s="15"/>
      <c r="I187" s="15"/>
      <c r="J187" s="21"/>
      <c r="K187" s="21"/>
    </row>
    <row r="188" spans="1:11" x14ac:dyDescent="0.6">
      <c r="A188" s="17">
        <v>35247</v>
      </c>
      <c r="B188" s="15">
        <v>4.3119000000000005E-2</v>
      </c>
      <c r="C188" s="15">
        <v>-5.9700000000000003E-2</v>
      </c>
      <c r="D188" s="15">
        <v>-3.8300000000000001E-2</v>
      </c>
      <c r="E188" s="15">
        <v>4.4199999999999996E-2</v>
      </c>
      <c r="F188" s="30">
        <f>'FF3 Regression'!$B$17+'FF3 Regression'!$B$18*Returns!C188+'FF3 Regression'!$B$19*Returns!D188+'FF3 Regression'!$B$20*Returns!E188</f>
        <v>-0.10988601374311421</v>
      </c>
      <c r="G188" s="30">
        <f t="shared" si="3"/>
        <v>0.1530050137431142</v>
      </c>
      <c r="H188" s="15"/>
      <c r="I188" s="15"/>
      <c r="J188" s="21"/>
      <c r="K188" s="21"/>
    </row>
    <row r="189" spans="1:11" x14ac:dyDescent="0.6">
      <c r="A189" s="17">
        <v>35278</v>
      </c>
      <c r="B189" s="15">
        <v>9.817300000000001E-2</v>
      </c>
      <c r="C189" s="15">
        <v>2.7700000000000002E-2</v>
      </c>
      <c r="D189" s="15">
        <v>2.29E-2</v>
      </c>
      <c r="E189" s="15">
        <v>-4.3E-3</v>
      </c>
      <c r="F189" s="30">
        <f>'FF3 Regression'!$B$17+'FF3 Regression'!$B$18*Returns!C189+'FF3 Regression'!$B$19*Returns!D189+'FF3 Regression'!$B$20*Returns!E189</f>
        <v>5.8133771942010103E-2</v>
      </c>
      <c r="G189" s="30">
        <f t="shared" si="3"/>
        <v>4.0039228057989908E-2</v>
      </c>
      <c r="H189" s="15"/>
      <c r="I189" s="15"/>
      <c r="J189" s="21"/>
      <c r="K189" s="21"/>
    </row>
    <row r="190" spans="1:11" x14ac:dyDescent="0.6">
      <c r="A190" s="17">
        <v>35309</v>
      </c>
      <c r="B190" s="15">
        <v>-8.9452000000000004E-2</v>
      </c>
      <c r="C190" s="15">
        <v>5.0099999999999999E-2</v>
      </c>
      <c r="D190" s="15">
        <v>-8.6999999999999994E-3</v>
      </c>
      <c r="E190" s="15">
        <v>-3.1200000000000002E-2</v>
      </c>
      <c r="F190" s="30">
        <f>'FF3 Regression'!$B$17+'FF3 Regression'!$B$18*Returns!C190+'FF3 Regression'!$B$19*Returns!D190+'FF3 Regression'!$B$20*Returns!E190</f>
        <v>0.10106097858298699</v>
      </c>
      <c r="G190" s="30">
        <f t="shared" si="3"/>
        <v>-0.19051297858298699</v>
      </c>
      <c r="H190" s="15"/>
      <c r="I190" s="15"/>
      <c r="J190" s="21"/>
      <c r="K190" s="21"/>
    </row>
    <row r="191" spans="1:11" x14ac:dyDescent="0.6">
      <c r="A191" s="17">
        <v>35339</v>
      </c>
      <c r="B191" s="15">
        <v>3.2419999999999997E-2</v>
      </c>
      <c r="C191" s="15">
        <v>8.6E-3</v>
      </c>
      <c r="D191" s="15">
        <v>-4.4699999999999997E-2</v>
      </c>
      <c r="E191" s="15">
        <v>5.0999999999999997E-2</v>
      </c>
      <c r="F191" s="30">
        <f>'FF3 Regression'!$B$17+'FF3 Regression'!$B$18*Returns!C191+'FF3 Regression'!$B$19*Returns!D191+'FF3 Regression'!$B$20*Returns!E191</f>
        <v>-3.3980249407303063E-2</v>
      </c>
      <c r="G191" s="30">
        <f t="shared" si="3"/>
        <v>6.6400249407303061E-2</v>
      </c>
      <c r="H191" s="15"/>
      <c r="I191" s="15"/>
      <c r="J191" s="21"/>
      <c r="K191" s="21"/>
    </row>
    <row r="192" spans="1:11" x14ac:dyDescent="0.6">
      <c r="A192" s="17">
        <v>35370</v>
      </c>
      <c r="B192" s="15">
        <v>4.4812999999999999E-2</v>
      </c>
      <c r="C192" s="15">
        <v>6.25E-2</v>
      </c>
      <c r="D192" s="15">
        <v>-3.9100000000000003E-2</v>
      </c>
      <c r="E192" s="15">
        <v>1.21E-2</v>
      </c>
      <c r="F192" s="30">
        <f>'FF3 Regression'!$B$17+'FF3 Regression'!$B$18*Returns!C192+'FF3 Regression'!$B$19*Returns!D192+'FF3 Regression'!$B$20*Returns!E192</f>
        <v>6.8784002457671287E-2</v>
      </c>
      <c r="G192" s="30">
        <f t="shared" si="3"/>
        <v>-2.3971002457671288E-2</v>
      </c>
      <c r="H192" s="15"/>
      <c r="I192" s="15"/>
      <c r="J192" s="21"/>
      <c r="K192" s="21"/>
    </row>
    <row r="193" spans="1:11" x14ac:dyDescent="0.6">
      <c r="A193" s="17">
        <v>35400</v>
      </c>
      <c r="B193" s="15">
        <v>-0.13931499999999999</v>
      </c>
      <c r="C193" s="15">
        <v>-1.7000000000000001E-2</v>
      </c>
      <c r="D193" s="15">
        <v>3.2099999999999997E-2</v>
      </c>
      <c r="E193" s="15">
        <v>8.6999999999999994E-3</v>
      </c>
      <c r="F193" s="30">
        <f>'FF3 Regression'!$B$17+'FF3 Regression'!$B$18*Returns!C193+'FF3 Regression'!$B$19*Returns!D193+'FF3 Regression'!$B$20*Returns!E193</f>
        <v>-5.8743907056549444E-3</v>
      </c>
      <c r="G193" s="30">
        <f t="shared" si="3"/>
        <v>-0.13344060929434504</v>
      </c>
      <c r="H193" s="15"/>
      <c r="I193" s="15"/>
      <c r="J193" s="21"/>
      <c r="K193" s="21"/>
    </row>
    <row r="194" spans="1:11" x14ac:dyDescent="0.6">
      <c r="A194" s="17">
        <v>35431</v>
      </c>
      <c r="B194" s="15">
        <v>-0.208093</v>
      </c>
      <c r="C194" s="15">
        <v>4.9800000000000011E-2</v>
      </c>
      <c r="D194" s="15">
        <v>-1.84E-2</v>
      </c>
      <c r="E194" s="15">
        <v>-1.6500000000000001E-2</v>
      </c>
      <c r="F194" s="30">
        <f>'FF3 Regression'!$B$17+'FF3 Regression'!$B$18*Returns!C194+'FF3 Regression'!$B$19*Returns!D194+'FF3 Regression'!$B$20*Returns!E194</f>
        <v>8.4741835204951918E-2</v>
      </c>
      <c r="G194" s="30">
        <f t="shared" si="3"/>
        <v>-0.2928348352049519</v>
      </c>
      <c r="H194" s="15"/>
      <c r="I194" s="15"/>
      <c r="J194" s="21"/>
      <c r="K194" s="21"/>
    </row>
    <row r="195" spans="1:11" x14ac:dyDescent="0.6">
      <c r="A195" s="17">
        <v>35462</v>
      </c>
      <c r="B195" s="15">
        <v>-2.6456E-2</v>
      </c>
      <c r="C195" s="15">
        <v>-4.8999999999999998E-3</v>
      </c>
      <c r="D195" s="15">
        <v>-2.9100000000000001E-2</v>
      </c>
      <c r="E195" s="15">
        <v>5.1900000000000002E-2</v>
      </c>
      <c r="F195" s="30">
        <f>'FF3 Regression'!$B$17+'FF3 Regression'!$B$18*Returns!C195+'FF3 Regression'!$B$19*Returns!D195+'FF3 Regression'!$B$20*Returns!E195</f>
        <v>-4.7011650621213305E-2</v>
      </c>
      <c r="G195" s="30">
        <f t="shared" ref="G195:G258" si="4">B195-F195</f>
        <v>2.0555650621213305E-2</v>
      </c>
      <c r="H195" s="15"/>
      <c r="I195" s="15"/>
      <c r="J195" s="21"/>
      <c r="K195" s="21"/>
    </row>
    <row r="196" spans="1:11" x14ac:dyDescent="0.6">
      <c r="A196" s="17">
        <v>35490</v>
      </c>
      <c r="B196" s="15">
        <v>0.11877700000000001</v>
      </c>
      <c r="C196" s="15">
        <v>-5.0199999999999995E-2</v>
      </c>
      <c r="D196" s="15">
        <v>-3.8E-3</v>
      </c>
      <c r="E196" s="15">
        <v>3.7699999999999997E-2</v>
      </c>
      <c r="F196" s="30">
        <f>'FF3 Regression'!$B$17+'FF3 Regression'!$B$18*Returns!C196+'FF3 Regression'!$B$19*Returns!D196+'FF3 Regression'!$B$20*Returns!E196</f>
        <v>-8.2756402036743129E-2</v>
      </c>
      <c r="G196" s="30">
        <f t="shared" si="4"/>
        <v>0.20153340203674314</v>
      </c>
      <c r="H196" s="15"/>
      <c r="I196" s="15"/>
      <c r="J196" s="21"/>
      <c r="K196" s="21"/>
    </row>
    <row r="197" spans="1:11" x14ac:dyDescent="0.6">
      <c r="A197" s="17">
        <v>35521</v>
      </c>
      <c r="B197" s="15">
        <v>-7.2792999999999997E-2</v>
      </c>
      <c r="C197" s="15">
        <v>4.0399999999999998E-2</v>
      </c>
      <c r="D197" s="15">
        <v>-5.6500000000000002E-2</v>
      </c>
      <c r="E197" s="15">
        <v>-7.000000000000001E-4</v>
      </c>
      <c r="F197" s="30">
        <f>'FF3 Regression'!$B$17+'FF3 Regression'!$B$18*Returns!C197+'FF3 Regression'!$B$19*Returns!D197+'FF3 Regression'!$B$20*Returns!E197</f>
        <v>4.8350350822832747E-2</v>
      </c>
      <c r="G197" s="30">
        <f t="shared" si="4"/>
        <v>-0.12114335082283274</v>
      </c>
      <c r="H197" s="15"/>
      <c r="I197" s="15"/>
      <c r="J197" s="21"/>
      <c r="K197" s="21"/>
    </row>
    <row r="198" spans="1:11" x14ac:dyDescent="0.6">
      <c r="A198" s="17">
        <v>35551</v>
      </c>
      <c r="B198" s="15">
        <v>-2.6958999999999997E-2</v>
      </c>
      <c r="C198" s="15">
        <v>6.7400000000000002E-2</v>
      </c>
      <c r="D198" s="15">
        <v>4.9299999999999997E-2</v>
      </c>
      <c r="E198" s="15">
        <v>-3.9100000000000003E-2</v>
      </c>
      <c r="F198" s="30">
        <f>'FF3 Regression'!$B$17+'FF3 Regression'!$B$18*Returns!C198+'FF3 Regression'!$B$19*Returns!D198+'FF3 Regression'!$B$20*Returns!E198</f>
        <v>0.14557258905541429</v>
      </c>
      <c r="G198" s="30">
        <f t="shared" si="4"/>
        <v>-0.17253158905541427</v>
      </c>
      <c r="H198" s="15"/>
      <c r="I198" s="15"/>
      <c r="J198" s="21"/>
      <c r="K198" s="21"/>
    </row>
    <row r="199" spans="1:11" x14ac:dyDescent="0.6">
      <c r="A199" s="17">
        <v>35582</v>
      </c>
      <c r="B199" s="15">
        <v>-0.14655700000000002</v>
      </c>
      <c r="C199" s="15">
        <v>4.0999999999999995E-2</v>
      </c>
      <c r="D199" s="15">
        <v>1.34E-2</v>
      </c>
      <c r="E199" s="15">
        <v>1.21E-2</v>
      </c>
      <c r="F199" s="30">
        <f>'FF3 Regression'!$B$17+'FF3 Regression'!$B$18*Returns!C199+'FF3 Regression'!$B$19*Returns!D199+'FF3 Regression'!$B$20*Returns!E199</f>
        <v>5.702812401544733E-2</v>
      </c>
      <c r="G199" s="30">
        <f t="shared" si="4"/>
        <v>-0.20358512401544734</v>
      </c>
      <c r="H199" s="15"/>
      <c r="I199" s="15"/>
      <c r="J199" s="21"/>
      <c r="K199" s="21"/>
    </row>
    <row r="200" spans="1:11" x14ac:dyDescent="0.6">
      <c r="A200" s="17">
        <v>35612</v>
      </c>
      <c r="B200" s="15">
        <v>0.22377</v>
      </c>
      <c r="C200" s="15">
        <v>7.3300000000000004E-2</v>
      </c>
      <c r="D200" s="15">
        <v>-2.7999999999999997E-2</v>
      </c>
      <c r="E200" s="15">
        <v>8.8999999999999999E-3</v>
      </c>
      <c r="F200" s="30">
        <f>'FF3 Regression'!$B$17+'FF3 Regression'!$B$18*Returns!C200+'FF3 Regression'!$B$19*Returns!D200+'FF3 Regression'!$B$20*Returns!E200</f>
        <v>8.8014618333150163E-2</v>
      </c>
      <c r="G200" s="30">
        <f t="shared" si="4"/>
        <v>0.13575538166684983</v>
      </c>
      <c r="H200" s="15"/>
      <c r="I200" s="15"/>
      <c r="J200" s="21"/>
      <c r="K200" s="21"/>
    </row>
    <row r="201" spans="1:11" x14ac:dyDescent="0.6">
      <c r="A201" s="17">
        <v>35643</v>
      </c>
      <c r="B201" s="15">
        <v>0.238757</v>
      </c>
      <c r="C201" s="15">
        <v>-4.1500000000000002E-2</v>
      </c>
      <c r="D201" s="15">
        <v>7.2999999999999995E-2</v>
      </c>
      <c r="E201" s="15">
        <v>1.37E-2</v>
      </c>
      <c r="F201" s="30">
        <f>'FF3 Regression'!$B$17+'FF3 Regression'!$B$18*Returns!C201+'FF3 Regression'!$B$19*Returns!D201+'FF3 Regression'!$B$20*Returns!E201</f>
        <v>-2.9050300001117302E-2</v>
      </c>
      <c r="G201" s="30">
        <f t="shared" si="4"/>
        <v>0.2678073000011173</v>
      </c>
      <c r="H201" s="15"/>
      <c r="I201" s="15"/>
      <c r="J201" s="21"/>
      <c r="K201" s="21"/>
    </row>
    <row r="202" spans="1:11" x14ac:dyDescent="0.6">
      <c r="A202" s="17">
        <v>35674</v>
      </c>
      <c r="B202" s="15">
        <v>-7.2740000000000001E-3</v>
      </c>
      <c r="C202" s="15">
        <v>5.3499999999999999E-2</v>
      </c>
      <c r="D202" s="15">
        <v>2.5899999999999999E-2</v>
      </c>
      <c r="E202" s="15">
        <v>4.0000000000000002E-4</v>
      </c>
      <c r="F202" s="30">
        <f>'FF3 Regression'!$B$17+'FF3 Regression'!$B$18*Returns!C202+'FF3 Regression'!$B$19*Returns!D202+'FF3 Regression'!$B$20*Returns!E202</f>
        <v>8.639556050100082E-2</v>
      </c>
      <c r="G202" s="30">
        <f t="shared" si="4"/>
        <v>-9.3669560501000823E-2</v>
      </c>
      <c r="H202" s="15"/>
      <c r="I202" s="15"/>
      <c r="J202" s="21"/>
      <c r="K202" s="21"/>
    </row>
    <row r="203" spans="1:11" x14ac:dyDescent="0.6">
      <c r="A203" s="17">
        <v>35704</v>
      </c>
      <c r="B203" s="15">
        <v>-0.21889700000000001</v>
      </c>
      <c r="C203" s="15">
        <v>-3.7999999999999999E-2</v>
      </c>
      <c r="D203" s="15">
        <v>-6.8000000000000005E-3</v>
      </c>
      <c r="E203" s="15">
        <v>1.9699999999999999E-2</v>
      </c>
      <c r="F203" s="30">
        <f>'FF3 Regression'!$B$17+'FF3 Regression'!$B$18*Returns!C203+'FF3 Regression'!$B$19*Returns!D203+'FF3 Regression'!$B$20*Returns!E203</f>
        <v>-5.2398341375495497E-2</v>
      </c>
      <c r="G203" s="30">
        <f t="shared" si="4"/>
        <v>-0.16649865862450453</v>
      </c>
      <c r="H203" s="15"/>
      <c r="I203" s="15"/>
      <c r="J203" s="21"/>
      <c r="K203" s="21"/>
    </row>
    <row r="204" spans="1:11" x14ac:dyDescent="0.6">
      <c r="A204" s="17">
        <v>35735</v>
      </c>
      <c r="B204" s="15">
        <v>3.8302000000000003E-2</v>
      </c>
      <c r="C204" s="15">
        <v>2.98E-2</v>
      </c>
      <c r="D204" s="15">
        <v>-4.9699999999999994E-2</v>
      </c>
      <c r="E204" s="15">
        <v>8.199999999999999E-3</v>
      </c>
      <c r="F204" s="30">
        <f>'FF3 Regression'!$B$17+'FF3 Regression'!$B$18*Returns!C204+'FF3 Regression'!$B$19*Returns!D204+'FF3 Regression'!$B$20*Returns!E204</f>
        <v>2.9215877963502748E-2</v>
      </c>
      <c r="G204" s="30">
        <f t="shared" si="4"/>
        <v>9.0861220364972552E-3</v>
      </c>
      <c r="H204" s="15"/>
      <c r="I204" s="15"/>
      <c r="J204" s="21"/>
      <c r="K204" s="21"/>
    </row>
    <row r="205" spans="1:11" x14ac:dyDescent="0.6">
      <c r="A205" s="17">
        <v>35765</v>
      </c>
      <c r="B205" s="15">
        <v>-0.26536300000000002</v>
      </c>
      <c r="C205" s="15">
        <v>1.3200000000000003E-2</v>
      </c>
      <c r="D205" s="15">
        <v>-2.3599999999999999E-2</v>
      </c>
      <c r="E205" s="15">
        <v>3.5099999999999999E-2</v>
      </c>
      <c r="F205" s="30">
        <f>'FF3 Regression'!$B$17+'FF3 Regression'!$B$18*Returns!C205+'FF3 Regression'!$B$19*Returns!D205+'FF3 Regression'!$B$20*Returns!E205</f>
        <v>-8.1261370619272327E-3</v>
      </c>
      <c r="G205" s="30">
        <f t="shared" si="4"/>
        <v>-0.2572368629380728</v>
      </c>
      <c r="H205" s="15"/>
      <c r="I205" s="15"/>
      <c r="J205" s="21"/>
      <c r="K205" s="21"/>
    </row>
    <row r="206" spans="1:11" x14ac:dyDescent="0.6">
      <c r="A206" s="17">
        <v>35796</v>
      </c>
      <c r="B206" s="15">
        <v>0.39093799999999995</v>
      </c>
      <c r="C206" s="15">
        <v>1.4999999999999996E-3</v>
      </c>
      <c r="D206" s="15">
        <v>-1.15E-2</v>
      </c>
      <c r="E206" s="15">
        <v>-1.4499999999999999E-2</v>
      </c>
      <c r="F206" s="30">
        <f>'FF3 Regression'!$B$17+'FF3 Regression'!$B$18*Returns!C206+'FF3 Regression'!$B$19*Returns!D206+'FF3 Regression'!$B$20*Returns!E206</f>
        <v>2.5588454696960583E-2</v>
      </c>
      <c r="G206" s="30">
        <f t="shared" si="4"/>
        <v>0.36534954530303937</v>
      </c>
      <c r="H206" s="15"/>
      <c r="I206" s="15"/>
      <c r="J206" s="21"/>
      <c r="K206" s="21"/>
    </row>
    <row r="207" spans="1:11" x14ac:dyDescent="0.6">
      <c r="A207" s="17">
        <v>35827</v>
      </c>
      <c r="B207" s="15">
        <v>0.28620200000000001</v>
      </c>
      <c r="C207" s="15">
        <v>7.039999999999999E-2</v>
      </c>
      <c r="D207" s="15">
        <v>-1E-4</v>
      </c>
      <c r="E207" s="15">
        <v>-1.1999999999999999E-3</v>
      </c>
      <c r="F207" s="30">
        <f>'FF3 Regression'!$B$17+'FF3 Regression'!$B$18*Returns!C207+'FF3 Regression'!$B$19*Returns!D207+'FF3 Regression'!$B$20*Returns!E207</f>
        <v>0.10133238908272675</v>
      </c>
      <c r="G207" s="30">
        <f t="shared" si="4"/>
        <v>0.18486961091727327</v>
      </c>
      <c r="H207" s="15"/>
      <c r="I207" s="15"/>
      <c r="J207" s="21"/>
      <c r="K207" s="21"/>
    </row>
    <row r="208" spans="1:11" x14ac:dyDescent="0.6">
      <c r="A208" s="17">
        <v>35855</v>
      </c>
      <c r="B208" s="15">
        <v>0.16012100000000001</v>
      </c>
      <c r="C208" s="15">
        <v>4.7599999999999996E-2</v>
      </c>
      <c r="D208" s="15">
        <v>-9.300000000000001E-3</v>
      </c>
      <c r="E208" s="15">
        <v>1.04E-2</v>
      </c>
      <c r="F208" s="30">
        <f>'FF3 Regression'!$B$17+'FF3 Regression'!$B$18*Returns!C208+'FF3 Regression'!$B$19*Returns!D208+'FF3 Regression'!$B$20*Returns!E208</f>
        <v>6.0334485240731171E-2</v>
      </c>
      <c r="G208" s="30">
        <f t="shared" si="4"/>
        <v>9.9786514759268835E-2</v>
      </c>
      <c r="H208" s="15"/>
      <c r="I208" s="15"/>
      <c r="J208" s="21"/>
      <c r="K208" s="21"/>
    </row>
    <row r="209" spans="1:11" x14ac:dyDescent="0.6">
      <c r="A209" s="17">
        <v>35886</v>
      </c>
      <c r="B209" s="15">
        <v>-8.8450000000000004E-3</v>
      </c>
      <c r="C209" s="15">
        <v>7.2999999999999992E-3</v>
      </c>
      <c r="D209" s="15">
        <v>2.2000000000000001E-3</v>
      </c>
      <c r="E209" s="15">
        <v>7.7000000000000002E-3</v>
      </c>
      <c r="F209" s="30">
        <f>'FF3 Regression'!$B$17+'FF3 Regression'!$B$18*Returns!C209+'FF3 Regression'!$B$19*Returns!D209+'FF3 Regression'!$B$20*Returns!E209</f>
        <v>1.6516233798585172E-2</v>
      </c>
      <c r="G209" s="30">
        <f t="shared" si="4"/>
        <v>-2.5361233798585174E-2</v>
      </c>
      <c r="H209" s="15"/>
      <c r="I209" s="15"/>
      <c r="J209" s="21"/>
      <c r="K209" s="21"/>
    </row>
    <row r="210" spans="1:11" x14ac:dyDescent="0.6">
      <c r="A210" s="17">
        <v>35916</v>
      </c>
      <c r="B210" s="15">
        <v>-3.1397000000000001E-2</v>
      </c>
      <c r="C210" s="15">
        <v>-3.0699999999999998E-2</v>
      </c>
      <c r="D210" s="15">
        <v>-3.7599999999999995E-2</v>
      </c>
      <c r="E210" s="15">
        <v>4.1799999999999997E-2</v>
      </c>
      <c r="F210" s="30">
        <f>'FF3 Regression'!$B$17+'FF3 Regression'!$B$18*Returns!C210+'FF3 Regression'!$B$19*Returns!D210+'FF3 Regression'!$B$20*Returns!E210</f>
        <v>-7.1939322188940766E-2</v>
      </c>
      <c r="G210" s="30">
        <f t="shared" si="4"/>
        <v>4.0542322188940765E-2</v>
      </c>
      <c r="H210" s="15"/>
      <c r="I210" s="15"/>
      <c r="J210" s="21"/>
      <c r="K210" s="21"/>
    </row>
    <row r="211" spans="1:11" x14ac:dyDescent="0.6">
      <c r="A211" s="17">
        <v>35947</v>
      </c>
      <c r="B211" s="15">
        <v>7.3365000000000014E-2</v>
      </c>
      <c r="C211" s="15">
        <v>3.1800000000000002E-2</v>
      </c>
      <c r="D211" s="15">
        <v>-3.1600000000000003E-2</v>
      </c>
      <c r="E211" s="15">
        <v>-2.3E-2</v>
      </c>
      <c r="F211" s="30">
        <f>'FF3 Regression'!$B$17+'FF3 Regression'!$B$18*Returns!C211+'FF3 Regression'!$B$19*Returns!D211+'FF3 Regression'!$B$20*Returns!E211</f>
        <v>6.4832221611682922E-2</v>
      </c>
      <c r="G211" s="30">
        <f t="shared" si="4"/>
        <v>8.5327783883170916E-3</v>
      </c>
      <c r="H211" s="15"/>
      <c r="I211" s="15"/>
      <c r="J211" s="21"/>
      <c r="K211" s="21"/>
    </row>
    <row r="212" spans="1:11" x14ac:dyDescent="0.6">
      <c r="A212" s="17">
        <v>35977</v>
      </c>
      <c r="B212" s="15">
        <v>0.20297199999999999</v>
      </c>
      <c r="C212" s="15">
        <v>-2.46E-2</v>
      </c>
      <c r="D212" s="15">
        <v>-5.1200000000000002E-2</v>
      </c>
      <c r="E212" s="15">
        <v>-9.7000000000000003E-3</v>
      </c>
      <c r="F212" s="30">
        <f>'FF3 Regression'!$B$17+'FF3 Regression'!$B$18*Returns!C212+'FF3 Regression'!$B$19*Returns!D212+'FF3 Regression'!$B$20*Returns!E212</f>
        <v>-2.1829462173627745E-2</v>
      </c>
      <c r="G212" s="30">
        <f t="shared" si="4"/>
        <v>0.22480146217362773</v>
      </c>
      <c r="H212" s="15"/>
      <c r="I212" s="15"/>
      <c r="J212" s="21"/>
      <c r="K212" s="21"/>
    </row>
    <row r="213" spans="1:11" x14ac:dyDescent="0.6">
      <c r="A213" s="17">
        <v>36008</v>
      </c>
      <c r="B213" s="15">
        <v>-0.103578</v>
      </c>
      <c r="C213" s="15">
        <v>-0.16079999999999997</v>
      </c>
      <c r="D213" s="15">
        <v>-5.2999999999999999E-2</v>
      </c>
      <c r="E213" s="15">
        <v>3.4000000000000002E-2</v>
      </c>
      <c r="F213" s="30">
        <f>'FF3 Regression'!$B$17+'FF3 Regression'!$B$18*Returns!C213+'FF3 Regression'!$B$19*Returns!D213+'FF3 Regression'!$B$20*Returns!E213</f>
        <v>-0.22885900544724469</v>
      </c>
      <c r="G213" s="30">
        <f t="shared" si="4"/>
        <v>0.12528100544724469</v>
      </c>
      <c r="H213" s="15"/>
      <c r="I213" s="15"/>
      <c r="J213" s="21"/>
      <c r="K213" s="21"/>
    </row>
    <row r="214" spans="1:11" x14ac:dyDescent="0.6">
      <c r="A214" s="17">
        <v>36039</v>
      </c>
      <c r="B214" s="15">
        <v>0.21784500000000001</v>
      </c>
      <c r="C214" s="15">
        <v>6.1500000000000006E-2</v>
      </c>
      <c r="D214" s="15">
        <v>-1.1999999999999999E-3</v>
      </c>
      <c r="E214" s="15">
        <v>-3.3099999999999997E-2</v>
      </c>
      <c r="F214" s="30">
        <f>'FF3 Regression'!$B$17+'FF3 Regression'!$B$18*Returns!C214+'FF3 Regression'!$B$19*Returns!D214+'FF3 Regression'!$B$20*Returns!E214</f>
        <v>0.11885318837329281</v>
      </c>
      <c r="G214" s="30">
        <f t="shared" si="4"/>
        <v>9.8991811626707199E-2</v>
      </c>
      <c r="H214" s="15"/>
      <c r="I214" s="15"/>
      <c r="J214" s="21"/>
      <c r="K214" s="21"/>
    </row>
    <row r="215" spans="1:11" x14ac:dyDescent="0.6">
      <c r="A215" s="17">
        <v>36069</v>
      </c>
      <c r="B215" s="15">
        <v>-2.9430000000000001E-2</v>
      </c>
      <c r="C215" s="15">
        <v>7.1300000000000002E-2</v>
      </c>
      <c r="D215" s="15">
        <v>-3.32E-2</v>
      </c>
      <c r="E215" s="15">
        <v>-2.2000000000000002E-2</v>
      </c>
      <c r="F215" s="30">
        <f>'FF3 Regression'!$B$17+'FF3 Regression'!$B$18*Returns!C215+'FF3 Regression'!$B$19*Returns!D215+'FF3 Regression'!$B$20*Returns!E215</f>
        <v>0.11195939329892306</v>
      </c>
      <c r="G215" s="30">
        <f t="shared" si="4"/>
        <v>-0.14138939329892306</v>
      </c>
      <c r="H215" s="15"/>
      <c r="I215" s="15"/>
      <c r="J215" s="21"/>
      <c r="K215" s="21"/>
    </row>
    <row r="216" spans="1:11" x14ac:dyDescent="0.6">
      <c r="A216" s="17">
        <v>36100</v>
      </c>
      <c r="B216" s="15">
        <v>-0.14283099999999999</v>
      </c>
      <c r="C216" s="15">
        <v>6.0999999999999992E-2</v>
      </c>
      <c r="D216" s="15">
        <v>1.0700000000000001E-2</v>
      </c>
      <c r="E216" s="15">
        <v>-3.1400000000000004E-2</v>
      </c>
      <c r="F216" s="30">
        <f>'FF3 Regression'!$B$17+'FF3 Regression'!$B$18*Returns!C216+'FF3 Regression'!$B$19*Returns!D216+'FF3 Regression'!$B$20*Returns!E216</f>
        <v>0.12002336205073756</v>
      </c>
      <c r="G216" s="30">
        <f t="shared" si="4"/>
        <v>-0.26285436205073753</v>
      </c>
      <c r="H216" s="15"/>
      <c r="I216" s="15"/>
      <c r="J216" s="21"/>
      <c r="K216" s="21"/>
    </row>
    <row r="217" spans="1:11" x14ac:dyDescent="0.6">
      <c r="A217" s="17">
        <v>36130</v>
      </c>
      <c r="B217" s="15">
        <v>0.27799999999999997</v>
      </c>
      <c r="C217" s="15">
        <v>6.1600000000000002E-2</v>
      </c>
      <c r="D217" s="15">
        <v>-3.3E-3</v>
      </c>
      <c r="E217" s="15">
        <v>-4.4600000000000001E-2</v>
      </c>
      <c r="F217" s="30">
        <f>'FF3 Regression'!$B$17+'FF3 Regression'!$B$18*Returns!C217+'FF3 Regression'!$B$19*Returns!D217+'FF3 Regression'!$B$20*Returns!E217</f>
        <v>0.12875494086125386</v>
      </c>
      <c r="G217" s="30">
        <f t="shared" si="4"/>
        <v>0.14924505913874611</v>
      </c>
      <c r="H217" s="15"/>
      <c r="I217" s="15"/>
      <c r="J217" s="21"/>
      <c r="K217" s="21"/>
    </row>
    <row r="218" spans="1:11" x14ac:dyDescent="0.6">
      <c r="A218" s="17">
        <v>36161</v>
      </c>
      <c r="B218" s="15">
        <v>2.6069999999999999E-3</v>
      </c>
      <c r="C218" s="15">
        <v>3.5000000000000003E-2</v>
      </c>
      <c r="D218" s="15">
        <v>3.9000000000000003E-3</v>
      </c>
      <c r="E218" s="15">
        <v>-4.0300000000000002E-2</v>
      </c>
      <c r="F218" s="30">
        <f>'FF3 Regression'!$B$17+'FF3 Regression'!$B$18*Returns!C218+'FF3 Regression'!$B$19*Returns!D218+'FF3 Regression'!$B$20*Returns!E218</f>
        <v>9.4242466540383152E-2</v>
      </c>
      <c r="G218" s="30">
        <f t="shared" si="4"/>
        <v>-9.1635466540383154E-2</v>
      </c>
      <c r="H218" s="15"/>
      <c r="I218" s="15"/>
      <c r="J218" s="21"/>
      <c r="K218" s="21"/>
    </row>
    <row r="219" spans="1:11" x14ac:dyDescent="0.6">
      <c r="A219" s="17">
        <v>36192</v>
      </c>
      <c r="B219" s="15">
        <v>-0.15828</v>
      </c>
      <c r="C219" s="15">
        <v>-4.0800000000000003E-2</v>
      </c>
      <c r="D219" s="15">
        <v>-5.6799999999999996E-2</v>
      </c>
      <c r="E219" s="15">
        <v>1.3999999999999999E-2</v>
      </c>
      <c r="F219" s="30">
        <f>'FF3 Regression'!$B$17+'FF3 Regression'!$B$18*Returns!C219+'FF3 Regression'!$B$19*Returns!D219+'FF3 Regression'!$B$20*Returns!E219</f>
        <v>-6.4629679768260784E-2</v>
      </c>
      <c r="G219" s="30">
        <f t="shared" si="4"/>
        <v>-9.365032023173922E-2</v>
      </c>
      <c r="H219" s="15"/>
      <c r="I219" s="15"/>
      <c r="J219" s="21"/>
      <c r="K219" s="21"/>
    </row>
    <row r="220" spans="1:11" x14ac:dyDescent="0.6">
      <c r="A220" s="17">
        <v>36220</v>
      </c>
      <c r="B220" s="15">
        <v>2.8015999999999999E-2</v>
      </c>
      <c r="C220" s="15">
        <v>3.4500000000000003E-2</v>
      </c>
      <c r="D220" s="15">
        <v>-3.9399999999999998E-2</v>
      </c>
      <c r="E220" s="15">
        <v>-2.64E-2</v>
      </c>
      <c r="F220" s="30">
        <f>'FF3 Regression'!$B$17+'FF3 Regression'!$B$18*Returns!C220+'FF3 Regression'!$B$19*Returns!D220+'FF3 Regression'!$B$20*Returns!E220</f>
        <v>6.9036418066525093E-2</v>
      </c>
      <c r="G220" s="30">
        <f t="shared" si="4"/>
        <v>-4.1020418066525094E-2</v>
      </c>
      <c r="H220" s="15"/>
      <c r="I220" s="15"/>
      <c r="J220" s="21"/>
      <c r="K220" s="21"/>
    </row>
    <row r="221" spans="1:11" x14ac:dyDescent="0.6">
      <c r="A221" s="17">
        <v>36251</v>
      </c>
      <c r="B221" s="15">
        <v>0.27630000000000005</v>
      </c>
      <c r="C221" s="15">
        <v>4.3299999999999998E-2</v>
      </c>
      <c r="D221" s="15">
        <v>3.9900000000000005E-2</v>
      </c>
      <c r="E221" s="15">
        <v>2.5099999999999997E-2</v>
      </c>
      <c r="F221" s="30">
        <f>'FF3 Regression'!$B$17+'FF3 Regression'!$B$18*Returns!C221+'FF3 Regression'!$B$19*Returns!D221+'FF3 Regression'!$B$20*Returns!E221</f>
        <v>5.5518715260706133E-2</v>
      </c>
      <c r="G221" s="30">
        <f t="shared" si="4"/>
        <v>0.22078128473929393</v>
      </c>
      <c r="H221" s="15"/>
      <c r="I221" s="15"/>
      <c r="J221" s="21"/>
      <c r="K221" s="21"/>
    </row>
    <row r="222" spans="1:11" x14ac:dyDescent="0.6">
      <c r="A222" s="17">
        <v>36281</v>
      </c>
      <c r="B222" s="15">
        <v>-4.5519999999999998E-2</v>
      </c>
      <c r="C222" s="15">
        <v>-2.46E-2</v>
      </c>
      <c r="D222" s="15">
        <v>3.4200000000000001E-2</v>
      </c>
      <c r="E222" s="15">
        <v>2.4E-2</v>
      </c>
      <c r="F222" s="30">
        <f>'FF3 Regression'!$B$17+'FF3 Regression'!$B$18*Returns!C222+'FF3 Regression'!$B$19*Returns!D222+'FF3 Regression'!$B$20*Returns!E222</f>
        <v>-2.8404799736293056E-2</v>
      </c>
      <c r="G222" s="30">
        <f t="shared" si="4"/>
        <v>-1.7115200263706942E-2</v>
      </c>
      <c r="H222" s="15"/>
      <c r="I222" s="15"/>
      <c r="J222" s="21"/>
      <c r="K222" s="21"/>
    </row>
    <row r="223" spans="1:11" x14ac:dyDescent="0.6">
      <c r="A223" s="17">
        <v>36312</v>
      </c>
      <c r="B223" s="15">
        <v>4.7063999999999995E-2</v>
      </c>
      <c r="C223" s="15">
        <v>4.7699999999999992E-2</v>
      </c>
      <c r="D223" s="15">
        <v>3.0499999999999999E-2</v>
      </c>
      <c r="E223" s="15">
        <v>-3.5900000000000001E-2</v>
      </c>
      <c r="F223" s="30">
        <f>'FF3 Regression'!$B$17+'FF3 Regression'!$B$18*Returns!C223+'FF3 Regression'!$B$19*Returns!D223+'FF3 Regression'!$B$20*Returns!E223</f>
        <v>0.11327436795394072</v>
      </c>
      <c r="G223" s="30">
        <f t="shared" si="4"/>
        <v>-6.6210367953940724E-2</v>
      </c>
      <c r="H223" s="15"/>
      <c r="I223" s="15"/>
      <c r="J223" s="21"/>
      <c r="K223" s="21"/>
    </row>
    <row r="224" spans="1:11" x14ac:dyDescent="0.6">
      <c r="A224" s="17">
        <v>36342</v>
      </c>
      <c r="B224" s="15">
        <v>0.198629</v>
      </c>
      <c r="C224" s="15">
        <v>-3.4700000000000002E-2</v>
      </c>
      <c r="D224" s="15">
        <v>2.6699999999999998E-2</v>
      </c>
      <c r="E224" s="15">
        <v>-7.7000000000000002E-3</v>
      </c>
      <c r="F224" s="30">
        <f>'FF3 Regression'!$B$17+'FF3 Regression'!$B$18*Returns!C224+'FF3 Regression'!$B$19*Returns!D224+'FF3 Regression'!$B$20*Returns!E224</f>
        <v>-1.4320206531859864E-2</v>
      </c>
      <c r="G224" s="30">
        <f t="shared" si="4"/>
        <v>0.21294920653185986</v>
      </c>
      <c r="H224" s="15"/>
      <c r="I224" s="15"/>
      <c r="J224" s="21"/>
      <c r="K224" s="21"/>
    </row>
    <row r="225" spans="1:11" x14ac:dyDescent="0.6">
      <c r="A225" s="17">
        <v>36373</v>
      </c>
      <c r="B225" s="15">
        <v>0.16781700000000002</v>
      </c>
      <c r="C225" s="15">
        <v>-1.38E-2</v>
      </c>
      <c r="D225" s="15">
        <v>-1.2800000000000001E-2</v>
      </c>
      <c r="E225" s="15">
        <v>-1.3100000000000001E-2</v>
      </c>
      <c r="F225" s="30">
        <f>'FF3 Regression'!$B$17+'FF3 Regression'!$B$18*Returns!C225+'FF3 Regression'!$B$19*Returns!D225+'FF3 Regression'!$B$20*Returns!E225</f>
        <v>5.1883933107697428E-3</v>
      </c>
      <c r="G225" s="30">
        <f t="shared" si="4"/>
        <v>0.16262860668923029</v>
      </c>
      <c r="H225" s="15"/>
      <c r="I225" s="15"/>
      <c r="J225" s="21"/>
      <c r="K225" s="21"/>
    </row>
    <row r="226" spans="1:11" x14ac:dyDescent="0.6">
      <c r="A226" s="17">
        <v>36404</v>
      </c>
      <c r="B226" s="15">
        <v>-3.3592999999999998E-2</v>
      </c>
      <c r="C226" s="15">
        <v>-2.81E-2</v>
      </c>
      <c r="D226" s="15">
        <v>3.3300000000000003E-2</v>
      </c>
      <c r="E226" s="15">
        <v>-3.39E-2</v>
      </c>
      <c r="F226" s="30">
        <f>'FF3 Regression'!$B$17+'FF3 Regression'!$B$18*Returns!C226+'FF3 Regression'!$B$19*Returns!D226+'FF3 Regression'!$B$20*Returns!E226</f>
        <v>1.9230659219834658E-2</v>
      </c>
      <c r="G226" s="30">
        <f t="shared" si="4"/>
        <v>-5.2823659219834659E-2</v>
      </c>
      <c r="H226" s="15"/>
      <c r="I226" s="15"/>
      <c r="J226" s="21"/>
      <c r="K226" s="21"/>
    </row>
    <row r="227" spans="1:11" x14ac:dyDescent="0.6">
      <c r="A227" s="17">
        <v>36434</v>
      </c>
      <c r="B227" s="15">
        <v>0.26164799999999999</v>
      </c>
      <c r="C227" s="15">
        <v>6.1299999999999993E-2</v>
      </c>
      <c r="D227" s="15">
        <v>-6.9500000000000006E-2</v>
      </c>
      <c r="E227" s="15">
        <v>-2.8799999999999999E-2</v>
      </c>
      <c r="F227" s="30">
        <f>'FF3 Regression'!$B$17+'FF3 Regression'!$B$18*Returns!C227+'FF3 Regression'!$B$19*Returns!D227+'FF3 Regression'!$B$20*Returns!E227</f>
        <v>9.5701030343699631E-2</v>
      </c>
      <c r="G227" s="30">
        <f t="shared" si="4"/>
        <v>0.16594696965630035</v>
      </c>
      <c r="H227" s="15"/>
      <c r="I227" s="15"/>
      <c r="J227" s="21"/>
      <c r="K227" s="21"/>
    </row>
    <row r="228" spans="1:11" x14ac:dyDescent="0.6">
      <c r="A228" s="17">
        <v>36465</v>
      </c>
      <c r="B228" s="15">
        <v>0.21792900000000001</v>
      </c>
      <c r="C228" s="15">
        <v>3.3700000000000001E-2</v>
      </c>
      <c r="D228" s="15">
        <v>7.3800000000000004E-2</v>
      </c>
      <c r="E228" s="15">
        <v>-6.5000000000000002E-2</v>
      </c>
      <c r="F228" s="30">
        <f>'FF3 Regression'!$B$17+'FF3 Regression'!$B$18*Returns!C228+'FF3 Regression'!$B$19*Returns!D228+'FF3 Regression'!$B$20*Returns!E228</f>
        <v>0.13438482695777049</v>
      </c>
      <c r="G228" s="30">
        <f t="shared" si="4"/>
        <v>8.3544173042229525E-2</v>
      </c>
      <c r="H228" s="15"/>
      <c r="I228" s="15"/>
      <c r="J228" s="21"/>
      <c r="K228" s="21"/>
    </row>
    <row r="229" spans="1:11" x14ac:dyDescent="0.6">
      <c r="A229" s="17">
        <v>36495</v>
      </c>
      <c r="B229" s="15">
        <v>4.6046999999999998E-2</v>
      </c>
      <c r="C229" s="15">
        <v>7.7200000000000005E-2</v>
      </c>
      <c r="D229" s="15">
        <v>7.1500000000000008E-2</v>
      </c>
      <c r="E229" s="15">
        <v>-8.6699999999999999E-2</v>
      </c>
      <c r="F229" s="30">
        <f>'FF3 Regression'!$B$17+'FF3 Regression'!$B$18*Returns!C229+'FF3 Regression'!$B$19*Returns!D229+'FF3 Regression'!$B$20*Returns!E229</f>
        <v>0.20668373330208997</v>
      </c>
      <c r="G229" s="30">
        <f t="shared" si="4"/>
        <v>-0.16063673330208997</v>
      </c>
      <c r="H229" s="15"/>
      <c r="I229" s="15"/>
      <c r="J229" s="21"/>
      <c r="K229" s="21"/>
    </row>
    <row r="230" spans="1:11" x14ac:dyDescent="0.6">
      <c r="A230" s="17">
        <v>36526</v>
      </c>
      <c r="B230" s="15">
        <v>5.0190000000000009E-3</v>
      </c>
      <c r="C230" s="15">
        <v>-4.7399999999999998E-2</v>
      </c>
      <c r="D230" s="15">
        <v>4.9500000000000002E-2</v>
      </c>
      <c r="E230" s="15">
        <v>-3.0999999999999999E-3</v>
      </c>
      <c r="F230" s="30">
        <f>'FF3 Regression'!$B$17+'FF3 Regression'!$B$18*Returns!C230+'FF3 Regression'!$B$19*Returns!D230+'FF3 Regression'!$B$20*Returns!E230</f>
        <v>-2.7698175432580199E-2</v>
      </c>
      <c r="G230" s="30">
        <f t="shared" si="4"/>
        <v>3.2717175432580202E-2</v>
      </c>
      <c r="H230" s="15"/>
      <c r="I230" s="15"/>
      <c r="J230" s="21"/>
      <c r="K230" s="21"/>
    </row>
    <row r="231" spans="1:11" x14ac:dyDescent="0.6">
      <c r="A231" s="17">
        <v>36557</v>
      </c>
      <c r="B231" s="15">
        <v>0.100519</v>
      </c>
      <c r="C231" s="15">
        <v>2.4500000000000001E-2</v>
      </c>
      <c r="D231" s="15">
        <v>0.21710000000000002</v>
      </c>
      <c r="E231" s="15">
        <v>-9.9399999999999988E-2</v>
      </c>
      <c r="F231" s="30">
        <f>'FF3 Regression'!$B$17+'FF3 Regression'!$B$18*Returns!C231+'FF3 Regression'!$B$19*Returns!D231+'FF3 Regression'!$B$20*Returns!E231</f>
        <v>0.19402680689343688</v>
      </c>
      <c r="G231" s="30">
        <f t="shared" si="4"/>
        <v>-9.3507806893436879E-2</v>
      </c>
      <c r="H231" s="15"/>
      <c r="I231" s="15"/>
      <c r="J231" s="21"/>
      <c r="K231" s="21"/>
    </row>
    <row r="232" spans="1:11" x14ac:dyDescent="0.6">
      <c r="A232" s="17">
        <v>36586</v>
      </c>
      <c r="B232" s="15">
        <v>0.180142</v>
      </c>
      <c r="C232" s="15">
        <v>5.2000000000000005E-2</v>
      </c>
      <c r="D232" s="15">
        <v>-0.16879999999999998</v>
      </c>
      <c r="E232" s="15">
        <v>7.3700000000000002E-2</v>
      </c>
      <c r="F232" s="30">
        <f>'FF3 Regression'!$B$17+'FF3 Regression'!$B$18*Returns!C232+'FF3 Regression'!$B$19*Returns!D232+'FF3 Regression'!$B$20*Returns!E232</f>
        <v>-3.5757725088894542E-2</v>
      </c>
      <c r="G232" s="30">
        <f t="shared" si="4"/>
        <v>0.21589972508889455</v>
      </c>
      <c r="H232" s="15"/>
      <c r="I232" s="15"/>
      <c r="J232" s="21"/>
      <c r="K232" s="21"/>
    </row>
    <row r="233" spans="1:11" x14ac:dyDescent="0.6">
      <c r="A233" s="17">
        <v>36617</v>
      </c>
      <c r="B233" s="15">
        <v>-9.1116000000000003E-2</v>
      </c>
      <c r="C233" s="15">
        <v>-6.4000000000000001E-2</v>
      </c>
      <c r="D233" s="15">
        <v>-7.7499999999999999E-2</v>
      </c>
      <c r="E233" s="15">
        <v>8.5999999999999993E-2</v>
      </c>
      <c r="F233" s="30">
        <f>'FF3 Regression'!$B$17+'FF3 Regression'!$B$18*Returns!C233+'FF3 Regression'!$B$19*Returns!D233+'FF3 Regression'!$B$20*Returns!E233</f>
        <v>-0.1637573812767581</v>
      </c>
      <c r="G233" s="30">
        <f t="shared" si="4"/>
        <v>7.2641381276758094E-2</v>
      </c>
      <c r="H233" s="15"/>
      <c r="I233" s="15"/>
      <c r="J233" s="21"/>
      <c r="K233" s="21"/>
    </row>
    <row r="234" spans="1:11" x14ac:dyDescent="0.6">
      <c r="A234" s="17">
        <v>36647</v>
      </c>
      <c r="B234" s="15">
        <v>-0.32792199999999999</v>
      </c>
      <c r="C234" s="15">
        <v>-4.4199999999999996E-2</v>
      </c>
      <c r="D234" s="15">
        <v>-5.1100000000000007E-2</v>
      </c>
      <c r="E234" s="15">
        <v>2.5600000000000001E-2</v>
      </c>
      <c r="F234" s="30">
        <f>'FF3 Regression'!$B$17+'FF3 Regression'!$B$18*Returns!C234+'FF3 Regression'!$B$19*Returns!D234+'FF3 Regression'!$B$20*Returns!E234</f>
        <v>-7.7668182001060626E-2</v>
      </c>
      <c r="G234" s="30">
        <f t="shared" si="4"/>
        <v>-0.25025381799893937</v>
      </c>
      <c r="H234" s="15"/>
      <c r="I234" s="15"/>
      <c r="J234" s="21"/>
      <c r="K234" s="21"/>
    </row>
    <row r="235" spans="1:11" x14ac:dyDescent="0.6">
      <c r="A235" s="17">
        <v>36678</v>
      </c>
      <c r="B235" s="15">
        <v>0.24302399999999999</v>
      </c>
      <c r="C235" s="15">
        <v>4.6399999999999997E-2</v>
      </c>
      <c r="D235" s="15">
        <v>0.1386</v>
      </c>
      <c r="E235" s="15">
        <v>-9.8599999999999993E-2</v>
      </c>
      <c r="F235" s="30">
        <f>'FF3 Regression'!$B$17+'FF3 Regression'!$B$18*Returns!C235+'FF3 Regression'!$B$19*Returns!D235+'FF3 Regression'!$B$20*Returns!E235</f>
        <v>0.19830782167670766</v>
      </c>
      <c r="G235" s="30">
        <f t="shared" si="4"/>
        <v>4.4716178323292333E-2</v>
      </c>
      <c r="H235" s="15"/>
      <c r="I235" s="15"/>
      <c r="J235" s="21"/>
      <c r="K235" s="21"/>
    </row>
    <row r="236" spans="1:11" x14ac:dyDescent="0.6">
      <c r="A236" s="17">
        <v>36708</v>
      </c>
      <c r="B236" s="15">
        <v>-3.4632999999999997E-2</v>
      </c>
      <c r="C236" s="15">
        <v>-2.5099999999999997E-2</v>
      </c>
      <c r="D236" s="15">
        <v>-2.7900000000000001E-2</v>
      </c>
      <c r="E236" s="15">
        <v>8.14E-2</v>
      </c>
      <c r="F236" s="30">
        <f>'FF3 Regression'!$B$17+'FF3 Regression'!$B$18*Returns!C236+'FF3 Regression'!$B$19*Returns!D236+'FF3 Regression'!$B$20*Returns!E236</f>
        <v>-9.805302431181237E-2</v>
      </c>
      <c r="G236" s="30">
        <f t="shared" si="4"/>
        <v>6.3420024311812373E-2</v>
      </c>
      <c r="H236" s="15"/>
      <c r="I236" s="15"/>
      <c r="J236" s="21"/>
      <c r="K236" s="21"/>
    </row>
    <row r="237" spans="1:11" x14ac:dyDescent="0.6">
      <c r="A237" s="17">
        <v>36739</v>
      </c>
      <c r="B237" s="15">
        <v>0.19426199999999999</v>
      </c>
      <c r="C237" s="15">
        <v>7.0300000000000001E-2</v>
      </c>
      <c r="D237" s="15">
        <v>-1.1299999999999999E-2</v>
      </c>
      <c r="E237" s="15">
        <v>-6.8000000000000005E-3</v>
      </c>
      <c r="F237" s="30">
        <f>'FF3 Regression'!$B$17+'FF3 Regression'!$B$18*Returns!C237+'FF3 Regression'!$B$19*Returns!D237+'FF3 Regression'!$B$20*Returns!E237</f>
        <v>0.10313575996356755</v>
      </c>
      <c r="G237" s="30">
        <f t="shared" si="4"/>
        <v>9.1126240036432438E-2</v>
      </c>
      <c r="H237" s="15"/>
      <c r="I237" s="15"/>
      <c r="J237" s="21"/>
      <c r="K237" s="21"/>
    </row>
    <row r="238" spans="1:11" x14ac:dyDescent="0.6">
      <c r="A238" s="17">
        <v>36770</v>
      </c>
      <c r="B238" s="15">
        <v>-0.58253599999999994</v>
      </c>
      <c r="C238" s="15">
        <v>-5.4500000000000007E-2</v>
      </c>
      <c r="D238" s="15">
        <v>-1.3899999999999999E-2</v>
      </c>
      <c r="E238" s="15">
        <v>6.2400000000000004E-2</v>
      </c>
      <c r="F238" s="30">
        <f>'FF3 Regression'!$B$17+'FF3 Regression'!$B$18*Returns!C238+'FF3 Regression'!$B$19*Returns!D238+'FF3 Regression'!$B$20*Returns!E238</f>
        <v>-0.1131081224420101</v>
      </c>
      <c r="G238" s="30">
        <f t="shared" si="4"/>
        <v>-0.46942787755798987</v>
      </c>
      <c r="H238" s="15"/>
      <c r="I238" s="15"/>
      <c r="J238" s="21"/>
      <c r="K238" s="21"/>
    </row>
    <row r="239" spans="1:11" x14ac:dyDescent="0.6">
      <c r="A239" s="17">
        <v>36800</v>
      </c>
      <c r="B239" s="15">
        <v>-0.245891</v>
      </c>
      <c r="C239" s="15">
        <v>-2.76E-2</v>
      </c>
      <c r="D239" s="15">
        <v>-3.7599999999999995E-2</v>
      </c>
      <c r="E239" s="15">
        <v>5.5199999999999999E-2</v>
      </c>
      <c r="F239" s="30">
        <f>'FF3 Regression'!$B$17+'FF3 Regression'!$B$18*Returns!C239+'FF3 Regression'!$B$19*Returns!D239+'FF3 Regression'!$B$20*Returns!E239</f>
        <v>-8.0211545040841589E-2</v>
      </c>
      <c r="G239" s="30">
        <f t="shared" si="4"/>
        <v>-0.16567945495915842</v>
      </c>
      <c r="H239" s="15"/>
      <c r="I239" s="15"/>
      <c r="J239" s="21"/>
      <c r="K239" s="21"/>
    </row>
    <row r="240" spans="1:11" x14ac:dyDescent="0.6">
      <c r="A240" s="17">
        <v>36831</v>
      </c>
      <c r="B240" s="15">
        <v>-0.16164999999999999</v>
      </c>
      <c r="C240" s="15">
        <v>-0.10720000000000002</v>
      </c>
      <c r="D240" s="15">
        <v>-2.7900000000000001E-2</v>
      </c>
      <c r="E240" s="15">
        <v>0.113</v>
      </c>
      <c r="F240" s="30">
        <f>'FF3 Regression'!$B$17+'FF3 Regression'!$B$18*Returns!C240+'FF3 Regression'!$B$19*Returns!D240+'FF3 Regression'!$B$20*Returns!E240</f>
        <v>-0.22728478539433702</v>
      </c>
      <c r="G240" s="30">
        <f t="shared" si="4"/>
        <v>6.5634785394337036E-2</v>
      </c>
      <c r="H240" s="15"/>
      <c r="I240" s="15"/>
      <c r="J240" s="21"/>
      <c r="K240" s="21"/>
    </row>
    <row r="241" spans="1:11" x14ac:dyDescent="0.6">
      <c r="A241" s="17">
        <v>36861</v>
      </c>
      <c r="B241" s="15">
        <v>-0.10348500000000001</v>
      </c>
      <c r="C241" s="15">
        <v>1.1899999999999997E-2</v>
      </c>
      <c r="D241" s="15">
        <v>9.7000000000000003E-3</v>
      </c>
      <c r="E241" s="15">
        <v>7.3300000000000004E-2</v>
      </c>
      <c r="F241" s="30">
        <f>'FF3 Regression'!$B$17+'FF3 Regression'!$B$18*Returns!C241+'FF3 Regression'!$B$19*Returns!D241+'FF3 Regression'!$B$20*Returns!E241</f>
        <v>-3.4869755075212922E-2</v>
      </c>
      <c r="G241" s="30">
        <f t="shared" si="4"/>
        <v>-6.8615244924787086E-2</v>
      </c>
      <c r="H241" s="15"/>
      <c r="I241" s="15"/>
      <c r="J241" s="21"/>
      <c r="K241" s="21"/>
    </row>
    <row r="242" spans="1:11" x14ac:dyDescent="0.6">
      <c r="A242" s="17">
        <v>36892</v>
      </c>
      <c r="B242" s="15">
        <v>0.448382</v>
      </c>
      <c r="C242" s="15">
        <v>3.1299999999999994E-2</v>
      </c>
      <c r="D242" s="15">
        <v>6.5700000000000008E-2</v>
      </c>
      <c r="E242" s="15">
        <v>-4.9000000000000002E-2</v>
      </c>
      <c r="F242" s="30">
        <f>'FF3 Regression'!$B$17+'FF3 Regression'!$B$18*Returns!C242+'FF3 Regression'!$B$19*Returns!D242+'FF3 Regression'!$B$20*Returns!E242</f>
        <v>0.11476279970752298</v>
      </c>
      <c r="G242" s="30">
        <f t="shared" si="4"/>
        <v>0.33361920029247705</v>
      </c>
      <c r="H242" s="15"/>
      <c r="I242" s="15"/>
      <c r="J242" s="21"/>
      <c r="K242" s="21"/>
    </row>
    <row r="243" spans="1:11" x14ac:dyDescent="0.6">
      <c r="A243" s="17">
        <v>36923</v>
      </c>
      <c r="B243" s="15">
        <v>-0.15986900000000001</v>
      </c>
      <c r="C243" s="15">
        <v>-0.10049999999999999</v>
      </c>
      <c r="D243" s="15">
        <v>-7.4000000000000003E-3</v>
      </c>
      <c r="E243" s="15">
        <v>0.129</v>
      </c>
      <c r="F243" s="30">
        <f>'FF3 Regression'!$B$17+'FF3 Regression'!$B$18*Returns!C243+'FF3 Regression'!$B$19*Returns!D243+'FF3 Regression'!$B$20*Returns!E243</f>
        <v>-0.22777009969587075</v>
      </c>
      <c r="G243" s="30">
        <f t="shared" si="4"/>
        <v>6.7901099695870742E-2</v>
      </c>
      <c r="H243" s="15"/>
      <c r="I243" s="15"/>
      <c r="J243" s="21"/>
      <c r="K243" s="21"/>
    </row>
    <row r="244" spans="1:11" x14ac:dyDescent="0.6">
      <c r="A244" s="17">
        <v>36951</v>
      </c>
      <c r="B244" s="15">
        <v>0.20511499999999999</v>
      </c>
      <c r="C244" s="15">
        <v>-7.2599999999999998E-2</v>
      </c>
      <c r="D244" s="15">
        <v>3.4000000000000002E-3</v>
      </c>
      <c r="E244" s="15">
        <v>6.4500000000000002E-2</v>
      </c>
      <c r="F244" s="30">
        <f>'FF3 Regression'!$B$17+'FF3 Regression'!$B$18*Returns!C244+'FF3 Regression'!$B$19*Returns!D244+'FF3 Regression'!$B$20*Returns!E244</f>
        <v>-0.13239240936976621</v>
      </c>
      <c r="G244" s="30">
        <f t="shared" si="4"/>
        <v>0.3375074093697662</v>
      </c>
      <c r="H244" s="15"/>
      <c r="I244" s="15"/>
      <c r="J244" s="21"/>
      <c r="K244" s="21"/>
    </row>
    <row r="245" spans="1:11" x14ac:dyDescent="0.6">
      <c r="A245" s="17">
        <v>36982</v>
      </c>
      <c r="B245" s="15">
        <v>0.151061</v>
      </c>
      <c r="C245" s="15">
        <v>7.9399999999999998E-2</v>
      </c>
      <c r="D245" s="15">
        <v>5.1999999999999998E-3</v>
      </c>
      <c r="E245" s="15">
        <v>-4.6900000000000004E-2</v>
      </c>
      <c r="F245" s="30">
        <f>'FF3 Regression'!$B$17+'FF3 Regression'!$B$18*Returns!C245+'FF3 Regression'!$B$19*Returns!D245+'FF3 Regression'!$B$20*Returns!E245</f>
        <v>0.15504034199836225</v>
      </c>
      <c r="G245" s="30">
        <f t="shared" si="4"/>
        <v>-3.9793419983622513E-3</v>
      </c>
      <c r="H245" s="15"/>
      <c r="I245" s="15"/>
      <c r="J245" s="21"/>
      <c r="K245" s="21"/>
    </row>
    <row r="246" spans="1:11" x14ac:dyDescent="0.6">
      <c r="A246" s="17">
        <v>37012</v>
      </c>
      <c r="B246" s="15">
        <v>-0.22054000000000001</v>
      </c>
      <c r="C246" s="15">
        <v>7.1999999999999998E-3</v>
      </c>
      <c r="D246" s="15">
        <v>2.6000000000000002E-2</v>
      </c>
      <c r="E246" s="15">
        <v>3.1400000000000004E-2</v>
      </c>
      <c r="F246" s="30">
        <f>'FF3 Regression'!$B$17+'FF3 Regression'!$B$18*Returns!C246+'FF3 Regression'!$B$19*Returns!D246+'FF3 Regression'!$B$20*Returns!E246</f>
        <v>1.6660156949657411E-3</v>
      </c>
      <c r="G246" s="30">
        <f t="shared" si="4"/>
        <v>-0.22220601569496576</v>
      </c>
      <c r="H246" s="15"/>
      <c r="I246" s="15"/>
      <c r="J246" s="21"/>
      <c r="K246" s="21"/>
    </row>
    <row r="247" spans="1:11" x14ac:dyDescent="0.6">
      <c r="A247" s="17">
        <v>37043</v>
      </c>
      <c r="B247" s="15">
        <v>0.16261300000000001</v>
      </c>
      <c r="C247" s="15">
        <v>-1.9400000000000001E-2</v>
      </c>
      <c r="D247" s="15">
        <v>6.0499999999999998E-2</v>
      </c>
      <c r="E247" s="15">
        <v>-1.06E-2</v>
      </c>
      <c r="F247" s="30">
        <f>'FF3 Regression'!$B$17+'FF3 Regression'!$B$18*Returns!C247+'FF3 Regression'!$B$19*Returns!D247+'FF3 Regression'!$B$20*Returns!E247</f>
        <v>1.6487649147946738E-2</v>
      </c>
      <c r="G247" s="30">
        <f t="shared" si="4"/>
        <v>0.14612535085205328</v>
      </c>
      <c r="H247" s="15"/>
      <c r="I247" s="15"/>
      <c r="J247" s="21"/>
      <c r="K247" s="21"/>
    </row>
    <row r="248" spans="1:11" x14ac:dyDescent="0.6">
      <c r="A248" s="17">
        <v>37073</v>
      </c>
      <c r="B248" s="15">
        <v>-0.194828</v>
      </c>
      <c r="C248" s="15">
        <v>-2.1299999999999996E-2</v>
      </c>
      <c r="D248" s="15">
        <v>-4.3499999999999997E-2</v>
      </c>
      <c r="E248" s="15">
        <v>5.5800000000000002E-2</v>
      </c>
      <c r="F248" s="30">
        <f>'FF3 Regression'!$B$17+'FF3 Regression'!$B$18*Returns!C248+'FF3 Regression'!$B$19*Returns!D248+'FF3 Regression'!$B$20*Returns!E248</f>
        <v>-7.4664953417715882E-2</v>
      </c>
      <c r="G248" s="30">
        <f t="shared" si="4"/>
        <v>-0.12016304658228412</v>
      </c>
      <c r="H248" s="15"/>
      <c r="I248" s="15"/>
      <c r="J248" s="21"/>
      <c r="K248" s="21"/>
    </row>
    <row r="249" spans="1:11" x14ac:dyDescent="0.6">
      <c r="A249" s="17">
        <v>37104</v>
      </c>
      <c r="B249" s="15">
        <v>-1.5872999999999998E-2</v>
      </c>
      <c r="C249" s="15">
        <v>-6.4600000000000005E-2</v>
      </c>
      <c r="D249" s="15">
        <v>2.4900000000000002E-2</v>
      </c>
      <c r="E249" s="15">
        <v>2.5000000000000001E-2</v>
      </c>
      <c r="F249" s="30">
        <f>'FF3 Regression'!$B$17+'FF3 Regression'!$B$18*Returns!C249+'FF3 Regression'!$B$19*Returns!D249+'FF3 Regression'!$B$20*Returns!E249</f>
        <v>-8.0985260785968988E-2</v>
      </c>
      <c r="G249" s="30">
        <f t="shared" si="4"/>
        <v>6.5112260785968989E-2</v>
      </c>
      <c r="H249" s="15"/>
      <c r="I249" s="15"/>
      <c r="J249" s="21"/>
      <c r="K249" s="21"/>
    </row>
    <row r="250" spans="1:11" x14ac:dyDescent="0.6">
      <c r="A250" s="17">
        <v>37135</v>
      </c>
      <c r="B250" s="15">
        <v>-0.166681</v>
      </c>
      <c r="C250" s="15">
        <v>-9.2499999999999999E-2</v>
      </c>
      <c r="D250" s="15">
        <v>-6.13E-2</v>
      </c>
      <c r="E250" s="15">
        <v>1.6E-2</v>
      </c>
      <c r="F250" s="30">
        <f>'FF3 Regression'!$B$17+'FF3 Regression'!$B$18*Returns!C250+'FF3 Regression'!$B$19*Returns!D250+'FF3 Regression'!$B$20*Returns!E250</f>
        <v>-0.13113207267290306</v>
      </c>
      <c r="G250" s="30">
        <f t="shared" si="4"/>
        <v>-3.5548927327096941E-2</v>
      </c>
      <c r="H250" s="15"/>
      <c r="I250" s="15"/>
      <c r="J250" s="21"/>
      <c r="K250" s="21"/>
    </row>
    <row r="251" spans="1:11" x14ac:dyDescent="0.6">
      <c r="A251" s="17">
        <v>37165</v>
      </c>
      <c r="B251" s="15">
        <v>0.12997300000000001</v>
      </c>
      <c r="C251" s="15">
        <v>2.46E-2</v>
      </c>
      <c r="D251" s="15">
        <v>7.6299999999999993E-2</v>
      </c>
      <c r="E251" s="15">
        <v>-8.1099999999999992E-2</v>
      </c>
      <c r="F251" s="30">
        <f>'FF3 Regression'!$B$17+'FF3 Regression'!$B$18*Returns!C251+'FF3 Regression'!$B$19*Returns!D251+'FF3 Regression'!$B$20*Returns!E251</f>
        <v>0.138423816411264</v>
      </c>
      <c r="G251" s="30">
        <f t="shared" si="4"/>
        <v>-8.450816411263995E-3</v>
      </c>
      <c r="H251" s="15"/>
      <c r="I251" s="15"/>
      <c r="J251" s="21"/>
      <c r="K251" s="21"/>
    </row>
    <row r="252" spans="1:11" x14ac:dyDescent="0.6">
      <c r="A252" s="17">
        <v>37196</v>
      </c>
      <c r="B252" s="15">
        <v>0.211284</v>
      </c>
      <c r="C252" s="15">
        <v>7.5399999999999995E-2</v>
      </c>
      <c r="D252" s="15">
        <v>-4.0999999999999995E-3</v>
      </c>
      <c r="E252" s="15">
        <v>0.02</v>
      </c>
      <c r="F252" s="30">
        <f>'FF3 Regression'!$B$17+'FF3 Regression'!$B$18*Returns!C252+'FF3 Regression'!$B$19*Returns!D252+'FF3 Regression'!$B$20*Returns!E252</f>
        <v>8.7247638700662586E-2</v>
      </c>
      <c r="G252" s="30">
        <f t="shared" si="4"/>
        <v>0.12403636129933741</v>
      </c>
      <c r="H252" s="15"/>
      <c r="I252" s="15"/>
      <c r="J252" s="21"/>
      <c r="K252" s="21"/>
    </row>
    <row r="253" spans="1:11" x14ac:dyDescent="0.6">
      <c r="A253" s="17">
        <v>37226</v>
      </c>
      <c r="B253" s="15">
        <v>2.6668999999999998E-2</v>
      </c>
      <c r="C253" s="15">
        <v>1.61E-2</v>
      </c>
      <c r="D253" s="15">
        <v>4.5700000000000005E-2</v>
      </c>
      <c r="E253" s="15">
        <v>1.1000000000000001E-2</v>
      </c>
      <c r="F253" s="30">
        <f>'FF3 Regression'!$B$17+'FF3 Regression'!$B$18*Returns!C253+'FF3 Regression'!$B$19*Returns!D253+'FF3 Regression'!$B$20*Returns!E253</f>
        <v>3.6462519148632778E-2</v>
      </c>
      <c r="G253" s="30">
        <f t="shared" si="4"/>
        <v>-9.7935191486327802E-3</v>
      </c>
      <c r="H253" s="15"/>
      <c r="I253" s="15"/>
      <c r="J253" s="21"/>
      <c r="K253" s="21"/>
    </row>
    <row r="254" spans="1:11" x14ac:dyDescent="0.6">
      <c r="A254" s="17">
        <v>37257</v>
      </c>
      <c r="B254" s="15">
        <v>0.12736699999999998</v>
      </c>
      <c r="C254" s="15">
        <v>-1.4399999999999998E-2</v>
      </c>
      <c r="D254" s="15">
        <v>1.1899999999999999E-2</v>
      </c>
      <c r="E254" s="15">
        <v>3.3300000000000003E-2</v>
      </c>
      <c r="F254" s="30">
        <f>'FF3 Regression'!$B$17+'FF3 Regression'!$B$18*Returns!C254+'FF3 Regression'!$B$19*Returns!D254+'FF3 Regression'!$B$20*Returns!E254</f>
        <v>-3.0482645064437468E-2</v>
      </c>
      <c r="G254" s="30">
        <f t="shared" si="4"/>
        <v>0.15784964506443744</v>
      </c>
      <c r="H254" s="15"/>
      <c r="I254" s="15"/>
      <c r="J254" s="21"/>
      <c r="K254" s="21"/>
    </row>
    <row r="255" spans="1:11" x14ac:dyDescent="0.6">
      <c r="A255" s="17">
        <v>37288</v>
      </c>
      <c r="B255" s="15">
        <v>-0.12346799999999999</v>
      </c>
      <c r="C255" s="15">
        <v>-2.29E-2</v>
      </c>
      <c r="D255" s="15">
        <v>-1.1000000000000001E-2</v>
      </c>
      <c r="E255" s="15">
        <v>2.5000000000000001E-2</v>
      </c>
      <c r="F255" s="30">
        <f>'FF3 Regression'!$B$17+'FF3 Regression'!$B$18*Returns!C255+'FF3 Regression'!$B$19*Returns!D255+'FF3 Regression'!$B$20*Returns!E255</f>
        <v>-3.9814528520776944E-2</v>
      </c>
      <c r="G255" s="30">
        <f t="shared" si="4"/>
        <v>-8.3653471479223057E-2</v>
      </c>
      <c r="H255" s="15"/>
      <c r="I255" s="15"/>
      <c r="J255" s="21"/>
      <c r="K255" s="21"/>
    </row>
    <row r="256" spans="1:11" x14ac:dyDescent="0.6">
      <c r="A256" s="17">
        <v>37316</v>
      </c>
      <c r="B256" s="15">
        <v>8.9483000000000007E-2</v>
      </c>
      <c r="C256" s="15">
        <v>4.24E-2</v>
      </c>
      <c r="D256" s="15">
        <v>4.2300000000000004E-2</v>
      </c>
      <c r="E256" s="15">
        <v>1.1000000000000001E-2</v>
      </c>
      <c r="F256" s="30">
        <f>'FF3 Regression'!$B$17+'FF3 Regression'!$B$18*Returns!C256+'FF3 Regression'!$B$19*Returns!D256+'FF3 Regression'!$B$20*Returns!E256</f>
        <v>6.7790379134044301E-2</v>
      </c>
      <c r="G256" s="30">
        <f t="shared" si="4"/>
        <v>2.1692620865955706E-2</v>
      </c>
      <c r="H256" s="15"/>
      <c r="I256" s="15"/>
      <c r="J256" s="21"/>
      <c r="K256" s="21"/>
    </row>
    <row r="257" spans="1:11" x14ac:dyDescent="0.6">
      <c r="A257" s="17">
        <v>37347</v>
      </c>
      <c r="B257" s="15">
        <v>2.3848999999999999E-2</v>
      </c>
      <c r="C257" s="15">
        <v>-5.1999999999999998E-2</v>
      </c>
      <c r="D257" s="15">
        <v>5.9400000000000001E-2</v>
      </c>
      <c r="E257" s="15">
        <v>3.9300000000000002E-2</v>
      </c>
      <c r="F257" s="30">
        <f>'FF3 Regression'!$B$17+'FF3 Regression'!$B$18*Returns!C257+'FF3 Regression'!$B$19*Returns!D257+'FF3 Regression'!$B$20*Returns!E257</f>
        <v>-6.8797000443874115E-2</v>
      </c>
      <c r="G257" s="30">
        <f t="shared" si="4"/>
        <v>9.264600044387411E-2</v>
      </c>
      <c r="H257" s="15"/>
      <c r="I257" s="15"/>
      <c r="J257" s="21"/>
      <c r="K257" s="21"/>
    </row>
    <row r="258" spans="1:11" x14ac:dyDescent="0.6">
      <c r="A258" s="17">
        <v>37377</v>
      </c>
      <c r="B258" s="15">
        <v>-4.1367000000000001E-2</v>
      </c>
      <c r="C258" s="15">
        <v>-1.3799999999999998E-2</v>
      </c>
      <c r="D258" s="15">
        <v>-3.2099999999999997E-2</v>
      </c>
      <c r="E258" s="15">
        <v>1.6899999999999998E-2</v>
      </c>
      <c r="F258" s="30">
        <f>'FF3 Regression'!$B$17+'FF3 Regression'!$B$18*Returns!C258+'FF3 Regression'!$B$19*Returns!D258+'FF3 Regression'!$B$20*Returns!E258</f>
        <v>-2.7226451637866154E-2</v>
      </c>
      <c r="G258" s="30">
        <f t="shared" si="4"/>
        <v>-1.4140548362133847E-2</v>
      </c>
      <c r="H258" s="15"/>
      <c r="I258" s="15"/>
      <c r="J258" s="21"/>
      <c r="K258" s="21"/>
    </row>
    <row r="259" spans="1:11" x14ac:dyDescent="0.6">
      <c r="A259" s="17">
        <v>37408</v>
      </c>
      <c r="B259" s="15">
        <v>-0.240785</v>
      </c>
      <c r="C259" s="15">
        <v>-7.2099999999999997E-2</v>
      </c>
      <c r="D259" s="15">
        <v>4.2599999999999999E-2</v>
      </c>
      <c r="E259" s="15">
        <v>1.2999999999999999E-3</v>
      </c>
      <c r="F259" s="30">
        <f>'FF3 Regression'!$B$17+'FF3 Regression'!$B$18*Returns!C259+'FF3 Regression'!$B$19*Returns!D259+'FF3 Regression'!$B$20*Returns!E259</f>
        <v>-6.3897987422160712E-2</v>
      </c>
      <c r="G259" s="30">
        <f t="shared" ref="G259:G322" si="5">B259-F259</f>
        <v>-0.17688701257783929</v>
      </c>
      <c r="H259" s="15"/>
      <c r="I259" s="15"/>
      <c r="J259" s="21"/>
      <c r="K259" s="21"/>
    </row>
    <row r="260" spans="1:11" x14ac:dyDescent="0.6">
      <c r="A260" s="17">
        <v>37438</v>
      </c>
      <c r="B260" s="15">
        <v>-0.14032600000000001</v>
      </c>
      <c r="C260" s="15">
        <v>-8.1799999999999998E-2</v>
      </c>
      <c r="D260" s="15">
        <v>-5.2999999999999999E-2</v>
      </c>
      <c r="E260" s="15">
        <v>-3.4099999999999998E-2</v>
      </c>
      <c r="F260" s="30">
        <f>'FF3 Regression'!$B$17+'FF3 Regression'!$B$18*Returns!C260+'FF3 Regression'!$B$19*Returns!D260+'FF3 Regression'!$B$20*Returns!E260</f>
        <v>-7.0536525751215065E-2</v>
      </c>
      <c r="G260" s="30">
        <f t="shared" si="5"/>
        <v>-6.9789474248784941E-2</v>
      </c>
      <c r="H260" s="15"/>
      <c r="I260" s="15"/>
      <c r="J260" s="21"/>
      <c r="K260" s="21"/>
    </row>
    <row r="261" spans="1:11" x14ac:dyDescent="0.6">
      <c r="A261" s="17">
        <v>37469</v>
      </c>
      <c r="B261" s="15">
        <v>-3.4820999999999998E-2</v>
      </c>
      <c r="C261" s="15">
        <v>5.0000000000000001E-3</v>
      </c>
      <c r="D261" s="15">
        <v>-2.4399999999999998E-2</v>
      </c>
      <c r="E261" s="15">
        <v>2.4900000000000002E-2</v>
      </c>
      <c r="F261" s="30">
        <f>'FF3 Regression'!$B$17+'FF3 Regression'!$B$18*Returns!C261+'FF3 Regression'!$B$19*Returns!D261+'FF3 Regression'!$B$20*Returns!E261</f>
        <v>-9.2194760886564094E-3</v>
      </c>
      <c r="G261" s="30">
        <f t="shared" si="5"/>
        <v>-2.5601523911343588E-2</v>
      </c>
      <c r="H261" s="15"/>
      <c r="I261" s="15"/>
      <c r="J261" s="21"/>
      <c r="K261" s="21"/>
    </row>
    <row r="262" spans="1:11" x14ac:dyDescent="0.6">
      <c r="A262" s="17">
        <v>37500</v>
      </c>
      <c r="B262" s="15">
        <v>-1.8348999999999997E-2</v>
      </c>
      <c r="C262" s="15">
        <v>-0.10349999999999999</v>
      </c>
      <c r="D262" s="15">
        <v>2.5699999999999997E-2</v>
      </c>
      <c r="E262" s="15">
        <v>1.3100000000000001E-2</v>
      </c>
      <c r="F262" s="30">
        <f>'FF3 Regression'!$B$17+'FF3 Regression'!$B$18*Returns!C262+'FF3 Regression'!$B$19*Returns!D262+'FF3 Regression'!$B$20*Returns!E262</f>
        <v>-0.1177755844495731</v>
      </c>
      <c r="G262" s="30">
        <f t="shared" si="5"/>
        <v>9.9426584449573113E-2</v>
      </c>
      <c r="H262" s="15"/>
      <c r="I262" s="15"/>
      <c r="J262" s="21"/>
      <c r="K262" s="21"/>
    </row>
    <row r="263" spans="1:11" x14ac:dyDescent="0.6">
      <c r="A263" s="17">
        <v>37530</v>
      </c>
      <c r="B263" s="15">
        <v>0.106876</v>
      </c>
      <c r="C263" s="15">
        <v>7.8399999999999997E-2</v>
      </c>
      <c r="D263" s="15">
        <v>-2.8999999999999998E-2</v>
      </c>
      <c r="E263" s="15">
        <v>-5.4600000000000003E-2</v>
      </c>
      <c r="F263" s="30">
        <f>'FF3 Regression'!$B$17+'FF3 Regression'!$B$18*Returns!C263+'FF3 Regression'!$B$19*Returns!D263+'FF3 Regression'!$B$20*Returns!E263</f>
        <v>0.15122300528088667</v>
      </c>
      <c r="G263" s="30">
        <f t="shared" si="5"/>
        <v>-4.434700528088667E-2</v>
      </c>
      <c r="H263" s="15"/>
      <c r="I263" s="15"/>
      <c r="J263" s="21"/>
      <c r="K263" s="21"/>
    </row>
    <row r="264" spans="1:11" x14ac:dyDescent="0.6">
      <c r="A264" s="17">
        <v>37561</v>
      </c>
      <c r="B264" s="15">
        <v>-3.6670000000000001E-2</v>
      </c>
      <c r="C264" s="15">
        <v>5.96E-2</v>
      </c>
      <c r="D264" s="15">
        <v>2.8399999999999998E-2</v>
      </c>
      <c r="E264" s="15">
        <v>-1.15E-2</v>
      </c>
      <c r="F264" s="30">
        <f>'FF3 Regression'!$B$17+'FF3 Regression'!$B$18*Returns!C264+'FF3 Regression'!$B$19*Returns!D264+'FF3 Regression'!$B$20*Returns!E264</f>
        <v>0.10530274593477705</v>
      </c>
      <c r="G264" s="30">
        <f t="shared" si="5"/>
        <v>-0.14197274593477704</v>
      </c>
      <c r="H264" s="15"/>
      <c r="I264" s="15"/>
      <c r="J264" s="21"/>
      <c r="K264" s="21"/>
    </row>
    <row r="265" spans="1:11" x14ac:dyDescent="0.6">
      <c r="A265" s="17">
        <v>37591</v>
      </c>
      <c r="B265" s="15">
        <v>-7.6583999999999999E-2</v>
      </c>
      <c r="C265" s="15">
        <v>-5.7599999999999991E-2</v>
      </c>
      <c r="D265" s="15">
        <v>0</v>
      </c>
      <c r="E265" s="15">
        <v>2.2499999999999999E-2</v>
      </c>
      <c r="F265" s="30">
        <f>'FF3 Regression'!$B$17+'FF3 Regression'!$B$18*Returns!C265+'FF3 Regression'!$B$19*Returns!D265+'FF3 Regression'!$B$20*Returns!E265</f>
        <v>-7.7080052093886409E-2</v>
      </c>
      <c r="G265" s="30">
        <f t="shared" si="5"/>
        <v>4.9605209388640936E-4</v>
      </c>
      <c r="H265" s="15"/>
      <c r="I265" s="15"/>
      <c r="J265" s="21"/>
      <c r="K265" s="21"/>
    </row>
    <row r="266" spans="1:11" x14ac:dyDescent="0.6">
      <c r="A266" s="17">
        <v>37622</v>
      </c>
      <c r="B266" s="15">
        <v>1.0929999999999998E-3</v>
      </c>
      <c r="C266" s="15">
        <v>-2.5699999999999997E-2</v>
      </c>
      <c r="D266" s="15">
        <v>1.3899999999999999E-2</v>
      </c>
      <c r="E266" s="15">
        <v>-9.300000000000001E-3</v>
      </c>
      <c r="F266" s="30">
        <f>'FF3 Regression'!$B$17+'FF3 Regression'!$B$18*Returns!C266+'FF3 Regression'!$B$19*Returns!D266+'FF3 Regression'!$B$20*Returns!E266</f>
        <v>-5.4001187677334139E-3</v>
      </c>
      <c r="G266" s="30">
        <f t="shared" si="5"/>
        <v>6.4931187677334141E-3</v>
      </c>
      <c r="H266" s="15"/>
      <c r="I266" s="15"/>
      <c r="J266" s="21"/>
      <c r="K266" s="21"/>
    </row>
    <row r="267" spans="1:11" x14ac:dyDescent="0.6">
      <c r="A267" s="17">
        <v>37653</v>
      </c>
      <c r="B267" s="15">
        <v>4.4365000000000002E-2</v>
      </c>
      <c r="C267" s="15">
        <v>-1.8800000000000001E-2</v>
      </c>
      <c r="D267" s="15">
        <v>-3.4000000000000002E-3</v>
      </c>
      <c r="E267" s="15">
        <v>-1.4499999999999999E-2</v>
      </c>
      <c r="F267" s="30">
        <f>'FF3 Regression'!$B$17+'FF3 Regression'!$B$18*Returns!C267+'FF3 Regression'!$B$19*Returns!D267+'FF3 Regression'!$B$20*Returns!E267</f>
        <v>2.9333986670920555E-3</v>
      </c>
      <c r="G267" s="30">
        <f t="shared" si="5"/>
        <v>4.143160133290795E-2</v>
      </c>
      <c r="H267" s="15"/>
      <c r="I267" s="15"/>
      <c r="J267" s="21"/>
      <c r="K267" s="21"/>
    </row>
    <row r="268" spans="1:11" x14ac:dyDescent="0.6">
      <c r="A268" s="17">
        <v>37681</v>
      </c>
      <c r="B268" s="15">
        <v>-5.8961E-2</v>
      </c>
      <c r="C268" s="15">
        <v>1.09E-2</v>
      </c>
      <c r="D268" s="15">
        <v>8.8999999999999999E-3</v>
      </c>
      <c r="E268" s="15">
        <v>-2.0899999999999998E-2</v>
      </c>
      <c r="F268" s="30">
        <f>'FF3 Regression'!$B$17+'FF3 Regression'!$B$18*Returns!C268+'FF3 Regression'!$B$19*Returns!D268+'FF3 Regression'!$B$20*Returns!E268</f>
        <v>4.8576337020431501E-2</v>
      </c>
      <c r="G268" s="30">
        <f t="shared" si="5"/>
        <v>-0.1075373370204315</v>
      </c>
      <c r="H268" s="15"/>
      <c r="I268" s="15"/>
      <c r="J268" s="21"/>
      <c r="K268" s="21"/>
    </row>
    <row r="269" spans="1:11" x14ac:dyDescent="0.6">
      <c r="A269" s="17">
        <v>37712</v>
      </c>
      <c r="B269" s="15">
        <v>4.6579999999999998E-3</v>
      </c>
      <c r="C269" s="15">
        <v>8.2199999999999995E-2</v>
      </c>
      <c r="D269" s="15">
        <v>5.6999999999999993E-3</v>
      </c>
      <c r="E269" s="15">
        <v>1.03E-2</v>
      </c>
      <c r="F269" s="30">
        <f>'FF3 Regression'!$B$17+'FF3 Regression'!$B$18*Returns!C269+'FF3 Regression'!$B$19*Returns!D269+'FF3 Regression'!$B$20*Returns!E269</f>
        <v>0.10706525167887854</v>
      </c>
      <c r="G269" s="30">
        <f t="shared" si="5"/>
        <v>-0.10240725167887854</v>
      </c>
      <c r="H269" s="15"/>
      <c r="I269" s="15"/>
      <c r="J269" s="21"/>
      <c r="K269" s="21"/>
    </row>
    <row r="270" spans="1:11" x14ac:dyDescent="0.6">
      <c r="A270" s="17">
        <v>37742</v>
      </c>
      <c r="B270" s="15">
        <v>0.261407</v>
      </c>
      <c r="C270" s="15">
        <v>6.0499999999999998E-2</v>
      </c>
      <c r="D270" s="15">
        <v>4.7E-2</v>
      </c>
      <c r="E270" s="15">
        <v>-3.0000000000000001E-3</v>
      </c>
      <c r="F270" s="30">
        <f>'FF3 Regression'!$B$17+'FF3 Regression'!$B$18*Returns!C270+'FF3 Regression'!$B$19*Returns!D270+'FF3 Regression'!$B$20*Returns!E270</f>
        <v>0.10392952311898726</v>
      </c>
      <c r="G270" s="30">
        <f t="shared" si="5"/>
        <v>0.15747747688101274</v>
      </c>
      <c r="H270" s="15"/>
      <c r="I270" s="15"/>
      <c r="J270" s="21"/>
      <c r="K270" s="21"/>
    </row>
    <row r="271" spans="1:11" x14ac:dyDescent="0.6">
      <c r="A271" s="17">
        <v>37773</v>
      </c>
      <c r="B271" s="15">
        <v>6.0837999999999996E-2</v>
      </c>
      <c r="C271" s="15">
        <v>1.4200000000000001E-2</v>
      </c>
      <c r="D271" s="15">
        <v>1.67E-2</v>
      </c>
      <c r="E271" s="15">
        <v>6.6E-3</v>
      </c>
      <c r="F271" s="30">
        <f>'FF3 Regression'!$B$17+'FF3 Regression'!$B$18*Returns!C271+'FF3 Regression'!$B$19*Returns!D271+'FF3 Regression'!$B$20*Returns!E271</f>
        <v>3.0015586363802894E-2</v>
      </c>
      <c r="G271" s="30">
        <f t="shared" si="5"/>
        <v>3.0822413636197102E-2</v>
      </c>
      <c r="H271" s="15"/>
      <c r="I271" s="15"/>
      <c r="J271" s="21"/>
      <c r="K271" s="21"/>
    </row>
    <row r="272" spans="1:11" x14ac:dyDescent="0.6">
      <c r="A272" s="17">
        <v>37803</v>
      </c>
      <c r="B272" s="15">
        <v>0.105281</v>
      </c>
      <c r="C272" s="15">
        <v>2.35E-2</v>
      </c>
      <c r="D272" s="15">
        <v>5.2499999999999998E-2</v>
      </c>
      <c r="E272" s="15">
        <v>-1.15E-2</v>
      </c>
      <c r="F272" s="30">
        <f>'FF3 Regression'!$B$17+'FF3 Regression'!$B$18*Returns!C272+'FF3 Regression'!$B$19*Returns!D272+'FF3 Regression'!$B$20*Returns!E272</f>
        <v>6.7716306215474142E-2</v>
      </c>
      <c r="G272" s="30">
        <f t="shared" si="5"/>
        <v>3.7564693784525857E-2</v>
      </c>
      <c r="H272" s="15"/>
      <c r="I272" s="15"/>
      <c r="J272" s="21"/>
      <c r="K272" s="21"/>
    </row>
    <row r="273" spans="1:11" x14ac:dyDescent="0.6">
      <c r="A273" s="17">
        <v>37834</v>
      </c>
      <c r="B273" s="15">
        <v>7.1881E-2</v>
      </c>
      <c r="C273" s="15">
        <v>2.3399999999999997E-2</v>
      </c>
      <c r="D273" s="15">
        <v>2.6000000000000002E-2</v>
      </c>
      <c r="E273" s="15">
        <v>2.0299999999999999E-2</v>
      </c>
      <c r="F273" s="30">
        <f>'FF3 Regression'!$B$17+'FF3 Regression'!$B$18*Returns!C273+'FF3 Regression'!$B$19*Returns!D273+'FF3 Regression'!$B$20*Returns!E273</f>
        <v>3.1550281348471126E-2</v>
      </c>
      <c r="G273" s="30">
        <f t="shared" si="5"/>
        <v>4.0330718651528874E-2</v>
      </c>
      <c r="H273" s="15"/>
      <c r="I273" s="15"/>
      <c r="J273" s="21"/>
      <c r="K273" s="21"/>
    </row>
    <row r="274" spans="1:11" x14ac:dyDescent="0.6">
      <c r="A274" s="17">
        <v>37865</v>
      </c>
      <c r="B274" s="15">
        <v>-8.4390999999999994E-2</v>
      </c>
      <c r="C274" s="15">
        <v>-1.24E-2</v>
      </c>
      <c r="D274" s="15">
        <v>7.9000000000000008E-3</v>
      </c>
      <c r="E274" s="15">
        <v>2.0000000000000001E-4</v>
      </c>
      <c r="F274" s="30">
        <f>'FF3 Regression'!$B$17+'FF3 Regression'!$B$18*Returns!C274+'FF3 Regression'!$B$19*Returns!D274+'FF3 Regression'!$B$20*Returns!E274</f>
        <v>6.8800052572401513E-4</v>
      </c>
      <c r="G274" s="30">
        <f t="shared" si="5"/>
        <v>-8.5079000525724008E-2</v>
      </c>
      <c r="H274" s="15"/>
      <c r="I274" s="15"/>
      <c r="J274" s="21"/>
      <c r="K274" s="21"/>
    </row>
    <row r="275" spans="1:11" x14ac:dyDescent="0.6">
      <c r="A275" s="17">
        <v>37895</v>
      </c>
      <c r="B275" s="15">
        <v>0.10403</v>
      </c>
      <c r="C275" s="15">
        <v>6.0800000000000007E-2</v>
      </c>
      <c r="D275" s="15">
        <v>2.6800000000000001E-2</v>
      </c>
      <c r="E275" s="15">
        <v>1.7500000000000002E-2</v>
      </c>
      <c r="F275" s="30">
        <f>'FF3 Regression'!$B$17+'FF3 Regression'!$B$18*Returns!C275+'FF3 Regression'!$B$19*Returns!D275+'FF3 Regression'!$B$20*Returns!E275</f>
        <v>8.0193775978174842E-2</v>
      </c>
      <c r="G275" s="30">
        <f t="shared" si="5"/>
        <v>2.3836224021825156E-2</v>
      </c>
      <c r="H275" s="15"/>
      <c r="I275" s="15"/>
      <c r="J275" s="21"/>
      <c r="K275" s="21"/>
    </row>
    <row r="276" spans="1:11" x14ac:dyDescent="0.6">
      <c r="A276" s="17">
        <v>37926</v>
      </c>
      <c r="B276" s="15">
        <v>-8.7201000000000001E-2</v>
      </c>
      <c r="C276" s="15">
        <v>1.3500000000000002E-2</v>
      </c>
      <c r="D276" s="15">
        <v>2.0099999999999996E-2</v>
      </c>
      <c r="E276" s="15">
        <v>1.8600000000000002E-2</v>
      </c>
      <c r="F276" s="30">
        <f>'FF3 Regression'!$B$17+'FF3 Regression'!$B$18*Returns!C276+'FF3 Regression'!$B$19*Returns!D276+'FF3 Regression'!$B$20*Returns!E276</f>
        <v>1.9289137326987435E-2</v>
      </c>
      <c r="G276" s="30">
        <f t="shared" si="5"/>
        <v>-0.10649013732698744</v>
      </c>
      <c r="H276" s="15"/>
      <c r="I276" s="15"/>
      <c r="J276" s="21"/>
      <c r="K276" s="21"/>
    </row>
    <row r="277" spans="1:11" x14ac:dyDescent="0.6">
      <c r="A277" s="17">
        <v>37956</v>
      </c>
      <c r="B277" s="15">
        <v>2.1199000000000003E-2</v>
      </c>
      <c r="C277" s="15">
        <v>4.2900000000000001E-2</v>
      </c>
      <c r="D277" s="15">
        <v>-3.0099999999999998E-2</v>
      </c>
      <c r="E277" s="15">
        <v>2.4199999999999999E-2</v>
      </c>
      <c r="F277" s="30">
        <f>'FF3 Regression'!$B$17+'FF3 Regression'!$B$18*Returns!C277+'FF3 Regression'!$B$19*Returns!D277+'FF3 Regression'!$B$20*Returns!E277</f>
        <v>3.6333837161915572E-2</v>
      </c>
      <c r="G277" s="30">
        <f t="shared" si="5"/>
        <v>-1.5134837161915569E-2</v>
      </c>
      <c r="H277" s="15"/>
      <c r="I277" s="15"/>
      <c r="J277" s="21"/>
      <c r="K277" s="21"/>
    </row>
    <row r="278" spans="1:11" x14ac:dyDescent="0.6">
      <c r="A278" s="17">
        <v>37987</v>
      </c>
      <c r="B278" s="15">
        <v>5.4984999999999999E-2</v>
      </c>
      <c r="C278" s="15">
        <v>2.1499999999999998E-2</v>
      </c>
      <c r="D278" s="15">
        <v>2.7999999999999997E-2</v>
      </c>
      <c r="E278" s="15">
        <v>1.9799999999999998E-2</v>
      </c>
      <c r="F278" s="30">
        <f>'FF3 Regression'!$B$17+'FF3 Regression'!$B$18*Returns!C278+'FF3 Regression'!$B$19*Returns!D278+'FF3 Regression'!$B$20*Returns!E278</f>
        <v>3.022651486795068E-2</v>
      </c>
      <c r="G278" s="30">
        <f t="shared" si="5"/>
        <v>2.475848513204932E-2</v>
      </c>
      <c r="H278" s="15"/>
      <c r="I278" s="15"/>
      <c r="J278" s="21"/>
      <c r="K278" s="21"/>
    </row>
    <row r="279" spans="1:11" x14ac:dyDescent="0.6">
      <c r="A279" s="17">
        <v>38018</v>
      </c>
      <c r="B279" s="15">
        <v>5.9683999999999994E-2</v>
      </c>
      <c r="C279" s="15">
        <v>1.4E-2</v>
      </c>
      <c r="D279" s="15">
        <v>-1.43E-2</v>
      </c>
      <c r="E279" s="15">
        <v>4.8999999999999998E-3</v>
      </c>
      <c r="F279" s="30">
        <f>'FF3 Regression'!$B$17+'FF3 Regression'!$B$18*Returns!C279+'FF3 Regression'!$B$19*Returns!D279+'FF3 Regression'!$B$20*Returns!E279</f>
        <v>2.2664267006016869E-2</v>
      </c>
      <c r="G279" s="30">
        <f t="shared" si="5"/>
        <v>3.7019732993983125E-2</v>
      </c>
      <c r="H279" s="15"/>
      <c r="I279" s="15"/>
      <c r="J279" s="21"/>
      <c r="K279" s="21"/>
    </row>
    <row r="280" spans="1:11" x14ac:dyDescent="0.6">
      <c r="A280" s="17">
        <v>38047</v>
      </c>
      <c r="B280" s="15">
        <v>0.12953499999999998</v>
      </c>
      <c r="C280" s="15">
        <v>-1.32E-2</v>
      </c>
      <c r="D280" s="15">
        <v>1.7500000000000002E-2</v>
      </c>
      <c r="E280" s="15">
        <v>2.0999999999999999E-3</v>
      </c>
      <c r="F280" s="30">
        <f>'FF3 Regression'!$B$17+'FF3 Regression'!$B$18*Returns!C280+'FF3 Regression'!$B$19*Returns!D280+'FF3 Regression'!$B$20*Returns!E280</f>
        <v>6.6888654441823992E-4</v>
      </c>
      <c r="G280" s="30">
        <f t="shared" si="5"/>
        <v>0.12886611345558174</v>
      </c>
      <c r="H280" s="15"/>
      <c r="I280" s="15"/>
      <c r="J280" s="21"/>
      <c r="K280" s="21"/>
    </row>
    <row r="281" spans="1:11" x14ac:dyDescent="0.6">
      <c r="A281" s="17">
        <v>38078</v>
      </c>
      <c r="B281" s="15">
        <v>-4.7398000000000003E-2</v>
      </c>
      <c r="C281" s="15">
        <v>-1.83E-2</v>
      </c>
      <c r="D281" s="15">
        <v>-2.06E-2</v>
      </c>
      <c r="E281" s="15">
        <v>-2.6200000000000001E-2</v>
      </c>
      <c r="F281" s="30">
        <f>'FF3 Regression'!$B$17+'FF3 Regression'!$B$18*Returns!C281+'FF3 Regression'!$B$19*Returns!D281+'FF3 Regression'!$B$20*Returns!E281</f>
        <v>9.2987453472347086E-3</v>
      </c>
      <c r="G281" s="30">
        <f t="shared" si="5"/>
        <v>-5.6696745347234713E-2</v>
      </c>
      <c r="H281" s="15"/>
      <c r="I281" s="15"/>
      <c r="J281" s="21"/>
      <c r="K281" s="21"/>
    </row>
    <row r="282" spans="1:11" x14ac:dyDescent="0.6">
      <c r="A282" s="17">
        <v>38108</v>
      </c>
      <c r="B282" s="15">
        <v>8.7841000000000002E-2</v>
      </c>
      <c r="C282" s="15">
        <v>1.17E-2</v>
      </c>
      <c r="D282" s="15">
        <v>-2.0999999999999999E-3</v>
      </c>
      <c r="E282" s="15">
        <v>-3.9000000000000003E-3</v>
      </c>
      <c r="F282" s="30">
        <f>'FF3 Regression'!$B$17+'FF3 Regression'!$B$18*Returns!C282+'FF3 Regression'!$B$19*Returns!D282+'FF3 Regression'!$B$20*Returns!E282</f>
        <v>3.1172034088088836E-2</v>
      </c>
      <c r="G282" s="30">
        <f t="shared" si="5"/>
        <v>5.6668965911911166E-2</v>
      </c>
      <c r="H282" s="15"/>
      <c r="I282" s="15"/>
      <c r="J282" s="21"/>
      <c r="K282" s="21"/>
    </row>
    <row r="283" spans="1:11" x14ac:dyDescent="0.6">
      <c r="A283" s="17">
        <v>38139</v>
      </c>
      <c r="B283" s="15">
        <v>0.158858</v>
      </c>
      <c r="C283" s="15">
        <v>1.8600000000000002E-2</v>
      </c>
      <c r="D283" s="15">
        <v>2.2599999999999999E-2</v>
      </c>
      <c r="E283" s="15">
        <v>1.38E-2</v>
      </c>
      <c r="F283" s="30">
        <f>'FF3 Regression'!$B$17+'FF3 Regression'!$B$18*Returns!C283+'FF3 Regression'!$B$19*Returns!D283+'FF3 Regression'!$B$20*Returns!E283</f>
        <v>3.0570368466119102E-2</v>
      </c>
      <c r="G283" s="30">
        <f t="shared" si="5"/>
        <v>0.1282876315338809</v>
      </c>
      <c r="H283" s="15"/>
      <c r="I283" s="15"/>
      <c r="J283" s="21"/>
      <c r="K283" s="21"/>
    </row>
    <row r="284" spans="1:11" x14ac:dyDescent="0.6">
      <c r="A284" s="17">
        <v>38169</v>
      </c>
      <c r="B284" s="15">
        <v>-7.1460000000000004E-3</v>
      </c>
      <c r="C284" s="15">
        <v>-4.0599999999999997E-2</v>
      </c>
      <c r="D284" s="15">
        <v>-3.7900000000000003E-2</v>
      </c>
      <c r="E284" s="15">
        <v>4.1100000000000005E-2</v>
      </c>
      <c r="F284" s="30">
        <f>'FF3 Regression'!$B$17+'FF3 Regression'!$B$18*Returns!C284+'FF3 Regression'!$B$19*Returns!D284+'FF3 Regression'!$B$20*Returns!E284</f>
        <v>-8.3541290994743445E-2</v>
      </c>
      <c r="G284" s="30">
        <f t="shared" si="5"/>
        <v>7.6395290994743445E-2</v>
      </c>
      <c r="H284" s="15"/>
      <c r="I284" s="15"/>
      <c r="J284" s="21"/>
      <c r="K284" s="21"/>
    </row>
    <row r="285" spans="1:11" x14ac:dyDescent="0.6">
      <c r="A285" s="17">
        <v>38200</v>
      </c>
      <c r="B285" s="15">
        <v>6.5380999999999995E-2</v>
      </c>
      <c r="C285" s="15">
        <v>7.9999999999999993E-4</v>
      </c>
      <c r="D285" s="15">
        <v>-1.6299999999999999E-2</v>
      </c>
      <c r="E285" s="15">
        <v>1.03E-2</v>
      </c>
      <c r="F285" s="30">
        <f>'FF3 Regression'!$B$17+'FF3 Regression'!$B$18*Returns!C285+'FF3 Regression'!$B$19*Returns!D285+'FF3 Regression'!$B$20*Returns!E285</f>
        <v>1.0413314889079241E-3</v>
      </c>
      <c r="G285" s="30">
        <f t="shared" si="5"/>
        <v>6.4339668511092074E-2</v>
      </c>
      <c r="H285" s="15"/>
      <c r="I285" s="15"/>
      <c r="J285" s="21"/>
      <c r="K285" s="21"/>
    </row>
    <row r="286" spans="1:11" x14ac:dyDescent="0.6">
      <c r="A286" s="17">
        <v>38231</v>
      </c>
      <c r="B286" s="15">
        <v>0.122414</v>
      </c>
      <c r="C286" s="15">
        <v>1.6E-2</v>
      </c>
      <c r="D286" s="15">
        <v>3.04E-2</v>
      </c>
      <c r="E286" s="15">
        <v>-2.5000000000000001E-3</v>
      </c>
      <c r="F286" s="30">
        <f>'FF3 Regression'!$B$17+'FF3 Regression'!$B$18*Returns!C286+'FF3 Regression'!$B$19*Returns!D286+'FF3 Regression'!$B$20*Returns!E286</f>
        <v>4.424319317722903E-2</v>
      </c>
      <c r="G286" s="30">
        <f t="shared" si="5"/>
        <v>7.8170806822770972E-2</v>
      </c>
      <c r="H286" s="15"/>
      <c r="I286" s="15"/>
      <c r="J286" s="21"/>
      <c r="K286" s="21"/>
    </row>
    <row r="287" spans="1:11" x14ac:dyDescent="0.6">
      <c r="A287" s="17">
        <v>38261</v>
      </c>
      <c r="B287" s="15">
        <v>0.35115800000000003</v>
      </c>
      <c r="C287" s="15">
        <v>1.43E-2</v>
      </c>
      <c r="D287" s="15">
        <v>3.0999999999999999E-3</v>
      </c>
      <c r="E287" s="15">
        <v>-6.1999999999999998E-3</v>
      </c>
      <c r="F287" s="30">
        <f>'FF3 Regression'!$B$17+'FF3 Regression'!$B$18*Returns!C287+'FF3 Regression'!$B$19*Returns!D287+'FF3 Regression'!$B$20*Returns!E287</f>
        <v>3.7884531583986962E-2</v>
      </c>
      <c r="G287" s="30">
        <f t="shared" si="5"/>
        <v>0.31327346841601306</v>
      </c>
      <c r="H287" s="15"/>
      <c r="I287" s="15"/>
      <c r="J287" s="21"/>
      <c r="K287" s="21"/>
    </row>
    <row r="288" spans="1:11" x14ac:dyDescent="0.6">
      <c r="A288" s="17">
        <v>38292</v>
      </c>
      <c r="B288" s="15">
        <v>0.27807999999999999</v>
      </c>
      <c r="C288" s="15">
        <v>4.5400000000000003E-2</v>
      </c>
      <c r="D288" s="15">
        <v>3.9100000000000003E-2</v>
      </c>
      <c r="E288" s="15">
        <v>1.8000000000000002E-2</v>
      </c>
      <c r="F288" s="30">
        <f>'FF3 Regression'!$B$17+'FF3 Regression'!$B$18*Returns!C288+'FF3 Regression'!$B$19*Returns!D288+'FF3 Regression'!$B$20*Returns!E288</f>
        <v>6.4271669455521929E-2</v>
      </c>
      <c r="G288" s="30">
        <f t="shared" si="5"/>
        <v>0.21380833054447806</v>
      </c>
      <c r="H288" s="15"/>
      <c r="I288" s="15"/>
      <c r="J288" s="21"/>
      <c r="K288" s="21"/>
    </row>
    <row r="289" spans="1:11" x14ac:dyDescent="0.6">
      <c r="A289" s="17">
        <v>38322</v>
      </c>
      <c r="B289" s="15">
        <v>-4.1123E-2</v>
      </c>
      <c r="C289" s="15">
        <v>3.4300000000000004E-2</v>
      </c>
      <c r="D289" s="15">
        <v>1.1999999999999999E-3</v>
      </c>
      <c r="E289" s="15">
        <v>-5.9999999999999995E-4</v>
      </c>
      <c r="F289" s="30">
        <f>'FF3 Regression'!$B$17+'FF3 Regression'!$B$18*Returns!C289+'FF3 Regression'!$B$19*Returns!D289+'FF3 Regression'!$B$20*Returns!E289</f>
        <v>5.6852116248717284E-2</v>
      </c>
      <c r="G289" s="30">
        <f t="shared" si="5"/>
        <v>-9.7975116248717284E-2</v>
      </c>
      <c r="H289" s="15"/>
      <c r="I289" s="15"/>
      <c r="J289" s="21"/>
      <c r="K289" s="21"/>
    </row>
    <row r="290" spans="1:11" x14ac:dyDescent="0.6">
      <c r="A290" s="17">
        <v>38353</v>
      </c>
      <c r="B290" s="15">
        <v>0.192499</v>
      </c>
      <c r="C290" s="15">
        <v>-2.7599999999999996E-2</v>
      </c>
      <c r="D290" s="15">
        <v>-1.52E-2</v>
      </c>
      <c r="E290" s="15">
        <v>1.9599999999999999E-2</v>
      </c>
      <c r="F290" s="30">
        <f>'FF3 Regression'!$B$17+'FF3 Regression'!$B$18*Returns!C290+'FF3 Regression'!$B$19*Returns!D290+'FF3 Regression'!$B$20*Returns!E290</f>
        <v>-4.1885994301081704E-2</v>
      </c>
      <c r="G290" s="30">
        <f t="shared" si="5"/>
        <v>0.2343849943010817</v>
      </c>
      <c r="H290" s="15"/>
      <c r="I290" s="15"/>
      <c r="J290" s="21"/>
      <c r="K290" s="21"/>
    </row>
    <row r="291" spans="1:11" x14ac:dyDescent="0.6">
      <c r="A291" s="17">
        <v>38384</v>
      </c>
      <c r="B291" s="15">
        <v>0.16511000000000001</v>
      </c>
      <c r="C291" s="15">
        <v>1.8899999999999997E-2</v>
      </c>
      <c r="D291" s="15">
        <v>-5.0000000000000001E-3</v>
      </c>
      <c r="E291" s="15">
        <v>1.6399999999999998E-2</v>
      </c>
      <c r="F291" s="30">
        <f>'FF3 Regression'!$B$17+'FF3 Regression'!$B$18*Returns!C291+'FF3 Regression'!$B$19*Returns!D291+'FF3 Regression'!$B$20*Returns!E291</f>
        <v>2.0904733687233265E-2</v>
      </c>
      <c r="G291" s="30">
        <f t="shared" si="5"/>
        <v>0.14420526631276676</v>
      </c>
      <c r="H291" s="15"/>
      <c r="I291" s="15"/>
      <c r="J291" s="21"/>
      <c r="K291" s="21"/>
    </row>
    <row r="292" spans="1:11" x14ac:dyDescent="0.6">
      <c r="A292" s="17">
        <v>38412</v>
      </c>
      <c r="B292" s="15">
        <v>-7.3210000000000011E-2</v>
      </c>
      <c r="C292" s="15">
        <v>-1.9700000000000002E-2</v>
      </c>
      <c r="D292" s="15">
        <v>-1.3999999999999999E-2</v>
      </c>
      <c r="E292" s="15">
        <v>1.5600000000000001E-2</v>
      </c>
      <c r="F292" s="30">
        <f>'FF3 Regression'!$B$17+'FF3 Regression'!$B$18*Returns!C292+'FF3 Regression'!$B$19*Returns!D292+'FF3 Regression'!$B$20*Returns!E292</f>
        <v>-2.8251839385065647E-2</v>
      </c>
      <c r="G292" s="30">
        <f t="shared" si="5"/>
        <v>-4.4958160614934364E-2</v>
      </c>
      <c r="H292" s="15"/>
      <c r="I292" s="15"/>
      <c r="J292" s="21"/>
      <c r="K292" s="21"/>
    </row>
    <row r="293" spans="1:11" x14ac:dyDescent="0.6">
      <c r="A293" s="17">
        <v>38443</v>
      </c>
      <c r="B293" s="15">
        <v>-0.13672899999999999</v>
      </c>
      <c r="C293" s="15">
        <v>-2.6100000000000002E-2</v>
      </c>
      <c r="D293" s="15">
        <v>-0.04</v>
      </c>
      <c r="E293" s="15">
        <v>-3.4999999999999996E-3</v>
      </c>
      <c r="F293" s="30">
        <f>'FF3 Regression'!$B$17+'FF3 Regression'!$B$18*Returns!C293+'FF3 Regression'!$B$19*Returns!D293+'FF3 Regression'!$B$20*Returns!E293</f>
        <v>-2.6137086575472923E-2</v>
      </c>
      <c r="G293" s="30">
        <f t="shared" si="5"/>
        <v>-0.11059191342452707</v>
      </c>
      <c r="H293" s="15"/>
      <c r="I293" s="15"/>
      <c r="J293" s="21"/>
      <c r="K293" s="21"/>
    </row>
    <row r="294" spans="1:11" x14ac:dyDescent="0.6">
      <c r="A294" s="17">
        <v>38473</v>
      </c>
      <c r="B294" s="15">
        <v>0.100187</v>
      </c>
      <c r="C294" s="15">
        <v>3.6499999999999998E-2</v>
      </c>
      <c r="D294" s="15">
        <v>2.8799999999999999E-2</v>
      </c>
      <c r="E294" s="15">
        <v>-8.3000000000000001E-3</v>
      </c>
      <c r="F294" s="30">
        <f>'FF3 Regression'!$B$17+'FF3 Regression'!$B$18*Returns!C294+'FF3 Regression'!$B$19*Returns!D294+'FF3 Regression'!$B$20*Returns!E294</f>
        <v>7.4182031942383611E-2</v>
      </c>
      <c r="G294" s="30">
        <f t="shared" si="5"/>
        <v>2.6004968057616387E-2</v>
      </c>
      <c r="H294" s="15"/>
      <c r="I294" s="15"/>
      <c r="J294" s="21"/>
      <c r="K294" s="21"/>
    </row>
    <row r="295" spans="1:11" x14ac:dyDescent="0.6">
      <c r="A295" s="17">
        <v>38504</v>
      </c>
      <c r="B295" s="15">
        <v>-7.6478999999999991E-2</v>
      </c>
      <c r="C295" s="15">
        <v>5.7000000000000002E-3</v>
      </c>
      <c r="D295" s="15">
        <v>2.6200000000000001E-2</v>
      </c>
      <c r="E295" s="15">
        <v>2.6200000000000001E-2</v>
      </c>
      <c r="F295" s="30">
        <f>'FF3 Regression'!$B$17+'FF3 Regression'!$B$18*Returns!C295+'FF3 Regression'!$B$19*Returns!D295+'FF3 Regression'!$B$20*Returns!E295</f>
        <v>4.5673654252991538E-3</v>
      </c>
      <c r="G295" s="30">
        <f t="shared" si="5"/>
        <v>-8.1046365425299138E-2</v>
      </c>
      <c r="H295" s="15"/>
      <c r="I295" s="15"/>
      <c r="J295" s="21"/>
      <c r="K295" s="21"/>
    </row>
    <row r="296" spans="1:11" x14ac:dyDescent="0.6">
      <c r="A296" s="17">
        <v>38534</v>
      </c>
      <c r="B296" s="15">
        <v>0.15625299999999998</v>
      </c>
      <c r="C296" s="15">
        <v>3.9199999999999999E-2</v>
      </c>
      <c r="D296" s="15">
        <v>2.9300000000000003E-2</v>
      </c>
      <c r="E296" s="15">
        <v>-5.1000000000000004E-3</v>
      </c>
      <c r="F296" s="30">
        <f>'FF3 Regression'!$B$17+'FF3 Regression'!$B$18*Returns!C296+'FF3 Regression'!$B$19*Returns!D296+'FF3 Regression'!$B$20*Returns!E296</f>
        <v>7.4750835505875621E-2</v>
      </c>
      <c r="G296" s="30">
        <f t="shared" si="5"/>
        <v>8.1502164494124354E-2</v>
      </c>
      <c r="H296" s="15"/>
      <c r="I296" s="15"/>
      <c r="J296" s="21"/>
      <c r="K296" s="21"/>
    </row>
    <row r="297" spans="1:11" x14ac:dyDescent="0.6">
      <c r="A297" s="17">
        <v>38565</v>
      </c>
      <c r="B297" s="15">
        <v>9.6414E-2</v>
      </c>
      <c r="C297" s="15">
        <v>-1.2199999999999999E-2</v>
      </c>
      <c r="D297" s="15">
        <v>-9.1999999999999998E-3</v>
      </c>
      <c r="E297" s="15">
        <v>1.2699999999999999E-2</v>
      </c>
      <c r="F297" s="30">
        <f>'FF3 Regression'!$B$17+'FF3 Regression'!$B$18*Returns!C297+'FF3 Regression'!$B$19*Returns!D297+'FF3 Regression'!$B$20*Returns!E297</f>
        <v>-1.5096799811065712E-2</v>
      </c>
      <c r="G297" s="30">
        <f t="shared" si="5"/>
        <v>0.11151079981106571</v>
      </c>
      <c r="H297" s="15"/>
      <c r="I297" s="15"/>
      <c r="J297" s="21"/>
      <c r="K297" s="21"/>
    </row>
    <row r="298" spans="1:11" x14ac:dyDescent="0.6">
      <c r="A298" s="17">
        <v>38596</v>
      </c>
      <c r="B298" s="15">
        <v>0.14041399999999998</v>
      </c>
      <c r="C298" s="15">
        <v>4.9000000000000007E-3</v>
      </c>
      <c r="D298" s="15">
        <v>-5.7999999999999996E-3</v>
      </c>
      <c r="E298" s="15">
        <v>7.7000000000000002E-3</v>
      </c>
      <c r="F298" s="30">
        <f>'FF3 Regression'!$B$17+'FF3 Regression'!$B$18*Returns!C298+'FF3 Regression'!$B$19*Returns!D298+'FF3 Regression'!$B$20*Returns!E298</f>
        <v>1.1341808315221764E-2</v>
      </c>
      <c r="G298" s="30">
        <f t="shared" si="5"/>
        <v>0.12907219168477821</v>
      </c>
      <c r="H298" s="15"/>
      <c r="I298" s="15"/>
      <c r="J298" s="21"/>
      <c r="K298" s="21"/>
    </row>
    <row r="299" spans="1:11" x14ac:dyDescent="0.6">
      <c r="A299" s="17">
        <v>38626</v>
      </c>
      <c r="B299" s="15">
        <v>7.1540000000000006E-2</v>
      </c>
      <c r="C299" s="15">
        <v>-2.0200000000000003E-2</v>
      </c>
      <c r="D299" s="15">
        <v>-1.21E-2</v>
      </c>
      <c r="E299" s="15">
        <v>2.3E-3</v>
      </c>
      <c r="F299" s="30">
        <f>'FF3 Regression'!$B$17+'FF3 Regression'!$B$18*Returns!C299+'FF3 Regression'!$B$19*Returns!D299+'FF3 Regression'!$B$20*Returns!E299</f>
        <v>-1.6349606249238084E-2</v>
      </c>
      <c r="G299" s="30">
        <f t="shared" si="5"/>
        <v>8.7889606249238084E-2</v>
      </c>
      <c r="H299" s="15"/>
      <c r="I299" s="15"/>
      <c r="J299" s="21"/>
      <c r="K299" s="21"/>
    </row>
    <row r="300" spans="1:11" x14ac:dyDescent="0.6">
      <c r="A300" s="17">
        <v>38657</v>
      </c>
      <c r="B300" s="15">
        <v>0.174535</v>
      </c>
      <c r="C300" s="15">
        <v>3.61E-2</v>
      </c>
      <c r="D300" s="15">
        <v>9.1000000000000004E-3</v>
      </c>
      <c r="E300" s="15">
        <v>-1.18E-2</v>
      </c>
      <c r="F300" s="30">
        <f>'FF3 Regression'!$B$17+'FF3 Regression'!$B$18*Returns!C300+'FF3 Regression'!$B$19*Returns!D300+'FF3 Regression'!$B$20*Returns!E300</f>
        <v>7.1356175901832797E-2</v>
      </c>
      <c r="G300" s="30">
        <f t="shared" si="5"/>
        <v>0.1031788240981672</v>
      </c>
      <c r="H300" s="15"/>
      <c r="I300" s="15"/>
      <c r="J300" s="21"/>
      <c r="K300" s="21"/>
    </row>
    <row r="301" spans="1:11" x14ac:dyDescent="0.6">
      <c r="A301" s="17">
        <v>38687</v>
      </c>
      <c r="B301" s="15">
        <v>5.6812000000000001E-2</v>
      </c>
      <c r="C301" s="15">
        <v>-2.5000000000000001E-3</v>
      </c>
      <c r="D301" s="15">
        <v>-4.5999999999999999E-3</v>
      </c>
      <c r="E301" s="15">
        <v>4.4000000000000003E-3</v>
      </c>
      <c r="F301" s="30">
        <f>'FF3 Regression'!$B$17+'FF3 Regression'!$B$18*Returns!C301+'FF3 Regression'!$B$19*Returns!D301+'FF3 Regression'!$B$20*Returns!E301</f>
        <v>5.5690031097538114E-3</v>
      </c>
      <c r="G301" s="30">
        <f t="shared" si="5"/>
        <v>5.1242996890246188E-2</v>
      </c>
      <c r="H301" s="15"/>
      <c r="I301" s="15"/>
      <c r="J301" s="21"/>
      <c r="K301" s="21"/>
    </row>
    <row r="302" spans="1:11" x14ac:dyDescent="0.6">
      <c r="A302" s="17">
        <v>38718</v>
      </c>
      <c r="B302" s="15">
        <v>4.6854999999999994E-2</v>
      </c>
      <c r="C302" s="15">
        <v>3.04E-2</v>
      </c>
      <c r="D302" s="15">
        <v>5.4199999999999998E-2</v>
      </c>
      <c r="E302" s="15">
        <v>1.1200000000000002E-2</v>
      </c>
      <c r="F302" s="30">
        <f>'FF3 Regression'!$B$17+'FF3 Regression'!$B$18*Returns!C302+'FF3 Regression'!$B$19*Returns!D302+'FF3 Regression'!$B$20*Returns!E302</f>
        <v>5.6199650829024367E-2</v>
      </c>
      <c r="G302" s="30">
        <f t="shared" si="5"/>
        <v>-9.3446508290243729E-3</v>
      </c>
      <c r="H302" s="15"/>
      <c r="I302" s="15"/>
      <c r="J302" s="21"/>
      <c r="K302" s="21"/>
    </row>
    <row r="303" spans="1:11" x14ac:dyDescent="0.6">
      <c r="A303" s="17">
        <v>38749</v>
      </c>
      <c r="B303" s="15">
        <v>-9.6367999999999995E-2</v>
      </c>
      <c r="C303" s="15">
        <v>-3.0000000000000001E-3</v>
      </c>
      <c r="D303" s="15">
        <v>-3.8E-3</v>
      </c>
      <c r="E303" s="15">
        <v>-2.5000000000000001E-3</v>
      </c>
      <c r="F303" s="30">
        <f>'FF3 Regression'!$B$17+'FF3 Regression'!$B$18*Returns!C303+'FF3 Regression'!$B$19*Returns!D303+'FF3 Regression'!$B$20*Returns!E303</f>
        <v>1.139683244483837E-2</v>
      </c>
      <c r="G303" s="30">
        <f t="shared" si="5"/>
        <v>-0.10776483244483837</v>
      </c>
      <c r="H303" s="15"/>
      <c r="I303" s="15"/>
      <c r="J303" s="21"/>
      <c r="K303" s="21"/>
    </row>
    <row r="304" spans="1:11" x14ac:dyDescent="0.6">
      <c r="A304" s="17">
        <v>38777</v>
      </c>
      <c r="B304" s="15">
        <v>-8.7945999999999996E-2</v>
      </c>
      <c r="C304" s="15">
        <v>1.46E-2</v>
      </c>
      <c r="D304" s="15">
        <v>3.5499999999999997E-2</v>
      </c>
      <c r="E304" s="15">
        <v>6.0999999999999995E-3</v>
      </c>
      <c r="F304" s="30">
        <f>'FF3 Regression'!$B$17+'FF3 Regression'!$B$18*Returns!C304+'FF3 Regression'!$B$19*Returns!D304+'FF3 Regression'!$B$20*Returns!E304</f>
        <v>3.6195596749904753E-2</v>
      </c>
      <c r="G304" s="30">
        <f t="shared" si="5"/>
        <v>-0.12414159674990474</v>
      </c>
      <c r="H304" s="15"/>
      <c r="I304" s="15"/>
      <c r="J304" s="21"/>
      <c r="K304" s="21"/>
    </row>
    <row r="305" spans="1:11" x14ac:dyDescent="0.6">
      <c r="A305" s="17">
        <v>38808</v>
      </c>
      <c r="B305" s="15">
        <v>0.11868999999999999</v>
      </c>
      <c r="C305" s="15">
        <v>7.2999999999999983E-3</v>
      </c>
      <c r="D305" s="15">
        <v>-1.34E-2</v>
      </c>
      <c r="E305" s="15">
        <v>2.5899999999999999E-2</v>
      </c>
      <c r="F305" s="30">
        <f>'FF3 Regression'!$B$17+'FF3 Regression'!$B$18*Returns!C305+'FF3 Regression'!$B$19*Returns!D305+'FF3 Regression'!$B$20*Returns!E305</f>
        <v>-4.2330704888803548E-3</v>
      </c>
      <c r="G305" s="30">
        <f t="shared" si="5"/>
        <v>0.12292307048888035</v>
      </c>
      <c r="H305" s="15"/>
      <c r="I305" s="15"/>
      <c r="J305" s="21"/>
      <c r="K305" s="21"/>
    </row>
    <row r="306" spans="1:11" x14ac:dyDescent="0.6">
      <c r="A306" s="17">
        <v>38838</v>
      </c>
      <c r="B306" s="15">
        <v>-0.15517400000000001</v>
      </c>
      <c r="C306" s="15">
        <v>-3.5699999999999996E-2</v>
      </c>
      <c r="D306" s="15">
        <v>-3.04E-2</v>
      </c>
      <c r="E306" s="15">
        <v>2.5499999999999998E-2</v>
      </c>
      <c r="F306" s="30">
        <f>'FF3 Regression'!$B$17+'FF3 Regression'!$B$18*Returns!C306+'FF3 Regression'!$B$19*Returns!D306+'FF3 Regression'!$B$20*Returns!E306</f>
        <v>-6.1378954191834444E-2</v>
      </c>
      <c r="G306" s="30">
        <f t="shared" si="5"/>
        <v>-9.3795045808165556E-2</v>
      </c>
      <c r="H306" s="15"/>
      <c r="I306" s="15"/>
      <c r="J306" s="21"/>
      <c r="K306" s="21"/>
    </row>
    <row r="307" spans="1:11" x14ac:dyDescent="0.6">
      <c r="A307" s="17">
        <v>38869</v>
      </c>
      <c r="B307" s="15">
        <v>-4.5827000000000007E-2</v>
      </c>
      <c r="C307" s="15">
        <v>-3.4999999999999996E-3</v>
      </c>
      <c r="D307" s="15">
        <v>-3.4999999999999996E-3</v>
      </c>
      <c r="E307" s="15">
        <v>8.6999999999999994E-3</v>
      </c>
      <c r="F307" s="30">
        <f>'FF3 Regression'!$B$17+'FF3 Regression'!$B$18*Returns!C307+'FF3 Regression'!$B$19*Returns!D307+'FF3 Regression'!$B$20*Returns!E307</f>
        <v>7.7301171793990944E-4</v>
      </c>
      <c r="G307" s="30">
        <f t="shared" si="5"/>
        <v>-4.6600011717939913E-2</v>
      </c>
      <c r="H307" s="15"/>
      <c r="I307" s="15"/>
      <c r="J307" s="21"/>
      <c r="K307" s="21"/>
    </row>
    <row r="308" spans="1:11" x14ac:dyDescent="0.6">
      <c r="A308" s="17">
        <v>38899</v>
      </c>
      <c r="B308" s="15">
        <v>0.18265999999999999</v>
      </c>
      <c r="C308" s="15">
        <v>-7.7999999999999996E-3</v>
      </c>
      <c r="D308" s="15">
        <v>-4.0800000000000003E-2</v>
      </c>
      <c r="E308" s="15">
        <v>2.9399999999999999E-2</v>
      </c>
      <c r="F308" s="30">
        <f>'FF3 Regression'!$B$17+'FF3 Regression'!$B$18*Returns!C308+'FF3 Regression'!$B$19*Returns!D308+'FF3 Regression'!$B$20*Returns!E308</f>
        <v>-3.355290280585204E-2</v>
      </c>
      <c r="G308" s="30">
        <f t="shared" si="5"/>
        <v>0.21621290280585204</v>
      </c>
      <c r="H308" s="15"/>
      <c r="I308" s="15"/>
      <c r="J308" s="21"/>
      <c r="K308" s="21"/>
    </row>
    <row r="309" spans="1:11" x14ac:dyDescent="0.6">
      <c r="A309" s="17">
        <v>38930</v>
      </c>
      <c r="B309" s="15">
        <v>-5.8189999999999995E-3</v>
      </c>
      <c r="C309" s="15">
        <v>2.0299999999999999E-2</v>
      </c>
      <c r="D309" s="15">
        <v>9.0000000000000011E-3</v>
      </c>
      <c r="E309" s="15">
        <v>-1.72E-2</v>
      </c>
      <c r="F309" s="30">
        <f>'FF3 Regression'!$B$17+'FF3 Regression'!$B$18*Returns!C309+'FF3 Regression'!$B$19*Returns!D309+'FF3 Regression'!$B$20*Returns!E309</f>
        <v>5.6805278263767911E-2</v>
      </c>
      <c r="G309" s="30">
        <f t="shared" si="5"/>
        <v>-6.2624278263767916E-2</v>
      </c>
      <c r="H309" s="15"/>
      <c r="I309" s="15"/>
      <c r="J309" s="21"/>
      <c r="K309" s="21"/>
    </row>
    <row r="310" spans="1:11" x14ac:dyDescent="0.6">
      <c r="A310" s="17">
        <v>38961</v>
      </c>
      <c r="B310" s="15">
        <v>0.13046199999999999</v>
      </c>
      <c r="C310" s="15">
        <v>1.84E-2</v>
      </c>
      <c r="D310" s="15">
        <v>-1.37E-2</v>
      </c>
      <c r="E310" s="15">
        <v>5.0000000000000001E-4</v>
      </c>
      <c r="F310" s="30">
        <f>'FF3 Regression'!$B$17+'FF3 Regression'!$B$18*Returns!C310+'FF3 Regression'!$B$19*Returns!D310+'FF3 Regression'!$B$20*Returns!E310</f>
        <v>3.2196543198325975E-2</v>
      </c>
      <c r="G310" s="30">
        <f t="shared" si="5"/>
        <v>9.826545680167402E-2</v>
      </c>
      <c r="H310" s="15"/>
      <c r="I310" s="15"/>
      <c r="J310" s="21"/>
      <c r="K310" s="21"/>
    </row>
    <row r="311" spans="1:11" x14ac:dyDescent="0.6">
      <c r="A311" s="17">
        <v>38991</v>
      </c>
      <c r="B311" s="15">
        <v>4.9161000000000003E-2</v>
      </c>
      <c r="C311" s="15">
        <v>3.2300000000000002E-2</v>
      </c>
      <c r="D311" s="15">
        <v>1.7299999999999999E-2</v>
      </c>
      <c r="E311" s="15">
        <v>-4.0000000000000002E-4</v>
      </c>
      <c r="F311" s="30">
        <f>'FF3 Regression'!$B$17+'FF3 Regression'!$B$18*Returns!C311+'FF3 Regression'!$B$19*Returns!D311+'FF3 Regression'!$B$20*Returns!E311</f>
        <v>5.8703653113475217E-2</v>
      </c>
      <c r="G311" s="30">
        <f t="shared" si="5"/>
        <v>-9.5426531134752135E-3</v>
      </c>
      <c r="H311" s="15"/>
      <c r="I311" s="15"/>
      <c r="J311" s="21"/>
      <c r="K311" s="21"/>
    </row>
    <row r="312" spans="1:11" x14ac:dyDescent="0.6">
      <c r="A312" s="17">
        <v>39022</v>
      </c>
      <c r="B312" s="15">
        <v>0.12628799999999998</v>
      </c>
      <c r="C312" s="15">
        <v>1.7100000000000001E-2</v>
      </c>
      <c r="D312" s="15">
        <v>8.6E-3</v>
      </c>
      <c r="E312" s="15">
        <v>7.000000000000001E-4</v>
      </c>
      <c r="F312" s="30">
        <f>'FF3 Regression'!$B$17+'FF3 Regression'!$B$18*Returns!C312+'FF3 Regression'!$B$19*Returns!D312+'FF3 Regression'!$B$20*Returns!E312</f>
        <v>3.6634712618460116E-2</v>
      </c>
      <c r="G312" s="30">
        <f t="shared" si="5"/>
        <v>8.9653287381539867E-2</v>
      </c>
      <c r="H312" s="15"/>
      <c r="I312" s="15"/>
      <c r="J312" s="21"/>
      <c r="K312" s="21"/>
    </row>
    <row r="313" spans="1:11" x14ac:dyDescent="0.6">
      <c r="A313" s="17">
        <v>39052</v>
      </c>
      <c r="B313" s="15">
        <v>-7.8405000000000002E-2</v>
      </c>
      <c r="C313" s="15">
        <v>8.6999999999999994E-3</v>
      </c>
      <c r="D313" s="15">
        <v>-1.1000000000000001E-2</v>
      </c>
      <c r="E313" s="15">
        <v>3.1600000000000003E-2</v>
      </c>
      <c r="F313" s="30">
        <f>'FF3 Regression'!$B$17+'FF3 Regression'!$B$18*Returns!C313+'FF3 Regression'!$B$19*Returns!D313+'FF3 Regression'!$B$20*Returns!E313</f>
        <v>-6.9832810827411482E-3</v>
      </c>
      <c r="G313" s="30">
        <f t="shared" si="5"/>
        <v>-7.1421718917258847E-2</v>
      </c>
      <c r="H313" s="15"/>
      <c r="I313" s="15"/>
      <c r="J313" s="21"/>
      <c r="K313" s="21"/>
    </row>
    <row r="314" spans="1:11" x14ac:dyDescent="0.6">
      <c r="A314" s="17">
        <v>39083</v>
      </c>
      <c r="B314" s="15">
        <v>6.0899999999999991E-3</v>
      </c>
      <c r="C314" s="15">
        <v>1.3999999999999999E-2</v>
      </c>
      <c r="D314" s="15">
        <v>1E-3</v>
      </c>
      <c r="E314" s="15">
        <v>-1.1000000000000001E-3</v>
      </c>
      <c r="F314" s="30">
        <f>'FF3 Regression'!$B$17+'FF3 Regression'!$B$18*Returns!C314+'FF3 Regression'!$B$19*Returns!D314+'FF3 Regression'!$B$20*Returns!E314</f>
        <v>3.2334928255402982E-2</v>
      </c>
      <c r="G314" s="30">
        <f t="shared" si="5"/>
        <v>-2.6244928255402984E-2</v>
      </c>
      <c r="H314" s="15"/>
      <c r="I314" s="15"/>
      <c r="J314" s="21"/>
      <c r="K314" s="21"/>
    </row>
    <row r="315" spans="1:11" x14ac:dyDescent="0.6">
      <c r="A315" s="17">
        <v>39114</v>
      </c>
      <c r="B315" s="15">
        <v>-1.6864000000000001E-2</v>
      </c>
      <c r="C315" s="15">
        <v>-1.9600000000000003E-2</v>
      </c>
      <c r="D315" s="15">
        <v>1.32E-2</v>
      </c>
      <c r="E315" s="15">
        <v>-8.9999999999999998E-4</v>
      </c>
      <c r="F315" s="30">
        <f>'FF3 Regression'!$B$17+'FF3 Regression'!$B$18*Returns!C315+'FF3 Regression'!$B$19*Returns!D315+'FF3 Regression'!$B$20*Returns!E315</f>
        <v>-5.6796372343857968E-3</v>
      </c>
      <c r="G315" s="30">
        <f t="shared" si="5"/>
        <v>-1.1184362765614204E-2</v>
      </c>
      <c r="H315" s="15"/>
      <c r="I315" s="15"/>
      <c r="J315" s="21"/>
      <c r="K315" s="21"/>
    </row>
    <row r="316" spans="1:11" x14ac:dyDescent="0.6">
      <c r="A316" s="17">
        <v>39142</v>
      </c>
      <c r="B316" s="15">
        <v>9.3797000000000005E-2</v>
      </c>
      <c r="C316" s="15">
        <v>6.8000000000000005E-3</v>
      </c>
      <c r="D316" s="15">
        <v>-5.9999999999999995E-4</v>
      </c>
      <c r="E316" s="15">
        <v>-2.2000000000000001E-3</v>
      </c>
      <c r="F316" s="30">
        <f>'FF3 Regression'!$B$17+'FF3 Regression'!$B$18*Returns!C316+'FF3 Regression'!$B$19*Returns!D316+'FF3 Regression'!$B$20*Returns!E316</f>
        <v>2.4044643940079304E-2</v>
      </c>
      <c r="G316" s="30">
        <f t="shared" si="5"/>
        <v>6.9752356059920695E-2</v>
      </c>
      <c r="H316" s="15"/>
      <c r="I316" s="15"/>
      <c r="J316" s="21"/>
      <c r="K316" s="21"/>
    </row>
    <row r="317" spans="1:11" x14ac:dyDescent="0.6">
      <c r="A317" s="17">
        <v>39173</v>
      </c>
      <c r="B317" s="15">
        <v>6.9758000000000001E-2</v>
      </c>
      <c r="C317" s="15">
        <v>3.49E-2</v>
      </c>
      <c r="D317" s="15">
        <v>-2.06E-2</v>
      </c>
      <c r="E317" s="15">
        <v>-1.15E-2</v>
      </c>
      <c r="F317" s="30">
        <f>'FF3 Regression'!$B$17+'FF3 Regression'!$B$18*Returns!C317+'FF3 Regression'!$B$19*Returns!D317+'FF3 Regression'!$B$20*Returns!E317</f>
        <v>6.1337431278224136E-2</v>
      </c>
      <c r="G317" s="30">
        <f t="shared" si="5"/>
        <v>8.4205687217758646E-3</v>
      </c>
      <c r="H317" s="15"/>
      <c r="I317" s="15"/>
      <c r="J317" s="21"/>
      <c r="K317" s="21"/>
    </row>
    <row r="318" spans="1:11" x14ac:dyDescent="0.6">
      <c r="A318" s="17">
        <v>39203</v>
      </c>
      <c r="B318" s="15">
        <v>0.21023900000000001</v>
      </c>
      <c r="C318" s="15">
        <v>3.2400000000000005E-2</v>
      </c>
      <c r="D318" s="15">
        <v>2.9999999999999997E-4</v>
      </c>
      <c r="E318" s="15">
        <v>-5.0000000000000001E-4</v>
      </c>
      <c r="F318" s="30">
        <f>'FF3 Regression'!$B$17+'FF3 Regression'!$B$18*Returns!C318+'FF3 Regression'!$B$19*Returns!D318+'FF3 Regression'!$B$20*Returns!E318</f>
        <v>5.4179540776498371E-2</v>
      </c>
      <c r="G318" s="30">
        <f t="shared" si="5"/>
        <v>0.15605945922350165</v>
      </c>
      <c r="H318" s="15"/>
      <c r="I318" s="15"/>
      <c r="J318" s="21"/>
      <c r="K318" s="21"/>
    </row>
    <row r="319" spans="1:11" x14ac:dyDescent="0.6">
      <c r="A319" s="17">
        <v>39234</v>
      </c>
      <c r="B319" s="15">
        <v>3.0049999999999999E-3</v>
      </c>
      <c r="C319" s="15">
        <v>-1.9599999999999999E-2</v>
      </c>
      <c r="D319" s="15">
        <v>7.7000000000000002E-3</v>
      </c>
      <c r="E319" s="15">
        <v>-1.1299999999999999E-2</v>
      </c>
      <c r="F319" s="30">
        <f>'FF3 Regression'!$B$17+'FF3 Regression'!$B$18*Returns!C319+'FF3 Regression'!$B$19*Returns!D319+'FF3 Regression'!$B$20*Returns!E319</f>
        <v>2.1606476706446196E-3</v>
      </c>
      <c r="G319" s="30">
        <f t="shared" si="5"/>
        <v>8.4435232935538024E-4</v>
      </c>
      <c r="H319" s="15"/>
      <c r="I319" s="15"/>
      <c r="J319" s="21"/>
      <c r="K319" s="21"/>
    </row>
    <row r="320" spans="1:11" x14ac:dyDescent="0.6">
      <c r="A320" s="17">
        <v>39264</v>
      </c>
      <c r="B320" s="15">
        <v>7.5645999999999991E-2</v>
      </c>
      <c r="C320" s="15">
        <v>-3.73E-2</v>
      </c>
      <c r="D320" s="15">
        <v>-2.5099999999999997E-2</v>
      </c>
      <c r="E320" s="15">
        <v>-3.3399999999999999E-2</v>
      </c>
      <c r="F320" s="30">
        <f>'FF3 Regression'!$B$17+'FF3 Regression'!$B$18*Returns!C320+'FF3 Regression'!$B$19*Returns!D320+'FF3 Regression'!$B$20*Returns!E320</f>
        <v>-8.782994069062855E-3</v>
      </c>
      <c r="G320" s="30">
        <f t="shared" si="5"/>
        <v>8.4428994069062846E-2</v>
      </c>
      <c r="H320" s="15"/>
      <c r="I320" s="15"/>
      <c r="J320" s="21"/>
      <c r="K320" s="21"/>
    </row>
    <row r="321" spans="1:11" x14ac:dyDescent="0.6">
      <c r="A321" s="17">
        <v>39295</v>
      </c>
      <c r="B321" s="15">
        <v>4.6801999999999996E-2</v>
      </c>
      <c r="C321" s="15">
        <v>9.1999999999999998E-3</v>
      </c>
      <c r="D321" s="15">
        <v>-1.2999999999999999E-3</v>
      </c>
      <c r="E321" s="15">
        <v>-2.2400000000000003E-2</v>
      </c>
      <c r="F321" s="30">
        <f>'FF3 Regression'!$B$17+'FF3 Regression'!$B$18*Returns!C321+'FF3 Regression'!$B$19*Returns!D321+'FF3 Regression'!$B$20*Returns!E321</f>
        <v>4.4999781268922776E-2</v>
      </c>
      <c r="G321" s="30">
        <f t="shared" si="5"/>
        <v>1.8022187310772209E-3</v>
      </c>
      <c r="H321" s="15"/>
      <c r="I321" s="15"/>
      <c r="J321" s="21"/>
      <c r="K321" s="21"/>
    </row>
    <row r="322" spans="1:11" x14ac:dyDescent="0.6">
      <c r="A322" s="17">
        <v>39326</v>
      </c>
      <c r="B322" s="15">
        <v>0.105047</v>
      </c>
      <c r="C322" s="15">
        <v>3.2199999999999999E-2</v>
      </c>
      <c r="D322" s="15">
        <v>-2.29E-2</v>
      </c>
      <c r="E322" s="15">
        <v>-1.8600000000000002E-2</v>
      </c>
      <c r="F322" s="30">
        <f>'FF3 Regression'!$B$17+'FF3 Regression'!$B$18*Returns!C322+'FF3 Regression'!$B$19*Returns!D322+'FF3 Regression'!$B$20*Returns!E322</f>
        <v>6.3781878716545143E-2</v>
      </c>
      <c r="G322" s="30">
        <f t="shared" si="5"/>
        <v>4.1265121283454859E-2</v>
      </c>
      <c r="H322" s="15"/>
      <c r="I322" s="15"/>
      <c r="J322" s="21"/>
      <c r="K322" s="21"/>
    </row>
    <row r="323" spans="1:11" x14ac:dyDescent="0.6">
      <c r="A323" s="17">
        <v>39356</v>
      </c>
      <c r="B323" s="15">
        <v>0.23450099999999999</v>
      </c>
      <c r="C323" s="15">
        <v>1.7999999999999999E-2</v>
      </c>
      <c r="D323" s="15">
        <v>2.2000000000000001E-3</v>
      </c>
      <c r="E323" s="15">
        <v>-2.5899999999999999E-2</v>
      </c>
      <c r="F323" s="30">
        <f>'FF3 Regression'!$B$17+'FF3 Regression'!$B$18*Returns!C323+'FF3 Regression'!$B$19*Returns!D323+'FF3 Regression'!$B$20*Returns!E323</f>
        <v>5.9928677850019096E-2</v>
      </c>
      <c r="G323" s="30">
        <f t="shared" ref="G323:G386" si="6">B323-F323</f>
        <v>0.17457232214998089</v>
      </c>
      <c r="H323" s="15"/>
      <c r="I323" s="15"/>
      <c r="J323" s="21"/>
      <c r="K323" s="21"/>
    </row>
    <row r="324" spans="1:11" x14ac:dyDescent="0.6">
      <c r="A324" s="17">
        <v>39387</v>
      </c>
      <c r="B324" s="15">
        <v>-4.4095000000000002E-2</v>
      </c>
      <c r="C324" s="15">
        <v>-4.8300000000000003E-2</v>
      </c>
      <c r="D324" s="15">
        <v>-2.63E-2</v>
      </c>
      <c r="E324" s="15">
        <v>-1.18E-2</v>
      </c>
      <c r="F324" s="30">
        <f>'FF3 Regression'!$B$17+'FF3 Regression'!$B$18*Returns!C324+'FF3 Regression'!$B$19*Returns!D324+'FF3 Regression'!$B$20*Returns!E324</f>
        <v>-4.208316719853443E-2</v>
      </c>
      <c r="G324" s="30">
        <f t="shared" si="6"/>
        <v>-2.0118328014655726E-3</v>
      </c>
      <c r="H324" s="15"/>
      <c r="I324" s="15"/>
      <c r="J324" s="21"/>
      <c r="K324" s="21"/>
    </row>
    <row r="325" spans="1:11" x14ac:dyDescent="0.6">
      <c r="A325" s="17">
        <v>39417</v>
      </c>
      <c r="B325" s="15">
        <v>8.433800000000001E-2</v>
      </c>
      <c r="C325" s="15">
        <v>-8.6999999999999994E-3</v>
      </c>
      <c r="D325" s="15">
        <v>2E-3</v>
      </c>
      <c r="E325" s="15">
        <v>-5.1999999999999998E-3</v>
      </c>
      <c r="F325" s="30">
        <f>'FF3 Regression'!$B$17+'FF3 Regression'!$B$18*Returns!C325+'FF3 Regression'!$B$19*Returns!D325+'FF3 Regression'!$B$20*Returns!E325</f>
        <v>8.4512844169227878E-3</v>
      </c>
      <c r="G325" s="30">
        <f t="shared" si="6"/>
        <v>7.5886715583077219E-2</v>
      </c>
      <c r="H325" s="15"/>
      <c r="I325" s="15"/>
      <c r="J325" s="21"/>
      <c r="K325" s="21"/>
    </row>
    <row r="326" spans="1:11" x14ac:dyDescent="0.6">
      <c r="A326" s="17">
        <v>39448</v>
      </c>
      <c r="B326" s="15">
        <v>-0.31873999999999997</v>
      </c>
      <c r="C326" s="15">
        <v>-6.3600000000000004E-2</v>
      </c>
      <c r="D326" s="15">
        <v>-8.8999999999999999E-3</v>
      </c>
      <c r="E326" s="15">
        <v>3.6499999999999998E-2</v>
      </c>
      <c r="F326" s="30">
        <f>'FF3 Regression'!$B$17+'FF3 Regression'!$B$18*Returns!C326+'FF3 Regression'!$B$19*Returns!D326+'FF3 Regression'!$B$20*Returns!E326</f>
        <v>-9.9540432806803275E-2</v>
      </c>
      <c r="G326" s="30">
        <f t="shared" si="6"/>
        <v>-0.21919956719319669</v>
      </c>
      <c r="H326" s="15"/>
      <c r="I326" s="15"/>
      <c r="J326" s="21"/>
      <c r="K326" s="21"/>
    </row>
    <row r="327" spans="1:11" x14ac:dyDescent="0.6">
      <c r="A327" s="17">
        <v>39479</v>
      </c>
      <c r="B327" s="15">
        <v>-7.7688999999999994E-2</v>
      </c>
      <c r="C327" s="15">
        <v>-3.09E-2</v>
      </c>
      <c r="D327" s="15">
        <v>-2.3E-3</v>
      </c>
      <c r="E327" s="15">
        <v>-9.3999999999999986E-3</v>
      </c>
      <c r="F327" s="30">
        <f>'FF3 Regression'!$B$17+'FF3 Regression'!$B$18*Returns!C327+'FF3 Regression'!$B$19*Returns!D327+'FF3 Regression'!$B$20*Returns!E327</f>
        <v>-1.6205453604681352E-2</v>
      </c>
      <c r="G327" s="30">
        <f t="shared" si="6"/>
        <v>-6.1483546395318639E-2</v>
      </c>
      <c r="H327" s="15"/>
      <c r="I327" s="15"/>
      <c r="J327" s="21"/>
      <c r="K327" s="21"/>
    </row>
    <row r="328" spans="1:11" x14ac:dyDescent="0.6">
      <c r="A328" s="17">
        <v>39508</v>
      </c>
      <c r="B328" s="15">
        <v>0.146116</v>
      </c>
      <c r="C328" s="15">
        <v>-9.2999999999999992E-3</v>
      </c>
      <c r="D328" s="15">
        <v>9.3999999999999986E-3</v>
      </c>
      <c r="E328" s="15">
        <v>-1.5E-3</v>
      </c>
      <c r="F328" s="30">
        <f>'FF3 Regression'!$B$17+'FF3 Regression'!$B$18*Returns!C328+'FF3 Regression'!$B$19*Returns!D328+'FF3 Regression'!$B$20*Returns!E328</f>
        <v>6.4423714158377754E-3</v>
      </c>
      <c r="G328" s="30">
        <f t="shared" si="6"/>
        <v>0.13967362858416221</v>
      </c>
      <c r="H328" s="15"/>
      <c r="I328" s="15"/>
      <c r="J328" s="21"/>
      <c r="K328" s="21"/>
    </row>
    <row r="329" spans="1:11" x14ac:dyDescent="0.6">
      <c r="A329" s="17">
        <v>39539</v>
      </c>
      <c r="B329" s="15">
        <v>0.210395</v>
      </c>
      <c r="C329" s="15">
        <v>4.5999999999999992E-2</v>
      </c>
      <c r="D329" s="15">
        <v>-1.6399999999999998E-2</v>
      </c>
      <c r="E329" s="15">
        <v>-9.5999999999999992E-3</v>
      </c>
      <c r="F329" s="30">
        <f>'FF3 Regression'!$B$17+'FF3 Regression'!$B$18*Returns!C329+'FF3 Regression'!$B$19*Returns!D329+'FF3 Regression'!$B$20*Returns!E329</f>
        <v>7.4417268083575197E-2</v>
      </c>
      <c r="G329" s="30">
        <f t="shared" si="6"/>
        <v>0.13597773191642482</v>
      </c>
      <c r="H329" s="15"/>
      <c r="I329" s="15"/>
      <c r="J329" s="21"/>
      <c r="K329" s="21"/>
    </row>
    <row r="330" spans="1:11" x14ac:dyDescent="0.6">
      <c r="A330" s="17">
        <v>39569</v>
      </c>
      <c r="B330" s="15">
        <v>8.3282000000000009E-2</v>
      </c>
      <c r="C330" s="15">
        <v>1.8600000000000002E-2</v>
      </c>
      <c r="D330" s="15">
        <v>3.2099999999999997E-2</v>
      </c>
      <c r="E330" s="15">
        <v>-1.38E-2</v>
      </c>
      <c r="F330" s="30">
        <f>'FF3 Regression'!$B$17+'FF3 Regression'!$B$18*Returns!C330+'FF3 Regression'!$B$19*Returns!D330+'FF3 Regression'!$B$20*Returns!E330</f>
        <v>5.8091537418886487E-2</v>
      </c>
      <c r="G330" s="30">
        <f t="shared" si="6"/>
        <v>2.5190462581113522E-2</v>
      </c>
      <c r="H330" s="15"/>
      <c r="I330" s="15"/>
      <c r="J330" s="21"/>
      <c r="K330" s="21"/>
    </row>
    <row r="331" spans="1:11" x14ac:dyDescent="0.6">
      <c r="A331" s="17">
        <v>39600</v>
      </c>
      <c r="B331" s="15">
        <v>-0.11460100000000001</v>
      </c>
      <c r="C331" s="15">
        <v>-8.4400000000000003E-2</v>
      </c>
      <c r="D331" s="15">
        <v>1.2699999999999999E-2</v>
      </c>
      <c r="E331" s="15">
        <v>-2.4300000000000002E-2</v>
      </c>
      <c r="F331" s="30">
        <f>'FF3 Regression'!$B$17+'FF3 Regression'!$B$18*Returns!C331+'FF3 Regression'!$B$19*Returns!D331+'FF3 Regression'!$B$20*Returns!E331</f>
        <v>-6.4252385151870678E-2</v>
      </c>
      <c r="G331" s="30">
        <f t="shared" si="6"/>
        <v>-5.0348614848129331E-2</v>
      </c>
      <c r="H331" s="15"/>
      <c r="I331" s="15"/>
      <c r="J331" s="21"/>
      <c r="K331" s="21"/>
    </row>
    <row r="332" spans="1:11" x14ac:dyDescent="0.6">
      <c r="A332" s="17">
        <v>39630</v>
      </c>
      <c r="B332" s="15">
        <v>-5.2205000000000001E-2</v>
      </c>
      <c r="C332" s="15">
        <v>-7.7000000000000002E-3</v>
      </c>
      <c r="D332" s="15">
        <v>2.4700000000000003E-2</v>
      </c>
      <c r="E332" s="15">
        <v>5.8099999999999999E-2</v>
      </c>
      <c r="F332" s="30">
        <f>'FF3 Regression'!$B$17+'FF3 Regression'!$B$18*Returns!C332+'FF3 Regression'!$B$19*Returns!D332+'FF3 Regression'!$B$20*Returns!E332</f>
        <v>-4.1044376992048798E-2</v>
      </c>
      <c r="G332" s="30">
        <f t="shared" si="6"/>
        <v>-1.1160623007951204E-2</v>
      </c>
      <c r="H332" s="15"/>
      <c r="I332" s="15"/>
      <c r="J332" s="21"/>
      <c r="K332" s="21"/>
    </row>
    <row r="333" spans="1:11" x14ac:dyDescent="0.6">
      <c r="A333" s="17">
        <v>39661</v>
      </c>
      <c r="B333" s="15">
        <v>6.5262000000000001E-2</v>
      </c>
      <c r="C333" s="15">
        <v>1.5300000000000001E-2</v>
      </c>
      <c r="D333" s="15">
        <v>3.61E-2</v>
      </c>
      <c r="E333" s="15">
        <v>1.5600000000000001E-2</v>
      </c>
      <c r="F333" s="30">
        <f>'FF3 Regression'!$B$17+'FF3 Regression'!$B$18*Returns!C333+'FF3 Regression'!$B$19*Returns!D333+'FF3 Regression'!$B$20*Returns!E333</f>
        <v>2.8660101470688933E-2</v>
      </c>
      <c r="G333" s="30">
        <f t="shared" si="6"/>
        <v>3.6601898529311068E-2</v>
      </c>
      <c r="H333" s="15"/>
      <c r="I333" s="15"/>
      <c r="J333" s="21"/>
      <c r="K333" s="21"/>
    </row>
    <row r="334" spans="1:11" x14ac:dyDescent="0.6">
      <c r="A334" s="17">
        <v>39692</v>
      </c>
      <c r="B334" s="15">
        <v>-0.33105800000000002</v>
      </c>
      <c r="C334" s="15">
        <v>-9.2399999999999996E-2</v>
      </c>
      <c r="D334" s="15">
        <v>-1.1299999999999999E-2</v>
      </c>
      <c r="E334" s="15">
        <v>6.3299999999999995E-2</v>
      </c>
      <c r="F334" s="30">
        <f>'FF3 Regression'!$B$17+'FF3 Regression'!$B$18*Returns!C334+'FF3 Regression'!$B$19*Returns!D334+'FF3 Regression'!$B$20*Returns!E334</f>
        <v>-0.15970548013683755</v>
      </c>
      <c r="G334" s="30">
        <f t="shared" si="6"/>
        <v>-0.17135251986316247</v>
      </c>
      <c r="H334" s="15"/>
      <c r="I334" s="15"/>
      <c r="J334" s="21"/>
      <c r="K334" s="21"/>
    </row>
    <row r="335" spans="1:11" x14ac:dyDescent="0.6">
      <c r="A335" s="17">
        <v>39722</v>
      </c>
      <c r="B335" s="15">
        <v>-5.4205000000000003E-2</v>
      </c>
      <c r="C335" s="15">
        <v>-0.17230000000000001</v>
      </c>
      <c r="D335" s="15">
        <v>-2.3300000000000001E-2</v>
      </c>
      <c r="E335" s="15">
        <v>-2.8999999999999998E-2</v>
      </c>
      <c r="F335" s="30">
        <f>'FF3 Regression'!$B$17+'FF3 Regression'!$B$18*Returns!C335+'FF3 Regression'!$B$19*Returns!D335+'FF3 Regression'!$B$20*Returns!E335</f>
        <v>-0.1779183025701051</v>
      </c>
      <c r="G335" s="30">
        <f t="shared" si="6"/>
        <v>0.1237133025701051</v>
      </c>
      <c r="H335" s="15"/>
      <c r="I335" s="15"/>
      <c r="J335" s="21"/>
      <c r="K335" s="21"/>
    </row>
    <row r="336" spans="1:11" x14ac:dyDescent="0.6">
      <c r="A336" s="17">
        <v>39753</v>
      </c>
      <c r="B336" s="15">
        <v>-0.13897499999999999</v>
      </c>
      <c r="C336" s="15">
        <v>-7.8599999999999989E-2</v>
      </c>
      <c r="D336" s="15">
        <v>-2.9900000000000003E-2</v>
      </c>
      <c r="E336" s="15">
        <v>-5.9400000000000001E-2</v>
      </c>
      <c r="F336" s="30">
        <f>'FF3 Regression'!$B$17+'FF3 Regression'!$B$18*Returns!C336+'FF3 Regression'!$B$19*Returns!D336+'FF3 Regression'!$B$20*Returns!E336</f>
        <v>-3.737160307130654E-2</v>
      </c>
      <c r="G336" s="30">
        <f t="shared" si="6"/>
        <v>-0.10160339692869344</v>
      </c>
      <c r="H336" s="15"/>
      <c r="I336" s="15"/>
      <c r="J336" s="21"/>
      <c r="K336" s="21"/>
    </row>
    <row r="337" spans="1:11" x14ac:dyDescent="0.6">
      <c r="A337" s="17">
        <v>39783</v>
      </c>
      <c r="B337" s="15">
        <v>-7.8990000000000005E-2</v>
      </c>
      <c r="C337" s="15">
        <v>1.7399999999999999E-2</v>
      </c>
      <c r="D337" s="15">
        <v>3.5900000000000001E-2</v>
      </c>
      <c r="E337" s="15">
        <v>-2.3999999999999998E-3</v>
      </c>
      <c r="F337" s="30">
        <f>'FF3 Regression'!$B$17+'FF3 Regression'!$B$18*Returns!C337+'FF3 Regression'!$B$19*Returns!D337+'FF3 Regression'!$B$20*Returns!E337</f>
        <v>4.7403688374492221E-2</v>
      </c>
      <c r="G337" s="30">
        <f t="shared" si="6"/>
        <v>-0.12639368837449222</v>
      </c>
      <c r="H337" s="15"/>
      <c r="I337" s="15"/>
      <c r="J337" s="21"/>
      <c r="K337" s="21"/>
    </row>
    <row r="338" spans="1:11" x14ac:dyDescent="0.6">
      <c r="A338" s="17">
        <v>39814</v>
      </c>
      <c r="B338" s="15">
        <v>5.6004999999999999E-2</v>
      </c>
      <c r="C338" s="15">
        <v>-8.1199999999999994E-2</v>
      </c>
      <c r="D338" s="15">
        <v>-1E-4</v>
      </c>
      <c r="E338" s="15">
        <v>-0.111</v>
      </c>
      <c r="F338" s="30">
        <f>'FF3 Regression'!$B$17+'FF3 Regression'!$B$18*Returns!C338+'FF3 Regression'!$B$19*Returns!D338+'FF3 Regression'!$B$20*Returns!E338</f>
        <v>1.4244944533420498E-2</v>
      </c>
      <c r="G338" s="30">
        <f t="shared" si="6"/>
        <v>4.1760055466579502E-2</v>
      </c>
      <c r="H338" s="15"/>
      <c r="I338" s="15"/>
      <c r="J338" s="21"/>
      <c r="K338" s="21"/>
    </row>
    <row r="339" spans="1:11" x14ac:dyDescent="0.6">
      <c r="A339" s="17">
        <v>39845</v>
      </c>
      <c r="B339" s="15">
        <v>-9.1979999999999996E-3</v>
      </c>
      <c r="C339" s="15">
        <v>-0.10100000000000001</v>
      </c>
      <c r="D339" s="15">
        <v>1.7000000000000001E-3</v>
      </c>
      <c r="E339" s="15">
        <v>-7.2499999999999995E-2</v>
      </c>
      <c r="F339" s="30">
        <f>'FF3 Regression'!$B$17+'FF3 Regression'!$B$18*Returns!C339+'FF3 Regression'!$B$19*Returns!D339+'FF3 Regression'!$B$20*Returns!E339</f>
        <v>-4.4249466402146234E-2</v>
      </c>
      <c r="G339" s="30">
        <f t="shared" si="6"/>
        <v>3.5051466402146236E-2</v>
      </c>
      <c r="H339" s="15"/>
      <c r="I339" s="15"/>
      <c r="J339" s="21"/>
      <c r="K339" s="21"/>
    </row>
    <row r="340" spans="1:11" x14ac:dyDescent="0.6">
      <c r="A340" s="17">
        <v>39873</v>
      </c>
      <c r="B340" s="15">
        <v>0.17682399999999998</v>
      </c>
      <c r="C340" s="15">
        <v>8.9499999999999982E-2</v>
      </c>
      <c r="D340" s="15">
        <v>-8.9999999999999998E-4</v>
      </c>
      <c r="E340" s="15">
        <v>3.5200000000000002E-2</v>
      </c>
      <c r="F340" s="30">
        <f>'FF3 Regression'!$B$17+'FF3 Regression'!$B$18*Returns!C340+'FF3 Regression'!$B$19*Returns!D340+'FF3 Regression'!$B$20*Returns!E340</f>
        <v>9.1744011998386776E-2</v>
      </c>
      <c r="G340" s="30">
        <f t="shared" si="6"/>
        <v>8.5079988001613205E-2</v>
      </c>
      <c r="H340" s="15"/>
      <c r="I340" s="15"/>
      <c r="J340" s="21"/>
      <c r="K340" s="21"/>
    </row>
    <row r="341" spans="1:11" x14ac:dyDescent="0.6">
      <c r="A341" s="17">
        <v>39904</v>
      </c>
      <c r="B341" s="15">
        <v>0.196913</v>
      </c>
      <c r="C341" s="15">
        <v>0.10189999999999999</v>
      </c>
      <c r="D341" s="15">
        <v>4.8300000000000003E-2</v>
      </c>
      <c r="E341" s="15">
        <v>5.4600000000000003E-2</v>
      </c>
      <c r="F341" s="30">
        <f>'FF3 Regression'!$B$17+'FF3 Regression'!$B$18*Returns!C341+'FF3 Regression'!$B$19*Returns!D341+'FF3 Regression'!$B$20*Returns!E341</f>
        <v>0.10318661499291057</v>
      </c>
      <c r="G341" s="30">
        <f t="shared" si="6"/>
        <v>9.3726385007089436E-2</v>
      </c>
      <c r="H341" s="15"/>
      <c r="I341" s="15"/>
      <c r="J341" s="21"/>
      <c r="K341" s="21"/>
    </row>
    <row r="342" spans="1:11" x14ac:dyDescent="0.6">
      <c r="A342" s="17">
        <v>39934</v>
      </c>
      <c r="B342" s="15">
        <v>7.9312999999999995E-2</v>
      </c>
      <c r="C342" s="15">
        <v>5.21E-2</v>
      </c>
      <c r="D342" s="15">
        <v>-2.3300000000000001E-2</v>
      </c>
      <c r="E342" s="15">
        <v>-2.0999999999999999E-3</v>
      </c>
      <c r="F342" s="30">
        <f>'FF3 Regression'!$B$17+'FF3 Regression'!$B$18*Returns!C342+'FF3 Regression'!$B$19*Returns!D342+'FF3 Regression'!$B$20*Returns!E342</f>
        <v>7.3221264385991344E-2</v>
      </c>
      <c r="G342" s="30">
        <f t="shared" si="6"/>
        <v>6.0917356140086504E-3</v>
      </c>
      <c r="H342" s="15"/>
      <c r="I342" s="15"/>
      <c r="J342" s="21"/>
      <c r="K342" s="21"/>
    </row>
    <row r="343" spans="1:11" x14ac:dyDescent="0.6">
      <c r="A343" s="17">
        <v>39965</v>
      </c>
      <c r="B343" s="15">
        <v>4.8644999999999994E-2</v>
      </c>
      <c r="C343" s="15">
        <v>4.3E-3</v>
      </c>
      <c r="D343" s="15">
        <v>2.6099999999999998E-2</v>
      </c>
      <c r="E343" s="15">
        <v>-2.7099999999999999E-2</v>
      </c>
      <c r="F343" s="30">
        <f>'FF3 Regression'!$B$17+'FF3 Regression'!$B$18*Returns!C343+'FF3 Regression'!$B$19*Returns!D343+'FF3 Regression'!$B$20*Returns!E343</f>
        <v>5.0857176743294499E-2</v>
      </c>
      <c r="G343" s="30">
        <f t="shared" si="6"/>
        <v>-2.2121767432945055E-3</v>
      </c>
      <c r="H343" s="15"/>
      <c r="I343" s="15"/>
      <c r="J343" s="21"/>
      <c r="K343" s="21"/>
    </row>
    <row r="344" spans="1:11" x14ac:dyDescent="0.6">
      <c r="A344" s="17">
        <v>39995</v>
      </c>
      <c r="B344" s="15">
        <v>0.14706000000000002</v>
      </c>
      <c r="C344" s="15">
        <v>7.7199999999999991E-2</v>
      </c>
      <c r="D344" s="15">
        <v>2.07E-2</v>
      </c>
      <c r="E344" s="15">
        <v>5.28E-2</v>
      </c>
      <c r="F344" s="30">
        <f>'FF3 Regression'!$B$17+'FF3 Regression'!$B$18*Returns!C344+'FF3 Regression'!$B$19*Returns!D344+'FF3 Regression'!$B$20*Returns!E344</f>
        <v>6.6806511550759701E-2</v>
      </c>
      <c r="G344" s="30">
        <f t="shared" si="6"/>
        <v>8.0253488449240323E-2</v>
      </c>
      <c r="H344" s="15"/>
      <c r="I344" s="15"/>
      <c r="J344" s="21"/>
      <c r="K344" s="21"/>
    </row>
    <row r="345" spans="1:11" x14ac:dyDescent="0.6">
      <c r="A345" s="17">
        <v>40026</v>
      </c>
      <c r="B345" s="15">
        <v>2.9399999999999999E-2</v>
      </c>
      <c r="C345" s="15">
        <v>3.3299999999999996E-2</v>
      </c>
      <c r="D345" s="15">
        <v>-9.0000000000000011E-3</v>
      </c>
      <c r="E345" s="15">
        <v>7.7600000000000002E-2</v>
      </c>
      <c r="F345" s="30">
        <f>'FF3 Regression'!$B$17+'FF3 Regression'!$B$18*Returns!C345+'FF3 Regression'!$B$19*Returns!D345+'FF3 Regression'!$B$20*Returns!E345</f>
        <v>-1.7693718948273193E-2</v>
      </c>
      <c r="G345" s="30">
        <f t="shared" si="6"/>
        <v>4.7093718948273189E-2</v>
      </c>
      <c r="H345" s="15"/>
      <c r="I345" s="15"/>
      <c r="J345" s="21"/>
      <c r="K345" s="21"/>
    </row>
    <row r="346" spans="1:11" x14ac:dyDescent="0.6">
      <c r="A346" s="17">
        <v>40057</v>
      </c>
      <c r="B346" s="15">
        <v>0.101796</v>
      </c>
      <c r="C346" s="15">
        <v>4.0799999999999996E-2</v>
      </c>
      <c r="D346" s="15">
        <v>2.4500000000000001E-2</v>
      </c>
      <c r="E346" s="15">
        <v>9.1999999999999998E-3</v>
      </c>
      <c r="F346" s="30">
        <f>'FF3 Regression'!$B$17+'FF3 Regression'!$B$18*Returns!C346+'FF3 Regression'!$B$19*Returns!D346+'FF3 Regression'!$B$20*Returns!E346</f>
        <v>6.2489215388052938E-2</v>
      </c>
      <c r="G346" s="30">
        <f t="shared" si="6"/>
        <v>3.930678461194706E-2</v>
      </c>
      <c r="H346" s="15"/>
      <c r="I346" s="15"/>
      <c r="J346" s="21"/>
      <c r="K346" s="21"/>
    </row>
    <row r="347" spans="1:11" x14ac:dyDescent="0.6">
      <c r="A347" s="17">
        <v>40087</v>
      </c>
      <c r="B347" s="15">
        <v>1.6995E-2</v>
      </c>
      <c r="C347" s="15">
        <v>-2.5899999999999999E-2</v>
      </c>
      <c r="D347" s="15">
        <v>-4.2199999999999994E-2</v>
      </c>
      <c r="E347" s="15">
        <v>-4.1700000000000001E-2</v>
      </c>
      <c r="F347" s="30">
        <f>'FF3 Regression'!$B$17+'FF3 Regression'!$B$18*Returns!C347+'FF3 Regression'!$B$19*Returns!D347+'FF3 Regression'!$B$20*Returns!E347</f>
        <v>7.9224577148850547E-3</v>
      </c>
      <c r="G347" s="30">
        <f t="shared" si="6"/>
        <v>9.072542285114945E-3</v>
      </c>
      <c r="H347" s="15"/>
      <c r="I347" s="15"/>
      <c r="J347" s="21"/>
      <c r="K347" s="21"/>
    </row>
    <row r="348" spans="1:11" x14ac:dyDescent="0.6">
      <c r="A348" s="17">
        <v>40118</v>
      </c>
      <c r="B348" s="15">
        <v>6.0531000000000001E-2</v>
      </c>
      <c r="C348" s="15">
        <v>5.5599999999999997E-2</v>
      </c>
      <c r="D348" s="15">
        <v>-2.5000000000000001E-2</v>
      </c>
      <c r="E348" s="15">
        <v>-1.7000000000000001E-3</v>
      </c>
      <c r="F348" s="30">
        <f>'FF3 Regression'!$B$17+'FF3 Regression'!$B$18*Returns!C348+'FF3 Regression'!$B$19*Returns!D348+'FF3 Regression'!$B$20*Returns!E348</f>
        <v>7.6682260924627016E-2</v>
      </c>
      <c r="G348" s="30">
        <f t="shared" si="6"/>
        <v>-1.6151260924627014E-2</v>
      </c>
      <c r="H348" s="15"/>
      <c r="I348" s="15"/>
      <c r="J348" s="21"/>
      <c r="K348" s="21"/>
    </row>
    <row r="349" spans="1:11" x14ac:dyDescent="0.6">
      <c r="A349" s="17">
        <v>40148</v>
      </c>
      <c r="B349" s="15">
        <v>5.4033999999999999E-2</v>
      </c>
      <c r="C349" s="15">
        <v>2.75E-2</v>
      </c>
      <c r="D349" s="15">
        <v>6.1100000000000002E-2</v>
      </c>
      <c r="E349" s="15">
        <v>1E-4</v>
      </c>
      <c r="F349" s="30">
        <f>'FF3 Regression'!$B$17+'FF3 Regression'!$B$18*Returns!C349+'FF3 Regression'!$B$19*Returns!D349+'FF3 Regression'!$B$20*Returns!E349</f>
        <v>6.4567122167225224E-2</v>
      </c>
      <c r="G349" s="30">
        <f t="shared" si="6"/>
        <v>-1.0533122167225226E-2</v>
      </c>
      <c r="H349" s="15"/>
      <c r="I349" s="15"/>
      <c r="J349" s="21"/>
      <c r="K349" s="21"/>
    </row>
    <row r="350" spans="1:11" x14ac:dyDescent="0.6">
      <c r="A350" s="17">
        <v>40179</v>
      </c>
      <c r="B350" s="15">
        <v>-8.8591000000000003E-2</v>
      </c>
      <c r="C350" s="15">
        <v>-3.3599999999999998E-2</v>
      </c>
      <c r="D350" s="15">
        <v>3.8E-3</v>
      </c>
      <c r="E350" s="15">
        <v>3.0999999999999999E-3</v>
      </c>
      <c r="F350" s="30">
        <f>'FF3 Regression'!$B$17+'FF3 Regression'!$B$18*Returns!C350+'FF3 Regression'!$B$19*Returns!D350+'FF3 Regression'!$B$20*Returns!E350</f>
        <v>-2.9084571190675899E-2</v>
      </c>
      <c r="G350" s="30">
        <f t="shared" si="6"/>
        <v>-5.9506428809324108E-2</v>
      </c>
      <c r="H350" s="15"/>
      <c r="I350" s="15"/>
      <c r="J350" s="21"/>
      <c r="K350" s="21"/>
    </row>
    <row r="351" spans="1:11" x14ac:dyDescent="0.6">
      <c r="A351" s="17">
        <v>40210</v>
      </c>
      <c r="B351" s="15">
        <v>6.5379999999999994E-2</v>
      </c>
      <c r="C351" s="15">
        <v>3.4000000000000002E-2</v>
      </c>
      <c r="D351" s="15">
        <v>1.2E-2</v>
      </c>
      <c r="E351" s="15">
        <v>3.1600000000000003E-2</v>
      </c>
      <c r="F351" s="30">
        <f>'FF3 Regression'!$B$17+'FF3 Regression'!$B$18*Returns!C351+'FF3 Regression'!$B$19*Returns!D351+'FF3 Regression'!$B$20*Returns!E351</f>
        <v>3.0473595952480413E-2</v>
      </c>
      <c r="G351" s="30">
        <f t="shared" si="6"/>
        <v>3.4906404047519581E-2</v>
      </c>
      <c r="H351" s="15"/>
      <c r="I351" s="15"/>
      <c r="J351" s="21"/>
      <c r="K351" s="21"/>
    </row>
    <row r="352" spans="1:11" x14ac:dyDescent="0.6">
      <c r="A352" s="17">
        <v>40238</v>
      </c>
      <c r="B352" s="15">
        <v>0.14837</v>
      </c>
      <c r="C352" s="15">
        <v>6.3099999999999989E-2</v>
      </c>
      <c r="D352" s="15">
        <v>1.4199999999999999E-2</v>
      </c>
      <c r="E352" s="15">
        <v>2.1000000000000001E-2</v>
      </c>
      <c r="F352" s="30">
        <f>'FF3 Regression'!$B$17+'FF3 Regression'!$B$18*Returns!C352+'FF3 Regression'!$B$19*Returns!D352+'FF3 Regression'!$B$20*Returns!E352</f>
        <v>7.6351089113379289E-2</v>
      </c>
      <c r="G352" s="30">
        <f t="shared" si="6"/>
        <v>7.2018910886620713E-2</v>
      </c>
      <c r="H352" s="15"/>
      <c r="I352" s="15"/>
      <c r="J352" s="21"/>
      <c r="K352" s="21"/>
    </row>
    <row r="353" spans="1:11" x14ac:dyDescent="0.6">
      <c r="A353" s="17">
        <v>40269</v>
      </c>
      <c r="B353" s="15">
        <v>0.11092099999999999</v>
      </c>
      <c r="C353" s="15">
        <v>1.9999999999999997E-2</v>
      </c>
      <c r="D353" s="15">
        <v>4.9800000000000004E-2</v>
      </c>
      <c r="E353" s="15">
        <v>2.81E-2</v>
      </c>
      <c r="F353" s="30">
        <f>'FF3 Regression'!$B$17+'FF3 Regression'!$B$18*Returns!C353+'FF3 Regression'!$B$19*Returns!D353+'FF3 Regression'!$B$20*Returns!E353</f>
        <v>2.6979930882217062E-2</v>
      </c>
      <c r="G353" s="30">
        <f t="shared" si="6"/>
        <v>8.3941069117782929E-2</v>
      </c>
      <c r="H353" s="15"/>
      <c r="I353" s="15"/>
      <c r="J353" s="21"/>
      <c r="K353" s="21"/>
    </row>
    <row r="354" spans="1:11" x14ac:dyDescent="0.6">
      <c r="A354" s="17">
        <v>40299</v>
      </c>
      <c r="B354" s="15">
        <v>-1.6225E-2</v>
      </c>
      <c r="C354" s="15">
        <v>-7.8899999999999998E-2</v>
      </c>
      <c r="D354" s="15">
        <v>5.0000000000000001E-4</v>
      </c>
      <c r="E354" s="15">
        <v>-2.3799999999999998E-2</v>
      </c>
      <c r="F354" s="30">
        <f>'FF3 Regression'!$B$17+'FF3 Regression'!$B$18*Returns!C354+'FF3 Regression'!$B$19*Returns!D354+'FF3 Regression'!$B$20*Returns!E354</f>
        <v>-6.1352886754384522E-2</v>
      </c>
      <c r="G354" s="30">
        <f t="shared" si="6"/>
        <v>4.5127886754384519E-2</v>
      </c>
      <c r="H354" s="15"/>
      <c r="I354" s="15"/>
      <c r="J354" s="21"/>
      <c r="K354" s="21"/>
    </row>
    <row r="355" spans="1:11" x14ac:dyDescent="0.6">
      <c r="A355" s="17">
        <v>40330</v>
      </c>
      <c r="B355" s="15">
        <v>-2.0926999999999998E-2</v>
      </c>
      <c r="C355" s="15">
        <v>-5.5600000000000004E-2</v>
      </c>
      <c r="D355" s="15">
        <v>-1.9699999999999999E-2</v>
      </c>
      <c r="E355" s="15">
        <v>-4.4999999999999998E-2</v>
      </c>
      <c r="F355" s="30">
        <f>'FF3 Regression'!$B$17+'FF3 Regression'!$B$18*Returns!C355+'FF3 Regression'!$B$19*Returns!D355+'FF3 Regression'!$B$20*Returns!E355</f>
        <v>-1.9281688781189223E-2</v>
      </c>
      <c r="G355" s="30">
        <f t="shared" si="6"/>
        <v>-1.6453112188107751E-3</v>
      </c>
      <c r="H355" s="15"/>
      <c r="I355" s="15"/>
      <c r="J355" s="21"/>
      <c r="K355" s="21"/>
    </row>
    <row r="356" spans="1:11" x14ac:dyDescent="0.6">
      <c r="A356" s="17">
        <v>40360</v>
      </c>
      <c r="B356" s="15">
        <v>2.2641000000000001E-2</v>
      </c>
      <c r="C356" s="15">
        <v>6.9299999999999987E-2</v>
      </c>
      <c r="D356" s="15">
        <v>1.6000000000000001E-3</v>
      </c>
      <c r="E356" s="15">
        <v>-2.7000000000000001E-3</v>
      </c>
      <c r="F356" s="30">
        <f>'FF3 Regression'!$B$17+'FF3 Regression'!$B$18*Returns!C356+'FF3 Regression'!$B$19*Returns!D356+'FF3 Regression'!$B$20*Returns!E356</f>
        <v>0.10180801954214834</v>
      </c>
      <c r="G356" s="30">
        <f t="shared" si="6"/>
        <v>-7.9167019542148331E-2</v>
      </c>
      <c r="H356" s="15"/>
      <c r="I356" s="15"/>
      <c r="J356" s="21"/>
      <c r="K356" s="21"/>
    </row>
    <row r="357" spans="1:11" x14ac:dyDescent="0.6">
      <c r="A357" s="17">
        <v>40391</v>
      </c>
      <c r="B357" s="15">
        <v>-5.5105000000000001E-2</v>
      </c>
      <c r="C357" s="15">
        <v>-4.7699999999999999E-2</v>
      </c>
      <c r="D357" s="15">
        <v>-0.03</v>
      </c>
      <c r="E357" s="15">
        <v>-1.95E-2</v>
      </c>
      <c r="F357" s="30">
        <f>'FF3 Regression'!$B$17+'FF3 Regression'!$B$18*Returns!C357+'FF3 Regression'!$B$19*Returns!D357+'FF3 Regression'!$B$20*Returns!E357</f>
        <v>-3.5438335481755789E-2</v>
      </c>
      <c r="G357" s="30">
        <f t="shared" si="6"/>
        <v>-1.9666664518244212E-2</v>
      </c>
      <c r="H357" s="15"/>
      <c r="I357" s="15"/>
      <c r="J357" s="21"/>
      <c r="K357" s="21"/>
    </row>
    <row r="358" spans="1:11" x14ac:dyDescent="0.6">
      <c r="A358" s="17">
        <v>40422</v>
      </c>
      <c r="B358" s="15">
        <v>0.16711500000000001</v>
      </c>
      <c r="C358" s="15">
        <v>9.5399999999999985E-2</v>
      </c>
      <c r="D358" s="15">
        <v>3.9199999999999999E-2</v>
      </c>
      <c r="E358" s="15">
        <v>-3.1200000000000002E-2</v>
      </c>
      <c r="F358" s="30">
        <f>'FF3 Regression'!$B$17+'FF3 Regression'!$B$18*Returns!C358+'FF3 Regression'!$B$19*Returns!D358+'FF3 Regression'!$B$20*Returns!E358</f>
        <v>0.17000001902458001</v>
      </c>
      <c r="G358" s="30">
        <f t="shared" si="6"/>
        <v>-2.8850190245799934E-3</v>
      </c>
      <c r="H358" s="15"/>
      <c r="I358" s="15"/>
      <c r="J358" s="21"/>
      <c r="K358" s="21"/>
    </row>
    <row r="359" spans="1:11" x14ac:dyDescent="0.6">
      <c r="A359" s="17">
        <v>40452</v>
      </c>
      <c r="B359" s="15">
        <v>6.0622999999999996E-2</v>
      </c>
      <c r="C359" s="15">
        <v>3.8799999999999994E-2</v>
      </c>
      <c r="D359" s="15">
        <v>1.15E-2</v>
      </c>
      <c r="E359" s="15">
        <v>-2.5899999999999999E-2</v>
      </c>
      <c r="F359" s="30">
        <f>'FF3 Regression'!$B$17+'FF3 Regression'!$B$18*Returns!C359+'FF3 Regression'!$B$19*Returns!D359+'FF3 Regression'!$B$20*Returns!E359</f>
        <v>8.8045744860713676E-2</v>
      </c>
      <c r="G359" s="30">
        <f t="shared" si="6"/>
        <v>-2.742274486071368E-2</v>
      </c>
      <c r="H359" s="15"/>
      <c r="I359" s="15"/>
      <c r="J359" s="21"/>
      <c r="K359" s="21"/>
    </row>
    <row r="360" spans="1:11" x14ac:dyDescent="0.6">
      <c r="A360" s="17">
        <v>40483</v>
      </c>
      <c r="B360" s="15">
        <v>3.3689999999999998E-2</v>
      </c>
      <c r="C360" s="15">
        <v>5.9999999999999993E-3</v>
      </c>
      <c r="D360" s="15">
        <v>3.7000000000000005E-2</v>
      </c>
      <c r="E360" s="15">
        <v>-9.0000000000000011E-3</v>
      </c>
      <c r="F360" s="30">
        <f>'FF3 Regression'!$B$17+'FF3 Regression'!$B$18*Returns!C360+'FF3 Regression'!$B$19*Returns!D360+'FF3 Regression'!$B$20*Returns!E360</f>
        <v>3.9668306120900595E-2</v>
      </c>
      <c r="G360" s="30">
        <f t="shared" si="6"/>
        <v>-5.9783061209005978E-3</v>
      </c>
      <c r="H360" s="15"/>
      <c r="I360" s="15"/>
      <c r="J360" s="21"/>
      <c r="K360" s="21"/>
    </row>
    <row r="361" spans="1:11" x14ac:dyDescent="0.6">
      <c r="A361" s="17">
        <v>40513</v>
      </c>
      <c r="B361" s="15">
        <v>3.6569999999999998E-2</v>
      </c>
      <c r="C361" s="15">
        <v>6.8199999999999997E-2</v>
      </c>
      <c r="D361" s="15">
        <v>6.9999999999999993E-3</v>
      </c>
      <c r="E361" s="15">
        <v>3.8100000000000002E-2</v>
      </c>
      <c r="F361" s="30">
        <f>'FF3 Regression'!$B$17+'FF3 Regression'!$B$18*Returns!C361+'FF3 Regression'!$B$19*Returns!D361+'FF3 Regression'!$B$20*Returns!E361</f>
        <v>6.5192453835779735E-2</v>
      </c>
      <c r="G361" s="30">
        <f t="shared" si="6"/>
        <v>-2.8622453835779736E-2</v>
      </c>
      <c r="H361" s="15"/>
      <c r="I361" s="15"/>
      <c r="J361" s="21"/>
      <c r="K361" s="21"/>
    </row>
    <row r="362" spans="1:11" x14ac:dyDescent="0.6">
      <c r="A362" s="17">
        <v>40544</v>
      </c>
      <c r="B362" s="15">
        <v>5.1858999999999995E-2</v>
      </c>
      <c r="C362" s="15">
        <v>1.9900000000000001E-2</v>
      </c>
      <c r="D362" s="15">
        <v>-2.4700000000000003E-2</v>
      </c>
      <c r="E362" s="15">
        <v>8.1000000000000013E-3</v>
      </c>
      <c r="F362" s="30">
        <f>'FF3 Regression'!$B$17+'FF3 Regression'!$B$18*Returns!C362+'FF3 Regression'!$B$19*Returns!D362+'FF3 Regression'!$B$20*Returns!E362</f>
        <v>2.4122873043832191E-2</v>
      </c>
      <c r="G362" s="30">
        <f t="shared" si="6"/>
        <v>2.7736126956167804E-2</v>
      </c>
      <c r="H362" s="15"/>
      <c r="I362" s="15"/>
      <c r="J362" s="21"/>
      <c r="K362" s="21"/>
    </row>
    <row r="363" spans="1:11" x14ac:dyDescent="0.6">
      <c r="A363" s="17">
        <v>40575</v>
      </c>
      <c r="B363" s="15">
        <v>4.0834999999999996E-2</v>
      </c>
      <c r="C363" s="15">
        <v>3.49E-2</v>
      </c>
      <c r="D363" s="15">
        <v>1.52E-2</v>
      </c>
      <c r="E363" s="15">
        <v>1.09E-2</v>
      </c>
      <c r="F363" s="30">
        <f>'FF3 Regression'!$B$17+'FF3 Regression'!$B$18*Returns!C363+'FF3 Regression'!$B$19*Returns!D363+'FF3 Regression'!$B$20*Returns!E363</f>
        <v>5.1125269557396068E-2</v>
      </c>
      <c r="G363" s="30">
        <f t="shared" si="6"/>
        <v>-1.0290269557396071E-2</v>
      </c>
      <c r="H363" s="15"/>
      <c r="I363" s="15"/>
      <c r="J363" s="21"/>
      <c r="K363" s="21"/>
    </row>
    <row r="364" spans="1:11" x14ac:dyDescent="0.6">
      <c r="A364" s="17">
        <v>40603</v>
      </c>
      <c r="B364" s="15">
        <v>-1.3413999999999999E-2</v>
      </c>
      <c r="C364" s="15">
        <v>4.4999999999999997E-3</v>
      </c>
      <c r="D364" s="15">
        <v>2.6000000000000002E-2</v>
      </c>
      <c r="E364" s="15">
        <v>-1.55E-2</v>
      </c>
      <c r="F364" s="30">
        <f>'FF3 Regression'!$B$17+'FF3 Regression'!$B$18*Returns!C364+'FF3 Regression'!$B$19*Returns!D364+'FF3 Regression'!$B$20*Returns!E364</f>
        <v>4.0620441911944569E-2</v>
      </c>
      <c r="G364" s="30">
        <f t="shared" si="6"/>
        <v>-5.4034441911944564E-2</v>
      </c>
      <c r="H364" s="15"/>
      <c r="I364" s="15"/>
      <c r="J364" s="21"/>
      <c r="K364" s="21"/>
    </row>
    <row r="365" spans="1:11" x14ac:dyDescent="0.6">
      <c r="A365" s="17">
        <v>40634</v>
      </c>
      <c r="B365" s="15">
        <v>4.6560000000000004E-3</v>
      </c>
      <c r="C365" s="15">
        <v>2.8999999999999998E-2</v>
      </c>
      <c r="D365" s="15">
        <v>-3.4000000000000002E-3</v>
      </c>
      <c r="E365" s="15">
        <v>-2.5099999999999997E-2</v>
      </c>
      <c r="F365" s="30">
        <f>'FF3 Regression'!$B$17+'FF3 Regression'!$B$18*Returns!C365+'FF3 Regression'!$B$19*Returns!D365+'FF3 Regression'!$B$20*Returns!E365</f>
        <v>7.1146436613429148E-2</v>
      </c>
      <c r="G365" s="30">
        <f t="shared" si="6"/>
        <v>-6.6490436613429155E-2</v>
      </c>
      <c r="H365" s="15"/>
      <c r="I365" s="15"/>
      <c r="J365" s="21"/>
      <c r="K365" s="21"/>
    </row>
    <row r="366" spans="1:11" x14ac:dyDescent="0.6">
      <c r="A366" s="17">
        <v>40664</v>
      </c>
      <c r="B366" s="15">
        <v>-6.5690000000000002E-3</v>
      </c>
      <c r="C366" s="15">
        <v>-1.2699999999999999E-2</v>
      </c>
      <c r="D366" s="15">
        <v>-6.9999999999999993E-3</v>
      </c>
      <c r="E366" s="15">
        <v>-2.07E-2</v>
      </c>
      <c r="F366" s="30">
        <f>'FF3 Regression'!$B$17+'FF3 Regression'!$B$18*Returns!C366+'FF3 Regression'!$B$19*Returns!D366+'FF3 Regression'!$B$20*Returns!E366</f>
        <v>1.5003821666593354E-2</v>
      </c>
      <c r="G366" s="30">
        <f t="shared" si="6"/>
        <v>-2.1572821666593356E-2</v>
      </c>
      <c r="H366" s="15"/>
      <c r="I366" s="15"/>
      <c r="J366" s="21"/>
      <c r="K366" s="21"/>
    </row>
    <row r="367" spans="1:11" x14ac:dyDescent="0.6">
      <c r="A367" s="17">
        <v>40695</v>
      </c>
      <c r="B367" s="15">
        <v>-3.4959999999999998E-2</v>
      </c>
      <c r="C367" s="15">
        <v>-1.7500000000000002E-2</v>
      </c>
      <c r="D367" s="15">
        <v>-1.8E-3</v>
      </c>
      <c r="E367" s="15">
        <v>-3.0999999999999999E-3</v>
      </c>
      <c r="F367" s="30">
        <f>'FF3 Regression'!$B$17+'FF3 Regression'!$B$18*Returns!C367+'FF3 Regression'!$B$19*Returns!D367+'FF3 Regression'!$B$20*Returns!E367</f>
        <v>-5.2994784768063009E-3</v>
      </c>
      <c r="G367" s="30">
        <f t="shared" si="6"/>
        <v>-2.9660521523193699E-2</v>
      </c>
      <c r="H367" s="15"/>
      <c r="I367" s="15"/>
      <c r="J367" s="21"/>
      <c r="K367" s="21"/>
    </row>
    <row r="368" spans="1:11" x14ac:dyDescent="0.6">
      <c r="A368" s="17">
        <v>40725</v>
      </c>
      <c r="B368" s="15">
        <v>0.16328500000000001</v>
      </c>
      <c r="C368" s="15">
        <v>-2.3599999999999999E-2</v>
      </c>
      <c r="D368" s="15">
        <v>-1.3100000000000001E-2</v>
      </c>
      <c r="E368" s="15">
        <v>-1.23E-2</v>
      </c>
      <c r="F368" s="30">
        <f>'FF3 Regression'!$B$17+'FF3 Regression'!$B$18*Returns!C368+'FF3 Regression'!$B$19*Returns!D368+'FF3 Regression'!$B$20*Returns!E368</f>
        <v>-7.6427062834535549E-3</v>
      </c>
      <c r="G368" s="30">
        <f t="shared" si="6"/>
        <v>0.17092770628345358</v>
      </c>
      <c r="H368" s="15"/>
      <c r="I368" s="15"/>
      <c r="J368" s="21"/>
      <c r="K368" s="21"/>
    </row>
    <row r="369" spans="1:11" x14ac:dyDescent="0.6">
      <c r="A369" s="17">
        <v>40756</v>
      </c>
      <c r="B369" s="15">
        <v>-1.4568999999999999E-2</v>
      </c>
      <c r="C369" s="15">
        <v>-5.9900000000000009E-2</v>
      </c>
      <c r="D369" s="15">
        <v>-3.0600000000000002E-2</v>
      </c>
      <c r="E369" s="15">
        <v>-2.4399999999999998E-2</v>
      </c>
      <c r="F369" s="30">
        <f>'FF3 Regression'!$B$17+'FF3 Regression'!$B$18*Returns!C369+'FF3 Regression'!$B$19*Returns!D369+'FF3 Regression'!$B$20*Returns!E369</f>
        <v>-4.6161267039800592E-2</v>
      </c>
      <c r="G369" s="30">
        <f t="shared" si="6"/>
        <v>3.1592267039800594E-2</v>
      </c>
      <c r="H369" s="15"/>
      <c r="I369" s="15"/>
      <c r="J369" s="21"/>
      <c r="K369" s="21"/>
    </row>
    <row r="370" spans="1:11" x14ac:dyDescent="0.6">
      <c r="A370" s="17">
        <v>40787</v>
      </c>
      <c r="B370" s="15">
        <v>-9.1210000000000006E-3</v>
      </c>
      <c r="C370" s="15">
        <v>-7.5899999999999995E-2</v>
      </c>
      <c r="D370" s="15">
        <v>-3.4799999999999998E-2</v>
      </c>
      <c r="E370" s="15">
        <v>-1.46E-2</v>
      </c>
      <c r="F370" s="30">
        <f>'FF3 Regression'!$B$17+'FF3 Regression'!$B$18*Returns!C370+'FF3 Regression'!$B$19*Returns!D370+'FF3 Regression'!$B$20*Returns!E370</f>
        <v>-7.5798796463133311E-2</v>
      </c>
      <c r="G370" s="30">
        <f t="shared" si="6"/>
        <v>6.6677796463133307E-2</v>
      </c>
      <c r="H370" s="15"/>
      <c r="I370" s="15"/>
      <c r="J370" s="21"/>
      <c r="K370" s="21"/>
    </row>
    <row r="371" spans="1:11" x14ac:dyDescent="0.6">
      <c r="A371" s="17">
        <v>40817</v>
      </c>
      <c r="B371" s="15">
        <v>6.1523000000000001E-2</v>
      </c>
      <c r="C371" s="15">
        <v>0.11349999999999999</v>
      </c>
      <c r="D371" s="15">
        <v>3.4099999999999998E-2</v>
      </c>
      <c r="E371" s="15">
        <v>-1.7000000000000001E-3</v>
      </c>
      <c r="F371" s="30">
        <f>'FF3 Regression'!$B$17+'FF3 Regression'!$B$18*Returns!C371+'FF3 Regression'!$B$19*Returns!D371+'FF3 Regression'!$B$20*Returns!E371</f>
        <v>0.16420478676248856</v>
      </c>
      <c r="G371" s="30">
        <f t="shared" si="6"/>
        <v>-0.10268178676248857</v>
      </c>
      <c r="H371" s="15"/>
      <c r="I371" s="15"/>
      <c r="J371" s="21"/>
      <c r="K371" s="21"/>
    </row>
    <row r="372" spans="1:11" x14ac:dyDescent="0.6">
      <c r="A372" s="17">
        <v>40848</v>
      </c>
      <c r="B372" s="15">
        <v>-5.5782999999999999E-2</v>
      </c>
      <c r="C372" s="15">
        <v>-2.8000000000000004E-3</v>
      </c>
      <c r="D372" s="15">
        <v>-1.7000000000000001E-3</v>
      </c>
      <c r="E372" s="15">
        <v>-3.4999999999999996E-3</v>
      </c>
      <c r="F372" s="30">
        <f>'FF3 Regression'!$B$17+'FF3 Regression'!$B$18*Returns!C372+'FF3 Regression'!$B$19*Returns!D372+'FF3 Regression'!$B$20*Returns!E372</f>
        <v>1.3128658498423757E-2</v>
      </c>
      <c r="G372" s="30">
        <f t="shared" si="6"/>
        <v>-6.8911658498423761E-2</v>
      </c>
      <c r="H372" s="15"/>
      <c r="I372" s="15"/>
      <c r="J372" s="21"/>
      <c r="K372" s="21"/>
    </row>
    <row r="373" spans="1:11" x14ac:dyDescent="0.6">
      <c r="A373" s="17">
        <v>40878</v>
      </c>
      <c r="B373" s="15">
        <v>5.9655E-2</v>
      </c>
      <c r="C373" s="15">
        <v>7.4000000000000003E-3</v>
      </c>
      <c r="D373" s="15">
        <v>-7.0999999999999995E-3</v>
      </c>
      <c r="E373" s="15">
        <v>1.7399999999999999E-2</v>
      </c>
      <c r="F373" s="30">
        <f>'FF3 Regression'!$B$17+'FF3 Regression'!$B$18*Returns!C373+'FF3 Regression'!$B$19*Returns!D373+'FF3 Regression'!$B$20*Returns!E373</f>
        <v>5.3055944484720757E-3</v>
      </c>
      <c r="G373" s="30">
        <f t="shared" si="6"/>
        <v>5.4349405551527924E-2</v>
      </c>
      <c r="H373" s="15"/>
      <c r="I373" s="15"/>
      <c r="J373" s="21"/>
      <c r="K373" s="21"/>
    </row>
    <row r="374" spans="1:11" x14ac:dyDescent="0.6">
      <c r="A374" s="17">
        <v>40909</v>
      </c>
      <c r="B374" s="15">
        <v>0.127111</v>
      </c>
      <c r="C374" s="15">
        <v>5.0499999999999996E-2</v>
      </c>
      <c r="D374" s="15">
        <v>2.1499999999999998E-2</v>
      </c>
      <c r="E374" s="15">
        <v>-1.09E-2</v>
      </c>
      <c r="F374" s="30">
        <f>'FF3 Regression'!$B$17+'FF3 Regression'!$B$18*Returns!C374+'FF3 Regression'!$B$19*Returns!D374+'FF3 Regression'!$B$20*Returns!E374</f>
        <v>9.1671876930344759E-2</v>
      </c>
      <c r="G374" s="30">
        <f t="shared" si="6"/>
        <v>3.5439123069655243E-2</v>
      </c>
      <c r="H374" s="15"/>
      <c r="I374" s="15"/>
      <c r="J374" s="21"/>
      <c r="K374" s="21"/>
    </row>
    <row r="375" spans="1:11" x14ac:dyDescent="0.6">
      <c r="A375" s="17">
        <v>40940</v>
      </c>
      <c r="B375" s="15">
        <v>0.18831100000000001</v>
      </c>
      <c r="C375" s="15">
        <v>4.4199999999999996E-2</v>
      </c>
      <c r="D375" s="15">
        <v>-1.7500000000000002E-2</v>
      </c>
      <c r="E375" s="15">
        <v>8.9999999999999998E-4</v>
      </c>
      <c r="F375" s="30">
        <f>'FF3 Regression'!$B$17+'FF3 Regression'!$B$18*Returns!C375+'FF3 Regression'!$B$19*Returns!D375+'FF3 Regression'!$B$20*Returns!E375</f>
        <v>6.2438854050771757E-2</v>
      </c>
      <c r="G375" s="30">
        <f t="shared" si="6"/>
        <v>0.12587214594922824</v>
      </c>
      <c r="H375" s="15"/>
      <c r="I375" s="15"/>
      <c r="J375" s="21"/>
      <c r="K375" s="21"/>
    </row>
    <row r="376" spans="1:11" x14ac:dyDescent="0.6">
      <c r="A376" s="17">
        <v>40969</v>
      </c>
      <c r="B376" s="15">
        <v>0.105284</v>
      </c>
      <c r="C376" s="15">
        <v>3.1099999999999999E-2</v>
      </c>
      <c r="D376" s="15">
        <v>-6.0999999999999995E-3</v>
      </c>
      <c r="E376" s="15">
        <v>8.6999999999999994E-3</v>
      </c>
      <c r="F376" s="30">
        <f>'FF3 Regression'!$B$17+'FF3 Regression'!$B$18*Returns!C376+'FF3 Regression'!$B$19*Returns!D376+'FF3 Regression'!$B$20*Returns!E376</f>
        <v>4.2509512859875115E-2</v>
      </c>
      <c r="G376" s="30">
        <f t="shared" si="6"/>
        <v>6.2774487140124888E-2</v>
      </c>
      <c r="H376" s="15"/>
      <c r="I376" s="15"/>
      <c r="J376" s="21"/>
      <c r="K376" s="21"/>
    </row>
    <row r="377" spans="1:11" x14ac:dyDescent="0.6">
      <c r="A377" s="17">
        <v>41000</v>
      </c>
      <c r="B377" s="15">
        <v>-2.5968999999999999E-2</v>
      </c>
      <c r="C377" s="15">
        <v>-8.5000000000000006E-3</v>
      </c>
      <c r="D377" s="15">
        <v>-5.1999999999999998E-3</v>
      </c>
      <c r="E377" s="15">
        <v>-4.6999999999999993E-3</v>
      </c>
      <c r="F377" s="30">
        <f>'FF3 Regression'!$B$17+'FF3 Regression'!$B$18*Returns!C377+'FF3 Regression'!$B$19*Returns!D377+'FF3 Regression'!$B$20*Returns!E377</f>
        <v>6.2398669132636819E-3</v>
      </c>
      <c r="G377" s="30">
        <f t="shared" si="6"/>
        <v>-3.2208866913263683E-2</v>
      </c>
      <c r="H377" s="15"/>
      <c r="I377" s="15"/>
      <c r="J377" s="21"/>
      <c r="K377" s="21"/>
    </row>
    <row r="378" spans="1:11" x14ac:dyDescent="0.6">
      <c r="A378" s="17">
        <v>41030</v>
      </c>
      <c r="B378" s="15">
        <v>-1.0801999999999999E-2</v>
      </c>
      <c r="C378" s="15">
        <v>-6.1900000000000011E-2</v>
      </c>
      <c r="D378" s="15">
        <v>2.0000000000000001E-4</v>
      </c>
      <c r="E378" s="15">
        <v>-6.1999999999999998E-3</v>
      </c>
      <c r="F378" s="30">
        <f>'FF3 Regression'!$B$17+'FF3 Regression'!$B$18*Returns!C378+'FF3 Regression'!$B$19*Returns!D378+'FF3 Regression'!$B$20*Returns!E378</f>
        <v>-5.6435861568713989E-2</v>
      </c>
      <c r="G378" s="30">
        <f t="shared" si="6"/>
        <v>4.563386156871399E-2</v>
      </c>
      <c r="H378" s="15"/>
      <c r="I378" s="15"/>
      <c r="J378" s="21"/>
      <c r="K378" s="21"/>
    </row>
    <row r="379" spans="1:11" x14ac:dyDescent="0.6">
      <c r="A379" s="17">
        <v>41061</v>
      </c>
      <c r="B379" s="15">
        <v>1.0853E-2</v>
      </c>
      <c r="C379" s="15">
        <v>3.8900000000000004E-2</v>
      </c>
      <c r="D379" s="15">
        <v>7.7000000000000002E-3</v>
      </c>
      <c r="E379" s="15">
        <v>4.4000000000000003E-3</v>
      </c>
      <c r="F379" s="30">
        <f>'FF3 Regression'!$B$17+'FF3 Regression'!$B$18*Returns!C379+'FF3 Regression'!$B$19*Returns!D379+'FF3 Regression'!$B$20*Returns!E379</f>
        <v>5.9802238061485193E-2</v>
      </c>
      <c r="G379" s="30">
        <f t="shared" si="6"/>
        <v>-4.8949238061485191E-2</v>
      </c>
      <c r="H379" s="15"/>
      <c r="I379" s="15"/>
      <c r="J379" s="21"/>
      <c r="K379" s="21"/>
    </row>
    <row r="380" spans="1:11" x14ac:dyDescent="0.6">
      <c r="A380" s="17">
        <v>41091</v>
      </c>
      <c r="B380" s="15">
        <v>4.5822000000000002E-2</v>
      </c>
      <c r="C380" s="15">
        <v>7.9000000000000008E-3</v>
      </c>
      <c r="D380" s="15">
        <v>-2.58E-2</v>
      </c>
      <c r="E380" s="15">
        <v>-2.5000000000000001E-3</v>
      </c>
      <c r="F380" s="30">
        <f>'FF3 Regression'!$B$17+'FF3 Regression'!$B$18*Returns!C380+'FF3 Regression'!$B$19*Returns!D380+'FF3 Regression'!$B$20*Returns!E380</f>
        <v>1.8643089864755061E-2</v>
      </c>
      <c r="G380" s="30">
        <f t="shared" si="6"/>
        <v>2.7178910135244941E-2</v>
      </c>
      <c r="H380" s="15"/>
      <c r="I380" s="15"/>
      <c r="J380" s="21"/>
      <c r="K380" s="21"/>
    </row>
    <row r="381" spans="1:11" x14ac:dyDescent="0.6">
      <c r="A381" s="17">
        <v>41122</v>
      </c>
      <c r="B381" s="15">
        <v>9.3438999999999994E-2</v>
      </c>
      <c r="C381" s="15">
        <v>2.5499999999999998E-2</v>
      </c>
      <c r="D381" s="15">
        <v>4.0999999999999995E-3</v>
      </c>
      <c r="E381" s="15">
        <v>1.2800000000000001E-2</v>
      </c>
      <c r="F381" s="30">
        <f>'FF3 Regression'!$B$17+'FF3 Regression'!$B$18*Returns!C381+'FF3 Regression'!$B$19*Returns!D381+'FF3 Regression'!$B$20*Returns!E381</f>
        <v>3.4784331539429933E-2</v>
      </c>
      <c r="G381" s="30">
        <f t="shared" si="6"/>
        <v>5.8654668460570061E-2</v>
      </c>
      <c r="H381" s="15"/>
      <c r="I381" s="15"/>
      <c r="J381" s="21"/>
      <c r="K381" s="21"/>
    </row>
    <row r="382" spans="1:11" x14ac:dyDescent="0.6">
      <c r="A382" s="17">
        <v>41153</v>
      </c>
      <c r="B382" s="15">
        <v>2.7030000000000001E-3</v>
      </c>
      <c r="C382" s="15">
        <v>2.7299999999999998E-2</v>
      </c>
      <c r="D382" s="15">
        <v>5.0000000000000001E-3</v>
      </c>
      <c r="E382" s="15">
        <v>1.52E-2</v>
      </c>
      <c r="F382" s="30">
        <f>'FF3 Regression'!$B$17+'FF3 Regression'!$B$18*Returns!C382+'FF3 Regression'!$B$19*Returns!D382+'FF3 Regression'!$B$20*Returns!E382</f>
        <v>3.5081103469055741E-2</v>
      </c>
      <c r="G382" s="30">
        <f t="shared" si="6"/>
        <v>-3.2378103469055744E-2</v>
      </c>
      <c r="H382" s="15"/>
      <c r="I382" s="15"/>
      <c r="J382" s="21"/>
      <c r="K382" s="21"/>
    </row>
    <row r="383" spans="1:11" x14ac:dyDescent="0.6">
      <c r="A383" s="17">
        <v>41183</v>
      </c>
      <c r="B383" s="15">
        <v>-0.107707</v>
      </c>
      <c r="C383" s="15">
        <v>-1.7600000000000001E-2</v>
      </c>
      <c r="D383" s="15">
        <v>-1.1399999999999999E-2</v>
      </c>
      <c r="E383" s="15">
        <v>3.7900000000000003E-2</v>
      </c>
      <c r="F383" s="30">
        <f>'FF3 Regression'!$B$17+'FF3 Regression'!$B$18*Returns!C383+'FF3 Regression'!$B$19*Returns!D383+'FF3 Regression'!$B$20*Returns!E383</f>
        <v>-4.5047761467008368E-2</v>
      </c>
      <c r="G383" s="30">
        <f t="shared" si="6"/>
        <v>-6.2659238532991629E-2</v>
      </c>
      <c r="H383" s="15"/>
      <c r="I383" s="15"/>
      <c r="J383" s="21"/>
      <c r="K383" s="21"/>
    </row>
    <row r="384" spans="1:11" x14ac:dyDescent="0.6">
      <c r="A384" s="17">
        <v>41214</v>
      </c>
      <c r="B384" s="15">
        <v>-1.2513E-2</v>
      </c>
      <c r="C384" s="15">
        <v>7.8000000000000005E-3</v>
      </c>
      <c r="D384" s="15">
        <v>5.8999999999999999E-3</v>
      </c>
      <c r="E384" s="15">
        <v>-9.5999999999999992E-3</v>
      </c>
      <c r="F384" s="30">
        <f>'FF3 Regression'!$B$17+'FF3 Regression'!$B$18*Returns!C384+'FF3 Regression'!$B$19*Returns!D384+'FF3 Regression'!$B$20*Returns!E384</f>
        <v>3.3752157093447012E-2</v>
      </c>
      <c r="G384" s="30">
        <f t="shared" si="6"/>
        <v>-4.6265157093447015E-2</v>
      </c>
      <c r="H384" s="15"/>
      <c r="I384" s="15"/>
      <c r="J384" s="21"/>
      <c r="K384" s="21"/>
    </row>
    <row r="385" spans="1:11" x14ac:dyDescent="0.6">
      <c r="A385" s="17">
        <v>41244</v>
      </c>
      <c r="B385" s="15">
        <v>-9.0838000000000002E-2</v>
      </c>
      <c r="C385" s="15">
        <v>1.18E-2</v>
      </c>
      <c r="D385" s="15">
        <v>1.47E-2</v>
      </c>
      <c r="E385" s="15">
        <v>3.5499999999999997E-2</v>
      </c>
      <c r="F385" s="30">
        <f>'FF3 Regression'!$B$17+'FF3 Regression'!$B$18*Returns!C385+'FF3 Regression'!$B$19*Returns!D385+'FF3 Regression'!$B$20*Returns!E385</f>
        <v>4.6737690861654163E-4</v>
      </c>
      <c r="G385" s="30">
        <f t="shared" si="6"/>
        <v>-9.1305376908616537E-2</v>
      </c>
      <c r="H385" s="15"/>
      <c r="I385" s="15"/>
      <c r="J385" s="21"/>
      <c r="K385" s="21"/>
    </row>
    <row r="386" spans="1:11" x14ac:dyDescent="0.6">
      <c r="A386" s="17">
        <v>41275</v>
      </c>
      <c r="B386" s="15">
        <v>-0.144094</v>
      </c>
      <c r="C386" s="15">
        <v>5.57E-2</v>
      </c>
      <c r="D386" s="15">
        <v>3.9000000000000003E-3</v>
      </c>
      <c r="E386" s="15">
        <v>9.1999999999999998E-3</v>
      </c>
      <c r="F386" s="30">
        <f>'FF3 Regression'!$B$17+'FF3 Regression'!$B$18*Returns!C386+'FF3 Regression'!$B$19*Returns!D386+'FF3 Regression'!$B$20*Returns!E386</f>
        <v>7.5034358435959042E-2</v>
      </c>
      <c r="G386" s="30">
        <f t="shared" si="6"/>
        <v>-0.21912835843595904</v>
      </c>
      <c r="H386" s="15"/>
      <c r="I386" s="15"/>
      <c r="J386" s="21"/>
      <c r="K386" s="21"/>
    </row>
    <row r="387" spans="1:11" x14ac:dyDescent="0.6">
      <c r="A387" s="17">
        <v>41306</v>
      </c>
      <c r="B387" s="15">
        <v>-2.5115999999999999E-2</v>
      </c>
      <c r="C387" s="15">
        <v>1.29E-2</v>
      </c>
      <c r="D387" s="15">
        <v>-4.5000000000000005E-3</v>
      </c>
      <c r="E387" s="15">
        <v>0</v>
      </c>
      <c r="F387" s="30">
        <f>'FF3 Regression'!$B$17+'FF3 Regression'!$B$18*Returns!C387+'FF3 Regression'!$B$19*Returns!D387+'FF3 Regression'!$B$20*Returns!E387</f>
        <v>2.846111151596423E-2</v>
      </c>
      <c r="G387" s="30">
        <f t="shared" ref="G387:G433" si="7">B387-F387</f>
        <v>-5.3577111515964226E-2</v>
      </c>
      <c r="H387" s="15"/>
      <c r="I387" s="15"/>
      <c r="J387" s="21"/>
      <c r="K387" s="21"/>
    </row>
    <row r="388" spans="1:11" x14ac:dyDescent="0.6">
      <c r="A388" s="17">
        <v>41334</v>
      </c>
      <c r="B388" s="15">
        <v>2.8549999999999999E-3</v>
      </c>
      <c r="C388" s="15">
        <v>4.0300000000000002E-2</v>
      </c>
      <c r="D388" s="15">
        <v>7.9000000000000008E-3</v>
      </c>
      <c r="E388" s="15">
        <v>-2.5999999999999999E-3</v>
      </c>
      <c r="F388" s="30">
        <f>'FF3 Regression'!$B$17+'FF3 Regression'!$B$18*Returns!C388+'FF3 Regression'!$B$19*Returns!D388+'FF3 Regression'!$B$20*Returns!E388</f>
        <v>6.7884676226350846E-2</v>
      </c>
      <c r="G388" s="30">
        <f t="shared" si="7"/>
        <v>-6.5029676226350849E-2</v>
      </c>
      <c r="H388" s="15"/>
      <c r="I388" s="15"/>
      <c r="J388" s="21"/>
      <c r="K388" s="21"/>
    </row>
    <row r="389" spans="1:11" x14ac:dyDescent="0.6">
      <c r="A389" s="17">
        <v>41365</v>
      </c>
      <c r="B389" s="15">
        <v>2.7099999999999997E-4</v>
      </c>
      <c r="C389" s="15">
        <v>1.55E-2</v>
      </c>
      <c r="D389" s="15">
        <v>-2.4399999999999998E-2</v>
      </c>
      <c r="E389" s="15">
        <v>5.8999999999999999E-3</v>
      </c>
      <c r="F389" s="30">
        <f>'FF3 Regression'!$B$17+'FF3 Regression'!$B$18*Returns!C389+'FF3 Regression'!$B$19*Returns!D389+'FF3 Regression'!$B$20*Returns!E389</f>
        <v>2.0789518483158402E-2</v>
      </c>
      <c r="G389" s="30">
        <f t="shared" si="7"/>
        <v>-2.0518518483158402E-2</v>
      </c>
      <c r="H389" s="15"/>
      <c r="I389" s="15"/>
      <c r="J389" s="21"/>
      <c r="K389" s="21"/>
    </row>
    <row r="390" spans="1:11" x14ac:dyDescent="0.6">
      <c r="A390" s="17">
        <v>41395</v>
      </c>
      <c r="B390" s="15">
        <v>2.2596000000000002E-2</v>
      </c>
      <c r="C390" s="15">
        <v>2.7999999999999997E-2</v>
      </c>
      <c r="D390" s="15">
        <v>1.67E-2</v>
      </c>
      <c r="E390" s="15">
        <v>2.5499999999999998E-2</v>
      </c>
      <c r="F390" s="30">
        <f>'FF3 Regression'!$B$17+'FF3 Regression'!$B$18*Returns!C390+'FF3 Regression'!$B$19*Returns!D390+'FF3 Regression'!$B$20*Returns!E390</f>
        <v>2.991757447767688E-2</v>
      </c>
      <c r="G390" s="30">
        <f t="shared" si="7"/>
        <v>-7.3215744776768781E-3</v>
      </c>
      <c r="H390" s="15"/>
      <c r="I390" s="15"/>
      <c r="J390" s="21"/>
      <c r="K390" s="21"/>
    </row>
    <row r="391" spans="1:11" x14ac:dyDescent="0.6">
      <c r="A391" s="17">
        <v>41426</v>
      </c>
      <c r="B391" s="15">
        <v>-0.11830300000000001</v>
      </c>
      <c r="C391" s="15">
        <v>-1.2E-2</v>
      </c>
      <c r="D391" s="15">
        <v>1.2199999999999999E-2</v>
      </c>
      <c r="E391" s="15">
        <v>-1.9E-3</v>
      </c>
      <c r="F391" s="30">
        <f>'FF3 Regression'!$B$17+'FF3 Regression'!$B$18*Returns!C391+'FF3 Regression'!$B$19*Returns!D391+'FF3 Regression'!$B$20*Returns!E391</f>
        <v>4.269640433999319E-3</v>
      </c>
      <c r="G391" s="30">
        <f t="shared" si="7"/>
        <v>-0.12257264043399932</v>
      </c>
      <c r="H391" s="15"/>
      <c r="I391" s="15"/>
      <c r="J391" s="21"/>
      <c r="K391" s="21"/>
    </row>
    <row r="392" spans="1:11" x14ac:dyDescent="0.6">
      <c r="A392" s="17">
        <v>41456</v>
      </c>
      <c r="B392" s="15">
        <v>0.14122499999999999</v>
      </c>
      <c r="C392" s="15">
        <v>5.6500000000000002E-2</v>
      </c>
      <c r="D392" s="15">
        <v>1.8600000000000002E-2</v>
      </c>
      <c r="E392" s="15">
        <v>5.5000000000000005E-3</v>
      </c>
      <c r="F392" s="30">
        <f>'FF3 Regression'!$B$17+'FF3 Regression'!$B$18*Returns!C392+'FF3 Regression'!$B$19*Returns!D392+'FF3 Regression'!$B$20*Returns!E392</f>
        <v>8.3446752473713331E-2</v>
      </c>
      <c r="G392" s="30">
        <f t="shared" si="7"/>
        <v>5.7778247526286658E-2</v>
      </c>
      <c r="H392" s="15"/>
      <c r="I392" s="15"/>
      <c r="J392" s="21"/>
      <c r="K392" s="21"/>
    </row>
    <row r="393" spans="1:11" x14ac:dyDescent="0.6">
      <c r="A393" s="17">
        <v>41487</v>
      </c>
      <c r="B393" s="15">
        <v>8.3389000000000005E-2</v>
      </c>
      <c r="C393" s="15">
        <v>-2.7099999999999999E-2</v>
      </c>
      <c r="D393" s="15">
        <v>3.0000000000000001E-3</v>
      </c>
      <c r="E393" s="15">
        <v>-2.7799999999999998E-2</v>
      </c>
      <c r="F393" s="30">
        <f>'FF3 Regression'!$B$17+'FF3 Regression'!$B$18*Returns!C393+'FF3 Regression'!$B$19*Returns!D393+'FF3 Regression'!$B$20*Returns!E393</f>
        <v>6.5174040448904257E-3</v>
      </c>
      <c r="G393" s="30">
        <f t="shared" si="7"/>
        <v>7.6871595955109576E-2</v>
      </c>
      <c r="H393" s="15"/>
      <c r="I393" s="15"/>
      <c r="J393" s="21"/>
      <c r="K393" s="21"/>
    </row>
    <row r="394" spans="1:11" x14ac:dyDescent="0.6">
      <c r="A394" s="17">
        <v>41518</v>
      </c>
      <c r="B394" s="15">
        <v>-2.1481E-2</v>
      </c>
      <c r="C394" s="15">
        <v>3.7699999999999997E-2</v>
      </c>
      <c r="D394" s="15">
        <v>2.9399999999999999E-2</v>
      </c>
      <c r="E394" s="15">
        <v>-1.18E-2</v>
      </c>
      <c r="F394" s="30">
        <f>'FF3 Regression'!$B$17+'FF3 Regression'!$B$18*Returns!C394+'FF3 Regression'!$B$19*Returns!D394+'FF3 Regression'!$B$20*Returns!E394</f>
        <v>7.8976171167509976E-2</v>
      </c>
      <c r="G394" s="30">
        <f t="shared" si="7"/>
        <v>-0.10045717116750998</v>
      </c>
      <c r="H394" s="15"/>
      <c r="I394" s="15"/>
      <c r="J394" s="21"/>
      <c r="K394" s="21"/>
    </row>
    <row r="395" spans="1:11" x14ac:dyDescent="0.6">
      <c r="A395" s="17">
        <v>41548</v>
      </c>
      <c r="B395" s="15">
        <v>9.6385999999999999E-2</v>
      </c>
      <c r="C395" s="15">
        <v>4.1799999999999997E-2</v>
      </c>
      <c r="D395" s="15">
        <v>-1.49E-2</v>
      </c>
      <c r="E395" s="15">
        <v>1.15E-2</v>
      </c>
      <c r="F395" s="30">
        <f>'FF3 Regression'!$B$17+'FF3 Regression'!$B$18*Returns!C395+'FF3 Regression'!$B$19*Returns!D395+'FF3 Regression'!$B$20*Returns!E395</f>
        <v>5.0664983530115761E-2</v>
      </c>
      <c r="G395" s="30">
        <f t="shared" si="7"/>
        <v>4.5721016469884239E-2</v>
      </c>
      <c r="H395" s="15"/>
      <c r="I395" s="15"/>
      <c r="J395" s="21"/>
      <c r="K395" s="21"/>
    </row>
    <row r="396" spans="1:11" x14ac:dyDescent="0.6">
      <c r="A396" s="17">
        <v>41579</v>
      </c>
      <c r="B396" s="15">
        <v>6.9672999999999999E-2</v>
      </c>
      <c r="C396" s="15">
        <v>3.1200000000000002E-2</v>
      </c>
      <c r="D396" s="15">
        <v>1.24E-2</v>
      </c>
      <c r="E396" s="15">
        <v>2.3999999999999998E-3</v>
      </c>
      <c r="F396" s="30">
        <f>'FF3 Regression'!$B$17+'FF3 Regression'!$B$18*Returns!C396+'FF3 Regression'!$B$19*Returns!D396+'FF3 Regression'!$B$20*Returns!E396</f>
        <v>5.3464925940330747E-2</v>
      </c>
      <c r="G396" s="30">
        <f t="shared" si="7"/>
        <v>1.6208074059669252E-2</v>
      </c>
      <c r="H396" s="15"/>
      <c r="I396" s="15"/>
      <c r="J396" s="21"/>
      <c r="K396" s="21"/>
    </row>
    <row r="397" spans="1:11" x14ac:dyDescent="0.6">
      <c r="A397" s="17">
        <v>41609</v>
      </c>
      <c r="B397" s="15">
        <v>8.9020000000000002E-3</v>
      </c>
      <c r="C397" s="15">
        <v>2.81E-2</v>
      </c>
      <c r="D397" s="15">
        <v>-5.0000000000000001E-3</v>
      </c>
      <c r="E397" s="15">
        <v>-3.0000000000000001E-3</v>
      </c>
      <c r="F397" s="30">
        <f>'FF3 Regression'!$B$17+'FF3 Regression'!$B$18*Returns!C397+'FF3 Regression'!$B$19*Returns!D397+'FF3 Regression'!$B$20*Returns!E397</f>
        <v>4.9678867077925688E-2</v>
      </c>
      <c r="G397" s="30">
        <f t="shared" si="7"/>
        <v>-4.0776867077925688E-2</v>
      </c>
      <c r="H397" s="15"/>
      <c r="I397" s="15"/>
      <c r="J397" s="21"/>
      <c r="K397" s="21"/>
    </row>
    <row r="398" spans="1:11" x14ac:dyDescent="0.6">
      <c r="A398" s="17">
        <v>41640</v>
      </c>
      <c r="B398" s="15">
        <v>-0.107697</v>
      </c>
      <c r="C398" s="15">
        <v>-3.32E-2</v>
      </c>
      <c r="D398" s="15">
        <v>8.6999999999999994E-3</v>
      </c>
      <c r="E398" s="15">
        <v>-2.0799999999999999E-2</v>
      </c>
      <c r="F398" s="30">
        <f>'FF3 Regression'!$B$17+'FF3 Regression'!$B$18*Returns!C398+'FF3 Regression'!$B$19*Returns!D398+'FF3 Regression'!$B$20*Returns!E398</f>
        <v>-5.6888525214006981E-3</v>
      </c>
      <c r="G398" s="30">
        <f t="shared" si="7"/>
        <v>-0.10200814747859931</v>
      </c>
      <c r="H398" s="15"/>
      <c r="I398" s="15"/>
      <c r="J398" s="21"/>
      <c r="K398" s="21"/>
    </row>
    <row r="399" spans="1:11" x14ac:dyDescent="0.6">
      <c r="A399" s="17">
        <v>41671</v>
      </c>
      <c r="B399" s="15">
        <v>5.7311000000000001E-2</v>
      </c>
      <c r="C399" s="15">
        <v>4.6500000000000007E-2</v>
      </c>
      <c r="D399" s="15">
        <v>3.3E-3</v>
      </c>
      <c r="E399" s="15">
        <v>-3.9000000000000003E-3</v>
      </c>
      <c r="F399" s="30">
        <f>'FF3 Regression'!$B$17+'FF3 Regression'!$B$18*Returns!C399+'FF3 Regression'!$B$19*Returns!D399+'FF3 Regression'!$B$20*Returns!E399</f>
        <v>7.5383129827778006E-2</v>
      </c>
      <c r="G399" s="30">
        <f t="shared" si="7"/>
        <v>-1.8072129827778005E-2</v>
      </c>
      <c r="H399" s="15"/>
      <c r="I399" s="15"/>
      <c r="J399" s="21"/>
      <c r="K399" s="21"/>
    </row>
    <row r="400" spans="1:11" x14ac:dyDescent="0.6">
      <c r="A400" s="17">
        <v>41699</v>
      </c>
      <c r="B400" s="15">
        <v>1.9952999999999999E-2</v>
      </c>
      <c r="C400" s="15">
        <v>4.3E-3</v>
      </c>
      <c r="D400" s="15">
        <v>-1.89E-2</v>
      </c>
      <c r="E400" s="15">
        <v>5.0900000000000001E-2</v>
      </c>
      <c r="F400" s="30">
        <f>'FF3 Regression'!$B$17+'FF3 Regression'!$B$18*Returns!C400+'FF3 Regression'!$B$19*Returns!D400+'FF3 Regression'!$B$20*Returns!E400</f>
        <v>-3.1978041984606978E-2</v>
      </c>
      <c r="G400" s="30">
        <f t="shared" si="7"/>
        <v>5.1931041984606977E-2</v>
      </c>
      <c r="H400" s="15"/>
      <c r="I400" s="15"/>
      <c r="J400" s="21"/>
      <c r="K400" s="21"/>
    </row>
    <row r="401" spans="1:11" x14ac:dyDescent="0.6">
      <c r="A401" s="17">
        <v>41730</v>
      </c>
      <c r="B401" s="15">
        <v>9.9395999999999998E-2</v>
      </c>
      <c r="C401" s="15">
        <v>-1.9E-3</v>
      </c>
      <c r="D401" s="15">
        <v>-4.2500000000000003E-2</v>
      </c>
      <c r="E401" s="15">
        <v>1.1399999999999999E-2</v>
      </c>
      <c r="F401" s="30">
        <f>'FF3 Regression'!$B$17+'FF3 Regression'!$B$18*Returns!C401+'FF3 Regression'!$B$19*Returns!D401+'FF3 Regression'!$B$20*Returns!E401</f>
        <v>-1.0563938287524766E-2</v>
      </c>
      <c r="G401" s="30">
        <f t="shared" si="7"/>
        <v>0.10995993828752476</v>
      </c>
      <c r="H401" s="15"/>
      <c r="I401" s="15"/>
      <c r="J401" s="21"/>
      <c r="K401" s="21"/>
    </row>
    <row r="402" spans="1:11" x14ac:dyDescent="0.6">
      <c r="A402" s="17">
        <v>41760</v>
      </c>
      <c r="B402" s="15">
        <v>7.8293000000000001E-2</v>
      </c>
      <c r="C402" s="15">
        <v>2.06E-2</v>
      </c>
      <c r="D402" s="15">
        <v>-1.83E-2</v>
      </c>
      <c r="E402" s="15">
        <v>-2.5999999999999999E-3</v>
      </c>
      <c r="F402" s="30">
        <f>'FF3 Regression'!$B$17+'FF3 Regression'!$B$18*Returns!C402+'FF3 Regression'!$B$19*Returns!D402+'FF3 Regression'!$B$20*Returns!E402</f>
        <v>3.6408433820328476E-2</v>
      </c>
      <c r="G402" s="30">
        <f t="shared" si="7"/>
        <v>4.1884566179671526E-2</v>
      </c>
      <c r="H402" s="15"/>
      <c r="I402" s="15"/>
      <c r="J402" s="21"/>
      <c r="K402" s="21"/>
    </row>
    <row r="403" spans="1:11" x14ac:dyDescent="0.6">
      <c r="A403" s="17">
        <v>41791</v>
      </c>
      <c r="B403" s="15">
        <v>2.7661999999999999E-2</v>
      </c>
      <c r="C403" s="15">
        <v>2.6099999999999998E-2</v>
      </c>
      <c r="D403" s="15">
        <v>3.0600000000000002E-2</v>
      </c>
      <c r="E403" s="15">
        <v>-7.4000000000000003E-3</v>
      </c>
      <c r="F403" s="30">
        <f>'FF3 Regression'!$B$17+'FF3 Regression'!$B$18*Returns!C403+'FF3 Regression'!$B$19*Returns!D403+'FF3 Regression'!$B$20*Returns!E403</f>
        <v>6.1109644775040765E-2</v>
      </c>
      <c r="G403" s="30">
        <f t="shared" si="7"/>
        <v>-3.3447644775040766E-2</v>
      </c>
      <c r="H403" s="15"/>
      <c r="I403" s="15"/>
      <c r="J403" s="21"/>
      <c r="K403" s="21"/>
    </row>
    <row r="404" spans="1:11" x14ac:dyDescent="0.6">
      <c r="A404" s="17">
        <v>41821</v>
      </c>
      <c r="B404" s="15">
        <v>2.8731E-2</v>
      </c>
      <c r="C404" s="15">
        <v>-2.0400000000000001E-2</v>
      </c>
      <c r="D404" s="15">
        <v>-4.2300000000000004E-2</v>
      </c>
      <c r="E404" s="15">
        <v>1E-4</v>
      </c>
      <c r="F404" s="30">
        <f>'FF3 Regression'!$B$17+'FF3 Regression'!$B$18*Returns!C404+'FF3 Regression'!$B$19*Returns!D404+'FF3 Regression'!$B$20*Returns!E404</f>
        <v>-2.3027393273013907E-2</v>
      </c>
      <c r="G404" s="30">
        <f t="shared" si="7"/>
        <v>5.1758393273013903E-2</v>
      </c>
      <c r="H404" s="15"/>
      <c r="I404" s="15"/>
      <c r="J404" s="21"/>
      <c r="K404" s="21"/>
    </row>
    <row r="405" spans="1:11" x14ac:dyDescent="0.6">
      <c r="A405" s="17">
        <v>41852</v>
      </c>
      <c r="B405" s="15">
        <v>7.7091999999999994E-2</v>
      </c>
      <c r="C405" s="15">
        <v>4.24E-2</v>
      </c>
      <c r="D405" s="15">
        <v>3.7000000000000002E-3</v>
      </c>
      <c r="E405" s="15">
        <v>-5.6999999999999993E-3</v>
      </c>
      <c r="F405" s="30">
        <f>'FF3 Regression'!$B$17+'FF3 Regression'!$B$18*Returns!C405+'FF3 Regression'!$B$19*Returns!D405+'FF3 Regression'!$B$20*Returns!E405</f>
        <v>7.2085305033960587E-2</v>
      </c>
      <c r="G405" s="30">
        <f t="shared" si="7"/>
        <v>5.0066949660394072E-3</v>
      </c>
      <c r="H405" s="15"/>
      <c r="I405" s="15"/>
      <c r="J405" s="21"/>
      <c r="K405" s="21"/>
    </row>
    <row r="406" spans="1:11" x14ac:dyDescent="0.6">
      <c r="A406" s="17">
        <v>41883</v>
      </c>
      <c r="B406" s="15">
        <v>-1.7073000000000001E-2</v>
      </c>
      <c r="C406" s="15">
        <v>-1.9699999999999999E-2</v>
      </c>
      <c r="D406" s="15">
        <v>-3.8199999999999998E-2</v>
      </c>
      <c r="E406" s="15">
        <v>-1.2199999999999999E-2</v>
      </c>
      <c r="F406" s="30">
        <f>'FF3 Regression'!$B$17+'FF3 Regression'!$B$18*Returns!C406+'FF3 Regression'!$B$19*Returns!D406+'FF3 Regression'!$B$20*Returns!E406</f>
        <v>-9.9407409491834194E-3</v>
      </c>
      <c r="G406" s="30">
        <f t="shared" si="7"/>
        <v>-7.132259050816582E-3</v>
      </c>
      <c r="H406" s="15"/>
      <c r="I406" s="15"/>
      <c r="J406" s="21"/>
      <c r="K406" s="21"/>
    </row>
    <row r="407" spans="1:11" x14ac:dyDescent="0.6">
      <c r="A407" s="17">
        <v>41913</v>
      </c>
      <c r="B407" s="15">
        <v>7.1959999999999996E-2</v>
      </c>
      <c r="C407" s="15">
        <v>2.52E-2</v>
      </c>
      <c r="D407" s="15">
        <v>4.2300000000000004E-2</v>
      </c>
      <c r="E407" s="15">
        <v>-1.6899999999999998E-2</v>
      </c>
      <c r="F407" s="30">
        <f>'FF3 Regression'!$B$17+'FF3 Regression'!$B$18*Returns!C407+'FF3 Regression'!$B$19*Returns!D407+'FF3 Regression'!$B$20*Returns!E407</f>
        <v>7.1827027350827494E-2</v>
      </c>
      <c r="G407" s="30">
        <f t="shared" si="7"/>
        <v>1.3297264917250251E-4</v>
      </c>
      <c r="H407" s="15"/>
      <c r="I407" s="15"/>
      <c r="J407" s="21"/>
      <c r="K407" s="21"/>
    </row>
    <row r="408" spans="1:11" x14ac:dyDescent="0.6">
      <c r="A408" s="17">
        <v>41944</v>
      </c>
      <c r="B408" s="15">
        <v>0.105556</v>
      </c>
      <c r="C408" s="15">
        <v>2.5499999999999998E-2</v>
      </c>
      <c r="D408" s="15">
        <v>-2.06E-2</v>
      </c>
      <c r="E408" s="15">
        <v>-2.9900000000000003E-2</v>
      </c>
      <c r="F408" s="30">
        <f>'FF3 Regression'!$B$17+'FF3 Regression'!$B$18*Returns!C408+'FF3 Regression'!$B$19*Returns!D408+'FF3 Regression'!$B$20*Returns!E408</f>
        <v>6.638448814419233E-2</v>
      </c>
      <c r="G408" s="30">
        <f t="shared" si="7"/>
        <v>3.9171511855807667E-2</v>
      </c>
      <c r="H408" s="15"/>
      <c r="I408" s="15"/>
      <c r="J408" s="21"/>
      <c r="K408" s="21"/>
    </row>
    <row r="409" spans="1:11" x14ac:dyDescent="0.6">
      <c r="A409" s="17">
        <v>41974</v>
      </c>
      <c r="B409" s="15">
        <v>-7.1890999999999997E-2</v>
      </c>
      <c r="C409" s="15">
        <v>-5.9999999999999995E-4</v>
      </c>
      <c r="D409" s="15">
        <v>2.5399999999999999E-2</v>
      </c>
      <c r="E409" s="15">
        <v>2.07E-2</v>
      </c>
      <c r="F409" s="30">
        <f>'FF3 Regression'!$B$17+'FF3 Regression'!$B$18*Returns!C409+'FF3 Regression'!$B$19*Returns!D409+'FF3 Regression'!$B$20*Returns!E409</f>
        <v>1.5699006881097419E-3</v>
      </c>
      <c r="G409" s="30">
        <f t="shared" si="7"/>
        <v>-7.3460900688109732E-2</v>
      </c>
      <c r="H409" s="15"/>
      <c r="I409" s="15"/>
      <c r="J409" s="21"/>
      <c r="K409" s="21"/>
    </row>
    <row r="410" spans="1:11" x14ac:dyDescent="0.6">
      <c r="A410" s="17">
        <v>42005</v>
      </c>
      <c r="B410" s="15">
        <v>6.1423999999999999E-2</v>
      </c>
      <c r="C410" s="15">
        <v>-3.1099999999999999E-2</v>
      </c>
      <c r="D410" s="15">
        <v>-5.6999999999999993E-3</v>
      </c>
      <c r="E410" s="15">
        <v>-3.4700000000000002E-2</v>
      </c>
      <c r="F410" s="30">
        <f>'FF3 Regression'!$B$17+'FF3 Regression'!$B$18*Returns!C410+'FF3 Regression'!$B$19*Returns!D410+'FF3 Regression'!$B$20*Returns!E410</f>
        <v>5.4029258113690547E-3</v>
      </c>
      <c r="G410" s="30">
        <f t="shared" si="7"/>
        <v>5.6021074188630948E-2</v>
      </c>
      <c r="H410" s="15"/>
      <c r="I410" s="15"/>
      <c r="J410" s="21"/>
      <c r="K410" s="21"/>
    </row>
    <row r="411" spans="1:11" x14ac:dyDescent="0.6">
      <c r="A411" s="17">
        <v>42036</v>
      </c>
      <c r="B411" s="15">
        <v>0.10046099999999999</v>
      </c>
      <c r="C411" s="15">
        <v>6.13E-2</v>
      </c>
      <c r="D411" s="15">
        <v>5.3E-3</v>
      </c>
      <c r="E411" s="15">
        <v>-1.77E-2</v>
      </c>
      <c r="F411" s="30">
        <f>'FF3 Regression'!$B$17+'FF3 Regression'!$B$18*Returns!C411+'FF3 Regression'!$B$19*Returns!D411+'FF3 Regression'!$B$20*Returns!E411</f>
        <v>0.10653994081136807</v>
      </c>
      <c r="G411" s="30">
        <f t="shared" si="7"/>
        <v>-6.0789408113680748E-3</v>
      </c>
      <c r="H411" s="15"/>
      <c r="I411" s="15"/>
      <c r="J411" s="21"/>
      <c r="K411" s="21"/>
    </row>
    <row r="412" spans="1:11" x14ac:dyDescent="0.6">
      <c r="A412" s="17">
        <v>42064</v>
      </c>
      <c r="B412" s="15">
        <v>-3.1371999999999997E-2</v>
      </c>
      <c r="C412" s="15">
        <v>-1.1200000000000002E-2</v>
      </c>
      <c r="D412" s="15">
        <v>3.0499999999999999E-2</v>
      </c>
      <c r="E412" s="15">
        <v>-4.5000000000000005E-3</v>
      </c>
      <c r="F412" s="30">
        <f>'FF3 Regression'!$B$17+'FF3 Regression'!$B$18*Returns!C412+'FF3 Regression'!$B$19*Returns!D412+'FF3 Regression'!$B$20*Returns!E412</f>
        <v>1.2693797472575531E-2</v>
      </c>
      <c r="G412" s="30">
        <f t="shared" si="7"/>
        <v>-4.4065797472575524E-2</v>
      </c>
      <c r="H412" s="15"/>
      <c r="I412" s="15"/>
      <c r="J412" s="21"/>
      <c r="K412" s="21"/>
    </row>
    <row r="413" spans="1:11" x14ac:dyDescent="0.6">
      <c r="A413" s="17">
        <v>42095</v>
      </c>
      <c r="B413" s="15">
        <v>5.7860000000000003E-3</v>
      </c>
      <c r="C413" s="15">
        <v>5.8999999999999999E-3</v>
      </c>
      <c r="D413" s="15">
        <v>-2.9700000000000001E-2</v>
      </c>
      <c r="E413" s="15">
        <v>1.8500000000000003E-2</v>
      </c>
      <c r="F413" s="30">
        <f>'FF3 Regression'!$B$17+'FF3 Regression'!$B$18*Returns!C413+'FF3 Regression'!$B$19*Returns!D413+'FF3 Regression'!$B$20*Returns!E413</f>
        <v>-3.8239203575956629E-3</v>
      </c>
      <c r="G413" s="30">
        <f t="shared" si="7"/>
        <v>9.6099203575956624E-3</v>
      </c>
      <c r="H413" s="15"/>
      <c r="I413" s="15"/>
      <c r="J413" s="21"/>
      <c r="K413" s="21"/>
    </row>
    <row r="414" spans="1:11" x14ac:dyDescent="0.6">
      <c r="A414" s="17">
        <v>42125</v>
      </c>
      <c r="B414" s="15">
        <v>4.5145999999999999E-2</v>
      </c>
      <c r="C414" s="15">
        <v>1.3600000000000001E-2</v>
      </c>
      <c r="D414" s="15">
        <v>9.3999999999999986E-3</v>
      </c>
      <c r="E414" s="15">
        <v>-1.3300000000000001E-2</v>
      </c>
      <c r="F414" s="30">
        <f>'FF3 Regression'!$B$17+'FF3 Regression'!$B$18*Returns!C414+'FF3 Regression'!$B$19*Returns!D414+'FF3 Regression'!$B$20*Returns!E414</f>
        <v>4.5179712819808412E-2</v>
      </c>
      <c r="G414" s="30">
        <f t="shared" si="7"/>
        <v>-3.3712819808413841E-5</v>
      </c>
      <c r="H414" s="15"/>
      <c r="I414" s="15"/>
      <c r="J414" s="21"/>
      <c r="K414" s="21"/>
    </row>
    <row r="415" spans="1:11" x14ac:dyDescent="0.6">
      <c r="A415" s="17">
        <v>42156</v>
      </c>
      <c r="B415" s="15">
        <v>-3.7266000000000001E-2</v>
      </c>
      <c r="C415" s="15">
        <v>-1.5300000000000001E-2</v>
      </c>
      <c r="D415" s="15">
        <v>2.81E-2</v>
      </c>
      <c r="E415" s="15">
        <v>-8.1000000000000013E-3</v>
      </c>
      <c r="F415" s="30">
        <f>'FF3 Regression'!$B$17+'FF3 Regression'!$B$18*Returns!C415+'FF3 Regression'!$B$19*Returns!D415+'FF3 Regression'!$B$20*Returns!E415</f>
        <v>1.023798872849707E-2</v>
      </c>
      <c r="G415" s="30">
        <f t="shared" si="7"/>
        <v>-4.7503988728497072E-2</v>
      </c>
      <c r="H415" s="15"/>
      <c r="I415" s="15"/>
      <c r="J415" s="21"/>
      <c r="K415" s="21"/>
    </row>
    <row r="416" spans="1:11" x14ac:dyDescent="0.6">
      <c r="A416" s="17">
        <v>42186</v>
      </c>
      <c r="B416" s="15">
        <v>-3.2888000000000001E-2</v>
      </c>
      <c r="C416" s="15">
        <v>1.54E-2</v>
      </c>
      <c r="D416" s="15">
        <v>-4.1500000000000002E-2</v>
      </c>
      <c r="E416" s="15">
        <v>-4.1399999999999999E-2</v>
      </c>
      <c r="F416" s="30">
        <f>'FF3 Regression'!$B$17+'FF3 Regression'!$B$18*Returns!C416+'FF3 Regression'!$B$19*Returns!D416+'FF3 Regression'!$B$20*Returns!E416</f>
        <v>5.853032763789523E-2</v>
      </c>
      <c r="G416" s="30">
        <f t="shared" si="7"/>
        <v>-9.141832763789523E-2</v>
      </c>
      <c r="H416" s="15"/>
      <c r="I416" s="15"/>
      <c r="J416" s="21"/>
      <c r="K416" s="21"/>
    </row>
    <row r="417" spans="1:11" x14ac:dyDescent="0.6">
      <c r="A417" s="17">
        <v>42217</v>
      </c>
      <c r="B417" s="15">
        <v>-6.6116999999999995E-2</v>
      </c>
      <c r="C417" s="15">
        <v>-6.0400000000000002E-2</v>
      </c>
      <c r="D417" s="15">
        <v>4.8999999999999998E-3</v>
      </c>
      <c r="E417" s="15">
        <v>2.69E-2</v>
      </c>
      <c r="F417" s="30">
        <f>'FF3 Regression'!$B$17+'FF3 Regression'!$B$18*Returns!C417+'FF3 Regression'!$B$19*Returns!D417+'FF3 Regression'!$B$20*Returns!E417</f>
        <v>-8.311627055923794E-2</v>
      </c>
      <c r="G417" s="30">
        <f t="shared" si="7"/>
        <v>1.6999270559237945E-2</v>
      </c>
      <c r="H417" s="15"/>
      <c r="I417" s="15"/>
      <c r="J417" s="21"/>
      <c r="K417" s="21"/>
    </row>
    <row r="418" spans="1:11" x14ac:dyDescent="0.6">
      <c r="A418" s="17">
        <v>42248</v>
      </c>
      <c r="B418" s="15">
        <v>-2.1815999999999999E-2</v>
      </c>
      <c r="C418" s="15">
        <v>-3.0800000000000001E-2</v>
      </c>
      <c r="D418" s="15">
        <v>-2.64E-2</v>
      </c>
      <c r="E418" s="15">
        <v>5.3E-3</v>
      </c>
      <c r="F418" s="30">
        <f>'FF3 Regression'!$B$17+'FF3 Regression'!$B$18*Returns!C418+'FF3 Regression'!$B$19*Returns!D418+'FF3 Regression'!$B$20*Returns!E418</f>
        <v>-3.6046198407281196E-2</v>
      </c>
      <c r="G418" s="30">
        <f t="shared" si="7"/>
        <v>1.4230198407281198E-2</v>
      </c>
      <c r="H418" s="15"/>
      <c r="I418" s="15"/>
      <c r="J418" s="21"/>
      <c r="K418" s="21"/>
    </row>
    <row r="419" spans="1:11" x14ac:dyDescent="0.6">
      <c r="A419" s="17">
        <v>42278</v>
      </c>
      <c r="B419" s="15">
        <v>8.3408999999999997E-2</v>
      </c>
      <c r="C419" s="15">
        <v>7.7499999999999999E-2</v>
      </c>
      <c r="D419" s="15">
        <v>-1.9799999999999998E-2</v>
      </c>
      <c r="E419" s="15">
        <v>-8.9999999999999998E-4</v>
      </c>
      <c r="F419" s="30">
        <f>'FF3 Regression'!$B$17+'FF3 Regression'!$B$18*Returns!C419+'FF3 Regression'!$B$19*Returns!D419+'FF3 Regression'!$B$20*Returns!E419</f>
        <v>0.10428581435592693</v>
      </c>
      <c r="G419" s="30">
        <f t="shared" si="7"/>
        <v>-2.0876814355926934E-2</v>
      </c>
      <c r="H419" s="15"/>
      <c r="I419" s="15"/>
      <c r="J419" s="21"/>
      <c r="K419" s="21"/>
    </row>
    <row r="420" spans="1:11" x14ac:dyDescent="0.6">
      <c r="A420" s="17">
        <v>42309</v>
      </c>
      <c r="B420" s="15">
        <v>-5.6899999999999997E-3</v>
      </c>
      <c r="C420" s="15">
        <v>5.6000000000000008E-3</v>
      </c>
      <c r="D420" s="15">
        <v>3.6400000000000002E-2</v>
      </c>
      <c r="E420" s="15">
        <v>-5.1000000000000004E-3</v>
      </c>
      <c r="F420" s="30">
        <f>'FF3 Regression'!$B$17+'FF3 Regression'!$B$18*Returns!C420+'FF3 Regression'!$B$19*Returns!D420+'FF3 Regression'!$B$20*Returns!E420</f>
        <v>3.5495430148349022E-2</v>
      </c>
      <c r="G420" s="30">
        <f t="shared" si="7"/>
        <v>-4.1185430148349023E-2</v>
      </c>
      <c r="H420" s="15"/>
      <c r="I420" s="15"/>
      <c r="J420" s="21"/>
      <c r="K420" s="21"/>
    </row>
    <row r="421" spans="1:11" x14ac:dyDescent="0.6">
      <c r="A421" s="17">
        <v>42339</v>
      </c>
      <c r="B421" s="15">
        <v>-0.11032800000000001</v>
      </c>
      <c r="C421" s="15">
        <v>-2.1700000000000001E-2</v>
      </c>
      <c r="D421" s="15">
        <v>-2.81E-2</v>
      </c>
      <c r="E421" s="15">
        <v>-2.5699999999999997E-2</v>
      </c>
      <c r="F421" s="30">
        <f>'FF3 Regression'!$B$17+'FF3 Regression'!$B$18*Returns!C421+'FF3 Regression'!$B$19*Returns!D421+'FF3 Regression'!$B$20*Returns!E421</f>
        <v>2.5858294295453138E-3</v>
      </c>
      <c r="G421" s="30">
        <f t="shared" si="7"/>
        <v>-0.11291382942954532</v>
      </c>
      <c r="H421" s="15"/>
      <c r="I421" s="15"/>
      <c r="J421" s="21"/>
      <c r="K421" s="21"/>
    </row>
    <row r="422" spans="1:11" x14ac:dyDescent="0.6">
      <c r="A422" s="17">
        <v>42370</v>
      </c>
      <c r="B422" s="15">
        <v>-7.5342000000000006E-2</v>
      </c>
      <c r="C422" s="15">
        <v>-5.7700000000000001E-2</v>
      </c>
      <c r="D422" s="15">
        <v>-3.39E-2</v>
      </c>
      <c r="E422" s="15">
        <v>2.1000000000000001E-2</v>
      </c>
      <c r="F422" s="30">
        <f>'FF3 Regression'!$B$17+'FF3 Regression'!$B$18*Returns!C422+'FF3 Regression'!$B$19*Returns!D422+'FF3 Regression'!$B$20*Returns!E422</f>
        <v>-8.5296967424560027E-2</v>
      </c>
      <c r="G422" s="30">
        <f t="shared" si="7"/>
        <v>9.9549674245600211E-3</v>
      </c>
      <c r="H422" s="15"/>
      <c r="I422" s="15"/>
      <c r="J422" s="21"/>
      <c r="K422" s="21"/>
    </row>
    <row r="423" spans="1:11" x14ac:dyDescent="0.6">
      <c r="A423" s="17">
        <v>42401</v>
      </c>
      <c r="B423" s="15">
        <v>-1.5350000000000001E-3</v>
      </c>
      <c r="C423" s="15">
        <v>-6.9999999999999999E-4</v>
      </c>
      <c r="D423" s="15">
        <v>7.8000000000000005E-3</v>
      </c>
      <c r="E423" s="15">
        <v>-4.7999999999999996E-3</v>
      </c>
      <c r="F423" s="30">
        <f>'FF3 Regression'!$B$17+'FF3 Regression'!$B$18*Returns!C423+'FF3 Regression'!$B$19*Returns!D423+'FF3 Regression'!$B$20*Returns!E423</f>
        <v>1.9524495524675861E-2</v>
      </c>
      <c r="G423" s="30">
        <f t="shared" si="7"/>
        <v>-2.1059495524675863E-2</v>
      </c>
      <c r="H423" s="15"/>
      <c r="I423" s="15"/>
      <c r="J423" s="21"/>
      <c r="K423" s="21"/>
    </row>
    <row r="424" spans="1:11" x14ac:dyDescent="0.6">
      <c r="A424" s="17">
        <v>42430</v>
      </c>
      <c r="B424" s="15">
        <v>0.12701099999999999</v>
      </c>
      <c r="C424" s="15">
        <v>6.9599999999999995E-2</v>
      </c>
      <c r="D424" s="15">
        <v>8.8999999999999999E-3</v>
      </c>
      <c r="E424" s="15">
        <v>1.1399999999999999E-2</v>
      </c>
      <c r="F424" s="30">
        <f>'FF3 Regression'!$B$17+'FF3 Regression'!$B$18*Returns!C424+'FF3 Regression'!$B$19*Returns!D424+'FF3 Regression'!$B$20*Returns!E424</f>
        <v>9.1502889108984159E-2</v>
      </c>
      <c r="G424" s="30">
        <f t="shared" si="7"/>
        <v>3.5508110891015826E-2</v>
      </c>
      <c r="H424" s="15"/>
      <c r="I424" s="15"/>
      <c r="J424" s="21"/>
      <c r="K424" s="21"/>
    </row>
    <row r="425" spans="1:11" x14ac:dyDescent="0.6">
      <c r="A425" s="17">
        <v>42461</v>
      </c>
      <c r="B425" s="15">
        <v>-0.14002099999999998</v>
      </c>
      <c r="C425" s="15">
        <v>9.2000000000000016E-3</v>
      </c>
      <c r="D425" s="15">
        <v>6.7000000000000002E-3</v>
      </c>
      <c r="E425" s="15">
        <v>3.2500000000000001E-2</v>
      </c>
      <c r="F425" s="30">
        <f>'FF3 Regression'!$B$17+'FF3 Regression'!$B$18*Returns!C425+'FF3 Regression'!$B$19*Returns!D425+'FF3 Regression'!$B$20*Returns!E425</f>
        <v>-2.2487869979056149E-3</v>
      </c>
      <c r="G425" s="30">
        <f t="shared" si="7"/>
        <v>-0.13777221300209436</v>
      </c>
      <c r="H425" s="15"/>
      <c r="I425" s="15"/>
      <c r="J425" s="21"/>
      <c r="K425" s="21"/>
    </row>
    <row r="426" spans="1:11" x14ac:dyDescent="0.6">
      <c r="A426" s="17">
        <v>42491</v>
      </c>
      <c r="B426" s="15">
        <v>7.1267999999999998E-2</v>
      </c>
      <c r="C426" s="15">
        <v>1.78E-2</v>
      </c>
      <c r="D426" s="15">
        <v>-2.5999999999999999E-3</v>
      </c>
      <c r="E426" s="15">
        <v>-1.8000000000000002E-2</v>
      </c>
      <c r="F426" s="30">
        <f>'FF3 Regression'!$B$17+'FF3 Regression'!$B$18*Returns!C426+'FF3 Regression'!$B$19*Returns!D426+'FF3 Regression'!$B$20*Returns!E426</f>
        <v>5.1226000119047016E-2</v>
      </c>
      <c r="G426" s="30">
        <f t="shared" si="7"/>
        <v>2.0041999880952982E-2</v>
      </c>
      <c r="H426" s="15"/>
      <c r="I426" s="15"/>
      <c r="J426" s="21"/>
      <c r="K426" s="21"/>
    </row>
    <row r="427" spans="1:11" x14ac:dyDescent="0.6">
      <c r="A427" s="17">
        <v>42522</v>
      </c>
      <c r="B427" s="15">
        <v>-4.2859999999999995E-2</v>
      </c>
      <c r="C427" s="15">
        <v>-5.0000000000000001E-4</v>
      </c>
      <c r="D427" s="15">
        <v>6.5000000000000006E-3</v>
      </c>
      <c r="E427" s="15">
        <v>-1.49E-2</v>
      </c>
      <c r="F427" s="30">
        <f>'FF3 Regression'!$B$17+'FF3 Regression'!$B$18*Returns!C427+'FF3 Regression'!$B$19*Returns!D427+'FF3 Regression'!$B$20*Returns!E427</f>
        <v>2.8510156125125124E-2</v>
      </c>
      <c r="G427" s="30">
        <f t="shared" si="7"/>
        <v>-7.1370156125125123E-2</v>
      </c>
      <c r="H427" s="15"/>
      <c r="I427" s="15"/>
      <c r="J427" s="21"/>
      <c r="K427" s="21"/>
    </row>
    <row r="428" spans="1:11" x14ac:dyDescent="0.6">
      <c r="A428" s="17">
        <v>42552</v>
      </c>
      <c r="B428" s="15">
        <v>8.9862999999999998E-2</v>
      </c>
      <c r="C428" s="15">
        <v>3.95E-2</v>
      </c>
      <c r="D428" s="15">
        <v>2.64E-2</v>
      </c>
      <c r="E428" s="15">
        <v>-1.1299999999999999E-2</v>
      </c>
      <c r="F428" s="30">
        <f>'FF3 Regression'!$B$17+'FF3 Regression'!$B$18*Returns!C428+'FF3 Regression'!$B$19*Returns!D428+'FF3 Regression'!$B$20*Returns!E428</f>
        <v>7.9898573634029038E-2</v>
      </c>
      <c r="G428" s="30">
        <f t="shared" si="7"/>
        <v>9.9644263659709603E-3</v>
      </c>
      <c r="H428" s="15"/>
      <c r="I428" s="15"/>
      <c r="J428" s="21"/>
      <c r="K428" s="21"/>
    </row>
    <row r="429" spans="1:11" x14ac:dyDescent="0.6">
      <c r="A429" s="17">
        <v>42583</v>
      </c>
      <c r="B429" s="15">
        <v>2.3406E-2</v>
      </c>
      <c r="C429" s="15">
        <v>5.0000000000000001E-3</v>
      </c>
      <c r="D429" s="15">
        <v>1.1699999999999999E-2</v>
      </c>
      <c r="E429" s="15">
        <v>3.3399999999999999E-2</v>
      </c>
      <c r="F429" s="30">
        <f>'FF3 Regression'!$B$17+'FF3 Regression'!$B$18*Returns!C429+'FF3 Regression'!$B$19*Returns!D429+'FF3 Regression'!$B$20*Returns!E429</f>
        <v>-6.8208976807242333E-3</v>
      </c>
      <c r="G429" s="30">
        <f t="shared" si="7"/>
        <v>3.0226897680724233E-2</v>
      </c>
      <c r="H429" s="15"/>
      <c r="I429" s="15"/>
      <c r="J429" s="21"/>
      <c r="K429" s="21"/>
    </row>
    <row r="430" spans="1:11" x14ac:dyDescent="0.6">
      <c r="A430" s="17">
        <v>42614</v>
      </c>
      <c r="B430" s="15">
        <v>6.5304000000000001E-2</v>
      </c>
      <c r="C430" s="15">
        <v>2.5000000000000001E-3</v>
      </c>
      <c r="D430" s="15">
        <v>2.0099999999999996E-2</v>
      </c>
      <c r="E430" s="15">
        <v>-1.49E-2</v>
      </c>
      <c r="F430" s="30">
        <f>'FF3 Regression'!$B$17+'FF3 Regression'!$B$18*Returns!C430+'FF3 Regression'!$B$19*Returns!D430+'FF3 Regression'!$B$20*Returns!E430</f>
        <v>3.5981307921180102E-2</v>
      </c>
      <c r="G430" s="30">
        <f t="shared" si="7"/>
        <v>2.9322692078819899E-2</v>
      </c>
      <c r="H430" s="15"/>
      <c r="I430" s="15"/>
      <c r="J430" s="21"/>
      <c r="K430" s="21"/>
    </row>
    <row r="431" spans="1:11" x14ac:dyDescent="0.6">
      <c r="A431" s="17">
        <v>42644</v>
      </c>
      <c r="B431" s="15">
        <v>4.1340000000000005E-3</v>
      </c>
      <c r="C431" s="15">
        <v>-2.0199999999999999E-2</v>
      </c>
      <c r="D431" s="15">
        <v>-4.36E-2</v>
      </c>
      <c r="E431" s="15">
        <v>4.1599999999999998E-2</v>
      </c>
      <c r="F431" s="30">
        <f>'FF3 Regression'!$B$17+'FF3 Regression'!$B$18*Returns!C431+'FF3 Regression'!$B$19*Returns!D431+'FF3 Regression'!$B$20*Returns!E431</f>
        <v>-6.054538554264164E-2</v>
      </c>
      <c r="G431" s="30">
        <f t="shared" si="7"/>
        <v>6.4679385542641646E-2</v>
      </c>
      <c r="H431" s="15"/>
      <c r="I431" s="15"/>
      <c r="J431" s="21"/>
      <c r="K431" s="21"/>
    </row>
    <row r="432" spans="1:11" x14ac:dyDescent="0.6">
      <c r="A432" s="17">
        <v>42675</v>
      </c>
      <c r="B432" s="15">
        <v>-2.1677999999999999E-2</v>
      </c>
      <c r="C432" s="15">
        <v>4.8599999999999997E-2</v>
      </c>
      <c r="D432" s="15">
        <v>5.4800000000000001E-2</v>
      </c>
      <c r="E432" s="15">
        <v>8.2699999999999996E-2</v>
      </c>
      <c r="F432" s="30">
        <f>'FF3 Regression'!$B$17+'FF3 Regression'!$B$18*Returns!C432+'FF3 Regression'!$B$19*Returns!D432+'FF3 Regression'!$B$20*Returns!E432</f>
        <v>1.4263600918261926E-2</v>
      </c>
      <c r="G432" s="30">
        <f t="shared" si="7"/>
        <v>-3.5941600918261929E-2</v>
      </c>
      <c r="H432" s="15"/>
      <c r="I432" s="15"/>
      <c r="J432" s="21"/>
      <c r="K432" s="21"/>
    </row>
    <row r="433" spans="1:11" x14ac:dyDescent="0.6">
      <c r="A433" s="17">
        <v>42705</v>
      </c>
      <c r="B433" s="15">
        <v>4.7654999999999996E-2</v>
      </c>
      <c r="C433" s="15">
        <v>1.8200000000000001E-2</v>
      </c>
      <c r="D433" s="15">
        <v>8.0000000000000004E-4</v>
      </c>
      <c r="E433" s="15">
        <v>3.61E-2</v>
      </c>
      <c r="F433" s="30">
        <f>'FF3 Regression'!$B$17+'FF3 Regression'!$B$18*Returns!C433+'FF3 Regression'!$B$19*Returns!D433+'FF3 Regression'!$B$20*Returns!E433</f>
        <v>3.9075326911168634E-3</v>
      </c>
      <c r="G433" s="30">
        <f t="shared" si="7"/>
        <v>4.3747467308883133E-2</v>
      </c>
      <c r="H433" s="15"/>
      <c r="I433" s="15"/>
      <c r="J433" s="21"/>
      <c r="K433" s="2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E0F90-4838-420A-9109-635EA1A19E6E}">
  <dimension ref="A1:G458"/>
  <sheetViews>
    <sheetView tabSelected="1" workbookViewId="0">
      <selection sqref="A1:B1"/>
    </sheetView>
  </sheetViews>
  <sheetFormatPr defaultRowHeight="15.6" x14ac:dyDescent="0.6"/>
  <cols>
    <col min="1" max="1" width="16.1484375" style="2" bestFit="1" customWidth="1"/>
    <col min="2" max="2" width="14.19921875" style="2" bestFit="1" customWidth="1"/>
    <col min="3" max="3" width="13.5" style="2" bestFit="1" customWidth="1"/>
    <col min="4" max="4" width="5.69921875" style="2" bestFit="1" customWidth="1"/>
    <col min="5" max="5" width="7.3984375" style="2" bestFit="1" customWidth="1"/>
    <col min="6" max="6" width="12.3984375" style="2" bestFit="1" customWidth="1"/>
    <col min="7" max="7" width="10.296875" style="2" bestFit="1" customWidth="1"/>
    <col min="8" max="9" width="12.25" style="2" bestFit="1" customWidth="1"/>
    <col min="10" max="16384" width="8.796875" style="2"/>
  </cols>
  <sheetData>
    <row r="1" spans="1:7" x14ac:dyDescent="0.6">
      <c r="A1" s="51" t="s">
        <v>17</v>
      </c>
      <c r="B1" s="51"/>
    </row>
    <row r="2" spans="1:7" ht="15.9" thickBot="1" x14ac:dyDescent="0.65"/>
    <row r="3" spans="1:7" x14ac:dyDescent="0.6">
      <c r="A3" s="50" t="s">
        <v>18</v>
      </c>
      <c r="B3" s="50"/>
    </row>
    <row r="4" spans="1:7" x14ac:dyDescent="0.6">
      <c r="A4" s="3"/>
      <c r="B4" s="4"/>
    </row>
    <row r="5" spans="1:7" x14ac:dyDescent="0.6">
      <c r="A5" s="3" t="s">
        <v>19</v>
      </c>
      <c r="B5" s="33">
        <v>0.26429244885088865</v>
      </c>
    </row>
    <row r="6" spans="1:7" x14ac:dyDescent="0.6">
      <c r="A6" s="3" t="s">
        <v>20</v>
      </c>
      <c r="B6" s="32">
        <v>0.25913562022133879</v>
      </c>
    </row>
    <row r="7" spans="1:7" x14ac:dyDescent="0.6">
      <c r="A7" s="3" t="s">
        <v>21</v>
      </c>
      <c r="B7" s="4">
        <v>0.11598210831235901</v>
      </c>
    </row>
    <row r="8" spans="1:7" ht="15.9" thickBot="1" x14ac:dyDescent="0.65">
      <c r="A8" s="7" t="s">
        <v>22</v>
      </c>
      <c r="B8" s="7">
        <v>432</v>
      </c>
    </row>
    <row r="10" spans="1:7" ht="15.9" thickBot="1" x14ac:dyDescent="0.65">
      <c r="A10" s="2" t="s">
        <v>23</v>
      </c>
    </row>
    <row r="11" spans="1:7" x14ac:dyDescent="0.6">
      <c r="A11" s="8"/>
      <c r="B11" s="8" t="s">
        <v>28</v>
      </c>
      <c r="C11" s="8" t="s">
        <v>29</v>
      </c>
      <c r="D11" s="8" t="s">
        <v>30</v>
      </c>
      <c r="E11" s="8" t="s">
        <v>31</v>
      </c>
      <c r="F11" s="8" t="s">
        <v>32</v>
      </c>
    </row>
    <row r="12" spans="1:7" x14ac:dyDescent="0.6">
      <c r="A12" s="3" t="s">
        <v>24</v>
      </c>
      <c r="B12" s="3">
        <v>3</v>
      </c>
      <c r="C12" s="4">
        <v>2.0682608368831747</v>
      </c>
      <c r="D12" s="4">
        <v>0.68942027896105829</v>
      </c>
      <c r="E12" s="9">
        <v>51.250966017453159</v>
      </c>
      <c r="F12" s="6">
        <v>2.5536691954038658E-28</v>
      </c>
    </row>
    <row r="13" spans="1:7" x14ac:dyDescent="0.6">
      <c r="A13" s="3" t="s">
        <v>25</v>
      </c>
      <c r="B13" s="3">
        <v>428</v>
      </c>
      <c r="C13" s="4">
        <v>5.7573915639921456</v>
      </c>
      <c r="D13" s="4">
        <v>1.3451849448579779E-2</v>
      </c>
      <c r="E13" s="4"/>
      <c r="F13" s="4"/>
    </row>
    <row r="14" spans="1:7" ht="15.9" thickBot="1" x14ac:dyDescent="0.65">
      <c r="A14" s="7" t="s">
        <v>26</v>
      </c>
      <c r="B14" s="7">
        <v>431</v>
      </c>
      <c r="C14" s="10">
        <v>7.8256524008753203</v>
      </c>
      <c r="D14" s="10"/>
      <c r="E14" s="10"/>
      <c r="F14" s="10"/>
    </row>
    <row r="15" spans="1:7" ht="15.9" thickBot="1" x14ac:dyDescent="0.65"/>
    <row r="16" spans="1:7" x14ac:dyDescent="0.6">
      <c r="A16" s="8"/>
      <c r="B16" s="8" t="s">
        <v>33</v>
      </c>
      <c r="C16" s="8" t="s">
        <v>21</v>
      </c>
      <c r="D16" s="8" t="s">
        <v>34</v>
      </c>
      <c r="E16" s="8" t="s">
        <v>35</v>
      </c>
      <c r="F16" s="8" t="s">
        <v>36</v>
      </c>
      <c r="G16" s="8" t="s">
        <v>37</v>
      </c>
    </row>
    <row r="17" spans="1:7" x14ac:dyDescent="0.6">
      <c r="A17" s="3" t="s">
        <v>27</v>
      </c>
      <c r="B17" s="4">
        <v>1.3884184886749492E-2</v>
      </c>
      <c r="C17" s="4">
        <v>5.7216257200284537E-3</v>
      </c>
      <c r="D17" s="4">
        <v>2.4266153653057274</v>
      </c>
      <c r="E17" s="4">
        <v>1.5652454930658633E-2</v>
      </c>
      <c r="F17" s="4">
        <v>2.6382030004273339E-3</v>
      </c>
      <c r="G17" s="4">
        <v>2.5130166773071651E-2</v>
      </c>
    </row>
    <row r="18" spans="1:7" x14ac:dyDescent="0.6">
      <c r="A18" s="3" t="s">
        <v>0</v>
      </c>
      <c r="B18" s="4">
        <v>1.2271958570952037</v>
      </c>
      <c r="C18" s="4">
        <v>0.13289505124378864</v>
      </c>
      <c r="D18" s="4">
        <v>9.2343232167763762</v>
      </c>
      <c r="E18" s="4">
        <v>1.2169090262194339E-18</v>
      </c>
      <c r="F18" s="4">
        <v>0.96598769490488312</v>
      </c>
      <c r="G18" s="4">
        <v>1.4884040192855243</v>
      </c>
    </row>
    <row r="19" spans="1:7" x14ac:dyDescent="0.6">
      <c r="A19" s="3" t="s">
        <v>1</v>
      </c>
      <c r="B19" s="4">
        <v>0.27864442829186514</v>
      </c>
      <c r="C19" s="4">
        <v>0.19445569928008538</v>
      </c>
      <c r="D19" s="4">
        <v>1.4329455465870302</v>
      </c>
      <c r="E19" s="4">
        <v>0.15260341408919328</v>
      </c>
      <c r="F19" s="4">
        <v>-0.10356254902595108</v>
      </c>
      <c r="G19" s="4">
        <v>0.66085140560968136</v>
      </c>
    </row>
    <row r="20" spans="1:7" ht="15.9" thickBot="1" x14ac:dyDescent="0.65">
      <c r="A20" s="7" t="s">
        <v>2</v>
      </c>
      <c r="B20" s="10">
        <v>-0.90123358275343013</v>
      </c>
      <c r="C20" s="10">
        <v>0.20395809011437729</v>
      </c>
      <c r="D20" s="10">
        <v>-4.41871946461172</v>
      </c>
      <c r="E20" s="10">
        <v>1.2596995618952944E-5</v>
      </c>
      <c r="F20" s="10">
        <v>-1.302117719401177</v>
      </c>
      <c r="G20" s="10">
        <v>-0.50034944610568322</v>
      </c>
    </row>
    <row r="24" spans="1:7" x14ac:dyDescent="0.6">
      <c r="A24" t="s">
        <v>41</v>
      </c>
      <c r="B24"/>
      <c r="C24"/>
    </row>
    <row r="25" spans="1:7" ht="15.9" thickBot="1" x14ac:dyDescent="0.65">
      <c r="A25"/>
      <c r="B25"/>
      <c r="C25"/>
    </row>
    <row r="26" spans="1:7" x14ac:dyDescent="0.6">
      <c r="A26" s="12" t="s">
        <v>42</v>
      </c>
      <c r="B26" s="38" t="s">
        <v>38</v>
      </c>
      <c r="C26" s="38" t="s">
        <v>43</v>
      </c>
    </row>
    <row r="27" spans="1:7" x14ac:dyDescent="0.6">
      <c r="A27" s="35">
        <v>1</v>
      </c>
      <c r="B27" s="39">
        <v>-0.10134165388070278</v>
      </c>
      <c r="C27" s="39">
        <v>-7.9076346119297217E-2</v>
      </c>
    </row>
    <row r="28" spans="1:7" x14ac:dyDescent="0.6">
      <c r="A28" s="35">
        <v>2</v>
      </c>
      <c r="B28" s="39">
        <v>1.115071820606958E-2</v>
      </c>
      <c r="C28" s="39">
        <v>-8.3524718206069576E-2</v>
      </c>
    </row>
    <row r="29" spans="1:7" x14ac:dyDescent="0.6">
      <c r="A29" s="35">
        <v>3</v>
      </c>
      <c r="B29" s="39">
        <v>6.1689809644290217E-2</v>
      </c>
      <c r="C29" s="39">
        <v>-0.14890680964429021</v>
      </c>
    </row>
    <row r="30" spans="1:7" x14ac:dyDescent="0.6">
      <c r="A30" s="35">
        <v>4</v>
      </c>
      <c r="B30" s="39">
        <v>-1.993872335197687E-2</v>
      </c>
      <c r="C30" s="39">
        <v>0.16649872335197685</v>
      </c>
    </row>
    <row r="31" spans="1:7" x14ac:dyDescent="0.6">
      <c r="A31" s="35">
        <v>5</v>
      </c>
      <c r="B31" s="39">
        <v>2.4772416659506614E-2</v>
      </c>
      <c r="C31" s="39">
        <v>0.12820158334049339</v>
      </c>
    </row>
    <row r="32" spans="1:7" x14ac:dyDescent="0.6">
      <c r="A32" s="35">
        <v>6</v>
      </c>
      <c r="B32" s="39">
        <v>-6.3679397776429128E-2</v>
      </c>
      <c r="C32" s="39">
        <v>-0.16450960222357086</v>
      </c>
    </row>
    <row r="33" spans="1:3" x14ac:dyDescent="0.6">
      <c r="A33" s="35">
        <v>7</v>
      </c>
      <c r="B33" s="39">
        <v>-5.3834438351035097E-3</v>
      </c>
      <c r="C33" s="39">
        <v>-4.5385556164896493E-2</v>
      </c>
    </row>
    <row r="34" spans="1:3" x14ac:dyDescent="0.6">
      <c r="A34" s="35">
        <v>8</v>
      </c>
      <c r="B34" s="39">
        <v>-0.12135083226572538</v>
      </c>
      <c r="C34" s="39">
        <v>-8.596316773427462E-2</v>
      </c>
    </row>
    <row r="35" spans="1:3" x14ac:dyDescent="0.6">
      <c r="A35" s="35">
        <v>9</v>
      </c>
      <c r="B35" s="39">
        <v>-0.12820159944616794</v>
      </c>
      <c r="C35" s="39">
        <v>-0.12568440055383207</v>
      </c>
    </row>
    <row r="36" spans="1:3" x14ac:dyDescent="0.6">
      <c r="A36" s="35">
        <v>10</v>
      </c>
      <c r="B36" s="39">
        <v>0.11816714565519884</v>
      </c>
      <c r="C36" s="39">
        <v>0.17993685434480114</v>
      </c>
    </row>
    <row r="37" spans="1:3" x14ac:dyDescent="0.6">
      <c r="A37" s="35">
        <v>11</v>
      </c>
      <c r="B37" s="39">
        <v>3.5381800016677421E-2</v>
      </c>
      <c r="C37" s="39">
        <v>-0.11461780001667743</v>
      </c>
    </row>
    <row r="38" spans="1:3" x14ac:dyDescent="0.6">
      <c r="A38" s="35">
        <v>12</v>
      </c>
      <c r="B38" s="39">
        <v>-3.4407575956861343E-2</v>
      </c>
      <c r="C38" s="39">
        <v>0.21299857595686134</v>
      </c>
    </row>
    <row r="39" spans="1:3" x14ac:dyDescent="0.6">
      <c r="A39" s="35">
        <v>13</v>
      </c>
      <c r="B39" s="39">
        <v>-5.7742344063728697E-2</v>
      </c>
      <c r="C39" s="39">
        <v>-2.9130655936271309E-2</v>
      </c>
    </row>
    <row r="40" spans="1:3" x14ac:dyDescent="0.6">
      <c r="A40" s="35">
        <v>14</v>
      </c>
      <c r="B40" s="39">
        <v>-0.11139687755636171</v>
      </c>
      <c r="C40" s="39">
        <v>-1.7791224436382869E-3</v>
      </c>
    </row>
    <row r="41" spans="1:3" x14ac:dyDescent="0.6">
      <c r="A41" s="35">
        <v>15</v>
      </c>
      <c r="B41" s="39">
        <v>-4.3688295925594207E-2</v>
      </c>
      <c r="C41" s="39">
        <v>-4.1196704074405795E-2</v>
      </c>
    </row>
    <row r="42" spans="1:3" x14ac:dyDescent="0.6">
      <c r="A42" s="35">
        <v>16</v>
      </c>
      <c r="B42" s="39">
        <v>8.354568395634121E-2</v>
      </c>
      <c r="C42" s="39">
        <v>-0.2203066839563412</v>
      </c>
    </row>
    <row r="43" spans="1:3" x14ac:dyDescent="0.6">
      <c r="A43" s="35">
        <v>17</v>
      </c>
      <c r="B43" s="39">
        <v>-5.0173752204489802E-2</v>
      </c>
      <c r="C43" s="39">
        <v>-1.1059247795510194E-2</v>
      </c>
    </row>
    <row r="44" spans="1:3" x14ac:dyDescent="0.6">
      <c r="A44" s="35">
        <v>18</v>
      </c>
      <c r="B44" s="39">
        <v>-3.8759371910236554E-2</v>
      </c>
      <c r="C44" s="39">
        <v>-5.972962808976344E-2</v>
      </c>
    </row>
    <row r="45" spans="1:3" x14ac:dyDescent="0.6">
      <c r="A45" s="35">
        <v>19</v>
      </c>
      <c r="B45" s="39">
        <v>-2.4274600131065981E-2</v>
      </c>
      <c r="C45" s="39">
        <v>7.2311600131065981E-2</v>
      </c>
    </row>
    <row r="46" spans="1:3" x14ac:dyDescent="0.6">
      <c r="A46" s="35">
        <v>20</v>
      </c>
      <c r="B46" s="39">
        <v>0.12880519560552428</v>
      </c>
      <c r="C46" s="39">
        <v>0.19539180439447573</v>
      </c>
    </row>
    <row r="47" spans="1:3" x14ac:dyDescent="0.6">
      <c r="A47" s="35">
        <v>21</v>
      </c>
      <c r="B47" s="39">
        <v>3.479376459782621E-2</v>
      </c>
      <c r="C47" s="39">
        <v>-2.6052764597826211E-2</v>
      </c>
    </row>
    <row r="48" spans="1:3" x14ac:dyDescent="0.6">
      <c r="A48" s="35">
        <v>22</v>
      </c>
      <c r="B48" s="39">
        <v>0.19256909116634782</v>
      </c>
      <c r="C48" s="39">
        <v>0.18719690883365217</v>
      </c>
    </row>
    <row r="49" spans="1:3" x14ac:dyDescent="0.6">
      <c r="A49" s="35">
        <v>23</v>
      </c>
      <c r="B49" s="39">
        <v>0.10244798338223991</v>
      </c>
      <c r="C49" s="39">
        <v>0.1474100166177601</v>
      </c>
    </row>
    <row r="50" spans="1:3" x14ac:dyDescent="0.6">
      <c r="A50" s="35">
        <v>24</v>
      </c>
      <c r="B50" s="39">
        <v>1.9237498576882114E-2</v>
      </c>
      <c r="C50" s="39">
        <v>-8.868249857688211E-2</v>
      </c>
    </row>
    <row r="51" spans="1:3" x14ac:dyDescent="0.6">
      <c r="A51" s="35">
        <v>25</v>
      </c>
      <c r="B51" s="39">
        <v>7.3309379674907499E-2</v>
      </c>
      <c r="C51" s="39">
        <v>0.28799162032509251</v>
      </c>
    </row>
    <row r="52" spans="1:3" x14ac:dyDescent="0.6">
      <c r="A52" s="35">
        <v>26</v>
      </c>
      <c r="B52" s="39">
        <v>4.8838618774274402E-2</v>
      </c>
      <c r="C52" s="39">
        <v>6.1169381225725607E-2</v>
      </c>
    </row>
    <row r="53" spans="1:3" x14ac:dyDescent="0.6">
      <c r="A53" s="35">
        <v>27</v>
      </c>
      <c r="B53" s="39">
        <v>3.4559468115224375E-2</v>
      </c>
      <c r="C53" s="39">
        <v>-0.11483246811522438</v>
      </c>
    </row>
    <row r="54" spans="1:3" x14ac:dyDescent="0.6">
      <c r="A54" s="35">
        <v>28</v>
      </c>
      <c r="B54" s="39">
        <v>9.2313908205460982E-2</v>
      </c>
      <c r="C54" s="39">
        <v>9.5852091794539018E-2</v>
      </c>
    </row>
    <row r="55" spans="1:3" x14ac:dyDescent="0.6">
      <c r="A55" s="35">
        <v>29</v>
      </c>
      <c r="B55" s="39">
        <v>5.0227617001522146E-2</v>
      </c>
      <c r="C55" s="39">
        <v>8.6436382998477862E-2</v>
      </c>
    </row>
    <row r="56" spans="1:3" x14ac:dyDescent="0.6">
      <c r="A56" s="35">
        <v>30</v>
      </c>
      <c r="B56" s="39">
        <v>8.8792254933035275E-2</v>
      </c>
      <c r="C56" s="39">
        <v>-0.2491722549330353</v>
      </c>
    </row>
    <row r="57" spans="1:3" x14ac:dyDescent="0.6">
      <c r="A57" s="35">
        <v>31</v>
      </c>
      <c r="B57" s="39">
        <v>-8.2553681836431497E-2</v>
      </c>
      <c r="C57" s="39">
        <v>-0.21129131816356853</v>
      </c>
    </row>
    <row r="58" spans="1:3" x14ac:dyDescent="0.6">
      <c r="A58" s="35">
        <v>32</v>
      </c>
      <c r="B58" s="39">
        <v>-5.4043857498712232E-2</v>
      </c>
      <c r="C58" s="39">
        <v>0.11454385749871222</v>
      </c>
    </row>
    <row r="59" spans="1:3" x14ac:dyDescent="0.6">
      <c r="A59" s="35">
        <v>33</v>
      </c>
      <c r="B59" s="39">
        <v>1.6821226160172086E-2</v>
      </c>
      <c r="C59" s="39">
        <v>-0.40361622616017206</v>
      </c>
    </row>
    <row r="60" spans="1:3" x14ac:dyDescent="0.6">
      <c r="A60" s="35">
        <v>34</v>
      </c>
      <c r="B60" s="39">
        <v>-8.3964971303156222E-2</v>
      </c>
      <c r="C60" s="39">
        <v>5.4742971303156224E-2</v>
      </c>
    </row>
    <row r="61" spans="1:3" x14ac:dyDescent="0.6">
      <c r="A61" s="35">
        <v>35</v>
      </c>
      <c r="B61" s="39">
        <v>5.1545622149126682E-2</v>
      </c>
      <c r="C61" s="39">
        <v>-0.15799362214912666</v>
      </c>
    </row>
    <row r="62" spans="1:3" x14ac:dyDescent="0.6">
      <c r="A62" s="35">
        <v>36</v>
      </c>
      <c r="B62" s="39">
        <v>-2.3936558844678355E-2</v>
      </c>
      <c r="C62" s="39">
        <v>0.21295555884467834</v>
      </c>
    </row>
    <row r="63" spans="1:3" x14ac:dyDescent="0.6">
      <c r="A63" s="35">
        <v>37</v>
      </c>
      <c r="B63" s="39">
        <v>-7.9522281174115625E-2</v>
      </c>
      <c r="C63" s="39">
        <v>8.7307281174115625E-2</v>
      </c>
    </row>
    <row r="64" spans="1:3" x14ac:dyDescent="0.6">
      <c r="A64" s="35">
        <v>38</v>
      </c>
      <c r="B64" s="39">
        <v>-8.0104812370165604E-2</v>
      </c>
      <c r="C64" s="39">
        <v>0.13361081237016559</v>
      </c>
    </row>
    <row r="65" spans="1:3" x14ac:dyDescent="0.6">
      <c r="A65" s="35">
        <v>39</v>
      </c>
      <c r="B65" s="39">
        <v>1.7394525330761773E-2</v>
      </c>
      <c r="C65" s="39">
        <v>-8.1837525330761773E-2</v>
      </c>
    </row>
    <row r="66" spans="1:3" x14ac:dyDescent="0.6">
      <c r="A66" s="35">
        <v>40</v>
      </c>
      <c r="B66" s="39">
        <v>-7.4668799271671998E-3</v>
      </c>
      <c r="C66" s="39">
        <v>0.26704387992716722</v>
      </c>
    </row>
    <row r="67" spans="1:3" x14ac:dyDescent="0.6">
      <c r="A67" s="35">
        <v>41</v>
      </c>
      <c r="B67" s="39">
        <v>-6.1312922808021121E-2</v>
      </c>
      <c r="C67" s="39">
        <v>-1.0232077191978876E-2</v>
      </c>
    </row>
    <row r="68" spans="1:3" x14ac:dyDescent="0.6">
      <c r="A68" s="35">
        <v>42</v>
      </c>
      <c r="B68" s="39">
        <v>5.8759560466937422E-2</v>
      </c>
      <c r="C68" s="39">
        <v>-0.16413156046693742</v>
      </c>
    </row>
    <row r="69" spans="1:3" x14ac:dyDescent="0.6">
      <c r="A69" s="35">
        <v>43</v>
      </c>
      <c r="B69" s="39">
        <v>-2.9864451227024406E-2</v>
      </c>
      <c r="C69" s="39">
        <v>-1.6071548772975591E-2</v>
      </c>
    </row>
    <row r="70" spans="1:3" x14ac:dyDescent="0.6">
      <c r="A70" s="35">
        <v>44</v>
      </c>
      <c r="B70" s="39">
        <v>0.15571789468869002</v>
      </c>
      <c r="C70" s="39">
        <v>-0.12480189468869002</v>
      </c>
    </row>
    <row r="71" spans="1:3" x14ac:dyDescent="0.6">
      <c r="A71" s="35">
        <v>45</v>
      </c>
      <c r="B71" s="39">
        <v>-4.3231596357635543E-2</v>
      </c>
      <c r="C71" s="39">
        <v>-1.7255403642364456E-2</v>
      </c>
    </row>
    <row r="72" spans="1:3" x14ac:dyDescent="0.6">
      <c r="A72" s="35">
        <v>46</v>
      </c>
      <c r="B72" s="39">
        <v>-4.0939146495690649E-3</v>
      </c>
      <c r="C72" s="39">
        <v>-1.5856085350430937E-2</v>
      </c>
    </row>
    <row r="73" spans="1:3" x14ac:dyDescent="0.6">
      <c r="A73" s="35">
        <v>47</v>
      </c>
      <c r="B73" s="39">
        <v>-4.6212387829875613E-2</v>
      </c>
      <c r="C73" s="39">
        <v>3.3887387829875618E-2</v>
      </c>
    </row>
    <row r="74" spans="1:3" x14ac:dyDescent="0.6">
      <c r="A74" s="35">
        <v>48</v>
      </c>
      <c r="B74" s="39">
        <v>3.641494253650622E-2</v>
      </c>
      <c r="C74" s="39">
        <v>0.13395305746349379</v>
      </c>
    </row>
    <row r="75" spans="1:3" x14ac:dyDescent="0.6">
      <c r="A75" s="35">
        <v>49</v>
      </c>
      <c r="B75" s="39">
        <v>0.16983340794359</v>
      </c>
      <c r="C75" s="39">
        <v>-0.18062540794359</v>
      </c>
    </row>
    <row r="76" spans="1:3" x14ac:dyDescent="0.6">
      <c r="A76" s="35">
        <v>50</v>
      </c>
      <c r="B76" s="39">
        <v>3.2145275655908606E-2</v>
      </c>
      <c r="C76" s="39">
        <v>-0.18449727565590859</v>
      </c>
    </row>
    <row r="77" spans="1:3" x14ac:dyDescent="0.6">
      <c r="A77" s="35">
        <v>51</v>
      </c>
      <c r="B77" s="39">
        <v>-3.639900141454662E-2</v>
      </c>
      <c r="C77" s="39">
        <v>-7.586199858545338E-2</v>
      </c>
    </row>
    <row r="78" spans="1:3" x14ac:dyDescent="0.6">
      <c r="A78" s="35">
        <v>52</v>
      </c>
      <c r="B78" s="39">
        <v>-3.1032682420183453E-2</v>
      </c>
      <c r="C78" s="39">
        <v>-1.5715317579816545E-2</v>
      </c>
    </row>
    <row r="79" spans="1:3" x14ac:dyDescent="0.6">
      <c r="A79" s="35">
        <v>53</v>
      </c>
      <c r="B79" s="39">
        <v>7.800980990455858E-2</v>
      </c>
      <c r="C79" s="39">
        <v>-0.26696280990455856</v>
      </c>
    </row>
    <row r="80" spans="1:3" x14ac:dyDescent="0.6">
      <c r="A80" s="35">
        <v>54</v>
      </c>
      <c r="B80" s="39">
        <v>2.6073196365149157E-2</v>
      </c>
      <c r="C80" s="39">
        <v>4.3978036348508442E-3</v>
      </c>
    </row>
    <row r="81" spans="1:3" x14ac:dyDescent="0.6">
      <c r="A81" s="35">
        <v>55</v>
      </c>
      <c r="B81" s="39">
        <v>2.7434409149444054E-2</v>
      </c>
      <c r="C81" s="39">
        <v>-0.15169040914944404</v>
      </c>
    </row>
    <row r="82" spans="1:3" x14ac:dyDescent="0.6">
      <c r="A82" s="35">
        <v>56</v>
      </c>
      <c r="B82" s="39">
        <v>-2.0128729598592132E-2</v>
      </c>
      <c r="C82" s="39">
        <v>-4.0489270401407866E-2</v>
      </c>
    </row>
    <row r="83" spans="1:3" x14ac:dyDescent="0.6">
      <c r="A83" s="35">
        <v>57</v>
      </c>
      <c r="B83" s="39">
        <v>-5.8129372284729502E-2</v>
      </c>
      <c r="C83" s="39">
        <v>0.10212937228472951</v>
      </c>
    </row>
    <row r="84" spans="1:3" x14ac:dyDescent="0.6">
      <c r="A84" s="35">
        <v>58</v>
      </c>
      <c r="B84" s="39">
        <v>5.181311887231764E-2</v>
      </c>
      <c r="C84" s="39">
        <v>0.12422688112768236</v>
      </c>
    </row>
    <row r="85" spans="1:3" x14ac:dyDescent="0.6">
      <c r="A85" s="35">
        <v>59</v>
      </c>
      <c r="B85" s="39">
        <v>0.11991276243661343</v>
      </c>
      <c r="C85" s="39">
        <v>-4.5475762436613429E-2</v>
      </c>
    </row>
    <row r="86" spans="1:3" x14ac:dyDescent="0.6">
      <c r="A86" s="35">
        <v>60</v>
      </c>
      <c r="B86" s="39">
        <v>7.392290025954075E-2</v>
      </c>
      <c r="C86" s="39">
        <v>1.2745099740459245E-2</v>
      </c>
    </row>
    <row r="87" spans="1:3" x14ac:dyDescent="0.6">
      <c r="A87" s="35">
        <v>61</v>
      </c>
      <c r="B87" s="39">
        <v>2.0483881994435887E-2</v>
      </c>
      <c r="C87" s="39">
        <v>2.5052118005564113E-2</v>
      </c>
    </row>
    <row r="88" spans="1:3" x14ac:dyDescent="0.6">
      <c r="A88" s="35">
        <v>62</v>
      </c>
      <c r="B88" s="39">
        <v>0.10804365639162264</v>
      </c>
      <c r="C88" s="39">
        <v>-3.2262656391622638E-2</v>
      </c>
    </row>
    <row r="89" spans="1:3" x14ac:dyDescent="0.6">
      <c r="A89" s="35">
        <v>63</v>
      </c>
      <c r="B89" s="39">
        <v>7.6287819449992827E-2</v>
      </c>
      <c r="C89" s="39">
        <v>4.7712180550007172E-2</v>
      </c>
    </row>
    <row r="90" spans="1:3" x14ac:dyDescent="0.6">
      <c r="A90" s="35">
        <v>64</v>
      </c>
      <c r="B90" s="39">
        <v>3.1434442473593241E-2</v>
      </c>
      <c r="C90" s="39">
        <v>3.4161557526406761E-2</v>
      </c>
    </row>
    <row r="91" spans="1:3" x14ac:dyDescent="0.6">
      <c r="A91" s="35">
        <v>65</v>
      </c>
      <c r="B91" s="39">
        <v>6.789388397212405E-2</v>
      </c>
      <c r="C91" s="39">
        <v>0.15034611602787595</v>
      </c>
    </row>
    <row r="92" spans="1:3" x14ac:dyDescent="0.6">
      <c r="A92" s="35">
        <v>66</v>
      </c>
      <c r="B92" s="39">
        <v>1.1371367758826098E-2</v>
      </c>
      <c r="C92" s="39">
        <v>-4.6976367758826097E-2</v>
      </c>
    </row>
    <row r="93" spans="1:3" x14ac:dyDescent="0.6">
      <c r="A93" s="35">
        <v>67</v>
      </c>
      <c r="B93" s="39">
        <v>-0.1178572181860455</v>
      </c>
      <c r="C93" s="39">
        <v>-1.6262781813954519E-2</v>
      </c>
    </row>
    <row r="94" spans="1:3" x14ac:dyDescent="0.6">
      <c r="A94" s="35">
        <v>68</v>
      </c>
      <c r="B94" s="39">
        <v>4.5004214196907644E-2</v>
      </c>
      <c r="C94" s="39">
        <v>0.13439578580309236</v>
      </c>
    </row>
    <row r="95" spans="1:3" x14ac:dyDescent="0.6">
      <c r="A95" s="35">
        <v>69</v>
      </c>
      <c r="B95" s="39">
        <v>-0.11396079378994259</v>
      </c>
      <c r="C95" s="39">
        <v>1.4865793789942586E-2</v>
      </c>
    </row>
    <row r="96" spans="1:3" x14ac:dyDescent="0.6">
      <c r="A96" s="35">
        <v>70</v>
      </c>
      <c r="B96" s="39">
        <v>7.6119672213539158E-2</v>
      </c>
      <c r="C96" s="39">
        <v>-4.7137672213539157E-2</v>
      </c>
    </row>
    <row r="97" spans="1:3" x14ac:dyDescent="0.6">
      <c r="A97" s="35">
        <v>71</v>
      </c>
      <c r="B97" s="39">
        <v>2.3551131342316154E-2</v>
      </c>
      <c r="C97" s="39">
        <v>0.12778386865768387</v>
      </c>
    </row>
    <row r="98" spans="1:3" x14ac:dyDescent="0.6">
      <c r="A98" s="35">
        <v>72</v>
      </c>
      <c r="B98" s="39">
        <v>-2.9024139363545681E-2</v>
      </c>
      <c r="C98" s="39">
        <v>3.662413936354568E-2</v>
      </c>
    </row>
    <row r="99" spans="1:3" x14ac:dyDescent="0.6">
      <c r="A99" s="35">
        <v>73</v>
      </c>
      <c r="B99" s="39">
        <v>0.19035102532944706</v>
      </c>
      <c r="C99" s="39">
        <v>0.17581897467055294</v>
      </c>
    </row>
    <row r="100" spans="1:3" x14ac:dyDescent="0.6">
      <c r="A100" s="35">
        <v>74</v>
      </c>
      <c r="B100" s="39">
        <v>0.13155678852582081</v>
      </c>
      <c r="C100" s="39">
        <v>0.12540421147417918</v>
      </c>
    </row>
    <row r="101" spans="1:3" x14ac:dyDescent="0.6">
      <c r="A101" s="35">
        <v>75</v>
      </c>
      <c r="B101" s="39">
        <v>2.0260950570634477E-2</v>
      </c>
      <c r="C101" s="39">
        <v>-0.10353195057063447</v>
      </c>
    </row>
    <row r="102" spans="1:3" x14ac:dyDescent="0.6">
      <c r="A102" s="35">
        <v>76</v>
      </c>
      <c r="B102" s="39">
        <v>-1.3862655514110041E-2</v>
      </c>
      <c r="C102" s="39">
        <v>0.23814465551411004</v>
      </c>
    </row>
    <row r="103" spans="1:3" x14ac:dyDescent="0.6">
      <c r="A103" s="35">
        <v>77</v>
      </c>
      <c r="B103" s="39">
        <v>1.2703669003132401E-2</v>
      </c>
      <c r="C103" s="39">
        <v>-1.8143669003132402E-2</v>
      </c>
    </row>
    <row r="104" spans="1:3" x14ac:dyDescent="0.6">
      <c r="A104" s="35">
        <v>78</v>
      </c>
      <c r="B104" s="39">
        <v>4.6490189341246969E-2</v>
      </c>
      <c r="C104" s="39">
        <v>-2.5974189341246966E-2</v>
      </c>
    </row>
    <row r="105" spans="1:3" x14ac:dyDescent="0.6">
      <c r="A105" s="35">
        <v>79</v>
      </c>
      <c r="B105" s="39">
        <v>5.2768895889746877E-2</v>
      </c>
      <c r="C105" s="39">
        <v>-3.8849895889746876E-2</v>
      </c>
    </row>
    <row r="106" spans="1:3" x14ac:dyDescent="0.6">
      <c r="A106" s="35">
        <v>80</v>
      </c>
      <c r="B106" s="39">
        <v>6.358122932329846E-2</v>
      </c>
      <c r="C106" s="39">
        <v>0.24226377067670157</v>
      </c>
    </row>
    <row r="107" spans="1:3" x14ac:dyDescent="0.6">
      <c r="A107" s="35">
        <v>81</v>
      </c>
      <c r="B107" s="39">
        <v>-1.9064814174883527E-2</v>
      </c>
      <c r="C107" s="39">
        <v>6.0860814174883524E-2</v>
      </c>
    </row>
    <row r="108" spans="1:3" x14ac:dyDescent="0.6">
      <c r="A108" s="35">
        <v>82</v>
      </c>
      <c r="B108" s="39">
        <v>-0.33262980363999495</v>
      </c>
      <c r="C108" s="39">
        <v>1.0257803639994956E-2</v>
      </c>
    </row>
    <row r="109" spans="1:3" x14ac:dyDescent="0.6">
      <c r="A109" s="35">
        <v>83</v>
      </c>
      <c r="B109" s="39">
        <v>-0.10162646469577336</v>
      </c>
      <c r="C109" s="39">
        <v>-4.5433535304226641E-2</v>
      </c>
    </row>
    <row r="110" spans="1:3" x14ac:dyDescent="0.6">
      <c r="A110" s="35">
        <v>84</v>
      </c>
      <c r="B110" s="39">
        <v>0.13801347830251526</v>
      </c>
      <c r="C110" s="39">
        <v>0.13081352169748472</v>
      </c>
    </row>
    <row r="111" spans="1:3" x14ac:dyDescent="0.6">
      <c r="A111" s="35">
        <v>85</v>
      </c>
      <c r="B111" s="39">
        <v>1.7094966602337523E-2</v>
      </c>
      <c r="C111" s="39">
        <v>-3.1899966602337522E-2</v>
      </c>
    </row>
    <row r="112" spans="1:3" x14ac:dyDescent="0.6">
      <c r="A112" s="35">
        <v>86</v>
      </c>
      <c r="B112" s="39">
        <v>9.6262942760876213E-2</v>
      </c>
      <c r="C112" s="39">
        <v>-6.2790942760876212E-2</v>
      </c>
    </row>
    <row r="113" spans="1:3" x14ac:dyDescent="0.6">
      <c r="A113" s="35">
        <v>87</v>
      </c>
      <c r="B113" s="39">
        <v>-3.5957806000126522E-3</v>
      </c>
      <c r="C113" s="39">
        <v>-7.0571219399987339E-2</v>
      </c>
    </row>
    <row r="114" spans="1:3" x14ac:dyDescent="0.6">
      <c r="A114" s="35">
        <v>88</v>
      </c>
      <c r="B114" s="39">
        <v>8.2628795649977282E-3</v>
      </c>
      <c r="C114" s="39">
        <v>1.2137120435002273E-2</v>
      </c>
    </row>
    <row r="115" spans="1:3" x14ac:dyDescent="0.6">
      <c r="A115" s="35">
        <v>89</v>
      </c>
      <c r="B115" s="39">
        <v>-1.7606886135339228E-2</v>
      </c>
      <c r="C115" s="39">
        <v>2.6652886135339227E-2</v>
      </c>
    </row>
    <row r="116" spans="1:3" x14ac:dyDescent="0.6">
      <c r="A116" s="35">
        <v>90</v>
      </c>
      <c r="B116" s="39">
        <v>8.8487697731685022E-2</v>
      </c>
      <c r="C116" s="39">
        <v>2.107030226831498E-2</v>
      </c>
    </row>
    <row r="117" spans="1:3" x14ac:dyDescent="0.6">
      <c r="A117" s="35">
        <v>91</v>
      </c>
      <c r="B117" s="39">
        <v>-2.249891895485634E-2</v>
      </c>
      <c r="C117" s="39">
        <v>-2.3142081045143661E-2</v>
      </c>
    </row>
    <row r="118" spans="1:3" x14ac:dyDescent="0.6">
      <c r="A118" s="35">
        <v>92</v>
      </c>
      <c r="B118" s="39">
        <v>-4.4919581941679637E-2</v>
      </c>
      <c r="C118" s="39">
        <v>-6.0586418058320365E-2</v>
      </c>
    </row>
    <row r="119" spans="1:3" x14ac:dyDescent="0.6">
      <c r="A119" s="35">
        <v>93</v>
      </c>
      <c r="B119" s="39">
        <v>5.7026981179966227E-2</v>
      </c>
      <c r="C119" s="39">
        <v>2.1412018820033782E-2</v>
      </c>
    </row>
    <row r="120" spans="1:3" x14ac:dyDescent="0.6">
      <c r="A120" s="35">
        <v>94</v>
      </c>
      <c r="B120" s="39">
        <v>4.505154557796591E-3</v>
      </c>
      <c r="C120" s="39">
        <v>-0.1175411545577966</v>
      </c>
    </row>
    <row r="121" spans="1:3" x14ac:dyDescent="0.6">
      <c r="A121" s="35">
        <v>95</v>
      </c>
      <c r="B121" s="39">
        <v>-3.0242309719151664E-2</v>
      </c>
      <c r="C121" s="39">
        <v>1.2413097191516648E-3</v>
      </c>
    </row>
    <row r="122" spans="1:3" x14ac:dyDescent="0.6">
      <c r="A122" s="35">
        <v>96</v>
      </c>
      <c r="B122" s="39">
        <v>5.1662213400112914E-2</v>
      </c>
      <c r="C122" s="39">
        <v>1.1804786599887082E-2</v>
      </c>
    </row>
    <row r="123" spans="1:3" x14ac:dyDescent="0.6">
      <c r="A123" s="35">
        <v>97</v>
      </c>
      <c r="B123" s="39">
        <v>7.8183850132068494E-2</v>
      </c>
      <c r="C123" s="39">
        <v>-0.1457958501320685</v>
      </c>
    </row>
    <row r="124" spans="1:3" x14ac:dyDescent="0.6">
      <c r="A124" s="35">
        <v>98</v>
      </c>
      <c r="B124" s="39">
        <v>-1.3967991205267299E-2</v>
      </c>
      <c r="C124" s="39">
        <v>-2.9218008794732703E-2</v>
      </c>
    </row>
    <row r="125" spans="1:3" x14ac:dyDescent="0.6">
      <c r="A125" s="35">
        <v>99</v>
      </c>
      <c r="B125" s="39">
        <v>3.0949466330733689E-2</v>
      </c>
      <c r="C125" s="39">
        <v>-5.4890466330733689E-2</v>
      </c>
    </row>
    <row r="126" spans="1:3" x14ac:dyDescent="0.6">
      <c r="A126" s="35">
        <v>100</v>
      </c>
      <c r="B126" s="39">
        <v>7.856363812307908E-2</v>
      </c>
      <c r="C126" s="39">
        <v>9.4733618769209244E-3</v>
      </c>
    </row>
    <row r="127" spans="1:3" x14ac:dyDescent="0.6">
      <c r="A127" s="35">
        <v>101</v>
      </c>
      <c r="B127" s="39">
        <v>6.2364027064975541E-2</v>
      </c>
      <c r="C127" s="39">
        <v>0.15665897293502448</v>
      </c>
    </row>
    <row r="128" spans="1:3" x14ac:dyDescent="0.6">
      <c r="A128" s="35">
        <v>102</v>
      </c>
      <c r="B128" s="39">
        <v>-2.5262147814912903E-2</v>
      </c>
      <c r="C128" s="39">
        <v>-0.11796385218508709</v>
      </c>
    </row>
    <row r="129" spans="1:3" x14ac:dyDescent="0.6">
      <c r="A129" s="35">
        <v>103</v>
      </c>
      <c r="B129" s="39">
        <v>0.11654569097219325</v>
      </c>
      <c r="C129" s="39">
        <v>-0.15990969097219326</v>
      </c>
    </row>
    <row r="130" spans="1:3" x14ac:dyDescent="0.6">
      <c r="A130" s="35">
        <v>104</v>
      </c>
      <c r="B130" s="39">
        <v>2.646014557455505E-2</v>
      </c>
      <c r="C130" s="39">
        <v>8.8152854425444946E-2</v>
      </c>
    </row>
    <row r="131" spans="1:3" x14ac:dyDescent="0.6">
      <c r="A131" s="35">
        <v>105</v>
      </c>
      <c r="B131" s="39">
        <v>1.7414230780939129E-2</v>
      </c>
      <c r="C131" s="39">
        <v>-2.3914230780939127E-2</v>
      </c>
    </row>
    <row r="132" spans="1:3" x14ac:dyDescent="0.6">
      <c r="A132" s="35">
        <v>106</v>
      </c>
      <c r="B132" s="39">
        <v>-3.1066463299915695E-2</v>
      </c>
      <c r="C132" s="39">
        <v>6.9210463299915689E-2</v>
      </c>
    </row>
    <row r="133" spans="1:3" x14ac:dyDescent="0.6">
      <c r="A133" s="35">
        <v>107</v>
      </c>
      <c r="B133" s="39">
        <v>3.3162927430849379E-2</v>
      </c>
      <c r="C133" s="39">
        <v>-8.6084927430849376E-2</v>
      </c>
    </row>
    <row r="134" spans="1:3" x14ac:dyDescent="0.6">
      <c r="A134" s="35">
        <v>108</v>
      </c>
      <c r="B134" s="39">
        <v>1.8880872075510303E-2</v>
      </c>
      <c r="C134" s="39">
        <v>-0.22837087207551029</v>
      </c>
    </row>
    <row r="135" spans="1:3" x14ac:dyDescent="0.6">
      <c r="A135" s="35">
        <v>109</v>
      </c>
      <c r="B135" s="39">
        <v>-9.388593519014389E-2</v>
      </c>
      <c r="C135" s="39">
        <v>5.2724935190143894E-2</v>
      </c>
    </row>
    <row r="136" spans="1:3" x14ac:dyDescent="0.6">
      <c r="A136" s="35">
        <v>110</v>
      </c>
      <c r="B136" s="39">
        <v>2.4878571657116544E-2</v>
      </c>
      <c r="C136" s="39">
        <v>-2.7343571657116542E-2</v>
      </c>
    </row>
    <row r="137" spans="1:3" x14ac:dyDescent="0.6">
      <c r="A137" s="35">
        <v>111</v>
      </c>
      <c r="B137" s="39">
        <v>6.6713038281477552E-2</v>
      </c>
      <c r="C137" s="39">
        <v>0.11071096171852245</v>
      </c>
    </row>
    <row r="138" spans="1:3" x14ac:dyDescent="0.6">
      <c r="A138" s="35">
        <v>112</v>
      </c>
      <c r="B138" s="39">
        <v>-5.7613616928962087E-3</v>
      </c>
      <c r="C138" s="39">
        <v>-2.2877638307103793E-2</v>
      </c>
    </row>
    <row r="139" spans="1:3" x14ac:dyDescent="0.6">
      <c r="A139" s="35">
        <v>113</v>
      </c>
      <c r="B139" s="39">
        <v>0.143759050242043</v>
      </c>
      <c r="C139" s="39">
        <v>-0.100146050242043</v>
      </c>
    </row>
    <row r="140" spans="1:3" x14ac:dyDescent="0.6">
      <c r="A140" s="35">
        <v>114</v>
      </c>
      <c r="B140" s="39">
        <v>2.1976296874401991E-2</v>
      </c>
      <c r="C140" s="39">
        <v>5.6571703125598019E-2</v>
      </c>
    </row>
    <row r="141" spans="1:3" x14ac:dyDescent="0.6">
      <c r="A141" s="35">
        <v>115</v>
      </c>
      <c r="B141" s="39">
        <v>-1.8196775829677558E-2</v>
      </c>
      <c r="C141" s="39">
        <v>-5.0056224170322447E-2</v>
      </c>
    </row>
    <row r="142" spans="1:3" x14ac:dyDescent="0.6">
      <c r="A142" s="35">
        <v>116</v>
      </c>
      <c r="B142" s="39">
        <v>-0.134981279107042</v>
      </c>
      <c r="C142" s="39">
        <v>1.1952279107041996E-2</v>
      </c>
    </row>
    <row r="143" spans="1:3" x14ac:dyDescent="0.6">
      <c r="A143" s="35">
        <v>117</v>
      </c>
      <c r="B143" s="39">
        <v>-7.8025457239888463E-2</v>
      </c>
      <c r="C143" s="39">
        <v>-0.14419054276011153</v>
      </c>
    </row>
    <row r="144" spans="1:3" x14ac:dyDescent="0.6">
      <c r="A144" s="35">
        <v>118</v>
      </c>
      <c r="B144" s="39">
        <v>-2.7312231968072948E-2</v>
      </c>
      <c r="C144" s="39">
        <v>8.0857231968072957E-2</v>
      </c>
    </row>
    <row r="145" spans="1:3" x14ac:dyDescent="0.6">
      <c r="A145" s="35">
        <v>119</v>
      </c>
      <c r="B145" s="39">
        <v>0.12120962964066648</v>
      </c>
      <c r="C145" s="39">
        <v>7.2114370359333518E-2</v>
      </c>
    </row>
    <row r="146" spans="1:3" x14ac:dyDescent="0.6">
      <c r="A146" s="35">
        <v>120</v>
      </c>
      <c r="B146" s="39">
        <v>6.038946673140913E-2</v>
      </c>
      <c r="C146" s="39">
        <v>0.10367853326859086</v>
      </c>
    </row>
    <row r="147" spans="1:3" x14ac:dyDescent="0.6">
      <c r="A147" s="35">
        <v>121</v>
      </c>
      <c r="B147" s="39">
        <v>9.870098014054389E-2</v>
      </c>
      <c r="C147" s="39">
        <v>0.18679701985945613</v>
      </c>
    </row>
    <row r="148" spans="1:3" x14ac:dyDescent="0.6">
      <c r="A148" s="35">
        <v>122</v>
      </c>
      <c r="B148" s="39">
        <v>0.11787469547518731</v>
      </c>
      <c r="C148" s="39">
        <v>-8.8980695475187305E-2</v>
      </c>
    </row>
    <row r="149" spans="1:3" x14ac:dyDescent="0.6">
      <c r="A149" s="35">
        <v>123</v>
      </c>
      <c r="B149" s="39">
        <v>6.8447304229297665E-2</v>
      </c>
      <c r="C149" s="39">
        <v>0.11492569577070234</v>
      </c>
    </row>
    <row r="150" spans="1:3" x14ac:dyDescent="0.6">
      <c r="A150" s="35">
        <v>124</v>
      </c>
      <c r="B150" s="39">
        <v>-8.3827044565193062E-4</v>
      </c>
      <c r="C150" s="39">
        <v>-0.19563772955434808</v>
      </c>
    </row>
    <row r="151" spans="1:3" x14ac:dyDescent="0.6">
      <c r="A151" s="35">
        <v>125</v>
      </c>
      <c r="B151" s="39">
        <v>6.2866474036226652E-2</v>
      </c>
      <c r="C151" s="39">
        <v>-0.21083947403622666</v>
      </c>
    </row>
    <row r="152" spans="1:3" x14ac:dyDescent="0.6">
      <c r="A152" s="35">
        <v>126</v>
      </c>
      <c r="B152" s="39">
        <v>-5.7567153506370303E-2</v>
      </c>
      <c r="C152" s="39">
        <v>-6.3653846493629693E-2</v>
      </c>
    </row>
    <row r="153" spans="1:3" x14ac:dyDescent="0.6">
      <c r="A153" s="35">
        <v>127</v>
      </c>
      <c r="B153" s="39">
        <v>7.4681439187165008E-2</v>
      </c>
      <c r="C153" s="39">
        <v>3.4876560812834995E-2</v>
      </c>
    </row>
    <row r="154" spans="1:3" x14ac:dyDescent="0.6">
      <c r="A154" s="35">
        <v>128</v>
      </c>
      <c r="B154" s="39">
        <v>5.393318492778016E-2</v>
      </c>
      <c r="C154" s="39">
        <v>9.000781507221986E-2</v>
      </c>
    </row>
    <row r="155" spans="1:3" x14ac:dyDescent="0.6">
      <c r="A155" s="35">
        <v>129</v>
      </c>
      <c r="B155" s="39">
        <v>7.9260107676274554E-3</v>
      </c>
      <c r="C155" s="39">
        <v>-7.8564010767627465E-2</v>
      </c>
    </row>
    <row r="156" spans="1:3" x14ac:dyDescent="0.6">
      <c r="A156" s="35">
        <v>130</v>
      </c>
      <c r="B156" s="39">
        <v>3.6188239062019498E-2</v>
      </c>
      <c r="C156" s="39">
        <v>1.5760937980502376E-5</v>
      </c>
    </row>
    <row r="157" spans="1:3" x14ac:dyDescent="0.6">
      <c r="A157" s="35">
        <v>131</v>
      </c>
      <c r="B157" s="39">
        <v>-2.1479006634199306E-2</v>
      </c>
      <c r="C157" s="39">
        <v>5.3460066341993046E-3</v>
      </c>
    </row>
    <row r="158" spans="1:3" x14ac:dyDescent="0.6">
      <c r="A158" s="35">
        <v>132</v>
      </c>
      <c r="B158" s="39">
        <v>0.1771082817881996</v>
      </c>
      <c r="C158" s="39">
        <v>-7.0071281788199588E-2</v>
      </c>
    </row>
    <row r="159" spans="1:3" x14ac:dyDescent="0.6">
      <c r="A159" s="35">
        <v>133</v>
      </c>
      <c r="B159" s="39">
        <v>-1.063669777817999E-2</v>
      </c>
      <c r="C159" s="39">
        <v>0.15579569777817998</v>
      </c>
    </row>
    <row r="160" spans="1:3" x14ac:dyDescent="0.6">
      <c r="A160" s="35">
        <v>134</v>
      </c>
      <c r="B160" s="39">
        <v>-2.7668024080508689E-2</v>
      </c>
      <c r="C160" s="39">
        <v>6.9192024080508702E-2</v>
      </c>
    </row>
    <row r="161" spans="1:3" x14ac:dyDescent="0.6">
      <c r="A161" s="35">
        <v>135</v>
      </c>
      <c r="B161" s="39">
        <v>-5.4552152736718526E-2</v>
      </c>
      <c r="C161" s="39">
        <v>-8.5884847263281452E-2</v>
      </c>
    </row>
    <row r="162" spans="1:3" x14ac:dyDescent="0.6">
      <c r="A162" s="35">
        <v>136</v>
      </c>
      <c r="B162" s="39">
        <v>-2.8763038069362281E-2</v>
      </c>
      <c r="C162" s="39">
        <v>5.7752038069362285E-2</v>
      </c>
    </row>
    <row r="163" spans="1:3" x14ac:dyDescent="0.6">
      <c r="A163" s="35">
        <v>137</v>
      </c>
      <c r="B163" s="39">
        <v>7.2346836702340024E-3</v>
      </c>
      <c r="C163" s="39">
        <v>-1.6271683670234002E-2</v>
      </c>
    </row>
    <row r="164" spans="1:3" x14ac:dyDescent="0.6">
      <c r="A164" s="35">
        <v>138</v>
      </c>
      <c r="B164" s="39">
        <v>-5.4174376175388866E-2</v>
      </c>
      <c r="C164" s="39">
        <v>-0.14366962382461115</v>
      </c>
    </row>
    <row r="165" spans="1:3" x14ac:dyDescent="0.6">
      <c r="A165" s="35">
        <v>139</v>
      </c>
      <c r="B165" s="39">
        <v>6.3699971203347652E-2</v>
      </c>
      <c r="C165" s="39">
        <v>-9.2841971203347654E-2</v>
      </c>
    </row>
    <row r="166" spans="1:3" x14ac:dyDescent="0.6">
      <c r="A166" s="35">
        <v>140</v>
      </c>
      <c r="B166" s="39">
        <v>-6.2567561226017383E-3</v>
      </c>
      <c r="C166" s="39">
        <v>-9.8192438773982618E-3</v>
      </c>
    </row>
    <row r="167" spans="1:3" x14ac:dyDescent="0.6">
      <c r="A167" s="35">
        <v>141</v>
      </c>
      <c r="B167" s="39">
        <v>3.1940814908399062E-2</v>
      </c>
      <c r="C167" s="39">
        <v>-5.3562814908399065E-2</v>
      </c>
    </row>
    <row r="168" spans="1:3" x14ac:dyDescent="0.6">
      <c r="A168" s="35">
        <v>142</v>
      </c>
      <c r="B168" s="39">
        <v>5.1039698646925841E-2</v>
      </c>
      <c r="C168" s="39">
        <v>0.11009530135307416</v>
      </c>
    </row>
    <row r="169" spans="1:3" x14ac:dyDescent="0.6">
      <c r="A169" s="35">
        <v>143</v>
      </c>
      <c r="B169" s="39">
        <v>8.8215474656331186E-2</v>
      </c>
      <c r="C169" s="39">
        <v>7.0085253436688172E-3</v>
      </c>
    </row>
    <row r="170" spans="1:3" x14ac:dyDescent="0.6">
      <c r="A170" s="35">
        <v>144</v>
      </c>
      <c r="B170" s="39">
        <v>1.4518963838906256E-2</v>
      </c>
      <c r="C170" s="39">
        <v>2.1811036161093745E-2</v>
      </c>
    </row>
    <row r="171" spans="1:3" x14ac:dyDescent="0.6">
      <c r="A171" s="35">
        <v>145</v>
      </c>
      <c r="B171" s="39">
        <v>-2.1948823055566599E-2</v>
      </c>
      <c r="C171" s="39">
        <v>1.5464823055566599E-2</v>
      </c>
    </row>
    <row r="172" spans="1:3" x14ac:dyDescent="0.6">
      <c r="A172" s="35">
        <v>146</v>
      </c>
      <c r="B172" s="39">
        <v>-5.2059879987917446E-2</v>
      </c>
      <c r="C172" s="39">
        <v>-5.7367120012082551E-2</v>
      </c>
    </row>
    <row r="173" spans="1:3" x14ac:dyDescent="0.6">
      <c r="A173" s="35">
        <v>147</v>
      </c>
      <c r="B173" s="39">
        <v>3.1755522075418624E-2</v>
      </c>
      <c r="C173" s="39">
        <v>-6.255752207541862E-2</v>
      </c>
    </row>
    <row r="174" spans="1:3" x14ac:dyDescent="0.6">
      <c r="A174" s="35">
        <v>148</v>
      </c>
      <c r="B174" s="39">
        <v>-4.9017996262561793E-2</v>
      </c>
      <c r="C174" s="39">
        <v>4.1763996262561789E-2</v>
      </c>
    </row>
    <row r="175" spans="1:3" x14ac:dyDescent="0.6">
      <c r="A175" s="35">
        <v>149</v>
      </c>
      <c r="B175" s="39">
        <v>8.5543641123213401E-2</v>
      </c>
      <c r="C175" s="39">
        <v>1.9476358876786601E-2</v>
      </c>
    </row>
    <row r="176" spans="1:3" x14ac:dyDescent="0.6">
      <c r="A176" s="35">
        <v>150</v>
      </c>
      <c r="B176" s="39">
        <v>-6.6696377509954941E-3</v>
      </c>
      <c r="C176" s="39">
        <v>-0.29825836224900448</v>
      </c>
    </row>
    <row r="177" spans="1:3" x14ac:dyDescent="0.6">
      <c r="A177" s="35">
        <v>151</v>
      </c>
      <c r="B177" s="39">
        <v>-1.6896855925470994E-2</v>
      </c>
      <c r="C177" s="39">
        <v>-0.28297114407452906</v>
      </c>
    </row>
    <row r="178" spans="1:3" x14ac:dyDescent="0.6">
      <c r="A178" s="35">
        <v>152</v>
      </c>
      <c r="B178" s="39">
        <v>6.4360364477905954E-2</v>
      </c>
      <c r="C178" s="39">
        <v>-0.10758136447790595</v>
      </c>
    </row>
    <row r="179" spans="1:3" x14ac:dyDescent="0.6">
      <c r="A179" s="35">
        <v>153</v>
      </c>
      <c r="B179" s="39">
        <v>2.5132942700502689E-2</v>
      </c>
      <c r="C179" s="39">
        <v>-0.1456579427005027</v>
      </c>
    </row>
    <row r="180" spans="1:3" x14ac:dyDescent="0.6">
      <c r="A180" s="35">
        <v>154</v>
      </c>
      <c r="B180" s="39">
        <v>4.9106987856426726E-2</v>
      </c>
      <c r="C180" s="39">
        <v>0.26420101214357328</v>
      </c>
    </row>
    <row r="181" spans="1:3" x14ac:dyDescent="0.6">
      <c r="A181" s="35">
        <v>155</v>
      </c>
      <c r="B181" s="39">
        <v>-1.0861101463489266E-2</v>
      </c>
      <c r="C181" s="39">
        <v>3.6654101463489269E-2</v>
      </c>
    </row>
    <row r="182" spans="1:3" x14ac:dyDescent="0.6">
      <c r="A182" s="35">
        <v>156</v>
      </c>
      <c r="B182" s="39">
        <v>3.2395347132286548E-2</v>
      </c>
      <c r="C182" s="39">
        <v>-0.10612434713228655</v>
      </c>
    </row>
    <row r="183" spans="1:3" x14ac:dyDescent="0.6">
      <c r="A183" s="35">
        <v>157</v>
      </c>
      <c r="B183" s="39">
        <v>3.0659026305443766E-2</v>
      </c>
      <c r="C183" s="39">
        <v>8.6498973694556225E-2</v>
      </c>
    </row>
    <row r="184" spans="1:3" x14ac:dyDescent="0.6">
      <c r="A184" s="35">
        <v>158</v>
      </c>
      <c r="B184" s="39">
        <v>3.1754470148391122E-3</v>
      </c>
      <c r="C184" s="39">
        <v>0.11289255298516088</v>
      </c>
    </row>
    <row r="185" spans="1:3" x14ac:dyDescent="0.6">
      <c r="A185" s="35">
        <v>159</v>
      </c>
      <c r="B185" s="39">
        <v>-5.9312652413731466E-2</v>
      </c>
      <c r="C185" s="39">
        <v>-3.2428347586268523E-2</v>
      </c>
    </row>
    <row r="186" spans="1:3" x14ac:dyDescent="0.6">
      <c r="A186" s="35">
        <v>160</v>
      </c>
      <c r="B186" s="39">
        <v>4.4969993416249087E-3</v>
      </c>
      <c r="C186" s="39">
        <v>-0.1049409993416249</v>
      </c>
    </row>
    <row r="187" spans="1:3" x14ac:dyDescent="0.6">
      <c r="A187" s="35">
        <v>161</v>
      </c>
      <c r="B187" s="39">
        <v>1.3570836240899133E-2</v>
      </c>
      <c r="C187" s="39">
        <v>-3.7670836240899133E-2</v>
      </c>
    </row>
    <row r="188" spans="1:3" x14ac:dyDescent="0.6">
      <c r="A188" s="35">
        <v>162</v>
      </c>
      <c r="B188" s="39">
        <v>-3.9750202586464563E-2</v>
      </c>
      <c r="C188" s="39">
        <v>-5.7366797413535446E-2</v>
      </c>
    </row>
    <row r="189" spans="1:3" x14ac:dyDescent="0.6">
      <c r="A189" s="35">
        <v>163</v>
      </c>
      <c r="B189" s="39">
        <v>3.8291022393693572E-2</v>
      </c>
      <c r="C189" s="39">
        <v>0.23013497760630641</v>
      </c>
    </row>
    <row r="190" spans="1:3" x14ac:dyDescent="0.6">
      <c r="A190" s="35">
        <v>164</v>
      </c>
      <c r="B190" s="39">
        <v>9.2305620044471029E-2</v>
      </c>
      <c r="C190" s="39">
        <v>-1.8231620044471028E-2</v>
      </c>
    </row>
    <row r="191" spans="1:3" x14ac:dyDescent="0.6">
      <c r="A191" s="35">
        <v>165</v>
      </c>
      <c r="B191" s="39">
        <v>1.0607294896271394E-2</v>
      </c>
      <c r="C191" s="39">
        <v>-8.3392294896271382E-2</v>
      </c>
    </row>
    <row r="192" spans="1:3" x14ac:dyDescent="0.6">
      <c r="A192" s="35">
        <v>166</v>
      </c>
      <c r="B192" s="39">
        <v>3.9524188562322239E-2</v>
      </c>
      <c r="C192" s="39">
        <v>0.23867981143767772</v>
      </c>
    </row>
    <row r="193" spans="1:3" x14ac:dyDescent="0.6">
      <c r="A193" s="35">
        <v>167</v>
      </c>
      <c r="B193" s="39">
        <v>-2.6380468747351116E-2</v>
      </c>
      <c r="C193" s="39">
        <v>-0.11202253125264888</v>
      </c>
    </row>
    <row r="194" spans="1:3" x14ac:dyDescent="0.6">
      <c r="A194" s="35">
        <v>168</v>
      </c>
      <c r="B194" s="39">
        <v>1.9745124597662624E-2</v>
      </c>
      <c r="C194" s="39">
        <v>2.2834875402337376E-2</v>
      </c>
    </row>
    <row r="195" spans="1:3" x14ac:dyDescent="0.6">
      <c r="A195" s="35">
        <v>169</v>
      </c>
      <c r="B195" s="39">
        <v>2.1199517586150612E-2</v>
      </c>
      <c r="C195" s="39">
        <v>9.856482413849392E-3</v>
      </c>
    </row>
    <row r="196" spans="1:3" x14ac:dyDescent="0.6">
      <c r="A196" s="35">
        <v>170</v>
      </c>
      <c r="B196" s="39">
        <v>4.7045795325180502E-2</v>
      </c>
      <c r="C196" s="39">
        <v>-6.9745795325180507E-2</v>
      </c>
    </row>
    <row r="197" spans="1:3" x14ac:dyDescent="0.6">
      <c r="A197" s="35">
        <v>171</v>
      </c>
      <c r="B197" s="39">
        <v>4.8452462494553102E-2</v>
      </c>
      <c r="C197" s="39">
        <v>-0.16064746249455308</v>
      </c>
    </row>
    <row r="198" spans="1:3" x14ac:dyDescent="0.6">
      <c r="A198" s="35">
        <v>172</v>
      </c>
      <c r="B198" s="39">
        <v>1.7744801961267362E-2</v>
      </c>
      <c r="C198" s="39">
        <v>6.2961198038732638E-2</v>
      </c>
    </row>
    <row r="199" spans="1:3" x14ac:dyDescent="0.6">
      <c r="A199" s="35">
        <v>173</v>
      </c>
      <c r="B199" s="39">
        <v>2.8111839771556395E-2</v>
      </c>
      <c r="C199" s="39">
        <v>5.6227160228443603E-2</v>
      </c>
    </row>
    <row r="200" spans="1:3" x14ac:dyDescent="0.6">
      <c r="A200" s="35">
        <v>174</v>
      </c>
      <c r="B200" s="39">
        <v>7.5886196277193563E-2</v>
      </c>
      <c r="C200" s="39">
        <v>3.6706803722806436E-2</v>
      </c>
    </row>
    <row r="201" spans="1:3" x14ac:dyDescent="0.6">
      <c r="A201" s="35">
        <v>175</v>
      </c>
      <c r="B201" s="39">
        <v>8.0590386870524028E-2</v>
      </c>
      <c r="C201" s="39">
        <v>-0.11604638687052403</v>
      </c>
    </row>
    <row r="202" spans="1:3" x14ac:dyDescent="0.6">
      <c r="A202" s="35">
        <v>176</v>
      </c>
      <c r="B202" s="39">
        <v>6.686428608250021E-4</v>
      </c>
      <c r="C202" s="39">
        <v>-4.7146642860825011E-2</v>
      </c>
    </row>
    <row r="203" spans="1:3" x14ac:dyDescent="0.6">
      <c r="A203" s="35">
        <v>177</v>
      </c>
      <c r="B203" s="39">
        <v>5.6055347249681885E-2</v>
      </c>
      <c r="C203" s="39">
        <v>-0.1940763472496819</v>
      </c>
    </row>
    <row r="204" spans="1:3" x14ac:dyDescent="0.6">
      <c r="A204" s="35">
        <v>178</v>
      </c>
      <c r="B204" s="39">
        <v>-8.4312418885626374E-3</v>
      </c>
      <c r="C204" s="39">
        <v>-2.143675811143736E-2</v>
      </c>
    </row>
    <row r="205" spans="1:3" x14ac:dyDescent="0.6">
      <c r="A205" s="35">
        <v>179</v>
      </c>
      <c r="B205" s="39">
        <v>5.0777269781651681E-2</v>
      </c>
      <c r="C205" s="39">
        <v>-1.7582697816516807E-3</v>
      </c>
    </row>
    <row r="206" spans="1:3" x14ac:dyDescent="0.6">
      <c r="A206" s="35">
        <v>180</v>
      </c>
      <c r="B206" s="39">
        <v>2.0452090002689566E-2</v>
      </c>
      <c r="C206" s="39">
        <v>-0.18928609000268956</v>
      </c>
    </row>
    <row r="207" spans="1:3" x14ac:dyDescent="0.6">
      <c r="A207" s="35">
        <v>181</v>
      </c>
      <c r="B207" s="39">
        <v>3.1462244213872434E-2</v>
      </c>
      <c r="C207" s="39">
        <v>-0.16909524421387245</v>
      </c>
    </row>
    <row r="208" spans="1:3" x14ac:dyDescent="0.6">
      <c r="A208" s="35">
        <v>182</v>
      </c>
      <c r="B208" s="39">
        <v>4.8304180828547635E-2</v>
      </c>
      <c r="C208" s="39">
        <v>-5.6729180828547637E-2</v>
      </c>
    </row>
    <row r="209" spans="1:3" x14ac:dyDescent="0.6">
      <c r="A209" s="35">
        <v>183</v>
      </c>
      <c r="B209" s="39">
        <v>1.7542879742079773E-2</v>
      </c>
      <c r="C209" s="39">
        <v>-0.12826087974207978</v>
      </c>
    </row>
    <row r="210" spans="1:3" x14ac:dyDescent="0.6">
      <c r="A210" s="35">
        <v>184</v>
      </c>
      <c r="B210" s="39">
        <v>8.799397069942505E-2</v>
      </c>
      <c r="C210" s="39">
        <v>-0.10022797069942505</v>
      </c>
    </row>
    <row r="211" spans="1:3" x14ac:dyDescent="0.6">
      <c r="A211" s="35">
        <v>185</v>
      </c>
      <c r="B211" s="39">
        <v>6.2193859642756318E-2</v>
      </c>
      <c r="C211" s="39">
        <v>5.4011403572436847E-3</v>
      </c>
    </row>
    <row r="212" spans="1:3" x14ac:dyDescent="0.6">
      <c r="A212" s="35">
        <v>186</v>
      </c>
      <c r="B212" s="39">
        <v>-2.4050438949662765E-2</v>
      </c>
      <c r="C212" s="39">
        <v>-0.17612156105033724</v>
      </c>
    </row>
    <row r="213" spans="1:3" x14ac:dyDescent="0.6">
      <c r="A213" s="35">
        <v>187</v>
      </c>
      <c r="B213" s="39">
        <v>-0.10988601374311421</v>
      </c>
      <c r="C213" s="39">
        <v>0.1530050137431142</v>
      </c>
    </row>
    <row r="214" spans="1:3" x14ac:dyDescent="0.6">
      <c r="A214" s="35">
        <v>188</v>
      </c>
      <c r="B214" s="39">
        <v>5.8133771942010103E-2</v>
      </c>
      <c r="C214" s="39">
        <v>4.0039228057989908E-2</v>
      </c>
    </row>
    <row r="215" spans="1:3" x14ac:dyDescent="0.6">
      <c r="A215" s="35">
        <v>189</v>
      </c>
      <c r="B215" s="39">
        <v>0.10106097858298699</v>
      </c>
      <c r="C215" s="39">
        <v>-0.19051297858298699</v>
      </c>
    </row>
    <row r="216" spans="1:3" x14ac:dyDescent="0.6">
      <c r="A216" s="35">
        <v>190</v>
      </c>
      <c r="B216" s="39">
        <v>-3.3980249407303063E-2</v>
      </c>
      <c r="C216" s="39">
        <v>6.6400249407303061E-2</v>
      </c>
    </row>
    <row r="217" spans="1:3" x14ac:dyDescent="0.6">
      <c r="A217" s="35">
        <v>191</v>
      </c>
      <c r="B217" s="39">
        <v>6.8784002457671287E-2</v>
      </c>
      <c r="C217" s="39">
        <v>-2.3971002457671288E-2</v>
      </c>
    </row>
    <row r="218" spans="1:3" x14ac:dyDescent="0.6">
      <c r="A218" s="35">
        <v>192</v>
      </c>
      <c r="B218" s="39">
        <v>-5.8743907056549444E-3</v>
      </c>
      <c r="C218" s="39">
        <v>-0.13344060929434504</v>
      </c>
    </row>
    <row r="219" spans="1:3" x14ac:dyDescent="0.6">
      <c r="A219" s="35">
        <v>193</v>
      </c>
      <c r="B219" s="39">
        <v>8.4741835204951918E-2</v>
      </c>
      <c r="C219" s="39">
        <v>-0.2928348352049519</v>
      </c>
    </row>
    <row r="220" spans="1:3" x14ac:dyDescent="0.6">
      <c r="A220" s="35">
        <v>194</v>
      </c>
      <c r="B220" s="39">
        <v>-4.7011650621213305E-2</v>
      </c>
      <c r="C220" s="39">
        <v>2.0555650621213305E-2</v>
      </c>
    </row>
    <row r="221" spans="1:3" x14ac:dyDescent="0.6">
      <c r="A221" s="35">
        <v>195</v>
      </c>
      <c r="B221" s="39">
        <v>-8.2756402036743129E-2</v>
      </c>
      <c r="C221" s="39">
        <v>0.20153340203674314</v>
      </c>
    </row>
    <row r="222" spans="1:3" x14ac:dyDescent="0.6">
      <c r="A222" s="35">
        <v>196</v>
      </c>
      <c r="B222" s="39">
        <v>4.8350350822832747E-2</v>
      </c>
      <c r="C222" s="39">
        <v>-0.12114335082283274</v>
      </c>
    </row>
    <row r="223" spans="1:3" x14ac:dyDescent="0.6">
      <c r="A223" s="35">
        <v>197</v>
      </c>
      <c r="B223" s="39">
        <v>0.14557258905541429</v>
      </c>
      <c r="C223" s="39">
        <v>-0.17253158905541427</v>
      </c>
    </row>
    <row r="224" spans="1:3" x14ac:dyDescent="0.6">
      <c r="A224" s="35">
        <v>198</v>
      </c>
      <c r="B224" s="39">
        <v>5.702812401544733E-2</v>
      </c>
      <c r="C224" s="39">
        <v>-0.20358512401544734</v>
      </c>
    </row>
    <row r="225" spans="1:3" x14ac:dyDescent="0.6">
      <c r="A225" s="35">
        <v>199</v>
      </c>
      <c r="B225" s="39">
        <v>8.8014618333150163E-2</v>
      </c>
      <c r="C225" s="39">
        <v>0.13575538166684983</v>
      </c>
    </row>
    <row r="226" spans="1:3" x14ac:dyDescent="0.6">
      <c r="A226" s="35">
        <v>200</v>
      </c>
      <c r="B226" s="39">
        <v>-2.9050300001117302E-2</v>
      </c>
      <c r="C226" s="39">
        <v>0.2678073000011173</v>
      </c>
    </row>
    <row r="227" spans="1:3" x14ac:dyDescent="0.6">
      <c r="A227" s="35">
        <v>201</v>
      </c>
      <c r="B227" s="39">
        <v>8.639556050100082E-2</v>
      </c>
      <c r="C227" s="39">
        <v>-9.3669560501000823E-2</v>
      </c>
    </row>
    <row r="228" spans="1:3" x14ac:dyDescent="0.6">
      <c r="A228" s="35">
        <v>202</v>
      </c>
      <c r="B228" s="39">
        <v>-5.2398341375495497E-2</v>
      </c>
      <c r="C228" s="39">
        <v>-0.16649865862450453</v>
      </c>
    </row>
    <row r="229" spans="1:3" x14ac:dyDescent="0.6">
      <c r="A229" s="35">
        <v>203</v>
      </c>
      <c r="B229" s="39">
        <v>2.9215877963502748E-2</v>
      </c>
      <c r="C229" s="39">
        <v>9.0861220364972552E-3</v>
      </c>
    </row>
    <row r="230" spans="1:3" x14ac:dyDescent="0.6">
      <c r="A230" s="35">
        <v>204</v>
      </c>
      <c r="B230" s="39">
        <v>-8.1261370619272327E-3</v>
      </c>
      <c r="C230" s="39">
        <v>-0.2572368629380728</v>
      </c>
    </row>
    <row r="231" spans="1:3" x14ac:dyDescent="0.6">
      <c r="A231" s="35">
        <v>205</v>
      </c>
      <c r="B231" s="39">
        <v>2.5588454696960583E-2</v>
      </c>
      <c r="C231" s="39">
        <v>0.36534954530303937</v>
      </c>
    </row>
    <row r="232" spans="1:3" x14ac:dyDescent="0.6">
      <c r="A232" s="35">
        <v>206</v>
      </c>
      <c r="B232" s="39">
        <v>0.10133238908272675</v>
      </c>
      <c r="C232" s="39">
        <v>0.18486961091727327</v>
      </c>
    </row>
    <row r="233" spans="1:3" x14ac:dyDescent="0.6">
      <c r="A233" s="35">
        <v>207</v>
      </c>
      <c r="B233" s="39">
        <v>6.0334485240731171E-2</v>
      </c>
      <c r="C233" s="39">
        <v>9.9786514759268835E-2</v>
      </c>
    </row>
    <row r="234" spans="1:3" x14ac:dyDescent="0.6">
      <c r="A234" s="35">
        <v>208</v>
      </c>
      <c r="B234" s="39">
        <v>1.6516233798585172E-2</v>
      </c>
      <c r="C234" s="39">
        <v>-2.5361233798585174E-2</v>
      </c>
    </row>
    <row r="235" spans="1:3" x14ac:dyDescent="0.6">
      <c r="A235" s="35">
        <v>209</v>
      </c>
      <c r="B235" s="39">
        <v>-7.1939322188940766E-2</v>
      </c>
      <c r="C235" s="39">
        <v>4.0542322188940765E-2</v>
      </c>
    </row>
    <row r="236" spans="1:3" x14ac:dyDescent="0.6">
      <c r="A236" s="35">
        <v>210</v>
      </c>
      <c r="B236" s="39">
        <v>6.4832221611682922E-2</v>
      </c>
      <c r="C236" s="39">
        <v>8.5327783883170916E-3</v>
      </c>
    </row>
    <row r="237" spans="1:3" x14ac:dyDescent="0.6">
      <c r="A237" s="35">
        <v>211</v>
      </c>
      <c r="B237" s="39">
        <v>-2.1829462173627745E-2</v>
      </c>
      <c r="C237" s="39">
        <v>0.22480146217362773</v>
      </c>
    </row>
    <row r="238" spans="1:3" x14ac:dyDescent="0.6">
      <c r="A238" s="35">
        <v>212</v>
      </c>
      <c r="B238" s="39">
        <v>-0.22885900544724469</v>
      </c>
      <c r="C238" s="39">
        <v>0.12528100544724469</v>
      </c>
    </row>
    <row r="239" spans="1:3" x14ac:dyDescent="0.6">
      <c r="A239" s="35">
        <v>213</v>
      </c>
      <c r="B239" s="39">
        <v>0.11885318837329281</v>
      </c>
      <c r="C239" s="39">
        <v>9.8991811626707199E-2</v>
      </c>
    </row>
    <row r="240" spans="1:3" x14ac:dyDescent="0.6">
      <c r="A240" s="35">
        <v>214</v>
      </c>
      <c r="B240" s="39">
        <v>0.11195939329892306</v>
      </c>
      <c r="C240" s="39">
        <v>-0.14138939329892306</v>
      </c>
    </row>
    <row r="241" spans="1:3" x14ac:dyDescent="0.6">
      <c r="A241" s="35">
        <v>215</v>
      </c>
      <c r="B241" s="39">
        <v>0.12002336205073756</v>
      </c>
      <c r="C241" s="39">
        <v>-0.26285436205073753</v>
      </c>
    </row>
    <row r="242" spans="1:3" x14ac:dyDescent="0.6">
      <c r="A242" s="35">
        <v>216</v>
      </c>
      <c r="B242" s="39">
        <v>0.12875494086125386</v>
      </c>
      <c r="C242" s="39">
        <v>0.14924505913874611</v>
      </c>
    </row>
    <row r="243" spans="1:3" x14ac:dyDescent="0.6">
      <c r="A243" s="35">
        <v>217</v>
      </c>
      <c r="B243" s="39">
        <v>9.4242466540383152E-2</v>
      </c>
      <c r="C243" s="39">
        <v>-9.1635466540383154E-2</v>
      </c>
    </row>
    <row r="244" spans="1:3" x14ac:dyDescent="0.6">
      <c r="A244" s="35">
        <v>218</v>
      </c>
      <c r="B244" s="39">
        <v>-6.4629679768260784E-2</v>
      </c>
      <c r="C244" s="39">
        <v>-9.365032023173922E-2</v>
      </c>
    </row>
    <row r="245" spans="1:3" x14ac:dyDescent="0.6">
      <c r="A245" s="35">
        <v>219</v>
      </c>
      <c r="B245" s="39">
        <v>6.9036418066525093E-2</v>
      </c>
      <c r="C245" s="39">
        <v>-4.1020418066525094E-2</v>
      </c>
    </row>
    <row r="246" spans="1:3" x14ac:dyDescent="0.6">
      <c r="A246" s="35">
        <v>220</v>
      </c>
      <c r="B246" s="39">
        <v>5.5518715260706133E-2</v>
      </c>
      <c r="C246" s="39">
        <v>0.22078128473929393</v>
      </c>
    </row>
    <row r="247" spans="1:3" x14ac:dyDescent="0.6">
      <c r="A247" s="35">
        <v>221</v>
      </c>
      <c r="B247" s="39">
        <v>-2.8404799736293056E-2</v>
      </c>
      <c r="C247" s="39">
        <v>-1.7115200263706942E-2</v>
      </c>
    </row>
    <row r="248" spans="1:3" x14ac:dyDescent="0.6">
      <c r="A248" s="35">
        <v>222</v>
      </c>
      <c r="B248" s="39">
        <v>0.11327436795394072</v>
      </c>
      <c r="C248" s="39">
        <v>-6.6210367953940724E-2</v>
      </c>
    </row>
    <row r="249" spans="1:3" x14ac:dyDescent="0.6">
      <c r="A249" s="35">
        <v>223</v>
      </c>
      <c r="B249" s="39">
        <v>-1.4320206531859864E-2</v>
      </c>
      <c r="C249" s="39">
        <v>0.21294920653185986</v>
      </c>
    </row>
    <row r="250" spans="1:3" x14ac:dyDescent="0.6">
      <c r="A250" s="35">
        <v>224</v>
      </c>
      <c r="B250" s="39">
        <v>5.1883933107697428E-3</v>
      </c>
      <c r="C250" s="39">
        <v>0.16262860668923029</v>
      </c>
    </row>
    <row r="251" spans="1:3" x14ac:dyDescent="0.6">
      <c r="A251" s="35">
        <v>225</v>
      </c>
      <c r="B251" s="39">
        <v>1.9230659219834658E-2</v>
      </c>
      <c r="C251" s="39">
        <v>-5.2823659219834659E-2</v>
      </c>
    </row>
    <row r="252" spans="1:3" x14ac:dyDescent="0.6">
      <c r="A252" s="35">
        <v>226</v>
      </c>
      <c r="B252" s="39">
        <v>9.5701030343699631E-2</v>
      </c>
      <c r="C252" s="39">
        <v>0.16594696965630035</v>
      </c>
    </row>
    <row r="253" spans="1:3" x14ac:dyDescent="0.6">
      <c r="A253" s="35">
        <v>227</v>
      </c>
      <c r="B253" s="39">
        <v>0.13438482695777049</v>
      </c>
      <c r="C253" s="39">
        <v>8.3544173042229525E-2</v>
      </c>
    </row>
    <row r="254" spans="1:3" x14ac:dyDescent="0.6">
      <c r="A254" s="35">
        <v>228</v>
      </c>
      <c r="B254" s="39">
        <v>0.20668373330208997</v>
      </c>
      <c r="C254" s="39">
        <v>-0.16063673330208997</v>
      </c>
    </row>
    <row r="255" spans="1:3" x14ac:dyDescent="0.6">
      <c r="A255" s="35">
        <v>229</v>
      </c>
      <c r="B255" s="39">
        <v>-2.7698175432580199E-2</v>
      </c>
      <c r="C255" s="39">
        <v>3.2717175432580202E-2</v>
      </c>
    </row>
    <row r="256" spans="1:3" x14ac:dyDescent="0.6">
      <c r="A256" s="35">
        <v>230</v>
      </c>
      <c r="B256" s="39">
        <v>0.19402680689343688</v>
      </c>
      <c r="C256" s="39">
        <v>-9.3507806893436879E-2</v>
      </c>
    </row>
    <row r="257" spans="1:3" x14ac:dyDescent="0.6">
      <c r="A257" s="35">
        <v>231</v>
      </c>
      <c r="B257" s="39">
        <v>-3.5757725088894542E-2</v>
      </c>
      <c r="C257" s="39">
        <v>0.21589972508889455</v>
      </c>
    </row>
    <row r="258" spans="1:3" x14ac:dyDescent="0.6">
      <c r="A258" s="35">
        <v>232</v>
      </c>
      <c r="B258" s="39">
        <v>-0.1637573812767581</v>
      </c>
      <c r="C258" s="39">
        <v>7.2641381276758094E-2</v>
      </c>
    </row>
    <row r="259" spans="1:3" x14ac:dyDescent="0.6">
      <c r="A259" s="35">
        <v>233</v>
      </c>
      <c r="B259" s="39">
        <v>-7.7668182001060626E-2</v>
      </c>
      <c r="C259" s="39">
        <v>-0.25025381799893937</v>
      </c>
    </row>
    <row r="260" spans="1:3" x14ac:dyDescent="0.6">
      <c r="A260" s="35">
        <v>234</v>
      </c>
      <c r="B260" s="39">
        <v>0.19830782167670766</v>
      </c>
      <c r="C260" s="39">
        <v>4.4716178323292333E-2</v>
      </c>
    </row>
    <row r="261" spans="1:3" x14ac:dyDescent="0.6">
      <c r="A261" s="35">
        <v>235</v>
      </c>
      <c r="B261" s="39">
        <v>-9.805302431181237E-2</v>
      </c>
      <c r="C261" s="39">
        <v>6.3420024311812373E-2</v>
      </c>
    </row>
    <row r="262" spans="1:3" x14ac:dyDescent="0.6">
      <c r="A262" s="35">
        <v>236</v>
      </c>
      <c r="B262" s="39">
        <v>0.10313575996356755</v>
      </c>
      <c r="C262" s="39">
        <v>9.1126240036432438E-2</v>
      </c>
    </row>
    <row r="263" spans="1:3" x14ac:dyDescent="0.6">
      <c r="A263" s="35">
        <v>237</v>
      </c>
      <c r="B263" s="39">
        <v>-0.1131081224420101</v>
      </c>
      <c r="C263" s="39">
        <v>-0.46942787755798987</v>
      </c>
    </row>
    <row r="264" spans="1:3" x14ac:dyDescent="0.6">
      <c r="A264" s="35">
        <v>238</v>
      </c>
      <c r="B264" s="39">
        <v>-8.0211545040841589E-2</v>
      </c>
      <c r="C264" s="39">
        <v>-0.16567945495915842</v>
      </c>
    </row>
    <row r="265" spans="1:3" x14ac:dyDescent="0.6">
      <c r="A265" s="35">
        <v>239</v>
      </c>
      <c r="B265" s="39">
        <v>-0.22728478539433702</v>
      </c>
      <c r="C265" s="39">
        <v>6.5634785394337036E-2</v>
      </c>
    </row>
    <row r="266" spans="1:3" x14ac:dyDescent="0.6">
      <c r="A266" s="35">
        <v>240</v>
      </c>
      <c r="B266" s="39">
        <v>-3.4869755075212922E-2</v>
      </c>
      <c r="C266" s="39">
        <v>-6.8615244924787086E-2</v>
      </c>
    </row>
    <row r="267" spans="1:3" x14ac:dyDescent="0.6">
      <c r="A267" s="35">
        <v>241</v>
      </c>
      <c r="B267" s="39">
        <v>0.11476279970752298</v>
      </c>
      <c r="C267" s="39">
        <v>0.33361920029247705</v>
      </c>
    </row>
    <row r="268" spans="1:3" x14ac:dyDescent="0.6">
      <c r="A268" s="35">
        <v>242</v>
      </c>
      <c r="B268" s="39">
        <v>-0.22777009969587075</v>
      </c>
      <c r="C268" s="39">
        <v>6.7901099695870742E-2</v>
      </c>
    </row>
    <row r="269" spans="1:3" x14ac:dyDescent="0.6">
      <c r="A269" s="35">
        <v>243</v>
      </c>
      <c r="B269" s="39">
        <v>-0.13239240936976621</v>
      </c>
      <c r="C269" s="39">
        <v>0.3375074093697662</v>
      </c>
    </row>
    <row r="270" spans="1:3" x14ac:dyDescent="0.6">
      <c r="A270" s="35">
        <v>244</v>
      </c>
      <c r="B270" s="39">
        <v>0.15504034199836225</v>
      </c>
      <c r="C270" s="39">
        <v>-3.9793419983622513E-3</v>
      </c>
    </row>
    <row r="271" spans="1:3" x14ac:dyDescent="0.6">
      <c r="A271" s="35">
        <v>245</v>
      </c>
      <c r="B271" s="39">
        <v>1.6660156949657411E-3</v>
      </c>
      <c r="C271" s="39">
        <v>-0.22220601569496576</v>
      </c>
    </row>
    <row r="272" spans="1:3" x14ac:dyDescent="0.6">
      <c r="A272" s="35">
        <v>246</v>
      </c>
      <c r="B272" s="39">
        <v>1.6487649147946738E-2</v>
      </c>
      <c r="C272" s="39">
        <v>0.14612535085205328</v>
      </c>
    </row>
    <row r="273" spans="1:3" x14ac:dyDescent="0.6">
      <c r="A273" s="35">
        <v>247</v>
      </c>
      <c r="B273" s="39">
        <v>-7.4664953417715882E-2</v>
      </c>
      <c r="C273" s="39">
        <v>-0.12016304658228412</v>
      </c>
    </row>
    <row r="274" spans="1:3" x14ac:dyDescent="0.6">
      <c r="A274" s="35">
        <v>248</v>
      </c>
      <c r="B274" s="39">
        <v>-8.0985260785968988E-2</v>
      </c>
      <c r="C274" s="39">
        <v>6.5112260785968989E-2</v>
      </c>
    </row>
    <row r="275" spans="1:3" x14ac:dyDescent="0.6">
      <c r="A275" s="35">
        <v>249</v>
      </c>
      <c r="B275" s="39">
        <v>-0.13113207267290306</v>
      </c>
      <c r="C275" s="39">
        <v>-3.5548927327096941E-2</v>
      </c>
    </row>
    <row r="276" spans="1:3" x14ac:dyDescent="0.6">
      <c r="A276" s="35">
        <v>250</v>
      </c>
      <c r="B276" s="39">
        <v>0.138423816411264</v>
      </c>
      <c r="C276" s="39">
        <v>-8.450816411263995E-3</v>
      </c>
    </row>
    <row r="277" spans="1:3" x14ac:dyDescent="0.6">
      <c r="A277" s="35">
        <v>251</v>
      </c>
      <c r="B277" s="39">
        <v>8.7247638700662586E-2</v>
      </c>
      <c r="C277" s="39">
        <v>0.12403636129933741</v>
      </c>
    </row>
    <row r="278" spans="1:3" x14ac:dyDescent="0.6">
      <c r="A278" s="35">
        <v>252</v>
      </c>
      <c r="B278" s="39">
        <v>3.6462519148632778E-2</v>
      </c>
      <c r="C278" s="39">
        <v>-9.7935191486327802E-3</v>
      </c>
    </row>
    <row r="279" spans="1:3" x14ac:dyDescent="0.6">
      <c r="A279" s="35">
        <v>253</v>
      </c>
      <c r="B279" s="39">
        <v>-3.0482645064437468E-2</v>
      </c>
      <c r="C279" s="39">
        <v>0.15784964506443744</v>
      </c>
    </row>
    <row r="280" spans="1:3" x14ac:dyDescent="0.6">
      <c r="A280" s="35">
        <v>254</v>
      </c>
      <c r="B280" s="39">
        <v>-3.9814528520776944E-2</v>
      </c>
      <c r="C280" s="39">
        <v>-8.3653471479223057E-2</v>
      </c>
    </row>
    <row r="281" spans="1:3" x14ac:dyDescent="0.6">
      <c r="A281" s="35">
        <v>255</v>
      </c>
      <c r="B281" s="39">
        <v>6.7790379134044301E-2</v>
      </c>
      <c r="C281" s="39">
        <v>2.1692620865955706E-2</v>
      </c>
    </row>
    <row r="282" spans="1:3" x14ac:dyDescent="0.6">
      <c r="A282" s="35">
        <v>256</v>
      </c>
      <c r="B282" s="39">
        <v>-6.8797000443874115E-2</v>
      </c>
      <c r="C282" s="39">
        <v>9.264600044387411E-2</v>
      </c>
    </row>
    <row r="283" spans="1:3" x14ac:dyDescent="0.6">
      <c r="A283" s="35">
        <v>257</v>
      </c>
      <c r="B283" s="39">
        <v>-2.7226451637866154E-2</v>
      </c>
      <c r="C283" s="39">
        <v>-1.4140548362133847E-2</v>
      </c>
    </row>
    <row r="284" spans="1:3" x14ac:dyDescent="0.6">
      <c r="A284" s="35">
        <v>258</v>
      </c>
      <c r="B284" s="39">
        <v>-6.3897987422160712E-2</v>
      </c>
      <c r="C284" s="39">
        <v>-0.17688701257783929</v>
      </c>
    </row>
    <row r="285" spans="1:3" x14ac:dyDescent="0.6">
      <c r="A285" s="35">
        <v>259</v>
      </c>
      <c r="B285" s="39">
        <v>-7.0536525751215065E-2</v>
      </c>
      <c r="C285" s="39">
        <v>-6.9789474248784941E-2</v>
      </c>
    </row>
    <row r="286" spans="1:3" x14ac:dyDescent="0.6">
      <c r="A286" s="35">
        <v>260</v>
      </c>
      <c r="B286" s="39">
        <v>-9.2194760886564094E-3</v>
      </c>
      <c r="C286" s="39">
        <v>-2.5601523911343588E-2</v>
      </c>
    </row>
    <row r="287" spans="1:3" x14ac:dyDescent="0.6">
      <c r="A287" s="35">
        <v>261</v>
      </c>
      <c r="B287" s="39">
        <v>-0.1177755844495731</v>
      </c>
      <c r="C287" s="39">
        <v>9.9426584449573113E-2</v>
      </c>
    </row>
    <row r="288" spans="1:3" x14ac:dyDescent="0.6">
      <c r="A288" s="35">
        <v>262</v>
      </c>
      <c r="B288" s="39">
        <v>0.15122300528088667</v>
      </c>
      <c r="C288" s="39">
        <v>-4.434700528088667E-2</v>
      </c>
    </row>
    <row r="289" spans="1:3" x14ac:dyDescent="0.6">
      <c r="A289" s="35">
        <v>263</v>
      </c>
      <c r="B289" s="39">
        <v>0.10530274593477705</v>
      </c>
      <c r="C289" s="39">
        <v>-0.14197274593477704</v>
      </c>
    </row>
    <row r="290" spans="1:3" x14ac:dyDescent="0.6">
      <c r="A290" s="35">
        <v>264</v>
      </c>
      <c r="B290" s="39">
        <v>-7.7080052093886409E-2</v>
      </c>
      <c r="C290" s="39">
        <v>4.9605209388640936E-4</v>
      </c>
    </row>
    <row r="291" spans="1:3" x14ac:dyDescent="0.6">
      <c r="A291" s="35">
        <v>265</v>
      </c>
      <c r="B291" s="39">
        <v>-5.4001187677334139E-3</v>
      </c>
      <c r="C291" s="39">
        <v>6.4931187677334141E-3</v>
      </c>
    </row>
    <row r="292" spans="1:3" x14ac:dyDescent="0.6">
      <c r="A292" s="35">
        <v>266</v>
      </c>
      <c r="B292" s="39">
        <v>2.9333986670920555E-3</v>
      </c>
      <c r="C292" s="39">
        <v>4.143160133290795E-2</v>
      </c>
    </row>
    <row r="293" spans="1:3" x14ac:dyDescent="0.6">
      <c r="A293" s="35">
        <v>267</v>
      </c>
      <c r="B293" s="39">
        <v>4.8576337020431501E-2</v>
      </c>
      <c r="C293" s="39">
        <v>-0.1075373370204315</v>
      </c>
    </row>
    <row r="294" spans="1:3" x14ac:dyDescent="0.6">
      <c r="A294" s="35">
        <v>268</v>
      </c>
      <c r="B294" s="39">
        <v>0.10706525167887854</v>
      </c>
      <c r="C294" s="39">
        <v>-0.10240725167887854</v>
      </c>
    </row>
    <row r="295" spans="1:3" x14ac:dyDescent="0.6">
      <c r="A295" s="35">
        <v>269</v>
      </c>
      <c r="B295" s="39">
        <v>0.10392952311898726</v>
      </c>
      <c r="C295" s="39">
        <v>0.15747747688101274</v>
      </c>
    </row>
    <row r="296" spans="1:3" x14ac:dyDescent="0.6">
      <c r="A296" s="35">
        <v>270</v>
      </c>
      <c r="B296" s="39">
        <v>3.0015586363802894E-2</v>
      </c>
      <c r="C296" s="39">
        <v>3.0822413636197102E-2</v>
      </c>
    </row>
    <row r="297" spans="1:3" x14ac:dyDescent="0.6">
      <c r="A297" s="35">
        <v>271</v>
      </c>
      <c r="B297" s="39">
        <v>6.7716306215474142E-2</v>
      </c>
      <c r="C297" s="39">
        <v>3.7564693784525857E-2</v>
      </c>
    </row>
    <row r="298" spans="1:3" x14ac:dyDescent="0.6">
      <c r="A298" s="35">
        <v>272</v>
      </c>
      <c r="B298" s="39">
        <v>3.1550281348471126E-2</v>
      </c>
      <c r="C298" s="39">
        <v>4.0330718651528874E-2</v>
      </c>
    </row>
    <row r="299" spans="1:3" x14ac:dyDescent="0.6">
      <c r="A299" s="35">
        <v>273</v>
      </c>
      <c r="B299" s="39">
        <v>6.8800052572401513E-4</v>
      </c>
      <c r="C299" s="39">
        <v>-8.5079000525724008E-2</v>
      </c>
    </row>
    <row r="300" spans="1:3" x14ac:dyDescent="0.6">
      <c r="A300" s="35">
        <v>274</v>
      </c>
      <c r="B300" s="39">
        <v>8.0193775978174842E-2</v>
      </c>
      <c r="C300" s="39">
        <v>2.3836224021825156E-2</v>
      </c>
    </row>
    <row r="301" spans="1:3" x14ac:dyDescent="0.6">
      <c r="A301" s="35">
        <v>275</v>
      </c>
      <c r="B301" s="39">
        <v>1.9289137326987435E-2</v>
      </c>
      <c r="C301" s="39">
        <v>-0.10649013732698744</v>
      </c>
    </row>
    <row r="302" spans="1:3" x14ac:dyDescent="0.6">
      <c r="A302" s="35">
        <v>276</v>
      </c>
      <c r="B302" s="39">
        <v>3.6333837161915572E-2</v>
      </c>
      <c r="C302" s="39">
        <v>-1.5134837161915569E-2</v>
      </c>
    </row>
    <row r="303" spans="1:3" x14ac:dyDescent="0.6">
      <c r="A303" s="35">
        <v>277</v>
      </c>
      <c r="B303" s="39">
        <v>3.022651486795068E-2</v>
      </c>
      <c r="C303" s="39">
        <v>2.475848513204932E-2</v>
      </c>
    </row>
    <row r="304" spans="1:3" x14ac:dyDescent="0.6">
      <c r="A304" s="35">
        <v>278</v>
      </c>
      <c r="B304" s="39">
        <v>2.2664267006016869E-2</v>
      </c>
      <c r="C304" s="39">
        <v>3.7019732993983125E-2</v>
      </c>
    </row>
    <row r="305" spans="1:3" x14ac:dyDescent="0.6">
      <c r="A305" s="35">
        <v>279</v>
      </c>
      <c r="B305" s="39">
        <v>6.6888654441823992E-4</v>
      </c>
      <c r="C305" s="39">
        <v>0.12886611345558174</v>
      </c>
    </row>
    <row r="306" spans="1:3" x14ac:dyDescent="0.6">
      <c r="A306" s="35">
        <v>280</v>
      </c>
      <c r="B306" s="39">
        <v>9.2987453472347086E-3</v>
      </c>
      <c r="C306" s="39">
        <v>-5.6696745347234713E-2</v>
      </c>
    </row>
    <row r="307" spans="1:3" x14ac:dyDescent="0.6">
      <c r="A307" s="35">
        <v>281</v>
      </c>
      <c r="B307" s="39">
        <v>3.1172034088088836E-2</v>
      </c>
      <c r="C307" s="39">
        <v>5.6668965911911166E-2</v>
      </c>
    </row>
    <row r="308" spans="1:3" x14ac:dyDescent="0.6">
      <c r="A308" s="35">
        <v>282</v>
      </c>
      <c r="B308" s="39">
        <v>3.0570368466119102E-2</v>
      </c>
      <c r="C308" s="39">
        <v>0.1282876315338809</v>
      </c>
    </row>
    <row r="309" spans="1:3" x14ac:dyDescent="0.6">
      <c r="A309" s="35">
        <v>283</v>
      </c>
      <c r="B309" s="39">
        <v>-8.3541290994743445E-2</v>
      </c>
      <c r="C309" s="39">
        <v>7.6395290994743445E-2</v>
      </c>
    </row>
    <row r="310" spans="1:3" x14ac:dyDescent="0.6">
      <c r="A310" s="35">
        <v>284</v>
      </c>
      <c r="B310" s="39">
        <v>1.0413314889079241E-3</v>
      </c>
      <c r="C310" s="39">
        <v>6.4339668511092074E-2</v>
      </c>
    </row>
    <row r="311" spans="1:3" x14ac:dyDescent="0.6">
      <c r="A311" s="35">
        <v>285</v>
      </c>
      <c r="B311" s="39">
        <v>4.424319317722903E-2</v>
      </c>
      <c r="C311" s="39">
        <v>7.8170806822770972E-2</v>
      </c>
    </row>
    <row r="312" spans="1:3" x14ac:dyDescent="0.6">
      <c r="A312" s="35">
        <v>286</v>
      </c>
      <c r="B312" s="39">
        <v>3.7884531583986962E-2</v>
      </c>
      <c r="C312" s="39">
        <v>0.31327346841601306</v>
      </c>
    </row>
    <row r="313" spans="1:3" x14ac:dyDescent="0.6">
      <c r="A313" s="35">
        <v>287</v>
      </c>
      <c r="B313" s="39">
        <v>6.4271669455521929E-2</v>
      </c>
      <c r="C313" s="39">
        <v>0.21380833054447806</v>
      </c>
    </row>
    <row r="314" spans="1:3" x14ac:dyDescent="0.6">
      <c r="A314" s="35">
        <v>288</v>
      </c>
      <c r="B314" s="39">
        <v>5.6852116248717284E-2</v>
      </c>
      <c r="C314" s="39">
        <v>-9.7975116248717284E-2</v>
      </c>
    </row>
    <row r="315" spans="1:3" x14ac:dyDescent="0.6">
      <c r="A315" s="35">
        <v>289</v>
      </c>
      <c r="B315" s="39">
        <v>-4.1885994301081704E-2</v>
      </c>
      <c r="C315" s="39">
        <v>0.2343849943010817</v>
      </c>
    </row>
    <row r="316" spans="1:3" x14ac:dyDescent="0.6">
      <c r="A316" s="35">
        <v>290</v>
      </c>
      <c r="B316" s="39">
        <v>2.0904733687233265E-2</v>
      </c>
      <c r="C316" s="39">
        <v>0.14420526631276676</v>
      </c>
    </row>
    <row r="317" spans="1:3" x14ac:dyDescent="0.6">
      <c r="A317" s="35">
        <v>291</v>
      </c>
      <c r="B317" s="39">
        <v>-2.8251839385065647E-2</v>
      </c>
      <c r="C317" s="39">
        <v>-4.4958160614934364E-2</v>
      </c>
    </row>
    <row r="318" spans="1:3" x14ac:dyDescent="0.6">
      <c r="A318" s="35">
        <v>292</v>
      </c>
      <c r="B318" s="39">
        <v>-2.6137086575472923E-2</v>
      </c>
      <c r="C318" s="39">
        <v>-0.11059191342452707</v>
      </c>
    </row>
    <row r="319" spans="1:3" x14ac:dyDescent="0.6">
      <c r="A319" s="35">
        <v>293</v>
      </c>
      <c r="B319" s="39">
        <v>7.4182031942383611E-2</v>
      </c>
      <c r="C319" s="39">
        <v>2.6004968057616387E-2</v>
      </c>
    </row>
    <row r="320" spans="1:3" x14ac:dyDescent="0.6">
      <c r="A320" s="35">
        <v>294</v>
      </c>
      <c r="B320" s="39">
        <v>4.5673654252991538E-3</v>
      </c>
      <c r="C320" s="39">
        <v>-8.1046365425299138E-2</v>
      </c>
    </row>
    <row r="321" spans="1:3" x14ac:dyDescent="0.6">
      <c r="A321" s="35">
        <v>295</v>
      </c>
      <c r="B321" s="39">
        <v>7.4750835505875621E-2</v>
      </c>
      <c r="C321" s="39">
        <v>8.1502164494124354E-2</v>
      </c>
    </row>
    <row r="322" spans="1:3" x14ac:dyDescent="0.6">
      <c r="A322" s="35">
        <v>296</v>
      </c>
      <c r="B322" s="39">
        <v>-1.5096799811065712E-2</v>
      </c>
      <c r="C322" s="39">
        <v>0.11151079981106571</v>
      </c>
    </row>
    <row r="323" spans="1:3" x14ac:dyDescent="0.6">
      <c r="A323" s="35">
        <v>297</v>
      </c>
      <c r="B323" s="39">
        <v>1.1341808315221764E-2</v>
      </c>
      <c r="C323" s="39">
        <v>0.12907219168477821</v>
      </c>
    </row>
    <row r="324" spans="1:3" x14ac:dyDescent="0.6">
      <c r="A324" s="35">
        <v>298</v>
      </c>
      <c r="B324" s="39">
        <v>-1.6349606249238084E-2</v>
      </c>
      <c r="C324" s="39">
        <v>8.7889606249238084E-2</v>
      </c>
    </row>
    <row r="325" spans="1:3" x14ac:dyDescent="0.6">
      <c r="A325" s="35">
        <v>299</v>
      </c>
      <c r="B325" s="39">
        <v>7.1356175901832797E-2</v>
      </c>
      <c r="C325" s="39">
        <v>0.1031788240981672</v>
      </c>
    </row>
    <row r="326" spans="1:3" x14ac:dyDescent="0.6">
      <c r="A326" s="35">
        <v>300</v>
      </c>
      <c r="B326" s="39">
        <v>5.5690031097538114E-3</v>
      </c>
      <c r="C326" s="39">
        <v>5.1242996890246188E-2</v>
      </c>
    </row>
    <row r="327" spans="1:3" x14ac:dyDescent="0.6">
      <c r="A327" s="35">
        <v>301</v>
      </c>
      <c r="B327" s="39">
        <v>5.6199650829024367E-2</v>
      </c>
      <c r="C327" s="39">
        <v>-9.3446508290243729E-3</v>
      </c>
    </row>
    <row r="328" spans="1:3" x14ac:dyDescent="0.6">
      <c r="A328" s="35">
        <v>302</v>
      </c>
      <c r="B328" s="39">
        <v>1.139683244483837E-2</v>
      </c>
      <c r="C328" s="39">
        <v>-0.10776483244483837</v>
      </c>
    </row>
    <row r="329" spans="1:3" x14ac:dyDescent="0.6">
      <c r="A329" s="35">
        <v>303</v>
      </c>
      <c r="B329" s="39">
        <v>3.6195596749904753E-2</v>
      </c>
      <c r="C329" s="39">
        <v>-0.12414159674990474</v>
      </c>
    </row>
    <row r="330" spans="1:3" x14ac:dyDescent="0.6">
      <c r="A330" s="35">
        <v>304</v>
      </c>
      <c r="B330" s="39">
        <v>-4.2330704888803548E-3</v>
      </c>
      <c r="C330" s="39">
        <v>0.12292307048888035</v>
      </c>
    </row>
    <row r="331" spans="1:3" x14ac:dyDescent="0.6">
      <c r="A331" s="35">
        <v>305</v>
      </c>
      <c r="B331" s="39">
        <v>-6.1378954191834444E-2</v>
      </c>
      <c r="C331" s="39">
        <v>-9.3795045808165556E-2</v>
      </c>
    </row>
    <row r="332" spans="1:3" x14ac:dyDescent="0.6">
      <c r="A332" s="35">
        <v>306</v>
      </c>
      <c r="B332" s="39">
        <v>7.7301171793990944E-4</v>
      </c>
      <c r="C332" s="39">
        <v>-4.6600011717939913E-2</v>
      </c>
    </row>
    <row r="333" spans="1:3" x14ac:dyDescent="0.6">
      <c r="A333" s="35">
        <v>307</v>
      </c>
      <c r="B333" s="39">
        <v>-3.355290280585204E-2</v>
      </c>
      <c r="C333" s="39">
        <v>0.21621290280585204</v>
      </c>
    </row>
    <row r="334" spans="1:3" x14ac:dyDescent="0.6">
      <c r="A334" s="35">
        <v>308</v>
      </c>
      <c r="B334" s="39">
        <v>5.6805278263767911E-2</v>
      </c>
      <c r="C334" s="39">
        <v>-6.2624278263767916E-2</v>
      </c>
    </row>
    <row r="335" spans="1:3" x14ac:dyDescent="0.6">
      <c r="A335" s="35">
        <v>309</v>
      </c>
      <c r="B335" s="39">
        <v>3.2196543198325975E-2</v>
      </c>
      <c r="C335" s="39">
        <v>9.826545680167402E-2</v>
      </c>
    </row>
    <row r="336" spans="1:3" x14ac:dyDescent="0.6">
      <c r="A336" s="35">
        <v>310</v>
      </c>
      <c r="B336" s="39">
        <v>5.8703653113475217E-2</v>
      </c>
      <c r="C336" s="39">
        <v>-9.5426531134752135E-3</v>
      </c>
    </row>
    <row r="337" spans="1:3" x14ac:dyDescent="0.6">
      <c r="A337" s="35">
        <v>311</v>
      </c>
      <c r="B337" s="39">
        <v>3.6634712618460116E-2</v>
      </c>
      <c r="C337" s="39">
        <v>8.9653287381539867E-2</v>
      </c>
    </row>
    <row r="338" spans="1:3" x14ac:dyDescent="0.6">
      <c r="A338" s="35">
        <v>312</v>
      </c>
      <c r="B338" s="39">
        <v>-6.9832810827411482E-3</v>
      </c>
      <c r="C338" s="39">
        <v>-7.1421718917258847E-2</v>
      </c>
    </row>
    <row r="339" spans="1:3" x14ac:dyDescent="0.6">
      <c r="A339" s="35">
        <v>313</v>
      </c>
      <c r="B339" s="39">
        <v>3.2334928255402982E-2</v>
      </c>
      <c r="C339" s="39">
        <v>-2.6244928255402984E-2</v>
      </c>
    </row>
    <row r="340" spans="1:3" x14ac:dyDescent="0.6">
      <c r="A340" s="35">
        <v>314</v>
      </c>
      <c r="B340" s="39">
        <v>-5.6796372343857968E-3</v>
      </c>
      <c r="C340" s="39">
        <v>-1.1184362765614204E-2</v>
      </c>
    </row>
    <row r="341" spans="1:3" x14ac:dyDescent="0.6">
      <c r="A341" s="35">
        <v>315</v>
      </c>
      <c r="B341" s="39">
        <v>2.4044643940079304E-2</v>
      </c>
      <c r="C341" s="39">
        <v>6.9752356059920695E-2</v>
      </c>
    </row>
    <row r="342" spans="1:3" x14ac:dyDescent="0.6">
      <c r="A342" s="35">
        <v>316</v>
      </c>
      <c r="B342" s="39">
        <v>6.1337431278224136E-2</v>
      </c>
      <c r="C342" s="39">
        <v>8.4205687217758646E-3</v>
      </c>
    </row>
    <row r="343" spans="1:3" x14ac:dyDescent="0.6">
      <c r="A343" s="35">
        <v>317</v>
      </c>
      <c r="B343" s="39">
        <v>5.4179540776498371E-2</v>
      </c>
      <c r="C343" s="39">
        <v>0.15605945922350165</v>
      </c>
    </row>
    <row r="344" spans="1:3" x14ac:dyDescent="0.6">
      <c r="A344" s="35">
        <v>318</v>
      </c>
      <c r="B344" s="39">
        <v>2.1606476706446196E-3</v>
      </c>
      <c r="C344" s="39">
        <v>8.4435232935538024E-4</v>
      </c>
    </row>
    <row r="345" spans="1:3" x14ac:dyDescent="0.6">
      <c r="A345" s="35">
        <v>319</v>
      </c>
      <c r="B345" s="39">
        <v>-8.782994069062855E-3</v>
      </c>
      <c r="C345" s="39">
        <v>8.4428994069062846E-2</v>
      </c>
    </row>
    <row r="346" spans="1:3" x14ac:dyDescent="0.6">
      <c r="A346" s="35">
        <v>320</v>
      </c>
      <c r="B346" s="39">
        <v>4.4999781268922776E-2</v>
      </c>
      <c r="C346" s="39">
        <v>1.8022187310772209E-3</v>
      </c>
    </row>
    <row r="347" spans="1:3" x14ac:dyDescent="0.6">
      <c r="A347" s="35">
        <v>321</v>
      </c>
      <c r="B347" s="39">
        <v>6.3781878716545143E-2</v>
      </c>
      <c r="C347" s="39">
        <v>4.1265121283454859E-2</v>
      </c>
    </row>
    <row r="348" spans="1:3" x14ac:dyDescent="0.6">
      <c r="A348" s="35">
        <v>322</v>
      </c>
      <c r="B348" s="39">
        <v>5.9928677850019096E-2</v>
      </c>
      <c r="C348" s="39">
        <v>0.17457232214998089</v>
      </c>
    </row>
    <row r="349" spans="1:3" x14ac:dyDescent="0.6">
      <c r="A349" s="35">
        <v>323</v>
      </c>
      <c r="B349" s="39">
        <v>-4.208316719853443E-2</v>
      </c>
      <c r="C349" s="39">
        <v>-2.0118328014655726E-3</v>
      </c>
    </row>
    <row r="350" spans="1:3" x14ac:dyDescent="0.6">
      <c r="A350" s="35">
        <v>324</v>
      </c>
      <c r="B350" s="39">
        <v>8.4512844169227878E-3</v>
      </c>
      <c r="C350" s="39">
        <v>7.5886715583077219E-2</v>
      </c>
    </row>
    <row r="351" spans="1:3" x14ac:dyDescent="0.6">
      <c r="A351" s="35">
        <v>325</v>
      </c>
      <c r="B351" s="39">
        <v>-9.9540432806803275E-2</v>
      </c>
      <c r="C351" s="39">
        <v>-0.21919956719319669</v>
      </c>
    </row>
    <row r="352" spans="1:3" x14ac:dyDescent="0.6">
      <c r="A352" s="35">
        <v>326</v>
      </c>
      <c r="B352" s="39">
        <v>-1.6205453604681352E-2</v>
      </c>
      <c r="C352" s="39">
        <v>-6.1483546395318639E-2</v>
      </c>
    </row>
    <row r="353" spans="1:3" x14ac:dyDescent="0.6">
      <c r="A353" s="35">
        <v>327</v>
      </c>
      <c r="B353" s="39">
        <v>6.4423714158377754E-3</v>
      </c>
      <c r="C353" s="39">
        <v>0.13967362858416221</v>
      </c>
    </row>
    <row r="354" spans="1:3" x14ac:dyDescent="0.6">
      <c r="A354" s="35">
        <v>328</v>
      </c>
      <c r="B354" s="39">
        <v>7.4417268083575197E-2</v>
      </c>
      <c r="C354" s="39">
        <v>0.13597773191642482</v>
      </c>
    </row>
    <row r="355" spans="1:3" x14ac:dyDescent="0.6">
      <c r="A355" s="35">
        <v>329</v>
      </c>
      <c r="B355" s="39">
        <v>5.8091537418886487E-2</v>
      </c>
      <c r="C355" s="39">
        <v>2.5190462581113522E-2</v>
      </c>
    </row>
    <row r="356" spans="1:3" x14ac:dyDescent="0.6">
      <c r="A356" s="35">
        <v>330</v>
      </c>
      <c r="B356" s="39">
        <v>-6.4252385151870678E-2</v>
      </c>
      <c r="C356" s="39">
        <v>-5.0348614848129331E-2</v>
      </c>
    </row>
    <row r="357" spans="1:3" x14ac:dyDescent="0.6">
      <c r="A357" s="35">
        <v>331</v>
      </c>
      <c r="B357" s="39">
        <v>-4.1044376992048798E-2</v>
      </c>
      <c r="C357" s="39">
        <v>-1.1160623007951204E-2</v>
      </c>
    </row>
    <row r="358" spans="1:3" x14ac:dyDescent="0.6">
      <c r="A358" s="35">
        <v>332</v>
      </c>
      <c r="B358" s="39">
        <v>2.8660101470688933E-2</v>
      </c>
      <c r="C358" s="39">
        <v>3.6601898529311068E-2</v>
      </c>
    </row>
    <row r="359" spans="1:3" x14ac:dyDescent="0.6">
      <c r="A359" s="35">
        <v>333</v>
      </c>
      <c r="B359" s="39">
        <v>-0.15970548013683755</v>
      </c>
      <c r="C359" s="39">
        <v>-0.17135251986316247</v>
      </c>
    </row>
    <row r="360" spans="1:3" x14ac:dyDescent="0.6">
      <c r="A360" s="35">
        <v>334</v>
      </c>
      <c r="B360" s="39">
        <v>-0.1779183025701051</v>
      </c>
      <c r="C360" s="39">
        <v>0.1237133025701051</v>
      </c>
    </row>
    <row r="361" spans="1:3" x14ac:dyDescent="0.6">
      <c r="A361" s="35">
        <v>335</v>
      </c>
      <c r="B361" s="39">
        <v>-3.737160307130654E-2</v>
      </c>
      <c r="C361" s="39">
        <v>-0.10160339692869344</v>
      </c>
    </row>
    <row r="362" spans="1:3" x14ac:dyDescent="0.6">
      <c r="A362" s="35">
        <v>336</v>
      </c>
      <c r="B362" s="39">
        <v>4.7403688374492221E-2</v>
      </c>
      <c r="C362" s="39">
        <v>-0.12639368837449222</v>
      </c>
    </row>
    <row r="363" spans="1:3" x14ac:dyDescent="0.6">
      <c r="A363" s="35">
        <v>337</v>
      </c>
      <c r="B363" s="39">
        <v>1.4244944533420498E-2</v>
      </c>
      <c r="C363" s="39">
        <v>4.1760055466579502E-2</v>
      </c>
    </row>
    <row r="364" spans="1:3" x14ac:dyDescent="0.6">
      <c r="A364" s="35">
        <v>338</v>
      </c>
      <c r="B364" s="39">
        <v>-4.4249466402146234E-2</v>
      </c>
      <c r="C364" s="39">
        <v>3.5051466402146236E-2</v>
      </c>
    </row>
    <row r="365" spans="1:3" x14ac:dyDescent="0.6">
      <c r="A365" s="35">
        <v>339</v>
      </c>
      <c r="B365" s="39">
        <v>9.1744011998386776E-2</v>
      </c>
      <c r="C365" s="39">
        <v>8.5079988001613205E-2</v>
      </c>
    </row>
    <row r="366" spans="1:3" x14ac:dyDescent="0.6">
      <c r="A366" s="35">
        <v>340</v>
      </c>
      <c r="B366" s="39">
        <v>0.10318661499291057</v>
      </c>
      <c r="C366" s="39">
        <v>9.3726385007089436E-2</v>
      </c>
    </row>
    <row r="367" spans="1:3" x14ac:dyDescent="0.6">
      <c r="A367" s="35">
        <v>341</v>
      </c>
      <c r="B367" s="39">
        <v>7.3221264385991344E-2</v>
      </c>
      <c r="C367" s="39">
        <v>6.0917356140086504E-3</v>
      </c>
    </row>
    <row r="368" spans="1:3" x14ac:dyDescent="0.6">
      <c r="A368" s="35">
        <v>342</v>
      </c>
      <c r="B368" s="39">
        <v>5.0857176743294499E-2</v>
      </c>
      <c r="C368" s="39">
        <v>-2.2121767432945055E-3</v>
      </c>
    </row>
    <row r="369" spans="1:3" x14ac:dyDescent="0.6">
      <c r="A369" s="35">
        <v>343</v>
      </c>
      <c r="B369" s="39">
        <v>6.6806511550759701E-2</v>
      </c>
      <c r="C369" s="39">
        <v>8.0253488449240323E-2</v>
      </c>
    </row>
    <row r="370" spans="1:3" x14ac:dyDescent="0.6">
      <c r="A370" s="35">
        <v>344</v>
      </c>
      <c r="B370" s="39">
        <v>-1.7693718948273193E-2</v>
      </c>
      <c r="C370" s="39">
        <v>4.7093718948273189E-2</v>
      </c>
    </row>
    <row r="371" spans="1:3" x14ac:dyDescent="0.6">
      <c r="A371" s="35">
        <v>345</v>
      </c>
      <c r="B371" s="39">
        <v>6.2489215388052938E-2</v>
      </c>
      <c r="C371" s="39">
        <v>3.930678461194706E-2</v>
      </c>
    </row>
    <row r="372" spans="1:3" x14ac:dyDescent="0.6">
      <c r="A372" s="35">
        <v>346</v>
      </c>
      <c r="B372" s="39">
        <v>7.9224577148850547E-3</v>
      </c>
      <c r="C372" s="39">
        <v>9.072542285114945E-3</v>
      </c>
    </row>
    <row r="373" spans="1:3" x14ac:dyDescent="0.6">
      <c r="A373" s="35">
        <v>347</v>
      </c>
      <c r="B373" s="39">
        <v>7.6682260924627016E-2</v>
      </c>
      <c r="C373" s="39">
        <v>-1.6151260924627014E-2</v>
      </c>
    </row>
    <row r="374" spans="1:3" x14ac:dyDescent="0.6">
      <c r="A374" s="35">
        <v>348</v>
      </c>
      <c r="B374" s="39">
        <v>6.4567122167225224E-2</v>
      </c>
      <c r="C374" s="39">
        <v>-1.0533122167225226E-2</v>
      </c>
    </row>
    <row r="375" spans="1:3" x14ac:dyDescent="0.6">
      <c r="A375" s="35">
        <v>349</v>
      </c>
      <c r="B375" s="39">
        <v>-2.9084571190675899E-2</v>
      </c>
      <c r="C375" s="39">
        <v>-5.9506428809324108E-2</v>
      </c>
    </row>
    <row r="376" spans="1:3" x14ac:dyDescent="0.6">
      <c r="A376" s="35">
        <v>350</v>
      </c>
      <c r="B376" s="39">
        <v>3.0473595952480413E-2</v>
      </c>
      <c r="C376" s="39">
        <v>3.4906404047519581E-2</v>
      </c>
    </row>
    <row r="377" spans="1:3" x14ac:dyDescent="0.6">
      <c r="A377" s="35">
        <v>351</v>
      </c>
      <c r="B377" s="39">
        <v>7.6351089113379289E-2</v>
      </c>
      <c r="C377" s="39">
        <v>7.2018910886620713E-2</v>
      </c>
    </row>
    <row r="378" spans="1:3" x14ac:dyDescent="0.6">
      <c r="A378" s="35">
        <v>352</v>
      </c>
      <c r="B378" s="39">
        <v>2.6979930882217062E-2</v>
      </c>
      <c r="C378" s="39">
        <v>8.3941069117782929E-2</v>
      </c>
    </row>
    <row r="379" spans="1:3" x14ac:dyDescent="0.6">
      <c r="A379" s="35">
        <v>353</v>
      </c>
      <c r="B379" s="39">
        <v>-6.1352886754384522E-2</v>
      </c>
      <c r="C379" s="39">
        <v>4.5127886754384519E-2</v>
      </c>
    </row>
    <row r="380" spans="1:3" x14ac:dyDescent="0.6">
      <c r="A380" s="35">
        <v>354</v>
      </c>
      <c r="B380" s="39">
        <v>-1.9281688781189223E-2</v>
      </c>
      <c r="C380" s="39">
        <v>-1.6453112188107751E-3</v>
      </c>
    </row>
    <row r="381" spans="1:3" x14ac:dyDescent="0.6">
      <c r="A381" s="35">
        <v>355</v>
      </c>
      <c r="B381" s="39">
        <v>0.10180801954214834</v>
      </c>
      <c r="C381" s="39">
        <v>-7.9167019542148331E-2</v>
      </c>
    </row>
    <row r="382" spans="1:3" x14ac:dyDescent="0.6">
      <c r="A382" s="35">
        <v>356</v>
      </c>
      <c r="B382" s="39">
        <v>-3.5438335481755789E-2</v>
      </c>
      <c r="C382" s="39">
        <v>-1.9666664518244212E-2</v>
      </c>
    </row>
    <row r="383" spans="1:3" x14ac:dyDescent="0.6">
      <c r="A383" s="35">
        <v>357</v>
      </c>
      <c r="B383" s="39">
        <v>0.17000001902458001</v>
      </c>
      <c r="C383" s="39">
        <v>-2.8850190245799934E-3</v>
      </c>
    </row>
    <row r="384" spans="1:3" x14ac:dyDescent="0.6">
      <c r="A384" s="35">
        <v>358</v>
      </c>
      <c r="B384" s="39">
        <v>8.8045744860713676E-2</v>
      </c>
      <c r="C384" s="39">
        <v>-2.742274486071368E-2</v>
      </c>
    </row>
    <row r="385" spans="1:3" x14ac:dyDescent="0.6">
      <c r="A385" s="35">
        <v>359</v>
      </c>
      <c r="B385" s="39">
        <v>3.9668306120900595E-2</v>
      </c>
      <c r="C385" s="39">
        <v>-5.9783061209005978E-3</v>
      </c>
    </row>
    <row r="386" spans="1:3" x14ac:dyDescent="0.6">
      <c r="A386" s="35">
        <v>360</v>
      </c>
      <c r="B386" s="39">
        <v>6.5192453835779735E-2</v>
      </c>
      <c r="C386" s="39">
        <v>-2.8622453835779736E-2</v>
      </c>
    </row>
    <row r="387" spans="1:3" x14ac:dyDescent="0.6">
      <c r="A387" s="35">
        <v>361</v>
      </c>
      <c r="B387" s="39">
        <v>2.4122873043832191E-2</v>
      </c>
      <c r="C387" s="39">
        <v>2.7736126956167804E-2</v>
      </c>
    </row>
    <row r="388" spans="1:3" x14ac:dyDescent="0.6">
      <c r="A388" s="35">
        <v>362</v>
      </c>
      <c r="B388" s="39">
        <v>5.1125269557396068E-2</v>
      </c>
      <c r="C388" s="39">
        <v>-1.0290269557396071E-2</v>
      </c>
    </row>
    <row r="389" spans="1:3" x14ac:dyDescent="0.6">
      <c r="A389" s="35">
        <v>363</v>
      </c>
      <c r="B389" s="39">
        <v>4.0620441911944569E-2</v>
      </c>
      <c r="C389" s="39">
        <v>-5.4034441911944564E-2</v>
      </c>
    </row>
    <row r="390" spans="1:3" x14ac:dyDescent="0.6">
      <c r="A390" s="35">
        <v>364</v>
      </c>
      <c r="B390" s="39">
        <v>7.1146436613429148E-2</v>
      </c>
      <c r="C390" s="39">
        <v>-6.6490436613429155E-2</v>
      </c>
    </row>
    <row r="391" spans="1:3" x14ac:dyDescent="0.6">
      <c r="A391" s="35">
        <v>365</v>
      </c>
      <c r="B391" s="39">
        <v>1.5003821666593354E-2</v>
      </c>
      <c r="C391" s="39">
        <v>-2.1572821666593356E-2</v>
      </c>
    </row>
    <row r="392" spans="1:3" x14ac:dyDescent="0.6">
      <c r="A392" s="35">
        <v>366</v>
      </c>
      <c r="B392" s="39">
        <v>-5.2994784768063009E-3</v>
      </c>
      <c r="C392" s="39">
        <v>-2.9660521523193699E-2</v>
      </c>
    </row>
    <row r="393" spans="1:3" x14ac:dyDescent="0.6">
      <c r="A393" s="35">
        <v>367</v>
      </c>
      <c r="B393" s="39">
        <v>-7.6427062834535549E-3</v>
      </c>
      <c r="C393" s="39">
        <v>0.17092770628345358</v>
      </c>
    </row>
    <row r="394" spans="1:3" x14ac:dyDescent="0.6">
      <c r="A394" s="35">
        <v>368</v>
      </c>
      <c r="B394" s="39">
        <v>-4.6161267039800592E-2</v>
      </c>
      <c r="C394" s="39">
        <v>3.1592267039800594E-2</v>
      </c>
    </row>
    <row r="395" spans="1:3" x14ac:dyDescent="0.6">
      <c r="A395" s="35">
        <v>369</v>
      </c>
      <c r="B395" s="39">
        <v>-7.5798796463133311E-2</v>
      </c>
      <c r="C395" s="39">
        <v>6.6677796463133307E-2</v>
      </c>
    </row>
    <row r="396" spans="1:3" x14ac:dyDescent="0.6">
      <c r="A396" s="35">
        <v>370</v>
      </c>
      <c r="B396" s="39">
        <v>0.16420478676248856</v>
      </c>
      <c r="C396" s="39">
        <v>-0.10268178676248857</v>
      </c>
    </row>
    <row r="397" spans="1:3" x14ac:dyDescent="0.6">
      <c r="A397" s="35">
        <v>371</v>
      </c>
      <c r="B397" s="39">
        <v>1.3128658498423757E-2</v>
      </c>
      <c r="C397" s="39">
        <v>-6.8911658498423761E-2</v>
      </c>
    </row>
    <row r="398" spans="1:3" x14ac:dyDescent="0.6">
      <c r="A398" s="35">
        <v>372</v>
      </c>
      <c r="B398" s="39">
        <v>5.3055944484720757E-3</v>
      </c>
      <c r="C398" s="39">
        <v>5.4349405551527924E-2</v>
      </c>
    </row>
    <row r="399" spans="1:3" x14ac:dyDescent="0.6">
      <c r="A399" s="35">
        <v>373</v>
      </c>
      <c r="B399" s="39">
        <v>9.1671876930344759E-2</v>
      </c>
      <c r="C399" s="39">
        <v>3.5439123069655243E-2</v>
      </c>
    </row>
    <row r="400" spans="1:3" x14ac:dyDescent="0.6">
      <c r="A400" s="35">
        <v>374</v>
      </c>
      <c r="B400" s="39">
        <v>6.2438854050771757E-2</v>
      </c>
      <c r="C400" s="39">
        <v>0.12587214594922824</v>
      </c>
    </row>
    <row r="401" spans="1:3" x14ac:dyDescent="0.6">
      <c r="A401" s="35">
        <v>375</v>
      </c>
      <c r="B401" s="39">
        <v>4.2509512859875115E-2</v>
      </c>
      <c r="C401" s="39">
        <v>6.2774487140124888E-2</v>
      </c>
    </row>
    <row r="402" spans="1:3" x14ac:dyDescent="0.6">
      <c r="A402" s="35">
        <v>376</v>
      </c>
      <c r="B402" s="39">
        <v>6.2398669132636819E-3</v>
      </c>
      <c r="C402" s="39">
        <v>-3.2208866913263683E-2</v>
      </c>
    </row>
    <row r="403" spans="1:3" x14ac:dyDescent="0.6">
      <c r="A403" s="35">
        <v>377</v>
      </c>
      <c r="B403" s="39">
        <v>-5.6435861568713989E-2</v>
      </c>
      <c r="C403" s="39">
        <v>4.563386156871399E-2</v>
      </c>
    </row>
    <row r="404" spans="1:3" x14ac:dyDescent="0.6">
      <c r="A404" s="35">
        <v>378</v>
      </c>
      <c r="B404" s="39">
        <v>5.9802238061485193E-2</v>
      </c>
      <c r="C404" s="39">
        <v>-4.8949238061485191E-2</v>
      </c>
    </row>
    <row r="405" spans="1:3" x14ac:dyDescent="0.6">
      <c r="A405" s="35">
        <v>379</v>
      </c>
      <c r="B405" s="39">
        <v>1.8643089864755061E-2</v>
      </c>
      <c r="C405" s="39">
        <v>2.7178910135244941E-2</v>
      </c>
    </row>
    <row r="406" spans="1:3" x14ac:dyDescent="0.6">
      <c r="A406" s="35">
        <v>380</v>
      </c>
      <c r="B406" s="39">
        <v>3.4784331539429933E-2</v>
      </c>
      <c r="C406" s="39">
        <v>5.8654668460570061E-2</v>
      </c>
    </row>
    <row r="407" spans="1:3" x14ac:dyDescent="0.6">
      <c r="A407" s="35">
        <v>381</v>
      </c>
      <c r="B407" s="39">
        <v>3.5081103469055741E-2</v>
      </c>
      <c r="C407" s="39">
        <v>-3.2378103469055744E-2</v>
      </c>
    </row>
    <row r="408" spans="1:3" x14ac:dyDescent="0.6">
      <c r="A408" s="35">
        <v>382</v>
      </c>
      <c r="B408" s="39">
        <v>-4.5047761467008368E-2</v>
      </c>
      <c r="C408" s="39">
        <v>-6.2659238532991629E-2</v>
      </c>
    </row>
    <row r="409" spans="1:3" x14ac:dyDescent="0.6">
      <c r="A409" s="35">
        <v>383</v>
      </c>
      <c r="B409" s="39">
        <v>3.3752157093447012E-2</v>
      </c>
      <c r="C409" s="39">
        <v>-4.6265157093447015E-2</v>
      </c>
    </row>
    <row r="410" spans="1:3" x14ac:dyDescent="0.6">
      <c r="A410" s="35">
        <v>384</v>
      </c>
      <c r="B410" s="39">
        <v>4.6737690861654163E-4</v>
      </c>
      <c r="C410" s="39">
        <v>-9.1305376908616537E-2</v>
      </c>
    </row>
    <row r="411" spans="1:3" x14ac:dyDescent="0.6">
      <c r="A411" s="35">
        <v>385</v>
      </c>
      <c r="B411" s="39">
        <v>7.5034358435959042E-2</v>
      </c>
      <c r="C411" s="39">
        <v>-0.21912835843595904</v>
      </c>
    </row>
    <row r="412" spans="1:3" x14ac:dyDescent="0.6">
      <c r="A412" s="35">
        <v>386</v>
      </c>
      <c r="B412" s="39">
        <v>2.846111151596423E-2</v>
      </c>
      <c r="C412" s="39">
        <v>-5.3577111515964226E-2</v>
      </c>
    </row>
    <row r="413" spans="1:3" x14ac:dyDescent="0.6">
      <c r="A413" s="35">
        <v>387</v>
      </c>
      <c r="B413" s="39">
        <v>6.7884676226350846E-2</v>
      </c>
      <c r="C413" s="39">
        <v>-6.5029676226350849E-2</v>
      </c>
    </row>
    <row r="414" spans="1:3" x14ac:dyDescent="0.6">
      <c r="A414" s="35">
        <v>388</v>
      </c>
      <c r="B414" s="39">
        <v>2.0789518483158402E-2</v>
      </c>
      <c r="C414" s="39">
        <v>-2.0518518483158402E-2</v>
      </c>
    </row>
    <row r="415" spans="1:3" x14ac:dyDescent="0.6">
      <c r="A415" s="35">
        <v>389</v>
      </c>
      <c r="B415" s="39">
        <v>2.991757447767688E-2</v>
      </c>
      <c r="C415" s="39">
        <v>-7.3215744776768781E-3</v>
      </c>
    </row>
    <row r="416" spans="1:3" x14ac:dyDescent="0.6">
      <c r="A416" s="35">
        <v>390</v>
      </c>
      <c r="B416" s="39">
        <v>4.269640433999319E-3</v>
      </c>
      <c r="C416" s="39">
        <v>-0.12257264043399932</v>
      </c>
    </row>
    <row r="417" spans="1:3" x14ac:dyDescent="0.6">
      <c r="A417" s="35">
        <v>391</v>
      </c>
      <c r="B417" s="39">
        <v>8.3446752473713331E-2</v>
      </c>
      <c r="C417" s="39">
        <v>5.7778247526286658E-2</v>
      </c>
    </row>
    <row r="418" spans="1:3" x14ac:dyDescent="0.6">
      <c r="A418" s="35">
        <v>392</v>
      </c>
      <c r="B418" s="39">
        <v>6.5174040448904257E-3</v>
      </c>
      <c r="C418" s="39">
        <v>7.6871595955109576E-2</v>
      </c>
    </row>
    <row r="419" spans="1:3" x14ac:dyDescent="0.6">
      <c r="A419" s="35">
        <v>393</v>
      </c>
      <c r="B419" s="39">
        <v>7.8976171167509976E-2</v>
      </c>
      <c r="C419" s="39">
        <v>-0.10045717116750998</v>
      </c>
    </row>
    <row r="420" spans="1:3" x14ac:dyDescent="0.6">
      <c r="A420" s="35">
        <v>394</v>
      </c>
      <c r="B420" s="39">
        <v>5.0664983530115761E-2</v>
      </c>
      <c r="C420" s="39">
        <v>4.5721016469884239E-2</v>
      </c>
    </row>
    <row r="421" spans="1:3" x14ac:dyDescent="0.6">
      <c r="A421" s="35">
        <v>395</v>
      </c>
      <c r="B421" s="39">
        <v>5.3464925940330747E-2</v>
      </c>
      <c r="C421" s="39">
        <v>1.6208074059669252E-2</v>
      </c>
    </row>
    <row r="422" spans="1:3" x14ac:dyDescent="0.6">
      <c r="A422" s="35">
        <v>396</v>
      </c>
      <c r="B422" s="39">
        <v>4.9678867077925688E-2</v>
      </c>
      <c r="C422" s="39">
        <v>-4.0776867077925688E-2</v>
      </c>
    </row>
    <row r="423" spans="1:3" x14ac:dyDescent="0.6">
      <c r="A423" s="35">
        <v>397</v>
      </c>
      <c r="B423" s="39">
        <v>-5.6888525214006981E-3</v>
      </c>
      <c r="C423" s="39">
        <v>-0.10200814747859931</v>
      </c>
    </row>
    <row r="424" spans="1:3" x14ac:dyDescent="0.6">
      <c r="A424" s="35">
        <v>398</v>
      </c>
      <c r="B424" s="39">
        <v>7.5383129827778006E-2</v>
      </c>
      <c r="C424" s="39">
        <v>-1.8072129827778005E-2</v>
      </c>
    </row>
    <row r="425" spans="1:3" x14ac:dyDescent="0.6">
      <c r="A425" s="35">
        <v>399</v>
      </c>
      <c r="B425" s="39">
        <v>-3.1978041984606978E-2</v>
      </c>
      <c r="C425" s="39">
        <v>5.1931041984606977E-2</v>
      </c>
    </row>
    <row r="426" spans="1:3" x14ac:dyDescent="0.6">
      <c r="A426" s="35">
        <v>400</v>
      </c>
      <c r="B426" s="39">
        <v>-1.0563938287524766E-2</v>
      </c>
      <c r="C426" s="39">
        <v>0.10995993828752476</v>
      </c>
    </row>
    <row r="427" spans="1:3" x14ac:dyDescent="0.6">
      <c r="A427" s="35">
        <v>401</v>
      </c>
      <c r="B427" s="39">
        <v>3.6408433820328476E-2</v>
      </c>
      <c r="C427" s="39">
        <v>4.1884566179671526E-2</v>
      </c>
    </row>
    <row r="428" spans="1:3" x14ac:dyDescent="0.6">
      <c r="A428" s="35">
        <v>402</v>
      </c>
      <c r="B428" s="39">
        <v>6.1109644775040765E-2</v>
      </c>
      <c r="C428" s="39">
        <v>-3.3447644775040766E-2</v>
      </c>
    </row>
    <row r="429" spans="1:3" x14ac:dyDescent="0.6">
      <c r="A429" s="35">
        <v>403</v>
      </c>
      <c r="B429" s="39">
        <v>-2.3027393273013907E-2</v>
      </c>
      <c r="C429" s="39">
        <v>5.1758393273013903E-2</v>
      </c>
    </row>
    <row r="430" spans="1:3" x14ac:dyDescent="0.6">
      <c r="A430" s="35">
        <v>404</v>
      </c>
      <c r="B430" s="39">
        <v>7.2085305033960587E-2</v>
      </c>
      <c r="C430" s="39">
        <v>5.0066949660394072E-3</v>
      </c>
    </row>
    <row r="431" spans="1:3" x14ac:dyDescent="0.6">
      <c r="A431" s="35">
        <v>405</v>
      </c>
      <c r="B431" s="39">
        <v>-9.9407409491834194E-3</v>
      </c>
      <c r="C431" s="39">
        <v>-7.132259050816582E-3</v>
      </c>
    </row>
    <row r="432" spans="1:3" x14ac:dyDescent="0.6">
      <c r="A432" s="35">
        <v>406</v>
      </c>
      <c r="B432" s="39">
        <v>7.1827027350827494E-2</v>
      </c>
      <c r="C432" s="39">
        <v>1.3297264917250251E-4</v>
      </c>
    </row>
    <row r="433" spans="1:3" x14ac:dyDescent="0.6">
      <c r="A433" s="35">
        <v>407</v>
      </c>
      <c r="B433" s="39">
        <v>6.638448814419233E-2</v>
      </c>
      <c r="C433" s="39">
        <v>3.9171511855807667E-2</v>
      </c>
    </row>
    <row r="434" spans="1:3" x14ac:dyDescent="0.6">
      <c r="A434" s="35">
        <v>408</v>
      </c>
      <c r="B434" s="39">
        <v>1.5699006881097419E-3</v>
      </c>
      <c r="C434" s="39">
        <v>-7.3460900688109732E-2</v>
      </c>
    </row>
    <row r="435" spans="1:3" x14ac:dyDescent="0.6">
      <c r="A435" s="35">
        <v>409</v>
      </c>
      <c r="B435" s="39">
        <v>5.4029258113690547E-3</v>
      </c>
      <c r="C435" s="39">
        <v>5.6021074188630948E-2</v>
      </c>
    </row>
    <row r="436" spans="1:3" x14ac:dyDescent="0.6">
      <c r="A436" s="35">
        <v>410</v>
      </c>
      <c r="B436" s="39">
        <v>0.10653994081136807</v>
      </c>
      <c r="C436" s="39">
        <v>-6.0789408113680748E-3</v>
      </c>
    </row>
    <row r="437" spans="1:3" x14ac:dyDescent="0.6">
      <c r="A437" s="35">
        <v>411</v>
      </c>
      <c r="B437" s="39">
        <v>1.2693797472575531E-2</v>
      </c>
      <c r="C437" s="39">
        <v>-4.4065797472575524E-2</v>
      </c>
    </row>
    <row r="438" spans="1:3" x14ac:dyDescent="0.6">
      <c r="A438" s="35">
        <v>412</v>
      </c>
      <c r="B438" s="39">
        <v>-3.8239203575956629E-3</v>
      </c>
      <c r="C438" s="39">
        <v>9.6099203575956624E-3</v>
      </c>
    </row>
    <row r="439" spans="1:3" x14ac:dyDescent="0.6">
      <c r="A439" s="35">
        <v>413</v>
      </c>
      <c r="B439" s="39">
        <v>4.5179712819808412E-2</v>
      </c>
      <c r="C439" s="39">
        <v>-3.3712819808413841E-5</v>
      </c>
    </row>
    <row r="440" spans="1:3" x14ac:dyDescent="0.6">
      <c r="A440" s="35">
        <v>414</v>
      </c>
      <c r="B440" s="39">
        <v>1.023798872849707E-2</v>
      </c>
      <c r="C440" s="39">
        <v>-4.7503988728497072E-2</v>
      </c>
    </row>
    <row r="441" spans="1:3" x14ac:dyDescent="0.6">
      <c r="A441" s="35">
        <v>415</v>
      </c>
      <c r="B441" s="39">
        <v>5.853032763789523E-2</v>
      </c>
      <c r="C441" s="39">
        <v>-9.141832763789523E-2</v>
      </c>
    </row>
    <row r="442" spans="1:3" x14ac:dyDescent="0.6">
      <c r="A442" s="35">
        <v>416</v>
      </c>
      <c r="B442" s="39">
        <v>-8.311627055923794E-2</v>
      </c>
      <c r="C442" s="39">
        <v>1.6999270559237945E-2</v>
      </c>
    </row>
    <row r="443" spans="1:3" x14ac:dyDescent="0.6">
      <c r="A443" s="35">
        <v>417</v>
      </c>
      <c r="B443" s="39">
        <v>-3.6046198407281196E-2</v>
      </c>
      <c r="C443" s="39">
        <v>1.4230198407281198E-2</v>
      </c>
    </row>
    <row r="444" spans="1:3" x14ac:dyDescent="0.6">
      <c r="A444" s="35">
        <v>418</v>
      </c>
      <c r="B444" s="39">
        <v>0.10428581435592693</v>
      </c>
      <c r="C444" s="39">
        <v>-2.0876814355926934E-2</v>
      </c>
    </row>
    <row r="445" spans="1:3" x14ac:dyDescent="0.6">
      <c r="A445" s="35">
        <v>419</v>
      </c>
      <c r="B445" s="39">
        <v>3.5495430148349022E-2</v>
      </c>
      <c r="C445" s="39">
        <v>-4.1185430148349023E-2</v>
      </c>
    </row>
    <row r="446" spans="1:3" x14ac:dyDescent="0.6">
      <c r="A446" s="35">
        <v>420</v>
      </c>
      <c r="B446" s="39">
        <v>2.5858294295453138E-3</v>
      </c>
      <c r="C446" s="39">
        <v>-0.11291382942954532</v>
      </c>
    </row>
    <row r="447" spans="1:3" x14ac:dyDescent="0.6">
      <c r="A447" s="35">
        <v>421</v>
      </c>
      <c r="B447" s="39">
        <v>-8.5296967424560027E-2</v>
      </c>
      <c r="C447" s="39">
        <v>9.9549674245600211E-3</v>
      </c>
    </row>
    <row r="448" spans="1:3" x14ac:dyDescent="0.6">
      <c r="A448" s="35">
        <v>422</v>
      </c>
      <c r="B448" s="39">
        <v>1.9524495524675861E-2</v>
      </c>
      <c r="C448" s="39">
        <v>-2.1059495524675863E-2</v>
      </c>
    </row>
    <row r="449" spans="1:3" x14ac:dyDescent="0.6">
      <c r="A449" s="35">
        <v>423</v>
      </c>
      <c r="B449" s="39">
        <v>9.1502889108984159E-2</v>
      </c>
      <c r="C449" s="39">
        <v>3.5508110891015826E-2</v>
      </c>
    </row>
    <row r="450" spans="1:3" x14ac:dyDescent="0.6">
      <c r="A450" s="35">
        <v>424</v>
      </c>
      <c r="B450" s="39">
        <v>-2.2487869979056149E-3</v>
      </c>
      <c r="C450" s="39">
        <v>-0.13777221300209436</v>
      </c>
    </row>
    <row r="451" spans="1:3" x14ac:dyDescent="0.6">
      <c r="A451" s="35">
        <v>425</v>
      </c>
      <c r="B451" s="39">
        <v>5.1226000119047016E-2</v>
      </c>
      <c r="C451" s="39">
        <v>2.0041999880952982E-2</v>
      </c>
    </row>
    <row r="452" spans="1:3" x14ac:dyDescent="0.6">
      <c r="A452" s="35">
        <v>426</v>
      </c>
      <c r="B452" s="39">
        <v>2.8510156125125124E-2</v>
      </c>
      <c r="C452" s="39">
        <v>-7.1370156125125123E-2</v>
      </c>
    </row>
    <row r="453" spans="1:3" x14ac:dyDescent="0.6">
      <c r="A453" s="35">
        <v>427</v>
      </c>
      <c r="B453" s="39">
        <v>7.9898573634029038E-2</v>
      </c>
      <c r="C453" s="39">
        <v>9.9644263659709603E-3</v>
      </c>
    </row>
    <row r="454" spans="1:3" x14ac:dyDescent="0.6">
      <c r="A454" s="35">
        <v>428</v>
      </c>
      <c r="B454" s="39">
        <v>-6.8208976807242333E-3</v>
      </c>
      <c r="C454" s="39">
        <v>3.0226897680724233E-2</v>
      </c>
    </row>
    <row r="455" spans="1:3" x14ac:dyDescent="0.6">
      <c r="A455" s="35">
        <v>429</v>
      </c>
      <c r="B455" s="39">
        <v>3.5981307921180102E-2</v>
      </c>
      <c r="C455" s="39">
        <v>2.9322692078819899E-2</v>
      </c>
    </row>
    <row r="456" spans="1:3" x14ac:dyDescent="0.6">
      <c r="A456" s="35">
        <v>430</v>
      </c>
      <c r="B456" s="39">
        <v>-6.054538554264164E-2</v>
      </c>
      <c r="C456" s="39">
        <v>6.4679385542641646E-2</v>
      </c>
    </row>
    <row r="457" spans="1:3" x14ac:dyDescent="0.6">
      <c r="A457" s="35">
        <v>431</v>
      </c>
      <c r="B457" s="39">
        <v>1.4263600918261926E-2</v>
      </c>
      <c r="C457" s="39">
        <v>-3.5941600918261929E-2</v>
      </c>
    </row>
    <row r="458" spans="1:3" ht="15.9" thickBot="1" x14ac:dyDescent="0.65">
      <c r="A458" s="36">
        <v>432</v>
      </c>
      <c r="B458" s="40">
        <v>3.9075326911168634E-3</v>
      </c>
      <c r="C458" s="40">
        <v>4.3747467308883133E-2</v>
      </c>
    </row>
  </sheetData>
  <mergeCells count="2">
    <mergeCell ref="A3:B3"/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88377-3A87-40DF-875C-1E15E9ACF7BF}">
  <dimension ref="A1:H20"/>
  <sheetViews>
    <sheetView workbookViewId="0">
      <selection sqref="A1:B1"/>
    </sheetView>
  </sheetViews>
  <sheetFormatPr defaultRowHeight="15.6" x14ac:dyDescent="0.6"/>
  <cols>
    <col min="1" max="1" width="15.59765625" style="2" bestFit="1" customWidth="1"/>
    <col min="2" max="2" width="10.796875" style="2" bestFit="1" customWidth="1"/>
    <col min="3" max="3" width="13.5" style="2" bestFit="1" customWidth="1"/>
    <col min="4" max="4" width="5.69921875" style="2" bestFit="1" customWidth="1"/>
    <col min="5" max="5" width="7.3984375" style="2" bestFit="1" customWidth="1"/>
    <col min="6" max="6" width="12.3984375" style="2" bestFit="1" customWidth="1"/>
    <col min="7" max="7" width="10.296875" style="2" bestFit="1" customWidth="1"/>
    <col min="8" max="9" width="12.25" style="2" bestFit="1" customWidth="1"/>
    <col min="10" max="16384" width="8.796875" style="2"/>
  </cols>
  <sheetData>
    <row r="1" spans="1:8" x14ac:dyDescent="0.6">
      <c r="A1" s="51" t="s">
        <v>17</v>
      </c>
      <c r="B1" s="51"/>
    </row>
    <row r="2" spans="1:8" ht="15.9" thickBot="1" x14ac:dyDescent="0.65"/>
    <row r="3" spans="1:8" x14ac:dyDescent="0.6">
      <c r="A3" s="50" t="s">
        <v>18</v>
      </c>
      <c r="B3" s="50"/>
    </row>
    <row r="4" spans="1:8" x14ac:dyDescent="0.6">
      <c r="A4" s="3"/>
      <c r="B4" s="4"/>
    </row>
    <row r="5" spans="1:8" x14ac:dyDescent="0.6">
      <c r="A5" s="3" t="s">
        <v>19</v>
      </c>
      <c r="B5" s="32">
        <f>C12/C14</f>
        <v>0.26429244885088998</v>
      </c>
    </row>
    <row r="6" spans="1:8" x14ac:dyDescent="0.6">
      <c r="A6" s="3" t="s">
        <v>20</v>
      </c>
      <c r="B6" s="32">
        <f>1-C13/C14*(B8-1)/(B8-(3+1))</f>
        <v>0.25913562022133929</v>
      </c>
    </row>
    <row r="7" spans="1:8" x14ac:dyDescent="0.6">
      <c r="A7" s="3" t="s">
        <v>21</v>
      </c>
      <c r="B7" s="6">
        <f>SQRT(D13)</f>
        <v>0.11598210831235899</v>
      </c>
    </row>
    <row r="8" spans="1:8" ht="15.9" thickBot="1" x14ac:dyDescent="0.65">
      <c r="A8" s="7" t="s">
        <v>22</v>
      </c>
      <c r="B8" s="31">
        <f>COUNT(Returns!B2:B433)</f>
        <v>432</v>
      </c>
    </row>
    <row r="10" spans="1:8" ht="15.9" thickBot="1" x14ac:dyDescent="0.65">
      <c r="A10" s="2" t="s">
        <v>23</v>
      </c>
    </row>
    <row r="11" spans="1:8" x14ac:dyDescent="0.6">
      <c r="A11" s="12"/>
      <c r="B11" s="12" t="s">
        <v>28</v>
      </c>
      <c r="C11" s="12" t="s">
        <v>29</v>
      </c>
      <c r="D11" s="12" t="s">
        <v>30</v>
      </c>
      <c r="E11" s="12" t="s">
        <v>31</v>
      </c>
      <c r="F11" s="12" t="s">
        <v>32</v>
      </c>
    </row>
    <row r="12" spans="1:8" x14ac:dyDescent="0.6">
      <c r="A12" s="3" t="s">
        <v>24</v>
      </c>
      <c r="B12" s="5">
        <v>3</v>
      </c>
      <c r="C12" s="6">
        <f>DEVSQ(Returns!F2:F433)</f>
        <v>2.068260836883185</v>
      </c>
      <c r="D12" s="6">
        <f>C12/B12</f>
        <v>0.68942027896106162</v>
      </c>
      <c r="E12" s="9">
        <f>D12/D13</f>
        <v>51.250966017453443</v>
      </c>
      <c r="F12" s="6">
        <f>1-_xlfn.F.DIST(E12,3,B8-(3+1),TRUE)</f>
        <v>0</v>
      </c>
      <c r="G12" s="48"/>
      <c r="H12" s="34"/>
    </row>
    <row r="13" spans="1:8" x14ac:dyDescent="0.6">
      <c r="A13" s="3" t="s">
        <v>25</v>
      </c>
      <c r="B13" s="5">
        <f>B8-(B12+1)</f>
        <v>428</v>
      </c>
      <c r="C13" s="6">
        <f>DEVSQ(Returns!G2:G433)</f>
        <v>5.757391563992142</v>
      </c>
      <c r="D13" s="6">
        <f>C13/B13</f>
        <v>1.3451849448579771E-2</v>
      </c>
      <c r="E13" s="4"/>
      <c r="F13" s="4"/>
    </row>
    <row r="14" spans="1:8" ht="15.9" thickBot="1" x14ac:dyDescent="0.65">
      <c r="A14" s="7" t="s">
        <v>26</v>
      </c>
      <c r="B14" s="31">
        <f>B13+B12</f>
        <v>431</v>
      </c>
      <c r="C14" s="11">
        <f>DEVSQ(Returns!B2:B433)</f>
        <v>7.8256524008753203</v>
      </c>
      <c r="D14" s="10"/>
      <c r="E14" s="10"/>
      <c r="F14" s="10"/>
    </row>
    <row r="15" spans="1:8" ht="15.9" thickBot="1" x14ac:dyDescent="0.65"/>
    <row r="16" spans="1:8" x14ac:dyDescent="0.6">
      <c r="A16" s="12"/>
      <c r="B16" s="12" t="s">
        <v>33</v>
      </c>
      <c r="C16" s="12" t="s">
        <v>21</v>
      </c>
      <c r="D16" s="12" t="s">
        <v>34</v>
      </c>
      <c r="E16" s="12" t="s">
        <v>35</v>
      </c>
      <c r="F16" s="12" t="s">
        <v>36</v>
      </c>
      <c r="G16" s="12" t="s">
        <v>37</v>
      </c>
    </row>
    <row r="17" spans="1:7" x14ac:dyDescent="0.6">
      <c r="A17" s="3" t="s">
        <v>27</v>
      </c>
      <c r="B17" s="4">
        <v>1.3884184886749492E-2</v>
      </c>
      <c r="C17" s="4">
        <v>5.7216257200284537E-3</v>
      </c>
      <c r="D17" s="4">
        <v>2.4266153653057274</v>
      </c>
      <c r="E17" s="4">
        <v>1.5652454930658633E-2</v>
      </c>
      <c r="F17" s="4">
        <v>2.6382030004273339E-3</v>
      </c>
      <c r="G17" s="4">
        <v>2.5130166773071651E-2</v>
      </c>
    </row>
    <row r="18" spans="1:7" x14ac:dyDescent="0.6">
      <c r="A18" s="3" t="s">
        <v>0</v>
      </c>
      <c r="B18" s="4">
        <v>1.2271958570952037</v>
      </c>
      <c r="C18" s="4">
        <v>0.13289505124378864</v>
      </c>
      <c r="D18" s="4">
        <v>9.2343232167763762</v>
      </c>
      <c r="E18" s="4">
        <v>1.2169090262194339E-18</v>
      </c>
      <c r="F18" s="4">
        <v>0.96598769490488312</v>
      </c>
      <c r="G18" s="4">
        <v>1.4884040192855243</v>
      </c>
    </row>
    <row r="19" spans="1:7" x14ac:dyDescent="0.6">
      <c r="A19" s="3" t="s">
        <v>1</v>
      </c>
      <c r="B19" s="4">
        <v>0.27864442829186514</v>
      </c>
      <c r="C19" s="4">
        <v>0.19445569928008538</v>
      </c>
      <c r="D19" s="4">
        <v>1.4329455465870302</v>
      </c>
      <c r="E19" s="4">
        <v>0.15260341408919328</v>
      </c>
      <c r="F19" s="4">
        <v>-0.10356254902595108</v>
      </c>
      <c r="G19" s="4">
        <v>0.66085140560968136</v>
      </c>
    </row>
    <row r="20" spans="1:7" ht="15.9" thickBot="1" x14ac:dyDescent="0.65">
      <c r="A20" s="7" t="s">
        <v>2</v>
      </c>
      <c r="B20" s="10">
        <v>-0.90123358275343013</v>
      </c>
      <c r="C20" s="10">
        <v>0.20395809011437729</v>
      </c>
      <c r="D20" s="10">
        <v>-4.41871946461172</v>
      </c>
      <c r="E20" s="10">
        <v>1.2596995618952944E-5</v>
      </c>
      <c r="F20" s="10">
        <v>-1.302117719401177</v>
      </c>
      <c r="G20" s="10">
        <v>-0.50034944610568322</v>
      </c>
    </row>
  </sheetData>
  <mergeCells count="2">
    <mergeCell ref="A1:B1"/>
    <mergeCell ref="A3:B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C060D-4AF2-45B1-86E2-FE6C9D32B2B5}">
  <dimension ref="A1:G18"/>
  <sheetViews>
    <sheetView workbookViewId="0"/>
  </sheetViews>
  <sheetFormatPr defaultRowHeight="15.6" x14ac:dyDescent="0.6"/>
  <cols>
    <col min="1" max="1" width="17" bestFit="1" customWidth="1"/>
    <col min="2" max="2" width="10.796875" bestFit="1" customWidth="1"/>
    <col min="3" max="3" width="13.5" bestFit="1" customWidth="1"/>
    <col min="4" max="4" width="5.69921875" bestFit="1" customWidth="1"/>
    <col min="5" max="5" width="7.3984375" bestFit="1" customWidth="1"/>
    <col min="6" max="6" width="12.3984375" bestFit="1" customWidth="1"/>
    <col min="7" max="7" width="10.296875" bestFit="1" customWidth="1"/>
    <col min="8" max="8" width="11.75" bestFit="1" customWidth="1"/>
    <col min="9" max="9" width="11.796875" bestFit="1" customWidth="1"/>
  </cols>
  <sheetData>
    <row r="1" spans="1:7" x14ac:dyDescent="0.6">
      <c r="A1" t="s">
        <v>17</v>
      </c>
    </row>
    <row r="2" spans="1:7" ht="15.9" thickBot="1" x14ac:dyDescent="0.65"/>
    <row r="3" spans="1:7" x14ac:dyDescent="0.6">
      <c r="A3" s="37" t="s">
        <v>18</v>
      </c>
      <c r="B3" s="37"/>
    </row>
    <row r="4" spans="1:7" x14ac:dyDescent="0.6">
      <c r="A4" s="35"/>
      <c r="B4" s="41"/>
    </row>
    <row r="5" spans="1:7" x14ac:dyDescent="0.6">
      <c r="A5" s="35" t="s">
        <v>19</v>
      </c>
      <c r="B5" s="41">
        <v>0.21947752552969055</v>
      </c>
    </row>
    <row r="6" spans="1:7" x14ac:dyDescent="0.6">
      <c r="A6" s="35" t="s">
        <v>20</v>
      </c>
      <c r="B6" s="41">
        <v>0.21766235698441075</v>
      </c>
    </row>
    <row r="7" spans="1:7" x14ac:dyDescent="0.6">
      <c r="A7" s="35" t="s">
        <v>21</v>
      </c>
      <c r="B7" s="41">
        <v>0.11918421910790936</v>
      </c>
    </row>
    <row r="8" spans="1:7" ht="15.9" thickBot="1" x14ac:dyDescent="0.65">
      <c r="A8" s="36" t="s">
        <v>22</v>
      </c>
      <c r="B8" s="44">
        <v>432</v>
      </c>
    </row>
    <row r="10" spans="1:7" ht="15.9" thickBot="1" x14ac:dyDescent="0.65">
      <c r="A10" t="s">
        <v>23</v>
      </c>
    </row>
    <row r="11" spans="1:7" x14ac:dyDescent="0.6">
      <c r="A11" s="12"/>
      <c r="B11" s="12" t="s">
        <v>28</v>
      </c>
      <c r="C11" s="12" t="s">
        <v>29</v>
      </c>
      <c r="D11" s="12" t="s">
        <v>30</v>
      </c>
      <c r="E11" s="12" t="s">
        <v>31</v>
      </c>
      <c r="F11" s="12" t="s">
        <v>32</v>
      </c>
    </row>
    <row r="12" spans="1:7" x14ac:dyDescent="0.6">
      <c r="A12" s="35" t="s">
        <v>24</v>
      </c>
      <c r="B12" s="43">
        <v>1</v>
      </c>
      <c r="C12" s="41">
        <v>1.7175548245995973</v>
      </c>
      <c r="D12" s="41">
        <v>1.7175548245995973</v>
      </c>
      <c r="E12" s="43">
        <v>120.91302821461154</v>
      </c>
      <c r="F12" s="41">
        <v>5.9376865536489127E-25</v>
      </c>
    </row>
    <row r="13" spans="1:7" x14ac:dyDescent="0.6">
      <c r="A13" s="35" t="s">
        <v>25</v>
      </c>
      <c r="B13" s="43">
        <v>430</v>
      </c>
      <c r="C13" s="41">
        <v>6.108097576275723</v>
      </c>
      <c r="D13" s="41">
        <v>1.4204878084362146E-2</v>
      </c>
      <c r="E13" s="35"/>
      <c r="F13" s="35"/>
    </row>
    <row r="14" spans="1:7" ht="15.9" thickBot="1" x14ac:dyDescent="0.65">
      <c r="A14" s="36" t="s">
        <v>26</v>
      </c>
      <c r="B14" s="44">
        <v>431</v>
      </c>
      <c r="C14" s="42">
        <v>7.8256524008753203</v>
      </c>
      <c r="D14" s="42"/>
      <c r="E14" s="36"/>
      <c r="F14" s="36"/>
    </row>
    <row r="15" spans="1:7" ht="15.9" thickBot="1" x14ac:dyDescent="0.65"/>
    <row r="16" spans="1:7" x14ac:dyDescent="0.6">
      <c r="A16" s="12"/>
      <c r="B16" s="12" t="s">
        <v>33</v>
      </c>
      <c r="C16" s="12" t="s">
        <v>21</v>
      </c>
      <c r="D16" s="12" t="s">
        <v>34</v>
      </c>
      <c r="E16" s="12" t="s">
        <v>35</v>
      </c>
      <c r="F16" s="12" t="s">
        <v>36</v>
      </c>
      <c r="G16" s="12" t="s">
        <v>37</v>
      </c>
    </row>
    <row r="17" spans="1:7" x14ac:dyDescent="0.6">
      <c r="A17" s="35" t="s">
        <v>27</v>
      </c>
      <c r="B17" s="41">
        <v>9.5572742164329611E-3</v>
      </c>
      <c r="C17" s="41">
        <v>5.7900501158852031E-3</v>
      </c>
      <c r="D17" s="41">
        <v>1.6506375636045443</v>
      </c>
      <c r="E17" s="41">
        <v>9.9542755051090268E-2</v>
      </c>
      <c r="F17" s="41">
        <v>-1.8230472353466948E-3</v>
      </c>
      <c r="G17" s="41">
        <v>2.0937595668212617E-2</v>
      </c>
    </row>
    <row r="18" spans="1:7" ht="15.9" thickBot="1" x14ac:dyDescent="0.65">
      <c r="A18" s="36" t="s">
        <v>0</v>
      </c>
      <c r="B18" s="42">
        <v>1.4298200287154992</v>
      </c>
      <c r="C18" s="42">
        <v>0.13003037867277553</v>
      </c>
      <c r="D18" s="42">
        <v>10.996046026395682</v>
      </c>
      <c r="E18" s="42">
        <v>5.9376865536471247E-25</v>
      </c>
      <c r="F18" s="42">
        <v>1.1742458146455776</v>
      </c>
      <c r="G18" s="42">
        <v>1.6853942427854207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9FCE5-E394-4973-B9AB-6E1F1758FD34}">
  <dimension ref="A1:C21"/>
  <sheetViews>
    <sheetView workbookViewId="0">
      <selection activeCell="D9" sqref="D9"/>
    </sheetView>
  </sheetViews>
  <sheetFormatPr defaultRowHeight="15.6" x14ac:dyDescent="0.6"/>
  <cols>
    <col min="1" max="1" width="13.75" bestFit="1" customWidth="1"/>
    <col min="2" max="2" width="15.19921875" bestFit="1" customWidth="1"/>
    <col min="3" max="3" width="35.6484375" bestFit="1" customWidth="1"/>
    <col min="5" max="5" width="26" bestFit="1" customWidth="1"/>
  </cols>
  <sheetData>
    <row r="1" spans="1:3" x14ac:dyDescent="0.6">
      <c r="A1" t="s">
        <v>44</v>
      </c>
      <c r="B1" s="52" t="s">
        <v>46</v>
      </c>
      <c r="C1" s="52"/>
    </row>
    <row r="2" spans="1:3" x14ac:dyDescent="0.6">
      <c r="A2" t="s">
        <v>45</v>
      </c>
      <c r="B2" s="52" t="s">
        <v>47</v>
      </c>
      <c r="C2" s="52"/>
    </row>
    <row r="4" spans="1:3" x14ac:dyDescent="0.6">
      <c r="A4" t="s">
        <v>61</v>
      </c>
      <c r="B4" s="52" t="s">
        <v>48</v>
      </c>
      <c r="C4" s="52"/>
    </row>
    <row r="5" spans="1:3" x14ac:dyDescent="0.6">
      <c r="A5" t="s">
        <v>62</v>
      </c>
      <c r="B5" s="52" t="s">
        <v>49</v>
      </c>
      <c r="C5" s="52"/>
    </row>
    <row r="7" spans="1:3" x14ac:dyDescent="0.6">
      <c r="A7" t="s">
        <v>56</v>
      </c>
      <c r="B7" s="47">
        <v>432</v>
      </c>
    </row>
    <row r="8" spans="1:3" x14ac:dyDescent="0.6">
      <c r="A8" t="s">
        <v>57</v>
      </c>
      <c r="B8" s="47">
        <v>3</v>
      </c>
    </row>
    <row r="9" spans="1:3" x14ac:dyDescent="0.6">
      <c r="A9" t="s">
        <v>58</v>
      </c>
      <c r="B9" s="47">
        <v>2</v>
      </c>
    </row>
    <row r="11" spans="1:3" x14ac:dyDescent="0.6">
      <c r="A11" t="s">
        <v>53</v>
      </c>
    </row>
    <row r="12" spans="1:3" x14ac:dyDescent="0.6">
      <c r="A12" t="s">
        <v>51</v>
      </c>
      <c r="B12" s="45">
        <v>1.3451849448579779E-2</v>
      </c>
    </row>
    <row r="13" spans="1:3" x14ac:dyDescent="0.6">
      <c r="A13" t="s">
        <v>52</v>
      </c>
      <c r="B13" s="45">
        <v>5.7573915639921456</v>
      </c>
    </row>
    <row r="15" spans="1:3" x14ac:dyDescent="0.6">
      <c r="A15" s="34" t="s">
        <v>54</v>
      </c>
    </row>
    <row r="16" spans="1:3" x14ac:dyDescent="0.6">
      <c r="A16" t="s">
        <v>52</v>
      </c>
      <c r="B16" s="45">
        <v>6.108097576275723</v>
      </c>
    </row>
    <row r="18" spans="1:3" x14ac:dyDescent="0.6">
      <c r="A18" t="s">
        <v>50</v>
      </c>
      <c r="B18" s="46">
        <f>(B16-B13)/(2*B12)</f>
        <v>13.035605759050638</v>
      </c>
    </row>
    <row r="19" spans="1:3" x14ac:dyDescent="0.6">
      <c r="A19" t="s">
        <v>55</v>
      </c>
      <c r="B19" s="46">
        <f>1-_xlfn.F.DIST(B18,2,432-(3+1),TRUE)</f>
        <v>3.194753717572496E-6</v>
      </c>
      <c r="C19" s="49" t="s">
        <v>63</v>
      </c>
    </row>
    <row r="21" spans="1:3" x14ac:dyDescent="0.6">
      <c r="A21" t="s">
        <v>60</v>
      </c>
      <c r="B21" s="52" t="s">
        <v>59</v>
      </c>
      <c r="C21" s="52"/>
    </row>
  </sheetData>
  <mergeCells count="5">
    <mergeCell ref="B1:C1"/>
    <mergeCell ref="B2:C2"/>
    <mergeCell ref="B4:C4"/>
    <mergeCell ref="B5:C5"/>
    <mergeCell ref="B21:C2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102FC-75F6-4E0C-B5A5-CF80E7F93582}">
  <dimension ref="A1:I108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.6" x14ac:dyDescent="0.6"/>
  <cols>
    <col min="1" max="1" width="5.3984375" style="22" bestFit="1" customWidth="1"/>
    <col min="2" max="4" width="8.796875" style="23"/>
    <col min="5" max="7" width="8.796875" style="24"/>
  </cols>
  <sheetData>
    <row r="1" spans="1:9" x14ac:dyDescent="0.6">
      <c r="B1" s="26" t="s">
        <v>0</v>
      </c>
      <c r="C1" s="26" t="s">
        <v>1</v>
      </c>
      <c r="D1" s="26" t="s">
        <v>2</v>
      </c>
      <c r="E1" s="27" t="s">
        <v>0</v>
      </c>
      <c r="F1" s="27" t="s">
        <v>1</v>
      </c>
      <c r="G1" s="27" t="s">
        <v>2</v>
      </c>
    </row>
    <row r="2" spans="1:9" x14ac:dyDescent="0.6">
      <c r="A2" s="22">
        <v>9679</v>
      </c>
      <c r="B2" s="23">
        <v>2.9600000000000001E-2</v>
      </c>
      <c r="C2" s="23">
        <v>-2.3E-2</v>
      </c>
      <c r="D2" s="23">
        <v>-2.87E-2</v>
      </c>
      <c r="E2" s="25">
        <v>100</v>
      </c>
      <c r="F2" s="25">
        <v>100</v>
      </c>
      <c r="G2" s="25">
        <v>100</v>
      </c>
      <c r="I2" s="28">
        <f>A2</f>
        <v>9679</v>
      </c>
    </row>
    <row r="3" spans="1:9" x14ac:dyDescent="0.6">
      <c r="A3" s="22">
        <v>9710</v>
      </c>
      <c r="B3" s="23">
        <v>2.6400000000000003E-2</v>
      </c>
      <c r="C3" s="23">
        <v>-1.3999999999999999E-2</v>
      </c>
      <c r="D3" s="23">
        <v>4.1900000000000007E-2</v>
      </c>
      <c r="E3" s="24">
        <f>E2*(1+B3)</f>
        <v>102.64</v>
      </c>
      <c r="F3" s="24">
        <f t="shared" ref="F3:G3" si="0">F2*(1+C3)</f>
        <v>98.6</v>
      </c>
      <c r="G3" s="24">
        <f t="shared" si="0"/>
        <v>104.19</v>
      </c>
      <c r="I3" s="28">
        <f>A1087</f>
        <v>42705</v>
      </c>
    </row>
    <row r="4" spans="1:9" x14ac:dyDescent="0.6">
      <c r="A4" s="22">
        <v>9741</v>
      </c>
      <c r="B4" s="23">
        <v>3.5999999999999999E-3</v>
      </c>
      <c r="C4" s="23">
        <v>-1.32E-2</v>
      </c>
      <c r="D4" s="23">
        <v>1E-4</v>
      </c>
      <c r="E4" s="24">
        <f t="shared" ref="E4:E67" si="1">E3*(1+B4)</f>
        <v>103.00950400000001</v>
      </c>
      <c r="F4" s="24">
        <f t="shared" ref="F4:F67" si="2">F3*(1+C4)</f>
        <v>97.298479999999998</v>
      </c>
      <c r="G4" s="24">
        <f t="shared" ref="G4:G67" si="3">G3*(1+D4)</f>
        <v>104.200419</v>
      </c>
      <c r="I4">
        <f>10*365</f>
        <v>3650</v>
      </c>
    </row>
    <row r="5" spans="1:9" x14ac:dyDescent="0.6">
      <c r="A5" s="22">
        <v>9771</v>
      </c>
      <c r="B5" s="23">
        <v>-3.2400000000000005E-2</v>
      </c>
      <c r="C5" s="23">
        <v>4.0000000000000002E-4</v>
      </c>
      <c r="D5" s="23">
        <v>5.1000000000000004E-3</v>
      </c>
      <c r="E5" s="24">
        <f t="shared" si="1"/>
        <v>99.671996070400013</v>
      </c>
      <c r="F5" s="24">
        <f t="shared" si="2"/>
        <v>97.337399391999995</v>
      </c>
      <c r="G5" s="24">
        <f t="shared" si="3"/>
        <v>104.7318411369</v>
      </c>
    </row>
    <row r="6" spans="1:9" x14ac:dyDescent="0.6">
      <c r="A6" s="22">
        <v>9802</v>
      </c>
      <c r="B6" s="23">
        <v>2.53E-2</v>
      </c>
      <c r="C6" s="23">
        <v>-2E-3</v>
      </c>
      <c r="D6" s="23">
        <v>-3.4999999999999996E-3</v>
      </c>
      <c r="E6" s="24">
        <f t="shared" si="1"/>
        <v>102.19369757098114</v>
      </c>
      <c r="F6" s="24">
        <f t="shared" si="2"/>
        <v>97.142724593215988</v>
      </c>
      <c r="G6" s="24">
        <f t="shared" si="3"/>
        <v>104.36527969292085</v>
      </c>
    </row>
    <row r="7" spans="1:9" x14ac:dyDescent="0.6">
      <c r="A7" s="22">
        <v>9832</v>
      </c>
      <c r="B7" s="23">
        <v>2.6200000000000005E-2</v>
      </c>
      <c r="C7" s="23">
        <v>-4.0000000000000002E-4</v>
      </c>
      <c r="D7" s="23">
        <v>-2.0000000000000001E-4</v>
      </c>
      <c r="E7" s="24">
        <f t="shared" si="1"/>
        <v>104.87117244734085</v>
      </c>
      <c r="F7" s="24">
        <f t="shared" si="2"/>
        <v>97.103867503378709</v>
      </c>
      <c r="G7" s="24">
        <f t="shared" si="3"/>
        <v>104.34440663698227</v>
      </c>
    </row>
    <row r="8" spans="1:9" x14ac:dyDescent="0.6">
      <c r="A8" s="22">
        <v>9863</v>
      </c>
      <c r="B8" s="23">
        <v>-6.0000000000000006E-4</v>
      </c>
      <c r="C8" s="23">
        <v>-5.6000000000000008E-3</v>
      </c>
      <c r="D8" s="23">
        <v>4.8300000000000003E-2</v>
      </c>
      <c r="E8" s="24">
        <f t="shared" si="1"/>
        <v>104.80824974387244</v>
      </c>
      <c r="F8" s="24">
        <f t="shared" si="2"/>
        <v>96.560085845359779</v>
      </c>
      <c r="G8" s="24">
        <f t="shared" si="3"/>
        <v>109.38424147754851</v>
      </c>
    </row>
    <row r="9" spans="1:9" x14ac:dyDescent="0.6">
      <c r="A9" s="22">
        <v>9894</v>
      </c>
      <c r="B9" s="23">
        <v>4.1799999999999997E-2</v>
      </c>
      <c r="C9" s="23">
        <v>-1E-3</v>
      </c>
      <c r="D9" s="23">
        <v>3.1699999999999999E-2</v>
      </c>
      <c r="E9" s="24">
        <f t="shared" si="1"/>
        <v>109.18923458316631</v>
      </c>
      <c r="F9" s="24">
        <f t="shared" si="2"/>
        <v>96.463525759514425</v>
      </c>
      <c r="G9" s="24">
        <f t="shared" si="3"/>
        <v>112.85172193238681</v>
      </c>
    </row>
    <row r="10" spans="1:9" x14ac:dyDescent="0.6">
      <c r="A10" s="22">
        <v>9922</v>
      </c>
      <c r="B10" s="23">
        <v>1.2999999999999999E-3</v>
      </c>
      <c r="C10" s="23">
        <v>-1.6E-2</v>
      </c>
      <c r="D10" s="23">
        <v>-2.6699999999999998E-2</v>
      </c>
      <c r="E10" s="24">
        <f t="shared" si="1"/>
        <v>109.33118058812444</v>
      </c>
      <c r="F10" s="24">
        <f t="shared" si="2"/>
        <v>94.9201093473622</v>
      </c>
      <c r="G10" s="24">
        <f t="shared" si="3"/>
        <v>109.83858095679209</v>
      </c>
    </row>
    <row r="11" spans="1:9" x14ac:dyDescent="0.6">
      <c r="A11" s="22">
        <v>9953</v>
      </c>
      <c r="B11" s="23">
        <v>4.5999999999999999E-3</v>
      </c>
      <c r="C11" s="23">
        <v>4.3E-3</v>
      </c>
      <c r="D11" s="23">
        <v>6.0000000000000001E-3</v>
      </c>
      <c r="E11" s="24">
        <f t="shared" si="1"/>
        <v>109.83410401882981</v>
      </c>
      <c r="F11" s="24">
        <f t="shared" si="2"/>
        <v>95.328265817555859</v>
      </c>
      <c r="G11" s="24">
        <f t="shared" si="3"/>
        <v>110.49761244253284</v>
      </c>
    </row>
    <row r="12" spans="1:9" x14ac:dyDescent="0.6">
      <c r="A12" s="22">
        <v>9983</v>
      </c>
      <c r="B12" s="23">
        <v>5.4399999999999997E-2</v>
      </c>
      <c r="C12" s="23">
        <v>1.41E-2</v>
      </c>
      <c r="D12" s="23">
        <v>4.9299999999999997E-2</v>
      </c>
      <c r="E12" s="24">
        <f t="shared" si="1"/>
        <v>115.80907927745415</v>
      </c>
      <c r="F12" s="24">
        <f t="shared" si="2"/>
        <v>96.672394365583401</v>
      </c>
      <c r="G12" s="24">
        <f t="shared" si="3"/>
        <v>115.9451447359497</v>
      </c>
    </row>
    <row r="13" spans="1:9" x14ac:dyDescent="0.6">
      <c r="A13" s="22">
        <v>10014</v>
      </c>
      <c r="B13" s="23">
        <v>-2.3399999999999997E-2</v>
      </c>
      <c r="C13" s="23">
        <v>4.6999999999999993E-3</v>
      </c>
      <c r="D13" s="23">
        <v>-1.5300000000000001E-2</v>
      </c>
      <c r="E13" s="24">
        <f t="shared" si="1"/>
        <v>113.09914682236172</v>
      </c>
      <c r="F13" s="24">
        <f t="shared" si="2"/>
        <v>97.126754619101632</v>
      </c>
      <c r="G13" s="24">
        <f t="shared" si="3"/>
        <v>114.17118402148967</v>
      </c>
    </row>
    <row r="14" spans="1:9" x14ac:dyDescent="0.6">
      <c r="A14" s="22">
        <v>10044</v>
      </c>
      <c r="B14" s="23">
        <v>7.2599999999999998E-2</v>
      </c>
      <c r="C14" s="23">
        <v>-3.2300000000000002E-2</v>
      </c>
      <c r="D14" s="23">
        <v>-1.1599999999999999E-2</v>
      </c>
      <c r="E14" s="24">
        <f t="shared" si="1"/>
        <v>121.31014488166518</v>
      </c>
      <c r="F14" s="24">
        <f t="shared" si="2"/>
        <v>93.989560444904654</v>
      </c>
      <c r="G14" s="24">
        <f t="shared" si="3"/>
        <v>112.84679828684038</v>
      </c>
    </row>
    <row r="15" spans="1:9" x14ac:dyDescent="0.6">
      <c r="A15" s="22">
        <v>10075</v>
      </c>
      <c r="B15" s="23">
        <v>1.9699999999999999E-2</v>
      </c>
      <c r="C15" s="23">
        <v>-7.1999999999999998E-3</v>
      </c>
      <c r="D15" s="23">
        <v>-3.6900000000000002E-2</v>
      </c>
      <c r="E15" s="24">
        <f t="shared" si="1"/>
        <v>123.699954735834</v>
      </c>
      <c r="F15" s="24">
        <f t="shared" si="2"/>
        <v>93.312835609701338</v>
      </c>
      <c r="G15" s="24">
        <f t="shared" si="3"/>
        <v>108.68275143005597</v>
      </c>
    </row>
    <row r="16" spans="1:9" x14ac:dyDescent="0.6">
      <c r="A16" s="22">
        <v>10106</v>
      </c>
      <c r="B16" s="23">
        <v>4.7599999999999996E-2</v>
      </c>
      <c r="C16" s="23">
        <v>-3.5699999999999996E-2</v>
      </c>
      <c r="D16" s="23">
        <v>-7.0999999999999995E-3</v>
      </c>
      <c r="E16" s="24">
        <f t="shared" si="1"/>
        <v>129.58807258125969</v>
      </c>
      <c r="F16" s="24">
        <f t="shared" si="2"/>
        <v>89.981567378435003</v>
      </c>
      <c r="G16" s="24">
        <f t="shared" si="3"/>
        <v>107.91110389490258</v>
      </c>
    </row>
    <row r="17" spans="1:7" x14ac:dyDescent="0.6">
      <c r="A17" s="22">
        <v>10136</v>
      </c>
      <c r="B17" s="23">
        <v>-4.3099999999999999E-2</v>
      </c>
      <c r="C17" s="23">
        <v>2.1299999999999999E-2</v>
      </c>
      <c r="D17" s="23">
        <v>-4.3299999999999998E-2</v>
      </c>
      <c r="E17" s="24">
        <f t="shared" si="1"/>
        <v>124.0028266530074</v>
      </c>
      <c r="F17" s="24">
        <f t="shared" si="2"/>
        <v>91.898174763595676</v>
      </c>
      <c r="G17" s="24">
        <f t="shared" si="3"/>
        <v>103.2385530962533</v>
      </c>
    </row>
    <row r="18" spans="1:7" x14ac:dyDescent="0.6">
      <c r="A18" s="22">
        <v>10167</v>
      </c>
      <c r="B18" s="23">
        <v>6.5799999999999997E-2</v>
      </c>
      <c r="C18" s="23">
        <v>2.76E-2</v>
      </c>
      <c r="D18" s="23">
        <v>-3.0999999999999999E-3</v>
      </c>
      <c r="E18" s="24">
        <f t="shared" si="1"/>
        <v>132.16221264677529</v>
      </c>
      <c r="F18" s="24">
        <f t="shared" si="2"/>
        <v>94.434564387070921</v>
      </c>
      <c r="G18" s="24">
        <f t="shared" si="3"/>
        <v>102.91851358165492</v>
      </c>
    </row>
    <row r="19" spans="1:7" x14ac:dyDescent="0.6">
      <c r="A19" s="22">
        <v>10197</v>
      </c>
      <c r="B19" s="23">
        <v>2.0899999999999998E-2</v>
      </c>
      <c r="C19" s="23">
        <v>9.300000000000001E-3</v>
      </c>
      <c r="D19" s="23">
        <v>-1.06E-2</v>
      </c>
      <c r="E19" s="24">
        <f t="shared" si="1"/>
        <v>134.92440289109288</v>
      </c>
      <c r="F19" s="24">
        <f t="shared" si="2"/>
        <v>95.312805835870691</v>
      </c>
      <c r="G19" s="24">
        <f t="shared" si="3"/>
        <v>101.82757733768938</v>
      </c>
    </row>
    <row r="20" spans="1:7" x14ac:dyDescent="0.6">
      <c r="A20" s="22">
        <v>10228</v>
      </c>
      <c r="B20" s="23">
        <v>-6.8000000000000005E-3</v>
      </c>
      <c r="C20" s="23">
        <v>4.2500000000000003E-2</v>
      </c>
      <c r="D20" s="23">
        <v>-7.1999999999999998E-3</v>
      </c>
      <c r="E20" s="24">
        <f t="shared" si="1"/>
        <v>134.00691695143345</v>
      </c>
      <c r="F20" s="24">
        <f t="shared" si="2"/>
        <v>99.363600083895193</v>
      </c>
      <c r="G20" s="24">
        <f t="shared" si="3"/>
        <v>101.09441878085802</v>
      </c>
    </row>
    <row r="21" spans="1:7" x14ac:dyDescent="0.6">
      <c r="A21" s="22">
        <v>10259</v>
      </c>
      <c r="B21" s="23">
        <v>-1.6999999999999998E-2</v>
      </c>
      <c r="C21" s="23">
        <v>-2.0299999999999999E-2</v>
      </c>
      <c r="D21" s="23">
        <v>-6.8999999999999999E-3</v>
      </c>
      <c r="E21" s="24">
        <f t="shared" si="1"/>
        <v>131.72879936325907</v>
      </c>
      <c r="F21" s="24">
        <f t="shared" si="2"/>
        <v>97.346519002192125</v>
      </c>
      <c r="G21" s="24">
        <f t="shared" si="3"/>
        <v>100.3968672912701</v>
      </c>
    </row>
    <row r="22" spans="1:7" x14ac:dyDescent="0.6">
      <c r="A22" s="22">
        <v>10288</v>
      </c>
      <c r="B22" s="23">
        <v>8.8099999999999998E-2</v>
      </c>
      <c r="C22" s="23">
        <v>-2.5999999999999999E-3</v>
      </c>
      <c r="D22" s="23">
        <v>-1.2E-2</v>
      </c>
      <c r="E22" s="24">
        <f t="shared" si="1"/>
        <v>143.33410658716221</v>
      </c>
      <c r="F22" s="24">
        <f t="shared" si="2"/>
        <v>97.093418052786419</v>
      </c>
      <c r="G22" s="24">
        <f t="shared" si="3"/>
        <v>99.19210488377486</v>
      </c>
    </row>
    <row r="23" spans="1:7" x14ac:dyDescent="0.6">
      <c r="A23" s="22">
        <v>10319</v>
      </c>
      <c r="B23" s="23">
        <v>4.2300000000000004E-2</v>
      </c>
      <c r="C23" s="23">
        <v>3.8199999999999998E-2</v>
      </c>
      <c r="D23" s="23">
        <v>3.6699999999999997E-2</v>
      </c>
      <c r="E23" s="24">
        <f t="shared" si="1"/>
        <v>149.39713929579918</v>
      </c>
      <c r="F23" s="24">
        <f t="shared" si="2"/>
        <v>100.80238662240286</v>
      </c>
      <c r="G23" s="24">
        <f t="shared" si="3"/>
        <v>102.83245513300939</v>
      </c>
    </row>
    <row r="24" spans="1:7" x14ac:dyDescent="0.6">
      <c r="A24" s="22">
        <v>10349</v>
      </c>
      <c r="B24" s="23">
        <v>1.52E-2</v>
      </c>
      <c r="C24" s="23">
        <v>2.98E-2</v>
      </c>
      <c r="D24" s="23">
        <v>-3.4599999999999999E-2</v>
      </c>
      <c r="E24" s="24">
        <f t="shared" si="1"/>
        <v>151.66797581309535</v>
      </c>
      <c r="F24" s="24">
        <f t="shared" si="2"/>
        <v>103.80629774375048</v>
      </c>
      <c r="G24" s="24">
        <f t="shared" si="3"/>
        <v>99.27445218540727</v>
      </c>
    </row>
    <row r="25" spans="1:7" x14ac:dyDescent="0.6">
      <c r="A25" s="22">
        <v>10380</v>
      </c>
      <c r="B25" s="23">
        <v>-4.8500000000000001E-2</v>
      </c>
      <c r="C25" s="23">
        <v>-3.5000000000000003E-2</v>
      </c>
      <c r="D25" s="23">
        <v>-5.9999999999999995E-4</v>
      </c>
      <c r="E25" s="24">
        <f t="shared" si="1"/>
        <v>144.31207898616023</v>
      </c>
      <c r="F25" s="24">
        <f t="shared" si="2"/>
        <v>100.17307732271921</v>
      </c>
      <c r="G25" s="24">
        <f t="shared" si="3"/>
        <v>99.21488751409602</v>
      </c>
    </row>
    <row r="26" spans="1:7" x14ac:dyDescent="0.6">
      <c r="A26" s="22">
        <v>10410</v>
      </c>
      <c r="B26" s="23">
        <v>6.1999999999999989E-3</v>
      </c>
      <c r="C26" s="23">
        <v>-1.3500000000000002E-2</v>
      </c>
      <c r="D26" s="23">
        <v>-4.6999999999999993E-3</v>
      </c>
      <c r="E26" s="24">
        <f t="shared" si="1"/>
        <v>145.20681387587442</v>
      </c>
      <c r="F26" s="24">
        <f t="shared" si="2"/>
        <v>98.820740778862501</v>
      </c>
      <c r="G26" s="24">
        <f t="shared" si="3"/>
        <v>98.748577542779771</v>
      </c>
    </row>
    <row r="27" spans="1:7" x14ac:dyDescent="0.6">
      <c r="A27" s="22">
        <v>10441</v>
      </c>
      <c r="B27" s="23">
        <v>6.6800000000000012E-2</v>
      </c>
      <c r="C27" s="23">
        <v>-2.07E-2</v>
      </c>
      <c r="D27" s="23">
        <v>-2.1099999999999997E-2</v>
      </c>
      <c r="E27" s="24">
        <f t="shared" si="1"/>
        <v>154.90662904278281</v>
      </c>
      <c r="F27" s="24">
        <f t="shared" si="2"/>
        <v>96.775151444740047</v>
      </c>
      <c r="G27" s="24">
        <f t="shared" si="3"/>
        <v>96.664982556627123</v>
      </c>
    </row>
    <row r="28" spans="1:7" x14ac:dyDescent="0.6">
      <c r="A28" s="22">
        <v>10472</v>
      </c>
      <c r="B28" s="23">
        <v>2.8799999999999999E-2</v>
      </c>
      <c r="C28" s="23">
        <v>2.18E-2</v>
      </c>
      <c r="D28" s="23">
        <v>7.6E-3</v>
      </c>
      <c r="E28" s="24">
        <f t="shared" si="1"/>
        <v>159.36793995921494</v>
      </c>
      <c r="F28" s="24">
        <f t="shared" si="2"/>
        <v>98.884849746235389</v>
      </c>
      <c r="G28" s="24">
        <f t="shared" si="3"/>
        <v>97.399636424057491</v>
      </c>
    </row>
    <row r="29" spans="1:7" x14ac:dyDescent="0.6">
      <c r="A29" s="22">
        <v>10502</v>
      </c>
      <c r="B29" s="23">
        <v>1.3299999999999999E-2</v>
      </c>
      <c r="C29" s="23">
        <v>2.2700000000000001E-2</v>
      </c>
      <c r="D29" s="23">
        <v>-2.2599999999999999E-2</v>
      </c>
      <c r="E29" s="24">
        <f t="shared" si="1"/>
        <v>161.48753356067252</v>
      </c>
      <c r="F29" s="24">
        <f t="shared" si="2"/>
        <v>101.12953583547493</v>
      </c>
      <c r="G29" s="24">
        <f t="shared" si="3"/>
        <v>95.19840464087379</v>
      </c>
    </row>
    <row r="30" spans="1:7" x14ac:dyDescent="0.6">
      <c r="A30" s="22">
        <v>10533</v>
      </c>
      <c r="B30" s="23">
        <v>0.11810000000000001</v>
      </c>
      <c r="C30" s="23">
        <v>-1.8100000000000002E-2</v>
      </c>
      <c r="D30" s="23">
        <v>2.7999999999999997E-2</v>
      </c>
      <c r="E30" s="24">
        <f t="shared" si="1"/>
        <v>180.55921127418796</v>
      </c>
      <c r="F30" s="24">
        <f t="shared" si="2"/>
        <v>99.299091236852831</v>
      </c>
      <c r="G30" s="24">
        <f t="shared" si="3"/>
        <v>97.863959970818257</v>
      </c>
    </row>
    <row r="31" spans="1:7" x14ac:dyDescent="0.6">
      <c r="A31" s="22">
        <v>10563</v>
      </c>
      <c r="B31" s="23">
        <v>3.5999999999999999E-3</v>
      </c>
      <c r="C31" s="23">
        <v>-8.5000000000000006E-3</v>
      </c>
      <c r="D31" s="23">
        <v>-6.0000000000000001E-3</v>
      </c>
      <c r="E31" s="24">
        <f t="shared" si="1"/>
        <v>181.20922443477505</v>
      </c>
      <c r="F31" s="24">
        <f t="shared" si="2"/>
        <v>98.455048961339585</v>
      </c>
      <c r="G31" s="24">
        <f t="shared" si="3"/>
        <v>97.276776210993347</v>
      </c>
    </row>
    <row r="32" spans="1:7" x14ac:dyDescent="0.6">
      <c r="A32" s="22">
        <v>10594</v>
      </c>
      <c r="B32" s="23">
        <v>4.6600000000000003E-2</v>
      </c>
      <c r="C32" s="23">
        <v>-3.5499999999999997E-2</v>
      </c>
      <c r="D32" s="23">
        <v>-1.21E-2</v>
      </c>
      <c r="E32" s="24">
        <f t="shared" si="1"/>
        <v>189.65357429343555</v>
      </c>
      <c r="F32" s="24">
        <f t="shared" si="2"/>
        <v>94.959894723212031</v>
      </c>
      <c r="G32" s="24">
        <f t="shared" si="3"/>
        <v>96.099727218840329</v>
      </c>
    </row>
    <row r="33" spans="1:7" x14ac:dyDescent="0.6">
      <c r="A33" s="22">
        <v>10625</v>
      </c>
      <c r="B33" s="23">
        <v>-3.4000000000000002E-3</v>
      </c>
      <c r="C33" s="23">
        <v>-3.9000000000000003E-3</v>
      </c>
      <c r="D33" s="23">
        <v>1.6799999999999999E-2</v>
      </c>
      <c r="E33" s="24">
        <f t="shared" si="1"/>
        <v>189.00875214083788</v>
      </c>
      <c r="F33" s="24">
        <f t="shared" si="2"/>
        <v>94.589551133791502</v>
      </c>
      <c r="G33" s="24">
        <f t="shared" si="3"/>
        <v>97.714202636116838</v>
      </c>
    </row>
    <row r="34" spans="1:7" x14ac:dyDescent="0.6">
      <c r="A34" s="22">
        <v>10653</v>
      </c>
      <c r="B34" s="23">
        <v>-8.9000000000000017E-3</v>
      </c>
      <c r="C34" s="23">
        <v>-4.7800000000000002E-2</v>
      </c>
      <c r="D34" s="23">
        <v>1.5600000000000001E-2</v>
      </c>
      <c r="E34" s="24">
        <f t="shared" si="1"/>
        <v>187.32657424678442</v>
      </c>
      <c r="F34" s="24">
        <f t="shared" si="2"/>
        <v>90.068170589596278</v>
      </c>
      <c r="G34" s="24">
        <f t="shared" si="3"/>
        <v>99.238544197240273</v>
      </c>
    </row>
    <row r="35" spans="1:7" x14ac:dyDescent="0.6">
      <c r="A35" s="22">
        <v>10684</v>
      </c>
      <c r="B35" s="23">
        <v>1.43E-2</v>
      </c>
      <c r="C35" s="23">
        <v>-9.8999999999999991E-3</v>
      </c>
      <c r="D35" s="23">
        <v>6.0999999999999995E-3</v>
      </c>
      <c r="E35" s="24">
        <f t="shared" si="1"/>
        <v>190.00534425851342</v>
      </c>
      <c r="F35" s="24">
        <f t="shared" si="2"/>
        <v>89.176495700759276</v>
      </c>
      <c r="G35" s="24">
        <f t="shared" si="3"/>
        <v>99.843899316843434</v>
      </c>
    </row>
    <row r="36" spans="1:7" x14ac:dyDescent="0.6">
      <c r="A36" s="22">
        <v>10714</v>
      </c>
      <c r="B36" s="23">
        <v>-6.3899999999999985E-2</v>
      </c>
      <c r="C36" s="23">
        <v>-5.4600000000000003E-2</v>
      </c>
      <c r="D36" s="23">
        <v>-1.5700000000000002E-2</v>
      </c>
      <c r="E36" s="24">
        <f t="shared" si="1"/>
        <v>177.86400276039441</v>
      </c>
      <c r="F36" s="24">
        <f t="shared" si="2"/>
        <v>84.307459035497814</v>
      </c>
      <c r="G36" s="24">
        <f t="shared" si="3"/>
        <v>98.276350097568994</v>
      </c>
    </row>
    <row r="37" spans="1:7" x14ac:dyDescent="0.6">
      <c r="A37" s="22">
        <v>10745</v>
      </c>
      <c r="B37" s="23">
        <v>9.6999999999999989E-2</v>
      </c>
      <c r="C37" s="23">
        <v>-2.1700000000000001E-2</v>
      </c>
      <c r="D37" s="23">
        <v>-2.76E-2</v>
      </c>
      <c r="E37" s="24">
        <f t="shared" si="1"/>
        <v>195.11681102815265</v>
      </c>
      <c r="F37" s="24">
        <f t="shared" si="2"/>
        <v>82.477987174427511</v>
      </c>
      <c r="G37" s="24">
        <f t="shared" si="3"/>
        <v>95.563922834876095</v>
      </c>
    </row>
    <row r="38" spans="1:7" x14ac:dyDescent="0.6">
      <c r="A38" s="22">
        <v>10775</v>
      </c>
      <c r="B38" s="23">
        <v>4.4600000000000001E-2</v>
      </c>
      <c r="C38" s="23">
        <v>-3.8699999999999998E-2</v>
      </c>
      <c r="D38" s="23">
        <v>2.6699999999999998E-2</v>
      </c>
      <c r="E38" s="24">
        <f t="shared" si="1"/>
        <v>203.81902080000825</v>
      </c>
      <c r="F38" s="24">
        <f t="shared" si="2"/>
        <v>79.286089070777166</v>
      </c>
      <c r="G38" s="24">
        <f t="shared" si="3"/>
        <v>98.115479574567289</v>
      </c>
    </row>
    <row r="39" spans="1:7" x14ac:dyDescent="0.6">
      <c r="A39" s="22">
        <v>10806</v>
      </c>
      <c r="B39" s="23">
        <v>8.1799999999999998E-2</v>
      </c>
      <c r="C39" s="23">
        <v>-9.5100000000000004E-2</v>
      </c>
      <c r="D39" s="23">
        <v>7.000000000000001E-4</v>
      </c>
      <c r="E39" s="24">
        <f t="shared" si="1"/>
        <v>220.49141670144894</v>
      </c>
      <c r="F39" s="24">
        <f t="shared" si="2"/>
        <v>71.745982000146256</v>
      </c>
      <c r="G39" s="24">
        <f t="shared" si="3"/>
        <v>98.184160410269484</v>
      </c>
    </row>
    <row r="40" spans="1:7" x14ac:dyDescent="0.6">
      <c r="A40" s="22">
        <v>10837</v>
      </c>
      <c r="B40" s="23">
        <v>-5.4699999999999999E-2</v>
      </c>
      <c r="C40" s="23">
        <v>1.1699999999999999E-2</v>
      </c>
      <c r="D40" s="23">
        <v>-6.3E-3</v>
      </c>
      <c r="E40" s="24">
        <f t="shared" si="1"/>
        <v>208.4305362078797</v>
      </c>
      <c r="F40" s="24">
        <f t="shared" si="2"/>
        <v>72.585409989547969</v>
      </c>
      <c r="G40" s="24">
        <f t="shared" si="3"/>
        <v>97.565600199684795</v>
      </c>
    </row>
    <row r="41" spans="1:7" x14ac:dyDescent="0.6">
      <c r="A41" s="22">
        <v>10867</v>
      </c>
      <c r="B41" s="23">
        <v>-0.20119999999999999</v>
      </c>
      <c r="C41" s="23">
        <v>-4.0800000000000003E-2</v>
      </c>
      <c r="D41" s="23">
        <v>7.85E-2</v>
      </c>
      <c r="E41" s="24">
        <f t="shared" si="1"/>
        <v>166.49431232285428</v>
      </c>
      <c r="F41" s="24">
        <f t="shared" si="2"/>
        <v>69.623925261974421</v>
      </c>
      <c r="G41" s="24">
        <f t="shared" si="3"/>
        <v>105.22449981536005</v>
      </c>
    </row>
    <row r="42" spans="1:7" x14ac:dyDescent="0.6">
      <c r="A42" s="22">
        <v>10898</v>
      </c>
      <c r="B42" s="23">
        <v>-0.12740000000000001</v>
      </c>
      <c r="C42" s="23">
        <v>-1.9099999999999999E-2</v>
      </c>
      <c r="D42" s="23">
        <v>5.33E-2</v>
      </c>
      <c r="E42" s="24">
        <f t="shared" si="1"/>
        <v>145.28293693292267</v>
      </c>
      <c r="F42" s="24">
        <f t="shared" si="2"/>
        <v>68.294108289470714</v>
      </c>
      <c r="G42" s="24">
        <f t="shared" si="3"/>
        <v>110.83296565551873</v>
      </c>
    </row>
    <row r="43" spans="1:7" x14ac:dyDescent="0.6">
      <c r="A43" s="22">
        <v>10928</v>
      </c>
      <c r="B43" s="23">
        <v>1.3300000000000001E-2</v>
      </c>
      <c r="C43" s="23">
        <v>-4.2000000000000003E-2</v>
      </c>
      <c r="D43" s="23">
        <v>-5.8999999999999999E-3</v>
      </c>
      <c r="E43" s="24">
        <f t="shared" si="1"/>
        <v>147.21519999413056</v>
      </c>
      <c r="F43" s="24">
        <f t="shared" si="2"/>
        <v>65.42575574131294</v>
      </c>
      <c r="G43" s="24">
        <f t="shared" si="3"/>
        <v>110.17905115815117</v>
      </c>
    </row>
    <row r="44" spans="1:7" x14ac:dyDescent="0.6">
      <c r="A44" s="22">
        <v>10959</v>
      </c>
      <c r="B44" s="23">
        <v>5.6100000000000004E-2</v>
      </c>
      <c r="C44" s="23">
        <v>3.5799999999999998E-2</v>
      </c>
      <c r="D44" s="23">
        <v>-1.01E-2</v>
      </c>
      <c r="E44" s="24">
        <f t="shared" si="1"/>
        <v>155.47397271380129</v>
      </c>
      <c r="F44" s="24">
        <f t="shared" si="2"/>
        <v>67.767997796851944</v>
      </c>
      <c r="G44" s="24">
        <f t="shared" si="3"/>
        <v>109.06624274145385</v>
      </c>
    </row>
    <row r="45" spans="1:7" x14ac:dyDescent="0.6">
      <c r="A45" s="22">
        <v>10990</v>
      </c>
      <c r="B45" s="23">
        <v>2.4999999999999998E-2</v>
      </c>
      <c r="C45" s="23">
        <v>1.1999999999999999E-3</v>
      </c>
      <c r="D45" s="23">
        <v>3.9000000000000003E-3</v>
      </c>
      <c r="E45" s="24">
        <f t="shared" si="1"/>
        <v>159.36082203164631</v>
      </c>
      <c r="F45" s="24">
        <f t="shared" si="2"/>
        <v>67.849319394208166</v>
      </c>
      <c r="G45" s="24">
        <f t="shared" si="3"/>
        <v>109.49160108814552</v>
      </c>
    </row>
    <row r="46" spans="1:7" x14ac:dyDescent="0.6">
      <c r="A46" s="22">
        <v>11018</v>
      </c>
      <c r="B46" s="23">
        <v>7.0999999999999994E-2</v>
      </c>
      <c r="C46" s="23">
        <v>3.44E-2</v>
      </c>
      <c r="D46" s="23">
        <v>1.5E-3</v>
      </c>
      <c r="E46" s="24">
        <f t="shared" si="1"/>
        <v>170.67544039589319</v>
      </c>
      <c r="F46" s="24">
        <f t="shared" si="2"/>
        <v>70.183335981368927</v>
      </c>
      <c r="G46" s="24">
        <f t="shared" si="3"/>
        <v>109.65583848977774</v>
      </c>
    </row>
    <row r="47" spans="1:7" x14ac:dyDescent="0.6">
      <c r="A47" s="22">
        <v>11049</v>
      </c>
      <c r="B47" s="23">
        <v>-2.0600000000000004E-2</v>
      </c>
      <c r="C47" s="23">
        <v>-1.7000000000000001E-3</v>
      </c>
      <c r="D47" s="23">
        <v>-8.3999999999999995E-3</v>
      </c>
      <c r="E47" s="24">
        <f t="shared" si="1"/>
        <v>167.15952632373779</v>
      </c>
      <c r="F47" s="24">
        <f t="shared" si="2"/>
        <v>70.064024310200594</v>
      </c>
      <c r="G47" s="24">
        <f t="shared" si="3"/>
        <v>108.7347294464636</v>
      </c>
    </row>
    <row r="48" spans="1:7" x14ac:dyDescent="0.6">
      <c r="A48" s="22">
        <v>11079</v>
      </c>
      <c r="B48" s="23">
        <v>-1.6599999999999997E-2</v>
      </c>
      <c r="C48" s="23">
        <v>-2.0400000000000001E-2</v>
      </c>
      <c r="D48" s="23">
        <v>-6.3E-3</v>
      </c>
      <c r="E48" s="24">
        <f t="shared" si="1"/>
        <v>164.38467818676375</v>
      </c>
      <c r="F48" s="24">
        <f t="shared" si="2"/>
        <v>68.63471821427251</v>
      </c>
      <c r="G48" s="24">
        <f t="shared" si="3"/>
        <v>108.04970065095088</v>
      </c>
    </row>
    <row r="49" spans="1:7" x14ac:dyDescent="0.6">
      <c r="A49" s="22">
        <v>11110</v>
      </c>
      <c r="B49" s="23">
        <v>-0.16270000000000001</v>
      </c>
      <c r="C49" s="23">
        <v>-3.2199999999999999E-2</v>
      </c>
      <c r="D49" s="23">
        <v>0.02</v>
      </c>
      <c r="E49" s="24">
        <f t="shared" si="1"/>
        <v>137.63929104577727</v>
      </c>
      <c r="F49" s="24">
        <f t="shared" si="2"/>
        <v>66.424680287772929</v>
      </c>
      <c r="G49" s="24">
        <f t="shared" si="3"/>
        <v>110.2106946639699</v>
      </c>
    </row>
    <row r="50" spans="1:7" x14ac:dyDescent="0.6">
      <c r="A50" s="22">
        <v>11140</v>
      </c>
      <c r="B50" s="23">
        <v>4.1200000000000001E-2</v>
      </c>
      <c r="C50" s="23">
        <v>-3.7000000000000002E-3</v>
      </c>
      <c r="D50" s="23">
        <v>-1.5600000000000001E-2</v>
      </c>
      <c r="E50" s="24">
        <f t="shared" si="1"/>
        <v>143.31002983686329</v>
      </c>
      <c r="F50" s="24">
        <f t="shared" si="2"/>
        <v>66.178908970708164</v>
      </c>
      <c r="G50" s="24">
        <f t="shared" si="3"/>
        <v>108.49140782721197</v>
      </c>
    </row>
    <row r="51" spans="1:7" x14ac:dyDescent="0.6">
      <c r="A51" s="22">
        <v>11171</v>
      </c>
      <c r="B51" s="23">
        <v>3.0000000000000001E-3</v>
      </c>
      <c r="C51" s="23">
        <v>-2.2200000000000001E-2</v>
      </c>
      <c r="D51" s="23">
        <v>-7.8000000000000005E-3</v>
      </c>
      <c r="E51" s="24">
        <f t="shared" si="1"/>
        <v>143.73995992637387</v>
      </c>
      <c r="F51" s="24">
        <f t="shared" si="2"/>
        <v>64.709737191558446</v>
      </c>
      <c r="G51" s="24">
        <f t="shared" si="3"/>
        <v>107.64517484615972</v>
      </c>
    </row>
    <row r="52" spans="1:7" x14ac:dyDescent="0.6">
      <c r="A52" s="22">
        <v>11202</v>
      </c>
      <c r="B52" s="23">
        <v>-0.1275</v>
      </c>
      <c r="C52" s="23">
        <v>-2.2200000000000001E-2</v>
      </c>
      <c r="D52" s="23">
        <v>-5.2699999999999997E-2</v>
      </c>
      <c r="E52" s="24">
        <f t="shared" si="1"/>
        <v>125.41311503576121</v>
      </c>
      <c r="F52" s="24">
        <f t="shared" si="2"/>
        <v>63.273181025905849</v>
      </c>
      <c r="G52" s="24">
        <f t="shared" si="3"/>
        <v>101.97227413176711</v>
      </c>
    </row>
    <row r="53" spans="1:7" x14ac:dyDescent="0.6">
      <c r="A53" s="22">
        <v>11232</v>
      </c>
      <c r="B53" s="23">
        <v>-8.7799999999999989E-2</v>
      </c>
      <c r="C53" s="23">
        <v>-1E-3</v>
      </c>
      <c r="D53" s="23">
        <v>-1.3500000000000002E-2</v>
      </c>
      <c r="E53" s="24">
        <f t="shared" si="1"/>
        <v>114.40184353562138</v>
      </c>
      <c r="F53" s="24">
        <f t="shared" si="2"/>
        <v>63.209907844879943</v>
      </c>
      <c r="G53" s="24">
        <f t="shared" si="3"/>
        <v>100.59564843098826</v>
      </c>
    </row>
    <row r="54" spans="1:7" x14ac:dyDescent="0.6">
      <c r="A54" s="22">
        <v>11263</v>
      </c>
      <c r="B54" s="23">
        <v>-3.04E-2</v>
      </c>
      <c r="C54" s="23">
        <v>2.2099999999999998E-2</v>
      </c>
      <c r="D54" s="23">
        <v>-3.5299999999999998E-2</v>
      </c>
      <c r="E54" s="24">
        <f t="shared" si="1"/>
        <v>110.92402749213849</v>
      </c>
      <c r="F54" s="24">
        <f t="shared" si="2"/>
        <v>64.606846808251788</v>
      </c>
      <c r="G54" s="24">
        <f t="shared" si="3"/>
        <v>97.044622041374382</v>
      </c>
    </row>
    <row r="55" spans="1:7" x14ac:dyDescent="0.6">
      <c r="A55" s="22">
        <v>11293</v>
      </c>
      <c r="B55" s="23">
        <v>-7.8300000000000008E-2</v>
      </c>
      <c r="C55" s="23">
        <v>-4.6799999999999994E-2</v>
      </c>
      <c r="D55" s="23">
        <v>-5.3899999999999997E-2</v>
      </c>
      <c r="E55" s="24">
        <f t="shared" si="1"/>
        <v>102.23867613950405</v>
      </c>
      <c r="F55" s="24">
        <f t="shared" si="2"/>
        <v>61.583246377625606</v>
      </c>
      <c r="G55" s="24">
        <f t="shared" si="3"/>
        <v>91.8139169133443</v>
      </c>
    </row>
    <row r="56" spans="1:7" x14ac:dyDescent="0.6">
      <c r="A56" s="22">
        <v>11324</v>
      </c>
      <c r="B56" s="23">
        <v>6.2400000000000011E-2</v>
      </c>
      <c r="C56" s="23">
        <v>3.8100000000000002E-2</v>
      </c>
      <c r="D56" s="23">
        <v>7.2099999999999997E-2</v>
      </c>
      <c r="E56" s="24">
        <f t="shared" si="1"/>
        <v>108.6183695306091</v>
      </c>
      <c r="F56" s="24">
        <f t="shared" si="2"/>
        <v>63.929568064613143</v>
      </c>
      <c r="G56" s="24">
        <f t="shared" si="3"/>
        <v>98.433700322796426</v>
      </c>
    </row>
    <row r="57" spans="1:7" x14ac:dyDescent="0.6">
      <c r="A57" s="22">
        <v>11355</v>
      </c>
      <c r="B57" s="23">
        <v>0.10880000000000001</v>
      </c>
      <c r="C57" s="23">
        <v>3.39E-2</v>
      </c>
      <c r="D57" s="23">
        <v>1.6E-2</v>
      </c>
      <c r="E57" s="24">
        <f t="shared" si="1"/>
        <v>120.43604813553937</v>
      </c>
      <c r="F57" s="24">
        <f t="shared" si="2"/>
        <v>66.096780422003533</v>
      </c>
      <c r="G57" s="24">
        <f t="shared" si="3"/>
        <v>100.00863952796117</v>
      </c>
    </row>
    <row r="58" spans="1:7" x14ac:dyDescent="0.6">
      <c r="A58" s="22">
        <v>11383</v>
      </c>
      <c r="B58" s="23">
        <v>-6.4299999999999996E-2</v>
      </c>
      <c r="C58" s="23">
        <v>3.0699999999999998E-2</v>
      </c>
      <c r="D58" s="23">
        <v>-3.6499999999999998E-2</v>
      </c>
      <c r="E58" s="24">
        <f t="shared" si="1"/>
        <v>112.69201024042418</v>
      </c>
      <c r="F58" s="24">
        <f t="shared" si="2"/>
        <v>68.12595158095904</v>
      </c>
      <c r="G58" s="24">
        <f t="shared" si="3"/>
        <v>96.358324185190583</v>
      </c>
    </row>
    <row r="59" spans="1:7" x14ac:dyDescent="0.6">
      <c r="A59" s="22">
        <v>11414</v>
      </c>
      <c r="B59" s="23">
        <v>-9.98E-2</v>
      </c>
      <c r="C59" s="23">
        <v>-4.6100000000000002E-2</v>
      </c>
      <c r="D59" s="23">
        <v>-3.9199999999999999E-2</v>
      </c>
      <c r="E59" s="24">
        <f t="shared" si="1"/>
        <v>101.44534761842985</v>
      </c>
      <c r="F59" s="24">
        <f t="shared" si="2"/>
        <v>64.985345213076826</v>
      </c>
      <c r="G59" s="24">
        <f t="shared" si="3"/>
        <v>92.581077877131108</v>
      </c>
    </row>
    <row r="60" spans="1:7" x14ac:dyDescent="0.6">
      <c r="A60" s="22">
        <v>11444</v>
      </c>
      <c r="B60" s="23">
        <v>-0.13240000000000002</v>
      </c>
      <c r="C60" s="23">
        <v>5.16E-2</v>
      </c>
      <c r="D60" s="23">
        <v>-6.5700000000000008E-2</v>
      </c>
      <c r="E60" s="24">
        <f t="shared" si="1"/>
        <v>88.013983593749728</v>
      </c>
      <c r="F60" s="24">
        <f t="shared" si="2"/>
        <v>68.338589026071602</v>
      </c>
      <c r="G60" s="24">
        <f t="shared" si="3"/>
        <v>86.498501060603601</v>
      </c>
    </row>
    <row r="61" spans="1:7" x14ac:dyDescent="0.6">
      <c r="A61" s="22">
        <v>11475</v>
      </c>
      <c r="B61" s="23">
        <v>0.13900000000000001</v>
      </c>
      <c r="C61" s="23">
        <v>-5.3800000000000001E-2</v>
      </c>
      <c r="D61" s="23">
        <v>0.113</v>
      </c>
      <c r="E61" s="24">
        <f t="shared" si="1"/>
        <v>100.24792731328094</v>
      </c>
      <c r="F61" s="24">
        <f t="shared" si="2"/>
        <v>64.661972936468956</v>
      </c>
      <c r="G61" s="24">
        <f t="shared" si="3"/>
        <v>96.272831680451802</v>
      </c>
    </row>
    <row r="62" spans="1:7" x14ac:dyDescent="0.6">
      <c r="A62" s="22">
        <v>11505</v>
      </c>
      <c r="B62" s="23">
        <v>-6.6200000000000009E-2</v>
      </c>
      <c r="C62" s="23">
        <v>1.43E-2</v>
      </c>
      <c r="D62" s="23">
        <v>-2.1000000000000001E-2</v>
      </c>
      <c r="E62" s="24">
        <f t="shared" si="1"/>
        <v>93.611514525141743</v>
      </c>
      <c r="F62" s="24">
        <f t="shared" si="2"/>
        <v>65.586639149460467</v>
      </c>
      <c r="G62" s="24">
        <f t="shared" si="3"/>
        <v>94.251102215162305</v>
      </c>
    </row>
    <row r="63" spans="1:7" x14ac:dyDescent="0.6">
      <c r="A63" s="22">
        <v>11536</v>
      </c>
      <c r="B63" s="23">
        <v>4.0999999999999995E-3</v>
      </c>
      <c r="C63" s="23">
        <v>-1.9699999999999999E-2</v>
      </c>
      <c r="D63" s="23">
        <v>-1.49E-2</v>
      </c>
      <c r="E63" s="24">
        <f t="shared" si="1"/>
        <v>93.995321734694826</v>
      </c>
      <c r="F63" s="24">
        <f t="shared" si="2"/>
        <v>64.29458235821609</v>
      </c>
      <c r="G63" s="24">
        <f t="shared" si="3"/>
        <v>92.846760792156388</v>
      </c>
    </row>
    <row r="64" spans="1:7" x14ac:dyDescent="0.6">
      <c r="A64" s="22">
        <v>11567</v>
      </c>
      <c r="B64" s="23">
        <v>-0.2913</v>
      </c>
      <c r="C64" s="23">
        <v>5.6000000000000008E-3</v>
      </c>
      <c r="D64" s="23">
        <v>-6.7500000000000004E-2</v>
      </c>
      <c r="E64" s="24">
        <f t="shared" si="1"/>
        <v>66.61448451337823</v>
      </c>
      <c r="F64" s="24">
        <f t="shared" si="2"/>
        <v>64.65463201942211</v>
      </c>
      <c r="G64" s="24">
        <f t="shared" si="3"/>
        <v>86.579604438685834</v>
      </c>
    </row>
    <row r="65" spans="1:7" x14ac:dyDescent="0.6">
      <c r="A65" s="22">
        <v>11597</v>
      </c>
      <c r="B65" s="23">
        <v>8.0399999999999985E-2</v>
      </c>
      <c r="C65" s="23">
        <v>-1.8700000000000001E-2</v>
      </c>
      <c r="D65" s="23">
        <v>1.7000000000000001E-2</v>
      </c>
      <c r="E65" s="24">
        <f t="shared" si="1"/>
        <v>71.970289068253848</v>
      </c>
      <c r="F65" s="24">
        <f t="shared" si="2"/>
        <v>63.445590400658915</v>
      </c>
      <c r="G65" s="24">
        <f t="shared" si="3"/>
        <v>88.051457714143481</v>
      </c>
    </row>
    <row r="66" spans="1:7" x14ac:dyDescent="0.6">
      <c r="A66" s="22">
        <v>11628</v>
      </c>
      <c r="B66" s="23">
        <v>-9.0799999999999992E-2</v>
      </c>
      <c r="C66" s="23">
        <v>4.2999999999999997E-2</v>
      </c>
      <c r="D66" s="23">
        <v>-5.0499999999999996E-2</v>
      </c>
      <c r="E66" s="24">
        <f t="shared" si="1"/>
        <v>65.435386820856394</v>
      </c>
      <c r="F66" s="24">
        <f t="shared" si="2"/>
        <v>66.173750787887244</v>
      </c>
      <c r="G66" s="24">
        <f t="shared" si="3"/>
        <v>83.60485909957923</v>
      </c>
    </row>
    <row r="67" spans="1:7" x14ac:dyDescent="0.6">
      <c r="A67" s="22">
        <v>11658</v>
      </c>
      <c r="B67" s="23">
        <v>-0.1353</v>
      </c>
      <c r="C67" s="23">
        <v>-5.6000000000000008E-3</v>
      </c>
      <c r="D67" s="23">
        <v>-8.8599999999999998E-2</v>
      </c>
      <c r="E67" s="24">
        <f t="shared" si="1"/>
        <v>56.581978983994524</v>
      </c>
      <c r="F67" s="24">
        <f t="shared" si="2"/>
        <v>65.803177783475078</v>
      </c>
      <c r="G67" s="24">
        <f t="shared" si="3"/>
        <v>76.19746858335651</v>
      </c>
    </row>
    <row r="68" spans="1:7" x14ac:dyDescent="0.6">
      <c r="A68" s="22">
        <v>11689</v>
      </c>
      <c r="B68" s="23">
        <v>-1.5800000000000002E-2</v>
      </c>
      <c r="C68" s="23">
        <v>3.9399999999999998E-2</v>
      </c>
      <c r="D68" s="23">
        <v>9.0399999999999994E-2</v>
      </c>
      <c r="E68" s="24">
        <f t="shared" ref="E68:E131" si="4">E67*(1+B68)</f>
        <v>55.687983716047405</v>
      </c>
      <c r="F68" s="24">
        <f t="shared" ref="F68:F131" si="5">F67*(1+C68)</f>
        <v>68.395822988144005</v>
      </c>
      <c r="G68" s="24">
        <f t="shared" ref="G68:G131" si="6">G67*(1+D68)</f>
        <v>83.085719743291946</v>
      </c>
    </row>
    <row r="69" spans="1:7" x14ac:dyDescent="0.6">
      <c r="A69" s="22">
        <v>11720</v>
      </c>
      <c r="B69" s="23">
        <v>5.460000000000001E-2</v>
      </c>
      <c r="C69" s="23">
        <v>-2.7699999999999999E-2</v>
      </c>
      <c r="D69" s="23">
        <v>-1.4499999999999999E-2</v>
      </c>
      <c r="E69" s="24">
        <f t="shared" si="4"/>
        <v>58.728547626943595</v>
      </c>
      <c r="F69" s="24">
        <f t="shared" si="5"/>
        <v>66.501258691372414</v>
      </c>
      <c r="G69" s="24">
        <f t="shared" si="6"/>
        <v>81.880976807014221</v>
      </c>
    </row>
    <row r="70" spans="1:7" x14ac:dyDescent="0.6">
      <c r="A70" s="22">
        <v>11749</v>
      </c>
      <c r="B70" s="23">
        <v>-0.11210000000000001</v>
      </c>
      <c r="C70" s="23">
        <v>2.2700000000000001E-2</v>
      </c>
      <c r="D70" s="23">
        <v>-2.3199999999999998E-2</v>
      </c>
      <c r="E70" s="24">
        <f t="shared" si="4"/>
        <v>52.145077437963216</v>
      </c>
      <c r="F70" s="24">
        <f t="shared" si="5"/>
        <v>68.010837263666559</v>
      </c>
      <c r="G70" s="24">
        <f t="shared" si="6"/>
        <v>79.981338145091485</v>
      </c>
    </row>
    <row r="71" spans="1:7" x14ac:dyDescent="0.6">
      <c r="A71" s="22">
        <v>11780</v>
      </c>
      <c r="B71" s="23">
        <v>-0.17960000000000001</v>
      </c>
      <c r="C71" s="23">
        <v>1.44E-2</v>
      </c>
      <c r="D71" s="23">
        <v>1.4199999999999999E-2</v>
      </c>
      <c r="E71" s="24">
        <f t="shared" si="4"/>
        <v>42.779821530105025</v>
      </c>
      <c r="F71" s="24">
        <f t="shared" si="5"/>
        <v>68.990193320263359</v>
      </c>
      <c r="G71" s="24">
        <f t="shared" si="6"/>
        <v>81.117073146751778</v>
      </c>
    </row>
    <row r="72" spans="1:7" x14ac:dyDescent="0.6">
      <c r="A72" s="22">
        <v>11810</v>
      </c>
      <c r="B72" s="23">
        <v>-0.2051</v>
      </c>
      <c r="C72" s="23">
        <v>3.7200000000000004E-2</v>
      </c>
      <c r="D72" s="23">
        <v>-3.2799999999999996E-2</v>
      </c>
      <c r="E72" s="24">
        <f t="shared" si="4"/>
        <v>34.005680134280482</v>
      </c>
      <c r="F72" s="24">
        <f t="shared" si="5"/>
        <v>71.556628511777149</v>
      </c>
      <c r="G72" s="24">
        <f t="shared" si="6"/>
        <v>78.45643314753832</v>
      </c>
    </row>
    <row r="73" spans="1:7" x14ac:dyDescent="0.6">
      <c r="A73" s="22">
        <v>11841</v>
      </c>
      <c r="B73" s="23">
        <v>-6.9999999999999993E-3</v>
      </c>
      <c r="C73" s="23">
        <v>3.4999999999999996E-3</v>
      </c>
      <c r="D73" s="23">
        <v>5.3200000000000004E-2</v>
      </c>
      <c r="E73" s="24">
        <f t="shared" si="4"/>
        <v>33.767640373340519</v>
      </c>
      <c r="F73" s="24">
        <f t="shared" si="5"/>
        <v>71.807076711568371</v>
      </c>
      <c r="G73" s="24">
        <f t="shared" si="6"/>
        <v>82.630315390987349</v>
      </c>
    </row>
    <row r="74" spans="1:7" x14ac:dyDescent="0.6">
      <c r="A74" s="22">
        <v>11871</v>
      </c>
      <c r="B74" s="23">
        <v>0.33840000000000003</v>
      </c>
      <c r="C74" s="23">
        <v>-4.4400000000000002E-2</v>
      </c>
      <c r="D74" s="23">
        <v>0.35460000000000003</v>
      </c>
      <c r="E74" s="24">
        <f t="shared" si="4"/>
        <v>45.19460987567895</v>
      </c>
      <c r="F74" s="24">
        <f t="shared" si="5"/>
        <v>68.618842505574733</v>
      </c>
      <c r="G74" s="24">
        <f t="shared" si="6"/>
        <v>111.93102522863147</v>
      </c>
    </row>
    <row r="75" spans="1:7" x14ac:dyDescent="0.6">
      <c r="A75" s="22">
        <v>11902</v>
      </c>
      <c r="B75" s="23">
        <v>0.37059999999999998</v>
      </c>
      <c r="C75" s="23">
        <v>0.1429</v>
      </c>
      <c r="D75" s="23">
        <v>0.33030000000000004</v>
      </c>
      <c r="E75" s="24">
        <f t="shared" si="4"/>
        <v>61.943732295605571</v>
      </c>
      <c r="F75" s="24">
        <f t="shared" si="5"/>
        <v>78.424475099621361</v>
      </c>
      <c r="G75" s="24">
        <f t="shared" si="6"/>
        <v>148.90184286164845</v>
      </c>
    </row>
    <row r="76" spans="1:7" x14ac:dyDescent="0.6">
      <c r="A76" s="22">
        <v>11933</v>
      </c>
      <c r="B76" s="23">
        <v>-2.9400000000000003E-2</v>
      </c>
      <c r="C76" s="23">
        <v>-2.4300000000000002E-2</v>
      </c>
      <c r="D76" s="23">
        <v>-6.8199999999999997E-2</v>
      </c>
      <c r="E76" s="24">
        <f t="shared" si="4"/>
        <v>60.122586566114769</v>
      </c>
      <c r="F76" s="24">
        <f t="shared" si="5"/>
        <v>76.518760354700561</v>
      </c>
      <c r="G76" s="24">
        <f t="shared" si="6"/>
        <v>138.74673717848401</v>
      </c>
    </row>
    <row r="77" spans="1:7" x14ac:dyDescent="0.6">
      <c r="A77" s="22">
        <v>11963</v>
      </c>
      <c r="B77" s="23">
        <v>-0.13170000000000001</v>
      </c>
      <c r="C77" s="23">
        <v>-2.76E-2</v>
      </c>
      <c r="D77" s="23">
        <v>-0.10039999999999999</v>
      </c>
      <c r="E77" s="24">
        <f t="shared" si="4"/>
        <v>52.204441915357449</v>
      </c>
      <c r="F77" s="24">
        <f t="shared" si="5"/>
        <v>74.406842568910832</v>
      </c>
      <c r="G77" s="24">
        <f t="shared" si="6"/>
        <v>124.81656476576421</v>
      </c>
    </row>
    <row r="78" spans="1:7" x14ac:dyDescent="0.6">
      <c r="A78" s="22">
        <v>11994</v>
      </c>
      <c r="B78" s="23">
        <v>-5.8800000000000005E-2</v>
      </c>
      <c r="C78" s="23">
        <v>2.0799999999999999E-2</v>
      </c>
      <c r="D78" s="23">
        <v>-0.1328</v>
      </c>
      <c r="E78" s="24">
        <f t="shared" si="4"/>
        <v>49.134820730734432</v>
      </c>
      <c r="F78" s="24">
        <f t="shared" si="5"/>
        <v>75.954504894344169</v>
      </c>
      <c r="G78" s="24">
        <f t="shared" si="6"/>
        <v>108.24092496487071</v>
      </c>
    </row>
    <row r="79" spans="1:7" x14ac:dyDescent="0.6">
      <c r="A79" s="22">
        <v>12024</v>
      </c>
      <c r="B79" s="23">
        <v>4.3999999999999997E-2</v>
      </c>
      <c r="C79" s="23">
        <v>-8.2699999999999996E-2</v>
      </c>
      <c r="D79" s="23">
        <v>-8.1600000000000006E-2</v>
      </c>
      <c r="E79" s="24">
        <f t="shared" si="4"/>
        <v>51.296752842886747</v>
      </c>
      <c r="F79" s="24">
        <f t="shared" si="5"/>
        <v>69.673067339581905</v>
      </c>
      <c r="G79" s="24">
        <f t="shared" si="6"/>
        <v>99.40846548773726</v>
      </c>
    </row>
    <row r="80" spans="1:7" x14ac:dyDescent="0.6">
      <c r="A80" s="22">
        <v>12055</v>
      </c>
      <c r="B80" s="23">
        <v>1.2500000000000001E-2</v>
      </c>
      <c r="C80" s="23">
        <v>6.3E-3</v>
      </c>
      <c r="D80" s="23">
        <v>6.1399999999999996E-2</v>
      </c>
      <c r="E80" s="24">
        <f t="shared" si="4"/>
        <v>51.937962253422832</v>
      </c>
      <c r="F80" s="24">
        <f t="shared" si="5"/>
        <v>70.112007663821274</v>
      </c>
      <c r="G80" s="24">
        <f t="shared" si="6"/>
        <v>105.51214526868432</v>
      </c>
    </row>
    <row r="81" spans="1:7" x14ac:dyDescent="0.6">
      <c r="A81" s="22">
        <v>12086</v>
      </c>
      <c r="B81" s="23">
        <v>-0.15240000000000001</v>
      </c>
      <c r="C81" s="23">
        <v>-2.75E-2</v>
      </c>
      <c r="D81" s="23">
        <v>-2.7300000000000001E-2</v>
      </c>
      <c r="E81" s="24">
        <f t="shared" si="4"/>
        <v>44.022616806001196</v>
      </c>
      <c r="F81" s="24">
        <f t="shared" si="5"/>
        <v>68.18392745306619</v>
      </c>
      <c r="G81" s="24">
        <f t="shared" si="6"/>
        <v>102.63166370284924</v>
      </c>
    </row>
    <row r="82" spans="1:7" x14ac:dyDescent="0.6">
      <c r="A82" s="22">
        <v>12114</v>
      </c>
      <c r="B82" s="23">
        <v>3.2900000000000006E-2</v>
      </c>
      <c r="C82" s="23">
        <v>3.9E-2</v>
      </c>
      <c r="D82" s="23">
        <v>7.3800000000000004E-2</v>
      </c>
      <c r="E82" s="24">
        <f t="shared" si="4"/>
        <v>45.470960898918634</v>
      </c>
      <c r="F82" s="24">
        <f t="shared" si="5"/>
        <v>70.843100623735765</v>
      </c>
      <c r="G82" s="24">
        <f t="shared" si="6"/>
        <v>110.20588048411952</v>
      </c>
    </row>
    <row r="83" spans="1:7" x14ac:dyDescent="0.6">
      <c r="A83" s="22">
        <v>12145</v>
      </c>
      <c r="B83" s="23">
        <v>0.38850000000000001</v>
      </c>
      <c r="C83" s="23">
        <v>4.5599999999999995E-2</v>
      </c>
      <c r="D83" s="23">
        <v>0.17430000000000001</v>
      </c>
      <c r="E83" s="24">
        <f t="shared" si="4"/>
        <v>63.136429208148527</v>
      </c>
      <c r="F83" s="24">
        <f t="shared" si="5"/>
        <v>74.073546012178127</v>
      </c>
      <c r="G83" s="24">
        <f t="shared" si="6"/>
        <v>129.41476545250157</v>
      </c>
    </row>
    <row r="84" spans="1:7" x14ac:dyDescent="0.6">
      <c r="A84" s="22">
        <v>12175</v>
      </c>
      <c r="B84" s="23">
        <v>0.21429999999999999</v>
      </c>
      <c r="C84" s="23">
        <v>0.36700000000000005</v>
      </c>
      <c r="D84" s="23">
        <v>0.19030000000000002</v>
      </c>
      <c r="E84" s="24">
        <f t="shared" si="4"/>
        <v>76.666565987454746</v>
      </c>
      <c r="F84" s="24">
        <f t="shared" si="5"/>
        <v>101.2585373986475</v>
      </c>
      <c r="G84" s="24">
        <f t="shared" si="6"/>
        <v>154.04239531811263</v>
      </c>
    </row>
    <row r="85" spans="1:7" x14ac:dyDescent="0.6">
      <c r="A85" s="22">
        <v>12206</v>
      </c>
      <c r="B85" s="23">
        <v>0.13109999999999999</v>
      </c>
      <c r="C85" s="23">
        <v>8.6699999999999999E-2</v>
      </c>
      <c r="D85" s="23">
        <v>-1.8799999999999997E-2</v>
      </c>
      <c r="E85" s="24">
        <f t="shared" si="4"/>
        <v>86.71755278841006</v>
      </c>
      <c r="F85" s="24">
        <f t="shared" si="5"/>
        <v>110.03765259111024</v>
      </c>
      <c r="G85" s="24">
        <f t="shared" si="6"/>
        <v>151.1463982861321</v>
      </c>
    </row>
    <row r="86" spans="1:7" x14ac:dyDescent="0.6">
      <c r="A86" s="22">
        <v>12236</v>
      </c>
      <c r="B86" s="23">
        <v>-9.6300000000000024E-2</v>
      </c>
      <c r="C86" s="23">
        <v>-1.01E-2</v>
      </c>
      <c r="D86" s="23">
        <v>3.27E-2</v>
      </c>
      <c r="E86" s="24">
        <f t="shared" si="4"/>
        <v>78.366652454886164</v>
      </c>
      <c r="F86" s="24">
        <f t="shared" si="5"/>
        <v>108.92627229994004</v>
      </c>
      <c r="G86" s="24">
        <f t="shared" si="6"/>
        <v>156.0888855100886</v>
      </c>
    </row>
    <row r="87" spans="1:7" x14ac:dyDescent="0.6">
      <c r="A87" s="22">
        <v>12267</v>
      </c>
      <c r="B87" s="23">
        <v>0.12050000000000001</v>
      </c>
      <c r="C87" s="23">
        <v>-5.45E-2</v>
      </c>
      <c r="D87" s="23">
        <v>2.9600000000000001E-2</v>
      </c>
      <c r="E87" s="24">
        <f t="shared" si="4"/>
        <v>87.809834075699953</v>
      </c>
      <c r="F87" s="24">
        <f t="shared" si="5"/>
        <v>102.98979045959331</v>
      </c>
      <c r="G87" s="24">
        <f t="shared" si="6"/>
        <v>160.70911652118724</v>
      </c>
    </row>
    <row r="88" spans="1:7" x14ac:dyDescent="0.6">
      <c r="A88" s="22">
        <v>12298</v>
      </c>
      <c r="B88" s="23">
        <v>-0.10650000000000001</v>
      </c>
      <c r="C88" s="23">
        <v>-3.2000000000000002E-3</v>
      </c>
      <c r="D88" s="23">
        <v>-0.1177</v>
      </c>
      <c r="E88" s="24">
        <f t="shared" si="4"/>
        <v>78.458086746637903</v>
      </c>
      <c r="F88" s="24">
        <f t="shared" si="5"/>
        <v>102.66022313012262</v>
      </c>
      <c r="G88" s="24">
        <f t="shared" si="6"/>
        <v>141.79365350664349</v>
      </c>
    </row>
    <row r="89" spans="1:7" x14ac:dyDescent="0.6">
      <c r="A89" s="22">
        <v>12328</v>
      </c>
      <c r="B89" s="23">
        <v>-8.3599999999999994E-2</v>
      </c>
      <c r="C89" s="23">
        <v>-8.0000000000000004E-4</v>
      </c>
      <c r="D89" s="23">
        <v>-8.4600000000000009E-2</v>
      </c>
      <c r="E89" s="24">
        <f t="shared" si="4"/>
        <v>71.898990694618973</v>
      </c>
      <c r="F89" s="24">
        <f t="shared" si="5"/>
        <v>102.57809495161851</v>
      </c>
      <c r="G89" s="24">
        <f t="shared" si="6"/>
        <v>129.79791041998146</v>
      </c>
    </row>
    <row r="90" spans="1:7" x14ac:dyDescent="0.6">
      <c r="A90" s="22">
        <v>12359</v>
      </c>
      <c r="B90" s="23">
        <v>9.9699999999999997E-2</v>
      </c>
      <c r="C90" s="23">
        <v>-6.480000000000001E-2</v>
      </c>
      <c r="D90" s="23">
        <v>2.3300000000000001E-2</v>
      </c>
      <c r="E90" s="24">
        <f t="shared" si="4"/>
        <v>79.067320066872483</v>
      </c>
      <c r="F90" s="24">
        <f t="shared" si="5"/>
        <v>95.931034398753638</v>
      </c>
      <c r="G90" s="24">
        <f t="shared" si="6"/>
        <v>132.82220173276704</v>
      </c>
    </row>
    <row r="91" spans="1:7" x14ac:dyDescent="0.6">
      <c r="A91" s="22">
        <v>12389</v>
      </c>
      <c r="B91" s="23">
        <v>1.8300000000000004E-2</v>
      </c>
      <c r="C91" s="23">
        <v>6.6E-3</v>
      </c>
      <c r="D91" s="23">
        <v>-1.5300000000000001E-2</v>
      </c>
      <c r="E91" s="24">
        <f t="shared" si="4"/>
        <v>80.514252024096251</v>
      </c>
      <c r="F91" s="24">
        <f t="shared" si="5"/>
        <v>96.564179225785409</v>
      </c>
      <c r="G91" s="24">
        <f t="shared" si="6"/>
        <v>130.7900220462557</v>
      </c>
    </row>
    <row r="92" spans="1:7" x14ac:dyDescent="0.6">
      <c r="A92" s="22">
        <v>12420</v>
      </c>
      <c r="B92" s="23">
        <v>0.126</v>
      </c>
      <c r="C92" s="23">
        <v>0.12529999999999999</v>
      </c>
      <c r="D92" s="23">
        <v>0.15539999999999998</v>
      </c>
      <c r="E92" s="24">
        <f t="shared" si="4"/>
        <v>90.659047779132365</v>
      </c>
      <c r="F92" s="24">
        <f t="shared" si="5"/>
        <v>108.66367088277632</v>
      </c>
      <c r="G92" s="24">
        <f t="shared" si="6"/>
        <v>151.11479147224384</v>
      </c>
    </row>
    <row r="93" spans="1:7" x14ac:dyDescent="0.6">
      <c r="A93" s="22">
        <v>12451</v>
      </c>
      <c r="B93" s="23">
        <v>-2.4999999999999998E-2</v>
      </c>
      <c r="C93" s="23">
        <v>5.1900000000000002E-2</v>
      </c>
      <c r="D93" s="23">
        <v>2.12E-2</v>
      </c>
      <c r="E93" s="24">
        <f t="shared" si="4"/>
        <v>88.39257158465405</v>
      </c>
      <c r="F93" s="24">
        <f t="shared" si="5"/>
        <v>114.30331540159241</v>
      </c>
      <c r="G93" s="24">
        <f t="shared" si="6"/>
        <v>154.31842505145542</v>
      </c>
    </row>
    <row r="94" spans="1:7" x14ac:dyDescent="0.6">
      <c r="A94" s="22">
        <v>12479</v>
      </c>
      <c r="B94" s="23">
        <v>9.0000000000000008E-4</v>
      </c>
      <c r="C94" s="23">
        <v>2.5099999999999997E-2</v>
      </c>
      <c r="D94" s="23">
        <v>-2.7300000000000001E-2</v>
      </c>
      <c r="E94" s="24">
        <f t="shared" si="4"/>
        <v>88.472124899080228</v>
      </c>
      <c r="F94" s="24">
        <f t="shared" si="5"/>
        <v>117.17232861817237</v>
      </c>
      <c r="G94" s="24">
        <f t="shared" si="6"/>
        <v>150.1055320475507</v>
      </c>
    </row>
    <row r="95" spans="1:7" x14ac:dyDescent="0.6">
      <c r="A95" s="22">
        <v>12510</v>
      </c>
      <c r="B95" s="23">
        <v>-1.7899999999999999E-2</v>
      </c>
      <c r="C95" s="23">
        <v>2.7999999999999997E-2</v>
      </c>
      <c r="D95" s="23">
        <v>-3.7499999999999999E-2</v>
      </c>
      <c r="E95" s="24">
        <f t="shared" si="4"/>
        <v>86.888473863386693</v>
      </c>
      <c r="F95" s="24">
        <f t="shared" si="5"/>
        <v>120.4531538194812</v>
      </c>
      <c r="G95" s="24">
        <f t="shared" si="6"/>
        <v>144.47657459576754</v>
      </c>
    </row>
    <row r="96" spans="1:7" x14ac:dyDescent="0.6">
      <c r="A96" s="22">
        <v>12540</v>
      </c>
      <c r="B96" s="23">
        <v>-7.2500000000000009E-2</v>
      </c>
      <c r="C96" s="23">
        <v>-2.5999999999999999E-3</v>
      </c>
      <c r="D96" s="23">
        <v>-5.91E-2</v>
      </c>
      <c r="E96" s="24">
        <f t="shared" si="4"/>
        <v>80.589059508291157</v>
      </c>
      <c r="F96" s="24">
        <f t="shared" si="5"/>
        <v>120.13997561955054</v>
      </c>
      <c r="G96" s="24">
        <f t="shared" si="6"/>
        <v>135.93800903715768</v>
      </c>
    </row>
    <row r="97" spans="1:7" x14ac:dyDescent="0.6">
      <c r="A97" s="22">
        <v>12571</v>
      </c>
      <c r="B97" s="23">
        <v>2.64E-2</v>
      </c>
      <c r="C97" s="23">
        <v>-2.1400000000000002E-2</v>
      </c>
      <c r="D97" s="23">
        <v>-2.92E-2</v>
      </c>
      <c r="E97" s="24">
        <f t="shared" si="4"/>
        <v>82.716610679310037</v>
      </c>
      <c r="F97" s="24">
        <f t="shared" si="5"/>
        <v>117.56898014129216</v>
      </c>
      <c r="G97" s="24">
        <f t="shared" si="6"/>
        <v>131.96861917327269</v>
      </c>
    </row>
    <row r="98" spans="1:7" x14ac:dyDescent="0.6">
      <c r="A98" s="22">
        <v>12601</v>
      </c>
      <c r="B98" s="23">
        <v>-0.10960000000000002</v>
      </c>
      <c r="C98" s="23">
        <v>-6.9400000000000003E-2</v>
      </c>
      <c r="D98" s="23">
        <v>-0.1066</v>
      </c>
      <c r="E98" s="24">
        <f t="shared" si="4"/>
        <v>73.650870148857649</v>
      </c>
      <c r="F98" s="24">
        <f t="shared" si="5"/>
        <v>109.40969291948647</v>
      </c>
      <c r="G98" s="24">
        <f t="shared" si="6"/>
        <v>117.90076436940181</v>
      </c>
    </row>
    <row r="99" spans="1:7" x14ac:dyDescent="0.6">
      <c r="A99" s="22">
        <v>12632</v>
      </c>
      <c r="B99" s="23">
        <v>5.5799999999999995E-2</v>
      </c>
      <c r="C99" s="23">
        <v>5.4199999999999998E-2</v>
      </c>
      <c r="D99" s="23">
        <v>5.0000000000000001E-3</v>
      </c>
      <c r="E99" s="24">
        <f t="shared" si="4"/>
        <v>77.760588703163904</v>
      </c>
      <c r="F99" s="24">
        <f t="shared" si="5"/>
        <v>115.33969827572264</v>
      </c>
      <c r="G99" s="24">
        <f t="shared" si="6"/>
        <v>118.49026819124882</v>
      </c>
    </row>
    <row r="100" spans="1:7" x14ac:dyDescent="0.6">
      <c r="A100" s="22">
        <v>12663</v>
      </c>
      <c r="B100" s="23">
        <v>-2.3E-3</v>
      </c>
      <c r="C100" s="23">
        <v>-1.52E-2</v>
      </c>
      <c r="D100" s="23">
        <v>-1.24E-2</v>
      </c>
      <c r="E100" s="24">
        <f t="shared" si="4"/>
        <v>77.581739349146631</v>
      </c>
      <c r="F100" s="24">
        <f t="shared" si="5"/>
        <v>113.58653486193165</v>
      </c>
      <c r="G100" s="24">
        <f t="shared" si="6"/>
        <v>117.02098886567734</v>
      </c>
    </row>
    <row r="101" spans="1:7" x14ac:dyDescent="0.6">
      <c r="A101" s="22">
        <v>12693</v>
      </c>
      <c r="B101" s="23">
        <v>-1.66E-2</v>
      </c>
      <c r="C101" s="23">
        <v>1.24E-2</v>
      </c>
      <c r="D101" s="23">
        <v>-5.1100000000000007E-2</v>
      </c>
      <c r="E101" s="24">
        <f t="shared" si="4"/>
        <v>76.293882475950795</v>
      </c>
      <c r="F101" s="24">
        <f t="shared" si="5"/>
        <v>114.9950078942196</v>
      </c>
      <c r="G101" s="24">
        <f t="shared" si="6"/>
        <v>111.04121633464122</v>
      </c>
    </row>
    <row r="102" spans="1:7" x14ac:dyDescent="0.6">
      <c r="A102" s="22">
        <v>12724</v>
      </c>
      <c r="B102" s="23">
        <v>8.3299999999999999E-2</v>
      </c>
      <c r="C102" s="23">
        <v>6.4899999999999999E-2</v>
      </c>
      <c r="D102" s="23">
        <v>-2.2400000000000003E-2</v>
      </c>
      <c r="E102" s="24">
        <f t="shared" si="4"/>
        <v>82.649162886197487</v>
      </c>
      <c r="F102" s="24">
        <f t="shared" si="5"/>
        <v>122.45818390655444</v>
      </c>
      <c r="G102" s="24">
        <f t="shared" si="6"/>
        <v>108.55389308874526</v>
      </c>
    </row>
    <row r="103" spans="1:7" x14ac:dyDescent="0.6">
      <c r="A103" s="22">
        <v>12754</v>
      </c>
      <c r="B103" s="23">
        <v>3.6000000000000003E-3</v>
      </c>
      <c r="C103" s="23">
        <v>3.0800000000000001E-2</v>
      </c>
      <c r="D103" s="23">
        <v>-3.1699999999999999E-2</v>
      </c>
      <c r="E103" s="24">
        <f t="shared" si="4"/>
        <v>82.9466998725878</v>
      </c>
      <c r="F103" s="24">
        <f t="shared" si="5"/>
        <v>126.22989597087631</v>
      </c>
      <c r="G103" s="24">
        <f t="shared" si="6"/>
        <v>105.11273467783204</v>
      </c>
    </row>
    <row r="104" spans="1:7" x14ac:dyDescent="0.6">
      <c r="A104" s="22">
        <v>12785</v>
      </c>
      <c r="B104" s="23">
        <v>-3.450000000000001E-2</v>
      </c>
      <c r="C104" s="23">
        <v>1.0700000000000001E-2</v>
      </c>
      <c r="D104" s="23">
        <v>-1.89E-2</v>
      </c>
      <c r="E104" s="24">
        <f t="shared" si="4"/>
        <v>80.085038726983527</v>
      </c>
      <c r="F104" s="24">
        <f t="shared" si="5"/>
        <v>127.58055585776468</v>
      </c>
      <c r="G104" s="24">
        <f t="shared" si="6"/>
        <v>103.12610399242101</v>
      </c>
    </row>
    <row r="105" spans="1:7" x14ac:dyDescent="0.6">
      <c r="A105" s="22">
        <v>12816</v>
      </c>
      <c r="B105" s="23">
        <v>-1.9399999999999997E-2</v>
      </c>
      <c r="C105" s="23">
        <v>4.1999999999999997E-3</v>
      </c>
      <c r="D105" s="23">
        <v>-7.2400000000000006E-2</v>
      </c>
      <c r="E105" s="24">
        <f t="shared" si="4"/>
        <v>78.531388975680045</v>
      </c>
      <c r="F105" s="24">
        <f t="shared" si="5"/>
        <v>128.1163941923673</v>
      </c>
      <c r="G105" s="24">
        <f t="shared" si="6"/>
        <v>95.659774063369724</v>
      </c>
    </row>
    <row r="106" spans="1:7" x14ac:dyDescent="0.6">
      <c r="A106" s="22">
        <v>12844</v>
      </c>
      <c r="B106" s="23">
        <v>-3.6800000000000006E-2</v>
      </c>
      <c r="C106" s="23">
        <v>-3.5400000000000001E-2</v>
      </c>
      <c r="D106" s="23">
        <v>-5.0599999999999999E-2</v>
      </c>
      <c r="E106" s="24">
        <f t="shared" si="4"/>
        <v>75.64143386137502</v>
      </c>
      <c r="F106" s="24">
        <f t="shared" si="5"/>
        <v>123.58107383795749</v>
      </c>
      <c r="G106" s="24">
        <f t="shared" si="6"/>
        <v>90.819389495763218</v>
      </c>
    </row>
    <row r="107" spans="1:7" x14ac:dyDescent="0.6">
      <c r="A107" s="22">
        <v>12875</v>
      </c>
      <c r="B107" s="23">
        <v>9.06E-2</v>
      </c>
      <c r="C107" s="23">
        <v>-1.5600000000000001E-2</v>
      </c>
      <c r="D107" s="23">
        <v>4.2699999999999995E-2</v>
      </c>
      <c r="E107" s="24">
        <f t="shared" si="4"/>
        <v>82.4945477692156</v>
      </c>
      <c r="F107" s="24">
        <f t="shared" si="5"/>
        <v>121.65320908608535</v>
      </c>
      <c r="G107" s="24">
        <f t="shared" si="6"/>
        <v>94.697377427232297</v>
      </c>
    </row>
    <row r="108" spans="1:7" x14ac:dyDescent="0.6">
      <c r="A108" s="22">
        <v>12905</v>
      </c>
      <c r="B108" s="23">
        <v>3.4699999999999995E-2</v>
      </c>
      <c r="C108" s="23">
        <v>-3.2799999999999996E-2</v>
      </c>
      <c r="D108" s="23">
        <v>2.52E-2</v>
      </c>
      <c r="E108" s="24">
        <f t="shared" si="4"/>
        <v>85.357108576807377</v>
      </c>
      <c r="F108" s="24">
        <f t="shared" si="5"/>
        <v>117.66298382806177</v>
      </c>
      <c r="G108" s="24">
        <f t="shared" si="6"/>
        <v>97.083751338398542</v>
      </c>
    </row>
    <row r="109" spans="1:7" x14ac:dyDescent="0.6">
      <c r="A109" s="22">
        <v>12936</v>
      </c>
      <c r="B109" s="23">
        <v>5.9299999999999992E-2</v>
      </c>
      <c r="C109" s="23">
        <v>-5.0300000000000004E-2</v>
      </c>
      <c r="D109" s="23">
        <v>2.1299999999999999E-2</v>
      </c>
      <c r="E109" s="24">
        <f t="shared" si="4"/>
        <v>90.418785115412049</v>
      </c>
      <c r="F109" s="24">
        <f t="shared" si="5"/>
        <v>111.74453574151026</v>
      </c>
      <c r="G109" s="24">
        <f t="shared" si="6"/>
        <v>99.151635241906448</v>
      </c>
    </row>
    <row r="110" spans="1:7" x14ac:dyDescent="0.6">
      <c r="A110" s="22">
        <v>12966</v>
      </c>
      <c r="B110" s="23">
        <v>7.5099999999999986E-2</v>
      </c>
      <c r="C110" s="23">
        <v>1.47E-2</v>
      </c>
      <c r="D110" s="23">
        <v>6.8600000000000008E-2</v>
      </c>
      <c r="E110" s="24">
        <f t="shared" si="4"/>
        <v>97.209235877579488</v>
      </c>
      <c r="F110" s="24">
        <f t="shared" si="5"/>
        <v>113.38718041691045</v>
      </c>
      <c r="G110" s="24">
        <f t="shared" si="6"/>
        <v>105.95343741950123</v>
      </c>
    </row>
    <row r="111" spans="1:7" x14ac:dyDescent="0.6">
      <c r="A111" s="22">
        <v>12997</v>
      </c>
      <c r="B111" s="23">
        <v>2.6499999999999999E-2</v>
      </c>
      <c r="C111" s="23">
        <v>6.2800000000000009E-2</v>
      </c>
      <c r="D111" s="23">
        <v>5.7000000000000002E-2</v>
      </c>
      <c r="E111" s="24">
        <f t="shared" si="4"/>
        <v>99.785280628335343</v>
      </c>
      <c r="F111" s="24">
        <f t="shared" si="5"/>
        <v>120.50789534709243</v>
      </c>
      <c r="G111" s="24">
        <f t="shared" si="6"/>
        <v>111.99278335241279</v>
      </c>
    </row>
    <row r="112" spans="1:7" x14ac:dyDescent="0.6">
      <c r="A112" s="22">
        <v>13028</v>
      </c>
      <c r="B112" s="23">
        <v>2.6299999999999997E-2</v>
      </c>
      <c r="C112" s="23">
        <v>1.5700000000000002E-2</v>
      </c>
      <c r="D112" s="23">
        <v>-4.0500000000000001E-2</v>
      </c>
      <c r="E112" s="24">
        <f t="shared" si="4"/>
        <v>102.40963350886057</v>
      </c>
      <c r="F112" s="24">
        <f t="shared" si="5"/>
        <v>122.39986930404179</v>
      </c>
      <c r="G112" s="24">
        <f t="shared" si="6"/>
        <v>107.45707562664008</v>
      </c>
    </row>
    <row r="113" spans="1:7" x14ac:dyDescent="0.6">
      <c r="A113" s="22">
        <v>13058</v>
      </c>
      <c r="B113" s="23">
        <v>7.0300000000000001E-2</v>
      </c>
      <c r="C113" s="23">
        <v>2.6499999999999999E-2</v>
      </c>
      <c r="D113" s="23">
        <v>-2.3300000000000001E-2</v>
      </c>
      <c r="E113" s="24">
        <f t="shared" si="4"/>
        <v>109.60903074453347</v>
      </c>
      <c r="F113" s="24">
        <f t="shared" si="5"/>
        <v>125.64346584059889</v>
      </c>
      <c r="G113" s="24">
        <f t="shared" si="6"/>
        <v>104.95332576453936</v>
      </c>
    </row>
    <row r="114" spans="1:7" x14ac:dyDescent="0.6">
      <c r="A114" s="22">
        <v>13089</v>
      </c>
      <c r="B114" s="23">
        <v>4.8799999999999996E-2</v>
      </c>
      <c r="C114" s="23">
        <v>4.2999999999999997E-2</v>
      </c>
      <c r="D114" s="23">
        <v>0.1191</v>
      </c>
      <c r="E114" s="24">
        <f t="shared" si="4"/>
        <v>114.95795144486669</v>
      </c>
      <c r="F114" s="24">
        <f t="shared" si="5"/>
        <v>131.04613487174464</v>
      </c>
      <c r="G114" s="24">
        <f t="shared" si="6"/>
        <v>117.45326686309599</v>
      </c>
    </row>
    <row r="115" spans="1:7" x14ac:dyDescent="0.6">
      <c r="A115" s="22">
        <v>13119</v>
      </c>
      <c r="B115" s="23">
        <v>4.5599999999999988E-2</v>
      </c>
      <c r="C115" s="23">
        <v>2.2000000000000001E-3</v>
      </c>
      <c r="D115" s="23">
        <v>1.0700000000000001E-2</v>
      </c>
      <c r="E115" s="24">
        <f t="shared" si="4"/>
        <v>120.20003403075262</v>
      </c>
      <c r="F115" s="24">
        <f t="shared" si="5"/>
        <v>131.33443636846249</v>
      </c>
      <c r="G115" s="24">
        <f t="shared" si="6"/>
        <v>118.71001681853112</v>
      </c>
    </row>
    <row r="116" spans="1:7" x14ac:dyDescent="0.6">
      <c r="A116" s="22">
        <v>13150</v>
      </c>
      <c r="B116" s="23">
        <v>6.8899999999999989E-2</v>
      </c>
      <c r="C116" s="23">
        <v>5.0999999999999997E-2</v>
      </c>
      <c r="D116" s="23">
        <v>0.1051</v>
      </c>
      <c r="E116" s="24">
        <f t="shared" si="4"/>
        <v>128.48181637547148</v>
      </c>
      <c r="F116" s="24">
        <f t="shared" si="5"/>
        <v>138.03249262325406</v>
      </c>
      <c r="G116" s="24">
        <f t="shared" si="6"/>
        <v>131.18643958615874</v>
      </c>
    </row>
    <row r="117" spans="1:7" x14ac:dyDescent="0.6">
      <c r="A117" s="22">
        <v>13181</v>
      </c>
      <c r="B117" s="23">
        <v>2.4900000000000002E-2</v>
      </c>
      <c r="C117" s="23">
        <v>1.1399999999999999E-2</v>
      </c>
      <c r="D117" s="23">
        <v>5.04E-2</v>
      </c>
      <c r="E117" s="24">
        <f t="shared" si="4"/>
        <v>131.68101360322072</v>
      </c>
      <c r="F117" s="24">
        <f t="shared" si="5"/>
        <v>139.60606303915915</v>
      </c>
      <c r="G117" s="24">
        <f t="shared" si="6"/>
        <v>137.79823614130115</v>
      </c>
    </row>
    <row r="118" spans="1:7" x14ac:dyDescent="0.6">
      <c r="A118" s="22">
        <v>13210</v>
      </c>
      <c r="B118" s="23">
        <v>9.8999999999999991E-3</v>
      </c>
      <c r="C118" s="23">
        <v>6.6E-3</v>
      </c>
      <c r="D118" s="23">
        <v>-1.66E-2</v>
      </c>
      <c r="E118" s="24">
        <f t="shared" si="4"/>
        <v>132.98465563789262</v>
      </c>
      <c r="F118" s="24">
        <f t="shared" si="5"/>
        <v>140.52746305521759</v>
      </c>
      <c r="G118" s="24">
        <f t="shared" si="6"/>
        <v>135.51078542135556</v>
      </c>
    </row>
    <row r="119" spans="1:7" x14ac:dyDescent="0.6">
      <c r="A119" s="22">
        <v>13241</v>
      </c>
      <c r="B119" s="23">
        <v>-8.1400000000000014E-2</v>
      </c>
      <c r="C119" s="23">
        <v>-6.0299999999999999E-2</v>
      </c>
      <c r="D119" s="23">
        <v>-2.0799999999999999E-2</v>
      </c>
      <c r="E119" s="24">
        <f t="shared" si="4"/>
        <v>122.15970466896815</v>
      </c>
      <c r="F119" s="24">
        <f t="shared" si="5"/>
        <v>132.05365703298799</v>
      </c>
      <c r="G119" s="24">
        <f t="shared" si="6"/>
        <v>132.69216108459136</v>
      </c>
    </row>
    <row r="120" spans="1:7" x14ac:dyDescent="0.6">
      <c r="A120" s="22">
        <v>13271</v>
      </c>
      <c r="B120" s="23">
        <v>5.1900000000000002E-2</v>
      </c>
      <c r="C120" s="23">
        <v>8.1000000000000013E-3</v>
      </c>
      <c r="D120" s="23">
        <v>2.63E-2</v>
      </c>
      <c r="E120" s="24">
        <f t="shared" si="4"/>
        <v>128.49979334128761</v>
      </c>
      <c r="F120" s="24">
        <f t="shared" si="5"/>
        <v>133.12329165495518</v>
      </c>
      <c r="G120" s="24">
        <f t="shared" si="6"/>
        <v>136.1819649211161</v>
      </c>
    </row>
    <row r="121" spans="1:7" x14ac:dyDescent="0.6">
      <c r="A121" s="22">
        <v>13302</v>
      </c>
      <c r="B121" s="23">
        <v>2.3999999999999997E-2</v>
      </c>
      <c r="C121" s="23">
        <v>-3.2500000000000001E-2</v>
      </c>
      <c r="D121" s="23">
        <v>-1.2E-2</v>
      </c>
      <c r="E121" s="24">
        <f t="shared" si="4"/>
        <v>131.58378838147851</v>
      </c>
      <c r="F121" s="24">
        <f t="shared" si="5"/>
        <v>128.79678467616915</v>
      </c>
      <c r="G121" s="24">
        <f t="shared" si="6"/>
        <v>134.54778134206271</v>
      </c>
    </row>
    <row r="122" spans="1:7" x14ac:dyDescent="0.6">
      <c r="A122" s="22">
        <v>13332</v>
      </c>
      <c r="B122" s="23">
        <v>6.6699999999999995E-2</v>
      </c>
      <c r="C122" s="23">
        <v>1.1399999999999999E-2</v>
      </c>
      <c r="D122" s="23">
        <v>2.5600000000000001E-2</v>
      </c>
      <c r="E122" s="24">
        <f t="shared" si="4"/>
        <v>140.36042706652313</v>
      </c>
      <c r="F122" s="24">
        <f t="shared" si="5"/>
        <v>130.2650680214775</v>
      </c>
      <c r="G122" s="24">
        <f t="shared" si="6"/>
        <v>137.99220454441951</v>
      </c>
    </row>
    <row r="123" spans="1:7" x14ac:dyDescent="0.6">
      <c r="A123" s="22">
        <v>13363</v>
      </c>
      <c r="B123" s="23">
        <v>9.8999999999999991E-3</v>
      </c>
      <c r="C123" s="23">
        <v>7.1999999999999998E-3</v>
      </c>
      <c r="D123" s="23">
        <v>3.9900000000000005E-2</v>
      </c>
      <c r="E123" s="24">
        <f t="shared" si="4"/>
        <v>141.74999529448172</v>
      </c>
      <c r="F123" s="24">
        <f t="shared" si="5"/>
        <v>131.20297651123215</v>
      </c>
      <c r="G123" s="24">
        <f t="shared" si="6"/>
        <v>143.49809350574185</v>
      </c>
    </row>
    <row r="124" spans="1:7" x14ac:dyDescent="0.6">
      <c r="A124" s="22">
        <v>13394</v>
      </c>
      <c r="B124" s="23">
        <v>9.7999999999999997E-3</v>
      </c>
      <c r="C124" s="23">
        <v>3.0699999999999998E-2</v>
      </c>
      <c r="D124" s="23">
        <v>8.8000000000000005E-3</v>
      </c>
      <c r="E124" s="24">
        <f t="shared" si="4"/>
        <v>143.13914524836764</v>
      </c>
      <c r="F124" s="24">
        <f t="shared" si="5"/>
        <v>135.23090789012699</v>
      </c>
      <c r="G124" s="24">
        <f t="shared" si="6"/>
        <v>144.76087672859236</v>
      </c>
    </row>
    <row r="125" spans="1:7" x14ac:dyDescent="0.6">
      <c r="A125" s="22">
        <v>13424</v>
      </c>
      <c r="B125" s="23">
        <v>7.1199999999999986E-2</v>
      </c>
      <c r="C125" s="23">
        <v>-2.3900000000000001E-2</v>
      </c>
      <c r="D125" s="23">
        <v>2.52E-2</v>
      </c>
      <c r="E125" s="24">
        <f t="shared" si="4"/>
        <v>153.3306523900514</v>
      </c>
      <c r="F125" s="24">
        <f t="shared" si="5"/>
        <v>131.99888919155293</v>
      </c>
      <c r="G125" s="24">
        <f t="shared" si="6"/>
        <v>148.40885082215289</v>
      </c>
    </row>
    <row r="126" spans="1:7" x14ac:dyDescent="0.6">
      <c r="A126" s="22">
        <v>13455</v>
      </c>
      <c r="B126" s="23">
        <v>3.2699999999999993E-2</v>
      </c>
      <c r="C126" s="23">
        <v>9.01E-2</v>
      </c>
      <c r="D126" s="23">
        <v>-9.1999999999999998E-3</v>
      </c>
      <c r="E126" s="24">
        <f t="shared" si="4"/>
        <v>158.34456472320608</v>
      </c>
      <c r="F126" s="24">
        <f t="shared" si="5"/>
        <v>143.89198910771185</v>
      </c>
      <c r="G126" s="24">
        <f t="shared" si="6"/>
        <v>147.04348939458907</v>
      </c>
    </row>
    <row r="127" spans="1:7" x14ac:dyDescent="0.6">
      <c r="A127" s="22">
        <v>13485</v>
      </c>
      <c r="B127" s="23">
        <v>2.0999999999999999E-3</v>
      </c>
      <c r="C127" s="23">
        <v>3.61E-2</v>
      </c>
      <c r="D127" s="23">
        <v>3.9599999999999996E-2</v>
      </c>
      <c r="E127" s="24">
        <f t="shared" si="4"/>
        <v>158.6770883091248</v>
      </c>
      <c r="F127" s="24">
        <f t="shared" si="5"/>
        <v>149.08648991450025</v>
      </c>
      <c r="G127" s="24">
        <f t="shared" si="6"/>
        <v>152.8664115746148</v>
      </c>
    </row>
    <row r="128" spans="1:7" x14ac:dyDescent="0.6">
      <c r="A128" s="22">
        <v>13516</v>
      </c>
      <c r="B128" s="23">
        <v>3.3499999999999995E-2</v>
      </c>
      <c r="C128" s="23">
        <v>4.3099999999999999E-2</v>
      </c>
      <c r="D128" s="23">
        <v>2.6099999999999998E-2</v>
      </c>
      <c r="E128" s="24">
        <f t="shared" si="4"/>
        <v>163.99277076748049</v>
      </c>
      <c r="F128" s="24">
        <f t="shared" si="5"/>
        <v>155.51211762981521</v>
      </c>
      <c r="G128" s="24">
        <f t="shared" si="6"/>
        <v>156.85622491671225</v>
      </c>
    </row>
    <row r="129" spans="1:7" x14ac:dyDescent="0.6">
      <c r="A129" s="22">
        <v>13547</v>
      </c>
      <c r="B129" s="23">
        <v>1.09E-2</v>
      </c>
      <c r="C129" s="23">
        <v>1.23E-2</v>
      </c>
      <c r="D129" s="23">
        <v>5.0499999999999996E-2</v>
      </c>
      <c r="E129" s="24">
        <f t="shared" si="4"/>
        <v>165.78029196884603</v>
      </c>
      <c r="F129" s="24">
        <f t="shared" si="5"/>
        <v>157.42491667666192</v>
      </c>
      <c r="G129" s="24">
        <f t="shared" si="6"/>
        <v>164.77746427500622</v>
      </c>
    </row>
    <row r="130" spans="1:7" x14ac:dyDescent="0.6">
      <c r="A130" s="22">
        <v>13575</v>
      </c>
      <c r="B130" s="23">
        <v>-2.6999999999999997E-3</v>
      </c>
      <c r="C130" s="23">
        <v>-1.78E-2</v>
      </c>
      <c r="D130" s="23">
        <v>6.3899999999999998E-2</v>
      </c>
      <c r="E130" s="24">
        <f t="shared" si="4"/>
        <v>165.33268518053015</v>
      </c>
      <c r="F130" s="24">
        <f t="shared" si="5"/>
        <v>154.62275315981734</v>
      </c>
      <c r="G130" s="24">
        <f t="shared" si="6"/>
        <v>175.30674424217912</v>
      </c>
    </row>
    <row r="131" spans="1:7" x14ac:dyDescent="0.6">
      <c r="A131" s="22">
        <v>13606</v>
      </c>
      <c r="B131" s="23">
        <v>-7.3599999999999999E-2</v>
      </c>
      <c r="C131" s="23">
        <v>-3.7699999999999997E-2</v>
      </c>
      <c r="D131" s="23">
        <v>-3.61E-2</v>
      </c>
      <c r="E131" s="24">
        <f t="shared" si="4"/>
        <v>153.16419955124314</v>
      </c>
      <c r="F131" s="24">
        <f t="shared" si="5"/>
        <v>148.79347536569222</v>
      </c>
      <c r="G131" s="24">
        <f t="shared" si="6"/>
        <v>168.97817077503646</v>
      </c>
    </row>
    <row r="132" spans="1:7" x14ac:dyDescent="0.6">
      <c r="A132" s="22">
        <v>13636</v>
      </c>
      <c r="B132" s="23">
        <v>-8.3000000000000001E-3</v>
      </c>
      <c r="C132" s="23">
        <v>-6.6E-3</v>
      </c>
      <c r="D132" s="23">
        <v>-3.49E-2</v>
      </c>
      <c r="E132" s="24">
        <f t="shared" ref="E132:E195" si="7">E131*(1+B132)</f>
        <v>151.89293669496783</v>
      </c>
      <c r="F132" s="24">
        <f t="shared" ref="F132:F195" si="8">F131*(1+C132)</f>
        <v>147.81143842827865</v>
      </c>
      <c r="G132" s="24">
        <f t="shared" ref="G132:G195" si="9">G131*(1+D132)</f>
        <v>163.08083261498768</v>
      </c>
    </row>
    <row r="133" spans="1:7" x14ac:dyDescent="0.6">
      <c r="A133" s="22">
        <v>13667</v>
      </c>
      <c r="B133" s="23">
        <v>-4.2099999999999999E-2</v>
      </c>
      <c r="C133" s="23">
        <v>-3.6499999999999998E-2</v>
      </c>
      <c r="D133" s="23">
        <v>-3.2099999999999997E-2</v>
      </c>
      <c r="E133" s="24">
        <f t="shared" si="7"/>
        <v>145.49824406010967</v>
      </c>
      <c r="F133" s="24">
        <f t="shared" si="8"/>
        <v>142.41632092564649</v>
      </c>
      <c r="G133" s="24">
        <f t="shared" si="9"/>
        <v>157.84593788804656</v>
      </c>
    </row>
    <row r="134" spans="1:7" x14ac:dyDescent="0.6">
      <c r="A134" s="22">
        <v>13697</v>
      </c>
      <c r="B134" s="23">
        <v>8.9099999999999999E-2</v>
      </c>
      <c r="C134" s="23">
        <v>8.5000000000000006E-3</v>
      </c>
      <c r="D134" s="23">
        <v>8.199999999999999E-3</v>
      </c>
      <c r="E134" s="24">
        <f t="shared" si="7"/>
        <v>158.46213760586542</v>
      </c>
      <c r="F134" s="24">
        <f t="shared" si="8"/>
        <v>143.62685965351449</v>
      </c>
      <c r="G134" s="24">
        <f t="shared" si="9"/>
        <v>159.14027457872854</v>
      </c>
    </row>
    <row r="135" spans="1:7" x14ac:dyDescent="0.6">
      <c r="A135" s="22">
        <v>13728</v>
      </c>
      <c r="B135" s="23">
        <v>-4.8600000000000004E-2</v>
      </c>
      <c r="C135" s="23">
        <v>4.1999999999999997E-3</v>
      </c>
      <c r="D135" s="23">
        <v>-2.2499999999999999E-2</v>
      </c>
      <c r="E135" s="24">
        <f t="shared" si="7"/>
        <v>150.76087771822037</v>
      </c>
      <c r="F135" s="24">
        <f t="shared" si="8"/>
        <v>144.23009246405925</v>
      </c>
      <c r="G135" s="24">
        <f t="shared" si="9"/>
        <v>155.55961840070714</v>
      </c>
    </row>
    <row r="136" spans="1:7" x14ac:dyDescent="0.6">
      <c r="A136" s="22">
        <v>13759</v>
      </c>
      <c r="B136" s="23">
        <v>-0.13610000000000003</v>
      </c>
      <c r="C136" s="23">
        <v>-6.8900000000000003E-2</v>
      </c>
      <c r="D136" s="23">
        <v>-4.5700000000000005E-2</v>
      </c>
      <c r="E136" s="24">
        <f t="shared" si="7"/>
        <v>130.24232226077058</v>
      </c>
      <c r="F136" s="24">
        <f t="shared" si="8"/>
        <v>134.29263909328557</v>
      </c>
      <c r="G136" s="24">
        <f t="shared" si="9"/>
        <v>148.45054383979482</v>
      </c>
    </row>
    <row r="137" spans="1:7" x14ac:dyDescent="0.6">
      <c r="A137" s="22">
        <v>13789</v>
      </c>
      <c r="B137" s="23">
        <v>-9.6100000000000005E-2</v>
      </c>
      <c r="C137" s="23">
        <v>4.5000000000000005E-3</v>
      </c>
      <c r="D137" s="23">
        <v>-1.6200000000000003E-2</v>
      </c>
      <c r="E137" s="24">
        <f t="shared" si="7"/>
        <v>117.72603509151052</v>
      </c>
      <c r="F137" s="24">
        <f t="shared" si="8"/>
        <v>134.89695596920535</v>
      </c>
      <c r="G137" s="24">
        <f t="shared" si="9"/>
        <v>146.04564502959013</v>
      </c>
    </row>
    <row r="138" spans="1:7" x14ac:dyDescent="0.6">
      <c r="A138" s="22">
        <v>13820</v>
      </c>
      <c r="B138" s="23">
        <v>-8.3100000000000021E-2</v>
      </c>
      <c r="C138" s="23">
        <v>-3.6499999999999998E-2</v>
      </c>
      <c r="D138" s="23">
        <v>2E-3</v>
      </c>
      <c r="E138" s="24">
        <f t="shared" si="7"/>
        <v>107.94300157540599</v>
      </c>
      <c r="F138" s="24">
        <f t="shared" si="8"/>
        <v>129.97321707632935</v>
      </c>
      <c r="G138" s="24">
        <f t="shared" si="9"/>
        <v>146.33773631964931</v>
      </c>
    </row>
    <row r="139" spans="1:7" x14ac:dyDescent="0.6">
      <c r="A139" s="22">
        <v>13850</v>
      </c>
      <c r="B139" s="23">
        <v>-4.24E-2</v>
      </c>
      <c r="C139" s="23">
        <v>-7.7600000000000002E-2</v>
      </c>
      <c r="D139" s="23">
        <v>-3.9000000000000003E-3</v>
      </c>
      <c r="E139" s="24">
        <f t="shared" si="7"/>
        <v>103.36621830860878</v>
      </c>
      <c r="F139" s="24">
        <f t="shared" si="8"/>
        <v>119.88729543120618</v>
      </c>
      <c r="G139" s="24">
        <f t="shared" si="9"/>
        <v>145.76701914800267</v>
      </c>
    </row>
    <row r="140" spans="1:7" x14ac:dyDescent="0.6">
      <c r="A140" s="22">
        <v>13881</v>
      </c>
      <c r="B140" s="23">
        <v>4.8999999999999998E-3</v>
      </c>
      <c r="C140" s="23">
        <v>4.9699999999999994E-2</v>
      </c>
      <c r="D140" s="23">
        <v>-1.6E-2</v>
      </c>
      <c r="E140" s="24">
        <f t="shared" si="7"/>
        <v>103.87271277832095</v>
      </c>
      <c r="F140" s="24">
        <f t="shared" si="8"/>
        <v>125.84569401413714</v>
      </c>
      <c r="G140" s="24">
        <f t="shared" si="9"/>
        <v>143.43474684163462</v>
      </c>
    </row>
    <row r="141" spans="1:7" x14ac:dyDescent="0.6">
      <c r="A141" s="22">
        <v>13912</v>
      </c>
      <c r="B141" s="23">
        <v>5.8400000000000001E-2</v>
      </c>
      <c r="C141" s="23">
        <v>3.4999999999999996E-3</v>
      </c>
      <c r="D141" s="23">
        <v>-2.0199999999999999E-2</v>
      </c>
      <c r="E141" s="24">
        <f t="shared" si="7"/>
        <v>109.93887920457489</v>
      </c>
      <c r="F141" s="24">
        <f t="shared" si="8"/>
        <v>126.28615394318662</v>
      </c>
      <c r="G141" s="24">
        <f t="shared" si="9"/>
        <v>140.53736495543359</v>
      </c>
    </row>
    <row r="142" spans="1:7" x14ac:dyDescent="0.6">
      <c r="A142" s="22">
        <v>13940</v>
      </c>
      <c r="B142" s="23">
        <v>-0.23820000000000002</v>
      </c>
      <c r="C142" s="23">
        <v>-4.24E-2</v>
      </c>
      <c r="D142" s="23">
        <v>-3.5200000000000002E-2</v>
      </c>
      <c r="E142" s="24">
        <f t="shared" si="7"/>
        <v>83.751438178045149</v>
      </c>
      <c r="F142" s="24">
        <f t="shared" si="8"/>
        <v>120.9316210159955</v>
      </c>
      <c r="G142" s="24">
        <f t="shared" si="9"/>
        <v>135.59044970900231</v>
      </c>
    </row>
    <row r="143" spans="1:7" x14ac:dyDescent="0.6">
      <c r="A143" s="22">
        <v>13971</v>
      </c>
      <c r="B143" s="23">
        <v>0.14510000000000001</v>
      </c>
      <c r="C143" s="23">
        <v>6.3700000000000007E-2</v>
      </c>
      <c r="D143" s="23">
        <v>1.8E-3</v>
      </c>
      <c r="E143" s="24">
        <f t="shared" si="7"/>
        <v>95.903771857679502</v>
      </c>
      <c r="F143" s="24">
        <f t="shared" si="8"/>
        <v>128.63496527471443</v>
      </c>
      <c r="G143" s="24">
        <f t="shared" si="9"/>
        <v>135.83451251847853</v>
      </c>
    </row>
    <row r="144" spans="1:7" x14ac:dyDescent="0.6">
      <c r="A144" s="22">
        <v>14001</v>
      </c>
      <c r="B144" s="23">
        <v>-3.8300000000000001E-2</v>
      </c>
      <c r="C144" s="23">
        <v>-2.4700000000000003E-2</v>
      </c>
      <c r="D144" s="23">
        <v>-2.8000000000000004E-3</v>
      </c>
      <c r="E144" s="24">
        <f t="shared" si="7"/>
        <v>92.230657395530372</v>
      </c>
      <c r="F144" s="24">
        <f t="shared" si="8"/>
        <v>125.45768163242897</v>
      </c>
      <c r="G144" s="24">
        <f t="shared" si="9"/>
        <v>135.45417588342679</v>
      </c>
    </row>
    <row r="145" spans="1:7" x14ac:dyDescent="0.6">
      <c r="A145" s="22">
        <v>14032</v>
      </c>
      <c r="B145" s="23">
        <v>0.23870000000000002</v>
      </c>
      <c r="C145" s="23">
        <v>4.0500000000000001E-2</v>
      </c>
      <c r="D145" s="23">
        <v>3.0000000000000001E-3</v>
      </c>
      <c r="E145" s="24">
        <f t="shared" si="7"/>
        <v>114.24611531584348</v>
      </c>
      <c r="F145" s="24">
        <f t="shared" si="8"/>
        <v>130.53871773854235</v>
      </c>
      <c r="G145" s="24">
        <f t="shared" si="9"/>
        <v>135.86053841107704</v>
      </c>
    </row>
    <row r="146" spans="1:7" x14ac:dyDescent="0.6">
      <c r="A146" s="22">
        <v>14062</v>
      </c>
      <c r="B146" s="23">
        <v>7.3400000000000007E-2</v>
      </c>
      <c r="C146" s="23">
        <v>6.6600000000000006E-2</v>
      </c>
      <c r="D146" s="23">
        <v>2.18E-2</v>
      </c>
      <c r="E146" s="24">
        <f t="shared" si="7"/>
        <v>122.63178018002638</v>
      </c>
      <c r="F146" s="24">
        <f t="shared" si="8"/>
        <v>139.23259633992927</v>
      </c>
      <c r="G146" s="24">
        <f t="shared" si="9"/>
        <v>138.82229814843853</v>
      </c>
    </row>
    <row r="147" spans="1:7" x14ac:dyDescent="0.6">
      <c r="A147" s="22">
        <v>14093</v>
      </c>
      <c r="B147" s="23">
        <v>-2.6699999999999998E-2</v>
      </c>
      <c r="C147" s="23">
        <v>-2.4399999999999998E-2</v>
      </c>
      <c r="D147" s="23">
        <v>-4.7199999999999999E-2</v>
      </c>
      <c r="E147" s="24">
        <f t="shared" si="7"/>
        <v>119.35751164921969</v>
      </c>
      <c r="F147" s="24">
        <f t="shared" si="8"/>
        <v>135.83532098923502</v>
      </c>
      <c r="G147" s="24">
        <f t="shared" si="9"/>
        <v>132.26988567583223</v>
      </c>
    </row>
    <row r="148" spans="1:7" x14ac:dyDescent="0.6">
      <c r="A148" s="22">
        <v>14124</v>
      </c>
      <c r="B148" s="23">
        <v>8.0999999999999996E-3</v>
      </c>
      <c r="C148" s="23">
        <v>-2.7200000000000002E-2</v>
      </c>
      <c r="D148" s="23">
        <v>-1.6200000000000003E-2</v>
      </c>
      <c r="E148" s="24">
        <f t="shared" si="7"/>
        <v>120.32430749357837</v>
      </c>
      <c r="F148" s="24">
        <f t="shared" si="8"/>
        <v>132.14060025832782</v>
      </c>
      <c r="G148" s="24">
        <f t="shared" si="9"/>
        <v>130.12711352788375</v>
      </c>
    </row>
    <row r="149" spans="1:7" x14ac:dyDescent="0.6">
      <c r="A149" s="22">
        <v>14154</v>
      </c>
      <c r="B149" s="23">
        <v>7.8E-2</v>
      </c>
      <c r="C149" s="23">
        <v>5.8299999999999998E-2</v>
      </c>
      <c r="D149" s="23">
        <v>5.0099999999999999E-2</v>
      </c>
      <c r="E149" s="24">
        <f t="shared" si="7"/>
        <v>129.7096034780775</v>
      </c>
      <c r="F149" s="24">
        <f t="shared" si="8"/>
        <v>139.84439725338834</v>
      </c>
      <c r="G149" s="24">
        <f t="shared" si="9"/>
        <v>136.64648191563074</v>
      </c>
    </row>
    <row r="150" spans="1:7" x14ac:dyDescent="0.6">
      <c r="A150" s="22">
        <v>14185</v>
      </c>
      <c r="B150" s="23">
        <v>-1.72E-2</v>
      </c>
      <c r="C150" s="23">
        <v>-2.5600000000000001E-2</v>
      </c>
      <c r="D150" s="23">
        <v>-1.23E-2</v>
      </c>
      <c r="E150" s="24">
        <f t="shared" si="7"/>
        <v>127.47859829825457</v>
      </c>
      <c r="F150" s="24">
        <f t="shared" si="8"/>
        <v>136.2643806837016</v>
      </c>
      <c r="G150" s="24">
        <f t="shared" si="9"/>
        <v>134.96573018806848</v>
      </c>
    </row>
    <row r="151" spans="1:7" x14ac:dyDescent="0.6">
      <c r="A151" s="22">
        <v>14215</v>
      </c>
      <c r="B151" s="23">
        <v>4.1900000000000007E-2</v>
      </c>
      <c r="C151" s="23">
        <v>-1.8000000000000002E-2</v>
      </c>
      <c r="D151" s="23">
        <v>5.0000000000000001E-3</v>
      </c>
      <c r="E151" s="24">
        <f t="shared" si="7"/>
        <v>132.81995156695143</v>
      </c>
      <c r="F151" s="24">
        <f t="shared" si="8"/>
        <v>133.81162183139497</v>
      </c>
      <c r="G151" s="24">
        <f t="shared" si="9"/>
        <v>135.6405588390088</v>
      </c>
    </row>
    <row r="152" spans="1:7" x14ac:dyDescent="0.6">
      <c r="A152" s="22">
        <v>14246</v>
      </c>
      <c r="B152" s="23">
        <v>-5.9599999999999993E-2</v>
      </c>
      <c r="C152" s="23">
        <v>-1.5600000000000001E-2</v>
      </c>
      <c r="D152" s="23">
        <v>-3.9199999999999999E-2</v>
      </c>
      <c r="E152" s="24">
        <f t="shared" si="7"/>
        <v>124.90388245356112</v>
      </c>
      <c r="F152" s="24">
        <f t="shared" si="8"/>
        <v>131.72416053082523</v>
      </c>
      <c r="G152" s="24">
        <f t="shared" si="9"/>
        <v>130.32344893251965</v>
      </c>
    </row>
    <row r="153" spans="1:7" x14ac:dyDescent="0.6">
      <c r="A153" s="22">
        <v>14277</v>
      </c>
      <c r="B153" s="23">
        <v>3.5099999999999992E-2</v>
      </c>
      <c r="C153" s="23">
        <v>6.3E-3</v>
      </c>
      <c r="D153" s="23">
        <v>2.9500000000000002E-2</v>
      </c>
      <c r="E153" s="24">
        <f t="shared" si="7"/>
        <v>129.2880087276811</v>
      </c>
      <c r="F153" s="24">
        <f t="shared" si="8"/>
        <v>132.55402274216942</v>
      </c>
      <c r="G153" s="24">
        <f t="shared" si="9"/>
        <v>134.16799067602901</v>
      </c>
    </row>
    <row r="154" spans="1:7" x14ac:dyDescent="0.6">
      <c r="A154" s="22">
        <v>14305</v>
      </c>
      <c r="B154" s="23">
        <v>-0.11989999999999999</v>
      </c>
      <c r="C154" s="23">
        <v>-4.7599999999999996E-2</v>
      </c>
      <c r="D154" s="23">
        <v>-8.2899999999999988E-2</v>
      </c>
      <c r="E154" s="24">
        <f t="shared" si="7"/>
        <v>113.78637648123214</v>
      </c>
      <c r="F154" s="24">
        <f t="shared" si="8"/>
        <v>126.24445125964216</v>
      </c>
      <c r="G154" s="24">
        <f t="shared" si="9"/>
        <v>123.04546424898621</v>
      </c>
    </row>
    <row r="155" spans="1:7" x14ac:dyDescent="0.6">
      <c r="A155" s="22">
        <v>14336</v>
      </c>
      <c r="B155" s="23">
        <v>-1.8E-3</v>
      </c>
      <c r="C155" s="23">
        <v>1.66E-2</v>
      </c>
      <c r="D155" s="23">
        <v>-3.0000000000000001E-3</v>
      </c>
      <c r="E155" s="24">
        <f t="shared" si="7"/>
        <v>113.58156100356592</v>
      </c>
      <c r="F155" s="24">
        <f t="shared" si="8"/>
        <v>128.34010915055222</v>
      </c>
      <c r="G155" s="24">
        <f t="shared" si="9"/>
        <v>122.67632785623925</v>
      </c>
    </row>
    <row r="156" spans="1:7" x14ac:dyDescent="0.6">
      <c r="A156" s="22">
        <v>14366</v>
      </c>
      <c r="B156" s="23">
        <v>6.7999999999999991E-2</v>
      </c>
      <c r="C156" s="23">
        <v>2.81E-2</v>
      </c>
      <c r="D156" s="23">
        <v>4.6999999999999993E-3</v>
      </c>
      <c r="E156" s="24">
        <f t="shared" si="7"/>
        <v>121.30510715180841</v>
      </c>
      <c r="F156" s="24">
        <f t="shared" si="8"/>
        <v>131.94646621768274</v>
      </c>
      <c r="G156" s="24">
        <f t="shared" si="9"/>
        <v>123.25290659716357</v>
      </c>
    </row>
    <row r="157" spans="1:7" x14ac:dyDescent="0.6">
      <c r="A157" s="22">
        <v>14397</v>
      </c>
      <c r="B157" s="23">
        <v>-5.3100000000000001E-2</v>
      </c>
      <c r="C157" s="23">
        <v>-1.0200000000000001E-2</v>
      </c>
      <c r="D157" s="23">
        <v>-5.4100000000000002E-2</v>
      </c>
      <c r="E157" s="24">
        <f t="shared" si="7"/>
        <v>114.86380596204738</v>
      </c>
      <c r="F157" s="24">
        <f t="shared" si="8"/>
        <v>130.60061226226239</v>
      </c>
      <c r="G157" s="24">
        <f t="shared" si="9"/>
        <v>116.58492435025703</v>
      </c>
    </row>
    <row r="158" spans="1:7" x14ac:dyDescent="0.6">
      <c r="A158" s="22">
        <v>14427</v>
      </c>
      <c r="B158" s="23">
        <v>0.1024</v>
      </c>
      <c r="C158" s="23">
        <v>4.3200000000000002E-2</v>
      </c>
      <c r="D158" s="23">
        <v>-2.9999999999999997E-4</v>
      </c>
      <c r="E158" s="24">
        <f t="shared" si="7"/>
        <v>126.62585969256104</v>
      </c>
      <c r="F158" s="24">
        <f t="shared" si="8"/>
        <v>136.2425587119921</v>
      </c>
      <c r="G158" s="24">
        <f t="shared" si="9"/>
        <v>116.54994887295196</v>
      </c>
    </row>
    <row r="159" spans="1:7" x14ac:dyDescent="0.6">
      <c r="A159" s="22">
        <v>14458</v>
      </c>
      <c r="B159" s="23">
        <v>-6.6799999999999998E-2</v>
      </c>
      <c r="C159" s="23">
        <v>-4.6100000000000002E-2</v>
      </c>
      <c r="D159" s="23">
        <v>-2.4199999999999999E-2</v>
      </c>
      <c r="E159" s="24">
        <f t="shared" si="7"/>
        <v>118.16725226509796</v>
      </c>
      <c r="F159" s="24">
        <f t="shared" si="8"/>
        <v>129.96177675536927</v>
      </c>
      <c r="G159" s="24">
        <f t="shared" si="9"/>
        <v>113.72944011022652</v>
      </c>
    </row>
    <row r="160" spans="1:7" x14ac:dyDescent="0.6">
      <c r="A160" s="22">
        <v>14489</v>
      </c>
      <c r="B160" s="23">
        <v>0.16880000000000001</v>
      </c>
      <c r="C160" s="23">
        <v>0.20230000000000001</v>
      </c>
      <c r="D160" s="23">
        <v>0.22219999999999998</v>
      </c>
      <c r="E160" s="24">
        <f t="shared" si="7"/>
        <v>138.11388444744651</v>
      </c>
      <c r="F160" s="24">
        <f t="shared" si="8"/>
        <v>156.25304419298047</v>
      </c>
      <c r="G160" s="24">
        <f t="shared" si="9"/>
        <v>139.00012170271884</v>
      </c>
    </row>
    <row r="161" spans="1:7" x14ac:dyDescent="0.6">
      <c r="A161" s="22">
        <v>14519</v>
      </c>
      <c r="B161" s="23">
        <v>-5.3E-3</v>
      </c>
      <c r="C161" s="23">
        <v>-1E-4</v>
      </c>
      <c r="D161" s="23">
        <v>-4.8899999999999999E-2</v>
      </c>
      <c r="E161" s="24">
        <f t="shared" si="7"/>
        <v>137.38188085987505</v>
      </c>
      <c r="F161" s="24">
        <f t="shared" si="8"/>
        <v>156.23741888856117</v>
      </c>
      <c r="G161" s="24">
        <f t="shared" si="9"/>
        <v>132.20301575145589</v>
      </c>
    </row>
    <row r="162" spans="1:7" x14ac:dyDescent="0.6">
      <c r="A162" s="22">
        <v>14550</v>
      </c>
      <c r="B162" s="23">
        <v>-3.6200000000000003E-2</v>
      </c>
      <c r="C162" s="23">
        <v>-5.0700000000000002E-2</v>
      </c>
      <c r="D162" s="23">
        <v>-6.4600000000000005E-2</v>
      </c>
      <c r="E162" s="24">
        <f t="shared" si="7"/>
        <v>132.40865677274758</v>
      </c>
      <c r="F162" s="24">
        <f t="shared" si="8"/>
        <v>148.31618175091111</v>
      </c>
      <c r="G162" s="24">
        <f t="shared" si="9"/>
        <v>123.66270093391185</v>
      </c>
    </row>
    <row r="163" spans="1:7" x14ac:dyDescent="0.6">
      <c r="A163" s="22">
        <v>14580</v>
      </c>
      <c r="B163" s="23">
        <v>3.0299999999999997E-2</v>
      </c>
      <c r="C163" s="23">
        <v>7.9000000000000008E-3</v>
      </c>
      <c r="D163" s="23">
        <v>-4.0599999999999997E-2</v>
      </c>
      <c r="E163" s="24">
        <f t="shared" si="7"/>
        <v>136.42063907296182</v>
      </c>
      <c r="F163" s="24">
        <f t="shared" si="8"/>
        <v>149.4878795867433</v>
      </c>
      <c r="G163" s="24">
        <f t="shared" si="9"/>
        <v>118.64199527599503</v>
      </c>
    </row>
    <row r="164" spans="1:7" x14ac:dyDescent="0.6">
      <c r="A164" s="22">
        <v>14611</v>
      </c>
      <c r="B164" s="23">
        <v>-2.41E-2</v>
      </c>
      <c r="C164" s="23">
        <v>2.3999999999999998E-3</v>
      </c>
      <c r="D164" s="23">
        <v>-7.7000000000000002E-3</v>
      </c>
      <c r="E164" s="24">
        <f t="shared" si="7"/>
        <v>133.13290167130344</v>
      </c>
      <c r="F164" s="24">
        <f t="shared" si="8"/>
        <v>149.84665049775148</v>
      </c>
      <c r="G164" s="24">
        <f t="shared" si="9"/>
        <v>117.72845191236986</v>
      </c>
    </row>
    <row r="165" spans="1:7" x14ac:dyDescent="0.6">
      <c r="A165" s="22">
        <v>14642</v>
      </c>
      <c r="B165" s="23">
        <v>1.44E-2</v>
      </c>
      <c r="C165" s="23">
        <v>2.5099999999999997E-2</v>
      </c>
      <c r="D165" s="23">
        <v>-3.2000000000000002E-3</v>
      </c>
      <c r="E165" s="24">
        <f t="shared" si="7"/>
        <v>135.05001545537021</v>
      </c>
      <c r="F165" s="24">
        <f t="shared" si="8"/>
        <v>153.60780142524504</v>
      </c>
      <c r="G165" s="24">
        <f t="shared" si="9"/>
        <v>117.35172086625028</v>
      </c>
    </row>
    <row r="166" spans="1:7" x14ac:dyDescent="0.6">
      <c r="A166" s="22">
        <v>14671</v>
      </c>
      <c r="B166" s="23">
        <v>2.0499999999999997E-2</v>
      </c>
      <c r="C166" s="23">
        <v>1.2500000000000001E-2</v>
      </c>
      <c r="D166" s="23">
        <v>-1.2699999999999999E-2</v>
      </c>
      <c r="E166" s="24">
        <f t="shared" si="7"/>
        <v>137.8185407722053</v>
      </c>
      <c r="F166" s="24">
        <f t="shared" si="8"/>
        <v>155.52789894306059</v>
      </c>
      <c r="G166" s="24">
        <f t="shared" si="9"/>
        <v>115.86135401124889</v>
      </c>
    </row>
    <row r="167" spans="1:7" x14ac:dyDescent="0.6">
      <c r="A167" s="22">
        <v>14702</v>
      </c>
      <c r="B167" s="23">
        <v>2.2000000000000001E-3</v>
      </c>
      <c r="C167" s="23">
        <v>3.9199999999999999E-2</v>
      </c>
      <c r="D167" s="23">
        <v>-1.2999999999999999E-3</v>
      </c>
      <c r="E167" s="24">
        <f t="shared" si="7"/>
        <v>138.12174156190414</v>
      </c>
      <c r="F167" s="24">
        <f t="shared" si="8"/>
        <v>161.62459258162855</v>
      </c>
      <c r="G167" s="24">
        <f t="shared" si="9"/>
        <v>115.71073425103427</v>
      </c>
    </row>
    <row r="168" spans="1:7" x14ac:dyDescent="0.6">
      <c r="A168" s="22">
        <v>14732</v>
      </c>
      <c r="B168" s="23">
        <v>-0.21949999999999997</v>
      </c>
      <c r="C168" s="23">
        <v>-6.6600000000000006E-2</v>
      </c>
      <c r="D168" s="23">
        <v>-3.6900000000000002E-2</v>
      </c>
      <c r="E168" s="24">
        <f t="shared" si="7"/>
        <v>107.80401928906618</v>
      </c>
      <c r="F168" s="24">
        <f t="shared" si="8"/>
        <v>150.86039471569208</v>
      </c>
      <c r="G168" s="24">
        <f t="shared" si="9"/>
        <v>111.4410081571711</v>
      </c>
    </row>
    <row r="169" spans="1:7" x14ac:dyDescent="0.6">
      <c r="A169" s="22">
        <v>14763</v>
      </c>
      <c r="B169" s="23">
        <v>6.6699999999999995E-2</v>
      </c>
      <c r="C169" s="23">
        <v>-2.1299999999999999E-2</v>
      </c>
      <c r="D169" s="23">
        <v>4.6300000000000001E-2</v>
      </c>
      <c r="E169" s="24">
        <f t="shared" si="7"/>
        <v>114.99454737564689</v>
      </c>
      <c r="F169" s="24">
        <f t="shared" si="8"/>
        <v>147.64706830824784</v>
      </c>
      <c r="G169" s="24">
        <f t="shared" si="9"/>
        <v>116.60072683484812</v>
      </c>
    </row>
    <row r="170" spans="1:7" x14ac:dyDescent="0.6">
      <c r="A170" s="22">
        <v>14793</v>
      </c>
      <c r="B170" s="23">
        <v>3.1599999999999996E-2</v>
      </c>
      <c r="C170" s="23">
        <v>1.01E-2</v>
      </c>
      <c r="D170" s="23">
        <v>-7.4000000000000003E-3</v>
      </c>
      <c r="E170" s="24">
        <f t="shared" si="7"/>
        <v>118.62837507271733</v>
      </c>
      <c r="F170" s="24">
        <f t="shared" si="8"/>
        <v>149.13830369816114</v>
      </c>
      <c r="G170" s="24">
        <f t="shared" si="9"/>
        <v>115.73788145627024</v>
      </c>
    </row>
    <row r="171" spans="1:7" x14ac:dyDescent="0.6">
      <c r="A171" s="22">
        <v>14824</v>
      </c>
      <c r="B171" s="23">
        <v>2.1899999999999999E-2</v>
      </c>
      <c r="C171" s="23">
        <v>-1.1000000000000001E-3</v>
      </c>
      <c r="D171" s="23">
        <v>5.6000000000000008E-3</v>
      </c>
      <c r="E171" s="24">
        <f t="shared" si="7"/>
        <v>121.22633648680984</v>
      </c>
      <c r="F171" s="24">
        <f t="shared" si="8"/>
        <v>148.97425156409315</v>
      </c>
      <c r="G171" s="24">
        <f t="shared" si="9"/>
        <v>116.38601359242536</v>
      </c>
    </row>
    <row r="172" spans="1:7" x14ac:dyDescent="0.6">
      <c r="A172" s="22">
        <v>14855</v>
      </c>
      <c r="B172" s="23">
        <v>2.3900000000000001E-2</v>
      </c>
      <c r="C172" s="23">
        <v>3.2199999999999999E-2</v>
      </c>
      <c r="D172" s="23">
        <v>-1.1299999999999999E-2</v>
      </c>
      <c r="E172" s="24">
        <f t="shared" si="7"/>
        <v>124.1236459288446</v>
      </c>
      <c r="F172" s="24">
        <f t="shared" si="8"/>
        <v>153.77122246445694</v>
      </c>
      <c r="G172" s="24">
        <f t="shared" si="9"/>
        <v>115.07085163883096</v>
      </c>
    </row>
    <row r="173" spans="1:7" x14ac:dyDescent="0.6">
      <c r="A173" s="22">
        <v>14885</v>
      </c>
      <c r="B173" s="23">
        <v>3.0200000000000001E-2</v>
      </c>
      <c r="C173" s="23">
        <v>2.8000000000000004E-3</v>
      </c>
      <c r="D173" s="23">
        <v>4.6399999999999997E-2</v>
      </c>
      <c r="E173" s="24">
        <f t="shared" si="7"/>
        <v>127.87218003589571</v>
      </c>
      <c r="F173" s="24">
        <f t="shared" si="8"/>
        <v>154.20178188735741</v>
      </c>
      <c r="G173" s="24">
        <f t="shared" si="9"/>
        <v>120.41013915487271</v>
      </c>
    </row>
    <row r="174" spans="1:7" x14ac:dyDescent="0.6">
      <c r="A174" s="22">
        <v>14916</v>
      </c>
      <c r="B174" s="23">
        <v>-1.61E-2</v>
      </c>
      <c r="C174" s="23">
        <v>1.9400000000000001E-2</v>
      </c>
      <c r="D174" s="23">
        <v>1.1999999999999999E-3</v>
      </c>
      <c r="E174" s="24">
        <f t="shared" si="7"/>
        <v>125.81343793731779</v>
      </c>
      <c r="F174" s="24">
        <f t="shared" si="8"/>
        <v>157.19329645597216</v>
      </c>
      <c r="G174" s="24">
        <f t="shared" si="9"/>
        <v>120.55463132185857</v>
      </c>
    </row>
    <row r="175" spans="1:7" x14ac:dyDescent="0.6">
      <c r="A175" s="22">
        <v>14946</v>
      </c>
      <c r="B175" s="23">
        <v>6.8999999999999999E-3</v>
      </c>
      <c r="C175" s="23">
        <v>-2.1499999999999998E-2</v>
      </c>
      <c r="D175" s="23">
        <v>-8.8999999999999999E-3</v>
      </c>
      <c r="E175" s="24">
        <f t="shared" si="7"/>
        <v>126.68155065908526</v>
      </c>
      <c r="F175" s="24">
        <f t="shared" si="8"/>
        <v>153.81364058216877</v>
      </c>
      <c r="G175" s="24">
        <f t="shared" si="9"/>
        <v>119.48169510309403</v>
      </c>
    </row>
    <row r="176" spans="1:7" x14ac:dyDescent="0.6">
      <c r="A176" s="22">
        <v>14977</v>
      </c>
      <c r="B176" s="23">
        <v>-4.1699999999999994E-2</v>
      </c>
      <c r="C176" s="23">
        <v>0.01</v>
      </c>
      <c r="D176" s="23">
        <v>3.8300000000000001E-2</v>
      </c>
      <c r="E176" s="24">
        <f t="shared" si="7"/>
        <v>121.39892999660141</v>
      </c>
      <c r="F176" s="24">
        <f t="shared" si="8"/>
        <v>155.35177698799046</v>
      </c>
      <c r="G176" s="24">
        <f t="shared" si="9"/>
        <v>124.05784402554252</v>
      </c>
    </row>
    <row r="177" spans="1:7" x14ac:dyDescent="0.6">
      <c r="A177" s="22">
        <v>15008</v>
      </c>
      <c r="B177" s="23">
        <v>-1.43E-2</v>
      </c>
      <c r="C177" s="23">
        <v>-1.5700000000000002E-2</v>
      </c>
      <c r="D177" s="23">
        <v>8.8999999999999999E-3</v>
      </c>
      <c r="E177" s="24">
        <f t="shared" si="7"/>
        <v>119.66292529765001</v>
      </c>
      <c r="F177" s="24">
        <f t="shared" si="8"/>
        <v>152.91275408927899</v>
      </c>
      <c r="G177" s="24">
        <f t="shared" si="9"/>
        <v>125.16195883736984</v>
      </c>
    </row>
    <row r="178" spans="1:7" x14ac:dyDescent="0.6">
      <c r="A178" s="22">
        <v>15036</v>
      </c>
      <c r="B178" s="23">
        <v>8.4000000000000012E-3</v>
      </c>
      <c r="C178" s="23">
        <v>1E-3</v>
      </c>
      <c r="D178" s="23">
        <v>3.04E-2</v>
      </c>
      <c r="E178" s="24">
        <f t="shared" si="7"/>
        <v>120.66809387015026</v>
      </c>
      <c r="F178" s="24">
        <f t="shared" si="8"/>
        <v>153.06566684336826</v>
      </c>
      <c r="G178" s="24">
        <f t="shared" si="9"/>
        <v>128.96688238602587</v>
      </c>
    </row>
    <row r="179" spans="1:7" x14ac:dyDescent="0.6">
      <c r="A179" s="22">
        <v>15067</v>
      </c>
      <c r="B179" s="23">
        <v>-5.4599999999999996E-2</v>
      </c>
      <c r="C179" s="23">
        <v>-1.6899999999999998E-2</v>
      </c>
      <c r="D179" s="23">
        <v>3.4099999999999998E-2</v>
      </c>
      <c r="E179" s="24">
        <f t="shared" si="7"/>
        <v>114.07961594484006</v>
      </c>
      <c r="F179" s="24">
        <f t="shared" si="8"/>
        <v>150.47885707371535</v>
      </c>
      <c r="G179" s="24">
        <f t="shared" si="9"/>
        <v>133.36465307538936</v>
      </c>
    </row>
    <row r="180" spans="1:7" x14ac:dyDescent="0.6">
      <c r="A180" s="22">
        <v>15097</v>
      </c>
      <c r="B180" s="23">
        <v>1.3899999999999999E-2</v>
      </c>
      <c r="C180" s="23">
        <v>-6.6E-3</v>
      </c>
      <c r="D180" s="23">
        <v>6.0000000000000001E-3</v>
      </c>
      <c r="E180" s="24">
        <f t="shared" si="7"/>
        <v>115.66532260647334</v>
      </c>
      <c r="F180" s="24">
        <f t="shared" si="8"/>
        <v>149.48569661702882</v>
      </c>
      <c r="G180" s="24">
        <f t="shared" si="9"/>
        <v>134.16484099384169</v>
      </c>
    </row>
    <row r="181" spans="1:7" x14ac:dyDescent="0.6">
      <c r="A181" s="22">
        <v>15128</v>
      </c>
      <c r="B181" s="23">
        <v>5.8299999999999998E-2</v>
      </c>
      <c r="C181" s="23">
        <v>1.32E-2</v>
      </c>
      <c r="D181" s="23">
        <v>5.8999999999999999E-3</v>
      </c>
      <c r="E181" s="24">
        <f t="shared" si="7"/>
        <v>122.40861091443074</v>
      </c>
      <c r="F181" s="24">
        <f t="shared" si="8"/>
        <v>151.45890781237361</v>
      </c>
      <c r="G181" s="24">
        <f t="shared" si="9"/>
        <v>134.95641355570535</v>
      </c>
    </row>
    <row r="182" spans="1:7" x14ac:dyDescent="0.6">
      <c r="A182" s="22">
        <v>15158</v>
      </c>
      <c r="B182" s="23">
        <v>5.8700000000000002E-2</v>
      </c>
      <c r="C182" s="23">
        <v>5.7000000000000002E-2</v>
      </c>
      <c r="D182" s="23">
        <v>7.2499999999999995E-2</v>
      </c>
      <c r="E182" s="24">
        <f t="shared" si="7"/>
        <v>129.59399637510782</v>
      </c>
      <c r="F182" s="24">
        <f t="shared" si="8"/>
        <v>160.09206555767889</v>
      </c>
      <c r="G182" s="24">
        <f t="shared" si="9"/>
        <v>144.740753538494</v>
      </c>
    </row>
    <row r="183" spans="1:7" x14ac:dyDescent="0.6">
      <c r="A183" s="22">
        <v>15189</v>
      </c>
      <c r="B183" s="23">
        <v>-1.7000000000000001E-3</v>
      </c>
      <c r="C183" s="23">
        <v>-4.0999999999999995E-3</v>
      </c>
      <c r="D183" s="23">
        <v>-1.1000000000000001E-2</v>
      </c>
      <c r="E183" s="24">
        <f t="shared" si="7"/>
        <v>129.37368658127014</v>
      </c>
      <c r="F183" s="24">
        <f t="shared" si="8"/>
        <v>159.43568808889242</v>
      </c>
      <c r="G183" s="24">
        <f t="shared" si="9"/>
        <v>143.14860524957058</v>
      </c>
    </row>
    <row r="184" spans="1:7" x14ac:dyDescent="0.6">
      <c r="A184" s="22">
        <v>15220</v>
      </c>
      <c r="B184" s="23">
        <v>-8.6999999999999994E-3</v>
      </c>
      <c r="C184" s="23">
        <v>-9.8999999999999991E-3</v>
      </c>
      <c r="D184" s="23">
        <v>-2.8000000000000004E-3</v>
      </c>
      <c r="E184" s="24">
        <f t="shared" si="7"/>
        <v>128.24813550801309</v>
      </c>
      <c r="F184" s="24">
        <f t="shared" si="8"/>
        <v>157.85727477681237</v>
      </c>
      <c r="G184" s="24">
        <f t="shared" si="9"/>
        <v>142.74778915487178</v>
      </c>
    </row>
    <row r="185" spans="1:7" x14ac:dyDescent="0.6">
      <c r="A185" s="22">
        <v>15250</v>
      </c>
      <c r="B185" s="23">
        <v>-5.2499999999999998E-2</v>
      </c>
      <c r="C185" s="23">
        <v>-2.0199999999999999E-2</v>
      </c>
      <c r="D185" s="23">
        <v>1.6299999999999999E-2</v>
      </c>
      <c r="E185" s="24">
        <f t="shared" si="7"/>
        <v>121.51510839384241</v>
      </c>
      <c r="F185" s="24">
        <f t="shared" si="8"/>
        <v>154.66855782632078</v>
      </c>
      <c r="G185" s="24">
        <f t="shared" si="9"/>
        <v>145.07457811809618</v>
      </c>
    </row>
    <row r="186" spans="1:7" x14ac:dyDescent="0.6">
      <c r="A186" s="22">
        <v>15281</v>
      </c>
      <c r="B186" s="23">
        <v>-1.9199999999999998E-2</v>
      </c>
      <c r="C186" s="23">
        <v>-1.21E-2</v>
      </c>
      <c r="D186" s="23">
        <v>-6.4000000000000003E-3</v>
      </c>
      <c r="E186" s="24">
        <f t="shared" si="7"/>
        <v>119.18201831268064</v>
      </c>
      <c r="F186" s="24">
        <f t="shared" si="8"/>
        <v>152.7970682766223</v>
      </c>
      <c r="G186" s="24">
        <f t="shared" si="9"/>
        <v>144.14610081814038</v>
      </c>
    </row>
    <row r="187" spans="1:7" x14ac:dyDescent="0.6">
      <c r="A187" s="22">
        <v>15311</v>
      </c>
      <c r="B187" s="23">
        <v>-4.8700000000000007E-2</v>
      </c>
      <c r="C187" s="23">
        <v>-2.98E-2</v>
      </c>
      <c r="D187" s="23">
        <v>-5.9400000000000001E-2</v>
      </c>
      <c r="E187" s="24">
        <f t="shared" si="7"/>
        <v>113.37785402085309</v>
      </c>
      <c r="F187" s="24">
        <f t="shared" si="8"/>
        <v>148.24371564197895</v>
      </c>
      <c r="G187" s="24">
        <f t="shared" si="9"/>
        <v>135.58382242954283</v>
      </c>
    </row>
    <row r="188" spans="1:7" x14ac:dyDescent="0.6">
      <c r="A188" s="22">
        <v>15342</v>
      </c>
      <c r="B188" s="23">
        <v>7.9000000000000008E-3</v>
      </c>
      <c r="C188" s="23">
        <v>7.5199999999999989E-2</v>
      </c>
      <c r="D188" s="23">
        <v>0.10099999999999999</v>
      </c>
      <c r="E188" s="24">
        <f t="shared" si="7"/>
        <v>114.27353906761783</v>
      </c>
      <c r="F188" s="24">
        <f t="shared" si="8"/>
        <v>159.39164305825577</v>
      </c>
      <c r="G188" s="24">
        <f t="shared" si="9"/>
        <v>149.27778849492665</v>
      </c>
    </row>
    <row r="189" spans="1:7" x14ac:dyDescent="0.6">
      <c r="A189" s="22">
        <v>15373</v>
      </c>
      <c r="B189" s="23">
        <v>-2.46E-2</v>
      </c>
      <c r="C189" s="23">
        <v>1.72E-2</v>
      </c>
      <c r="D189" s="23">
        <v>-1.1299999999999999E-2</v>
      </c>
      <c r="E189" s="24">
        <f t="shared" si="7"/>
        <v>111.46241000655444</v>
      </c>
      <c r="F189" s="24">
        <f t="shared" si="8"/>
        <v>162.13317931885777</v>
      </c>
      <c r="G189" s="24">
        <f t="shared" si="9"/>
        <v>147.59094948493399</v>
      </c>
    </row>
    <row r="190" spans="1:7" x14ac:dyDescent="0.6">
      <c r="A190" s="22">
        <v>15401</v>
      </c>
      <c r="B190" s="23">
        <v>-6.5800000000000011E-2</v>
      </c>
      <c r="C190" s="23">
        <v>1.78E-2</v>
      </c>
      <c r="D190" s="23">
        <v>-6.1999999999999998E-3</v>
      </c>
      <c r="E190" s="24">
        <f t="shared" si="7"/>
        <v>104.12818342812315</v>
      </c>
      <c r="F190" s="24">
        <f t="shared" si="8"/>
        <v>165.01914991073343</v>
      </c>
      <c r="G190" s="24">
        <f t="shared" si="9"/>
        <v>146.67588559812739</v>
      </c>
    </row>
    <row r="191" spans="1:7" x14ac:dyDescent="0.6">
      <c r="A191" s="22">
        <v>15432</v>
      </c>
      <c r="B191" s="23">
        <v>-4.3700000000000003E-2</v>
      </c>
      <c r="C191" s="23">
        <v>-6.0000000000000001E-3</v>
      </c>
      <c r="D191" s="23">
        <v>2.0899999999999998E-2</v>
      </c>
      <c r="E191" s="24">
        <f t="shared" si="7"/>
        <v>99.577781812314171</v>
      </c>
      <c r="F191" s="24">
        <f t="shared" si="8"/>
        <v>164.02903501126903</v>
      </c>
      <c r="G191" s="24">
        <f t="shared" si="9"/>
        <v>149.74141160712824</v>
      </c>
    </row>
    <row r="192" spans="1:7" x14ac:dyDescent="0.6">
      <c r="A192" s="22">
        <v>15462</v>
      </c>
      <c r="B192" s="23">
        <v>5.9400000000000001E-2</v>
      </c>
      <c r="C192" s="23">
        <v>-3.0499999999999999E-2</v>
      </c>
      <c r="D192" s="23">
        <v>-2.6499999999999999E-2</v>
      </c>
      <c r="E192" s="24">
        <f t="shared" si="7"/>
        <v>105.49270205196562</v>
      </c>
      <c r="F192" s="24">
        <f t="shared" si="8"/>
        <v>159.02614944342534</v>
      </c>
      <c r="G192" s="24">
        <f t="shared" si="9"/>
        <v>145.77326419953934</v>
      </c>
    </row>
    <row r="193" spans="1:7" x14ac:dyDescent="0.6">
      <c r="A193" s="22">
        <v>15493</v>
      </c>
      <c r="B193" s="23">
        <v>2.69E-2</v>
      </c>
      <c r="C193" s="23">
        <v>-1.2199999999999999E-2</v>
      </c>
      <c r="D193" s="23">
        <v>5.4000000000000003E-3</v>
      </c>
      <c r="E193" s="24">
        <f t="shared" si="7"/>
        <v>108.33045573716349</v>
      </c>
      <c r="F193" s="24">
        <f t="shared" si="8"/>
        <v>157.08603042021556</v>
      </c>
      <c r="G193" s="24">
        <f t="shared" si="9"/>
        <v>146.56043982621685</v>
      </c>
    </row>
    <row r="194" spans="1:7" x14ac:dyDescent="0.6">
      <c r="A194" s="22">
        <v>15523</v>
      </c>
      <c r="B194" s="23">
        <v>3.5099999999999992E-2</v>
      </c>
      <c r="C194" s="23">
        <v>-1.6000000000000001E-3</v>
      </c>
      <c r="D194" s="23">
        <v>2.4E-2</v>
      </c>
      <c r="E194" s="24">
        <f t="shared" si="7"/>
        <v>112.13285473353793</v>
      </c>
      <c r="F194" s="24">
        <f t="shared" si="8"/>
        <v>156.83469277154322</v>
      </c>
      <c r="G194" s="24">
        <f t="shared" si="9"/>
        <v>150.07789038204606</v>
      </c>
    </row>
    <row r="195" spans="1:7" x14ac:dyDescent="0.6">
      <c r="A195" s="22">
        <v>15554</v>
      </c>
      <c r="B195" s="23">
        <v>1.7999999999999999E-2</v>
      </c>
      <c r="C195" s="23">
        <v>-8.9999999999999998E-4</v>
      </c>
      <c r="D195" s="23">
        <v>1.3300000000000001E-2</v>
      </c>
      <c r="E195" s="24">
        <f t="shared" si="7"/>
        <v>114.15124611874161</v>
      </c>
      <c r="F195" s="24">
        <f t="shared" si="8"/>
        <v>156.69354154804881</v>
      </c>
      <c r="G195" s="24">
        <f t="shared" si="9"/>
        <v>152.07392632412729</v>
      </c>
    </row>
    <row r="196" spans="1:7" x14ac:dyDescent="0.6">
      <c r="A196" s="22">
        <v>15585</v>
      </c>
      <c r="B196" s="23">
        <v>2.6099999999999995E-2</v>
      </c>
      <c r="C196" s="23">
        <v>6.6E-3</v>
      </c>
      <c r="D196" s="23">
        <v>2.3900000000000001E-2</v>
      </c>
      <c r="E196" s="24">
        <f t="shared" ref="E196:E259" si="10">E195*(1+B196)</f>
        <v>117.13059364244077</v>
      </c>
      <c r="F196" s="24">
        <f t="shared" ref="F196:F259" si="11">F195*(1+C196)</f>
        <v>157.72771892226592</v>
      </c>
      <c r="G196" s="24">
        <f t="shared" ref="G196:G259" si="12">G195*(1+D196)</f>
        <v>155.70849316327394</v>
      </c>
    </row>
    <row r="197" spans="1:7" x14ac:dyDescent="0.6">
      <c r="A197" s="22">
        <v>15615</v>
      </c>
      <c r="B197" s="23">
        <v>6.8200000000000011E-2</v>
      </c>
      <c r="C197" s="23">
        <v>1.8200000000000001E-2</v>
      </c>
      <c r="D197" s="23">
        <v>6.4699999999999994E-2</v>
      </c>
      <c r="E197" s="24">
        <f t="shared" si="10"/>
        <v>125.11890012885523</v>
      </c>
      <c r="F197" s="24">
        <f t="shared" si="11"/>
        <v>160.59836340665117</v>
      </c>
      <c r="G197" s="24">
        <f t="shared" si="12"/>
        <v>165.78283267093775</v>
      </c>
    </row>
    <row r="198" spans="1:7" x14ac:dyDescent="0.6">
      <c r="A198" s="22">
        <v>15646</v>
      </c>
      <c r="B198" s="23">
        <v>1.5E-3</v>
      </c>
      <c r="C198" s="23">
        <v>-1.54E-2</v>
      </c>
      <c r="D198" s="23">
        <v>-4.24E-2</v>
      </c>
      <c r="E198" s="24">
        <f t="shared" si="10"/>
        <v>125.30657847904853</v>
      </c>
      <c r="F198" s="24">
        <f t="shared" si="11"/>
        <v>158.12514861018875</v>
      </c>
      <c r="G198" s="24">
        <f t="shared" si="12"/>
        <v>158.75364056568998</v>
      </c>
    </row>
    <row r="199" spans="1:7" x14ac:dyDescent="0.6">
      <c r="A199" s="22">
        <v>15676</v>
      </c>
      <c r="B199" s="23">
        <v>5.1200000000000002E-2</v>
      </c>
      <c r="C199" s="23">
        <v>-2.4900000000000002E-2</v>
      </c>
      <c r="D199" s="23">
        <v>5.6000000000000008E-3</v>
      </c>
      <c r="E199" s="24">
        <f t="shared" si="10"/>
        <v>131.7222752971758</v>
      </c>
      <c r="F199" s="24">
        <f t="shared" si="11"/>
        <v>154.18783240979505</v>
      </c>
      <c r="G199" s="24">
        <f t="shared" si="12"/>
        <v>159.64266095285785</v>
      </c>
    </row>
    <row r="200" spans="1:7" x14ac:dyDescent="0.6">
      <c r="A200" s="22">
        <v>15707</v>
      </c>
      <c r="B200" s="23">
        <v>7.1300000000000002E-2</v>
      </c>
      <c r="C200" s="23">
        <v>8.7799999999999989E-2</v>
      </c>
      <c r="D200" s="23">
        <v>8.2299999999999998E-2</v>
      </c>
      <c r="E200" s="24">
        <f t="shared" si="10"/>
        <v>141.11407352586443</v>
      </c>
      <c r="F200" s="24">
        <f t="shared" si="11"/>
        <v>167.72552409537508</v>
      </c>
      <c r="G200" s="24">
        <f t="shared" si="12"/>
        <v>172.78125194927807</v>
      </c>
    </row>
    <row r="201" spans="1:7" x14ac:dyDescent="0.6">
      <c r="A201" s="22">
        <v>15738</v>
      </c>
      <c r="B201" s="23">
        <v>6.1500000000000006E-2</v>
      </c>
      <c r="C201" s="23">
        <v>4.8399999999999999E-2</v>
      </c>
      <c r="D201" s="23">
        <v>6.5099999999999991E-2</v>
      </c>
      <c r="E201" s="24">
        <f t="shared" si="10"/>
        <v>149.79258904770509</v>
      </c>
      <c r="F201" s="24">
        <f t="shared" si="11"/>
        <v>175.84343946159123</v>
      </c>
      <c r="G201" s="24">
        <f t="shared" si="12"/>
        <v>184.02931145117606</v>
      </c>
    </row>
    <row r="202" spans="1:7" x14ac:dyDescent="0.6">
      <c r="A202" s="22">
        <v>15766</v>
      </c>
      <c r="B202" s="23">
        <v>6.0100000000000001E-2</v>
      </c>
      <c r="C202" s="23">
        <v>5.0300000000000004E-2</v>
      </c>
      <c r="D202" s="23">
        <v>5.4800000000000001E-2</v>
      </c>
      <c r="E202" s="24">
        <f t="shared" si="10"/>
        <v>158.79512364947217</v>
      </c>
      <c r="F202" s="24">
        <f t="shared" si="11"/>
        <v>184.68836446650928</v>
      </c>
      <c r="G202" s="24">
        <f t="shared" si="12"/>
        <v>194.1141177187005</v>
      </c>
    </row>
    <row r="203" spans="1:7" x14ac:dyDescent="0.6">
      <c r="A203" s="22">
        <v>15797</v>
      </c>
      <c r="B203" s="23">
        <v>8.1000000000000013E-3</v>
      </c>
      <c r="C203" s="23">
        <v>2.06E-2</v>
      </c>
      <c r="D203" s="23">
        <v>5.8600000000000006E-2</v>
      </c>
      <c r="E203" s="24">
        <f t="shared" si="10"/>
        <v>160.08136415103289</v>
      </c>
      <c r="F203" s="24">
        <f t="shared" si="11"/>
        <v>188.49294477451937</v>
      </c>
      <c r="G203" s="24">
        <f t="shared" si="12"/>
        <v>205.48920501701633</v>
      </c>
    </row>
    <row r="204" spans="1:7" x14ac:dyDescent="0.6">
      <c r="A204" s="22">
        <v>15827</v>
      </c>
      <c r="B204" s="23">
        <v>5.74E-2</v>
      </c>
      <c r="C204" s="23">
        <v>4.41E-2</v>
      </c>
      <c r="D204" s="23">
        <v>3.2799999999999996E-2</v>
      </c>
      <c r="E204" s="24">
        <f t="shared" si="10"/>
        <v>169.27003445330215</v>
      </c>
      <c r="F204" s="24">
        <f t="shared" si="11"/>
        <v>196.80548363907567</v>
      </c>
      <c r="G204" s="24">
        <f t="shared" si="12"/>
        <v>212.22925094157446</v>
      </c>
    </row>
    <row r="205" spans="1:7" x14ac:dyDescent="0.6">
      <c r="A205" s="22">
        <v>15858</v>
      </c>
      <c r="B205" s="23">
        <v>1.8200000000000001E-2</v>
      </c>
      <c r="C205" s="23">
        <v>-1.06E-2</v>
      </c>
      <c r="D205" s="23">
        <v>-7.4000000000000003E-3</v>
      </c>
      <c r="E205" s="24">
        <f t="shared" si="10"/>
        <v>172.35074908035224</v>
      </c>
      <c r="F205" s="24">
        <f t="shared" si="11"/>
        <v>194.71934551250146</v>
      </c>
      <c r="G205" s="24">
        <f t="shared" si="12"/>
        <v>210.65875448460682</v>
      </c>
    </row>
    <row r="206" spans="1:7" x14ac:dyDescent="0.6">
      <c r="A206" s="22">
        <v>15888</v>
      </c>
      <c r="B206" s="23">
        <v>-4.7699999999999992E-2</v>
      </c>
      <c r="C206" s="23">
        <v>-2.41E-2</v>
      </c>
      <c r="D206" s="23">
        <v>-2.2700000000000001E-2</v>
      </c>
      <c r="E206" s="24">
        <f t="shared" si="10"/>
        <v>164.12961834921944</v>
      </c>
      <c r="F206" s="24">
        <f t="shared" si="11"/>
        <v>190.02660928565018</v>
      </c>
      <c r="G206" s="24">
        <f t="shared" si="12"/>
        <v>205.87680075780622</v>
      </c>
    </row>
    <row r="207" spans="1:7" x14ac:dyDescent="0.6">
      <c r="A207" s="22">
        <v>15919</v>
      </c>
      <c r="B207" s="23">
        <v>1.3000000000000001E-2</v>
      </c>
      <c r="C207" s="23">
        <v>-6.1999999999999998E-3</v>
      </c>
      <c r="D207" s="23">
        <v>-4.6999999999999993E-3</v>
      </c>
      <c r="E207" s="24">
        <f t="shared" si="10"/>
        <v>166.26330338775927</v>
      </c>
      <c r="F207" s="24">
        <f t="shared" si="11"/>
        <v>188.84844430807917</v>
      </c>
      <c r="G207" s="24">
        <f t="shared" si="12"/>
        <v>204.90917979424452</v>
      </c>
    </row>
    <row r="208" spans="1:7" x14ac:dyDescent="0.6">
      <c r="A208" s="22">
        <v>15950</v>
      </c>
      <c r="B208" s="23">
        <v>2.3999999999999997E-2</v>
      </c>
      <c r="C208" s="23">
        <v>1.2800000000000001E-2</v>
      </c>
      <c r="D208" s="23">
        <v>1.43E-2</v>
      </c>
      <c r="E208" s="24">
        <f t="shared" si="10"/>
        <v>170.25362266906549</v>
      </c>
      <c r="F208" s="24">
        <f t="shared" si="11"/>
        <v>191.26570439522257</v>
      </c>
      <c r="G208" s="24">
        <f t="shared" si="12"/>
        <v>207.83938106530221</v>
      </c>
    </row>
    <row r="209" spans="1:7" x14ac:dyDescent="0.6">
      <c r="A209" s="22">
        <v>15980</v>
      </c>
      <c r="B209" s="23">
        <v>-1.1499999999999998E-2</v>
      </c>
      <c r="C209" s="23">
        <v>5.7999999999999996E-3</v>
      </c>
      <c r="D209" s="23">
        <v>1.6500000000000001E-2</v>
      </c>
      <c r="E209" s="24">
        <f t="shared" si="10"/>
        <v>168.29570600837124</v>
      </c>
      <c r="F209" s="24">
        <f t="shared" si="11"/>
        <v>192.37504548071487</v>
      </c>
      <c r="G209" s="24">
        <f t="shared" si="12"/>
        <v>211.26873085287968</v>
      </c>
    </row>
    <row r="210" spans="1:7" x14ac:dyDescent="0.6">
      <c r="A210" s="22">
        <v>16011</v>
      </c>
      <c r="B210" s="23">
        <v>-5.91E-2</v>
      </c>
      <c r="C210" s="23">
        <v>-1.6399999999999998E-2</v>
      </c>
      <c r="D210" s="23">
        <v>-4.0399999999999998E-2</v>
      </c>
      <c r="E210" s="24">
        <f t="shared" si="10"/>
        <v>158.34942978327649</v>
      </c>
      <c r="F210" s="24">
        <f t="shared" si="11"/>
        <v>189.22009473483115</v>
      </c>
      <c r="G210" s="24">
        <f t="shared" si="12"/>
        <v>202.73347412642335</v>
      </c>
    </row>
    <row r="211" spans="1:7" x14ac:dyDescent="0.6">
      <c r="A211" s="22">
        <v>16041</v>
      </c>
      <c r="B211" s="23">
        <v>6.3600000000000018E-2</v>
      </c>
      <c r="C211" s="23">
        <v>3.3399999999999999E-2</v>
      </c>
      <c r="D211" s="23">
        <v>3.2199999999999999E-2</v>
      </c>
      <c r="E211" s="24">
        <f t="shared" si="10"/>
        <v>168.42045351749289</v>
      </c>
      <c r="F211" s="24">
        <f t="shared" si="11"/>
        <v>195.54004589897454</v>
      </c>
      <c r="G211" s="24">
        <f t="shared" si="12"/>
        <v>209.26149199329419</v>
      </c>
    </row>
    <row r="212" spans="1:7" x14ac:dyDescent="0.6">
      <c r="A212" s="22">
        <v>16072</v>
      </c>
      <c r="B212" s="23">
        <v>1.7399999999999999E-2</v>
      </c>
      <c r="C212" s="23">
        <v>2.5600000000000001E-2</v>
      </c>
      <c r="D212" s="23">
        <v>2.1700000000000001E-2</v>
      </c>
      <c r="E212" s="24">
        <f t="shared" si="10"/>
        <v>171.35096940869727</v>
      </c>
      <c r="F212" s="24">
        <f t="shared" si="11"/>
        <v>200.54587107398831</v>
      </c>
      <c r="G212" s="24">
        <f t="shared" si="12"/>
        <v>213.80246636954868</v>
      </c>
    </row>
    <row r="213" spans="1:7" x14ac:dyDescent="0.6">
      <c r="A213" s="22">
        <v>16103</v>
      </c>
      <c r="B213" s="23">
        <v>3.7000000000000002E-3</v>
      </c>
      <c r="C213" s="23">
        <v>-1E-3</v>
      </c>
      <c r="D213" s="23">
        <v>8.3000000000000001E-3</v>
      </c>
      <c r="E213" s="24">
        <f t="shared" si="10"/>
        <v>171.98496799550946</v>
      </c>
      <c r="F213" s="24">
        <f t="shared" si="11"/>
        <v>200.34532520291432</v>
      </c>
      <c r="G213" s="24">
        <f t="shared" si="12"/>
        <v>215.57702684041593</v>
      </c>
    </row>
    <row r="214" spans="1:7" x14ac:dyDescent="0.6">
      <c r="A214" s="22">
        <v>16132</v>
      </c>
      <c r="B214" s="23">
        <v>2.46E-2</v>
      </c>
      <c r="C214" s="23">
        <v>1.7100000000000001E-2</v>
      </c>
      <c r="D214" s="23">
        <v>3.4300000000000004E-2</v>
      </c>
      <c r="E214" s="24">
        <f t="shared" si="10"/>
        <v>176.21579820819898</v>
      </c>
      <c r="F214" s="24">
        <f t="shared" si="11"/>
        <v>203.77123026388415</v>
      </c>
      <c r="G214" s="24">
        <f t="shared" si="12"/>
        <v>222.97131886104219</v>
      </c>
    </row>
    <row r="215" spans="1:7" x14ac:dyDescent="0.6">
      <c r="A215" s="22">
        <v>16163</v>
      </c>
      <c r="B215" s="23">
        <v>-1.6900000000000002E-2</v>
      </c>
      <c r="C215" s="23">
        <v>-1.3500000000000002E-2</v>
      </c>
      <c r="D215" s="23">
        <v>-1.1299999999999999E-2</v>
      </c>
      <c r="E215" s="24">
        <f t="shared" si="10"/>
        <v>173.23775121848041</v>
      </c>
      <c r="F215" s="24">
        <f t="shared" si="11"/>
        <v>201.02031865532172</v>
      </c>
      <c r="G215" s="24">
        <f t="shared" si="12"/>
        <v>220.45174295791242</v>
      </c>
    </row>
    <row r="216" spans="1:7" x14ac:dyDescent="0.6">
      <c r="A216" s="22">
        <v>16193</v>
      </c>
      <c r="B216" s="23">
        <v>5.0700000000000002E-2</v>
      </c>
      <c r="C216" s="23">
        <v>1.67E-2</v>
      </c>
      <c r="D216" s="23">
        <v>1.0200000000000001E-2</v>
      </c>
      <c r="E216" s="24">
        <f t="shared" si="10"/>
        <v>182.02090520525735</v>
      </c>
      <c r="F216" s="24">
        <f t="shared" si="11"/>
        <v>204.37735797686557</v>
      </c>
      <c r="G216" s="24">
        <f t="shared" si="12"/>
        <v>222.70035073608312</v>
      </c>
    </row>
    <row r="217" spans="1:7" x14ac:dyDescent="0.6">
      <c r="A217" s="22">
        <v>16224</v>
      </c>
      <c r="B217" s="23">
        <v>5.4900000000000004E-2</v>
      </c>
      <c r="C217" s="23">
        <v>4.0399999999999998E-2</v>
      </c>
      <c r="D217" s="23">
        <v>1.8200000000000001E-2</v>
      </c>
      <c r="E217" s="24">
        <f t="shared" si="10"/>
        <v>192.01385290102596</v>
      </c>
      <c r="F217" s="24">
        <f t="shared" si="11"/>
        <v>212.63420323913093</v>
      </c>
      <c r="G217" s="24">
        <f t="shared" si="12"/>
        <v>226.75349711947985</v>
      </c>
    </row>
    <row r="218" spans="1:7" x14ac:dyDescent="0.6">
      <c r="A218" s="22">
        <v>16254</v>
      </c>
      <c r="B218" s="23">
        <v>-1.49E-2</v>
      </c>
      <c r="C218" s="23">
        <v>5.5000000000000005E-3</v>
      </c>
      <c r="D218" s="23">
        <v>-4.3E-3</v>
      </c>
      <c r="E218" s="24">
        <f t="shared" si="10"/>
        <v>189.15284649280068</v>
      </c>
      <c r="F218" s="24">
        <f t="shared" si="11"/>
        <v>213.80369135694616</v>
      </c>
      <c r="G218" s="24">
        <f t="shared" si="12"/>
        <v>225.77845708186609</v>
      </c>
    </row>
    <row r="219" spans="1:7" x14ac:dyDescent="0.6">
      <c r="A219" s="22">
        <v>16285</v>
      </c>
      <c r="B219" s="23">
        <v>1.5699999999999999E-2</v>
      </c>
      <c r="C219" s="23">
        <v>2.41E-2</v>
      </c>
      <c r="D219" s="23">
        <v>-1.6299999999999999E-2</v>
      </c>
      <c r="E219" s="24">
        <f t="shared" si="10"/>
        <v>192.12254618273766</v>
      </c>
      <c r="F219" s="24">
        <f t="shared" si="11"/>
        <v>218.95636031864856</v>
      </c>
      <c r="G219" s="24">
        <f t="shared" si="12"/>
        <v>222.09826823143169</v>
      </c>
    </row>
    <row r="220" spans="1:7" x14ac:dyDescent="0.6">
      <c r="A220" s="22">
        <v>16316</v>
      </c>
      <c r="B220" s="23">
        <v>9.9999999999999964E-5</v>
      </c>
      <c r="C220" s="23">
        <v>4.6999999999999993E-3</v>
      </c>
      <c r="D220" s="23">
        <v>-1.21E-2</v>
      </c>
      <c r="E220" s="24">
        <f t="shared" si="10"/>
        <v>192.14175843735595</v>
      </c>
      <c r="F220" s="24">
        <f t="shared" si="11"/>
        <v>219.98545521214621</v>
      </c>
      <c r="G220" s="24">
        <f t="shared" si="12"/>
        <v>219.41087918583136</v>
      </c>
    </row>
    <row r="221" spans="1:7" x14ac:dyDescent="0.6">
      <c r="A221" s="22">
        <v>16346</v>
      </c>
      <c r="B221" s="23">
        <v>1.6000000000000001E-3</v>
      </c>
      <c r="C221" s="23">
        <v>-1.4000000000000002E-3</v>
      </c>
      <c r="D221" s="23">
        <v>-3.4000000000000002E-3</v>
      </c>
      <c r="E221" s="24">
        <f t="shared" si="10"/>
        <v>192.44918525085572</v>
      </c>
      <c r="F221" s="24">
        <f t="shared" si="11"/>
        <v>219.67747557484921</v>
      </c>
      <c r="G221" s="24">
        <f t="shared" si="12"/>
        <v>218.66488219659954</v>
      </c>
    </row>
    <row r="222" spans="1:7" x14ac:dyDescent="0.6">
      <c r="A222" s="22">
        <v>16377</v>
      </c>
      <c r="B222" s="23">
        <v>1.7099999999999997E-2</v>
      </c>
      <c r="C222" s="23">
        <v>3.7000000000000002E-3</v>
      </c>
      <c r="D222" s="23">
        <v>2.3099999999999999E-2</v>
      </c>
      <c r="E222" s="24">
        <f t="shared" si="10"/>
        <v>195.74006631864532</v>
      </c>
      <c r="F222" s="24">
        <f t="shared" si="11"/>
        <v>220.49028223447615</v>
      </c>
      <c r="G222" s="24">
        <f t="shared" si="12"/>
        <v>223.71604097534097</v>
      </c>
    </row>
    <row r="223" spans="1:7" x14ac:dyDescent="0.6">
      <c r="A223" s="22">
        <v>16407</v>
      </c>
      <c r="B223" s="23">
        <v>4.0300000000000002E-2</v>
      </c>
      <c r="C223" s="23">
        <v>2.2400000000000003E-2</v>
      </c>
      <c r="D223" s="23">
        <v>5.91E-2</v>
      </c>
      <c r="E223" s="24">
        <f t="shared" si="10"/>
        <v>203.62839099128672</v>
      </c>
      <c r="F223" s="24">
        <f t="shared" si="11"/>
        <v>225.42926455652841</v>
      </c>
      <c r="G223" s="24">
        <f t="shared" si="12"/>
        <v>236.9376589969836</v>
      </c>
    </row>
    <row r="224" spans="1:7" x14ac:dyDescent="0.6">
      <c r="A224" s="22">
        <v>16438</v>
      </c>
      <c r="B224" s="23">
        <v>2.0099999999999993E-2</v>
      </c>
      <c r="C224" s="23">
        <v>2.4399999999999998E-2</v>
      </c>
      <c r="D224" s="23">
        <v>7.0999999999999995E-3</v>
      </c>
      <c r="E224" s="24">
        <f t="shared" si="10"/>
        <v>207.72132165021159</v>
      </c>
      <c r="F224" s="24">
        <f t="shared" si="11"/>
        <v>230.92973861170771</v>
      </c>
      <c r="G224" s="24">
        <f t="shared" si="12"/>
        <v>238.6199163758622</v>
      </c>
    </row>
    <row r="225" spans="1:7" x14ac:dyDescent="0.6">
      <c r="A225" s="22">
        <v>16469</v>
      </c>
      <c r="B225" s="23">
        <v>6.2300000000000001E-2</v>
      </c>
      <c r="C225" s="23">
        <v>1.5600000000000001E-2</v>
      </c>
      <c r="D225" s="23">
        <v>4.4000000000000004E-2</v>
      </c>
      <c r="E225" s="24">
        <f t="shared" si="10"/>
        <v>220.66235998901979</v>
      </c>
      <c r="F225" s="24">
        <f t="shared" si="11"/>
        <v>234.53224253405037</v>
      </c>
      <c r="G225" s="24">
        <f t="shared" si="12"/>
        <v>249.11919269640015</v>
      </c>
    </row>
    <row r="226" spans="1:7" x14ac:dyDescent="0.6">
      <c r="A226" s="22">
        <v>16497</v>
      </c>
      <c r="B226" s="23">
        <v>-3.8899999999999997E-2</v>
      </c>
      <c r="C226" s="23">
        <v>-1.61E-2</v>
      </c>
      <c r="D226" s="23">
        <v>-1.78E-2</v>
      </c>
      <c r="E226" s="24">
        <f t="shared" si="10"/>
        <v>212.07859418544692</v>
      </c>
      <c r="F226" s="24">
        <f t="shared" si="11"/>
        <v>230.75627342925216</v>
      </c>
      <c r="G226" s="24">
        <f t="shared" si="12"/>
        <v>244.68487106640421</v>
      </c>
    </row>
    <row r="227" spans="1:7" x14ac:dyDescent="0.6">
      <c r="A227" s="22">
        <v>16528</v>
      </c>
      <c r="B227" s="23">
        <v>7.8E-2</v>
      </c>
      <c r="C227" s="23">
        <v>3.2000000000000002E-3</v>
      </c>
      <c r="D227" s="23">
        <v>3.2099999999999997E-2</v>
      </c>
      <c r="E227" s="24">
        <f t="shared" si="10"/>
        <v>228.6207245319118</v>
      </c>
      <c r="F227" s="24">
        <f t="shared" si="11"/>
        <v>231.49469350422578</v>
      </c>
      <c r="G227" s="24">
        <f t="shared" si="12"/>
        <v>252.53925542763579</v>
      </c>
    </row>
    <row r="228" spans="1:7" x14ac:dyDescent="0.6">
      <c r="A228" s="22">
        <v>16558</v>
      </c>
      <c r="B228" s="23">
        <v>1.7299999999999999E-2</v>
      </c>
      <c r="C228" s="23">
        <v>1.5100000000000001E-2</v>
      </c>
      <c r="D228" s="23">
        <v>3.4999999999999996E-3</v>
      </c>
      <c r="E228" s="24">
        <f t="shared" si="10"/>
        <v>232.5758630663139</v>
      </c>
      <c r="F228" s="24">
        <f t="shared" si="11"/>
        <v>234.99026337613955</v>
      </c>
      <c r="G228" s="24">
        <f t="shared" si="12"/>
        <v>253.42314282163252</v>
      </c>
    </row>
    <row r="229" spans="1:7" x14ac:dyDescent="0.6">
      <c r="A229" s="22">
        <v>16589</v>
      </c>
      <c r="B229" s="23">
        <v>3.9000000000000003E-3</v>
      </c>
      <c r="C229" s="23">
        <v>3.1E-2</v>
      </c>
      <c r="D229" s="23">
        <v>4.3200000000000002E-2</v>
      </c>
      <c r="E229" s="24">
        <f t="shared" si="10"/>
        <v>233.48290893227252</v>
      </c>
      <c r="F229" s="24">
        <f t="shared" si="11"/>
        <v>242.27496154079986</v>
      </c>
      <c r="G229" s="24">
        <f t="shared" si="12"/>
        <v>264.37102259152704</v>
      </c>
    </row>
    <row r="230" spans="1:7" x14ac:dyDescent="0.6">
      <c r="A230" s="22">
        <v>16619</v>
      </c>
      <c r="B230" s="23">
        <v>-2.1700000000000004E-2</v>
      </c>
      <c r="C230" s="23">
        <v>-1.46E-2</v>
      </c>
      <c r="D230" s="23">
        <v>-2.7099999999999999E-2</v>
      </c>
      <c r="E230" s="24">
        <f t="shared" si="10"/>
        <v>228.41632980844219</v>
      </c>
      <c r="F230" s="24">
        <f t="shared" si="11"/>
        <v>238.73774710230421</v>
      </c>
      <c r="G230" s="24">
        <f t="shared" si="12"/>
        <v>257.20656787929664</v>
      </c>
    </row>
    <row r="231" spans="1:7" x14ac:dyDescent="0.6">
      <c r="A231" s="22">
        <v>16650</v>
      </c>
      <c r="B231" s="23">
        <v>6.2E-2</v>
      </c>
      <c r="C231" s="23">
        <v>1.61E-2</v>
      </c>
      <c r="D231" s="23">
        <v>-4.4000000000000004E-2</v>
      </c>
      <c r="E231" s="24">
        <f t="shared" si="10"/>
        <v>242.57814225656563</v>
      </c>
      <c r="F231" s="24">
        <f t="shared" si="11"/>
        <v>242.58142483065132</v>
      </c>
      <c r="G231" s="24">
        <f t="shared" si="12"/>
        <v>245.88947889260757</v>
      </c>
    </row>
    <row r="232" spans="1:7" x14ac:dyDescent="0.6">
      <c r="A232" s="22">
        <v>16681</v>
      </c>
      <c r="B232" s="23">
        <v>4.7699999999999999E-2</v>
      </c>
      <c r="C232" s="23">
        <v>1.7100000000000001E-2</v>
      </c>
      <c r="D232" s="23">
        <v>4.7999999999999996E-3</v>
      </c>
      <c r="E232" s="24">
        <f t="shared" si="10"/>
        <v>254.14911964220383</v>
      </c>
      <c r="F232" s="24">
        <f t="shared" si="11"/>
        <v>246.72956719525541</v>
      </c>
      <c r="G232" s="24">
        <f t="shared" si="12"/>
        <v>247.06974839129208</v>
      </c>
    </row>
    <row r="233" spans="1:7" x14ac:dyDescent="0.6">
      <c r="A233" s="22">
        <v>16711</v>
      </c>
      <c r="B233" s="23">
        <v>3.8899999999999997E-2</v>
      </c>
      <c r="C233" s="23">
        <v>2.46E-2</v>
      </c>
      <c r="D233" s="23">
        <v>2.2499999999999999E-2</v>
      </c>
      <c r="E233" s="24">
        <f t="shared" si="10"/>
        <v>264.03552039628556</v>
      </c>
      <c r="F233" s="24">
        <f t="shared" si="11"/>
        <v>252.79911454825867</v>
      </c>
      <c r="G233" s="24">
        <f t="shared" si="12"/>
        <v>252.62881773009613</v>
      </c>
    </row>
    <row r="234" spans="1:7" x14ac:dyDescent="0.6">
      <c r="A234" s="22">
        <v>16742</v>
      </c>
      <c r="B234" s="23">
        <v>5.3899999999999997E-2</v>
      </c>
      <c r="C234" s="23">
        <v>4.1599999999999998E-2</v>
      </c>
      <c r="D234" s="23">
        <v>4.3400000000000001E-2</v>
      </c>
      <c r="E234" s="24">
        <f t="shared" si="10"/>
        <v>278.26703494564538</v>
      </c>
      <c r="F234" s="24">
        <f t="shared" si="11"/>
        <v>263.31555771346626</v>
      </c>
      <c r="G234" s="24">
        <f t="shared" si="12"/>
        <v>263.59290841958233</v>
      </c>
    </row>
    <row r="235" spans="1:7" x14ac:dyDescent="0.6">
      <c r="A235" s="22">
        <v>16772</v>
      </c>
      <c r="B235" s="23">
        <v>1.2E-2</v>
      </c>
      <c r="C235" s="23">
        <v>2.12E-2</v>
      </c>
      <c r="D235" s="23">
        <v>-2.3199999999999998E-2</v>
      </c>
      <c r="E235" s="24">
        <f t="shared" si="10"/>
        <v>281.60623936499314</v>
      </c>
      <c r="F235" s="24">
        <f t="shared" si="11"/>
        <v>268.89784753699178</v>
      </c>
      <c r="G235" s="24">
        <f t="shared" si="12"/>
        <v>257.47755294424803</v>
      </c>
    </row>
    <row r="236" spans="1:7" x14ac:dyDescent="0.6">
      <c r="A236" s="22">
        <v>16803</v>
      </c>
      <c r="B236" s="23">
        <v>6.2400000000000004E-2</v>
      </c>
      <c r="C236" s="23">
        <v>4.0199999999999993E-2</v>
      </c>
      <c r="D236" s="23">
        <v>2.2099999999999998E-2</v>
      </c>
      <c r="E236" s="24">
        <f t="shared" si="10"/>
        <v>299.17846870136873</v>
      </c>
      <c r="F236" s="24">
        <f t="shared" si="11"/>
        <v>279.70754100797888</v>
      </c>
      <c r="G236" s="24">
        <f t="shared" si="12"/>
        <v>263.16780686431593</v>
      </c>
    </row>
    <row r="237" spans="1:7" x14ac:dyDescent="0.6">
      <c r="A237" s="22">
        <v>16834</v>
      </c>
      <c r="B237" s="23">
        <v>-5.8299999999999998E-2</v>
      </c>
      <c r="C237" s="23">
        <v>-7.3000000000000001E-3</v>
      </c>
      <c r="D237" s="23">
        <v>-1.2699999999999999E-2</v>
      </c>
      <c r="E237" s="24">
        <f t="shared" si="10"/>
        <v>281.73636397607891</v>
      </c>
      <c r="F237" s="24">
        <f t="shared" si="11"/>
        <v>277.66567595862062</v>
      </c>
      <c r="G237" s="24">
        <f t="shared" si="12"/>
        <v>259.82557571713909</v>
      </c>
    </row>
    <row r="238" spans="1:7" x14ac:dyDescent="0.6">
      <c r="A238" s="22">
        <v>16862</v>
      </c>
      <c r="B238" s="23">
        <v>5.8700000000000002E-2</v>
      </c>
      <c r="C238" s="23">
        <v>3.0999999999999999E-3</v>
      </c>
      <c r="D238" s="23">
        <v>-3.5999999999999999E-3</v>
      </c>
      <c r="E238" s="24">
        <f t="shared" si="10"/>
        <v>298.27428854147473</v>
      </c>
      <c r="F238" s="24">
        <f t="shared" si="11"/>
        <v>278.52643955409241</v>
      </c>
      <c r="G238" s="24">
        <f t="shared" si="12"/>
        <v>258.8902036445574</v>
      </c>
    </row>
    <row r="239" spans="1:7" x14ac:dyDescent="0.6">
      <c r="A239" s="22">
        <v>16893</v>
      </c>
      <c r="B239" s="23">
        <v>4.2300000000000004E-2</v>
      </c>
      <c r="C239" s="23">
        <v>2.3700000000000002E-2</v>
      </c>
      <c r="D239" s="23">
        <v>4.5000000000000005E-3</v>
      </c>
      <c r="E239" s="24">
        <f t="shared" si="10"/>
        <v>310.89129094677912</v>
      </c>
      <c r="F239" s="24">
        <f t="shared" si="11"/>
        <v>285.12751617152441</v>
      </c>
      <c r="G239" s="24">
        <f t="shared" si="12"/>
        <v>260.05520956095791</v>
      </c>
    </row>
    <row r="240" spans="1:7" x14ac:dyDescent="0.6">
      <c r="A240" s="22">
        <v>16923</v>
      </c>
      <c r="B240" s="23">
        <v>3.9299999999999995E-2</v>
      </c>
      <c r="C240" s="23">
        <v>1.46E-2</v>
      </c>
      <c r="D240" s="23">
        <v>1.09E-2</v>
      </c>
      <c r="E240" s="24">
        <f t="shared" si="10"/>
        <v>323.10931868098749</v>
      </c>
      <c r="F240" s="24">
        <f t="shared" si="11"/>
        <v>289.29037790762862</v>
      </c>
      <c r="G240" s="24">
        <f t="shared" si="12"/>
        <v>262.88981134517235</v>
      </c>
    </row>
    <row r="241" spans="1:7" x14ac:dyDescent="0.6">
      <c r="A241" s="22">
        <v>16954</v>
      </c>
      <c r="B241" s="23">
        <v>-3.8900000000000004E-2</v>
      </c>
      <c r="C241" s="23">
        <v>-1.5300000000000001E-2</v>
      </c>
      <c r="D241" s="23">
        <v>-5.8999999999999999E-3</v>
      </c>
      <c r="E241" s="24">
        <f t="shared" si="10"/>
        <v>310.54036618429706</v>
      </c>
      <c r="F241" s="24">
        <f t="shared" si="11"/>
        <v>284.86423512564193</v>
      </c>
      <c r="G241" s="24">
        <f t="shared" si="12"/>
        <v>261.33876145823581</v>
      </c>
    </row>
    <row r="242" spans="1:7" x14ac:dyDescent="0.6">
      <c r="A242" s="22">
        <v>16984</v>
      </c>
      <c r="B242" s="23">
        <v>-2.6900000000000004E-2</v>
      </c>
      <c r="C242" s="23">
        <v>-2.06E-2</v>
      </c>
      <c r="D242" s="23">
        <v>4.0000000000000002E-4</v>
      </c>
      <c r="E242" s="24">
        <f t="shared" si="10"/>
        <v>302.18683033393944</v>
      </c>
      <c r="F242" s="24">
        <f t="shared" si="11"/>
        <v>278.99603188205373</v>
      </c>
      <c r="G242" s="24">
        <f t="shared" si="12"/>
        <v>261.44329696281909</v>
      </c>
    </row>
    <row r="243" spans="1:7" x14ac:dyDescent="0.6">
      <c r="A243" s="22">
        <v>17015</v>
      </c>
      <c r="B243" s="23">
        <v>-6.4399999999999999E-2</v>
      </c>
      <c r="C243" s="23">
        <v>-1.78E-2</v>
      </c>
      <c r="D243" s="23">
        <v>6.0000000000000001E-3</v>
      </c>
      <c r="E243" s="24">
        <f t="shared" si="10"/>
        <v>282.72599846043374</v>
      </c>
      <c r="F243" s="24">
        <f t="shared" si="11"/>
        <v>274.02990251455316</v>
      </c>
      <c r="G243" s="24">
        <f t="shared" si="12"/>
        <v>263.01195674459603</v>
      </c>
    </row>
    <row r="244" spans="1:7" x14ac:dyDescent="0.6">
      <c r="A244" s="22">
        <v>17046</v>
      </c>
      <c r="B244" s="23">
        <v>-0.1017</v>
      </c>
      <c r="C244" s="23">
        <v>-4.41E-2</v>
      </c>
      <c r="D244" s="23">
        <v>-1.9599999999999999E-2</v>
      </c>
      <c r="E244" s="24">
        <f t="shared" si="10"/>
        <v>253.97276441700762</v>
      </c>
      <c r="F244" s="24">
        <f t="shared" si="11"/>
        <v>261.94518381366134</v>
      </c>
      <c r="G244" s="24">
        <f t="shared" si="12"/>
        <v>257.85692239240194</v>
      </c>
    </row>
    <row r="245" spans="1:7" x14ac:dyDescent="0.6">
      <c r="A245" s="22">
        <v>17076</v>
      </c>
      <c r="B245" s="23">
        <v>-1.44E-2</v>
      </c>
      <c r="C245" s="23">
        <v>8.9999999999999998E-4</v>
      </c>
      <c r="D245" s="23">
        <v>3.44E-2</v>
      </c>
      <c r="E245" s="24">
        <f t="shared" si="10"/>
        <v>250.31555660940273</v>
      </c>
      <c r="F245" s="24">
        <f t="shared" si="11"/>
        <v>262.18093447909359</v>
      </c>
      <c r="G245" s="24">
        <f t="shared" si="12"/>
        <v>266.72720052270057</v>
      </c>
    </row>
    <row r="246" spans="1:7" x14ac:dyDescent="0.6">
      <c r="A246" s="22">
        <v>17107</v>
      </c>
      <c r="B246" s="23">
        <v>-9.9999999999999991E-5</v>
      </c>
      <c r="C246" s="23">
        <v>-4.0000000000000001E-3</v>
      </c>
      <c r="D246" s="23">
        <v>1.52E-2</v>
      </c>
      <c r="E246" s="24">
        <f t="shared" si="10"/>
        <v>250.29052505374179</v>
      </c>
      <c r="F246" s="24">
        <f t="shared" si="11"/>
        <v>261.13221074117723</v>
      </c>
      <c r="G246" s="24">
        <f t="shared" si="12"/>
        <v>270.78145397064566</v>
      </c>
    </row>
    <row r="247" spans="1:7" x14ac:dyDescent="0.6">
      <c r="A247" s="22">
        <v>17137</v>
      </c>
      <c r="B247" s="23">
        <v>4.9599999999999998E-2</v>
      </c>
      <c r="C247" s="23">
        <v>5.9999999999999995E-4</v>
      </c>
      <c r="D247" s="23">
        <v>-1.38E-2</v>
      </c>
      <c r="E247" s="24">
        <f t="shared" si="10"/>
        <v>262.70493509640738</v>
      </c>
      <c r="F247" s="24">
        <f t="shared" si="11"/>
        <v>261.28889006762194</v>
      </c>
      <c r="G247" s="24">
        <f t="shared" si="12"/>
        <v>267.04466990585075</v>
      </c>
    </row>
    <row r="248" spans="1:7" x14ac:dyDescent="0.6">
      <c r="A248" s="22">
        <v>17168</v>
      </c>
      <c r="B248" s="23">
        <v>1.2500000000000001E-2</v>
      </c>
      <c r="C248" s="23">
        <v>2.18E-2</v>
      </c>
      <c r="D248" s="23">
        <v>-7.3000000000000001E-3</v>
      </c>
      <c r="E248" s="24">
        <f t="shared" si="10"/>
        <v>265.98874678511248</v>
      </c>
      <c r="F248" s="24">
        <f t="shared" si="11"/>
        <v>266.98498787109611</v>
      </c>
      <c r="G248" s="24">
        <f t="shared" si="12"/>
        <v>265.09524381553803</v>
      </c>
    </row>
    <row r="249" spans="1:7" x14ac:dyDescent="0.6">
      <c r="A249" s="22">
        <v>17199</v>
      </c>
      <c r="B249" s="23">
        <v>-1.0800000000000001E-2</v>
      </c>
      <c r="C249" s="23">
        <v>6.8000000000000005E-3</v>
      </c>
      <c r="D249" s="23">
        <v>1.4000000000000002E-3</v>
      </c>
      <c r="E249" s="24">
        <f t="shared" si="10"/>
        <v>263.11606831983323</v>
      </c>
      <c r="F249" s="24">
        <f t="shared" si="11"/>
        <v>268.80048578861954</v>
      </c>
      <c r="G249" s="24">
        <f t="shared" si="12"/>
        <v>265.46637715687979</v>
      </c>
    </row>
    <row r="250" spans="1:7" x14ac:dyDescent="0.6">
      <c r="A250" s="22">
        <v>17227</v>
      </c>
      <c r="B250" s="23">
        <v>-1.67E-2</v>
      </c>
      <c r="C250" s="23">
        <v>-1.61E-2</v>
      </c>
      <c r="D250" s="23">
        <v>6.0999999999999995E-3</v>
      </c>
      <c r="E250" s="24">
        <f t="shared" si="10"/>
        <v>258.72202997889201</v>
      </c>
      <c r="F250" s="24">
        <f t="shared" si="11"/>
        <v>264.47279796742276</v>
      </c>
      <c r="G250" s="24">
        <f t="shared" si="12"/>
        <v>267.08572205753677</v>
      </c>
    </row>
    <row r="251" spans="1:7" x14ac:dyDescent="0.6">
      <c r="A251" s="22">
        <v>17258</v>
      </c>
      <c r="B251" s="23">
        <v>-4.7999999999999994E-2</v>
      </c>
      <c r="C251" s="23">
        <v>-3.9699999999999999E-2</v>
      </c>
      <c r="D251" s="23">
        <v>8.5000000000000006E-3</v>
      </c>
      <c r="E251" s="24">
        <f t="shared" si="10"/>
        <v>246.30337253990518</v>
      </c>
      <c r="F251" s="24">
        <f t="shared" si="11"/>
        <v>253.9732278881161</v>
      </c>
      <c r="G251" s="24">
        <f t="shared" si="12"/>
        <v>269.3559506950258</v>
      </c>
    </row>
    <row r="252" spans="1:7" x14ac:dyDescent="0.6">
      <c r="A252" s="22">
        <v>17288</v>
      </c>
      <c r="B252" s="23">
        <v>-9.6999999999999986E-3</v>
      </c>
      <c r="C252" s="23">
        <v>-3.2599999999999997E-2</v>
      </c>
      <c r="D252" s="23">
        <v>3.4000000000000002E-3</v>
      </c>
      <c r="E252" s="24">
        <f t="shared" si="10"/>
        <v>243.9142298262681</v>
      </c>
      <c r="F252" s="24">
        <f t="shared" si="11"/>
        <v>245.69370065896354</v>
      </c>
      <c r="G252" s="24">
        <f t="shared" si="12"/>
        <v>270.27176092738893</v>
      </c>
    </row>
    <row r="253" spans="1:7" x14ac:dyDescent="0.6">
      <c r="A253" s="22">
        <v>17319</v>
      </c>
      <c r="B253" s="23">
        <v>5.2900000000000003E-2</v>
      </c>
      <c r="C253" s="23">
        <v>-3.0999999999999999E-3</v>
      </c>
      <c r="D253" s="23">
        <v>-6.0000000000000001E-3</v>
      </c>
      <c r="E253" s="24">
        <f t="shared" si="10"/>
        <v>256.81729258407768</v>
      </c>
      <c r="F253" s="24">
        <f t="shared" si="11"/>
        <v>244.93205018692075</v>
      </c>
      <c r="G253" s="24">
        <f t="shared" si="12"/>
        <v>268.65013036182461</v>
      </c>
    </row>
    <row r="254" spans="1:7" x14ac:dyDescent="0.6">
      <c r="A254" s="22">
        <v>17349</v>
      </c>
      <c r="B254" s="23">
        <v>4.1399999999999999E-2</v>
      </c>
      <c r="C254" s="23">
        <v>1.43E-2</v>
      </c>
      <c r="D254" s="23">
        <v>2.8199999999999999E-2</v>
      </c>
      <c r="E254" s="24">
        <f t="shared" si="10"/>
        <v>267.44952849705851</v>
      </c>
      <c r="F254" s="24">
        <f t="shared" si="11"/>
        <v>248.4345785045937</v>
      </c>
      <c r="G254" s="24">
        <f t="shared" si="12"/>
        <v>276.22606403802808</v>
      </c>
    </row>
    <row r="255" spans="1:7" x14ac:dyDescent="0.6">
      <c r="A255" s="22">
        <v>17380</v>
      </c>
      <c r="B255" s="23">
        <v>-1.7400000000000002E-2</v>
      </c>
      <c r="C255" s="23">
        <v>3.0000000000000001E-3</v>
      </c>
      <c r="D255" s="23">
        <v>1.6000000000000001E-3</v>
      </c>
      <c r="E255" s="24">
        <f t="shared" si="10"/>
        <v>262.79590670120967</v>
      </c>
      <c r="F255" s="24">
        <f t="shared" si="11"/>
        <v>249.17988224010745</v>
      </c>
      <c r="G255" s="24">
        <f t="shared" si="12"/>
        <v>276.66802574048893</v>
      </c>
    </row>
    <row r="256" spans="1:7" x14ac:dyDescent="0.6">
      <c r="A256" s="22">
        <v>17411</v>
      </c>
      <c r="B256" s="23">
        <v>-5.4000000000000003E-3</v>
      </c>
      <c r="C256" s="23">
        <v>1.6399999999999998E-2</v>
      </c>
      <c r="D256" s="23">
        <v>1.3600000000000001E-2</v>
      </c>
      <c r="E256" s="24">
        <f t="shared" si="10"/>
        <v>261.37680880502313</v>
      </c>
      <c r="F256" s="24">
        <f t="shared" si="11"/>
        <v>253.2664323088452</v>
      </c>
      <c r="G256" s="24">
        <f t="shared" si="12"/>
        <v>280.43071089055957</v>
      </c>
    </row>
    <row r="257" spans="1:7" x14ac:dyDescent="0.6">
      <c r="A257" s="22">
        <v>17441</v>
      </c>
      <c r="B257" s="23">
        <v>2.4700000000000003E-2</v>
      </c>
      <c r="C257" s="23">
        <v>5.1000000000000004E-3</v>
      </c>
      <c r="D257" s="23">
        <v>8.0000000000000004E-4</v>
      </c>
      <c r="E257" s="24">
        <f t="shared" si="10"/>
        <v>267.83281598250721</v>
      </c>
      <c r="F257" s="24">
        <f t="shared" si="11"/>
        <v>254.55809111362032</v>
      </c>
      <c r="G257" s="24">
        <f t="shared" si="12"/>
        <v>280.65505545927198</v>
      </c>
    </row>
    <row r="258" spans="1:7" x14ac:dyDescent="0.6">
      <c r="A258" s="22">
        <v>17472</v>
      </c>
      <c r="B258" s="23">
        <v>-1.9699999999999999E-2</v>
      </c>
      <c r="C258" s="23">
        <v>-1.7399999999999999E-2</v>
      </c>
      <c r="D258" s="23">
        <v>1.06E-2</v>
      </c>
      <c r="E258" s="24">
        <f t="shared" si="10"/>
        <v>262.55650950765181</v>
      </c>
      <c r="F258" s="24">
        <f t="shared" si="11"/>
        <v>250.12878032824332</v>
      </c>
      <c r="G258" s="24">
        <f t="shared" si="12"/>
        <v>283.62999904714025</v>
      </c>
    </row>
    <row r="259" spans="1:7" x14ac:dyDescent="0.6">
      <c r="A259" s="22">
        <v>17502</v>
      </c>
      <c r="B259" s="23">
        <v>3.0000000000000002E-2</v>
      </c>
      <c r="C259" s="23">
        <v>-2.4799999999999999E-2</v>
      </c>
      <c r="D259" s="23">
        <v>3.6900000000000002E-2</v>
      </c>
      <c r="E259" s="24">
        <f t="shared" si="10"/>
        <v>270.43320479288138</v>
      </c>
      <c r="F259" s="24">
        <f t="shared" si="11"/>
        <v>243.92558657610289</v>
      </c>
      <c r="G259" s="24">
        <f t="shared" si="12"/>
        <v>294.09594601197972</v>
      </c>
    </row>
    <row r="260" spans="1:7" x14ac:dyDescent="0.6">
      <c r="A260" s="22">
        <v>17533</v>
      </c>
      <c r="B260" s="23">
        <v>-3.9300000000000002E-2</v>
      </c>
      <c r="C260" s="23">
        <v>2.4900000000000002E-2</v>
      </c>
      <c r="D260" s="23">
        <v>1.38E-2</v>
      </c>
      <c r="E260" s="24">
        <f t="shared" ref="E260:E323" si="13">E259*(1+B260)</f>
        <v>259.80517984452115</v>
      </c>
      <c r="F260" s="24">
        <f t="shared" ref="F260:F323" si="14">F259*(1+C260)</f>
        <v>249.99933368184784</v>
      </c>
      <c r="G260" s="24">
        <f t="shared" ref="G260:G323" si="15">G259*(1+D260)</f>
        <v>298.15447006694507</v>
      </c>
    </row>
    <row r="261" spans="1:7" x14ac:dyDescent="0.6">
      <c r="A261" s="22">
        <v>17564</v>
      </c>
      <c r="B261" s="23">
        <v>-4.3799999999999999E-2</v>
      </c>
      <c r="C261" s="23">
        <v>-1.7100000000000001E-2</v>
      </c>
      <c r="D261" s="23">
        <v>7.000000000000001E-4</v>
      </c>
      <c r="E261" s="24">
        <f t="shared" si="13"/>
        <v>248.42571296733112</v>
      </c>
      <c r="F261" s="24">
        <f t="shared" si="14"/>
        <v>245.72434507588824</v>
      </c>
      <c r="G261" s="24">
        <f t="shared" si="15"/>
        <v>298.36317819599191</v>
      </c>
    </row>
    <row r="262" spans="1:7" x14ac:dyDescent="0.6">
      <c r="A262" s="22">
        <v>17593</v>
      </c>
      <c r="B262" s="23">
        <v>8.0700000000000008E-2</v>
      </c>
      <c r="C262" s="23">
        <v>1.2999999999999999E-3</v>
      </c>
      <c r="D262" s="23">
        <v>4.4900000000000002E-2</v>
      </c>
      <c r="E262" s="24">
        <f t="shared" si="13"/>
        <v>268.47366800379473</v>
      </c>
      <c r="F262" s="24">
        <f t="shared" si="14"/>
        <v>246.04378672448692</v>
      </c>
      <c r="G262" s="24">
        <f t="shared" si="15"/>
        <v>311.75968489699193</v>
      </c>
    </row>
    <row r="263" spans="1:7" x14ac:dyDescent="0.6">
      <c r="A263" s="22">
        <v>17624</v>
      </c>
      <c r="B263" s="23">
        <v>3.6499999999999998E-2</v>
      </c>
      <c r="C263" s="23">
        <v>-1.66E-2</v>
      </c>
      <c r="D263" s="23">
        <v>4.0999999999999995E-2</v>
      </c>
      <c r="E263" s="24">
        <f t="shared" si="13"/>
        <v>278.27295688593324</v>
      </c>
      <c r="F263" s="24">
        <f t="shared" si="14"/>
        <v>241.95945986486046</v>
      </c>
      <c r="G263" s="24">
        <f t="shared" si="15"/>
        <v>324.5418319777686</v>
      </c>
    </row>
    <row r="264" spans="1:7" x14ac:dyDescent="0.6">
      <c r="A264" s="22">
        <v>17654</v>
      </c>
      <c r="B264" s="23">
        <v>7.3000000000000009E-2</v>
      </c>
      <c r="C264" s="23">
        <v>9.300000000000001E-3</v>
      </c>
      <c r="D264" s="23">
        <v>-1.23E-2</v>
      </c>
      <c r="E264" s="24">
        <f t="shared" si="13"/>
        <v>298.58688273860633</v>
      </c>
      <c r="F264" s="24">
        <f t="shared" si="14"/>
        <v>244.20968284160369</v>
      </c>
      <c r="G264" s="24">
        <f t="shared" si="15"/>
        <v>320.54996744444207</v>
      </c>
    </row>
    <row r="265" spans="1:7" x14ac:dyDescent="0.6">
      <c r="A265" s="22">
        <v>17685</v>
      </c>
      <c r="B265" s="23">
        <v>-1E-3</v>
      </c>
      <c r="C265" s="23">
        <v>-1.8600000000000002E-2</v>
      </c>
      <c r="D265" s="23">
        <v>2.75E-2</v>
      </c>
      <c r="E265" s="24">
        <f t="shared" si="13"/>
        <v>298.28829585586772</v>
      </c>
      <c r="F265" s="24">
        <f t="shared" si="14"/>
        <v>239.66738274074987</v>
      </c>
      <c r="G265" s="24">
        <f t="shared" si="15"/>
        <v>329.36509154916428</v>
      </c>
    </row>
    <row r="266" spans="1:7" x14ac:dyDescent="0.6">
      <c r="A266" s="22">
        <v>17715</v>
      </c>
      <c r="B266" s="23">
        <v>-5.0900000000000001E-2</v>
      </c>
      <c r="C266" s="23">
        <v>-3.2000000000000002E-3</v>
      </c>
      <c r="D266" s="23">
        <v>7.000000000000001E-4</v>
      </c>
      <c r="E266" s="24">
        <f t="shared" si="13"/>
        <v>283.10542159680409</v>
      </c>
      <c r="F266" s="24">
        <f t="shared" si="14"/>
        <v>238.90044711597949</v>
      </c>
      <c r="G266" s="24">
        <f t="shared" si="15"/>
        <v>329.59564711324867</v>
      </c>
    </row>
    <row r="267" spans="1:7" x14ac:dyDescent="0.6">
      <c r="A267" s="22">
        <v>17746</v>
      </c>
      <c r="B267" s="23">
        <v>2.4999999999999996E-3</v>
      </c>
      <c r="C267" s="23">
        <v>-1.1000000000000001E-2</v>
      </c>
      <c r="D267" s="23">
        <v>2.7000000000000001E-3</v>
      </c>
      <c r="E267" s="24">
        <f t="shared" si="13"/>
        <v>283.81318515079607</v>
      </c>
      <c r="F267" s="24">
        <f t="shared" si="14"/>
        <v>236.2725421977037</v>
      </c>
      <c r="G267" s="24">
        <f t="shared" si="15"/>
        <v>330.48555536045444</v>
      </c>
    </row>
    <row r="268" spans="1:7" x14ac:dyDescent="0.6">
      <c r="A268" s="22">
        <v>17777</v>
      </c>
      <c r="B268" s="23">
        <v>-2.9700000000000004E-2</v>
      </c>
      <c r="C268" s="23">
        <v>-1.23E-2</v>
      </c>
      <c r="D268" s="23">
        <v>-1.7899999999999999E-2</v>
      </c>
      <c r="E268" s="24">
        <f t="shared" si="13"/>
        <v>275.38393355181739</v>
      </c>
      <c r="F268" s="24">
        <f t="shared" si="14"/>
        <v>233.36638992867196</v>
      </c>
      <c r="G268" s="24">
        <f t="shared" si="15"/>
        <v>324.56986391950232</v>
      </c>
    </row>
    <row r="269" spans="1:7" x14ac:dyDescent="0.6">
      <c r="A269" s="22">
        <v>17807</v>
      </c>
      <c r="B269" s="23">
        <v>5.96E-2</v>
      </c>
      <c r="C269" s="23">
        <v>-1.4999999999999999E-2</v>
      </c>
      <c r="D269" s="23">
        <v>5.6000000000000008E-3</v>
      </c>
      <c r="E269" s="24">
        <f t="shared" si="13"/>
        <v>291.79681599150575</v>
      </c>
      <c r="F269" s="24">
        <f t="shared" si="14"/>
        <v>229.86589407974188</v>
      </c>
      <c r="G269" s="24">
        <f t="shared" si="15"/>
        <v>326.38745515745154</v>
      </c>
    </row>
    <row r="270" spans="1:7" x14ac:dyDescent="0.6">
      <c r="A270" s="22">
        <v>17838</v>
      </c>
      <c r="B270" s="23">
        <v>-9.3000000000000013E-2</v>
      </c>
      <c r="C270" s="23">
        <v>-6.1999999999999998E-3</v>
      </c>
      <c r="D270" s="23">
        <v>-4.1399999999999999E-2</v>
      </c>
      <c r="E270" s="24">
        <f t="shared" si="13"/>
        <v>264.65971210429575</v>
      </c>
      <c r="F270" s="24">
        <f t="shared" si="14"/>
        <v>228.44072553644747</v>
      </c>
      <c r="G270" s="24">
        <f t="shared" si="15"/>
        <v>312.87501451393302</v>
      </c>
    </row>
    <row r="271" spans="1:7" x14ac:dyDescent="0.6">
      <c r="A271" s="22">
        <v>17868</v>
      </c>
      <c r="B271" s="23">
        <v>3.2600000000000004E-2</v>
      </c>
      <c r="C271" s="23">
        <v>-2.7999999999999997E-2</v>
      </c>
      <c r="D271" s="23">
        <v>-1.9400000000000001E-2</v>
      </c>
      <c r="E271" s="24">
        <f t="shared" si="13"/>
        <v>273.28761871889577</v>
      </c>
      <c r="F271" s="24">
        <f t="shared" si="14"/>
        <v>222.04438522142695</v>
      </c>
      <c r="G271" s="24">
        <f t="shared" si="15"/>
        <v>306.80523923236274</v>
      </c>
    </row>
    <row r="272" spans="1:7" x14ac:dyDescent="0.6">
      <c r="A272" s="22">
        <v>17899</v>
      </c>
      <c r="B272" s="23">
        <v>2.3E-3</v>
      </c>
      <c r="C272" s="23">
        <v>1.8100000000000002E-2</v>
      </c>
      <c r="D272" s="23">
        <v>1.1699999999999999E-2</v>
      </c>
      <c r="E272" s="24">
        <f t="shared" si="13"/>
        <v>273.91618024194923</v>
      </c>
      <c r="F272" s="24">
        <f t="shared" si="14"/>
        <v>226.06338859393477</v>
      </c>
      <c r="G272" s="24">
        <f t="shared" si="15"/>
        <v>310.39486053138137</v>
      </c>
    </row>
    <row r="273" spans="1:7" x14ac:dyDescent="0.6">
      <c r="A273" s="22">
        <v>17930</v>
      </c>
      <c r="B273" s="23">
        <v>-2.9300000000000003E-2</v>
      </c>
      <c r="C273" s="23">
        <v>-1.89E-2</v>
      </c>
      <c r="D273" s="23">
        <v>-9.1000000000000004E-3</v>
      </c>
      <c r="E273" s="24">
        <f t="shared" si="13"/>
        <v>265.89043616086013</v>
      </c>
      <c r="F273" s="24">
        <f t="shared" si="14"/>
        <v>221.79079054950941</v>
      </c>
      <c r="G273" s="24">
        <f t="shared" si="15"/>
        <v>307.57026730054582</v>
      </c>
    </row>
    <row r="274" spans="1:7" x14ac:dyDescent="0.6">
      <c r="A274" s="22">
        <v>17958</v>
      </c>
      <c r="B274" s="23">
        <v>4.0399999999999998E-2</v>
      </c>
      <c r="C274" s="23">
        <v>2.4799999999999999E-2</v>
      </c>
      <c r="D274" s="23">
        <v>1.34E-2</v>
      </c>
      <c r="E274" s="24">
        <f t="shared" si="13"/>
        <v>276.63240978175889</v>
      </c>
      <c r="F274" s="24">
        <f t="shared" si="14"/>
        <v>227.29120215513723</v>
      </c>
      <c r="G274" s="24">
        <f t="shared" si="15"/>
        <v>311.69170888237318</v>
      </c>
    </row>
    <row r="275" spans="1:7" x14ac:dyDescent="0.6">
      <c r="A275" s="22">
        <v>17989</v>
      </c>
      <c r="B275" s="23">
        <v>-1.8700000000000001E-2</v>
      </c>
      <c r="C275" s="23">
        <v>-8.8999999999999999E-3</v>
      </c>
      <c r="D275" s="23">
        <v>-1.18E-2</v>
      </c>
      <c r="E275" s="24">
        <f t="shared" si="13"/>
        <v>271.45938371884</v>
      </c>
      <c r="F275" s="24">
        <f t="shared" si="14"/>
        <v>225.26831045595651</v>
      </c>
      <c r="G275" s="24">
        <f t="shared" si="15"/>
        <v>308.01374671756116</v>
      </c>
    </row>
    <row r="276" spans="1:7" x14ac:dyDescent="0.6">
      <c r="A276" s="22">
        <v>18019</v>
      </c>
      <c r="B276" s="23">
        <v>-2.9399999999999999E-2</v>
      </c>
      <c r="C276" s="23">
        <v>-7.7000000000000002E-3</v>
      </c>
      <c r="D276" s="23">
        <v>-2.4199999999999999E-2</v>
      </c>
      <c r="E276" s="24">
        <f t="shared" si="13"/>
        <v>263.47847783750609</v>
      </c>
      <c r="F276" s="24">
        <f t="shared" si="14"/>
        <v>223.53374446544564</v>
      </c>
      <c r="G276" s="24">
        <f t="shared" si="15"/>
        <v>300.55981404699617</v>
      </c>
    </row>
    <row r="277" spans="1:7" x14ac:dyDescent="0.6">
      <c r="A277" s="22">
        <v>18050</v>
      </c>
      <c r="B277" s="23">
        <v>1E-3</v>
      </c>
      <c r="C277" s="23">
        <v>-8.8000000000000005E-3</v>
      </c>
      <c r="D277" s="23">
        <v>-1.7600000000000001E-2</v>
      </c>
      <c r="E277" s="24">
        <f t="shared" si="13"/>
        <v>263.74195631534354</v>
      </c>
      <c r="F277" s="24">
        <f t="shared" si="14"/>
        <v>221.56664751414971</v>
      </c>
      <c r="G277" s="24">
        <f t="shared" si="15"/>
        <v>295.26996131976904</v>
      </c>
    </row>
    <row r="278" spans="1:7" x14ac:dyDescent="0.6">
      <c r="A278" s="22">
        <v>18080</v>
      </c>
      <c r="B278" s="23">
        <v>5.5399999999999998E-2</v>
      </c>
      <c r="C278" s="23">
        <v>5.6999999999999993E-3</v>
      </c>
      <c r="D278" s="23">
        <v>3.8E-3</v>
      </c>
      <c r="E278" s="24">
        <f t="shared" si="13"/>
        <v>278.35326069521352</v>
      </c>
      <c r="F278" s="24">
        <f t="shared" si="14"/>
        <v>222.82957740498037</v>
      </c>
      <c r="G278" s="24">
        <f t="shared" si="15"/>
        <v>296.39198717278418</v>
      </c>
    </row>
    <row r="279" spans="1:7" x14ac:dyDescent="0.6">
      <c r="A279" s="22">
        <v>18111</v>
      </c>
      <c r="B279" s="23">
        <v>2.5999999999999999E-2</v>
      </c>
      <c r="C279" s="23">
        <v>1.2999999999999999E-3</v>
      </c>
      <c r="D279" s="23">
        <v>-5.6999999999999993E-3</v>
      </c>
      <c r="E279" s="24">
        <f t="shared" si="13"/>
        <v>285.59044547328909</v>
      </c>
      <c r="F279" s="24">
        <f t="shared" si="14"/>
        <v>223.11925585560687</v>
      </c>
      <c r="G279" s="24">
        <f t="shared" si="15"/>
        <v>294.70255284589928</v>
      </c>
    </row>
    <row r="280" spans="1:7" x14ac:dyDescent="0.6">
      <c r="A280" s="22">
        <v>18142</v>
      </c>
      <c r="B280" s="23">
        <v>3.0899999999999993E-2</v>
      </c>
      <c r="C280" s="23">
        <v>1.0500000000000001E-2</v>
      </c>
      <c r="D280" s="23">
        <v>2.3E-3</v>
      </c>
      <c r="E280" s="24">
        <f t="shared" si="13"/>
        <v>294.41519023841369</v>
      </c>
      <c r="F280" s="24">
        <f t="shared" si="14"/>
        <v>225.46200804209073</v>
      </c>
      <c r="G280" s="24">
        <f t="shared" si="15"/>
        <v>295.38036871744481</v>
      </c>
    </row>
    <row r="281" spans="1:7" x14ac:dyDescent="0.6">
      <c r="A281" s="22">
        <v>18172</v>
      </c>
      <c r="B281" s="23">
        <v>3.1400000000000004E-2</v>
      </c>
      <c r="C281" s="23">
        <v>1.03E-2</v>
      </c>
      <c r="D281" s="23">
        <v>-4.8999999999999998E-3</v>
      </c>
      <c r="E281" s="24">
        <f t="shared" si="13"/>
        <v>303.65982721189988</v>
      </c>
      <c r="F281" s="24">
        <f t="shared" si="14"/>
        <v>227.78426672492427</v>
      </c>
      <c r="G281" s="24">
        <f t="shared" si="15"/>
        <v>293.93300491072932</v>
      </c>
    </row>
    <row r="282" spans="1:7" x14ac:dyDescent="0.6">
      <c r="A282" s="22">
        <v>18203</v>
      </c>
      <c r="B282" s="23">
        <v>1.8200000000000004E-2</v>
      </c>
      <c r="C282" s="23">
        <v>-9.300000000000001E-3</v>
      </c>
      <c r="D282" s="23">
        <v>-9.1000000000000004E-3</v>
      </c>
      <c r="E282" s="24">
        <f t="shared" si="13"/>
        <v>309.18643606715648</v>
      </c>
      <c r="F282" s="24">
        <f t="shared" si="14"/>
        <v>225.66587304438247</v>
      </c>
      <c r="G282" s="24">
        <f t="shared" si="15"/>
        <v>291.25821456604172</v>
      </c>
    </row>
    <row r="283" spans="1:7" x14ac:dyDescent="0.6">
      <c r="A283" s="22">
        <v>18233</v>
      </c>
      <c r="B283" s="23">
        <v>5.1299999999999998E-2</v>
      </c>
      <c r="C283" s="23">
        <v>2.07E-2</v>
      </c>
      <c r="D283" s="23">
        <v>1.7500000000000002E-2</v>
      </c>
      <c r="E283" s="24">
        <f t="shared" si="13"/>
        <v>325.04770023740156</v>
      </c>
      <c r="F283" s="24">
        <f t="shared" si="14"/>
        <v>230.33715661640116</v>
      </c>
      <c r="G283" s="24">
        <f t="shared" si="15"/>
        <v>296.35523332094749</v>
      </c>
    </row>
    <row r="284" spans="1:7" x14ac:dyDescent="0.6">
      <c r="A284" s="22">
        <v>18264</v>
      </c>
      <c r="B284" s="23">
        <v>1.6999999999999998E-2</v>
      </c>
      <c r="C284" s="23">
        <v>3.3599999999999998E-2</v>
      </c>
      <c r="D284" s="23">
        <v>1.4000000000000002E-3</v>
      </c>
      <c r="E284" s="24">
        <f t="shared" si="13"/>
        <v>330.57351114143734</v>
      </c>
      <c r="F284" s="24">
        <f t="shared" si="14"/>
        <v>238.07648507871227</v>
      </c>
      <c r="G284" s="24">
        <f t="shared" si="15"/>
        <v>296.77013064759683</v>
      </c>
    </row>
    <row r="285" spans="1:7" x14ac:dyDescent="0.6">
      <c r="A285" s="22">
        <v>18295</v>
      </c>
      <c r="B285" s="23">
        <v>1.4800000000000002E-2</v>
      </c>
      <c r="C285" s="23">
        <v>4.0000000000000002E-4</v>
      </c>
      <c r="D285" s="23">
        <v>-8.1000000000000013E-3</v>
      </c>
      <c r="E285" s="24">
        <f t="shared" si="13"/>
        <v>335.46599910633057</v>
      </c>
      <c r="F285" s="24">
        <f t="shared" si="14"/>
        <v>238.17171567274374</v>
      </c>
      <c r="G285" s="24">
        <f t="shared" si="15"/>
        <v>294.3662925893513</v>
      </c>
    </row>
    <row r="286" spans="1:7" x14ac:dyDescent="0.6">
      <c r="A286" s="22">
        <v>18323</v>
      </c>
      <c r="B286" s="23">
        <v>1.26E-2</v>
      </c>
      <c r="C286" s="23">
        <v>-1.41E-2</v>
      </c>
      <c r="D286" s="23">
        <v>-2.7699999999999999E-2</v>
      </c>
      <c r="E286" s="24">
        <f t="shared" si="13"/>
        <v>339.69287069507033</v>
      </c>
      <c r="F286" s="24">
        <f t="shared" si="14"/>
        <v>234.81349448175806</v>
      </c>
      <c r="G286" s="24">
        <f t="shared" si="15"/>
        <v>286.21234628462628</v>
      </c>
    </row>
    <row r="287" spans="1:7" x14ac:dyDescent="0.6">
      <c r="A287" s="22">
        <v>18354</v>
      </c>
      <c r="B287" s="23">
        <v>3.9400000000000004E-2</v>
      </c>
      <c r="C287" s="23">
        <v>1.9900000000000001E-2</v>
      </c>
      <c r="D287" s="23">
        <v>1.34E-2</v>
      </c>
      <c r="E287" s="24">
        <f t="shared" si="13"/>
        <v>353.07676980045613</v>
      </c>
      <c r="F287" s="24">
        <f t="shared" si="14"/>
        <v>239.48628302194504</v>
      </c>
      <c r="G287" s="24">
        <f t="shared" si="15"/>
        <v>290.04759172484029</v>
      </c>
    </row>
    <row r="288" spans="1:7" x14ac:dyDescent="0.6">
      <c r="A288" s="22">
        <v>18384</v>
      </c>
      <c r="B288" s="23">
        <v>4.3099999999999992E-2</v>
      </c>
      <c r="C288" s="23">
        <v>-2.12E-2</v>
      </c>
      <c r="D288" s="23">
        <v>4.5999999999999999E-3</v>
      </c>
      <c r="E288" s="24">
        <f t="shared" si="13"/>
        <v>368.29437857885574</v>
      </c>
      <c r="F288" s="24">
        <f t="shared" si="14"/>
        <v>234.40917382187982</v>
      </c>
      <c r="G288" s="24">
        <f t="shared" si="15"/>
        <v>291.38181064677451</v>
      </c>
    </row>
    <row r="289" spans="1:7" x14ac:dyDescent="0.6">
      <c r="A289" s="22">
        <v>18415</v>
      </c>
      <c r="B289" s="23">
        <v>-5.9400000000000008E-2</v>
      </c>
      <c r="C289" s="23">
        <v>-2.3799999999999998E-2</v>
      </c>
      <c r="D289" s="23">
        <v>-7.8000000000000005E-3</v>
      </c>
      <c r="E289" s="24">
        <f t="shared" si="13"/>
        <v>346.41769249127168</v>
      </c>
      <c r="F289" s="24">
        <f t="shared" si="14"/>
        <v>228.83023548491906</v>
      </c>
      <c r="G289" s="24">
        <f t="shared" si="15"/>
        <v>289.10903252372964</v>
      </c>
    </row>
    <row r="290" spans="1:7" x14ac:dyDescent="0.6">
      <c r="A290" s="22">
        <v>18445</v>
      </c>
      <c r="B290" s="23">
        <v>1.3600000000000001E-2</v>
      </c>
      <c r="C290" s="23">
        <v>5.1000000000000004E-3</v>
      </c>
      <c r="D290" s="23">
        <v>0.1366</v>
      </c>
      <c r="E290" s="24">
        <f t="shared" si="13"/>
        <v>351.12897310915298</v>
      </c>
      <c r="F290" s="24">
        <f t="shared" si="14"/>
        <v>229.99726968589218</v>
      </c>
      <c r="G290" s="24">
        <f t="shared" si="15"/>
        <v>328.60132636647114</v>
      </c>
    </row>
    <row r="291" spans="1:7" x14ac:dyDescent="0.6">
      <c r="A291" s="22">
        <v>18476</v>
      </c>
      <c r="B291" s="23">
        <v>4.8499999999999995E-2</v>
      </c>
      <c r="C291" s="23">
        <v>7.3000000000000001E-3</v>
      </c>
      <c r="D291" s="23">
        <v>-1.41E-2</v>
      </c>
      <c r="E291" s="24">
        <f t="shared" si="13"/>
        <v>368.15872830494692</v>
      </c>
      <c r="F291" s="24">
        <f t="shared" si="14"/>
        <v>231.67624975459921</v>
      </c>
      <c r="G291" s="24">
        <f t="shared" si="15"/>
        <v>323.96804766470387</v>
      </c>
    </row>
    <row r="292" spans="1:7" x14ac:dyDescent="0.6">
      <c r="A292" s="22">
        <v>18507</v>
      </c>
      <c r="B292" s="23">
        <v>4.809999999999999E-2</v>
      </c>
      <c r="C292" s="23">
        <v>5.6999999999999993E-3</v>
      </c>
      <c r="D292" s="23">
        <v>-1.11E-2</v>
      </c>
      <c r="E292" s="24">
        <f t="shared" si="13"/>
        <v>385.86716313641489</v>
      </c>
      <c r="F292" s="24">
        <f t="shared" si="14"/>
        <v>232.99680437820044</v>
      </c>
      <c r="G292" s="24">
        <f t="shared" si="15"/>
        <v>320.37200233562567</v>
      </c>
    </row>
    <row r="293" spans="1:7" x14ac:dyDescent="0.6">
      <c r="A293" s="22">
        <v>18537</v>
      </c>
      <c r="B293" s="23">
        <v>-1.8E-3</v>
      </c>
      <c r="C293" s="23">
        <v>-5.7999999999999996E-3</v>
      </c>
      <c r="D293" s="23">
        <v>1.44E-2</v>
      </c>
      <c r="E293" s="24">
        <f t="shared" si="13"/>
        <v>385.17260224276936</v>
      </c>
      <c r="F293" s="24">
        <f t="shared" si="14"/>
        <v>231.64542291280688</v>
      </c>
      <c r="G293" s="24">
        <f t="shared" si="15"/>
        <v>324.98535916925869</v>
      </c>
    </row>
    <row r="294" spans="1:7" x14ac:dyDescent="0.6">
      <c r="A294" s="22">
        <v>18568</v>
      </c>
      <c r="B294" s="23">
        <v>2.7599999999999996E-2</v>
      </c>
      <c r="C294" s="23">
        <v>-8.3999999999999995E-3</v>
      </c>
      <c r="D294" s="23">
        <v>3.1699999999999999E-2</v>
      </c>
      <c r="E294" s="24">
        <f t="shared" si="13"/>
        <v>395.80336606466983</v>
      </c>
      <c r="F294" s="24">
        <f t="shared" si="14"/>
        <v>229.6996013603393</v>
      </c>
      <c r="G294" s="24">
        <f t="shared" si="15"/>
        <v>335.28739505492422</v>
      </c>
    </row>
    <row r="295" spans="1:7" x14ac:dyDescent="0.6">
      <c r="A295" s="22">
        <v>18598</v>
      </c>
      <c r="B295" s="23">
        <v>5.5400000000000005E-2</v>
      </c>
      <c r="C295" s="23">
        <v>1.49E-2</v>
      </c>
      <c r="D295" s="23">
        <v>7.2300000000000003E-2</v>
      </c>
      <c r="E295" s="24">
        <f t="shared" si="13"/>
        <v>417.73087254465258</v>
      </c>
      <c r="F295" s="24">
        <f t="shared" si="14"/>
        <v>233.12212542060834</v>
      </c>
      <c r="G295" s="24">
        <f t="shared" si="15"/>
        <v>359.52867371739524</v>
      </c>
    </row>
    <row r="296" spans="1:7" x14ac:dyDescent="0.6">
      <c r="A296" s="22">
        <v>18629</v>
      </c>
      <c r="B296" s="23">
        <v>5.6999999999999995E-2</v>
      </c>
      <c r="C296" s="23">
        <v>1.7299999999999999E-2</v>
      </c>
      <c r="D296" s="23">
        <v>3.7200000000000004E-2</v>
      </c>
      <c r="E296" s="24">
        <f t="shared" si="13"/>
        <v>441.54153227969778</v>
      </c>
      <c r="F296" s="24">
        <f t="shared" si="14"/>
        <v>237.15513819038489</v>
      </c>
      <c r="G296" s="24">
        <f t="shared" si="15"/>
        <v>372.90314037968233</v>
      </c>
    </row>
    <row r="297" spans="1:7" x14ac:dyDescent="0.6">
      <c r="A297" s="22">
        <v>18660</v>
      </c>
      <c r="B297" s="23">
        <v>1.4100000000000001E-2</v>
      </c>
      <c r="C297" s="23">
        <v>8.9999999999999998E-4</v>
      </c>
      <c r="D297" s="23">
        <v>-2.8300000000000002E-2</v>
      </c>
      <c r="E297" s="24">
        <f t="shared" si="13"/>
        <v>447.76726788484149</v>
      </c>
      <c r="F297" s="24">
        <f t="shared" si="14"/>
        <v>237.36857781475621</v>
      </c>
      <c r="G297" s="24">
        <f t="shared" si="15"/>
        <v>362.3499815069373</v>
      </c>
    </row>
    <row r="298" spans="1:7" x14ac:dyDescent="0.6">
      <c r="A298" s="22">
        <v>18688</v>
      </c>
      <c r="B298" s="23">
        <v>-2.1500000000000002E-2</v>
      </c>
      <c r="C298" s="23">
        <v>-6.4000000000000003E-3</v>
      </c>
      <c r="D298" s="23">
        <v>-4.2199999999999994E-2</v>
      </c>
      <c r="E298" s="24">
        <f t="shared" si="13"/>
        <v>438.14027162531744</v>
      </c>
      <c r="F298" s="24">
        <f t="shared" si="14"/>
        <v>235.84941891674177</v>
      </c>
      <c r="G298" s="24">
        <f t="shared" si="15"/>
        <v>347.05881228734455</v>
      </c>
    </row>
    <row r="299" spans="1:7" x14ac:dyDescent="0.6">
      <c r="A299" s="22">
        <v>18719</v>
      </c>
      <c r="B299" s="23">
        <v>4.8599999999999997E-2</v>
      </c>
      <c r="C299" s="23">
        <v>-1.49E-2</v>
      </c>
      <c r="D299" s="23">
        <v>3.2799999999999996E-2</v>
      </c>
      <c r="E299" s="24">
        <f t="shared" si="13"/>
        <v>459.43388882630785</v>
      </c>
      <c r="F299" s="24">
        <f t="shared" si="14"/>
        <v>232.33526257488231</v>
      </c>
      <c r="G299" s="24">
        <f t="shared" si="15"/>
        <v>358.44234133036946</v>
      </c>
    </row>
    <row r="300" spans="1:7" x14ac:dyDescent="0.6">
      <c r="A300" s="22">
        <v>18749</v>
      </c>
      <c r="B300" s="23">
        <v>-2.3399999999999997E-2</v>
      </c>
      <c r="C300" s="23">
        <v>-1E-4</v>
      </c>
      <c r="D300" s="23">
        <v>-1.3300000000000001E-2</v>
      </c>
      <c r="E300" s="24">
        <f t="shared" si="13"/>
        <v>448.68313582777228</v>
      </c>
      <c r="F300" s="24">
        <f t="shared" si="14"/>
        <v>232.31202904862482</v>
      </c>
      <c r="G300" s="24">
        <f t="shared" si="15"/>
        <v>353.67505819067554</v>
      </c>
    </row>
    <row r="301" spans="1:7" x14ac:dyDescent="0.6">
      <c r="A301" s="22">
        <v>18780</v>
      </c>
      <c r="B301" s="23">
        <v>-2.6200000000000001E-2</v>
      </c>
      <c r="C301" s="23">
        <v>-1.95E-2</v>
      </c>
      <c r="D301" s="23">
        <v>-3.9599999999999996E-2</v>
      </c>
      <c r="E301" s="24">
        <f t="shared" si="13"/>
        <v>436.92763766908462</v>
      </c>
      <c r="F301" s="24">
        <f t="shared" si="14"/>
        <v>227.78194448217664</v>
      </c>
      <c r="G301" s="24">
        <f t="shared" si="15"/>
        <v>339.66952588632478</v>
      </c>
    </row>
    <row r="302" spans="1:7" x14ac:dyDescent="0.6">
      <c r="A302" s="22">
        <v>18810</v>
      </c>
      <c r="B302" s="23">
        <v>6.9400000000000003E-2</v>
      </c>
      <c r="C302" s="23">
        <v>-1.9199999999999998E-2</v>
      </c>
      <c r="D302" s="23">
        <v>1.9099999999999999E-2</v>
      </c>
      <c r="E302" s="24">
        <f t="shared" si="13"/>
        <v>467.25041572331907</v>
      </c>
      <c r="F302" s="24">
        <f t="shared" si="14"/>
        <v>223.40853114811884</v>
      </c>
      <c r="G302" s="24">
        <f t="shared" si="15"/>
        <v>346.15721383075356</v>
      </c>
    </row>
    <row r="303" spans="1:7" x14ac:dyDescent="0.6">
      <c r="A303" s="22">
        <v>18841</v>
      </c>
      <c r="B303" s="23">
        <v>4.2699999999999995E-2</v>
      </c>
      <c r="C303" s="23">
        <v>8.3999999999999995E-3</v>
      </c>
      <c r="D303" s="23">
        <v>2.5000000000000001E-3</v>
      </c>
      <c r="E303" s="24">
        <f t="shared" si="13"/>
        <v>487.20200847470477</v>
      </c>
      <c r="F303" s="24">
        <f t="shared" si="14"/>
        <v>225.28516280976302</v>
      </c>
      <c r="G303" s="24">
        <f t="shared" si="15"/>
        <v>347.02260686533043</v>
      </c>
    </row>
    <row r="304" spans="1:7" x14ac:dyDescent="0.6">
      <c r="A304" s="22">
        <v>18872</v>
      </c>
      <c r="B304" s="23">
        <v>6.9999999999999993E-3</v>
      </c>
      <c r="C304" s="23">
        <v>1.8799999999999997E-2</v>
      </c>
      <c r="D304" s="23">
        <v>6.4000000000000003E-3</v>
      </c>
      <c r="E304" s="24">
        <f t="shared" si="13"/>
        <v>490.61242253402764</v>
      </c>
      <c r="F304" s="24">
        <f t="shared" si="14"/>
        <v>229.52052387058654</v>
      </c>
      <c r="G304" s="24">
        <f t="shared" si="15"/>
        <v>349.24355154926855</v>
      </c>
    </row>
    <row r="305" spans="1:7" x14ac:dyDescent="0.6">
      <c r="A305" s="22">
        <v>18902</v>
      </c>
      <c r="B305" s="23">
        <v>-2.5299999999999996E-2</v>
      </c>
      <c r="C305" s="23">
        <v>-2.8000000000000004E-3</v>
      </c>
      <c r="D305" s="23">
        <v>2.3999999999999998E-3</v>
      </c>
      <c r="E305" s="24">
        <f t="shared" si="13"/>
        <v>478.19992824391676</v>
      </c>
      <c r="F305" s="24">
        <f t="shared" si="14"/>
        <v>228.8778664037489</v>
      </c>
      <c r="G305" s="24">
        <f t="shared" si="15"/>
        <v>350.08173607298676</v>
      </c>
    </row>
    <row r="306" spans="1:7" x14ac:dyDescent="0.6">
      <c r="A306" s="22">
        <v>18933</v>
      </c>
      <c r="B306" s="23">
        <v>5.6999999999999993E-3</v>
      </c>
      <c r="C306" s="23">
        <v>-4.4000000000000003E-3</v>
      </c>
      <c r="D306" s="23">
        <v>2.5999999999999999E-3</v>
      </c>
      <c r="E306" s="24">
        <f t="shared" si="13"/>
        <v>480.92566783490713</v>
      </c>
      <c r="F306" s="24">
        <f t="shared" si="14"/>
        <v>227.8708037915724</v>
      </c>
      <c r="G306" s="24">
        <f t="shared" si="15"/>
        <v>350.99194858677652</v>
      </c>
    </row>
    <row r="307" spans="1:7" x14ac:dyDescent="0.6">
      <c r="A307" s="22">
        <v>18963</v>
      </c>
      <c r="B307" s="23">
        <v>3.3300000000000003E-2</v>
      </c>
      <c r="C307" s="23">
        <v>-2.06E-2</v>
      </c>
      <c r="D307" s="23">
        <v>-1.9299999999999998E-2</v>
      </c>
      <c r="E307" s="24">
        <f t="shared" si="13"/>
        <v>496.94049257380959</v>
      </c>
      <c r="F307" s="24">
        <f t="shared" si="14"/>
        <v>223.17666523346603</v>
      </c>
      <c r="G307" s="24">
        <f t="shared" si="15"/>
        <v>344.21780397905172</v>
      </c>
    </row>
    <row r="308" spans="1:7" x14ac:dyDescent="0.6">
      <c r="A308" s="22">
        <v>18994</v>
      </c>
      <c r="B308" s="23">
        <v>1.4500000000000001E-2</v>
      </c>
      <c r="C308" s="23">
        <v>-7.6E-3</v>
      </c>
      <c r="D308" s="23">
        <v>1.8200000000000001E-2</v>
      </c>
      <c r="E308" s="24">
        <f t="shared" si="13"/>
        <v>504.14612971612979</v>
      </c>
      <c r="F308" s="24">
        <f t="shared" si="14"/>
        <v>221.48052257769166</v>
      </c>
      <c r="G308" s="24">
        <f t="shared" si="15"/>
        <v>350.48256801147045</v>
      </c>
    </row>
    <row r="309" spans="1:7" x14ac:dyDescent="0.6">
      <c r="A309" s="22">
        <v>19025</v>
      </c>
      <c r="B309" s="23">
        <v>-2.6200000000000001E-2</v>
      </c>
      <c r="C309" s="23">
        <v>6.7000000000000002E-3</v>
      </c>
      <c r="D309" s="23">
        <v>-2.2000000000000001E-3</v>
      </c>
      <c r="E309" s="24">
        <f t="shared" si="13"/>
        <v>490.93750111756719</v>
      </c>
      <c r="F309" s="24">
        <f t="shared" si="14"/>
        <v>222.96444207896218</v>
      </c>
      <c r="G309" s="24">
        <f t="shared" si="15"/>
        <v>349.71150636184524</v>
      </c>
    </row>
    <row r="310" spans="1:7" x14ac:dyDescent="0.6">
      <c r="A310" s="22">
        <v>19054</v>
      </c>
      <c r="B310" s="23">
        <v>4.4400000000000009E-2</v>
      </c>
      <c r="C310" s="23">
        <v>-3.0200000000000001E-2</v>
      </c>
      <c r="D310" s="23">
        <v>2.2099999999999998E-2</v>
      </c>
      <c r="E310" s="24">
        <f t="shared" si="13"/>
        <v>512.73512616718722</v>
      </c>
      <c r="F310" s="24">
        <f t="shared" si="14"/>
        <v>216.23091592817752</v>
      </c>
      <c r="G310" s="24">
        <f t="shared" si="15"/>
        <v>357.44013065244201</v>
      </c>
    </row>
    <row r="311" spans="1:7" x14ac:dyDescent="0.6">
      <c r="A311" s="22">
        <v>19085</v>
      </c>
      <c r="B311" s="23">
        <v>-4.9699999999999994E-2</v>
      </c>
      <c r="C311" s="23">
        <v>3.8E-3</v>
      </c>
      <c r="D311" s="23">
        <v>2.5000000000000001E-3</v>
      </c>
      <c r="E311" s="24">
        <f t="shared" si="13"/>
        <v>487.25219039667803</v>
      </c>
      <c r="F311" s="24">
        <f t="shared" si="14"/>
        <v>217.05259340870461</v>
      </c>
      <c r="G311" s="24">
        <f t="shared" si="15"/>
        <v>358.3337309790731</v>
      </c>
    </row>
    <row r="312" spans="1:7" x14ac:dyDescent="0.6">
      <c r="A312" s="22">
        <v>19115</v>
      </c>
      <c r="B312" s="23">
        <v>3.2000000000000001E-2</v>
      </c>
      <c r="C312" s="23">
        <v>-1.06E-2</v>
      </c>
      <c r="D312" s="23">
        <v>2E-3</v>
      </c>
      <c r="E312" s="24">
        <f t="shared" si="13"/>
        <v>502.84426048937172</v>
      </c>
      <c r="F312" s="24">
        <f t="shared" si="14"/>
        <v>214.75183591857234</v>
      </c>
      <c r="G312" s="24">
        <f t="shared" si="15"/>
        <v>359.05039844103123</v>
      </c>
    </row>
    <row r="313" spans="1:7" x14ac:dyDescent="0.6">
      <c r="A313" s="22">
        <v>19146</v>
      </c>
      <c r="B313" s="23">
        <v>3.8300000000000001E-2</v>
      </c>
      <c r="C313" s="23">
        <v>-1.6E-2</v>
      </c>
      <c r="D313" s="23">
        <v>1.18E-2</v>
      </c>
      <c r="E313" s="24">
        <f t="shared" si="13"/>
        <v>522.10319566611463</v>
      </c>
      <c r="F313" s="24">
        <f t="shared" si="14"/>
        <v>211.31580654387517</v>
      </c>
      <c r="G313" s="24">
        <f t="shared" si="15"/>
        <v>363.28719314263543</v>
      </c>
    </row>
    <row r="314" spans="1:7" x14ac:dyDescent="0.6">
      <c r="A314" s="22">
        <v>19176</v>
      </c>
      <c r="B314" s="23">
        <v>9.1000000000000004E-3</v>
      </c>
      <c r="C314" s="23">
        <v>-3.4999999999999996E-3</v>
      </c>
      <c r="D314" s="23">
        <v>-4.0000000000000001E-3</v>
      </c>
      <c r="E314" s="24">
        <f t="shared" si="13"/>
        <v>526.85433474667627</v>
      </c>
      <c r="F314" s="24">
        <f t="shared" si="14"/>
        <v>210.57620122097163</v>
      </c>
      <c r="G314" s="24">
        <f t="shared" si="15"/>
        <v>361.83404437006487</v>
      </c>
    </row>
    <row r="315" spans="1:7" x14ac:dyDescent="0.6">
      <c r="A315" s="22">
        <v>19207</v>
      </c>
      <c r="B315" s="23">
        <v>-7.5999999999999991E-3</v>
      </c>
      <c r="C315" s="23">
        <v>1.21E-2</v>
      </c>
      <c r="D315" s="23">
        <v>-1.1999999999999999E-3</v>
      </c>
      <c r="E315" s="24">
        <f t="shared" si="13"/>
        <v>522.85024180260154</v>
      </c>
      <c r="F315" s="24">
        <f t="shared" si="14"/>
        <v>213.12417325574538</v>
      </c>
      <c r="G315" s="24">
        <f t="shared" si="15"/>
        <v>361.39984351682079</v>
      </c>
    </row>
    <row r="316" spans="1:7" x14ac:dyDescent="0.6">
      <c r="A316" s="22">
        <v>19238</v>
      </c>
      <c r="B316" s="23">
        <v>-2.0299999999999999E-2</v>
      </c>
      <c r="C316" s="23">
        <v>1.1899999999999999E-2</v>
      </c>
      <c r="D316" s="23">
        <v>-1.5900000000000001E-2</v>
      </c>
      <c r="E316" s="24">
        <f t="shared" si="13"/>
        <v>512.23638189400879</v>
      </c>
      <c r="F316" s="24">
        <f t="shared" si="14"/>
        <v>215.66035091748876</v>
      </c>
      <c r="G316" s="24">
        <f t="shared" si="15"/>
        <v>355.65358600490333</v>
      </c>
    </row>
    <row r="317" spans="1:7" x14ac:dyDescent="0.6">
      <c r="A317" s="22">
        <v>19268</v>
      </c>
      <c r="B317" s="23">
        <v>-6.6E-3</v>
      </c>
      <c r="C317" s="23">
        <v>-1.1000000000000001E-2</v>
      </c>
      <c r="D317" s="23">
        <v>-4.5999999999999999E-3</v>
      </c>
      <c r="E317" s="24">
        <f t="shared" si="13"/>
        <v>508.85562177350829</v>
      </c>
      <c r="F317" s="24">
        <f t="shared" si="14"/>
        <v>213.28808705739638</v>
      </c>
      <c r="G317" s="24">
        <f t="shared" si="15"/>
        <v>354.01757950928078</v>
      </c>
    </row>
    <row r="318" spans="1:7" x14ac:dyDescent="0.6">
      <c r="A318" s="22">
        <v>19299</v>
      </c>
      <c r="B318" s="23">
        <v>5.9400000000000001E-2</v>
      </c>
      <c r="C318" s="23">
        <v>-6.8999999999999999E-3</v>
      </c>
      <c r="D318" s="23">
        <v>8.8000000000000005E-3</v>
      </c>
      <c r="E318" s="24">
        <f t="shared" si="13"/>
        <v>539.0816457068546</v>
      </c>
      <c r="F318" s="24">
        <f t="shared" si="14"/>
        <v>211.81639925670035</v>
      </c>
      <c r="G318" s="24">
        <f t="shared" si="15"/>
        <v>357.13293420896241</v>
      </c>
    </row>
    <row r="319" spans="1:7" x14ac:dyDescent="0.6">
      <c r="A319" s="22">
        <v>19329</v>
      </c>
      <c r="B319" s="23">
        <v>2.9300000000000003E-2</v>
      </c>
      <c r="C319" s="23">
        <v>-1.4199999999999999E-2</v>
      </c>
      <c r="D319" s="23">
        <v>0</v>
      </c>
      <c r="E319" s="24">
        <f t="shared" si="13"/>
        <v>554.87673792606552</v>
      </c>
      <c r="F319" s="24">
        <f t="shared" si="14"/>
        <v>208.8086063872552</v>
      </c>
      <c r="G319" s="24">
        <f t="shared" si="15"/>
        <v>357.13293420896241</v>
      </c>
    </row>
    <row r="320" spans="1:7" x14ac:dyDescent="0.6">
      <c r="A320" s="22">
        <v>19360</v>
      </c>
      <c r="B320" s="23">
        <v>-3.4000000000000002E-3</v>
      </c>
      <c r="C320" s="23">
        <v>3.5400000000000001E-2</v>
      </c>
      <c r="D320" s="23">
        <v>1.2800000000000001E-2</v>
      </c>
      <c r="E320" s="24">
        <f t="shared" si="13"/>
        <v>552.99015701711687</v>
      </c>
      <c r="F320" s="24">
        <f t="shared" si="14"/>
        <v>216.20043105336404</v>
      </c>
      <c r="G320" s="24">
        <f t="shared" si="15"/>
        <v>361.70423576683709</v>
      </c>
    </row>
    <row r="321" spans="1:7" x14ac:dyDescent="0.6">
      <c r="A321" s="22">
        <v>19391</v>
      </c>
      <c r="B321" s="23">
        <v>-2.7000000000000001E-3</v>
      </c>
      <c r="C321" s="23">
        <v>2.1600000000000001E-2</v>
      </c>
      <c r="D321" s="23">
        <v>-1.2999999999999999E-3</v>
      </c>
      <c r="E321" s="24">
        <f t="shared" si="13"/>
        <v>551.4970835931706</v>
      </c>
      <c r="F321" s="24">
        <f t="shared" si="14"/>
        <v>220.87036036411672</v>
      </c>
      <c r="G321" s="24">
        <f t="shared" si="15"/>
        <v>361.23402026034023</v>
      </c>
    </row>
    <row r="322" spans="1:7" x14ac:dyDescent="0.6">
      <c r="A322" s="22">
        <v>19419</v>
      </c>
      <c r="B322" s="23">
        <v>-1.43E-2</v>
      </c>
      <c r="C322" s="23">
        <v>-1.4000000000000002E-3</v>
      </c>
      <c r="D322" s="23">
        <v>-1.03E-2</v>
      </c>
      <c r="E322" s="24">
        <f t="shared" si="13"/>
        <v>543.61067529778825</v>
      </c>
      <c r="F322" s="24">
        <f t="shared" si="14"/>
        <v>220.56114185960698</v>
      </c>
      <c r="G322" s="24">
        <f t="shared" si="15"/>
        <v>357.51330985165873</v>
      </c>
    </row>
    <row r="323" spans="1:7" x14ac:dyDescent="0.6">
      <c r="A323" s="22">
        <v>19450</v>
      </c>
      <c r="B323" s="23">
        <v>-2.8299999999999999E-2</v>
      </c>
      <c r="C323" s="23">
        <v>2.7000000000000001E-3</v>
      </c>
      <c r="D323" s="23">
        <v>1.4499999999999999E-2</v>
      </c>
      <c r="E323" s="24">
        <f t="shared" si="13"/>
        <v>528.22649318686081</v>
      </c>
      <c r="F323" s="24">
        <f t="shared" si="14"/>
        <v>221.1566569426279</v>
      </c>
      <c r="G323" s="24">
        <f t="shared" si="15"/>
        <v>362.69725284450777</v>
      </c>
    </row>
    <row r="324" spans="1:7" x14ac:dyDescent="0.6">
      <c r="A324" s="22">
        <v>19480</v>
      </c>
      <c r="B324" s="23">
        <v>5.2000000000000006E-3</v>
      </c>
      <c r="C324" s="23">
        <v>-2.9999999999999997E-4</v>
      </c>
      <c r="D324" s="23">
        <v>1.2999999999999999E-3</v>
      </c>
      <c r="E324" s="24">
        <f t="shared" ref="E324:E387" si="16">E323*(1+B324)</f>
        <v>530.97327095143248</v>
      </c>
      <c r="F324" s="24">
        <f t="shared" ref="F324:F387" si="17">F323*(1+C324)</f>
        <v>221.09030994554513</v>
      </c>
      <c r="G324" s="24">
        <f t="shared" ref="G324:G387" si="18">G323*(1+D324)</f>
        <v>363.16875927320564</v>
      </c>
    </row>
    <row r="325" spans="1:7" x14ac:dyDescent="0.6">
      <c r="A325" s="22">
        <v>19511</v>
      </c>
      <c r="B325" s="23">
        <v>-1.89E-2</v>
      </c>
      <c r="C325" s="23">
        <v>-1.8500000000000003E-2</v>
      </c>
      <c r="D325" s="23">
        <v>-4.6999999999999993E-3</v>
      </c>
      <c r="E325" s="24">
        <f t="shared" si="16"/>
        <v>520.93787613045038</v>
      </c>
      <c r="F325" s="24">
        <f t="shared" si="17"/>
        <v>217.00013921155255</v>
      </c>
      <c r="G325" s="24">
        <f t="shared" si="18"/>
        <v>361.46186610462155</v>
      </c>
    </row>
    <row r="326" spans="1:7" x14ac:dyDescent="0.6">
      <c r="A326" s="22">
        <v>19541</v>
      </c>
      <c r="B326" s="23">
        <v>2.3999999999999997E-2</v>
      </c>
      <c r="C326" s="23">
        <v>-1.01E-2</v>
      </c>
      <c r="D326" s="23">
        <v>-3.7000000000000002E-3</v>
      </c>
      <c r="E326" s="24">
        <f t="shared" si="16"/>
        <v>533.4403851575812</v>
      </c>
      <c r="F326" s="24">
        <f t="shared" si="17"/>
        <v>214.80843780551587</v>
      </c>
      <c r="G326" s="24">
        <f t="shared" si="18"/>
        <v>360.12445720003444</v>
      </c>
    </row>
    <row r="327" spans="1:7" x14ac:dyDescent="0.6">
      <c r="A327" s="22">
        <v>19572</v>
      </c>
      <c r="B327" s="23">
        <v>-4.5199999999999997E-2</v>
      </c>
      <c r="C327" s="23">
        <v>4.4000000000000003E-3</v>
      </c>
      <c r="D327" s="23">
        <v>-3.6200000000000003E-2</v>
      </c>
      <c r="E327" s="24">
        <f t="shared" si="16"/>
        <v>509.32887974845852</v>
      </c>
      <c r="F327" s="24">
        <f t="shared" si="17"/>
        <v>215.75359493186014</v>
      </c>
      <c r="G327" s="24">
        <f t="shared" si="18"/>
        <v>347.08795184939316</v>
      </c>
    </row>
    <row r="328" spans="1:7" x14ac:dyDescent="0.6">
      <c r="A328" s="22">
        <v>19603</v>
      </c>
      <c r="B328" s="23">
        <v>2E-3</v>
      </c>
      <c r="C328" s="23">
        <v>-8.1000000000000013E-3</v>
      </c>
      <c r="D328" s="23">
        <v>-2.5499999999999998E-2</v>
      </c>
      <c r="E328" s="24">
        <f t="shared" si="16"/>
        <v>510.34753750795545</v>
      </c>
      <c r="F328" s="24">
        <f t="shared" si="17"/>
        <v>214.00599081291207</v>
      </c>
      <c r="G328" s="24">
        <f t="shared" si="18"/>
        <v>338.23720907723367</v>
      </c>
    </row>
    <row r="329" spans="1:7" x14ac:dyDescent="0.6">
      <c r="A329" s="22">
        <v>19633</v>
      </c>
      <c r="B329" s="23">
        <v>4.5999999999999992E-2</v>
      </c>
      <c r="C329" s="23">
        <v>-1.3999999999999999E-2</v>
      </c>
      <c r="D329" s="23">
        <v>-2.9999999999999997E-4</v>
      </c>
      <c r="E329" s="24">
        <f t="shared" si="16"/>
        <v>533.82352423332145</v>
      </c>
      <c r="F329" s="24">
        <f t="shared" si="17"/>
        <v>211.00990694153131</v>
      </c>
      <c r="G329" s="24">
        <f t="shared" si="18"/>
        <v>338.13573791451051</v>
      </c>
    </row>
    <row r="330" spans="1:7" x14ac:dyDescent="0.6">
      <c r="A330" s="22">
        <v>19664</v>
      </c>
      <c r="B330" s="23">
        <v>2.8300000000000002E-2</v>
      </c>
      <c r="C330" s="23">
        <v>-1.23E-2</v>
      </c>
      <c r="D330" s="23">
        <v>-4.0000000000000001E-3</v>
      </c>
      <c r="E330" s="24">
        <f t="shared" si="16"/>
        <v>548.9307299691244</v>
      </c>
      <c r="F330" s="24">
        <f t="shared" si="17"/>
        <v>208.41448508615048</v>
      </c>
      <c r="G330" s="24">
        <f t="shared" si="18"/>
        <v>336.78319496285246</v>
      </c>
    </row>
    <row r="331" spans="1:7" x14ac:dyDescent="0.6">
      <c r="A331" s="22">
        <v>19694</v>
      </c>
      <c r="B331" s="23">
        <v>3.0000000000000014E-4</v>
      </c>
      <c r="C331" s="23">
        <v>-7.1999999999999998E-3</v>
      </c>
      <c r="D331" s="23">
        <v>-2.9600000000000001E-2</v>
      </c>
      <c r="E331" s="24">
        <f t="shared" si="16"/>
        <v>549.09540918811513</v>
      </c>
      <c r="F331" s="24">
        <f t="shared" si="17"/>
        <v>206.91390079353019</v>
      </c>
      <c r="G331" s="24">
        <f t="shared" si="18"/>
        <v>326.81441239195203</v>
      </c>
    </row>
    <row r="332" spans="1:7" x14ac:dyDescent="0.6">
      <c r="A332" s="22">
        <v>19725</v>
      </c>
      <c r="B332" s="23">
        <v>5.1300000000000005E-2</v>
      </c>
      <c r="C332" s="23">
        <v>4.1999999999999997E-3</v>
      </c>
      <c r="D332" s="23">
        <v>3.5299999999999998E-2</v>
      </c>
      <c r="E332" s="24">
        <f t="shared" si="16"/>
        <v>577.26400367946542</v>
      </c>
      <c r="F332" s="24">
        <f t="shared" si="17"/>
        <v>207.78293917686301</v>
      </c>
      <c r="G332" s="24">
        <f t="shared" si="18"/>
        <v>338.3509611493879</v>
      </c>
    </row>
    <row r="333" spans="1:7" x14ac:dyDescent="0.6">
      <c r="A333" s="22">
        <v>19756</v>
      </c>
      <c r="B333" s="23">
        <v>1.67E-2</v>
      </c>
      <c r="C333" s="23">
        <v>-2.0999999999999999E-3</v>
      </c>
      <c r="D333" s="23">
        <v>-2.3E-3</v>
      </c>
      <c r="E333" s="24">
        <f t="shared" si="16"/>
        <v>586.90431254091243</v>
      </c>
      <c r="F333" s="24">
        <f t="shared" si="17"/>
        <v>207.34659500459159</v>
      </c>
      <c r="G333" s="24">
        <f t="shared" si="18"/>
        <v>337.57275393874431</v>
      </c>
    </row>
    <row r="334" spans="1:7" x14ac:dyDescent="0.6">
      <c r="A334" s="22">
        <v>19784</v>
      </c>
      <c r="B334" s="23">
        <v>3.6499999999999998E-2</v>
      </c>
      <c r="C334" s="23">
        <v>-5.1000000000000004E-3</v>
      </c>
      <c r="D334" s="23">
        <v>-1.55E-2</v>
      </c>
      <c r="E334" s="24">
        <f t="shared" si="16"/>
        <v>608.32631994865574</v>
      </c>
      <c r="F334" s="24">
        <f t="shared" si="17"/>
        <v>206.28912737006817</v>
      </c>
      <c r="G334" s="24">
        <f t="shared" si="18"/>
        <v>332.34037625269377</v>
      </c>
    </row>
    <row r="335" spans="1:7" x14ac:dyDescent="0.6">
      <c r="A335" s="22">
        <v>19815</v>
      </c>
      <c r="B335" s="23">
        <v>4.2699999999999995E-2</v>
      </c>
      <c r="C335" s="23">
        <v>-3.4599999999999999E-2</v>
      </c>
      <c r="D335" s="23">
        <v>-5.0000000000000001E-3</v>
      </c>
      <c r="E335" s="24">
        <f t="shared" si="16"/>
        <v>634.30185381046329</v>
      </c>
      <c r="F335" s="24">
        <f t="shared" si="17"/>
        <v>199.15152356306382</v>
      </c>
      <c r="G335" s="24">
        <f t="shared" si="18"/>
        <v>330.6786743714303</v>
      </c>
    </row>
    <row r="336" spans="1:7" x14ac:dyDescent="0.6">
      <c r="A336" s="22">
        <v>19845</v>
      </c>
      <c r="B336" s="23">
        <v>3.0899999999999997E-2</v>
      </c>
      <c r="C336" s="23">
        <v>3.5999999999999999E-3</v>
      </c>
      <c r="D336" s="23">
        <v>2.53E-2</v>
      </c>
      <c r="E336" s="24">
        <f t="shared" si="16"/>
        <v>653.90178109320652</v>
      </c>
      <c r="F336" s="24">
        <f t="shared" si="17"/>
        <v>199.86846904789087</v>
      </c>
      <c r="G336" s="24">
        <f t="shared" si="18"/>
        <v>339.04484483302753</v>
      </c>
    </row>
    <row r="337" spans="1:7" x14ac:dyDescent="0.6">
      <c r="A337" s="22">
        <v>19876</v>
      </c>
      <c r="B337" s="23">
        <v>1.0700000000000001E-2</v>
      </c>
      <c r="C337" s="23">
        <v>4.0000000000000001E-3</v>
      </c>
      <c r="D337" s="23">
        <v>-5.0000000000000001E-4</v>
      </c>
      <c r="E337" s="24">
        <f t="shared" si="16"/>
        <v>660.89853015090375</v>
      </c>
      <c r="F337" s="24">
        <f t="shared" si="17"/>
        <v>200.66794292408244</v>
      </c>
      <c r="G337" s="24">
        <f t="shared" si="18"/>
        <v>338.87532241061103</v>
      </c>
    </row>
    <row r="338" spans="1:7" x14ac:dyDescent="0.6">
      <c r="A338" s="22">
        <v>19906</v>
      </c>
      <c r="B338" s="23">
        <v>4.99E-2</v>
      </c>
      <c r="C338" s="23">
        <v>1.0500000000000001E-2</v>
      </c>
      <c r="D338" s="23">
        <v>4.1299999999999996E-2</v>
      </c>
      <c r="E338" s="24">
        <f t="shared" si="16"/>
        <v>693.87736680543389</v>
      </c>
      <c r="F338" s="24">
        <f t="shared" si="17"/>
        <v>202.77495632478531</v>
      </c>
      <c r="G338" s="24">
        <f t="shared" si="18"/>
        <v>352.87087322616924</v>
      </c>
    </row>
    <row r="339" spans="1:7" x14ac:dyDescent="0.6">
      <c r="A339" s="22">
        <v>19937</v>
      </c>
      <c r="B339" s="23">
        <v>-2.3400000000000001E-2</v>
      </c>
      <c r="C339" s="23">
        <v>2.6800000000000001E-2</v>
      </c>
      <c r="D339" s="23">
        <v>-1.44E-2</v>
      </c>
      <c r="E339" s="24">
        <f t="shared" si="16"/>
        <v>677.64063642218673</v>
      </c>
      <c r="F339" s="24">
        <f t="shared" si="17"/>
        <v>208.20932515428953</v>
      </c>
      <c r="G339" s="24">
        <f t="shared" si="18"/>
        <v>347.78953265171242</v>
      </c>
    </row>
    <row r="340" spans="1:7" x14ac:dyDescent="0.6">
      <c r="A340" s="22">
        <v>19968</v>
      </c>
      <c r="B340" s="23">
        <v>6.3899999999999998E-2</v>
      </c>
      <c r="C340" s="23">
        <v>-2.5600000000000001E-2</v>
      </c>
      <c r="D340" s="23">
        <v>6.8000000000000005E-3</v>
      </c>
      <c r="E340" s="24">
        <f t="shared" si="16"/>
        <v>720.94187308956452</v>
      </c>
      <c r="F340" s="24">
        <f t="shared" si="17"/>
        <v>202.87916643033972</v>
      </c>
      <c r="G340" s="24">
        <f t="shared" si="18"/>
        <v>350.15450147374406</v>
      </c>
    </row>
    <row r="341" spans="1:7" x14ac:dyDescent="0.6">
      <c r="A341" s="22">
        <v>19998</v>
      </c>
      <c r="B341" s="23">
        <v>-1.67E-2</v>
      </c>
      <c r="C341" s="23">
        <v>5.6999999999999993E-3</v>
      </c>
      <c r="D341" s="23">
        <v>7.0999999999999995E-3</v>
      </c>
      <c r="E341" s="24">
        <f t="shared" si="16"/>
        <v>708.90214380896873</v>
      </c>
      <c r="F341" s="24">
        <f t="shared" si="17"/>
        <v>204.03557767899267</v>
      </c>
      <c r="G341" s="24">
        <f t="shared" si="18"/>
        <v>352.64059843420767</v>
      </c>
    </row>
    <row r="342" spans="1:7" x14ac:dyDescent="0.6">
      <c r="A342" s="22">
        <v>20029</v>
      </c>
      <c r="B342" s="23">
        <v>9.3800000000000008E-2</v>
      </c>
      <c r="C342" s="23">
        <v>-2.6499999999999999E-2</v>
      </c>
      <c r="D342" s="23">
        <v>4.1799999999999997E-2</v>
      </c>
      <c r="E342" s="24">
        <f t="shared" si="16"/>
        <v>775.39716489825003</v>
      </c>
      <c r="F342" s="24">
        <f t="shared" si="17"/>
        <v>198.62863487049935</v>
      </c>
      <c r="G342" s="24">
        <f t="shared" si="18"/>
        <v>367.38097544875757</v>
      </c>
    </row>
    <row r="343" spans="1:7" x14ac:dyDescent="0.6">
      <c r="A343" s="22">
        <v>20059</v>
      </c>
      <c r="B343" s="23">
        <v>5.4800000000000001E-2</v>
      </c>
      <c r="C343" s="23">
        <v>2.1499999999999998E-2</v>
      </c>
      <c r="D343" s="23">
        <v>5.74E-2</v>
      </c>
      <c r="E343" s="24">
        <f t="shared" si="16"/>
        <v>817.88892953467405</v>
      </c>
      <c r="F343" s="24">
        <f t="shared" si="17"/>
        <v>202.8991505202151</v>
      </c>
      <c r="G343" s="24">
        <f t="shared" si="18"/>
        <v>388.4686434395162</v>
      </c>
    </row>
    <row r="344" spans="1:7" x14ac:dyDescent="0.6">
      <c r="A344" s="22">
        <v>20090</v>
      </c>
      <c r="B344" s="23">
        <v>5.9999999999999993E-3</v>
      </c>
      <c r="C344" s="23">
        <v>2.3999999999999998E-3</v>
      </c>
      <c r="D344" s="23">
        <v>2.2200000000000001E-2</v>
      </c>
      <c r="E344" s="24">
        <f t="shared" si="16"/>
        <v>822.79626311188213</v>
      </c>
      <c r="F344" s="24">
        <f t="shared" si="17"/>
        <v>203.38610848146362</v>
      </c>
      <c r="G344" s="24">
        <f t="shared" si="18"/>
        <v>397.09264732387345</v>
      </c>
    </row>
    <row r="345" spans="1:7" x14ac:dyDescent="0.6">
      <c r="A345" s="22">
        <v>20121</v>
      </c>
      <c r="B345" s="23">
        <v>3.0199999999999998E-2</v>
      </c>
      <c r="C345" s="23">
        <v>1.54E-2</v>
      </c>
      <c r="D345" s="23">
        <v>6.0999999999999995E-3</v>
      </c>
      <c r="E345" s="24">
        <f t="shared" si="16"/>
        <v>847.64471025786099</v>
      </c>
      <c r="F345" s="24">
        <f t="shared" si="17"/>
        <v>206.51825455207819</v>
      </c>
      <c r="G345" s="24">
        <f t="shared" si="18"/>
        <v>399.5149124725491</v>
      </c>
    </row>
    <row r="346" spans="1:7" x14ac:dyDescent="0.6">
      <c r="A346" s="22">
        <v>20149</v>
      </c>
      <c r="B346" s="23">
        <v>-1.5999999999999999E-3</v>
      </c>
      <c r="C346" s="23">
        <v>-6.8999999999999999E-3</v>
      </c>
      <c r="D346" s="23">
        <v>2.0099999999999996E-2</v>
      </c>
      <c r="E346" s="24">
        <f t="shared" si="16"/>
        <v>846.28847872144843</v>
      </c>
      <c r="F346" s="24">
        <f t="shared" si="17"/>
        <v>205.09327859566883</v>
      </c>
      <c r="G346" s="24">
        <f t="shared" si="18"/>
        <v>407.54516221324735</v>
      </c>
    </row>
    <row r="347" spans="1:7" x14ac:dyDescent="0.6">
      <c r="A347" s="22">
        <v>20180</v>
      </c>
      <c r="B347" s="23">
        <v>3.1099999999999996E-2</v>
      </c>
      <c r="C347" s="23">
        <v>-1.78E-2</v>
      </c>
      <c r="D347" s="23">
        <v>7.4000000000000003E-3</v>
      </c>
      <c r="E347" s="24">
        <f t="shared" si="16"/>
        <v>872.60805040968535</v>
      </c>
      <c r="F347" s="24">
        <f t="shared" si="17"/>
        <v>201.44261823666591</v>
      </c>
      <c r="G347" s="24">
        <f t="shared" si="18"/>
        <v>410.56099641362539</v>
      </c>
    </row>
    <row r="348" spans="1:7" x14ac:dyDescent="0.6">
      <c r="A348" s="22">
        <v>20210</v>
      </c>
      <c r="B348" s="23">
        <v>9.300000000000001E-3</v>
      </c>
      <c r="C348" s="23">
        <v>-2.8000000000000004E-3</v>
      </c>
      <c r="D348" s="23">
        <v>-8.6999999999999994E-3</v>
      </c>
      <c r="E348" s="24">
        <f t="shared" si="16"/>
        <v>880.72330527849545</v>
      </c>
      <c r="F348" s="24">
        <f t="shared" si="17"/>
        <v>200.87857890560323</v>
      </c>
      <c r="G348" s="24">
        <f t="shared" si="18"/>
        <v>406.98911574482685</v>
      </c>
    </row>
    <row r="349" spans="1:7" x14ac:dyDescent="0.6">
      <c r="A349" s="22">
        <v>20241</v>
      </c>
      <c r="B349" s="23">
        <v>6.5499999999999989E-2</v>
      </c>
      <c r="C349" s="23">
        <v>-4.6500000000000007E-2</v>
      </c>
      <c r="D349" s="23">
        <v>1.8600000000000002E-2</v>
      </c>
      <c r="E349" s="24">
        <f t="shared" si="16"/>
        <v>938.41068177423676</v>
      </c>
      <c r="F349" s="24">
        <f t="shared" si="17"/>
        <v>191.53772498649269</v>
      </c>
      <c r="G349" s="24">
        <f t="shared" si="18"/>
        <v>414.5591132976806</v>
      </c>
    </row>
    <row r="350" spans="1:7" x14ac:dyDescent="0.6">
      <c r="A350" s="22">
        <v>20271</v>
      </c>
      <c r="B350" s="23">
        <v>1.9E-2</v>
      </c>
      <c r="C350" s="23">
        <v>-1.3600000000000001E-2</v>
      </c>
      <c r="D350" s="23">
        <v>6.3E-3</v>
      </c>
      <c r="E350" s="24">
        <f t="shared" si="16"/>
        <v>956.24048472794721</v>
      </c>
      <c r="F350" s="24">
        <f t="shared" si="17"/>
        <v>188.93281192667638</v>
      </c>
      <c r="G350" s="24">
        <f t="shared" si="18"/>
        <v>417.17083571145599</v>
      </c>
    </row>
    <row r="351" spans="1:7" x14ac:dyDescent="0.6">
      <c r="A351" s="22">
        <v>20302</v>
      </c>
      <c r="B351" s="23">
        <v>2.1000000000000003E-3</v>
      </c>
      <c r="C351" s="23">
        <v>-3.8E-3</v>
      </c>
      <c r="D351" s="23">
        <v>5.8999999999999999E-3</v>
      </c>
      <c r="E351" s="24">
        <f t="shared" si="16"/>
        <v>958.24858974587585</v>
      </c>
      <c r="F351" s="24">
        <f t="shared" si="17"/>
        <v>188.21486724135499</v>
      </c>
      <c r="G351" s="24">
        <f t="shared" si="18"/>
        <v>419.63214364215361</v>
      </c>
    </row>
    <row r="352" spans="1:7" x14ac:dyDescent="0.6">
      <c r="A352" s="22">
        <v>20333</v>
      </c>
      <c r="B352" s="23">
        <v>-3.5999999999999999E-3</v>
      </c>
      <c r="C352" s="23">
        <v>3.0000000000000001E-3</v>
      </c>
      <c r="D352" s="23">
        <v>-1.06E-2</v>
      </c>
      <c r="E352" s="24">
        <f t="shared" si="16"/>
        <v>954.79889482279066</v>
      </c>
      <c r="F352" s="24">
        <f t="shared" si="17"/>
        <v>188.77951184307904</v>
      </c>
      <c r="G352" s="24">
        <f t="shared" si="18"/>
        <v>415.18404291954676</v>
      </c>
    </row>
    <row r="353" spans="1:7" x14ac:dyDescent="0.6">
      <c r="A353" s="22">
        <v>20363</v>
      </c>
      <c r="B353" s="23">
        <v>-2.6800000000000001E-2</v>
      </c>
      <c r="C353" s="23">
        <v>1.4999999999999999E-2</v>
      </c>
      <c r="D353" s="23">
        <v>-2.9999999999999997E-4</v>
      </c>
      <c r="E353" s="24">
        <f t="shared" si="16"/>
        <v>929.21028444153978</v>
      </c>
      <c r="F353" s="24">
        <f t="shared" si="17"/>
        <v>191.61120452072521</v>
      </c>
      <c r="G353" s="24">
        <f t="shared" si="18"/>
        <v>415.05948770667089</v>
      </c>
    </row>
    <row r="354" spans="1:7" x14ac:dyDescent="0.6">
      <c r="A354" s="22">
        <v>20394</v>
      </c>
      <c r="B354" s="23">
        <v>7.0300000000000001E-2</v>
      </c>
      <c r="C354" s="23">
        <v>-2.46E-2</v>
      </c>
      <c r="D354" s="23">
        <v>5.1000000000000004E-3</v>
      </c>
      <c r="E354" s="24">
        <f t="shared" si="16"/>
        <v>994.53376743778006</v>
      </c>
      <c r="F354" s="24">
        <f t="shared" si="17"/>
        <v>186.89756888951538</v>
      </c>
      <c r="G354" s="24">
        <f t="shared" si="18"/>
        <v>417.17629109397495</v>
      </c>
    </row>
    <row r="355" spans="1:7" x14ac:dyDescent="0.6">
      <c r="A355" s="22">
        <v>20424</v>
      </c>
      <c r="B355" s="23">
        <v>1.49E-2</v>
      </c>
      <c r="C355" s="23">
        <v>2.0899999999999998E-2</v>
      </c>
      <c r="D355" s="23">
        <v>-2.2599999999999999E-2</v>
      </c>
      <c r="E355" s="24">
        <f t="shared" si="16"/>
        <v>1009.3523205726029</v>
      </c>
      <c r="F355" s="24">
        <f t="shared" si="17"/>
        <v>190.80372807930624</v>
      </c>
      <c r="G355" s="24">
        <f t="shared" si="18"/>
        <v>407.74810691525113</v>
      </c>
    </row>
    <row r="356" spans="1:7" x14ac:dyDescent="0.6">
      <c r="A356" s="22">
        <v>20455</v>
      </c>
      <c r="B356" s="23">
        <v>-3.0299999999999997E-2</v>
      </c>
      <c r="C356" s="23">
        <v>4.4000000000000003E-3</v>
      </c>
      <c r="D356" s="23">
        <v>1.1200000000000002E-2</v>
      </c>
      <c r="E356" s="24">
        <f t="shared" si="16"/>
        <v>978.76894525925309</v>
      </c>
      <c r="F356" s="24">
        <f t="shared" si="17"/>
        <v>191.64326448285519</v>
      </c>
      <c r="G356" s="24">
        <f t="shared" si="18"/>
        <v>412.31488571270199</v>
      </c>
    </row>
    <row r="357" spans="1:7" x14ac:dyDescent="0.6">
      <c r="A357" s="22">
        <v>20486</v>
      </c>
      <c r="B357" s="23">
        <v>3.7699999999999997E-2</v>
      </c>
      <c r="C357" s="23">
        <v>-1.03E-2</v>
      </c>
      <c r="D357" s="23">
        <v>-5.5000000000000005E-3</v>
      </c>
      <c r="E357" s="24">
        <f t="shared" si="16"/>
        <v>1015.668534495527</v>
      </c>
      <c r="F357" s="24">
        <f t="shared" si="17"/>
        <v>189.66933885868178</v>
      </c>
      <c r="G357" s="24">
        <f t="shared" si="18"/>
        <v>410.04715384128218</v>
      </c>
    </row>
    <row r="358" spans="1:7" x14ac:dyDescent="0.6">
      <c r="A358" s="22">
        <v>20515</v>
      </c>
      <c r="B358" s="23">
        <v>6.6400000000000001E-2</v>
      </c>
      <c r="C358" s="23">
        <v>-2.41E-2</v>
      </c>
      <c r="D358" s="23">
        <v>-1.5E-3</v>
      </c>
      <c r="E358" s="24">
        <f t="shared" si="16"/>
        <v>1083.1089251860299</v>
      </c>
      <c r="F358" s="24">
        <f t="shared" si="17"/>
        <v>185.09830779218754</v>
      </c>
      <c r="G358" s="24">
        <f t="shared" si="18"/>
        <v>409.4320831105203</v>
      </c>
    </row>
    <row r="359" spans="1:7" x14ac:dyDescent="0.6">
      <c r="A359" s="22">
        <v>20546</v>
      </c>
      <c r="B359" s="23">
        <v>2.8000000000000004E-3</v>
      </c>
      <c r="C359" s="23">
        <v>5.9999999999999995E-4</v>
      </c>
      <c r="D359" s="23">
        <v>-1.6000000000000001E-3</v>
      </c>
      <c r="E359" s="24">
        <f t="shared" si="16"/>
        <v>1086.1416301765507</v>
      </c>
      <c r="F359" s="24">
        <f t="shared" si="17"/>
        <v>185.20936677686285</v>
      </c>
      <c r="G359" s="24">
        <f t="shared" si="18"/>
        <v>408.77699177754346</v>
      </c>
    </row>
    <row r="360" spans="1:7" x14ac:dyDescent="0.6">
      <c r="A360" s="22">
        <v>20576</v>
      </c>
      <c r="B360" s="23">
        <v>-5.1999999999999991E-2</v>
      </c>
      <c r="C360" s="23">
        <v>1.5100000000000001E-2</v>
      </c>
      <c r="D360" s="23">
        <v>-1.34E-2</v>
      </c>
      <c r="E360" s="24">
        <f t="shared" si="16"/>
        <v>1029.6622654073701</v>
      </c>
      <c r="F360" s="24">
        <f t="shared" si="17"/>
        <v>188.00602821519345</v>
      </c>
      <c r="G360" s="24">
        <f t="shared" si="18"/>
        <v>403.29938008772439</v>
      </c>
    </row>
    <row r="361" spans="1:7" x14ac:dyDescent="0.6">
      <c r="A361" s="22">
        <v>20607</v>
      </c>
      <c r="B361" s="23">
        <v>3.4799999999999998E-2</v>
      </c>
      <c r="C361" s="23">
        <v>-1.47E-2</v>
      </c>
      <c r="D361" s="23">
        <v>-1.3000000000000001E-2</v>
      </c>
      <c r="E361" s="24">
        <f t="shared" si="16"/>
        <v>1065.4945122435465</v>
      </c>
      <c r="F361" s="24">
        <f t="shared" si="17"/>
        <v>185.24233960043011</v>
      </c>
      <c r="G361" s="24">
        <f t="shared" si="18"/>
        <v>398.05648814658394</v>
      </c>
    </row>
    <row r="362" spans="1:7" x14ac:dyDescent="0.6">
      <c r="A362" s="22">
        <v>20637</v>
      </c>
      <c r="B362" s="23">
        <v>4.8399999999999999E-2</v>
      </c>
      <c r="C362" s="23">
        <v>-1.8000000000000002E-2</v>
      </c>
      <c r="D362" s="23">
        <v>1.9E-3</v>
      </c>
      <c r="E362" s="24">
        <f t="shared" si="16"/>
        <v>1117.0644466361341</v>
      </c>
      <c r="F362" s="24">
        <f t="shared" si="17"/>
        <v>181.90797748762236</v>
      </c>
      <c r="G362" s="24">
        <f t="shared" si="18"/>
        <v>398.81279547406245</v>
      </c>
    </row>
    <row r="363" spans="1:7" x14ac:dyDescent="0.6">
      <c r="A363" s="22">
        <v>20668</v>
      </c>
      <c r="B363" s="23">
        <v>-3.1800000000000002E-2</v>
      </c>
      <c r="C363" s="23">
        <v>2.0199999999999999E-2</v>
      </c>
      <c r="D363" s="23">
        <v>-8.6E-3</v>
      </c>
      <c r="E363" s="24">
        <f t="shared" si="16"/>
        <v>1081.5417972331049</v>
      </c>
      <c r="F363" s="24">
        <f t="shared" si="17"/>
        <v>185.58251863287234</v>
      </c>
      <c r="G363" s="24">
        <f t="shared" si="18"/>
        <v>395.3830054329855</v>
      </c>
    </row>
    <row r="364" spans="1:7" x14ac:dyDescent="0.6">
      <c r="A364" s="22">
        <v>20699</v>
      </c>
      <c r="B364" s="23">
        <v>-5.1400000000000001E-2</v>
      </c>
      <c r="C364" s="23">
        <v>1.6200000000000003E-2</v>
      </c>
      <c r="D364" s="23">
        <v>1.7500000000000002E-2</v>
      </c>
      <c r="E364" s="24">
        <f t="shared" si="16"/>
        <v>1025.9505488553234</v>
      </c>
      <c r="F364" s="24">
        <f t="shared" si="17"/>
        <v>188.58895543472488</v>
      </c>
      <c r="G364" s="24">
        <f t="shared" si="18"/>
        <v>402.30220802806275</v>
      </c>
    </row>
    <row r="365" spans="1:7" x14ac:dyDescent="0.6">
      <c r="A365" s="22">
        <v>20729</v>
      </c>
      <c r="B365" s="23">
        <v>5.1999999999999998E-3</v>
      </c>
      <c r="C365" s="23">
        <v>-1.2999999999999999E-3</v>
      </c>
      <c r="D365" s="23">
        <v>1E-4</v>
      </c>
      <c r="E365" s="24">
        <f t="shared" si="16"/>
        <v>1031.2854917093712</v>
      </c>
      <c r="F365" s="24">
        <f t="shared" si="17"/>
        <v>188.34378979265975</v>
      </c>
      <c r="G365" s="24">
        <f t="shared" si="18"/>
        <v>402.34243824886556</v>
      </c>
    </row>
    <row r="366" spans="1:7" x14ac:dyDescent="0.6">
      <c r="A366" s="22">
        <v>20760</v>
      </c>
      <c r="B366" s="23">
        <v>3.6000000000000008E-3</v>
      </c>
      <c r="C366" s="23">
        <v>-2.8000000000000004E-3</v>
      </c>
      <c r="D366" s="23">
        <v>1.9900000000000001E-2</v>
      </c>
      <c r="E366" s="24">
        <f t="shared" si="16"/>
        <v>1034.998119479525</v>
      </c>
      <c r="F366" s="24">
        <f t="shared" si="17"/>
        <v>187.8164271812403</v>
      </c>
      <c r="G366" s="24">
        <f t="shared" si="18"/>
        <v>410.34905277001798</v>
      </c>
    </row>
    <row r="367" spans="1:7" x14ac:dyDescent="0.6">
      <c r="A367" s="22">
        <v>20790</v>
      </c>
      <c r="B367" s="23">
        <v>3.1600000000000003E-2</v>
      </c>
      <c r="C367" s="23">
        <v>-2E-3</v>
      </c>
      <c r="D367" s="23">
        <v>-1.8700000000000001E-2</v>
      </c>
      <c r="E367" s="24">
        <f t="shared" si="16"/>
        <v>1067.7040600550781</v>
      </c>
      <c r="F367" s="24">
        <f t="shared" si="17"/>
        <v>187.44079432687781</v>
      </c>
      <c r="G367" s="24">
        <f t="shared" si="18"/>
        <v>402.67552548321862</v>
      </c>
    </row>
    <row r="368" spans="1:7" x14ac:dyDescent="0.6">
      <c r="A368" s="22">
        <v>20821</v>
      </c>
      <c r="B368" s="23">
        <v>-3.5799999999999998E-2</v>
      </c>
      <c r="C368" s="23">
        <v>3.5699999999999996E-2</v>
      </c>
      <c r="D368" s="23">
        <v>2.5499999999999998E-2</v>
      </c>
      <c r="E368" s="24">
        <f t="shared" si="16"/>
        <v>1029.4802547051063</v>
      </c>
      <c r="F368" s="24">
        <f t="shared" si="17"/>
        <v>194.13243068434736</v>
      </c>
      <c r="G368" s="24">
        <f t="shared" si="18"/>
        <v>412.94375138304071</v>
      </c>
    </row>
    <row r="369" spans="1:7" x14ac:dyDescent="0.6">
      <c r="A369" s="22">
        <v>20852</v>
      </c>
      <c r="B369" s="23">
        <v>-2.06E-2</v>
      </c>
      <c r="C369" s="23">
        <v>-7.4000000000000003E-3</v>
      </c>
      <c r="D369" s="23">
        <v>-6.9999999999999993E-3</v>
      </c>
      <c r="E369" s="24">
        <f t="shared" si="16"/>
        <v>1008.2729614581812</v>
      </c>
      <c r="F369" s="24">
        <f t="shared" si="17"/>
        <v>192.69585069728319</v>
      </c>
      <c r="G369" s="24">
        <f t="shared" si="18"/>
        <v>410.0531451233594</v>
      </c>
    </row>
    <row r="370" spans="1:7" x14ac:dyDescent="0.6">
      <c r="A370" s="22">
        <v>20880</v>
      </c>
      <c r="B370" s="23">
        <v>2.1299999999999999E-2</v>
      </c>
      <c r="C370" s="23">
        <v>2.7000000000000001E-3</v>
      </c>
      <c r="D370" s="23">
        <v>-4.7999999999999996E-3</v>
      </c>
      <c r="E370" s="24">
        <f t="shared" si="16"/>
        <v>1029.7491755372405</v>
      </c>
      <c r="F370" s="24">
        <f t="shared" si="17"/>
        <v>193.21612949416584</v>
      </c>
      <c r="G370" s="24">
        <f t="shared" si="18"/>
        <v>408.08489002676725</v>
      </c>
    </row>
    <row r="371" spans="1:7" x14ac:dyDescent="0.6">
      <c r="A371" s="22">
        <v>20911</v>
      </c>
      <c r="B371" s="23">
        <v>4.2599999999999999E-2</v>
      </c>
      <c r="C371" s="23">
        <v>-1.7899999999999999E-2</v>
      </c>
      <c r="D371" s="23">
        <v>-1.2500000000000001E-2</v>
      </c>
      <c r="E371" s="24">
        <f t="shared" si="16"/>
        <v>1073.6164904151269</v>
      </c>
      <c r="F371" s="24">
        <f t="shared" si="17"/>
        <v>189.75756077622026</v>
      </c>
      <c r="G371" s="24">
        <f t="shared" si="18"/>
        <v>402.98382890143267</v>
      </c>
    </row>
    <row r="372" spans="1:7" x14ac:dyDescent="0.6">
      <c r="A372" s="22">
        <v>20941</v>
      </c>
      <c r="B372" s="23">
        <v>3.4500000000000003E-2</v>
      </c>
      <c r="C372" s="23">
        <v>-1.09E-2</v>
      </c>
      <c r="D372" s="23">
        <v>-2.07E-2</v>
      </c>
      <c r="E372" s="24">
        <f t="shared" si="16"/>
        <v>1110.6562593344488</v>
      </c>
      <c r="F372" s="24">
        <f t="shared" si="17"/>
        <v>187.68920336375945</v>
      </c>
      <c r="G372" s="24">
        <f t="shared" si="18"/>
        <v>394.642063643173</v>
      </c>
    </row>
    <row r="373" spans="1:7" x14ac:dyDescent="0.6">
      <c r="A373" s="22">
        <v>20972</v>
      </c>
      <c r="B373" s="23">
        <v>-7.4000000000000003E-3</v>
      </c>
      <c r="C373" s="23">
        <v>5.7999999999999996E-3</v>
      </c>
      <c r="D373" s="23">
        <v>-7.000000000000001E-4</v>
      </c>
      <c r="E373" s="24">
        <f t="shared" si="16"/>
        <v>1102.437403015374</v>
      </c>
      <c r="F373" s="24">
        <f t="shared" si="17"/>
        <v>188.77780074326927</v>
      </c>
      <c r="G373" s="24">
        <f t="shared" si="18"/>
        <v>394.36581419862279</v>
      </c>
    </row>
    <row r="374" spans="1:7" x14ac:dyDescent="0.6">
      <c r="A374" s="22">
        <v>21002</v>
      </c>
      <c r="B374" s="23">
        <v>6.5999999999999991E-3</v>
      </c>
      <c r="C374" s="23">
        <v>-7.6E-3</v>
      </c>
      <c r="D374" s="23">
        <v>3.9000000000000003E-3</v>
      </c>
      <c r="E374" s="24">
        <f t="shared" si="16"/>
        <v>1109.7134898752754</v>
      </c>
      <c r="F374" s="24">
        <f t="shared" si="17"/>
        <v>187.34308945762041</v>
      </c>
      <c r="G374" s="24">
        <f t="shared" si="18"/>
        <v>395.90384087399741</v>
      </c>
    </row>
    <row r="375" spans="1:7" x14ac:dyDescent="0.6">
      <c r="A375" s="22">
        <v>21033</v>
      </c>
      <c r="B375" s="23">
        <v>-5.1100000000000007E-2</v>
      </c>
      <c r="C375" s="23">
        <v>7.000000000000001E-4</v>
      </c>
      <c r="D375" s="23">
        <v>-4.5000000000000005E-3</v>
      </c>
      <c r="E375" s="24">
        <f t="shared" si="16"/>
        <v>1053.0071305426488</v>
      </c>
      <c r="F375" s="24">
        <f t="shared" si="17"/>
        <v>187.47422962024072</v>
      </c>
      <c r="G375" s="24">
        <f t="shared" si="18"/>
        <v>394.12227359006442</v>
      </c>
    </row>
    <row r="376" spans="1:7" x14ac:dyDescent="0.6">
      <c r="A376" s="22">
        <v>21064</v>
      </c>
      <c r="B376" s="23">
        <v>-5.9800000000000006E-2</v>
      </c>
      <c r="C376" s="23">
        <v>7.000000000000001E-4</v>
      </c>
      <c r="D376" s="23">
        <v>8.8000000000000005E-3</v>
      </c>
      <c r="E376" s="24">
        <f t="shared" si="16"/>
        <v>990.03730413619849</v>
      </c>
      <c r="F376" s="24">
        <f t="shared" si="17"/>
        <v>187.60546158097486</v>
      </c>
      <c r="G376" s="24">
        <f t="shared" si="18"/>
        <v>397.59054959765695</v>
      </c>
    </row>
    <row r="377" spans="1:7" x14ac:dyDescent="0.6">
      <c r="A377" s="22">
        <v>21094</v>
      </c>
      <c r="B377" s="23">
        <v>-4.3200000000000002E-2</v>
      </c>
      <c r="C377" s="23">
        <v>-2.52E-2</v>
      </c>
      <c r="D377" s="23">
        <v>-1.83E-2</v>
      </c>
      <c r="E377" s="24">
        <f t="shared" si="16"/>
        <v>947.26769259751472</v>
      </c>
      <c r="F377" s="24">
        <f t="shared" si="17"/>
        <v>182.87780394913429</v>
      </c>
      <c r="G377" s="24">
        <f t="shared" si="18"/>
        <v>390.3146425400198</v>
      </c>
    </row>
    <row r="378" spans="1:7" x14ac:dyDescent="0.6">
      <c r="A378" s="22">
        <v>21125</v>
      </c>
      <c r="B378" s="23">
        <v>2.3E-2</v>
      </c>
      <c r="C378" s="23">
        <v>4.0999999999999995E-3</v>
      </c>
      <c r="D378" s="23">
        <v>-2.8999999999999998E-2</v>
      </c>
      <c r="E378" s="24">
        <f t="shared" si="16"/>
        <v>969.05484952725749</v>
      </c>
      <c r="F378" s="24">
        <f t="shared" si="17"/>
        <v>183.62760294532575</v>
      </c>
      <c r="G378" s="24">
        <f t="shared" si="18"/>
        <v>378.99551790635923</v>
      </c>
    </row>
    <row r="379" spans="1:7" x14ac:dyDescent="0.6">
      <c r="A379" s="22">
        <v>21155</v>
      </c>
      <c r="B379" s="23">
        <v>-3.9099999999999996E-2</v>
      </c>
      <c r="C379" s="23">
        <v>-9.1999999999999998E-3</v>
      </c>
      <c r="D379" s="23">
        <v>-1.72E-2</v>
      </c>
      <c r="E379" s="24">
        <f t="shared" si="16"/>
        <v>931.16480491074174</v>
      </c>
      <c r="F379" s="24">
        <f t="shared" si="17"/>
        <v>181.93822899822877</v>
      </c>
      <c r="G379" s="24">
        <f t="shared" si="18"/>
        <v>372.47679499836983</v>
      </c>
    </row>
    <row r="380" spans="1:7" x14ac:dyDescent="0.6">
      <c r="A380" s="22">
        <v>21186</v>
      </c>
      <c r="B380" s="23">
        <v>4.6600000000000003E-2</v>
      </c>
      <c r="C380" s="23">
        <v>4.3700000000000003E-2</v>
      </c>
      <c r="D380" s="23">
        <v>4.2199999999999994E-2</v>
      </c>
      <c r="E380" s="24">
        <f t="shared" si="16"/>
        <v>974.55708481958231</v>
      </c>
      <c r="F380" s="24">
        <f t="shared" si="17"/>
        <v>189.88892960545138</v>
      </c>
      <c r="G380" s="24">
        <f t="shared" si="18"/>
        <v>388.19531574730104</v>
      </c>
    </row>
    <row r="381" spans="1:7" x14ac:dyDescent="0.6">
      <c r="A381" s="22">
        <v>21217</v>
      </c>
      <c r="B381" s="23">
        <v>-1.5199999999999998E-2</v>
      </c>
      <c r="C381" s="23">
        <v>6.9999999999999993E-3</v>
      </c>
      <c r="D381" s="23">
        <v>2.8000000000000004E-3</v>
      </c>
      <c r="E381" s="24">
        <f t="shared" si="16"/>
        <v>959.74381713032471</v>
      </c>
      <c r="F381" s="24">
        <f t="shared" si="17"/>
        <v>191.21815211268952</v>
      </c>
      <c r="G381" s="24">
        <f t="shared" si="18"/>
        <v>389.28226263139345</v>
      </c>
    </row>
    <row r="382" spans="1:7" x14ac:dyDescent="0.6">
      <c r="A382" s="22">
        <v>21245</v>
      </c>
      <c r="B382" s="23">
        <v>3.27E-2</v>
      </c>
      <c r="C382" s="23">
        <v>6.3E-3</v>
      </c>
      <c r="D382" s="23">
        <v>-9.1999999999999998E-3</v>
      </c>
      <c r="E382" s="24">
        <f t="shared" si="16"/>
        <v>991.12743995048629</v>
      </c>
      <c r="F382" s="24">
        <f t="shared" si="17"/>
        <v>192.42282647099947</v>
      </c>
      <c r="G382" s="24">
        <f t="shared" si="18"/>
        <v>385.70086581518461</v>
      </c>
    </row>
    <row r="383" spans="1:7" x14ac:dyDescent="0.6">
      <c r="A383" s="22">
        <v>21276</v>
      </c>
      <c r="B383" s="23">
        <v>3.09E-2</v>
      </c>
      <c r="C383" s="23">
        <v>-5.8999999999999999E-3</v>
      </c>
      <c r="D383" s="23">
        <v>1.47E-2</v>
      </c>
      <c r="E383" s="24">
        <f t="shared" si="16"/>
        <v>1021.7532778449563</v>
      </c>
      <c r="F383" s="24">
        <f t="shared" si="17"/>
        <v>191.28753179482058</v>
      </c>
      <c r="G383" s="24">
        <f t="shared" si="18"/>
        <v>391.37066854266783</v>
      </c>
    </row>
    <row r="384" spans="1:7" x14ac:dyDescent="0.6">
      <c r="A384" s="22">
        <v>21306</v>
      </c>
      <c r="B384" s="23">
        <v>2.3099999999999999E-2</v>
      </c>
      <c r="C384" s="23">
        <v>2.23E-2</v>
      </c>
      <c r="D384" s="23">
        <v>-3.4999999999999996E-3</v>
      </c>
      <c r="E384" s="24">
        <f t="shared" si="16"/>
        <v>1045.3557785631747</v>
      </c>
      <c r="F384" s="24">
        <f t="shared" si="17"/>
        <v>195.55324375384507</v>
      </c>
      <c r="G384" s="24">
        <f t="shared" si="18"/>
        <v>390.00087120276851</v>
      </c>
    </row>
    <row r="385" spans="1:7" x14ac:dyDescent="0.6">
      <c r="A385" s="22">
        <v>21337</v>
      </c>
      <c r="B385" s="23">
        <v>2.93E-2</v>
      </c>
      <c r="C385" s="23">
        <v>-2.3999999999999998E-3</v>
      </c>
      <c r="D385" s="23">
        <v>5.1000000000000004E-3</v>
      </c>
      <c r="E385" s="24">
        <f t="shared" si="16"/>
        <v>1075.9847028750758</v>
      </c>
      <c r="F385" s="24">
        <f t="shared" si="17"/>
        <v>195.08391596883584</v>
      </c>
      <c r="G385" s="24">
        <f t="shared" si="18"/>
        <v>391.98987564590266</v>
      </c>
    </row>
    <row r="386" spans="1:7" x14ac:dyDescent="0.6">
      <c r="A386" s="22">
        <v>21367</v>
      </c>
      <c r="B386" s="23">
        <v>4.3900000000000002E-2</v>
      </c>
      <c r="C386" s="23">
        <v>4.7999999999999996E-3</v>
      </c>
      <c r="D386" s="23">
        <v>3.1E-2</v>
      </c>
      <c r="E386" s="24">
        <f t="shared" si="16"/>
        <v>1123.2204313312916</v>
      </c>
      <c r="F386" s="24">
        <f t="shared" si="17"/>
        <v>196.02031876548622</v>
      </c>
      <c r="G386" s="24">
        <f t="shared" si="18"/>
        <v>404.14156179092561</v>
      </c>
    </row>
    <row r="387" spans="1:7" x14ac:dyDescent="0.6">
      <c r="A387" s="22">
        <v>21398</v>
      </c>
      <c r="B387" s="23">
        <v>1.9099999999999999E-2</v>
      </c>
      <c r="C387" s="23">
        <v>1.1699999999999999E-2</v>
      </c>
      <c r="D387" s="23">
        <v>3.0999999999999999E-3</v>
      </c>
      <c r="E387" s="24">
        <f t="shared" si="16"/>
        <v>1144.6739415697191</v>
      </c>
      <c r="F387" s="24">
        <f t="shared" si="17"/>
        <v>198.31375649504241</v>
      </c>
      <c r="G387" s="24">
        <f t="shared" si="18"/>
        <v>405.39440063247753</v>
      </c>
    </row>
    <row r="388" spans="1:7" x14ac:dyDescent="0.6">
      <c r="A388" s="22">
        <v>21429</v>
      </c>
      <c r="B388" s="23">
        <v>4.6600000000000009E-2</v>
      </c>
      <c r="C388" s="23">
        <v>1.4000000000000002E-3</v>
      </c>
      <c r="D388" s="23">
        <v>2.98E-2</v>
      </c>
      <c r="E388" s="24">
        <f t="shared" ref="E388:E433" si="19">E387*(1+B388)</f>
        <v>1198.0157472468679</v>
      </c>
      <c r="F388" s="24">
        <f t="shared" ref="F388:F433" si="20">F387*(1+C388)</f>
        <v>198.59139575413548</v>
      </c>
      <c r="G388" s="24">
        <f t="shared" ref="G388:G433" si="21">G387*(1+D388)</f>
        <v>417.47515377132538</v>
      </c>
    </row>
    <row r="389" spans="1:7" x14ac:dyDescent="0.6">
      <c r="A389" s="22">
        <v>21459</v>
      </c>
      <c r="B389" s="23">
        <v>2.53E-2</v>
      </c>
      <c r="C389" s="23">
        <v>1.1299999999999999E-2</v>
      </c>
      <c r="D389" s="23">
        <v>-1.18E-2</v>
      </c>
      <c r="E389" s="24">
        <f t="shared" si="19"/>
        <v>1228.3255456522138</v>
      </c>
      <c r="F389" s="24">
        <f t="shared" si="20"/>
        <v>200.83547852615723</v>
      </c>
      <c r="G389" s="24">
        <f t="shared" si="21"/>
        <v>412.54894695682373</v>
      </c>
    </row>
    <row r="390" spans="1:7" x14ac:dyDescent="0.6">
      <c r="A390" s="22">
        <v>21490</v>
      </c>
      <c r="B390" s="23">
        <v>3.0099999999999995E-2</v>
      </c>
      <c r="C390" s="23">
        <v>2.0400000000000001E-2</v>
      </c>
      <c r="D390" s="23">
        <v>-1.2800000000000001E-2</v>
      </c>
      <c r="E390" s="24">
        <f t="shared" si="19"/>
        <v>1265.2981445763455</v>
      </c>
      <c r="F390" s="24">
        <f t="shared" si="20"/>
        <v>204.93252228809084</v>
      </c>
      <c r="G390" s="24">
        <f t="shared" si="21"/>
        <v>407.26832043577639</v>
      </c>
    </row>
    <row r="391" spans="1:7" x14ac:dyDescent="0.6">
      <c r="A391" s="22">
        <v>21520</v>
      </c>
      <c r="B391" s="23">
        <v>5.1499999999999997E-2</v>
      </c>
      <c r="C391" s="23">
        <v>-2.0499999999999997E-2</v>
      </c>
      <c r="D391" s="23">
        <v>-8.0000000000000004E-4</v>
      </c>
      <c r="E391" s="24">
        <f t="shared" si="19"/>
        <v>1330.4609990220274</v>
      </c>
      <c r="F391" s="24">
        <f t="shared" si="20"/>
        <v>200.73140558118499</v>
      </c>
      <c r="G391" s="24">
        <f t="shared" si="21"/>
        <v>406.94250577942773</v>
      </c>
    </row>
    <row r="392" spans="1:7" x14ac:dyDescent="0.6">
      <c r="A392" s="22">
        <v>21551</v>
      </c>
      <c r="B392" s="23">
        <v>7.1000000000000004E-3</v>
      </c>
      <c r="C392" s="23">
        <v>0.03</v>
      </c>
      <c r="D392" s="23">
        <v>3.0299999999999997E-2</v>
      </c>
      <c r="E392" s="24">
        <f t="shared" si="19"/>
        <v>1339.907272115084</v>
      </c>
      <c r="F392" s="24">
        <f t="shared" si="20"/>
        <v>206.75334774862054</v>
      </c>
      <c r="G392" s="24">
        <f t="shared" si="21"/>
        <v>419.27286370454436</v>
      </c>
    </row>
    <row r="393" spans="1:7" x14ac:dyDescent="0.6">
      <c r="A393" s="22">
        <v>21582</v>
      </c>
      <c r="B393" s="23">
        <v>9.499999999999998E-3</v>
      </c>
      <c r="C393" s="23">
        <v>1.5300000000000001E-2</v>
      </c>
      <c r="D393" s="23">
        <v>9.8999999999999991E-3</v>
      </c>
      <c r="E393" s="24">
        <f t="shared" si="19"/>
        <v>1352.6363912001773</v>
      </c>
      <c r="F393" s="24">
        <f t="shared" si="20"/>
        <v>209.91667396917447</v>
      </c>
      <c r="G393" s="24">
        <f t="shared" si="21"/>
        <v>423.42366505521937</v>
      </c>
    </row>
    <row r="394" spans="1:7" x14ac:dyDescent="0.6">
      <c r="A394" s="22">
        <v>21610</v>
      </c>
      <c r="B394" s="23">
        <v>2.8E-3</v>
      </c>
      <c r="C394" s="23">
        <v>1.49E-2</v>
      </c>
      <c r="D394" s="23">
        <v>-3.8E-3</v>
      </c>
      <c r="E394" s="24">
        <f t="shared" si="19"/>
        <v>1356.4237730955376</v>
      </c>
      <c r="F394" s="24">
        <f t="shared" si="20"/>
        <v>213.04443241131514</v>
      </c>
      <c r="G394" s="24">
        <f t="shared" si="21"/>
        <v>421.81465512800952</v>
      </c>
    </row>
    <row r="395" spans="1:7" x14ac:dyDescent="0.6">
      <c r="A395" s="22">
        <v>21641</v>
      </c>
      <c r="B395" s="23">
        <v>3.6600000000000001E-2</v>
      </c>
      <c r="C395" s="23">
        <v>-5.4000000000000003E-3</v>
      </c>
      <c r="D395" s="23">
        <v>-1.32E-2</v>
      </c>
      <c r="E395" s="24">
        <f t="shared" si="19"/>
        <v>1406.0688831908342</v>
      </c>
      <c r="F395" s="24">
        <f t="shared" si="20"/>
        <v>211.89399247629404</v>
      </c>
      <c r="G395" s="24">
        <f t="shared" si="21"/>
        <v>416.2467016803198</v>
      </c>
    </row>
    <row r="396" spans="1:7" x14ac:dyDescent="0.6">
      <c r="A396" s="22">
        <v>21671</v>
      </c>
      <c r="B396" s="23">
        <v>1.7299999999999999E-2</v>
      </c>
      <c r="C396" s="23">
        <v>-2.1099999999999997E-2</v>
      </c>
      <c r="D396" s="23">
        <v>1.78E-2</v>
      </c>
      <c r="E396" s="24">
        <f t="shared" si="19"/>
        <v>1430.3938748700357</v>
      </c>
      <c r="F396" s="24">
        <f t="shared" si="20"/>
        <v>207.42302923504423</v>
      </c>
      <c r="G396" s="24">
        <f t="shared" si="21"/>
        <v>423.6558929702295</v>
      </c>
    </row>
    <row r="397" spans="1:7" x14ac:dyDescent="0.6">
      <c r="A397" s="22">
        <v>21702</v>
      </c>
      <c r="B397" s="23">
        <v>-2.5000000000000001E-3</v>
      </c>
      <c r="C397" s="23">
        <v>6.6E-3</v>
      </c>
      <c r="D397" s="23">
        <v>1.38E-2</v>
      </c>
      <c r="E397" s="24">
        <f t="shared" si="19"/>
        <v>1426.8178901828608</v>
      </c>
      <c r="F397" s="24">
        <f t="shared" si="20"/>
        <v>208.79202122799549</v>
      </c>
      <c r="G397" s="24">
        <f t="shared" si="21"/>
        <v>429.5023442932187</v>
      </c>
    </row>
    <row r="398" spans="1:7" x14ac:dyDescent="0.6">
      <c r="A398" s="22">
        <v>21732</v>
      </c>
      <c r="B398" s="23">
        <v>3.1699999999999999E-2</v>
      </c>
      <c r="C398" s="23">
        <v>-3.3E-3</v>
      </c>
      <c r="D398" s="23">
        <v>2.8000000000000004E-3</v>
      </c>
      <c r="E398" s="24">
        <f t="shared" si="19"/>
        <v>1472.0480173016576</v>
      </c>
      <c r="F398" s="24">
        <f t="shared" si="20"/>
        <v>208.1030075579431</v>
      </c>
      <c r="G398" s="24">
        <f t="shared" si="21"/>
        <v>430.70495085723968</v>
      </c>
    </row>
    <row r="399" spans="1:7" x14ac:dyDescent="0.6">
      <c r="A399" s="22">
        <v>21763</v>
      </c>
      <c r="B399" s="23">
        <v>-1.3900000000000001E-2</v>
      </c>
      <c r="C399" s="23">
        <v>-7.8000000000000005E-3</v>
      </c>
      <c r="D399" s="23">
        <v>4.0000000000000001E-3</v>
      </c>
      <c r="E399" s="24">
        <f t="shared" si="19"/>
        <v>1451.5865498611645</v>
      </c>
      <c r="F399" s="24">
        <f t="shared" si="20"/>
        <v>206.47980409899114</v>
      </c>
      <c r="G399" s="24">
        <f t="shared" si="21"/>
        <v>432.42777066066861</v>
      </c>
    </row>
    <row r="400" spans="1:7" x14ac:dyDescent="0.6">
      <c r="A400" s="22">
        <v>21794</v>
      </c>
      <c r="B400" s="23">
        <v>-4.8000000000000001E-2</v>
      </c>
      <c r="C400" s="23">
        <v>-8.0000000000000004E-4</v>
      </c>
      <c r="D400" s="23">
        <v>5.0000000000000001E-3</v>
      </c>
      <c r="E400" s="24">
        <f t="shared" si="19"/>
        <v>1381.9103954678285</v>
      </c>
      <c r="F400" s="24">
        <f t="shared" si="20"/>
        <v>206.31462025571193</v>
      </c>
      <c r="G400" s="24">
        <f t="shared" si="21"/>
        <v>434.58990951397192</v>
      </c>
    </row>
    <row r="401" spans="1:7" x14ac:dyDescent="0.6">
      <c r="A401" s="22">
        <v>21824</v>
      </c>
      <c r="B401" s="23">
        <v>1.2800000000000002E-2</v>
      </c>
      <c r="C401" s="23">
        <v>1.43E-2</v>
      </c>
      <c r="D401" s="23">
        <v>-2.0400000000000001E-2</v>
      </c>
      <c r="E401" s="24">
        <f t="shared" si="19"/>
        <v>1399.5988485298167</v>
      </c>
      <c r="F401" s="24">
        <f t="shared" si="20"/>
        <v>209.2649193253686</v>
      </c>
      <c r="G401" s="24">
        <f t="shared" si="21"/>
        <v>425.72427535988692</v>
      </c>
    </row>
    <row r="402" spans="1:7" x14ac:dyDescent="0.6">
      <c r="A402" s="22">
        <v>21855</v>
      </c>
      <c r="B402" s="23">
        <v>1.6E-2</v>
      </c>
      <c r="C402" s="23">
        <v>1.29E-2</v>
      </c>
      <c r="D402" s="23">
        <v>-3.27E-2</v>
      </c>
      <c r="E402" s="24">
        <f t="shared" si="19"/>
        <v>1421.9924301062938</v>
      </c>
      <c r="F402" s="24">
        <f t="shared" si="20"/>
        <v>211.96443678466582</v>
      </c>
      <c r="G402" s="24">
        <f t="shared" si="21"/>
        <v>411.80309155561861</v>
      </c>
    </row>
    <row r="403" spans="1:7" x14ac:dyDescent="0.6">
      <c r="A403" s="22">
        <v>21885</v>
      </c>
      <c r="B403" s="23">
        <v>2.4500000000000001E-2</v>
      </c>
      <c r="C403" s="23">
        <v>-6.0000000000000001E-3</v>
      </c>
      <c r="D403" s="23">
        <v>-8.0000000000000004E-4</v>
      </c>
      <c r="E403" s="24">
        <f t="shared" si="19"/>
        <v>1456.8312446438979</v>
      </c>
      <c r="F403" s="24">
        <f t="shared" si="20"/>
        <v>210.69265016395784</v>
      </c>
      <c r="G403" s="24">
        <f t="shared" si="21"/>
        <v>411.4736490823741</v>
      </c>
    </row>
    <row r="404" spans="1:7" x14ac:dyDescent="0.6">
      <c r="A404" s="22">
        <v>21916</v>
      </c>
      <c r="B404" s="23">
        <v>-6.9800000000000001E-2</v>
      </c>
      <c r="C404" s="23">
        <v>2.0499999999999997E-2</v>
      </c>
      <c r="D404" s="23">
        <v>2.69E-2</v>
      </c>
      <c r="E404" s="24">
        <f t="shared" si="19"/>
        <v>1355.1444237677538</v>
      </c>
      <c r="F404" s="24">
        <f t="shared" si="20"/>
        <v>215.01184949231896</v>
      </c>
      <c r="G404" s="24">
        <f t="shared" si="21"/>
        <v>422.54229024268994</v>
      </c>
    </row>
    <row r="405" spans="1:7" x14ac:dyDescent="0.6">
      <c r="A405" s="22">
        <v>21947</v>
      </c>
      <c r="B405" s="23">
        <v>1.17E-2</v>
      </c>
      <c r="C405" s="23">
        <v>5.6000000000000008E-3</v>
      </c>
      <c r="D405" s="23">
        <v>-2.0299999999999999E-2</v>
      </c>
      <c r="E405" s="24">
        <f t="shared" si="19"/>
        <v>1370.9996135258366</v>
      </c>
      <c r="F405" s="24">
        <f t="shared" si="20"/>
        <v>216.21591584947595</v>
      </c>
      <c r="G405" s="24">
        <f t="shared" si="21"/>
        <v>413.96468175076336</v>
      </c>
    </row>
    <row r="406" spans="1:7" x14ac:dyDescent="0.6">
      <c r="A406" s="22">
        <v>21976</v>
      </c>
      <c r="B406" s="23">
        <v>-1.6299999999999999E-2</v>
      </c>
      <c r="C406" s="23">
        <v>-4.6999999999999993E-3</v>
      </c>
      <c r="D406" s="23">
        <v>-2.8399999999999998E-2</v>
      </c>
      <c r="E406" s="24">
        <f t="shared" si="19"/>
        <v>1348.6523198253656</v>
      </c>
      <c r="F406" s="24">
        <f t="shared" si="20"/>
        <v>215.19970104498341</v>
      </c>
      <c r="G406" s="24">
        <f t="shared" si="21"/>
        <v>402.20808478904166</v>
      </c>
    </row>
    <row r="407" spans="1:7" x14ac:dyDescent="0.6">
      <c r="A407" s="22">
        <v>22007</v>
      </c>
      <c r="B407" s="23">
        <v>-1.7100000000000001E-2</v>
      </c>
      <c r="C407" s="23">
        <v>3.9000000000000003E-3</v>
      </c>
      <c r="D407" s="23">
        <v>-2.3700000000000002E-2</v>
      </c>
      <c r="E407" s="24">
        <f t="shared" si="19"/>
        <v>1325.5903651563517</v>
      </c>
      <c r="F407" s="24">
        <f t="shared" si="20"/>
        <v>216.03897987905884</v>
      </c>
      <c r="G407" s="24">
        <f t="shared" si="21"/>
        <v>392.67575317954135</v>
      </c>
    </row>
    <row r="408" spans="1:7" x14ac:dyDescent="0.6">
      <c r="A408" s="22">
        <v>22037</v>
      </c>
      <c r="B408" s="23">
        <v>3.1199999999999999E-2</v>
      </c>
      <c r="C408" s="23">
        <v>1.2699999999999999E-2</v>
      </c>
      <c r="D408" s="23">
        <v>-3.7200000000000004E-2</v>
      </c>
      <c r="E408" s="24">
        <f t="shared" si="19"/>
        <v>1366.9487845492297</v>
      </c>
      <c r="F408" s="24">
        <f t="shared" si="20"/>
        <v>218.78267492352288</v>
      </c>
      <c r="G408" s="24">
        <f t="shared" si="21"/>
        <v>378.0682151612624</v>
      </c>
    </row>
    <row r="409" spans="1:7" x14ac:dyDescent="0.6">
      <c r="A409" s="22">
        <v>22068</v>
      </c>
      <c r="B409" s="23">
        <v>2.0800000000000003E-2</v>
      </c>
      <c r="C409" s="23">
        <v>-1.7000000000000001E-3</v>
      </c>
      <c r="D409" s="23">
        <v>-2.5999999999999999E-3</v>
      </c>
      <c r="E409" s="24">
        <f t="shared" si="19"/>
        <v>1395.3813192678535</v>
      </c>
      <c r="F409" s="24">
        <f t="shared" si="20"/>
        <v>218.41074437615288</v>
      </c>
      <c r="G409" s="24">
        <f t="shared" si="21"/>
        <v>377.08523780184311</v>
      </c>
    </row>
    <row r="410" spans="1:7" x14ac:dyDescent="0.6">
      <c r="A410" s="22">
        <v>22098</v>
      </c>
      <c r="B410" s="23">
        <v>-2.3700000000000002E-2</v>
      </c>
      <c r="C410" s="23">
        <v>-5.6999999999999993E-3</v>
      </c>
      <c r="D410" s="23">
        <v>2.12E-2</v>
      </c>
      <c r="E410" s="24">
        <f t="shared" si="19"/>
        <v>1362.3107820012053</v>
      </c>
      <c r="F410" s="24">
        <f t="shared" si="20"/>
        <v>217.16580313320881</v>
      </c>
      <c r="G410" s="24">
        <f t="shared" si="21"/>
        <v>385.07944484324224</v>
      </c>
    </row>
    <row r="411" spans="1:7" x14ac:dyDescent="0.6">
      <c r="A411" s="22">
        <v>22129</v>
      </c>
      <c r="B411" s="23">
        <v>3.0099999999999995E-2</v>
      </c>
      <c r="C411" s="23">
        <v>8.8000000000000005E-3</v>
      </c>
      <c r="D411" s="23">
        <v>-1.7000000000000001E-3</v>
      </c>
      <c r="E411" s="24">
        <f t="shared" si="19"/>
        <v>1403.3163365394416</v>
      </c>
      <c r="F411" s="24">
        <f t="shared" si="20"/>
        <v>219.07686220078102</v>
      </c>
      <c r="G411" s="24">
        <f t="shared" si="21"/>
        <v>384.42480978700871</v>
      </c>
    </row>
    <row r="412" spans="1:7" x14ac:dyDescent="0.6">
      <c r="A412" s="22">
        <v>22160</v>
      </c>
      <c r="B412" s="23">
        <v>-5.9899999999999995E-2</v>
      </c>
      <c r="C412" s="23">
        <v>-1.1399999999999999E-2</v>
      </c>
      <c r="D412" s="23">
        <v>1.6200000000000003E-2</v>
      </c>
      <c r="E412" s="24">
        <f t="shared" si="19"/>
        <v>1319.2576879807291</v>
      </c>
      <c r="F412" s="24">
        <f t="shared" si="20"/>
        <v>216.57938597169212</v>
      </c>
      <c r="G412" s="24">
        <f t="shared" si="21"/>
        <v>390.65249170555825</v>
      </c>
    </row>
    <row r="413" spans="1:7" x14ac:dyDescent="0.6">
      <c r="A413" s="22">
        <v>22190</v>
      </c>
      <c r="B413" s="23">
        <v>-7.1000000000000004E-3</v>
      </c>
      <c r="C413" s="23">
        <v>-3.95E-2</v>
      </c>
      <c r="D413" s="23">
        <v>2.6099999999999998E-2</v>
      </c>
      <c r="E413" s="24">
        <f t="shared" si="19"/>
        <v>1309.890958396066</v>
      </c>
      <c r="F413" s="24">
        <f t="shared" si="20"/>
        <v>208.02450022581027</v>
      </c>
      <c r="G413" s="24">
        <f t="shared" si="21"/>
        <v>400.84852173907331</v>
      </c>
    </row>
    <row r="414" spans="1:7" x14ac:dyDescent="0.6">
      <c r="A414" s="22">
        <v>22221</v>
      </c>
      <c r="B414" s="23">
        <v>4.6899999999999997E-2</v>
      </c>
      <c r="C414" s="23">
        <v>2.8999999999999998E-3</v>
      </c>
      <c r="D414" s="23">
        <v>-2.4E-2</v>
      </c>
      <c r="E414" s="24">
        <f t="shared" si="19"/>
        <v>1371.3248443448415</v>
      </c>
      <c r="F414" s="24">
        <f t="shared" si="20"/>
        <v>208.6277712764651</v>
      </c>
      <c r="G414" s="24">
        <f t="shared" si="21"/>
        <v>391.22815721733554</v>
      </c>
    </row>
    <row r="415" spans="1:7" x14ac:dyDescent="0.6">
      <c r="A415" s="22">
        <v>22251</v>
      </c>
      <c r="B415" s="23">
        <v>4.7100000000000003E-2</v>
      </c>
      <c r="C415" s="23">
        <v>-1.6E-2</v>
      </c>
      <c r="D415" s="23">
        <v>-7.0999999999999995E-3</v>
      </c>
      <c r="E415" s="24">
        <f t="shared" si="19"/>
        <v>1435.9142445134835</v>
      </c>
      <c r="F415" s="24">
        <f t="shared" si="20"/>
        <v>205.28972693604166</v>
      </c>
      <c r="G415" s="24">
        <f t="shared" si="21"/>
        <v>388.45043730109245</v>
      </c>
    </row>
    <row r="416" spans="1:7" x14ac:dyDescent="0.6">
      <c r="A416" s="22">
        <v>22282</v>
      </c>
      <c r="B416" s="23">
        <v>6.2000000000000013E-2</v>
      </c>
      <c r="C416" s="23">
        <v>6.8000000000000005E-3</v>
      </c>
      <c r="D416" s="23">
        <v>3.6699999999999997E-2</v>
      </c>
      <c r="E416" s="24">
        <f t="shared" si="19"/>
        <v>1524.9409276733195</v>
      </c>
      <c r="F416" s="24">
        <f t="shared" si="20"/>
        <v>206.68569707920673</v>
      </c>
      <c r="G416" s="24">
        <f t="shared" si="21"/>
        <v>402.70656835004252</v>
      </c>
    </row>
    <row r="417" spans="1:7" x14ac:dyDescent="0.6">
      <c r="A417" s="22">
        <v>22313</v>
      </c>
      <c r="B417" s="23">
        <v>3.5700000000000003E-2</v>
      </c>
      <c r="C417" s="23">
        <v>3.9399999999999998E-2</v>
      </c>
      <c r="D417" s="23">
        <v>-6.8000000000000005E-3</v>
      </c>
      <c r="E417" s="24">
        <f t="shared" si="19"/>
        <v>1579.3813187912572</v>
      </c>
      <c r="F417" s="24">
        <f t="shared" si="20"/>
        <v>214.82911354412749</v>
      </c>
      <c r="G417" s="24">
        <f t="shared" si="21"/>
        <v>399.9681636852622</v>
      </c>
    </row>
    <row r="418" spans="1:7" x14ac:dyDescent="0.6">
      <c r="A418" s="22">
        <v>22341</v>
      </c>
      <c r="B418" s="23">
        <v>2.8900000000000002E-2</v>
      </c>
      <c r="C418" s="23">
        <v>3.1899999999999998E-2</v>
      </c>
      <c r="D418" s="23">
        <v>-6.8000000000000005E-3</v>
      </c>
      <c r="E418" s="24">
        <f t="shared" si="19"/>
        <v>1625.0254389043243</v>
      </c>
      <c r="F418" s="24">
        <f t="shared" si="20"/>
        <v>221.68216226618517</v>
      </c>
      <c r="G418" s="24">
        <f t="shared" si="21"/>
        <v>397.24838017220242</v>
      </c>
    </row>
    <row r="419" spans="1:7" x14ac:dyDescent="0.6">
      <c r="A419" s="22">
        <v>22372</v>
      </c>
      <c r="B419" s="23">
        <v>2.8999999999999998E-3</v>
      </c>
      <c r="C419" s="23">
        <v>1.1999999999999999E-3</v>
      </c>
      <c r="D419" s="23">
        <v>2.0400000000000001E-2</v>
      </c>
      <c r="E419" s="24">
        <f t="shared" si="19"/>
        <v>1629.7380126771468</v>
      </c>
      <c r="F419" s="24">
        <f t="shared" si="20"/>
        <v>221.94818086090461</v>
      </c>
      <c r="G419" s="24">
        <f t="shared" si="21"/>
        <v>405.35224712771532</v>
      </c>
    </row>
    <row r="420" spans="1:7" x14ac:dyDescent="0.6">
      <c r="A420" s="22">
        <v>22402</v>
      </c>
      <c r="B420" s="23">
        <v>2.4E-2</v>
      </c>
      <c r="C420" s="23">
        <v>1.9299999999999998E-2</v>
      </c>
      <c r="D420" s="23">
        <v>5.1000000000000004E-3</v>
      </c>
      <c r="E420" s="24">
        <f t="shared" si="19"/>
        <v>1668.8517249813983</v>
      </c>
      <c r="F420" s="24">
        <f t="shared" si="20"/>
        <v>226.23178075152009</v>
      </c>
      <c r="G420" s="24">
        <f t="shared" si="21"/>
        <v>407.41954358806669</v>
      </c>
    </row>
    <row r="421" spans="1:7" x14ac:dyDescent="0.6">
      <c r="A421" s="22">
        <v>22433</v>
      </c>
      <c r="B421" s="23">
        <v>-3.0800000000000001E-2</v>
      </c>
      <c r="C421" s="23">
        <v>-2.4799999999999999E-2</v>
      </c>
      <c r="D421" s="23">
        <v>-1.9E-3</v>
      </c>
      <c r="E421" s="24">
        <f t="shared" si="19"/>
        <v>1617.4510918519711</v>
      </c>
      <c r="F421" s="24">
        <f t="shared" si="20"/>
        <v>220.62123258888238</v>
      </c>
      <c r="G421" s="24">
        <f t="shared" si="21"/>
        <v>406.64544645524933</v>
      </c>
    </row>
    <row r="422" spans="1:7" x14ac:dyDescent="0.6">
      <c r="A422" s="22">
        <v>22463</v>
      </c>
      <c r="B422" s="23">
        <v>2.8300000000000002E-2</v>
      </c>
      <c r="C422" s="23">
        <v>-1.9E-2</v>
      </c>
      <c r="D422" s="23">
        <v>-1.2999999999999999E-3</v>
      </c>
      <c r="E422" s="24">
        <f t="shared" si="19"/>
        <v>1663.2249577513819</v>
      </c>
      <c r="F422" s="24">
        <f t="shared" si="20"/>
        <v>216.42942916969361</v>
      </c>
      <c r="G422" s="24">
        <f t="shared" si="21"/>
        <v>406.1168073748575</v>
      </c>
    </row>
    <row r="423" spans="1:7" x14ac:dyDescent="0.6">
      <c r="A423" s="22">
        <v>22494</v>
      </c>
      <c r="B423" s="23">
        <v>2.5700000000000001E-2</v>
      </c>
      <c r="C423" s="23">
        <v>-1.8100000000000002E-2</v>
      </c>
      <c r="D423" s="23">
        <v>-1.9E-3</v>
      </c>
      <c r="E423" s="24">
        <f t="shared" si="19"/>
        <v>1705.9698391655925</v>
      </c>
      <c r="F423" s="24">
        <f t="shared" si="20"/>
        <v>212.51205650172216</v>
      </c>
      <c r="G423" s="24">
        <f t="shared" si="21"/>
        <v>405.34518544084528</v>
      </c>
    </row>
    <row r="424" spans="1:7" x14ac:dyDescent="0.6">
      <c r="A424" s="22">
        <v>22525</v>
      </c>
      <c r="B424" s="23">
        <v>-2.1499999999999998E-2</v>
      </c>
      <c r="C424" s="23">
        <v>-1.1200000000000002E-2</v>
      </c>
      <c r="D424" s="23">
        <v>-4.7999999999999996E-3</v>
      </c>
      <c r="E424" s="24">
        <f t="shared" si="19"/>
        <v>1669.2914876235322</v>
      </c>
      <c r="F424" s="24">
        <f t="shared" si="20"/>
        <v>210.13192146890287</v>
      </c>
      <c r="G424" s="24">
        <f t="shared" si="21"/>
        <v>403.3995285507292</v>
      </c>
    </row>
    <row r="425" spans="1:7" x14ac:dyDescent="0.6">
      <c r="A425" s="22">
        <v>22555</v>
      </c>
      <c r="B425" s="23">
        <v>2.5700000000000001E-2</v>
      </c>
      <c r="C425" s="23">
        <v>-1.9799999999999998E-2</v>
      </c>
      <c r="D425" s="23">
        <v>6.0999999999999995E-3</v>
      </c>
      <c r="E425" s="24">
        <f t="shared" si="19"/>
        <v>1712.1922788554571</v>
      </c>
      <c r="F425" s="24">
        <f t="shared" si="20"/>
        <v>205.97130942381858</v>
      </c>
      <c r="G425" s="24">
        <f t="shared" si="21"/>
        <v>405.86026567488864</v>
      </c>
    </row>
    <row r="426" spans="1:7" x14ac:dyDescent="0.6">
      <c r="A426" s="22">
        <v>22586</v>
      </c>
      <c r="B426" s="23">
        <v>4.4500000000000005E-2</v>
      </c>
      <c r="C426" s="23">
        <v>1.0500000000000001E-2</v>
      </c>
      <c r="D426" s="23">
        <v>-9.0000000000000011E-3</v>
      </c>
      <c r="E426" s="24">
        <f t="shared" si="19"/>
        <v>1788.3848352645248</v>
      </c>
      <c r="F426" s="24">
        <f t="shared" si="20"/>
        <v>208.13400817276866</v>
      </c>
      <c r="G426" s="24">
        <f t="shared" si="21"/>
        <v>402.20752328381462</v>
      </c>
    </row>
    <row r="427" spans="1:7" x14ac:dyDescent="0.6">
      <c r="A427" s="22">
        <v>22616</v>
      </c>
      <c r="B427" s="23">
        <v>-1.8E-3</v>
      </c>
      <c r="C427" s="23">
        <v>-1.1200000000000002E-2</v>
      </c>
      <c r="D427" s="23">
        <v>2.2099999999999998E-2</v>
      </c>
      <c r="E427" s="24">
        <f t="shared" si="19"/>
        <v>1785.1657425610485</v>
      </c>
      <c r="F427" s="24">
        <f t="shared" si="20"/>
        <v>205.80290728123364</v>
      </c>
      <c r="G427" s="24">
        <f t="shared" si="21"/>
        <v>411.09630954838696</v>
      </c>
    </row>
    <row r="428" spans="1:7" x14ac:dyDescent="0.6">
      <c r="A428" s="22">
        <v>22647</v>
      </c>
      <c r="B428" s="23">
        <v>-3.8699999999999998E-2</v>
      </c>
      <c r="C428" s="23">
        <v>1.84E-2</v>
      </c>
      <c r="D428" s="23">
        <v>4.99E-2</v>
      </c>
      <c r="E428" s="24">
        <f t="shared" si="19"/>
        <v>1716.079828323936</v>
      </c>
      <c r="F428" s="24">
        <f t="shared" si="20"/>
        <v>209.58968077520834</v>
      </c>
      <c r="G428" s="24">
        <f t="shared" si="21"/>
        <v>431.61001539485147</v>
      </c>
    </row>
    <row r="429" spans="1:7" x14ac:dyDescent="0.6">
      <c r="A429" s="22">
        <v>22678</v>
      </c>
      <c r="B429" s="23">
        <v>1.8100000000000005E-2</v>
      </c>
      <c r="C429" s="23">
        <v>-1.1899999999999999E-2</v>
      </c>
      <c r="D429" s="23">
        <v>8.8999999999999999E-3</v>
      </c>
      <c r="E429" s="24">
        <f t="shared" si="19"/>
        <v>1747.1408732165992</v>
      </c>
      <c r="F429" s="24">
        <f t="shared" si="20"/>
        <v>207.09556357398336</v>
      </c>
      <c r="G429" s="24">
        <f t="shared" si="21"/>
        <v>435.45134453186563</v>
      </c>
    </row>
    <row r="430" spans="1:7" x14ac:dyDescent="0.6">
      <c r="A430" s="22">
        <v>22706</v>
      </c>
      <c r="B430" s="23">
        <v>-6.8000000000000005E-3</v>
      </c>
      <c r="C430" s="23">
        <v>2.3E-3</v>
      </c>
      <c r="D430" s="23">
        <v>-1.01E-2</v>
      </c>
      <c r="E430" s="24">
        <f t="shared" si="19"/>
        <v>1735.2603152787262</v>
      </c>
      <c r="F430" s="24">
        <f t="shared" si="20"/>
        <v>207.57188337020352</v>
      </c>
      <c r="G430" s="24">
        <f t="shared" si="21"/>
        <v>431.0532859520938</v>
      </c>
    </row>
    <row r="431" spans="1:7" x14ac:dyDescent="0.6">
      <c r="A431" s="22">
        <v>22737</v>
      </c>
      <c r="B431" s="23">
        <v>-6.59E-2</v>
      </c>
      <c r="C431" s="23">
        <v>-9.7999999999999997E-3</v>
      </c>
      <c r="D431" s="23">
        <v>4.7999999999999996E-3</v>
      </c>
      <c r="E431" s="24">
        <f t="shared" si="19"/>
        <v>1620.9066605018581</v>
      </c>
      <c r="F431" s="24">
        <f t="shared" si="20"/>
        <v>205.53767891317551</v>
      </c>
      <c r="G431" s="24">
        <f t="shared" si="21"/>
        <v>433.12234172466384</v>
      </c>
    </row>
    <row r="432" spans="1:7" x14ac:dyDescent="0.6">
      <c r="A432" s="22">
        <v>22767</v>
      </c>
      <c r="B432" s="23">
        <v>-8.6500000000000007E-2</v>
      </c>
      <c r="C432" s="23">
        <v>-3.0099999999999998E-2</v>
      </c>
      <c r="D432" s="23">
        <v>2.3099999999999999E-2</v>
      </c>
      <c r="E432" s="24">
        <f t="shared" si="19"/>
        <v>1480.6982343684474</v>
      </c>
      <c r="F432" s="24">
        <f t="shared" si="20"/>
        <v>199.35099477788893</v>
      </c>
      <c r="G432" s="24">
        <f t="shared" si="21"/>
        <v>443.12746781850353</v>
      </c>
    </row>
    <row r="433" spans="1:7" x14ac:dyDescent="0.6">
      <c r="A433" s="22">
        <v>22798</v>
      </c>
      <c r="B433" s="23">
        <v>-8.4700000000000011E-2</v>
      </c>
      <c r="C433" s="23">
        <v>-7.7000000000000002E-3</v>
      </c>
      <c r="D433" s="23">
        <v>2.7999999999999997E-2</v>
      </c>
      <c r="E433" s="24">
        <f t="shared" si="19"/>
        <v>1355.2830939174398</v>
      </c>
      <c r="F433" s="24">
        <f t="shared" si="20"/>
        <v>197.81599211809919</v>
      </c>
      <c r="G433" s="24">
        <f t="shared" si="21"/>
        <v>455.53503691742162</v>
      </c>
    </row>
    <row r="434" spans="1:7" x14ac:dyDescent="0.6">
      <c r="A434" s="22">
        <v>22828</v>
      </c>
      <c r="B434" s="23">
        <v>6.2800000000000009E-2</v>
      </c>
      <c r="C434" s="23">
        <v>1.6E-2</v>
      </c>
      <c r="D434" s="23">
        <v>-3.6000000000000004E-2</v>
      </c>
      <c r="E434" s="24">
        <f t="shared" ref="E434:E497" si="22">E433*(1+B434)</f>
        <v>1440.3948722154551</v>
      </c>
      <c r="F434" s="24">
        <f t="shared" ref="F434:F497" si="23">F433*(1+C434)</f>
        <v>200.98104799198879</v>
      </c>
      <c r="G434" s="24">
        <f t="shared" ref="G434:G497" si="24">G433*(1+D434)</f>
        <v>439.13577558839444</v>
      </c>
    </row>
    <row r="435" spans="1:7" x14ac:dyDescent="0.6">
      <c r="A435" s="22">
        <v>22859</v>
      </c>
      <c r="B435" s="23">
        <v>2.1299999999999999E-2</v>
      </c>
      <c r="C435" s="23">
        <v>1.2500000000000001E-2</v>
      </c>
      <c r="D435" s="23">
        <v>-1.23E-2</v>
      </c>
      <c r="E435" s="24">
        <f t="shared" si="22"/>
        <v>1471.0752829936444</v>
      </c>
      <c r="F435" s="24">
        <f t="shared" si="23"/>
        <v>203.49331109188864</v>
      </c>
      <c r="G435" s="24">
        <f t="shared" si="24"/>
        <v>433.73440554865721</v>
      </c>
    </row>
    <row r="436" spans="1:7" x14ac:dyDescent="0.6">
      <c r="A436" s="22">
        <v>22890</v>
      </c>
      <c r="B436" s="23">
        <v>-5.2199999999999996E-2</v>
      </c>
      <c r="C436" s="23">
        <v>-2.4900000000000002E-2</v>
      </c>
      <c r="D436" s="23">
        <v>1.3100000000000001E-2</v>
      </c>
      <c r="E436" s="24">
        <f t="shared" si="22"/>
        <v>1394.285153221376</v>
      </c>
      <c r="F436" s="24">
        <f t="shared" si="23"/>
        <v>198.42632764570061</v>
      </c>
      <c r="G436" s="24">
        <f t="shared" si="24"/>
        <v>439.41632626134469</v>
      </c>
    </row>
    <row r="437" spans="1:7" x14ac:dyDescent="0.6">
      <c r="A437" s="22">
        <v>22920</v>
      </c>
      <c r="B437" s="23">
        <v>-5.0000000000000001E-4</v>
      </c>
      <c r="C437" s="23">
        <v>-4.0099999999999997E-2</v>
      </c>
      <c r="D437" s="23">
        <v>1.3600000000000001E-2</v>
      </c>
      <c r="E437" s="24">
        <f t="shared" si="22"/>
        <v>1393.5880106447655</v>
      </c>
      <c r="F437" s="24">
        <f t="shared" si="23"/>
        <v>190.469431907108</v>
      </c>
      <c r="G437" s="24">
        <f t="shared" si="24"/>
        <v>445.39238829849899</v>
      </c>
    </row>
    <row r="438" spans="1:7" x14ac:dyDescent="0.6">
      <c r="A438" s="22">
        <v>22951</v>
      </c>
      <c r="B438" s="23">
        <v>0.10869999999999998</v>
      </c>
      <c r="C438" s="23">
        <v>2.58E-2</v>
      </c>
      <c r="D438" s="23">
        <v>1.04E-2</v>
      </c>
      <c r="E438" s="24">
        <f t="shared" si="22"/>
        <v>1545.0710274018516</v>
      </c>
      <c r="F438" s="24">
        <f t="shared" si="23"/>
        <v>195.38354325031139</v>
      </c>
      <c r="G438" s="24">
        <f t="shared" si="24"/>
        <v>450.02446913680336</v>
      </c>
    </row>
    <row r="439" spans="1:7" x14ac:dyDescent="0.6">
      <c r="A439" s="22">
        <v>22981</v>
      </c>
      <c r="B439" s="23">
        <v>1.01E-2</v>
      </c>
      <c r="C439" s="23">
        <v>-3.7900000000000003E-2</v>
      </c>
      <c r="D439" s="23">
        <v>3.3E-3</v>
      </c>
      <c r="E439" s="24">
        <f t="shared" si="22"/>
        <v>1560.6762447786102</v>
      </c>
      <c r="F439" s="24">
        <f t="shared" si="23"/>
        <v>187.97850696112459</v>
      </c>
      <c r="G439" s="24">
        <f t="shared" si="24"/>
        <v>451.50954988495482</v>
      </c>
    </row>
    <row r="440" spans="1:7" x14ac:dyDescent="0.6">
      <c r="A440" s="22">
        <v>23012</v>
      </c>
      <c r="B440" s="23">
        <v>4.9299999999999997E-2</v>
      </c>
      <c r="C440" s="23">
        <v>3.1E-2</v>
      </c>
      <c r="D440" s="23">
        <v>2.1899999999999999E-2</v>
      </c>
      <c r="E440" s="24">
        <f t="shared" si="22"/>
        <v>1637.6175836461955</v>
      </c>
      <c r="F440" s="24">
        <f t="shared" si="23"/>
        <v>193.80584067691944</v>
      </c>
      <c r="G440" s="24">
        <f t="shared" si="24"/>
        <v>461.39760902743535</v>
      </c>
    </row>
    <row r="441" spans="1:7" x14ac:dyDescent="0.6">
      <c r="A441" s="22">
        <v>23043</v>
      </c>
      <c r="B441" s="23">
        <v>-2.3799999999999998E-2</v>
      </c>
      <c r="C441" s="23">
        <v>4.7999999999999996E-3</v>
      </c>
      <c r="D441" s="23">
        <v>2.2499999999999999E-2</v>
      </c>
      <c r="E441" s="24">
        <f t="shared" si="22"/>
        <v>1598.6422851554159</v>
      </c>
      <c r="F441" s="24">
        <f t="shared" si="23"/>
        <v>194.73610871216863</v>
      </c>
      <c r="G441" s="24">
        <f t="shared" si="24"/>
        <v>471.77905523055261</v>
      </c>
    </row>
    <row r="442" spans="1:7" x14ac:dyDescent="0.6">
      <c r="A442" s="22">
        <v>23071</v>
      </c>
      <c r="B442" s="23">
        <v>3.0799999999999998E-2</v>
      </c>
      <c r="C442" s="23">
        <v>-2.5099999999999997E-2</v>
      </c>
      <c r="D442" s="23">
        <v>1.9299999999999998E-2</v>
      </c>
      <c r="E442" s="24">
        <f t="shared" si="22"/>
        <v>1647.8804675382028</v>
      </c>
      <c r="F442" s="24">
        <f t="shared" si="23"/>
        <v>189.84823238349318</v>
      </c>
      <c r="G442" s="24">
        <f t="shared" si="24"/>
        <v>480.8843909965023</v>
      </c>
    </row>
    <row r="443" spans="1:7" x14ac:dyDescent="0.6">
      <c r="A443" s="22">
        <v>23102</v>
      </c>
      <c r="B443" s="23">
        <v>4.5099999999999994E-2</v>
      </c>
      <c r="C443" s="23">
        <v>-1.32E-2</v>
      </c>
      <c r="D443" s="23">
        <v>1.03E-2</v>
      </c>
      <c r="E443" s="24">
        <f t="shared" si="22"/>
        <v>1722.1998766241757</v>
      </c>
      <c r="F443" s="24">
        <f t="shared" si="23"/>
        <v>187.34223571603107</v>
      </c>
      <c r="G443" s="24">
        <f t="shared" si="24"/>
        <v>485.83750022376626</v>
      </c>
    </row>
    <row r="444" spans="1:7" x14ac:dyDescent="0.6">
      <c r="A444" s="22">
        <v>23132</v>
      </c>
      <c r="B444" s="23">
        <v>1.7600000000000001E-2</v>
      </c>
      <c r="C444" s="23">
        <v>1.0700000000000001E-2</v>
      </c>
      <c r="D444" s="23">
        <v>2.5600000000000001E-2</v>
      </c>
      <c r="E444" s="24">
        <f t="shared" si="22"/>
        <v>1752.5105944527613</v>
      </c>
      <c r="F444" s="24">
        <f t="shared" si="23"/>
        <v>189.34679763819258</v>
      </c>
      <c r="G444" s="24">
        <f t="shared" si="24"/>
        <v>498.27494022949469</v>
      </c>
    </row>
    <row r="445" spans="1:7" x14ac:dyDescent="0.6">
      <c r="A445" s="22">
        <v>23163</v>
      </c>
      <c r="B445" s="23">
        <v>-0.02</v>
      </c>
      <c r="C445" s="23">
        <v>-2.7000000000000001E-3</v>
      </c>
      <c r="D445" s="23">
        <v>7.3000000000000001E-3</v>
      </c>
      <c r="E445" s="24">
        <f t="shared" si="22"/>
        <v>1717.4603825637062</v>
      </c>
      <c r="F445" s="24">
        <f t="shared" si="23"/>
        <v>188.83556128456945</v>
      </c>
      <c r="G445" s="24">
        <f t="shared" si="24"/>
        <v>501.91234729317006</v>
      </c>
    </row>
    <row r="446" spans="1:7" x14ac:dyDescent="0.6">
      <c r="A446" s="22">
        <v>23193</v>
      </c>
      <c r="B446" s="23">
        <v>-3.8999999999999998E-3</v>
      </c>
      <c r="C446" s="23">
        <v>-5.5000000000000005E-3</v>
      </c>
      <c r="D446" s="23">
        <v>-8.1000000000000013E-3</v>
      </c>
      <c r="E446" s="24">
        <f t="shared" si="22"/>
        <v>1710.7622870717078</v>
      </c>
      <c r="F446" s="24">
        <f t="shared" si="23"/>
        <v>187.79696569750433</v>
      </c>
      <c r="G446" s="24">
        <f t="shared" si="24"/>
        <v>497.84685728009538</v>
      </c>
    </row>
    <row r="447" spans="1:7" x14ac:dyDescent="0.6">
      <c r="A447" s="22">
        <v>23224</v>
      </c>
      <c r="B447" s="23">
        <v>5.0700000000000002E-2</v>
      </c>
      <c r="C447" s="23">
        <v>-9.3999999999999986E-3</v>
      </c>
      <c r="D447" s="23">
        <v>1.6299999999999999E-2</v>
      </c>
      <c r="E447" s="24">
        <f t="shared" si="22"/>
        <v>1797.4979350262433</v>
      </c>
      <c r="F447" s="24">
        <f t="shared" si="23"/>
        <v>186.0316742199478</v>
      </c>
      <c r="G447" s="24">
        <f t="shared" si="24"/>
        <v>505.96176105376094</v>
      </c>
    </row>
    <row r="448" spans="1:7" x14ac:dyDescent="0.6">
      <c r="A448" s="22">
        <v>23255</v>
      </c>
      <c r="B448" s="23">
        <v>-1.5700000000000002E-2</v>
      </c>
      <c r="C448" s="23">
        <v>-3.0000000000000001E-3</v>
      </c>
      <c r="D448" s="23">
        <v>1.9E-3</v>
      </c>
      <c r="E448" s="24">
        <f t="shared" si="22"/>
        <v>1769.2772174463312</v>
      </c>
      <c r="F448" s="24">
        <f t="shared" si="23"/>
        <v>185.47357919728796</v>
      </c>
      <c r="G448" s="24">
        <f t="shared" si="24"/>
        <v>506.92308839976312</v>
      </c>
    </row>
    <row r="449" spans="1:7" x14ac:dyDescent="0.6">
      <c r="A449" s="22">
        <v>23285</v>
      </c>
      <c r="B449" s="23">
        <v>2.53E-2</v>
      </c>
      <c r="C449" s="23">
        <v>-5.3E-3</v>
      </c>
      <c r="D449" s="23">
        <v>-1.1000000000000001E-3</v>
      </c>
      <c r="E449" s="24">
        <f t="shared" si="22"/>
        <v>1814.0399310477235</v>
      </c>
      <c r="F449" s="24">
        <f t="shared" si="23"/>
        <v>184.49056922754235</v>
      </c>
      <c r="G449" s="24">
        <f t="shared" si="24"/>
        <v>506.3654730025234</v>
      </c>
    </row>
    <row r="450" spans="1:7" x14ac:dyDescent="0.6">
      <c r="A450" s="22">
        <v>23316</v>
      </c>
      <c r="B450" s="23">
        <v>-8.5000000000000006E-3</v>
      </c>
      <c r="C450" s="23">
        <v>-1.11E-2</v>
      </c>
      <c r="D450" s="23">
        <v>1.66E-2</v>
      </c>
      <c r="E450" s="24">
        <f t="shared" si="22"/>
        <v>1798.6205916338179</v>
      </c>
      <c r="F450" s="24">
        <f t="shared" si="23"/>
        <v>182.44272390911664</v>
      </c>
      <c r="G450" s="24">
        <f t="shared" si="24"/>
        <v>514.77113985436529</v>
      </c>
    </row>
    <row r="451" spans="1:7" x14ac:dyDescent="0.6">
      <c r="A451" s="22">
        <v>23346</v>
      </c>
      <c r="B451" s="23">
        <v>1.83E-2</v>
      </c>
      <c r="C451" s="23">
        <v>-1.9599999999999999E-2</v>
      </c>
      <c r="D451" s="23">
        <v>-1.1000000000000001E-3</v>
      </c>
      <c r="E451" s="24">
        <f t="shared" si="22"/>
        <v>1831.5353484607167</v>
      </c>
      <c r="F451" s="24">
        <f t="shared" si="23"/>
        <v>178.86684652049797</v>
      </c>
      <c r="G451" s="24">
        <f t="shared" si="24"/>
        <v>514.20489160052546</v>
      </c>
    </row>
    <row r="452" spans="1:7" x14ac:dyDescent="0.6">
      <c r="A452" s="22">
        <v>23377</v>
      </c>
      <c r="B452" s="23">
        <v>2.24E-2</v>
      </c>
      <c r="C452" s="23">
        <v>-2E-3</v>
      </c>
      <c r="D452" s="23">
        <v>1.6399999999999998E-2</v>
      </c>
      <c r="E452" s="24">
        <f t="shared" si="22"/>
        <v>1872.5617402662367</v>
      </c>
      <c r="F452" s="24">
        <f t="shared" si="23"/>
        <v>178.50911282745699</v>
      </c>
      <c r="G452" s="24">
        <f t="shared" si="24"/>
        <v>522.63785182277411</v>
      </c>
    </row>
    <row r="453" spans="1:7" x14ac:dyDescent="0.6">
      <c r="A453" s="22">
        <v>23408</v>
      </c>
      <c r="B453" s="23">
        <v>1.5400000000000002E-2</v>
      </c>
      <c r="C453" s="23">
        <v>8.0000000000000004E-4</v>
      </c>
      <c r="D453" s="23">
        <v>2.8300000000000002E-2</v>
      </c>
      <c r="E453" s="24">
        <f t="shared" si="22"/>
        <v>1901.3991910663369</v>
      </c>
      <c r="F453" s="24">
        <f t="shared" si="23"/>
        <v>178.65192011771893</v>
      </c>
      <c r="G453" s="24">
        <f t="shared" si="24"/>
        <v>537.42850302935858</v>
      </c>
    </row>
    <row r="454" spans="1:7" x14ac:dyDescent="0.6">
      <c r="A454" s="22">
        <v>23437</v>
      </c>
      <c r="B454" s="23">
        <v>1.41E-2</v>
      </c>
      <c r="C454" s="23">
        <v>9.7999999999999997E-3</v>
      </c>
      <c r="D454" s="23">
        <v>3.3599999999999998E-2</v>
      </c>
      <c r="E454" s="24">
        <f t="shared" si="22"/>
        <v>1928.2089196603722</v>
      </c>
      <c r="F454" s="24">
        <f t="shared" si="23"/>
        <v>180.40270893487258</v>
      </c>
      <c r="G454" s="24">
        <f t="shared" si="24"/>
        <v>555.48610073114503</v>
      </c>
    </row>
    <row r="455" spans="1:7" x14ac:dyDescent="0.6">
      <c r="A455" s="22">
        <v>23468</v>
      </c>
      <c r="B455" s="23">
        <v>1.0000000000000005E-3</v>
      </c>
      <c r="C455" s="23">
        <v>-1.41E-2</v>
      </c>
      <c r="D455" s="23">
        <v>-4.1999999999999997E-3</v>
      </c>
      <c r="E455" s="24">
        <f t="shared" si="22"/>
        <v>1930.1371285800324</v>
      </c>
      <c r="F455" s="24">
        <f t="shared" si="23"/>
        <v>177.85903073889088</v>
      </c>
      <c r="G455" s="24">
        <f t="shared" si="24"/>
        <v>553.15305910807422</v>
      </c>
    </row>
    <row r="456" spans="1:7" x14ac:dyDescent="0.6">
      <c r="A456" s="22">
        <v>23498</v>
      </c>
      <c r="B456" s="23">
        <v>1.4199999999999999E-2</v>
      </c>
      <c r="C456" s="23">
        <v>-8.6999999999999994E-3</v>
      </c>
      <c r="D456" s="23">
        <v>1.8799999999999997E-2</v>
      </c>
      <c r="E456" s="24">
        <f t="shared" si="22"/>
        <v>1957.5450758058689</v>
      </c>
      <c r="F456" s="24">
        <f t="shared" si="23"/>
        <v>176.31165717146251</v>
      </c>
      <c r="G456" s="24">
        <f t="shared" si="24"/>
        <v>563.55233661930595</v>
      </c>
    </row>
    <row r="457" spans="1:7" x14ac:dyDescent="0.6">
      <c r="A457" s="22">
        <v>23529</v>
      </c>
      <c r="B457" s="23">
        <v>1.2700000000000003E-2</v>
      </c>
      <c r="C457" s="23">
        <v>-2.8000000000000004E-3</v>
      </c>
      <c r="D457" s="23">
        <v>7.1999999999999998E-3</v>
      </c>
      <c r="E457" s="24">
        <f t="shared" si="22"/>
        <v>1982.4058982686033</v>
      </c>
      <c r="F457" s="24">
        <f t="shared" si="23"/>
        <v>175.81798453138242</v>
      </c>
      <c r="G457" s="24">
        <f t="shared" si="24"/>
        <v>567.60991344296497</v>
      </c>
    </row>
    <row r="458" spans="1:7" x14ac:dyDescent="0.6">
      <c r="A458" s="22">
        <v>23559</v>
      </c>
      <c r="B458" s="23">
        <v>1.7400000000000002E-2</v>
      </c>
      <c r="C458" s="23">
        <v>2.3E-3</v>
      </c>
      <c r="D458" s="23">
        <v>6.9999999999999993E-3</v>
      </c>
      <c r="E458" s="24">
        <f t="shared" si="22"/>
        <v>2016.8997608984771</v>
      </c>
      <c r="F458" s="24">
        <f t="shared" si="23"/>
        <v>176.22236589580459</v>
      </c>
      <c r="G458" s="24">
        <f t="shared" si="24"/>
        <v>571.58318283706569</v>
      </c>
    </row>
    <row r="459" spans="1:7" x14ac:dyDescent="0.6">
      <c r="A459" s="22">
        <v>23590</v>
      </c>
      <c r="B459" s="23">
        <v>-1.44E-2</v>
      </c>
      <c r="C459" s="23">
        <v>8.9999999999999998E-4</v>
      </c>
      <c r="D459" s="23">
        <v>1.1999999999999999E-3</v>
      </c>
      <c r="E459" s="24">
        <f t="shared" si="22"/>
        <v>1987.856404341539</v>
      </c>
      <c r="F459" s="24">
        <f t="shared" si="23"/>
        <v>176.38096602511078</v>
      </c>
      <c r="G459" s="24">
        <f t="shared" si="24"/>
        <v>572.26908265647023</v>
      </c>
    </row>
    <row r="460" spans="1:7" x14ac:dyDescent="0.6">
      <c r="A460" s="22">
        <v>23621</v>
      </c>
      <c r="B460" s="23">
        <v>2.6899999999999997E-2</v>
      </c>
      <c r="C460" s="23">
        <v>-5.1999999999999998E-3</v>
      </c>
      <c r="D460" s="23">
        <v>1.6500000000000001E-2</v>
      </c>
      <c r="E460" s="24">
        <f t="shared" si="22"/>
        <v>2041.3297416183264</v>
      </c>
      <c r="F460" s="24">
        <f t="shared" si="23"/>
        <v>175.4637850017802</v>
      </c>
      <c r="G460" s="24">
        <f t="shared" si="24"/>
        <v>581.71152252030197</v>
      </c>
    </row>
    <row r="461" spans="1:7" x14ac:dyDescent="0.6">
      <c r="A461" s="22">
        <v>23651</v>
      </c>
      <c r="B461" s="23">
        <v>5.899999999999999E-3</v>
      </c>
      <c r="C461" s="23">
        <v>4.5000000000000005E-3</v>
      </c>
      <c r="D461" s="23">
        <v>1.1399999999999999E-2</v>
      </c>
      <c r="E461" s="24">
        <f t="shared" si="22"/>
        <v>2053.3735870938744</v>
      </c>
      <c r="F461" s="24">
        <f t="shared" si="23"/>
        <v>176.25337203428819</v>
      </c>
      <c r="G461" s="24">
        <f t="shared" si="24"/>
        <v>588.34303387703346</v>
      </c>
    </row>
    <row r="462" spans="1:7" x14ac:dyDescent="0.6">
      <c r="A462" s="22">
        <v>23682</v>
      </c>
      <c r="B462" s="23">
        <v>0</v>
      </c>
      <c r="C462" s="23">
        <v>6.0000000000000001E-3</v>
      </c>
      <c r="D462" s="23">
        <v>-1.9599999999999999E-2</v>
      </c>
      <c r="E462" s="24">
        <f t="shared" si="22"/>
        <v>2053.3735870938744</v>
      </c>
      <c r="F462" s="24">
        <f t="shared" si="23"/>
        <v>177.31089226649391</v>
      </c>
      <c r="G462" s="24">
        <f t="shared" si="24"/>
        <v>576.81151041304361</v>
      </c>
    </row>
    <row r="463" spans="1:7" x14ac:dyDescent="0.6">
      <c r="A463" s="22">
        <v>23712</v>
      </c>
      <c r="B463" s="23">
        <v>2.9999999999999992E-4</v>
      </c>
      <c r="C463" s="23">
        <v>-2.3999999999999998E-3</v>
      </c>
      <c r="D463" s="23">
        <v>-2.58E-2</v>
      </c>
      <c r="E463" s="24">
        <f t="shared" si="22"/>
        <v>2053.9895991700027</v>
      </c>
      <c r="F463" s="24">
        <f t="shared" si="23"/>
        <v>176.88534612505433</v>
      </c>
      <c r="G463" s="24">
        <f t="shared" si="24"/>
        <v>561.92977344438702</v>
      </c>
    </row>
    <row r="464" spans="1:7" x14ac:dyDescent="0.6">
      <c r="A464" s="22">
        <v>23743</v>
      </c>
      <c r="B464" s="23">
        <v>3.5400000000000001E-2</v>
      </c>
      <c r="C464" s="23">
        <v>2.6800000000000001E-2</v>
      </c>
      <c r="D464" s="23">
        <v>2.0999999999999999E-3</v>
      </c>
      <c r="E464" s="24">
        <f t="shared" si="22"/>
        <v>2126.700830980621</v>
      </c>
      <c r="F464" s="24">
        <f t="shared" si="23"/>
        <v>181.62587340120578</v>
      </c>
      <c r="G464" s="24">
        <f t="shared" si="24"/>
        <v>563.10982596862027</v>
      </c>
    </row>
    <row r="465" spans="1:7" x14ac:dyDescent="0.6">
      <c r="A465" s="22">
        <v>23774</v>
      </c>
      <c r="B465" s="23">
        <v>4.4000000000000003E-3</v>
      </c>
      <c r="C465" s="23">
        <v>3.4799999999999998E-2</v>
      </c>
      <c r="D465" s="23">
        <v>1.9E-3</v>
      </c>
      <c r="E465" s="24">
        <f t="shared" si="22"/>
        <v>2136.0583146369358</v>
      </c>
      <c r="F465" s="24">
        <f t="shared" si="23"/>
        <v>187.94645379556772</v>
      </c>
      <c r="G465" s="24">
        <f t="shared" si="24"/>
        <v>564.17973463796068</v>
      </c>
    </row>
    <row r="466" spans="1:7" x14ac:dyDescent="0.6">
      <c r="A466" s="22">
        <v>23802</v>
      </c>
      <c r="B466" s="23">
        <v>-1.3400000000000002E-2</v>
      </c>
      <c r="C466" s="23">
        <v>1.7899999999999999E-2</v>
      </c>
      <c r="D466" s="23">
        <v>1.0700000000000001E-2</v>
      </c>
      <c r="E466" s="24">
        <f t="shared" si="22"/>
        <v>2107.4351332208012</v>
      </c>
      <c r="F466" s="24">
        <f t="shared" si="23"/>
        <v>191.31069531850838</v>
      </c>
      <c r="G466" s="24">
        <f t="shared" si="24"/>
        <v>570.21645779858682</v>
      </c>
    </row>
    <row r="467" spans="1:7" x14ac:dyDescent="0.6">
      <c r="A467" s="22">
        <v>23833</v>
      </c>
      <c r="B467" s="23">
        <v>3.1100000000000003E-2</v>
      </c>
      <c r="C467" s="23">
        <v>1.1899999999999999E-2</v>
      </c>
      <c r="D467" s="23">
        <v>6.9999999999999993E-3</v>
      </c>
      <c r="E467" s="24">
        <f t="shared" si="22"/>
        <v>2172.9763658639677</v>
      </c>
      <c r="F467" s="24">
        <f t="shared" si="23"/>
        <v>193.58729259279863</v>
      </c>
      <c r="G467" s="24">
        <f t="shared" si="24"/>
        <v>574.2079730031769</v>
      </c>
    </row>
    <row r="468" spans="1:7" x14ac:dyDescent="0.6">
      <c r="A468" s="22">
        <v>23863</v>
      </c>
      <c r="B468" s="23">
        <v>-7.7000000000000002E-3</v>
      </c>
      <c r="C468" s="23">
        <v>2.9999999999999997E-4</v>
      </c>
      <c r="D468" s="23">
        <v>-1.6200000000000003E-2</v>
      </c>
      <c r="E468" s="24">
        <f t="shared" si="22"/>
        <v>2156.2444478468151</v>
      </c>
      <c r="F468" s="24">
        <f t="shared" si="23"/>
        <v>193.64536878057646</v>
      </c>
      <c r="G468" s="24">
        <f t="shared" si="24"/>
        <v>564.90580384052544</v>
      </c>
    </row>
    <row r="469" spans="1:7" x14ac:dyDescent="0.6">
      <c r="A469" s="22">
        <v>23894</v>
      </c>
      <c r="B469" s="23">
        <v>-5.5099999999999996E-2</v>
      </c>
      <c r="C469" s="23">
        <v>-4.3499999999999997E-2</v>
      </c>
      <c r="D469" s="23">
        <v>5.7999999999999996E-3</v>
      </c>
      <c r="E469" s="24">
        <f t="shared" si="22"/>
        <v>2037.4353787704556</v>
      </c>
      <c r="F469" s="24">
        <f t="shared" si="23"/>
        <v>185.22179523862138</v>
      </c>
      <c r="G469" s="24">
        <f t="shared" si="24"/>
        <v>568.18225750280055</v>
      </c>
    </row>
    <row r="470" spans="1:7" x14ac:dyDescent="0.6">
      <c r="A470" s="22">
        <v>23924</v>
      </c>
      <c r="B470" s="23">
        <v>1.4299999999999998E-2</v>
      </c>
      <c r="C470" s="23">
        <v>8.5000000000000006E-3</v>
      </c>
      <c r="D470" s="23">
        <v>2.2200000000000001E-2</v>
      </c>
      <c r="E470" s="24">
        <f t="shared" si="22"/>
        <v>2066.5707046868729</v>
      </c>
      <c r="F470" s="24">
        <f t="shared" si="23"/>
        <v>186.79618049814965</v>
      </c>
      <c r="G470" s="24">
        <f t="shared" si="24"/>
        <v>580.79590361936278</v>
      </c>
    </row>
    <row r="471" spans="1:7" x14ac:dyDescent="0.6">
      <c r="A471" s="22">
        <v>23955</v>
      </c>
      <c r="B471" s="23">
        <v>2.7300000000000001E-2</v>
      </c>
      <c r="C471" s="23">
        <v>2.8399999999999998E-2</v>
      </c>
      <c r="D471" s="23">
        <v>-1.0700000000000001E-2</v>
      </c>
      <c r="E471" s="24">
        <f t="shared" si="22"/>
        <v>2122.9880849248248</v>
      </c>
      <c r="F471" s="24">
        <f t="shared" si="23"/>
        <v>192.10119202429709</v>
      </c>
      <c r="G471" s="24">
        <f t="shared" si="24"/>
        <v>574.58138745063559</v>
      </c>
    </row>
    <row r="472" spans="1:7" x14ac:dyDescent="0.6">
      <c r="A472" s="22">
        <v>23986</v>
      </c>
      <c r="B472" s="23">
        <v>2.86E-2</v>
      </c>
      <c r="C472" s="23">
        <v>6.1999999999999998E-3</v>
      </c>
      <c r="D472" s="23">
        <v>-1.1000000000000001E-3</v>
      </c>
      <c r="E472" s="24">
        <f t="shared" si="22"/>
        <v>2183.7055441536745</v>
      </c>
      <c r="F472" s="24">
        <f t="shared" si="23"/>
        <v>193.29221941484772</v>
      </c>
      <c r="G472" s="24">
        <f t="shared" si="24"/>
        <v>573.94934792443985</v>
      </c>
    </row>
    <row r="473" spans="1:7" x14ac:dyDescent="0.6">
      <c r="A473" s="22">
        <v>24016</v>
      </c>
      <c r="B473" s="23">
        <v>2.6000000000000002E-2</v>
      </c>
      <c r="C473" s="23">
        <v>2.4300000000000002E-2</v>
      </c>
      <c r="D473" s="23">
        <v>1.6E-2</v>
      </c>
      <c r="E473" s="24">
        <f t="shared" si="22"/>
        <v>2240.4818883016701</v>
      </c>
      <c r="F473" s="24">
        <f t="shared" si="23"/>
        <v>197.98922034662851</v>
      </c>
      <c r="G473" s="24">
        <f t="shared" si="24"/>
        <v>583.13253749123089</v>
      </c>
    </row>
    <row r="474" spans="1:7" x14ac:dyDescent="0.6">
      <c r="A474" s="22">
        <v>24047</v>
      </c>
      <c r="B474" s="23">
        <v>-2.9999999999999992E-4</v>
      </c>
      <c r="C474" s="23">
        <v>4.6799999999999994E-2</v>
      </c>
      <c r="D474" s="23">
        <v>2.3E-3</v>
      </c>
      <c r="E474" s="24">
        <f t="shared" si="22"/>
        <v>2239.8097437351798</v>
      </c>
      <c r="F474" s="24">
        <f t="shared" si="23"/>
        <v>207.25511585885073</v>
      </c>
      <c r="G474" s="24">
        <f t="shared" si="24"/>
        <v>584.47374232746074</v>
      </c>
    </row>
    <row r="475" spans="1:7" x14ac:dyDescent="0.6">
      <c r="A475" s="22">
        <v>24077</v>
      </c>
      <c r="B475" s="23">
        <v>1.0100000000000001E-2</v>
      </c>
      <c r="C475" s="23">
        <v>2.07E-2</v>
      </c>
      <c r="D475" s="23">
        <v>2.0799999999999999E-2</v>
      </c>
      <c r="E475" s="24">
        <f t="shared" si="22"/>
        <v>2262.4318221469052</v>
      </c>
      <c r="F475" s="24">
        <f t="shared" si="23"/>
        <v>211.54529675712894</v>
      </c>
      <c r="G475" s="24">
        <f t="shared" si="24"/>
        <v>596.63079616787184</v>
      </c>
    </row>
    <row r="476" spans="1:7" x14ac:dyDescent="0.6">
      <c r="A476" s="22">
        <v>24108</v>
      </c>
      <c r="B476" s="23">
        <v>7.2000000000000015E-3</v>
      </c>
      <c r="C476" s="23">
        <v>3.8599999999999995E-2</v>
      </c>
      <c r="D476" s="23">
        <v>3.5699999999999996E-2</v>
      </c>
      <c r="E476" s="24">
        <f t="shared" si="22"/>
        <v>2278.721331266363</v>
      </c>
      <c r="F476" s="24">
        <f t="shared" si="23"/>
        <v>219.71094521195411</v>
      </c>
      <c r="G476" s="24">
        <f t="shared" si="24"/>
        <v>617.93051559106493</v>
      </c>
    </row>
    <row r="477" spans="1:7" x14ac:dyDescent="0.6">
      <c r="A477" s="22">
        <v>24139</v>
      </c>
      <c r="B477" s="23">
        <v>-1.21E-2</v>
      </c>
      <c r="C477" s="23">
        <v>4.4500000000000005E-2</v>
      </c>
      <c r="D477" s="23">
        <v>3.5999999999999999E-3</v>
      </c>
      <c r="E477" s="24">
        <f t="shared" si="22"/>
        <v>2251.1488031580402</v>
      </c>
      <c r="F477" s="24">
        <f t="shared" si="23"/>
        <v>229.48808227388608</v>
      </c>
      <c r="G477" s="24">
        <f t="shared" si="24"/>
        <v>620.15506544719278</v>
      </c>
    </row>
    <row r="478" spans="1:7" x14ac:dyDescent="0.6">
      <c r="A478" s="22">
        <v>24167</v>
      </c>
      <c r="B478" s="23">
        <v>-2.5100000000000001E-2</v>
      </c>
      <c r="C478" s="23">
        <v>9.4999999999999998E-3</v>
      </c>
      <c r="D478" s="23">
        <v>-2.0499999999999997E-2</v>
      </c>
      <c r="E478" s="24">
        <f t="shared" si="22"/>
        <v>2194.6449681987733</v>
      </c>
      <c r="F478" s="24">
        <f t="shared" si="23"/>
        <v>231.66821905548801</v>
      </c>
      <c r="G478" s="24">
        <f t="shared" si="24"/>
        <v>607.44188660552538</v>
      </c>
    </row>
    <row r="479" spans="1:7" x14ac:dyDescent="0.6">
      <c r="A479" s="22">
        <v>24198</v>
      </c>
      <c r="B479" s="23">
        <v>2.1399999999999999E-2</v>
      </c>
      <c r="C479" s="23">
        <v>3.4300000000000004E-2</v>
      </c>
      <c r="D479" s="23">
        <v>-4.5000000000000005E-3</v>
      </c>
      <c r="E479" s="24">
        <f t="shared" si="22"/>
        <v>2241.6103705182272</v>
      </c>
      <c r="F479" s="24">
        <f t="shared" si="23"/>
        <v>239.61443896909125</v>
      </c>
      <c r="G479" s="24">
        <f t="shared" si="24"/>
        <v>604.70839811580061</v>
      </c>
    </row>
    <row r="480" spans="1:7" x14ac:dyDescent="0.6">
      <c r="A480" s="22">
        <v>24228</v>
      </c>
      <c r="B480" s="23">
        <v>-5.6599999999999998E-2</v>
      </c>
      <c r="C480" s="23">
        <v>-4.6500000000000007E-2</v>
      </c>
      <c r="D480" s="23">
        <v>-1.6500000000000001E-2</v>
      </c>
      <c r="E480" s="24">
        <f t="shared" si="22"/>
        <v>2114.7352235468957</v>
      </c>
      <c r="F480" s="24">
        <f t="shared" si="23"/>
        <v>228.47236755702852</v>
      </c>
      <c r="G480" s="24">
        <f t="shared" si="24"/>
        <v>594.7307095468899</v>
      </c>
    </row>
    <row r="481" spans="1:7" x14ac:dyDescent="0.6">
      <c r="A481" s="22">
        <v>24259</v>
      </c>
      <c r="B481" s="23">
        <v>-1.44E-2</v>
      </c>
      <c r="C481" s="23">
        <v>1.06E-2</v>
      </c>
      <c r="D481" s="23">
        <v>4.8999999999999998E-3</v>
      </c>
      <c r="E481" s="24">
        <f t="shared" si="22"/>
        <v>2084.2830363278204</v>
      </c>
      <c r="F481" s="24">
        <f t="shared" si="23"/>
        <v>230.89417465313301</v>
      </c>
      <c r="G481" s="24">
        <f t="shared" si="24"/>
        <v>597.64489002366963</v>
      </c>
    </row>
    <row r="482" spans="1:7" x14ac:dyDescent="0.6">
      <c r="A482" s="22">
        <v>24289</v>
      </c>
      <c r="B482" s="23">
        <v>-1.6299999999999999E-2</v>
      </c>
      <c r="C482" s="23">
        <v>-3.7000000000000002E-3</v>
      </c>
      <c r="D482" s="23">
        <v>9.0000000000000011E-3</v>
      </c>
      <c r="E482" s="24">
        <f t="shared" si="22"/>
        <v>2050.3092228356768</v>
      </c>
      <c r="F482" s="24">
        <f t="shared" si="23"/>
        <v>230.0398662069164</v>
      </c>
      <c r="G482" s="24">
        <f t="shared" si="24"/>
        <v>603.02369403388263</v>
      </c>
    </row>
    <row r="483" spans="1:7" x14ac:dyDescent="0.6">
      <c r="A483" s="22">
        <v>24320</v>
      </c>
      <c r="B483" s="23">
        <v>-7.9100000000000004E-2</v>
      </c>
      <c r="C483" s="23">
        <v>-3.3399999999999999E-2</v>
      </c>
      <c r="D483" s="23">
        <v>6.0000000000000001E-3</v>
      </c>
      <c r="E483" s="24">
        <f t="shared" si="22"/>
        <v>1888.1297633093748</v>
      </c>
      <c r="F483" s="24">
        <f t="shared" si="23"/>
        <v>222.35653467560539</v>
      </c>
      <c r="G483" s="24">
        <f t="shared" si="24"/>
        <v>606.64183619808591</v>
      </c>
    </row>
    <row r="484" spans="1:7" x14ac:dyDescent="0.6">
      <c r="A484" s="22">
        <v>24351</v>
      </c>
      <c r="B484" s="23">
        <v>-1.06E-2</v>
      </c>
      <c r="C484" s="23">
        <v>-1.0800000000000001E-2</v>
      </c>
      <c r="D484" s="23">
        <v>4.6999999999999993E-3</v>
      </c>
      <c r="E484" s="24">
        <f t="shared" si="22"/>
        <v>1868.1155878182954</v>
      </c>
      <c r="F484" s="24">
        <f t="shared" si="23"/>
        <v>219.95508410110884</v>
      </c>
      <c r="G484" s="24">
        <f t="shared" si="24"/>
        <v>609.49305282821683</v>
      </c>
    </row>
    <row r="485" spans="1:7" x14ac:dyDescent="0.6">
      <c r="A485" s="22">
        <v>24381</v>
      </c>
      <c r="B485" s="23">
        <v>3.8599999999999995E-2</v>
      </c>
      <c r="C485" s="23">
        <v>-6.6100000000000006E-2</v>
      </c>
      <c r="D485" s="23">
        <v>2.8500000000000001E-2</v>
      </c>
      <c r="E485" s="24">
        <f t="shared" si="22"/>
        <v>1940.2248495080814</v>
      </c>
      <c r="F485" s="24">
        <f t="shared" si="23"/>
        <v>205.41605304202554</v>
      </c>
      <c r="G485" s="24">
        <f t="shared" si="24"/>
        <v>626.863604833821</v>
      </c>
    </row>
    <row r="486" spans="1:7" x14ac:dyDescent="0.6">
      <c r="A486" s="22">
        <v>24412</v>
      </c>
      <c r="B486" s="23">
        <v>1.3999999999999999E-2</v>
      </c>
      <c r="C486" s="23">
        <v>4.36E-2</v>
      </c>
      <c r="D486" s="23">
        <v>-4.6500000000000007E-2</v>
      </c>
      <c r="E486" s="24">
        <f t="shared" si="22"/>
        <v>1967.3879974011945</v>
      </c>
      <c r="F486" s="24">
        <f t="shared" si="23"/>
        <v>214.37219295465786</v>
      </c>
      <c r="G486" s="24">
        <f t="shared" si="24"/>
        <v>597.71444720904833</v>
      </c>
    </row>
    <row r="487" spans="1:7" x14ac:dyDescent="0.6">
      <c r="A487" s="22">
        <v>24442</v>
      </c>
      <c r="B487" s="23">
        <v>1.2999999999999999E-3</v>
      </c>
      <c r="C487" s="23">
        <v>1.9199999999999998E-2</v>
      </c>
      <c r="D487" s="23">
        <v>-1.41E-2</v>
      </c>
      <c r="E487" s="24">
        <f t="shared" si="22"/>
        <v>1969.9456017978162</v>
      </c>
      <c r="F487" s="24">
        <f t="shared" si="23"/>
        <v>218.48813905938732</v>
      </c>
      <c r="G487" s="24">
        <f t="shared" si="24"/>
        <v>589.28667350340072</v>
      </c>
    </row>
    <row r="488" spans="1:7" x14ac:dyDescent="0.6">
      <c r="A488" s="22">
        <v>24473</v>
      </c>
      <c r="B488" s="23">
        <v>8.1500000000000003E-2</v>
      </c>
      <c r="C488" s="23">
        <v>8.43E-2</v>
      </c>
      <c r="D488" s="23">
        <v>2.0099999999999996E-2</v>
      </c>
      <c r="E488" s="24">
        <f t="shared" si="22"/>
        <v>2130.496168344338</v>
      </c>
      <c r="F488" s="24">
        <f t="shared" si="23"/>
        <v>236.90668918209369</v>
      </c>
      <c r="G488" s="24">
        <f t="shared" si="24"/>
        <v>601.13133564081909</v>
      </c>
    </row>
    <row r="489" spans="1:7" x14ac:dyDescent="0.6">
      <c r="A489" s="22">
        <v>24504</v>
      </c>
      <c r="B489" s="23">
        <v>7.8000000000000005E-3</v>
      </c>
      <c r="C489" s="23">
        <v>3.3700000000000001E-2</v>
      </c>
      <c r="D489" s="23">
        <v>-2.2700000000000001E-2</v>
      </c>
      <c r="E489" s="24">
        <f t="shared" si="22"/>
        <v>2147.1140384574237</v>
      </c>
      <c r="F489" s="24">
        <f t="shared" si="23"/>
        <v>244.89044460753027</v>
      </c>
      <c r="G489" s="24">
        <f t="shared" si="24"/>
        <v>587.48565432177247</v>
      </c>
    </row>
    <row r="490" spans="1:7" x14ac:dyDescent="0.6">
      <c r="A490" s="22">
        <v>24532</v>
      </c>
      <c r="B490" s="23">
        <v>3.9899999999999998E-2</v>
      </c>
      <c r="C490" s="23">
        <v>1.6899999999999998E-2</v>
      </c>
      <c r="D490" s="23">
        <v>2.8999999999999998E-3</v>
      </c>
      <c r="E490" s="24">
        <f t="shared" si="22"/>
        <v>2232.783888591875</v>
      </c>
      <c r="F490" s="24">
        <f t="shared" si="23"/>
        <v>249.02909312139752</v>
      </c>
      <c r="G490" s="24">
        <f t="shared" si="24"/>
        <v>589.18936271930556</v>
      </c>
    </row>
    <row r="491" spans="1:7" x14ac:dyDescent="0.6">
      <c r="A491" s="22">
        <v>24563</v>
      </c>
      <c r="B491" s="23">
        <v>3.8899999999999997E-2</v>
      </c>
      <c r="C491" s="23">
        <v>5.8999999999999999E-3</v>
      </c>
      <c r="D491" s="23">
        <v>-2.5600000000000001E-2</v>
      </c>
      <c r="E491" s="24">
        <f t="shared" si="22"/>
        <v>2319.6391818580987</v>
      </c>
      <c r="F491" s="24">
        <f t="shared" si="23"/>
        <v>250.49836477081377</v>
      </c>
      <c r="G491" s="24">
        <f t="shared" si="24"/>
        <v>574.10611503369137</v>
      </c>
    </row>
    <row r="492" spans="1:7" x14ac:dyDescent="0.6">
      <c r="A492" s="22">
        <v>24593</v>
      </c>
      <c r="B492" s="23">
        <v>-4.3299999999999998E-2</v>
      </c>
      <c r="C492" s="23">
        <v>1.9799999999999998E-2</v>
      </c>
      <c r="D492" s="23">
        <v>9.1999999999999998E-3</v>
      </c>
      <c r="E492" s="24">
        <f t="shared" si="22"/>
        <v>2219.1988052836432</v>
      </c>
      <c r="F492" s="24">
        <f t="shared" si="23"/>
        <v>255.45823239327589</v>
      </c>
      <c r="G492" s="24">
        <f t="shared" si="24"/>
        <v>579.38789129200143</v>
      </c>
    </row>
    <row r="493" spans="1:7" x14ac:dyDescent="0.6">
      <c r="A493" s="22">
        <v>24624</v>
      </c>
      <c r="B493" s="23">
        <v>2.41E-2</v>
      </c>
      <c r="C493" s="23">
        <v>5.9900000000000002E-2</v>
      </c>
      <c r="D493" s="23">
        <v>9.4999999999999998E-3</v>
      </c>
      <c r="E493" s="24">
        <f t="shared" si="22"/>
        <v>2272.681496490979</v>
      </c>
      <c r="F493" s="24">
        <f t="shared" si="23"/>
        <v>270.76018051363314</v>
      </c>
      <c r="G493" s="24">
        <f t="shared" si="24"/>
        <v>584.89207625927543</v>
      </c>
    </row>
    <row r="494" spans="1:7" x14ac:dyDescent="0.6">
      <c r="A494" s="22">
        <v>24654</v>
      </c>
      <c r="B494" s="23">
        <v>4.58E-2</v>
      </c>
      <c r="C494" s="23">
        <v>3.0800000000000001E-2</v>
      </c>
      <c r="D494" s="23">
        <v>2.6499999999999999E-2</v>
      </c>
      <c r="E494" s="24">
        <f t="shared" si="22"/>
        <v>2376.7703090302662</v>
      </c>
      <c r="F494" s="24">
        <f t="shared" si="23"/>
        <v>279.09959407345303</v>
      </c>
      <c r="G494" s="24">
        <f t="shared" si="24"/>
        <v>600.39171628014617</v>
      </c>
    </row>
    <row r="495" spans="1:7" x14ac:dyDescent="0.6">
      <c r="A495" s="22">
        <v>24685</v>
      </c>
      <c r="B495" s="23">
        <v>-8.8999999999999999E-3</v>
      </c>
      <c r="C495" s="23">
        <v>4.6999999999999993E-3</v>
      </c>
      <c r="D495" s="23">
        <v>1.46E-2</v>
      </c>
      <c r="E495" s="24">
        <f t="shared" si="22"/>
        <v>2355.6170532798969</v>
      </c>
      <c r="F495" s="24">
        <f t="shared" si="23"/>
        <v>280.41136216559823</v>
      </c>
      <c r="G495" s="24">
        <f t="shared" si="24"/>
        <v>609.15743533783632</v>
      </c>
    </row>
    <row r="496" spans="1:7" x14ac:dyDescent="0.6">
      <c r="A496" s="22">
        <v>24716</v>
      </c>
      <c r="B496" s="23">
        <v>3.1099999999999996E-2</v>
      </c>
      <c r="C496" s="23">
        <v>3.1E-2</v>
      </c>
      <c r="D496" s="23">
        <v>-2.4700000000000003E-2</v>
      </c>
      <c r="E496" s="24">
        <f t="shared" si="22"/>
        <v>2428.8767436369017</v>
      </c>
      <c r="F496" s="24">
        <f t="shared" si="23"/>
        <v>289.10411439273173</v>
      </c>
      <c r="G496" s="24">
        <f t="shared" si="24"/>
        <v>594.11124668499178</v>
      </c>
    </row>
    <row r="497" spans="1:7" x14ac:dyDescent="0.6">
      <c r="A497" s="22">
        <v>24746</v>
      </c>
      <c r="B497" s="23">
        <v>-3.0899999999999997E-2</v>
      </c>
      <c r="C497" s="23">
        <v>1.4199999999999999E-2</v>
      </c>
      <c r="D497" s="23">
        <v>-3.39E-2</v>
      </c>
      <c r="E497" s="24">
        <f t="shared" si="22"/>
        <v>2353.8244522585214</v>
      </c>
      <c r="F497" s="24">
        <f t="shared" si="23"/>
        <v>293.20939281710849</v>
      </c>
      <c r="G497" s="24">
        <f t="shared" si="24"/>
        <v>573.97087542237057</v>
      </c>
    </row>
    <row r="498" spans="1:7" x14ac:dyDescent="0.6">
      <c r="A498" s="22">
        <v>24777</v>
      </c>
      <c r="B498" s="23">
        <v>3.7000000000000002E-3</v>
      </c>
      <c r="C498" s="23">
        <v>2E-3</v>
      </c>
      <c r="D498" s="23">
        <v>-1.7100000000000001E-2</v>
      </c>
      <c r="E498" s="24">
        <f t="shared" ref="E498:E561" si="25">E497*(1+B498)</f>
        <v>2362.5336027318781</v>
      </c>
      <c r="F498" s="24">
        <f t="shared" ref="F498:F561" si="26">F497*(1+C498)</f>
        <v>293.79581160274273</v>
      </c>
      <c r="G498" s="24">
        <f t="shared" ref="G498:G561" si="27">G497*(1+D498)</f>
        <v>564.15597345264803</v>
      </c>
    </row>
    <row r="499" spans="1:7" x14ac:dyDescent="0.6">
      <c r="A499" s="22">
        <v>24807</v>
      </c>
      <c r="B499" s="23">
        <v>3.0499999999999996E-2</v>
      </c>
      <c r="C499" s="23">
        <v>5.7300000000000004E-2</v>
      </c>
      <c r="D499" s="23">
        <v>-3.9000000000000003E-3</v>
      </c>
      <c r="E499" s="24">
        <f t="shared" si="25"/>
        <v>2434.5908776152005</v>
      </c>
      <c r="F499" s="24">
        <f t="shared" si="26"/>
        <v>310.63031160757987</v>
      </c>
      <c r="G499" s="24">
        <f t="shared" si="27"/>
        <v>561.95576515618268</v>
      </c>
    </row>
    <row r="500" spans="1:7" x14ac:dyDescent="0.6">
      <c r="A500" s="22">
        <v>24838</v>
      </c>
      <c r="B500" s="23">
        <v>-4.0599999999999997E-2</v>
      </c>
      <c r="C500" s="23">
        <v>3.9100000000000003E-2</v>
      </c>
      <c r="D500" s="23">
        <v>4.7500000000000001E-2</v>
      </c>
      <c r="E500" s="24">
        <f t="shared" si="25"/>
        <v>2335.7464879840236</v>
      </c>
      <c r="F500" s="24">
        <f t="shared" si="26"/>
        <v>322.77595679143622</v>
      </c>
      <c r="G500" s="24">
        <f t="shared" si="27"/>
        <v>588.64866400110145</v>
      </c>
    </row>
    <row r="501" spans="1:7" x14ac:dyDescent="0.6">
      <c r="A501" s="22">
        <v>24869</v>
      </c>
      <c r="B501" s="23">
        <v>-3.7499999999999999E-2</v>
      </c>
      <c r="C501" s="23">
        <v>-2.9500000000000002E-2</v>
      </c>
      <c r="D501" s="23">
        <v>1.1699999999999999E-2</v>
      </c>
      <c r="E501" s="24">
        <f t="shared" si="25"/>
        <v>2248.1559946846228</v>
      </c>
      <c r="F501" s="24">
        <f t="shared" si="26"/>
        <v>313.25406606608885</v>
      </c>
      <c r="G501" s="24">
        <f t="shared" si="27"/>
        <v>595.53585336991432</v>
      </c>
    </row>
    <row r="502" spans="1:7" x14ac:dyDescent="0.6">
      <c r="A502" s="22">
        <v>24898</v>
      </c>
      <c r="B502" s="23">
        <v>2.0000000000000005E-3</v>
      </c>
      <c r="C502" s="23">
        <v>-1.2800000000000001E-2</v>
      </c>
      <c r="D502" s="23">
        <v>-5.8999999999999999E-3</v>
      </c>
      <c r="E502" s="24">
        <f t="shared" si="25"/>
        <v>2252.6523066739919</v>
      </c>
      <c r="F502" s="24">
        <f t="shared" si="26"/>
        <v>309.24441402044289</v>
      </c>
      <c r="G502" s="24">
        <f t="shared" si="27"/>
        <v>592.02219183503178</v>
      </c>
    </row>
    <row r="503" spans="1:7" x14ac:dyDescent="0.6">
      <c r="A503" s="22">
        <v>24929</v>
      </c>
      <c r="B503" s="23">
        <v>9.0500000000000011E-2</v>
      </c>
      <c r="C503" s="23">
        <v>5.7300000000000004E-2</v>
      </c>
      <c r="D503" s="23">
        <v>-1.03E-2</v>
      </c>
      <c r="E503" s="24">
        <f t="shared" si="25"/>
        <v>2456.5173404279881</v>
      </c>
      <c r="F503" s="24">
        <f t="shared" si="26"/>
        <v>326.96411894381424</v>
      </c>
      <c r="G503" s="24">
        <f t="shared" si="27"/>
        <v>585.92436325913093</v>
      </c>
    </row>
    <row r="504" spans="1:7" x14ac:dyDescent="0.6">
      <c r="A504" s="22">
        <v>24959</v>
      </c>
      <c r="B504" s="23">
        <v>2.2800000000000001E-2</v>
      </c>
      <c r="C504" s="23">
        <v>6.4299999999999996E-2</v>
      </c>
      <c r="D504" s="23">
        <v>8.3999999999999995E-3</v>
      </c>
      <c r="E504" s="24">
        <f t="shared" si="25"/>
        <v>2512.5259357897462</v>
      </c>
      <c r="F504" s="24">
        <f t="shared" si="26"/>
        <v>347.98791179190152</v>
      </c>
      <c r="G504" s="24">
        <f t="shared" si="27"/>
        <v>590.84612791050756</v>
      </c>
    </row>
    <row r="505" spans="1:7" x14ac:dyDescent="0.6">
      <c r="A505" s="22">
        <v>24990</v>
      </c>
      <c r="B505" s="23">
        <v>6.8999999999999981E-3</v>
      </c>
      <c r="C505" s="23">
        <v>-1.7000000000000001E-3</v>
      </c>
      <c r="D505" s="23">
        <v>6.7000000000000002E-3</v>
      </c>
      <c r="E505" s="24">
        <f t="shared" si="25"/>
        <v>2529.8623647466952</v>
      </c>
      <c r="F505" s="24">
        <f t="shared" si="26"/>
        <v>347.39633234185527</v>
      </c>
      <c r="G505" s="24">
        <f t="shared" si="27"/>
        <v>594.80479696750797</v>
      </c>
    </row>
    <row r="506" spans="1:7" x14ac:dyDescent="0.6">
      <c r="A506" s="22">
        <v>25020</v>
      </c>
      <c r="B506" s="23">
        <v>-2.7200000000000002E-2</v>
      </c>
      <c r="C506" s="23">
        <v>-1.3000000000000001E-2</v>
      </c>
      <c r="D506" s="23">
        <v>5.4900000000000004E-2</v>
      </c>
      <c r="E506" s="24">
        <f t="shared" si="25"/>
        <v>2461.0501084255852</v>
      </c>
      <c r="F506" s="24">
        <f t="shared" si="26"/>
        <v>342.88018002141115</v>
      </c>
      <c r="G506" s="24">
        <f t="shared" si="27"/>
        <v>627.45958032102408</v>
      </c>
    </row>
    <row r="507" spans="1:7" x14ac:dyDescent="0.6">
      <c r="A507" s="22">
        <v>25051</v>
      </c>
      <c r="B507" s="23">
        <v>1.3400000000000002E-2</v>
      </c>
      <c r="C507" s="23">
        <v>2.3399999999999997E-2</v>
      </c>
      <c r="D507" s="23">
        <v>0.01</v>
      </c>
      <c r="E507" s="24">
        <f t="shared" si="25"/>
        <v>2494.0281798784881</v>
      </c>
      <c r="F507" s="24">
        <f t="shared" si="26"/>
        <v>350.90357623391219</v>
      </c>
      <c r="G507" s="24">
        <f t="shared" si="27"/>
        <v>633.7341761242343</v>
      </c>
    </row>
    <row r="508" spans="1:7" x14ac:dyDescent="0.6">
      <c r="A508" s="22">
        <v>25082</v>
      </c>
      <c r="B508" s="23">
        <v>4.0300000000000002E-2</v>
      </c>
      <c r="C508" s="23">
        <v>2.76E-2</v>
      </c>
      <c r="D508" s="23">
        <v>2.3E-3</v>
      </c>
      <c r="E508" s="24">
        <f t="shared" si="25"/>
        <v>2594.537515527591</v>
      </c>
      <c r="F508" s="24">
        <f t="shared" si="26"/>
        <v>360.58851493796817</v>
      </c>
      <c r="G508" s="24">
        <f t="shared" si="27"/>
        <v>635.19176472931997</v>
      </c>
    </row>
    <row r="509" spans="1:7" x14ac:dyDescent="0.6">
      <c r="A509" s="22">
        <v>25112</v>
      </c>
      <c r="B509" s="23">
        <v>4.1999999999999997E-3</v>
      </c>
      <c r="C509" s="23">
        <v>-4.6999999999999993E-3</v>
      </c>
      <c r="D509" s="23">
        <v>2.8999999999999998E-2</v>
      </c>
      <c r="E509" s="24">
        <f t="shared" si="25"/>
        <v>2605.4345730928067</v>
      </c>
      <c r="F509" s="24">
        <f t="shared" si="26"/>
        <v>358.89374891775969</v>
      </c>
      <c r="G509" s="24">
        <f t="shared" si="27"/>
        <v>653.61232590647023</v>
      </c>
    </row>
    <row r="510" spans="1:7" x14ac:dyDescent="0.6">
      <c r="A510" s="22">
        <v>25143</v>
      </c>
      <c r="B510" s="23">
        <v>5.4299999999999994E-2</v>
      </c>
      <c r="C510" s="23">
        <v>2.3599999999999999E-2</v>
      </c>
      <c r="D510" s="23">
        <v>-9.1000000000000004E-3</v>
      </c>
      <c r="E510" s="24">
        <f t="shared" si="25"/>
        <v>2746.909670411746</v>
      </c>
      <c r="F510" s="24">
        <f t="shared" si="26"/>
        <v>367.36364139221882</v>
      </c>
      <c r="G510" s="24">
        <f t="shared" si="27"/>
        <v>647.66445374072134</v>
      </c>
    </row>
    <row r="511" spans="1:7" x14ac:dyDescent="0.6">
      <c r="A511" s="22">
        <v>25173</v>
      </c>
      <c r="B511" s="23">
        <v>-3.9399999999999998E-2</v>
      </c>
      <c r="C511" s="23">
        <v>3.4300000000000004E-2</v>
      </c>
      <c r="D511" s="23">
        <v>2.0000000000000001E-4</v>
      </c>
      <c r="E511" s="24">
        <f t="shared" si="25"/>
        <v>2638.6814293975231</v>
      </c>
      <c r="F511" s="24">
        <f t="shared" si="26"/>
        <v>379.96421429197193</v>
      </c>
      <c r="G511" s="24">
        <f t="shared" si="27"/>
        <v>647.79398663146947</v>
      </c>
    </row>
    <row r="512" spans="1:7" x14ac:dyDescent="0.6">
      <c r="A512" s="22">
        <v>25204</v>
      </c>
      <c r="B512" s="23">
        <v>-1.2500000000000001E-2</v>
      </c>
      <c r="C512" s="23">
        <v>-7.8000000000000005E-3</v>
      </c>
      <c r="D512" s="23">
        <v>1.6899999999999998E-2</v>
      </c>
      <c r="E512" s="24">
        <f t="shared" si="25"/>
        <v>2605.6979115300542</v>
      </c>
      <c r="F512" s="24">
        <f t="shared" si="26"/>
        <v>377.00049342049454</v>
      </c>
      <c r="G512" s="24">
        <f t="shared" si="27"/>
        <v>658.74170500554123</v>
      </c>
    </row>
    <row r="513" spans="1:7" x14ac:dyDescent="0.6">
      <c r="A513" s="22">
        <v>25235</v>
      </c>
      <c r="B513" s="23">
        <v>-5.8400000000000001E-2</v>
      </c>
      <c r="C513" s="23">
        <v>-3.8900000000000004E-2</v>
      </c>
      <c r="D513" s="23">
        <v>9.1999999999999998E-3</v>
      </c>
      <c r="E513" s="24">
        <f t="shared" si="25"/>
        <v>2453.5251534966992</v>
      </c>
      <c r="F513" s="24">
        <f t="shared" si="26"/>
        <v>362.33517422643729</v>
      </c>
      <c r="G513" s="24">
        <f t="shared" si="27"/>
        <v>664.80212869159232</v>
      </c>
    </row>
    <row r="514" spans="1:7" x14ac:dyDescent="0.6">
      <c r="A514" s="22">
        <v>25263</v>
      </c>
      <c r="B514" s="23">
        <v>2.64E-2</v>
      </c>
      <c r="C514" s="23">
        <v>-2.5000000000000001E-3</v>
      </c>
      <c r="D514" s="23">
        <v>-4.5000000000000005E-3</v>
      </c>
      <c r="E514" s="24">
        <f t="shared" si="25"/>
        <v>2518.298217549012</v>
      </c>
      <c r="F514" s="24">
        <f t="shared" si="26"/>
        <v>361.42933629087122</v>
      </c>
      <c r="G514" s="24">
        <f t="shared" si="27"/>
        <v>661.81051911248016</v>
      </c>
    </row>
    <row r="515" spans="1:7" x14ac:dyDescent="0.6">
      <c r="A515" s="22">
        <v>25294</v>
      </c>
      <c r="B515" s="23">
        <v>1.4600000000000002E-2</v>
      </c>
      <c r="C515" s="23">
        <v>-8.8000000000000005E-3</v>
      </c>
      <c r="D515" s="23">
        <v>4.0000000000000002E-4</v>
      </c>
      <c r="E515" s="24">
        <f t="shared" si="25"/>
        <v>2555.0653715252274</v>
      </c>
      <c r="F515" s="24">
        <f t="shared" si="26"/>
        <v>358.24875813151152</v>
      </c>
      <c r="G515" s="24">
        <f t="shared" si="27"/>
        <v>662.07524332012508</v>
      </c>
    </row>
    <row r="516" spans="1:7" x14ac:dyDescent="0.6">
      <c r="A516" s="22">
        <v>25324</v>
      </c>
      <c r="B516" s="23">
        <v>-9.9999999999999959E-4</v>
      </c>
      <c r="C516" s="23">
        <v>-2.7000000000000001E-3</v>
      </c>
      <c r="D516" s="23">
        <v>7.3000000000000001E-3</v>
      </c>
      <c r="E516" s="24">
        <f t="shared" si="25"/>
        <v>2552.510306153702</v>
      </c>
      <c r="F516" s="24">
        <f t="shared" si="26"/>
        <v>357.28148648455641</v>
      </c>
      <c r="G516" s="24">
        <f t="shared" si="27"/>
        <v>666.90839259636209</v>
      </c>
    </row>
    <row r="517" spans="1:7" x14ac:dyDescent="0.6">
      <c r="A517" s="22">
        <v>25355</v>
      </c>
      <c r="B517" s="23">
        <v>-7.1800000000000003E-2</v>
      </c>
      <c r="C517" s="23">
        <v>-5.3899999999999997E-2</v>
      </c>
      <c r="D517" s="23">
        <v>-1.09E-2</v>
      </c>
      <c r="E517" s="24">
        <f t="shared" si="25"/>
        <v>2369.2400661718661</v>
      </c>
      <c r="F517" s="24">
        <f t="shared" si="26"/>
        <v>338.02401436303882</v>
      </c>
      <c r="G517" s="24">
        <f t="shared" si="27"/>
        <v>659.63909111706175</v>
      </c>
    </row>
    <row r="518" spans="1:7" x14ac:dyDescent="0.6">
      <c r="A518" s="22">
        <v>25385</v>
      </c>
      <c r="B518" s="23">
        <v>-6.9999999999999993E-2</v>
      </c>
      <c r="C518" s="23">
        <v>-3.2099999999999997E-2</v>
      </c>
      <c r="D518" s="23">
        <v>1.44E-2</v>
      </c>
      <c r="E518" s="24">
        <f t="shared" si="25"/>
        <v>2203.3932615398357</v>
      </c>
      <c r="F518" s="24">
        <f t="shared" si="26"/>
        <v>327.17344350198528</v>
      </c>
      <c r="G518" s="24">
        <f t="shared" si="27"/>
        <v>669.13789402914745</v>
      </c>
    </row>
    <row r="519" spans="1:7" x14ac:dyDescent="0.6">
      <c r="A519" s="22">
        <v>25416</v>
      </c>
      <c r="B519" s="23">
        <v>4.6800000000000001E-2</v>
      </c>
      <c r="C519" s="23">
        <v>9.3999999999999986E-3</v>
      </c>
      <c r="D519" s="23">
        <v>-3.8800000000000001E-2</v>
      </c>
      <c r="E519" s="24">
        <f t="shared" si="25"/>
        <v>2306.5120661799001</v>
      </c>
      <c r="F519" s="24">
        <f t="shared" si="26"/>
        <v>330.24887387090394</v>
      </c>
      <c r="G519" s="24">
        <f t="shared" si="27"/>
        <v>643.17534374081652</v>
      </c>
    </row>
    <row r="520" spans="1:7" x14ac:dyDescent="0.6">
      <c r="A520" s="22">
        <v>25447</v>
      </c>
      <c r="B520" s="23">
        <v>-2.98E-2</v>
      </c>
      <c r="C520" s="23">
        <v>1.2E-2</v>
      </c>
      <c r="D520" s="23">
        <v>-3.1899999999999998E-2</v>
      </c>
      <c r="E520" s="24">
        <f t="shared" si="25"/>
        <v>2237.7780066077389</v>
      </c>
      <c r="F520" s="24">
        <f t="shared" si="26"/>
        <v>334.21186035735479</v>
      </c>
      <c r="G520" s="24">
        <f t="shared" si="27"/>
        <v>622.65805027548447</v>
      </c>
    </row>
    <row r="521" spans="1:7" x14ac:dyDescent="0.6">
      <c r="A521" s="22">
        <v>25477</v>
      </c>
      <c r="B521" s="23">
        <v>5.0599999999999992E-2</v>
      </c>
      <c r="C521" s="23">
        <v>3.8100000000000002E-2</v>
      </c>
      <c r="D521" s="23">
        <v>-3.2199999999999999E-2</v>
      </c>
      <c r="E521" s="24">
        <f t="shared" si="25"/>
        <v>2351.0095737420907</v>
      </c>
      <c r="F521" s="24">
        <f t="shared" si="26"/>
        <v>346.94533223697005</v>
      </c>
      <c r="G521" s="24">
        <f t="shared" si="27"/>
        <v>602.60846105661392</v>
      </c>
    </row>
    <row r="522" spans="1:7" x14ac:dyDescent="0.6">
      <c r="A522" s="22">
        <v>25508</v>
      </c>
      <c r="B522" s="23">
        <v>-3.7900000000000003E-2</v>
      </c>
      <c r="C522" s="23">
        <v>-2.53E-2</v>
      </c>
      <c r="D522" s="23">
        <v>-1.1000000000000001E-2</v>
      </c>
      <c r="E522" s="24">
        <f t="shared" si="25"/>
        <v>2261.9063108972655</v>
      </c>
      <c r="F522" s="24">
        <f t="shared" si="26"/>
        <v>338.16761533137469</v>
      </c>
      <c r="G522" s="24">
        <f t="shared" si="27"/>
        <v>595.97976798499121</v>
      </c>
    </row>
    <row r="523" spans="1:7" x14ac:dyDescent="0.6">
      <c r="A523" s="22">
        <v>25538</v>
      </c>
      <c r="B523" s="23">
        <v>-2.6299999999999997E-2</v>
      </c>
      <c r="C523" s="23">
        <v>-3.6600000000000001E-2</v>
      </c>
      <c r="D523" s="23">
        <v>-3.04E-2</v>
      </c>
      <c r="E523" s="24">
        <f t="shared" si="25"/>
        <v>2202.4181749206673</v>
      </c>
      <c r="F523" s="24">
        <f t="shared" si="26"/>
        <v>325.7906806102464</v>
      </c>
      <c r="G523" s="24">
        <f t="shared" si="27"/>
        <v>577.86198303824744</v>
      </c>
    </row>
    <row r="524" spans="1:7" x14ac:dyDescent="0.6">
      <c r="A524" s="22">
        <v>25569</v>
      </c>
      <c r="B524" s="23">
        <v>-8.1000000000000003E-2</v>
      </c>
      <c r="C524" s="23">
        <v>2.8999999999999998E-2</v>
      </c>
      <c r="D524" s="23">
        <v>3.0699999999999998E-2</v>
      </c>
      <c r="E524" s="24">
        <f t="shared" si="25"/>
        <v>2024.0223027520933</v>
      </c>
      <c r="F524" s="24">
        <f t="shared" si="26"/>
        <v>335.23861034794351</v>
      </c>
      <c r="G524" s="24">
        <f t="shared" si="27"/>
        <v>595.60234591752157</v>
      </c>
    </row>
    <row r="525" spans="1:7" x14ac:dyDescent="0.6">
      <c r="A525" s="22">
        <v>25600</v>
      </c>
      <c r="B525" s="23">
        <v>5.1300000000000005E-2</v>
      </c>
      <c r="C525" s="23">
        <v>-2.41E-2</v>
      </c>
      <c r="D525" s="23">
        <v>4.0399999999999998E-2</v>
      </c>
      <c r="E525" s="24">
        <f t="shared" si="25"/>
        <v>2127.8546468832756</v>
      </c>
      <c r="F525" s="24">
        <f t="shared" si="26"/>
        <v>327.15935983855809</v>
      </c>
      <c r="G525" s="24">
        <f t="shared" si="27"/>
        <v>619.6646806925894</v>
      </c>
    </row>
    <row r="526" spans="1:7" x14ac:dyDescent="0.6">
      <c r="A526" s="22">
        <v>25628</v>
      </c>
      <c r="B526" s="23">
        <v>-1.06E-2</v>
      </c>
      <c r="C526" s="23">
        <v>-2.3199999999999998E-2</v>
      </c>
      <c r="D526" s="23">
        <v>4.24E-2</v>
      </c>
      <c r="E526" s="24">
        <f t="shared" si="25"/>
        <v>2105.2993876263126</v>
      </c>
      <c r="F526" s="24">
        <f t="shared" si="26"/>
        <v>319.56926269030356</v>
      </c>
      <c r="G526" s="24">
        <f t="shared" si="27"/>
        <v>645.93846315395524</v>
      </c>
    </row>
    <row r="527" spans="1:7" x14ac:dyDescent="0.6">
      <c r="A527" s="22">
        <v>25659</v>
      </c>
      <c r="B527" s="23">
        <v>-0.11</v>
      </c>
      <c r="C527" s="23">
        <v>-6.1100000000000002E-2</v>
      </c>
      <c r="D527" s="23">
        <v>6.4199999999999993E-2</v>
      </c>
      <c r="E527" s="24">
        <f t="shared" si="25"/>
        <v>1873.7164549874183</v>
      </c>
      <c r="F527" s="24">
        <f t="shared" si="26"/>
        <v>300.04358073992597</v>
      </c>
      <c r="G527" s="24">
        <f t="shared" si="27"/>
        <v>687.40771248843919</v>
      </c>
    </row>
    <row r="528" spans="1:7" x14ac:dyDescent="0.6">
      <c r="A528" s="22">
        <v>25689</v>
      </c>
      <c r="B528" s="23">
        <v>-6.9199999999999998E-2</v>
      </c>
      <c r="C528" s="23">
        <v>-4.4999999999999998E-2</v>
      </c>
      <c r="D528" s="23">
        <v>3.6600000000000001E-2</v>
      </c>
      <c r="E528" s="24">
        <f t="shared" si="25"/>
        <v>1744.0552763022888</v>
      </c>
      <c r="F528" s="24">
        <f t="shared" si="26"/>
        <v>286.5416196066293</v>
      </c>
      <c r="G528" s="24">
        <f t="shared" si="27"/>
        <v>712.56683476551609</v>
      </c>
    </row>
    <row r="529" spans="1:7" x14ac:dyDescent="0.6">
      <c r="A529" s="22">
        <v>25720</v>
      </c>
      <c r="B529" s="23">
        <v>-5.79E-2</v>
      </c>
      <c r="C529" s="23">
        <v>-2.1700000000000001E-2</v>
      </c>
      <c r="D529" s="23">
        <v>8.5000000000000006E-3</v>
      </c>
      <c r="E529" s="24">
        <f t="shared" si="25"/>
        <v>1643.0744758043863</v>
      </c>
      <c r="F529" s="24">
        <f t="shared" si="26"/>
        <v>280.32366646116543</v>
      </c>
      <c r="G529" s="24">
        <f t="shared" si="27"/>
        <v>718.62365286102295</v>
      </c>
    </row>
    <row r="530" spans="1:7" x14ac:dyDescent="0.6">
      <c r="A530" s="22">
        <v>25750</v>
      </c>
      <c r="B530" s="23">
        <v>6.93E-2</v>
      </c>
      <c r="C530" s="23">
        <v>-5.3E-3</v>
      </c>
      <c r="D530" s="23">
        <v>0.01</v>
      </c>
      <c r="E530" s="24">
        <f t="shared" si="25"/>
        <v>1756.9395369776303</v>
      </c>
      <c r="F530" s="24">
        <f t="shared" si="26"/>
        <v>278.83795102892128</v>
      </c>
      <c r="G530" s="24">
        <f t="shared" si="27"/>
        <v>725.80988938963321</v>
      </c>
    </row>
    <row r="531" spans="1:7" x14ac:dyDescent="0.6">
      <c r="A531" s="22">
        <v>25781</v>
      </c>
      <c r="B531" s="23">
        <v>4.4900000000000002E-2</v>
      </c>
      <c r="C531" s="23">
        <v>1.5300000000000001E-2</v>
      </c>
      <c r="D531" s="23">
        <v>1.0700000000000001E-2</v>
      </c>
      <c r="E531" s="24">
        <f t="shared" si="25"/>
        <v>1835.8261221879259</v>
      </c>
      <c r="F531" s="24">
        <f t="shared" si="26"/>
        <v>283.10417167966381</v>
      </c>
      <c r="G531" s="24">
        <f t="shared" si="27"/>
        <v>733.57605520610218</v>
      </c>
    </row>
    <row r="532" spans="1:7" x14ac:dyDescent="0.6">
      <c r="A532" s="22">
        <v>25812</v>
      </c>
      <c r="B532" s="23">
        <v>4.1799999999999997E-2</v>
      </c>
      <c r="C532" s="23">
        <v>8.6500000000000007E-2</v>
      </c>
      <c r="D532" s="23">
        <v>-5.5500000000000001E-2</v>
      </c>
      <c r="E532" s="24">
        <f t="shared" si="25"/>
        <v>1912.5636540953813</v>
      </c>
      <c r="F532" s="24">
        <f t="shared" si="26"/>
        <v>307.59268252995474</v>
      </c>
      <c r="G532" s="24">
        <f t="shared" si="27"/>
        <v>692.86258414216354</v>
      </c>
    </row>
    <row r="533" spans="1:7" x14ac:dyDescent="0.6">
      <c r="A533" s="22">
        <v>25842</v>
      </c>
      <c r="B533" s="23">
        <v>-2.2799999999999997E-2</v>
      </c>
      <c r="C533" s="23">
        <v>-4.24E-2</v>
      </c>
      <c r="D533" s="23">
        <v>2.5000000000000001E-3</v>
      </c>
      <c r="E533" s="24">
        <f t="shared" si="25"/>
        <v>1868.9572027820066</v>
      </c>
      <c r="F533" s="24">
        <f t="shared" si="26"/>
        <v>294.55075279068467</v>
      </c>
      <c r="G533" s="24">
        <f t="shared" si="27"/>
        <v>694.59474060251887</v>
      </c>
    </row>
    <row r="534" spans="1:7" x14ac:dyDescent="0.6">
      <c r="A534" s="22">
        <v>25873</v>
      </c>
      <c r="B534" s="23">
        <v>4.5899999999999996E-2</v>
      </c>
      <c r="C534" s="23">
        <v>-4.0599999999999997E-2</v>
      </c>
      <c r="D534" s="23">
        <v>1.6899999999999998E-2</v>
      </c>
      <c r="E534" s="24">
        <f t="shared" si="25"/>
        <v>1954.7423383897008</v>
      </c>
      <c r="F534" s="24">
        <f t="shared" si="26"/>
        <v>282.59199222738289</v>
      </c>
      <c r="G534" s="24">
        <f t="shared" si="27"/>
        <v>706.33339171870136</v>
      </c>
    </row>
    <row r="535" spans="1:7" x14ac:dyDescent="0.6">
      <c r="A535" s="22">
        <v>25903</v>
      </c>
      <c r="B535" s="23">
        <v>5.7199999999999994E-2</v>
      </c>
      <c r="C535" s="23">
        <v>2.9399999999999999E-2</v>
      </c>
      <c r="D535" s="23">
        <v>9.4999999999999998E-3</v>
      </c>
      <c r="E535" s="24">
        <f t="shared" si="25"/>
        <v>2066.5536001455916</v>
      </c>
      <c r="F535" s="24">
        <f t="shared" si="26"/>
        <v>290.90019679886797</v>
      </c>
      <c r="G535" s="24">
        <f t="shared" si="27"/>
        <v>713.04355894002902</v>
      </c>
    </row>
    <row r="536" spans="1:7" x14ac:dyDescent="0.6">
      <c r="A536" s="22">
        <v>25934</v>
      </c>
      <c r="B536" s="23">
        <v>4.8399999999999999E-2</v>
      </c>
      <c r="C536" s="23">
        <v>7.4299999999999991E-2</v>
      </c>
      <c r="D536" s="23">
        <v>1.3600000000000001E-2</v>
      </c>
      <c r="E536" s="24">
        <f t="shared" si="25"/>
        <v>2166.5747943926381</v>
      </c>
      <c r="F536" s="24">
        <f t="shared" si="26"/>
        <v>312.51408142102389</v>
      </c>
      <c r="G536" s="24">
        <f t="shared" si="27"/>
        <v>722.74095134161348</v>
      </c>
    </row>
    <row r="537" spans="1:7" x14ac:dyDescent="0.6">
      <c r="A537" s="22">
        <v>25965</v>
      </c>
      <c r="B537" s="23">
        <v>1.4099999999999998E-2</v>
      </c>
      <c r="C537" s="23">
        <v>1.9E-2</v>
      </c>
      <c r="D537" s="23">
        <v>-1.3500000000000002E-2</v>
      </c>
      <c r="E537" s="24">
        <f t="shared" si="25"/>
        <v>2197.1234989935742</v>
      </c>
      <c r="F537" s="24">
        <f t="shared" si="26"/>
        <v>318.45184896802334</v>
      </c>
      <c r="G537" s="24">
        <f t="shared" si="27"/>
        <v>712.98394849850172</v>
      </c>
    </row>
    <row r="538" spans="1:7" x14ac:dyDescent="0.6">
      <c r="A538" s="22">
        <v>25993</v>
      </c>
      <c r="B538" s="23">
        <v>4.1299999999999996E-2</v>
      </c>
      <c r="C538" s="23">
        <v>2.5699999999999997E-2</v>
      </c>
      <c r="D538" s="23">
        <v>-4.0199999999999993E-2</v>
      </c>
      <c r="E538" s="24">
        <f t="shared" si="25"/>
        <v>2287.8646995020085</v>
      </c>
      <c r="F538" s="24">
        <f t="shared" si="26"/>
        <v>326.63606148650155</v>
      </c>
      <c r="G538" s="24">
        <f t="shared" si="27"/>
        <v>684.32199376886194</v>
      </c>
    </row>
    <row r="539" spans="1:7" x14ac:dyDescent="0.6">
      <c r="A539" s="22">
        <v>26024</v>
      </c>
      <c r="B539" s="23">
        <v>3.15E-2</v>
      </c>
      <c r="C539" s="23">
        <v>-4.8999999999999998E-3</v>
      </c>
      <c r="D539" s="23">
        <v>7.6E-3</v>
      </c>
      <c r="E539" s="24">
        <f t="shared" si="25"/>
        <v>2359.9324375363221</v>
      </c>
      <c r="F539" s="24">
        <f t="shared" si="26"/>
        <v>325.03554478521767</v>
      </c>
      <c r="G539" s="24">
        <f t="shared" si="27"/>
        <v>689.52284092150535</v>
      </c>
    </row>
    <row r="540" spans="1:7" x14ac:dyDescent="0.6">
      <c r="A540" s="22">
        <v>26054</v>
      </c>
      <c r="B540" s="23">
        <v>-3.9800000000000002E-2</v>
      </c>
      <c r="C540" s="23">
        <v>-1.1000000000000001E-2</v>
      </c>
      <c r="D540" s="23">
        <v>-1.38E-2</v>
      </c>
      <c r="E540" s="24">
        <f t="shared" si="25"/>
        <v>2266.0071265223764</v>
      </c>
      <c r="F540" s="24">
        <f t="shared" si="26"/>
        <v>321.46015379258029</v>
      </c>
      <c r="G540" s="24">
        <f t="shared" si="27"/>
        <v>680.00742571678859</v>
      </c>
    </row>
    <row r="541" spans="1:7" x14ac:dyDescent="0.6">
      <c r="A541" s="22">
        <v>26085</v>
      </c>
      <c r="B541" s="23">
        <v>-1E-3</v>
      </c>
      <c r="C541" s="23">
        <v>-1.43E-2</v>
      </c>
      <c r="D541" s="23">
        <v>-1.9900000000000001E-2</v>
      </c>
      <c r="E541" s="24">
        <f t="shared" si="25"/>
        <v>2263.7411193958542</v>
      </c>
      <c r="F541" s="24">
        <f t="shared" si="26"/>
        <v>316.86327359334638</v>
      </c>
      <c r="G541" s="24">
        <f t="shared" si="27"/>
        <v>666.47527794502446</v>
      </c>
    </row>
    <row r="542" spans="1:7" x14ac:dyDescent="0.6">
      <c r="A542" s="22">
        <v>26115</v>
      </c>
      <c r="B542" s="23">
        <v>-4.4999999999999998E-2</v>
      </c>
      <c r="C542" s="23">
        <v>-1.4999999999999999E-2</v>
      </c>
      <c r="D542" s="23">
        <v>1.7000000000000001E-3</v>
      </c>
      <c r="E542" s="24">
        <f t="shared" si="25"/>
        <v>2161.8727690230407</v>
      </c>
      <c r="F542" s="24">
        <f t="shared" si="26"/>
        <v>312.11032448944616</v>
      </c>
      <c r="G542" s="24">
        <f t="shared" si="27"/>
        <v>667.60828591753102</v>
      </c>
    </row>
    <row r="543" spans="1:7" x14ac:dyDescent="0.6">
      <c r="A543" s="22">
        <v>26146</v>
      </c>
      <c r="B543" s="23">
        <v>3.7900000000000003E-2</v>
      </c>
      <c r="C543" s="23">
        <v>-1.7000000000000001E-3</v>
      </c>
      <c r="D543" s="23">
        <v>2.69E-2</v>
      </c>
      <c r="E543" s="24">
        <f t="shared" si="25"/>
        <v>2243.8077469690143</v>
      </c>
      <c r="F543" s="24">
        <f t="shared" si="26"/>
        <v>311.57973693781406</v>
      </c>
      <c r="G543" s="24">
        <f t="shared" si="27"/>
        <v>685.5669488087126</v>
      </c>
    </row>
    <row r="544" spans="1:7" x14ac:dyDescent="0.6">
      <c r="A544" s="22">
        <v>26177</v>
      </c>
      <c r="B544" s="23">
        <v>-8.5000000000000006E-3</v>
      </c>
      <c r="C544" s="23">
        <v>4.0999999999999995E-3</v>
      </c>
      <c r="D544" s="23">
        <v>-2.9500000000000002E-2</v>
      </c>
      <c r="E544" s="24">
        <f t="shared" si="25"/>
        <v>2224.7353811197777</v>
      </c>
      <c r="F544" s="24">
        <f t="shared" si="26"/>
        <v>312.8572138592591</v>
      </c>
      <c r="G544" s="24">
        <f t="shared" si="27"/>
        <v>665.34272381885557</v>
      </c>
    </row>
    <row r="545" spans="1:7" x14ac:dyDescent="0.6">
      <c r="A545" s="22">
        <v>26207</v>
      </c>
      <c r="B545" s="23">
        <v>-4.4200000000000003E-2</v>
      </c>
      <c r="C545" s="23">
        <v>-1.8000000000000002E-2</v>
      </c>
      <c r="D545" s="23">
        <v>-4.4000000000000003E-3</v>
      </c>
      <c r="E545" s="24">
        <f t="shared" si="25"/>
        <v>2126.4020772742833</v>
      </c>
      <c r="F545" s="24">
        <f t="shared" si="26"/>
        <v>307.22578400979245</v>
      </c>
      <c r="G545" s="24">
        <f t="shared" si="27"/>
        <v>662.41521583405267</v>
      </c>
    </row>
    <row r="546" spans="1:7" x14ac:dyDescent="0.6">
      <c r="A546" s="22">
        <v>26238</v>
      </c>
      <c r="B546" s="23">
        <v>-4.5999999999999999E-3</v>
      </c>
      <c r="C546" s="23">
        <v>-2.8500000000000001E-2</v>
      </c>
      <c r="D546" s="23">
        <v>-1.7000000000000001E-2</v>
      </c>
      <c r="E546" s="24">
        <f t="shared" si="25"/>
        <v>2116.6206277188217</v>
      </c>
      <c r="F546" s="24">
        <f t="shared" si="26"/>
        <v>298.46984916551338</v>
      </c>
      <c r="G546" s="24">
        <f t="shared" si="27"/>
        <v>651.15415716487382</v>
      </c>
    </row>
    <row r="547" spans="1:7" x14ac:dyDescent="0.6">
      <c r="A547" s="22">
        <v>26268</v>
      </c>
      <c r="B547" s="23">
        <v>8.7100000000000011E-2</v>
      </c>
      <c r="C547" s="23">
        <v>3.32E-2</v>
      </c>
      <c r="D547" s="23">
        <v>-3.4999999999999996E-3</v>
      </c>
      <c r="E547" s="24">
        <f t="shared" si="25"/>
        <v>2300.9782843931307</v>
      </c>
      <c r="F547" s="24">
        <f t="shared" si="26"/>
        <v>308.37904815780837</v>
      </c>
      <c r="G547" s="24">
        <f t="shared" si="27"/>
        <v>648.87511761479675</v>
      </c>
    </row>
    <row r="548" spans="1:7" x14ac:dyDescent="0.6">
      <c r="A548" s="22">
        <v>26299</v>
      </c>
      <c r="B548" s="23">
        <v>2.4900000000000002E-2</v>
      </c>
      <c r="C548" s="23">
        <v>6.1200000000000004E-2</v>
      </c>
      <c r="D548" s="23">
        <v>2.0199999999999999E-2</v>
      </c>
      <c r="E548" s="24">
        <f t="shared" si="25"/>
        <v>2358.2726436745193</v>
      </c>
      <c r="F548" s="24">
        <f t="shared" si="26"/>
        <v>327.2518459050662</v>
      </c>
      <c r="G548" s="24">
        <f t="shared" si="27"/>
        <v>661.9823949906156</v>
      </c>
    </row>
    <row r="549" spans="1:7" x14ac:dyDescent="0.6">
      <c r="A549" s="22">
        <v>26330</v>
      </c>
      <c r="B549" s="23">
        <v>2.8700000000000003E-2</v>
      </c>
      <c r="C549" s="23">
        <v>1.37E-2</v>
      </c>
      <c r="D549" s="23">
        <v>-2.7400000000000001E-2</v>
      </c>
      <c r="E549" s="24">
        <f t="shared" si="25"/>
        <v>2425.955068547978</v>
      </c>
      <c r="F549" s="24">
        <f t="shared" si="26"/>
        <v>331.73519619396563</v>
      </c>
      <c r="G549" s="24">
        <f t="shared" si="27"/>
        <v>643.84407736787273</v>
      </c>
    </row>
    <row r="550" spans="1:7" x14ac:dyDescent="0.6">
      <c r="A550" s="22">
        <v>26359</v>
      </c>
      <c r="B550" s="23">
        <v>6.3000000000000009E-3</v>
      </c>
      <c r="C550" s="23">
        <v>-2.5999999999999999E-3</v>
      </c>
      <c r="D550" s="23">
        <v>-1.7100000000000001E-2</v>
      </c>
      <c r="E550" s="24">
        <f t="shared" si="25"/>
        <v>2441.2385854798304</v>
      </c>
      <c r="F550" s="24">
        <f t="shared" si="26"/>
        <v>330.87268468386134</v>
      </c>
      <c r="G550" s="24">
        <f t="shared" si="27"/>
        <v>632.8343436448821</v>
      </c>
    </row>
    <row r="551" spans="1:7" x14ac:dyDescent="0.6">
      <c r="A551" s="22">
        <v>26390</v>
      </c>
      <c r="B551" s="23">
        <v>2.8999999999999998E-3</v>
      </c>
      <c r="C551" s="23">
        <v>1E-4</v>
      </c>
      <c r="D551" s="23">
        <v>2.3E-3</v>
      </c>
      <c r="E551" s="24">
        <f t="shared" si="25"/>
        <v>2448.3181773777214</v>
      </c>
      <c r="F551" s="24">
        <f t="shared" si="26"/>
        <v>330.9057719523297</v>
      </c>
      <c r="G551" s="24">
        <f t="shared" si="27"/>
        <v>634.28986263526531</v>
      </c>
    </row>
    <row r="552" spans="1:7" x14ac:dyDescent="0.6">
      <c r="A552" s="22">
        <v>26420</v>
      </c>
      <c r="B552" s="23">
        <v>1.2500000000000001E-2</v>
      </c>
      <c r="C552" s="23">
        <v>-2.7999999999999997E-2</v>
      </c>
      <c r="D552" s="23">
        <v>-2.6800000000000001E-2</v>
      </c>
      <c r="E552" s="24">
        <f t="shared" si="25"/>
        <v>2478.9221545949426</v>
      </c>
      <c r="F552" s="24">
        <f t="shared" si="26"/>
        <v>321.64041033766443</v>
      </c>
      <c r="G552" s="24">
        <f t="shared" si="27"/>
        <v>617.29089431664022</v>
      </c>
    </row>
    <row r="553" spans="1:7" x14ac:dyDescent="0.6">
      <c r="A553" s="22">
        <v>26451</v>
      </c>
      <c r="B553" s="23">
        <v>-2.4300000000000002E-2</v>
      </c>
      <c r="C553" s="23">
        <v>3.3E-3</v>
      </c>
      <c r="D553" s="23">
        <v>-2.4900000000000002E-2</v>
      </c>
      <c r="E553" s="24">
        <f t="shared" si="25"/>
        <v>2418.6843462382853</v>
      </c>
      <c r="F553" s="24">
        <f t="shared" si="26"/>
        <v>322.70182369177877</v>
      </c>
      <c r="G553" s="24">
        <f t="shared" si="27"/>
        <v>601.92035104815591</v>
      </c>
    </row>
    <row r="554" spans="1:7" x14ac:dyDescent="0.6">
      <c r="A554" s="22">
        <v>26481</v>
      </c>
      <c r="B554" s="23">
        <v>-8.0000000000000002E-3</v>
      </c>
      <c r="C554" s="23">
        <v>-2.8900000000000002E-2</v>
      </c>
      <c r="D554" s="23">
        <v>7.8000000000000005E-3</v>
      </c>
      <c r="E554" s="24">
        <f t="shared" si="25"/>
        <v>2399.3348714683789</v>
      </c>
      <c r="F554" s="24">
        <f t="shared" si="26"/>
        <v>313.37574098708637</v>
      </c>
      <c r="G554" s="24">
        <f t="shared" si="27"/>
        <v>606.61532978633159</v>
      </c>
    </row>
    <row r="555" spans="1:7" x14ac:dyDescent="0.6">
      <c r="A555" s="22">
        <v>26512</v>
      </c>
      <c r="B555" s="23">
        <v>3.2599999999999997E-2</v>
      </c>
      <c r="C555" s="23">
        <v>-4.0899999999999999E-2</v>
      </c>
      <c r="D555" s="23">
        <v>4.6900000000000004E-2</v>
      </c>
      <c r="E555" s="24">
        <f t="shared" si="25"/>
        <v>2477.5531882782479</v>
      </c>
      <c r="F555" s="24">
        <f t="shared" si="26"/>
        <v>300.55867318071455</v>
      </c>
      <c r="G555" s="24">
        <f t="shared" si="27"/>
        <v>635.06558875331052</v>
      </c>
    </row>
    <row r="556" spans="1:7" x14ac:dyDescent="0.6">
      <c r="A556" s="22">
        <v>26543</v>
      </c>
      <c r="B556" s="23">
        <v>-1.1399999999999999E-2</v>
      </c>
      <c r="C556" s="23">
        <v>-2.6699999999999998E-2</v>
      </c>
      <c r="D556" s="23">
        <v>4.6999999999999993E-3</v>
      </c>
      <c r="E556" s="24">
        <f t="shared" si="25"/>
        <v>2449.3090819318759</v>
      </c>
      <c r="F556" s="24">
        <f t="shared" si="26"/>
        <v>292.5337566067895</v>
      </c>
      <c r="G556" s="24">
        <f t="shared" si="27"/>
        <v>638.05039702045099</v>
      </c>
    </row>
    <row r="557" spans="1:7" x14ac:dyDescent="0.6">
      <c r="A557" s="22">
        <v>26573</v>
      </c>
      <c r="B557" s="23">
        <v>5.1999999999999998E-3</v>
      </c>
      <c r="C557" s="23">
        <v>-2.7400000000000001E-2</v>
      </c>
      <c r="D557" s="23">
        <v>1.37E-2</v>
      </c>
      <c r="E557" s="24">
        <f t="shared" si="25"/>
        <v>2462.045489157922</v>
      </c>
      <c r="F557" s="24">
        <f t="shared" si="26"/>
        <v>284.51833167576348</v>
      </c>
      <c r="G557" s="24">
        <f t="shared" si="27"/>
        <v>646.79168745963125</v>
      </c>
    </row>
    <row r="558" spans="1:7" x14ac:dyDescent="0.6">
      <c r="A558" s="22">
        <v>26604</v>
      </c>
      <c r="B558" s="23">
        <v>4.5999999999999992E-2</v>
      </c>
      <c r="C558" s="23">
        <v>-1.11E-2</v>
      </c>
      <c r="D558" s="23">
        <v>4.7599999999999996E-2</v>
      </c>
      <c r="E558" s="24">
        <f t="shared" si="25"/>
        <v>2575.2995816591865</v>
      </c>
      <c r="F558" s="24">
        <f t="shared" si="26"/>
        <v>281.36017819416253</v>
      </c>
      <c r="G558" s="24">
        <f t="shared" si="27"/>
        <v>677.5789717827098</v>
      </c>
    </row>
    <row r="559" spans="1:7" x14ac:dyDescent="0.6">
      <c r="A559" s="22">
        <v>26634</v>
      </c>
      <c r="B559" s="23">
        <v>6.1999999999999989E-3</v>
      </c>
      <c r="C559" s="23">
        <v>-1.8600000000000002E-2</v>
      </c>
      <c r="D559" s="23">
        <v>-2.2700000000000001E-2</v>
      </c>
      <c r="E559" s="24">
        <f t="shared" si="25"/>
        <v>2591.2664390654736</v>
      </c>
      <c r="F559" s="24">
        <f t="shared" si="26"/>
        <v>276.12687887975113</v>
      </c>
      <c r="G559" s="24">
        <f t="shared" si="27"/>
        <v>662.19792912324226</v>
      </c>
    </row>
    <row r="560" spans="1:7" x14ac:dyDescent="0.6">
      <c r="A560" s="22">
        <v>26665</v>
      </c>
      <c r="B560" s="23">
        <v>-3.2899999999999999E-2</v>
      </c>
      <c r="C560" s="23">
        <v>-3.4799999999999998E-2</v>
      </c>
      <c r="D560" s="23">
        <v>2.6800000000000001E-2</v>
      </c>
      <c r="E560" s="24">
        <f t="shared" si="25"/>
        <v>2506.0137732202193</v>
      </c>
      <c r="F560" s="24">
        <f t="shared" si="26"/>
        <v>266.51766349473581</v>
      </c>
      <c r="G560" s="24">
        <f t="shared" si="27"/>
        <v>679.94483362374513</v>
      </c>
    </row>
    <row r="561" spans="1:7" x14ac:dyDescent="0.6">
      <c r="A561" s="22">
        <v>26696</v>
      </c>
      <c r="B561" s="23">
        <v>-4.8499999999999995E-2</v>
      </c>
      <c r="C561" s="23">
        <v>-3.9900000000000005E-2</v>
      </c>
      <c r="D561" s="23">
        <v>1.7000000000000001E-2</v>
      </c>
      <c r="E561" s="24">
        <f t="shared" si="25"/>
        <v>2384.4721052190384</v>
      </c>
      <c r="F561" s="24">
        <f t="shared" si="26"/>
        <v>255.88360872129584</v>
      </c>
      <c r="G561" s="24">
        <f t="shared" si="27"/>
        <v>691.50389579534874</v>
      </c>
    </row>
    <row r="562" spans="1:7" x14ac:dyDescent="0.6">
      <c r="A562" s="22">
        <v>26724</v>
      </c>
      <c r="B562" s="23">
        <v>-1.29E-2</v>
      </c>
      <c r="C562" s="23">
        <v>-2.8199999999999999E-2</v>
      </c>
      <c r="D562" s="23">
        <v>2.7799999999999998E-2</v>
      </c>
      <c r="E562" s="24">
        <f t="shared" ref="E562:E625" si="28">E561*(1+B562)</f>
        <v>2353.7124150617128</v>
      </c>
      <c r="F562" s="24">
        <f t="shared" ref="F562:F625" si="29">F561*(1+C562)</f>
        <v>248.66769095535531</v>
      </c>
      <c r="G562" s="24">
        <f t="shared" ref="G562:G625" si="30">G561*(1+D562)</f>
        <v>710.72770409845941</v>
      </c>
    </row>
    <row r="563" spans="1:7" x14ac:dyDescent="0.6">
      <c r="A563" s="22">
        <v>26755</v>
      </c>
      <c r="B563" s="23">
        <v>-5.6800000000000003E-2</v>
      </c>
      <c r="C563" s="23">
        <v>-3.9900000000000005E-2</v>
      </c>
      <c r="D563" s="23">
        <v>5.6900000000000006E-2</v>
      </c>
      <c r="E563" s="24">
        <f t="shared" si="28"/>
        <v>2220.0215498862076</v>
      </c>
      <c r="F563" s="24">
        <f t="shared" si="29"/>
        <v>238.74585008623663</v>
      </c>
      <c r="G563" s="24">
        <f t="shared" si="30"/>
        <v>751.16811046166174</v>
      </c>
    </row>
    <row r="564" spans="1:7" x14ac:dyDescent="0.6">
      <c r="A564" s="22">
        <v>26785</v>
      </c>
      <c r="B564" s="23">
        <v>-2.9399999999999999E-2</v>
      </c>
      <c r="C564" s="23">
        <v>-6.1200000000000004E-2</v>
      </c>
      <c r="D564" s="23">
        <v>2.0999999999999999E-3</v>
      </c>
      <c r="E564" s="24">
        <f t="shared" si="28"/>
        <v>2154.7529163195532</v>
      </c>
      <c r="F564" s="24">
        <f t="shared" si="29"/>
        <v>224.13460406095894</v>
      </c>
      <c r="G564" s="24">
        <f t="shared" si="30"/>
        <v>752.74556349363127</v>
      </c>
    </row>
    <row r="565" spans="1:7" x14ac:dyDescent="0.6">
      <c r="A565" s="22">
        <v>26816</v>
      </c>
      <c r="B565" s="23">
        <v>-1.5600000000000001E-2</v>
      </c>
      <c r="C565" s="23">
        <v>-2.9500000000000002E-2</v>
      </c>
      <c r="D565" s="23">
        <v>1.44E-2</v>
      </c>
      <c r="E565" s="24">
        <f t="shared" si="28"/>
        <v>2121.1387708249681</v>
      </c>
      <c r="F565" s="24">
        <f t="shared" si="29"/>
        <v>217.52263324116066</v>
      </c>
      <c r="G565" s="24">
        <f t="shared" si="30"/>
        <v>763.58509960793958</v>
      </c>
    </row>
    <row r="566" spans="1:7" x14ac:dyDescent="0.6">
      <c r="A566" s="22">
        <v>26846</v>
      </c>
      <c r="B566" s="23">
        <v>5.0399999999999993E-2</v>
      </c>
      <c r="C566" s="23">
        <v>7.8799999999999995E-2</v>
      </c>
      <c r="D566" s="23">
        <v>-5.21E-2</v>
      </c>
      <c r="E566" s="24">
        <f t="shared" si="28"/>
        <v>2228.0441648745464</v>
      </c>
      <c r="F566" s="24">
        <f t="shared" si="29"/>
        <v>234.66341674056412</v>
      </c>
      <c r="G566" s="24">
        <f t="shared" si="30"/>
        <v>723.80231591836593</v>
      </c>
    </row>
    <row r="567" spans="1:7" x14ac:dyDescent="0.6">
      <c r="A567" s="22">
        <v>26877</v>
      </c>
      <c r="B567" s="23">
        <v>-3.8399999999999997E-2</v>
      </c>
      <c r="C567" s="23">
        <v>-2.0499999999999997E-2</v>
      </c>
      <c r="D567" s="23">
        <v>1.21E-2</v>
      </c>
      <c r="E567" s="24">
        <f t="shared" si="28"/>
        <v>2142.4872689433637</v>
      </c>
      <c r="F567" s="24">
        <f t="shared" si="29"/>
        <v>229.85281669738256</v>
      </c>
      <c r="G567" s="24">
        <f t="shared" si="30"/>
        <v>732.56032394097815</v>
      </c>
    </row>
    <row r="568" spans="1:7" x14ac:dyDescent="0.6">
      <c r="A568" s="22">
        <v>26908</v>
      </c>
      <c r="B568" s="23">
        <v>4.7499999999999994E-2</v>
      </c>
      <c r="C568" s="23">
        <v>2.9100000000000001E-2</v>
      </c>
      <c r="D568" s="23">
        <v>2.1400000000000002E-2</v>
      </c>
      <c r="E568" s="24">
        <f t="shared" si="28"/>
        <v>2244.2554142181739</v>
      </c>
      <c r="F568" s="24">
        <f t="shared" si="29"/>
        <v>236.54153366327637</v>
      </c>
      <c r="G568" s="24">
        <f t="shared" si="30"/>
        <v>748.23711487331514</v>
      </c>
    </row>
    <row r="569" spans="1:7" x14ac:dyDescent="0.6">
      <c r="A569" s="22">
        <v>26938</v>
      </c>
      <c r="B569" s="23">
        <v>-8.6E-3</v>
      </c>
      <c r="C569" s="23">
        <v>-1.7000000000000001E-3</v>
      </c>
      <c r="D569" s="23">
        <v>1.72E-2</v>
      </c>
      <c r="E569" s="24">
        <f t="shared" si="28"/>
        <v>2224.9548176558974</v>
      </c>
      <c r="F569" s="24">
        <f t="shared" si="29"/>
        <v>236.1394130560488</v>
      </c>
      <c r="G569" s="24">
        <f t="shared" si="30"/>
        <v>761.10679324913622</v>
      </c>
    </row>
    <row r="570" spans="1:7" x14ac:dyDescent="0.6">
      <c r="A570" s="22">
        <v>26969</v>
      </c>
      <c r="B570" s="23">
        <v>-0.12739999999999999</v>
      </c>
      <c r="C570" s="23">
        <v>-7.690000000000001E-2</v>
      </c>
      <c r="D570" s="23">
        <v>3.9900000000000005E-2</v>
      </c>
      <c r="E570" s="24">
        <f t="shared" si="28"/>
        <v>1941.4955738865362</v>
      </c>
      <c r="F570" s="24">
        <f t="shared" si="29"/>
        <v>217.98029219203866</v>
      </c>
      <c r="G570" s="24">
        <f t="shared" si="30"/>
        <v>791.47495429977675</v>
      </c>
    </row>
    <row r="571" spans="1:7" x14ac:dyDescent="0.6">
      <c r="A571" s="22">
        <v>26999</v>
      </c>
      <c r="B571" s="23">
        <v>5.7999999999999987E-3</v>
      </c>
      <c r="C571" s="23">
        <v>-5.3200000000000004E-2</v>
      </c>
      <c r="D571" s="23">
        <v>4.2099999999999999E-2</v>
      </c>
      <c r="E571" s="24">
        <f t="shared" si="28"/>
        <v>1952.7562482150781</v>
      </c>
      <c r="F571" s="24">
        <f t="shared" si="29"/>
        <v>206.3837406474222</v>
      </c>
      <c r="G571" s="24">
        <f t="shared" si="30"/>
        <v>824.79604987579739</v>
      </c>
    </row>
    <row r="572" spans="1:7" x14ac:dyDescent="0.6">
      <c r="A572" s="22">
        <v>27030</v>
      </c>
      <c r="B572" s="23">
        <v>-1.7000000000000001E-3</v>
      </c>
      <c r="C572" s="23">
        <v>9.8800000000000013E-2</v>
      </c>
      <c r="D572" s="23">
        <v>5.8700000000000002E-2</v>
      </c>
      <c r="E572" s="24">
        <f t="shared" si="28"/>
        <v>1949.4365625931125</v>
      </c>
      <c r="F572" s="24">
        <f t="shared" si="29"/>
        <v>226.77445422338752</v>
      </c>
      <c r="G572" s="24">
        <f t="shared" si="30"/>
        <v>873.2115780035067</v>
      </c>
    </row>
    <row r="573" spans="1:7" x14ac:dyDescent="0.6">
      <c r="A573" s="22">
        <v>27061</v>
      </c>
      <c r="B573" s="23">
        <v>-4.7999999999999996E-3</v>
      </c>
      <c r="C573" s="23">
        <v>1E-4</v>
      </c>
      <c r="D573" s="23">
        <v>2.5399999999999999E-2</v>
      </c>
      <c r="E573" s="24">
        <f t="shared" si="28"/>
        <v>1940.0792670926655</v>
      </c>
      <c r="F573" s="24">
        <f t="shared" si="29"/>
        <v>226.79713166880987</v>
      </c>
      <c r="G573" s="24">
        <f t="shared" si="30"/>
        <v>895.39115208479586</v>
      </c>
    </row>
    <row r="574" spans="1:7" x14ac:dyDescent="0.6">
      <c r="A574" s="22">
        <v>27089</v>
      </c>
      <c r="B574" s="23">
        <v>-2.81E-2</v>
      </c>
      <c r="C574" s="23">
        <v>2.4799999999999999E-2</v>
      </c>
      <c r="D574" s="23">
        <v>-1.1000000000000001E-3</v>
      </c>
      <c r="E574" s="24">
        <f t="shared" si="28"/>
        <v>1885.5630396873617</v>
      </c>
      <c r="F574" s="24">
        <f t="shared" si="29"/>
        <v>232.42170053419633</v>
      </c>
      <c r="G574" s="24">
        <f t="shared" si="30"/>
        <v>894.40622181750257</v>
      </c>
    </row>
    <row r="575" spans="1:7" x14ac:dyDescent="0.6">
      <c r="A575" s="22">
        <v>27120</v>
      </c>
      <c r="B575" s="23">
        <v>-5.2900000000000003E-2</v>
      </c>
      <c r="C575" s="23">
        <v>-7.0999999999999995E-3</v>
      </c>
      <c r="D575" s="23">
        <v>0.01</v>
      </c>
      <c r="E575" s="24">
        <f t="shared" si="28"/>
        <v>1785.8167548879003</v>
      </c>
      <c r="F575" s="24">
        <f t="shared" si="29"/>
        <v>230.77150646040354</v>
      </c>
      <c r="G575" s="24">
        <f t="shared" si="30"/>
        <v>903.35028403567765</v>
      </c>
    </row>
    <row r="576" spans="1:7" x14ac:dyDescent="0.6">
      <c r="A576" s="22">
        <v>27150</v>
      </c>
      <c r="B576" s="23">
        <v>-4.6699999999999998E-2</v>
      </c>
      <c r="C576" s="23">
        <v>-3.0499999999999999E-2</v>
      </c>
      <c r="D576" s="23">
        <v>-2.06E-2</v>
      </c>
      <c r="E576" s="24">
        <f t="shared" si="28"/>
        <v>1702.4191124346355</v>
      </c>
      <c r="F576" s="24">
        <f t="shared" si="29"/>
        <v>223.73297551336125</v>
      </c>
      <c r="G576" s="24">
        <f t="shared" si="30"/>
        <v>884.74126818454272</v>
      </c>
    </row>
    <row r="577" spans="1:7" x14ac:dyDescent="0.6">
      <c r="A577" s="22">
        <v>27181</v>
      </c>
      <c r="B577" s="23">
        <v>-2.8299999999999999E-2</v>
      </c>
      <c r="C577" s="23">
        <v>-1.7000000000000001E-3</v>
      </c>
      <c r="D577" s="23">
        <v>7.7000000000000002E-3</v>
      </c>
      <c r="E577" s="24">
        <f t="shared" si="28"/>
        <v>1654.2406515527352</v>
      </c>
      <c r="F577" s="24">
        <f t="shared" si="29"/>
        <v>223.35262945498854</v>
      </c>
      <c r="G577" s="24">
        <f t="shared" si="30"/>
        <v>891.55377594956371</v>
      </c>
    </row>
    <row r="578" spans="1:7" x14ac:dyDescent="0.6">
      <c r="A578" s="22">
        <v>27211</v>
      </c>
      <c r="B578" s="23">
        <v>-8.0500000000000016E-2</v>
      </c>
      <c r="C578" s="23">
        <v>9.1000000000000004E-3</v>
      </c>
      <c r="D578" s="23">
        <v>5.2199999999999996E-2</v>
      </c>
      <c r="E578" s="24">
        <f t="shared" si="28"/>
        <v>1521.0742791027401</v>
      </c>
      <c r="F578" s="24">
        <f t="shared" si="29"/>
        <v>225.38513838302896</v>
      </c>
      <c r="G578" s="24">
        <f t="shared" si="30"/>
        <v>938.09288305413099</v>
      </c>
    </row>
    <row r="579" spans="1:7" x14ac:dyDescent="0.6">
      <c r="A579" s="22">
        <v>27242</v>
      </c>
      <c r="B579" s="23">
        <v>-9.35E-2</v>
      </c>
      <c r="C579" s="23">
        <v>-6.8999999999999999E-3</v>
      </c>
      <c r="D579" s="23">
        <v>2.5600000000000001E-2</v>
      </c>
      <c r="E579" s="24">
        <f t="shared" si="28"/>
        <v>1378.8538340066339</v>
      </c>
      <c r="F579" s="24">
        <f t="shared" si="29"/>
        <v>223.82998092818605</v>
      </c>
      <c r="G579" s="24">
        <f t="shared" si="30"/>
        <v>962.10806086031675</v>
      </c>
    </row>
    <row r="580" spans="1:7" x14ac:dyDescent="0.6">
      <c r="A580" s="22">
        <v>27273</v>
      </c>
      <c r="B580" s="23">
        <v>-0.11769999999999999</v>
      </c>
      <c r="C580" s="23">
        <v>2.5999999999999999E-3</v>
      </c>
      <c r="D580" s="23">
        <v>5.5399999999999998E-2</v>
      </c>
      <c r="E580" s="24">
        <f t="shared" si="28"/>
        <v>1216.562737744053</v>
      </c>
      <c r="F580" s="24">
        <f t="shared" si="29"/>
        <v>224.41193887859933</v>
      </c>
      <c r="G580" s="24">
        <f t="shared" si="30"/>
        <v>1015.4088474319782</v>
      </c>
    </row>
    <row r="581" spans="1:7" x14ac:dyDescent="0.6">
      <c r="A581" s="22">
        <v>27303</v>
      </c>
      <c r="B581" s="23">
        <v>0.16100000000000003</v>
      </c>
      <c r="C581" s="23">
        <v>-3.5000000000000003E-2</v>
      </c>
      <c r="D581" s="23">
        <v>-9.7200000000000009E-2</v>
      </c>
      <c r="E581" s="24">
        <f t="shared" si="28"/>
        <v>1412.4293385208457</v>
      </c>
      <c r="F581" s="24">
        <f t="shared" si="29"/>
        <v>216.55752101784836</v>
      </c>
      <c r="G581" s="24">
        <f t="shared" si="30"/>
        <v>916.7111074615899</v>
      </c>
    </row>
    <row r="582" spans="1:7" x14ac:dyDescent="0.6">
      <c r="A582" s="22">
        <v>27334</v>
      </c>
      <c r="B582" s="23">
        <v>-4.5100000000000001E-2</v>
      </c>
      <c r="C582" s="23">
        <v>-1.18E-2</v>
      </c>
      <c r="D582" s="23">
        <v>-1E-3</v>
      </c>
      <c r="E582" s="24">
        <f t="shared" si="28"/>
        <v>1348.7287753535554</v>
      </c>
      <c r="F582" s="24">
        <f t="shared" si="29"/>
        <v>214.00214226983775</v>
      </c>
      <c r="G582" s="24">
        <f t="shared" si="30"/>
        <v>915.79439635412837</v>
      </c>
    </row>
    <row r="583" spans="1:7" x14ac:dyDescent="0.6">
      <c r="A583" s="22">
        <v>27364</v>
      </c>
      <c r="B583" s="23">
        <v>-3.4500000000000003E-2</v>
      </c>
      <c r="C583" s="23">
        <v>-4.8499999999999995E-2</v>
      </c>
      <c r="D583" s="23">
        <v>7.000000000000001E-4</v>
      </c>
      <c r="E583" s="24">
        <f t="shared" si="28"/>
        <v>1302.1976326038578</v>
      </c>
      <c r="F583" s="24">
        <f t="shared" si="29"/>
        <v>203.62303836975062</v>
      </c>
      <c r="G583" s="24">
        <f t="shared" si="30"/>
        <v>916.43545243157621</v>
      </c>
    </row>
    <row r="584" spans="1:7" x14ac:dyDescent="0.6">
      <c r="A584" s="22">
        <v>27395</v>
      </c>
      <c r="B584" s="23">
        <v>0.1366</v>
      </c>
      <c r="C584" s="23">
        <v>0.1101</v>
      </c>
      <c r="D584" s="23">
        <v>8.2200000000000009E-2</v>
      </c>
      <c r="E584" s="24">
        <f t="shared" si="28"/>
        <v>1480.0778292175448</v>
      </c>
      <c r="F584" s="24">
        <f t="shared" si="29"/>
        <v>226.04193489426018</v>
      </c>
      <c r="G584" s="24">
        <f t="shared" si="30"/>
        <v>991.76644662145179</v>
      </c>
    </row>
    <row r="585" spans="1:7" x14ac:dyDescent="0.6">
      <c r="A585" s="22">
        <v>27426</v>
      </c>
      <c r="B585" s="23">
        <v>5.5599999999999997E-2</v>
      </c>
      <c r="C585" s="23">
        <v>1.6000000000000001E-3</v>
      </c>
      <c r="D585" s="23">
        <v>-4.4999999999999998E-2</v>
      </c>
      <c r="E585" s="24">
        <f t="shared" si="28"/>
        <v>1562.3701565220404</v>
      </c>
      <c r="F585" s="24">
        <f t="shared" si="29"/>
        <v>226.403601990091</v>
      </c>
      <c r="G585" s="24">
        <f t="shared" si="30"/>
        <v>947.13695652348645</v>
      </c>
    </row>
    <row r="586" spans="1:7" x14ac:dyDescent="0.6">
      <c r="A586" s="22">
        <v>27454</v>
      </c>
      <c r="B586" s="23">
        <v>2.6600000000000002E-2</v>
      </c>
      <c r="C586" s="23">
        <v>3.78E-2</v>
      </c>
      <c r="D586" s="23">
        <v>2.41E-2</v>
      </c>
      <c r="E586" s="24">
        <f t="shared" si="28"/>
        <v>1603.9292026855267</v>
      </c>
      <c r="F586" s="24">
        <f t="shared" si="29"/>
        <v>234.96165814531645</v>
      </c>
      <c r="G586" s="24">
        <f t="shared" si="30"/>
        <v>969.96295717570251</v>
      </c>
    </row>
    <row r="587" spans="1:7" x14ac:dyDescent="0.6">
      <c r="A587" s="22">
        <v>27485</v>
      </c>
      <c r="B587" s="23">
        <v>4.2300000000000004E-2</v>
      </c>
      <c r="C587" s="23">
        <v>-5.1999999999999998E-3</v>
      </c>
      <c r="D587" s="23">
        <v>-1.11E-2</v>
      </c>
      <c r="E587" s="24">
        <f t="shared" si="28"/>
        <v>1671.7754079591245</v>
      </c>
      <c r="F587" s="24">
        <f t="shared" si="29"/>
        <v>233.73985752296082</v>
      </c>
      <c r="G587" s="24">
        <f t="shared" si="30"/>
        <v>959.19636835105223</v>
      </c>
    </row>
    <row r="588" spans="1:7" x14ac:dyDescent="0.6">
      <c r="A588" s="22">
        <v>27515</v>
      </c>
      <c r="B588" s="23">
        <v>5.1900000000000009E-2</v>
      </c>
      <c r="C588" s="23">
        <v>3.8399999999999997E-2</v>
      </c>
      <c r="D588" s="23">
        <v>-4.0800000000000003E-2</v>
      </c>
      <c r="E588" s="24">
        <f t="shared" si="28"/>
        <v>1758.5405516322032</v>
      </c>
      <c r="F588" s="24">
        <f t="shared" si="29"/>
        <v>242.71546805184252</v>
      </c>
      <c r="G588" s="24">
        <f t="shared" si="30"/>
        <v>920.06115652232938</v>
      </c>
    </row>
    <row r="589" spans="1:7" x14ac:dyDescent="0.6">
      <c r="A589" s="22">
        <v>27546</v>
      </c>
      <c r="B589" s="23">
        <v>4.8300000000000003E-2</v>
      </c>
      <c r="C589" s="23">
        <v>7.7000000000000002E-3</v>
      </c>
      <c r="D589" s="23">
        <v>1.2800000000000001E-2</v>
      </c>
      <c r="E589" s="24">
        <f t="shared" si="28"/>
        <v>1843.4780602760386</v>
      </c>
      <c r="F589" s="24">
        <f t="shared" si="29"/>
        <v>244.58437715584171</v>
      </c>
      <c r="G589" s="24">
        <f t="shared" si="30"/>
        <v>931.83793932581511</v>
      </c>
    </row>
    <row r="590" spans="1:7" x14ac:dyDescent="0.6">
      <c r="A590" s="22">
        <v>27576</v>
      </c>
      <c r="B590" s="23">
        <v>-6.59E-2</v>
      </c>
      <c r="C590" s="23">
        <v>2.69E-2</v>
      </c>
      <c r="D590" s="23">
        <v>1.7000000000000001E-2</v>
      </c>
      <c r="E590" s="24">
        <f t="shared" si="28"/>
        <v>1721.9928561038478</v>
      </c>
      <c r="F590" s="24">
        <f t="shared" si="29"/>
        <v>251.16369690133382</v>
      </c>
      <c r="G590" s="24">
        <f t="shared" si="30"/>
        <v>947.67918429435383</v>
      </c>
    </row>
    <row r="591" spans="1:7" x14ac:dyDescent="0.6">
      <c r="A591" s="22">
        <v>27607</v>
      </c>
      <c r="B591" s="23">
        <v>-2.8500000000000001E-2</v>
      </c>
      <c r="C591" s="23">
        <v>-3.2000000000000001E-2</v>
      </c>
      <c r="D591" s="23">
        <v>-9.0000000000000011E-3</v>
      </c>
      <c r="E591" s="24">
        <f t="shared" si="28"/>
        <v>1672.9160597048881</v>
      </c>
      <c r="F591" s="24">
        <f t="shared" si="29"/>
        <v>243.12645860049113</v>
      </c>
      <c r="G591" s="24">
        <f t="shared" si="30"/>
        <v>939.15007163570465</v>
      </c>
    </row>
    <row r="592" spans="1:7" x14ac:dyDescent="0.6">
      <c r="A592" s="22">
        <v>27638</v>
      </c>
      <c r="B592" s="23">
        <v>-4.2599999999999992E-2</v>
      </c>
      <c r="C592" s="23">
        <v>-1.2999999999999999E-3</v>
      </c>
      <c r="D592" s="23">
        <v>3.4000000000000002E-3</v>
      </c>
      <c r="E592" s="24">
        <f t="shared" si="28"/>
        <v>1601.6498355614599</v>
      </c>
      <c r="F592" s="24">
        <f t="shared" si="29"/>
        <v>242.81039420431051</v>
      </c>
      <c r="G592" s="24">
        <f t="shared" si="30"/>
        <v>942.34318187926613</v>
      </c>
    </row>
    <row r="593" spans="1:7" x14ac:dyDescent="0.6">
      <c r="A593" s="22">
        <v>27668</v>
      </c>
      <c r="B593" s="23">
        <v>5.3099999999999994E-2</v>
      </c>
      <c r="C593" s="23">
        <v>-4.0199999999999993E-2</v>
      </c>
      <c r="D593" s="23">
        <v>3.0000000000000001E-3</v>
      </c>
      <c r="E593" s="24">
        <f t="shared" si="28"/>
        <v>1686.6974418297732</v>
      </c>
      <c r="F593" s="24">
        <f t="shared" si="29"/>
        <v>233.04941635729722</v>
      </c>
      <c r="G593" s="24">
        <f t="shared" si="30"/>
        <v>945.17021142490387</v>
      </c>
    </row>
    <row r="594" spans="1:7" x14ac:dyDescent="0.6">
      <c r="A594" s="22">
        <v>27699</v>
      </c>
      <c r="B594" s="23">
        <v>2.6500000000000003E-2</v>
      </c>
      <c r="C594" s="23">
        <v>-1.1899999999999999E-2</v>
      </c>
      <c r="D594" s="23">
        <v>1.9900000000000001E-2</v>
      </c>
      <c r="E594" s="24">
        <f t="shared" si="28"/>
        <v>1731.3949240382622</v>
      </c>
      <c r="F594" s="24">
        <f t="shared" si="29"/>
        <v>230.27612830264539</v>
      </c>
      <c r="G594" s="24">
        <f t="shared" si="30"/>
        <v>963.97909863225948</v>
      </c>
    </row>
    <row r="595" spans="1:7" x14ac:dyDescent="0.6">
      <c r="A595" s="22">
        <v>27729</v>
      </c>
      <c r="B595" s="23">
        <v>-1.6E-2</v>
      </c>
      <c r="C595" s="23">
        <v>-7.6E-3</v>
      </c>
      <c r="D595" s="23">
        <v>1.7600000000000001E-2</v>
      </c>
      <c r="E595" s="24">
        <f t="shared" si="28"/>
        <v>1703.6926052536498</v>
      </c>
      <c r="F595" s="24">
        <f t="shared" si="29"/>
        <v>228.52602972754528</v>
      </c>
      <c r="G595" s="24">
        <f t="shared" si="30"/>
        <v>980.94513076818725</v>
      </c>
    </row>
    <row r="596" spans="1:7" x14ac:dyDescent="0.6">
      <c r="A596" s="22">
        <v>27760</v>
      </c>
      <c r="B596" s="23">
        <v>0.1216</v>
      </c>
      <c r="C596" s="23">
        <v>4.8000000000000001E-2</v>
      </c>
      <c r="D596" s="23">
        <v>8.5800000000000001E-2</v>
      </c>
      <c r="E596" s="24">
        <f t="shared" si="28"/>
        <v>1910.8616260524936</v>
      </c>
      <c r="F596" s="24">
        <f t="shared" si="29"/>
        <v>239.49527915446745</v>
      </c>
      <c r="G596" s="24">
        <f t="shared" si="30"/>
        <v>1065.1102229880978</v>
      </c>
    </row>
    <row r="597" spans="1:7" x14ac:dyDescent="0.6">
      <c r="A597" s="22">
        <v>27791</v>
      </c>
      <c r="B597" s="23">
        <v>3.1999999999999997E-3</v>
      </c>
      <c r="C597" s="23">
        <v>7.0300000000000001E-2</v>
      </c>
      <c r="D597" s="23">
        <v>5.7800000000000004E-2</v>
      </c>
      <c r="E597" s="24">
        <f t="shared" si="28"/>
        <v>1916.9763832558617</v>
      </c>
      <c r="F597" s="24">
        <f t="shared" si="29"/>
        <v>256.33179727902655</v>
      </c>
      <c r="G597" s="24">
        <f t="shared" si="30"/>
        <v>1126.6735938768099</v>
      </c>
    </row>
    <row r="598" spans="1:7" x14ac:dyDescent="0.6">
      <c r="A598" s="22">
        <v>27820</v>
      </c>
      <c r="B598" s="23">
        <v>2.3300000000000001E-2</v>
      </c>
      <c r="C598" s="23">
        <v>-1.1699999999999999E-2</v>
      </c>
      <c r="D598" s="23">
        <v>-4.0000000000000002E-4</v>
      </c>
      <c r="E598" s="24">
        <f t="shared" si="28"/>
        <v>1961.6419329857235</v>
      </c>
      <c r="F598" s="24">
        <f t="shared" si="29"/>
        <v>253.33271525086192</v>
      </c>
      <c r="G598" s="24">
        <f t="shared" si="30"/>
        <v>1126.2229244392593</v>
      </c>
    </row>
    <row r="599" spans="1:7" x14ac:dyDescent="0.6">
      <c r="A599" s="22">
        <v>27851</v>
      </c>
      <c r="B599" s="23">
        <v>-1.49E-2</v>
      </c>
      <c r="C599" s="23">
        <v>-2.9999999999999997E-4</v>
      </c>
      <c r="D599" s="23">
        <v>-5.9999999999999995E-4</v>
      </c>
      <c r="E599" s="24">
        <f t="shared" si="28"/>
        <v>1932.4134681842363</v>
      </c>
      <c r="F599" s="24">
        <f t="shared" si="29"/>
        <v>253.25671543628667</v>
      </c>
      <c r="G599" s="24">
        <f t="shared" si="30"/>
        <v>1125.5471906845958</v>
      </c>
    </row>
    <row r="600" spans="1:7" x14ac:dyDescent="0.6">
      <c r="A600" s="22">
        <v>27881</v>
      </c>
      <c r="B600" s="23">
        <v>-1.34E-2</v>
      </c>
      <c r="C600" s="23">
        <v>-1.24E-2</v>
      </c>
      <c r="D600" s="23">
        <v>-1.32E-2</v>
      </c>
      <c r="E600" s="24">
        <f t="shared" si="28"/>
        <v>1906.5191277105675</v>
      </c>
      <c r="F600" s="24">
        <f t="shared" si="29"/>
        <v>250.11633216487672</v>
      </c>
      <c r="G600" s="24">
        <f t="shared" si="30"/>
        <v>1110.6899677675592</v>
      </c>
    </row>
    <row r="601" spans="1:7" x14ac:dyDescent="0.6">
      <c r="A601" s="22">
        <v>27912</v>
      </c>
      <c r="B601" s="23">
        <v>4.0499999999999994E-2</v>
      </c>
      <c r="C601" s="23">
        <v>-1.3500000000000002E-2</v>
      </c>
      <c r="D601" s="23">
        <v>6.8000000000000005E-3</v>
      </c>
      <c r="E601" s="24">
        <f t="shared" si="28"/>
        <v>1983.7331523828454</v>
      </c>
      <c r="F601" s="24">
        <f t="shared" si="29"/>
        <v>246.7397616806509</v>
      </c>
      <c r="G601" s="24">
        <f t="shared" si="30"/>
        <v>1118.2426595483785</v>
      </c>
    </row>
    <row r="602" spans="1:7" x14ac:dyDescent="0.6">
      <c r="A602" s="22">
        <v>27942</v>
      </c>
      <c r="B602" s="23">
        <v>-1.0700000000000001E-2</v>
      </c>
      <c r="C602" s="23">
        <v>3.0000000000000001E-3</v>
      </c>
      <c r="D602" s="23">
        <v>1.7399999999999999E-2</v>
      </c>
      <c r="E602" s="24">
        <f t="shared" si="28"/>
        <v>1962.5072076523488</v>
      </c>
      <c r="F602" s="24">
        <f t="shared" si="29"/>
        <v>247.47998096569282</v>
      </c>
      <c r="G602" s="24">
        <f t="shared" si="30"/>
        <v>1137.7000818245203</v>
      </c>
    </row>
    <row r="603" spans="1:7" x14ac:dyDescent="0.6">
      <c r="A603" s="22">
        <v>27973</v>
      </c>
      <c r="B603" s="23">
        <v>-5.6000000000000008E-3</v>
      </c>
      <c r="C603" s="23">
        <v>-0.02</v>
      </c>
      <c r="D603" s="23">
        <v>7.7000000000000002E-3</v>
      </c>
      <c r="E603" s="24">
        <f t="shared" si="28"/>
        <v>1951.5171672894955</v>
      </c>
      <c r="F603" s="24">
        <f t="shared" si="29"/>
        <v>242.53038134637896</v>
      </c>
      <c r="G603" s="24">
        <f t="shared" si="30"/>
        <v>1146.4603724545691</v>
      </c>
    </row>
    <row r="604" spans="1:7" x14ac:dyDescent="0.6">
      <c r="A604" s="22">
        <v>28004</v>
      </c>
      <c r="B604" s="23">
        <v>2.06E-2</v>
      </c>
      <c r="C604" s="23">
        <v>0</v>
      </c>
      <c r="D604" s="23">
        <v>-2.8000000000000004E-3</v>
      </c>
      <c r="E604" s="24">
        <f t="shared" si="28"/>
        <v>1991.718420935659</v>
      </c>
      <c r="F604" s="24">
        <f t="shared" si="29"/>
        <v>242.53038134637896</v>
      </c>
      <c r="G604" s="24">
        <f t="shared" si="30"/>
        <v>1143.2502834116963</v>
      </c>
    </row>
    <row r="605" spans="1:7" x14ac:dyDescent="0.6">
      <c r="A605" s="22">
        <v>28034</v>
      </c>
      <c r="B605" s="23">
        <v>-2.4199999999999996E-2</v>
      </c>
      <c r="C605" s="23">
        <v>2.5000000000000001E-3</v>
      </c>
      <c r="D605" s="23">
        <v>-1.2999999999999999E-3</v>
      </c>
      <c r="E605" s="24">
        <f t="shared" si="28"/>
        <v>1943.518835149016</v>
      </c>
      <c r="F605" s="24">
        <f t="shared" si="29"/>
        <v>243.1367072997449</v>
      </c>
      <c r="G605" s="24">
        <f t="shared" si="30"/>
        <v>1141.764058043261</v>
      </c>
    </row>
    <row r="606" spans="1:7" x14ac:dyDescent="0.6">
      <c r="A606" s="22">
        <v>28065</v>
      </c>
      <c r="B606" s="23">
        <v>3.5999999999999999E-3</v>
      </c>
      <c r="C606" s="23">
        <v>2.3199999999999998E-2</v>
      </c>
      <c r="D606" s="23">
        <v>1.4999999999999999E-2</v>
      </c>
      <c r="E606" s="24">
        <f t="shared" si="28"/>
        <v>1950.5155029555526</v>
      </c>
      <c r="F606" s="24">
        <f t="shared" si="29"/>
        <v>248.77747890909902</v>
      </c>
      <c r="G606" s="24">
        <f t="shared" si="30"/>
        <v>1158.8905189139098</v>
      </c>
    </row>
    <row r="607" spans="1:7" x14ac:dyDescent="0.6">
      <c r="A607" s="22">
        <v>28095</v>
      </c>
      <c r="B607" s="23">
        <v>5.6500000000000009E-2</v>
      </c>
      <c r="C607" s="23">
        <v>3.0099999999999998E-2</v>
      </c>
      <c r="D607" s="23">
        <v>2.23E-2</v>
      </c>
      <c r="E607" s="24">
        <f t="shared" si="28"/>
        <v>2060.7196288725413</v>
      </c>
      <c r="F607" s="24">
        <f t="shared" si="29"/>
        <v>256.2656810242629</v>
      </c>
      <c r="G607" s="24">
        <f t="shared" si="30"/>
        <v>1184.7337774856899</v>
      </c>
    </row>
    <row r="608" spans="1:7" x14ac:dyDescent="0.6">
      <c r="A608" s="22">
        <v>28126</v>
      </c>
      <c r="B608" s="23">
        <v>-4.0500000000000001E-2</v>
      </c>
      <c r="C608" s="23">
        <v>4.7699999999999992E-2</v>
      </c>
      <c r="D608" s="23">
        <v>4.2800000000000005E-2</v>
      </c>
      <c r="E608" s="24">
        <f t="shared" si="28"/>
        <v>1977.2604839032035</v>
      </c>
      <c r="F608" s="24">
        <f t="shared" si="29"/>
        <v>268.48955400912024</v>
      </c>
      <c r="G608" s="24">
        <f t="shared" si="30"/>
        <v>1235.4403831620773</v>
      </c>
    </row>
    <row r="609" spans="1:7" x14ac:dyDescent="0.6">
      <c r="A609" s="22">
        <v>28157</v>
      </c>
      <c r="B609" s="23">
        <v>-1.95E-2</v>
      </c>
      <c r="C609" s="23">
        <v>1.09E-2</v>
      </c>
      <c r="D609" s="23">
        <v>4.8999999999999998E-3</v>
      </c>
      <c r="E609" s="24">
        <f t="shared" si="28"/>
        <v>1938.7039044670912</v>
      </c>
      <c r="F609" s="24">
        <f t="shared" si="29"/>
        <v>271.4160901478196</v>
      </c>
      <c r="G609" s="24">
        <f t="shared" si="30"/>
        <v>1241.4940410395714</v>
      </c>
    </row>
    <row r="610" spans="1:7" x14ac:dyDescent="0.6">
      <c r="A610" s="22">
        <v>28185</v>
      </c>
      <c r="B610" s="23">
        <v>-1.37E-2</v>
      </c>
      <c r="C610" s="23">
        <v>9.8999999999999991E-3</v>
      </c>
      <c r="D610" s="23">
        <v>1.04E-2</v>
      </c>
      <c r="E610" s="24">
        <f t="shared" si="28"/>
        <v>1912.1436609758919</v>
      </c>
      <c r="F610" s="24">
        <f t="shared" si="29"/>
        <v>274.10310944028305</v>
      </c>
      <c r="G610" s="24">
        <f t="shared" si="30"/>
        <v>1254.4055790663829</v>
      </c>
    </row>
    <row r="611" spans="1:7" x14ac:dyDescent="0.6">
      <c r="A611" s="22">
        <v>28216</v>
      </c>
      <c r="B611" s="23">
        <v>1.5E-3</v>
      </c>
      <c r="C611" s="23">
        <v>-1.1999999999999999E-3</v>
      </c>
      <c r="D611" s="23">
        <v>3.4500000000000003E-2</v>
      </c>
      <c r="E611" s="24">
        <f t="shared" si="28"/>
        <v>1915.0118764673557</v>
      </c>
      <c r="F611" s="24">
        <f t="shared" si="29"/>
        <v>273.77418570895469</v>
      </c>
      <c r="G611" s="24">
        <f t="shared" si="30"/>
        <v>1297.682571544173</v>
      </c>
    </row>
    <row r="612" spans="1:7" x14ac:dyDescent="0.6">
      <c r="A612" s="22">
        <v>28246</v>
      </c>
      <c r="B612" s="23">
        <v>-1.4599999999999998E-2</v>
      </c>
      <c r="C612" s="23">
        <v>1.18E-2</v>
      </c>
      <c r="D612" s="23">
        <v>8.3000000000000001E-3</v>
      </c>
      <c r="E612" s="24">
        <f t="shared" si="28"/>
        <v>1887.0527030709325</v>
      </c>
      <c r="F612" s="24">
        <f t="shared" si="29"/>
        <v>277.00472110032035</v>
      </c>
      <c r="G612" s="24">
        <f t="shared" si="30"/>
        <v>1308.4533368879895</v>
      </c>
    </row>
    <row r="613" spans="1:7" x14ac:dyDescent="0.6">
      <c r="A613" s="22">
        <v>28277</v>
      </c>
      <c r="B613" s="23">
        <v>4.7100000000000003E-2</v>
      </c>
      <c r="C613" s="23">
        <v>2.12E-2</v>
      </c>
      <c r="D613" s="23">
        <v>-6.5000000000000006E-3</v>
      </c>
      <c r="E613" s="24">
        <f t="shared" si="28"/>
        <v>1975.9328853855732</v>
      </c>
      <c r="F613" s="24">
        <f t="shared" si="29"/>
        <v>282.87722118764719</v>
      </c>
      <c r="G613" s="24">
        <f t="shared" si="30"/>
        <v>1299.9483901982176</v>
      </c>
    </row>
    <row r="614" spans="1:7" x14ac:dyDescent="0.6">
      <c r="A614" s="22">
        <v>28307</v>
      </c>
      <c r="B614" s="23">
        <v>-1.6899999999999998E-2</v>
      </c>
      <c r="C614" s="23">
        <v>2.1299999999999999E-2</v>
      </c>
      <c r="D614" s="23">
        <v>-6.0999999999999995E-3</v>
      </c>
      <c r="E614" s="24">
        <f t="shared" si="28"/>
        <v>1942.539619622557</v>
      </c>
      <c r="F614" s="24">
        <f t="shared" si="29"/>
        <v>288.90250599894409</v>
      </c>
      <c r="G614" s="24">
        <f t="shared" si="30"/>
        <v>1292.0187050180084</v>
      </c>
    </row>
    <row r="615" spans="1:7" x14ac:dyDescent="0.6">
      <c r="A615" s="22">
        <v>28338</v>
      </c>
      <c r="B615" s="23">
        <v>-1.7500000000000002E-2</v>
      </c>
      <c r="C615" s="23">
        <v>1.5300000000000001E-2</v>
      </c>
      <c r="D615" s="23">
        <v>-2.81E-2</v>
      </c>
      <c r="E615" s="24">
        <f t="shared" si="28"/>
        <v>1908.5451762791622</v>
      </c>
      <c r="F615" s="24">
        <f t="shared" si="29"/>
        <v>293.32271434072794</v>
      </c>
      <c r="G615" s="24">
        <f t="shared" si="30"/>
        <v>1255.7129794070024</v>
      </c>
    </row>
    <row r="616" spans="1:7" x14ac:dyDescent="0.6">
      <c r="A616" s="22">
        <v>28369</v>
      </c>
      <c r="B616" s="23">
        <v>-2.7000000000000001E-3</v>
      </c>
      <c r="C616" s="23">
        <v>1.4499999999999999E-2</v>
      </c>
      <c r="D616" s="23">
        <v>-4.8999999999999998E-3</v>
      </c>
      <c r="E616" s="24">
        <f t="shared" si="28"/>
        <v>1903.3921043032085</v>
      </c>
      <c r="F616" s="24">
        <f t="shared" si="29"/>
        <v>297.57589369866849</v>
      </c>
      <c r="G616" s="24">
        <f t="shared" si="30"/>
        <v>1249.5599858079081</v>
      </c>
    </row>
    <row r="617" spans="1:7" x14ac:dyDescent="0.6">
      <c r="A617" s="22">
        <v>28399</v>
      </c>
      <c r="B617" s="23">
        <v>-4.3799999999999999E-2</v>
      </c>
      <c r="C617" s="23">
        <v>1.2699999999999999E-2</v>
      </c>
      <c r="D617" s="23">
        <v>1.7100000000000001E-2</v>
      </c>
      <c r="E617" s="24">
        <f t="shared" si="28"/>
        <v>1820.0235301347282</v>
      </c>
      <c r="F617" s="24">
        <f t="shared" si="29"/>
        <v>301.35510754864157</v>
      </c>
      <c r="G617" s="24">
        <f t="shared" si="30"/>
        <v>1270.9274615652232</v>
      </c>
    </row>
    <row r="618" spans="1:7" x14ac:dyDescent="0.6">
      <c r="A618" s="22">
        <v>28430</v>
      </c>
      <c r="B618" s="23">
        <v>0.04</v>
      </c>
      <c r="C618" s="23">
        <v>3.6900000000000002E-2</v>
      </c>
      <c r="D618" s="23">
        <v>3.5999999999999999E-3</v>
      </c>
      <c r="E618" s="24">
        <f t="shared" si="28"/>
        <v>1892.8244713401173</v>
      </c>
      <c r="F618" s="24">
        <f t="shared" si="29"/>
        <v>312.47511101718641</v>
      </c>
      <c r="G618" s="24">
        <f t="shared" si="30"/>
        <v>1275.5028004268581</v>
      </c>
    </row>
    <row r="619" spans="1:7" x14ac:dyDescent="0.6">
      <c r="A619" s="22">
        <v>28460</v>
      </c>
      <c r="B619" s="23">
        <v>2.7000000000000001E-3</v>
      </c>
      <c r="C619" s="23">
        <v>1.3300000000000001E-2</v>
      </c>
      <c r="D619" s="23">
        <v>-3.4999999999999996E-3</v>
      </c>
      <c r="E619" s="24">
        <f t="shared" si="28"/>
        <v>1897.9350974127353</v>
      </c>
      <c r="F619" s="24">
        <f t="shared" si="29"/>
        <v>316.631029993715</v>
      </c>
      <c r="G619" s="24">
        <f t="shared" si="30"/>
        <v>1271.0385406253642</v>
      </c>
    </row>
    <row r="620" spans="1:7" x14ac:dyDescent="0.6">
      <c r="A620" s="22">
        <v>28491</v>
      </c>
      <c r="B620" s="23">
        <v>-6.0100000000000001E-2</v>
      </c>
      <c r="C620" s="23">
        <v>2.2200000000000001E-2</v>
      </c>
      <c r="D620" s="23">
        <v>3.2799999999999996E-2</v>
      </c>
      <c r="E620" s="24">
        <f t="shared" si="28"/>
        <v>1783.8691980582298</v>
      </c>
      <c r="F620" s="24">
        <f t="shared" si="29"/>
        <v>323.66023885957549</v>
      </c>
      <c r="G620" s="24">
        <f t="shared" si="30"/>
        <v>1312.7286047578762</v>
      </c>
    </row>
    <row r="621" spans="1:7" x14ac:dyDescent="0.6">
      <c r="A621" s="22">
        <v>28522</v>
      </c>
      <c r="B621" s="23">
        <v>-1.38E-2</v>
      </c>
      <c r="C621" s="23">
        <v>3.5699999999999996E-2</v>
      </c>
      <c r="D621" s="23">
        <v>8.0000000000000002E-3</v>
      </c>
      <c r="E621" s="24">
        <f t="shared" si="28"/>
        <v>1759.2518031250261</v>
      </c>
      <c r="F621" s="24">
        <f t="shared" si="29"/>
        <v>335.21490938686236</v>
      </c>
      <c r="G621" s="24">
        <f t="shared" si="30"/>
        <v>1323.2304335959391</v>
      </c>
    </row>
    <row r="622" spans="1:7" x14ac:dyDescent="0.6">
      <c r="A622" s="22">
        <v>28550</v>
      </c>
      <c r="B622" s="23">
        <v>2.8499999999999998E-2</v>
      </c>
      <c r="C622" s="23">
        <v>3.44E-2</v>
      </c>
      <c r="D622" s="23">
        <v>1.2699999999999999E-2</v>
      </c>
      <c r="E622" s="24">
        <f t="shared" si="28"/>
        <v>1809.3904795140893</v>
      </c>
      <c r="F622" s="24">
        <f t="shared" si="29"/>
        <v>346.74630226977041</v>
      </c>
      <c r="G622" s="24">
        <f t="shared" si="30"/>
        <v>1340.0354601026074</v>
      </c>
    </row>
    <row r="623" spans="1:7" x14ac:dyDescent="0.6">
      <c r="A623" s="22">
        <v>28581</v>
      </c>
      <c r="B623" s="23">
        <v>7.8799999999999995E-2</v>
      </c>
      <c r="C623" s="23">
        <v>3.8E-3</v>
      </c>
      <c r="D623" s="23">
        <v>-3.4799999999999998E-2</v>
      </c>
      <c r="E623" s="24">
        <f t="shared" si="28"/>
        <v>1951.9704492997994</v>
      </c>
      <c r="F623" s="24">
        <f t="shared" si="29"/>
        <v>348.06393821839555</v>
      </c>
      <c r="G623" s="24">
        <f t="shared" si="30"/>
        <v>1293.4022260910367</v>
      </c>
    </row>
    <row r="624" spans="1:7" x14ac:dyDescent="0.6">
      <c r="A624" s="22">
        <v>28611</v>
      </c>
      <c r="B624" s="23">
        <v>1.7600000000000001E-2</v>
      </c>
      <c r="C624" s="23">
        <v>4.5700000000000005E-2</v>
      </c>
      <c r="D624" s="23">
        <v>-6.3E-3</v>
      </c>
      <c r="E624" s="24">
        <f t="shared" si="28"/>
        <v>1986.325129207476</v>
      </c>
      <c r="F624" s="24">
        <f t="shared" si="29"/>
        <v>363.97046019497623</v>
      </c>
      <c r="G624" s="24">
        <f t="shared" si="30"/>
        <v>1285.2537920666632</v>
      </c>
    </row>
    <row r="625" spans="1:7" x14ac:dyDescent="0.6">
      <c r="A625" s="22">
        <v>28642</v>
      </c>
      <c r="B625" s="23">
        <v>-1.6899999999999998E-2</v>
      </c>
      <c r="C625" s="23">
        <v>1.6899999999999998E-2</v>
      </c>
      <c r="D625" s="23">
        <v>5.7999999999999996E-3</v>
      </c>
      <c r="E625" s="24">
        <f t="shared" si="28"/>
        <v>1952.7562345238696</v>
      </c>
      <c r="F625" s="24">
        <f t="shared" si="29"/>
        <v>370.12156097227131</v>
      </c>
      <c r="G625" s="24">
        <f t="shared" si="30"/>
        <v>1292.70826406065</v>
      </c>
    </row>
    <row r="626" spans="1:7" x14ac:dyDescent="0.6">
      <c r="A626" s="22">
        <v>28672</v>
      </c>
      <c r="B626" s="23">
        <v>5.11E-2</v>
      </c>
      <c r="C626" s="23">
        <v>2.7000000000000001E-3</v>
      </c>
      <c r="D626" s="23">
        <v>-1.1200000000000002E-2</v>
      </c>
      <c r="E626" s="24">
        <f t="shared" ref="E626:E689" si="31">E625*(1+B626)</f>
        <v>2052.5420781080393</v>
      </c>
      <c r="F626" s="24">
        <f t="shared" ref="F626:F689" si="32">F625*(1+C626)</f>
        <v>371.12088918689642</v>
      </c>
      <c r="G626" s="24">
        <f t="shared" ref="G626:G689" si="33">G625*(1+D626)</f>
        <v>1278.2299315031707</v>
      </c>
    </row>
    <row r="627" spans="1:7" x14ac:dyDescent="0.6">
      <c r="A627" s="22">
        <v>28703</v>
      </c>
      <c r="B627" s="23">
        <v>3.7500000000000006E-2</v>
      </c>
      <c r="C627" s="23">
        <v>5.0700000000000002E-2</v>
      </c>
      <c r="D627" s="23">
        <v>-4.6999999999999993E-3</v>
      </c>
      <c r="E627" s="24">
        <f t="shared" si="31"/>
        <v>2129.5124060370908</v>
      </c>
      <c r="F627" s="24">
        <f t="shared" si="32"/>
        <v>389.93671826867205</v>
      </c>
      <c r="G627" s="24">
        <f t="shared" si="33"/>
        <v>1272.2222508251059</v>
      </c>
    </row>
    <row r="628" spans="1:7" x14ac:dyDescent="0.6">
      <c r="A628" s="22">
        <v>28734</v>
      </c>
      <c r="B628" s="23">
        <v>-1.43E-2</v>
      </c>
      <c r="C628" s="23">
        <v>-3.9000000000000003E-3</v>
      </c>
      <c r="D628" s="23">
        <v>1.8700000000000001E-2</v>
      </c>
      <c r="E628" s="24">
        <f t="shared" si="31"/>
        <v>2099.0603786307606</v>
      </c>
      <c r="F628" s="24">
        <f t="shared" si="32"/>
        <v>388.41596506742422</v>
      </c>
      <c r="G628" s="24">
        <f t="shared" si="33"/>
        <v>1296.0128069155353</v>
      </c>
    </row>
    <row r="629" spans="1:7" x14ac:dyDescent="0.6">
      <c r="A629" s="22">
        <v>28764</v>
      </c>
      <c r="B629" s="23">
        <v>-0.11910000000000001</v>
      </c>
      <c r="C629" s="23">
        <v>-9.8800000000000013E-2</v>
      </c>
      <c r="D629" s="23">
        <v>1.3600000000000001E-2</v>
      </c>
      <c r="E629" s="24">
        <f t="shared" si="31"/>
        <v>1849.062287535837</v>
      </c>
      <c r="F629" s="24">
        <f t="shared" si="32"/>
        <v>350.04046771876273</v>
      </c>
      <c r="G629" s="24">
        <f t="shared" si="33"/>
        <v>1313.6385810895868</v>
      </c>
    </row>
    <row r="630" spans="1:7" x14ac:dyDescent="0.6">
      <c r="A630" s="22">
        <v>28795</v>
      </c>
      <c r="B630" s="23">
        <v>2.7099999999999999E-2</v>
      </c>
      <c r="C630" s="23">
        <v>3.0200000000000001E-2</v>
      </c>
      <c r="D630" s="23">
        <v>-2.2200000000000001E-2</v>
      </c>
      <c r="E630" s="24">
        <f t="shared" si="31"/>
        <v>1899.1718755280579</v>
      </c>
      <c r="F630" s="24">
        <f t="shared" si="32"/>
        <v>360.61168984386939</v>
      </c>
      <c r="G630" s="24">
        <f t="shared" si="33"/>
        <v>1284.475804589398</v>
      </c>
    </row>
    <row r="631" spans="1:7" x14ac:dyDescent="0.6">
      <c r="A631" s="22">
        <v>28825</v>
      </c>
      <c r="B631" s="23">
        <v>8.7999999999999988E-3</v>
      </c>
      <c r="C631" s="23">
        <v>1.2500000000000001E-2</v>
      </c>
      <c r="D631" s="23">
        <v>-2.2000000000000002E-2</v>
      </c>
      <c r="E631" s="24">
        <f t="shared" si="31"/>
        <v>1915.8845880327046</v>
      </c>
      <c r="F631" s="24">
        <f t="shared" si="32"/>
        <v>365.11933596691773</v>
      </c>
      <c r="G631" s="24">
        <f t="shared" si="33"/>
        <v>1256.2173368884312</v>
      </c>
    </row>
    <row r="632" spans="1:7" x14ac:dyDescent="0.6">
      <c r="A632" s="22">
        <v>28856</v>
      </c>
      <c r="B632" s="23">
        <v>4.2300000000000004E-2</v>
      </c>
      <c r="C632" s="23">
        <v>3.6799999999999999E-2</v>
      </c>
      <c r="D632" s="23">
        <v>2.2499999999999999E-2</v>
      </c>
      <c r="E632" s="24">
        <f t="shared" si="31"/>
        <v>1996.926506106488</v>
      </c>
      <c r="F632" s="24">
        <f t="shared" si="32"/>
        <v>378.55572753050029</v>
      </c>
      <c r="G632" s="24">
        <f t="shared" si="33"/>
        <v>1284.4822269684209</v>
      </c>
    </row>
    <row r="633" spans="1:7" x14ac:dyDescent="0.6">
      <c r="A633" s="22">
        <v>28887</v>
      </c>
      <c r="B633" s="23">
        <v>-3.56E-2</v>
      </c>
      <c r="C633" s="23">
        <v>4.5999999999999999E-3</v>
      </c>
      <c r="D633" s="23">
        <v>1.18E-2</v>
      </c>
      <c r="E633" s="24">
        <f t="shared" si="31"/>
        <v>1925.8359224890971</v>
      </c>
      <c r="F633" s="24">
        <f t="shared" si="32"/>
        <v>380.29708387714055</v>
      </c>
      <c r="G633" s="24">
        <f t="shared" si="33"/>
        <v>1299.6391172466483</v>
      </c>
    </row>
    <row r="634" spans="1:7" x14ac:dyDescent="0.6">
      <c r="A634" s="22">
        <v>28915</v>
      </c>
      <c r="B634" s="23">
        <v>5.6799999999999996E-2</v>
      </c>
      <c r="C634" s="23">
        <v>3.1800000000000002E-2</v>
      </c>
      <c r="D634" s="23">
        <v>-6.7000000000000002E-3</v>
      </c>
      <c r="E634" s="24">
        <f t="shared" si="31"/>
        <v>2035.2234028864777</v>
      </c>
      <c r="F634" s="24">
        <f t="shared" si="32"/>
        <v>392.39053114443362</v>
      </c>
      <c r="G634" s="24">
        <f t="shared" si="33"/>
        <v>1290.9315351610958</v>
      </c>
    </row>
    <row r="635" spans="1:7" x14ac:dyDescent="0.6">
      <c r="A635" s="22">
        <v>28946</v>
      </c>
      <c r="B635" s="23">
        <v>-5.9999999999999984E-4</v>
      </c>
      <c r="C635" s="23">
        <v>2.1600000000000001E-2</v>
      </c>
      <c r="D635" s="23">
        <v>1.0700000000000001E-2</v>
      </c>
      <c r="E635" s="24">
        <f t="shared" si="31"/>
        <v>2034.0022688447457</v>
      </c>
      <c r="F635" s="24">
        <f t="shared" si="32"/>
        <v>400.8661666171534</v>
      </c>
      <c r="G635" s="24">
        <f t="shared" si="33"/>
        <v>1304.7445025873194</v>
      </c>
    </row>
    <row r="636" spans="1:7" x14ac:dyDescent="0.6">
      <c r="A636" s="22">
        <v>28976</v>
      </c>
      <c r="B636" s="23">
        <v>-2.2100000000000002E-2</v>
      </c>
      <c r="C636" s="23">
        <v>5.6000000000000008E-3</v>
      </c>
      <c r="D636" s="23">
        <v>1.9199999999999998E-2</v>
      </c>
      <c r="E636" s="24">
        <f t="shared" si="31"/>
        <v>1989.0508187032767</v>
      </c>
      <c r="F636" s="24">
        <f t="shared" si="32"/>
        <v>403.11101715020948</v>
      </c>
      <c r="G636" s="24">
        <f t="shared" si="33"/>
        <v>1329.795597036996</v>
      </c>
    </row>
    <row r="637" spans="1:7" x14ac:dyDescent="0.6">
      <c r="A637" s="22">
        <v>29007</v>
      </c>
      <c r="B637" s="23">
        <v>3.85E-2</v>
      </c>
      <c r="C637" s="23">
        <v>1.1699999999999999E-2</v>
      </c>
      <c r="D637" s="23">
        <v>1.47E-2</v>
      </c>
      <c r="E637" s="24">
        <f t="shared" si="31"/>
        <v>2065.629275223353</v>
      </c>
      <c r="F637" s="24">
        <f t="shared" si="32"/>
        <v>407.82741605086693</v>
      </c>
      <c r="G637" s="24">
        <f t="shared" si="33"/>
        <v>1349.3435923134398</v>
      </c>
    </row>
    <row r="638" spans="1:7" x14ac:dyDescent="0.6">
      <c r="A638" s="22">
        <v>29037</v>
      </c>
      <c r="B638" s="23">
        <v>8.1999999999999972E-3</v>
      </c>
      <c r="C638" s="23">
        <v>1.2699999999999999E-2</v>
      </c>
      <c r="D638" s="23">
        <v>1.6799999999999999E-2</v>
      </c>
      <c r="E638" s="24">
        <f t="shared" si="31"/>
        <v>2082.5674352801843</v>
      </c>
      <c r="F638" s="24">
        <f t="shared" si="32"/>
        <v>413.00682423471289</v>
      </c>
      <c r="G638" s="24">
        <f t="shared" si="33"/>
        <v>1372.0125646643055</v>
      </c>
    </row>
    <row r="639" spans="1:7" x14ac:dyDescent="0.6">
      <c r="A639" s="22">
        <v>29068</v>
      </c>
      <c r="B639" s="23">
        <v>5.5300000000000002E-2</v>
      </c>
      <c r="C639" s="23">
        <v>2.07E-2</v>
      </c>
      <c r="D639" s="23">
        <v>-1.5100000000000001E-2</v>
      </c>
      <c r="E639" s="24">
        <f t="shared" si="31"/>
        <v>2197.7334144511783</v>
      </c>
      <c r="F639" s="24">
        <f t="shared" si="32"/>
        <v>421.55606549637145</v>
      </c>
      <c r="G639" s="24">
        <f t="shared" si="33"/>
        <v>1351.2951749378744</v>
      </c>
    </row>
    <row r="640" spans="1:7" x14ac:dyDescent="0.6">
      <c r="A640" s="22">
        <v>29099</v>
      </c>
      <c r="B640" s="23">
        <v>-8.2000000000000007E-3</v>
      </c>
      <c r="C640" s="23">
        <v>-2.5000000000000001E-3</v>
      </c>
      <c r="D640" s="23">
        <v>-8.8000000000000005E-3</v>
      </c>
      <c r="E640" s="24">
        <f t="shared" si="31"/>
        <v>2179.7120004526787</v>
      </c>
      <c r="F640" s="24">
        <f t="shared" si="32"/>
        <v>420.50217533263054</v>
      </c>
      <c r="G640" s="24">
        <f t="shared" si="33"/>
        <v>1339.4037773984212</v>
      </c>
    </row>
    <row r="641" spans="1:7" x14ac:dyDescent="0.6">
      <c r="A641" s="22">
        <v>29129</v>
      </c>
      <c r="B641" s="23">
        <v>-8.0999999999999989E-2</v>
      </c>
      <c r="C641" s="23">
        <v>-3.32E-2</v>
      </c>
      <c r="D641" s="23">
        <v>-1.89E-2</v>
      </c>
      <c r="E641" s="24">
        <f t="shared" si="31"/>
        <v>2003.1553284160118</v>
      </c>
      <c r="F641" s="24">
        <f t="shared" si="32"/>
        <v>406.54150311158719</v>
      </c>
      <c r="G641" s="24">
        <f t="shared" si="33"/>
        <v>1314.0890460055909</v>
      </c>
    </row>
    <row r="642" spans="1:7" x14ac:dyDescent="0.6">
      <c r="A642" s="22">
        <v>29160</v>
      </c>
      <c r="B642" s="23">
        <v>5.21E-2</v>
      </c>
      <c r="C642" s="23">
        <v>2.7400000000000001E-2</v>
      </c>
      <c r="D642" s="23">
        <v>-3.2599999999999997E-2</v>
      </c>
      <c r="E642" s="24">
        <f t="shared" si="31"/>
        <v>2107.519721026486</v>
      </c>
      <c r="F642" s="24">
        <f t="shared" si="32"/>
        <v>417.6807402968447</v>
      </c>
      <c r="G642" s="24">
        <f t="shared" si="33"/>
        <v>1271.2497431058086</v>
      </c>
    </row>
    <row r="643" spans="1:7" x14ac:dyDescent="0.6">
      <c r="A643" s="22">
        <v>29190</v>
      </c>
      <c r="B643" s="23">
        <v>1.7899999999999999E-2</v>
      </c>
      <c r="C643" s="23">
        <v>4.1900000000000007E-2</v>
      </c>
      <c r="D643" s="23">
        <v>-2.0199999999999999E-2</v>
      </c>
      <c r="E643" s="24">
        <f t="shared" si="31"/>
        <v>2145.2443240328603</v>
      </c>
      <c r="F643" s="24">
        <f t="shared" si="32"/>
        <v>435.18156331528252</v>
      </c>
      <c r="G643" s="24">
        <f t="shared" si="33"/>
        <v>1245.5704982950713</v>
      </c>
    </row>
    <row r="644" spans="1:7" x14ac:dyDescent="0.6">
      <c r="A644" s="22">
        <v>29221</v>
      </c>
      <c r="B644" s="23">
        <v>5.5099999999999989E-2</v>
      </c>
      <c r="C644" s="23">
        <v>1.6399999999999998E-2</v>
      </c>
      <c r="D644" s="23">
        <v>1.8000000000000002E-2</v>
      </c>
      <c r="E644" s="24">
        <f t="shared" si="31"/>
        <v>2263.4472862870707</v>
      </c>
      <c r="F644" s="24">
        <f t="shared" si="32"/>
        <v>442.31854095365316</v>
      </c>
      <c r="G644" s="24">
        <f t="shared" si="33"/>
        <v>1267.9907672643826</v>
      </c>
    </row>
    <row r="645" spans="1:7" x14ac:dyDescent="0.6">
      <c r="A645" s="22">
        <v>29252</v>
      </c>
      <c r="B645" s="23">
        <v>-1.2199999999999999E-2</v>
      </c>
      <c r="C645" s="23">
        <v>-1.8200000000000001E-2</v>
      </c>
      <c r="D645" s="23">
        <v>6.3E-3</v>
      </c>
      <c r="E645" s="24">
        <f t="shared" si="31"/>
        <v>2235.8332293943686</v>
      </c>
      <c r="F645" s="24">
        <f t="shared" si="32"/>
        <v>434.26834350829665</v>
      </c>
      <c r="G645" s="24">
        <f t="shared" si="33"/>
        <v>1275.9791090981482</v>
      </c>
    </row>
    <row r="646" spans="1:7" x14ac:dyDescent="0.6">
      <c r="A646" s="22">
        <v>29281</v>
      </c>
      <c r="B646" s="23">
        <v>-0.129</v>
      </c>
      <c r="C646" s="23">
        <v>-6.6400000000000001E-2</v>
      </c>
      <c r="D646" s="23">
        <v>-1.0700000000000001E-2</v>
      </c>
      <c r="E646" s="24">
        <f t="shared" si="31"/>
        <v>1947.410742802495</v>
      </c>
      <c r="F646" s="24">
        <f t="shared" si="32"/>
        <v>405.43292549934574</v>
      </c>
      <c r="G646" s="24">
        <f t="shared" si="33"/>
        <v>1262.3261326307979</v>
      </c>
    </row>
    <row r="647" spans="1:7" x14ac:dyDescent="0.6">
      <c r="A647" s="22">
        <v>29312</v>
      </c>
      <c r="B647" s="23">
        <v>3.9700000000000006E-2</v>
      </c>
      <c r="C647" s="23">
        <v>9.5999999999999992E-3</v>
      </c>
      <c r="D647" s="23">
        <v>1.0500000000000001E-2</v>
      </c>
      <c r="E647" s="24">
        <f t="shared" si="31"/>
        <v>2024.722949291754</v>
      </c>
      <c r="F647" s="24">
        <f t="shared" si="32"/>
        <v>409.32508158413947</v>
      </c>
      <c r="G647" s="24">
        <f t="shared" si="33"/>
        <v>1275.5805570234213</v>
      </c>
    </row>
    <row r="648" spans="1:7" x14ac:dyDescent="0.6">
      <c r="A648" s="22">
        <v>29342</v>
      </c>
      <c r="B648" s="23">
        <v>5.2600000000000001E-2</v>
      </c>
      <c r="C648" s="23">
        <v>2.12E-2</v>
      </c>
      <c r="D648" s="23">
        <v>4.5000000000000005E-3</v>
      </c>
      <c r="E648" s="24">
        <f t="shared" si="31"/>
        <v>2131.2233764245002</v>
      </c>
      <c r="F648" s="24">
        <f t="shared" si="32"/>
        <v>418.00277331372325</v>
      </c>
      <c r="G648" s="24">
        <f t="shared" si="33"/>
        <v>1281.3206695300266</v>
      </c>
    </row>
    <row r="649" spans="1:7" x14ac:dyDescent="0.6">
      <c r="A649" s="22">
        <v>29373</v>
      </c>
      <c r="B649" s="23">
        <v>3.0599999999999995E-2</v>
      </c>
      <c r="C649" s="23">
        <v>1.67E-2</v>
      </c>
      <c r="D649" s="23">
        <v>-8.6E-3</v>
      </c>
      <c r="E649" s="24">
        <f t="shared" si="31"/>
        <v>2196.4388117430899</v>
      </c>
      <c r="F649" s="24">
        <f t="shared" si="32"/>
        <v>424.98341962806239</v>
      </c>
      <c r="G649" s="24">
        <f t="shared" si="33"/>
        <v>1270.3013117720684</v>
      </c>
    </row>
    <row r="650" spans="1:7" x14ac:dyDescent="0.6">
      <c r="A650" s="22">
        <v>29403</v>
      </c>
      <c r="B650" s="23">
        <v>6.4899999999999999E-2</v>
      </c>
      <c r="C650" s="23">
        <v>4.2500000000000003E-2</v>
      </c>
      <c r="D650" s="23">
        <v>-6.3099999999999989E-2</v>
      </c>
      <c r="E650" s="24">
        <f t="shared" si="31"/>
        <v>2338.9876906252161</v>
      </c>
      <c r="F650" s="24">
        <f t="shared" si="32"/>
        <v>443.04521496225505</v>
      </c>
      <c r="G650" s="24">
        <f t="shared" si="33"/>
        <v>1190.1452989992511</v>
      </c>
    </row>
    <row r="651" spans="1:7" x14ac:dyDescent="0.6">
      <c r="A651" s="22">
        <v>29434</v>
      </c>
      <c r="B651" s="23">
        <v>1.7999999999999999E-2</v>
      </c>
      <c r="C651" s="23">
        <v>3.9199999999999999E-2</v>
      </c>
      <c r="D651" s="23">
        <v>-2.6499999999999999E-2</v>
      </c>
      <c r="E651" s="24">
        <f t="shared" si="31"/>
        <v>2381.0894690564701</v>
      </c>
      <c r="F651" s="24">
        <f t="shared" si="32"/>
        <v>460.41258738877542</v>
      </c>
      <c r="G651" s="24">
        <f t="shared" si="33"/>
        <v>1158.6064485757709</v>
      </c>
    </row>
    <row r="652" spans="1:7" x14ac:dyDescent="0.6">
      <c r="A652" s="22">
        <v>29465</v>
      </c>
      <c r="B652" s="23">
        <v>2.1899999999999999E-2</v>
      </c>
      <c r="C652" s="23">
        <v>8.8999999999999999E-3</v>
      </c>
      <c r="D652" s="23">
        <v>-4.7899999999999998E-2</v>
      </c>
      <c r="E652" s="24">
        <f t="shared" si="31"/>
        <v>2433.235328428807</v>
      </c>
      <c r="F652" s="24">
        <f t="shared" si="32"/>
        <v>464.51025941653546</v>
      </c>
      <c r="G652" s="24">
        <f t="shared" si="33"/>
        <v>1103.1091996889913</v>
      </c>
    </row>
    <row r="653" spans="1:7" x14ac:dyDescent="0.6">
      <c r="A653" s="22">
        <v>29495</v>
      </c>
      <c r="B653" s="23">
        <v>1.0599999999999997E-2</v>
      </c>
      <c r="C653" s="23">
        <v>2.4700000000000003E-2</v>
      </c>
      <c r="D653" s="23">
        <v>-2.75E-2</v>
      </c>
      <c r="E653" s="24">
        <f t="shared" si="31"/>
        <v>2459.0276229101523</v>
      </c>
      <c r="F653" s="24">
        <f t="shared" si="32"/>
        <v>475.98366282412388</v>
      </c>
      <c r="G653" s="24">
        <f t="shared" si="33"/>
        <v>1072.7736966975442</v>
      </c>
    </row>
    <row r="654" spans="1:7" x14ac:dyDescent="0.6">
      <c r="A654" s="22">
        <v>29526</v>
      </c>
      <c r="B654" s="23">
        <v>9.5900000000000013E-2</v>
      </c>
      <c r="C654" s="23">
        <v>-3.4500000000000003E-2</v>
      </c>
      <c r="D654" s="23">
        <v>-8.3699999999999997E-2</v>
      </c>
      <c r="E654" s="24">
        <f t="shared" si="31"/>
        <v>2694.848371947236</v>
      </c>
      <c r="F654" s="24">
        <f t="shared" si="32"/>
        <v>459.56222645669163</v>
      </c>
      <c r="G654" s="24">
        <f t="shared" si="33"/>
        <v>982.9825382839598</v>
      </c>
    </row>
    <row r="655" spans="1:7" x14ac:dyDescent="0.6">
      <c r="A655" s="22">
        <v>29556</v>
      </c>
      <c r="B655" s="23">
        <v>-4.5199999999999997E-2</v>
      </c>
      <c r="C655" s="23">
        <v>-2.7000000000000001E-3</v>
      </c>
      <c r="D655" s="23">
        <v>2.69E-2</v>
      </c>
      <c r="E655" s="24">
        <f t="shared" si="31"/>
        <v>2573.0412255352207</v>
      </c>
      <c r="F655" s="24">
        <f t="shared" si="32"/>
        <v>458.32140844525856</v>
      </c>
      <c r="G655" s="24">
        <f t="shared" si="33"/>
        <v>1009.4247685637982</v>
      </c>
    </row>
    <row r="656" spans="1:7" x14ac:dyDescent="0.6">
      <c r="A656" s="22">
        <v>29587</v>
      </c>
      <c r="B656" s="23">
        <v>-5.04E-2</v>
      </c>
      <c r="C656" s="23">
        <v>0.03</v>
      </c>
      <c r="D656" s="23">
        <v>6.8499999999999991E-2</v>
      </c>
      <c r="E656" s="24">
        <f t="shared" si="31"/>
        <v>2443.3599477682455</v>
      </c>
      <c r="F656" s="24">
        <f t="shared" si="32"/>
        <v>472.07105069861632</v>
      </c>
      <c r="G656" s="24">
        <f t="shared" si="33"/>
        <v>1078.5703652104185</v>
      </c>
    </row>
    <row r="657" spans="1:7" x14ac:dyDescent="0.6">
      <c r="A657" s="22">
        <v>29618</v>
      </c>
      <c r="B657" s="23">
        <v>5.6000000000000008E-3</v>
      </c>
      <c r="C657" s="23">
        <v>-3.0999999999999999E-3</v>
      </c>
      <c r="D657" s="23">
        <v>9.7000000000000003E-3</v>
      </c>
      <c r="E657" s="24">
        <f t="shared" si="31"/>
        <v>2457.042763475748</v>
      </c>
      <c r="F657" s="24">
        <f t="shared" si="32"/>
        <v>470.60763044145062</v>
      </c>
      <c r="G657" s="24">
        <f t="shared" si="33"/>
        <v>1089.0324977529597</v>
      </c>
    </row>
    <row r="658" spans="1:7" x14ac:dyDescent="0.6">
      <c r="A658" s="22">
        <v>29646</v>
      </c>
      <c r="B658" s="23">
        <v>3.5599999999999993E-2</v>
      </c>
      <c r="C658" s="23">
        <v>3.5799999999999998E-2</v>
      </c>
      <c r="D658" s="23">
        <v>6.5000000000000006E-3</v>
      </c>
      <c r="E658" s="24">
        <f t="shared" si="31"/>
        <v>2544.5134858554848</v>
      </c>
      <c r="F658" s="24">
        <f t="shared" si="32"/>
        <v>487.4553836112546</v>
      </c>
      <c r="G658" s="24">
        <f t="shared" si="33"/>
        <v>1096.1112089883538</v>
      </c>
    </row>
    <row r="659" spans="1:7" x14ac:dyDescent="0.6">
      <c r="A659" s="22">
        <v>29677</v>
      </c>
      <c r="B659" s="23">
        <v>-2.1000000000000001E-2</v>
      </c>
      <c r="C659" s="23">
        <v>4.4199999999999996E-2</v>
      </c>
      <c r="D659" s="23">
        <v>2.2599999999999999E-2</v>
      </c>
      <c r="E659" s="24">
        <f t="shared" si="31"/>
        <v>2491.0787026525195</v>
      </c>
      <c r="F659" s="24">
        <f t="shared" si="32"/>
        <v>509.00091156687205</v>
      </c>
      <c r="G659" s="24">
        <f t="shared" si="33"/>
        <v>1120.8833223114905</v>
      </c>
    </row>
    <row r="660" spans="1:7" x14ac:dyDescent="0.6">
      <c r="A660" s="22">
        <v>29707</v>
      </c>
      <c r="B660" s="23">
        <v>1.1000000000000003E-3</v>
      </c>
      <c r="C660" s="23">
        <v>0.02</v>
      </c>
      <c r="D660" s="23">
        <v>-4.4000000000000003E-3</v>
      </c>
      <c r="E660" s="24">
        <f t="shared" si="31"/>
        <v>2493.8188892254375</v>
      </c>
      <c r="F660" s="24">
        <f t="shared" si="32"/>
        <v>519.18092979820949</v>
      </c>
      <c r="G660" s="24">
        <f t="shared" si="33"/>
        <v>1115.95143569332</v>
      </c>
    </row>
    <row r="661" spans="1:7" x14ac:dyDescent="0.6">
      <c r="A661" s="22">
        <v>29738</v>
      </c>
      <c r="B661" s="23">
        <v>-2.3599999999999999E-2</v>
      </c>
      <c r="C661" s="23">
        <v>-8.5000000000000006E-3</v>
      </c>
      <c r="D661" s="23">
        <v>5.1299999999999998E-2</v>
      </c>
      <c r="E661" s="24">
        <f t="shared" si="31"/>
        <v>2434.9647634397174</v>
      </c>
      <c r="F661" s="24">
        <f t="shared" si="32"/>
        <v>514.76789189492479</v>
      </c>
      <c r="G661" s="24">
        <f t="shared" si="33"/>
        <v>1173.1997443443872</v>
      </c>
    </row>
    <row r="662" spans="1:7" x14ac:dyDescent="0.6">
      <c r="A662" s="22">
        <v>29768</v>
      </c>
      <c r="B662" s="23">
        <v>-1.54E-2</v>
      </c>
      <c r="C662" s="23">
        <v>-2.1700000000000001E-2</v>
      </c>
      <c r="D662" s="23">
        <v>-6.3E-3</v>
      </c>
      <c r="E662" s="24">
        <f t="shared" si="31"/>
        <v>2397.4663060827461</v>
      </c>
      <c r="F662" s="24">
        <f t="shared" si="32"/>
        <v>503.59742864080488</v>
      </c>
      <c r="G662" s="24">
        <f t="shared" si="33"/>
        <v>1165.8085859550176</v>
      </c>
    </row>
    <row r="663" spans="1:7" x14ac:dyDescent="0.6">
      <c r="A663" s="22">
        <v>29799</v>
      </c>
      <c r="B663" s="23">
        <v>-7.0300000000000001E-2</v>
      </c>
      <c r="C663" s="23">
        <v>-1.95E-2</v>
      </c>
      <c r="D663" s="23">
        <v>4.8300000000000003E-2</v>
      </c>
      <c r="E663" s="24">
        <f t="shared" si="31"/>
        <v>2228.9244247651291</v>
      </c>
      <c r="F663" s="24">
        <f t="shared" si="32"/>
        <v>493.77727878230922</v>
      </c>
      <c r="G663" s="24">
        <f t="shared" si="33"/>
        <v>1222.117140656645</v>
      </c>
    </row>
    <row r="664" spans="1:7" x14ac:dyDescent="0.6">
      <c r="A664" s="22">
        <v>29830</v>
      </c>
      <c r="B664" s="23">
        <v>-7.17E-2</v>
      </c>
      <c r="C664" s="23">
        <v>-2.6600000000000002E-2</v>
      </c>
      <c r="D664" s="23">
        <v>5.1799999999999999E-2</v>
      </c>
      <c r="E664" s="24">
        <f t="shared" si="31"/>
        <v>2069.1105435094692</v>
      </c>
      <c r="F664" s="24">
        <f t="shared" si="32"/>
        <v>480.64280316669982</v>
      </c>
      <c r="G664" s="24">
        <f t="shared" si="33"/>
        <v>1285.4228085426594</v>
      </c>
    </row>
    <row r="665" spans="1:7" x14ac:dyDescent="0.6">
      <c r="A665" s="22">
        <v>29860</v>
      </c>
      <c r="B665" s="23">
        <v>4.9200000000000001E-2</v>
      </c>
      <c r="C665" s="23">
        <v>2.1400000000000002E-2</v>
      </c>
      <c r="D665" s="23">
        <v>-4.2099999999999999E-2</v>
      </c>
      <c r="E665" s="24">
        <f t="shared" si="31"/>
        <v>2170.9107822501351</v>
      </c>
      <c r="F665" s="24">
        <f t="shared" si="32"/>
        <v>490.92855915446722</v>
      </c>
      <c r="G665" s="24">
        <f t="shared" si="33"/>
        <v>1231.3065083030133</v>
      </c>
    </row>
    <row r="666" spans="1:7" x14ac:dyDescent="0.6">
      <c r="A666" s="22">
        <v>29891</v>
      </c>
      <c r="B666" s="23">
        <v>3.3599999999999998E-2</v>
      </c>
      <c r="C666" s="23">
        <v>-9.7000000000000003E-3</v>
      </c>
      <c r="D666" s="23">
        <v>1.89E-2</v>
      </c>
      <c r="E666" s="24">
        <f t="shared" si="31"/>
        <v>2243.8533845337397</v>
      </c>
      <c r="F666" s="24">
        <f t="shared" si="32"/>
        <v>486.16655213066889</v>
      </c>
      <c r="G666" s="24">
        <f t="shared" si="33"/>
        <v>1254.5782013099401</v>
      </c>
    </row>
    <row r="667" spans="1:7" x14ac:dyDescent="0.6">
      <c r="A667" s="22">
        <v>29921</v>
      </c>
      <c r="B667" s="23">
        <v>-3.6499999999999998E-2</v>
      </c>
      <c r="C667" s="23">
        <v>1.1699999999999999E-2</v>
      </c>
      <c r="D667" s="23">
        <v>7.4999999999999997E-3</v>
      </c>
      <c r="E667" s="24">
        <f t="shared" si="31"/>
        <v>2161.952735998258</v>
      </c>
      <c r="F667" s="24">
        <f t="shared" si="32"/>
        <v>491.85470079059775</v>
      </c>
      <c r="G667" s="24">
        <f t="shared" si="33"/>
        <v>1263.9875378197648</v>
      </c>
    </row>
    <row r="668" spans="1:7" x14ac:dyDescent="0.6">
      <c r="A668" s="22">
        <v>29952</v>
      </c>
      <c r="B668" s="23">
        <v>-3.2400000000000005E-2</v>
      </c>
      <c r="C668" s="23">
        <v>-1.2800000000000001E-2</v>
      </c>
      <c r="D668" s="23">
        <v>3.1400000000000004E-2</v>
      </c>
      <c r="E668" s="24">
        <f t="shared" si="31"/>
        <v>2091.9054673519145</v>
      </c>
      <c r="F668" s="24">
        <f t="shared" si="32"/>
        <v>485.5589606204781</v>
      </c>
      <c r="G668" s="24">
        <f t="shared" si="33"/>
        <v>1303.6767465073056</v>
      </c>
    </row>
    <row r="669" spans="1:7" x14ac:dyDescent="0.6">
      <c r="A669" s="22">
        <v>29983</v>
      </c>
      <c r="B669" s="23">
        <v>-5.8600000000000006E-2</v>
      </c>
      <c r="C669" s="23">
        <v>4.7999999999999996E-3</v>
      </c>
      <c r="D669" s="23">
        <v>6.0700000000000004E-2</v>
      </c>
      <c r="E669" s="24">
        <f t="shared" si="31"/>
        <v>1969.3198069650923</v>
      </c>
      <c r="F669" s="24">
        <f t="shared" si="32"/>
        <v>487.88964363145635</v>
      </c>
      <c r="G669" s="24">
        <f t="shared" si="33"/>
        <v>1382.809925020299</v>
      </c>
    </row>
    <row r="670" spans="1:7" x14ac:dyDescent="0.6">
      <c r="A670" s="22">
        <v>30011</v>
      </c>
      <c r="B670" s="23">
        <v>-1.8700000000000001E-2</v>
      </c>
      <c r="C670" s="23">
        <v>-2E-3</v>
      </c>
      <c r="D670" s="23">
        <v>3.78E-2</v>
      </c>
      <c r="E670" s="24">
        <f t="shared" si="31"/>
        <v>1932.493526574845</v>
      </c>
      <c r="F670" s="24">
        <f t="shared" si="32"/>
        <v>486.91386434419343</v>
      </c>
      <c r="G670" s="24">
        <f t="shared" si="33"/>
        <v>1435.0801401860665</v>
      </c>
    </row>
    <row r="671" spans="1:7" x14ac:dyDescent="0.6">
      <c r="A671" s="22">
        <v>30042</v>
      </c>
      <c r="B671" s="23">
        <v>3.2700000000000007E-2</v>
      </c>
      <c r="C671" s="23">
        <v>1.5100000000000001E-2</v>
      </c>
      <c r="D671" s="23">
        <v>-2.81E-2</v>
      </c>
      <c r="E671" s="24">
        <f t="shared" si="31"/>
        <v>1995.6860648938423</v>
      </c>
      <c r="F671" s="24">
        <f t="shared" si="32"/>
        <v>494.26626369579071</v>
      </c>
      <c r="G671" s="24">
        <f t="shared" si="33"/>
        <v>1394.7543882468381</v>
      </c>
    </row>
    <row r="672" spans="1:7" x14ac:dyDescent="0.6">
      <c r="A672" s="22">
        <v>30072</v>
      </c>
      <c r="B672" s="23">
        <v>-3.9900000000000005E-2</v>
      </c>
      <c r="C672" s="23">
        <v>4.6999999999999993E-3</v>
      </c>
      <c r="D672" s="23">
        <v>1.8200000000000001E-2</v>
      </c>
      <c r="E672" s="24">
        <f t="shared" si="31"/>
        <v>1916.0581909045779</v>
      </c>
      <c r="F672" s="24">
        <f t="shared" si="32"/>
        <v>496.58931513516092</v>
      </c>
      <c r="G672" s="24">
        <f t="shared" si="33"/>
        <v>1420.1389181129305</v>
      </c>
    </row>
    <row r="673" spans="1:7" x14ac:dyDescent="0.6">
      <c r="A673" s="22">
        <v>30103</v>
      </c>
      <c r="B673" s="23">
        <v>-3.0899999999999997E-2</v>
      </c>
      <c r="C673" s="23">
        <v>-4.0000000000000001E-3</v>
      </c>
      <c r="D673" s="23">
        <v>1.5100000000000001E-2</v>
      </c>
      <c r="E673" s="24">
        <f t="shared" si="31"/>
        <v>1856.8519928056264</v>
      </c>
      <c r="F673" s="24">
        <f t="shared" si="32"/>
        <v>494.60295787462024</v>
      </c>
      <c r="G673" s="24">
        <f t="shared" si="33"/>
        <v>1441.5830157764356</v>
      </c>
    </row>
    <row r="674" spans="1:7" x14ac:dyDescent="0.6">
      <c r="A674" s="22">
        <v>30133</v>
      </c>
      <c r="B674" s="23">
        <v>-3.1899999999999998E-2</v>
      </c>
      <c r="C674" s="23">
        <v>8.3999999999999995E-3</v>
      </c>
      <c r="D674" s="23">
        <v>1.5E-3</v>
      </c>
      <c r="E674" s="24">
        <f t="shared" si="31"/>
        <v>1797.6184142351269</v>
      </c>
      <c r="F674" s="24">
        <f t="shared" si="32"/>
        <v>498.75762272076702</v>
      </c>
      <c r="G674" s="24">
        <f t="shared" si="33"/>
        <v>1443.7453903001003</v>
      </c>
    </row>
    <row r="675" spans="1:7" x14ac:dyDescent="0.6">
      <c r="A675" s="22">
        <v>30164</v>
      </c>
      <c r="B675" s="23">
        <v>0.11140000000000001</v>
      </c>
      <c r="C675" s="23">
        <v>-4.0999999999999995E-2</v>
      </c>
      <c r="D675" s="23">
        <v>1.15E-2</v>
      </c>
      <c r="E675" s="24">
        <f t="shared" si="31"/>
        <v>1997.8731055809199</v>
      </c>
      <c r="F675" s="24">
        <f t="shared" si="32"/>
        <v>478.30856018921554</v>
      </c>
      <c r="G675" s="24">
        <f t="shared" si="33"/>
        <v>1460.3484622885517</v>
      </c>
    </row>
    <row r="676" spans="1:7" x14ac:dyDescent="0.6">
      <c r="A676" s="22">
        <v>30195</v>
      </c>
      <c r="B676" s="23">
        <v>1.2900000000000002E-2</v>
      </c>
      <c r="C676" s="23">
        <v>2.8900000000000002E-2</v>
      </c>
      <c r="D676" s="23">
        <v>3.3E-3</v>
      </c>
      <c r="E676" s="24">
        <f t="shared" si="31"/>
        <v>2023.6456686429135</v>
      </c>
      <c r="F676" s="24">
        <f t="shared" si="32"/>
        <v>492.13167757868382</v>
      </c>
      <c r="G676" s="24">
        <f t="shared" si="33"/>
        <v>1465.1676122141041</v>
      </c>
    </row>
    <row r="677" spans="1:7" x14ac:dyDescent="0.6">
      <c r="A677" s="22">
        <v>30225</v>
      </c>
      <c r="B677" s="23">
        <v>0.113</v>
      </c>
      <c r="C677" s="23">
        <v>2.3599999999999999E-2</v>
      </c>
      <c r="D677" s="23">
        <v>-3.7100000000000001E-2</v>
      </c>
      <c r="E677" s="24">
        <f t="shared" si="31"/>
        <v>2252.3176291995628</v>
      </c>
      <c r="F677" s="24">
        <f t="shared" si="32"/>
        <v>503.7459851695408</v>
      </c>
      <c r="G677" s="24">
        <f t="shared" si="33"/>
        <v>1410.8098938009607</v>
      </c>
    </row>
    <row r="678" spans="1:7" x14ac:dyDescent="0.6">
      <c r="A678" s="22">
        <v>30256</v>
      </c>
      <c r="B678" s="23">
        <v>4.6699999999999998E-2</v>
      </c>
      <c r="C678" s="23">
        <v>4.7800000000000002E-2</v>
      </c>
      <c r="D678" s="23">
        <v>-1.9900000000000001E-2</v>
      </c>
      <c r="E678" s="24">
        <f t="shared" si="31"/>
        <v>2357.5008624831821</v>
      </c>
      <c r="F678" s="24">
        <f t="shared" si="32"/>
        <v>527.82504326064486</v>
      </c>
      <c r="G678" s="24">
        <f t="shared" si="33"/>
        <v>1382.7347769143216</v>
      </c>
    </row>
    <row r="679" spans="1:7" x14ac:dyDescent="0.6">
      <c r="A679" s="22">
        <v>30286</v>
      </c>
      <c r="B679" s="23">
        <v>5.5000000000000023E-3</v>
      </c>
      <c r="C679" s="23">
        <v>-2.0999999999999999E-3</v>
      </c>
      <c r="D679" s="23">
        <v>8.9999999999999998E-4</v>
      </c>
      <c r="E679" s="24">
        <f t="shared" si="31"/>
        <v>2370.4671172268399</v>
      </c>
      <c r="F679" s="24">
        <f t="shared" si="32"/>
        <v>526.71661066979755</v>
      </c>
      <c r="G679" s="24">
        <f t="shared" si="33"/>
        <v>1383.9792382135445</v>
      </c>
    </row>
    <row r="680" spans="1:7" x14ac:dyDescent="0.6">
      <c r="A680" s="22">
        <v>30317</v>
      </c>
      <c r="B680" s="23">
        <v>3.6000000000000004E-2</v>
      </c>
      <c r="C680" s="23">
        <v>2.69E-2</v>
      </c>
      <c r="D680" s="23">
        <v>-8.6E-3</v>
      </c>
      <c r="E680" s="24">
        <f t="shared" si="31"/>
        <v>2455.8039334470063</v>
      </c>
      <c r="F680" s="24">
        <f t="shared" si="32"/>
        <v>540.88528749681507</v>
      </c>
      <c r="G680" s="24">
        <f t="shared" si="33"/>
        <v>1372.077016764908</v>
      </c>
    </row>
    <row r="681" spans="1:7" x14ac:dyDescent="0.6">
      <c r="A681" s="22">
        <v>30348</v>
      </c>
      <c r="B681" s="23">
        <v>2.5899999999999996E-2</v>
      </c>
      <c r="C681" s="23">
        <v>3.2400000000000005E-2</v>
      </c>
      <c r="D681" s="23">
        <v>6.5000000000000006E-3</v>
      </c>
      <c r="E681" s="24">
        <f t="shared" si="31"/>
        <v>2519.409255323284</v>
      </c>
      <c r="F681" s="24">
        <f t="shared" si="32"/>
        <v>558.4099708117119</v>
      </c>
      <c r="G681" s="24">
        <f t="shared" si="33"/>
        <v>1380.9955173738797</v>
      </c>
    </row>
    <row r="682" spans="1:7" x14ac:dyDescent="0.6">
      <c r="A682" s="22">
        <v>30376</v>
      </c>
      <c r="B682" s="23">
        <v>2.8199999999999996E-2</v>
      </c>
      <c r="C682" s="23">
        <v>1.7600000000000001E-2</v>
      </c>
      <c r="D682" s="23">
        <v>2.0899999999999998E-2</v>
      </c>
      <c r="E682" s="24">
        <f t="shared" si="31"/>
        <v>2590.4565963234008</v>
      </c>
      <c r="F682" s="24">
        <f t="shared" si="32"/>
        <v>568.23798629799808</v>
      </c>
      <c r="G682" s="24">
        <f t="shared" si="33"/>
        <v>1409.8583236869936</v>
      </c>
    </row>
    <row r="683" spans="1:7" x14ac:dyDescent="0.6">
      <c r="A683" s="22">
        <v>30407</v>
      </c>
      <c r="B683" s="23">
        <v>6.6700000000000009E-2</v>
      </c>
      <c r="C683" s="23">
        <v>5.5000000000000005E-3</v>
      </c>
      <c r="D683" s="23">
        <v>5.5000000000000005E-3</v>
      </c>
      <c r="E683" s="24">
        <f t="shared" si="31"/>
        <v>2763.2400512981717</v>
      </c>
      <c r="F683" s="24">
        <f t="shared" si="32"/>
        <v>571.36329522263713</v>
      </c>
      <c r="G683" s="24">
        <f t="shared" si="33"/>
        <v>1417.6125444672721</v>
      </c>
    </row>
    <row r="684" spans="1:7" x14ac:dyDescent="0.6">
      <c r="A684" s="22">
        <v>30437</v>
      </c>
      <c r="B684" s="23">
        <v>5.1999999999999998E-3</v>
      </c>
      <c r="C684" s="23">
        <v>6.1600000000000002E-2</v>
      </c>
      <c r="D684" s="23">
        <v>-1.4199999999999999E-2</v>
      </c>
      <c r="E684" s="24">
        <f t="shared" si="31"/>
        <v>2777.6088995649225</v>
      </c>
      <c r="F684" s="24">
        <f t="shared" si="32"/>
        <v>606.55927420835167</v>
      </c>
      <c r="G684" s="24">
        <f t="shared" si="33"/>
        <v>1397.4824463358368</v>
      </c>
    </row>
    <row r="685" spans="1:7" x14ac:dyDescent="0.6">
      <c r="A685" s="22">
        <v>30468</v>
      </c>
      <c r="B685" s="23">
        <v>3.0699999999999995E-2</v>
      </c>
      <c r="C685" s="23">
        <v>9.1000000000000004E-3</v>
      </c>
      <c r="D685" s="23">
        <v>-3.85E-2</v>
      </c>
      <c r="E685" s="24">
        <f t="shared" si="31"/>
        <v>2862.8814927815656</v>
      </c>
      <c r="F685" s="24">
        <f t="shared" si="32"/>
        <v>612.07896360364771</v>
      </c>
      <c r="G685" s="24">
        <f t="shared" si="33"/>
        <v>1343.679372151907</v>
      </c>
    </row>
    <row r="686" spans="1:7" x14ac:dyDescent="0.6">
      <c r="A686" s="22">
        <v>30498</v>
      </c>
      <c r="B686" s="23">
        <v>-4.07E-2</v>
      </c>
      <c r="C686" s="23">
        <v>1.46E-2</v>
      </c>
      <c r="D686" s="23">
        <v>5.6100000000000004E-2</v>
      </c>
      <c r="E686" s="24">
        <f t="shared" si="31"/>
        <v>2746.3622160253558</v>
      </c>
      <c r="F686" s="24">
        <f t="shared" si="32"/>
        <v>621.01531647226091</v>
      </c>
      <c r="G686" s="24">
        <f t="shared" si="33"/>
        <v>1419.0597849296291</v>
      </c>
    </row>
    <row r="687" spans="1:7" x14ac:dyDescent="0.6">
      <c r="A687" s="22">
        <v>30529</v>
      </c>
      <c r="B687" s="23">
        <v>-5.0000000000000001E-3</v>
      </c>
      <c r="C687" s="23">
        <v>-4.2900000000000001E-2</v>
      </c>
      <c r="D687" s="23">
        <v>5.5300000000000002E-2</v>
      </c>
      <c r="E687" s="24">
        <f t="shared" si="31"/>
        <v>2732.6304049452292</v>
      </c>
      <c r="F687" s="24">
        <f t="shared" si="32"/>
        <v>594.37375939560093</v>
      </c>
      <c r="G687" s="24">
        <f t="shared" si="33"/>
        <v>1497.5337910362375</v>
      </c>
    </row>
    <row r="688" spans="1:7" x14ac:dyDescent="0.6">
      <c r="A688" s="22">
        <v>30560</v>
      </c>
      <c r="B688" s="23">
        <v>9.2000000000000033E-3</v>
      </c>
      <c r="C688" s="23">
        <v>5.6000000000000008E-3</v>
      </c>
      <c r="D688" s="23">
        <v>1.1000000000000001E-2</v>
      </c>
      <c r="E688" s="24">
        <f t="shared" si="31"/>
        <v>2757.7706046707258</v>
      </c>
      <c r="F688" s="24">
        <f t="shared" si="32"/>
        <v>597.70225244821631</v>
      </c>
      <c r="G688" s="24">
        <f t="shared" si="33"/>
        <v>1514.0066627376359</v>
      </c>
    </row>
    <row r="689" spans="1:7" x14ac:dyDescent="0.6">
      <c r="A689" s="22">
        <v>30590</v>
      </c>
      <c r="B689" s="23">
        <v>-3.44E-2</v>
      </c>
      <c r="C689" s="23">
        <v>-3.6000000000000004E-2</v>
      </c>
      <c r="D689" s="23">
        <v>5.0599999999999999E-2</v>
      </c>
      <c r="E689" s="24">
        <f t="shared" si="31"/>
        <v>2662.9032958700527</v>
      </c>
      <c r="F689" s="24">
        <f t="shared" si="32"/>
        <v>576.18497136008045</v>
      </c>
      <c r="G689" s="24">
        <f t="shared" si="33"/>
        <v>1590.6153998721602</v>
      </c>
    </row>
    <row r="690" spans="1:7" x14ac:dyDescent="0.6">
      <c r="A690" s="22">
        <v>30621</v>
      </c>
      <c r="B690" s="23">
        <v>2.1600000000000005E-2</v>
      </c>
      <c r="C690" s="23">
        <v>2.0299999999999999E-2</v>
      </c>
      <c r="D690" s="23">
        <v>-6.0999999999999995E-3</v>
      </c>
      <c r="E690" s="24">
        <f t="shared" ref="E690:E753" si="34">E689*(1+B690)</f>
        <v>2720.4220070608462</v>
      </c>
      <c r="F690" s="24">
        <f t="shared" ref="F690:F753" si="35">F689*(1+C690)</f>
        <v>587.8815262786901</v>
      </c>
      <c r="G690" s="24">
        <f t="shared" ref="G690:G753" si="36">G689*(1+D690)</f>
        <v>1580.91264593294</v>
      </c>
    </row>
    <row r="691" spans="1:7" x14ac:dyDescent="0.6">
      <c r="A691" s="22">
        <v>30651</v>
      </c>
      <c r="B691" s="23">
        <v>-1.78E-2</v>
      </c>
      <c r="C691" s="23">
        <v>-3.0000000000000001E-3</v>
      </c>
      <c r="D691" s="23">
        <v>1.6799999999999999E-2</v>
      </c>
      <c r="E691" s="24">
        <f t="shared" si="34"/>
        <v>2671.9984953351632</v>
      </c>
      <c r="F691" s="24">
        <f t="shared" si="35"/>
        <v>586.11788169985402</v>
      </c>
      <c r="G691" s="24">
        <f t="shared" si="36"/>
        <v>1607.4719783846133</v>
      </c>
    </row>
    <row r="692" spans="1:7" x14ac:dyDescent="0.6">
      <c r="A692" s="22">
        <v>30682</v>
      </c>
      <c r="B692" s="23">
        <v>-1.9199999999999998E-2</v>
      </c>
      <c r="C692" s="23">
        <v>-4.1999999999999997E-3</v>
      </c>
      <c r="D692" s="23">
        <v>7.6200000000000004E-2</v>
      </c>
      <c r="E692" s="24">
        <f t="shared" si="34"/>
        <v>2620.696124224728</v>
      </c>
      <c r="F692" s="24">
        <f t="shared" si="35"/>
        <v>583.65618659671463</v>
      </c>
      <c r="G692" s="24">
        <f t="shared" si="36"/>
        <v>1729.961343137521</v>
      </c>
    </row>
    <row r="693" spans="1:7" x14ac:dyDescent="0.6">
      <c r="A693" s="22">
        <v>30713</v>
      </c>
      <c r="B693" s="23">
        <v>-4.8200000000000007E-2</v>
      </c>
      <c r="C693" s="23">
        <v>-1.7000000000000001E-2</v>
      </c>
      <c r="D693" s="23">
        <v>3.3399999999999999E-2</v>
      </c>
      <c r="E693" s="24">
        <f t="shared" si="34"/>
        <v>2494.3785710370962</v>
      </c>
      <c r="F693" s="24">
        <f t="shared" si="35"/>
        <v>573.7340314245705</v>
      </c>
      <c r="G693" s="24">
        <f t="shared" si="36"/>
        <v>1787.7420519983143</v>
      </c>
    </row>
    <row r="694" spans="1:7" x14ac:dyDescent="0.6">
      <c r="A694" s="22">
        <v>30742</v>
      </c>
      <c r="B694" s="23">
        <v>6.2999999999999992E-3</v>
      </c>
      <c r="C694" s="23">
        <v>7.000000000000001E-4</v>
      </c>
      <c r="D694" s="23">
        <v>4.8999999999999998E-3</v>
      </c>
      <c r="E694" s="24">
        <f t="shared" si="34"/>
        <v>2510.0931560346298</v>
      </c>
      <c r="F694" s="24">
        <f t="shared" si="35"/>
        <v>574.13564524656761</v>
      </c>
      <c r="G694" s="24">
        <f t="shared" si="36"/>
        <v>1796.5019880531058</v>
      </c>
    </row>
    <row r="695" spans="1:7" x14ac:dyDescent="0.6">
      <c r="A695" s="22">
        <v>30773</v>
      </c>
      <c r="B695" s="23">
        <v>-5.2000000000000015E-3</v>
      </c>
      <c r="C695" s="23">
        <v>-1.2E-2</v>
      </c>
      <c r="D695" s="23">
        <v>1.29E-2</v>
      </c>
      <c r="E695" s="24">
        <f t="shared" si="34"/>
        <v>2497.0406716232496</v>
      </c>
      <c r="F695" s="24">
        <f t="shared" si="35"/>
        <v>567.24601750360875</v>
      </c>
      <c r="G695" s="24">
        <f t="shared" si="36"/>
        <v>1819.6768636989907</v>
      </c>
    </row>
    <row r="696" spans="1:7" x14ac:dyDescent="0.6">
      <c r="A696" s="22">
        <v>30803</v>
      </c>
      <c r="B696" s="23">
        <v>-5.9699999999999996E-2</v>
      </c>
      <c r="C696" s="23">
        <v>5.0000000000000001E-4</v>
      </c>
      <c r="D696" s="23">
        <v>2.3E-3</v>
      </c>
      <c r="E696" s="24">
        <f t="shared" si="34"/>
        <v>2347.9673435273417</v>
      </c>
      <c r="F696" s="24">
        <f t="shared" si="35"/>
        <v>567.52964051236052</v>
      </c>
      <c r="G696" s="24">
        <f t="shared" si="36"/>
        <v>1823.8621204854983</v>
      </c>
    </row>
    <row r="697" spans="1:7" x14ac:dyDescent="0.6">
      <c r="A697" s="22">
        <v>30834</v>
      </c>
      <c r="B697" s="23">
        <v>1.8200000000000004E-2</v>
      </c>
      <c r="C697" s="23">
        <v>-3.2000000000000002E-3</v>
      </c>
      <c r="D697" s="23">
        <v>-2.6000000000000002E-2</v>
      </c>
      <c r="E697" s="24">
        <f t="shared" si="34"/>
        <v>2390.7003491795394</v>
      </c>
      <c r="F697" s="24">
        <f t="shared" si="35"/>
        <v>565.713545662721</v>
      </c>
      <c r="G697" s="24">
        <f t="shared" si="36"/>
        <v>1776.4417053528753</v>
      </c>
    </row>
    <row r="698" spans="1:7" x14ac:dyDescent="0.6">
      <c r="A698" s="22">
        <v>30864</v>
      </c>
      <c r="B698" s="23">
        <v>-2.7400000000000004E-2</v>
      </c>
      <c r="C698" s="23">
        <v>-2.2099999999999998E-2</v>
      </c>
      <c r="D698" s="23">
        <v>4.4000000000000003E-3</v>
      </c>
      <c r="E698" s="24">
        <f t="shared" si="34"/>
        <v>2325.1951596120202</v>
      </c>
      <c r="F698" s="24">
        <f t="shared" si="35"/>
        <v>553.21127630357489</v>
      </c>
      <c r="G698" s="24">
        <f t="shared" si="36"/>
        <v>1784.2580488564279</v>
      </c>
    </row>
    <row r="699" spans="1:7" x14ac:dyDescent="0.6">
      <c r="A699" s="22">
        <v>30895</v>
      </c>
      <c r="B699" s="23">
        <v>0.10279999999999999</v>
      </c>
      <c r="C699" s="23">
        <v>-2.5999999999999999E-3</v>
      </c>
      <c r="D699" s="23">
        <v>-1.8200000000000001E-2</v>
      </c>
      <c r="E699" s="24">
        <f t="shared" si="34"/>
        <v>2564.2252220201358</v>
      </c>
      <c r="F699" s="24">
        <f t="shared" si="35"/>
        <v>551.77292698518556</v>
      </c>
      <c r="G699" s="24">
        <f t="shared" si="36"/>
        <v>1751.7845523672408</v>
      </c>
    </row>
    <row r="700" spans="1:7" x14ac:dyDescent="0.6">
      <c r="A700" s="22">
        <v>30926</v>
      </c>
      <c r="B700" s="23">
        <v>-8.0000000000000002E-3</v>
      </c>
      <c r="C700" s="23">
        <v>2E-3</v>
      </c>
      <c r="D700" s="23">
        <v>5.3099999999999994E-2</v>
      </c>
      <c r="E700" s="24">
        <f t="shared" si="34"/>
        <v>2543.7114202439748</v>
      </c>
      <c r="F700" s="24">
        <f t="shared" si="35"/>
        <v>552.87647283915589</v>
      </c>
      <c r="G700" s="24">
        <f t="shared" si="36"/>
        <v>1844.8043120979412</v>
      </c>
    </row>
    <row r="701" spans="1:7" x14ac:dyDescent="0.6">
      <c r="A701" s="22">
        <v>30956</v>
      </c>
      <c r="B701" s="23">
        <v>-8.3999999999999995E-3</v>
      </c>
      <c r="C701" s="23">
        <v>-1.2E-2</v>
      </c>
      <c r="D701" s="23">
        <v>4.7999999999999996E-3</v>
      </c>
      <c r="E701" s="24">
        <f t="shared" si="34"/>
        <v>2522.3442443139256</v>
      </c>
      <c r="F701" s="24">
        <f t="shared" si="35"/>
        <v>546.24195516508598</v>
      </c>
      <c r="G701" s="24">
        <f t="shared" si="36"/>
        <v>1853.6593727960112</v>
      </c>
    </row>
    <row r="702" spans="1:7" x14ac:dyDescent="0.6">
      <c r="A702" s="22">
        <v>30987</v>
      </c>
      <c r="B702" s="23">
        <v>-1.7600000000000001E-2</v>
      </c>
      <c r="C702" s="23">
        <v>-6.1999999999999998E-3</v>
      </c>
      <c r="D702" s="23">
        <v>4.0800000000000003E-2</v>
      </c>
      <c r="E702" s="24">
        <f t="shared" si="34"/>
        <v>2477.9509856140007</v>
      </c>
      <c r="F702" s="24">
        <f t="shared" si="35"/>
        <v>542.85525504306247</v>
      </c>
      <c r="G702" s="24">
        <f t="shared" si="36"/>
        <v>1929.2886752060883</v>
      </c>
    </row>
    <row r="703" spans="1:7" x14ac:dyDescent="0.6">
      <c r="A703" s="22">
        <v>31017</v>
      </c>
      <c r="B703" s="23">
        <v>1.84E-2</v>
      </c>
      <c r="C703" s="23">
        <v>-6.0000000000000001E-3</v>
      </c>
      <c r="D703" s="23">
        <v>-1.8E-3</v>
      </c>
      <c r="E703" s="24">
        <f t="shared" si="34"/>
        <v>2523.5452837492981</v>
      </c>
      <c r="F703" s="24">
        <f t="shared" si="35"/>
        <v>539.59812351280414</v>
      </c>
      <c r="G703" s="24">
        <f t="shared" si="36"/>
        <v>1925.8159555907173</v>
      </c>
    </row>
    <row r="704" spans="1:7" x14ac:dyDescent="0.6">
      <c r="A704" s="22">
        <v>31048</v>
      </c>
      <c r="B704" s="23">
        <v>7.9899999999999999E-2</v>
      </c>
      <c r="C704" s="23">
        <v>3.2799999999999996E-2</v>
      </c>
      <c r="D704" s="23">
        <v>-5.4100000000000002E-2</v>
      </c>
      <c r="E704" s="24">
        <f t="shared" si="34"/>
        <v>2725.176551920867</v>
      </c>
      <c r="F704" s="24">
        <f t="shared" si="35"/>
        <v>557.29694196402409</v>
      </c>
      <c r="G704" s="24">
        <f t="shared" si="36"/>
        <v>1821.6293123932594</v>
      </c>
    </row>
    <row r="705" spans="1:7" x14ac:dyDescent="0.6">
      <c r="A705" s="22">
        <v>31079</v>
      </c>
      <c r="B705" s="23">
        <v>1.2199999999999999E-2</v>
      </c>
      <c r="C705" s="23">
        <v>7.6E-3</v>
      </c>
      <c r="D705" s="23">
        <v>-1.2999999999999999E-3</v>
      </c>
      <c r="E705" s="24">
        <f t="shared" si="34"/>
        <v>2758.4237058543017</v>
      </c>
      <c r="F705" s="24">
        <f t="shared" si="35"/>
        <v>561.53239872295069</v>
      </c>
      <c r="G705" s="24">
        <f t="shared" si="36"/>
        <v>1819.2611942871483</v>
      </c>
    </row>
    <row r="706" spans="1:7" x14ac:dyDescent="0.6">
      <c r="A706" s="22">
        <v>31107</v>
      </c>
      <c r="B706" s="23">
        <v>-8.3999999999999995E-3</v>
      </c>
      <c r="C706" s="23">
        <v>-1.15E-2</v>
      </c>
      <c r="D706" s="23">
        <v>4.0800000000000003E-2</v>
      </c>
      <c r="E706" s="24">
        <f t="shared" si="34"/>
        <v>2735.2529467251256</v>
      </c>
      <c r="F706" s="24">
        <f t="shared" si="35"/>
        <v>555.07477613763683</v>
      </c>
      <c r="G706" s="24">
        <f t="shared" si="36"/>
        <v>1893.4870510140638</v>
      </c>
    </row>
    <row r="707" spans="1:7" x14ac:dyDescent="0.6">
      <c r="A707" s="22">
        <v>31138</v>
      </c>
      <c r="B707" s="23">
        <v>-9.5999999999999992E-3</v>
      </c>
      <c r="C707" s="23">
        <v>1.4000000000000002E-3</v>
      </c>
      <c r="D707" s="23">
        <v>3.7200000000000004E-2</v>
      </c>
      <c r="E707" s="24">
        <f t="shared" si="34"/>
        <v>2708.9945184365642</v>
      </c>
      <c r="F707" s="24">
        <f t="shared" si="35"/>
        <v>555.85188082422951</v>
      </c>
      <c r="G707" s="24">
        <f t="shared" si="36"/>
        <v>1963.9247693117868</v>
      </c>
    </row>
    <row r="708" spans="1:7" x14ac:dyDescent="0.6">
      <c r="A708" s="22">
        <v>31168</v>
      </c>
      <c r="B708" s="23">
        <v>5.0900000000000001E-2</v>
      </c>
      <c r="C708" s="23">
        <v>-2.2499999999999999E-2</v>
      </c>
      <c r="D708" s="23">
        <v>-8.8000000000000005E-3</v>
      </c>
      <c r="E708" s="24">
        <f t="shared" si="34"/>
        <v>2846.8823394249853</v>
      </c>
      <c r="F708" s="24">
        <f t="shared" si="35"/>
        <v>543.34521350568434</v>
      </c>
      <c r="G708" s="24">
        <f t="shared" si="36"/>
        <v>1946.6422313418429</v>
      </c>
    </row>
    <row r="709" spans="1:7" x14ac:dyDescent="0.6">
      <c r="A709" s="22">
        <v>31199</v>
      </c>
      <c r="B709" s="23">
        <v>1.2699999999999999E-2</v>
      </c>
      <c r="C709" s="23">
        <v>5.6000000000000008E-3</v>
      </c>
      <c r="D709" s="23">
        <v>5.5000000000000005E-3</v>
      </c>
      <c r="E709" s="24">
        <f t="shared" si="34"/>
        <v>2883.0377451356826</v>
      </c>
      <c r="F709" s="24">
        <f t="shared" si="35"/>
        <v>546.3879467013162</v>
      </c>
      <c r="G709" s="24">
        <f t="shared" si="36"/>
        <v>1957.3487636142231</v>
      </c>
    </row>
    <row r="710" spans="1:7" x14ac:dyDescent="0.6">
      <c r="A710" s="22">
        <v>31229</v>
      </c>
      <c r="B710" s="23">
        <v>-7.3999999999999995E-3</v>
      </c>
      <c r="C710" s="23">
        <v>2.8500000000000001E-2</v>
      </c>
      <c r="D710" s="23">
        <v>-1.6299999999999999E-2</v>
      </c>
      <c r="E710" s="24">
        <f t="shared" si="34"/>
        <v>2861.7032658216785</v>
      </c>
      <c r="F710" s="24">
        <f t="shared" si="35"/>
        <v>561.96000318230369</v>
      </c>
      <c r="G710" s="24">
        <f t="shared" si="36"/>
        <v>1925.4439787673114</v>
      </c>
    </row>
    <row r="711" spans="1:7" x14ac:dyDescent="0.6">
      <c r="A711" s="22">
        <v>31260</v>
      </c>
      <c r="B711" s="23">
        <v>-1.0200000000000001E-2</v>
      </c>
      <c r="C711" s="23">
        <v>-3.4000000000000002E-3</v>
      </c>
      <c r="D711" s="23">
        <v>2.2799999999999997E-2</v>
      </c>
      <c r="E711" s="24">
        <f t="shared" si="34"/>
        <v>2832.5138925102974</v>
      </c>
      <c r="F711" s="24">
        <f t="shared" si="35"/>
        <v>560.04933917148389</v>
      </c>
      <c r="G711" s="24">
        <f t="shared" si="36"/>
        <v>1969.344101483206</v>
      </c>
    </row>
    <row r="712" spans="1:7" x14ac:dyDescent="0.6">
      <c r="A712" s="22">
        <v>31291</v>
      </c>
      <c r="B712" s="23">
        <v>-4.5399999999999996E-2</v>
      </c>
      <c r="C712" s="23">
        <v>-1.5800000000000002E-2</v>
      </c>
      <c r="D712" s="23">
        <v>1.32E-2</v>
      </c>
      <c r="E712" s="24">
        <f t="shared" si="34"/>
        <v>2703.9177617903301</v>
      </c>
      <c r="F712" s="24">
        <f t="shared" si="35"/>
        <v>551.20055961257447</v>
      </c>
      <c r="G712" s="24">
        <f t="shared" si="36"/>
        <v>1995.3394436227845</v>
      </c>
    </row>
    <row r="713" spans="1:7" x14ac:dyDescent="0.6">
      <c r="A713" s="22">
        <v>31321</v>
      </c>
      <c r="B713" s="23">
        <v>4.02E-2</v>
      </c>
      <c r="C713" s="23">
        <v>-1.5700000000000002E-2</v>
      </c>
      <c r="D713" s="23">
        <v>7.8000000000000005E-3</v>
      </c>
      <c r="E713" s="24">
        <f t="shared" si="34"/>
        <v>2812.6152558143012</v>
      </c>
      <c r="F713" s="24">
        <f t="shared" si="35"/>
        <v>542.54671082665698</v>
      </c>
      <c r="G713" s="24">
        <f t="shared" si="36"/>
        <v>2010.9030912830424</v>
      </c>
    </row>
    <row r="714" spans="1:7" x14ac:dyDescent="0.6">
      <c r="A714" s="22">
        <v>31352</v>
      </c>
      <c r="B714" s="23">
        <v>6.480000000000001E-2</v>
      </c>
      <c r="C714" s="23">
        <v>2.3E-3</v>
      </c>
      <c r="D714" s="23">
        <v>-2.87E-2</v>
      </c>
      <c r="E714" s="24">
        <f t="shared" si="34"/>
        <v>2994.872724391068</v>
      </c>
      <c r="F714" s="24">
        <f t="shared" si="35"/>
        <v>543.79456826155831</v>
      </c>
      <c r="G714" s="24">
        <f t="shared" si="36"/>
        <v>1953.1901725632192</v>
      </c>
    </row>
    <row r="715" spans="1:7" x14ac:dyDescent="0.6">
      <c r="A715" s="22">
        <v>31382</v>
      </c>
      <c r="B715" s="23">
        <v>3.8800000000000001E-2</v>
      </c>
      <c r="C715" s="23">
        <v>-4.8999999999999998E-3</v>
      </c>
      <c r="D715" s="23">
        <v>-1.5300000000000001E-2</v>
      </c>
      <c r="E715" s="24">
        <f t="shared" si="34"/>
        <v>3111.0737860974414</v>
      </c>
      <c r="F715" s="24">
        <f t="shared" si="35"/>
        <v>541.12997487707662</v>
      </c>
      <c r="G715" s="24">
        <f t="shared" si="36"/>
        <v>1923.3063629230021</v>
      </c>
    </row>
    <row r="716" spans="1:7" x14ac:dyDescent="0.6">
      <c r="A716" s="22">
        <v>31413</v>
      </c>
      <c r="B716" s="23">
        <v>6.4999999999999988E-3</v>
      </c>
      <c r="C716" s="23">
        <v>1.2199999999999999E-2</v>
      </c>
      <c r="D716" s="23">
        <v>5.3E-3</v>
      </c>
      <c r="E716" s="24">
        <f t="shared" si="34"/>
        <v>3131.2957657070747</v>
      </c>
      <c r="F716" s="24">
        <f t="shared" si="35"/>
        <v>547.73176057057697</v>
      </c>
      <c r="G716" s="24">
        <f t="shared" si="36"/>
        <v>1933.4998866464941</v>
      </c>
    </row>
    <row r="717" spans="1:7" x14ac:dyDescent="0.6">
      <c r="A717" s="22">
        <v>31444</v>
      </c>
      <c r="B717" s="23">
        <v>7.1300000000000002E-2</v>
      </c>
      <c r="C717" s="23">
        <v>-6.5000000000000006E-3</v>
      </c>
      <c r="D717" s="23">
        <v>-9.3999999999999986E-3</v>
      </c>
      <c r="E717" s="24">
        <f t="shared" si="34"/>
        <v>3354.557153801989</v>
      </c>
      <c r="F717" s="24">
        <f t="shared" si="35"/>
        <v>544.17150412686829</v>
      </c>
      <c r="G717" s="24">
        <f t="shared" si="36"/>
        <v>1915.3249877120172</v>
      </c>
    </row>
    <row r="718" spans="1:7" x14ac:dyDescent="0.6">
      <c r="A718" s="22">
        <v>31472</v>
      </c>
      <c r="B718" s="23">
        <v>4.8799999999999996E-2</v>
      </c>
      <c r="C718" s="23">
        <v>-5.1999999999999998E-3</v>
      </c>
      <c r="D718" s="23">
        <v>-4.4000000000000003E-3</v>
      </c>
      <c r="E718" s="24">
        <f t="shared" si="34"/>
        <v>3518.2595429075259</v>
      </c>
      <c r="F718" s="24">
        <f t="shared" si="35"/>
        <v>541.34181230540855</v>
      </c>
      <c r="G718" s="24">
        <f t="shared" si="36"/>
        <v>1906.8975577660844</v>
      </c>
    </row>
    <row r="719" spans="1:7" x14ac:dyDescent="0.6">
      <c r="A719" s="22">
        <v>31503</v>
      </c>
      <c r="B719" s="23">
        <v>-1.3100000000000001E-2</v>
      </c>
      <c r="C719" s="23">
        <v>2.8500000000000001E-2</v>
      </c>
      <c r="D719" s="23">
        <v>-2.8500000000000001E-2</v>
      </c>
      <c r="E719" s="24">
        <f t="shared" si="34"/>
        <v>3472.1703428954374</v>
      </c>
      <c r="F719" s="24">
        <f t="shared" si="35"/>
        <v>556.77005395611263</v>
      </c>
      <c r="G719" s="24">
        <f t="shared" si="36"/>
        <v>1852.5509773697511</v>
      </c>
    </row>
    <row r="720" spans="1:7" x14ac:dyDescent="0.6">
      <c r="A720" s="22">
        <v>31533</v>
      </c>
      <c r="B720" s="23">
        <v>4.6200000000000005E-2</v>
      </c>
      <c r="C720" s="23">
        <v>-1.32E-2</v>
      </c>
      <c r="D720" s="23">
        <v>-1.1000000000000001E-3</v>
      </c>
      <c r="E720" s="24">
        <f t="shared" si="34"/>
        <v>3632.5846127372065</v>
      </c>
      <c r="F720" s="24">
        <f t="shared" si="35"/>
        <v>549.42068924389196</v>
      </c>
      <c r="G720" s="24">
        <f t="shared" si="36"/>
        <v>1850.5131712946443</v>
      </c>
    </row>
    <row r="721" spans="1:7" x14ac:dyDescent="0.6">
      <c r="A721" s="22">
        <v>31564</v>
      </c>
      <c r="B721" s="23">
        <v>1.03E-2</v>
      </c>
      <c r="C721" s="23">
        <v>-9.1000000000000004E-3</v>
      </c>
      <c r="D721" s="23">
        <v>1.3999999999999999E-2</v>
      </c>
      <c r="E721" s="24">
        <f t="shared" si="34"/>
        <v>3670.0002342483995</v>
      </c>
      <c r="F721" s="24">
        <f t="shared" si="35"/>
        <v>544.4209609717725</v>
      </c>
      <c r="G721" s="24">
        <f t="shared" si="36"/>
        <v>1876.4203556927694</v>
      </c>
    </row>
    <row r="722" spans="1:7" x14ac:dyDescent="0.6">
      <c r="A722" s="22">
        <v>31594</v>
      </c>
      <c r="B722" s="23">
        <v>-6.4500000000000002E-2</v>
      </c>
      <c r="C722" s="23">
        <v>-3.3799999999999997E-2</v>
      </c>
      <c r="D722" s="23">
        <v>4.7899999999999998E-2</v>
      </c>
      <c r="E722" s="24">
        <f t="shared" si="34"/>
        <v>3433.2852191393777</v>
      </c>
      <c r="F722" s="24">
        <f t="shared" si="35"/>
        <v>526.01953249092651</v>
      </c>
      <c r="G722" s="24">
        <f t="shared" si="36"/>
        <v>1966.3008907304531</v>
      </c>
    </row>
    <row r="723" spans="1:7" x14ac:dyDescent="0.6">
      <c r="A723" s="22">
        <v>31625</v>
      </c>
      <c r="B723" s="23">
        <v>6.0699999999999997E-2</v>
      </c>
      <c r="C723" s="23">
        <v>-4.1799999999999997E-2</v>
      </c>
      <c r="D723" s="23">
        <v>3.5200000000000002E-2</v>
      </c>
      <c r="E723" s="24">
        <f t="shared" si="34"/>
        <v>3641.6856319411377</v>
      </c>
      <c r="F723" s="24">
        <f t="shared" si="35"/>
        <v>504.03191603280578</v>
      </c>
      <c r="G723" s="24">
        <f t="shared" si="36"/>
        <v>2035.5146820841649</v>
      </c>
    </row>
    <row r="724" spans="1:7" x14ac:dyDescent="0.6">
      <c r="A724" s="22">
        <v>31656</v>
      </c>
      <c r="B724" s="23">
        <v>-8.6000000000000007E-2</v>
      </c>
      <c r="C724" s="23">
        <v>2.2799999999999997E-2</v>
      </c>
      <c r="D724" s="23">
        <v>3.1800000000000002E-2</v>
      </c>
      <c r="E724" s="24">
        <f t="shared" si="34"/>
        <v>3328.5006675942</v>
      </c>
      <c r="F724" s="24">
        <f t="shared" si="35"/>
        <v>515.52384371835376</v>
      </c>
      <c r="G724" s="24">
        <f t="shared" si="36"/>
        <v>2100.2440489744413</v>
      </c>
    </row>
    <row r="725" spans="1:7" x14ac:dyDescent="0.6">
      <c r="A725" s="22">
        <v>31686</v>
      </c>
      <c r="B725" s="23">
        <v>4.6600000000000003E-2</v>
      </c>
      <c r="C725" s="23">
        <v>-2.4900000000000002E-2</v>
      </c>
      <c r="D725" s="23">
        <v>-1.3300000000000001E-2</v>
      </c>
      <c r="E725" s="24">
        <f t="shared" si="34"/>
        <v>3483.6087987040896</v>
      </c>
      <c r="F725" s="24">
        <f t="shared" si="35"/>
        <v>502.68730000976672</v>
      </c>
      <c r="G725" s="24">
        <f t="shared" si="36"/>
        <v>2072.3108031230813</v>
      </c>
    </row>
    <row r="726" spans="1:7" x14ac:dyDescent="0.6">
      <c r="A726" s="22">
        <v>31717</v>
      </c>
      <c r="B726" s="23">
        <v>1.17E-2</v>
      </c>
      <c r="C726" s="23">
        <v>-1.9099999999999999E-2</v>
      </c>
      <c r="D726" s="23">
        <v>-7.000000000000001E-4</v>
      </c>
      <c r="E726" s="24">
        <f t="shared" si="34"/>
        <v>3524.3670216489277</v>
      </c>
      <c r="F726" s="24">
        <f t="shared" si="35"/>
        <v>493.08597257958019</v>
      </c>
      <c r="G726" s="24">
        <f t="shared" si="36"/>
        <v>2070.8601855608949</v>
      </c>
    </row>
    <row r="727" spans="1:7" x14ac:dyDescent="0.6">
      <c r="A727" s="22">
        <v>31747</v>
      </c>
      <c r="B727" s="23">
        <v>-3.27E-2</v>
      </c>
      <c r="C727" s="23">
        <v>7.000000000000001E-4</v>
      </c>
      <c r="D727" s="23">
        <v>3.3E-3</v>
      </c>
      <c r="E727" s="24">
        <f t="shared" si="34"/>
        <v>3409.120220041008</v>
      </c>
      <c r="F727" s="24">
        <f t="shared" si="35"/>
        <v>493.43113276038588</v>
      </c>
      <c r="G727" s="24">
        <f t="shared" si="36"/>
        <v>2077.6940241732459</v>
      </c>
    </row>
    <row r="728" spans="1:7" x14ac:dyDescent="0.6">
      <c r="A728" s="22">
        <v>31778</v>
      </c>
      <c r="B728" s="23">
        <v>0.12470000000000002</v>
      </c>
      <c r="C728" s="23">
        <v>-1.8100000000000002E-2</v>
      </c>
      <c r="D728" s="23">
        <v>-3.1600000000000003E-2</v>
      </c>
      <c r="E728" s="24">
        <f t="shared" si="34"/>
        <v>3834.2375114801216</v>
      </c>
      <c r="F728" s="24">
        <f t="shared" si="35"/>
        <v>484.50002925742291</v>
      </c>
      <c r="G728" s="24">
        <f t="shared" si="36"/>
        <v>2012.0388930093713</v>
      </c>
    </row>
    <row r="729" spans="1:7" x14ac:dyDescent="0.6">
      <c r="A729" s="22">
        <v>31809</v>
      </c>
      <c r="B729" s="23">
        <v>4.3899999999999995E-2</v>
      </c>
      <c r="C729" s="23">
        <v>3.49E-2</v>
      </c>
      <c r="D729" s="23">
        <v>-0.06</v>
      </c>
      <c r="E729" s="24">
        <f t="shared" si="34"/>
        <v>4002.5605382340991</v>
      </c>
      <c r="F729" s="24">
        <f t="shared" si="35"/>
        <v>501.40908027850696</v>
      </c>
      <c r="G729" s="24">
        <f t="shared" si="36"/>
        <v>1891.3165594288089</v>
      </c>
    </row>
    <row r="730" spans="1:7" x14ac:dyDescent="0.6">
      <c r="A730" s="22">
        <v>31837</v>
      </c>
      <c r="B730" s="23">
        <v>1.6399999999999998E-2</v>
      </c>
      <c r="C730" s="23">
        <v>3.7000000000000002E-3</v>
      </c>
      <c r="D730" s="23">
        <v>1.6399999999999998E-2</v>
      </c>
      <c r="E730" s="24">
        <f t="shared" si="34"/>
        <v>4068.2025310611384</v>
      </c>
      <c r="F730" s="24">
        <f t="shared" si="35"/>
        <v>503.26429387553748</v>
      </c>
      <c r="G730" s="24">
        <f t="shared" si="36"/>
        <v>1922.3341510034413</v>
      </c>
    </row>
    <row r="731" spans="1:7" x14ac:dyDescent="0.6">
      <c r="A731" s="22">
        <v>31868</v>
      </c>
      <c r="B731" s="23">
        <v>-2.1100000000000001E-2</v>
      </c>
      <c r="C731" s="23">
        <v>-1.7000000000000001E-2</v>
      </c>
      <c r="D731" s="23">
        <v>-3.2000000000000002E-3</v>
      </c>
      <c r="E731" s="24">
        <f t="shared" si="34"/>
        <v>3982.3634576557483</v>
      </c>
      <c r="F731" s="24">
        <f t="shared" si="35"/>
        <v>494.70880087965332</v>
      </c>
      <c r="G731" s="24">
        <f t="shared" si="36"/>
        <v>1916.1826817202304</v>
      </c>
    </row>
    <row r="732" spans="1:7" x14ac:dyDescent="0.6">
      <c r="A732" s="22">
        <v>31898</v>
      </c>
      <c r="B732" s="23">
        <v>1.0999999999999998E-3</v>
      </c>
      <c r="C732" s="23">
        <v>-5.1999999999999998E-3</v>
      </c>
      <c r="D732" s="23">
        <v>1.1999999999999999E-3</v>
      </c>
      <c r="E732" s="24">
        <f t="shared" si="34"/>
        <v>3986.7440574591701</v>
      </c>
      <c r="F732" s="24">
        <f t="shared" si="35"/>
        <v>492.13631511507913</v>
      </c>
      <c r="G732" s="24">
        <f t="shared" si="36"/>
        <v>1918.4821009382949</v>
      </c>
    </row>
    <row r="733" spans="1:7" x14ac:dyDescent="0.6">
      <c r="A733" s="22">
        <v>31929</v>
      </c>
      <c r="B733" s="23">
        <v>3.9399999999999998E-2</v>
      </c>
      <c r="C733" s="23">
        <v>-2.1899999999999999E-2</v>
      </c>
      <c r="D733" s="23">
        <v>1.0700000000000001E-2</v>
      </c>
      <c r="E733" s="24">
        <f t="shared" si="34"/>
        <v>4143.8217733230622</v>
      </c>
      <c r="F733" s="24">
        <f t="shared" si="35"/>
        <v>481.3585298140589</v>
      </c>
      <c r="G733" s="24">
        <f t="shared" si="36"/>
        <v>1939.0098594183346</v>
      </c>
    </row>
    <row r="734" spans="1:7" x14ac:dyDescent="0.6">
      <c r="A734" s="22">
        <v>31959</v>
      </c>
      <c r="B734" s="23">
        <v>3.8500000000000006E-2</v>
      </c>
      <c r="C734" s="23">
        <v>-6.4000000000000003E-3</v>
      </c>
      <c r="D734" s="23">
        <v>7.3000000000000001E-3</v>
      </c>
      <c r="E734" s="24">
        <f t="shared" si="34"/>
        <v>4303.3589115960003</v>
      </c>
      <c r="F734" s="24">
        <f t="shared" si="35"/>
        <v>478.27783522324893</v>
      </c>
      <c r="G734" s="24">
        <f t="shared" si="36"/>
        <v>1953.1646313920885</v>
      </c>
    </row>
    <row r="735" spans="1:7" x14ac:dyDescent="0.6">
      <c r="A735" s="22">
        <v>31990</v>
      </c>
      <c r="B735" s="23">
        <v>3.5200000000000009E-2</v>
      </c>
      <c r="C735" s="23">
        <v>-7.4000000000000003E-3</v>
      </c>
      <c r="D735" s="23">
        <v>-9.4999999999999998E-3</v>
      </c>
      <c r="E735" s="24">
        <f t="shared" si="34"/>
        <v>4454.8371452841802</v>
      </c>
      <c r="F735" s="24">
        <f t="shared" si="35"/>
        <v>474.73857924259693</v>
      </c>
      <c r="G735" s="24">
        <f t="shared" si="36"/>
        <v>1934.6095673938637</v>
      </c>
    </row>
    <row r="736" spans="1:7" x14ac:dyDescent="0.6">
      <c r="A736" s="22">
        <v>32021</v>
      </c>
      <c r="B736" s="23">
        <v>-2.5899999999999996E-2</v>
      </c>
      <c r="C736" s="23">
        <v>5.1999999999999998E-3</v>
      </c>
      <c r="D736" s="23">
        <v>2.8999999999999998E-3</v>
      </c>
      <c r="E736" s="24">
        <f t="shared" si="34"/>
        <v>4339.4568632213195</v>
      </c>
      <c r="F736" s="24">
        <f t="shared" si="35"/>
        <v>477.20721985465849</v>
      </c>
      <c r="G736" s="24">
        <f t="shared" si="36"/>
        <v>1940.2199351393058</v>
      </c>
    </row>
    <row r="737" spans="1:7" x14ac:dyDescent="0.6">
      <c r="A737" s="22">
        <v>32051</v>
      </c>
      <c r="B737" s="23">
        <v>-0.23239999999999997</v>
      </c>
      <c r="C737" s="23">
        <v>-8.4199999999999997E-2</v>
      </c>
      <c r="D737" s="23">
        <v>4.2000000000000003E-2</v>
      </c>
      <c r="E737" s="24">
        <f t="shared" si="34"/>
        <v>3330.9670882086853</v>
      </c>
      <c r="F737" s="24">
        <f t="shared" si="35"/>
        <v>437.02637194289622</v>
      </c>
      <c r="G737" s="24">
        <f t="shared" si="36"/>
        <v>2021.7091724151567</v>
      </c>
    </row>
    <row r="738" spans="1:7" x14ac:dyDescent="0.6">
      <c r="A738" s="22">
        <v>32082</v>
      </c>
      <c r="B738" s="23">
        <v>-7.7700000000000005E-2</v>
      </c>
      <c r="C738" s="23">
        <v>2.76E-2</v>
      </c>
      <c r="D738" s="23">
        <v>3.0899999999999997E-2</v>
      </c>
      <c r="E738" s="24">
        <f t="shared" si="34"/>
        <v>3072.1509454548705</v>
      </c>
      <c r="F738" s="24">
        <f t="shared" si="35"/>
        <v>449.08829980852016</v>
      </c>
      <c r="G738" s="24">
        <f t="shared" si="36"/>
        <v>2084.1799858427848</v>
      </c>
    </row>
    <row r="739" spans="1:7" x14ac:dyDescent="0.6">
      <c r="A739" s="22">
        <v>32112</v>
      </c>
      <c r="B739" s="23">
        <v>6.8099999999999994E-2</v>
      </c>
      <c r="C739" s="23">
        <v>1.2999999999999999E-3</v>
      </c>
      <c r="D739" s="23">
        <v>-4.4600000000000001E-2</v>
      </c>
      <c r="E739" s="24">
        <f t="shared" si="34"/>
        <v>3281.3644248403471</v>
      </c>
      <c r="F739" s="24">
        <f t="shared" si="35"/>
        <v>449.67211459827126</v>
      </c>
      <c r="G739" s="24">
        <f t="shared" si="36"/>
        <v>1991.2255584741968</v>
      </c>
    </row>
    <row r="740" spans="1:7" x14ac:dyDescent="0.6">
      <c r="A740" s="22">
        <v>32143</v>
      </c>
      <c r="B740" s="23">
        <v>4.2099999999999999E-2</v>
      </c>
      <c r="C740" s="23">
        <v>-6.9999999999999993E-3</v>
      </c>
      <c r="D740" s="23">
        <v>5.16E-2</v>
      </c>
      <c r="E740" s="24">
        <f t="shared" si="34"/>
        <v>3419.5098671261258</v>
      </c>
      <c r="F740" s="24">
        <f t="shared" si="35"/>
        <v>446.52440979608338</v>
      </c>
      <c r="G740" s="24">
        <f t="shared" si="36"/>
        <v>2093.9727972914657</v>
      </c>
    </row>
    <row r="741" spans="1:7" x14ac:dyDescent="0.6">
      <c r="A741" s="22">
        <v>32174</v>
      </c>
      <c r="B741" s="23">
        <v>4.7500000000000001E-2</v>
      </c>
      <c r="C741" s="23">
        <v>3.3399999999999999E-2</v>
      </c>
      <c r="D741" s="23">
        <v>-1.6399999999999998E-2</v>
      </c>
      <c r="E741" s="24">
        <f t="shared" si="34"/>
        <v>3581.936585814617</v>
      </c>
      <c r="F741" s="24">
        <f t="shared" si="35"/>
        <v>461.43832508327262</v>
      </c>
      <c r="G741" s="24">
        <f t="shared" si="36"/>
        <v>2059.6316434158857</v>
      </c>
    </row>
    <row r="742" spans="1:7" x14ac:dyDescent="0.6">
      <c r="A742" s="22">
        <v>32203</v>
      </c>
      <c r="B742" s="23">
        <v>-2.2700000000000001E-2</v>
      </c>
      <c r="C742" s="23">
        <v>6.1500000000000006E-2</v>
      </c>
      <c r="D742" s="23">
        <v>7.4999999999999997E-3</v>
      </c>
      <c r="E742" s="24">
        <f t="shared" si="34"/>
        <v>3500.626625316625</v>
      </c>
      <c r="F742" s="24">
        <f t="shared" si="35"/>
        <v>489.81678207589391</v>
      </c>
      <c r="G742" s="24">
        <f t="shared" si="36"/>
        <v>2075.0788807415051</v>
      </c>
    </row>
    <row r="743" spans="1:7" x14ac:dyDescent="0.6">
      <c r="A743" s="22">
        <v>32234</v>
      </c>
      <c r="B743" s="23">
        <v>5.6000000000000008E-3</v>
      </c>
      <c r="C743" s="23">
        <v>9.4999999999999998E-3</v>
      </c>
      <c r="D743" s="23">
        <v>1.6799999999999999E-2</v>
      </c>
      <c r="E743" s="24">
        <f t="shared" si="34"/>
        <v>3520.2301344183984</v>
      </c>
      <c r="F743" s="24">
        <f t="shared" si="35"/>
        <v>494.47004150561492</v>
      </c>
      <c r="G743" s="24">
        <f t="shared" si="36"/>
        <v>2109.9402059379622</v>
      </c>
    </row>
    <row r="744" spans="1:7" x14ac:dyDescent="0.6">
      <c r="A744" s="22">
        <v>32264</v>
      </c>
      <c r="B744" s="23">
        <v>-2.9000000000000002E-3</v>
      </c>
      <c r="C744" s="23">
        <v>-2.6499999999999999E-2</v>
      </c>
      <c r="D744" s="23">
        <v>2.2799999999999997E-2</v>
      </c>
      <c r="E744" s="24">
        <f t="shared" si="34"/>
        <v>3510.021467028585</v>
      </c>
      <c r="F744" s="24">
        <f t="shared" si="35"/>
        <v>481.36658540571614</v>
      </c>
      <c r="G744" s="24">
        <f t="shared" si="36"/>
        <v>2158.0468426333478</v>
      </c>
    </row>
    <row r="745" spans="1:7" x14ac:dyDescent="0.6">
      <c r="A745" s="22">
        <v>32295</v>
      </c>
      <c r="B745" s="23">
        <v>4.7899999999999998E-2</v>
      </c>
      <c r="C745" s="23">
        <v>2.12E-2</v>
      </c>
      <c r="D745" s="23">
        <v>-1.1000000000000001E-2</v>
      </c>
      <c r="E745" s="24">
        <f t="shared" si="34"/>
        <v>3678.1514952992543</v>
      </c>
      <c r="F745" s="24">
        <f t="shared" si="35"/>
        <v>491.57155701631734</v>
      </c>
      <c r="G745" s="24">
        <f t="shared" si="36"/>
        <v>2134.3083273643811</v>
      </c>
    </row>
    <row r="746" spans="1:7" x14ac:dyDescent="0.6">
      <c r="A746" s="22">
        <v>32325</v>
      </c>
      <c r="B746" s="23">
        <v>-1.2500000000000001E-2</v>
      </c>
      <c r="C746" s="23">
        <v>-2.0999999999999999E-3</v>
      </c>
      <c r="D746" s="23">
        <v>2.2700000000000001E-2</v>
      </c>
      <c r="E746" s="24">
        <f t="shared" si="34"/>
        <v>3632.1746016080137</v>
      </c>
      <c r="F746" s="24">
        <f t="shared" si="35"/>
        <v>490.53925674658308</v>
      </c>
      <c r="G746" s="24">
        <f t="shared" si="36"/>
        <v>2182.7571263955524</v>
      </c>
    </row>
    <row r="747" spans="1:7" x14ac:dyDescent="0.6">
      <c r="A747" s="22">
        <v>32356</v>
      </c>
      <c r="B747" s="23">
        <v>-3.3100000000000004E-2</v>
      </c>
      <c r="C747" s="23">
        <v>4.0000000000000002E-4</v>
      </c>
      <c r="D747" s="23">
        <v>2.0299999999999999E-2</v>
      </c>
      <c r="E747" s="24">
        <f t="shared" si="34"/>
        <v>3511.9496222947882</v>
      </c>
      <c r="F747" s="24">
        <f t="shared" si="35"/>
        <v>490.7354724492817</v>
      </c>
      <c r="G747" s="24">
        <f t="shared" si="36"/>
        <v>2227.067096061382</v>
      </c>
    </row>
    <row r="748" spans="1:7" x14ac:dyDescent="0.6">
      <c r="A748" s="22">
        <v>32387</v>
      </c>
      <c r="B748" s="23">
        <v>3.3000000000000002E-2</v>
      </c>
      <c r="C748" s="23">
        <v>-1.2500000000000001E-2</v>
      </c>
      <c r="D748" s="23">
        <v>-6.8000000000000005E-3</v>
      </c>
      <c r="E748" s="24">
        <f t="shared" si="34"/>
        <v>3627.8439598305158</v>
      </c>
      <c r="F748" s="24">
        <f t="shared" si="35"/>
        <v>484.60127904366573</v>
      </c>
      <c r="G748" s="24">
        <f t="shared" si="36"/>
        <v>2211.9230398081645</v>
      </c>
    </row>
    <row r="749" spans="1:7" x14ac:dyDescent="0.6">
      <c r="A749" s="22">
        <v>32417</v>
      </c>
      <c r="B749" s="23">
        <v>1.1499999999999998E-2</v>
      </c>
      <c r="C749" s="23">
        <v>-2.8999999999999998E-2</v>
      </c>
      <c r="D749" s="23">
        <v>1.7100000000000001E-2</v>
      </c>
      <c r="E749" s="24">
        <f t="shared" si="34"/>
        <v>3669.564165368567</v>
      </c>
      <c r="F749" s="24">
        <f t="shared" si="35"/>
        <v>470.54784195139939</v>
      </c>
      <c r="G749" s="24">
        <f t="shared" si="36"/>
        <v>2249.746923788884</v>
      </c>
    </row>
    <row r="750" spans="1:7" x14ac:dyDescent="0.6">
      <c r="A750" s="22">
        <v>32448</v>
      </c>
      <c r="B750" s="23">
        <v>-2.2900000000000004E-2</v>
      </c>
      <c r="C750" s="23">
        <v>-1.7399999999999999E-2</v>
      </c>
      <c r="D750" s="23">
        <v>1.24E-2</v>
      </c>
      <c r="E750" s="24">
        <f t="shared" si="34"/>
        <v>3585.5311459816267</v>
      </c>
      <c r="F750" s="24">
        <f t="shared" si="35"/>
        <v>462.36030950144504</v>
      </c>
      <c r="G750" s="24">
        <f t="shared" si="36"/>
        <v>2277.6437856438661</v>
      </c>
    </row>
    <row r="751" spans="1:7" x14ac:dyDescent="0.6">
      <c r="A751" s="22">
        <v>32478</v>
      </c>
      <c r="B751" s="23">
        <v>1.49E-2</v>
      </c>
      <c r="C751" s="23">
        <v>1.95E-2</v>
      </c>
      <c r="D751" s="23">
        <v>-1.5600000000000001E-2</v>
      </c>
      <c r="E751" s="24">
        <f t="shared" si="34"/>
        <v>3638.9555600567528</v>
      </c>
      <c r="F751" s="24">
        <f t="shared" si="35"/>
        <v>471.37633553672327</v>
      </c>
      <c r="G751" s="24">
        <f t="shared" si="36"/>
        <v>2242.1125425878217</v>
      </c>
    </row>
    <row r="752" spans="1:7" x14ac:dyDescent="0.6">
      <c r="A752" s="22">
        <v>32509</v>
      </c>
      <c r="B752" s="23">
        <v>6.0999999999999992E-2</v>
      </c>
      <c r="C752" s="23">
        <v>-2.1400000000000002E-2</v>
      </c>
      <c r="D752" s="23">
        <v>5.1000000000000004E-3</v>
      </c>
      <c r="E752" s="24">
        <f t="shared" si="34"/>
        <v>3860.9318492202146</v>
      </c>
      <c r="F752" s="24">
        <f t="shared" si="35"/>
        <v>461.28888195623739</v>
      </c>
      <c r="G752" s="24">
        <f t="shared" si="36"/>
        <v>2253.5473165550197</v>
      </c>
    </row>
    <row r="753" spans="1:7" x14ac:dyDescent="0.6">
      <c r="A753" s="22">
        <v>32540</v>
      </c>
      <c r="B753" s="23">
        <v>-2.2499999999999999E-2</v>
      </c>
      <c r="C753" s="23">
        <v>2.76E-2</v>
      </c>
      <c r="D753" s="23">
        <v>8.8000000000000005E-3</v>
      </c>
      <c r="E753" s="24">
        <f t="shared" si="34"/>
        <v>3774.06088261276</v>
      </c>
      <c r="F753" s="24">
        <f t="shared" si="35"/>
        <v>474.02045509822955</v>
      </c>
      <c r="G753" s="24">
        <f t="shared" si="36"/>
        <v>2273.3785329407037</v>
      </c>
    </row>
    <row r="754" spans="1:7" x14ac:dyDescent="0.6">
      <c r="A754" s="22">
        <v>32568</v>
      </c>
      <c r="B754" s="23">
        <v>1.5700000000000002E-2</v>
      </c>
      <c r="C754" s="23">
        <v>7.3000000000000001E-3</v>
      </c>
      <c r="D754" s="23">
        <v>4.6999999999999993E-3</v>
      </c>
      <c r="E754" s="24">
        <f t="shared" ref="E754:E817" si="37">E753*(1+B754)</f>
        <v>3833.3136384697805</v>
      </c>
      <c r="F754" s="24">
        <f t="shared" ref="F754:F817" si="38">F753*(1+C754)</f>
        <v>477.48080442044665</v>
      </c>
      <c r="G754" s="24">
        <f t="shared" ref="G754:G817" si="39">G753*(1+D754)</f>
        <v>2284.0634120455247</v>
      </c>
    </row>
    <row r="755" spans="1:7" x14ac:dyDescent="0.6">
      <c r="A755" s="22">
        <v>32599</v>
      </c>
      <c r="B755" s="23">
        <v>4.3300000000000005E-2</v>
      </c>
      <c r="C755" s="23">
        <v>-5.7999999999999996E-3</v>
      </c>
      <c r="D755" s="23">
        <v>-1.46E-2</v>
      </c>
      <c r="E755" s="24">
        <f t="shared" si="37"/>
        <v>3999.2961190155215</v>
      </c>
      <c r="F755" s="24">
        <f t="shared" si="38"/>
        <v>474.71141575480806</v>
      </c>
      <c r="G755" s="24">
        <f t="shared" si="39"/>
        <v>2250.71608622966</v>
      </c>
    </row>
    <row r="756" spans="1:7" x14ac:dyDescent="0.6">
      <c r="A756" s="22">
        <v>32629</v>
      </c>
      <c r="B756" s="23">
        <v>3.3500000000000002E-2</v>
      </c>
      <c r="C756" s="23">
        <v>-4.0000000000000002E-4</v>
      </c>
      <c r="D756" s="23">
        <v>-8.3000000000000001E-3</v>
      </c>
      <c r="E756" s="24">
        <f t="shared" si="37"/>
        <v>4133.2725390025416</v>
      </c>
      <c r="F756" s="24">
        <f t="shared" si="38"/>
        <v>474.52153118850617</v>
      </c>
      <c r="G756" s="24">
        <f t="shared" si="39"/>
        <v>2232.035142713954</v>
      </c>
    </row>
    <row r="757" spans="1:7" x14ac:dyDescent="0.6">
      <c r="A757" s="22">
        <v>32660</v>
      </c>
      <c r="B757" s="23">
        <v>-1.3500000000000002E-2</v>
      </c>
      <c r="C757" s="23">
        <v>-1.0200000000000001E-2</v>
      </c>
      <c r="D757" s="23">
        <v>2.1899999999999999E-2</v>
      </c>
      <c r="E757" s="24">
        <f t="shared" si="37"/>
        <v>4077.4733597260074</v>
      </c>
      <c r="F757" s="24">
        <f t="shared" si="38"/>
        <v>469.68141157038343</v>
      </c>
      <c r="G757" s="24">
        <f t="shared" si="39"/>
        <v>2280.9167123393895</v>
      </c>
    </row>
    <row r="758" spans="1:7" x14ac:dyDescent="0.6">
      <c r="A758" s="22">
        <v>32690</v>
      </c>
      <c r="B758" s="23">
        <v>7.2000000000000008E-2</v>
      </c>
      <c r="C758" s="23">
        <v>-4.0199999999999993E-2</v>
      </c>
      <c r="D758" s="23">
        <v>-2.8300000000000002E-2</v>
      </c>
      <c r="E758" s="24">
        <f t="shared" si="37"/>
        <v>4371.0514416262804</v>
      </c>
      <c r="F758" s="24">
        <f t="shared" si="38"/>
        <v>450.80021882525403</v>
      </c>
      <c r="G758" s="24">
        <f t="shared" si="39"/>
        <v>2216.3667693801849</v>
      </c>
    </row>
    <row r="759" spans="1:7" x14ac:dyDescent="0.6">
      <c r="A759" s="22">
        <v>32721</v>
      </c>
      <c r="B759" s="23">
        <v>1.4399999999999996E-2</v>
      </c>
      <c r="C759" s="23">
        <v>5.0000000000000001E-3</v>
      </c>
      <c r="D759" s="23">
        <v>7.1999999999999998E-3</v>
      </c>
      <c r="E759" s="24">
        <f t="shared" si="37"/>
        <v>4433.9945823856988</v>
      </c>
      <c r="F759" s="24">
        <f t="shared" si="38"/>
        <v>453.05421991938027</v>
      </c>
      <c r="G759" s="24">
        <f t="shared" si="39"/>
        <v>2232.3246101197224</v>
      </c>
    </row>
    <row r="760" spans="1:7" x14ac:dyDescent="0.6">
      <c r="A760" s="22">
        <v>32752</v>
      </c>
      <c r="B760" s="23">
        <v>-7.6000000000000009E-3</v>
      </c>
      <c r="C760" s="23">
        <v>2.8000000000000004E-3</v>
      </c>
      <c r="D760" s="23">
        <v>-1.34E-2</v>
      </c>
      <c r="E760" s="24">
        <f t="shared" si="37"/>
        <v>4400.2962235595669</v>
      </c>
      <c r="F760" s="24">
        <f t="shared" si="38"/>
        <v>454.3227717351545</v>
      </c>
      <c r="G760" s="24">
        <f t="shared" si="39"/>
        <v>2202.411460344118</v>
      </c>
    </row>
    <row r="761" spans="1:7" x14ac:dyDescent="0.6">
      <c r="A761" s="22">
        <v>32782</v>
      </c>
      <c r="B761" s="23">
        <v>-3.6699999999999997E-2</v>
      </c>
      <c r="C761" s="23">
        <v>-3.3000000000000002E-2</v>
      </c>
      <c r="D761" s="23">
        <v>-1.03E-2</v>
      </c>
      <c r="E761" s="24">
        <f t="shared" si="37"/>
        <v>4238.8053521549309</v>
      </c>
      <c r="F761" s="24">
        <f t="shared" si="38"/>
        <v>439.33012026789442</v>
      </c>
      <c r="G761" s="24">
        <f t="shared" si="39"/>
        <v>2179.7266223025736</v>
      </c>
    </row>
    <row r="762" spans="1:7" x14ac:dyDescent="0.6">
      <c r="A762" s="22">
        <v>32813</v>
      </c>
      <c r="B762" s="23">
        <v>1.03E-2</v>
      </c>
      <c r="C762" s="23">
        <v>-1.24E-2</v>
      </c>
      <c r="D762" s="23">
        <v>-1.1200000000000002E-2</v>
      </c>
      <c r="E762" s="24">
        <f t="shared" si="37"/>
        <v>4282.4650472821268</v>
      </c>
      <c r="F762" s="24">
        <f t="shared" si="38"/>
        <v>433.88242677657252</v>
      </c>
      <c r="G762" s="24">
        <f t="shared" si="39"/>
        <v>2155.3136841327846</v>
      </c>
    </row>
    <row r="763" spans="1:7" x14ac:dyDescent="0.6">
      <c r="A763" s="22">
        <v>32843</v>
      </c>
      <c r="B763" s="23">
        <v>1.1600000000000001E-2</v>
      </c>
      <c r="C763" s="23">
        <v>-2.41E-2</v>
      </c>
      <c r="D763" s="23">
        <v>2.8000000000000004E-3</v>
      </c>
      <c r="E763" s="24">
        <f t="shared" si="37"/>
        <v>4332.1416418305998</v>
      </c>
      <c r="F763" s="24">
        <f t="shared" si="38"/>
        <v>423.4258602912571</v>
      </c>
      <c r="G763" s="24">
        <f t="shared" si="39"/>
        <v>2161.348562448356</v>
      </c>
    </row>
    <row r="764" spans="1:7" x14ac:dyDescent="0.6">
      <c r="A764" s="22">
        <v>32874</v>
      </c>
      <c r="B764" s="23">
        <v>-7.8499999999999986E-2</v>
      </c>
      <c r="C764" s="23">
        <v>-1.29E-2</v>
      </c>
      <c r="D764" s="23">
        <v>8.6999999999999994E-3</v>
      </c>
      <c r="E764" s="24">
        <f t="shared" si="37"/>
        <v>3992.0685229468977</v>
      </c>
      <c r="F764" s="24">
        <f t="shared" si="38"/>
        <v>417.96366669349987</v>
      </c>
      <c r="G764" s="24">
        <f t="shared" si="39"/>
        <v>2180.1522949416567</v>
      </c>
    </row>
    <row r="765" spans="1:7" x14ac:dyDescent="0.6">
      <c r="A765" s="22">
        <v>32905</v>
      </c>
      <c r="B765" s="23">
        <v>1.1100000000000002E-2</v>
      </c>
      <c r="C765" s="23">
        <v>1.03E-2</v>
      </c>
      <c r="D765" s="23">
        <v>6.0999999999999995E-3</v>
      </c>
      <c r="E765" s="24">
        <f t="shared" si="37"/>
        <v>4036.3804835516089</v>
      </c>
      <c r="F765" s="24">
        <f t="shared" si="38"/>
        <v>422.26869246044294</v>
      </c>
      <c r="G765" s="24">
        <f t="shared" si="39"/>
        <v>2193.4512239408009</v>
      </c>
    </row>
    <row r="766" spans="1:7" x14ac:dyDescent="0.6">
      <c r="A766" s="22">
        <v>32933</v>
      </c>
      <c r="B766" s="23">
        <v>1.8300000000000004E-2</v>
      </c>
      <c r="C766" s="23">
        <v>1.52E-2</v>
      </c>
      <c r="D766" s="23">
        <v>-2.8999999999999998E-2</v>
      </c>
      <c r="E766" s="24">
        <f t="shared" si="37"/>
        <v>4110.246246400603</v>
      </c>
      <c r="F766" s="24">
        <f t="shared" si="38"/>
        <v>428.68717658584171</v>
      </c>
      <c r="G766" s="24">
        <f t="shared" si="39"/>
        <v>2129.8411384465176</v>
      </c>
    </row>
    <row r="767" spans="1:7" x14ac:dyDescent="0.6">
      <c r="A767" s="22">
        <v>32964</v>
      </c>
      <c r="B767" s="23">
        <v>-3.3599999999999998E-2</v>
      </c>
      <c r="C767" s="23">
        <v>-5.0000000000000001E-3</v>
      </c>
      <c r="D767" s="23">
        <v>-2.5499999999999998E-2</v>
      </c>
      <c r="E767" s="24">
        <f t="shared" si="37"/>
        <v>3972.1419725215428</v>
      </c>
      <c r="F767" s="24">
        <f t="shared" si="38"/>
        <v>426.54374070291249</v>
      </c>
      <c r="G767" s="24">
        <f t="shared" si="39"/>
        <v>2075.5301894161316</v>
      </c>
    </row>
    <row r="768" spans="1:7" x14ac:dyDescent="0.6">
      <c r="A768" s="22">
        <v>32994</v>
      </c>
      <c r="B768" s="23">
        <v>8.4199999999999997E-2</v>
      </c>
      <c r="C768" s="23">
        <v>-2.5699999999999997E-2</v>
      </c>
      <c r="D768" s="23">
        <v>-3.7400000000000003E-2</v>
      </c>
      <c r="E768" s="24">
        <f t="shared" si="37"/>
        <v>4306.596326607857</v>
      </c>
      <c r="F768" s="24">
        <f t="shared" si="38"/>
        <v>415.58156656684764</v>
      </c>
      <c r="G768" s="24">
        <f t="shared" si="39"/>
        <v>1997.9053603319683</v>
      </c>
    </row>
    <row r="769" spans="1:7" x14ac:dyDescent="0.6">
      <c r="A769" s="22">
        <v>33025</v>
      </c>
      <c r="B769" s="23">
        <v>-1.09E-2</v>
      </c>
      <c r="C769" s="23">
        <v>1.43E-2</v>
      </c>
      <c r="D769" s="23">
        <v>-1.9400000000000001E-2</v>
      </c>
      <c r="E769" s="24">
        <f t="shared" si="37"/>
        <v>4259.6544266478313</v>
      </c>
      <c r="F769" s="24">
        <f t="shared" si="38"/>
        <v>421.52438296875357</v>
      </c>
      <c r="G769" s="24">
        <f t="shared" si="39"/>
        <v>1959.1459963415282</v>
      </c>
    </row>
    <row r="770" spans="1:7" x14ac:dyDescent="0.6">
      <c r="A770" s="22">
        <v>33055</v>
      </c>
      <c r="B770" s="23">
        <v>-1.8999999999999996E-2</v>
      </c>
      <c r="C770" s="23">
        <v>-3.2099999999999997E-2</v>
      </c>
      <c r="D770" s="23">
        <v>-2.0000000000000001E-4</v>
      </c>
      <c r="E770" s="24">
        <f t="shared" si="37"/>
        <v>4178.7209925415227</v>
      </c>
      <c r="F770" s="24">
        <f t="shared" si="38"/>
        <v>407.99345027545655</v>
      </c>
      <c r="G770" s="24">
        <f t="shared" si="39"/>
        <v>1958.75416714226</v>
      </c>
    </row>
    <row r="771" spans="1:7" x14ac:dyDescent="0.6">
      <c r="A771" s="22">
        <v>33086</v>
      </c>
      <c r="B771" s="23">
        <v>-0.10149999999999999</v>
      </c>
      <c r="C771" s="23">
        <v>-3.5799999999999998E-2</v>
      </c>
      <c r="D771" s="23">
        <v>1.5900000000000001E-2</v>
      </c>
      <c r="E771" s="24">
        <f t="shared" si="37"/>
        <v>3754.580811798558</v>
      </c>
      <c r="F771" s="24">
        <f t="shared" si="38"/>
        <v>393.3872847555952</v>
      </c>
      <c r="G771" s="24">
        <f t="shared" si="39"/>
        <v>1989.898358399822</v>
      </c>
    </row>
    <row r="772" spans="1:7" x14ac:dyDescent="0.6">
      <c r="A772" s="22">
        <v>33117</v>
      </c>
      <c r="B772" s="23">
        <v>-6.1200000000000004E-2</v>
      </c>
      <c r="C772" s="23">
        <v>-3.6699999999999997E-2</v>
      </c>
      <c r="D772" s="23">
        <v>7.3000000000000001E-3</v>
      </c>
      <c r="E772" s="24">
        <f t="shared" si="37"/>
        <v>3524.8004661164859</v>
      </c>
      <c r="F772" s="24">
        <f t="shared" si="38"/>
        <v>378.9499714050649</v>
      </c>
      <c r="G772" s="24">
        <f t="shared" si="39"/>
        <v>2004.4246164161409</v>
      </c>
    </row>
    <row r="773" spans="1:7" x14ac:dyDescent="0.6">
      <c r="A773" s="22">
        <v>33147</v>
      </c>
      <c r="B773" s="23">
        <v>-1.9199999999999998E-2</v>
      </c>
      <c r="C773" s="23">
        <v>-5.5199999999999999E-2</v>
      </c>
      <c r="D773" s="23">
        <v>2.5000000000000001E-3</v>
      </c>
      <c r="E773" s="24">
        <f t="shared" si="37"/>
        <v>3457.1242971670495</v>
      </c>
      <c r="F773" s="24">
        <f t="shared" si="38"/>
        <v>358.03193298350533</v>
      </c>
      <c r="G773" s="24">
        <f t="shared" si="39"/>
        <v>2009.435677957181</v>
      </c>
    </row>
    <row r="774" spans="1:7" x14ac:dyDescent="0.6">
      <c r="A774" s="22">
        <v>33178</v>
      </c>
      <c r="B774" s="23">
        <v>6.3500000000000001E-2</v>
      </c>
      <c r="C774" s="23">
        <v>3.3E-3</v>
      </c>
      <c r="D774" s="23">
        <v>-3.1600000000000003E-2</v>
      </c>
      <c r="E774" s="24">
        <f t="shared" si="37"/>
        <v>3676.6516900371566</v>
      </c>
      <c r="F774" s="24">
        <f t="shared" si="38"/>
        <v>359.21343836235093</v>
      </c>
      <c r="G774" s="24">
        <f t="shared" si="39"/>
        <v>1945.9375105337342</v>
      </c>
    </row>
    <row r="775" spans="1:7" x14ac:dyDescent="0.6">
      <c r="A775" s="22">
        <v>33208</v>
      </c>
      <c r="B775" s="23">
        <v>2.4600000000000004E-2</v>
      </c>
      <c r="C775" s="23">
        <v>8.1000000000000013E-3</v>
      </c>
      <c r="D775" s="23">
        <v>-1.5600000000000001E-2</v>
      </c>
      <c r="E775" s="24">
        <f t="shared" si="37"/>
        <v>3767.0973216120706</v>
      </c>
      <c r="F775" s="24">
        <f t="shared" si="38"/>
        <v>362.12306721308596</v>
      </c>
      <c r="G775" s="24">
        <f t="shared" si="39"/>
        <v>1915.580885369408</v>
      </c>
    </row>
    <row r="776" spans="1:7" x14ac:dyDescent="0.6">
      <c r="A776" s="22">
        <v>33239</v>
      </c>
      <c r="B776" s="23">
        <v>4.6900000000000011E-2</v>
      </c>
      <c r="C776" s="23">
        <v>3.7999999999999999E-2</v>
      </c>
      <c r="D776" s="23">
        <v>-1.8500000000000003E-2</v>
      </c>
      <c r="E776" s="24">
        <f t="shared" si="37"/>
        <v>3943.7741859956764</v>
      </c>
      <c r="F776" s="24">
        <f t="shared" si="38"/>
        <v>375.88374376718326</v>
      </c>
      <c r="G776" s="24">
        <f t="shared" si="39"/>
        <v>1880.1426389900739</v>
      </c>
    </row>
    <row r="777" spans="1:7" x14ac:dyDescent="0.6">
      <c r="A777" s="22">
        <v>33270</v>
      </c>
      <c r="B777" s="23">
        <v>7.1900000000000006E-2</v>
      </c>
      <c r="C777" s="23">
        <v>3.9399999999999998E-2</v>
      </c>
      <c r="D777" s="23">
        <v>-5.3E-3</v>
      </c>
      <c r="E777" s="24">
        <f t="shared" si="37"/>
        <v>4227.331549968766</v>
      </c>
      <c r="F777" s="24">
        <f t="shared" si="38"/>
        <v>390.69356327161034</v>
      </c>
      <c r="G777" s="24">
        <f t="shared" si="39"/>
        <v>1870.1778830034266</v>
      </c>
    </row>
    <row r="778" spans="1:7" x14ac:dyDescent="0.6">
      <c r="A778" s="22">
        <v>33298</v>
      </c>
      <c r="B778" s="23">
        <v>2.6499999999999996E-2</v>
      </c>
      <c r="C778" s="23">
        <v>3.9E-2</v>
      </c>
      <c r="D778" s="23">
        <v>-1.24E-2</v>
      </c>
      <c r="E778" s="24">
        <f t="shared" si="37"/>
        <v>4339.3558360429379</v>
      </c>
      <c r="F778" s="24">
        <f t="shared" si="38"/>
        <v>405.93061223920313</v>
      </c>
      <c r="G778" s="24">
        <f t="shared" si="39"/>
        <v>1846.9876772541841</v>
      </c>
    </row>
    <row r="779" spans="1:7" x14ac:dyDescent="0.6">
      <c r="A779" s="22">
        <v>33329</v>
      </c>
      <c r="B779" s="23">
        <v>-2.8E-3</v>
      </c>
      <c r="C779" s="23">
        <v>5.1000000000000004E-3</v>
      </c>
      <c r="D779" s="23">
        <v>1.41E-2</v>
      </c>
      <c r="E779" s="24">
        <f t="shared" si="37"/>
        <v>4327.2056397020178</v>
      </c>
      <c r="F779" s="24">
        <f t="shared" si="38"/>
        <v>408.0008583616231</v>
      </c>
      <c r="G779" s="24">
        <f t="shared" si="39"/>
        <v>1873.0302035034681</v>
      </c>
    </row>
    <row r="780" spans="1:7" x14ac:dyDescent="0.6">
      <c r="A780" s="22">
        <v>33359</v>
      </c>
      <c r="B780" s="23">
        <v>3.6500000000000005E-2</v>
      </c>
      <c r="C780" s="23">
        <v>-3.4000000000000002E-3</v>
      </c>
      <c r="D780" s="23">
        <v>-5.6999999999999993E-3</v>
      </c>
      <c r="E780" s="24">
        <f t="shared" si="37"/>
        <v>4485.1486455511413</v>
      </c>
      <c r="F780" s="24">
        <f t="shared" si="38"/>
        <v>406.61365544319358</v>
      </c>
      <c r="G780" s="24">
        <f t="shared" si="39"/>
        <v>1862.3539313434983</v>
      </c>
    </row>
    <row r="781" spans="1:7" x14ac:dyDescent="0.6">
      <c r="A781" s="22">
        <v>33390</v>
      </c>
      <c r="B781" s="23">
        <v>-4.9400000000000006E-2</v>
      </c>
      <c r="C781" s="23">
        <v>5.9999999999999995E-4</v>
      </c>
      <c r="D781" s="23">
        <v>1.2199999999999999E-2</v>
      </c>
      <c r="E781" s="24">
        <f t="shared" si="37"/>
        <v>4263.5823024609153</v>
      </c>
      <c r="F781" s="24">
        <f t="shared" si="38"/>
        <v>406.85762363645949</v>
      </c>
      <c r="G781" s="24">
        <f t="shared" si="39"/>
        <v>1885.0746493058889</v>
      </c>
    </row>
    <row r="782" spans="1:7" x14ac:dyDescent="0.6">
      <c r="A782" s="22">
        <v>33420</v>
      </c>
      <c r="B782" s="23">
        <v>4.24E-2</v>
      </c>
      <c r="C782" s="23">
        <v>-9.300000000000001E-3</v>
      </c>
      <c r="D782" s="23">
        <v>-1.26E-2</v>
      </c>
      <c r="E782" s="24">
        <f t="shared" si="37"/>
        <v>4444.3581920852585</v>
      </c>
      <c r="F782" s="24">
        <f t="shared" si="38"/>
        <v>403.0738477366404</v>
      </c>
      <c r="G782" s="24">
        <f t="shared" si="39"/>
        <v>1861.3227087246348</v>
      </c>
    </row>
    <row r="783" spans="1:7" x14ac:dyDescent="0.6">
      <c r="A783" s="22">
        <v>33451</v>
      </c>
      <c r="B783" s="23">
        <v>2.3199999999999998E-2</v>
      </c>
      <c r="C783" s="23">
        <v>1.6E-2</v>
      </c>
      <c r="D783" s="23">
        <v>-7.9000000000000008E-3</v>
      </c>
      <c r="E783" s="24">
        <f t="shared" si="37"/>
        <v>4547.4673021416365</v>
      </c>
      <c r="F783" s="24">
        <f t="shared" si="38"/>
        <v>409.52302930042663</v>
      </c>
      <c r="G783" s="24">
        <f t="shared" si="39"/>
        <v>1846.6182593257101</v>
      </c>
    </row>
    <row r="784" spans="1:7" x14ac:dyDescent="0.6">
      <c r="A784" s="22">
        <v>33482</v>
      </c>
      <c r="B784" s="23">
        <v>-1.5900000000000001E-2</v>
      </c>
      <c r="C784" s="23">
        <v>1.6299999999999999E-2</v>
      </c>
      <c r="D784" s="23">
        <v>-0.01</v>
      </c>
      <c r="E784" s="24">
        <f t="shared" si="37"/>
        <v>4475.1625720375841</v>
      </c>
      <c r="F784" s="24">
        <f t="shared" si="38"/>
        <v>416.1982546780236</v>
      </c>
      <c r="G784" s="24">
        <f t="shared" si="39"/>
        <v>1828.152076732453</v>
      </c>
    </row>
    <row r="785" spans="1:7" x14ac:dyDescent="0.6">
      <c r="A785" s="22">
        <v>33512</v>
      </c>
      <c r="B785" s="23">
        <v>1.2900000000000002E-2</v>
      </c>
      <c r="C785" s="23">
        <v>9.0000000000000011E-3</v>
      </c>
      <c r="D785" s="23">
        <v>-4.4000000000000003E-3</v>
      </c>
      <c r="E785" s="24">
        <f t="shared" si="37"/>
        <v>4532.8921692168688</v>
      </c>
      <c r="F785" s="24">
        <f t="shared" si="38"/>
        <v>419.94403897012575</v>
      </c>
      <c r="G785" s="24">
        <f t="shared" si="39"/>
        <v>1820.1082075948302</v>
      </c>
    </row>
    <row r="786" spans="1:7" x14ac:dyDescent="0.6">
      <c r="A786" s="22">
        <v>33543</v>
      </c>
      <c r="B786" s="23">
        <v>-4.1900000000000007E-2</v>
      </c>
      <c r="C786" s="23">
        <v>-4.7999999999999996E-3</v>
      </c>
      <c r="D786" s="23">
        <v>-1.9299999999999998E-2</v>
      </c>
      <c r="E786" s="24">
        <f t="shared" si="37"/>
        <v>4342.9639873266815</v>
      </c>
      <c r="F786" s="24">
        <f t="shared" si="38"/>
        <v>417.92830758306911</v>
      </c>
      <c r="G786" s="24">
        <f t="shared" si="39"/>
        <v>1784.98011918825</v>
      </c>
    </row>
    <row r="787" spans="1:7" x14ac:dyDescent="0.6">
      <c r="A787" s="22">
        <v>33573</v>
      </c>
      <c r="B787" s="23">
        <v>0.10840000000000001</v>
      </c>
      <c r="C787" s="23">
        <v>-2.23E-2</v>
      </c>
      <c r="D787" s="23">
        <v>-4.0399999999999998E-2</v>
      </c>
      <c r="E787" s="24">
        <f t="shared" si="37"/>
        <v>4813.7412835528939</v>
      </c>
      <c r="F787" s="24">
        <f t="shared" si="38"/>
        <v>408.60850632396665</v>
      </c>
      <c r="G787" s="24">
        <f t="shared" si="39"/>
        <v>1712.8669223730446</v>
      </c>
    </row>
    <row r="788" spans="1:7" x14ac:dyDescent="0.6">
      <c r="A788" s="22">
        <v>33604</v>
      </c>
      <c r="B788" s="23">
        <v>-5.8999999999999999E-3</v>
      </c>
      <c r="C788" s="23">
        <v>8.4499999999999992E-2</v>
      </c>
      <c r="D788" s="23">
        <v>4.53E-2</v>
      </c>
      <c r="E788" s="24">
        <f t="shared" si="37"/>
        <v>4785.3402099799314</v>
      </c>
      <c r="F788" s="24">
        <f t="shared" si="38"/>
        <v>443.13592510834184</v>
      </c>
      <c r="G788" s="24">
        <f t="shared" si="39"/>
        <v>1790.4597939565433</v>
      </c>
    </row>
    <row r="789" spans="1:7" x14ac:dyDescent="0.6">
      <c r="A789" s="22">
        <v>33635</v>
      </c>
      <c r="B789" s="23">
        <v>1.09E-2</v>
      </c>
      <c r="C789" s="23">
        <v>8.8999999999999999E-3</v>
      </c>
      <c r="D789" s="23">
        <v>6.3700000000000007E-2</v>
      </c>
      <c r="E789" s="24">
        <f t="shared" si="37"/>
        <v>4837.5004182687126</v>
      </c>
      <c r="F789" s="24">
        <f t="shared" si="38"/>
        <v>447.07983484180602</v>
      </c>
      <c r="G789" s="24">
        <f t="shared" si="39"/>
        <v>1904.5120828315753</v>
      </c>
    </row>
    <row r="790" spans="1:7" x14ac:dyDescent="0.6">
      <c r="A790" s="22">
        <v>33664</v>
      </c>
      <c r="B790" s="23">
        <v>-2.6600000000000002E-2</v>
      </c>
      <c r="C790" s="23">
        <v>-1.04E-2</v>
      </c>
      <c r="D790" s="23">
        <v>3.6499999999999998E-2</v>
      </c>
      <c r="E790" s="24">
        <f t="shared" si="37"/>
        <v>4708.822907142765</v>
      </c>
      <c r="F790" s="24">
        <f t="shared" si="38"/>
        <v>442.43020455945123</v>
      </c>
      <c r="G790" s="24">
        <f t="shared" si="39"/>
        <v>1974.0267738549278</v>
      </c>
    </row>
    <row r="791" spans="1:7" x14ac:dyDescent="0.6">
      <c r="A791" s="22">
        <v>33695</v>
      </c>
      <c r="B791" s="23">
        <v>1.0700000000000001E-2</v>
      </c>
      <c r="C791" s="23">
        <v>-6.1100000000000002E-2</v>
      </c>
      <c r="D791" s="23">
        <v>4.2999999999999997E-2</v>
      </c>
      <c r="E791" s="24">
        <f t="shared" si="37"/>
        <v>4759.207312249192</v>
      </c>
      <c r="F791" s="24">
        <f t="shared" si="38"/>
        <v>415.39771906086872</v>
      </c>
      <c r="G791" s="24">
        <f t="shared" si="39"/>
        <v>2058.9099251306898</v>
      </c>
    </row>
    <row r="792" spans="1:7" x14ac:dyDescent="0.6">
      <c r="A792" s="22">
        <v>33725</v>
      </c>
      <c r="B792" s="23">
        <v>3.0000000000000001E-3</v>
      </c>
      <c r="C792" s="23">
        <v>4.0000000000000001E-3</v>
      </c>
      <c r="D792" s="23">
        <v>1.2699999999999999E-2</v>
      </c>
      <c r="E792" s="24">
        <f t="shared" si="37"/>
        <v>4773.484934185939</v>
      </c>
      <c r="F792" s="24">
        <f t="shared" si="38"/>
        <v>417.05930993711218</v>
      </c>
      <c r="G792" s="24">
        <f t="shared" si="39"/>
        <v>2085.0580811798495</v>
      </c>
    </row>
    <row r="793" spans="1:7" x14ac:dyDescent="0.6">
      <c r="A793" s="22">
        <v>33756</v>
      </c>
      <c r="B793" s="23">
        <v>-2.3400000000000001E-2</v>
      </c>
      <c r="C793" s="23">
        <v>-3.0899999999999997E-2</v>
      </c>
      <c r="D793" s="23">
        <v>3.4099999999999998E-2</v>
      </c>
      <c r="E793" s="24">
        <f t="shared" si="37"/>
        <v>4661.7853867259882</v>
      </c>
      <c r="F793" s="24">
        <f t="shared" si="38"/>
        <v>404.17217726005538</v>
      </c>
      <c r="G793" s="24">
        <f t="shared" si="39"/>
        <v>2156.1585617480823</v>
      </c>
    </row>
    <row r="794" spans="1:7" x14ac:dyDescent="0.6">
      <c r="A794" s="22">
        <v>33786</v>
      </c>
      <c r="B794" s="23">
        <v>3.7700000000000004E-2</v>
      </c>
      <c r="C794" s="23">
        <v>-4.4000000000000003E-3</v>
      </c>
      <c r="D794" s="23">
        <v>-5.3E-3</v>
      </c>
      <c r="E794" s="24">
        <f t="shared" si="37"/>
        <v>4837.5346958055579</v>
      </c>
      <c r="F794" s="24">
        <f t="shared" si="38"/>
        <v>402.39381968011116</v>
      </c>
      <c r="G794" s="24">
        <f t="shared" si="39"/>
        <v>2144.7309213708177</v>
      </c>
    </row>
    <row r="795" spans="1:7" x14ac:dyDescent="0.6">
      <c r="A795" s="22">
        <v>33817</v>
      </c>
      <c r="B795" s="23">
        <v>-2.3800000000000002E-2</v>
      </c>
      <c r="C795" s="23">
        <v>-1.1000000000000001E-3</v>
      </c>
      <c r="D795" s="23">
        <v>-1.04E-2</v>
      </c>
      <c r="E795" s="24">
        <f t="shared" si="37"/>
        <v>4722.4013700453852</v>
      </c>
      <c r="F795" s="24">
        <f t="shared" si="38"/>
        <v>401.95118647846306</v>
      </c>
      <c r="G795" s="24">
        <f t="shared" si="39"/>
        <v>2122.4257197885613</v>
      </c>
    </row>
    <row r="796" spans="1:7" x14ac:dyDescent="0.6">
      <c r="A796" s="22">
        <v>33848</v>
      </c>
      <c r="B796" s="23">
        <v>1.1899999999999999E-2</v>
      </c>
      <c r="C796" s="23">
        <v>5.6000000000000008E-3</v>
      </c>
      <c r="D796" s="23">
        <v>-2.0999999999999999E-3</v>
      </c>
      <c r="E796" s="24">
        <f t="shared" si="37"/>
        <v>4778.5979463489257</v>
      </c>
      <c r="F796" s="24">
        <f t="shared" si="38"/>
        <v>404.20211312274245</v>
      </c>
      <c r="G796" s="24">
        <f t="shared" si="39"/>
        <v>2117.9686257770054</v>
      </c>
    </row>
    <row r="797" spans="1:7" x14ac:dyDescent="0.6">
      <c r="A797" s="22">
        <v>33878</v>
      </c>
      <c r="B797" s="23">
        <v>1.0200000000000001E-2</v>
      </c>
      <c r="C797" s="23">
        <v>2.0499999999999997E-2</v>
      </c>
      <c r="D797" s="23">
        <v>-2.1000000000000001E-2</v>
      </c>
      <c r="E797" s="24">
        <f t="shared" si="37"/>
        <v>4827.3396454016847</v>
      </c>
      <c r="F797" s="24">
        <f t="shared" si="38"/>
        <v>412.48825644175867</v>
      </c>
      <c r="G797" s="24">
        <f t="shared" si="39"/>
        <v>2073.4912846356883</v>
      </c>
    </row>
    <row r="798" spans="1:7" x14ac:dyDescent="0.6">
      <c r="A798" s="22">
        <v>33909</v>
      </c>
      <c r="B798" s="23">
        <v>4.1300000000000003E-2</v>
      </c>
      <c r="C798" s="23">
        <v>3.7000000000000005E-2</v>
      </c>
      <c r="D798" s="23">
        <v>-1.4800000000000001E-2</v>
      </c>
      <c r="E798" s="24">
        <f t="shared" si="37"/>
        <v>5026.708772756775</v>
      </c>
      <c r="F798" s="24">
        <f t="shared" si="38"/>
        <v>427.75032193010372</v>
      </c>
      <c r="G798" s="24">
        <f t="shared" si="39"/>
        <v>2042.8036136230801</v>
      </c>
    </row>
    <row r="799" spans="1:7" x14ac:dyDescent="0.6">
      <c r="A799" s="22">
        <v>33939</v>
      </c>
      <c r="B799" s="23">
        <v>1.5300000000000001E-2</v>
      </c>
      <c r="C799" s="23">
        <v>1.6399999999999998E-2</v>
      </c>
      <c r="D799" s="23">
        <v>2.52E-2</v>
      </c>
      <c r="E799" s="24">
        <f t="shared" si="37"/>
        <v>5103.6174169799542</v>
      </c>
      <c r="F799" s="24">
        <f t="shared" si="38"/>
        <v>434.76542720975743</v>
      </c>
      <c r="G799" s="24">
        <f t="shared" si="39"/>
        <v>2094.2822646863815</v>
      </c>
    </row>
    <row r="800" spans="1:7" x14ac:dyDescent="0.6">
      <c r="A800" s="22">
        <v>33970</v>
      </c>
      <c r="B800" s="23">
        <v>9.300000000000001E-3</v>
      </c>
      <c r="C800" s="23">
        <v>2.0299999999999999E-2</v>
      </c>
      <c r="D800" s="23">
        <v>5.8700000000000002E-2</v>
      </c>
      <c r="E800" s="24">
        <f t="shared" si="37"/>
        <v>5151.0810589578687</v>
      </c>
      <c r="F800" s="24">
        <f t="shared" si="38"/>
        <v>443.59116538211549</v>
      </c>
      <c r="G800" s="24">
        <f t="shared" si="39"/>
        <v>2217.2166336234723</v>
      </c>
    </row>
    <row r="801" spans="1:7" x14ac:dyDescent="0.6">
      <c r="A801" s="22">
        <v>34001</v>
      </c>
      <c r="B801" s="23">
        <v>1.1999999999999997E-3</v>
      </c>
      <c r="C801" s="23">
        <v>-3.4300000000000004E-2</v>
      </c>
      <c r="D801" s="23">
        <v>6.4199999999999993E-2</v>
      </c>
      <c r="E801" s="24">
        <f t="shared" si="37"/>
        <v>5157.262356228619</v>
      </c>
      <c r="F801" s="24">
        <f t="shared" si="38"/>
        <v>428.37598840950892</v>
      </c>
      <c r="G801" s="24">
        <f t="shared" si="39"/>
        <v>2359.5619415020992</v>
      </c>
    </row>
    <row r="802" spans="1:7" x14ac:dyDescent="0.6">
      <c r="A802" s="22">
        <v>34029</v>
      </c>
      <c r="B802" s="23">
        <v>2.3E-2</v>
      </c>
      <c r="C802" s="23">
        <v>2.3E-3</v>
      </c>
      <c r="D802" s="23">
        <v>1.2199999999999999E-2</v>
      </c>
      <c r="E802" s="24">
        <f t="shared" si="37"/>
        <v>5275.8793904218765</v>
      </c>
      <c r="F802" s="24">
        <f t="shared" si="38"/>
        <v>429.36125318285076</v>
      </c>
      <c r="G802" s="24">
        <f t="shared" si="39"/>
        <v>2388.3485971884247</v>
      </c>
    </row>
    <row r="803" spans="1:7" x14ac:dyDescent="0.6">
      <c r="A803" s="22">
        <v>34060</v>
      </c>
      <c r="B803" s="23">
        <v>-3.0499999999999996E-2</v>
      </c>
      <c r="C803" s="23">
        <v>-6.9999999999999993E-3</v>
      </c>
      <c r="D803" s="23">
        <v>2.6099999999999998E-2</v>
      </c>
      <c r="E803" s="24">
        <f t="shared" si="37"/>
        <v>5114.9650690140097</v>
      </c>
      <c r="F803" s="24">
        <f t="shared" si="38"/>
        <v>426.35572441057082</v>
      </c>
      <c r="G803" s="24">
        <f t="shared" si="39"/>
        <v>2450.6844955750425</v>
      </c>
    </row>
    <row r="804" spans="1:7" x14ac:dyDescent="0.6">
      <c r="A804" s="22">
        <v>34090</v>
      </c>
      <c r="B804" s="23">
        <v>2.8900000000000002E-2</v>
      </c>
      <c r="C804" s="23">
        <v>1.9599999999999999E-2</v>
      </c>
      <c r="D804" s="23">
        <v>-3.4099999999999998E-2</v>
      </c>
      <c r="E804" s="24">
        <f t="shared" si="37"/>
        <v>5262.7875595085143</v>
      </c>
      <c r="F804" s="24">
        <f t="shared" si="38"/>
        <v>434.71229660901804</v>
      </c>
      <c r="G804" s="24">
        <f t="shared" si="39"/>
        <v>2367.1161542759337</v>
      </c>
    </row>
    <row r="805" spans="1:7" x14ac:dyDescent="0.6">
      <c r="A805" s="22">
        <v>34121</v>
      </c>
      <c r="B805" s="23">
        <v>3.1000000000000008E-3</v>
      </c>
      <c r="C805" s="23">
        <v>-3.0000000000000001E-3</v>
      </c>
      <c r="D805" s="23">
        <v>2.6099999999999998E-2</v>
      </c>
      <c r="E805" s="24">
        <f t="shared" si="37"/>
        <v>5279.1022009429917</v>
      </c>
      <c r="F805" s="24">
        <f t="shared" si="38"/>
        <v>433.40815971919096</v>
      </c>
      <c r="G805" s="24">
        <f t="shared" si="39"/>
        <v>2428.8978859025356</v>
      </c>
    </row>
    <row r="806" spans="1:7" x14ac:dyDescent="0.6">
      <c r="A806" s="22">
        <v>34151</v>
      </c>
      <c r="B806" s="23">
        <v>-3.4000000000000002E-3</v>
      </c>
      <c r="C806" s="23">
        <v>9.300000000000001E-3</v>
      </c>
      <c r="D806" s="23">
        <v>3.2400000000000005E-2</v>
      </c>
      <c r="E806" s="24">
        <f t="shared" si="37"/>
        <v>5261.1532534597854</v>
      </c>
      <c r="F806" s="24">
        <f t="shared" si="38"/>
        <v>437.43885560457949</v>
      </c>
      <c r="G806" s="24">
        <f t="shared" si="39"/>
        <v>2507.5941774057778</v>
      </c>
    </row>
    <row r="807" spans="1:7" x14ac:dyDescent="0.6">
      <c r="A807" s="22">
        <v>34182</v>
      </c>
      <c r="B807" s="23">
        <v>3.7099999999999994E-2</v>
      </c>
      <c r="C807" s="23">
        <v>3.2000000000000002E-3</v>
      </c>
      <c r="D807" s="23">
        <v>-4.5000000000000005E-3</v>
      </c>
      <c r="E807" s="24">
        <f t="shared" si="37"/>
        <v>5456.3420391631435</v>
      </c>
      <c r="F807" s="24">
        <f t="shared" si="38"/>
        <v>438.8386599425142</v>
      </c>
      <c r="G807" s="24">
        <f t="shared" si="39"/>
        <v>2496.310003607452</v>
      </c>
    </row>
    <row r="808" spans="1:7" x14ac:dyDescent="0.6">
      <c r="A808" s="22">
        <v>34213</v>
      </c>
      <c r="B808" s="23">
        <v>-1.1999999999999997E-3</v>
      </c>
      <c r="C808" s="23">
        <v>3.1099999999999999E-2</v>
      </c>
      <c r="D808" s="23">
        <v>-4.5000000000000005E-3</v>
      </c>
      <c r="E808" s="24">
        <f t="shared" si="37"/>
        <v>5449.7944287161481</v>
      </c>
      <c r="F808" s="24">
        <f t="shared" si="38"/>
        <v>452.48654226672636</v>
      </c>
      <c r="G808" s="24">
        <f t="shared" si="39"/>
        <v>2485.0766085912187</v>
      </c>
    </row>
    <row r="809" spans="1:7" x14ac:dyDescent="0.6">
      <c r="A809" s="22">
        <v>34243</v>
      </c>
      <c r="B809" s="23">
        <v>1.4099999999999998E-2</v>
      </c>
      <c r="C809" s="23">
        <v>1.4499999999999999E-2</v>
      </c>
      <c r="D809" s="23">
        <v>-1.54E-2</v>
      </c>
      <c r="E809" s="24">
        <f t="shared" si="37"/>
        <v>5526.6365301610458</v>
      </c>
      <c r="F809" s="24">
        <f t="shared" si="38"/>
        <v>459.0475971295939</v>
      </c>
      <c r="G809" s="24">
        <f t="shared" si="39"/>
        <v>2446.8064288189139</v>
      </c>
    </row>
    <row r="810" spans="1:7" x14ac:dyDescent="0.6">
      <c r="A810" s="22">
        <v>34274</v>
      </c>
      <c r="B810" s="23">
        <v>-1.8899999999999997E-2</v>
      </c>
      <c r="C810" s="23">
        <v>-1.43E-2</v>
      </c>
      <c r="D810" s="23">
        <v>-2.7000000000000001E-3</v>
      </c>
      <c r="E810" s="24">
        <f t="shared" si="37"/>
        <v>5422.1830997410016</v>
      </c>
      <c r="F810" s="24">
        <f t="shared" si="38"/>
        <v>452.4832164906407</v>
      </c>
      <c r="G810" s="24">
        <f t="shared" si="39"/>
        <v>2440.2000514611027</v>
      </c>
    </row>
    <row r="811" spans="1:7" x14ac:dyDescent="0.6">
      <c r="A811" s="22">
        <v>34304</v>
      </c>
      <c r="B811" s="23">
        <v>1.6499999999999997E-2</v>
      </c>
      <c r="C811" s="23">
        <v>1.2199999999999999E-2</v>
      </c>
      <c r="D811" s="23">
        <v>5.6999999999999993E-3</v>
      </c>
      <c r="E811" s="24">
        <f t="shared" si="37"/>
        <v>5511.6491208867283</v>
      </c>
      <c r="F811" s="24">
        <f t="shared" si="38"/>
        <v>458.00351173182651</v>
      </c>
      <c r="G811" s="24">
        <f t="shared" si="39"/>
        <v>2454.1091917544309</v>
      </c>
    </row>
    <row r="812" spans="1:7" x14ac:dyDescent="0.6">
      <c r="A812" s="22">
        <v>34335</v>
      </c>
      <c r="B812" s="23">
        <v>2.8700000000000003E-2</v>
      </c>
      <c r="C812" s="23">
        <v>1.4000000000000002E-3</v>
      </c>
      <c r="D812" s="23">
        <v>2.0899999999999998E-2</v>
      </c>
      <c r="E812" s="24">
        <f t="shared" si="37"/>
        <v>5669.8334506561769</v>
      </c>
      <c r="F812" s="24">
        <f t="shared" si="38"/>
        <v>458.64471664825112</v>
      </c>
      <c r="G812" s="24">
        <f t="shared" si="39"/>
        <v>2505.4000738620985</v>
      </c>
    </row>
    <row r="813" spans="1:7" x14ac:dyDescent="0.6">
      <c r="A813" s="22">
        <v>34366</v>
      </c>
      <c r="B813" s="23">
        <v>-2.5499999999999998E-2</v>
      </c>
      <c r="C813" s="23">
        <v>2.7300000000000001E-2</v>
      </c>
      <c r="D813" s="23">
        <v>-1.44E-2</v>
      </c>
      <c r="E813" s="24">
        <f t="shared" si="37"/>
        <v>5525.2526976644449</v>
      </c>
      <c r="F813" s="24">
        <f t="shared" si="38"/>
        <v>471.16571741274845</v>
      </c>
      <c r="G813" s="24">
        <f t="shared" si="39"/>
        <v>2469.3223127984843</v>
      </c>
    </row>
    <row r="814" spans="1:7" x14ac:dyDescent="0.6">
      <c r="A814" s="22">
        <v>34394</v>
      </c>
      <c r="B814" s="23">
        <v>-4.7800000000000002E-2</v>
      </c>
      <c r="C814" s="23">
        <v>-9.7999999999999997E-3</v>
      </c>
      <c r="D814" s="23">
        <v>1.3100000000000001E-2</v>
      </c>
      <c r="E814" s="24">
        <f t="shared" si="37"/>
        <v>5261.1456187160848</v>
      </c>
      <c r="F814" s="24">
        <f t="shared" si="38"/>
        <v>466.54829338210351</v>
      </c>
      <c r="G814" s="24">
        <f t="shared" si="39"/>
        <v>2501.6704350961445</v>
      </c>
    </row>
    <row r="815" spans="1:7" x14ac:dyDescent="0.6">
      <c r="A815" s="22">
        <v>34425</v>
      </c>
      <c r="B815" s="23">
        <v>6.8000000000000014E-3</v>
      </c>
      <c r="C815" s="23">
        <v>-9.300000000000001E-3</v>
      </c>
      <c r="D815" s="23">
        <v>1.6799999999999999E-2</v>
      </c>
      <c r="E815" s="24">
        <f t="shared" si="37"/>
        <v>5296.9214089233537</v>
      </c>
      <c r="F815" s="24">
        <f t="shared" si="38"/>
        <v>462.20939425364998</v>
      </c>
      <c r="G815" s="24">
        <f t="shared" si="39"/>
        <v>2543.6984984057594</v>
      </c>
    </row>
    <row r="816" spans="1:7" x14ac:dyDescent="0.6">
      <c r="A816" s="22">
        <v>34455</v>
      </c>
      <c r="B816" s="23">
        <v>5.7999999999999979E-3</v>
      </c>
      <c r="C816" s="23">
        <v>-2.0199999999999999E-2</v>
      </c>
      <c r="D816" s="23">
        <v>2E-3</v>
      </c>
      <c r="E816" s="24">
        <f t="shared" si="37"/>
        <v>5327.6435530951094</v>
      </c>
      <c r="F816" s="24">
        <f t="shared" si="38"/>
        <v>452.87276448972625</v>
      </c>
      <c r="G816" s="24">
        <f t="shared" si="39"/>
        <v>2548.785895402571</v>
      </c>
    </row>
    <row r="817" spans="1:7" x14ac:dyDescent="0.6">
      <c r="A817" s="22">
        <v>34486</v>
      </c>
      <c r="B817" s="23">
        <v>-3.0299999999999997E-2</v>
      </c>
      <c r="C817" s="23">
        <v>-4.6999999999999993E-3</v>
      </c>
      <c r="D817" s="23">
        <v>1.6799999999999999E-2</v>
      </c>
      <c r="E817" s="24">
        <f t="shared" si="37"/>
        <v>5166.2159534363273</v>
      </c>
      <c r="F817" s="24">
        <f t="shared" si="38"/>
        <v>450.74426249662451</v>
      </c>
      <c r="G817" s="24">
        <f t="shared" si="39"/>
        <v>2591.605498445334</v>
      </c>
    </row>
    <row r="818" spans="1:7" x14ac:dyDescent="0.6">
      <c r="A818" s="22">
        <v>34516</v>
      </c>
      <c r="B818" s="23">
        <v>2.8199999999999996E-2</v>
      </c>
      <c r="C818" s="23">
        <v>-1.72E-2</v>
      </c>
      <c r="D818" s="23">
        <v>6.0000000000000001E-3</v>
      </c>
      <c r="E818" s="24">
        <f t="shared" ref="E818:E881" si="40">E817*(1+B818)</f>
        <v>5311.9032433232314</v>
      </c>
      <c r="F818" s="24">
        <f t="shared" ref="F818:F881" si="41">F817*(1+C818)</f>
        <v>442.99146118168255</v>
      </c>
      <c r="G818" s="24">
        <f t="shared" ref="G818:G881" si="42">G817*(1+D818)</f>
        <v>2607.1551314360058</v>
      </c>
    </row>
    <row r="819" spans="1:7" x14ac:dyDescent="0.6">
      <c r="A819" s="22">
        <v>34547</v>
      </c>
      <c r="B819" s="23">
        <v>4.0099999999999997E-2</v>
      </c>
      <c r="C819" s="23">
        <v>1.3300000000000001E-2</v>
      </c>
      <c r="D819" s="23">
        <v>-2.8300000000000002E-2</v>
      </c>
      <c r="E819" s="24">
        <f t="shared" si="40"/>
        <v>5524.9105633804929</v>
      </c>
      <c r="F819" s="24">
        <f t="shared" si="41"/>
        <v>448.88324761539894</v>
      </c>
      <c r="G819" s="24">
        <f t="shared" si="42"/>
        <v>2533.3726412163669</v>
      </c>
    </row>
    <row r="820" spans="1:7" x14ac:dyDescent="0.6">
      <c r="A820" s="22">
        <v>34578</v>
      </c>
      <c r="B820" s="23">
        <v>-2.3100000000000002E-2</v>
      </c>
      <c r="C820" s="23">
        <v>2.8199999999999999E-2</v>
      </c>
      <c r="D820" s="23">
        <v>-1.9099999999999999E-2</v>
      </c>
      <c r="E820" s="24">
        <f t="shared" si="40"/>
        <v>5397.2851293664035</v>
      </c>
      <c r="F820" s="24">
        <f t="shared" si="41"/>
        <v>461.54175519815317</v>
      </c>
      <c r="G820" s="24">
        <f t="shared" si="42"/>
        <v>2484.9852237691343</v>
      </c>
    </row>
    <row r="821" spans="1:7" x14ac:dyDescent="0.6">
      <c r="A821" s="22">
        <v>34608</v>
      </c>
      <c r="B821" s="23">
        <v>1.3400000000000004E-2</v>
      </c>
      <c r="C821" s="23">
        <v>-2.3599999999999999E-2</v>
      </c>
      <c r="D821" s="23">
        <v>-1.7500000000000002E-2</v>
      </c>
      <c r="E821" s="24">
        <f t="shared" si="40"/>
        <v>5469.6087500999138</v>
      </c>
      <c r="F821" s="24">
        <f t="shared" si="41"/>
        <v>450.64936977547677</v>
      </c>
      <c r="G821" s="24">
        <f t="shared" si="42"/>
        <v>2441.4979823531744</v>
      </c>
    </row>
    <row r="822" spans="1:7" x14ac:dyDescent="0.6">
      <c r="A822" s="22">
        <v>34639</v>
      </c>
      <c r="B822" s="23">
        <v>-4.0399999999999998E-2</v>
      </c>
      <c r="C822" s="23">
        <v>2.7000000000000001E-3</v>
      </c>
      <c r="D822" s="23">
        <v>-9.4999999999999998E-3</v>
      </c>
      <c r="E822" s="24">
        <f t="shared" si="40"/>
        <v>5248.6365565958777</v>
      </c>
      <c r="F822" s="24">
        <f t="shared" si="41"/>
        <v>451.86612307387054</v>
      </c>
      <c r="G822" s="24">
        <f t="shared" si="42"/>
        <v>2418.3037515208193</v>
      </c>
    </row>
    <row r="823" spans="1:7" x14ac:dyDescent="0.6">
      <c r="A823" s="22">
        <v>34669</v>
      </c>
      <c r="B823" s="23">
        <v>8.6E-3</v>
      </c>
      <c r="C823" s="23">
        <v>2.9999999999999997E-4</v>
      </c>
      <c r="D823" s="23">
        <v>5.3E-3</v>
      </c>
      <c r="E823" s="24">
        <f t="shared" si="40"/>
        <v>5293.774830982602</v>
      </c>
      <c r="F823" s="24">
        <f t="shared" si="41"/>
        <v>452.00168291079268</v>
      </c>
      <c r="G823" s="24">
        <f t="shared" si="42"/>
        <v>2431.1207614038799</v>
      </c>
    </row>
    <row r="824" spans="1:7" x14ac:dyDescent="0.6">
      <c r="A824" s="22">
        <v>34700</v>
      </c>
      <c r="B824" s="23">
        <v>1.8000000000000002E-2</v>
      </c>
      <c r="C824" s="23">
        <v>-2.6499999999999999E-2</v>
      </c>
      <c r="D824" s="23">
        <v>8.199999999999999E-3</v>
      </c>
      <c r="E824" s="24">
        <f t="shared" si="40"/>
        <v>5389.0627779402885</v>
      </c>
      <c r="F824" s="24">
        <f t="shared" si="41"/>
        <v>440.0236383136567</v>
      </c>
      <c r="G824" s="24">
        <f t="shared" si="42"/>
        <v>2451.0559516473918</v>
      </c>
    </row>
    <row r="825" spans="1:7" x14ac:dyDescent="0.6">
      <c r="A825" s="22">
        <v>34731</v>
      </c>
      <c r="B825" s="23">
        <v>3.6299999999999999E-2</v>
      </c>
      <c r="C825" s="23">
        <v>-6.8999999999999999E-3</v>
      </c>
      <c r="D825" s="23">
        <v>1.0500000000000001E-2</v>
      </c>
      <c r="E825" s="24">
        <f t="shared" si="40"/>
        <v>5584.6857567795205</v>
      </c>
      <c r="F825" s="24">
        <f t="shared" si="41"/>
        <v>436.98747520929248</v>
      </c>
      <c r="G825" s="24">
        <f t="shared" si="42"/>
        <v>2476.7920391396892</v>
      </c>
    </row>
    <row r="826" spans="1:7" x14ac:dyDescent="0.6">
      <c r="A826" s="22">
        <v>34759</v>
      </c>
      <c r="B826" s="23">
        <v>2.1899999999999999E-2</v>
      </c>
      <c r="C826" s="23">
        <v>-6.9999999999999993E-3</v>
      </c>
      <c r="D826" s="23">
        <v>-1.0700000000000001E-2</v>
      </c>
      <c r="E826" s="24">
        <f t="shared" si="40"/>
        <v>5706.9903748529923</v>
      </c>
      <c r="F826" s="24">
        <f t="shared" si="41"/>
        <v>433.92856288282741</v>
      </c>
      <c r="G826" s="24">
        <f t="shared" si="42"/>
        <v>2450.2903643208942</v>
      </c>
    </row>
    <row r="827" spans="1:7" x14ac:dyDescent="0.6">
      <c r="A827" s="22">
        <v>34790</v>
      </c>
      <c r="B827" s="23">
        <v>2.1099999999999997E-2</v>
      </c>
      <c r="C827" s="23">
        <v>-6.3E-3</v>
      </c>
      <c r="D827" s="23">
        <v>2.2499999999999999E-2</v>
      </c>
      <c r="E827" s="24">
        <f t="shared" si="40"/>
        <v>5827.4078717623897</v>
      </c>
      <c r="F827" s="24">
        <f t="shared" si="41"/>
        <v>431.19481293666558</v>
      </c>
      <c r="G827" s="24">
        <f t="shared" si="42"/>
        <v>2505.4218975181143</v>
      </c>
    </row>
    <row r="828" spans="1:7" x14ac:dyDescent="0.6">
      <c r="A828" s="22">
        <v>34820</v>
      </c>
      <c r="B828" s="23">
        <v>2.8999999999999998E-2</v>
      </c>
      <c r="C828" s="23">
        <v>-2.2000000000000002E-2</v>
      </c>
      <c r="D828" s="23">
        <v>1.6899999999999998E-2</v>
      </c>
      <c r="E828" s="24">
        <f t="shared" si="40"/>
        <v>5996.402700043499</v>
      </c>
      <c r="F828" s="24">
        <f t="shared" si="41"/>
        <v>421.70852705205891</v>
      </c>
      <c r="G828" s="24">
        <f t="shared" si="42"/>
        <v>2547.7635275861703</v>
      </c>
    </row>
    <row r="829" spans="1:7" x14ac:dyDescent="0.6">
      <c r="A829" s="22">
        <v>34851</v>
      </c>
      <c r="B829" s="23">
        <v>2.7200000000000005E-2</v>
      </c>
      <c r="C829" s="23">
        <v>2.9300000000000003E-2</v>
      </c>
      <c r="D829" s="23">
        <v>-2.2700000000000001E-2</v>
      </c>
      <c r="E829" s="24">
        <f t="shared" si="40"/>
        <v>6159.5048534846828</v>
      </c>
      <c r="F829" s="24">
        <f t="shared" si="41"/>
        <v>434.06458689468428</v>
      </c>
      <c r="G829" s="24">
        <f t="shared" si="42"/>
        <v>2489.929295509964</v>
      </c>
    </row>
    <row r="830" spans="1:7" x14ac:dyDescent="0.6">
      <c r="A830" s="22">
        <v>34881</v>
      </c>
      <c r="B830" s="23">
        <v>3.7199999999999997E-2</v>
      </c>
      <c r="C830" s="23">
        <v>2.0899999999999998E-2</v>
      </c>
      <c r="D830" s="23">
        <v>-1.6899999999999998E-2</v>
      </c>
      <c r="E830" s="24">
        <f t="shared" si="40"/>
        <v>6388.638434034312</v>
      </c>
      <c r="F830" s="24">
        <f t="shared" si="41"/>
        <v>443.13653676078314</v>
      </c>
      <c r="G830" s="24">
        <f t="shared" si="42"/>
        <v>2447.8494904158456</v>
      </c>
    </row>
    <row r="831" spans="1:7" x14ac:dyDescent="0.6">
      <c r="A831" s="22">
        <v>34912</v>
      </c>
      <c r="B831" s="23">
        <v>5.5000000000000014E-3</v>
      </c>
      <c r="C831" s="23">
        <v>1.6E-2</v>
      </c>
      <c r="D831" s="23">
        <v>2.7099999999999999E-2</v>
      </c>
      <c r="E831" s="24">
        <f t="shared" si="40"/>
        <v>6423.7759454215011</v>
      </c>
      <c r="F831" s="24">
        <f t="shared" si="41"/>
        <v>450.22672134895566</v>
      </c>
      <c r="G831" s="24">
        <f t="shared" si="42"/>
        <v>2514.1862116061147</v>
      </c>
    </row>
    <row r="832" spans="1:7" x14ac:dyDescent="0.6">
      <c r="A832" s="22">
        <v>34943</v>
      </c>
      <c r="B832" s="23">
        <v>3.3500000000000002E-2</v>
      </c>
      <c r="C832" s="23">
        <v>-2.1099999999999997E-2</v>
      </c>
      <c r="D832" s="23">
        <v>-7.7000000000000002E-3</v>
      </c>
      <c r="E832" s="24">
        <f t="shared" si="40"/>
        <v>6638.9724395931216</v>
      </c>
      <c r="F832" s="24">
        <f t="shared" si="41"/>
        <v>440.72693752849267</v>
      </c>
      <c r="G832" s="24">
        <f t="shared" si="42"/>
        <v>2494.8269777767478</v>
      </c>
    </row>
    <row r="833" spans="1:7" x14ac:dyDescent="0.6">
      <c r="A833" s="22">
        <v>34973</v>
      </c>
      <c r="B833" s="23">
        <v>-1.52E-2</v>
      </c>
      <c r="C833" s="23">
        <v>-3.7400000000000003E-2</v>
      </c>
      <c r="D833" s="23">
        <v>-7.4999999999999997E-3</v>
      </c>
      <c r="E833" s="24">
        <f t="shared" si="40"/>
        <v>6538.0600585113061</v>
      </c>
      <c r="F833" s="24">
        <f t="shared" si="41"/>
        <v>424.24375006492704</v>
      </c>
      <c r="G833" s="24">
        <f t="shared" si="42"/>
        <v>2476.1157754434221</v>
      </c>
    </row>
    <row r="834" spans="1:7" x14ac:dyDescent="0.6">
      <c r="A834" s="22">
        <v>35004</v>
      </c>
      <c r="B834" s="23">
        <v>3.9599999999999996E-2</v>
      </c>
      <c r="C834" s="23">
        <v>-1.1599999999999999E-2</v>
      </c>
      <c r="D834" s="23">
        <v>9.3999999999999986E-3</v>
      </c>
      <c r="E834" s="24">
        <f t="shared" si="40"/>
        <v>6796.9672368283545</v>
      </c>
      <c r="F834" s="24">
        <f t="shared" si="41"/>
        <v>419.32252256417388</v>
      </c>
      <c r="G834" s="24">
        <f t="shared" si="42"/>
        <v>2499.3912637325902</v>
      </c>
    </row>
    <row r="835" spans="1:7" x14ac:dyDescent="0.6">
      <c r="A835" s="22">
        <v>35034</v>
      </c>
      <c r="B835" s="23">
        <v>1.03E-2</v>
      </c>
      <c r="C835" s="23">
        <v>5.6999999999999993E-3</v>
      </c>
      <c r="D835" s="23">
        <v>8.5000000000000006E-3</v>
      </c>
      <c r="E835" s="24">
        <f t="shared" si="40"/>
        <v>6866.9759993676862</v>
      </c>
      <c r="F835" s="24">
        <f t="shared" si="41"/>
        <v>421.71266094278968</v>
      </c>
      <c r="G835" s="24">
        <f t="shared" si="42"/>
        <v>2520.636089474317</v>
      </c>
    </row>
    <row r="836" spans="1:7" x14ac:dyDescent="0.6">
      <c r="A836" s="22">
        <v>35065</v>
      </c>
      <c r="B836" s="23">
        <v>2.2600000000000002E-2</v>
      </c>
      <c r="C836" s="23">
        <v>-2.6099999999999998E-2</v>
      </c>
      <c r="D836" s="23">
        <v>3.2000000000000002E-3</v>
      </c>
      <c r="E836" s="24">
        <f t="shared" si="40"/>
        <v>7022.169656953396</v>
      </c>
      <c r="F836" s="24">
        <f t="shared" si="41"/>
        <v>410.70596049218284</v>
      </c>
      <c r="G836" s="24">
        <f t="shared" si="42"/>
        <v>2528.702124960635</v>
      </c>
    </row>
    <row r="837" spans="1:7" x14ac:dyDescent="0.6">
      <c r="A837" s="22">
        <v>35096</v>
      </c>
      <c r="B837" s="23">
        <v>1.3300000000000003E-2</v>
      </c>
      <c r="C837" s="23">
        <v>1.8700000000000001E-2</v>
      </c>
      <c r="D837" s="23">
        <v>-1.43E-2</v>
      </c>
      <c r="E837" s="24">
        <f t="shared" si="40"/>
        <v>7115.5645133908765</v>
      </c>
      <c r="F837" s="24">
        <f t="shared" si="41"/>
        <v>418.38616195338665</v>
      </c>
      <c r="G837" s="24">
        <f t="shared" si="42"/>
        <v>2492.5416845736981</v>
      </c>
    </row>
    <row r="838" spans="1:7" x14ac:dyDescent="0.6">
      <c r="A838" s="22">
        <v>35125</v>
      </c>
      <c r="B838" s="23">
        <v>7.3000000000000009E-3</v>
      </c>
      <c r="C838" s="23">
        <v>1.3000000000000001E-2</v>
      </c>
      <c r="D838" s="23">
        <v>9.8999999999999991E-3</v>
      </c>
      <c r="E838" s="24">
        <f t="shared" si="40"/>
        <v>7167.508134338631</v>
      </c>
      <c r="F838" s="24">
        <f t="shared" si="41"/>
        <v>423.82518205878063</v>
      </c>
      <c r="G838" s="24">
        <f t="shared" si="42"/>
        <v>2517.2178472509777</v>
      </c>
    </row>
    <row r="839" spans="1:7" x14ac:dyDescent="0.6">
      <c r="A839" s="22">
        <v>35156</v>
      </c>
      <c r="B839" s="23">
        <v>2.06E-2</v>
      </c>
      <c r="C839" s="23">
        <v>4.9100000000000005E-2</v>
      </c>
      <c r="D839" s="23">
        <v>-3.9E-2</v>
      </c>
      <c r="E839" s="24">
        <f t="shared" si="40"/>
        <v>7315.1588019060064</v>
      </c>
      <c r="F839" s="24">
        <f t="shared" si="41"/>
        <v>444.63499849786672</v>
      </c>
      <c r="G839" s="24">
        <f t="shared" si="42"/>
        <v>2419.0463512081897</v>
      </c>
    </row>
    <row r="840" spans="1:7" x14ac:dyDescent="0.6">
      <c r="A840" s="22">
        <v>35186</v>
      </c>
      <c r="B840" s="23">
        <v>2.3599999999999999E-2</v>
      </c>
      <c r="C840" s="23">
        <v>3.0299999999999997E-2</v>
      </c>
      <c r="D840" s="23">
        <v>-1.21E-2</v>
      </c>
      <c r="E840" s="24">
        <f t="shared" si="40"/>
        <v>7487.7965496309889</v>
      </c>
      <c r="F840" s="24">
        <f t="shared" si="41"/>
        <v>458.10743895235208</v>
      </c>
      <c r="G840" s="24">
        <f t="shared" si="42"/>
        <v>2389.7758903585705</v>
      </c>
    </row>
    <row r="841" spans="1:7" x14ac:dyDescent="0.6">
      <c r="A841" s="22">
        <v>35217</v>
      </c>
      <c r="B841" s="23">
        <v>-1.1399999999999999E-2</v>
      </c>
      <c r="C841" s="23">
        <v>-3.5799999999999998E-2</v>
      </c>
      <c r="D841" s="23">
        <v>1.55E-2</v>
      </c>
      <c r="E841" s="24">
        <f t="shared" si="40"/>
        <v>7402.4356689651959</v>
      </c>
      <c r="F841" s="24">
        <f t="shared" si="41"/>
        <v>441.70719263785787</v>
      </c>
      <c r="G841" s="24">
        <f t="shared" si="42"/>
        <v>2426.8174166591284</v>
      </c>
    </row>
    <row r="842" spans="1:7" x14ac:dyDescent="0.6">
      <c r="A842" s="22">
        <v>35247</v>
      </c>
      <c r="B842" s="23">
        <v>-5.9700000000000003E-2</v>
      </c>
      <c r="C842" s="23">
        <v>-3.8300000000000001E-2</v>
      </c>
      <c r="D842" s="23">
        <v>4.4199999999999996E-2</v>
      </c>
      <c r="E842" s="24">
        <f t="shared" si="40"/>
        <v>6960.5102595279741</v>
      </c>
      <c r="F842" s="24">
        <f t="shared" si="41"/>
        <v>424.78980715982789</v>
      </c>
      <c r="G842" s="24">
        <f t="shared" si="42"/>
        <v>2534.082746475462</v>
      </c>
    </row>
    <row r="843" spans="1:7" x14ac:dyDescent="0.6">
      <c r="A843" s="22">
        <v>35278</v>
      </c>
      <c r="B843" s="23">
        <v>2.7700000000000002E-2</v>
      </c>
      <c r="C843" s="23">
        <v>2.29E-2</v>
      </c>
      <c r="D843" s="23">
        <v>-4.3E-3</v>
      </c>
      <c r="E843" s="24">
        <f t="shared" si="40"/>
        <v>7153.3163937168993</v>
      </c>
      <c r="F843" s="24">
        <f t="shared" si="41"/>
        <v>434.5174937437879</v>
      </c>
      <c r="G843" s="24">
        <f t="shared" si="42"/>
        <v>2523.1861906656177</v>
      </c>
    </row>
    <row r="844" spans="1:7" x14ac:dyDescent="0.6">
      <c r="A844" s="22">
        <v>35309</v>
      </c>
      <c r="B844" s="23">
        <v>5.0099999999999999E-2</v>
      </c>
      <c r="C844" s="23">
        <v>-8.6999999999999994E-3</v>
      </c>
      <c r="D844" s="23">
        <v>-3.1200000000000002E-2</v>
      </c>
      <c r="E844" s="24">
        <f t="shared" si="40"/>
        <v>7511.697545042116</v>
      </c>
      <c r="F844" s="24">
        <f t="shared" si="41"/>
        <v>430.73719154821691</v>
      </c>
      <c r="G844" s="24">
        <f t="shared" si="42"/>
        <v>2444.4627815168506</v>
      </c>
    </row>
    <row r="845" spans="1:7" x14ac:dyDescent="0.6">
      <c r="A845" s="22">
        <v>35339</v>
      </c>
      <c r="B845" s="23">
        <v>8.6E-3</v>
      </c>
      <c r="C845" s="23">
        <v>-4.4699999999999997E-2</v>
      </c>
      <c r="D845" s="23">
        <v>5.0999999999999997E-2</v>
      </c>
      <c r="E845" s="24">
        <f t="shared" si="40"/>
        <v>7576.2981439294781</v>
      </c>
      <c r="F845" s="24">
        <f t="shared" si="41"/>
        <v>411.48323908601162</v>
      </c>
      <c r="G845" s="24">
        <f t="shared" si="42"/>
        <v>2569.1303833742099</v>
      </c>
    </row>
    <row r="846" spans="1:7" x14ac:dyDescent="0.6">
      <c r="A846" s="22">
        <v>35370</v>
      </c>
      <c r="B846" s="23">
        <v>6.25E-2</v>
      </c>
      <c r="C846" s="23">
        <v>-3.9100000000000003E-2</v>
      </c>
      <c r="D846" s="23">
        <v>1.21E-2</v>
      </c>
      <c r="E846" s="24">
        <f t="shared" si="40"/>
        <v>8049.8167779250707</v>
      </c>
      <c r="F846" s="24">
        <f t="shared" si="41"/>
        <v>395.39424443774857</v>
      </c>
      <c r="G846" s="24">
        <f t="shared" si="42"/>
        <v>2600.2168610130379</v>
      </c>
    </row>
    <row r="847" spans="1:7" x14ac:dyDescent="0.6">
      <c r="A847" s="22">
        <v>35400</v>
      </c>
      <c r="B847" s="23">
        <v>-1.7000000000000001E-2</v>
      </c>
      <c r="C847" s="23">
        <v>3.2099999999999997E-2</v>
      </c>
      <c r="D847" s="23">
        <v>8.6999999999999994E-3</v>
      </c>
      <c r="E847" s="24">
        <f t="shared" si="40"/>
        <v>7912.9698927003446</v>
      </c>
      <c r="F847" s="24">
        <f t="shared" si="41"/>
        <v>408.08639968420033</v>
      </c>
      <c r="G847" s="24">
        <f t="shared" si="42"/>
        <v>2622.8387477038514</v>
      </c>
    </row>
    <row r="848" spans="1:7" x14ac:dyDescent="0.6">
      <c r="A848" s="22">
        <v>35431</v>
      </c>
      <c r="B848" s="23">
        <v>4.9800000000000011E-2</v>
      </c>
      <c r="C848" s="23">
        <v>-1.84E-2</v>
      </c>
      <c r="D848" s="23">
        <v>-1.6500000000000001E-2</v>
      </c>
      <c r="E848" s="24">
        <f t="shared" si="40"/>
        <v>8307.035793356823</v>
      </c>
      <c r="F848" s="24">
        <f t="shared" si="41"/>
        <v>400.57760993001108</v>
      </c>
      <c r="G848" s="24">
        <f t="shared" si="42"/>
        <v>2579.561908366738</v>
      </c>
    </row>
    <row r="849" spans="1:7" x14ac:dyDescent="0.6">
      <c r="A849" s="22">
        <v>35462</v>
      </c>
      <c r="B849" s="23">
        <v>-4.8999999999999998E-3</v>
      </c>
      <c r="C849" s="23">
        <v>-2.9100000000000001E-2</v>
      </c>
      <c r="D849" s="23">
        <v>5.1900000000000002E-2</v>
      </c>
      <c r="E849" s="24">
        <f t="shared" si="40"/>
        <v>8266.3313179693741</v>
      </c>
      <c r="F849" s="24">
        <f t="shared" si="41"/>
        <v>388.92080148104776</v>
      </c>
      <c r="G849" s="24">
        <f t="shared" si="42"/>
        <v>2713.4411714109719</v>
      </c>
    </row>
    <row r="850" spans="1:7" x14ac:dyDescent="0.6">
      <c r="A850" s="22">
        <v>35490</v>
      </c>
      <c r="B850" s="23">
        <v>-5.0199999999999995E-2</v>
      </c>
      <c r="C850" s="23">
        <v>-3.8E-3</v>
      </c>
      <c r="D850" s="23">
        <v>3.7699999999999997E-2</v>
      </c>
      <c r="E850" s="24">
        <f t="shared" si="40"/>
        <v>7851.3614858073115</v>
      </c>
      <c r="F850" s="24">
        <f t="shared" si="41"/>
        <v>387.4429024354198</v>
      </c>
      <c r="G850" s="24">
        <f t="shared" si="42"/>
        <v>2815.7379035731656</v>
      </c>
    </row>
    <row r="851" spans="1:7" x14ac:dyDescent="0.6">
      <c r="A851" s="22">
        <v>35521</v>
      </c>
      <c r="B851" s="23">
        <v>4.0399999999999998E-2</v>
      </c>
      <c r="C851" s="23">
        <v>-5.6500000000000002E-2</v>
      </c>
      <c r="D851" s="23">
        <v>-7.000000000000001E-4</v>
      </c>
      <c r="E851" s="24">
        <f t="shared" si="40"/>
        <v>8168.5564898339271</v>
      </c>
      <c r="F851" s="24">
        <f t="shared" si="41"/>
        <v>365.55237844781857</v>
      </c>
      <c r="G851" s="24">
        <f t="shared" si="42"/>
        <v>2813.7668870406642</v>
      </c>
    </row>
    <row r="852" spans="1:7" x14ac:dyDescent="0.6">
      <c r="A852" s="22">
        <v>35551</v>
      </c>
      <c r="B852" s="23">
        <v>6.7400000000000002E-2</v>
      </c>
      <c r="C852" s="23">
        <v>4.9299999999999997E-2</v>
      </c>
      <c r="D852" s="23">
        <v>-3.9100000000000003E-2</v>
      </c>
      <c r="E852" s="24">
        <f t="shared" si="40"/>
        <v>8719.1171972487336</v>
      </c>
      <c r="F852" s="24">
        <f t="shared" si="41"/>
        <v>383.57411070529599</v>
      </c>
      <c r="G852" s="24">
        <f t="shared" si="42"/>
        <v>2703.7486017573742</v>
      </c>
    </row>
    <row r="853" spans="1:7" x14ac:dyDescent="0.6">
      <c r="A853" s="22">
        <v>35582</v>
      </c>
      <c r="B853" s="23">
        <v>4.0999999999999995E-2</v>
      </c>
      <c r="C853" s="23">
        <v>1.34E-2</v>
      </c>
      <c r="D853" s="23">
        <v>1.21E-2</v>
      </c>
      <c r="E853" s="24">
        <f t="shared" si="40"/>
        <v>9076.6010023359304</v>
      </c>
      <c r="F853" s="24">
        <f t="shared" si="41"/>
        <v>388.71400378874699</v>
      </c>
      <c r="G853" s="24">
        <f t="shared" si="42"/>
        <v>2736.4639598386384</v>
      </c>
    </row>
    <row r="854" spans="1:7" x14ac:dyDescent="0.6">
      <c r="A854" s="22">
        <v>35612</v>
      </c>
      <c r="B854" s="23">
        <v>7.3300000000000004E-2</v>
      </c>
      <c r="C854" s="23">
        <v>-2.7999999999999997E-2</v>
      </c>
      <c r="D854" s="23">
        <v>8.8999999999999999E-3</v>
      </c>
      <c r="E854" s="24">
        <f t="shared" si="40"/>
        <v>9741.915855807154</v>
      </c>
      <c r="F854" s="24">
        <f t="shared" si="41"/>
        <v>377.83001168266208</v>
      </c>
      <c r="G854" s="24">
        <f t="shared" si="42"/>
        <v>2760.8184890812022</v>
      </c>
    </row>
    <row r="855" spans="1:7" x14ac:dyDescent="0.6">
      <c r="A855" s="22">
        <v>35643</v>
      </c>
      <c r="B855" s="23">
        <v>-4.1500000000000002E-2</v>
      </c>
      <c r="C855" s="23">
        <v>7.2999999999999995E-2</v>
      </c>
      <c r="D855" s="23">
        <v>1.37E-2</v>
      </c>
      <c r="E855" s="24">
        <f t="shared" si="40"/>
        <v>9337.626347791158</v>
      </c>
      <c r="F855" s="24">
        <f t="shared" si="41"/>
        <v>405.4116025354964</v>
      </c>
      <c r="G855" s="24">
        <f t="shared" si="42"/>
        <v>2798.6417023816148</v>
      </c>
    </row>
    <row r="856" spans="1:7" x14ac:dyDescent="0.6">
      <c r="A856" s="22">
        <v>35674</v>
      </c>
      <c r="B856" s="23">
        <v>5.3499999999999999E-2</v>
      </c>
      <c r="C856" s="23">
        <v>2.5899999999999999E-2</v>
      </c>
      <c r="D856" s="23">
        <v>4.0000000000000002E-4</v>
      </c>
      <c r="E856" s="24">
        <f t="shared" si="40"/>
        <v>9837.1893573979851</v>
      </c>
      <c r="F856" s="24">
        <f t="shared" si="41"/>
        <v>415.91176304116578</v>
      </c>
      <c r="G856" s="24">
        <f t="shared" si="42"/>
        <v>2799.7611590625675</v>
      </c>
    </row>
    <row r="857" spans="1:7" x14ac:dyDescent="0.6">
      <c r="A857" s="22">
        <v>35704</v>
      </c>
      <c r="B857" s="23">
        <v>-3.7999999999999999E-2</v>
      </c>
      <c r="C857" s="23">
        <v>-6.8000000000000005E-3</v>
      </c>
      <c r="D857" s="23">
        <v>1.9699999999999999E-2</v>
      </c>
      <c r="E857" s="24">
        <f t="shared" si="40"/>
        <v>9463.376161816861</v>
      </c>
      <c r="F857" s="24">
        <f t="shared" si="41"/>
        <v>413.08356305248583</v>
      </c>
      <c r="G857" s="24">
        <f t="shared" si="42"/>
        <v>2854.9164538961004</v>
      </c>
    </row>
    <row r="858" spans="1:7" x14ac:dyDescent="0.6">
      <c r="A858" s="22">
        <v>35735</v>
      </c>
      <c r="B858" s="23">
        <v>2.98E-2</v>
      </c>
      <c r="C858" s="23">
        <v>-4.9699999999999994E-2</v>
      </c>
      <c r="D858" s="23">
        <v>8.199999999999999E-3</v>
      </c>
      <c r="E858" s="24">
        <f t="shared" si="40"/>
        <v>9745.3847714390031</v>
      </c>
      <c r="F858" s="24">
        <f t="shared" si="41"/>
        <v>392.55330996877728</v>
      </c>
      <c r="G858" s="24">
        <f t="shared" si="42"/>
        <v>2878.3267688180485</v>
      </c>
    </row>
    <row r="859" spans="1:7" x14ac:dyDescent="0.6">
      <c r="A859" s="22">
        <v>35765</v>
      </c>
      <c r="B859" s="23">
        <v>1.3200000000000003E-2</v>
      </c>
      <c r="C859" s="23">
        <v>-2.3599999999999999E-2</v>
      </c>
      <c r="D859" s="23">
        <v>3.5099999999999999E-2</v>
      </c>
      <c r="E859" s="24">
        <f t="shared" si="40"/>
        <v>9874.0238504219997</v>
      </c>
      <c r="F859" s="24">
        <f t="shared" si="41"/>
        <v>383.28905185351414</v>
      </c>
      <c r="G859" s="24">
        <f t="shared" si="42"/>
        <v>2979.3560384035618</v>
      </c>
    </row>
    <row r="860" spans="1:7" x14ac:dyDescent="0.6">
      <c r="A860" s="22">
        <v>35796</v>
      </c>
      <c r="B860" s="23">
        <v>1.4999999999999996E-3</v>
      </c>
      <c r="C860" s="23">
        <v>-1.15E-2</v>
      </c>
      <c r="D860" s="23">
        <v>-1.4499999999999999E-2</v>
      </c>
      <c r="E860" s="24">
        <f t="shared" si="40"/>
        <v>9888.8348861976338</v>
      </c>
      <c r="F860" s="24">
        <f t="shared" si="41"/>
        <v>378.88122775719876</v>
      </c>
      <c r="G860" s="24">
        <f t="shared" si="42"/>
        <v>2936.1553758467103</v>
      </c>
    </row>
    <row r="861" spans="1:7" x14ac:dyDescent="0.6">
      <c r="A861" s="22">
        <v>35827</v>
      </c>
      <c r="B861" s="23">
        <v>7.039999999999999E-2</v>
      </c>
      <c r="C861" s="23">
        <v>-1E-4</v>
      </c>
      <c r="D861" s="23">
        <v>-1.1999999999999999E-3</v>
      </c>
      <c r="E861" s="24">
        <f t="shared" si="40"/>
        <v>10585.008862185947</v>
      </c>
      <c r="F861" s="24">
        <f t="shared" si="41"/>
        <v>378.84333963442305</v>
      </c>
      <c r="G861" s="24">
        <f t="shared" si="42"/>
        <v>2932.6319893956943</v>
      </c>
    </row>
    <row r="862" spans="1:7" x14ac:dyDescent="0.6">
      <c r="A862" s="22">
        <v>35855</v>
      </c>
      <c r="B862" s="23">
        <v>4.7599999999999996E-2</v>
      </c>
      <c r="C862" s="23">
        <v>-9.300000000000001E-3</v>
      </c>
      <c r="D862" s="23">
        <v>1.04E-2</v>
      </c>
      <c r="E862" s="24">
        <f t="shared" si="40"/>
        <v>11088.855284025998</v>
      </c>
      <c r="F862" s="24">
        <f t="shared" si="41"/>
        <v>375.3200965758229</v>
      </c>
      <c r="G862" s="24">
        <f t="shared" si="42"/>
        <v>2963.1313620854094</v>
      </c>
    </row>
    <row r="863" spans="1:7" x14ac:dyDescent="0.6">
      <c r="A863" s="22">
        <v>35886</v>
      </c>
      <c r="B863" s="23">
        <v>7.2999999999999992E-3</v>
      </c>
      <c r="C863" s="23">
        <v>2.2000000000000001E-3</v>
      </c>
      <c r="D863" s="23">
        <v>7.7000000000000002E-3</v>
      </c>
      <c r="E863" s="24">
        <f t="shared" si="40"/>
        <v>11169.803927599389</v>
      </c>
      <c r="F863" s="24">
        <f t="shared" si="41"/>
        <v>376.1458007882897</v>
      </c>
      <c r="G863" s="24">
        <f t="shared" si="42"/>
        <v>2985.9474735734671</v>
      </c>
    </row>
    <row r="864" spans="1:7" x14ac:dyDescent="0.6">
      <c r="A864" s="22">
        <v>35916</v>
      </c>
      <c r="B864" s="23">
        <v>-3.0699999999999998E-2</v>
      </c>
      <c r="C864" s="23">
        <v>-3.7599999999999995E-2</v>
      </c>
      <c r="D864" s="23">
        <v>4.1799999999999997E-2</v>
      </c>
      <c r="E864" s="24">
        <f t="shared" si="40"/>
        <v>10826.890947022088</v>
      </c>
      <c r="F864" s="24">
        <f t="shared" si="41"/>
        <v>362.00271867865001</v>
      </c>
      <c r="G864" s="24">
        <f t="shared" si="42"/>
        <v>3110.7600779688382</v>
      </c>
    </row>
    <row r="865" spans="1:7" x14ac:dyDescent="0.6">
      <c r="A865" s="22">
        <v>35947</v>
      </c>
      <c r="B865" s="23">
        <v>3.1800000000000002E-2</v>
      </c>
      <c r="C865" s="23">
        <v>-3.1600000000000003E-2</v>
      </c>
      <c r="D865" s="23">
        <v>-2.3E-2</v>
      </c>
      <c r="E865" s="24">
        <f t="shared" si="40"/>
        <v>11171.186079137391</v>
      </c>
      <c r="F865" s="24">
        <f t="shared" si="41"/>
        <v>350.56343276840471</v>
      </c>
      <c r="G865" s="24">
        <f t="shared" si="42"/>
        <v>3039.2125961755551</v>
      </c>
    </row>
    <row r="866" spans="1:7" x14ac:dyDescent="0.6">
      <c r="A866" s="22">
        <v>35977</v>
      </c>
      <c r="B866" s="23">
        <v>-2.46E-2</v>
      </c>
      <c r="C866" s="23">
        <v>-5.1200000000000002E-2</v>
      </c>
      <c r="D866" s="23">
        <v>-9.7000000000000003E-3</v>
      </c>
      <c r="E866" s="24">
        <f t="shared" si="40"/>
        <v>10896.374901590612</v>
      </c>
      <c r="F866" s="24">
        <f t="shared" si="41"/>
        <v>332.61458501066238</v>
      </c>
      <c r="G866" s="24">
        <f t="shared" si="42"/>
        <v>3009.7322339926523</v>
      </c>
    </row>
    <row r="867" spans="1:7" x14ac:dyDescent="0.6">
      <c r="A867" s="22">
        <v>36008</v>
      </c>
      <c r="B867" s="23">
        <v>-0.16079999999999997</v>
      </c>
      <c r="C867" s="23">
        <v>-5.2999999999999999E-2</v>
      </c>
      <c r="D867" s="23">
        <v>3.4000000000000002E-2</v>
      </c>
      <c r="E867" s="24">
        <f t="shared" si="40"/>
        <v>9144.2378174148416</v>
      </c>
      <c r="F867" s="24">
        <f t="shared" si="41"/>
        <v>314.98601200509728</v>
      </c>
      <c r="G867" s="24">
        <f t="shared" si="42"/>
        <v>3112.0631299484025</v>
      </c>
    </row>
    <row r="868" spans="1:7" x14ac:dyDescent="0.6">
      <c r="A868" s="22">
        <v>36039</v>
      </c>
      <c r="B868" s="23">
        <v>6.1500000000000006E-2</v>
      </c>
      <c r="C868" s="23">
        <v>-1.1999999999999999E-3</v>
      </c>
      <c r="D868" s="23">
        <v>-3.3099999999999997E-2</v>
      </c>
      <c r="E868" s="24">
        <f t="shared" si="40"/>
        <v>9706.6084431858562</v>
      </c>
      <c r="F868" s="24">
        <f t="shared" si="41"/>
        <v>314.60802879069115</v>
      </c>
      <c r="G868" s="24">
        <f t="shared" si="42"/>
        <v>3009.0538403471105</v>
      </c>
    </row>
    <row r="869" spans="1:7" x14ac:dyDescent="0.6">
      <c r="A869" s="22">
        <v>36069</v>
      </c>
      <c r="B869" s="23">
        <v>7.1300000000000002E-2</v>
      </c>
      <c r="C869" s="23">
        <v>-3.32E-2</v>
      </c>
      <c r="D869" s="23">
        <v>-2.2000000000000002E-2</v>
      </c>
      <c r="E869" s="24">
        <f t="shared" si="40"/>
        <v>10398.689625185007</v>
      </c>
      <c r="F869" s="24">
        <f t="shared" si="41"/>
        <v>304.16304223484019</v>
      </c>
      <c r="G869" s="24">
        <f t="shared" si="42"/>
        <v>2942.854655859474</v>
      </c>
    </row>
    <row r="870" spans="1:7" x14ac:dyDescent="0.6">
      <c r="A870" s="22">
        <v>36100</v>
      </c>
      <c r="B870" s="23">
        <v>6.0999999999999992E-2</v>
      </c>
      <c r="C870" s="23">
        <v>1.0700000000000001E-2</v>
      </c>
      <c r="D870" s="23">
        <v>-3.1400000000000004E-2</v>
      </c>
      <c r="E870" s="24">
        <f t="shared" si="40"/>
        <v>11033.009692321291</v>
      </c>
      <c r="F870" s="24">
        <f t="shared" si="41"/>
        <v>307.41758678675296</v>
      </c>
      <c r="G870" s="24">
        <f t="shared" si="42"/>
        <v>2850.4490196654865</v>
      </c>
    </row>
    <row r="871" spans="1:7" x14ac:dyDescent="0.6">
      <c r="A871" s="22">
        <v>36130</v>
      </c>
      <c r="B871" s="23">
        <v>6.1600000000000002E-2</v>
      </c>
      <c r="C871" s="23">
        <v>-3.3E-3</v>
      </c>
      <c r="D871" s="23">
        <v>-4.4600000000000001E-2</v>
      </c>
      <c r="E871" s="24">
        <f t="shared" si="40"/>
        <v>11712.643089368285</v>
      </c>
      <c r="F871" s="24">
        <f t="shared" si="41"/>
        <v>306.40310875035669</v>
      </c>
      <c r="G871" s="24">
        <f t="shared" si="42"/>
        <v>2723.3189933884059</v>
      </c>
    </row>
    <row r="872" spans="1:7" x14ac:dyDescent="0.6">
      <c r="A872" s="22">
        <v>36161</v>
      </c>
      <c r="B872" s="23">
        <v>3.5000000000000003E-2</v>
      </c>
      <c r="C872" s="23">
        <v>3.9000000000000003E-3</v>
      </c>
      <c r="D872" s="23">
        <v>-4.0300000000000002E-2</v>
      </c>
      <c r="E872" s="24">
        <f t="shared" si="40"/>
        <v>12122.585597496174</v>
      </c>
      <c r="F872" s="24">
        <f t="shared" si="41"/>
        <v>307.59808087448312</v>
      </c>
      <c r="G872" s="24">
        <f t="shared" si="42"/>
        <v>2613.5692379548532</v>
      </c>
    </row>
    <row r="873" spans="1:7" x14ac:dyDescent="0.6">
      <c r="A873" s="22">
        <v>36192</v>
      </c>
      <c r="B873" s="23">
        <v>-4.0800000000000003E-2</v>
      </c>
      <c r="C873" s="23">
        <v>-5.6799999999999996E-2</v>
      </c>
      <c r="D873" s="23">
        <v>1.3999999999999999E-2</v>
      </c>
      <c r="E873" s="24">
        <f t="shared" si="40"/>
        <v>11627.98410511833</v>
      </c>
      <c r="F873" s="24">
        <f t="shared" si="41"/>
        <v>290.12650988081248</v>
      </c>
      <c r="G873" s="24">
        <f t="shared" si="42"/>
        <v>2650.1592072862213</v>
      </c>
    </row>
    <row r="874" spans="1:7" x14ac:dyDescent="0.6">
      <c r="A874" s="22">
        <v>36220</v>
      </c>
      <c r="B874" s="23">
        <v>3.4500000000000003E-2</v>
      </c>
      <c r="C874" s="23">
        <v>-3.9399999999999998E-2</v>
      </c>
      <c r="D874" s="23">
        <v>-2.64E-2</v>
      </c>
      <c r="E874" s="24">
        <f t="shared" si="40"/>
        <v>12029.149556744913</v>
      </c>
      <c r="F874" s="24">
        <f t="shared" si="41"/>
        <v>278.69552539150845</v>
      </c>
      <c r="G874" s="24">
        <f t="shared" si="42"/>
        <v>2580.1950042138651</v>
      </c>
    </row>
    <row r="875" spans="1:7" x14ac:dyDescent="0.6">
      <c r="A875" s="22">
        <v>36251</v>
      </c>
      <c r="B875" s="23">
        <v>4.3299999999999998E-2</v>
      </c>
      <c r="C875" s="23">
        <v>3.9900000000000005E-2</v>
      </c>
      <c r="D875" s="23">
        <v>2.5099999999999997E-2</v>
      </c>
      <c r="E875" s="24">
        <f t="shared" si="40"/>
        <v>12550.011732551966</v>
      </c>
      <c r="F875" s="24">
        <f t="shared" si="41"/>
        <v>289.81547685462965</v>
      </c>
      <c r="G875" s="24">
        <f t="shared" si="42"/>
        <v>2644.9578988196326</v>
      </c>
    </row>
    <row r="876" spans="1:7" x14ac:dyDescent="0.6">
      <c r="A876" s="22">
        <v>36281</v>
      </c>
      <c r="B876" s="23">
        <v>-2.46E-2</v>
      </c>
      <c r="C876" s="23">
        <v>3.4200000000000001E-2</v>
      </c>
      <c r="D876" s="23">
        <v>2.4E-2</v>
      </c>
      <c r="E876" s="24">
        <f t="shared" si="40"/>
        <v>12241.281443931188</v>
      </c>
      <c r="F876" s="24">
        <f t="shared" si="41"/>
        <v>299.72716616305797</v>
      </c>
      <c r="G876" s="24">
        <f t="shared" si="42"/>
        <v>2708.4368883913039</v>
      </c>
    </row>
    <row r="877" spans="1:7" x14ac:dyDescent="0.6">
      <c r="A877" s="22">
        <v>36312</v>
      </c>
      <c r="B877" s="23">
        <v>4.7699999999999992E-2</v>
      </c>
      <c r="C877" s="23">
        <v>3.0499999999999999E-2</v>
      </c>
      <c r="D877" s="23">
        <v>-3.5900000000000001E-2</v>
      </c>
      <c r="E877" s="24">
        <f t="shared" si="40"/>
        <v>12825.190568806707</v>
      </c>
      <c r="F877" s="24">
        <f t="shared" si="41"/>
        <v>308.86884473103123</v>
      </c>
      <c r="G877" s="24">
        <f t="shared" si="42"/>
        <v>2611.204004098056</v>
      </c>
    </row>
    <row r="878" spans="1:7" x14ac:dyDescent="0.6">
      <c r="A878" s="22">
        <v>36342</v>
      </c>
      <c r="B878" s="23">
        <v>-3.4700000000000002E-2</v>
      </c>
      <c r="C878" s="23">
        <v>2.6699999999999998E-2</v>
      </c>
      <c r="D878" s="23">
        <v>-7.7000000000000002E-3</v>
      </c>
      <c r="E878" s="24">
        <f t="shared" si="40"/>
        <v>12380.156456069115</v>
      </c>
      <c r="F878" s="24">
        <f t="shared" si="41"/>
        <v>317.11564288534976</v>
      </c>
      <c r="G878" s="24">
        <f t="shared" si="42"/>
        <v>2591.0977332665007</v>
      </c>
    </row>
    <row r="879" spans="1:7" x14ac:dyDescent="0.6">
      <c r="A879" s="22">
        <v>36373</v>
      </c>
      <c r="B879" s="23">
        <v>-1.38E-2</v>
      </c>
      <c r="C879" s="23">
        <v>-1.2800000000000001E-2</v>
      </c>
      <c r="D879" s="23">
        <v>-1.3100000000000001E-2</v>
      </c>
      <c r="E879" s="24">
        <f t="shared" si="40"/>
        <v>12209.31029697536</v>
      </c>
      <c r="F879" s="24">
        <f t="shared" si="41"/>
        <v>313.05656265641727</v>
      </c>
      <c r="G879" s="24">
        <f t="shared" si="42"/>
        <v>2557.1543529607093</v>
      </c>
    </row>
    <row r="880" spans="1:7" x14ac:dyDescent="0.6">
      <c r="A880" s="22">
        <v>36404</v>
      </c>
      <c r="B880" s="23">
        <v>-2.81E-2</v>
      </c>
      <c r="C880" s="23">
        <v>3.3300000000000003E-2</v>
      </c>
      <c r="D880" s="23">
        <v>-3.39E-2</v>
      </c>
      <c r="E880" s="24">
        <f t="shared" si="40"/>
        <v>11866.228677630352</v>
      </c>
      <c r="F880" s="24">
        <f t="shared" si="41"/>
        <v>323.481346192876</v>
      </c>
      <c r="G880" s="24">
        <f t="shared" si="42"/>
        <v>2470.4668203953411</v>
      </c>
    </row>
    <row r="881" spans="1:7" x14ac:dyDescent="0.6">
      <c r="A881" s="22">
        <v>36434</v>
      </c>
      <c r="B881" s="23">
        <v>6.1299999999999993E-2</v>
      </c>
      <c r="C881" s="23">
        <v>-6.9500000000000006E-2</v>
      </c>
      <c r="D881" s="23">
        <v>-2.8799999999999999E-2</v>
      </c>
      <c r="E881" s="24">
        <f t="shared" si="40"/>
        <v>12593.628495569092</v>
      </c>
      <c r="F881" s="24">
        <f t="shared" si="41"/>
        <v>300.99939263247114</v>
      </c>
      <c r="G881" s="24">
        <f t="shared" si="42"/>
        <v>2399.3173759679553</v>
      </c>
    </row>
    <row r="882" spans="1:7" x14ac:dyDescent="0.6">
      <c r="A882" s="22">
        <v>36465</v>
      </c>
      <c r="B882" s="23">
        <v>3.3700000000000001E-2</v>
      </c>
      <c r="C882" s="23">
        <v>7.3800000000000004E-2</v>
      </c>
      <c r="D882" s="23">
        <v>-6.5000000000000002E-2</v>
      </c>
      <c r="E882" s="24">
        <f t="shared" ref="E882:E945" si="43">E881*(1+B882)</f>
        <v>13018.033775869771</v>
      </c>
      <c r="F882" s="24">
        <f t="shared" ref="F882:F945" si="44">F881*(1+C882)</f>
        <v>323.21314780874752</v>
      </c>
      <c r="G882" s="24">
        <f t="shared" ref="G882:G945" si="45">G881*(1+D882)</f>
        <v>2243.3617465300385</v>
      </c>
    </row>
    <row r="883" spans="1:7" x14ac:dyDescent="0.6">
      <c r="A883" s="22">
        <v>36495</v>
      </c>
      <c r="B883" s="23">
        <v>7.7200000000000005E-2</v>
      </c>
      <c r="C883" s="23">
        <v>7.1500000000000008E-2</v>
      </c>
      <c r="D883" s="23">
        <v>-8.6699999999999999E-2</v>
      </c>
      <c r="E883" s="24">
        <f t="shared" si="43"/>
        <v>14023.025983366917</v>
      </c>
      <c r="F883" s="24">
        <f t="shared" si="44"/>
        <v>346.32288787707296</v>
      </c>
      <c r="G883" s="24">
        <f t="shared" si="45"/>
        <v>2048.8622831058842</v>
      </c>
    </row>
    <row r="884" spans="1:7" x14ac:dyDescent="0.6">
      <c r="A884" s="22">
        <v>36526</v>
      </c>
      <c r="B884" s="23">
        <v>-4.7399999999999998E-2</v>
      </c>
      <c r="C884" s="23">
        <v>4.9500000000000002E-2</v>
      </c>
      <c r="D884" s="23">
        <v>-3.0999999999999999E-3</v>
      </c>
      <c r="E884" s="24">
        <f t="shared" si="43"/>
        <v>13358.334551755324</v>
      </c>
      <c r="F884" s="24">
        <f t="shared" si="44"/>
        <v>363.46587082698812</v>
      </c>
      <c r="G884" s="24">
        <f t="shared" si="45"/>
        <v>2042.5108100282559</v>
      </c>
    </row>
    <row r="885" spans="1:7" x14ac:dyDescent="0.6">
      <c r="A885" s="22">
        <v>36557</v>
      </c>
      <c r="B885" s="23">
        <v>2.4500000000000001E-2</v>
      </c>
      <c r="C885" s="23">
        <v>0.21710000000000002</v>
      </c>
      <c r="D885" s="23">
        <v>-9.9399999999999988E-2</v>
      </c>
      <c r="E885" s="24">
        <f t="shared" si="43"/>
        <v>13685.61374827333</v>
      </c>
      <c r="F885" s="24">
        <f t="shared" si="44"/>
        <v>442.37431138352724</v>
      </c>
      <c r="G885" s="24">
        <f t="shared" si="45"/>
        <v>1839.4852355114474</v>
      </c>
    </row>
    <row r="886" spans="1:7" x14ac:dyDescent="0.6">
      <c r="A886" s="22">
        <v>36586</v>
      </c>
      <c r="B886" s="23">
        <v>5.2000000000000005E-2</v>
      </c>
      <c r="C886" s="23">
        <v>-0.16879999999999998</v>
      </c>
      <c r="D886" s="23">
        <v>7.3700000000000002E-2</v>
      </c>
      <c r="E886" s="24">
        <f t="shared" si="43"/>
        <v>14397.265663183543</v>
      </c>
      <c r="F886" s="24">
        <f t="shared" si="44"/>
        <v>367.70152762198785</v>
      </c>
      <c r="G886" s="24">
        <f t="shared" si="45"/>
        <v>1975.0552973686413</v>
      </c>
    </row>
    <row r="887" spans="1:7" x14ac:dyDescent="0.6">
      <c r="A887" s="22">
        <v>36617</v>
      </c>
      <c r="B887" s="23">
        <v>-6.4000000000000001E-2</v>
      </c>
      <c r="C887" s="23">
        <v>-7.7499999999999999E-2</v>
      </c>
      <c r="D887" s="23">
        <v>8.5999999999999993E-2</v>
      </c>
      <c r="E887" s="24">
        <f t="shared" si="43"/>
        <v>13475.840660739796</v>
      </c>
      <c r="F887" s="24">
        <f t="shared" si="44"/>
        <v>339.20465923128381</v>
      </c>
      <c r="G887" s="24">
        <f t="shared" si="45"/>
        <v>2144.9100529423445</v>
      </c>
    </row>
    <row r="888" spans="1:7" x14ac:dyDescent="0.6">
      <c r="A888" s="22">
        <v>36647</v>
      </c>
      <c r="B888" s="23">
        <v>-4.4199999999999996E-2</v>
      </c>
      <c r="C888" s="23">
        <v>-5.1100000000000007E-2</v>
      </c>
      <c r="D888" s="23">
        <v>2.5600000000000001E-2</v>
      </c>
      <c r="E888" s="24">
        <f t="shared" si="43"/>
        <v>12880.208503535096</v>
      </c>
      <c r="F888" s="24">
        <f t="shared" si="44"/>
        <v>321.87130114456522</v>
      </c>
      <c r="G888" s="24">
        <f t="shared" si="45"/>
        <v>2199.8197502976686</v>
      </c>
    </row>
    <row r="889" spans="1:7" x14ac:dyDescent="0.6">
      <c r="A889" s="22">
        <v>36678</v>
      </c>
      <c r="B889" s="23">
        <v>4.6399999999999997E-2</v>
      </c>
      <c r="C889" s="23">
        <v>0.1386</v>
      </c>
      <c r="D889" s="23">
        <v>-9.8599999999999993E-2</v>
      </c>
      <c r="E889" s="24">
        <f t="shared" si="43"/>
        <v>13477.850178099125</v>
      </c>
      <c r="F889" s="24">
        <f t="shared" si="44"/>
        <v>366.48266348320197</v>
      </c>
      <c r="G889" s="24">
        <f t="shared" si="45"/>
        <v>1982.9175229183184</v>
      </c>
    </row>
    <row r="890" spans="1:7" x14ac:dyDescent="0.6">
      <c r="A890" s="22">
        <v>36708</v>
      </c>
      <c r="B890" s="23">
        <v>-2.5099999999999997E-2</v>
      </c>
      <c r="C890" s="23">
        <v>-2.7900000000000001E-2</v>
      </c>
      <c r="D890" s="23">
        <v>8.14E-2</v>
      </c>
      <c r="E890" s="24">
        <f t="shared" si="43"/>
        <v>13139.556138628837</v>
      </c>
      <c r="F890" s="24">
        <f t="shared" si="44"/>
        <v>356.25779717202062</v>
      </c>
      <c r="G890" s="24">
        <f t="shared" si="45"/>
        <v>2144.3270092838693</v>
      </c>
    </row>
    <row r="891" spans="1:7" x14ac:dyDescent="0.6">
      <c r="A891" s="22">
        <v>36739</v>
      </c>
      <c r="B891" s="23">
        <v>7.0300000000000001E-2</v>
      </c>
      <c r="C891" s="23">
        <v>-1.1299999999999999E-2</v>
      </c>
      <c r="D891" s="23">
        <v>-6.8000000000000005E-3</v>
      </c>
      <c r="E891" s="24">
        <f t="shared" si="43"/>
        <v>14063.266935174444</v>
      </c>
      <c r="F891" s="24">
        <f t="shared" si="44"/>
        <v>352.2320840639768</v>
      </c>
      <c r="G891" s="24">
        <f t="shared" si="45"/>
        <v>2129.7455856207389</v>
      </c>
    </row>
    <row r="892" spans="1:7" x14ac:dyDescent="0.6">
      <c r="A892" s="22">
        <v>36770</v>
      </c>
      <c r="B892" s="23">
        <v>-5.4500000000000007E-2</v>
      </c>
      <c r="C892" s="23">
        <v>-1.3899999999999999E-2</v>
      </c>
      <c r="D892" s="23">
        <v>6.2400000000000004E-2</v>
      </c>
      <c r="E892" s="24">
        <f t="shared" si="43"/>
        <v>13296.818887207437</v>
      </c>
      <c r="F892" s="24">
        <f t="shared" si="44"/>
        <v>347.33605809548749</v>
      </c>
      <c r="G892" s="24">
        <f t="shared" si="45"/>
        <v>2262.6417101634729</v>
      </c>
    </row>
    <row r="893" spans="1:7" x14ac:dyDescent="0.6">
      <c r="A893" s="22">
        <v>36800</v>
      </c>
      <c r="B893" s="23">
        <v>-2.76E-2</v>
      </c>
      <c r="C893" s="23">
        <v>-3.7599999999999995E-2</v>
      </c>
      <c r="D893" s="23">
        <v>5.5199999999999999E-2</v>
      </c>
      <c r="E893" s="24">
        <f t="shared" si="43"/>
        <v>12929.826685920512</v>
      </c>
      <c r="F893" s="24">
        <f t="shared" si="44"/>
        <v>334.27622231109717</v>
      </c>
      <c r="G893" s="24">
        <f t="shared" si="45"/>
        <v>2387.5395325644963</v>
      </c>
    </row>
    <row r="894" spans="1:7" x14ac:dyDescent="0.6">
      <c r="A894" s="22">
        <v>36831</v>
      </c>
      <c r="B894" s="23">
        <v>-0.10720000000000002</v>
      </c>
      <c r="C894" s="23">
        <v>-2.7900000000000001E-2</v>
      </c>
      <c r="D894" s="23">
        <v>0.113</v>
      </c>
      <c r="E894" s="24">
        <f t="shared" si="43"/>
        <v>11543.749265189834</v>
      </c>
      <c r="F894" s="24">
        <f t="shared" si="44"/>
        <v>324.94991570861754</v>
      </c>
      <c r="G894" s="24">
        <f t="shared" si="45"/>
        <v>2657.3314997442844</v>
      </c>
    </row>
    <row r="895" spans="1:7" x14ac:dyDescent="0.6">
      <c r="A895" s="22">
        <v>36861</v>
      </c>
      <c r="B895" s="23">
        <v>1.1899999999999997E-2</v>
      </c>
      <c r="C895" s="23">
        <v>9.7000000000000003E-3</v>
      </c>
      <c r="D895" s="23">
        <v>7.3300000000000004E-2</v>
      </c>
      <c r="E895" s="24">
        <f t="shared" si="43"/>
        <v>11681.119881445593</v>
      </c>
      <c r="F895" s="24">
        <f t="shared" si="44"/>
        <v>328.10192989099113</v>
      </c>
      <c r="G895" s="24">
        <f t="shared" si="45"/>
        <v>2852.1138986755404</v>
      </c>
    </row>
    <row r="896" spans="1:7" x14ac:dyDescent="0.6">
      <c r="A896" s="22">
        <v>36892</v>
      </c>
      <c r="B896" s="23">
        <v>3.1299999999999994E-2</v>
      </c>
      <c r="C896" s="23">
        <v>6.5700000000000008E-2</v>
      </c>
      <c r="D896" s="23">
        <v>-4.9000000000000002E-2</v>
      </c>
      <c r="E896" s="24">
        <f t="shared" si="43"/>
        <v>12046.738933734838</v>
      </c>
      <c r="F896" s="24">
        <f t="shared" si="44"/>
        <v>349.65822668482929</v>
      </c>
      <c r="G896" s="24">
        <f t="shared" si="45"/>
        <v>2712.360317640439</v>
      </c>
    </row>
    <row r="897" spans="1:7" x14ac:dyDescent="0.6">
      <c r="A897" s="22">
        <v>36923</v>
      </c>
      <c r="B897" s="23">
        <v>-0.10049999999999999</v>
      </c>
      <c r="C897" s="23">
        <v>-7.4000000000000003E-3</v>
      </c>
      <c r="D897" s="23">
        <v>0.129</v>
      </c>
      <c r="E897" s="24">
        <f t="shared" si="43"/>
        <v>10836.041670894487</v>
      </c>
      <c r="F897" s="24">
        <f t="shared" si="44"/>
        <v>347.07075580736154</v>
      </c>
      <c r="G897" s="24">
        <f t="shared" si="45"/>
        <v>3062.2547986160557</v>
      </c>
    </row>
    <row r="898" spans="1:7" x14ac:dyDescent="0.6">
      <c r="A898" s="22">
        <v>36951</v>
      </c>
      <c r="B898" s="23">
        <v>-7.2599999999999998E-2</v>
      </c>
      <c r="C898" s="23">
        <v>3.4000000000000002E-3</v>
      </c>
      <c r="D898" s="23">
        <v>6.4500000000000002E-2</v>
      </c>
      <c r="E898" s="24">
        <f t="shared" si="43"/>
        <v>10049.345045587546</v>
      </c>
      <c r="F898" s="24">
        <f t="shared" si="44"/>
        <v>348.25079637710661</v>
      </c>
      <c r="G898" s="24">
        <f t="shared" si="45"/>
        <v>3259.7702331267915</v>
      </c>
    </row>
    <row r="899" spans="1:7" x14ac:dyDescent="0.6">
      <c r="A899" s="22">
        <v>36982</v>
      </c>
      <c r="B899" s="23">
        <v>7.9399999999999998E-2</v>
      </c>
      <c r="C899" s="23">
        <v>5.1999999999999998E-3</v>
      </c>
      <c r="D899" s="23">
        <v>-4.6900000000000004E-2</v>
      </c>
      <c r="E899" s="24">
        <f t="shared" si="43"/>
        <v>10847.263042207196</v>
      </c>
      <c r="F899" s="24">
        <f t="shared" si="44"/>
        <v>350.06170051826757</v>
      </c>
      <c r="G899" s="24">
        <f t="shared" si="45"/>
        <v>3106.8870091931449</v>
      </c>
    </row>
    <row r="900" spans="1:7" x14ac:dyDescent="0.6">
      <c r="A900" s="22">
        <v>37012</v>
      </c>
      <c r="B900" s="23">
        <v>7.1999999999999998E-3</v>
      </c>
      <c r="C900" s="23">
        <v>2.6000000000000002E-2</v>
      </c>
      <c r="D900" s="23">
        <v>3.1400000000000004E-2</v>
      </c>
      <c r="E900" s="24">
        <f t="shared" si="43"/>
        <v>10925.36333611109</v>
      </c>
      <c r="F900" s="24">
        <f t="shared" si="44"/>
        <v>359.16330473174253</v>
      </c>
      <c r="G900" s="24">
        <f t="shared" si="45"/>
        <v>3204.44326128181</v>
      </c>
    </row>
    <row r="901" spans="1:7" x14ac:dyDescent="0.6">
      <c r="A901" s="22">
        <v>37043</v>
      </c>
      <c r="B901" s="23">
        <v>-1.9400000000000001E-2</v>
      </c>
      <c r="C901" s="23">
        <v>6.0499999999999998E-2</v>
      </c>
      <c r="D901" s="23">
        <v>-1.06E-2</v>
      </c>
      <c r="E901" s="24">
        <f t="shared" si="43"/>
        <v>10713.411287390534</v>
      </c>
      <c r="F901" s="24">
        <f t="shared" si="44"/>
        <v>380.89268466801298</v>
      </c>
      <c r="G901" s="24">
        <f t="shared" si="45"/>
        <v>3170.4761627122225</v>
      </c>
    </row>
    <row r="902" spans="1:7" x14ac:dyDescent="0.6">
      <c r="A902" s="22">
        <v>37073</v>
      </c>
      <c r="B902" s="23">
        <v>-2.1299999999999996E-2</v>
      </c>
      <c r="C902" s="23">
        <v>-4.3499999999999997E-2</v>
      </c>
      <c r="D902" s="23">
        <v>5.5800000000000002E-2</v>
      </c>
      <c r="E902" s="24">
        <f t="shared" si="43"/>
        <v>10485.215626969117</v>
      </c>
      <c r="F902" s="24">
        <f t="shared" si="44"/>
        <v>364.32385288495442</v>
      </c>
      <c r="G902" s="24">
        <f t="shared" si="45"/>
        <v>3347.3887325915648</v>
      </c>
    </row>
    <row r="903" spans="1:7" x14ac:dyDescent="0.6">
      <c r="A903" s="22">
        <v>37104</v>
      </c>
      <c r="B903" s="23">
        <v>-6.4600000000000005E-2</v>
      </c>
      <c r="C903" s="23">
        <v>2.4900000000000002E-2</v>
      </c>
      <c r="D903" s="23">
        <v>2.5000000000000001E-2</v>
      </c>
      <c r="E903" s="24">
        <f t="shared" si="43"/>
        <v>9807.8706974669112</v>
      </c>
      <c r="F903" s="24">
        <f t="shared" si="44"/>
        <v>373.39551682178978</v>
      </c>
      <c r="G903" s="24">
        <f t="shared" si="45"/>
        <v>3431.0734509063536</v>
      </c>
    </row>
    <row r="904" spans="1:7" x14ac:dyDescent="0.6">
      <c r="A904" s="22">
        <v>37135</v>
      </c>
      <c r="B904" s="23">
        <v>-9.2499999999999999E-2</v>
      </c>
      <c r="C904" s="23">
        <v>-6.13E-2</v>
      </c>
      <c r="D904" s="23">
        <v>1.6E-2</v>
      </c>
      <c r="E904" s="24">
        <f t="shared" si="43"/>
        <v>8900.6426579512208</v>
      </c>
      <c r="F904" s="24">
        <f t="shared" si="44"/>
        <v>350.50637164061408</v>
      </c>
      <c r="G904" s="24">
        <f t="shared" si="45"/>
        <v>3485.9706261208553</v>
      </c>
    </row>
    <row r="905" spans="1:7" x14ac:dyDescent="0.6">
      <c r="A905" s="22">
        <v>37165</v>
      </c>
      <c r="B905" s="23">
        <v>2.46E-2</v>
      </c>
      <c r="C905" s="23">
        <v>7.6299999999999993E-2</v>
      </c>
      <c r="D905" s="23">
        <v>-8.1099999999999992E-2</v>
      </c>
      <c r="E905" s="24">
        <f t="shared" si="43"/>
        <v>9119.5984673368202</v>
      </c>
      <c r="F905" s="24">
        <f t="shared" si="44"/>
        <v>377.25000779679294</v>
      </c>
      <c r="G905" s="24">
        <f t="shared" si="45"/>
        <v>3203.258408342454</v>
      </c>
    </row>
    <row r="906" spans="1:7" x14ac:dyDescent="0.6">
      <c r="A906" s="22">
        <v>37196</v>
      </c>
      <c r="B906" s="23">
        <v>7.5399999999999995E-2</v>
      </c>
      <c r="C906" s="23">
        <v>-4.0999999999999995E-3</v>
      </c>
      <c r="D906" s="23">
        <v>0.02</v>
      </c>
      <c r="E906" s="24">
        <f t="shared" si="43"/>
        <v>9807.2161917740159</v>
      </c>
      <c r="F906" s="24">
        <f t="shared" si="44"/>
        <v>375.7032827648261</v>
      </c>
      <c r="G906" s="24">
        <f t="shared" si="45"/>
        <v>3267.3235765093032</v>
      </c>
    </row>
    <row r="907" spans="1:7" x14ac:dyDescent="0.6">
      <c r="A907" s="22">
        <v>37226</v>
      </c>
      <c r="B907" s="23">
        <v>1.61E-2</v>
      </c>
      <c r="C907" s="23">
        <v>4.5700000000000005E-2</v>
      </c>
      <c r="D907" s="23">
        <v>1.1000000000000001E-2</v>
      </c>
      <c r="E907" s="24">
        <f t="shared" si="43"/>
        <v>9965.1123724615773</v>
      </c>
      <c r="F907" s="24">
        <f t="shared" si="44"/>
        <v>392.87292278717865</v>
      </c>
      <c r="G907" s="24">
        <f t="shared" si="45"/>
        <v>3303.2641358509049</v>
      </c>
    </row>
    <row r="908" spans="1:7" x14ac:dyDescent="0.6">
      <c r="A908" s="22">
        <v>37257</v>
      </c>
      <c r="B908" s="23">
        <v>-1.4399999999999998E-2</v>
      </c>
      <c r="C908" s="23">
        <v>1.1899999999999999E-2</v>
      </c>
      <c r="D908" s="23">
        <v>3.3300000000000003E-2</v>
      </c>
      <c r="E908" s="24">
        <f t="shared" si="43"/>
        <v>9821.6147542981307</v>
      </c>
      <c r="F908" s="24">
        <f t="shared" si="44"/>
        <v>397.54811056834609</v>
      </c>
      <c r="G908" s="24">
        <f t="shared" si="45"/>
        <v>3413.2628315747406</v>
      </c>
    </row>
    <row r="909" spans="1:7" x14ac:dyDescent="0.6">
      <c r="A909" s="22">
        <v>37288</v>
      </c>
      <c r="B909" s="23">
        <v>-2.29E-2</v>
      </c>
      <c r="C909" s="23">
        <v>-1.1000000000000001E-2</v>
      </c>
      <c r="D909" s="23">
        <v>2.5000000000000001E-2</v>
      </c>
      <c r="E909" s="24">
        <f t="shared" si="43"/>
        <v>9596.6997764247026</v>
      </c>
      <c r="F909" s="24">
        <f t="shared" si="44"/>
        <v>393.17508135209425</v>
      </c>
      <c r="G909" s="24">
        <f t="shared" si="45"/>
        <v>3498.5944023641086</v>
      </c>
    </row>
    <row r="910" spans="1:7" x14ac:dyDescent="0.6">
      <c r="A910" s="22">
        <v>37316</v>
      </c>
      <c r="B910" s="23">
        <v>4.24E-2</v>
      </c>
      <c r="C910" s="23">
        <v>4.2300000000000004E-2</v>
      </c>
      <c r="D910" s="23">
        <v>1.1000000000000001E-2</v>
      </c>
      <c r="E910" s="24">
        <f t="shared" si="43"/>
        <v>10003.59984694511</v>
      </c>
      <c r="F910" s="24">
        <f t="shared" si="44"/>
        <v>409.80638729328786</v>
      </c>
      <c r="G910" s="24">
        <f t="shared" si="45"/>
        <v>3537.0789407901134</v>
      </c>
    </row>
    <row r="911" spans="1:7" x14ac:dyDescent="0.6">
      <c r="A911" s="22">
        <v>37347</v>
      </c>
      <c r="B911" s="23">
        <v>-5.1999999999999998E-2</v>
      </c>
      <c r="C911" s="23">
        <v>5.9400000000000001E-2</v>
      </c>
      <c r="D911" s="23">
        <v>3.9300000000000002E-2</v>
      </c>
      <c r="E911" s="24">
        <f t="shared" si="43"/>
        <v>9483.4126549039629</v>
      </c>
      <c r="F911" s="24">
        <f t="shared" si="44"/>
        <v>434.1488866985091</v>
      </c>
      <c r="G911" s="24">
        <f t="shared" si="45"/>
        <v>3676.0861431631643</v>
      </c>
    </row>
    <row r="912" spans="1:7" x14ac:dyDescent="0.6">
      <c r="A912" s="22">
        <v>37377</v>
      </c>
      <c r="B912" s="23">
        <v>-1.3799999999999998E-2</v>
      </c>
      <c r="C912" s="23">
        <v>-3.2099999999999997E-2</v>
      </c>
      <c r="D912" s="23">
        <v>1.6899999999999998E-2</v>
      </c>
      <c r="E912" s="24">
        <f t="shared" si="43"/>
        <v>9352.541560266287</v>
      </c>
      <c r="F912" s="24">
        <f t="shared" si="44"/>
        <v>420.21270743548695</v>
      </c>
      <c r="G912" s="24">
        <f t="shared" si="45"/>
        <v>3738.2119989826215</v>
      </c>
    </row>
    <row r="913" spans="1:7" x14ac:dyDescent="0.6">
      <c r="A913" s="22">
        <v>37408</v>
      </c>
      <c r="B913" s="23">
        <v>-7.2099999999999997E-2</v>
      </c>
      <c r="C913" s="23">
        <v>4.2599999999999999E-2</v>
      </c>
      <c r="D913" s="23">
        <v>1.2999999999999999E-3</v>
      </c>
      <c r="E913" s="24">
        <f t="shared" si="43"/>
        <v>8678.2233137710864</v>
      </c>
      <c r="F913" s="24">
        <f t="shared" si="44"/>
        <v>438.1137687722387</v>
      </c>
      <c r="G913" s="24">
        <f t="shared" si="45"/>
        <v>3743.0716745812992</v>
      </c>
    </row>
    <row r="914" spans="1:7" x14ac:dyDescent="0.6">
      <c r="A914" s="22">
        <v>37438</v>
      </c>
      <c r="B914" s="23">
        <v>-8.1799999999999998E-2</v>
      </c>
      <c r="C914" s="23">
        <v>-5.2999999999999999E-2</v>
      </c>
      <c r="D914" s="23">
        <v>-3.4099999999999998E-2</v>
      </c>
      <c r="E914" s="24">
        <f t="shared" si="43"/>
        <v>7968.3446467046115</v>
      </c>
      <c r="F914" s="24">
        <f t="shared" si="44"/>
        <v>414.89373902731</v>
      </c>
      <c r="G914" s="24">
        <f t="shared" si="45"/>
        <v>3615.4329304780767</v>
      </c>
    </row>
    <row r="915" spans="1:7" x14ac:dyDescent="0.6">
      <c r="A915" s="22">
        <v>37469</v>
      </c>
      <c r="B915" s="23">
        <v>5.0000000000000001E-3</v>
      </c>
      <c r="C915" s="23">
        <v>-2.4399999999999998E-2</v>
      </c>
      <c r="D915" s="23">
        <v>2.4900000000000002E-2</v>
      </c>
      <c r="E915" s="24">
        <f t="shared" si="43"/>
        <v>8008.1863699381338</v>
      </c>
      <c r="F915" s="24">
        <f t="shared" si="44"/>
        <v>404.77033179504366</v>
      </c>
      <c r="G915" s="24">
        <f t="shared" si="45"/>
        <v>3705.4572104469808</v>
      </c>
    </row>
    <row r="916" spans="1:7" x14ac:dyDescent="0.6">
      <c r="A916" s="22">
        <v>37500</v>
      </c>
      <c r="B916" s="23">
        <v>-0.10349999999999999</v>
      </c>
      <c r="C916" s="23">
        <v>2.5699999999999997E-2</v>
      </c>
      <c r="D916" s="23">
        <v>1.3100000000000001E-2</v>
      </c>
      <c r="E916" s="24">
        <f t="shared" si="43"/>
        <v>7179.3390806495363</v>
      </c>
      <c r="F916" s="24">
        <f t="shared" si="44"/>
        <v>415.17292932217629</v>
      </c>
      <c r="G916" s="24">
        <f t="shared" si="45"/>
        <v>3753.9986999038365</v>
      </c>
    </row>
    <row r="917" spans="1:7" x14ac:dyDescent="0.6">
      <c r="A917" s="22">
        <v>37530</v>
      </c>
      <c r="B917" s="23">
        <v>7.8399999999999997E-2</v>
      </c>
      <c r="C917" s="23">
        <v>-2.8999999999999998E-2</v>
      </c>
      <c r="D917" s="23">
        <v>-5.4600000000000003E-2</v>
      </c>
      <c r="E917" s="24">
        <f t="shared" si="43"/>
        <v>7742.1992645724604</v>
      </c>
      <c r="F917" s="24">
        <f t="shared" si="44"/>
        <v>403.13291437183318</v>
      </c>
      <c r="G917" s="24">
        <f t="shared" si="45"/>
        <v>3549.030370889087</v>
      </c>
    </row>
    <row r="918" spans="1:7" x14ac:dyDescent="0.6">
      <c r="A918" s="22">
        <v>37561</v>
      </c>
      <c r="B918" s="23">
        <v>5.96E-2</v>
      </c>
      <c r="C918" s="23">
        <v>2.8399999999999998E-2</v>
      </c>
      <c r="D918" s="23">
        <v>-1.15E-2</v>
      </c>
      <c r="E918" s="24">
        <f t="shared" si="43"/>
        <v>8203.6343407409804</v>
      </c>
      <c r="F918" s="24">
        <f t="shared" si="44"/>
        <v>414.58188913999322</v>
      </c>
      <c r="G918" s="24">
        <f t="shared" si="45"/>
        <v>3508.2165216238627</v>
      </c>
    </row>
    <row r="919" spans="1:7" x14ac:dyDescent="0.6">
      <c r="A919" s="22">
        <v>37591</v>
      </c>
      <c r="B919" s="23">
        <v>-5.7599999999999991E-2</v>
      </c>
      <c r="C919" s="23">
        <v>0</v>
      </c>
      <c r="D919" s="23">
        <v>2.2499999999999999E-2</v>
      </c>
      <c r="E919" s="24">
        <f t="shared" si="43"/>
        <v>7731.1050027143001</v>
      </c>
      <c r="F919" s="24">
        <f t="shared" si="44"/>
        <v>414.58188913999322</v>
      </c>
      <c r="G919" s="24">
        <f t="shared" si="45"/>
        <v>3587.1513933603997</v>
      </c>
    </row>
    <row r="920" spans="1:7" x14ac:dyDescent="0.6">
      <c r="A920" s="22">
        <v>37622</v>
      </c>
      <c r="B920" s="23">
        <v>-2.5699999999999997E-2</v>
      </c>
      <c r="C920" s="23">
        <v>1.3899999999999999E-2</v>
      </c>
      <c r="D920" s="23">
        <v>-9.300000000000001E-3</v>
      </c>
      <c r="E920" s="24">
        <f t="shared" si="43"/>
        <v>7532.4156041445431</v>
      </c>
      <c r="F920" s="24">
        <f t="shared" si="44"/>
        <v>420.34457739903911</v>
      </c>
      <c r="G920" s="24">
        <f t="shared" si="45"/>
        <v>3553.790885402148</v>
      </c>
    </row>
    <row r="921" spans="1:7" x14ac:dyDescent="0.6">
      <c r="A921" s="22">
        <v>37653</v>
      </c>
      <c r="B921" s="23">
        <v>-1.8800000000000001E-2</v>
      </c>
      <c r="C921" s="23">
        <v>-3.4000000000000002E-3</v>
      </c>
      <c r="D921" s="23">
        <v>-1.4499999999999999E-2</v>
      </c>
      <c r="E921" s="24">
        <f t="shared" si="43"/>
        <v>7390.8061907866249</v>
      </c>
      <c r="F921" s="24">
        <f t="shared" si="44"/>
        <v>418.91540583588238</v>
      </c>
      <c r="G921" s="24">
        <f t="shared" si="45"/>
        <v>3502.2609175638172</v>
      </c>
    </row>
    <row r="922" spans="1:7" x14ac:dyDescent="0.6">
      <c r="A922" s="22">
        <v>37681</v>
      </c>
      <c r="B922" s="23">
        <v>1.09E-2</v>
      </c>
      <c r="C922" s="23">
        <v>8.8999999999999999E-3</v>
      </c>
      <c r="D922" s="23">
        <v>-2.0899999999999998E-2</v>
      </c>
      <c r="E922" s="24">
        <f t="shared" si="43"/>
        <v>7471.3659782661989</v>
      </c>
      <c r="F922" s="24">
        <f t="shared" si="44"/>
        <v>422.64375294782172</v>
      </c>
      <c r="G922" s="24">
        <f t="shared" si="45"/>
        <v>3429.0636643867333</v>
      </c>
    </row>
    <row r="923" spans="1:7" x14ac:dyDescent="0.6">
      <c r="A923" s="22">
        <v>37712</v>
      </c>
      <c r="B923" s="23">
        <v>8.2199999999999995E-2</v>
      </c>
      <c r="C923" s="23">
        <v>5.6999999999999993E-3</v>
      </c>
      <c r="D923" s="23">
        <v>1.03E-2</v>
      </c>
      <c r="E923" s="24">
        <f t="shared" si="43"/>
        <v>8085.5122616796807</v>
      </c>
      <c r="F923" s="24">
        <f t="shared" si="44"/>
        <v>425.0528223396243</v>
      </c>
      <c r="G923" s="24">
        <f t="shared" si="45"/>
        <v>3464.3830201299165</v>
      </c>
    </row>
    <row r="924" spans="1:7" x14ac:dyDescent="0.6">
      <c r="A924" s="22">
        <v>37742</v>
      </c>
      <c r="B924" s="23">
        <v>6.0499999999999998E-2</v>
      </c>
      <c r="C924" s="23">
        <v>4.7E-2</v>
      </c>
      <c r="D924" s="23">
        <v>-3.0000000000000001E-3</v>
      </c>
      <c r="E924" s="24">
        <f t="shared" si="43"/>
        <v>8574.6857535113013</v>
      </c>
      <c r="F924" s="24">
        <f t="shared" si="44"/>
        <v>445.03030498958663</v>
      </c>
      <c r="G924" s="24">
        <f t="shared" si="45"/>
        <v>3453.989871069527</v>
      </c>
    </row>
    <row r="925" spans="1:7" x14ac:dyDescent="0.6">
      <c r="A925" s="22">
        <v>37773</v>
      </c>
      <c r="B925" s="23">
        <v>1.4200000000000001E-2</v>
      </c>
      <c r="C925" s="23">
        <v>1.67E-2</v>
      </c>
      <c r="D925" s="23">
        <v>6.6E-3</v>
      </c>
      <c r="E925" s="24">
        <f t="shared" si="43"/>
        <v>8696.4462912111612</v>
      </c>
      <c r="F925" s="24">
        <f t="shared" si="44"/>
        <v>452.46231108291272</v>
      </c>
      <c r="G925" s="24">
        <f t="shared" si="45"/>
        <v>3476.7862042185857</v>
      </c>
    </row>
    <row r="926" spans="1:7" x14ac:dyDescent="0.6">
      <c r="A926" s="22">
        <v>37803</v>
      </c>
      <c r="B926" s="23">
        <v>2.35E-2</v>
      </c>
      <c r="C926" s="23">
        <v>5.2499999999999998E-2</v>
      </c>
      <c r="D926" s="23">
        <v>-1.15E-2</v>
      </c>
      <c r="E926" s="24">
        <f t="shared" si="43"/>
        <v>8900.8127790546241</v>
      </c>
      <c r="F926" s="24">
        <f t="shared" si="44"/>
        <v>476.21658241476564</v>
      </c>
      <c r="G926" s="24">
        <f t="shared" si="45"/>
        <v>3436.8031628700719</v>
      </c>
    </row>
    <row r="927" spans="1:7" x14ac:dyDescent="0.6">
      <c r="A927" s="22">
        <v>37834</v>
      </c>
      <c r="B927" s="23">
        <v>2.3399999999999997E-2</v>
      </c>
      <c r="C927" s="23">
        <v>2.6000000000000002E-2</v>
      </c>
      <c r="D927" s="23">
        <v>2.0299999999999999E-2</v>
      </c>
      <c r="E927" s="24">
        <f t="shared" si="43"/>
        <v>9109.0917980845024</v>
      </c>
      <c r="F927" s="24">
        <f t="shared" si="44"/>
        <v>488.59821355754957</v>
      </c>
      <c r="G927" s="24">
        <f t="shared" si="45"/>
        <v>3506.5702670763344</v>
      </c>
    </row>
    <row r="928" spans="1:7" x14ac:dyDescent="0.6">
      <c r="A928" s="22">
        <v>37865</v>
      </c>
      <c r="B928" s="23">
        <v>-1.24E-2</v>
      </c>
      <c r="C928" s="23">
        <v>7.9000000000000008E-3</v>
      </c>
      <c r="D928" s="23">
        <v>2.0000000000000001E-4</v>
      </c>
      <c r="E928" s="24">
        <f t="shared" si="43"/>
        <v>8996.1390597882546</v>
      </c>
      <c r="F928" s="24">
        <f t="shared" si="44"/>
        <v>492.45813944465419</v>
      </c>
      <c r="G928" s="24">
        <f t="shared" si="45"/>
        <v>3507.2715811297494</v>
      </c>
    </row>
    <row r="929" spans="1:7" x14ac:dyDescent="0.6">
      <c r="A929" s="22">
        <v>37895</v>
      </c>
      <c r="B929" s="23">
        <v>6.0800000000000007E-2</v>
      </c>
      <c r="C929" s="23">
        <v>2.6800000000000001E-2</v>
      </c>
      <c r="D929" s="23">
        <v>1.7500000000000002E-2</v>
      </c>
      <c r="E929" s="24">
        <f t="shared" si="43"/>
        <v>9543.1043146233806</v>
      </c>
      <c r="F929" s="24">
        <f t="shared" si="44"/>
        <v>505.65601758177087</v>
      </c>
      <c r="G929" s="24">
        <f t="shared" si="45"/>
        <v>3568.6488337995202</v>
      </c>
    </row>
    <row r="930" spans="1:7" x14ac:dyDescent="0.6">
      <c r="A930" s="22">
        <v>37926</v>
      </c>
      <c r="B930" s="23">
        <v>1.3500000000000002E-2</v>
      </c>
      <c r="C930" s="23">
        <v>2.0099999999999996E-2</v>
      </c>
      <c r="D930" s="23">
        <v>1.8600000000000002E-2</v>
      </c>
      <c r="E930" s="24">
        <f t="shared" si="43"/>
        <v>9671.936222870796</v>
      </c>
      <c r="F930" s="24">
        <f t="shared" si="44"/>
        <v>515.81970353516442</v>
      </c>
      <c r="G930" s="24">
        <f t="shared" si="45"/>
        <v>3635.0257021081911</v>
      </c>
    </row>
    <row r="931" spans="1:7" x14ac:dyDescent="0.6">
      <c r="A931" s="22">
        <v>37956</v>
      </c>
      <c r="B931" s="23">
        <v>4.2900000000000001E-2</v>
      </c>
      <c r="C931" s="23">
        <v>-3.0099999999999998E-2</v>
      </c>
      <c r="D931" s="23">
        <v>2.4199999999999999E-2</v>
      </c>
      <c r="E931" s="24">
        <f t="shared" si="43"/>
        <v>10086.862286831953</v>
      </c>
      <c r="F931" s="24">
        <f t="shared" si="44"/>
        <v>500.29353045875598</v>
      </c>
      <c r="G931" s="24">
        <f t="shared" si="45"/>
        <v>3722.9933240992095</v>
      </c>
    </row>
    <row r="932" spans="1:7" x14ac:dyDescent="0.6">
      <c r="A932" s="22">
        <v>37987</v>
      </c>
      <c r="B932" s="23">
        <v>2.1499999999999998E-2</v>
      </c>
      <c r="C932" s="23">
        <v>2.7999999999999997E-2</v>
      </c>
      <c r="D932" s="23">
        <v>1.9799999999999998E-2</v>
      </c>
      <c r="E932" s="24">
        <f t="shared" si="43"/>
        <v>10303.72982599884</v>
      </c>
      <c r="F932" s="24">
        <f t="shared" si="44"/>
        <v>514.30174931160116</v>
      </c>
      <c r="G932" s="24">
        <f t="shared" si="45"/>
        <v>3796.7085919163742</v>
      </c>
    </row>
    <row r="933" spans="1:7" x14ac:dyDescent="0.6">
      <c r="A933" s="22">
        <v>38018</v>
      </c>
      <c r="B933" s="23">
        <v>1.4E-2</v>
      </c>
      <c r="C933" s="23">
        <v>-1.43E-2</v>
      </c>
      <c r="D933" s="23">
        <v>4.8999999999999998E-3</v>
      </c>
      <c r="E933" s="24">
        <f t="shared" si="43"/>
        <v>10447.982043562824</v>
      </c>
      <c r="F933" s="24">
        <f t="shared" si="44"/>
        <v>506.94723429644529</v>
      </c>
      <c r="G933" s="24">
        <f t="shared" si="45"/>
        <v>3815.3124640167639</v>
      </c>
    </row>
    <row r="934" spans="1:7" x14ac:dyDescent="0.6">
      <c r="A934" s="22">
        <v>38047</v>
      </c>
      <c r="B934" s="23">
        <v>-1.32E-2</v>
      </c>
      <c r="C934" s="23">
        <v>1.7500000000000002E-2</v>
      </c>
      <c r="D934" s="23">
        <v>2.0999999999999999E-3</v>
      </c>
      <c r="E934" s="24">
        <f t="shared" si="43"/>
        <v>10310.068680587796</v>
      </c>
      <c r="F934" s="24">
        <f t="shared" si="44"/>
        <v>515.81881089663307</v>
      </c>
      <c r="G934" s="24">
        <f t="shared" si="45"/>
        <v>3823.3246201911988</v>
      </c>
    </row>
    <row r="935" spans="1:7" x14ac:dyDescent="0.6">
      <c r="A935" s="22">
        <v>38078</v>
      </c>
      <c r="B935" s="23">
        <v>-1.83E-2</v>
      </c>
      <c r="C935" s="23">
        <v>-2.06E-2</v>
      </c>
      <c r="D935" s="23">
        <v>-2.6200000000000001E-2</v>
      </c>
      <c r="E935" s="24">
        <f t="shared" si="43"/>
        <v>10121.39442373304</v>
      </c>
      <c r="F935" s="24">
        <f t="shared" si="44"/>
        <v>505.19294339216248</v>
      </c>
      <c r="G935" s="24">
        <f t="shared" si="45"/>
        <v>3723.1535151421895</v>
      </c>
    </row>
    <row r="936" spans="1:7" x14ac:dyDescent="0.6">
      <c r="A936" s="22">
        <v>38108</v>
      </c>
      <c r="B936" s="23">
        <v>1.17E-2</v>
      </c>
      <c r="C936" s="23">
        <v>-2.0999999999999999E-3</v>
      </c>
      <c r="D936" s="23">
        <v>-3.9000000000000003E-3</v>
      </c>
      <c r="E936" s="24">
        <f t="shared" si="43"/>
        <v>10239.814738490717</v>
      </c>
      <c r="F936" s="24">
        <f t="shared" si="44"/>
        <v>504.13203821103895</v>
      </c>
      <c r="G936" s="24">
        <f t="shared" si="45"/>
        <v>3708.6332164331347</v>
      </c>
    </row>
    <row r="937" spans="1:7" x14ac:dyDescent="0.6">
      <c r="A937" s="22">
        <v>38139</v>
      </c>
      <c r="B937" s="23">
        <v>1.8600000000000002E-2</v>
      </c>
      <c r="C937" s="23">
        <v>2.2599999999999999E-2</v>
      </c>
      <c r="D937" s="23">
        <v>1.38E-2</v>
      </c>
      <c r="E937" s="24">
        <f t="shared" si="43"/>
        <v>10430.275292626644</v>
      </c>
      <c r="F937" s="24">
        <f t="shared" si="44"/>
        <v>515.52542227460845</v>
      </c>
      <c r="G937" s="24">
        <f t="shared" si="45"/>
        <v>3759.8123548199123</v>
      </c>
    </row>
    <row r="938" spans="1:7" x14ac:dyDescent="0.6">
      <c r="A938" s="22">
        <v>38169</v>
      </c>
      <c r="B938" s="23">
        <v>-4.0599999999999997E-2</v>
      </c>
      <c r="C938" s="23">
        <v>-3.7900000000000003E-2</v>
      </c>
      <c r="D938" s="23">
        <v>4.1100000000000005E-2</v>
      </c>
      <c r="E938" s="24">
        <f t="shared" si="43"/>
        <v>10006.806115746003</v>
      </c>
      <c r="F938" s="24">
        <f t="shared" si="44"/>
        <v>495.98700877040073</v>
      </c>
      <c r="G938" s="24">
        <f t="shared" si="45"/>
        <v>3914.3406426030106</v>
      </c>
    </row>
    <row r="939" spans="1:7" x14ac:dyDescent="0.6">
      <c r="A939" s="22">
        <v>38200</v>
      </c>
      <c r="B939" s="23">
        <v>7.9999999999999993E-4</v>
      </c>
      <c r="C939" s="23">
        <v>-1.6299999999999999E-2</v>
      </c>
      <c r="D939" s="23">
        <v>1.03E-2</v>
      </c>
      <c r="E939" s="24">
        <f t="shared" si="43"/>
        <v>10014.8115606386</v>
      </c>
      <c r="F939" s="24">
        <f t="shared" si="44"/>
        <v>487.90242052744321</v>
      </c>
      <c r="G939" s="24">
        <f t="shared" si="45"/>
        <v>3954.6583512218217</v>
      </c>
    </row>
    <row r="940" spans="1:7" x14ac:dyDescent="0.6">
      <c r="A940" s="22">
        <v>38231</v>
      </c>
      <c r="B940" s="23">
        <v>1.6E-2</v>
      </c>
      <c r="C940" s="23">
        <v>3.04E-2</v>
      </c>
      <c r="D940" s="23">
        <v>-2.5000000000000001E-3</v>
      </c>
      <c r="E940" s="24">
        <f t="shared" si="43"/>
        <v>10175.048545608817</v>
      </c>
      <c r="F940" s="24">
        <f t="shared" si="44"/>
        <v>502.73465411147748</v>
      </c>
      <c r="G940" s="24">
        <f t="shared" si="45"/>
        <v>3944.7717053437673</v>
      </c>
    </row>
    <row r="941" spans="1:7" x14ac:dyDescent="0.6">
      <c r="A941" s="22">
        <v>38261</v>
      </c>
      <c r="B941" s="23">
        <v>1.43E-2</v>
      </c>
      <c r="C941" s="23">
        <v>3.0999999999999999E-3</v>
      </c>
      <c r="D941" s="23">
        <v>-6.1999999999999998E-3</v>
      </c>
      <c r="E941" s="24">
        <f t="shared" si="43"/>
        <v>10320.551739811022</v>
      </c>
      <c r="F941" s="24">
        <f t="shared" si="44"/>
        <v>504.29313153922311</v>
      </c>
      <c r="G941" s="24">
        <f t="shared" si="45"/>
        <v>3920.3141207706358</v>
      </c>
    </row>
    <row r="942" spans="1:7" x14ac:dyDescent="0.6">
      <c r="A942" s="22">
        <v>38292</v>
      </c>
      <c r="B942" s="23">
        <v>4.5400000000000003E-2</v>
      </c>
      <c r="C942" s="23">
        <v>3.9100000000000003E-2</v>
      </c>
      <c r="D942" s="23">
        <v>1.8000000000000002E-2</v>
      </c>
      <c r="E942" s="24">
        <f t="shared" si="43"/>
        <v>10789.104788798444</v>
      </c>
      <c r="F942" s="24">
        <f t="shared" si="44"/>
        <v>524.01099298240672</v>
      </c>
      <c r="G942" s="24">
        <f t="shared" si="45"/>
        <v>3990.8797749445071</v>
      </c>
    </row>
    <row r="943" spans="1:7" x14ac:dyDescent="0.6">
      <c r="A943" s="22">
        <v>38322</v>
      </c>
      <c r="B943" s="23">
        <v>3.4300000000000004E-2</v>
      </c>
      <c r="C943" s="23">
        <v>1.1999999999999999E-3</v>
      </c>
      <c r="D943" s="23">
        <v>-5.9999999999999995E-4</v>
      </c>
      <c r="E943" s="24">
        <f t="shared" si="43"/>
        <v>11159.171083054231</v>
      </c>
      <c r="F943" s="24">
        <f t="shared" si="44"/>
        <v>524.63980617398568</v>
      </c>
      <c r="G943" s="24">
        <f t="shared" si="45"/>
        <v>3988.4852470795404</v>
      </c>
    </row>
    <row r="944" spans="1:7" x14ac:dyDescent="0.6">
      <c r="A944" s="22">
        <v>38353</v>
      </c>
      <c r="B944" s="23">
        <v>-2.7599999999999996E-2</v>
      </c>
      <c r="C944" s="23">
        <v>-1.52E-2</v>
      </c>
      <c r="D944" s="23">
        <v>1.9599999999999999E-2</v>
      </c>
      <c r="E944" s="24">
        <f t="shared" si="43"/>
        <v>10851.177961161935</v>
      </c>
      <c r="F944" s="24">
        <f t="shared" si="44"/>
        <v>516.66528112014112</v>
      </c>
      <c r="G944" s="24">
        <f t="shared" si="45"/>
        <v>4066.6595579222994</v>
      </c>
    </row>
    <row r="945" spans="1:7" x14ac:dyDescent="0.6">
      <c r="A945" s="22">
        <v>38384</v>
      </c>
      <c r="B945" s="23">
        <v>1.8899999999999997E-2</v>
      </c>
      <c r="C945" s="23">
        <v>-5.0000000000000001E-3</v>
      </c>
      <c r="D945" s="23">
        <v>1.6399999999999998E-2</v>
      </c>
      <c r="E945" s="24">
        <f t="shared" si="43"/>
        <v>11056.265224627894</v>
      </c>
      <c r="F945" s="24">
        <f t="shared" si="44"/>
        <v>514.08195471454042</v>
      </c>
      <c r="G945" s="24">
        <f t="shared" si="45"/>
        <v>4133.3527746722248</v>
      </c>
    </row>
    <row r="946" spans="1:7" x14ac:dyDescent="0.6">
      <c r="A946" s="22">
        <v>38412</v>
      </c>
      <c r="B946" s="23">
        <v>-1.9700000000000002E-2</v>
      </c>
      <c r="C946" s="23">
        <v>-1.3999999999999999E-2</v>
      </c>
      <c r="D946" s="23">
        <v>1.5600000000000001E-2</v>
      </c>
      <c r="E946" s="24">
        <f t="shared" ref="E946:E1009" si="46">E945*(1+B946)</f>
        <v>10838.456799702724</v>
      </c>
      <c r="F946" s="24">
        <f t="shared" ref="F946:F1009" si="47">F945*(1+C946)</f>
        <v>506.88480734853687</v>
      </c>
      <c r="G946" s="24">
        <f t="shared" ref="G946:G1009" si="48">G945*(1+D946)</f>
        <v>4197.8330779571115</v>
      </c>
    </row>
    <row r="947" spans="1:7" x14ac:dyDescent="0.6">
      <c r="A947" s="22">
        <v>38443</v>
      </c>
      <c r="B947" s="23">
        <v>-2.6100000000000002E-2</v>
      </c>
      <c r="C947" s="23">
        <v>-0.04</v>
      </c>
      <c r="D947" s="23">
        <v>-3.4999999999999996E-3</v>
      </c>
      <c r="E947" s="24">
        <f t="shared" si="46"/>
        <v>10555.573077230483</v>
      </c>
      <c r="F947" s="24">
        <f t="shared" si="47"/>
        <v>486.60941505459539</v>
      </c>
      <c r="G947" s="24">
        <f t="shared" si="48"/>
        <v>4183.1406621842616</v>
      </c>
    </row>
    <row r="948" spans="1:7" x14ac:dyDescent="0.6">
      <c r="A948" s="22">
        <v>38473</v>
      </c>
      <c r="B948" s="23">
        <v>3.6499999999999998E-2</v>
      </c>
      <c r="C948" s="23">
        <v>2.8799999999999999E-2</v>
      </c>
      <c r="D948" s="23">
        <v>-8.3000000000000001E-3</v>
      </c>
      <c r="E948" s="24">
        <f t="shared" si="46"/>
        <v>10940.851494549395</v>
      </c>
      <c r="F948" s="24">
        <f t="shared" si="47"/>
        <v>500.62376620816769</v>
      </c>
      <c r="G948" s="24">
        <f t="shared" si="48"/>
        <v>4148.420594688132</v>
      </c>
    </row>
    <row r="949" spans="1:7" x14ac:dyDescent="0.6">
      <c r="A949" s="22">
        <v>38504</v>
      </c>
      <c r="B949" s="23">
        <v>5.7000000000000002E-3</v>
      </c>
      <c r="C949" s="23">
        <v>2.6200000000000001E-2</v>
      </c>
      <c r="D949" s="23">
        <v>2.6200000000000001E-2</v>
      </c>
      <c r="E949" s="24">
        <f t="shared" si="46"/>
        <v>11003.214348068328</v>
      </c>
      <c r="F949" s="24">
        <f t="shared" si="47"/>
        <v>513.74010888282169</v>
      </c>
      <c r="G949" s="24">
        <f t="shared" si="48"/>
        <v>4257.1092142689613</v>
      </c>
    </row>
    <row r="950" spans="1:7" x14ac:dyDescent="0.6">
      <c r="A950" s="22">
        <v>38534</v>
      </c>
      <c r="B950" s="23">
        <v>3.9199999999999999E-2</v>
      </c>
      <c r="C950" s="23">
        <v>2.9300000000000003E-2</v>
      </c>
      <c r="D950" s="23">
        <v>-5.1000000000000004E-3</v>
      </c>
      <c r="E950" s="24">
        <f t="shared" si="46"/>
        <v>11434.540350512605</v>
      </c>
      <c r="F950" s="24">
        <f t="shared" si="47"/>
        <v>528.79269407308846</v>
      </c>
      <c r="G950" s="24">
        <f t="shared" si="48"/>
        <v>4235.39795727619</v>
      </c>
    </row>
    <row r="951" spans="1:7" x14ac:dyDescent="0.6">
      <c r="A951" s="22">
        <v>38565</v>
      </c>
      <c r="B951" s="23">
        <v>-1.2199999999999999E-2</v>
      </c>
      <c r="C951" s="23">
        <v>-9.1999999999999998E-3</v>
      </c>
      <c r="D951" s="23">
        <v>1.2699999999999999E-2</v>
      </c>
      <c r="E951" s="24">
        <f t="shared" si="46"/>
        <v>11295.038958236351</v>
      </c>
      <c r="F951" s="24">
        <f t="shared" si="47"/>
        <v>523.92780128761603</v>
      </c>
      <c r="G951" s="24">
        <f t="shared" si="48"/>
        <v>4289.1875113335973</v>
      </c>
    </row>
    <row r="952" spans="1:7" x14ac:dyDescent="0.6">
      <c r="A952" s="22">
        <v>38596</v>
      </c>
      <c r="B952" s="23">
        <v>4.9000000000000007E-3</v>
      </c>
      <c r="C952" s="23">
        <v>-5.7999999999999996E-3</v>
      </c>
      <c r="D952" s="23">
        <v>7.7000000000000002E-3</v>
      </c>
      <c r="E952" s="24">
        <f t="shared" si="46"/>
        <v>11350.384649131709</v>
      </c>
      <c r="F952" s="24">
        <f t="shared" si="47"/>
        <v>520.8890200401479</v>
      </c>
      <c r="G952" s="24">
        <f t="shared" si="48"/>
        <v>4322.2142551708657</v>
      </c>
    </row>
    <row r="953" spans="1:7" x14ac:dyDescent="0.6">
      <c r="A953" s="22">
        <v>38626</v>
      </c>
      <c r="B953" s="23">
        <v>-2.0200000000000003E-2</v>
      </c>
      <c r="C953" s="23">
        <v>-1.21E-2</v>
      </c>
      <c r="D953" s="23">
        <v>2.3E-3</v>
      </c>
      <c r="E953" s="24">
        <f t="shared" si="46"/>
        <v>11121.106879219249</v>
      </c>
      <c r="F953" s="24">
        <f t="shared" si="47"/>
        <v>514.5862628976621</v>
      </c>
      <c r="G953" s="24">
        <f t="shared" si="48"/>
        <v>4332.1553479577587</v>
      </c>
    </row>
    <row r="954" spans="1:7" x14ac:dyDescent="0.6">
      <c r="A954" s="22">
        <v>38657</v>
      </c>
      <c r="B954" s="23">
        <v>3.61E-2</v>
      </c>
      <c r="C954" s="23">
        <v>9.1000000000000004E-3</v>
      </c>
      <c r="D954" s="23">
        <v>-1.18E-2</v>
      </c>
      <c r="E954" s="24">
        <f t="shared" si="46"/>
        <v>11522.578837559064</v>
      </c>
      <c r="F954" s="24">
        <f t="shared" si="47"/>
        <v>519.26899789003085</v>
      </c>
      <c r="G954" s="24">
        <f t="shared" si="48"/>
        <v>4281.0359148518573</v>
      </c>
    </row>
    <row r="955" spans="1:7" x14ac:dyDescent="0.6">
      <c r="A955" s="22">
        <v>38687</v>
      </c>
      <c r="B955" s="23">
        <v>-2.5000000000000001E-3</v>
      </c>
      <c r="C955" s="23">
        <v>-4.5999999999999999E-3</v>
      </c>
      <c r="D955" s="23">
        <v>4.4000000000000003E-3</v>
      </c>
      <c r="E955" s="24">
        <f t="shared" si="46"/>
        <v>11493.772390465167</v>
      </c>
      <c r="F955" s="24">
        <f t="shared" si="47"/>
        <v>516.88036049973664</v>
      </c>
      <c r="G955" s="24">
        <f t="shared" si="48"/>
        <v>4299.8724728772049</v>
      </c>
    </row>
    <row r="956" spans="1:7" x14ac:dyDescent="0.6">
      <c r="A956" s="22">
        <v>38718</v>
      </c>
      <c r="B956" s="23">
        <v>3.04E-2</v>
      </c>
      <c r="C956" s="23">
        <v>5.4199999999999998E-2</v>
      </c>
      <c r="D956" s="23">
        <v>1.1200000000000002E-2</v>
      </c>
      <c r="E956" s="24">
        <f t="shared" si="46"/>
        <v>11843.183071135307</v>
      </c>
      <c r="F956" s="24">
        <f t="shared" si="47"/>
        <v>544.89527603882243</v>
      </c>
      <c r="G956" s="24">
        <f t="shared" si="48"/>
        <v>4348.0310445734303</v>
      </c>
    </row>
    <row r="957" spans="1:7" x14ac:dyDescent="0.6">
      <c r="A957" s="22">
        <v>38749</v>
      </c>
      <c r="B957" s="23">
        <v>-3.0000000000000001E-3</v>
      </c>
      <c r="C957" s="23">
        <v>-3.8E-3</v>
      </c>
      <c r="D957" s="23">
        <v>-2.5000000000000001E-3</v>
      </c>
      <c r="E957" s="24">
        <f t="shared" si="46"/>
        <v>11807.6535219219</v>
      </c>
      <c r="F957" s="24">
        <f t="shared" si="47"/>
        <v>542.8246739898749</v>
      </c>
      <c r="G957" s="24">
        <f t="shared" si="48"/>
        <v>4337.1609669619966</v>
      </c>
    </row>
    <row r="958" spans="1:7" x14ac:dyDescent="0.6">
      <c r="A958" s="22">
        <v>38777</v>
      </c>
      <c r="B958" s="23">
        <v>1.46E-2</v>
      </c>
      <c r="C958" s="23">
        <v>3.5499999999999997E-2</v>
      </c>
      <c r="D958" s="23">
        <v>6.0999999999999995E-3</v>
      </c>
      <c r="E958" s="24">
        <f t="shared" si="46"/>
        <v>11980.045263341959</v>
      </c>
      <c r="F958" s="24">
        <f t="shared" si="47"/>
        <v>562.09494991651547</v>
      </c>
      <c r="G958" s="24">
        <f t="shared" si="48"/>
        <v>4363.6176488604651</v>
      </c>
    </row>
    <row r="959" spans="1:7" x14ac:dyDescent="0.6">
      <c r="A959" s="22">
        <v>38808</v>
      </c>
      <c r="B959" s="23">
        <v>7.2999999999999983E-3</v>
      </c>
      <c r="C959" s="23">
        <v>-1.34E-2</v>
      </c>
      <c r="D959" s="23">
        <v>2.5899999999999999E-2</v>
      </c>
      <c r="E959" s="24">
        <f t="shared" si="46"/>
        <v>12067.499593764356</v>
      </c>
      <c r="F959" s="24">
        <f t="shared" si="47"/>
        <v>554.56287758763415</v>
      </c>
      <c r="G959" s="24">
        <f t="shared" si="48"/>
        <v>4476.6353459659513</v>
      </c>
    </row>
    <row r="960" spans="1:7" x14ac:dyDescent="0.6">
      <c r="A960" s="22">
        <v>38838</v>
      </c>
      <c r="B960" s="23">
        <v>-3.5699999999999996E-2</v>
      </c>
      <c r="C960" s="23">
        <v>-3.04E-2</v>
      </c>
      <c r="D960" s="23">
        <v>2.5499999999999998E-2</v>
      </c>
      <c r="E960" s="24">
        <f t="shared" si="46"/>
        <v>11636.689858266969</v>
      </c>
      <c r="F960" s="24">
        <f t="shared" si="47"/>
        <v>537.70416610897007</v>
      </c>
      <c r="G960" s="24">
        <f t="shared" si="48"/>
        <v>4590.7895472880837</v>
      </c>
    </row>
    <row r="961" spans="1:7" x14ac:dyDescent="0.6">
      <c r="A961" s="22">
        <v>38869</v>
      </c>
      <c r="B961" s="23">
        <v>-3.4999999999999996E-3</v>
      </c>
      <c r="C961" s="23">
        <v>-3.4999999999999996E-3</v>
      </c>
      <c r="D961" s="23">
        <v>8.6999999999999994E-3</v>
      </c>
      <c r="E961" s="24">
        <f t="shared" si="46"/>
        <v>11595.961443763035</v>
      </c>
      <c r="F961" s="24">
        <f t="shared" si="47"/>
        <v>535.82220152758873</v>
      </c>
      <c r="G961" s="24">
        <f t="shared" si="48"/>
        <v>4630.7294163494898</v>
      </c>
    </row>
    <row r="962" spans="1:7" x14ac:dyDescent="0.6">
      <c r="A962" s="22">
        <v>38899</v>
      </c>
      <c r="B962" s="23">
        <v>-7.7999999999999996E-3</v>
      </c>
      <c r="C962" s="23">
        <v>-4.0800000000000003E-2</v>
      </c>
      <c r="D962" s="23">
        <v>2.9399999999999999E-2</v>
      </c>
      <c r="E962" s="24">
        <f t="shared" si="46"/>
        <v>11505.512944501683</v>
      </c>
      <c r="F962" s="24">
        <f t="shared" si="47"/>
        <v>513.96065570526309</v>
      </c>
      <c r="G962" s="24">
        <f t="shared" si="48"/>
        <v>4766.8728611901652</v>
      </c>
    </row>
    <row r="963" spans="1:7" x14ac:dyDescent="0.6">
      <c r="A963" s="22">
        <v>38930</v>
      </c>
      <c r="B963" s="23">
        <v>2.0299999999999999E-2</v>
      </c>
      <c r="C963" s="23">
        <v>9.0000000000000011E-3</v>
      </c>
      <c r="D963" s="23">
        <v>-1.72E-2</v>
      </c>
      <c r="E963" s="24">
        <f t="shared" si="46"/>
        <v>11739.074857275067</v>
      </c>
      <c r="F963" s="24">
        <f t="shared" si="47"/>
        <v>518.58630160661039</v>
      </c>
      <c r="G963" s="24">
        <f t="shared" si="48"/>
        <v>4684.8826479776944</v>
      </c>
    </row>
    <row r="964" spans="1:7" x14ac:dyDescent="0.6">
      <c r="A964" s="22">
        <v>38961</v>
      </c>
      <c r="B964" s="23">
        <v>1.84E-2</v>
      </c>
      <c r="C964" s="23">
        <v>-1.37E-2</v>
      </c>
      <c r="D964" s="23">
        <v>5.0000000000000001E-4</v>
      </c>
      <c r="E964" s="24">
        <f t="shared" si="46"/>
        <v>11955.073834648929</v>
      </c>
      <c r="F964" s="24">
        <f t="shared" si="47"/>
        <v>511.48166927459982</v>
      </c>
      <c r="G964" s="24">
        <f t="shared" si="48"/>
        <v>4687.2250893016826</v>
      </c>
    </row>
    <row r="965" spans="1:7" x14ac:dyDescent="0.6">
      <c r="A965" s="22">
        <v>38991</v>
      </c>
      <c r="B965" s="23">
        <v>3.2300000000000002E-2</v>
      </c>
      <c r="C965" s="23">
        <v>1.7299999999999999E-2</v>
      </c>
      <c r="D965" s="23">
        <v>-4.0000000000000002E-4</v>
      </c>
      <c r="E965" s="24">
        <f t="shared" si="46"/>
        <v>12341.222719508089</v>
      </c>
      <c r="F965" s="24">
        <f t="shared" si="47"/>
        <v>520.33030215305041</v>
      </c>
      <c r="G965" s="24">
        <f t="shared" si="48"/>
        <v>4685.3501992659621</v>
      </c>
    </row>
    <row r="966" spans="1:7" x14ac:dyDescent="0.6">
      <c r="A966" s="22">
        <v>39022</v>
      </c>
      <c r="B966" s="23">
        <v>1.7100000000000001E-2</v>
      </c>
      <c r="C966" s="23">
        <v>8.6E-3</v>
      </c>
      <c r="D966" s="23">
        <v>7.000000000000001E-4</v>
      </c>
      <c r="E966" s="24">
        <f t="shared" si="46"/>
        <v>12552.257628011675</v>
      </c>
      <c r="F966" s="24">
        <f t="shared" si="47"/>
        <v>524.80514275156656</v>
      </c>
      <c r="G966" s="24">
        <f t="shared" si="48"/>
        <v>4688.6299444054475</v>
      </c>
    </row>
    <row r="967" spans="1:7" x14ac:dyDescent="0.6">
      <c r="A967" s="22">
        <v>39052</v>
      </c>
      <c r="B967" s="23">
        <v>8.6999999999999994E-3</v>
      </c>
      <c r="C967" s="23">
        <v>-1.1000000000000001E-2</v>
      </c>
      <c r="D967" s="23">
        <v>3.1600000000000003E-2</v>
      </c>
      <c r="E967" s="24">
        <f t="shared" si="46"/>
        <v>12661.462269375375</v>
      </c>
      <c r="F967" s="24">
        <f t="shared" si="47"/>
        <v>519.03228618129936</v>
      </c>
      <c r="G967" s="24">
        <f t="shared" si="48"/>
        <v>4836.7906506486597</v>
      </c>
    </row>
    <row r="968" spans="1:7" x14ac:dyDescent="0.6">
      <c r="A968" s="22">
        <v>39083</v>
      </c>
      <c r="B968" s="23">
        <v>1.3999999999999999E-2</v>
      </c>
      <c r="C968" s="23">
        <v>1E-3</v>
      </c>
      <c r="D968" s="23">
        <v>-1.1000000000000001E-3</v>
      </c>
      <c r="E968" s="24">
        <f t="shared" si="46"/>
        <v>12838.72274114663</v>
      </c>
      <c r="F968" s="24">
        <f t="shared" si="47"/>
        <v>519.55131846748054</v>
      </c>
      <c r="G968" s="24">
        <f t="shared" si="48"/>
        <v>4831.4701809329463</v>
      </c>
    </row>
    <row r="969" spans="1:7" x14ac:dyDescent="0.6">
      <c r="A969" s="22">
        <v>39114</v>
      </c>
      <c r="B969" s="23">
        <v>-1.9600000000000003E-2</v>
      </c>
      <c r="C969" s="23">
        <v>1.32E-2</v>
      </c>
      <c r="D969" s="23">
        <v>-8.9999999999999998E-4</v>
      </c>
      <c r="E969" s="24">
        <f t="shared" si="46"/>
        <v>12587.083775420157</v>
      </c>
      <c r="F969" s="24">
        <f t="shared" si="47"/>
        <v>526.40939587125138</v>
      </c>
      <c r="G969" s="24">
        <f t="shared" si="48"/>
        <v>4827.1218577701065</v>
      </c>
    </row>
    <row r="970" spans="1:7" x14ac:dyDescent="0.6">
      <c r="A970" s="22">
        <v>39142</v>
      </c>
      <c r="B970" s="23">
        <v>6.8000000000000005E-3</v>
      </c>
      <c r="C970" s="23">
        <v>-5.9999999999999995E-4</v>
      </c>
      <c r="D970" s="23">
        <v>-2.2000000000000001E-3</v>
      </c>
      <c r="E970" s="24">
        <f t="shared" si="46"/>
        <v>12672.675945093013</v>
      </c>
      <c r="F970" s="24">
        <f t="shared" si="47"/>
        <v>526.09355023372859</v>
      </c>
      <c r="G970" s="24">
        <f t="shared" si="48"/>
        <v>4816.5021896830121</v>
      </c>
    </row>
    <row r="971" spans="1:7" x14ac:dyDescent="0.6">
      <c r="A971" s="22">
        <v>39173</v>
      </c>
      <c r="B971" s="23">
        <v>3.49E-2</v>
      </c>
      <c r="C971" s="23">
        <v>-2.06E-2</v>
      </c>
      <c r="D971" s="23">
        <v>-1.15E-2</v>
      </c>
      <c r="E971" s="24">
        <f t="shared" si="46"/>
        <v>13114.952335576758</v>
      </c>
      <c r="F971" s="24">
        <f t="shared" si="47"/>
        <v>515.25602309891383</v>
      </c>
      <c r="G971" s="24">
        <f t="shared" si="48"/>
        <v>4761.1124145016574</v>
      </c>
    </row>
    <row r="972" spans="1:7" x14ac:dyDescent="0.6">
      <c r="A972" s="22">
        <v>39203</v>
      </c>
      <c r="B972" s="23">
        <v>3.2400000000000005E-2</v>
      </c>
      <c r="C972" s="23">
        <v>2.9999999999999997E-4</v>
      </c>
      <c r="D972" s="23">
        <v>-5.0000000000000001E-4</v>
      </c>
      <c r="E972" s="24">
        <f t="shared" si="46"/>
        <v>13539.876791249444</v>
      </c>
      <c r="F972" s="24">
        <f t="shared" si="47"/>
        <v>515.41059990584347</v>
      </c>
      <c r="G972" s="24">
        <f t="shared" si="48"/>
        <v>4758.7318582944072</v>
      </c>
    </row>
    <row r="973" spans="1:7" x14ac:dyDescent="0.6">
      <c r="A973" s="22">
        <v>39234</v>
      </c>
      <c r="B973" s="23">
        <v>-1.9599999999999999E-2</v>
      </c>
      <c r="C973" s="23">
        <v>7.7000000000000002E-3</v>
      </c>
      <c r="D973" s="23">
        <v>-1.1299999999999999E-2</v>
      </c>
      <c r="E973" s="24">
        <f t="shared" si="46"/>
        <v>13274.495206140955</v>
      </c>
      <c r="F973" s="24">
        <f t="shared" si="47"/>
        <v>519.37926152511852</v>
      </c>
      <c r="G973" s="24">
        <f t="shared" si="48"/>
        <v>4704.9581882956809</v>
      </c>
    </row>
    <row r="974" spans="1:7" x14ac:dyDescent="0.6">
      <c r="A974" s="22">
        <v>39264</v>
      </c>
      <c r="B974" s="23">
        <v>-3.73E-2</v>
      </c>
      <c r="C974" s="23">
        <v>-2.5099999999999997E-2</v>
      </c>
      <c r="D974" s="23">
        <v>-3.3399999999999999E-2</v>
      </c>
      <c r="E974" s="24">
        <f t="shared" si="46"/>
        <v>12779.356534951898</v>
      </c>
      <c r="F974" s="24">
        <f t="shared" si="47"/>
        <v>506.34284206083805</v>
      </c>
      <c r="G974" s="24">
        <f t="shared" si="48"/>
        <v>4547.8125848066056</v>
      </c>
    </row>
    <row r="975" spans="1:7" x14ac:dyDescent="0.6">
      <c r="A975" s="22">
        <v>39295</v>
      </c>
      <c r="B975" s="23">
        <v>9.1999999999999998E-3</v>
      </c>
      <c r="C975" s="23">
        <v>-1.2999999999999999E-3</v>
      </c>
      <c r="D975" s="23">
        <v>-2.2400000000000003E-2</v>
      </c>
      <c r="E975" s="24">
        <f t="shared" si="46"/>
        <v>12896.926615073457</v>
      </c>
      <c r="F975" s="24">
        <f t="shared" si="47"/>
        <v>505.68459636615898</v>
      </c>
      <c r="G975" s="24">
        <f t="shared" si="48"/>
        <v>4445.9415829069376</v>
      </c>
    </row>
    <row r="976" spans="1:7" x14ac:dyDescent="0.6">
      <c r="A976" s="22">
        <v>39326</v>
      </c>
      <c r="B976" s="23">
        <v>3.2199999999999999E-2</v>
      </c>
      <c r="C976" s="23">
        <v>-2.29E-2</v>
      </c>
      <c r="D976" s="23">
        <v>-1.8600000000000002E-2</v>
      </c>
      <c r="E976" s="24">
        <f t="shared" si="46"/>
        <v>13312.207652078821</v>
      </c>
      <c r="F976" s="24">
        <f t="shared" si="47"/>
        <v>494.10441910937391</v>
      </c>
      <c r="G976" s="24">
        <f t="shared" si="48"/>
        <v>4363.2470694648691</v>
      </c>
    </row>
    <row r="977" spans="1:7" x14ac:dyDescent="0.6">
      <c r="A977" s="22">
        <v>39356</v>
      </c>
      <c r="B977" s="23">
        <v>1.7999999999999999E-2</v>
      </c>
      <c r="C977" s="23">
        <v>2.2000000000000001E-3</v>
      </c>
      <c r="D977" s="23">
        <v>-2.5899999999999999E-2</v>
      </c>
      <c r="E977" s="24">
        <f t="shared" si="46"/>
        <v>13551.827389816241</v>
      </c>
      <c r="F977" s="24">
        <f t="shared" si="47"/>
        <v>495.1914488314145</v>
      </c>
      <c r="G977" s="24">
        <f t="shared" si="48"/>
        <v>4250.2389703657291</v>
      </c>
    </row>
    <row r="978" spans="1:7" x14ac:dyDescent="0.6">
      <c r="A978" s="22">
        <v>39387</v>
      </c>
      <c r="B978" s="23">
        <v>-4.8300000000000003E-2</v>
      </c>
      <c r="C978" s="23">
        <v>-2.63E-2</v>
      </c>
      <c r="D978" s="23">
        <v>-1.18E-2</v>
      </c>
      <c r="E978" s="24">
        <f t="shared" si="46"/>
        <v>12897.274126888116</v>
      </c>
      <c r="F978" s="24">
        <f t="shared" si="47"/>
        <v>482.16791372714829</v>
      </c>
      <c r="G978" s="24">
        <f t="shared" si="48"/>
        <v>4200.0861505154135</v>
      </c>
    </row>
    <row r="979" spans="1:7" x14ac:dyDescent="0.6">
      <c r="A979" s="22">
        <v>39417</v>
      </c>
      <c r="B979" s="23">
        <v>-8.6999999999999994E-3</v>
      </c>
      <c r="C979" s="23">
        <v>2E-3</v>
      </c>
      <c r="D979" s="23">
        <v>-5.1999999999999998E-3</v>
      </c>
      <c r="E979" s="24">
        <f t="shared" si="46"/>
        <v>12785.06784198419</v>
      </c>
      <c r="F979" s="24">
        <f t="shared" si="47"/>
        <v>483.13224955460259</v>
      </c>
      <c r="G979" s="24">
        <f t="shared" si="48"/>
        <v>4178.245702532733</v>
      </c>
    </row>
    <row r="980" spans="1:7" x14ac:dyDescent="0.6">
      <c r="A980" s="22">
        <v>39448</v>
      </c>
      <c r="B980" s="23">
        <v>-6.3600000000000004E-2</v>
      </c>
      <c r="C980" s="23">
        <v>-8.8999999999999999E-3</v>
      </c>
      <c r="D980" s="23">
        <v>3.6499999999999998E-2</v>
      </c>
      <c r="E980" s="24">
        <f t="shared" si="46"/>
        <v>11971.937527233995</v>
      </c>
      <c r="F980" s="24">
        <f t="shared" si="47"/>
        <v>478.83237253356663</v>
      </c>
      <c r="G980" s="24">
        <f t="shared" si="48"/>
        <v>4330.7516706751776</v>
      </c>
    </row>
    <row r="981" spans="1:7" x14ac:dyDescent="0.6">
      <c r="A981" s="22">
        <v>39479</v>
      </c>
      <c r="B981" s="23">
        <v>-3.09E-2</v>
      </c>
      <c r="C981" s="23">
        <v>-2.3E-3</v>
      </c>
      <c r="D981" s="23">
        <v>-9.3999999999999986E-3</v>
      </c>
      <c r="E981" s="24">
        <f t="shared" si="46"/>
        <v>11602.004657642465</v>
      </c>
      <c r="F981" s="24">
        <f t="shared" si="47"/>
        <v>477.73105807673943</v>
      </c>
      <c r="G981" s="24">
        <f t="shared" si="48"/>
        <v>4290.0426049708312</v>
      </c>
    </row>
    <row r="982" spans="1:7" x14ac:dyDescent="0.6">
      <c r="A982" s="22">
        <v>39508</v>
      </c>
      <c r="B982" s="23">
        <v>-9.2999999999999992E-3</v>
      </c>
      <c r="C982" s="23">
        <v>9.3999999999999986E-3</v>
      </c>
      <c r="D982" s="23">
        <v>-1.5E-3</v>
      </c>
      <c r="E982" s="24">
        <f t="shared" si="46"/>
        <v>11494.106014326389</v>
      </c>
      <c r="F982" s="24">
        <f t="shared" si="47"/>
        <v>482.22173002266084</v>
      </c>
      <c r="G982" s="24">
        <f t="shared" si="48"/>
        <v>4283.6075410633748</v>
      </c>
    </row>
    <row r="983" spans="1:7" x14ac:dyDescent="0.6">
      <c r="A983" s="22">
        <v>39539</v>
      </c>
      <c r="B983" s="23">
        <v>4.5999999999999992E-2</v>
      </c>
      <c r="C983" s="23">
        <v>-1.6399999999999998E-2</v>
      </c>
      <c r="D983" s="23">
        <v>-9.5999999999999992E-3</v>
      </c>
      <c r="E983" s="24">
        <f t="shared" si="46"/>
        <v>12022.834890985403</v>
      </c>
      <c r="F983" s="24">
        <f t="shared" si="47"/>
        <v>474.31329365028921</v>
      </c>
      <c r="G983" s="24">
        <f t="shared" si="48"/>
        <v>4242.4849086691665</v>
      </c>
    </row>
    <row r="984" spans="1:7" x14ac:dyDescent="0.6">
      <c r="A984" s="22">
        <v>39569</v>
      </c>
      <c r="B984" s="23">
        <v>1.8600000000000002E-2</v>
      </c>
      <c r="C984" s="23">
        <v>3.2099999999999997E-2</v>
      </c>
      <c r="D984" s="23">
        <v>-1.38E-2</v>
      </c>
      <c r="E984" s="24">
        <f t="shared" si="46"/>
        <v>12246.459619957732</v>
      </c>
      <c r="F984" s="24">
        <f t="shared" si="47"/>
        <v>489.5387503764635</v>
      </c>
      <c r="G984" s="24">
        <f t="shared" si="48"/>
        <v>4183.9386169295321</v>
      </c>
    </row>
    <row r="985" spans="1:7" x14ac:dyDescent="0.6">
      <c r="A985" s="22">
        <v>39600</v>
      </c>
      <c r="B985" s="23">
        <v>-8.4400000000000003E-2</v>
      </c>
      <c r="C985" s="23">
        <v>1.2699999999999999E-2</v>
      </c>
      <c r="D985" s="23">
        <v>-2.4300000000000002E-2</v>
      </c>
      <c r="E985" s="24">
        <f t="shared" si="46"/>
        <v>11212.858428033298</v>
      </c>
      <c r="F985" s="24">
        <f t="shared" si="47"/>
        <v>495.75589250624455</v>
      </c>
      <c r="G985" s="24">
        <f t="shared" si="48"/>
        <v>4082.2689085381444</v>
      </c>
    </row>
    <row r="986" spans="1:7" x14ac:dyDescent="0.6">
      <c r="A986" s="22">
        <v>39630</v>
      </c>
      <c r="B986" s="23">
        <v>-7.7000000000000002E-3</v>
      </c>
      <c r="C986" s="23">
        <v>2.4700000000000003E-2</v>
      </c>
      <c r="D986" s="23">
        <v>5.8099999999999999E-2</v>
      </c>
      <c r="E986" s="24">
        <f t="shared" si="46"/>
        <v>11126.519418137441</v>
      </c>
      <c r="F986" s="24">
        <f t="shared" si="47"/>
        <v>508.00106305114878</v>
      </c>
      <c r="G986" s="24">
        <f t="shared" si="48"/>
        <v>4319.4487321242104</v>
      </c>
    </row>
    <row r="987" spans="1:7" x14ac:dyDescent="0.6">
      <c r="A987" s="22">
        <v>39661</v>
      </c>
      <c r="B987" s="23">
        <v>1.5300000000000001E-2</v>
      </c>
      <c r="C987" s="23">
        <v>3.61E-2</v>
      </c>
      <c r="D987" s="23">
        <v>1.5600000000000001E-2</v>
      </c>
      <c r="E987" s="24">
        <f t="shared" si="46"/>
        <v>11296.755165234945</v>
      </c>
      <c r="F987" s="24">
        <f t="shared" si="47"/>
        <v>526.33990142729522</v>
      </c>
      <c r="G987" s="24">
        <f t="shared" si="48"/>
        <v>4386.8321323453483</v>
      </c>
    </row>
    <row r="988" spans="1:7" x14ac:dyDescent="0.6">
      <c r="A988" s="22">
        <v>39692</v>
      </c>
      <c r="B988" s="23">
        <v>-9.2399999999999996E-2</v>
      </c>
      <c r="C988" s="23">
        <v>-1.1299999999999999E-2</v>
      </c>
      <c r="D988" s="23">
        <v>6.3299999999999995E-2</v>
      </c>
      <c r="E988" s="24">
        <f t="shared" si="46"/>
        <v>10252.934987967235</v>
      </c>
      <c r="F988" s="24">
        <f t="shared" si="47"/>
        <v>520.39226054116682</v>
      </c>
      <c r="G988" s="24">
        <f t="shared" si="48"/>
        <v>4664.5186063228084</v>
      </c>
    </row>
    <row r="989" spans="1:7" x14ac:dyDescent="0.6">
      <c r="A989" s="22">
        <v>39722</v>
      </c>
      <c r="B989" s="23">
        <v>-0.17230000000000001</v>
      </c>
      <c r="C989" s="23">
        <v>-2.3300000000000001E-2</v>
      </c>
      <c r="D989" s="23">
        <v>-2.8999999999999998E-2</v>
      </c>
      <c r="E989" s="24">
        <f t="shared" si="46"/>
        <v>8486.3542895404807</v>
      </c>
      <c r="F989" s="24">
        <f t="shared" si="47"/>
        <v>508.26712087055762</v>
      </c>
      <c r="G989" s="24">
        <f t="shared" si="48"/>
        <v>4529.2475667394465</v>
      </c>
    </row>
    <row r="990" spans="1:7" x14ac:dyDescent="0.6">
      <c r="A990" s="22">
        <v>39753</v>
      </c>
      <c r="B990" s="23">
        <v>-7.8599999999999989E-2</v>
      </c>
      <c r="C990" s="23">
        <v>-2.9900000000000003E-2</v>
      </c>
      <c r="D990" s="23">
        <v>-5.9400000000000001E-2</v>
      </c>
      <c r="E990" s="24">
        <f t="shared" si="46"/>
        <v>7819.3268423825994</v>
      </c>
      <c r="F990" s="24">
        <f t="shared" si="47"/>
        <v>493.0699339565279</v>
      </c>
      <c r="G990" s="24">
        <f t="shared" si="48"/>
        <v>4260.2102612751232</v>
      </c>
    </row>
    <row r="991" spans="1:7" x14ac:dyDescent="0.6">
      <c r="A991" s="22">
        <v>39783</v>
      </c>
      <c r="B991" s="23">
        <v>1.7399999999999999E-2</v>
      </c>
      <c r="C991" s="23">
        <v>3.5900000000000001E-2</v>
      </c>
      <c r="D991" s="23">
        <v>-2.3999999999999998E-3</v>
      </c>
      <c r="E991" s="24">
        <f t="shared" si="46"/>
        <v>7955.383129440057</v>
      </c>
      <c r="F991" s="24">
        <f t="shared" si="47"/>
        <v>510.7711445855673</v>
      </c>
      <c r="G991" s="24">
        <f t="shared" si="48"/>
        <v>4249.9857566480632</v>
      </c>
    </row>
    <row r="992" spans="1:7" x14ac:dyDescent="0.6">
      <c r="A992" s="22">
        <v>39814</v>
      </c>
      <c r="B992" s="23">
        <v>-8.1199999999999994E-2</v>
      </c>
      <c r="C992" s="23">
        <v>-1E-4</v>
      </c>
      <c r="D992" s="23">
        <v>-0.111</v>
      </c>
      <c r="E992" s="24">
        <f t="shared" si="46"/>
        <v>7309.4060193295245</v>
      </c>
      <c r="F992" s="24">
        <f t="shared" si="47"/>
        <v>510.72006747110873</v>
      </c>
      <c r="G992" s="24">
        <f t="shared" si="48"/>
        <v>3778.2373376601281</v>
      </c>
    </row>
    <row r="993" spans="1:7" x14ac:dyDescent="0.6">
      <c r="A993" s="22">
        <v>39845</v>
      </c>
      <c r="B993" s="23">
        <v>-0.10100000000000001</v>
      </c>
      <c r="C993" s="23">
        <v>1.7000000000000001E-3</v>
      </c>
      <c r="D993" s="23">
        <v>-7.2499999999999995E-2</v>
      </c>
      <c r="E993" s="24">
        <f t="shared" si="46"/>
        <v>6571.156011377243</v>
      </c>
      <c r="F993" s="24">
        <f t="shared" si="47"/>
        <v>511.58829158580966</v>
      </c>
      <c r="G993" s="24">
        <f t="shared" si="48"/>
        <v>3504.3151306797686</v>
      </c>
    </row>
    <row r="994" spans="1:7" x14ac:dyDescent="0.6">
      <c r="A994" s="22">
        <v>39873</v>
      </c>
      <c r="B994" s="23">
        <v>8.9499999999999982E-2</v>
      </c>
      <c r="C994" s="23">
        <v>-8.9999999999999998E-4</v>
      </c>
      <c r="D994" s="23">
        <v>3.5200000000000002E-2</v>
      </c>
      <c r="E994" s="24">
        <f t="shared" si="46"/>
        <v>7159.2744743955054</v>
      </c>
      <c r="F994" s="24">
        <f t="shared" si="47"/>
        <v>511.12786212338244</v>
      </c>
      <c r="G994" s="24">
        <f t="shared" si="48"/>
        <v>3627.667023279696</v>
      </c>
    </row>
    <row r="995" spans="1:7" x14ac:dyDescent="0.6">
      <c r="A995" s="22">
        <v>39904</v>
      </c>
      <c r="B995" s="23">
        <v>0.10189999999999999</v>
      </c>
      <c r="C995" s="23">
        <v>4.8300000000000003E-2</v>
      </c>
      <c r="D995" s="23">
        <v>5.4600000000000003E-2</v>
      </c>
      <c r="E995" s="24">
        <f t="shared" si="46"/>
        <v>7888.8045433364077</v>
      </c>
      <c r="F995" s="24">
        <f t="shared" si="47"/>
        <v>535.81533786394186</v>
      </c>
      <c r="G995" s="24">
        <f t="shared" si="48"/>
        <v>3825.7376427507675</v>
      </c>
    </row>
    <row r="996" spans="1:7" x14ac:dyDescent="0.6">
      <c r="A996" s="22">
        <v>39934</v>
      </c>
      <c r="B996" s="23">
        <v>5.21E-2</v>
      </c>
      <c r="C996" s="23">
        <v>-2.3300000000000001E-2</v>
      </c>
      <c r="D996" s="23">
        <v>-2.0999999999999999E-3</v>
      </c>
      <c r="E996" s="24">
        <f t="shared" si="46"/>
        <v>8299.8112600442346</v>
      </c>
      <c r="F996" s="24">
        <f t="shared" si="47"/>
        <v>523.33084049171202</v>
      </c>
      <c r="G996" s="24">
        <f t="shared" si="48"/>
        <v>3817.703593700991</v>
      </c>
    </row>
    <row r="997" spans="1:7" x14ac:dyDescent="0.6">
      <c r="A997" s="22">
        <v>39965</v>
      </c>
      <c r="B997" s="23">
        <v>4.3E-3</v>
      </c>
      <c r="C997" s="23">
        <v>2.6099999999999998E-2</v>
      </c>
      <c r="D997" s="23">
        <v>-2.7099999999999999E-2</v>
      </c>
      <c r="E997" s="24">
        <f t="shared" si="46"/>
        <v>8335.5004484624242</v>
      </c>
      <c r="F997" s="24">
        <f t="shared" si="47"/>
        <v>536.98977542854573</v>
      </c>
      <c r="G997" s="24">
        <f t="shared" si="48"/>
        <v>3714.2438263116942</v>
      </c>
    </row>
    <row r="998" spans="1:7" x14ac:dyDescent="0.6">
      <c r="A998" s="22">
        <v>39995</v>
      </c>
      <c r="B998" s="23">
        <v>7.7199999999999991E-2</v>
      </c>
      <c r="C998" s="23">
        <v>2.07E-2</v>
      </c>
      <c r="D998" s="23">
        <v>5.28E-2</v>
      </c>
      <c r="E998" s="24">
        <f t="shared" si="46"/>
        <v>8979.0010830837236</v>
      </c>
      <c r="F998" s="24">
        <f t="shared" si="47"/>
        <v>548.10546377991659</v>
      </c>
      <c r="G998" s="24">
        <f t="shared" si="48"/>
        <v>3910.3559003409514</v>
      </c>
    </row>
    <row r="999" spans="1:7" x14ac:dyDescent="0.6">
      <c r="A999" s="22">
        <v>40026</v>
      </c>
      <c r="B999" s="23">
        <v>3.3299999999999996E-2</v>
      </c>
      <c r="C999" s="23">
        <v>-9.0000000000000011E-3</v>
      </c>
      <c r="D999" s="23">
        <v>7.7600000000000002E-2</v>
      </c>
      <c r="E999" s="24">
        <f t="shared" si="46"/>
        <v>9278.0018191504132</v>
      </c>
      <c r="F999" s="24">
        <f t="shared" si="47"/>
        <v>543.17251460589739</v>
      </c>
      <c r="G999" s="24">
        <f t="shared" si="48"/>
        <v>4213.7995182074092</v>
      </c>
    </row>
    <row r="1000" spans="1:7" x14ac:dyDescent="0.6">
      <c r="A1000" s="22">
        <v>40057</v>
      </c>
      <c r="B1000" s="23">
        <v>4.0799999999999996E-2</v>
      </c>
      <c r="C1000" s="23">
        <v>2.4500000000000001E-2</v>
      </c>
      <c r="D1000" s="23">
        <v>9.1999999999999998E-3</v>
      </c>
      <c r="E1000" s="24">
        <f t="shared" si="46"/>
        <v>9656.5442933717495</v>
      </c>
      <c r="F1000" s="24">
        <f t="shared" si="47"/>
        <v>556.48024121374181</v>
      </c>
      <c r="G1000" s="24">
        <f t="shared" si="48"/>
        <v>4252.5664737749175</v>
      </c>
    </row>
    <row r="1001" spans="1:7" x14ac:dyDescent="0.6">
      <c r="A1001" s="22">
        <v>40087</v>
      </c>
      <c r="B1001" s="23">
        <v>-2.5899999999999999E-2</v>
      </c>
      <c r="C1001" s="23">
        <v>-4.2199999999999994E-2</v>
      </c>
      <c r="D1001" s="23">
        <v>-4.1700000000000001E-2</v>
      </c>
      <c r="E1001" s="24">
        <f t="shared" si="46"/>
        <v>9406.4397961734212</v>
      </c>
      <c r="F1001" s="24">
        <f t="shared" si="47"/>
        <v>532.99677503452187</v>
      </c>
      <c r="G1001" s="24">
        <f t="shared" si="48"/>
        <v>4075.2344518185037</v>
      </c>
    </row>
    <row r="1002" spans="1:7" x14ac:dyDescent="0.6">
      <c r="A1002" s="22">
        <v>40118</v>
      </c>
      <c r="B1002" s="23">
        <v>5.5599999999999997E-2</v>
      </c>
      <c r="C1002" s="23">
        <v>-2.5000000000000001E-2</v>
      </c>
      <c r="D1002" s="23">
        <v>-1.7000000000000001E-3</v>
      </c>
      <c r="E1002" s="24">
        <f t="shared" si="46"/>
        <v>9929.4378488406637</v>
      </c>
      <c r="F1002" s="24">
        <f t="shared" si="47"/>
        <v>519.67185565865884</v>
      </c>
      <c r="G1002" s="24">
        <f t="shared" si="48"/>
        <v>4068.306553250412</v>
      </c>
    </row>
    <row r="1003" spans="1:7" x14ac:dyDescent="0.6">
      <c r="A1003" s="22">
        <v>40148</v>
      </c>
      <c r="B1003" s="23">
        <v>2.75E-2</v>
      </c>
      <c r="C1003" s="23">
        <v>6.1100000000000002E-2</v>
      </c>
      <c r="D1003" s="23">
        <v>1E-4</v>
      </c>
      <c r="E1003" s="24">
        <f t="shared" si="46"/>
        <v>10202.497389683782</v>
      </c>
      <c r="F1003" s="24">
        <f t="shared" si="47"/>
        <v>551.42380603940285</v>
      </c>
      <c r="G1003" s="24">
        <f t="shared" si="48"/>
        <v>4068.7133839057369</v>
      </c>
    </row>
    <row r="1004" spans="1:7" x14ac:dyDescent="0.6">
      <c r="A1004" s="22">
        <v>40179</v>
      </c>
      <c r="B1004" s="23">
        <v>-3.3599999999999998E-2</v>
      </c>
      <c r="C1004" s="23">
        <v>3.8E-3</v>
      </c>
      <c r="D1004" s="23">
        <v>3.0999999999999999E-3</v>
      </c>
      <c r="E1004" s="24">
        <f t="shared" si="46"/>
        <v>9859.6934773904068</v>
      </c>
      <c r="F1004" s="24">
        <f t="shared" si="47"/>
        <v>553.51921650235261</v>
      </c>
      <c r="G1004" s="24">
        <f t="shared" si="48"/>
        <v>4081.3263953958453</v>
      </c>
    </row>
    <row r="1005" spans="1:7" x14ac:dyDescent="0.6">
      <c r="A1005" s="22">
        <v>40210</v>
      </c>
      <c r="B1005" s="23">
        <v>3.4000000000000002E-2</v>
      </c>
      <c r="C1005" s="23">
        <v>1.2E-2</v>
      </c>
      <c r="D1005" s="23">
        <v>3.1600000000000003E-2</v>
      </c>
      <c r="E1005" s="24">
        <f t="shared" si="46"/>
        <v>10194.923055621681</v>
      </c>
      <c r="F1005" s="24">
        <f t="shared" si="47"/>
        <v>560.16144710038088</v>
      </c>
      <c r="G1005" s="24">
        <f t="shared" si="48"/>
        <v>4210.2963094903544</v>
      </c>
    </row>
    <row r="1006" spans="1:7" x14ac:dyDescent="0.6">
      <c r="A1006" s="22">
        <v>40238</v>
      </c>
      <c r="B1006" s="23">
        <v>6.3099999999999989E-2</v>
      </c>
      <c r="C1006" s="23">
        <v>1.4199999999999999E-2</v>
      </c>
      <c r="D1006" s="23">
        <v>2.1000000000000001E-2</v>
      </c>
      <c r="E1006" s="24">
        <f t="shared" si="46"/>
        <v>10838.222700431408</v>
      </c>
      <c r="F1006" s="24">
        <f t="shared" si="47"/>
        <v>568.11573964920626</v>
      </c>
      <c r="G1006" s="24">
        <f t="shared" si="48"/>
        <v>4298.7125319896513</v>
      </c>
    </row>
    <row r="1007" spans="1:7" x14ac:dyDescent="0.6">
      <c r="A1007" s="22">
        <v>40269</v>
      </c>
      <c r="B1007" s="23">
        <v>1.9999999999999997E-2</v>
      </c>
      <c r="C1007" s="23">
        <v>4.9800000000000004E-2</v>
      </c>
      <c r="D1007" s="23">
        <v>2.81E-2</v>
      </c>
      <c r="E1007" s="24">
        <f t="shared" si="46"/>
        <v>11054.987154440036</v>
      </c>
      <c r="F1007" s="24">
        <f t="shared" si="47"/>
        <v>596.40790348373673</v>
      </c>
      <c r="G1007" s="24">
        <f t="shared" si="48"/>
        <v>4419.5063541385607</v>
      </c>
    </row>
    <row r="1008" spans="1:7" x14ac:dyDescent="0.6">
      <c r="A1008" s="22">
        <v>40299</v>
      </c>
      <c r="B1008" s="23">
        <v>-7.8899999999999998E-2</v>
      </c>
      <c r="C1008" s="23">
        <v>5.0000000000000001E-4</v>
      </c>
      <c r="D1008" s="23">
        <v>-2.3799999999999998E-2</v>
      </c>
      <c r="E1008" s="24">
        <f t="shared" si="46"/>
        <v>10182.748667954716</v>
      </c>
      <c r="F1008" s="24">
        <f t="shared" si="47"/>
        <v>596.70610743547854</v>
      </c>
      <c r="G1008" s="24">
        <f t="shared" si="48"/>
        <v>4314.3221029100632</v>
      </c>
    </row>
    <row r="1009" spans="1:7" x14ac:dyDescent="0.6">
      <c r="A1009" s="22">
        <v>40330</v>
      </c>
      <c r="B1009" s="23">
        <v>-5.5600000000000004E-2</v>
      </c>
      <c r="C1009" s="23">
        <v>-1.9699999999999999E-2</v>
      </c>
      <c r="D1009" s="23">
        <v>-4.4999999999999998E-2</v>
      </c>
      <c r="E1009" s="24">
        <f t="shared" si="46"/>
        <v>9616.5878420164336</v>
      </c>
      <c r="F1009" s="24">
        <f t="shared" si="47"/>
        <v>584.95099711899957</v>
      </c>
      <c r="G1009" s="24">
        <f t="shared" si="48"/>
        <v>4120.1776082791102</v>
      </c>
    </row>
    <row r="1010" spans="1:7" x14ac:dyDescent="0.6">
      <c r="A1010" s="22">
        <v>40360</v>
      </c>
      <c r="B1010" s="23">
        <v>6.9299999999999987E-2</v>
      </c>
      <c r="C1010" s="23">
        <v>1.6000000000000001E-3</v>
      </c>
      <c r="D1010" s="23">
        <v>-2.7000000000000001E-3</v>
      </c>
      <c r="E1010" s="24">
        <f t="shared" ref="E1010:E1073" si="49">E1009*(1+B1010)</f>
        <v>10283.017379468172</v>
      </c>
      <c r="F1010" s="24">
        <f t="shared" ref="F1010:F1073" si="50">F1009*(1+C1010)</f>
        <v>585.88691871439005</v>
      </c>
      <c r="G1010" s="24">
        <f t="shared" ref="G1010:G1073" si="51">G1009*(1+D1010)</f>
        <v>4109.0531287367567</v>
      </c>
    </row>
    <row r="1011" spans="1:7" x14ac:dyDescent="0.6">
      <c r="A1011" s="22">
        <v>40391</v>
      </c>
      <c r="B1011" s="23">
        <v>-4.7699999999999999E-2</v>
      </c>
      <c r="C1011" s="23">
        <v>-0.03</v>
      </c>
      <c r="D1011" s="23">
        <v>-1.95E-2</v>
      </c>
      <c r="E1011" s="24">
        <f t="shared" si="49"/>
        <v>9792.5174504675415</v>
      </c>
      <c r="F1011" s="24">
        <f t="shared" si="50"/>
        <v>568.31031115295832</v>
      </c>
      <c r="G1011" s="24">
        <f t="shared" si="51"/>
        <v>4028.92659272639</v>
      </c>
    </row>
    <row r="1012" spans="1:7" x14ac:dyDescent="0.6">
      <c r="A1012" s="22">
        <v>40422</v>
      </c>
      <c r="B1012" s="23">
        <v>9.5399999999999985E-2</v>
      </c>
      <c r="C1012" s="23">
        <v>3.9199999999999999E-2</v>
      </c>
      <c r="D1012" s="23">
        <v>-3.1200000000000002E-2</v>
      </c>
      <c r="E1012" s="24">
        <f t="shared" si="49"/>
        <v>10726.723615242145</v>
      </c>
      <c r="F1012" s="24">
        <f t="shared" si="50"/>
        <v>590.58807535015421</v>
      </c>
      <c r="G1012" s="24">
        <f t="shared" si="51"/>
        <v>3903.2240830333267</v>
      </c>
    </row>
    <row r="1013" spans="1:7" x14ac:dyDescent="0.6">
      <c r="A1013" s="22">
        <v>40452</v>
      </c>
      <c r="B1013" s="23">
        <v>3.8799999999999994E-2</v>
      </c>
      <c r="C1013" s="23">
        <v>1.15E-2</v>
      </c>
      <c r="D1013" s="23">
        <v>-2.5899999999999999E-2</v>
      </c>
      <c r="E1013" s="24">
        <f t="shared" si="49"/>
        <v>11142.92049151354</v>
      </c>
      <c r="F1013" s="24">
        <f t="shared" si="50"/>
        <v>597.37983821668104</v>
      </c>
      <c r="G1013" s="24">
        <f t="shared" si="51"/>
        <v>3802.1305792827634</v>
      </c>
    </row>
    <row r="1014" spans="1:7" x14ac:dyDescent="0.6">
      <c r="A1014" s="22">
        <v>40483</v>
      </c>
      <c r="B1014" s="23">
        <v>5.9999999999999993E-3</v>
      </c>
      <c r="C1014" s="23">
        <v>3.7000000000000005E-2</v>
      </c>
      <c r="D1014" s="23">
        <v>-9.0000000000000011E-3</v>
      </c>
      <c r="E1014" s="24">
        <f t="shared" si="49"/>
        <v>11209.778014462621</v>
      </c>
      <c r="F1014" s="24">
        <f t="shared" si="50"/>
        <v>619.48289223069821</v>
      </c>
      <c r="G1014" s="24">
        <f t="shared" si="51"/>
        <v>3767.9114040692184</v>
      </c>
    </row>
    <row r="1015" spans="1:7" x14ac:dyDescent="0.6">
      <c r="A1015" s="22">
        <v>40513</v>
      </c>
      <c r="B1015" s="23">
        <v>6.8199999999999997E-2</v>
      </c>
      <c r="C1015" s="23">
        <v>6.9999999999999993E-3</v>
      </c>
      <c r="D1015" s="23">
        <v>3.8100000000000002E-2</v>
      </c>
      <c r="E1015" s="24">
        <f t="shared" si="49"/>
        <v>11974.284875048972</v>
      </c>
      <c r="F1015" s="24">
        <f t="shared" si="50"/>
        <v>623.81927247631302</v>
      </c>
      <c r="G1015" s="24">
        <f t="shared" si="51"/>
        <v>3911.4688285642555</v>
      </c>
    </row>
    <row r="1016" spans="1:7" x14ac:dyDescent="0.6">
      <c r="A1016" s="22">
        <v>40544</v>
      </c>
      <c r="B1016" s="23">
        <v>1.9900000000000001E-2</v>
      </c>
      <c r="C1016" s="23">
        <v>-2.4700000000000003E-2</v>
      </c>
      <c r="D1016" s="23">
        <v>8.1000000000000013E-3</v>
      </c>
      <c r="E1016" s="24">
        <f t="shared" si="49"/>
        <v>12212.573144062448</v>
      </c>
      <c r="F1016" s="24">
        <f t="shared" si="50"/>
        <v>608.41093644614807</v>
      </c>
      <c r="G1016" s="24">
        <f t="shared" si="51"/>
        <v>3943.1517260756259</v>
      </c>
    </row>
    <row r="1017" spans="1:7" x14ac:dyDescent="0.6">
      <c r="A1017" s="22">
        <v>40575</v>
      </c>
      <c r="B1017" s="23">
        <v>3.49E-2</v>
      </c>
      <c r="C1017" s="23">
        <v>1.52E-2</v>
      </c>
      <c r="D1017" s="23">
        <v>1.09E-2</v>
      </c>
      <c r="E1017" s="24">
        <f t="shared" si="49"/>
        <v>12638.791946790227</v>
      </c>
      <c r="F1017" s="24">
        <f t="shared" si="50"/>
        <v>617.65878268012955</v>
      </c>
      <c r="G1017" s="24">
        <f t="shared" si="51"/>
        <v>3986.13207988985</v>
      </c>
    </row>
    <row r="1018" spans="1:7" x14ac:dyDescent="0.6">
      <c r="A1018" s="22">
        <v>40603</v>
      </c>
      <c r="B1018" s="23">
        <v>4.4999999999999997E-3</v>
      </c>
      <c r="C1018" s="23">
        <v>2.6000000000000002E-2</v>
      </c>
      <c r="D1018" s="23">
        <v>-1.55E-2</v>
      </c>
      <c r="E1018" s="24">
        <f t="shared" si="49"/>
        <v>12695.666510550782</v>
      </c>
      <c r="F1018" s="24">
        <f t="shared" si="50"/>
        <v>633.71791102981297</v>
      </c>
      <c r="G1018" s="24">
        <f t="shared" si="51"/>
        <v>3924.3470326515576</v>
      </c>
    </row>
    <row r="1019" spans="1:7" x14ac:dyDescent="0.6">
      <c r="A1019" s="22">
        <v>40634</v>
      </c>
      <c r="B1019" s="23">
        <v>2.8999999999999998E-2</v>
      </c>
      <c r="C1019" s="23">
        <v>-3.4000000000000002E-3</v>
      </c>
      <c r="D1019" s="23">
        <v>-2.5099999999999997E-2</v>
      </c>
      <c r="E1019" s="24">
        <f t="shared" si="49"/>
        <v>13063.840839356753</v>
      </c>
      <c r="F1019" s="24">
        <f t="shared" si="50"/>
        <v>631.56327013231157</v>
      </c>
      <c r="G1019" s="24">
        <f t="shared" si="51"/>
        <v>3825.8459221320036</v>
      </c>
    </row>
    <row r="1020" spans="1:7" x14ac:dyDescent="0.6">
      <c r="A1020" s="22">
        <v>40664</v>
      </c>
      <c r="B1020" s="23">
        <v>-1.2699999999999999E-2</v>
      </c>
      <c r="C1020" s="23">
        <v>-6.9999999999999993E-3</v>
      </c>
      <c r="D1020" s="23">
        <v>-2.07E-2</v>
      </c>
      <c r="E1020" s="24">
        <f t="shared" si="49"/>
        <v>12897.930060696923</v>
      </c>
      <c r="F1020" s="24">
        <f t="shared" si="50"/>
        <v>627.14232724138537</v>
      </c>
      <c r="G1020" s="24">
        <f t="shared" si="51"/>
        <v>3746.6509115438707</v>
      </c>
    </row>
    <row r="1021" spans="1:7" x14ac:dyDescent="0.6">
      <c r="A1021" s="22">
        <v>40695</v>
      </c>
      <c r="B1021" s="23">
        <v>-1.7500000000000002E-2</v>
      </c>
      <c r="C1021" s="23">
        <v>-1.8E-3</v>
      </c>
      <c r="D1021" s="23">
        <v>-3.0999999999999999E-3</v>
      </c>
      <c r="E1021" s="24">
        <f t="shared" si="49"/>
        <v>12672.216284634727</v>
      </c>
      <c r="F1021" s="24">
        <f t="shared" si="50"/>
        <v>626.01347105235084</v>
      </c>
      <c r="G1021" s="24">
        <f t="shared" si="51"/>
        <v>3735.0362937180848</v>
      </c>
    </row>
    <row r="1022" spans="1:7" x14ac:dyDescent="0.6">
      <c r="A1022" s="22">
        <v>40725</v>
      </c>
      <c r="B1022" s="23">
        <v>-2.3599999999999999E-2</v>
      </c>
      <c r="C1022" s="23">
        <v>-1.3100000000000001E-2</v>
      </c>
      <c r="D1022" s="23">
        <v>-1.23E-2</v>
      </c>
      <c r="E1022" s="24">
        <f t="shared" si="49"/>
        <v>12373.151980317349</v>
      </c>
      <c r="F1022" s="24">
        <f t="shared" si="50"/>
        <v>617.8126945815651</v>
      </c>
      <c r="G1022" s="24">
        <f t="shared" si="51"/>
        <v>3689.0953473053523</v>
      </c>
    </row>
    <row r="1023" spans="1:7" x14ac:dyDescent="0.6">
      <c r="A1023" s="22">
        <v>40756</v>
      </c>
      <c r="B1023" s="23">
        <v>-5.9900000000000009E-2</v>
      </c>
      <c r="C1023" s="23">
        <v>-3.0600000000000002E-2</v>
      </c>
      <c r="D1023" s="23">
        <v>-2.4399999999999998E-2</v>
      </c>
      <c r="E1023" s="24">
        <f t="shared" si="49"/>
        <v>11632.00017669634</v>
      </c>
      <c r="F1023" s="24">
        <f t="shared" si="50"/>
        <v>598.90762612736921</v>
      </c>
      <c r="G1023" s="24">
        <f t="shared" si="51"/>
        <v>3599.0814208311017</v>
      </c>
    </row>
    <row r="1024" spans="1:7" x14ac:dyDescent="0.6">
      <c r="A1024" s="22">
        <v>40787</v>
      </c>
      <c r="B1024" s="23">
        <v>-7.5899999999999995E-2</v>
      </c>
      <c r="C1024" s="23">
        <v>-3.4799999999999998E-2</v>
      </c>
      <c r="D1024" s="23">
        <v>-1.46E-2</v>
      </c>
      <c r="E1024" s="24">
        <f t="shared" si="49"/>
        <v>10749.131363285087</v>
      </c>
      <c r="F1024" s="24">
        <f t="shared" si="50"/>
        <v>578.06564073813684</v>
      </c>
      <c r="G1024" s="24">
        <f t="shared" si="51"/>
        <v>3546.534832086968</v>
      </c>
    </row>
    <row r="1025" spans="1:7" x14ac:dyDescent="0.6">
      <c r="A1025" s="22">
        <v>40817</v>
      </c>
      <c r="B1025" s="23">
        <v>0.11349999999999999</v>
      </c>
      <c r="C1025" s="23">
        <v>3.4099999999999998E-2</v>
      </c>
      <c r="D1025" s="23">
        <v>-1.7000000000000001E-3</v>
      </c>
      <c r="E1025" s="24">
        <f t="shared" si="49"/>
        <v>11969.157773017943</v>
      </c>
      <c r="F1025" s="24">
        <f t="shared" si="50"/>
        <v>597.77767908730732</v>
      </c>
      <c r="G1025" s="24">
        <f t="shared" si="51"/>
        <v>3540.5057228724199</v>
      </c>
    </row>
    <row r="1026" spans="1:7" x14ac:dyDescent="0.6">
      <c r="A1026" s="22">
        <v>40848</v>
      </c>
      <c r="B1026" s="23">
        <v>-2.8000000000000004E-3</v>
      </c>
      <c r="C1026" s="23">
        <v>-1.7000000000000001E-3</v>
      </c>
      <c r="D1026" s="23">
        <v>-3.4999999999999996E-3</v>
      </c>
      <c r="E1026" s="24">
        <f t="shared" si="49"/>
        <v>11935.644131253493</v>
      </c>
      <c r="F1026" s="24">
        <f t="shared" si="50"/>
        <v>596.76145703285886</v>
      </c>
      <c r="G1026" s="24">
        <f t="shared" si="51"/>
        <v>3528.1139528423669</v>
      </c>
    </row>
    <row r="1027" spans="1:7" x14ac:dyDescent="0.6">
      <c r="A1027" s="22">
        <v>40878</v>
      </c>
      <c r="B1027" s="23">
        <v>7.4000000000000003E-3</v>
      </c>
      <c r="C1027" s="23">
        <v>-7.0999999999999995E-3</v>
      </c>
      <c r="D1027" s="23">
        <v>1.7399999999999999E-2</v>
      </c>
      <c r="E1027" s="24">
        <f t="shared" si="49"/>
        <v>12023.96789782477</v>
      </c>
      <c r="F1027" s="24">
        <f t="shared" si="50"/>
        <v>592.52445068792554</v>
      </c>
      <c r="G1027" s="24">
        <f t="shared" si="51"/>
        <v>3589.5031356218242</v>
      </c>
    </row>
    <row r="1028" spans="1:7" x14ac:dyDescent="0.6">
      <c r="A1028" s="22">
        <v>40909</v>
      </c>
      <c r="B1028" s="23">
        <v>5.0499999999999996E-2</v>
      </c>
      <c r="C1028" s="23">
        <v>2.1499999999999998E-2</v>
      </c>
      <c r="D1028" s="23">
        <v>-1.09E-2</v>
      </c>
      <c r="E1028" s="24">
        <f t="shared" si="49"/>
        <v>12631.178276664921</v>
      </c>
      <c r="F1028" s="24">
        <f t="shared" si="50"/>
        <v>605.26372637771601</v>
      </c>
      <c r="G1028" s="24">
        <f t="shared" si="51"/>
        <v>3550.3775514435461</v>
      </c>
    </row>
    <row r="1029" spans="1:7" x14ac:dyDescent="0.6">
      <c r="A1029" s="22">
        <v>40940</v>
      </c>
      <c r="B1029" s="23">
        <v>4.4199999999999996E-2</v>
      </c>
      <c r="C1029" s="23">
        <v>-1.7500000000000002E-2</v>
      </c>
      <c r="D1029" s="23">
        <v>8.9999999999999998E-4</v>
      </c>
      <c r="E1029" s="24">
        <f t="shared" si="49"/>
        <v>13189.476356493511</v>
      </c>
      <c r="F1029" s="24">
        <f t="shared" si="50"/>
        <v>594.671611166106</v>
      </c>
      <c r="G1029" s="24">
        <f t="shared" si="51"/>
        <v>3553.5728912398449</v>
      </c>
    </row>
    <row r="1030" spans="1:7" x14ac:dyDescent="0.6">
      <c r="A1030" s="22">
        <v>40969</v>
      </c>
      <c r="B1030" s="23">
        <v>3.1099999999999999E-2</v>
      </c>
      <c r="C1030" s="23">
        <v>-6.0999999999999995E-3</v>
      </c>
      <c r="D1030" s="23">
        <v>8.6999999999999994E-3</v>
      </c>
      <c r="E1030" s="24">
        <f t="shared" si="49"/>
        <v>13599.669071180459</v>
      </c>
      <c r="F1030" s="24">
        <f t="shared" si="50"/>
        <v>591.04411433799271</v>
      </c>
      <c r="G1030" s="24">
        <f t="shared" si="51"/>
        <v>3584.4889753936313</v>
      </c>
    </row>
    <row r="1031" spans="1:7" x14ac:dyDescent="0.6">
      <c r="A1031" s="22">
        <v>41000</v>
      </c>
      <c r="B1031" s="23">
        <v>-8.5000000000000006E-3</v>
      </c>
      <c r="C1031" s="23">
        <v>-5.1999999999999998E-3</v>
      </c>
      <c r="D1031" s="23">
        <v>-4.6999999999999993E-3</v>
      </c>
      <c r="E1031" s="24">
        <f t="shared" si="49"/>
        <v>13484.071884075425</v>
      </c>
      <c r="F1031" s="24">
        <f t="shared" si="50"/>
        <v>587.97068494343512</v>
      </c>
      <c r="G1031" s="24">
        <f t="shared" si="51"/>
        <v>3567.6418772092811</v>
      </c>
    </row>
    <row r="1032" spans="1:7" x14ac:dyDescent="0.6">
      <c r="A1032" s="22">
        <v>41030</v>
      </c>
      <c r="B1032" s="23">
        <v>-6.1900000000000011E-2</v>
      </c>
      <c r="C1032" s="23">
        <v>2.0000000000000001E-4</v>
      </c>
      <c r="D1032" s="23">
        <v>-6.1999999999999998E-3</v>
      </c>
      <c r="E1032" s="24">
        <f t="shared" si="49"/>
        <v>12649.407834451156</v>
      </c>
      <c r="F1032" s="24">
        <f t="shared" si="50"/>
        <v>588.08827908042383</v>
      </c>
      <c r="G1032" s="24">
        <f t="shared" si="51"/>
        <v>3545.5224975705837</v>
      </c>
    </row>
    <row r="1033" spans="1:7" x14ac:dyDescent="0.6">
      <c r="A1033" s="22">
        <v>41061</v>
      </c>
      <c r="B1033" s="23">
        <v>3.8900000000000004E-2</v>
      </c>
      <c r="C1033" s="23">
        <v>7.7000000000000002E-3</v>
      </c>
      <c r="D1033" s="23">
        <v>4.4000000000000003E-3</v>
      </c>
      <c r="E1033" s="24">
        <f t="shared" si="49"/>
        <v>13141.469799211305</v>
      </c>
      <c r="F1033" s="24">
        <f t="shared" si="50"/>
        <v>592.61655882934315</v>
      </c>
      <c r="G1033" s="24">
        <f t="shared" si="51"/>
        <v>3561.1227965598941</v>
      </c>
    </row>
    <row r="1034" spans="1:7" x14ac:dyDescent="0.6">
      <c r="A1034" s="22">
        <v>41091</v>
      </c>
      <c r="B1034" s="23">
        <v>7.9000000000000008E-3</v>
      </c>
      <c r="C1034" s="23">
        <v>-2.58E-2</v>
      </c>
      <c r="D1034" s="23">
        <v>-2.5000000000000001E-3</v>
      </c>
      <c r="E1034" s="24">
        <f t="shared" si="49"/>
        <v>13245.287410625075</v>
      </c>
      <c r="F1034" s="24">
        <f t="shared" si="50"/>
        <v>577.32705161154604</v>
      </c>
      <c r="G1034" s="24">
        <f t="shared" si="51"/>
        <v>3552.2199895684944</v>
      </c>
    </row>
    <row r="1035" spans="1:7" x14ac:dyDescent="0.6">
      <c r="A1035" s="22">
        <v>41122</v>
      </c>
      <c r="B1035" s="23">
        <v>2.5499999999999998E-2</v>
      </c>
      <c r="C1035" s="23">
        <v>4.0999999999999995E-3</v>
      </c>
      <c r="D1035" s="23">
        <v>1.2800000000000001E-2</v>
      </c>
      <c r="E1035" s="24">
        <f t="shared" si="49"/>
        <v>13583.042239596016</v>
      </c>
      <c r="F1035" s="24">
        <f t="shared" si="50"/>
        <v>579.69409252315336</v>
      </c>
      <c r="G1035" s="24">
        <f t="shared" si="51"/>
        <v>3597.6884054349707</v>
      </c>
    </row>
    <row r="1036" spans="1:7" x14ac:dyDescent="0.6">
      <c r="A1036" s="22">
        <v>41153</v>
      </c>
      <c r="B1036" s="23">
        <v>2.7299999999999998E-2</v>
      </c>
      <c r="C1036" s="23">
        <v>5.0000000000000001E-3</v>
      </c>
      <c r="D1036" s="23">
        <v>1.52E-2</v>
      </c>
      <c r="E1036" s="24">
        <f t="shared" si="49"/>
        <v>13953.859292736988</v>
      </c>
      <c r="F1036" s="24">
        <f t="shared" si="50"/>
        <v>582.59256298576906</v>
      </c>
      <c r="G1036" s="24">
        <f t="shared" si="51"/>
        <v>3652.3732691975824</v>
      </c>
    </row>
    <row r="1037" spans="1:7" x14ac:dyDescent="0.6">
      <c r="A1037" s="22">
        <v>41183</v>
      </c>
      <c r="B1037" s="23">
        <v>-1.7600000000000001E-2</v>
      </c>
      <c r="C1037" s="23">
        <v>-1.1399999999999999E-2</v>
      </c>
      <c r="D1037" s="23">
        <v>3.7900000000000003E-2</v>
      </c>
      <c r="E1037" s="24">
        <f t="shared" si="49"/>
        <v>13708.271369184818</v>
      </c>
      <c r="F1037" s="24">
        <f t="shared" si="50"/>
        <v>575.95100776773131</v>
      </c>
      <c r="G1037" s="24">
        <f t="shared" si="51"/>
        <v>3790.798216100171</v>
      </c>
    </row>
    <row r="1038" spans="1:7" x14ac:dyDescent="0.6">
      <c r="A1038" s="22">
        <v>41214</v>
      </c>
      <c r="B1038" s="23">
        <v>7.8000000000000005E-3</v>
      </c>
      <c r="C1038" s="23">
        <v>5.8999999999999999E-3</v>
      </c>
      <c r="D1038" s="23">
        <v>-9.5999999999999992E-3</v>
      </c>
      <c r="E1038" s="24">
        <f t="shared" si="49"/>
        <v>13815.195885864461</v>
      </c>
      <c r="F1038" s="24">
        <f t="shared" si="50"/>
        <v>579.34911871356098</v>
      </c>
      <c r="G1038" s="24">
        <f t="shared" si="51"/>
        <v>3754.4065532256091</v>
      </c>
    </row>
    <row r="1039" spans="1:7" x14ac:dyDescent="0.6">
      <c r="A1039" s="22">
        <v>41244</v>
      </c>
      <c r="B1039" s="23">
        <v>1.18E-2</v>
      </c>
      <c r="C1039" s="23">
        <v>1.47E-2</v>
      </c>
      <c r="D1039" s="23">
        <v>3.5499999999999997E-2</v>
      </c>
      <c r="E1039" s="24">
        <f t="shared" si="49"/>
        <v>13978.215197317662</v>
      </c>
      <c r="F1039" s="24">
        <f t="shared" si="50"/>
        <v>587.86555075865033</v>
      </c>
      <c r="G1039" s="24">
        <f t="shared" si="51"/>
        <v>3887.6879858651187</v>
      </c>
    </row>
    <row r="1040" spans="1:7" x14ac:dyDescent="0.6">
      <c r="A1040" s="22">
        <v>41275</v>
      </c>
      <c r="B1040" s="23">
        <v>5.57E-2</v>
      </c>
      <c r="C1040" s="23">
        <v>3.9000000000000003E-3</v>
      </c>
      <c r="D1040" s="23">
        <v>9.1999999999999998E-3</v>
      </c>
      <c r="E1040" s="24">
        <f t="shared" si="49"/>
        <v>14756.801783808258</v>
      </c>
      <c r="F1040" s="24">
        <f t="shared" si="50"/>
        <v>590.15822640660906</v>
      </c>
      <c r="G1040" s="24">
        <f t="shared" si="51"/>
        <v>3923.4547153350782</v>
      </c>
    </row>
    <row r="1041" spans="1:7" x14ac:dyDescent="0.6">
      <c r="A1041" s="22">
        <v>41306</v>
      </c>
      <c r="B1041" s="23">
        <v>1.29E-2</v>
      </c>
      <c r="C1041" s="23">
        <v>-4.5000000000000005E-3</v>
      </c>
      <c r="D1041" s="23">
        <v>0</v>
      </c>
      <c r="E1041" s="24">
        <f t="shared" si="49"/>
        <v>14947.164526819382</v>
      </c>
      <c r="F1041" s="24">
        <f t="shared" si="50"/>
        <v>587.50251438777934</v>
      </c>
      <c r="G1041" s="24">
        <f t="shared" si="51"/>
        <v>3923.4547153350782</v>
      </c>
    </row>
    <row r="1042" spans="1:7" x14ac:dyDescent="0.6">
      <c r="A1042" s="22">
        <v>41334</v>
      </c>
      <c r="B1042" s="23">
        <v>4.0300000000000002E-2</v>
      </c>
      <c r="C1042" s="23">
        <v>7.9000000000000008E-3</v>
      </c>
      <c r="D1042" s="23">
        <v>-2.5999999999999999E-3</v>
      </c>
      <c r="E1042" s="24">
        <f t="shared" si="49"/>
        <v>15549.535257250203</v>
      </c>
      <c r="F1042" s="24">
        <f t="shared" si="50"/>
        <v>592.14378425144287</v>
      </c>
      <c r="G1042" s="24">
        <f t="shared" si="51"/>
        <v>3913.2537330752066</v>
      </c>
    </row>
    <row r="1043" spans="1:7" x14ac:dyDescent="0.6">
      <c r="A1043" s="22">
        <v>41365</v>
      </c>
      <c r="B1043" s="23">
        <v>1.55E-2</v>
      </c>
      <c r="C1043" s="23">
        <v>-2.4399999999999998E-2</v>
      </c>
      <c r="D1043" s="23">
        <v>5.8999999999999999E-3</v>
      </c>
      <c r="E1043" s="24">
        <f t="shared" si="49"/>
        <v>15790.553053737583</v>
      </c>
      <c r="F1043" s="24">
        <f t="shared" si="50"/>
        <v>577.69547591570768</v>
      </c>
      <c r="G1043" s="24">
        <f t="shared" si="51"/>
        <v>3936.3419301003505</v>
      </c>
    </row>
    <row r="1044" spans="1:7" x14ac:dyDescent="0.6">
      <c r="A1044" s="22">
        <v>41395</v>
      </c>
      <c r="B1044" s="23">
        <v>2.7999999999999997E-2</v>
      </c>
      <c r="C1044" s="23">
        <v>1.67E-2</v>
      </c>
      <c r="D1044" s="23">
        <v>2.5499999999999998E-2</v>
      </c>
      <c r="E1044" s="24">
        <f t="shared" si="49"/>
        <v>16232.688539242235</v>
      </c>
      <c r="F1044" s="24">
        <f t="shared" si="50"/>
        <v>587.34299036350001</v>
      </c>
      <c r="G1044" s="24">
        <f t="shared" si="51"/>
        <v>4036.7186493179097</v>
      </c>
    </row>
    <row r="1045" spans="1:7" x14ac:dyDescent="0.6">
      <c r="A1045" s="22">
        <v>41426</v>
      </c>
      <c r="B1045" s="23">
        <v>-1.2E-2</v>
      </c>
      <c r="C1045" s="23">
        <v>1.2199999999999999E-2</v>
      </c>
      <c r="D1045" s="23">
        <v>-1.9E-3</v>
      </c>
      <c r="E1045" s="24">
        <f t="shared" si="49"/>
        <v>16037.896276771329</v>
      </c>
      <c r="F1045" s="24">
        <f t="shared" si="50"/>
        <v>594.50857484593473</v>
      </c>
      <c r="G1045" s="24">
        <f t="shared" si="51"/>
        <v>4029.0488838842057</v>
      </c>
    </row>
    <row r="1046" spans="1:7" x14ac:dyDescent="0.6">
      <c r="A1046" s="22">
        <v>41456</v>
      </c>
      <c r="B1046" s="23">
        <v>5.6500000000000002E-2</v>
      </c>
      <c r="C1046" s="23">
        <v>1.8600000000000002E-2</v>
      </c>
      <c r="D1046" s="23">
        <v>5.5000000000000005E-3</v>
      </c>
      <c r="E1046" s="24">
        <f t="shared" si="49"/>
        <v>16944.037416408908</v>
      </c>
      <c r="F1046" s="24">
        <f t="shared" si="50"/>
        <v>605.56643433806914</v>
      </c>
      <c r="G1046" s="24">
        <f t="shared" si="51"/>
        <v>4051.208652745569</v>
      </c>
    </row>
    <row r="1047" spans="1:7" x14ac:dyDescent="0.6">
      <c r="A1047" s="22">
        <v>41487</v>
      </c>
      <c r="B1047" s="23">
        <v>-2.7099999999999999E-2</v>
      </c>
      <c r="C1047" s="23">
        <v>3.0000000000000001E-3</v>
      </c>
      <c r="D1047" s="23">
        <v>-2.7799999999999998E-2</v>
      </c>
      <c r="E1047" s="24">
        <f t="shared" si="49"/>
        <v>16484.854002424225</v>
      </c>
      <c r="F1047" s="24">
        <f t="shared" si="50"/>
        <v>607.3831336410833</v>
      </c>
      <c r="G1047" s="24">
        <f t="shared" si="51"/>
        <v>3938.585052199242</v>
      </c>
    </row>
    <row r="1048" spans="1:7" x14ac:dyDescent="0.6">
      <c r="A1048" s="22">
        <v>41518</v>
      </c>
      <c r="B1048" s="23">
        <v>3.7699999999999997E-2</v>
      </c>
      <c r="C1048" s="23">
        <v>2.9399999999999999E-2</v>
      </c>
      <c r="D1048" s="23">
        <v>-1.18E-2</v>
      </c>
      <c r="E1048" s="24">
        <f t="shared" si="49"/>
        <v>17106.332998315618</v>
      </c>
      <c r="F1048" s="24">
        <f t="shared" si="50"/>
        <v>625.2401977701312</v>
      </c>
      <c r="G1048" s="24">
        <f t="shared" si="51"/>
        <v>3892.1097485832906</v>
      </c>
    </row>
    <row r="1049" spans="1:7" x14ac:dyDescent="0.6">
      <c r="A1049" s="22">
        <v>41548</v>
      </c>
      <c r="B1049" s="23">
        <v>4.1799999999999997E-2</v>
      </c>
      <c r="C1049" s="23">
        <v>-1.49E-2</v>
      </c>
      <c r="D1049" s="23">
        <v>1.15E-2</v>
      </c>
      <c r="E1049" s="24">
        <f t="shared" si="49"/>
        <v>17821.377717645213</v>
      </c>
      <c r="F1049" s="24">
        <f t="shared" si="50"/>
        <v>615.92411882335625</v>
      </c>
      <c r="G1049" s="24">
        <f t="shared" si="51"/>
        <v>3936.8690106919989</v>
      </c>
    </row>
    <row r="1050" spans="1:7" x14ac:dyDescent="0.6">
      <c r="A1050" s="22">
        <v>41579</v>
      </c>
      <c r="B1050" s="23">
        <v>3.1200000000000002E-2</v>
      </c>
      <c r="C1050" s="23">
        <v>1.24E-2</v>
      </c>
      <c r="D1050" s="23">
        <v>2.3999999999999998E-3</v>
      </c>
      <c r="E1050" s="24">
        <f t="shared" si="49"/>
        <v>18377.404702435742</v>
      </c>
      <c r="F1050" s="24">
        <f t="shared" si="50"/>
        <v>623.56157789676581</v>
      </c>
      <c r="G1050" s="24">
        <f t="shared" si="51"/>
        <v>3946.3174963176598</v>
      </c>
    </row>
    <row r="1051" spans="1:7" x14ac:dyDescent="0.6">
      <c r="A1051" s="22">
        <v>41609</v>
      </c>
      <c r="B1051" s="23">
        <v>2.81E-2</v>
      </c>
      <c r="C1051" s="23">
        <v>-5.0000000000000001E-3</v>
      </c>
      <c r="D1051" s="23">
        <v>-3.0000000000000001E-3</v>
      </c>
      <c r="E1051" s="24">
        <f t="shared" si="49"/>
        <v>18893.809774574187</v>
      </c>
      <c r="F1051" s="24">
        <f t="shared" si="50"/>
        <v>620.44377000728196</v>
      </c>
      <c r="G1051" s="24">
        <f t="shared" si="51"/>
        <v>3934.4785438287067</v>
      </c>
    </row>
    <row r="1052" spans="1:7" x14ac:dyDescent="0.6">
      <c r="A1052" s="22">
        <v>41640</v>
      </c>
      <c r="B1052" s="23">
        <v>-3.32E-2</v>
      </c>
      <c r="C1052" s="23">
        <v>8.6999999999999994E-3</v>
      </c>
      <c r="D1052" s="23">
        <v>-2.0799999999999999E-2</v>
      </c>
      <c r="E1052" s="24">
        <f t="shared" si="49"/>
        <v>18266.535290058324</v>
      </c>
      <c r="F1052" s="24">
        <f t="shared" si="50"/>
        <v>625.84163080634528</v>
      </c>
      <c r="G1052" s="24">
        <f t="shared" si="51"/>
        <v>3852.6413901170695</v>
      </c>
    </row>
    <row r="1053" spans="1:7" x14ac:dyDescent="0.6">
      <c r="A1053" s="22">
        <v>41671</v>
      </c>
      <c r="B1053" s="23">
        <v>4.6500000000000007E-2</v>
      </c>
      <c r="C1053" s="23">
        <v>3.3E-3</v>
      </c>
      <c r="D1053" s="23">
        <v>-3.9000000000000003E-3</v>
      </c>
      <c r="E1053" s="24">
        <f t="shared" si="49"/>
        <v>19115.929181046035</v>
      </c>
      <c r="F1053" s="24">
        <f t="shared" si="50"/>
        <v>627.90690818800624</v>
      </c>
      <c r="G1053" s="24">
        <f t="shared" si="51"/>
        <v>3837.6160886956127</v>
      </c>
    </row>
    <row r="1054" spans="1:7" x14ac:dyDescent="0.6">
      <c r="A1054" s="22">
        <v>41699</v>
      </c>
      <c r="B1054" s="23">
        <v>4.3E-3</v>
      </c>
      <c r="C1054" s="23">
        <v>-1.89E-2</v>
      </c>
      <c r="D1054" s="23">
        <v>5.0900000000000001E-2</v>
      </c>
      <c r="E1054" s="24">
        <f t="shared" si="49"/>
        <v>19198.127676524531</v>
      </c>
      <c r="F1054" s="24">
        <f t="shared" si="50"/>
        <v>616.0394676232529</v>
      </c>
      <c r="G1054" s="24">
        <f t="shared" si="51"/>
        <v>4032.950747610219</v>
      </c>
    </row>
    <row r="1055" spans="1:7" x14ac:dyDescent="0.6">
      <c r="A1055" s="22">
        <v>41730</v>
      </c>
      <c r="B1055" s="23">
        <v>-1.9E-3</v>
      </c>
      <c r="C1055" s="23">
        <v>-4.2500000000000003E-2</v>
      </c>
      <c r="D1055" s="23">
        <v>1.1399999999999999E-2</v>
      </c>
      <c r="E1055" s="24">
        <f t="shared" si="49"/>
        <v>19161.651233939134</v>
      </c>
      <c r="F1055" s="24">
        <f t="shared" si="50"/>
        <v>589.85779024926467</v>
      </c>
      <c r="G1055" s="24">
        <f t="shared" si="51"/>
        <v>4078.9263861329759</v>
      </c>
    </row>
    <row r="1056" spans="1:7" x14ac:dyDescent="0.6">
      <c r="A1056" s="22">
        <v>41760</v>
      </c>
      <c r="B1056" s="23">
        <v>2.06E-2</v>
      </c>
      <c r="C1056" s="23">
        <v>-1.83E-2</v>
      </c>
      <c r="D1056" s="23">
        <v>-2.5999999999999999E-3</v>
      </c>
      <c r="E1056" s="24">
        <f t="shared" si="49"/>
        <v>19556.381249358277</v>
      </c>
      <c r="F1056" s="24">
        <f t="shared" si="50"/>
        <v>579.06339268770319</v>
      </c>
      <c r="G1056" s="24">
        <f t="shared" si="51"/>
        <v>4068.3211775290301</v>
      </c>
    </row>
    <row r="1057" spans="1:7" x14ac:dyDescent="0.6">
      <c r="A1057" s="22">
        <v>41791</v>
      </c>
      <c r="B1057" s="23">
        <v>2.6099999999999998E-2</v>
      </c>
      <c r="C1057" s="23">
        <v>3.0600000000000002E-2</v>
      </c>
      <c r="D1057" s="23">
        <v>-7.4000000000000003E-3</v>
      </c>
      <c r="E1057" s="24">
        <f t="shared" si="49"/>
        <v>20066.802799966528</v>
      </c>
      <c r="F1057" s="24">
        <f t="shared" si="50"/>
        <v>596.78273250394693</v>
      </c>
      <c r="G1057" s="24">
        <f t="shared" si="51"/>
        <v>4038.2156008153156</v>
      </c>
    </row>
    <row r="1058" spans="1:7" x14ac:dyDescent="0.6">
      <c r="A1058" s="22">
        <v>41821</v>
      </c>
      <c r="B1058" s="23">
        <v>-2.0400000000000001E-2</v>
      </c>
      <c r="C1058" s="23">
        <v>-4.2300000000000004E-2</v>
      </c>
      <c r="D1058" s="23">
        <v>1E-4</v>
      </c>
      <c r="E1058" s="24">
        <f t="shared" si="49"/>
        <v>19657.440022847211</v>
      </c>
      <c r="F1058" s="24">
        <f t="shared" si="50"/>
        <v>571.53882291902994</v>
      </c>
      <c r="G1058" s="24">
        <f t="shared" si="51"/>
        <v>4038.6194223753969</v>
      </c>
    </row>
    <row r="1059" spans="1:7" x14ac:dyDescent="0.6">
      <c r="A1059" s="22">
        <v>41852</v>
      </c>
      <c r="B1059" s="23">
        <v>4.24E-2</v>
      </c>
      <c r="C1059" s="23">
        <v>3.7000000000000002E-3</v>
      </c>
      <c r="D1059" s="23">
        <v>-5.6999999999999993E-3</v>
      </c>
      <c r="E1059" s="24">
        <f t="shared" si="49"/>
        <v>20490.915479815932</v>
      </c>
      <c r="F1059" s="24">
        <f t="shared" si="50"/>
        <v>573.65351656383041</v>
      </c>
      <c r="G1059" s="24">
        <f t="shared" si="51"/>
        <v>4015.599291667857</v>
      </c>
    </row>
    <row r="1060" spans="1:7" x14ac:dyDescent="0.6">
      <c r="A1060" s="22">
        <v>41883</v>
      </c>
      <c r="B1060" s="23">
        <v>-1.9699999999999999E-2</v>
      </c>
      <c r="C1060" s="23">
        <v>-3.8199999999999998E-2</v>
      </c>
      <c r="D1060" s="23">
        <v>-1.2199999999999999E-2</v>
      </c>
      <c r="E1060" s="24">
        <f t="shared" si="49"/>
        <v>20087.244444863558</v>
      </c>
      <c r="F1060" s="24">
        <f t="shared" si="50"/>
        <v>551.73995223109205</v>
      </c>
      <c r="G1060" s="24">
        <f t="shared" si="51"/>
        <v>3966.6089803095092</v>
      </c>
    </row>
    <row r="1061" spans="1:7" x14ac:dyDescent="0.6">
      <c r="A1061" s="22">
        <v>41913</v>
      </c>
      <c r="B1061" s="23">
        <v>2.52E-2</v>
      </c>
      <c r="C1061" s="23">
        <v>4.2300000000000004E-2</v>
      </c>
      <c r="D1061" s="23">
        <v>-1.6899999999999998E-2</v>
      </c>
      <c r="E1061" s="24">
        <f t="shared" si="49"/>
        <v>20593.443004874116</v>
      </c>
      <c r="F1061" s="24">
        <f t="shared" si="50"/>
        <v>575.07855221046725</v>
      </c>
      <c r="G1061" s="24">
        <f t="shared" si="51"/>
        <v>3899.5732885422785</v>
      </c>
    </row>
    <row r="1062" spans="1:7" x14ac:dyDescent="0.6">
      <c r="A1062" s="22">
        <v>41944</v>
      </c>
      <c r="B1062" s="23">
        <v>2.5499999999999998E-2</v>
      </c>
      <c r="C1062" s="23">
        <v>-2.06E-2</v>
      </c>
      <c r="D1062" s="23">
        <v>-2.9900000000000003E-2</v>
      </c>
      <c r="E1062" s="24">
        <f t="shared" si="49"/>
        <v>21118.575801498406</v>
      </c>
      <c r="F1062" s="24">
        <f t="shared" si="50"/>
        <v>563.23193403493167</v>
      </c>
      <c r="G1062" s="24">
        <f t="shared" si="51"/>
        <v>3782.9760472148641</v>
      </c>
    </row>
    <row r="1063" spans="1:7" x14ac:dyDescent="0.6">
      <c r="A1063" s="22">
        <v>41974</v>
      </c>
      <c r="B1063" s="23">
        <v>-5.9999999999999995E-4</v>
      </c>
      <c r="C1063" s="23">
        <v>2.5399999999999999E-2</v>
      </c>
      <c r="D1063" s="23">
        <v>2.07E-2</v>
      </c>
      <c r="E1063" s="24">
        <f t="shared" si="49"/>
        <v>21105.904656017505</v>
      </c>
      <c r="F1063" s="24">
        <f t="shared" si="50"/>
        <v>577.53802515941902</v>
      </c>
      <c r="G1063" s="24">
        <f t="shared" si="51"/>
        <v>3861.2836513922116</v>
      </c>
    </row>
    <row r="1064" spans="1:7" x14ac:dyDescent="0.6">
      <c r="A1064" s="22">
        <v>42005</v>
      </c>
      <c r="B1064" s="23">
        <v>-3.1099999999999999E-2</v>
      </c>
      <c r="C1064" s="23">
        <v>-5.6999999999999993E-3</v>
      </c>
      <c r="D1064" s="23">
        <v>-3.4700000000000002E-2</v>
      </c>
      <c r="E1064" s="24">
        <f t="shared" si="49"/>
        <v>20449.51102121536</v>
      </c>
      <c r="F1064" s="24">
        <f t="shared" si="50"/>
        <v>574.24605841601033</v>
      </c>
      <c r="G1064" s="24">
        <f t="shared" si="51"/>
        <v>3727.297108688902</v>
      </c>
    </row>
    <row r="1065" spans="1:7" x14ac:dyDescent="0.6">
      <c r="A1065" s="22">
        <v>42036</v>
      </c>
      <c r="B1065" s="23">
        <v>6.13E-2</v>
      </c>
      <c r="C1065" s="23">
        <v>5.3E-3</v>
      </c>
      <c r="D1065" s="23">
        <v>-1.77E-2</v>
      </c>
      <c r="E1065" s="24">
        <f t="shared" si="49"/>
        <v>21703.06604681586</v>
      </c>
      <c r="F1065" s="24">
        <f t="shared" si="50"/>
        <v>577.28956252561522</v>
      </c>
      <c r="G1065" s="24">
        <f t="shared" si="51"/>
        <v>3661.3239498651083</v>
      </c>
    </row>
    <row r="1066" spans="1:7" x14ac:dyDescent="0.6">
      <c r="A1066" s="22">
        <v>42064</v>
      </c>
      <c r="B1066" s="23">
        <v>-1.1200000000000002E-2</v>
      </c>
      <c r="C1066" s="23">
        <v>3.0499999999999999E-2</v>
      </c>
      <c r="D1066" s="23">
        <v>-4.5000000000000005E-3</v>
      </c>
      <c r="E1066" s="24">
        <f t="shared" si="49"/>
        <v>21459.991707091522</v>
      </c>
      <c r="F1066" s="24">
        <f t="shared" si="50"/>
        <v>594.89689418264652</v>
      </c>
      <c r="G1066" s="24">
        <f t="shared" si="51"/>
        <v>3644.8479920907153</v>
      </c>
    </row>
    <row r="1067" spans="1:7" x14ac:dyDescent="0.6">
      <c r="A1067" s="22">
        <v>42095</v>
      </c>
      <c r="B1067" s="23">
        <v>5.8999999999999999E-3</v>
      </c>
      <c r="C1067" s="23">
        <v>-2.9700000000000001E-2</v>
      </c>
      <c r="D1067" s="23">
        <v>1.8500000000000003E-2</v>
      </c>
      <c r="E1067" s="24">
        <f t="shared" si="49"/>
        <v>21586.60565816336</v>
      </c>
      <c r="F1067" s="24">
        <f t="shared" si="50"/>
        <v>577.228456425422</v>
      </c>
      <c r="G1067" s="24">
        <f t="shared" si="51"/>
        <v>3712.2776799443932</v>
      </c>
    </row>
    <row r="1068" spans="1:7" x14ac:dyDescent="0.6">
      <c r="A1068" s="22">
        <v>42125</v>
      </c>
      <c r="B1068" s="23">
        <v>1.3600000000000001E-2</v>
      </c>
      <c r="C1068" s="23">
        <v>9.3999999999999986E-3</v>
      </c>
      <c r="D1068" s="23">
        <v>-1.3300000000000001E-2</v>
      </c>
      <c r="E1068" s="24">
        <f t="shared" si="49"/>
        <v>21880.183495114383</v>
      </c>
      <c r="F1068" s="24">
        <f t="shared" si="50"/>
        <v>582.65440391582104</v>
      </c>
      <c r="G1068" s="24">
        <f t="shared" si="51"/>
        <v>3662.9043868011327</v>
      </c>
    </row>
    <row r="1069" spans="1:7" x14ac:dyDescent="0.6">
      <c r="A1069" s="22">
        <v>42156</v>
      </c>
      <c r="B1069" s="23">
        <v>-1.5300000000000001E-2</v>
      </c>
      <c r="C1069" s="23">
        <v>2.81E-2</v>
      </c>
      <c r="D1069" s="23">
        <v>-8.1000000000000013E-3</v>
      </c>
      <c r="E1069" s="24">
        <f t="shared" si="49"/>
        <v>21545.416687639132</v>
      </c>
      <c r="F1069" s="24">
        <f t="shared" si="50"/>
        <v>599.02699266585557</v>
      </c>
      <c r="G1069" s="24">
        <f t="shared" si="51"/>
        <v>3633.2348612680435</v>
      </c>
    </row>
    <row r="1070" spans="1:7" x14ac:dyDescent="0.6">
      <c r="A1070" s="22">
        <v>42186</v>
      </c>
      <c r="B1070" s="23">
        <v>1.54E-2</v>
      </c>
      <c r="C1070" s="23">
        <v>-4.1500000000000002E-2</v>
      </c>
      <c r="D1070" s="23">
        <v>-4.1399999999999999E-2</v>
      </c>
      <c r="E1070" s="24">
        <f t="shared" si="49"/>
        <v>21877.216104628777</v>
      </c>
      <c r="F1070" s="24">
        <f t="shared" si="50"/>
        <v>574.16737247022263</v>
      </c>
      <c r="G1070" s="24">
        <f t="shared" si="51"/>
        <v>3482.8189380115464</v>
      </c>
    </row>
    <row r="1071" spans="1:7" x14ac:dyDescent="0.6">
      <c r="A1071" s="22">
        <v>42217</v>
      </c>
      <c r="B1071" s="23">
        <v>-6.0400000000000002E-2</v>
      </c>
      <c r="C1071" s="23">
        <v>4.8999999999999998E-3</v>
      </c>
      <c r="D1071" s="23">
        <v>2.69E-2</v>
      </c>
      <c r="E1071" s="24">
        <f t="shared" si="49"/>
        <v>20555.8322519092</v>
      </c>
      <c r="F1071" s="24">
        <f t="shared" si="50"/>
        <v>576.98079259532665</v>
      </c>
      <c r="G1071" s="24">
        <f t="shared" si="51"/>
        <v>3576.5067674440565</v>
      </c>
    </row>
    <row r="1072" spans="1:7" x14ac:dyDescent="0.6">
      <c r="A1072" s="22">
        <v>42248</v>
      </c>
      <c r="B1072" s="23">
        <v>-3.0800000000000001E-2</v>
      </c>
      <c r="C1072" s="23">
        <v>-2.64E-2</v>
      </c>
      <c r="D1072" s="23">
        <v>5.3E-3</v>
      </c>
      <c r="E1072" s="24">
        <f t="shared" si="49"/>
        <v>19922.712618550395</v>
      </c>
      <c r="F1072" s="24">
        <f t="shared" si="50"/>
        <v>561.74849967081002</v>
      </c>
      <c r="G1072" s="24">
        <f t="shared" si="51"/>
        <v>3595.4622533115103</v>
      </c>
    </row>
    <row r="1073" spans="1:7" x14ac:dyDescent="0.6">
      <c r="A1073" s="22">
        <v>42278</v>
      </c>
      <c r="B1073" s="23">
        <v>7.7499999999999999E-2</v>
      </c>
      <c r="C1073" s="23">
        <v>-1.9799999999999998E-2</v>
      </c>
      <c r="D1073" s="23">
        <v>-8.9999999999999998E-4</v>
      </c>
      <c r="E1073" s="24">
        <f t="shared" si="49"/>
        <v>21466.72284648805</v>
      </c>
      <c r="F1073" s="24">
        <f t="shared" si="50"/>
        <v>550.62587937732792</v>
      </c>
      <c r="G1073" s="24">
        <f t="shared" si="51"/>
        <v>3592.22633728353</v>
      </c>
    </row>
    <row r="1074" spans="1:7" x14ac:dyDescent="0.6">
      <c r="A1074" s="22">
        <v>42309</v>
      </c>
      <c r="B1074" s="23">
        <v>5.6000000000000008E-3</v>
      </c>
      <c r="C1074" s="23">
        <v>3.6400000000000002E-2</v>
      </c>
      <c r="D1074" s="23">
        <v>-5.1000000000000004E-3</v>
      </c>
      <c r="E1074" s="24">
        <f t="shared" ref="E1074:E1087" si="52">E1073*(1+B1074)</f>
        <v>21586.936494428384</v>
      </c>
      <c r="F1074" s="24">
        <f t="shared" ref="F1074:F1087" si="53">F1073*(1+C1074)</f>
        <v>570.66866138666262</v>
      </c>
      <c r="G1074" s="24">
        <f t="shared" ref="G1074:G1087" si="54">G1073*(1+D1074)</f>
        <v>3573.9059829633838</v>
      </c>
    </row>
    <row r="1075" spans="1:7" x14ac:dyDescent="0.6">
      <c r="A1075" s="22">
        <v>42339</v>
      </c>
      <c r="B1075" s="23">
        <v>-2.1700000000000001E-2</v>
      </c>
      <c r="C1075" s="23">
        <v>-2.81E-2</v>
      </c>
      <c r="D1075" s="23">
        <v>-2.5699999999999997E-2</v>
      </c>
      <c r="E1075" s="24">
        <f t="shared" si="52"/>
        <v>21118.499972499289</v>
      </c>
      <c r="F1075" s="24">
        <f t="shared" si="53"/>
        <v>554.63287200169736</v>
      </c>
      <c r="G1075" s="24">
        <f t="shared" si="54"/>
        <v>3482.0565992012253</v>
      </c>
    </row>
    <row r="1076" spans="1:7" x14ac:dyDescent="0.6">
      <c r="A1076" s="22">
        <v>42370</v>
      </c>
      <c r="B1076" s="23">
        <v>-5.7700000000000001E-2</v>
      </c>
      <c r="C1076" s="23">
        <v>-3.39E-2</v>
      </c>
      <c r="D1076" s="23">
        <v>2.1000000000000001E-2</v>
      </c>
      <c r="E1076" s="24">
        <f t="shared" si="52"/>
        <v>19899.962524086081</v>
      </c>
      <c r="F1076" s="24">
        <f t="shared" si="53"/>
        <v>535.83081764083977</v>
      </c>
      <c r="G1076" s="24">
        <f t="shared" si="54"/>
        <v>3555.1797877844506</v>
      </c>
    </row>
    <row r="1077" spans="1:7" x14ac:dyDescent="0.6">
      <c r="A1077" s="22">
        <v>42401</v>
      </c>
      <c r="B1077" s="23">
        <v>-6.9999999999999999E-4</v>
      </c>
      <c r="C1077" s="23">
        <v>7.8000000000000005E-3</v>
      </c>
      <c r="D1077" s="23">
        <v>-4.7999999999999996E-3</v>
      </c>
      <c r="E1077" s="24">
        <f t="shared" si="52"/>
        <v>19886.032550319218</v>
      </c>
      <c r="F1077" s="24">
        <f t="shared" si="53"/>
        <v>540.01029801843833</v>
      </c>
      <c r="G1077" s="24">
        <f t="shared" si="54"/>
        <v>3538.1149248030852</v>
      </c>
    </row>
    <row r="1078" spans="1:7" x14ac:dyDescent="0.6">
      <c r="A1078" s="22">
        <v>42430</v>
      </c>
      <c r="B1078" s="23">
        <v>6.9599999999999995E-2</v>
      </c>
      <c r="C1078" s="23">
        <v>8.8999999999999999E-3</v>
      </c>
      <c r="D1078" s="23">
        <v>1.1399999999999999E-2</v>
      </c>
      <c r="E1078" s="24">
        <f t="shared" si="52"/>
        <v>21270.100415821435</v>
      </c>
      <c r="F1078" s="24">
        <f t="shared" si="53"/>
        <v>544.81638967080244</v>
      </c>
      <c r="G1078" s="24">
        <f t="shared" si="54"/>
        <v>3578.4494349458405</v>
      </c>
    </row>
    <row r="1079" spans="1:7" x14ac:dyDescent="0.6">
      <c r="A1079" s="22">
        <v>42461</v>
      </c>
      <c r="B1079" s="23">
        <v>9.2000000000000016E-3</v>
      </c>
      <c r="C1079" s="23">
        <v>6.7000000000000002E-3</v>
      </c>
      <c r="D1079" s="23">
        <v>3.2500000000000001E-2</v>
      </c>
      <c r="E1079" s="24">
        <f t="shared" si="52"/>
        <v>21465.785339646995</v>
      </c>
      <c r="F1079" s="24">
        <f t="shared" si="53"/>
        <v>548.46665948159682</v>
      </c>
      <c r="G1079" s="24">
        <f t="shared" si="54"/>
        <v>3694.7490415815801</v>
      </c>
    </row>
    <row r="1080" spans="1:7" x14ac:dyDescent="0.6">
      <c r="A1080" s="22">
        <v>42491</v>
      </c>
      <c r="B1080" s="23">
        <v>1.78E-2</v>
      </c>
      <c r="C1080" s="23">
        <v>-2.5999999999999999E-3</v>
      </c>
      <c r="D1080" s="23">
        <v>-1.8000000000000002E-2</v>
      </c>
      <c r="E1080" s="24">
        <f t="shared" si="52"/>
        <v>21847.876318692714</v>
      </c>
      <c r="F1080" s="24">
        <f t="shared" si="53"/>
        <v>547.04064616694461</v>
      </c>
      <c r="G1080" s="24">
        <f t="shared" si="54"/>
        <v>3628.2435588331114</v>
      </c>
    </row>
    <row r="1081" spans="1:7" x14ac:dyDescent="0.6">
      <c r="A1081" s="22">
        <v>42522</v>
      </c>
      <c r="B1081" s="23">
        <v>-5.0000000000000001E-4</v>
      </c>
      <c r="C1081" s="23">
        <v>6.5000000000000006E-3</v>
      </c>
      <c r="D1081" s="23">
        <v>-1.49E-2</v>
      </c>
      <c r="E1081" s="24">
        <f t="shared" si="52"/>
        <v>21836.95238053337</v>
      </c>
      <c r="F1081" s="24">
        <f t="shared" si="53"/>
        <v>550.59641036702976</v>
      </c>
      <c r="G1081" s="24">
        <f t="shared" si="54"/>
        <v>3574.1827298064977</v>
      </c>
    </row>
    <row r="1082" spans="1:7" x14ac:dyDescent="0.6">
      <c r="A1082" s="22">
        <v>42552</v>
      </c>
      <c r="B1082" s="23">
        <v>3.95E-2</v>
      </c>
      <c r="C1082" s="23">
        <v>2.64E-2</v>
      </c>
      <c r="D1082" s="23">
        <v>-1.1299999999999999E-2</v>
      </c>
      <c r="E1082" s="24">
        <f t="shared" si="52"/>
        <v>22699.511999564442</v>
      </c>
      <c r="F1082" s="24">
        <f t="shared" si="53"/>
        <v>565.13215560071933</v>
      </c>
      <c r="G1082" s="24">
        <f t="shared" si="54"/>
        <v>3533.7944649596843</v>
      </c>
    </row>
    <row r="1083" spans="1:7" x14ac:dyDescent="0.6">
      <c r="A1083" s="22">
        <v>42583</v>
      </c>
      <c r="B1083" s="23">
        <v>5.0000000000000001E-3</v>
      </c>
      <c r="C1083" s="23">
        <v>1.1699999999999999E-2</v>
      </c>
      <c r="D1083" s="23">
        <v>3.3399999999999999E-2</v>
      </c>
      <c r="E1083" s="24">
        <f t="shared" si="52"/>
        <v>22813.009559562262</v>
      </c>
      <c r="F1083" s="24">
        <f t="shared" si="53"/>
        <v>571.74420182124777</v>
      </c>
      <c r="G1083" s="24">
        <f t="shared" si="54"/>
        <v>3651.8232000893381</v>
      </c>
    </row>
    <row r="1084" spans="1:7" x14ac:dyDescent="0.6">
      <c r="A1084" s="22">
        <v>42614</v>
      </c>
      <c r="B1084" s="23">
        <v>2.5000000000000001E-3</v>
      </c>
      <c r="C1084" s="23">
        <v>2.0099999999999996E-2</v>
      </c>
      <c r="D1084" s="23">
        <v>-1.49E-2</v>
      </c>
      <c r="E1084" s="24">
        <f t="shared" si="52"/>
        <v>22870.042083461169</v>
      </c>
      <c r="F1084" s="24">
        <f t="shared" si="53"/>
        <v>583.23626027785485</v>
      </c>
      <c r="G1084" s="24">
        <f t="shared" si="54"/>
        <v>3597.4110344080068</v>
      </c>
    </row>
    <row r="1085" spans="1:7" x14ac:dyDescent="0.6">
      <c r="A1085" s="22">
        <v>42644</v>
      </c>
      <c r="B1085" s="23">
        <v>-2.0199999999999999E-2</v>
      </c>
      <c r="C1085" s="23">
        <v>-4.36E-2</v>
      </c>
      <c r="D1085" s="23">
        <v>4.1599999999999998E-2</v>
      </c>
      <c r="E1085" s="24">
        <f t="shared" si="52"/>
        <v>22408.067233375252</v>
      </c>
      <c r="F1085" s="24">
        <f t="shared" si="53"/>
        <v>557.80715932974044</v>
      </c>
      <c r="G1085" s="24">
        <f t="shared" si="54"/>
        <v>3747.0633334393801</v>
      </c>
    </row>
    <row r="1086" spans="1:7" x14ac:dyDescent="0.6">
      <c r="A1086" s="22">
        <v>42675</v>
      </c>
      <c r="B1086" s="23">
        <v>4.8599999999999997E-2</v>
      </c>
      <c r="C1086" s="23">
        <v>5.4800000000000001E-2</v>
      </c>
      <c r="D1086" s="23">
        <v>8.2699999999999996E-2</v>
      </c>
      <c r="E1086" s="24">
        <f t="shared" si="52"/>
        <v>23497.099300917289</v>
      </c>
      <c r="F1086" s="24">
        <f t="shared" si="53"/>
        <v>588.3749916610102</v>
      </c>
      <c r="G1086" s="24">
        <f t="shared" si="54"/>
        <v>4056.9454711148169</v>
      </c>
    </row>
    <row r="1087" spans="1:7" x14ac:dyDescent="0.6">
      <c r="A1087" s="22">
        <v>42705</v>
      </c>
      <c r="B1087" s="23">
        <v>1.8200000000000001E-2</v>
      </c>
      <c r="C1087" s="23">
        <v>8.0000000000000004E-4</v>
      </c>
      <c r="D1087" s="23">
        <v>3.61E-2</v>
      </c>
      <c r="E1087" s="24">
        <f t="shared" si="52"/>
        <v>23924.746508193984</v>
      </c>
      <c r="F1087" s="24">
        <f t="shared" si="53"/>
        <v>588.84569165433891</v>
      </c>
      <c r="G1087" s="24">
        <f t="shared" si="54"/>
        <v>4203.4012026220616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Charts</vt:lpstr>
      </vt:variant>
      <vt:variant>
        <vt:i4>3</vt:i4>
      </vt:variant>
    </vt:vector>
  </HeadingPairs>
  <TitlesOfParts>
    <vt:vector size="10" baseType="lpstr">
      <vt:lpstr>Note</vt:lpstr>
      <vt:lpstr>Returns</vt:lpstr>
      <vt:lpstr>FF3 Regression</vt:lpstr>
      <vt:lpstr>Replication</vt:lpstr>
      <vt:lpstr>CAPM Regression</vt:lpstr>
      <vt:lpstr>F-test</vt:lpstr>
      <vt:lpstr>Price</vt:lpstr>
      <vt:lpstr>Market</vt:lpstr>
      <vt:lpstr>Size</vt:lpstr>
      <vt:lpstr>Value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 Howard</dc:creator>
  <cp:lastModifiedBy>Philip Howard</cp:lastModifiedBy>
  <dcterms:created xsi:type="dcterms:W3CDTF">2017-10-16T15:26:43Z</dcterms:created>
  <dcterms:modified xsi:type="dcterms:W3CDTF">2017-10-25T19:05:22Z</dcterms:modified>
</cp:coreProperties>
</file>