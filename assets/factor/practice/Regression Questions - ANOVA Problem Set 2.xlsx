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ilip\Dropbox\Courses\Teaching\FIN 203\FIN 203 Fall 2017\"/>
    </mc:Choice>
  </mc:AlternateContent>
  <bookViews>
    <workbookView xWindow="0" yWindow="0" windowWidth="18000" windowHeight="9456" activeTab="1" xr2:uid="{8DCDFA2E-5CA9-465E-B789-4F49B614B1AD}"/>
  </bookViews>
  <sheets>
    <sheet name="Question 1" sheetId="10" r:id="rId1"/>
    <sheet name="Question 1 - Solution" sheetId="9" r:id="rId2"/>
    <sheet name="x1-5" sheetId="3" r:id="rId3"/>
    <sheet name="Generic" sheetId="8" r:id="rId4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9" l="1"/>
  <c r="B5" i="9"/>
  <c r="F5" i="9"/>
  <c r="B14" i="9"/>
  <c r="B13" i="9"/>
</calcChain>
</file>

<file path=xl/sharedStrings.xml><?xml version="1.0" encoding="utf-8"?>
<sst xmlns="http://schemas.openxmlformats.org/spreadsheetml/2006/main" count="98" uniqueCount="39">
  <si>
    <t>x1</t>
  </si>
  <si>
    <t>x2</t>
  </si>
  <si>
    <t>x3</t>
  </si>
  <si>
    <t>x4</t>
  </si>
  <si>
    <t>x5</t>
  </si>
  <si>
    <t>SUMMARY OUTPUT</t>
  </si>
  <si>
    <t>Regression Statistics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</si>
  <si>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</si>
  <si>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</si>
  <si>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</si>
  <si>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</si>
  <si>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</si>
  <si>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</si>
  <si>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</si>
  <si>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</si>
  <si>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</si>
  <si>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</si>
  <si>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</si>
  <si>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</si>
  <si>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</si>
  <si>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</si>
  <si>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</si>
  <si>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SSE</t>
  </si>
  <si>
    <t>n</t>
  </si>
  <si>
    <t>k=#betas</t>
  </si>
  <si>
    <t>n-1</t>
  </si>
  <si>
    <t>n-(k+1)</t>
  </si>
  <si>
    <t>SSR</t>
  </si>
  <si>
    <t>SST</t>
  </si>
  <si>
    <t>SSR/dfR</t>
  </si>
  <si>
    <t>SSE/dfe</t>
  </si>
  <si>
    <t>MSR/MSE</t>
  </si>
  <si>
    <t>1-f.dist(F-stat,k,n-(k+1),TRUE)</t>
  </si>
  <si>
    <t>SSR/SST</t>
  </si>
  <si>
    <t>1-SSE/SST*(dfT/dfe)</t>
  </si>
  <si>
    <t>sqrt(MSE)</t>
  </si>
  <si>
    <t>bvcD</t>
  </si>
  <si>
    <t>Fill in yellow</t>
  </si>
  <si>
    <t>SSE/SSR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</si>
</sst>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6" formatCode="0.00000000000"/>
  </numFmts>
  <fonts count="2" x14ac:knownFonts="1">
    <font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164" fontId="0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Fill="1" applyBorder="1" applyAlignment="1"/>
    <xf numFmtId="2" fontId="0" fillId="0" borderId="1" xfId="0" applyNumberFormat="1" applyFill="1" applyBorder="1" applyAlignment="1"/>
    <xf numFmtId="164" fontId="0" fillId="0" borderId="1" xfId="0" applyNumberFormat="1" applyFill="1" applyBorder="1" applyAlignment="1"/>
    <xf numFmtId="1" fontId="0" fillId="0" borderId="0" xfId="0" applyNumberFormat="1" applyFill="1" applyBorder="1" applyAlignment="1"/>
    <xf numFmtId="1" fontId="0" fillId="0" borderId="1" xfId="0" applyNumberFormat="1" applyFill="1" applyBorder="1" applyAlignment="1"/>
    <xf numFmtId="0" fontId="0" fillId="2" borderId="0" xfId="0" applyFill="1" applyBorder="1" applyAlignment="1"/>
    <xf numFmtId="0" fontId="0" fillId="2" borderId="1" xfId="0" applyFill="1" applyBorder="1" applyAlignment="1"/>
    <xf numFmtId="2" fontId="0" fillId="2" borderId="0" xfId="0" applyNumberFormat="1" applyFill="1" applyBorder="1" applyAlignme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C70EB-81CD-4CD7-B6C3-E993E6094D4B}">
  <dimension ref="A1:F31"/>
  <sheetViews>
    <sheetView workbookViewId="0">
      <selection activeCell="B5" sqref="B5:B6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4.14843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  <c r="F1" t="s">
        <v>37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15"/>
    </row>
    <row r="6" spans="1:6" x14ac:dyDescent="0.6">
      <c r="A6" s="1" t="s">
        <v>8</v>
      </c>
      <c r="B6" s="15"/>
    </row>
    <row r="7" spans="1:6" x14ac:dyDescent="0.6">
      <c r="A7" s="1" t="s">
        <v>9</v>
      </c>
      <c r="B7" s="8"/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3"/>
      <c r="C12" s="11"/>
      <c r="D12" s="11"/>
      <c r="E12" s="5">
        <v>4.9343317484287681</v>
      </c>
      <c r="F12" s="8"/>
    </row>
    <row r="13" spans="1:6" x14ac:dyDescent="0.6">
      <c r="A13" s="1" t="s">
        <v>13</v>
      </c>
      <c r="B13" s="13"/>
      <c r="C13" s="11"/>
      <c r="D13" s="11"/>
      <c r="E13" s="5"/>
      <c r="F13" s="8"/>
    </row>
    <row r="14" spans="1:6" ht="15.9" thickBot="1" x14ac:dyDescent="0.65">
      <c r="A14" s="2" t="s">
        <v>14</v>
      </c>
      <c r="B14" s="14"/>
      <c r="C14" s="12"/>
      <c r="D14" s="12"/>
      <c r="E14" s="10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0.66891204430342366</v>
      </c>
    </row>
    <row r="18" spans="1:5" x14ac:dyDescent="0.6">
      <c r="A18" s="1" t="s">
        <v>0</v>
      </c>
      <c r="B18" s="5">
        <v>1.6061220474024562</v>
      </c>
    </row>
    <row r="19" spans="1:5" x14ac:dyDescent="0.6">
      <c r="A19" s="1" t="s">
        <v>1</v>
      </c>
      <c r="B19" s="5">
        <v>2.937457747433736</v>
      </c>
    </row>
    <row r="20" spans="1:5" x14ac:dyDescent="0.6">
      <c r="A20" s="1" t="s">
        <v>2</v>
      </c>
      <c r="B20" s="5">
        <v>-1.6258570556796386</v>
      </c>
    </row>
    <row r="21" spans="1:5" x14ac:dyDescent="0.6">
      <c r="A21" s="1" t="s">
        <v>3</v>
      </c>
      <c r="B21" s="5">
        <v>0.30877836402383219</v>
      </c>
    </row>
    <row r="22" spans="1:5" ht="15.9" thickBot="1" x14ac:dyDescent="0.65">
      <c r="A22" s="2" t="s">
        <v>4</v>
      </c>
      <c r="B22" s="10">
        <v>0.1904414391748431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DD1C4-3E53-4F02-8816-37CFAC8AF992}">
  <dimension ref="A1:F31"/>
  <sheetViews>
    <sheetView tabSelected="1" workbookViewId="0">
      <selection activeCell="B7" sqref="B7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9.5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  <c r="F1" t="s">
        <v>37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15">
        <f>1/(1+F5)</f>
        <v>0.50689989574530636</v>
      </c>
      <c r="E5" t="s">
        <v>38</v>
      </c>
      <c r="F5">
        <f>B13/(E12*B12)</f>
        <v>0.97277610114651425</v>
      </c>
    </row>
    <row r="6" spans="1:6" x14ac:dyDescent="0.6">
      <c r="A6" s="1" t="s">
        <v>8</v>
      </c>
      <c r="B6" s="15">
        <f>1-1/(1+1/F5)*B14/B13</f>
        <v>0.40417070735891192</v>
      </c>
    </row>
    <row r="7" spans="1:6" x14ac:dyDescent="0.6">
      <c r="A7" s="1" t="s">
        <v>9</v>
      </c>
      <c r="B7" s="8"/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3">
        <v>5</v>
      </c>
      <c r="C12" s="11"/>
      <c r="D12" s="11"/>
      <c r="E12" s="5">
        <v>4.9343317484287681</v>
      </c>
      <c r="F12" s="8"/>
    </row>
    <row r="13" spans="1:6" x14ac:dyDescent="0.6">
      <c r="A13" s="1" t="s">
        <v>13</v>
      </c>
      <c r="B13" s="13">
        <f>B8-(B12+1)</f>
        <v>24</v>
      </c>
      <c r="C13" s="11"/>
      <c r="D13" s="11"/>
      <c r="E13" s="5"/>
      <c r="F13" s="8"/>
    </row>
    <row r="14" spans="1:6" ht="15.9" thickBot="1" x14ac:dyDescent="0.65">
      <c r="A14" s="2" t="s">
        <v>14</v>
      </c>
      <c r="B14" s="14">
        <f>B13+B12</f>
        <v>29</v>
      </c>
      <c r="C14" s="12"/>
      <c r="D14" s="12"/>
      <c r="E14" s="10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0.66891204430342366</v>
      </c>
    </row>
    <row r="18" spans="1:5" x14ac:dyDescent="0.6">
      <c r="A18" s="1" t="s">
        <v>0</v>
      </c>
      <c r="B18" s="5">
        <v>1.6061220474024562</v>
      </c>
    </row>
    <row r="19" spans="1:5" x14ac:dyDescent="0.6">
      <c r="A19" s="1" t="s">
        <v>1</v>
      </c>
      <c r="B19" s="5">
        <v>2.937457747433736</v>
      </c>
    </row>
    <row r="20" spans="1:5" x14ac:dyDescent="0.6">
      <c r="A20" s="1" t="s">
        <v>2</v>
      </c>
      <c r="B20" s="5">
        <v>-1.6258570556796386</v>
      </c>
    </row>
    <row r="21" spans="1:5" x14ac:dyDescent="0.6">
      <c r="A21" s="1" t="s">
        <v>3</v>
      </c>
      <c r="B21" s="5">
        <v>0.30877836402383219</v>
      </c>
    </row>
    <row r="22" spans="1:5" ht="15.9" thickBot="1" x14ac:dyDescent="0.65">
      <c r="A22" s="2" t="s">
        <v>4</v>
      </c>
      <c r="B22" s="10">
        <v>0.1904414391748431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1071A-ECD2-4F01-96CC-359B8358EEB6}">
  <dimension ref="A1:F31"/>
  <sheetViews>
    <sheetView workbookViewId="0">
      <selection activeCell="E6" sqref="E6"/>
    </sheetView>
  </sheetViews>
  <sheetFormatPr defaultRowHeight="15.6" x14ac:dyDescent="0.6"/>
  <cols>
    <col min="1" max="1" width="17" bestFit="1" customWidth="1"/>
    <col min="2" max="2" width="10.796875" bestFit="1" customWidth="1"/>
    <col min="3" max="3" width="6.1484375" bestFit="1" customWidth="1"/>
    <col min="4" max="4" width="5.1484375" bestFit="1" customWidth="1"/>
    <col min="5" max="5" width="13.19921875" bestFit="1" customWidth="1"/>
    <col min="6" max="6" width="12.39843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5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>
        <v>0.50689989574530625</v>
      </c>
    </row>
    <row r="6" spans="1:6" x14ac:dyDescent="0.6">
      <c r="A6" s="1" t="s">
        <v>8</v>
      </c>
      <c r="B6" s="8">
        <v>0.40417070735891175</v>
      </c>
      <c r="E6" s="16"/>
    </row>
    <row r="7" spans="1:6" x14ac:dyDescent="0.6">
      <c r="A7" s="1" t="s">
        <v>9</v>
      </c>
      <c r="B7" s="8">
        <v>4.3293613168401492</v>
      </c>
    </row>
    <row r="8" spans="1:6" ht="15.9" thickBot="1" x14ac:dyDescent="0.65">
      <c r="A8" s="2" t="s">
        <v>10</v>
      </c>
      <c r="B8" s="2">
        <v>30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">
        <v>5</v>
      </c>
      <c r="C12" s="11">
        <v>462.43001380467956</v>
      </c>
      <c r="D12" s="11">
        <v>92.486002760935918</v>
      </c>
      <c r="E12" s="5">
        <v>4.9343317484287681</v>
      </c>
      <c r="F12" s="8">
        <v>3.01837617050157E-3</v>
      </c>
    </row>
    <row r="13" spans="1:6" x14ac:dyDescent="0.6">
      <c r="A13" s="1" t="s">
        <v>13</v>
      </c>
      <c r="B13" s="1">
        <v>24</v>
      </c>
      <c r="C13" s="11">
        <v>449.84086588204502</v>
      </c>
      <c r="D13" s="11">
        <v>18.743369411751875</v>
      </c>
      <c r="E13" s="5"/>
      <c r="F13" s="8"/>
    </row>
    <row r="14" spans="1:6" ht="15.9" thickBot="1" x14ac:dyDescent="0.65">
      <c r="A14" s="2" t="s">
        <v>14</v>
      </c>
      <c r="B14" s="2">
        <v>29</v>
      </c>
      <c r="C14" s="12">
        <v>912.27087968672458</v>
      </c>
      <c r="D14" s="12"/>
      <c r="E14" s="10"/>
      <c r="F14" s="9"/>
    </row>
    <row r="15" spans="1:6" ht="15.9" thickBot="1" x14ac:dyDescent="0.65"/>
    <row r="16" spans="1:6" x14ac:dyDescent="0.6">
      <c r="A16" s="3"/>
      <c r="B16" s="3" t="s">
        <v>21</v>
      </c>
    </row>
    <row r="17" spans="1:5" x14ac:dyDescent="0.6">
      <c r="A17" s="1" t="s">
        <v>15</v>
      </c>
      <c r="B17" s="5">
        <v>0.66891204430342366</v>
      </c>
    </row>
    <row r="18" spans="1:5" x14ac:dyDescent="0.6">
      <c r="A18" s="1" t="s">
        <v>0</v>
      </c>
      <c r="B18" s="5">
        <v>1.6061220474024562</v>
      </c>
    </row>
    <row r="19" spans="1:5" x14ac:dyDescent="0.6">
      <c r="A19" s="1" t="s">
        <v>1</v>
      </c>
      <c r="B19" s="5">
        <v>2.937457747433736</v>
      </c>
    </row>
    <row r="20" spans="1:5" x14ac:dyDescent="0.6">
      <c r="A20" s="1" t="s">
        <v>2</v>
      </c>
      <c r="B20" s="5">
        <v>-1.6258570556796386</v>
      </c>
    </row>
    <row r="21" spans="1:5" x14ac:dyDescent="0.6">
      <c r="A21" s="1" t="s">
        <v>3</v>
      </c>
      <c r="B21" s="5">
        <v>0.30877836402383219</v>
      </c>
    </row>
    <row r="22" spans="1:5" ht="15.9" thickBot="1" x14ac:dyDescent="0.65">
      <c r="A22" s="2" t="s">
        <v>4</v>
      </c>
      <c r="B22" s="10">
        <v>0.1904414391748431</v>
      </c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65190-4D8E-42D6-A1CE-D7859BAFA7D9}">
  <dimension ref="A1:F31"/>
  <sheetViews>
    <sheetView workbookViewId="0"/>
  </sheetViews>
  <sheetFormatPr defaultRowHeight="15.6" x14ac:dyDescent="0.6"/>
  <cols>
    <col min="1" max="1" width="17" bestFit="1" customWidth="1"/>
    <col min="2" max="2" width="16.94921875" bestFit="1" customWidth="1"/>
    <col min="3" max="3" width="3.546875" bestFit="1" customWidth="1"/>
    <col min="4" max="4" width="7.046875" bestFit="1" customWidth="1"/>
    <col min="5" max="5" width="8.69921875" bestFit="1" customWidth="1"/>
    <col min="6" max="6" width="24.75" bestFit="1" customWidth="1"/>
    <col min="7" max="7" width="10.25" bestFit="1" customWidth="1"/>
    <col min="8" max="8" width="11.69921875" bestFit="1" customWidth="1"/>
    <col min="9" max="9" width="11.75" bestFit="1" customWidth="1"/>
  </cols>
  <sheetData>
    <row r="1" spans="1:6" x14ac:dyDescent="0.6">
      <c r="A1" t="s">
        <v>36</v>
      </c>
    </row>
    <row r="2" spans="1:6" ht="15.9" thickBot="1" x14ac:dyDescent="0.65"/>
    <row r="3" spans="1:6" x14ac:dyDescent="0.6">
      <c r="A3" s="4" t="s">
        <v>6</v>
      </c>
      <c r="B3" s="4"/>
    </row>
    <row r="4" spans="1:6" x14ac:dyDescent="0.6">
      <c r="A4" s="1"/>
      <c r="B4" s="8"/>
    </row>
    <row r="5" spans="1:6" x14ac:dyDescent="0.6">
      <c r="A5" s="1" t="s">
        <v>7</v>
      </c>
      <c r="B5" s="8" t="s">
        <v>33</v>
      </c>
    </row>
    <row r="6" spans="1:6" x14ac:dyDescent="0.6">
      <c r="A6" s="1" t="s">
        <v>8</v>
      </c>
      <c r="B6" s="8" t="s">
        <v>34</v>
      </c>
    </row>
    <row r="7" spans="1:6" x14ac:dyDescent="0.6">
      <c r="A7" s="1" t="s">
        <v>9</v>
      </c>
      <c r="B7" s="8" t="s">
        <v>35</v>
      </c>
    </row>
    <row r="8" spans="1:6" ht="15.9" thickBot="1" x14ac:dyDescent="0.65">
      <c r="A8" s="2" t="s">
        <v>10</v>
      </c>
      <c r="B8" s="2" t="s">
        <v>23</v>
      </c>
    </row>
    <row r="10" spans="1:6" ht="15.9" thickBot="1" x14ac:dyDescent="0.65">
      <c r="A10" t="s">
        <v>11</v>
      </c>
    </row>
    <row r="11" spans="1:6" x14ac:dyDescent="0.6">
      <c r="A11" s="3"/>
      <c r="B11" s="3" t="s">
        <v>16</v>
      </c>
      <c r="C11" s="3" t="s">
        <v>17</v>
      </c>
      <c r="D11" s="3" t="s">
        <v>18</v>
      </c>
      <c r="E11" s="3" t="s">
        <v>19</v>
      </c>
      <c r="F11" s="3" t="s">
        <v>20</v>
      </c>
    </row>
    <row r="12" spans="1:6" x14ac:dyDescent="0.6">
      <c r="A12" s="1" t="s">
        <v>12</v>
      </c>
      <c r="B12" s="1" t="s">
        <v>24</v>
      </c>
      <c r="C12" s="8" t="s">
        <v>27</v>
      </c>
      <c r="D12" s="8" t="s">
        <v>29</v>
      </c>
      <c r="E12" s="8" t="s">
        <v>31</v>
      </c>
      <c r="F12" s="8" t="s">
        <v>32</v>
      </c>
    </row>
    <row r="13" spans="1:6" x14ac:dyDescent="0.6">
      <c r="A13" s="1" t="s">
        <v>13</v>
      </c>
      <c r="B13" s="1" t="s">
        <v>26</v>
      </c>
      <c r="C13" s="8" t="s">
        <v>22</v>
      </c>
      <c r="D13" s="8" t="s">
        <v>30</v>
      </c>
      <c r="E13" s="8"/>
      <c r="F13" s="8"/>
    </row>
    <row r="14" spans="1:6" ht="15.9" thickBot="1" x14ac:dyDescent="0.65">
      <c r="A14" s="2" t="s">
        <v>14</v>
      </c>
      <c r="B14" s="2" t="s">
        <v>25</v>
      </c>
      <c r="C14" s="9" t="s">
        <v>28</v>
      </c>
      <c r="D14" s="9"/>
      <c r="E14" s="9"/>
      <c r="F14" s="9"/>
    </row>
    <row r="27" spans="1:5" x14ac:dyDescent="0.6">
      <c r="A27" s="6"/>
      <c r="B27" s="7"/>
      <c r="C27" s="6"/>
      <c r="D27" s="6"/>
      <c r="E27" s="6"/>
    </row>
    <row r="28" spans="1:5" x14ac:dyDescent="0.6">
      <c r="A28" s="6"/>
      <c r="B28" s="7"/>
      <c r="C28" s="7"/>
      <c r="D28" s="7"/>
      <c r="E28" s="7"/>
    </row>
    <row r="29" spans="1:5" x14ac:dyDescent="0.6">
      <c r="A29" s="6"/>
      <c r="B29" s="7"/>
    </row>
    <row r="30" spans="1:5" x14ac:dyDescent="0.6">
      <c r="A30" s="6"/>
      <c r="B30" s="7"/>
    </row>
    <row r="31" spans="1:5" x14ac:dyDescent="0.6">
      <c r="A31" s="6"/>
      <c r="B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Question 1</vt:lpstr>
      <vt:lpstr>Question 1 - Solution</vt:lpstr>
      <vt:lpstr>x1-5</vt:lpstr>
      <vt:lpstr>Generic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Howard</dc:creator>
  <cp:lastModifiedBy>Philip Howard</cp:lastModifiedBy>
  <dcterms:created xsi:type="dcterms:W3CDTF">2017-11-30T18:28:37Z</dcterms:created>
  <dcterms:modified xsi:type="dcterms:W3CDTF">2017-12-07T16:58:59Z</dcterms:modified>
</cp:coreProperties>
</file>