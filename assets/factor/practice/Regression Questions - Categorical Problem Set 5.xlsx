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4 Factor Models\3 Practice\"/>
    </mc:Choice>
  </mc:AlternateContent>
  <xr:revisionPtr revIDLastSave="0" documentId="13_ncr:1_{036BF25A-73B3-45A0-983D-90CF7A986C13}" xr6:coauthVersionLast="45" xr6:coauthVersionMax="45" xr10:uidLastSave="{00000000-0000-0000-0000-000000000000}"/>
  <bookViews>
    <workbookView xWindow="-110" yWindow="-110" windowWidth="19420" windowHeight="10420" firstSheet="1" activeTab="5" xr2:uid="{6966A72F-87B1-4C64-918B-9AD96792B0E2}"/>
  </bookViews>
  <sheets>
    <sheet name="Data- Start Here" sheetId="1" r:id="rId1"/>
    <sheet name="Question" sheetId="4" r:id="rId2"/>
    <sheet name="Solution Setup" sheetId="2" r:id="rId3"/>
    <sheet name="Regression with Indicator" sheetId="10" r:id="rId4"/>
    <sheet name="Regression without Indicator" sheetId="11" r:id="rId5"/>
    <sheet name="F-test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2" l="1"/>
  <c r="B4" i="12"/>
  <c r="B2" i="12"/>
  <c r="B24" i="10"/>
  <c r="B23" i="10"/>
  <c r="C24" i="10"/>
  <c r="C23" i="10"/>
  <c r="B11" i="12" l="1"/>
  <c r="B12" i="12" s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</calcChain>
</file>

<file path=xl/sharedStrings.xml><?xml version="1.0" encoding="utf-8"?>
<sst xmlns="http://schemas.openxmlformats.org/spreadsheetml/2006/main" count="137" uniqueCount="49">
  <si>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</si>
  <si>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</si>
  <si>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</si>
  <si>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</si>
  <si>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</si>
  <si>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</si>
  <si>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</si>
  <si>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</si>
  <si>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</si>
  <si>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</si>
  <si>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</si>
  <si>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</si>
  <si>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</si>
  <si>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</si>
  <si>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</si>
  <si>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</si>
  <si>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</si>
  <si>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</si>
  <si>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</si>
  <si>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</si>
  <si>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</si>
  <si>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</si>
  <si>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</si>
  <si>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</si>
  <si>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Interpret your model.</t>
  </si>
  <si>
    <t>Apple's Return</t>
  </si>
  <si>
    <t>Market Return</t>
  </si>
  <si>
    <t>beta</t>
  </si>
  <si>
    <t>Day</t>
  </si>
  <si>
    <t>Monday</t>
  </si>
  <si>
    <t>Tuesday</t>
  </si>
  <si>
    <t>Wednesday</t>
  </si>
  <si>
    <t>Thursday</t>
  </si>
  <si>
    <t>Friday</t>
  </si>
  <si>
    <t>Given a market return, you suspect that Apple's alpha is lower on Mondays compared to the rest of the week.</t>
  </si>
  <si>
    <t>Estimate a model where Apple's y-intercept is allowed to vary based on if the trading day is either Monday or the rest of week.</t>
  </si>
  <si>
    <t>Using an F-test, test if Apple's alpha on Monday is statistically significantly different.</t>
  </si>
  <si>
    <t>Indicator</t>
  </si>
  <si>
    <t>Not Monday</t>
  </si>
  <si>
    <t>alpha</t>
  </si>
  <si>
    <t>SSE reduce</t>
  </si>
  <si>
    <t>SSE full</t>
  </si>
  <si>
    <t>MSE full</t>
  </si>
  <si>
    <t>n</t>
  </si>
  <si>
    <t>k</t>
  </si>
  <si>
    <t>r</t>
  </si>
  <si>
    <t>F-stat</t>
  </si>
  <si>
    <t>P-val</t>
  </si>
  <si>
    <t>Fail to teject null. Monday's alpha not 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</si>
</sst>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FC38-8184-4CE0-9D3D-8E118A50564B}">
  <dimension ref="A1:D31"/>
  <sheetViews>
    <sheetView workbookViewId="0">
      <pane ySplit="1" topLeftCell="A2" activePane="bottomLeft" state="frozen"/>
      <selection pane="bottomLeft" sqref="A1:C1048576"/>
    </sheetView>
  </sheetViews>
  <sheetFormatPr defaultRowHeight="15.5" x14ac:dyDescent="0.35"/>
  <cols>
    <col min="1" max="1" width="10.4140625" bestFit="1" customWidth="1"/>
    <col min="2" max="3" width="12.58203125" style="1" bestFit="1" customWidth="1"/>
    <col min="4" max="4" width="7.83203125" style="2" bestFit="1" customWidth="1"/>
  </cols>
  <sheetData>
    <row r="1" spans="1:3" x14ac:dyDescent="0.35">
      <c r="A1" t="s">
        <v>28</v>
      </c>
      <c r="B1" s="1" t="s">
        <v>25</v>
      </c>
      <c r="C1" s="1" t="s">
        <v>26</v>
      </c>
    </row>
    <row r="2" spans="1:3" x14ac:dyDescent="0.35">
      <c r="A2" t="s">
        <v>29</v>
      </c>
      <c r="B2" s="1">
        <v>0.84451396577252724</v>
      </c>
      <c r="C2" s="1">
        <v>-0.28887150855686816</v>
      </c>
    </row>
    <row r="3" spans="1:3" x14ac:dyDescent="0.35">
      <c r="A3" t="s">
        <v>30</v>
      </c>
      <c r="B3" s="1">
        <v>-3.3837576566741108</v>
      </c>
      <c r="C3" s="1">
        <v>-1.0767515313348222</v>
      </c>
    </row>
    <row r="4" spans="1:3" x14ac:dyDescent="0.35">
      <c r="A4" t="s">
        <v>31</v>
      </c>
      <c r="B4" s="1">
        <v>2.7993565617545348</v>
      </c>
      <c r="C4" s="1">
        <v>0.13322609362575577</v>
      </c>
    </row>
    <row r="5" spans="1:3" x14ac:dyDescent="0.35">
      <c r="A5" t="s">
        <v>32</v>
      </c>
      <c r="B5" s="1">
        <v>-7.4457338497985361</v>
      </c>
      <c r="C5" s="1">
        <v>-1.5742889749664228</v>
      </c>
    </row>
    <row r="6" spans="1:3" x14ac:dyDescent="0.35">
      <c r="A6" t="s">
        <v>33</v>
      </c>
      <c r="B6" s="1">
        <v>-1.1149290104785954</v>
      </c>
      <c r="C6" s="1">
        <v>-0.62298580209571908</v>
      </c>
    </row>
    <row r="7" spans="1:3" x14ac:dyDescent="0.35">
      <c r="A7" t="s">
        <v>29</v>
      </c>
      <c r="B7" s="1">
        <v>2.2741326507468669</v>
      </c>
      <c r="C7" s="1">
        <v>4.5688775124477873E-2</v>
      </c>
    </row>
    <row r="8" spans="1:3" x14ac:dyDescent="0.35">
      <c r="A8" t="s">
        <v>30</v>
      </c>
      <c r="B8" s="1">
        <v>-7.4777155655197038</v>
      </c>
      <c r="C8" s="1">
        <v>-1.5796192609199506</v>
      </c>
    </row>
    <row r="9" spans="1:3" x14ac:dyDescent="0.35">
      <c r="A9" t="s">
        <v>31</v>
      </c>
      <c r="B9" s="1">
        <v>-4.5662391976492573</v>
      </c>
      <c r="C9" s="1">
        <v>-1.3132478395298515</v>
      </c>
    </row>
    <row r="10" spans="1:3" x14ac:dyDescent="0.35">
      <c r="A10" t="s">
        <v>32</v>
      </c>
      <c r="B10" s="1">
        <v>5.9159760581297602</v>
      </c>
      <c r="C10" s="1">
        <v>0.65266267635496</v>
      </c>
    </row>
    <row r="11" spans="1:3" x14ac:dyDescent="0.35">
      <c r="A11" t="s">
        <v>33</v>
      </c>
      <c r="B11" s="1">
        <v>-2.930662869611977</v>
      </c>
      <c r="C11" s="1">
        <v>-0.98613257392239539</v>
      </c>
    </row>
    <row r="12" spans="1:3" x14ac:dyDescent="0.35">
      <c r="A12" t="s">
        <v>29</v>
      </c>
      <c r="B12" s="1">
        <v>9.5642436734089298</v>
      </c>
      <c r="C12" s="1">
        <v>1.2607072789014884</v>
      </c>
    </row>
    <row r="13" spans="1:3" x14ac:dyDescent="0.35">
      <c r="A13" t="s">
        <v>30</v>
      </c>
      <c r="B13" s="1">
        <v>-12.139178406284273</v>
      </c>
      <c r="C13" s="1">
        <v>-2.3565297343807123</v>
      </c>
    </row>
    <row r="14" spans="1:3" x14ac:dyDescent="0.35">
      <c r="A14" t="s">
        <v>31</v>
      </c>
      <c r="B14" s="1">
        <v>1.9642736394076596</v>
      </c>
      <c r="C14" s="1">
        <v>-8.931590148085063E-3</v>
      </c>
    </row>
    <row r="15" spans="1:3" x14ac:dyDescent="0.35">
      <c r="A15" t="s">
        <v>32</v>
      </c>
      <c r="B15" s="1">
        <v>2.3483578849348099</v>
      </c>
      <c r="C15" s="1">
        <v>5.8059647489135016E-2</v>
      </c>
    </row>
    <row r="16" spans="1:3" x14ac:dyDescent="0.35">
      <c r="A16" t="s">
        <v>33</v>
      </c>
      <c r="B16" s="1">
        <v>3.0117297693151235</v>
      </c>
      <c r="C16" s="1">
        <v>0.25293244232878087</v>
      </c>
    </row>
    <row r="17" spans="1:3" x14ac:dyDescent="0.35">
      <c r="A17" t="s">
        <v>29</v>
      </c>
      <c r="B17" s="1">
        <v>-0.36330504966208288</v>
      </c>
      <c r="C17" s="1">
        <v>-0.3938841749436805</v>
      </c>
    </row>
    <row r="18" spans="1:3" x14ac:dyDescent="0.35">
      <c r="A18" t="s">
        <v>30</v>
      </c>
      <c r="B18" s="1">
        <v>-4.6703880775535236</v>
      </c>
      <c r="C18" s="1">
        <v>-1.3340776155107046</v>
      </c>
    </row>
    <row r="19" spans="1:3" x14ac:dyDescent="0.35">
      <c r="A19" t="s">
        <v>31</v>
      </c>
      <c r="B19" s="1">
        <v>4.3495977368696472</v>
      </c>
      <c r="C19" s="1">
        <v>0.46991954737392944</v>
      </c>
    </row>
    <row r="20" spans="1:3" x14ac:dyDescent="0.35">
      <c r="A20" t="s">
        <v>32</v>
      </c>
      <c r="B20" s="1">
        <v>-1.5569961859706956</v>
      </c>
      <c r="C20" s="1">
        <v>-0.59283269766178259</v>
      </c>
    </row>
    <row r="21" spans="1:3" x14ac:dyDescent="0.35">
      <c r="A21" t="s">
        <v>33</v>
      </c>
      <c r="B21" s="1">
        <v>4.2253118240771741</v>
      </c>
      <c r="C21" s="1">
        <v>0.44506236481543476</v>
      </c>
    </row>
    <row r="22" spans="1:3" x14ac:dyDescent="0.35">
      <c r="A22" t="s">
        <v>29</v>
      </c>
      <c r="B22" s="1">
        <v>7.0920048598989336</v>
      </c>
      <c r="C22" s="1">
        <v>1.2730012149747334</v>
      </c>
    </row>
    <row r="23" spans="1:3" x14ac:dyDescent="0.35">
      <c r="A23" t="s">
        <v>30</v>
      </c>
      <c r="B23" s="1">
        <v>1.0569133884065847</v>
      </c>
      <c r="C23" s="1">
        <v>-0.23577165289835386</v>
      </c>
    </row>
    <row r="24" spans="1:3" x14ac:dyDescent="0.35">
      <c r="A24" t="s">
        <v>31</v>
      </c>
      <c r="B24" s="1">
        <v>4.3739641018660951</v>
      </c>
      <c r="C24" s="1">
        <v>0.39566068364434909</v>
      </c>
    </row>
    <row r="25" spans="1:3" x14ac:dyDescent="0.35">
      <c r="A25" t="s">
        <v>32</v>
      </c>
      <c r="B25" s="1">
        <v>7.8703580097036809</v>
      </c>
      <c r="C25" s="1">
        <v>0.97839300161728016</v>
      </c>
    </row>
    <row r="26" spans="1:3" x14ac:dyDescent="0.35">
      <c r="A26" t="s">
        <v>33</v>
      </c>
      <c r="B26" s="1">
        <v>6.9623991763026822</v>
      </c>
      <c r="C26" s="1">
        <v>0.99247983526053651</v>
      </c>
    </row>
    <row r="27" spans="1:3" x14ac:dyDescent="0.35">
      <c r="A27" t="s">
        <v>29</v>
      </c>
      <c r="B27" s="1">
        <v>1.1184576972282365</v>
      </c>
      <c r="C27" s="1">
        <v>-0.22038557569294087</v>
      </c>
    </row>
    <row r="28" spans="1:3" x14ac:dyDescent="0.35">
      <c r="A28" t="s">
        <v>30</v>
      </c>
      <c r="B28" s="1">
        <v>9.1372116004035444</v>
      </c>
      <c r="C28" s="1">
        <v>1.4274423200807089</v>
      </c>
    </row>
    <row r="29" spans="1:3" x14ac:dyDescent="0.35">
      <c r="A29" t="s">
        <v>31</v>
      </c>
      <c r="B29" s="1">
        <v>9.0533373288393069</v>
      </c>
      <c r="C29" s="1">
        <v>1.7633343322098265</v>
      </c>
    </row>
    <row r="30" spans="1:3" x14ac:dyDescent="0.35">
      <c r="A30" t="s">
        <v>32</v>
      </c>
      <c r="B30" s="1">
        <v>10.182296089913304</v>
      </c>
      <c r="C30" s="1">
        <v>1.3637160149855507</v>
      </c>
    </row>
    <row r="31" spans="1:3" x14ac:dyDescent="0.35">
      <c r="A31" t="s">
        <v>33</v>
      </c>
      <c r="B31" s="1">
        <v>-3.6392229436195143</v>
      </c>
      <c r="C31" s="1">
        <v>-0.93987049060325234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39EB-811F-4164-B9AB-0052B28952EB}">
  <dimension ref="A1:A4"/>
  <sheetViews>
    <sheetView workbookViewId="0">
      <selection activeCell="H8" sqref="H8"/>
    </sheetView>
  </sheetViews>
  <sheetFormatPr defaultRowHeight="15.5" x14ac:dyDescent="0.35"/>
  <sheetData>
    <row r="1" spans="1:1" x14ac:dyDescent="0.35">
      <c r="A1" t="s">
        <v>34</v>
      </c>
    </row>
    <row r="2" spans="1:1" x14ac:dyDescent="0.35">
      <c r="A2" t="s">
        <v>35</v>
      </c>
    </row>
    <row r="3" spans="1:1" x14ac:dyDescent="0.35">
      <c r="A3" t="s">
        <v>24</v>
      </c>
    </row>
    <row r="4" spans="1:1" x14ac:dyDescent="0.35">
      <c r="A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1874-661A-4240-8E73-23CF75A370A6}">
  <dimension ref="A1:G31"/>
  <sheetViews>
    <sheetView workbookViewId="0">
      <pane ySplit="1" topLeftCell="A2" activePane="bottomLeft" state="frozen"/>
      <selection pane="bottomLeft" activeCell="B1" sqref="B1"/>
    </sheetView>
  </sheetViews>
  <sheetFormatPr defaultRowHeight="15.5" x14ac:dyDescent="0.35"/>
  <cols>
    <col min="1" max="1" width="10.4140625" bestFit="1" customWidth="1"/>
    <col min="2" max="3" width="12.58203125" style="1" bestFit="1" customWidth="1"/>
    <col min="4" max="4" width="13.33203125" style="4" customWidth="1"/>
    <col min="5" max="5" width="13.33203125" style="4" bestFit="1" customWidth="1"/>
    <col min="6" max="6" width="12.83203125" style="4" bestFit="1" customWidth="1"/>
  </cols>
  <sheetData>
    <row r="1" spans="1:7" x14ac:dyDescent="0.35">
      <c r="A1" t="s">
        <v>28</v>
      </c>
      <c r="B1" s="1" t="s">
        <v>25</v>
      </c>
      <c r="C1" s="1" t="s">
        <v>26</v>
      </c>
      <c r="D1" s="3" t="s">
        <v>37</v>
      </c>
      <c r="E1" s="3"/>
      <c r="F1" s="3"/>
      <c r="G1" s="2"/>
    </row>
    <row r="2" spans="1:7" x14ac:dyDescent="0.35">
      <c r="A2" t="s">
        <v>29</v>
      </c>
      <c r="B2" s="1">
        <v>0.84451396577252724</v>
      </c>
      <c r="C2" s="1">
        <v>-0.28887150855686816</v>
      </c>
      <c r="D2" s="3">
        <f>IF(A2="Monday",1,0)</f>
        <v>1</v>
      </c>
      <c r="E2" s="3"/>
      <c r="F2" s="3"/>
      <c r="G2" s="2"/>
    </row>
    <row r="3" spans="1:7" x14ac:dyDescent="0.35">
      <c r="A3" t="s">
        <v>30</v>
      </c>
      <c r="B3" s="1">
        <v>-3.3837576566741108</v>
      </c>
      <c r="C3" s="1">
        <v>-1.0767515313348222</v>
      </c>
      <c r="D3" s="3">
        <f t="shared" ref="D3:D31" si="0">IF(A3="Monday",1,0)</f>
        <v>0</v>
      </c>
      <c r="E3" s="3"/>
      <c r="F3" s="3"/>
      <c r="G3" s="2"/>
    </row>
    <row r="4" spans="1:7" x14ac:dyDescent="0.35">
      <c r="A4" t="s">
        <v>31</v>
      </c>
      <c r="B4" s="1">
        <v>2.7993565617545348</v>
      </c>
      <c r="C4" s="1">
        <v>0.13322609362575577</v>
      </c>
      <c r="D4" s="3">
        <f t="shared" si="0"/>
        <v>0</v>
      </c>
      <c r="E4" s="3"/>
      <c r="F4" s="3"/>
      <c r="G4" s="2"/>
    </row>
    <row r="5" spans="1:7" x14ac:dyDescent="0.35">
      <c r="A5" t="s">
        <v>32</v>
      </c>
      <c r="B5" s="1">
        <v>-7.4457338497985361</v>
      </c>
      <c r="C5" s="1">
        <v>-1.5742889749664228</v>
      </c>
      <c r="D5" s="3">
        <f t="shared" si="0"/>
        <v>0</v>
      </c>
      <c r="E5" s="3"/>
      <c r="F5" s="3"/>
      <c r="G5" s="2"/>
    </row>
    <row r="6" spans="1:7" x14ac:dyDescent="0.35">
      <c r="A6" t="s">
        <v>33</v>
      </c>
      <c r="B6" s="1">
        <v>-1.1149290104785954</v>
      </c>
      <c r="C6" s="1">
        <v>-0.62298580209571908</v>
      </c>
      <c r="D6" s="3">
        <f t="shared" si="0"/>
        <v>0</v>
      </c>
      <c r="E6" s="3"/>
      <c r="F6" s="3"/>
      <c r="G6" s="2"/>
    </row>
    <row r="7" spans="1:7" x14ac:dyDescent="0.35">
      <c r="A7" t="s">
        <v>29</v>
      </c>
      <c r="B7" s="1">
        <v>2.2741326507468669</v>
      </c>
      <c r="C7" s="1">
        <v>4.5688775124477873E-2</v>
      </c>
      <c r="D7" s="3">
        <f t="shared" si="0"/>
        <v>1</v>
      </c>
      <c r="E7" s="3"/>
      <c r="F7" s="3"/>
      <c r="G7" s="2"/>
    </row>
    <row r="8" spans="1:7" x14ac:dyDescent="0.35">
      <c r="A8" t="s">
        <v>30</v>
      </c>
      <c r="B8" s="1">
        <v>-7.4777155655197038</v>
      </c>
      <c r="C8" s="1">
        <v>-1.5796192609199506</v>
      </c>
      <c r="D8" s="3">
        <f t="shared" si="0"/>
        <v>0</v>
      </c>
      <c r="E8" s="3"/>
      <c r="F8" s="3"/>
      <c r="G8" s="2"/>
    </row>
    <row r="9" spans="1:7" x14ac:dyDescent="0.35">
      <c r="A9" t="s">
        <v>31</v>
      </c>
      <c r="B9" s="1">
        <v>-4.5662391976492573</v>
      </c>
      <c r="C9" s="1">
        <v>-1.3132478395298515</v>
      </c>
      <c r="D9" s="3">
        <f t="shared" si="0"/>
        <v>0</v>
      </c>
      <c r="E9" s="3"/>
      <c r="F9" s="3"/>
      <c r="G9" s="2"/>
    </row>
    <row r="10" spans="1:7" x14ac:dyDescent="0.35">
      <c r="A10" t="s">
        <v>32</v>
      </c>
      <c r="B10" s="1">
        <v>5.9159760581297602</v>
      </c>
      <c r="C10" s="1">
        <v>0.65266267635496</v>
      </c>
      <c r="D10" s="3">
        <f t="shared" si="0"/>
        <v>0</v>
      </c>
      <c r="E10" s="3"/>
      <c r="F10" s="3"/>
      <c r="G10" s="2"/>
    </row>
    <row r="11" spans="1:7" x14ac:dyDescent="0.35">
      <c r="A11" t="s">
        <v>33</v>
      </c>
      <c r="B11" s="1">
        <v>-2.930662869611977</v>
      </c>
      <c r="C11" s="1">
        <v>-0.98613257392239539</v>
      </c>
      <c r="D11" s="3">
        <f t="shared" si="0"/>
        <v>0</v>
      </c>
      <c r="E11" s="3"/>
      <c r="F11" s="3"/>
      <c r="G11" s="2"/>
    </row>
    <row r="12" spans="1:7" x14ac:dyDescent="0.35">
      <c r="A12" t="s">
        <v>29</v>
      </c>
      <c r="B12" s="1">
        <v>9.5642436734089298</v>
      </c>
      <c r="C12" s="1">
        <v>1.2607072789014884</v>
      </c>
      <c r="D12" s="3">
        <f t="shared" si="0"/>
        <v>1</v>
      </c>
      <c r="E12" s="3"/>
      <c r="F12" s="3"/>
      <c r="G12" s="2"/>
    </row>
    <row r="13" spans="1:7" x14ac:dyDescent="0.35">
      <c r="A13" t="s">
        <v>30</v>
      </c>
      <c r="B13" s="1">
        <v>-12.139178406284273</v>
      </c>
      <c r="C13" s="1">
        <v>-2.3565297343807123</v>
      </c>
      <c r="D13" s="3">
        <f t="shared" si="0"/>
        <v>0</v>
      </c>
      <c r="E13" s="3"/>
      <c r="F13" s="3"/>
      <c r="G13" s="2"/>
    </row>
    <row r="14" spans="1:7" x14ac:dyDescent="0.35">
      <c r="A14" t="s">
        <v>31</v>
      </c>
      <c r="B14" s="1">
        <v>1.9642736394076596</v>
      </c>
      <c r="C14" s="1">
        <v>-8.931590148085063E-3</v>
      </c>
      <c r="D14" s="3">
        <f t="shared" si="0"/>
        <v>0</v>
      </c>
      <c r="E14" s="3"/>
      <c r="F14" s="3"/>
      <c r="G14" s="2"/>
    </row>
    <row r="15" spans="1:7" x14ac:dyDescent="0.35">
      <c r="A15" t="s">
        <v>32</v>
      </c>
      <c r="B15" s="1">
        <v>2.3483578849348099</v>
      </c>
      <c r="C15" s="1">
        <v>5.8059647489135016E-2</v>
      </c>
      <c r="D15" s="3">
        <f t="shared" si="0"/>
        <v>0</v>
      </c>
      <c r="E15" s="3"/>
      <c r="F15" s="3"/>
      <c r="G15" s="2"/>
    </row>
    <row r="16" spans="1:7" x14ac:dyDescent="0.35">
      <c r="A16" t="s">
        <v>33</v>
      </c>
      <c r="B16" s="1">
        <v>3.0117297693151235</v>
      </c>
      <c r="C16" s="1">
        <v>0.25293244232878087</v>
      </c>
      <c r="D16" s="3">
        <f t="shared" si="0"/>
        <v>0</v>
      </c>
      <c r="E16" s="3"/>
      <c r="F16" s="3"/>
      <c r="G16" s="2"/>
    </row>
    <row r="17" spans="1:7" x14ac:dyDescent="0.35">
      <c r="A17" t="s">
        <v>29</v>
      </c>
      <c r="B17" s="1">
        <v>-0.36330504966208288</v>
      </c>
      <c r="C17" s="1">
        <v>-0.3938841749436805</v>
      </c>
      <c r="D17" s="3">
        <f t="shared" si="0"/>
        <v>1</v>
      </c>
      <c r="E17" s="3"/>
      <c r="F17" s="3"/>
      <c r="G17" s="2"/>
    </row>
    <row r="18" spans="1:7" x14ac:dyDescent="0.35">
      <c r="A18" t="s">
        <v>30</v>
      </c>
      <c r="B18" s="1">
        <v>-4.6703880775535236</v>
      </c>
      <c r="C18" s="1">
        <v>-1.3340776155107046</v>
      </c>
      <c r="D18" s="3">
        <f t="shared" si="0"/>
        <v>0</v>
      </c>
      <c r="E18" s="3"/>
      <c r="F18" s="3"/>
      <c r="G18" s="2"/>
    </row>
    <row r="19" spans="1:7" x14ac:dyDescent="0.35">
      <c r="A19" t="s">
        <v>31</v>
      </c>
      <c r="B19" s="1">
        <v>4.3495977368696472</v>
      </c>
      <c r="C19" s="1">
        <v>0.46991954737392944</v>
      </c>
      <c r="D19" s="3">
        <f t="shared" si="0"/>
        <v>0</v>
      </c>
      <c r="E19" s="3"/>
      <c r="F19" s="3"/>
      <c r="G19" s="2"/>
    </row>
    <row r="20" spans="1:7" x14ac:dyDescent="0.35">
      <c r="A20" t="s">
        <v>32</v>
      </c>
      <c r="B20" s="1">
        <v>-1.5569961859706956</v>
      </c>
      <c r="C20" s="1">
        <v>-0.59283269766178259</v>
      </c>
      <c r="D20" s="3">
        <f t="shared" si="0"/>
        <v>0</v>
      </c>
      <c r="E20" s="3"/>
      <c r="F20" s="3"/>
      <c r="G20" s="2"/>
    </row>
    <row r="21" spans="1:7" x14ac:dyDescent="0.35">
      <c r="A21" t="s">
        <v>33</v>
      </c>
      <c r="B21" s="1">
        <v>4.2253118240771741</v>
      </c>
      <c r="C21" s="1">
        <v>0.44506236481543476</v>
      </c>
      <c r="D21" s="3">
        <f t="shared" si="0"/>
        <v>0</v>
      </c>
      <c r="E21" s="3"/>
      <c r="F21" s="3"/>
      <c r="G21" s="2"/>
    </row>
    <row r="22" spans="1:7" x14ac:dyDescent="0.35">
      <c r="A22" t="s">
        <v>29</v>
      </c>
      <c r="B22" s="1">
        <v>7.0920048598989336</v>
      </c>
      <c r="C22" s="1">
        <v>1.2730012149747334</v>
      </c>
      <c r="D22" s="3">
        <f t="shared" si="0"/>
        <v>1</v>
      </c>
      <c r="E22" s="3"/>
      <c r="F22" s="3"/>
      <c r="G22" s="2"/>
    </row>
    <row r="23" spans="1:7" x14ac:dyDescent="0.35">
      <c r="A23" t="s">
        <v>30</v>
      </c>
      <c r="B23" s="1">
        <v>1.0569133884065847</v>
      </c>
      <c r="C23" s="1">
        <v>-0.23577165289835386</v>
      </c>
      <c r="D23" s="3">
        <f t="shared" si="0"/>
        <v>0</v>
      </c>
      <c r="E23" s="3"/>
      <c r="F23" s="3"/>
      <c r="G23" s="2"/>
    </row>
    <row r="24" spans="1:7" x14ac:dyDescent="0.35">
      <c r="A24" t="s">
        <v>31</v>
      </c>
      <c r="B24" s="1">
        <v>4.3739641018660951</v>
      </c>
      <c r="C24" s="1">
        <v>0.39566068364434909</v>
      </c>
      <c r="D24" s="3">
        <f t="shared" si="0"/>
        <v>0</v>
      </c>
      <c r="E24" s="3"/>
      <c r="F24" s="3"/>
      <c r="G24" s="2"/>
    </row>
    <row r="25" spans="1:7" x14ac:dyDescent="0.35">
      <c r="A25" t="s">
        <v>32</v>
      </c>
      <c r="B25" s="1">
        <v>7.8703580097036809</v>
      </c>
      <c r="C25" s="1">
        <v>0.97839300161728016</v>
      </c>
      <c r="D25" s="3">
        <f t="shared" si="0"/>
        <v>0</v>
      </c>
      <c r="E25" s="3"/>
      <c r="F25" s="3"/>
      <c r="G25" s="2"/>
    </row>
    <row r="26" spans="1:7" x14ac:dyDescent="0.35">
      <c r="A26" t="s">
        <v>33</v>
      </c>
      <c r="B26" s="1">
        <v>6.9623991763026822</v>
      </c>
      <c r="C26" s="1">
        <v>0.99247983526053651</v>
      </c>
      <c r="D26" s="3">
        <f t="shared" si="0"/>
        <v>0</v>
      </c>
      <c r="E26" s="3"/>
      <c r="F26" s="3"/>
      <c r="G26" s="2"/>
    </row>
    <row r="27" spans="1:7" x14ac:dyDescent="0.35">
      <c r="A27" t="s">
        <v>29</v>
      </c>
      <c r="B27" s="1">
        <v>1.1184576972282365</v>
      </c>
      <c r="C27" s="1">
        <v>-0.22038557569294087</v>
      </c>
      <c r="D27" s="3">
        <f t="shared" si="0"/>
        <v>1</v>
      </c>
      <c r="E27" s="3"/>
      <c r="F27" s="3"/>
      <c r="G27" s="2"/>
    </row>
    <row r="28" spans="1:7" x14ac:dyDescent="0.35">
      <c r="A28" t="s">
        <v>30</v>
      </c>
      <c r="B28" s="1">
        <v>9.1372116004035444</v>
      </c>
      <c r="C28" s="1">
        <v>1.4274423200807089</v>
      </c>
      <c r="D28" s="3">
        <f t="shared" si="0"/>
        <v>0</v>
      </c>
      <c r="E28" s="3"/>
      <c r="F28" s="3"/>
      <c r="G28" s="2"/>
    </row>
    <row r="29" spans="1:7" x14ac:dyDescent="0.35">
      <c r="A29" t="s">
        <v>31</v>
      </c>
      <c r="B29" s="1">
        <v>9.0533373288393069</v>
      </c>
      <c r="C29" s="1">
        <v>1.7633343322098265</v>
      </c>
      <c r="D29" s="3">
        <f t="shared" si="0"/>
        <v>0</v>
      </c>
      <c r="E29" s="3"/>
      <c r="F29" s="3"/>
      <c r="G29" s="2"/>
    </row>
    <row r="30" spans="1:7" x14ac:dyDescent="0.35">
      <c r="A30" t="s">
        <v>32</v>
      </c>
      <c r="B30" s="1">
        <v>10.182296089913304</v>
      </c>
      <c r="C30" s="1">
        <v>1.3637160149855507</v>
      </c>
      <c r="D30" s="3">
        <f t="shared" si="0"/>
        <v>0</v>
      </c>
      <c r="E30" s="3"/>
      <c r="F30" s="3"/>
      <c r="G30" s="2"/>
    </row>
    <row r="31" spans="1:7" x14ac:dyDescent="0.35">
      <c r="A31" t="s">
        <v>33</v>
      </c>
      <c r="B31" s="1">
        <v>-3.6392229436195143</v>
      </c>
      <c r="C31" s="1">
        <v>-0.93987049060325234</v>
      </c>
      <c r="D31" s="3">
        <f t="shared" si="0"/>
        <v>0</v>
      </c>
      <c r="E31" s="3"/>
      <c r="F31" s="3"/>
      <c r="G3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17A8-AFD0-4709-B29D-F8BE3EDA44A1}">
  <dimension ref="A1:I24"/>
  <sheetViews>
    <sheetView workbookViewId="0">
      <selection activeCell="D22" sqref="D22"/>
    </sheetView>
  </sheetViews>
  <sheetFormatPr defaultRowHeight="15.5" x14ac:dyDescent="0.35"/>
  <cols>
    <col min="2" max="2" width="11.75" bestFit="1" customWidth="1"/>
    <col min="3" max="3" width="13.1640625" bestFit="1" customWidth="1"/>
  </cols>
  <sheetData>
    <row r="1" spans="1:9" x14ac:dyDescent="0.35">
      <c r="A1" t="s">
        <v>0</v>
      </c>
    </row>
    <row r="2" spans="1:9" ht="16" thickBot="1" x14ac:dyDescent="0.4"/>
    <row r="3" spans="1:9" x14ac:dyDescent="0.35">
      <c r="A3" s="8" t="s">
        <v>1</v>
      </c>
      <c r="B3" s="8"/>
    </row>
    <row r="4" spans="1:9" x14ac:dyDescent="0.35">
      <c r="A4" s="5" t="s">
        <v>2</v>
      </c>
      <c r="B4" s="5">
        <v>0.99086179947485109</v>
      </c>
    </row>
    <row r="5" spans="1:9" x14ac:dyDescent="0.35">
      <c r="A5" s="5" t="s">
        <v>3</v>
      </c>
      <c r="B5" s="5">
        <v>0.98180710565854001</v>
      </c>
    </row>
    <row r="6" spans="1:9" x14ac:dyDescent="0.35">
      <c r="A6" s="5" t="s">
        <v>4</v>
      </c>
      <c r="B6" s="5">
        <v>0.98045948385546899</v>
      </c>
    </row>
    <row r="7" spans="1:9" x14ac:dyDescent="0.35">
      <c r="A7" s="5" t="s">
        <v>5</v>
      </c>
      <c r="B7" s="5">
        <v>0.78654704942650244</v>
      </c>
    </row>
    <row r="8" spans="1:9" ht="16" thickBot="1" x14ac:dyDescent="0.4">
      <c r="A8" s="6" t="s">
        <v>6</v>
      </c>
      <c r="B8" s="6">
        <v>30</v>
      </c>
    </row>
    <row r="10" spans="1:9" ht="16" thickBot="1" x14ac:dyDescent="0.4">
      <c r="A10" t="s">
        <v>7</v>
      </c>
    </row>
    <row r="11" spans="1:9" x14ac:dyDescent="0.35">
      <c r="A11" s="7"/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</row>
    <row r="12" spans="1:9" x14ac:dyDescent="0.35">
      <c r="A12" s="5" t="s">
        <v>8</v>
      </c>
      <c r="B12" s="5">
        <v>2</v>
      </c>
      <c r="C12" s="5">
        <v>901.44150471292551</v>
      </c>
      <c r="D12" s="5">
        <v>450.72075235646275</v>
      </c>
      <c r="E12" s="5">
        <v>728.54795271276657</v>
      </c>
      <c r="F12" s="5">
        <v>3.2260735409520634E-24</v>
      </c>
    </row>
    <row r="13" spans="1:9" x14ac:dyDescent="0.35">
      <c r="A13" s="5" t="s">
        <v>9</v>
      </c>
      <c r="B13" s="5">
        <v>27</v>
      </c>
      <c r="C13" s="5">
        <v>16.703719045961495</v>
      </c>
      <c r="D13" s="5">
        <v>0.61865626096153692</v>
      </c>
      <c r="E13" s="5"/>
      <c r="F13" s="5"/>
    </row>
    <row r="14" spans="1:9" ht="16" thickBot="1" x14ac:dyDescent="0.4">
      <c r="A14" s="6" t="s">
        <v>10</v>
      </c>
      <c r="B14" s="6">
        <v>29</v>
      </c>
      <c r="C14" s="6">
        <v>918.14522375888703</v>
      </c>
      <c r="D14" s="6"/>
      <c r="E14" s="6"/>
      <c r="F14" s="6"/>
    </row>
    <row r="15" spans="1:9" ht="16" thickBot="1" x14ac:dyDescent="0.4"/>
    <row r="16" spans="1:9" x14ac:dyDescent="0.35">
      <c r="A16" s="7"/>
      <c r="B16" s="7" t="s">
        <v>17</v>
      </c>
      <c r="C16" s="7" t="s">
        <v>5</v>
      </c>
      <c r="D16" s="7" t="s">
        <v>18</v>
      </c>
      <c r="E16" s="7" t="s">
        <v>19</v>
      </c>
      <c r="F16" s="7" t="s">
        <v>20</v>
      </c>
      <c r="G16" s="7" t="s">
        <v>21</v>
      </c>
      <c r="H16" s="7" t="s">
        <v>22</v>
      </c>
      <c r="I16" s="7" t="s">
        <v>23</v>
      </c>
    </row>
    <row r="17" spans="1:9" x14ac:dyDescent="0.35">
      <c r="A17" s="5" t="s">
        <v>11</v>
      </c>
      <c r="B17" s="5">
        <v>1.8381865246565625</v>
      </c>
      <c r="C17" s="5">
        <v>0.162045862496278</v>
      </c>
      <c r="D17" s="5">
        <v>11.343618999829653</v>
      </c>
      <c r="E17" s="5">
        <v>8.8891989972082694E-12</v>
      </c>
      <c r="F17" s="5">
        <v>1.5056958789173311</v>
      </c>
      <c r="G17" s="5">
        <v>2.1706771703957939</v>
      </c>
      <c r="H17" s="5">
        <v>1.5056958789173311</v>
      </c>
      <c r="I17" s="5">
        <v>2.1706771703957939</v>
      </c>
    </row>
    <row r="18" spans="1:9" x14ac:dyDescent="0.35">
      <c r="A18" s="5" t="s">
        <v>26</v>
      </c>
      <c r="B18" s="5">
        <v>5.3658915363583315</v>
      </c>
      <c r="C18" s="5">
        <v>0.14279353305488837</v>
      </c>
      <c r="D18" s="5">
        <v>37.577973046550632</v>
      </c>
      <c r="E18" s="5">
        <v>7.5029290251863296E-25</v>
      </c>
      <c r="F18" s="5">
        <v>5.0729034076802755</v>
      </c>
      <c r="G18" s="5">
        <v>5.6588796650363875</v>
      </c>
      <c r="H18" s="5">
        <v>5.0729034076802755</v>
      </c>
      <c r="I18" s="5">
        <v>5.6588796650363875</v>
      </c>
    </row>
    <row r="19" spans="1:9" ht="16" thickBot="1" x14ac:dyDescent="0.4">
      <c r="A19" s="6" t="s">
        <v>37</v>
      </c>
      <c r="B19" s="6">
        <v>8.4386785609954426E-2</v>
      </c>
      <c r="C19" s="6">
        <v>0.36429450294170257</v>
      </c>
      <c r="D19" s="6">
        <v>0.23164441112486042</v>
      </c>
      <c r="E19" s="6">
        <v>0.81856084204937596</v>
      </c>
      <c r="F19" s="6">
        <v>-0.66308379251184824</v>
      </c>
      <c r="G19" s="6">
        <v>0.831857363731757</v>
      </c>
      <c r="H19" s="6">
        <v>-0.66308379251184824</v>
      </c>
      <c r="I19" s="6">
        <v>0.831857363731757</v>
      </c>
    </row>
    <row r="22" spans="1:9" x14ac:dyDescent="0.35">
      <c r="B22" t="s">
        <v>39</v>
      </c>
      <c r="C22" t="s">
        <v>27</v>
      </c>
    </row>
    <row r="23" spans="1:9" x14ac:dyDescent="0.35">
      <c r="A23" t="s">
        <v>29</v>
      </c>
      <c r="B23" s="9">
        <f>B17+B19</f>
        <v>1.922573310266517</v>
      </c>
      <c r="C23" s="9">
        <f>B18</f>
        <v>5.3658915363583315</v>
      </c>
    </row>
    <row r="24" spans="1:9" x14ac:dyDescent="0.35">
      <c r="A24" t="s">
        <v>38</v>
      </c>
      <c r="B24" s="9">
        <f>B17</f>
        <v>1.8381865246565625</v>
      </c>
      <c r="C24" s="9">
        <f>C23</f>
        <v>5.3658915363583315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C9D5-ADDD-4CF6-879A-D75C6DEB4D0E}">
  <dimension ref="A1:I18"/>
  <sheetViews>
    <sheetView workbookViewId="0"/>
  </sheetViews>
  <sheetFormatPr defaultRowHeight="15.5" x14ac:dyDescent="0.35"/>
  <sheetData>
    <row r="1" spans="1:9" x14ac:dyDescent="0.35">
      <c r="A1" t="s">
        <v>0</v>
      </c>
    </row>
    <row r="2" spans="1:9" ht="16" thickBot="1" x14ac:dyDescent="0.4"/>
    <row r="3" spans="1:9" x14ac:dyDescent="0.35">
      <c r="A3" s="8" t="s">
        <v>1</v>
      </c>
      <c r="B3" s="8"/>
    </row>
    <row r="4" spans="1:9" x14ac:dyDescent="0.35">
      <c r="A4" s="5" t="s">
        <v>2</v>
      </c>
      <c r="B4" s="5">
        <v>0.99084355452796846</v>
      </c>
    </row>
    <row r="5" spans="1:9" x14ac:dyDescent="0.35">
      <c r="A5" s="5" t="s">
        <v>3</v>
      </c>
      <c r="B5" s="5">
        <v>0.9817709495496193</v>
      </c>
    </row>
    <row r="6" spans="1:9" x14ac:dyDescent="0.35">
      <c r="A6" s="5" t="s">
        <v>4</v>
      </c>
      <c r="B6" s="5">
        <v>0.98111991203353432</v>
      </c>
    </row>
    <row r="7" spans="1:9" x14ac:dyDescent="0.35">
      <c r="A7" s="5" t="s">
        <v>5</v>
      </c>
      <c r="B7" s="5">
        <v>0.77314098706595125</v>
      </c>
    </row>
    <row r="8" spans="1:9" ht="16" thickBot="1" x14ac:dyDescent="0.4">
      <c r="A8" s="6" t="s">
        <v>6</v>
      </c>
      <c r="B8" s="6">
        <v>30</v>
      </c>
    </row>
    <row r="10" spans="1:9" ht="16" thickBot="1" x14ac:dyDescent="0.4">
      <c r="A10" t="s">
        <v>7</v>
      </c>
    </row>
    <row r="11" spans="1:9" x14ac:dyDescent="0.35">
      <c r="A11" s="7"/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</row>
    <row r="12" spans="1:9" x14ac:dyDescent="0.35">
      <c r="A12" s="5" t="s">
        <v>8</v>
      </c>
      <c r="B12" s="5">
        <v>1</v>
      </c>
      <c r="C12" s="5">
        <v>901.4083081542102</v>
      </c>
      <c r="D12" s="5">
        <v>901.4083081542102</v>
      </c>
      <c r="E12" s="5">
        <v>1508.0097925130999</v>
      </c>
      <c r="F12" s="5">
        <v>6.7438421848030705E-26</v>
      </c>
    </row>
    <row r="13" spans="1:9" x14ac:dyDescent="0.35">
      <c r="A13" s="5" t="s">
        <v>9</v>
      </c>
      <c r="B13" s="5">
        <v>28</v>
      </c>
      <c r="C13" s="5">
        <v>16.736915604676774</v>
      </c>
      <c r="D13" s="5">
        <v>0.59774698588131336</v>
      </c>
      <c r="E13" s="5"/>
      <c r="F13" s="5"/>
    </row>
    <row r="14" spans="1:9" ht="16" thickBot="1" x14ac:dyDescent="0.4">
      <c r="A14" s="6" t="s">
        <v>10</v>
      </c>
      <c r="B14" s="6">
        <v>29</v>
      </c>
      <c r="C14" s="6">
        <v>918.14522375888703</v>
      </c>
      <c r="D14" s="6"/>
      <c r="E14" s="6"/>
      <c r="F14" s="6"/>
    </row>
    <row r="15" spans="1:9" ht="16" thickBot="1" x14ac:dyDescent="0.4"/>
    <row r="16" spans="1:9" x14ac:dyDescent="0.35">
      <c r="A16" s="7"/>
      <c r="B16" s="7" t="s">
        <v>17</v>
      </c>
      <c r="C16" s="7" t="s">
        <v>5</v>
      </c>
      <c r="D16" s="7" t="s">
        <v>18</v>
      </c>
      <c r="E16" s="7" t="s">
        <v>19</v>
      </c>
      <c r="F16" s="7" t="s">
        <v>20</v>
      </c>
      <c r="G16" s="7" t="s">
        <v>21</v>
      </c>
      <c r="H16" s="7" t="s">
        <v>22</v>
      </c>
      <c r="I16" s="7" t="s">
        <v>23</v>
      </c>
    </row>
    <row r="17" spans="1:9" x14ac:dyDescent="0.35">
      <c r="A17" s="5" t="s">
        <v>11</v>
      </c>
      <c r="B17" s="5">
        <v>1.8554404184601616</v>
      </c>
      <c r="C17" s="5">
        <v>0.14146006697915509</v>
      </c>
      <c r="D17" s="5">
        <v>13.116354728812414</v>
      </c>
      <c r="E17" s="5">
        <v>1.7762954130502456E-13</v>
      </c>
      <c r="F17" s="5">
        <v>1.5656726069812268</v>
      </c>
      <c r="G17" s="5">
        <v>2.1452082299390964</v>
      </c>
      <c r="H17" s="5">
        <v>1.5656726069812268</v>
      </c>
      <c r="I17" s="5">
        <v>2.1452082299390964</v>
      </c>
    </row>
    <row r="18" spans="1:9" ht="16" thickBot="1" x14ac:dyDescent="0.4">
      <c r="A18" s="6" t="s">
        <v>26</v>
      </c>
      <c r="B18" s="6">
        <v>5.3715061939834765</v>
      </c>
      <c r="C18" s="6">
        <v>0.13832287275958327</v>
      </c>
      <c r="D18" s="6">
        <v>38.833101762711394</v>
      </c>
      <c r="E18" s="6">
        <v>6.7438421848030705E-26</v>
      </c>
      <c r="F18" s="6">
        <v>5.0881646335491109</v>
      </c>
      <c r="G18" s="6">
        <v>5.6548477544178422</v>
      </c>
      <c r="H18" s="6">
        <v>5.0881646335491109</v>
      </c>
      <c r="I18" s="6">
        <v>5.6548477544178422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F1D3-060A-4A9C-8191-0C2128D407A9}">
  <dimension ref="A2:C12"/>
  <sheetViews>
    <sheetView tabSelected="1" workbookViewId="0">
      <selection activeCell="E9" sqref="E9"/>
    </sheetView>
  </sheetViews>
  <sheetFormatPr defaultRowHeight="15.5" x14ac:dyDescent="0.35"/>
  <sheetData>
    <row r="2" spans="1:3" x14ac:dyDescent="0.35">
      <c r="A2" t="s">
        <v>40</v>
      </c>
      <c r="B2">
        <f>'Regression without Indicator'!C13</f>
        <v>16.736915604676774</v>
      </c>
    </row>
    <row r="4" spans="1:3" x14ac:dyDescent="0.35">
      <c r="A4" t="s">
        <v>41</v>
      </c>
      <c r="B4">
        <f>'Regression with Indicator'!C13</f>
        <v>16.703719045961495</v>
      </c>
    </row>
    <row r="5" spans="1:3" x14ac:dyDescent="0.35">
      <c r="A5" t="s">
        <v>42</v>
      </c>
      <c r="B5">
        <f>'Regression with Indicator'!D13</f>
        <v>0.61865626096153692</v>
      </c>
    </row>
    <row r="7" spans="1:3" x14ac:dyDescent="0.35">
      <c r="A7" t="s">
        <v>43</v>
      </c>
      <c r="B7">
        <v>30</v>
      </c>
    </row>
    <row r="8" spans="1:3" x14ac:dyDescent="0.35">
      <c r="A8" t="s">
        <v>44</v>
      </c>
      <c r="B8">
        <v>2</v>
      </c>
    </row>
    <row r="9" spans="1:3" x14ac:dyDescent="0.35">
      <c r="A9" t="s">
        <v>45</v>
      </c>
      <c r="B9">
        <v>1</v>
      </c>
    </row>
    <row r="11" spans="1:3" x14ac:dyDescent="0.35">
      <c r="A11" t="s">
        <v>46</v>
      </c>
      <c r="B11">
        <f>(B2-B4)/(B9*B5)</f>
        <v>5.3659133205382056E-2</v>
      </c>
    </row>
    <row r="12" spans="1:3" x14ac:dyDescent="0.35">
      <c r="A12" t="s">
        <v>47</v>
      </c>
      <c r="B12">
        <f>1-_xlfn.F.DIST(B11,B9,B7-(B8+1),TRUE)</f>
        <v>0.81856084204937807</v>
      </c>
      <c r="C12" s="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Data- Start Here</vt:lpstr>
      <vt:lpstr>Question</vt:lpstr>
      <vt:lpstr>Solution Setup</vt:lpstr>
      <vt:lpstr>Regression with Indicator</vt:lpstr>
      <vt:lpstr>Regression without Indicator</vt:lpstr>
      <vt:lpstr>F-test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2017-11-30T18:48:09Z</dcterms:created>
  <dcterms:modified xsi:type="dcterms:W3CDTF">2020-12-06T03:30:06Z</dcterms:modified>
</cp:coreProperties>
</file>