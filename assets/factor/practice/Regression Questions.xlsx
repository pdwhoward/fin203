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ilip\Dropbox\Courses\Teaching\FIN 203\FIN 203 Fall 2017\"/>
    </mc:Choice>
  </mc:AlternateContent>
  <bookViews>
    <workbookView xWindow="0" yWindow="0" windowWidth="18000" windowHeight="9456" activeTab="6" xr2:uid="{8DCDFA2E-5CA9-465E-B789-4F49B614B1AD}"/>
  </bookViews>
  <sheets>
    <sheet name="Data" sheetId="1" r:id="rId1"/>
    <sheet name="Questions" sheetId="2" r:id="rId2"/>
    <sheet name="F-tests" sheetId="7" r:id="rId3"/>
    <sheet name="x1-5" sheetId="3" r:id="rId4"/>
    <sheet name="x1-4" sheetId="4" r:id="rId5"/>
    <sheet name="x1-3" sheetId="5" r:id="rId6"/>
    <sheet name="x1" sheetId="6" r:id="rId7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1" i="6" l="1"/>
  <c r="B23" i="5"/>
  <c r="B24" i="4"/>
  <c r="B25" i="3"/>
  <c r="J5" i="7" l="1"/>
  <c r="J4" i="7"/>
  <c r="J3" i="7"/>
  <c r="J2" i="7"/>
  <c r="I5" i="7" l="1"/>
  <c r="I4" i="7"/>
  <c r="I3" i="7"/>
  <c r="I2" i="7"/>
</calcChain>
</file>

<file path=xl/sharedStrings.xml><?xml version="1.0" encoding="utf-8"?>
<sst xmlns="http://schemas.openxmlformats.org/spreadsheetml/2006/main" count="182" uniqueCount="59">
  <si>
    <t>y</t>
  </si>
  <si>
    <t>x1</t>
  </si>
  <si>
    <t>x2</t>
  </si>
  <si>
    <t>x3</t>
  </si>
  <si>
    <t>x4</t>
  </si>
  <si>
    <t>x5</t>
  </si>
  <si>
    <t>Questions:</t>
  </si>
  <si>
    <t>1. Estimate the model by regressing y onto x1,x2,x3,x4,x5</t>
  </si>
  <si>
    <t>2. Estimate the model by regressing y onto x1,x2,x3,x4</t>
  </si>
  <si>
    <t>3. Estimate the model by regressing y onto x1,x2,x3</t>
  </si>
  <si>
    <t>4. Estimate the model by regressing y onto x1</t>
  </si>
  <si>
    <t>5. Using an F-test, compare (1) and (2)</t>
  </si>
  <si>
    <t>6. Using an F-test, compare (1) and (3)</t>
  </si>
  <si>
    <t>7. Using an F-test, compare (2) and (3)</t>
  </si>
  <si>
    <t>8. Using an F-test, compare (3) and (4)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</si>
  <si>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</si>
  <si>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</si>
  <si>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</si>
  <si>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</si>
  <si>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</si>
  <si>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</si>
  <si>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</si>
  <si>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</si>
  <si>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</si>
  <si>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</si>
  <si>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</si>
  <si>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</si>
  <si>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</si>
  <si>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</si>
  <si>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</si>
  <si>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</si>
  <si>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</si>
  <si>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</si>
  <si>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</si>
  <si>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</si>
  <si>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</si>
  <si>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</si>
  <si>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</si>
  <si>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</si>
  <si>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SSE</t>
  </si>
  <si>
    <t>MSE</t>
  </si>
  <si>
    <t>x1-5</t>
  </si>
  <si>
    <t>x1-4</t>
  </si>
  <si>
    <t>x1-3</t>
  </si>
  <si>
    <t>x1-5 vs x1-4</t>
  </si>
  <si>
    <t>x1-5 vs x1-3</t>
  </si>
  <si>
    <t>x1-4 vs x1-3</t>
  </si>
  <si>
    <t>x1-3 vs x1</t>
  </si>
  <si>
    <t>n</t>
  </si>
  <si>
    <t>k</t>
  </si>
  <si>
    <t>r</t>
  </si>
  <si>
    <t>F-stat</t>
  </si>
  <si>
    <t>P-val</t>
  </si>
  <si>
    <t>Conclusion</t>
  </si>
  <si>
    <t>Cannot reject</t>
  </si>
  <si>
    <t>Reject</t>
  </si>
  <si>
    <t>9. What would be predicted by models (1)-(4) if the indpendent variables are:</t>
  </si>
  <si>
    <t>Solution to 9:</t>
  </si>
  <si>
    <t>y_hat=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</si>
</sst>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/>
    <xf numFmtId="164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Continuous"/>
    </xf>
    <xf numFmtId="164" fontId="0" fillId="0" borderId="0" xfId="0" applyNumberFormat="1" applyFill="1" applyBorder="1" applyAlignment="1"/>
    <xf numFmtId="165" fontId="0" fillId="0" borderId="0" xfId="0" applyNumberFormat="1"/>
    <xf numFmtId="164" fontId="0" fillId="0" borderId="0" xfId="0" applyNumberFormat="1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DA9F6-864B-4AC2-91C5-BD6B04674F0E}">
  <dimension ref="A1:G31"/>
  <sheetViews>
    <sheetView workbookViewId="0">
      <pane ySplit="1" topLeftCell="A2" activePane="bottomLeft" state="frozen"/>
      <selection pane="bottomLeft" activeCell="B1" sqref="B1:F1"/>
    </sheetView>
  </sheetViews>
  <sheetFormatPr defaultRowHeight="15.6" x14ac:dyDescent="0.3"/>
  <cols>
    <col min="1" max="7" width="8.796875" style="2"/>
  </cols>
  <sheetData>
    <row r="1" spans="1: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/>
    </row>
    <row r="2" spans="1:7" x14ac:dyDescent="0.3">
      <c r="A2" s="2">
        <v>-5.5829895603883664</v>
      </c>
      <c r="B2" s="2">
        <v>-0.55889904160445203</v>
      </c>
      <c r="C2" s="2">
        <v>-0.19371683808192211</v>
      </c>
      <c r="D2" s="2">
        <v>0.58881161623533718</v>
      </c>
      <c r="E2" s="2">
        <v>0.73717854904761526</v>
      </c>
      <c r="F2" s="2">
        <v>0.30055065582704071</v>
      </c>
    </row>
    <row r="3" spans="1:7" x14ac:dyDescent="0.3">
      <c r="A3" s="2">
        <v>4.1785322478094242</v>
      </c>
      <c r="B3" s="2">
        <v>1.55240406772826</v>
      </c>
      <c r="C3" s="2">
        <v>0.13266535624231152</v>
      </c>
      <c r="D3" s="2">
        <v>-1.0335316984195233</v>
      </c>
      <c r="E3" s="2">
        <v>1.3942903156579007</v>
      </c>
      <c r="F3" s="2">
        <v>-1.4991328565663158</v>
      </c>
    </row>
    <row r="4" spans="1:7" x14ac:dyDescent="0.3">
      <c r="A4" s="2">
        <v>8.5417696141557453</v>
      </c>
      <c r="B4" s="2">
        <v>-0.15361267876205581</v>
      </c>
      <c r="C4" s="2">
        <v>0.59017089466479955</v>
      </c>
      <c r="D4" s="2">
        <v>0.14324775949309665</v>
      </c>
      <c r="E4" s="2">
        <v>0.55862020474062957</v>
      </c>
      <c r="F4" s="2">
        <v>-1.1102640612884047</v>
      </c>
    </row>
    <row r="5" spans="1:7" x14ac:dyDescent="0.3">
      <c r="A5" s="2">
        <v>-1.1877368754447382</v>
      </c>
      <c r="B5" s="2">
        <v>-1.9640077167089536</v>
      </c>
      <c r="C5" s="2">
        <v>-7.5823670159426579E-2</v>
      </c>
      <c r="D5" s="2">
        <v>-0.47214383539426535</v>
      </c>
      <c r="E5" s="2">
        <v>7.7699251362931279E-2</v>
      </c>
      <c r="F5" s="2">
        <v>0.41151046550735093</v>
      </c>
    </row>
    <row r="6" spans="1:7" x14ac:dyDescent="0.3">
      <c r="A6" s="2">
        <v>-0.3209606437563523</v>
      </c>
      <c r="B6" s="2">
        <v>0.93631212118129081</v>
      </c>
      <c r="C6" s="2">
        <v>-0.77784758560624245</v>
      </c>
      <c r="D6" s="2">
        <v>0.1398940591757569</v>
      </c>
      <c r="E6" s="2">
        <v>-1.2974506341681666</v>
      </c>
      <c r="F6" s="2">
        <v>-1.5063245601549815</v>
      </c>
    </row>
    <row r="7" spans="1:7" x14ac:dyDescent="0.3">
      <c r="A7" s="2">
        <v>-1.4261071703805184</v>
      </c>
      <c r="B7" s="2">
        <v>-1.2761772985283149</v>
      </c>
      <c r="C7" s="2">
        <v>0.84985493200068341</v>
      </c>
      <c r="D7" s="2">
        <v>5.9929819459189265E-2</v>
      </c>
      <c r="E7" s="2">
        <v>0.14550138529437387</v>
      </c>
      <c r="F7" s="2">
        <v>-8.7400009064838621E-2</v>
      </c>
    </row>
    <row r="8" spans="1:7" x14ac:dyDescent="0.3">
      <c r="A8" s="2">
        <v>-2.5764543991118618</v>
      </c>
      <c r="B8" s="2">
        <v>0.79489744253672434</v>
      </c>
      <c r="C8" s="2">
        <v>-0.51931781550133749</v>
      </c>
      <c r="D8" s="2">
        <v>0.25368165011323857</v>
      </c>
      <c r="E8" s="2">
        <v>-0.61430191597219075</v>
      </c>
      <c r="F8" s="2">
        <v>1.7399073208722877</v>
      </c>
    </row>
    <row r="9" spans="1:7" x14ac:dyDescent="0.3">
      <c r="A9" s="2">
        <v>-0.26510598083472736</v>
      </c>
      <c r="B9" s="2">
        <v>0.23959079257335958</v>
      </c>
      <c r="C9" s="2">
        <v>1.0090759091034511</v>
      </c>
      <c r="D9" s="2">
        <v>-9.9505437087889698E-2</v>
      </c>
      <c r="E9" s="2">
        <v>-1.9239250848497134</v>
      </c>
      <c r="F9" s="2">
        <v>-2.5401735577877846</v>
      </c>
    </row>
    <row r="10" spans="1:7" x14ac:dyDescent="0.3">
      <c r="A10" s="2">
        <v>-2.540540247208825</v>
      </c>
      <c r="B10" s="2">
        <v>0.48612996381228002</v>
      </c>
      <c r="C10" s="2">
        <v>-1.1528793578415231</v>
      </c>
      <c r="D10" s="2">
        <v>0.42029712599124669</v>
      </c>
      <c r="E10" s="2">
        <v>-0.77813594657113649</v>
      </c>
      <c r="F10" s="2">
        <v>0.93857388067372194</v>
      </c>
    </row>
    <row r="11" spans="1:7" x14ac:dyDescent="0.3">
      <c r="A11" s="2">
        <v>-4.6621146687258497</v>
      </c>
      <c r="B11" s="2">
        <v>0.82134347660905183</v>
      </c>
      <c r="C11" s="2">
        <v>-0.66729887301190027</v>
      </c>
      <c r="D11" s="2">
        <v>-0.31123630696007443</v>
      </c>
      <c r="E11" s="2">
        <v>0.49672160073686455</v>
      </c>
      <c r="F11" s="2">
        <v>9.3721808930851802E-2</v>
      </c>
    </row>
    <row r="12" spans="1:7" x14ac:dyDescent="0.3">
      <c r="A12" s="2">
        <v>-9.6190231197844724</v>
      </c>
      <c r="B12" s="2">
        <v>-0.42167910542749448</v>
      </c>
      <c r="C12" s="2">
        <v>-2.0436611232473458</v>
      </c>
      <c r="D12" s="2">
        <v>-5.4073132145811942E-2</v>
      </c>
      <c r="E12" s="2">
        <v>-0.57316118549027173</v>
      </c>
      <c r="F12" s="2">
        <v>0.55820649421766766</v>
      </c>
    </row>
    <row r="13" spans="1:7" x14ac:dyDescent="0.3">
      <c r="A13" s="2">
        <v>-2.7071445356533737</v>
      </c>
      <c r="B13" s="2">
        <v>-1.9005691904615467</v>
      </c>
      <c r="C13" s="2">
        <v>-0.66515928437681382</v>
      </c>
      <c r="D13" s="2">
        <v>1.6142822521188376</v>
      </c>
      <c r="E13" s="2">
        <v>3.5395013131515524E-2</v>
      </c>
      <c r="F13" s="2">
        <v>0.77229168594814257</v>
      </c>
    </row>
    <row r="14" spans="1:7" x14ac:dyDescent="0.3">
      <c r="A14" s="2">
        <v>1.539452215707759</v>
      </c>
      <c r="B14" s="2">
        <v>0.85316335740527327</v>
      </c>
      <c r="C14" s="2">
        <v>1.0255689016886425</v>
      </c>
      <c r="D14" s="2">
        <v>-8.8391317079328749E-2</v>
      </c>
      <c r="E14" s="2">
        <v>-1.3348051414733451E-3</v>
      </c>
      <c r="F14" s="2">
        <v>-0.70476025489338501</v>
      </c>
    </row>
    <row r="15" spans="1:7" x14ac:dyDescent="0.3">
      <c r="A15" s="2">
        <v>13.581262890732352</v>
      </c>
      <c r="B15" s="2">
        <v>0.43083779081993478</v>
      </c>
      <c r="C15" s="2">
        <v>1.1165024353647934</v>
      </c>
      <c r="D15" s="2">
        <v>-0.7123888095792984</v>
      </c>
      <c r="E15" s="2">
        <v>-0.96365070837677991</v>
      </c>
      <c r="F15" s="2">
        <v>0.29653530622083513</v>
      </c>
    </row>
    <row r="16" spans="1:7" x14ac:dyDescent="0.3">
      <c r="A16" s="2">
        <v>0.94525177745015121</v>
      </c>
      <c r="B16" s="2">
        <v>0.63061166900856214</v>
      </c>
      <c r="C16" s="2">
        <v>-1.1936250275790521</v>
      </c>
      <c r="D16" s="2">
        <v>-1.415308181797823</v>
      </c>
      <c r="E16" s="2">
        <v>-0.24641934041398711</v>
      </c>
      <c r="F16" s="2">
        <v>-1.1613543044168713</v>
      </c>
    </row>
    <row r="17" spans="1:6" x14ac:dyDescent="0.3">
      <c r="A17" s="2">
        <v>-1.0632395109836521</v>
      </c>
      <c r="B17" s="2">
        <v>-4.0203371003212293E-2</v>
      </c>
      <c r="C17" s="2">
        <v>-1.469036312065547</v>
      </c>
      <c r="D17" s="2">
        <v>0.54490814787840391</v>
      </c>
      <c r="E17" s="2">
        <v>1.7093003646670297</v>
      </c>
      <c r="F17" s="2">
        <v>-0.7758808397075555</v>
      </c>
    </row>
    <row r="18" spans="1:6" x14ac:dyDescent="0.3">
      <c r="A18" s="2">
        <v>3.3384241532166086</v>
      </c>
      <c r="B18" s="2">
        <v>1.4296191727255909</v>
      </c>
      <c r="C18" s="2">
        <v>0.30995748188992278</v>
      </c>
      <c r="D18" s="2">
        <v>-1.1938106304778019E-2</v>
      </c>
      <c r="E18" s="2">
        <v>0.52113639442855852</v>
      </c>
      <c r="F18" s="2">
        <v>1.0890515813216419</v>
      </c>
    </row>
    <row r="19" spans="1:6" x14ac:dyDescent="0.3">
      <c r="A19" s="2">
        <v>-3.2562661687587342</v>
      </c>
      <c r="B19" s="2">
        <v>-1.2987116904753055</v>
      </c>
      <c r="C19" s="2">
        <v>-1.106947247851688</v>
      </c>
      <c r="D19" s="2">
        <v>0.33264013467235914</v>
      </c>
      <c r="E19" s="2">
        <v>0.84009660778308137</v>
      </c>
      <c r="F19" s="2">
        <v>0.81666376027340182</v>
      </c>
    </row>
    <row r="20" spans="1:6" x14ac:dyDescent="0.3">
      <c r="A20" s="2">
        <v>-1.7204709665892191</v>
      </c>
      <c r="B20" s="2">
        <v>-1.1169722572270682</v>
      </c>
      <c r="C20" s="2">
        <v>-1.7879656422192867</v>
      </c>
      <c r="D20" s="2">
        <v>0.1654475792934669</v>
      </c>
      <c r="E20" s="2">
        <v>0.24640031082869371</v>
      </c>
      <c r="F20" s="2">
        <v>-0.69673336728482715</v>
      </c>
    </row>
    <row r="21" spans="1:6" x14ac:dyDescent="0.3">
      <c r="A21" s="2">
        <v>7.6432560716110718</v>
      </c>
      <c r="B21" s="2">
        <v>1.2117958524554404</v>
      </c>
      <c r="C21" s="2">
        <v>0.37025917954594717</v>
      </c>
      <c r="D21" s="2">
        <v>-0.51886068092343895</v>
      </c>
      <c r="E21" s="2">
        <v>0.77724005478688973</v>
      </c>
      <c r="F21" s="2">
        <v>-0.4945409436217359</v>
      </c>
    </row>
    <row r="22" spans="1:6" x14ac:dyDescent="0.3">
      <c r="A22" s="2">
        <v>-10.404012293733928</v>
      </c>
      <c r="B22" s="2">
        <v>-0.99357031220381442</v>
      </c>
      <c r="C22" s="2">
        <v>0.18310843490805584</v>
      </c>
      <c r="D22" s="2">
        <v>0.91000251865597148</v>
      </c>
      <c r="E22" s="2">
        <v>1.4975251614585627</v>
      </c>
      <c r="F22" s="2">
        <v>1.3663408507435635</v>
      </c>
    </row>
    <row r="23" spans="1:6" x14ac:dyDescent="0.3">
      <c r="A23" s="2">
        <v>6.8697341176085303</v>
      </c>
      <c r="B23" s="2">
        <v>0.74086596946698779</v>
      </c>
      <c r="C23" s="2">
        <v>0.59674006147982539</v>
      </c>
      <c r="D23" s="2">
        <v>0.41436128249744342</v>
      </c>
      <c r="E23" s="2">
        <v>0.97206568898874446</v>
      </c>
      <c r="F23" s="2">
        <v>1.3001736389072527</v>
      </c>
    </row>
    <row r="24" spans="1:6" x14ac:dyDescent="0.3">
      <c r="A24" s="2">
        <v>-7.0649474601146505</v>
      </c>
      <c r="B24" s="2">
        <v>-0.69148255964336947</v>
      </c>
      <c r="C24" s="2">
        <v>-0.39303224601475328</v>
      </c>
      <c r="D24" s="2">
        <v>1.6496807441013488</v>
      </c>
      <c r="E24" s="2">
        <v>1.2857826255531466</v>
      </c>
      <c r="F24" s="2">
        <v>-0.91903111863406894</v>
      </c>
    </row>
    <row r="25" spans="1:6" x14ac:dyDescent="0.3">
      <c r="A25" s="2">
        <v>2.6914742163617458</v>
      </c>
      <c r="B25" s="2">
        <v>-1.293293777189912</v>
      </c>
      <c r="C25" s="2">
        <v>-5.3807153106044205E-2</v>
      </c>
      <c r="D25" s="2">
        <v>-0.71899833988596584</v>
      </c>
      <c r="E25" s="2">
        <v>0.62350718615769718</v>
      </c>
      <c r="F25" s="2">
        <v>0.15933288331462139</v>
      </c>
    </row>
    <row r="26" spans="1:6" x14ac:dyDescent="0.3">
      <c r="A26" s="2">
        <v>-7.0607073446463335</v>
      </c>
      <c r="B26" s="2">
        <v>-0.64084584506140507</v>
      </c>
      <c r="C26" s="2">
        <v>-0.34470301389810759</v>
      </c>
      <c r="D26" s="2">
        <v>-0.81491623160510096</v>
      </c>
      <c r="E26" s="2">
        <v>-0.95077466454830739</v>
      </c>
      <c r="F26" s="2">
        <v>-0.84751466556174149</v>
      </c>
    </row>
    <row r="27" spans="1:6" x14ac:dyDescent="0.3">
      <c r="A27" s="2">
        <v>-0.19606044405121281</v>
      </c>
      <c r="B27" s="2">
        <v>0.97663014533575698</v>
      </c>
      <c r="C27" s="2">
        <v>-1.5755037768623914</v>
      </c>
      <c r="D27" s="2">
        <v>0.67039742145944159</v>
      </c>
      <c r="E27" s="2">
        <v>0.49602085383853306</v>
      </c>
      <c r="F27" s="2">
        <v>0.97282649987226477</v>
      </c>
    </row>
    <row r="28" spans="1:6" x14ac:dyDescent="0.3">
      <c r="A28" s="2">
        <v>0.10470456066039624</v>
      </c>
      <c r="B28" s="2">
        <v>0.35820337456402068</v>
      </c>
      <c r="C28" s="2">
        <v>0.10737902166155232</v>
      </c>
      <c r="D28" s="2">
        <v>-0.17363438709273549</v>
      </c>
      <c r="E28" s="2">
        <v>-0.22313857881488616</v>
      </c>
      <c r="F28" s="2">
        <v>-0.98904602659182672</v>
      </c>
    </row>
    <row r="29" spans="1:6" x14ac:dyDescent="0.3">
      <c r="A29" s="2">
        <v>-7.3283357656190544</v>
      </c>
      <c r="B29" s="2">
        <v>-1.2127239845393309</v>
      </c>
      <c r="C29" s="2">
        <v>-1.4774582635190172</v>
      </c>
      <c r="D29" s="2">
        <v>1.8243049687474593</v>
      </c>
      <c r="E29" s="2">
        <v>0.4691227104250032</v>
      </c>
      <c r="F29" s="2">
        <v>1.5938230192288685</v>
      </c>
    </row>
    <row r="30" spans="1:6" x14ac:dyDescent="0.3">
      <c r="A30" s="2">
        <v>-2.3580156270022972</v>
      </c>
      <c r="B30" s="2">
        <v>-0.87048571828530108</v>
      </c>
      <c r="C30" s="2">
        <v>5.7319153188192501E-2</v>
      </c>
      <c r="D30" s="2">
        <v>1.3384574218337817</v>
      </c>
      <c r="E30" s="2">
        <v>-2.4481803098172019</v>
      </c>
      <c r="F30" s="2">
        <v>0.57079201190641238</v>
      </c>
    </row>
    <row r="31" spans="1:6" x14ac:dyDescent="0.3">
      <c r="A31" s="2">
        <v>8.0642340667202994</v>
      </c>
      <c r="B31" s="2">
        <v>0.46610563433993962</v>
      </c>
      <c r="C31" s="2">
        <v>1.4855163817329426</v>
      </c>
      <c r="D31" s="2">
        <v>0.33516948637193583</v>
      </c>
      <c r="E31" s="2">
        <v>-0.14794968986285148</v>
      </c>
      <c r="F31" s="2">
        <v>-0.25504955118663786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E46AE-62D7-423A-846F-59621DA13D36}">
  <dimension ref="A1:E16"/>
  <sheetViews>
    <sheetView workbookViewId="0">
      <selection activeCell="B20" sqref="B20"/>
    </sheetView>
  </sheetViews>
  <sheetFormatPr defaultRowHeight="15.6" x14ac:dyDescent="0.3"/>
  <sheetData>
    <row r="1" spans="1:5" x14ac:dyDescent="0.3">
      <c r="A1" t="s">
        <v>6</v>
      </c>
    </row>
    <row r="2" spans="1:5" x14ac:dyDescent="0.3">
      <c r="A2" t="s">
        <v>7</v>
      </c>
    </row>
    <row r="3" spans="1:5" x14ac:dyDescent="0.3">
      <c r="A3" t="s">
        <v>8</v>
      </c>
    </row>
    <row r="4" spans="1:5" x14ac:dyDescent="0.3">
      <c r="A4" t="s">
        <v>9</v>
      </c>
    </row>
    <row r="5" spans="1:5" x14ac:dyDescent="0.3">
      <c r="A5" t="s">
        <v>10</v>
      </c>
    </row>
    <row r="6" spans="1:5" x14ac:dyDescent="0.3">
      <c r="A6" t="s">
        <v>11</v>
      </c>
    </row>
    <row r="7" spans="1:5" x14ac:dyDescent="0.3">
      <c r="A7" t="s">
        <v>12</v>
      </c>
    </row>
    <row r="8" spans="1:5" x14ac:dyDescent="0.3">
      <c r="A8" t="s">
        <v>13</v>
      </c>
    </row>
    <row r="9" spans="1:5" x14ac:dyDescent="0.3">
      <c r="A9" t="s">
        <v>14</v>
      </c>
    </row>
    <row r="11" spans="1:5" x14ac:dyDescent="0.3">
      <c r="A11" t="s">
        <v>56</v>
      </c>
    </row>
    <row r="12" spans="1:5" x14ac:dyDescent="0.3">
      <c r="A12" s="10" t="s">
        <v>1</v>
      </c>
      <c r="B12" s="11">
        <v>1</v>
      </c>
      <c r="C12" s="10"/>
      <c r="D12" s="10"/>
      <c r="E12" s="10"/>
    </row>
    <row r="13" spans="1:5" x14ac:dyDescent="0.3">
      <c r="A13" s="10" t="s">
        <v>2</v>
      </c>
      <c r="B13" s="11">
        <v>2</v>
      </c>
      <c r="C13" s="11"/>
      <c r="D13" s="11"/>
      <c r="E13" s="11"/>
    </row>
    <row r="14" spans="1:5" x14ac:dyDescent="0.3">
      <c r="A14" s="10" t="s">
        <v>3</v>
      </c>
      <c r="B14" s="11">
        <v>3</v>
      </c>
    </row>
    <row r="15" spans="1:5" x14ac:dyDescent="0.3">
      <c r="A15" s="10" t="s">
        <v>4</v>
      </c>
      <c r="B15" s="11">
        <v>4</v>
      </c>
    </row>
    <row r="16" spans="1:5" x14ac:dyDescent="0.3">
      <c r="A16" s="10" t="s">
        <v>5</v>
      </c>
      <c r="B16" s="11">
        <v>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CBA7B-33F4-4448-8C9B-A2B742F540EA}">
  <dimension ref="A1:K5"/>
  <sheetViews>
    <sheetView workbookViewId="0">
      <selection activeCell="K6" sqref="K6"/>
    </sheetView>
  </sheetViews>
  <sheetFormatPr defaultRowHeight="15.6" x14ac:dyDescent="0.3"/>
  <cols>
    <col min="2" max="2" width="5.09765625" bestFit="1" customWidth="1"/>
    <col min="3" max="3" width="4.19921875" bestFit="1" customWidth="1"/>
    <col min="5" max="5" width="10.09765625" bestFit="1" customWidth="1"/>
    <col min="11" max="11" width="11.59765625" bestFit="1" customWidth="1"/>
  </cols>
  <sheetData>
    <row r="1" spans="1:11" x14ac:dyDescent="0.3">
      <c r="B1" t="s">
        <v>39</v>
      </c>
      <c r="C1" t="s">
        <v>40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</row>
    <row r="2" spans="1:11" x14ac:dyDescent="0.3">
      <c r="A2" t="s">
        <v>41</v>
      </c>
      <c r="B2" s="8">
        <v>449.84086588204502</v>
      </c>
      <c r="C2" s="8">
        <v>18.743369411751875</v>
      </c>
      <c r="E2" t="s">
        <v>44</v>
      </c>
      <c r="F2">
        <v>30</v>
      </c>
      <c r="G2">
        <v>5</v>
      </c>
      <c r="H2">
        <v>1</v>
      </c>
      <c r="I2" s="1">
        <f>(B3-B2)/(H2*C2)</f>
        <v>4.9167478242161507E-2</v>
      </c>
      <c r="J2" s="9">
        <f>1-_xlfn.F.DIST(I2,H2,F2-(G2+1),TRUE)</f>
        <v>0.82639422073245417</v>
      </c>
      <c r="K2" t="s">
        <v>54</v>
      </c>
    </row>
    <row r="3" spans="1:11" x14ac:dyDescent="0.3">
      <c r="A3" t="s">
        <v>42</v>
      </c>
      <c r="B3" s="8">
        <v>450.76243008978213</v>
      </c>
      <c r="C3" s="8">
        <v>18.030497203591285</v>
      </c>
      <c r="E3" t="s">
        <v>45</v>
      </c>
      <c r="F3">
        <v>30</v>
      </c>
      <c r="G3">
        <v>5</v>
      </c>
      <c r="H3">
        <v>2</v>
      </c>
      <c r="I3" s="1">
        <f>(B4-B2)/(H3*C2)</f>
        <v>0.10454661077485497</v>
      </c>
      <c r="J3" s="9">
        <f>1-_xlfn.F.DIST(I3,H3,F3-(G3+1),TRUE)</f>
        <v>0.90114074633401997</v>
      </c>
      <c r="K3" t="s">
        <v>54</v>
      </c>
    </row>
    <row r="4" spans="1:11" x14ac:dyDescent="0.3">
      <c r="A4" t="s">
        <v>43</v>
      </c>
      <c r="B4" s="8">
        <v>453.75997737504451</v>
      </c>
      <c r="C4" s="8">
        <v>17.452306822117098</v>
      </c>
      <c r="E4" t="s">
        <v>46</v>
      </c>
      <c r="F4">
        <v>30</v>
      </c>
      <c r="G4">
        <v>4</v>
      </c>
      <c r="H4">
        <v>1</v>
      </c>
      <c r="I4" s="1">
        <f>(B4-B3)/(H4*C3)</f>
        <v>0.1662487313253535</v>
      </c>
      <c r="J4" s="9">
        <f>1-_xlfn.F.DIST(I4,H4,F4-(G4+1),TRUE)</f>
        <v>0.68693814597707048</v>
      </c>
      <c r="K4" t="s">
        <v>54</v>
      </c>
    </row>
    <row r="5" spans="1:11" x14ac:dyDescent="0.3">
      <c r="A5" t="s">
        <v>1</v>
      </c>
      <c r="B5" s="8">
        <v>712.95299349475999</v>
      </c>
      <c r="C5" s="8">
        <v>25.462606910527143</v>
      </c>
      <c r="E5" t="s">
        <v>47</v>
      </c>
      <c r="F5">
        <v>30</v>
      </c>
      <c r="G5">
        <v>3</v>
      </c>
      <c r="H5">
        <v>2</v>
      </c>
      <c r="I5" s="1">
        <f>(B5-B4)/(H5*C4)</f>
        <v>7.4257523306673505</v>
      </c>
      <c r="J5" s="9">
        <f>1-_xlfn.F.DIST(I5,H5,F5-(G5+1),TRUE)</f>
        <v>2.811569210870335E-3</v>
      </c>
      <c r="K5" t="s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1071A-ECD2-4F01-96CC-359B8358EEB6}">
  <dimension ref="A1:I31"/>
  <sheetViews>
    <sheetView topLeftCell="A12" workbookViewId="0">
      <selection activeCell="A24" sqref="A24:B31"/>
    </sheetView>
  </sheetViews>
  <sheetFormatPr defaultRowHeight="15.6" x14ac:dyDescent="0.3"/>
  <sheetData>
    <row r="1" spans="1:9" x14ac:dyDescent="0.3">
      <c r="A1" t="s">
        <v>15</v>
      </c>
    </row>
    <row r="2" spans="1:9" ht="16.2" thickBot="1" x14ac:dyDescent="0.35"/>
    <row r="3" spans="1:9" x14ac:dyDescent="0.3">
      <c r="A3" s="7" t="s">
        <v>16</v>
      </c>
      <c r="B3" s="7"/>
    </row>
    <row r="4" spans="1:9" x14ac:dyDescent="0.3">
      <c r="A4" s="4" t="s">
        <v>17</v>
      </c>
      <c r="B4" s="4">
        <v>0.71196902723735545</v>
      </c>
    </row>
    <row r="5" spans="1:9" x14ac:dyDescent="0.3">
      <c r="A5" s="4" t="s">
        <v>18</v>
      </c>
      <c r="B5" s="4">
        <v>0.50689989574530625</v>
      </c>
    </row>
    <row r="6" spans="1:9" x14ac:dyDescent="0.3">
      <c r="A6" s="4" t="s">
        <v>19</v>
      </c>
      <c r="B6" s="4">
        <v>0.40417070735891175</v>
      </c>
    </row>
    <row r="7" spans="1:9" x14ac:dyDescent="0.3">
      <c r="A7" s="4" t="s">
        <v>20</v>
      </c>
      <c r="B7" s="4">
        <v>4.3293613168401492</v>
      </c>
    </row>
    <row r="8" spans="1:9" ht="16.2" thickBot="1" x14ac:dyDescent="0.35">
      <c r="A8" s="5" t="s">
        <v>21</v>
      </c>
      <c r="B8" s="5">
        <v>30</v>
      </c>
    </row>
    <row r="10" spans="1:9" ht="16.2" thickBot="1" x14ac:dyDescent="0.35">
      <c r="A10" t="s">
        <v>22</v>
      </c>
    </row>
    <row r="11" spans="1:9" x14ac:dyDescent="0.3">
      <c r="A11" s="6"/>
      <c r="B11" s="6" t="s">
        <v>27</v>
      </c>
      <c r="C11" s="6" t="s">
        <v>28</v>
      </c>
      <c r="D11" s="6" t="s">
        <v>29</v>
      </c>
      <c r="E11" s="6" t="s">
        <v>30</v>
      </c>
      <c r="F11" s="6" t="s">
        <v>31</v>
      </c>
    </row>
    <row r="12" spans="1:9" x14ac:dyDescent="0.3">
      <c r="A12" s="4" t="s">
        <v>23</v>
      </c>
      <c r="B12" s="4">
        <v>5</v>
      </c>
      <c r="C12" s="4">
        <v>462.43001380467956</v>
      </c>
      <c r="D12" s="4">
        <v>92.486002760935918</v>
      </c>
      <c r="E12" s="4">
        <v>4.9343317484287681</v>
      </c>
      <c r="F12" s="4">
        <v>3.01837617050157E-3</v>
      </c>
    </row>
    <row r="13" spans="1:9" x14ac:dyDescent="0.3">
      <c r="A13" s="4" t="s">
        <v>24</v>
      </c>
      <c r="B13" s="4">
        <v>24</v>
      </c>
      <c r="C13" s="4">
        <v>449.84086588204502</v>
      </c>
      <c r="D13" s="4">
        <v>18.743369411751875</v>
      </c>
      <c r="E13" s="4"/>
      <c r="F13" s="4"/>
    </row>
    <row r="14" spans="1:9" ht="16.2" thickBot="1" x14ac:dyDescent="0.35">
      <c r="A14" s="5" t="s">
        <v>25</v>
      </c>
      <c r="B14" s="5">
        <v>29</v>
      </c>
      <c r="C14" s="5">
        <v>912.27087968672458</v>
      </c>
      <c r="D14" s="5"/>
      <c r="E14" s="5"/>
      <c r="F14" s="5"/>
    </row>
    <row r="15" spans="1:9" ht="16.2" thickBot="1" x14ac:dyDescent="0.35"/>
    <row r="16" spans="1:9" x14ac:dyDescent="0.3">
      <c r="A16" s="6"/>
      <c r="B16" s="6" t="s">
        <v>32</v>
      </c>
      <c r="C16" s="6" t="s">
        <v>20</v>
      </c>
      <c r="D16" s="6" t="s">
        <v>33</v>
      </c>
      <c r="E16" s="6" t="s">
        <v>34</v>
      </c>
      <c r="F16" s="6" t="s">
        <v>35</v>
      </c>
      <c r="G16" s="6" t="s">
        <v>36</v>
      </c>
      <c r="H16" s="6" t="s">
        <v>37</v>
      </c>
      <c r="I16" s="6" t="s">
        <v>38</v>
      </c>
    </row>
    <row r="17" spans="1:9" x14ac:dyDescent="0.3">
      <c r="A17" s="4" t="s">
        <v>26</v>
      </c>
      <c r="B17" s="4">
        <v>0.66891204430342366</v>
      </c>
      <c r="C17" s="4">
        <v>0.84205106266041174</v>
      </c>
      <c r="D17" s="4">
        <v>0.79438418163149704</v>
      </c>
      <c r="E17" s="4">
        <v>0.43475707519179096</v>
      </c>
      <c r="F17" s="4">
        <v>-1.0689959327387504</v>
      </c>
      <c r="G17" s="4">
        <v>2.4068200213455979</v>
      </c>
      <c r="H17" s="4">
        <v>-1.0689959327387504</v>
      </c>
      <c r="I17" s="4">
        <v>2.4068200213455979</v>
      </c>
    </row>
    <row r="18" spans="1:9" x14ac:dyDescent="0.3">
      <c r="A18" s="4" t="s">
        <v>1</v>
      </c>
      <c r="B18" s="4">
        <v>1.6061220474024562</v>
      </c>
      <c r="C18" s="4">
        <v>0.87251712980028973</v>
      </c>
      <c r="D18" s="4">
        <v>1.8407914212183791</v>
      </c>
      <c r="E18" s="4">
        <v>7.8048903055717975E-2</v>
      </c>
      <c r="F18" s="4">
        <v>-0.19466480178817491</v>
      </c>
      <c r="G18" s="4">
        <v>3.4069088965930874</v>
      </c>
      <c r="H18" s="4">
        <v>-0.19466480178817491</v>
      </c>
      <c r="I18" s="4">
        <v>3.4069088965930874</v>
      </c>
    </row>
    <row r="19" spans="1:9" x14ac:dyDescent="0.3">
      <c r="A19" s="4" t="s">
        <v>2</v>
      </c>
      <c r="B19" s="4">
        <v>2.937457747433736</v>
      </c>
      <c r="C19" s="4">
        <v>0.89538701727590908</v>
      </c>
      <c r="D19" s="4">
        <v>3.2806570686836003</v>
      </c>
      <c r="E19" s="4">
        <v>3.1573731355072779E-3</v>
      </c>
      <c r="F19" s="4">
        <v>1.0894697703775793</v>
      </c>
      <c r="G19" s="4">
        <v>4.7854457244898931</v>
      </c>
      <c r="H19" s="4">
        <v>1.0894697703775793</v>
      </c>
      <c r="I19" s="4">
        <v>4.7854457244898931</v>
      </c>
    </row>
    <row r="20" spans="1:9" x14ac:dyDescent="0.3">
      <c r="A20" s="4" t="s">
        <v>3</v>
      </c>
      <c r="B20" s="4">
        <v>-1.6258570556796386</v>
      </c>
      <c r="C20" s="4">
        <v>1.2161073523278867</v>
      </c>
      <c r="D20" s="4">
        <v>-1.3369354708426064</v>
      </c>
      <c r="E20" s="4">
        <v>0.19377912461386093</v>
      </c>
      <c r="F20" s="4">
        <v>-4.1357792709344299</v>
      </c>
      <c r="G20" s="4">
        <v>0.88406515957515319</v>
      </c>
      <c r="H20" s="4">
        <v>-4.1357792709344299</v>
      </c>
      <c r="I20" s="4">
        <v>0.88406515957515319</v>
      </c>
    </row>
    <row r="21" spans="1:9" x14ac:dyDescent="0.3">
      <c r="A21" s="4" t="s">
        <v>4</v>
      </c>
      <c r="B21" s="4">
        <v>0.30877836402383219</v>
      </c>
      <c r="C21" s="4">
        <v>0.83667768646716034</v>
      </c>
      <c r="D21" s="4">
        <v>0.36905294478168416</v>
      </c>
      <c r="E21" s="4">
        <v>0.71532420553608345</v>
      </c>
      <c r="F21" s="4">
        <v>-1.418039509622004</v>
      </c>
      <c r="G21" s="4">
        <v>2.0355962376696684</v>
      </c>
      <c r="H21" s="4">
        <v>-1.418039509622004</v>
      </c>
      <c r="I21" s="4">
        <v>2.0355962376696684</v>
      </c>
    </row>
    <row r="22" spans="1:9" ht="16.2" thickBot="1" x14ac:dyDescent="0.35">
      <c r="A22" s="5" t="s">
        <v>5</v>
      </c>
      <c r="B22" s="5">
        <v>0.1904414391748431</v>
      </c>
      <c r="C22" s="5">
        <v>0.8588602195270143</v>
      </c>
      <c r="D22" s="5">
        <v>0.22173740830576799</v>
      </c>
      <c r="E22" s="5">
        <v>0.82639422073245883</v>
      </c>
      <c r="F22" s="5">
        <v>-1.582158932546492</v>
      </c>
      <c r="G22" s="5">
        <v>1.963041810896178</v>
      </c>
      <c r="H22" s="5">
        <v>-1.582158932546492</v>
      </c>
      <c r="I22" s="5">
        <v>1.963041810896178</v>
      </c>
    </row>
    <row r="24" spans="1:9" x14ac:dyDescent="0.3">
      <c r="A24" t="s">
        <v>57</v>
      </c>
    </row>
    <row r="25" spans="1:9" x14ac:dyDescent="0.3">
      <c r="A25" t="s">
        <v>58</v>
      </c>
      <c r="B25">
        <f>B17+SUMPRODUCT(B18:B22,B27:B31)</f>
        <v>5.4596990715039802</v>
      </c>
    </row>
    <row r="27" spans="1:9" x14ac:dyDescent="0.3">
      <c r="A27" s="10" t="s">
        <v>1</v>
      </c>
      <c r="B27" s="11">
        <v>1</v>
      </c>
      <c r="C27" s="10"/>
      <c r="D27" s="10"/>
      <c r="E27" s="10"/>
    </row>
    <row r="28" spans="1:9" x14ac:dyDescent="0.3">
      <c r="A28" s="10" t="s">
        <v>2</v>
      </c>
      <c r="B28" s="11">
        <v>2</v>
      </c>
      <c r="C28" s="11"/>
      <c r="D28" s="11"/>
      <c r="E28" s="11"/>
    </row>
    <row r="29" spans="1:9" x14ac:dyDescent="0.3">
      <c r="A29" s="10" t="s">
        <v>3</v>
      </c>
      <c r="B29" s="11">
        <v>3</v>
      </c>
    </row>
    <row r="30" spans="1:9" x14ac:dyDescent="0.3">
      <c r="A30" s="10" t="s">
        <v>4</v>
      </c>
      <c r="B30" s="11">
        <v>4</v>
      </c>
    </row>
    <row r="31" spans="1:9" x14ac:dyDescent="0.3">
      <c r="A31" s="10" t="s">
        <v>5</v>
      </c>
      <c r="B31" s="11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8D7FA-D295-4B39-9D54-D64FE9EF6413}">
  <dimension ref="A1:I30"/>
  <sheetViews>
    <sheetView topLeftCell="A10" workbookViewId="0">
      <selection activeCell="B25" sqref="B25"/>
    </sheetView>
  </sheetViews>
  <sheetFormatPr defaultRowHeight="15.6" x14ac:dyDescent="0.3"/>
  <sheetData>
    <row r="1" spans="1:9" x14ac:dyDescent="0.3">
      <c r="A1" t="s">
        <v>15</v>
      </c>
    </row>
    <row r="2" spans="1:9" ht="16.2" thickBot="1" x14ac:dyDescent="0.35"/>
    <row r="3" spans="1:9" x14ac:dyDescent="0.3">
      <c r="A3" s="7" t="s">
        <v>16</v>
      </c>
      <c r="B3" s="7"/>
    </row>
    <row r="4" spans="1:9" x14ac:dyDescent="0.3">
      <c r="A4" s="4" t="s">
        <v>17</v>
      </c>
      <c r="B4" s="4">
        <v>0.71125924156972586</v>
      </c>
    </row>
    <row r="5" spans="1:9" x14ac:dyDescent="0.3">
      <c r="A5" s="4" t="s">
        <v>18</v>
      </c>
      <c r="B5" s="4">
        <v>0.50588970871834171</v>
      </c>
    </row>
    <row r="6" spans="1:9" x14ac:dyDescent="0.3">
      <c r="A6" s="4" t="s">
        <v>19</v>
      </c>
      <c r="B6" s="4">
        <v>0.42683206211327634</v>
      </c>
    </row>
    <row r="7" spans="1:9" x14ac:dyDescent="0.3">
      <c r="A7" s="4" t="s">
        <v>20</v>
      </c>
      <c r="B7" s="4">
        <v>4.2462332959449229</v>
      </c>
    </row>
    <row r="8" spans="1:9" ht="16.2" thickBot="1" x14ac:dyDescent="0.35">
      <c r="A8" s="5" t="s">
        <v>21</v>
      </c>
      <c r="B8" s="5">
        <v>30</v>
      </c>
    </row>
    <row r="10" spans="1:9" ht="16.2" thickBot="1" x14ac:dyDescent="0.35">
      <c r="A10" t="s">
        <v>22</v>
      </c>
    </row>
    <row r="11" spans="1:9" x14ac:dyDescent="0.3">
      <c r="A11" s="6"/>
      <c r="B11" s="6" t="s">
        <v>27</v>
      </c>
      <c r="C11" s="6" t="s">
        <v>28</v>
      </c>
      <c r="D11" s="6" t="s">
        <v>29</v>
      </c>
      <c r="E11" s="6" t="s">
        <v>30</v>
      </c>
      <c r="F11" s="6" t="s">
        <v>31</v>
      </c>
    </row>
    <row r="12" spans="1:9" x14ac:dyDescent="0.3">
      <c r="A12" s="4" t="s">
        <v>23</v>
      </c>
      <c r="B12" s="4">
        <v>4</v>
      </c>
      <c r="C12" s="4">
        <v>461.50844959694246</v>
      </c>
      <c r="D12" s="4">
        <v>115.37711239923561</v>
      </c>
      <c r="E12" s="4">
        <v>6.3989978255427697</v>
      </c>
      <c r="F12" s="4">
        <v>1.0902463099809821E-3</v>
      </c>
    </row>
    <row r="13" spans="1:9" x14ac:dyDescent="0.3">
      <c r="A13" s="4" t="s">
        <v>24</v>
      </c>
      <c r="B13" s="4">
        <v>25</v>
      </c>
      <c r="C13" s="4">
        <v>450.76243008978213</v>
      </c>
      <c r="D13" s="4">
        <v>18.030497203591285</v>
      </c>
      <c r="E13" s="4"/>
      <c r="F13" s="4"/>
    </row>
    <row r="14" spans="1:9" ht="16.2" thickBot="1" x14ac:dyDescent="0.35">
      <c r="A14" s="5" t="s">
        <v>25</v>
      </c>
      <c r="B14" s="5">
        <v>29</v>
      </c>
      <c r="C14" s="5">
        <v>912.27087968672458</v>
      </c>
      <c r="D14" s="5"/>
      <c r="E14" s="5"/>
      <c r="F14" s="5"/>
    </row>
    <row r="15" spans="1:9" ht="16.2" thickBot="1" x14ac:dyDescent="0.35"/>
    <row r="16" spans="1:9" x14ac:dyDescent="0.3">
      <c r="A16" s="6"/>
      <c r="B16" s="6" t="s">
        <v>32</v>
      </c>
      <c r="C16" s="6" t="s">
        <v>20</v>
      </c>
      <c r="D16" s="6" t="s">
        <v>33</v>
      </c>
      <c r="E16" s="6" t="s">
        <v>34</v>
      </c>
      <c r="F16" s="6" t="s">
        <v>35</v>
      </c>
      <c r="G16" s="6" t="s">
        <v>36</v>
      </c>
      <c r="H16" s="6" t="s">
        <v>37</v>
      </c>
      <c r="I16" s="6" t="s">
        <v>38</v>
      </c>
    </row>
    <row r="17" spans="1:9" x14ac:dyDescent="0.3">
      <c r="A17" s="4" t="s">
        <v>26</v>
      </c>
      <c r="B17" s="4">
        <v>0.63952631069188914</v>
      </c>
      <c r="C17" s="4">
        <v>0.81559033701872874</v>
      </c>
      <c r="D17" s="4">
        <v>0.7841268853547041</v>
      </c>
      <c r="E17" s="4">
        <v>0.44033244178039743</v>
      </c>
      <c r="F17" s="4">
        <v>-1.0402134316512377</v>
      </c>
      <c r="G17" s="4">
        <v>2.3192660530350162</v>
      </c>
      <c r="H17" s="4">
        <v>-1.0402134316512377</v>
      </c>
      <c r="I17" s="4">
        <v>2.3192660530350162</v>
      </c>
    </row>
    <row r="18" spans="1:9" x14ac:dyDescent="0.3">
      <c r="A18" s="4" t="s">
        <v>1</v>
      </c>
      <c r="B18" s="4">
        <v>1.5974285617487485</v>
      </c>
      <c r="C18" s="4">
        <v>0.85489955623724956</v>
      </c>
      <c r="D18" s="4">
        <v>1.8685570136211818</v>
      </c>
      <c r="E18" s="4">
        <v>7.3446434273496813E-2</v>
      </c>
      <c r="F18" s="4">
        <v>-0.16327003305355281</v>
      </c>
      <c r="G18" s="4">
        <v>3.35812715655105</v>
      </c>
      <c r="H18" s="4">
        <v>-0.16327003305355281</v>
      </c>
      <c r="I18" s="4">
        <v>3.35812715655105</v>
      </c>
    </row>
    <row r="19" spans="1:9" x14ac:dyDescent="0.3">
      <c r="A19" s="4" t="s">
        <v>2</v>
      </c>
      <c r="B19" s="4">
        <v>2.9117708767027715</v>
      </c>
      <c r="C19" s="4">
        <v>0.87081374493934827</v>
      </c>
      <c r="D19" s="4">
        <v>3.3437355503679775</v>
      </c>
      <c r="E19" s="4">
        <v>2.6070572137200563E-3</v>
      </c>
      <c r="F19" s="4">
        <v>1.1182963967327069</v>
      </c>
      <c r="G19" s="4">
        <v>4.7052453566728358</v>
      </c>
      <c r="H19" s="4">
        <v>1.1182963967327069</v>
      </c>
      <c r="I19" s="4">
        <v>4.7052453566728358</v>
      </c>
    </row>
    <row r="20" spans="1:9" x14ac:dyDescent="0.3">
      <c r="A20" s="4" t="s">
        <v>3</v>
      </c>
      <c r="B20" s="4">
        <v>-1.5286004427463926</v>
      </c>
      <c r="C20" s="4">
        <v>1.1124772618855576</v>
      </c>
      <c r="D20" s="4">
        <v>-1.374050953774588</v>
      </c>
      <c r="E20" s="4">
        <v>0.18162086728146692</v>
      </c>
      <c r="F20" s="4">
        <v>-3.8197902526611252</v>
      </c>
      <c r="G20" s="4">
        <v>0.76258936716834014</v>
      </c>
      <c r="H20" s="4">
        <v>-3.8197902526611252</v>
      </c>
      <c r="I20" s="4">
        <v>0.76258936716834014</v>
      </c>
    </row>
    <row r="21" spans="1:9" ht="16.2" thickBot="1" x14ac:dyDescent="0.35">
      <c r="A21" s="5" t="s">
        <v>4</v>
      </c>
      <c r="B21" s="5">
        <v>0.33196902874754597</v>
      </c>
      <c r="C21" s="5">
        <v>0.81417619060926649</v>
      </c>
      <c r="D21" s="5">
        <v>0.40773610500587842</v>
      </c>
      <c r="E21" s="5">
        <v>0.68693814597706071</v>
      </c>
      <c r="F21" s="5">
        <v>-1.3448582245460559</v>
      </c>
      <c r="G21" s="5">
        <v>2.0087962820411476</v>
      </c>
      <c r="H21" s="5">
        <v>-1.3448582245460559</v>
      </c>
      <c r="I21" s="5">
        <v>2.0087962820411476</v>
      </c>
    </row>
    <row r="23" spans="1:9" x14ac:dyDescent="0.3">
      <c r="A23" t="s">
        <v>57</v>
      </c>
    </row>
    <row r="24" spans="1:9" x14ac:dyDescent="0.3">
      <c r="A24" t="s">
        <v>58</v>
      </c>
      <c r="B24">
        <f>B17+SUMPRODUCT(B18:B21,B26:B29)</f>
        <v>4.8025714125971861</v>
      </c>
    </row>
    <row r="26" spans="1:9" x14ac:dyDescent="0.3">
      <c r="A26" s="10" t="s">
        <v>1</v>
      </c>
      <c r="B26" s="11">
        <v>1</v>
      </c>
      <c r="C26" s="10"/>
      <c r="D26" s="10"/>
      <c r="E26" s="10"/>
    </row>
    <row r="27" spans="1:9" x14ac:dyDescent="0.3">
      <c r="A27" s="10" t="s">
        <v>2</v>
      </c>
      <c r="B27" s="11">
        <v>2</v>
      </c>
      <c r="C27" s="11"/>
      <c r="D27" s="11"/>
      <c r="E27" s="11"/>
    </row>
    <row r="28" spans="1:9" x14ac:dyDescent="0.3">
      <c r="A28" s="10" t="s">
        <v>3</v>
      </c>
      <c r="B28" s="11">
        <v>3</v>
      </c>
    </row>
    <row r="29" spans="1:9" x14ac:dyDescent="0.3">
      <c r="A29" s="10" t="s">
        <v>4</v>
      </c>
      <c r="B29" s="11">
        <v>4</v>
      </c>
    </row>
    <row r="30" spans="1:9" x14ac:dyDescent="0.3">
      <c r="A30" s="10" t="s">
        <v>5</v>
      </c>
      <c r="B30" s="11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AE441-7750-436B-AC60-618DE8E3CB24}">
  <dimension ref="A1:I29"/>
  <sheetViews>
    <sheetView topLeftCell="A7" workbookViewId="0">
      <selection activeCell="B24" sqref="B24"/>
    </sheetView>
  </sheetViews>
  <sheetFormatPr defaultRowHeight="15.6" x14ac:dyDescent="0.3"/>
  <sheetData>
    <row r="1" spans="1:9" x14ac:dyDescent="0.3">
      <c r="A1" t="s">
        <v>15</v>
      </c>
    </row>
    <row r="2" spans="1:9" ht="16.2" thickBot="1" x14ac:dyDescent="0.35"/>
    <row r="3" spans="1:9" x14ac:dyDescent="0.3">
      <c r="A3" s="7" t="s">
        <v>16</v>
      </c>
      <c r="B3" s="7"/>
    </row>
    <row r="4" spans="1:9" x14ac:dyDescent="0.3">
      <c r="A4" s="4" t="s">
        <v>17</v>
      </c>
      <c r="B4" s="4">
        <v>0.70894562581056009</v>
      </c>
    </row>
    <row r="5" spans="1:9" x14ac:dyDescent="0.3">
      <c r="A5" s="4" t="s">
        <v>18</v>
      </c>
      <c r="B5" s="4">
        <v>0.50260390035592661</v>
      </c>
    </row>
    <row r="6" spans="1:9" x14ac:dyDescent="0.3">
      <c r="A6" s="4" t="s">
        <v>19</v>
      </c>
      <c r="B6" s="4">
        <v>0.44521204270468739</v>
      </c>
    </row>
    <row r="7" spans="1:9" x14ac:dyDescent="0.3">
      <c r="A7" s="4" t="s">
        <v>20</v>
      </c>
      <c r="B7" s="4">
        <v>4.1775958184244075</v>
      </c>
    </row>
    <row r="8" spans="1:9" ht="16.2" thickBot="1" x14ac:dyDescent="0.35">
      <c r="A8" s="5" t="s">
        <v>21</v>
      </c>
      <c r="B8" s="5">
        <v>30</v>
      </c>
    </row>
    <row r="10" spans="1:9" ht="16.2" thickBot="1" x14ac:dyDescent="0.35">
      <c r="A10" t="s">
        <v>22</v>
      </c>
    </row>
    <row r="11" spans="1:9" x14ac:dyDescent="0.3">
      <c r="A11" s="6"/>
      <c r="B11" s="6" t="s">
        <v>27</v>
      </c>
      <c r="C11" s="6" t="s">
        <v>28</v>
      </c>
      <c r="D11" s="6" t="s">
        <v>29</v>
      </c>
      <c r="E11" s="6" t="s">
        <v>30</v>
      </c>
      <c r="F11" s="6" t="s">
        <v>31</v>
      </c>
    </row>
    <row r="12" spans="1:9" x14ac:dyDescent="0.3">
      <c r="A12" s="4" t="s">
        <v>23</v>
      </c>
      <c r="B12" s="4">
        <v>3</v>
      </c>
      <c r="C12" s="4">
        <v>458.51090231168007</v>
      </c>
      <c r="D12" s="4">
        <v>152.83696743722669</v>
      </c>
      <c r="E12" s="4">
        <v>8.7574077739418517</v>
      </c>
      <c r="F12" s="4">
        <v>3.4996236817095726E-4</v>
      </c>
    </row>
    <row r="13" spans="1:9" x14ac:dyDescent="0.3">
      <c r="A13" s="4" t="s">
        <v>24</v>
      </c>
      <c r="B13" s="4">
        <v>26</v>
      </c>
      <c r="C13" s="4">
        <v>453.75997737504451</v>
      </c>
      <c r="D13" s="4">
        <v>17.452306822117098</v>
      </c>
      <c r="E13" s="4"/>
      <c r="F13" s="4"/>
    </row>
    <row r="14" spans="1:9" ht="16.2" thickBot="1" x14ac:dyDescent="0.35">
      <c r="A14" s="5" t="s">
        <v>25</v>
      </c>
      <c r="B14" s="5">
        <v>29</v>
      </c>
      <c r="C14" s="5">
        <v>912.27087968672458</v>
      </c>
      <c r="D14" s="5"/>
      <c r="E14" s="5"/>
      <c r="F14" s="5"/>
    </row>
    <row r="15" spans="1:9" ht="16.2" thickBot="1" x14ac:dyDescent="0.35"/>
    <row r="16" spans="1:9" x14ac:dyDescent="0.3">
      <c r="A16" s="6"/>
      <c r="B16" s="6" t="s">
        <v>32</v>
      </c>
      <c r="C16" s="6" t="s">
        <v>20</v>
      </c>
      <c r="D16" s="6" t="s">
        <v>33</v>
      </c>
      <c r="E16" s="6" t="s">
        <v>34</v>
      </c>
      <c r="F16" s="6" t="s">
        <v>35</v>
      </c>
      <c r="G16" s="6" t="s">
        <v>36</v>
      </c>
      <c r="H16" s="6" t="s">
        <v>37</v>
      </c>
      <c r="I16" s="6" t="s">
        <v>38</v>
      </c>
    </row>
    <row r="17" spans="1:9" x14ac:dyDescent="0.3">
      <c r="A17" s="4" t="s">
        <v>26</v>
      </c>
      <c r="B17" s="4">
        <v>0.65520962175241604</v>
      </c>
      <c r="C17" s="4">
        <v>0.80151402133476557</v>
      </c>
      <c r="D17" s="4">
        <v>0.81746495296650201</v>
      </c>
      <c r="E17" s="4">
        <v>0.42109105842611716</v>
      </c>
      <c r="F17" s="4">
        <v>-0.99232604458622642</v>
      </c>
      <c r="G17" s="4">
        <v>2.3027452880910584</v>
      </c>
      <c r="H17" s="4">
        <v>-0.99232604458622642</v>
      </c>
      <c r="I17" s="4">
        <v>2.3027452880910584</v>
      </c>
    </row>
    <row r="18" spans="1:9" x14ac:dyDescent="0.3">
      <c r="A18" s="4" t="s">
        <v>1</v>
      </c>
      <c r="B18" s="4">
        <v>1.6070220868669887</v>
      </c>
      <c r="C18" s="4">
        <v>0.84076207663751135</v>
      </c>
      <c r="D18" s="4">
        <v>1.91138745612077</v>
      </c>
      <c r="E18" s="4">
        <v>6.7037374092332777E-2</v>
      </c>
      <c r="F18" s="4">
        <v>-0.12118911255593123</v>
      </c>
      <c r="G18" s="4">
        <v>3.3352332862899088</v>
      </c>
      <c r="H18" s="4">
        <v>-0.12118911255593123</v>
      </c>
      <c r="I18" s="4">
        <v>3.3352332862899088</v>
      </c>
    </row>
    <row r="19" spans="1:9" x14ac:dyDescent="0.3">
      <c r="A19" s="4" t="s">
        <v>2</v>
      </c>
      <c r="B19" s="4">
        <v>2.8746355743106267</v>
      </c>
      <c r="C19" s="4">
        <v>0.85203895676880204</v>
      </c>
      <c r="D19" s="4">
        <v>3.3738311511156049</v>
      </c>
      <c r="E19" s="4">
        <v>2.3336720061788354E-3</v>
      </c>
      <c r="F19" s="4">
        <v>1.1232444158017918</v>
      </c>
      <c r="G19" s="4">
        <v>4.6260267328194615</v>
      </c>
      <c r="H19" s="4">
        <v>1.1232444158017918</v>
      </c>
      <c r="I19" s="4">
        <v>4.6260267328194615</v>
      </c>
    </row>
    <row r="20" spans="1:9" ht="16.2" thickBot="1" x14ac:dyDescent="0.35">
      <c r="A20" s="5" t="s">
        <v>3</v>
      </c>
      <c r="B20" s="5">
        <v>-1.4944090117218201</v>
      </c>
      <c r="C20" s="5">
        <v>1.0913809854963028</v>
      </c>
      <c r="D20" s="5">
        <v>-1.3692826167777161</v>
      </c>
      <c r="E20" s="5">
        <v>0.18262372513701072</v>
      </c>
      <c r="F20" s="5">
        <v>-3.7377747561845411</v>
      </c>
      <c r="G20" s="5">
        <v>0.74895673274090102</v>
      </c>
      <c r="H20" s="5">
        <v>-3.7377747561845411</v>
      </c>
      <c r="I20" s="5">
        <v>0.74895673274090102</v>
      </c>
    </row>
    <row r="22" spans="1:9" x14ac:dyDescent="0.3">
      <c r="A22" t="s">
        <v>57</v>
      </c>
    </row>
    <row r="23" spans="1:9" x14ac:dyDescent="0.3">
      <c r="A23" t="s">
        <v>58</v>
      </c>
      <c r="B23">
        <f>B17+SUMPRODUCT(B18:B20,B25:B27)</f>
        <v>3.528275822075198</v>
      </c>
    </row>
    <row r="25" spans="1:9" x14ac:dyDescent="0.3">
      <c r="A25" s="10" t="s">
        <v>1</v>
      </c>
      <c r="B25" s="11">
        <v>1</v>
      </c>
      <c r="C25" s="10"/>
      <c r="D25" s="10"/>
      <c r="E25" s="10"/>
    </row>
    <row r="26" spans="1:9" x14ac:dyDescent="0.3">
      <c r="A26" s="10" t="s">
        <v>2</v>
      </c>
      <c r="B26" s="11">
        <v>2</v>
      </c>
      <c r="C26" s="11"/>
      <c r="D26" s="11"/>
      <c r="E26" s="11"/>
    </row>
    <row r="27" spans="1:9" x14ac:dyDescent="0.3">
      <c r="A27" s="10" t="s">
        <v>3</v>
      </c>
      <c r="B27" s="11">
        <v>3</v>
      </c>
    </row>
    <row r="28" spans="1:9" x14ac:dyDescent="0.3">
      <c r="A28" s="10" t="s">
        <v>4</v>
      </c>
      <c r="B28" s="11">
        <v>4</v>
      </c>
    </row>
    <row r="29" spans="1:9" x14ac:dyDescent="0.3">
      <c r="A29" s="10" t="s">
        <v>5</v>
      </c>
      <c r="B29" s="11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62A11-C0B3-4753-A6A5-067F120823BB}">
  <dimension ref="A1:I27"/>
  <sheetViews>
    <sheetView tabSelected="1" workbookViewId="0">
      <selection activeCell="B22" sqref="B22"/>
    </sheetView>
  </sheetViews>
  <sheetFormatPr defaultRowHeight="15.6" x14ac:dyDescent="0.3"/>
  <sheetData>
    <row r="1" spans="1:9" x14ac:dyDescent="0.3">
      <c r="A1" t="s">
        <v>15</v>
      </c>
    </row>
    <row r="2" spans="1:9" ht="16.2" thickBot="1" x14ac:dyDescent="0.35"/>
    <row r="3" spans="1:9" x14ac:dyDescent="0.3">
      <c r="A3" s="7" t="s">
        <v>16</v>
      </c>
      <c r="B3" s="7"/>
    </row>
    <row r="4" spans="1:9" x14ac:dyDescent="0.3">
      <c r="A4" s="4" t="s">
        <v>17</v>
      </c>
      <c r="B4" s="4">
        <v>0.46742423972152708</v>
      </c>
    </row>
    <row r="5" spans="1:9" x14ac:dyDescent="0.3">
      <c r="A5" s="4" t="s">
        <v>18</v>
      </c>
      <c r="B5" s="4">
        <v>0.21848541987924761</v>
      </c>
    </row>
    <row r="6" spans="1:9" x14ac:dyDescent="0.3">
      <c r="A6" s="4" t="s">
        <v>19</v>
      </c>
      <c r="B6" s="4">
        <v>0.19057418487493502</v>
      </c>
    </row>
    <row r="7" spans="1:9" x14ac:dyDescent="0.3">
      <c r="A7" s="4" t="s">
        <v>20</v>
      </c>
      <c r="B7" s="4">
        <v>5.046048643297758</v>
      </c>
    </row>
    <row r="8" spans="1:9" ht="16.2" thickBot="1" x14ac:dyDescent="0.35">
      <c r="A8" s="5" t="s">
        <v>21</v>
      </c>
      <c r="B8" s="5">
        <v>30</v>
      </c>
    </row>
    <row r="10" spans="1:9" ht="16.2" thickBot="1" x14ac:dyDescent="0.35">
      <c r="A10" t="s">
        <v>22</v>
      </c>
    </row>
    <row r="11" spans="1:9" x14ac:dyDescent="0.3">
      <c r="A11" s="6"/>
      <c r="B11" s="6" t="s">
        <v>27</v>
      </c>
      <c r="C11" s="6" t="s">
        <v>28</v>
      </c>
      <c r="D11" s="6" t="s">
        <v>29</v>
      </c>
      <c r="E11" s="6" t="s">
        <v>30</v>
      </c>
      <c r="F11" s="6" t="s">
        <v>31</v>
      </c>
    </row>
    <row r="12" spans="1:9" x14ac:dyDescent="0.3">
      <c r="A12" s="4" t="s">
        <v>23</v>
      </c>
      <c r="B12" s="4">
        <v>1</v>
      </c>
      <c r="C12" s="4">
        <v>199.31788619196459</v>
      </c>
      <c r="D12" s="4">
        <v>199.31788619196459</v>
      </c>
      <c r="E12" s="4">
        <v>7.8278664432257923</v>
      </c>
      <c r="F12" s="4">
        <v>9.203068501848953E-3</v>
      </c>
    </row>
    <row r="13" spans="1:9" x14ac:dyDescent="0.3">
      <c r="A13" s="4" t="s">
        <v>24</v>
      </c>
      <c r="B13" s="4">
        <v>28</v>
      </c>
      <c r="C13" s="4">
        <v>712.95299349475999</v>
      </c>
      <c r="D13" s="4">
        <v>25.462606910527143</v>
      </c>
      <c r="E13" s="4"/>
      <c r="F13" s="4"/>
    </row>
    <row r="14" spans="1:9" ht="16.2" thickBot="1" x14ac:dyDescent="0.35">
      <c r="A14" s="5" t="s">
        <v>25</v>
      </c>
      <c r="B14" s="5">
        <v>29</v>
      </c>
      <c r="C14" s="5">
        <v>912.27087968672458</v>
      </c>
      <c r="D14" s="5"/>
      <c r="E14" s="5"/>
      <c r="F14" s="5"/>
    </row>
    <row r="15" spans="1:9" ht="16.2" thickBot="1" x14ac:dyDescent="0.35"/>
    <row r="16" spans="1:9" x14ac:dyDescent="0.3">
      <c r="A16" s="6"/>
      <c r="B16" s="6" t="s">
        <v>32</v>
      </c>
      <c r="C16" s="6" t="s">
        <v>20</v>
      </c>
      <c r="D16" s="6" t="s">
        <v>33</v>
      </c>
      <c r="E16" s="6" t="s">
        <v>34</v>
      </c>
      <c r="F16" s="6" t="s">
        <v>35</v>
      </c>
      <c r="G16" s="6" t="s">
        <v>36</v>
      </c>
      <c r="H16" s="6" t="s">
        <v>37</v>
      </c>
      <c r="I16" s="6" t="s">
        <v>38</v>
      </c>
    </row>
    <row r="17" spans="1:9" x14ac:dyDescent="0.3">
      <c r="A17" s="4" t="s">
        <v>26</v>
      </c>
      <c r="B17" s="4">
        <v>-0.24502225680306189</v>
      </c>
      <c r="C17" s="4">
        <v>0.92451875348988644</v>
      </c>
      <c r="D17" s="4">
        <v>-0.26502681084418073</v>
      </c>
      <c r="E17" s="4">
        <v>0.79293018772452939</v>
      </c>
      <c r="F17" s="4">
        <v>-2.1388130741753826</v>
      </c>
      <c r="G17" s="4">
        <v>1.6487685605692586</v>
      </c>
      <c r="H17" s="4">
        <v>-2.1388130741753826</v>
      </c>
      <c r="I17" s="4">
        <v>1.6487685605692586</v>
      </c>
    </row>
    <row r="18" spans="1:9" ht="16.2" thickBot="1" x14ac:dyDescent="0.35">
      <c r="A18" s="5" t="s">
        <v>1</v>
      </c>
      <c r="B18" s="5">
        <v>2.591690693766445</v>
      </c>
      <c r="C18" s="5">
        <v>0.92632090589831306</v>
      </c>
      <c r="D18" s="5">
        <v>2.7978324544593058</v>
      </c>
      <c r="E18" s="5">
        <v>9.2030685018489704E-3</v>
      </c>
      <c r="F18" s="5">
        <v>0.69420833453009978</v>
      </c>
      <c r="G18" s="5">
        <v>4.4891730530027907</v>
      </c>
      <c r="H18" s="5">
        <v>0.69420833453009978</v>
      </c>
      <c r="I18" s="5">
        <v>4.4891730530027907</v>
      </c>
    </row>
    <row r="20" spans="1:9" x14ac:dyDescent="0.3">
      <c r="A20" t="s">
        <v>57</v>
      </c>
    </row>
    <row r="21" spans="1:9" x14ac:dyDescent="0.3">
      <c r="A21" t="s">
        <v>58</v>
      </c>
      <c r="B21">
        <f>B17+B18*B23</f>
        <v>2.346668436963383</v>
      </c>
    </row>
    <row r="23" spans="1:9" x14ac:dyDescent="0.3">
      <c r="A23" s="10" t="s">
        <v>1</v>
      </c>
      <c r="B23" s="11">
        <v>1</v>
      </c>
      <c r="C23" s="10"/>
      <c r="D23" s="10"/>
      <c r="E23" s="10"/>
    </row>
    <row r="24" spans="1:9" x14ac:dyDescent="0.3">
      <c r="A24" s="10" t="s">
        <v>2</v>
      </c>
      <c r="B24" s="11">
        <v>2</v>
      </c>
      <c r="C24" s="11"/>
      <c r="D24" s="11"/>
      <c r="E24" s="11"/>
    </row>
    <row r="25" spans="1:9" x14ac:dyDescent="0.3">
      <c r="A25" s="10" t="s">
        <v>3</v>
      </c>
      <c r="B25" s="11">
        <v>3</v>
      </c>
    </row>
    <row r="26" spans="1:9" x14ac:dyDescent="0.3">
      <c r="A26" s="10" t="s">
        <v>4</v>
      </c>
      <c r="B26" s="11">
        <v>4</v>
      </c>
    </row>
    <row r="27" spans="1:9" x14ac:dyDescent="0.3">
      <c r="A27" s="10" t="s">
        <v>5</v>
      </c>
      <c r="B27" s="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</vt:lpstr>
      <vt:lpstr>Questions</vt:lpstr>
      <vt:lpstr>F-tests</vt:lpstr>
      <vt:lpstr>x1-5</vt:lpstr>
      <vt:lpstr>x1-4</vt:lpstr>
      <vt:lpstr>x1-3</vt:lpstr>
      <vt:lpstr>x1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Howard</dc:creator>
  <cp:lastModifiedBy>Philip Howard</cp:lastModifiedBy>
  <dcterms:created xsi:type="dcterms:W3CDTF">2017-11-30T18:28:37Z</dcterms:created>
  <dcterms:modified xsi:type="dcterms:W3CDTF">2017-12-02T22:48:31Z</dcterms:modified>
</cp:coreProperties>
</file>