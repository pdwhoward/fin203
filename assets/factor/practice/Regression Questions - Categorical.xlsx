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"/>
    </mc:Choice>
  </mc:AlternateContent>
  <bookViews>
    <workbookView xWindow="0" yWindow="0" windowWidth="18000" windowHeight="8232" activeTab="4" xr2:uid="{6966A72F-87B1-4C64-918B-9AD96792B0E2}"/>
  </bookViews>
  <sheets>
    <sheet name="Data- Start Here" sheetId="1" r:id="rId1"/>
    <sheet name="regression" sheetId="3" r:id="rId2"/>
    <sheet name="Question" sheetId="4" r:id="rId3"/>
    <sheet name="regression no interact" sheetId="5" r:id="rId4"/>
    <sheet name="F-test" sheetId="6" r:id="rId5"/>
    <sheet name="Dummy" sheetId="2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6" l="1"/>
  <c r="B11" i="6" l="1"/>
  <c r="F23" i="3"/>
  <c r="D23" i="3"/>
  <c r="F22" i="3"/>
  <c r="D2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</calcChain>
</file>

<file path=xl/sharedStrings.xml><?xml version="1.0" encoding="utf-8"?>
<sst xmlns="http://schemas.openxmlformats.org/spreadsheetml/2006/main" count="144" uniqueCount="48">
  <si>
    <t>y</t>
  </si>
  <si>
    <t>x</t>
  </si>
  <si>
    <t>Weather</t>
  </si>
  <si>
    <t>Sunny</t>
  </si>
  <si>
    <t>Rainy</t>
  </si>
  <si>
    <t>Intercat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</si>
  <si>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</si>
  <si>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</si>
  <si>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</si>
  <si>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</si>
  <si>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</si>
  <si>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</si>
  <si>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</si>
  <si>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</si>
  <si>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</si>
  <si>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</si>
  <si>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</si>
  <si>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</si>
  <si>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</si>
  <si>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</si>
  <si>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</si>
  <si>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</si>
  <si>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</si>
  <si>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</si>
  <si>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</si>
  <si>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</si>
  <si>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</si>
  <si>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</si>
  <si>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</si>
  <si>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</si>
  <si>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You suspect the that y's response to x is different depending on the weather.</t>
  </si>
  <si>
    <t>Estimate a model where y's slope coefficent on x is allowed to vary based on the weather.</t>
  </si>
  <si>
    <t>Interpret your model.</t>
  </si>
  <si>
    <t>Using an F-test, test if the coefficent on x should vary.</t>
  </si>
  <si>
    <t>Condition on Sunny</t>
  </si>
  <si>
    <t>Condition on Rainy</t>
  </si>
  <si>
    <t>=</t>
  </si>
  <si>
    <t>+</t>
  </si>
  <si>
    <t>*x</t>
  </si>
  <si>
    <t>SSE reduce</t>
  </si>
  <si>
    <t>SSE full</t>
  </si>
  <si>
    <t>MSE full</t>
  </si>
  <si>
    <t>n</t>
  </si>
  <si>
    <t>k</t>
  </si>
  <si>
    <t>r</t>
  </si>
  <si>
    <t>F-stat</t>
  </si>
  <si>
    <t>P-val</t>
  </si>
  <si>
    <t>Reject null. Full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</si>
</sst>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FC38-8184-4CE0-9D3D-8E118A50564B}">
  <dimension ref="A1:C31"/>
  <sheetViews>
    <sheetView workbookViewId="0">
      <pane ySplit="1" topLeftCell="A2" activePane="bottomLeft" state="frozen"/>
      <selection pane="bottomLeft" activeCell="C2" sqref="C2"/>
    </sheetView>
  </sheetViews>
  <sheetFormatPr defaultRowHeight="15.6" x14ac:dyDescent="0.3"/>
  <cols>
    <col min="1" max="2" width="8.796875" style="1"/>
    <col min="3" max="3" width="8.796875" style="2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>
        <v>0.66298605383368714</v>
      </c>
      <c r="B2" s="1">
        <v>-0.28887150855686816</v>
      </c>
      <c r="C2" s="2" t="s">
        <v>3</v>
      </c>
    </row>
    <row r="3" spans="1:3" x14ac:dyDescent="0.3">
      <c r="A3" s="1">
        <v>-1.3537375291400402</v>
      </c>
      <c r="B3" s="1">
        <v>-1.0767515313348222</v>
      </c>
      <c r="C3" s="2" t="s">
        <v>4</v>
      </c>
    </row>
    <row r="4" spans="1:3" x14ac:dyDescent="0.3">
      <c r="A4" s="1">
        <v>1.5583244799652907</v>
      </c>
      <c r="B4" s="1">
        <v>0.13322609362575577</v>
      </c>
      <c r="C4" s="2" t="s">
        <v>4</v>
      </c>
    </row>
    <row r="5" spans="1:3" x14ac:dyDescent="0.3">
      <c r="A5" s="1">
        <v>-4.7211887739769125</v>
      </c>
      <c r="B5" s="1">
        <v>-1.5742889749664228</v>
      </c>
      <c r="C5" s="2" t="s">
        <v>3</v>
      </c>
    </row>
    <row r="6" spans="1:3" x14ac:dyDescent="0.3">
      <c r="A6" s="1">
        <v>0.70422640231265132</v>
      </c>
      <c r="B6" s="1">
        <v>-0.62298580209571908</v>
      </c>
      <c r="C6" s="2" t="s">
        <v>4</v>
      </c>
    </row>
    <row r="7" spans="1:3" x14ac:dyDescent="0.3">
      <c r="A7" s="1">
        <v>1.6404890708348505</v>
      </c>
      <c r="B7" s="1">
        <v>4.5688775124477873E-2</v>
      </c>
      <c r="C7" s="2" t="s">
        <v>3</v>
      </c>
    </row>
    <row r="8" spans="1:3" x14ac:dyDescent="0.3">
      <c r="A8" s="1">
        <v>-3.1240625144620093</v>
      </c>
      <c r="B8" s="1">
        <v>-1.5796192609199506</v>
      </c>
      <c r="C8" s="2" t="s">
        <v>4</v>
      </c>
    </row>
    <row r="9" spans="1:3" x14ac:dyDescent="0.3">
      <c r="A9" s="1">
        <v>-3.0663609820975699</v>
      </c>
      <c r="B9" s="1">
        <v>-1.3132478395298515</v>
      </c>
      <c r="C9" s="2" t="s">
        <v>3</v>
      </c>
    </row>
    <row r="10" spans="1:3" x14ac:dyDescent="0.3">
      <c r="A10" s="1">
        <v>3.6926559492994491</v>
      </c>
      <c r="B10" s="1">
        <v>0.65266267635496</v>
      </c>
      <c r="C10" s="2" t="s">
        <v>4</v>
      </c>
    </row>
    <row r="11" spans="1:3" x14ac:dyDescent="0.3">
      <c r="A11" s="1">
        <v>-1.8898624697329693</v>
      </c>
      <c r="B11" s="1">
        <v>-0.98613257392239539</v>
      </c>
      <c r="C11" s="2" t="s">
        <v>4</v>
      </c>
    </row>
    <row r="12" spans="1:3" x14ac:dyDescent="0.3">
      <c r="A12" s="1">
        <v>4.9988270745755008</v>
      </c>
      <c r="B12" s="1">
        <v>1.2607072789014884</v>
      </c>
      <c r="C12" s="2" t="s">
        <v>4</v>
      </c>
    </row>
    <row r="13" spans="1:3" x14ac:dyDescent="0.3">
      <c r="A13" s="1">
        <v>-6.0628943745824948</v>
      </c>
      <c r="B13" s="1">
        <v>-2.3565297343807123</v>
      </c>
      <c r="C13" s="2" t="s">
        <v>4</v>
      </c>
    </row>
    <row r="14" spans="1:3" x14ac:dyDescent="0.3">
      <c r="A14" s="1">
        <v>2.5930783508384039</v>
      </c>
      <c r="B14" s="1">
        <v>-8.931590148085063E-3</v>
      </c>
      <c r="C14" s="2" t="s">
        <v>4</v>
      </c>
    </row>
    <row r="15" spans="1:3" x14ac:dyDescent="0.3">
      <c r="A15" s="1">
        <v>3.882221715453376</v>
      </c>
      <c r="B15" s="1">
        <v>5.8059647489135016E-2</v>
      </c>
      <c r="C15" s="2" t="s">
        <v>4</v>
      </c>
    </row>
    <row r="16" spans="1:3" x14ac:dyDescent="0.3">
      <c r="A16" s="1">
        <v>2.5311754548713075</v>
      </c>
      <c r="B16" s="1">
        <v>0.25293244232878087</v>
      </c>
      <c r="C16" s="2" t="s">
        <v>3</v>
      </c>
    </row>
    <row r="17" spans="1:3" x14ac:dyDescent="0.3">
      <c r="A17" s="1">
        <v>-0.362624129482644</v>
      </c>
      <c r="B17" s="1">
        <v>-0.3938841749436805</v>
      </c>
      <c r="C17" s="2" t="s">
        <v>4</v>
      </c>
    </row>
    <row r="18" spans="1:3" x14ac:dyDescent="0.3">
      <c r="A18" s="1">
        <v>-2.8032103393700405</v>
      </c>
      <c r="B18" s="1">
        <v>-1.3340776155107046</v>
      </c>
      <c r="C18" s="2" t="s">
        <v>4</v>
      </c>
    </row>
    <row r="19" spans="1:3" x14ac:dyDescent="0.3">
      <c r="A19" s="1">
        <v>3.4653672726744675</v>
      </c>
      <c r="B19" s="1">
        <v>0.46991954737392944</v>
      </c>
      <c r="C19" s="2" t="s">
        <v>4</v>
      </c>
    </row>
    <row r="20" spans="1:3" x14ac:dyDescent="0.3">
      <c r="A20" s="1">
        <v>-0.15561762359796422</v>
      </c>
      <c r="B20" s="1">
        <v>-0.59283269766178259</v>
      </c>
      <c r="C20" s="2" t="s">
        <v>4</v>
      </c>
    </row>
    <row r="21" spans="1:3" x14ac:dyDescent="0.3">
      <c r="A21" s="1">
        <v>3.5385915917257549</v>
      </c>
      <c r="B21" s="1">
        <v>0.44506236481543476</v>
      </c>
      <c r="C21" s="2" t="s">
        <v>3</v>
      </c>
    </row>
    <row r="22" spans="1:3" x14ac:dyDescent="0.3">
      <c r="A22" s="1">
        <v>6.7870609700203417</v>
      </c>
      <c r="B22" s="1">
        <v>1.2730012149747334</v>
      </c>
      <c r="C22" s="2" t="s">
        <v>3</v>
      </c>
    </row>
    <row r="23" spans="1:3" x14ac:dyDescent="0.3">
      <c r="A23" s="1">
        <v>9.1385522131250729E-2</v>
      </c>
      <c r="B23" s="1">
        <v>-0.23577165289835386</v>
      </c>
      <c r="C23" s="2" t="s">
        <v>3</v>
      </c>
    </row>
    <row r="24" spans="1:3" x14ac:dyDescent="0.3">
      <c r="A24" s="1">
        <v>0.90565974364062329</v>
      </c>
      <c r="B24" s="1">
        <v>0.39566068364434909</v>
      </c>
      <c r="C24" s="2" t="s">
        <v>4</v>
      </c>
    </row>
    <row r="25" spans="1:3" x14ac:dyDescent="0.3">
      <c r="A25" s="1">
        <v>5.7904684140888332</v>
      </c>
      <c r="B25" s="1">
        <v>0.97839300161728016</v>
      </c>
      <c r="C25" s="2" t="s">
        <v>4</v>
      </c>
    </row>
    <row r="26" spans="1:3" x14ac:dyDescent="0.3">
      <c r="A26" s="1">
        <v>8.2990841590116542</v>
      </c>
      <c r="B26" s="1">
        <v>0.99247983526053651</v>
      </c>
      <c r="C26" s="2" t="s">
        <v>3</v>
      </c>
    </row>
    <row r="27" spans="1:3" x14ac:dyDescent="0.3">
      <c r="A27" s="1">
        <v>-0.4042678669775972</v>
      </c>
      <c r="B27" s="1">
        <v>-0.22038557569294087</v>
      </c>
      <c r="C27" s="2" t="s">
        <v>3</v>
      </c>
    </row>
    <row r="28" spans="1:3" x14ac:dyDescent="0.3">
      <c r="A28" s="1">
        <v>8.468852773747944</v>
      </c>
      <c r="B28" s="1">
        <v>1.4274423200807089</v>
      </c>
      <c r="C28" s="2" t="s">
        <v>4</v>
      </c>
    </row>
    <row r="29" spans="1:3" x14ac:dyDescent="0.3">
      <c r="A29" s="1">
        <v>8.5272956604499477</v>
      </c>
      <c r="B29" s="1">
        <v>1.7633343322098265</v>
      </c>
      <c r="C29" s="2" t="s">
        <v>4</v>
      </c>
    </row>
    <row r="30" spans="1:3" x14ac:dyDescent="0.3">
      <c r="A30" s="1">
        <v>7.784838041234698</v>
      </c>
      <c r="B30" s="1">
        <v>1.3637160149855507</v>
      </c>
      <c r="C30" s="2" t="s">
        <v>3</v>
      </c>
    </row>
    <row r="31" spans="1:3" x14ac:dyDescent="0.3">
      <c r="A31" s="1">
        <v>-0.26658041870741522</v>
      </c>
      <c r="B31" s="1">
        <v>-0.93987049060325234</v>
      </c>
      <c r="C31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2690-D095-4972-8A09-B2321FD3B5A5}">
  <dimension ref="A1:I23"/>
  <sheetViews>
    <sheetView topLeftCell="A8" workbookViewId="0">
      <selection activeCell="B19" sqref="B19"/>
    </sheetView>
  </sheetViews>
  <sheetFormatPr defaultRowHeight="15.6" x14ac:dyDescent="0.3"/>
  <cols>
    <col min="1" max="1" width="17" bestFit="1" customWidth="1"/>
    <col min="2" max="2" width="11.59765625" bestFit="1" customWidth="1"/>
    <col min="3" max="3" width="13.5" bestFit="1" customWidth="1"/>
    <col min="4" max="5" width="11.59765625" bestFit="1" customWidth="1"/>
    <col min="6" max="6" width="12.3984375" bestFit="1" customWidth="1"/>
    <col min="7" max="7" width="11.59765625" bestFit="1" customWidth="1"/>
    <col min="8" max="8" width="11.69921875" bestFit="1" customWidth="1"/>
    <col min="9" max="9" width="11.796875" bestFit="1" customWidth="1"/>
  </cols>
  <sheetData>
    <row r="1" spans="1:9" x14ac:dyDescent="0.3">
      <c r="A1" t="s">
        <v>6</v>
      </c>
    </row>
    <row r="2" spans="1:9" ht="16.2" thickBot="1" x14ac:dyDescent="0.35"/>
    <row r="3" spans="1:9" x14ac:dyDescent="0.3">
      <c r="A3" s="6" t="s">
        <v>7</v>
      </c>
      <c r="B3" s="6"/>
    </row>
    <row r="4" spans="1:9" x14ac:dyDescent="0.3">
      <c r="A4" s="3" t="s">
        <v>8</v>
      </c>
      <c r="B4" s="3">
        <v>0.970266449610106</v>
      </c>
    </row>
    <row r="5" spans="1:9" x14ac:dyDescent="0.3">
      <c r="A5" s="3" t="s">
        <v>9</v>
      </c>
      <c r="B5" s="3">
        <v>0.94141698323900036</v>
      </c>
    </row>
    <row r="6" spans="1:9" x14ac:dyDescent="0.3">
      <c r="A6" s="3" t="s">
        <v>10</v>
      </c>
      <c r="B6" s="3">
        <v>0.93707750051596339</v>
      </c>
    </row>
    <row r="7" spans="1:9" x14ac:dyDescent="0.3">
      <c r="A7" s="3" t="s">
        <v>11</v>
      </c>
      <c r="B7" s="3">
        <v>0.99302087653503124</v>
      </c>
    </row>
    <row r="8" spans="1:9" ht="16.2" thickBot="1" x14ac:dyDescent="0.35">
      <c r="A8" s="4" t="s">
        <v>12</v>
      </c>
      <c r="B8" s="4">
        <v>30</v>
      </c>
    </row>
    <row r="10" spans="1:9" ht="16.2" thickBot="1" x14ac:dyDescent="0.35">
      <c r="A10" t="s">
        <v>13</v>
      </c>
    </row>
    <row r="11" spans="1:9" x14ac:dyDescent="0.3">
      <c r="A11" s="5"/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22</v>
      </c>
    </row>
    <row r="12" spans="1:9" x14ac:dyDescent="0.3">
      <c r="A12" s="3" t="s">
        <v>14</v>
      </c>
      <c r="B12" s="3">
        <v>2</v>
      </c>
      <c r="C12" s="3">
        <v>427.84929286058087</v>
      </c>
      <c r="D12" s="3">
        <v>213.92464643029044</v>
      </c>
      <c r="E12" s="3">
        <v>216.94221254558795</v>
      </c>
      <c r="F12" s="3">
        <v>2.3169591865521487E-17</v>
      </c>
    </row>
    <row r="13" spans="1:9" x14ac:dyDescent="0.3">
      <c r="A13" s="3" t="s">
        <v>15</v>
      </c>
      <c r="B13" s="3">
        <v>27</v>
      </c>
      <c r="C13" s="3">
        <v>26.62444245332885</v>
      </c>
      <c r="D13" s="3">
        <v>0.9860904612344018</v>
      </c>
      <c r="E13" s="3"/>
      <c r="F13" s="3"/>
    </row>
    <row r="14" spans="1:9" ht="16.2" thickBot="1" x14ac:dyDescent="0.35">
      <c r="A14" s="4" t="s">
        <v>16</v>
      </c>
      <c r="B14" s="4">
        <v>29</v>
      </c>
      <c r="C14" s="4">
        <v>454.47373531390974</v>
      </c>
      <c r="D14" s="4"/>
      <c r="E14" s="4"/>
      <c r="F14" s="4"/>
    </row>
    <row r="15" spans="1:9" ht="16.2" thickBot="1" x14ac:dyDescent="0.35"/>
    <row r="16" spans="1:9" x14ac:dyDescent="0.3">
      <c r="A16" s="5"/>
      <c r="B16" s="5" t="s">
        <v>23</v>
      </c>
      <c r="C16" s="5" t="s">
        <v>11</v>
      </c>
      <c r="D16" s="5" t="s">
        <v>24</v>
      </c>
      <c r="E16" s="5" t="s">
        <v>25</v>
      </c>
      <c r="F16" s="5" t="s">
        <v>26</v>
      </c>
      <c r="G16" s="5" t="s">
        <v>27</v>
      </c>
      <c r="H16" s="5" t="s">
        <v>28</v>
      </c>
      <c r="I16" s="5" t="s">
        <v>29</v>
      </c>
    </row>
    <row r="17" spans="1:9" x14ac:dyDescent="0.3">
      <c r="A17" s="3" t="s">
        <v>17</v>
      </c>
      <c r="B17" s="7">
        <v>1.9276972853366465</v>
      </c>
      <c r="C17" s="3">
        <v>0.18252220458692986</v>
      </c>
      <c r="D17" s="3">
        <v>10.561439851656745</v>
      </c>
      <c r="E17" s="3">
        <v>4.3423729044648687E-11</v>
      </c>
      <c r="F17" s="3">
        <v>1.5531926560299258</v>
      </c>
      <c r="G17" s="3">
        <v>2.3022019146433674</v>
      </c>
      <c r="H17" s="3">
        <v>1.5531926560299258</v>
      </c>
      <c r="I17" s="3">
        <v>2.3022019146433674</v>
      </c>
    </row>
    <row r="18" spans="1:9" x14ac:dyDescent="0.3">
      <c r="A18" s="3" t="s">
        <v>1</v>
      </c>
      <c r="B18" s="7">
        <v>3.3938790213967089</v>
      </c>
      <c r="C18" s="3">
        <v>0.21169723659089829</v>
      </c>
      <c r="D18" s="3">
        <v>16.031758732662766</v>
      </c>
      <c r="E18" s="3">
        <v>2.5446329103796121E-15</v>
      </c>
      <c r="F18" s="3">
        <v>2.959512171104957</v>
      </c>
      <c r="G18" s="3">
        <v>3.8282458716884609</v>
      </c>
      <c r="H18" s="3">
        <v>2.959512171104957</v>
      </c>
      <c r="I18" s="3">
        <v>3.8282458716884609</v>
      </c>
    </row>
    <row r="19" spans="1:9" ht="16.2" thickBot="1" x14ac:dyDescent="0.35">
      <c r="A19" s="4" t="s">
        <v>5</v>
      </c>
      <c r="B19" s="8">
        <v>0.95822800097295513</v>
      </c>
      <c r="C19" s="4">
        <v>0.39220880358148924</v>
      </c>
      <c r="D19" s="4">
        <v>2.4431578083480323</v>
      </c>
      <c r="E19" s="4">
        <v>2.1380773910191164E-2</v>
      </c>
      <c r="F19" s="4">
        <v>0.15348200895223307</v>
      </c>
      <c r="G19" s="4">
        <v>1.7629739929936772</v>
      </c>
      <c r="H19" s="4">
        <v>0.15348200895223307</v>
      </c>
      <c r="I19" s="4">
        <v>1.7629739929936772</v>
      </c>
    </row>
    <row r="22" spans="1:9" x14ac:dyDescent="0.3">
      <c r="A22" t="s">
        <v>34</v>
      </c>
      <c r="B22" s="2" t="s">
        <v>0</v>
      </c>
      <c r="C22" s="9" t="s">
        <v>36</v>
      </c>
      <c r="D22" s="1">
        <f>B17</f>
        <v>1.9276972853366465</v>
      </c>
      <c r="E22" s="9" t="s">
        <v>37</v>
      </c>
      <c r="F22" s="1">
        <f>(B18+B19)</f>
        <v>4.3521070223696636</v>
      </c>
      <c r="G22" s="10" t="s">
        <v>38</v>
      </c>
    </row>
    <row r="23" spans="1:9" x14ac:dyDescent="0.3">
      <c r="A23" t="s">
        <v>35</v>
      </c>
      <c r="B23" s="2" t="s">
        <v>0</v>
      </c>
      <c r="C23" s="9" t="s">
        <v>36</v>
      </c>
      <c r="D23" s="1">
        <f>B17</f>
        <v>1.9276972853366465</v>
      </c>
      <c r="E23" s="9" t="s">
        <v>37</v>
      </c>
      <c r="F23" s="1">
        <f>B18</f>
        <v>3.3938790213967089</v>
      </c>
      <c r="G23" s="10" t="s">
        <v>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39EB-811F-4164-B9AB-0052B28952EB}">
  <dimension ref="A1:A4"/>
  <sheetViews>
    <sheetView workbookViewId="0">
      <selection activeCell="A5" sqref="A5"/>
    </sheetView>
  </sheetViews>
  <sheetFormatPr defaultRowHeight="15.6" x14ac:dyDescent="0.3"/>
  <sheetData>
    <row r="1" spans="1:1" x14ac:dyDescent="0.3">
      <c r="A1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E6E2-4A04-47D4-B685-D957BE44179A}">
  <dimension ref="A1:I18"/>
  <sheetViews>
    <sheetView workbookViewId="0">
      <selection activeCell="C13" sqref="C13"/>
    </sheetView>
  </sheetViews>
  <sheetFormatPr defaultRowHeight="15.6" x14ac:dyDescent="0.3"/>
  <sheetData>
    <row r="1" spans="1:9" x14ac:dyDescent="0.3">
      <c r="A1" t="s">
        <v>6</v>
      </c>
    </row>
    <row r="2" spans="1:9" ht="16.2" thickBot="1" x14ac:dyDescent="0.35"/>
    <row r="3" spans="1:9" x14ac:dyDescent="0.3">
      <c r="A3" s="6" t="s">
        <v>7</v>
      </c>
      <c r="B3" s="6"/>
    </row>
    <row r="4" spans="1:9" x14ac:dyDescent="0.3">
      <c r="A4" s="3" t="s">
        <v>8</v>
      </c>
      <c r="B4" s="3">
        <v>0.96356927799266279</v>
      </c>
    </row>
    <row r="5" spans="1:9" x14ac:dyDescent="0.3">
      <c r="A5" s="3" t="s">
        <v>9</v>
      </c>
      <c r="B5" s="3">
        <v>0.92846575349130156</v>
      </c>
    </row>
    <row r="6" spans="1:9" x14ac:dyDescent="0.3">
      <c r="A6" s="3" t="s">
        <v>10</v>
      </c>
      <c r="B6" s="3">
        <v>0.9259109589731338</v>
      </c>
    </row>
    <row r="7" spans="1:9" x14ac:dyDescent="0.3">
      <c r="A7" s="3" t="s">
        <v>11</v>
      </c>
      <c r="B7" s="3">
        <v>1.0775374738872063</v>
      </c>
    </row>
    <row r="8" spans="1:9" ht="16.2" thickBot="1" x14ac:dyDescent="0.35">
      <c r="A8" s="4" t="s">
        <v>12</v>
      </c>
      <c r="B8" s="4">
        <v>30</v>
      </c>
    </row>
    <row r="10" spans="1:9" ht="16.2" thickBot="1" x14ac:dyDescent="0.35">
      <c r="A10" t="s">
        <v>13</v>
      </c>
    </row>
    <row r="11" spans="1:9" x14ac:dyDescent="0.3">
      <c r="A11" s="5"/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22</v>
      </c>
    </row>
    <row r="12" spans="1:9" x14ac:dyDescent="0.3">
      <c r="A12" s="3" t="s">
        <v>14</v>
      </c>
      <c r="B12" s="3">
        <v>1</v>
      </c>
      <c r="C12" s="3">
        <v>421.96329910023553</v>
      </c>
      <c r="D12" s="3">
        <v>421.96329910023553</v>
      </c>
      <c r="E12" s="3">
        <v>363.4209118928124</v>
      </c>
      <c r="F12" s="3">
        <v>1.4213092889709747E-17</v>
      </c>
    </row>
    <row r="13" spans="1:9" x14ac:dyDescent="0.3">
      <c r="A13" s="3" t="s">
        <v>15</v>
      </c>
      <c r="B13" s="3">
        <v>28</v>
      </c>
      <c r="C13" s="3">
        <v>32.510436213674218</v>
      </c>
      <c r="D13" s="3">
        <v>1.1610870076312221</v>
      </c>
      <c r="E13" s="3"/>
      <c r="F13" s="3"/>
    </row>
    <row r="14" spans="1:9" ht="16.2" thickBot="1" x14ac:dyDescent="0.35">
      <c r="A14" s="4" t="s">
        <v>16</v>
      </c>
      <c r="B14" s="4">
        <v>29</v>
      </c>
      <c r="C14" s="4">
        <v>454.47373531390974</v>
      </c>
      <c r="D14" s="4"/>
      <c r="E14" s="4"/>
      <c r="F14" s="4"/>
    </row>
    <row r="15" spans="1:9" ht="16.2" thickBot="1" x14ac:dyDescent="0.35"/>
    <row r="16" spans="1:9" x14ac:dyDescent="0.3">
      <c r="A16" s="5"/>
      <c r="B16" s="5" t="s">
        <v>23</v>
      </c>
      <c r="C16" s="5" t="s">
        <v>11</v>
      </c>
      <c r="D16" s="5" t="s">
        <v>24</v>
      </c>
      <c r="E16" s="5" t="s">
        <v>25</v>
      </c>
      <c r="F16" s="5" t="s">
        <v>26</v>
      </c>
      <c r="G16" s="5" t="s">
        <v>27</v>
      </c>
      <c r="H16" s="5" t="s">
        <v>28</v>
      </c>
      <c r="I16" s="5" t="s">
        <v>29</v>
      </c>
    </row>
    <row r="17" spans="1:9" x14ac:dyDescent="0.3">
      <c r="A17" s="3" t="s">
        <v>17</v>
      </c>
      <c r="B17" s="3">
        <v>1.970205183608307</v>
      </c>
      <c r="C17" s="3">
        <v>0.19715488607982853</v>
      </c>
      <c r="D17" s="3">
        <v>9.9931846619848201</v>
      </c>
      <c r="E17" s="3">
        <v>9.7707584207662044E-11</v>
      </c>
      <c r="F17" s="3">
        <v>1.5663517069225583</v>
      </c>
      <c r="G17" s="3">
        <v>2.3740586602940557</v>
      </c>
      <c r="H17" s="3">
        <v>1.5663517069225583</v>
      </c>
      <c r="I17" s="3">
        <v>2.3740586602940557</v>
      </c>
    </row>
    <row r="18" spans="1:9" ht="16.2" thickBot="1" x14ac:dyDescent="0.35">
      <c r="A18" s="4" t="s">
        <v>1</v>
      </c>
      <c r="B18" s="4">
        <v>3.6751294602114521</v>
      </c>
      <c r="C18" s="4">
        <v>0.19278253434708745</v>
      </c>
      <c r="D18" s="4">
        <v>19.063601755513368</v>
      </c>
      <c r="E18" s="4">
        <v>1.4213092889709747E-17</v>
      </c>
      <c r="F18" s="4">
        <v>3.2802323400414912</v>
      </c>
      <c r="G18" s="4">
        <v>4.0700265803814135</v>
      </c>
      <c r="H18" s="4">
        <v>3.2802323400414912</v>
      </c>
      <c r="I18" s="4">
        <v>4.0700265803814135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DC16-7C57-495D-A1ED-6F3ECC5A3B4E}">
  <dimension ref="A2:C12"/>
  <sheetViews>
    <sheetView tabSelected="1" workbookViewId="0">
      <selection activeCell="C13" sqref="C13"/>
    </sheetView>
  </sheetViews>
  <sheetFormatPr defaultRowHeight="15.6" x14ac:dyDescent="0.3"/>
  <sheetData>
    <row r="2" spans="1:3" x14ac:dyDescent="0.3">
      <c r="A2" t="s">
        <v>39</v>
      </c>
      <c r="B2" s="3">
        <v>32.510436213674218</v>
      </c>
    </row>
    <row r="4" spans="1:3" x14ac:dyDescent="0.3">
      <c r="A4" t="s">
        <v>40</v>
      </c>
      <c r="B4" s="3">
        <v>26.62444245332885</v>
      </c>
    </row>
    <row r="5" spans="1:3" x14ac:dyDescent="0.3">
      <c r="A5" t="s">
        <v>41</v>
      </c>
      <c r="B5" s="3">
        <v>0.9860904612344018</v>
      </c>
    </row>
    <row r="7" spans="1:3" x14ac:dyDescent="0.3">
      <c r="A7" t="s">
        <v>42</v>
      </c>
      <c r="B7">
        <v>30</v>
      </c>
    </row>
    <row r="8" spans="1:3" x14ac:dyDescent="0.3">
      <c r="A8" t="s">
        <v>43</v>
      </c>
      <c r="B8">
        <v>2</v>
      </c>
    </row>
    <row r="9" spans="1:3" x14ac:dyDescent="0.3">
      <c r="A9" t="s">
        <v>44</v>
      </c>
      <c r="B9">
        <v>1</v>
      </c>
    </row>
    <row r="11" spans="1:3" x14ac:dyDescent="0.3">
      <c r="A11" t="s">
        <v>45</v>
      </c>
      <c r="B11">
        <f>(B2-B4)/(B9*B5)</f>
        <v>5.969020076491967</v>
      </c>
    </row>
    <row r="12" spans="1:3" x14ac:dyDescent="0.3">
      <c r="A12" t="s">
        <v>46</v>
      </c>
      <c r="B12">
        <f>1-_xlfn.F.DIST(B11,B9,B7-(B8+1),TRUE)</f>
        <v>2.1380773910190998E-2</v>
      </c>
      <c r="C12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1874-661A-4240-8E73-23CF75A370A6}">
  <dimension ref="A1:E31"/>
  <sheetViews>
    <sheetView topLeftCell="A8" workbookViewId="0">
      <selection activeCell="D2" sqref="D2"/>
    </sheetView>
  </sheetViews>
  <sheetFormatPr defaultRowHeight="15.6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2</v>
      </c>
      <c r="E1" s="2" t="s">
        <v>2</v>
      </c>
    </row>
    <row r="2" spans="1:5" x14ac:dyDescent="0.3">
      <c r="A2" s="1">
        <v>0.66298605383368714</v>
      </c>
      <c r="B2" s="1">
        <v>-0.28887150855686816</v>
      </c>
      <c r="C2" s="1">
        <f>B2*D2</f>
        <v>-0.28887150855686816</v>
      </c>
      <c r="D2" s="1">
        <f>IF(E2="Sunny",1,0)</f>
        <v>1</v>
      </c>
      <c r="E2" s="2" t="s">
        <v>3</v>
      </c>
    </row>
    <row r="3" spans="1:5" x14ac:dyDescent="0.3">
      <c r="A3" s="1">
        <v>-1.3537375291400402</v>
      </c>
      <c r="B3" s="1">
        <v>-1.0767515313348222</v>
      </c>
      <c r="C3" s="1">
        <f t="shared" ref="C3:C31" si="0">B3*D3</f>
        <v>0</v>
      </c>
      <c r="D3" s="1">
        <f t="shared" ref="D3:D31" si="1">IF(E3="Sunny",1,0)</f>
        <v>0</v>
      </c>
      <c r="E3" s="2" t="s">
        <v>4</v>
      </c>
    </row>
    <row r="4" spans="1:5" x14ac:dyDescent="0.3">
      <c r="A4" s="1">
        <v>1.5583244799652907</v>
      </c>
      <c r="B4" s="1">
        <v>0.13322609362575577</v>
      </c>
      <c r="C4" s="1">
        <f t="shared" si="0"/>
        <v>0</v>
      </c>
      <c r="D4" s="1">
        <f t="shared" si="1"/>
        <v>0</v>
      </c>
      <c r="E4" s="2" t="s">
        <v>4</v>
      </c>
    </row>
    <row r="5" spans="1:5" x14ac:dyDescent="0.3">
      <c r="A5" s="1">
        <v>-4.7211887739769125</v>
      </c>
      <c r="B5" s="1">
        <v>-1.5742889749664228</v>
      </c>
      <c r="C5" s="1">
        <f t="shared" si="0"/>
        <v>-1.5742889749664228</v>
      </c>
      <c r="D5" s="1">
        <f t="shared" si="1"/>
        <v>1</v>
      </c>
      <c r="E5" s="2" t="s">
        <v>3</v>
      </c>
    </row>
    <row r="6" spans="1:5" x14ac:dyDescent="0.3">
      <c r="A6" s="1">
        <v>0.70422640231265132</v>
      </c>
      <c r="B6" s="1">
        <v>-0.62298580209571908</v>
      </c>
      <c r="C6" s="1">
        <f t="shared" si="0"/>
        <v>0</v>
      </c>
      <c r="D6" s="1">
        <f t="shared" si="1"/>
        <v>0</v>
      </c>
      <c r="E6" s="2" t="s">
        <v>4</v>
      </c>
    </row>
    <row r="7" spans="1:5" x14ac:dyDescent="0.3">
      <c r="A7" s="1">
        <v>1.6404890708348505</v>
      </c>
      <c r="B7" s="1">
        <v>4.5688775124477873E-2</v>
      </c>
      <c r="C7" s="1">
        <f t="shared" si="0"/>
        <v>4.5688775124477873E-2</v>
      </c>
      <c r="D7" s="1">
        <f t="shared" si="1"/>
        <v>1</v>
      </c>
      <c r="E7" s="2" t="s">
        <v>3</v>
      </c>
    </row>
    <row r="8" spans="1:5" x14ac:dyDescent="0.3">
      <c r="A8" s="1">
        <v>-3.1240625144620093</v>
      </c>
      <c r="B8" s="1">
        <v>-1.5796192609199506</v>
      </c>
      <c r="C8" s="1">
        <f t="shared" si="0"/>
        <v>0</v>
      </c>
      <c r="D8" s="1">
        <f t="shared" si="1"/>
        <v>0</v>
      </c>
      <c r="E8" s="2" t="s">
        <v>4</v>
      </c>
    </row>
    <row r="9" spans="1:5" x14ac:dyDescent="0.3">
      <c r="A9" s="1">
        <v>-3.0663609820975699</v>
      </c>
      <c r="B9" s="1">
        <v>-1.3132478395298515</v>
      </c>
      <c r="C9" s="1">
        <f t="shared" si="0"/>
        <v>-1.3132478395298515</v>
      </c>
      <c r="D9" s="1">
        <f t="shared" si="1"/>
        <v>1</v>
      </c>
      <c r="E9" s="2" t="s">
        <v>3</v>
      </c>
    </row>
    <row r="10" spans="1:5" x14ac:dyDescent="0.3">
      <c r="A10" s="1">
        <v>3.6926559492994491</v>
      </c>
      <c r="B10" s="1">
        <v>0.65266267635496</v>
      </c>
      <c r="C10" s="1">
        <f t="shared" si="0"/>
        <v>0</v>
      </c>
      <c r="D10" s="1">
        <f t="shared" si="1"/>
        <v>0</v>
      </c>
      <c r="E10" s="2" t="s">
        <v>4</v>
      </c>
    </row>
    <row r="11" spans="1:5" x14ac:dyDescent="0.3">
      <c r="A11" s="1">
        <v>-1.8898624697329693</v>
      </c>
      <c r="B11" s="1">
        <v>-0.98613257392239539</v>
      </c>
      <c r="C11" s="1">
        <f t="shared" si="0"/>
        <v>0</v>
      </c>
      <c r="D11" s="1">
        <f t="shared" si="1"/>
        <v>0</v>
      </c>
      <c r="E11" s="2" t="s">
        <v>4</v>
      </c>
    </row>
    <row r="12" spans="1:5" x14ac:dyDescent="0.3">
      <c r="A12" s="1">
        <v>4.9988270745755008</v>
      </c>
      <c r="B12" s="1">
        <v>1.2607072789014884</v>
      </c>
      <c r="C12" s="1">
        <f t="shared" si="0"/>
        <v>0</v>
      </c>
      <c r="D12" s="1">
        <f t="shared" si="1"/>
        <v>0</v>
      </c>
      <c r="E12" s="2" t="s">
        <v>4</v>
      </c>
    </row>
    <row r="13" spans="1:5" x14ac:dyDescent="0.3">
      <c r="A13" s="1">
        <v>-6.0628943745824948</v>
      </c>
      <c r="B13" s="1">
        <v>-2.3565297343807123</v>
      </c>
      <c r="C13" s="1">
        <f t="shared" si="0"/>
        <v>0</v>
      </c>
      <c r="D13" s="1">
        <f t="shared" si="1"/>
        <v>0</v>
      </c>
      <c r="E13" s="2" t="s">
        <v>4</v>
      </c>
    </row>
    <row r="14" spans="1:5" x14ac:dyDescent="0.3">
      <c r="A14" s="1">
        <v>2.5930783508384039</v>
      </c>
      <c r="B14" s="1">
        <v>-8.931590148085063E-3</v>
      </c>
      <c r="C14" s="1">
        <f t="shared" si="0"/>
        <v>0</v>
      </c>
      <c r="D14" s="1">
        <f t="shared" si="1"/>
        <v>0</v>
      </c>
      <c r="E14" s="2" t="s">
        <v>4</v>
      </c>
    </row>
    <row r="15" spans="1:5" x14ac:dyDescent="0.3">
      <c r="A15" s="1">
        <v>3.882221715453376</v>
      </c>
      <c r="B15" s="1">
        <v>5.8059647489135016E-2</v>
      </c>
      <c r="C15" s="1">
        <f t="shared" si="0"/>
        <v>0</v>
      </c>
      <c r="D15" s="1">
        <f t="shared" si="1"/>
        <v>0</v>
      </c>
      <c r="E15" s="2" t="s">
        <v>4</v>
      </c>
    </row>
    <row r="16" spans="1:5" x14ac:dyDescent="0.3">
      <c r="A16" s="1">
        <v>2.5311754548713075</v>
      </c>
      <c r="B16" s="1">
        <v>0.25293244232878087</v>
      </c>
      <c r="C16" s="1">
        <f t="shared" si="0"/>
        <v>0.25293244232878087</v>
      </c>
      <c r="D16" s="1">
        <f t="shared" si="1"/>
        <v>1</v>
      </c>
      <c r="E16" s="2" t="s">
        <v>3</v>
      </c>
    </row>
    <row r="17" spans="1:5" x14ac:dyDescent="0.3">
      <c r="A17" s="1">
        <v>-0.362624129482644</v>
      </c>
      <c r="B17" s="1">
        <v>-0.3938841749436805</v>
      </c>
      <c r="C17" s="1">
        <f t="shared" si="0"/>
        <v>0</v>
      </c>
      <c r="D17" s="1">
        <f t="shared" si="1"/>
        <v>0</v>
      </c>
      <c r="E17" s="2" t="s">
        <v>4</v>
      </c>
    </row>
    <row r="18" spans="1:5" x14ac:dyDescent="0.3">
      <c r="A18" s="1">
        <v>-2.8032103393700405</v>
      </c>
      <c r="B18" s="1">
        <v>-1.3340776155107046</v>
      </c>
      <c r="C18" s="1">
        <f t="shared" si="0"/>
        <v>0</v>
      </c>
      <c r="D18" s="1">
        <f t="shared" si="1"/>
        <v>0</v>
      </c>
      <c r="E18" s="2" t="s">
        <v>4</v>
      </c>
    </row>
    <row r="19" spans="1:5" x14ac:dyDescent="0.3">
      <c r="A19" s="1">
        <v>3.4653672726744675</v>
      </c>
      <c r="B19" s="1">
        <v>0.46991954737392944</v>
      </c>
      <c r="C19" s="1">
        <f t="shared" si="0"/>
        <v>0</v>
      </c>
      <c r="D19" s="1">
        <f t="shared" si="1"/>
        <v>0</v>
      </c>
      <c r="E19" s="2" t="s">
        <v>4</v>
      </c>
    </row>
    <row r="20" spans="1:5" x14ac:dyDescent="0.3">
      <c r="A20" s="1">
        <v>-0.15561762359796422</v>
      </c>
      <c r="B20" s="1">
        <v>-0.59283269766178259</v>
      </c>
      <c r="C20" s="1">
        <f t="shared" si="0"/>
        <v>0</v>
      </c>
      <c r="D20" s="1">
        <f t="shared" si="1"/>
        <v>0</v>
      </c>
      <c r="E20" s="2" t="s">
        <v>4</v>
      </c>
    </row>
    <row r="21" spans="1:5" x14ac:dyDescent="0.3">
      <c r="A21" s="1">
        <v>3.5385915917257549</v>
      </c>
      <c r="B21" s="1">
        <v>0.44506236481543476</v>
      </c>
      <c r="C21" s="1">
        <f t="shared" si="0"/>
        <v>0.44506236481543476</v>
      </c>
      <c r="D21" s="1">
        <f t="shared" si="1"/>
        <v>1</v>
      </c>
      <c r="E21" s="2" t="s">
        <v>3</v>
      </c>
    </row>
    <row r="22" spans="1:5" x14ac:dyDescent="0.3">
      <c r="A22" s="1">
        <v>6.7870609700203417</v>
      </c>
      <c r="B22" s="1">
        <v>1.2730012149747334</v>
      </c>
      <c r="C22" s="1">
        <f t="shared" si="0"/>
        <v>1.2730012149747334</v>
      </c>
      <c r="D22" s="1">
        <f t="shared" si="1"/>
        <v>1</v>
      </c>
      <c r="E22" s="2" t="s">
        <v>3</v>
      </c>
    </row>
    <row r="23" spans="1:5" x14ac:dyDescent="0.3">
      <c r="A23" s="1">
        <v>9.1385522131250729E-2</v>
      </c>
      <c r="B23" s="1">
        <v>-0.23577165289835386</v>
      </c>
      <c r="C23" s="1">
        <f t="shared" si="0"/>
        <v>-0.23577165289835386</v>
      </c>
      <c r="D23" s="1">
        <f t="shared" si="1"/>
        <v>1</v>
      </c>
      <c r="E23" s="2" t="s">
        <v>3</v>
      </c>
    </row>
    <row r="24" spans="1:5" x14ac:dyDescent="0.3">
      <c r="A24" s="1">
        <v>0.90565974364062329</v>
      </c>
      <c r="B24" s="1">
        <v>0.39566068364434909</v>
      </c>
      <c r="C24" s="1">
        <f t="shared" si="0"/>
        <v>0</v>
      </c>
      <c r="D24" s="1">
        <f t="shared" si="1"/>
        <v>0</v>
      </c>
      <c r="E24" s="2" t="s">
        <v>4</v>
      </c>
    </row>
    <row r="25" spans="1:5" x14ac:dyDescent="0.3">
      <c r="A25" s="1">
        <v>5.7904684140888332</v>
      </c>
      <c r="B25" s="1">
        <v>0.97839300161728016</v>
      </c>
      <c r="C25" s="1">
        <f t="shared" si="0"/>
        <v>0</v>
      </c>
      <c r="D25" s="1">
        <f t="shared" si="1"/>
        <v>0</v>
      </c>
      <c r="E25" s="2" t="s">
        <v>4</v>
      </c>
    </row>
    <row r="26" spans="1:5" x14ac:dyDescent="0.3">
      <c r="A26" s="1">
        <v>8.2990841590116542</v>
      </c>
      <c r="B26" s="1">
        <v>0.99247983526053651</v>
      </c>
      <c r="C26" s="1">
        <f t="shared" si="0"/>
        <v>0.99247983526053651</v>
      </c>
      <c r="D26" s="1">
        <f t="shared" si="1"/>
        <v>1</v>
      </c>
      <c r="E26" s="2" t="s">
        <v>3</v>
      </c>
    </row>
    <row r="27" spans="1:5" x14ac:dyDescent="0.3">
      <c r="A27" s="1">
        <v>-0.4042678669775972</v>
      </c>
      <c r="B27" s="1">
        <v>-0.22038557569294087</v>
      </c>
      <c r="C27" s="1">
        <f t="shared" si="0"/>
        <v>-0.22038557569294087</v>
      </c>
      <c r="D27" s="1">
        <f t="shared" si="1"/>
        <v>1</v>
      </c>
      <c r="E27" s="2" t="s">
        <v>3</v>
      </c>
    </row>
    <row r="28" spans="1:5" x14ac:dyDescent="0.3">
      <c r="A28" s="1">
        <v>8.468852773747944</v>
      </c>
      <c r="B28" s="1">
        <v>1.4274423200807089</v>
      </c>
      <c r="C28" s="1">
        <f t="shared" si="0"/>
        <v>0</v>
      </c>
      <c r="D28" s="1">
        <f t="shared" si="1"/>
        <v>0</v>
      </c>
      <c r="E28" s="2" t="s">
        <v>4</v>
      </c>
    </row>
    <row r="29" spans="1:5" x14ac:dyDescent="0.3">
      <c r="A29" s="1">
        <v>8.5272956604499477</v>
      </c>
      <c r="B29" s="1">
        <v>1.7633343322098265</v>
      </c>
      <c r="C29" s="1">
        <f t="shared" si="0"/>
        <v>0</v>
      </c>
      <c r="D29" s="1">
        <f t="shared" si="1"/>
        <v>0</v>
      </c>
      <c r="E29" s="2" t="s">
        <v>4</v>
      </c>
    </row>
    <row r="30" spans="1:5" x14ac:dyDescent="0.3">
      <c r="A30" s="1">
        <v>7.784838041234698</v>
      </c>
      <c r="B30" s="1">
        <v>1.3637160149855507</v>
      </c>
      <c r="C30" s="1">
        <f t="shared" si="0"/>
        <v>1.3637160149855507</v>
      </c>
      <c r="D30" s="1">
        <f t="shared" si="1"/>
        <v>1</v>
      </c>
      <c r="E30" s="2" t="s">
        <v>3</v>
      </c>
    </row>
    <row r="31" spans="1:5" x14ac:dyDescent="0.3">
      <c r="A31" s="1">
        <v>-0.26658041870741522</v>
      </c>
      <c r="B31" s="1">
        <v>-0.93987049060325234</v>
      </c>
      <c r="C31" s="1">
        <f t="shared" si="0"/>
        <v>0</v>
      </c>
      <c r="D31" s="1">
        <f t="shared" si="1"/>
        <v>0</v>
      </c>
      <c r="E3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Data- Start Here</vt:lpstr>
      <vt:lpstr>regression</vt:lpstr>
      <vt:lpstr>Question</vt:lpstr>
      <vt:lpstr>regression no interact</vt:lpstr>
      <vt:lpstr>F-test</vt:lpstr>
      <vt:lpstr>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2017-11-30T18:48:09Z</dcterms:created>
  <dcterms:modified xsi:type="dcterms:W3CDTF">2017-12-02T22:29:15Z</dcterms:modified>
</cp:coreProperties>
</file>