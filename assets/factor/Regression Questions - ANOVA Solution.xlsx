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8226" activeTab="2" xr2:uid="{8DCDFA2E-5CA9-465E-B789-4F49B614B1AD}"/>
  </bookViews>
  <sheets>
    <sheet name="x1-5" sheetId="3" r:id="rId1"/>
    <sheet name="x1-3" sheetId="5" r:id="rId2"/>
    <sheet name="Question" sheetId="9" r:id="rId3"/>
    <sheet name="Generic" sheetId="10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B15" i="9" l="1"/>
  <c r="B13" i="5"/>
  <c r="C13" i="5"/>
  <c r="B8" i="9" s="1"/>
  <c r="B14" i="9" s="1"/>
  <c r="D13" i="5"/>
  <c r="B5" i="9"/>
  <c r="B4" i="9"/>
  <c r="D13" i="3"/>
</calcChain>
</file>

<file path=xl/sharedStrings.xml><?xml version="1.0" encoding="utf-8"?>
<sst xmlns="http://schemas.openxmlformats.org/spreadsheetml/2006/main" count="85" uniqueCount="48">
  <si>
    <t>x1</t>
  </si>
  <si>
    <t>x2</t>
  </si>
  <si>
    <t>x3</t>
  </si>
  <si>
    <t>x4</t>
  </si>
  <si>
    <t>x5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</si>
  <si>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</si>
  <si>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</si>
  <si>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</si>
  <si>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</si>
  <si>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</si>
  <si>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</si>
  <si>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</si>
  <si>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</si>
  <si>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</si>
  <si>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</si>
  <si>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</si>
  <si>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</si>
  <si>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</si>
  <si>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</si>
  <si>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</si>
  <si>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</si>
  <si>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</si>
  <si>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Conduct an F-test to test x1-x5 vs x1-x3</t>
  </si>
  <si>
    <t>Full</t>
  </si>
  <si>
    <t>SSE</t>
  </si>
  <si>
    <t>MSE</t>
  </si>
  <si>
    <t>Reduce</t>
  </si>
  <si>
    <t>n</t>
  </si>
  <si>
    <t>k</t>
  </si>
  <si>
    <t>r</t>
  </si>
  <si>
    <t>F-stat</t>
  </si>
  <si>
    <t>P-val</t>
  </si>
  <si>
    <t>bvcD</t>
  </si>
  <si>
    <t>SSR/SST</t>
  </si>
  <si>
    <t>1-SSE/SST*(dfT/dfe)</t>
  </si>
  <si>
    <t>sqrt(MSE)</t>
  </si>
  <si>
    <t>k=#betas</t>
  </si>
  <si>
    <t>SSR</t>
  </si>
  <si>
    <t>SSR/dfR</t>
  </si>
  <si>
    <t>MSR/MSE</t>
  </si>
  <si>
    <t>1-f.dist(F-stat,k,n-(k+1),TRUE)</t>
  </si>
  <si>
    <t>n-(k+1)</t>
  </si>
  <si>
    <t>SSE/dfe</t>
  </si>
  <si>
    <t>n-1</t>
  </si>
  <si>
    <t>SST</t>
  </si>
  <si>
    <t>H0: b4=b5=0</t>
  </si>
  <si>
    <t>Fail to reject</t>
  </si>
  <si>
    <t>Reduce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</si>
</sst>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1" fontId="0" fillId="0" borderId="0" xfId="0" applyNumberFormat="1"/>
    <xf numFmtId="1" fontId="0" fillId="2" borderId="0" xfId="0" applyNumberFormat="1" applyFill="1" applyBorder="1" applyAlignment="1"/>
    <xf numFmtId="0" fontId="0" fillId="2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topLeftCell="A6" workbookViewId="0">
      <selection activeCell="D13" sqref="D13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/>
    </row>
    <row r="6" spans="1:6" x14ac:dyDescent="0.6">
      <c r="A6" s="1" t="s">
        <v>8</v>
      </c>
      <c r="B6" s="8"/>
    </row>
    <row r="7" spans="1:6" x14ac:dyDescent="0.6">
      <c r="A7" s="1" t="s">
        <v>9</v>
      </c>
      <c r="B7" s="8"/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5">
        <v>5</v>
      </c>
      <c r="C12" s="11"/>
      <c r="D12" s="11"/>
      <c r="E12" s="5"/>
      <c r="F12" s="8"/>
    </row>
    <row r="13" spans="1:6" x14ac:dyDescent="0.6">
      <c r="A13" s="1" t="s">
        <v>13</v>
      </c>
      <c r="B13" s="15">
        <f>B8-(B12+1)</f>
        <v>24</v>
      </c>
      <c r="C13" s="11">
        <v>449.84086588204502</v>
      </c>
      <c r="D13" s="14">
        <f>C13/B13</f>
        <v>18.743369411751875</v>
      </c>
      <c r="E13" s="5"/>
      <c r="F13" s="8"/>
    </row>
    <row r="14" spans="1:6" ht="15.9" thickBot="1" x14ac:dyDescent="0.65">
      <c r="A14" s="2" t="s">
        <v>14</v>
      </c>
      <c r="B14" s="2"/>
      <c r="C14" s="12"/>
      <c r="D14" s="12"/>
      <c r="E14" s="10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0.66891204430342366</v>
      </c>
    </row>
    <row r="18" spans="1:5" x14ac:dyDescent="0.6">
      <c r="A18" s="1" t="s">
        <v>0</v>
      </c>
      <c r="B18" s="5">
        <v>1.6061220474024562</v>
      </c>
    </row>
    <row r="19" spans="1:5" x14ac:dyDescent="0.6">
      <c r="A19" s="1" t="s">
        <v>1</v>
      </c>
      <c r="B19" s="5">
        <v>2.937457747433736</v>
      </c>
    </row>
    <row r="20" spans="1:5" x14ac:dyDescent="0.6">
      <c r="A20" s="1" t="s">
        <v>2</v>
      </c>
      <c r="B20" s="5">
        <v>-1.6258570556796386</v>
      </c>
    </row>
    <row r="21" spans="1:5" x14ac:dyDescent="0.6">
      <c r="A21" s="1" t="s">
        <v>3</v>
      </c>
      <c r="B21" s="5">
        <v>0.30877836402383219</v>
      </c>
    </row>
    <row r="22" spans="1:5" ht="15.9" thickBot="1" x14ac:dyDescent="0.65">
      <c r="A22" s="2" t="s">
        <v>4</v>
      </c>
      <c r="B22" s="10">
        <v>0.1904414391748431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E441-7750-436B-AC60-618DE8E3CB24}">
  <dimension ref="A1:F29"/>
  <sheetViews>
    <sheetView workbookViewId="0">
      <selection activeCell="C13" sqref="C13"/>
    </sheetView>
  </sheetViews>
  <sheetFormatPr defaultRowHeight="15.6" x14ac:dyDescent="0.6"/>
  <cols>
    <col min="1" max="1" width="17" bestFit="1" customWidth="1"/>
    <col min="2" max="2" width="10.796875" bestFit="1" customWidth="1"/>
    <col min="3" max="4" width="6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/>
    </row>
    <row r="6" spans="1:6" x14ac:dyDescent="0.6">
      <c r="A6" s="1" t="s">
        <v>8</v>
      </c>
      <c r="B6" s="8"/>
    </row>
    <row r="7" spans="1:6" x14ac:dyDescent="0.6">
      <c r="A7" s="1" t="s">
        <v>9</v>
      </c>
      <c r="B7" s="8">
        <v>4.1775958184244075</v>
      </c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5">
        <v>3</v>
      </c>
      <c r="C12" s="11"/>
      <c r="D12" s="11"/>
      <c r="E12" s="5"/>
      <c r="F12" s="8"/>
    </row>
    <row r="13" spans="1:6" x14ac:dyDescent="0.6">
      <c r="A13" s="1" t="s">
        <v>13</v>
      </c>
      <c r="B13" s="15">
        <f>B8-(B12+1)</f>
        <v>26</v>
      </c>
      <c r="C13" s="14">
        <f>D13*B13</f>
        <v>453.75997737504446</v>
      </c>
      <c r="D13" s="14">
        <f>B7^2</f>
        <v>17.452306822117094</v>
      </c>
      <c r="E13" s="8"/>
      <c r="F13" s="8"/>
    </row>
    <row r="14" spans="1:6" ht="15.9" thickBot="1" x14ac:dyDescent="0.65">
      <c r="A14" s="2" t="s">
        <v>14</v>
      </c>
      <c r="B14" s="2"/>
      <c r="C14" s="12"/>
      <c r="D14" s="12"/>
      <c r="E14" s="9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0.65520962175241604</v>
      </c>
    </row>
    <row r="18" spans="1:5" x14ac:dyDescent="0.6">
      <c r="A18" s="1" t="s">
        <v>0</v>
      </c>
      <c r="B18" s="5">
        <v>1.6070220868669887</v>
      </c>
    </row>
    <row r="19" spans="1:5" x14ac:dyDescent="0.6">
      <c r="A19" s="1" t="s">
        <v>1</v>
      </c>
      <c r="B19" s="5">
        <v>2.8746355743106267</v>
      </c>
    </row>
    <row r="20" spans="1:5" ht="15.9" thickBot="1" x14ac:dyDescent="0.65">
      <c r="A20" s="2" t="s">
        <v>2</v>
      </c>
      <c r="B20" s="10">
        <v>-1.4944090117218201</v>
      </c>
    </row>
    <row r="25" spans="1:5" x14ac:dyDescent="0.6">
      <c r="A25" s="6"/>
      <c r="B25" s="7"/>
      <c r="C25" s="6"/>
      <c r="D25" s="6"/>
      <c r="E25" s="6"/>
    </row>
    <row r="26" spans="1:5" x14ac:dyDescent="0.6">
      <c r="A26" s="6"/>
      <c r="B26" s="7"/>
      <c r="C26" s="7"/>
      <c r="D26" s="7"/>
      <c r="E26" s="7"/>
    </row>
    <row r="27" spans="1:5" x14ac:dyDescent="0.6">
      <c r="A27" s="6"/>
      <c r="B27" s="7"/>
    </row>
    <row r="28" spans="1:5" x14ac:dyDescent="0.6">
      <c r="A28" s="6"/>
      <c r="B28" s="7"/>
    </row>
    <row r="29" spans="1:5" x14ac:dyDescent="0.6">
      <c r="A29" s="6"/>
      <c r="B2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0177-264A-47FD-91F9-0A38B834F6D1}">
  <dimension ref="A1:D15"/>
  <sheetViews>
    <sheetView tabSelected="1" workbookViewId="0">
      <selection activeCell="D7" sqref="D7"/>
    </sheetView>
  </sheetViews>
  <sheetFormatPr defaultRowHeight="15.6" x14ac:dyDescent="0.6"/>
  <sheetData>
    <row r="1" spans="1:4" x14ac:dyDescent="0.6">
      <c r="A1" t="s">
        <v>22</v>
      </c>
    </row>
    <row r="3" spans="1:4" x14ac:dyDescent="0.6">
      <c r="A3" t="s">
        <v>23</v>
      </c>
    </row>
    <row r="4" spans="1:4" x14ac:dyDescent="0.6">
      <c r="A4" t="s">
        <v>24</v>
      </c>
      <c r="B4" s="11">
        <f>'x1-5'!C13</f>
        <v>449.84086588204502</v>
      </c>
      <c r="D4" t="s">
        <v>45</v>
      </c>
    </row>
    <row r="5" spans="1:4" x14ac:dyDescent="0.6">
      <c r="A5" t="s">
        <v>25</v>
      </c>
      <c r="B5" s="11">
        <f>'x1-5'!D13</f>
        <v>18.743369411751875</v>
      </c>
      <c r="D5" t="s">
        <v>46</v>
      </c>
    </row>
    <row r="6" spans="1:4" x14ac:dyDescent="0.6">
      <c r="D6" t="s">
        <v>47</v>
      </c>
    </row>
    <row r="7" spans="1:4" x14ac:dyDescent="0.6">
      <c r="A7" t="s">
        <v>26</v>
      </c>
    </row>
    <row r="8" spans="1:4" x14ac:dyDescent="0.6">
      <c r="A8" t="s">
        <v>24</v>
      </c>
      <c r="B8" s="13">
        <f>'x1-3'!C13</f>
        <v>453.75997737504446</v>
      </c>
    </row>
    <row r="10" spans="1:4" x14ac:dyDescent="0.6">
      <c r="A10" t="s">
        <v>27</v>
      </c>
      <c r="B10">
        <v>30</v>
      </c>
    </row>
    <row r="11" spans="1:4" x14ac:dyDescent="0.6">
      <c r="A11" t="s">
        <v>28</v>
      </c>
      <c r="B11">
        <v>5</v>
      </c>
    </row>
    <row r="12" spans="1:4" x14ac:dyDescent="0.6">
      <c r="A12" t="s">
        <v>29</v>
      </c>
      <c r="B12">
        <v>2</v>
      </c>
    </row>
    <row r="14" spans="1:4" x14ac:dyDescent="0.6">
      <c r="A14" t="s">
        <v>30</v>
      </c>
      <c r="B14">
        <f>(B8-B4)/(B12*B5)</f>
        <v>0.10454661077485344</v>
      </c>
    </row>
    <row r="15" spans="1:4" x14ac:dyDescent="0.6">
      <c r="A15" t="s">
        <v>31</v>
      </c>
      <c r="B15">
        <f>1-_xlfn.F.DIST(B14,B12,B10-(B11+1),TRUE)</f>
        <v>0.9011407463340213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29D9-81A0-4F28-A8B0-82D4F5E35C06}">
  <dimension ref="A1:F31"/>
  <sheetViews>
    <sheetView workbookViewId="0"/>
  </sheetViews>
  <sheetFormatPr defaultRowHeight="15.6" x14ac:dyDescent="0.6"/>
  <cols>
    <col min="1" max="1" width="17" bestFit="1" customWidth="1"/>
    <col min="2" max="2" width="16.94921875" bestFit="1" customWidth="1"/>
    <col min="3" max="3" width="3.546875" bestFit="1" customWidth="1"/>
    <col min="4" max="4" width="7.046875" bestFit="1" customWidth="1"/>
    <col min="5" max="5" width="8.69921875" bestFit="1" customWidth="1"/>
    <col min="6" max="6" width="24.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32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 t="s">
        <v>33</v>
      </c>
    </row>
    <row r="6" spans="1:6" x14ac:dyDescent="0.6">
      <c r="A6" s="1" t="s">
        <v>8</v>
      </c>
      <c r="B6" s="8" t="s">
        <v>34</v>
      </c>
    </row>
    <row r="7" spans="1:6" x14ac:dyDescent="0.6">
      <c r="A7" s="1" t="s">
        <v>9</v>
      </c>
      <c r="B7" s="8" t="s">
        <v>35</v>
      </c>
    </row>
    <row r="8" spans="1:6" ht="15.9" thickBot="1" x14ac:dyDescent="0.65">
      <c r="A8" s="2" t="s">
        <v>10</v>
      </c>
      <c r="B8" s="2" t="s">
        <v>27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" t="s">
        <v>36</v>
      </c>
      <c r="C12" s="8" t="s">
        <v>37</v>
      </c>
      <c r="D12" s="8" t="s">
        <v>38</v>
      </c>
      <c r="E12" s="8" t="s">
        <v>39</v>
      </c>
      <c r="F12" s="8" t="s">
        <v>40</v>
      </c>
    </row>
    <row r="13" spans="1:6" x14ac:dyDescent="0.6">
      <c r="A13" s="1" t="s">
        <v>13</v>
      </c>
      <c r="B13" s="1" t="s">
        <v>41</v>
      </c>
      <c r="C13" s="8" t="s">
        <v>24</v>
      </c>
      <c r="D13" s="8" t="s">
        <v>42</v>
      </c>
      <c r="E13" s="8"/>
      <c r="F13" s="8"/>
    </row>
    <row r="14" spans="1:6" ht="15.9" thickBot="1" x14ac:dyDescent="0.65">
      <c r="A14" s="2" t="s">
        <v>14</v>
      </c>
      <c r="B14" s="2" t="s">
        <v>43</v>
      </c>
      <c r="C14" s="9" t="s">
        <v>44</v>
      </c>
      <c r="D14" s="9"/>
      <c r="E14" s="9"/>
      <c r="F14" s="9"/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x1-5</vt:lpstr>
      <vt:lpstr>x1-3</vt:lpstr>
      <vt:lpstr>Question</vt:lpstr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2017-12-08T22:57:51Z</dcterms:modified>
</cp:coreProperties>
</file>