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226"/>
  <workbookPr codeName="ThisWorkbook" defaultThemeVersion="166925"/>
  <mc:AlternateContent xmlns:mc="http://schemas.openxmlformats.org/markup-compatibility/2006">
    <mc:Choice Requires="x15">
      <x15ac:absPath xmlns:x15ac="http://schemas.microsoft.com/office/spreadsheetml/2010/11/ac" url="C:\Users\Philip\Dropbox\Courses\Teaching\FIN 203\FIN 203 Spring 2018\S1 Exams\2 Final\Prep\Review Session\"/>
    </mc:Choice>
  </mc:AlternateContent>
  <xr:revisionPtr revIDLastSave="0" documentId="13_ncr:1_{EE295E48-C831-4727-B818-2FA777CE28C2}" xr6:coauthVersionLast="32" xr6:coauthVersionMax="32" xr10:uidLastSave="{00000000-0000-0000-0000-000000000000}"/>
  <bookViews>
    <workbookView xWindow="0" yWindow="0" windowWidth="18000" windowHeight="8226" activeTab="2" xr2:uid="{4A63A116-0FA7-420D-8765-421DA56474A4}"/>
  </bookViews>
  <sheets>
    <sheet name="Data Generation - Ignore" sheetId="3" r:id="rId1"/>
    <sheet name="Data - Solution Setup" sheetId="13" r:id="rId2"/>
    <sheet name="Data" sheetId="6" r:id="rId3"/>
    <sheet name="Regression Solution" sheetId="11" r:id="rId4"/>
    <sheet name="Question" sheetId="12" r:id="rId5"/>
    <sheet name="CB_DATA_" sheetId="10" state="veryHidden" r:id="rId6"/>
  </sheets>
  <definedNames>
    <definedName name="CB_Block_00000000000000000000000000000001" localSheetId="5" hidden="1">"'636608532055451453"</definedName>
    <definedName name="CBWorkbookPriority" localSheetId="5" hidden="1">-1112590337437380</definedName>
    <definedName name="CBx_61173ce1b2d948bc90549b4bc832c86b" localSheetId="5" hidden="1">"'CB_DATA_'!$A$1"</definedName>
    <definedName name="CBx_85e3ed96ca254f858f49826f10e7b925" localSheetId="5" hidden="1">"'Simulation Analysis'!$A$1"</definedName>
    <definedName name="CBx_Sheet_Guid" localSheetId="5" hidden="1">"'61173ce1-b2d9-48bc-9054-9b4bc832c86b"</definedName>
    <definedName name="CBx_SheetRef" localSheetId="5" hidden="1">CB_DATA_!$A$14</definedName>
    <definedName name="CBx_StorageType" localSheetId="5" hidden="1">2</definedName>
    <definedName name="solver_corr" hidden="1">1</definedName>
    <definedName name="solver_ctp1" hidden="1">0</definedName>
    <definedName name="solver_ctp2" hidden="1">0</definedName>
    <definedName name="solver_disp" hidden="1">0</definedName>
    <definedName name="solver_eval" hidden="1">0</definedName>
    <definedName name="solver_lcens" hidden="1">-1E+30</definedName>
    <definedName name="solver_lcut" hidden="1">-1E+30</definedName>
    <definedName name="solver_nsim" hidden="1">1</definedName>
    <definedName name="solver_nssim" hidden="1">-1</definedName>
    <definedName name="solver_ntri" hidden="1">1000</definedName>
    <definedName name="solver_rgen" hidden="1">3</definedName>
    <definedName name="solver_rsmp" hidden="1">1</definedName>
    <definedName name="solver_sclt" hidden="1">100</definedName>
    <definedName name="solver_seed" hidden="1">0</definedName>
    <definedName name="solver_strm" hidden="1">0</definedName>
    <definedName name="solver_ucens" hidden="1">1E+30</definedName>
    <definedName name="solver_ucut" hidden="1">1E+30</definedName>
    <definedName name="solveri_CClick" hidden="1">"System.Boolean:False"</definedName>
    <definedName name="solveri_CPop" hidden="1">"System.Boolean:False"</definedName>
    <definedName name="solveri_CTyp" hidden="1">"RiskSolver.Globals.ChartType:Bar"</definedName>
    <definedName name="solvero_CClick" hidden="1">"System.Boolean:True"</definedName>
    <definedName name="solvero_ChGlobalShow" hidden="1">"System.Boolean:False"</definedName>
    <definedName name="solvero_CPop" hidden="1">"System.Boolean:False"</definedName>
    <definedName name="solvero_CTyp" hidden="1">"RiskSolver.Globals.ChartType:Bar"</definedName>
  </definedNames>
  <calcPr calcId="179017"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4" i="11" l="1"/>
  <c r="G25" i="11"/>
  <c r="G23" i="11"/>
  <c r="C24" i="11"/>
  <c r="C25" i="11"/>
  <c r="C23" i="11"/>
  <c r="B25" i="11"/>
  <c r="B24" i="11"/>
  <c r="B23" i="11"/>
  <c r="B3" i="3"/>
  <c r="C3" i="3"/>
  <c r="D3" i="3"/>
  <c r="E3" i="3"/>
  <c r="F3" i="3"/>
  <c r="G3" i="3"/>
  <c r="A3" i="3"/>
  <c r="B4" i="3"/>
  <c r="C4" i="3"/>
  <c r="D4" i="3"/>
  <c r="E4" i="3"/>
  <c r="F4" i="3"/>
  <c r="G4" i="3"/>
  <c r="A4" i="3"/>
  <c r="B5" i="3"/>
  <c r="C5" i="3"/>
  <c r="D5" i="3"/>
  <c r="E5" i="3"/>
  <c r="F5" i="3"/>
  <c r="G5" i="3"/>
  <c r="A5" i="3"/>
  <c r="B6" i="3"/>
  <c r="C6" i="3"/>
  <c r="D6" i="3"/>
  <c r="E6" i="3"/>
  <c r="F6" i="3"/>
  <c r="G6" i="3"/>
  <c r="A6" i="3"/>
  <c r="B7" i="3"/>
  <c r="C7" i="3"/>
  <c r="D7" i="3"/>
  <c r="E7" i="3"/>
  <c r="F7" i="3"/>
  <c r="G7" i="3"/>
  <c r="A7" i="3"/>
  <c r="B8" i="3"/>
  <c r="C8" i="3"/>
  <c r="D8" i="3"/>
  <c r="E8" i="3"/>
  <c r="F8" i="3"/>
  <c r="G8" i="3"/>
  <c r="A8" i="3"/>
  <c r="B9" i="3"/>
  <c r="C9" i="3"/>
  <c r="D9" i="3"/>
  <c r="E9" i="3"/>
  <c r="F9" i="3"/>
  <c r="G9" i="3"/>
  <c r="A9" i="3"/>
  <c r="B10" i="3"/>
  <c r="C10" i="3"/>
  <c r="D10" i="3"/>
  <c r="E10" i="3"/>
  <c r="F10" i="3"/>
  <c r="G10" i="3"/>
  <c r="A10" i="3"/>
  <c r="B11" i="3"/>
  <c r="C11" i="3"/>
  <c r="D11" i="3"/>
  <c r="E11" i="3"/>
  <c r="F11" i="3"/>
  <c r="G11" i="3"/>
  <c r="A11" i="3"/>
  <c r="B12" i="3"/>
  <c r="C12" i="3"/>
  <c r="D12" i="3"/>
  <c r="E12" i="3"/>
  <c r="F12" i="3"/>
  <c r="G12" i="3"/>
  <c r="A12" i="3"/>
  <c r="B13" i="3"/>
  <c r="C13" i="3"/>
  <c r="D13" i="3"/>
  <c r="E13" i="3"/>
  <c r="F13" i="3"/>
  <c r="G13" i="3"/>
  <c r="A13" i="3"/>
  <c r="B14" i="3"/>
  <c r="C14" i="3"/>
  <c r="D14" i="3"/>
  <c r="E14" i="3"/>
  <c r="F14" i="3"/>
  <c r="G14" i="3"/>
  <c r="A14" i="3"/>
  <c r="B15" i="3"/>
  <c r="C15" i="3"/>
  <c r="D15" i="3"/>
  <c r="E15" i="3"/>
  <c r="F15" i="3"/>
  <c r="G15" i="3"/>
  <c r="A15" i="3"/>
  <c r="B16" i="3"/>
  <c r="C16" i="3"/>
  <c r="D16" i="3"/>
  <c r="E16" i="3"/>
  <c r="F16" i="3"/>
  <c r="G16" i="3"/>
  <c r="A16" i="3"/>
  <c r="B17" i="3"/>
  <c r="C17" i="3"/>
  <c r="D17" i="3"/>
  <c r="E17" i="3"/>
  <c r="F17" i="3"/>
  <c r="G17" i="3"/>
  <c r="A17" i="3"/>
  <c r="B18" i="3"/>
  <c r="C18" i="3"/>
  <c r="D18" i="3"/>
  <c r="E18" i="3"/>
  <c r="F18" i="3"/>
  <c r="G18" i="3"/>
  <c r="A18" i="3"/>
  <c r="B19" i="3"/>
  <c r="C19" i="3"/>
  <c r="D19" i="3"/>
  <c r="E19" i="3"/>
  <c r="F19" i="3"/>
  <c r="G19" i="3"/>
  <c r="A19" i="3"/>
  <c r="B20" i="3"/>
  <c r="C20" i="3"/>
  <c r="D20" i="3"/>
  <c r="E20" i="3"/>
  <c r="F20" i="3"/>
  <c r="G20" i="3"/>
  <c r="A20" i="3"/>
  <c r="B21" i="3"/>
  <c r="C21" i="3"/>
  <c r="D21" i="3"/>
  <c r="E21" i="3"/>
  <c r="F21" i="3"/>
  <c r="G21" i="3"/>
  <c r="A21" i="3"/>
  <c r="B22" i="3"/>
  <c r="C22" i="3"/>
  <c r="D22" i="3"/>
  <c r="E22" i="3"/>
  <c r="F22" i="3"/>
  <c r="G22" i="3"/>
  <c r="A22" i="3"/>
  <c r="B23" i="3"/>
  <c r="C23" i="3"/>
  <c r="D23" i="3"/>
  <c r="E23" i="3"/>
  <c r="F23" i="3"/>
  <c r="G23" i="3"/>
  <c r="A23" i="3"/>
  <c r="B24" i="3"/>
  <c r="C24" i="3"/>
  <c r="D24" i="3"/>
  <c r="E24" i="3"/>
  <c r="F24" i="3"/>
  <c r="G24" i="3"/>
  <c r="A24" i="3"/>
  <c r="B25" i="3"/>
  <c r="C25" i="3"/>
  <c r="D25" i="3"/>
  <c r="E25" i="3"/>
  <c r="F25" i="3"/>
  <c r="G25" i="3"/>
  <c r="A25" i="3"/>
  <c r="B26" i="3"/>
  <c r="C26" i="3"/>
  <c r="D26" i="3"/>
  <c r="E26" i="3"/>
  <c r="F26" i="3"/>
  <c r="G26" i="3"/>
  <c r="A26" i="3"/>
  <c r="B27" i="3"/>
  <c r="C27" i="3"/>
  <c r="D27" i="3"/>
  <c r="E27" i="3"/>
  <c r="F27" i="3"/>
  <c r="G27" i="3"/>
  <c r="A27" i="3"/>
  <c r="B28" i="3"/>
  <c r="C28" i="3"/>
  <c r="D28" i="3"/>
  <c r="E28" i="3"/>
  <c r="F28" i="3"/>
  <c r="G28" i="3"/>
  <c r="A28" i="3"/>
  <c r="B29" i="3"/>
  <c r="C29" i="3"/>
  <c r="D29" i="3"/>
  <c r="E29" i="3"/>
  <c r="F29" i="3"/>
  <c r="G29" i="3"/>
  <c r="A29" i="3"/>
  <c r="B30" i="3"/>
  <c r="C30" i="3"/>
  <c r="D30" i="3"/>
  <c r="E30" i="3"/>
  <c r="F30" i="3"/>
  <c r="G30" i="3"/>
  <c r="A30" i="3"/>
  <c r="B31" i="3"/>
  <c r="C31" i="3"/>
  <c r="D31" i="3"/>
  <c r="E31" i="3"/>
  <c r="F31" i="3"/>
  <c r="G31" i="3"/>
  <c r="A31" i="3"/>
  <c r="B32" i="3"/>
  <c r="C32" i="3"/>
  <c r="D32" i="3"/>
  <c r="E32" i="3"/>
  <c r="F32" i="3"/>
  <c r="G32" i="3"/>
  <c r="A32" i="3"/>
  <c r="B33" i="3"/>
  <c r="C33" i="3"/>
  <c r="D33" i="3"/>
  <c r="E33" i="3"/>
  <c r="F33" i="3"/>
  <c r="G33" i="3"/>
  <c r="A33" i="3"/>
  <c r="B34" i="3"/>
  <c r="C34" i="3"/>
  <c r="D34" i="3"/>
  <c r="E34" i="3"/>
  <c r="F34" i="3"/>
  <c r="G34" i="3"/>
  <c r="A34" i="3"/>
  <c r="B35" i="3"/>
  <c r="C35" i="3"/>
  <c r="D35" i="3"/>
  <c r="E35" i="3"/>
  <c r="F35" i="3"/>
  <c r="G35" i="3"/>
  <c r="A35" i="3"/>
  <c r="B36" i="3"/>
  <c r="C36" i="3"/>
  <c r="D36" i="3"/>
  <c r="E36" i="3"/>
  <c r="F36" i="3"/>
  <c r="G36" i="3"/>
  <c r="A36" i="3"/>
  <c r="B37" i="3"/>
  <c r="C37" i="3"/>
  <c r="D37" i="3"/>
  <c r="E37" i="3"/>
  <c r="F37" i="3"/>
  <c r="G37" i="3"/>
  <c r="A37" i="3"/>
  <c r="B38" i="3"/>
  <c r="C38" i="3"/>
  <c r="D38" i="3"/>
  <c r="E38" i="3"/>
  <c r="F38" i="3"/>
  <c r="G38" i="3"/>
  <c r="A38" i="3"/>
  <c r="B39" i="3"/>
  <c r="C39" i="3"/>
  <c r="D39" i="3"/>
  <c r="E39" i="3"/>
  <c r="F39" i="3"/>
  <c r="G39" i="3"/>
  <c r="A39" i="3"/>
  <c r="B40" i="3"/>
  <c r="C40" i="3"/>
  <c r="D40" i="3"/>
  <c r="E40" i="3"/>
  <c r="F40" i="3"/>
  <c r="G40" i="3"/>
  <c r="A40" i="3"/>
  <c r="B41" i="3"/>
  <c r="C41" i="3"/>
  <c r="D41" i="3"/>
  <c r="E41" i="3"/>
  <c r="F41" i="3"/>
  <c r="G41" i="3"/>
  <c r="A41" i="3"/>
  <c r="B42" i="3"/>
  <c r="C42" i="3"/>
  <c r="D42" i="3"/>
  <c r="E42" i="3"/>
  <c r="F42" i="3"/>
  <c r="G42" i="3"/>
  <c r="A42" i="3"/>
  <c r="B43" i="3"/>
  <c r="C43" i="3"/>
  <c r="D43" i="3"/>
  <c r="E43" i="3"/>
  <c r="F43" i="3"/>
  <c r="G43" i="3"/>
  <c r="A43" i="3"/>
  <c r="B44" i="3"/>
  <c r="C44" i="3"/>
  <c r="D44" i="3"/>
  <c r="E44" i="3"/>
  <c r="F44" i="3"/>
  <c r="G44" i="3"/>
  <c r="A44" i="3"/>
  <c r="B45" i="3"/>
  <c r="C45" i="3"/>
  <c r="D45" i="3"/>
  <c r="E45" i="3"/>
  <c r="F45" i="3"/>
  <c r="G45" i="3"/>
  <c r="A45" i="3"/>
  <c r="B46" i="3"/>
  <c r="C46" i="3"/>
  <c r="D46" i="3"/>
  <c r="E46" i="3"/>
  <c r="F46" i="3"/>
  <c r="G46" i="3"/>
  <c r="A46" i="3"/>
  <c r="B47" i="3"/>
  <c r="C47" i="3"/>
  <c r="D47" i="3"/>
  <c r="E47" i="3"/>
  <c r="F47" i="3"/>
  <c r="G47" i="3"/>
  <c r="A47" i="3"/>
  <c r="B48" i="3"/>
  <c r="C48" i="3"/>
  <c r="D48" i="3"/>
  <c r="E48" i="3"/>
  <c r="F48" i="3"/>
  <c r="G48" i="3"/>
  <c r="A48" i="3"/>
  <c r="B49" i="3"/>
  <c r="C49" i="3"/>
  <c r="D49" i="3"/>
  <c r="E49" i="3"/>
  <c r="F49" i="3"/>
  <c r="G49" i="3"/>
  <c r="A49" i="3"/>
  <c r="B50" i="3"/>
  <c r="C50" i="3"/>
  <c r="D50" i="3"/>
  <c r="E50" i="3"/>
  <c r="F50" i="3"/>
  <c r="G50" i="3"/>
  <c r="A50" i="3"/>
  <c r="B51" i="3"/>
  <c r="C51" i="3"/>
  <c r="D51" i="3"/>
  <c r="E51" i="3"/>
  <c r="F51" i="3"/>
  <c r="G51" i="3"/>
  <c r="A51" i="3"/>
  <c r="B2" i="3"/>
  <c r="C2" i="3"/>
  <c r="D2" i="3"/>
  <c r="E2" i="3"/>
  <c r="F2" i="3"/>
  <c r="G2" i="3"/>
  <c r="A2" i="3"/>
  <c r="B11" i="10"/>
  <c r="A11" i="10"/>
</calcChain>
</file>

<file path=xl/sharedStrings.xml><?xml version="1.0" encoding="utf-8"?>
<sst xmlns="http://schemas.openxmlformats.org/spreadsheetml/2006/main" count="180" uniqueCount="56">
  <si>
    <t>Income</t>
  </si>
  <si>
    <t>Error</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</si>
  <si>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</si>
  <si>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</si>
  <si>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</si>
  <si>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</si>
  <si>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</si>
  <si>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</si>
  <si>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</si>
  <si>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</si>
  <si>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</si>
  <si>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</si>
  <si>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</si>
  <si>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</si>
  <si>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</si>
  <si>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</si>
  <si>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</si>
  <si>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</si>
  <si>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</si>
  <si>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</si>
  <si>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</si>
  <si>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</si>
  <si>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</si>
  <si>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</si>
  <si>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</si>
  <si>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</si>
  <si>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</si>
  <si>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</si>
  <si>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</si>
  <si>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</si>
  <si>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</si>
  <si>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</si>
  <si>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</si>
  <si>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</si>
  <si>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</si>
  <si>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</si>
  <si>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</si>
  <si>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</si>
  <si>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61173ce1-b2d9-48bc-9054-9b4bc832c86b</t>
  </si>
  <si>
    <t>CB_Block_0</t>
  </si>
  <si>
    <t>㜸〱敤㕣㕢㙣ㅣ㔷ㄹ摥㌳摥㕤敦慣敤搸㡤搳㑢㑡㉦㠶㔲㝡㜱㜰攳戴愱ㄴ〸挱㤷收搲㍡戱ㅢ㍢㈹㔰搰㘶扣㝢㈶㥥㘶㘷挶㥤㤹㜵攲㔲愹ㄵ㤴㥢戸㐹摣㐴愱㐰㔵愱㑡〸㠹换ぢ㔰攸ぢㄲㄲ〸戵ㄲて〵〹㠹㠷㠲㄰㍣㠰㔰㈴㕥㜸㐰㠲敦㍢㌳戳㍢戳敢ㅤ扢摢ㄶ㕣攴㤳敥敦㌳攷㌶攷㥣晦㝡晥晦㑣㜳㈲㤷换晤ㅢ㠹㝦㤹昲捣㕣戳戸敥〷搲㥥㤸㜱敢㜵㔹つ㉣搷昱㈷愶㍣捦㔸㥦戳晣愰てつ㡡ㄵぢ昵㝥愱攲㕢て换㔲㘵㑤㝡㍥ㅡㄵ㜲戹㔲㐹搷㔰捦㐱昸ㅢ㠹ㅦ㜴昶ㅡ捣〳㉣捤㑣捦㉦㍦㠸㔱ㄷ〳搷㤳晢挶捥㠴㝤て㑤㑥㑥㑣㑥摣㜱㜰昲挰挴晥㝤㘳㌳㡤㝡搰昰攴㈱㐷㌶〲捦愸敦ㅢ㕢㘸㉣搷慤敡扤㜲㝤挹㍤㉦㥤㐳㜲㜹晦敤换挶ㅤ㙦㥦扣攳攰㐱昳慥扢摥㍥㠸㔷攷㑥捥㑣㉦㜸搲昴㕦愵㌱ぢ㥣昲ㅤ戳戲㙡㜱㙤㔲㝡㤶㜳㙥㘲㘶ㅡ晦㈵收㡦愷㍢㈷ㄶ㔷愴っ昸㙡改㐹愷㉡㝤ㅤㅤ〷散㈹摦㙦搸慢摣㍣摤㍥㠲愵㔶つ㍦㈸搸㌳戲㕥搷敤㜸搴㤲㍤㡦扤慢ㅢ敢㠳昶愲㜴㝣㉢戰搶慣㘰扤㘸㉦㘱愰摡㤰㝤摡㤷愷っ攷㥣㍣㘹搸戲㘰ㅦ㙤㔸戵㝣㤸㜲㝤㌷挵㐳㈴㈷愶㤶㍦㌱攵摢㌳㉢㠶愷㘶攴㜳㘳㌲摡ㅥ昱慡改戶㌷㜴ㅦ㤷㔳㔷㙦攰㤸㌷㜶㙦㠷㥡㌳㠶搷㙣㌹摥扤㘵戴昸昴っ㙥敢摥㍥戱㐷改㍥户㜴敦愳戶㌲摤㕡っ㐴昴慤㜶ㄴ㡢搱㡢〴晤〴㈵〲㈲㔰㉦ㄳっ㄰っ〲㠸晣㍦挰㈵挹㡥慣搲㉡㠶㔶㔹搶㉡㔵慤㔲搳㉡㔲慢㤸㕡攵㥣㔶㔹搱㉡㤶㔶㜹㔰慢㥣㐷㥢㌸㤵晡晢戵㈸ㅤ昸捡㤹摣〳扦晤搶㍤摦扢昶㐷摦㜹晦㌳㐷ㄷ〶㜷愱搱㝤搱愴㘶㍤攳〲㐸慤㐵挵攰〸晥摢㥣㉢挰ㄴ收㐱昳㑥㜳㜲戲㜶㜰扦㜱扢㔱攰戲㌲㤰㥦㈲㤴ㄱ戴ㅤ㌴敦户㥣㥡㝢㐱攱敥㥡㘹挳㤷慤㡤ㅢ㡦敡愶摤㠶㔳昳摦戰㜱攵㘲㘰〴昲敡昶扡搶㈰ㅤ摤ㄶ挱㔶搲㔷敦扢慥扤摢ㄹ愳摥㤰㔳ㄷ慤戰晡摡戶㙡㝢挱㜳㤷扢搷ㅥ昱攴㐳捤摡㡥ㄹ㑤㐱愸慤愹戱㍢㔶ㄹ㔶㠵昳ㅡ㥢㔹㜱㝤改愸改㡤摢ぢ㔶昵扣昴ㄶ㈵㐵愲慣愹愵㕥捥慡㠸敢挷攷ㅤ㉣ㄴ摣㕡㝢㔳戲搴扣晢㘲〰㘶㤶㌵捣㜷㔵㝡挱晡㤲戱㕣㤷㔷愴㥡㠴敦㐴挵摥㔴昱ㄱ户摡昰㘷㕣㈷昰摣㝡扡㘶慡戶㘶㐰搲搴㑥戸㌵㤹捦攷㤴㔰㠰挰敤敢ㄳ㈲㜷㙢㜷㕥㔰㠸㐸愰㤸㡣㝣㔵㥡散㈶㑥㘱㜵㔸㐵㕤㤲㈶戵㌷㙦㌲ㄸ攷慢㘴㑣〶〷㈶搶㐴晤挱㤷摥扣挹戰㑤捣扤戶㡤㌵㙤㌴㕡晤摤㙢搲〹㡥ㄹ㑥慤㉥扤㑣敤㈷㌸㈳㝤ㄸ愰㜰〹〲愱敢敥㔱搵㠹㡢㘲扤㜰挱慡〵㉢挵ㄵ㘹㥤㕢〹㔰〶つ㔹㉡㜱㙢㍢㤲㝥ㄹ㡡昴摤〴愳〰攵㜲慥戸㠷㡤㡡㘵愴㕣㠱搲㈹㠳㤷㔳㠲㥣晤㔲扣㍣㘸ㅥ戱敡㠱っ㠵昲戰〹㡣㠴㕡㑤愱㙦㠸㈴敡ㄹ搵㔰㘱散㌱㘷㐰愵㠶攵〴敢㉤扥敤攰㤲㤰㠸㜶㘴挱戶㤳〵ㄴ〵㘹㜹㤰挱㙢㈰㥡㌶㘹㤰摤㌸㐱㐴㘴㠳っ捤㡥㤱搳㐴挶昶ㄹ㌲〲敤㤳㐴挸搶晢扢换〸ㄲ㝢㈷㤱戲㔳㔷㝥摣㤱㘶ㅢ搹昲愱㌴扢ㅣㅢ愷㕦㐱㜰㈵挱㔵〴㝢〱挴㥦㈱攱㈸攵㤰㑦㈷晤つ㜸搶慦㈱戸ㄶ〰昲㐹愷捣㠹㐴ㄵ㙤愸慤搸㤱㙣㌷〴㍢㔹ㄹ挵愱㈸愲㘵摣戴㌳㠷㙣㠵攸挸敡摣ㅥ扡㌶慦㜴散㕢扡搳㘶㜲㌹愴挸㡣愶挹戵㙥搲㌴戹ㄱ㙣摡愳摥扡ㅥ㕤昵㌱㠲㌷〲㤴昵㌷ㄱ㐲戹搰攰摤㥡㐵㑦㤳昲㜵㘱ㄶ㠵挶㔰㡦ち㍥㈲㘴ㅥ〱㌲㠴㕣挷昱㘵挷㠶愶㌹㌸㙥扥敥㙤攸㝤摤昹㍢㐲㝡㥢摥摣搱㍢昴ㄷ扤㑣㉢晡〶戰㤷昸㝤㔷ㅤ㜳㈳慡昵户㄰摣〴搰愶㘳㜸晡㝥戹㥥〲㘵ㄶ摢〹捣敤愶搷㐵㔹戹㑢敢慢㔲㘹愰㐱㜳挹昰捥挹〰ㅥ㡣攳戳戰㠵㕤捦㤳㜵ㅣ㙡㙢慡㠰攷㤷㉢搳㠵晥ㄱ捦戵㔹扥㘳㈳晢慦ぢ挵㤰捦㙢㝤戹㌶ㅢ㌹挳搶㑣昸㥣ㄲ㤴㐳ㅤ㝣㝢㜷㈱㤱攸㤴㈶㉦昶换㍥㕦敥㐸㤲ㅥ㈴挹㉤搸㔶晤㔶〰㐸〹昱㥢慥ㄲ㘵ㅦ㥢扤㔵㌵㑢㕢慣昴昰㘵㥣㑥摡㝣㠸ㅤ㜲㘴㈰㜴搸㑥挳㝦攰て搹㡢㤶摤ㄴㄶ〳昶㠲昴慡昰㉤㔸㜵㔹づ摤戲ㄴ㌵㍢戲攲㜵㈲㉢晡晡㍡捥搳ㄹ晥㌵㐵㈷㙤㔲㈲㤳摢㌳㉢㌳捥攲㉤愲愲ㅢ㤲㐲㈵挳㌵搴㤴㐰愴㍣戶摤ㄱ㌱㍤㠸㤸摢戰㜱晡㝥㠲㐹㠲〳〰㠵ㄷ㈰㘹戶扡昱っ㠷昵慦搱愵㕤愹攴㑡㐴㠳㜲ㄱ㍥摦㔵㔸ㅤ攴㙢摥㐶㜰㈷㐰㥢昹㐳〷㘴〶㈱㉡㤴㈷〸㔱㠵㌱捣㌳㤶扣㐰ㅡ搸㘵㈲戰㌴搳昰〳搷㘶㘴㘹挸㥣㜵㑦扡挱慣攵慦㈲ㄲ㌵㙡㐶㤹晢㔷愴〳敡昲㘰晢戴㤵戹慢慢戲愶㥢㡢㙥〳愲敤昸散㜶㌸㤸㘳㍢㘰㑢慡戳戹㈶㤰㝡㍢ㅦ㘳〸㠱㥤㔶晥㔶㝡㘳户攴晤收愱㙦戸戵愳㑢㔶㔰㤷〳㘶挸㜴捣㤷㑣散㈲㈲〷戵㝥㜳㘹挵㤳㜲㜶挸㍣敡㔹戵扡攵㐸㈲〳㌶㈶㠳㜵㜳昲ㅣ愲〴ぢ㉥㘳㠰慥㌳㘴㉥㜹㠶攳慦ㅡっ㈸慥敦㑥㍤愹戰㐸挱㥣戶ㅣㅦ慦㔱㔸㘴㝥搸㕣㕣㜱㉦㈰㘲摢戰㥤愳挶慡扦㉤戰㐲愲て㤳㐲㡤搰㠴愶㠹㤲㔶敡ㄵ㍦㍣㤰攷㜲攴扤㍣㠱挲㔵慥㐰㥦㜹㠶昶愶㕤ㅦ挵㘸㘸愷㜳㑥㠳㠸ㅥ㌵ぢ晢㌲愵㌰㌹㔵扦㡢㝤摥〱㜰捦搱搳挷㕢㤱戹㔷ㄴ戳㉥搰换㥦㈱攳ㄵ㔹㌴〳㈱昴搱敤ち㐹㠵㘵愴ㅣ㜰㈰㌰捥愷㜶昲㉢㥢慡つ愹㙦㔷㉢㝢〴㤱愴㐱㜳捥㔸㤶㜵挴愳㙤㈳搸ㄵ㍥搰㡣戵㡤扡ㅦ搵捤戸戶㙤㤰戴㐸㤶㡢㔵㠳ㄴ㍣搵〸摣ㄳ㤶愳㥢〰㡡晥愲㈲攳㈲㡡㡣㡢慡㘸搰㍣挵搰愰捡㜳㉣昷㥣攱㔹挱㡡㙤㔵㑢㝣㘰昸㙥㕢搰㈴㤸㥣㤲㌷㑥戱捣ㄸ㙢戳收㑦挳㘴昳㈷㠰敥〹挸㔱㙥ㅤ搱て捡搵㐴ㄱ晦㐴㡦㡥㈵〸ㄸ攵㈹搵摦㠵搱ち敡㜶〴㐴㡥㑡㤷攲㍢ㄸ㤷ㅥ㐵㐹㈸㠴㠸昵っㄲ㠱㔷㌰㈱攴改攲㉥㥡愷ㅤ㉢〰昶㠸戱㈳㔶㌰敢〳攵〰挸慡攳敤搵ち慢㠹㑥攳㑤慤㜰㝤㘷㔵㑡㑤㕣搷㔹㥦搴ㅢ㙦摥愰㍡搴㈸〹㐵戲㔹㈳愵㔹㌶㤸攳㜶㔲㌵㐲㈹敥㔸摢㠸㉣户㘹㙢摦㈹㐵㕥㠱㘲㔲㌴㤳搳摦慤〸〵㠱摥㐸㐷搱㘷㥦㑤ㅥ㠹㠸つ㙤㠰㌲昵㔴㔸㌶ㄴ㠵〴㡦攳摡㐹㑤㤶愳㈷昰昷慥㈸㍢摦〸㔲㌵挶挵搱愸㘶慡㕥㥦㜷㘰㈵㔴つ慦戶㑤㔸ㅡ㙢ぢ㌵㡣攲捥㕥戵㝦戸扤〹㐶㡣搸㤰㘱㤱っ㍦㌰搸㄰捣㤵㠸愸搲㍡ㅢ攲㔶㌷㡢㑢㝣㍡㈱つ㐷㘱㘰㌱愸捤捡㌵㘵㠶戵㉣昹㔱搵愱㜹㕡㔴㜲㔴㌷愷㤶㝤愸昴㠰㜲㍣捡㈹〶搷捤㔳㜴㑢攱ㄲ〳挴㙥㤴㕢愸〶〸敤㌶〷攰挹㘰晢㘰〷㍢ㄲ㠶㑥㘸㥤㔱㠲ㄶ㌳〸㌷扤〸昲㑥㡦ㄸ㠵㈰㌵㔵晡晢㘱昱搵㈷㤸扥㝤㌸ㄷ㘷㈲㈶㘲戸㉢挳㝡〰㜲㤳㤱㐹㜲搱㘸ㅣ㌰て㈵㥢ㄲ㕡㠳㜱ㄹ㑤㡣㈱㥡㝣㕥㠰㕢㍣㡣㘵つ㤳㙤敡戸攷ㄶ㔸搰愶昵昵㕤收㜱愷㕡㙦搴愴㔲挵戱慣㔶ㅡ㜹㕢攰㑢㕤〱っ戹㈹㘳㕦愲㑤㌹㡥愳ㄴ㤷㑣㈴昵㙥㜷敢㠷搱㕤〹㌹㡣ㄱ慡㍥〶㈰㌳摣㜲㉡㈰搶㜱㑦㠱昶攱敥搶〵〶㜵㜹づ㈲慤愳㠸戲㙣づ昷昱㥡㔱㘴挵㙤㠹㘶㜳敥㥣㑢㥢㍤㔱㜴捣ち㡢戶〵㡥戰捥㔰攰ㄵ㡢㌰㐶㝡攴づづ㤲扢ㄴ㐵㜷㉦㍤慡ㅥ㜳㤷㠰ち㠵〱挱ㄸ㉦㑦㐱㌹散㉡ㄸ㠹〶户搶戲扡〵愳扦戴扣昵㈹〰挱㌰㌰つ㕡戴っつ㥣ㄹ攴㌷㌷㜰慥㐷慢㡣〸㘹㌲㤸捡ㄸ攵㈸ㅣ昶㐰ㅡ戸㠹〷改㈵ㄷ㑡㈸搸愳㉥㠶挵㜷ㄳ挷㙤ㅣ㠱㕣敦㡡戶挲〵㈳挰昵ㄷ㘷㙦㕢昱㔴慤㐶㜳ㄷ晥戹㙤㠱㔵㕣摤〸捤搱㍤㙤㤷戲搴㥡㘸摦摤搰㔶ㄱ㕤ㄶ㍣㌰㍢㜱捣〸慡㉢㡢挱㝡㜸㜱慢㔷㤲㈸㍣〷㝦挴㠶㙦愷捤㥣㜷㜸ㄱ㜵㡤㝢㕦㍥敦戸ㄷㅣ㌵慦㠲捦㕢㝦愰㄰㕣愱散攷㈴换戹㝦攳㥦㑡㕡慥昰㔳㡣戸㤵㘹㜳㠰㤶㠳㠴攳愸ㄴ㑡㠳㌱攴㌳攸〴戶㝢昳搶〰改㘴㑦ㅢ㥤㈸㐱戰㐳㈸捥戹㔷㡤㔰挴㑦㠰㔶ㄲ㑢㜸㈴挷㥥㍦〳搶ㄷ捦愲㠴〸挷㜳㈴㐶ち㙦㐴㉥〳㜵㑡㤰㐷㔷㍣㜸㈱攴晦〷㑢㌱㌷㙦挸㑥晦〵㘶ㄶ㍦㙥㐷搱㜵㐴搱㡦㍡㔰㈴㜸つ㐴昱敦㍤挸挴愹挰昰散换ち㠴㜳㑤㍢〷搰搷晣挲敦晦昰〰㍡ㄷㄱ㠷戲搱㄰㙡扢ㄱ捦㑤ㄳ愱慦挳㐴㘰昰㕥㤹〸㈷㤰ㄱ㡣攲㠷㈶㐲攴〳㤹㐷挱收㈶〲㘳㝢ㄹ㠶㘰㈲搴㥡㜰㙢昰〴㜶㠵㑤晦搸㌱㕣扣㤵㍥攲昹㔰㕡晥っ㍣㔲㔷㜶ㄶ㉦ㄸ㥥㘱敦㔵攵㐷㍤〹㘵收㉤攱㈶户敡挲ㅥ㔷㙦㔸愳㍡㙤攰慢㠸扤散㍢晥㤴慤摤㕦〷愶挲ㄴ扡敦㐵㐹ㄴ㕦㠱愷㐴昰摣㤰晢搰㥥敦ㅥ晤挳挳㡦ㅦ收㙤戵㠸㔶ぢ户㈲摦㑢挸㥥昶〴㠲扡㠹㡢㈲㤷昳挳㥣ㄳ昸㐴挹㕡慤换㘹挳㔳㔶㤰慦摢㜱㌶㈴扣〴㘱㠶挴户ㅤ㑣㑣摣㝢〸㑤捣㠹㌶㜷愷晡戰㐹戹〸㈷ㄲㄳ㔷㍥扤㌸㙣㈸扡㉡戲ㅥ慤捤挲昷愱㡡㕥收㐴搲㔶㈲㑦㥤㑣㐲㝣慦㕤搷ㅤ愴慥ぢて㌲っ晢挷㔲ち昱〷㔲㐸昲㈰挳ぢ〱㑡㑡㥤㐲愶㜰ㅢ㐰㐶㘴慤㍤挴㑢㝦挰㡥㄰㤰捤㑢㝦㍤㝥挴㠲㕤〴ㄶ㘳㕦㝣慦㈷㕡摡愲戱㙡㘲愸㔶搹㌴㡢挸愸挳ぢぢ㈶攳搲㤴愵㜳〰愵㕢㜶㐷昱㈵㐳㜶ㄸ㜸ぢㄹ扢㘰搳搷㔶戶敦㜶ㅡ戸昹〱㍤㔳㔴ち挳搹捤㘲ㅣ㐸㔵㡣㉥㙣㕡づ㡢〸㠷挳㙣戳搳㐰㔴〵㥤攵散挵愹ㄴ挱㍦㝥㈹挴晡昱搶搰㤷户搷㔰挷㌹晤㔸㈰㝦戰扦慥换㘰㙣扣㤵ㅣ〳〹扢愵㔶愵昰㝡昸㘹㜴攱愲㜳㐲㙦㘵搵戳㌸㠸㍦㌱㘷昵㘹ㅤ晡㥦搱㙢挵㔹㘷搸㥢㘱散㤴晥㝦㉦ち㌶搵晦㠲戱㌷㠵挸昷㐵ㄹ㍥ㄴㄸ㍦搹㌴㘴挳ㅤ㠱㘷ㅢ挱ㅢ㜵㌰搶㔵㤶㈱敦㌰户㠸㡦㔷挳㙡㈵挱攱昷捡户㕦㡤㘸昶愵㙤㍢搰㔵〰㌲㌶㔴㜸〶㈲愸㙢晦戴摣㡡㑦户挵〷搰㜱捦〹慢敡戹扥㙢〶㘳㡢〸晡㡥昱摢㌳ㄳ㌶捦㤴昸㔶扢㔰扢〱㍢㌱昸㐱昴㌹㌹て㠱㝤㔲〶慦㔶㉣㤲㤱㠵慤㐵㌲昸ㅤ搲㐸㈲扣㐴敤攰㕦㘶摥搷㌰敡昸㜴㜵ㅥ扥捥㠰㐵摢㐲搹㠵ㅥ攷昶ㅢㅡ摣㍡摣搱扡ㄷ晥㈰㔹㥦㐰㜰㑣㉤攱㠱て㜲㕦摢昷㈰摤㌶㕡㥢捦㤶扤昹摣捡㠵愷㠱搳慤扤㈵㑤㌲㝣㈷扦㐸㉥敢ㄵ㐲㕣摡㍦㡣扦㕢㜷搰㜲戴㔱搰㜹昴㐱㌷ㅤ㘱攳㜵戸捦戶㄰晤㍥㡢慥㘲㡡〰㍦摤㠸㌲㝣㄰昴昲㤱ㄵ挵㌷戰㉣㌲〰昲戹㘲ㄵ愰㍢㔵㍦戹ㄱ㔵㡦挴〲㔹昰㡣㐱㜲㉣㡢慦愱㈱户㉢㕣㌶㔸㠲换ㄶ敡㉣㠱扣ㅥ昷㐰㍥㈷㜸㤶㔰ㄳ昹ち㍡㌴㈷㘲愱戴晢㐴扥扣搱㐴〴慤〰戵搰攴昸㈳戱ㄶ搱敢愸搶㙤〲㠷挰〵ㄸ愶㔸愴慣㈹㠶愱㠵㘷㠹ㄹ愴㕦㐷㝦㕦㍡晣挲昳㑣㝦㍢㉣㤴㈰㐴㔵㝡昲ㄴ㠴㙡昲㥦㑢㑥摥㐳㘹昷挹㝦㘶愳挹㡦㔰㐶㜲㈶㝡〰㌰搴㈷㉡昸愳ㄶ搳㐰㠶晢挸㥦㌸㑢㠰㕦㙡ㄶ㈳〶㑡㔴摦ぢ挸愰㉦㌷㕣戵扡㠸㑣摣户挰昵㘷㝣摣愳散㈳㕥㠴愴㉦愷ㄸ㍡㘳㡢愱㔶㉣搹㤱ㄷ㜶㕢挸〶㉣㠹㕦换㜶ㄵ改挵ㅥ㈳晣攲攳㌱㘲㡥ㅤ㡢扦㥣搲愲㤸ㄳ〸㈳戴㐸㐹㍦摣㐸昱戱戸昱て㝥搸㜲㤹愲〲〹搴ㄳ㌶㈶㥤愹挶ㅦ㡤ㅢㅦ挰㔷㔹慡㑤㡥㌷〸㤸㕥㡡ㅢ㤳ㅥ㔵攳挷攳挶㝦㍤戰户搹㌸愶挳㜰攴〲㠹㈴挳搶㔵搶㝦攲ぢ敤㘱㌴㉦㤸搴㥦〳㘶㔸㑣挹愹㐲挷㜵愵㐱〷㜱ㄹ挴挳㌷搲㜳戸摢㠴㉢㈰㄰戲攱晦㉡攱㌸敥㍣捤ㅡ㠱㠱㑦愰搷㄰㙣昶㜴昵挴捥㐵㜳摥㐳㐱扦㜹摣挷㤹慡戶慤㐸〴收㐰㍥摣摦㑤㥣昲ㄹ愶㘳㙢㍦攲㈰㤹挶㍢㈴扤㈹てㄵ㔸挹㡢て挷㤸捤㍤搶愲ㄹ晤㔱㈰〷搲ㄱ㤰ㄹ晤㌱挰㌰㄰挳摢捡戹ㄱ昲扦㘲敥て戳攲㈳〴㡦〳㤴〵㤹㥤㜴㔰晣㈸挰㜰晣㍦慡ㄸ㕢㔳晥ㄲ㑤㍣ㅣ扦㉣㐹㐶晡挷搹攱ㄳ〰㝤㜰摦㡡㠸〸换晡㈷㔱㤲㝣㈹〵㠷㝡改愷㔸昱㘹㠲捦〰㤴ぢ㥣散㤶㜷㡤㙢敡㔱㜳㝤ㄶ㕤挵㘳〴昸改㥦㡢㌲㝣㈸㜰ㅦ摥搹摤㔶收㔱㌸晥戰ㅦ愱捥搴ㄷ晣㜷攳㡢晣㜵㉥扡て晦㐳㤲㠲㌲散昳摡㍢㝡ㅢ㡢㑣㐰㥢㕣晤㔶戱搹慦㘰ㅣ慥慢ㄵ㐱攱㠸㔴㉡㈵慤㈸㠸㙦㉥㔸戸㜸〳摦㜲㐸㔵〸㐱ㅡ㔰ㄵ㑥㔴㜱ㄸ〵晡ㄷ搸㤴㌸㈶㥥昴㉦昲㠹愸㔵㥢昸愵㈸挳〷㐱扣慡敥て㐶摤攳ㄷㄲ搷慡挲㙡㝢㈱昱慦㉡㔶㤲㉦㝣㠲㠳㈹㘴㈱㤳搶㑡㐴㥡愲愱慦㈱㌳搴㌷捣戹摤㡦㥦㜶㔱㔴捦搶捥㥥晤攷㜰㝥散敡晣㝢摦㌳昸挴㑢扦晡攳攷㕦晣挰愱扦晣敢挹㈷㕦晣搳攷㥦晦搷㜳换㠷㝥昱昴搳㍦扦攷㥢捦晦㜱户昹㤴昶挳㝦捥㍤昵挸攴昹㐷ㅥ㌲㑦摦㝡昴㤱昷㍤㜸摦攴挲㘵攳㝤㝤晤晤㌷㡤晥昲慡㥢㐷ㅥ㝢攸挷攲㘷扦扢搲ㄱ㙡戹㜸㐱㝡ㅡ㕣戶㥡挶搷㤱挱㌴㌸攳搷㜴ㅡ㕣慥摡愸攵㘸愳愶㔱㔰㠲㑦㠳ㄳ㔰ㄵ㐶扡㘲攰㍦晡㐱戲㌷</t>
  </si>
  <si>
    <t>Decisioneering:7.0.0.0</t>
  </si>
  <si>
    <t>85e3ed96-ca25-4f85-8f49-826f10e7b925</t>
  </si>
  <si>
    <t>CB_Block_7.0.0.0:1</t>
  </si>
  <si>
    <t>㜸〱敤㕣㕢㙣ㅣ㔷ㄹ摥㌳摥㕤敦慣敤搸㡤搳㑢㑡㘹つ愵ㄴ敡攰挶㘹㐳㈹㄰㠲㉦㜵㤲搶㠹摤搸㐹㐱㠰㌶攳摤㌳昱㌴㍢㌳敥捣慣ㄳ㤷㑡慤愰攵㈲㙥ㄲ㌷㔱㕡㉥慡㄰㠸ㄷ㉥て摣㜹㐱㐲〲愱㠲㜸〰㈱㈴ㅥ㑡㠵攰〱㠴㈲㈱㈱ㅥ㄰昰㝤㘷㘶㜶㘷㜶扤㘳㜷摢㠲㡢㝣搲晤㝤收摣收㥣昳㕦捦晦㥦㘹㑥攴㜲戹㝦㈳昱㉦㔳㥥㤹敢㤶㌶晣㐰摡ㄳ㌳㙥扤㉥慢㠱攵㍡晥挴㤴攷ㄹㅢ昳㤶ㅦ昴愱㐱戱㘲愱摥㉦㔴㝣敢㐱㔹慡慣㑢捦㐷愳㐲㉥㔷㉡改ㅡ敡㌹〸㝦㈳昱㠳捥㕥㠳㜹㠰攵㤹改㠵㤵晢㌱敡㔲攰㝡昲挰搸搹戰敦㤱挹挹㠹挹㠹摢て㑦ㅥ㥡㌸㜸㘰㙣愶㔱てㅡ㥥㍣攲挸㐶攰ㄹ昵〳㘳㡢㡤㤵扡㔵扤㐷㙥㉣扢ㄷ愴㜳㐴慥ㅣ扣㙤挵戸晤つ㤳户ㅦ㍥㙣摥㜹攷ㅢ〶昱敡摣愹㤹改㐵㑦㥡晥ぢ㌴㘶㠱㔳扥㝤㔶㔶㉤慥㑤㑡捦㜲捥㑦捣㑣攳扦挴晣昱㜴挷挴搲慡㤴〱㕦㉤㍤改㔴愵慦愳攳㠰㍤攵晢つ㝢㡤㥢愷摢㜳㔸㙡搵昰㠳㠲㍤㈳敢㜵摤㡥㐷㉤搹ぢ搸扢扡戱㌱㘸㉦㐹挷户〲㙢摤ち㌶㡡昶㌲〶慡つ搹㘷㝣㜹摡㜰捥换㔳㠶㉤ぢ昶戱㠶㔵换㠷㈹搷㜷㜳㍣㐴㜲㘲㙡昹ㄳ㔳扥㍤戳㙡㜸㙡㐶㍥㌷㈶愳敤㥣㔷㑤户扤戱晢戸㥣扡㝡〳挷扣愹㝢㍢搴㥣㌵扣㘶换昱敥㉤愳挵愷㘷㜰㙢昷昶㠹㍤㑡昷㜹㙤昷㍥㙡㉢搳慤挵㐰㐴摦㙡㐷戱ㄸ扤㐸搰㑦㔰㈲㈰〲昵㌲挱〰挱㈰㠰挸晦つ㕣㤲散挸㉡慤㘲㘸㤵ㄵ慤㔲搵㉡㌵慤㈲戵㡡愹㔵捥㙢㤵㔵慤㘲㘹㤵晢戵捡〵戴㠹㔳愹扦㕦㡢搲晢敥戹敦㠹㘷晦敥捥㝤攵㕦挳户晥攲挰户㝥㌳戸〷㡤敥㡤㈶㌵敢ㄹㄷ㐱㙡㉤㉡〶㐷昰摦搶㕣〱愶㌰て㥢㜷㤸㤳㤳戵挳〷㡤摢㡣〲㤷㤵㠱晣ㄴ愱㡣愰敤愰㜹㥦攵搴摣㡢ち㜷搷㑤ㅢ扥㙣㙤摣㜸㔴㌷敤㌶㥣㥡晦戲捤㉢㤷〲㈳㤰搷戶搷戵〶改攸戶〴戶㤲扥㝡摦昵敤摤捥ㅡ昵㠶㥣扡㘴㠵搵㉦㙦慢戶ㄷ㍤㜷愵㝢敤㥣㈷ㅦ㘸搶㜶捣㘸ち㐲㙤㕤㡤摤戱捡戰㉡㥣搷搸捣慡敢㑢㐷㑤㙦摣㕥戴慡ㄷ愴户㈴㈹ㄲ㘵㑤㉤昵㑡㔶㐵㕣㍦扥攰㘰愱攰搶摡㉢㤳愵收㕤㤷〲㌰戳慣㘱扥㙢搲ぢ㌶㤶㡤㤵扡扣㉡搵㈴㝣㈷㉡昶愷㡡攷摣㙡挳㥦㜱㥤挰㜳敢改㥡愹摡扡〱㐹㔳㍢改搶㘴㍥㥦㔳㐲〱〲户慦㑦㠸摣㉤摤㜹㐱㈱㈲㠱㘲㌲昲㌵㘹戲㥢㌸㡤搵㘱ㄵ㜵㐹㥡搴㕥戵挵㘰㥣慦㤲㌱ㄹㅣ㤸㔸ㄳ昵〷㕦晡㥡㉤㠶㙤㘲敥挵㙤慣㘹愳搱敡敦㕡㤷㑥㜰摣㜰㙡㜵改㘵㙡㍦挱ㄹ改挳〰㠵换㄰〸㕤㜷㡦慡㑥㕣ㄲㅢ㠵㡢㔶㉤㔸㉤慥㑡敢晣㙡㠰㌲㘸挸㔲㠹㕢摢㤱昴㉢㔰愴敦㈵ㄸ〵㈸㤷㜳挵㝤㙣㔴㉣㈳攵ち㤴㑥ㄹ扣㥣ㄲ攴散㤷攲攵㐱㜳捥慡〷㌲ㄴ捡挳㈶㌰ㄲ㙡㌵㠵扥㈱㤲愸㘷㔴㐳㠵戱捦㥣〱㤵ㅡ㤶ㄳ㙣戴昸戶㠳㑢㐲㈲摡㤵〵㍢㑥ㄶ㔰ㄴ愴攵㐱〶慦㠱㘸摡愴㐱㜶攳〴ㄱ㤱つ㌲㌴㍢㐶㑥ㄳㄹ摢㘷挸〸戴㑦ㄲ㈱㕢ㅦ散㉥㈳㐸散㥤㐴捡㑥㕤昹㜱㔷㥡㙤㘶换㠷搲散㑡㙣㥣㝥ㄵ挱搵〴搷㄰散〷㄰㝦㠴㠴愳㤴㐳㍥㥤昴㤷攱㔹扦㡥攰攵〰㤰㑦㍡㘵㑥㈴慡㘸㐳㙤挷㡥㘴扢㈱搸挹捡㈸づ㐵ㄱ㉤攳愶㥤㌹㘴㉢㐴㐷㔶攷捥搰戵㜹愵㘳㕦摤㥤㌶㤳换㈱㐵㘶㌴㑤慥㜵㡢愶挹㡤㘰搳ㅥ昵搶つ攸慡㡦ㄱ扣〲愰慣扦㤲㄰捡㠵〶敦昶㉣㝡㥡㤴㉦〹戳㈸㌴㠶㝡㔴昰ㄱ㈱昳〸㤰㈱攴㍡㡥㉦扢㌶㌴捤挱㜱昳㈵㙦㐳ㅦ攸捥摦ㄱ搲摢昴收慥摥愱扦攸㌹㕡搱㌷㠲扤挴敦扡敡㤸㥢㔰慤扦㥡攰㘶㠰㌶ㅤ挳搳昷㜳昵ㄴ㈸戳搸㑥㘰㙥㉦扤㉥捡捡㕤摥㔸㤳㑡〳つ㥡换㠶㜷㕥〶昰㘰㥣㤸㠵㉤散㝡㥥慣攳㔰㕢㔳〵㍣扦㕣㥤㉥昴攷㍣搷㘶昹慥㡤散扦㈴ㄴ㐳㍥慦昵攵摡㙣攴っ㕢㌳攱㜳㑡㔰づ㜵昰㙤摤㠵㐴愲㔳㥡扣搸㉦晢㝣戹㉢㐹㝡㤰㈴慦挵戶敡户〰㐰㑡㠸㕦㜷㤵㈸〷搸散㜵慡㔹摡㘲愵㠷㉦攳㜴搲收㐳散㤰㈳〳愱挳㜶ㅡ晥〳㝦挸㕥戲散愶戰ㄸ戰ㄷ愵㔷㠵㙦挱慡换㜲攸㤶愵愸搹㤵ㄵ㉦ㄱ㔹搱搷搷㜱㥥捥昰慦㈹㍡㘹㤳ㄲ㤹摣㥥㔹㤹㜱ㄶ㙦ㄱㄵ摤㤰ㄴ㉡ㄹ慥愱愶〴㈲攵戱敤慥㠸改㐱挴摣㡡㡤搳てㄲ㑣ㄲㅣ〲㈸晣ㅣ㤲㘶扢ㅢ捦㜰㔸晦㍡㕤摡㤵㑡慥㐴㌴㈸ㄷ攱搳㕤㠵搵㘱扥收昵〴㜷〰戴㤹㍦㜴㐰㘶㄰愲㐲㜹㠲㄰㔵ㄸ挳㍣㙢挹㡢愴㠱㍤㈶〲㑢㌳つ㍦㜰㙤㐶㤶㠶捣㔹昷㤴ㅢ捣㕡晥ㅡ㈲㔱愳㘶㤴戹㙦㔵㍡愰㉥て戶㑦㕢㤹扢戶㈶㙢扡戹攴㌶㈰摡㑥捣敥㠴㠳㌹戶〳戶愴㍡㥢㙢〲愹户昳㌱㠶㄰搸㘹攵㙦愵㌷㜶㕢摥㙦ㅥ晡㠶㕢㍢扡㙣〵㜵㌹㘰㠶㑣挷㝣挹挴㉥㈲㜲㔰敢㌷㤷㔷㍤㈹㘷㠷捣㘳㥥㔵慢㕢㡥㈴㌲㘰㘳㌲㔸㌷㉦捦㈳㑡戰攸㌲〶攸㍡㐳收戲㘷㌸晥㥡挱㠰攲挶摥搴㤳ち㡢ㄴ捣㘹换昱昱ㅡ㠵㐵收㠷捤愵㔵昷㈲㈲戶つ摢㌹㘶慣昹㍢〲㉢㈴晡㌰㈹搴〸㑤㘸㥡㈸㘹愵㕥昱挳〳㜹㉥㐷摥换ㄳ㈸㕣攵ち昴㤹㘷㘸㙦摡昵㔱㡣㠶㜶㍡攷㌴㠸攸㔱戳戰㉦㔳ち㤳㔳昵㍢搹攷㡤〰㜷ㅦ㍢㜳愲ㄵ㤹㝢㕥㌱敢〲扤晣ㄹ㌲㕥㤱㐵㌳㄰㐲ㅦ摤㥥㤰㔴㔸㐶捡〱〷〲攳㝣㙡㈷扦戲愹摡㤰晡昶戴戲㜳㠸㈴つ㥡昳挶㡡慣㈳ㅥ㙤ㅢ挱㥥昰㠱㘶慣㙤搴晤愸㙥挶戵㙤㠳愴㐵戲㕣慡ㅡ愴攰愹㐶攰㥥戴ㅣ摤〴㔰昴ㄷㄵㄹ㤷㔰㘴㕣㔲㐵㠳收㘹㠶〶㔵㥥㘳戹攷つ捦ち㔶㙤慢㕡攲〳挳㜷㍢㠲㈶挱攴㤴扣㜱㡡㘵挶㔸㥢㌵㝦〶㈶㥢㍦〱㜴㑦㐰㡥㜲敢㠸㝥㔰慥㈶㡡昸㈷㝡㜴㉣㐱挰㈸㑦愹晥㘶㡣㔶㔰户㈳㈰㜲㔴扡ㅣ摦挱戸晣㌰㑡㐲㈱㐴慣㘷㤰〸扣㠲〹㈱㑦ㄷ㜷搱㍣攳㔸〱戰㐷㡣捤㔹挱慣て㤴〳㈰慢㡥户搷㉡慣㈶㍡㡤㌷戵挲つ㥤㔵㈹㌵㜱㝤㘷㝤㔲㙦扣㙡㤳敡㔰愳㈴ㄴ挹㔶㡤㤴㘶搹㘴㡥㍢㐹搵〸愵戸㘳㙤㈳戲摣愶慤㝤愷ㄴ㜹ㅥ㡡㐹搱㑣㑥㝦㡢㈲ㄴ〴㝡㈳ㅤ㐵㥦㝤㌶㜹㈴㈲㌶戴〱捡搴㔳㘱搹㔰ㄴㄲ㍣㠱㙢㈷㌵㔹㡥㥥挰摦㝢愲散㐲㈳㐸搵ㄸ㤷㐶愳㥡愹㝡㝤挱㠱㤵㔰㌵扣摡づ㘱㘹慣㉤搴㌰㡡㍢㝢搵晥攱昶㈶ㄸ㌱㘲㐳㠶㐵㌲晣挰㘰㐳㌰㔷㈲愲㑡敢㙣㠸㕢摤㉣㉥昱改愴㌴ㅣ㠵㠱愵愰㌶㉢搷㤵ㄹ搶戲攴㐷㔵㠷收㘹㔱挹㔱摤㥣㕡昱愱搲〳捡昱㈸愷ㄸ㕣㌷㑦搳㉤㠵㑢っ㄰扢㔱㙥戱ㅡ㈰戴摢ㅣ㠰㈷㠳㥤㠳ㅤ散㐸ㄸ㍡愱㜵㐶〹㕡捣㈰摣昴㈲挸㍢㍤㘲ㄴ㠲搴㔴改慦㐷挵㘷ㅦ㘷晡敡搱㕣㥣㠹㤸㠸攱慥っ敢〱挸㑤㐶㈶挹㐵愳㜱挰㍣㤴㙣㑡㘸つ挶㘵㌴㌱㠶㘸昲㜹〱㙥昱㌰㤶㌵㑣戶愹攳㥥㕢㘰㐱㥢搶㌷昶㤸㈷㥣㙡扤㔱㤳㑡ㄵ挷戲㕡㘹攴ㅤ㠱㉦㜵〵㌰攴愶㡣㝤㠹㌶攵〴㡥㔲㕣㌲㤱搴扢摤慤ㅦ㐵㜷㈵攴㌰㐶愸晡ㄸ㠰捣㜰换愹㠰㔸挷㍤〵摡㠷㝢㕢ㄷㄸ搴攵㌹㠸戴㡥㈲捡戲㜹摣挷㙢㐶㤱ㄵ户㈵㥡捤扢昳㉥㙤昶㐴搱㜱㉢㉣摡ㄱ㌸挲㍡㐳㠱㔷㉣挲ㄸ改㤱㍢㌸㐸敥㜲ㄴ摤扤晣戰㝡捣㕤〶㉡ㄴ〶〴㘳扣㍣〵攵戰慢㘰㈴ㅡ摣㕡换敡ㄶ㡣晥搲昲搶愷〰〴挳挰㌴㘸搱㌲㌴㜰㘶㤰摦摡挰戹〱慤㌲㈲愴挹㘰㉡㘳㤴愳㜰搸〳㘹攰㈶ㅥ愴㤷㕤㈸愱㘰㥦扡ㄸㄶ摦㑤ㅣ户㜱〴㜲扤慢摡ちㄷ㡤〰搷㕦㥣晤㙤挵㔳戵ㅡ捤㕤昸攷㜶〴㔶㜱㜵㈳㌴㐷昷戵㕤捡㔲㙢愲㝤㜷㘳㕢㐵㜴㔹昰搰散挴㜱㈳愸慥㉥〵ㅢ攱挵慤㕥㐹愲昰㐳昸㈳㌶㝤㍢㙤收扣挳㡢愸敢摣晢昲〵挷扤攸愸㜹ㄵ㝣摥晡〳㠵攰ち㘵㍦㈷㔹捥晤ㅢ晦㔴搲㜲㠵ㅦ㘰挴敤㑣㥢〳戴ㅣ㈴ㅣ㐷愵㔰ㅡ㡣㈱㥦㐱㈷戰摤㥢户〶㐸㈷晢摡攸㐴〹㠲㕤㐲㜱捥扦㘰㠴㈲扥て戴㤲㔸挲㈳㌹昶晣换㘰㝤昱㍤㤴㄰攱㜸㡥挴㐸攱ㄵ挸㘵愰㑥〹昲攸㡡〷㉦㠴晣晦㘰㈹收收㑤搹改扦挰捣攲扢敤㈸扡㥥㈸晡㑥〷㡡〴慦㠱㈸晥扤ㅢ㤹㌸ㄵㄸ㥥㝤㑥㠱㜰慥㘹昷〰晡愲㕦昸晤ㅦㅥ㐰攷㈳攲㔰㌶ㅡ㐲㙤㌷攱戹㘹㈲昴㜵㤸〸っ摥㉢ㄳ攱㈴㌲㠲㔱晣搰㐴㠸㝣㈰ぢ㈸搸摡㐴㘰㙣㉦挳㄰㑣㠴㕡ㄳ㙥つ㥥挰慥戲改ㅦ㍢㡥㡢户搲㐷㍣ㅦ㑡换㥦㠱㐷敡敡捥攲㐵挳㌳散晤慡晣㤸㈷愱捣扣㘵摣攴㔶㕤搸攳摡㑤㙢㔴愷㑤㝣ㄵ戱㤷㝤搷㥦戲扤晢敢挰㔴㤸㐲昷扤㈸㠹攲昳昰㤴〸㥥ㅢ㜲敦摥昷戵㘳扦㝦昰搱愳扣慤ㄶ搱㙡攱ㄶ攴㝢〹搹搳㥥㐰㔰㌷㜱㔱攴㑡㝥㤸㜳ㄲ㥦㈸㔹㙢㜵㌹㙤㜸捡ち昲㜵㍢捥㠶㠴㤷㈰捣㤰昸㜶㠲㠹㠹㝢て愱㠹㌹搱收敥㔴ㅦ㌶㈹ㄷ攱㐴㘲攲捡愷ㄷ㠷つ㐵㔷㐵搶愳戵㔹昸〶㔴搱㜳㥣㐸摡㑡攴愹㤳㐹㠸慦户敢扡挳搴㜵攱㐱㠶㘱晦㔸㑡㈱晥㐰ち㐹ㅥ㘴㜸㈱㐰㐹愹搳挸ㄴ㙥〵挸㠸慣戵㠷㜸改て搸ㄵ〲戲㜹改慦挷㡦㔸戰㡢挰㘲散㡢敦昵㐴㑢㕢㌴㔶㑤っ搵㉡㥢㘶〹ㄹ㜵㜸㘱挱㘴㕣㥡戲㜴づ愱㜴摢敥㈸扥㘴挸づ〳㙦㈱㘳ㄷ㙣晡摡捡昶㕤㑥〳㌷㍦愰㘷㡡㑡㘱㌸㝢㔹㡣〳愹㡡搱㠵㑤换㘱ㄱ攱㜰㤸㙤㜶ㅡ㠸慡愰戳㥣晤㌸㤵㈲昸挷㉦㠵㔸㍦摥ㅡ晡捡昶ㅡ敡㌸愷ㅦぢ攴て昶搷昵ㄹ㡣㡤户㤲㘳㈰㘱户搵慡ㄴ㕥て㍦㠳㉥㕣㜴㑥攸慤慣㝡ㄶ㠷昱㈷收慣㍥慤㐳晦㌳㝡慤㌸敢㉣㝢㌳㡣㥤搲晦㙦㐳挱㤶晡㕦㌰昶愶㄰昹昶㈸挳㠷〲攳㈷㕢㠶㙣戸㈳昰㙣㈳㜸愳づ挶扡捡㌲攴ㅤ收㤶昰昱㙡㔸慤㈴㌸晣㕥昹昶慢ㄱ捤扥戴㙤〷扡ち㐰挶㠶ち㕦㠶〸敡摡㍦㉤户攲搳㙤昱ㅤ攸戸敦愴㔵昵㕣摦㌵㠳戱㈵〴㝤挷昸敤㤹〹㥢㘷㑡㝣愹㕤愸摤㠸㥤ㄸ㝣ㄷ晡㥣㕡㠰挰㍥㈵㠳ㄷ㉡ㄶ挹挸挲昶㈲ㄹ晣づ㘹㈴ㄱ㕥愲㜶昰慦㌰敦㙤ㄸ㜵㝣扡扡〰㕦㘷挰愲ㅤ愱散㐲㡦㜳晢つつ㙥ㅤ敥㘸摤〳㝦㤰慣㑦㈰㌸愶㤶昰㡥㜷㜱㕦摢昷㈰摤㌶㕡㥢捦㤶扤昹摣捡㠵愷㠰搳敤扤㈵㑤㌲㝣㈷扦㐸㉥敢ㄵ㐲㕣摡㍦㡡扦摢㜷搰㜲戴㔱搰㜹昴㐱㌷ㅤ㘱攳㜵戸捦戶ㄱ晤㍥㠷慥㘲㡡〰㍦摤㠸㌲㝣㄰昴昲㤱ㄵ挵攷戱㉣㌲〰昲戹㘲ㄵ愰㍢㔵㍦戹ㄹ㔵㡦挴〲㔹昰㡣㐱㜲㉣㡢㈷搰㤰摢ㄵ㉥ㅢ㉣挱㘵ぢ㜵㤶㐰㕥㡦㝢㈰㥦ㄳ㍣㑢愸㠹㝣〶ㅤ㥡ㄳ戱㔰摡㝤㈲㥦摥㙣㈲㠲㔶㠰㕡㘸㜲晣㤱㔸㡢攸㜵㔴敢㌶㠱㐳攰〲っ㔳㉣㔲搶ㄴ挳搰挲昷㠸ㄹ愴㕦㐶㝦㥦㌹晡昳愷㤹晥㜲㔴㈸㐱㠸慡昴攴㈹〸搵攴㍦㤶㥣扣㠷搲敥㤳晦挸㘶㤳ㅦ愱㡣攴㑣昴〰㘰愸㑦㔴昰㐷㉤愶㠱っ昷㤱㍦㜱㡥〰扦搴㉣㐶っ㤴愸扥ㄷ㤱㐱㕦㙥戸㙡㜵〹㤹戸㙦㠱敢捦昸戸㐷搹㐷扣〸㐹㕦㑥㌱㜴挶ㄶ㐳慤㔸戲㈳㉦散㡥㤰つ㔸ㄲ扦㤶敤㉡搲㡢㍤㐶昸挵晢㘳挴ㅣ㍦ㅥ㝦㌹愵㐵㌱㈷㄰㐶㘸㤱㤲㝥戸㤱攲㝤㜱攳㙦㝥扢攵㌲㐵〵ㄲ愸㈷㙣㑣㍡㔳㡤ㅦ㡢ㅢㅦ挲㔷㔹慡㑤㡥㌷〸㤸㥥㠹ㅢ㤳ㅥ㔵攳㐷攳挶㝦㍥戴扦搹㌸愶挳㜰攴〲㠹㈴挳搶㔵搶㝦攲ぢ敤㘱㌴㉦㤸搴㥦〳㘶㔸㑣挹愹㐲挷㜵愵㐱〷㜱ㄹ挴挳㌷搲昳戸摢㠴㉢㈰㄰戲攱晦㉡攱〴敥㍣捤ㅡ㠱㠱㑦愰搷ㄱ㙣昶㜴昵挴捥㐵㜳挱㐳㐱扦㜹挲挷㤹慡戶愳㐸〴收㐰㍥摣摦㉤㥣昲ㄹ愶㘳㙢㍦攲㈰㤹挶㍢㈴扤㈹てㄵ㔸挹㡢昷挴㤸捤㍤搲愲ㄹ晤㘱㈰〷搲ㄱ㤰ㄹ晤ㄱ挰㌰㄰挳摢捡戹ㄱ昲扦㘲敥昷戰攲扤〴㡦〲㤴〵㤹㥤㜴㔰㝣っ㘰㌸晥ㅦ㔵㡣慤㉢㝦㠹㈶ㅥ㡣㕦㤶㈴㈳晤晤散昰〱㠰㍥戸㙦㐵㐴㠴㘵晤㠳㈸㐹扥㤴㠲㐳扤昴㐳慣昸㌰挱㐷〰捡〵㑥㜶摢扢挶㌵昵愸戹㍥㡡慥攲ㄱ〲晣昴㡦㐵ㄹ㍥ㄴ戸て㙦敡㙥㉢昳㈸ㅣ㝦搸㡦㔰㘷敡ぢ晥扢昰㐵晥〶ㄷ摤㠷晦㈱㐹㐱ㄹ昶㜹敤㡤扤㡤㐵㈶愰㑤慥㝥㙢搸散攷㌱づ搷搵㡡愰㜰㐴㉡㤵㤲㔶ㄴ挴㌷ㄷ㉣㕣扣㠱㙦㌹愲㉡㠴㈰つ愸ち㈷慡㌸㡡〲晤ㄳ㙣㑡ㅣㄳ㑦晡㈷昹㐴搴慡㑤晣㔴㤴攱㠳㈰㕥㔵昷晢愳敥昱ぢ㠹㙢㔵㘱戵扤㤰昸㔷ㄵ慢挹ㄷ㍥捥挱ㄴ戲㤰㐹㙢㈵㈲㑤搱搰ㄳ挸っ昵つ㜳㙥昷攱愷㕤ㄲ搵㜳戵㜳攷晥㌱㥣ㅦ扢㌶晦戶户づ㍥晥捣捦㥥晤昸慦摥㜹攴㑦晦㝣昲挹㕦晤攱攳㑦晦昳㠷㉢㐷㝥昲搴㔳㍦扥晢ぢ㑦㍦扢搷晣愲昶敤㝦捣㝦昱愱挹ぢて㍤㘰㥥戹攵搸㐳㙦扦晦摥挹挵㉢挶晢晡晡晢㙦ㅥ晤改㌵慦ㄹ㜹攴㠱敦㡡ㅦ晤昶㙡㐷愸攵攲〵改㘹㜰搹㙡ㅡ㥦㐳〶搳攰㡣㕦搴㘹㜰戹㙡愳㔶愲㡤㥡㐶㐱〹㍥つ㑥㐰㔵ㄸ改㡡㠱晦〰㥣ㄲ戳散</t>
  </si>
  <si>
    <t>㜸〱敤㝣㜹㝣ㅣ挵㤹昶搴㐸搳㔲㡤㘵㙢㙣㜳㠴㈳挶㠰捤㘵㈲㌴扡㤵挴昱㈱㔹戶㡣挱挶㌶昷㈱㝡㘶㝡搰攰㌹捣捣挸㐷㈰㐰昸㠵㥣㕣敢昰ㄱ㤲㄰敥㍢㐰〸昰ぢ攰㈵ㅣ㔹㡥ㅣ㤰戰㐰挸㉥ㅦ㑢〸㈴挰ㄲ㈰㝣㌹㐸㐲挸昲㍤捦摢摤㥡㥥㥥ㅥ㔹㌸散㙦晤挷戶㍤慦慡敡㝤敢慤慡愷㡥慥昷慤敥づ愹㔰㈸昴㍥㉥晥攵搵挸挰㥥㙢㌶㤷捡㔶慥㙤愰㤰捤㕡挹㜲愶㤰㉦戵㉤㉡ㄶ捤捤㉢㌲愵㜲〳〴㡣㤱っ昸愵挸㐸㈹昳㘹慢㜹㘴㠳㔵㉣㐱㈸ㄲち㌵㌷敢㌰昸㔳㥣㕦捣㡤㘸收搲㡤㈴㤰ち㘹㠳愴㠹愴㤹㐴㤳㐴㐹㤸㔳户㤰㑣〵㘹㤹〶戲㜶㘰昱捡挴愹愸挷㥡㜲愱㘸ㅤ㍣晢㈸扢戴昹昱㜸㕢扣慤慢㍢摥搱搶㝥昰散㠱戱㙣㜹慣㘸捤捦㕢㘳攵愲㤹㍤㜸昶慡戱㐴㌶㤳㍣搴摡扣戶戰捥捡捦户ㄲ敤㥤〹戳慢㉦摥搵摤㥤敥敦敦㙢㘹㠵收挳〷ㄶ慦㉡㕡改搲㠷愵㌳㐶㥤㉢〷ㄶ户ㅤ㙥㤵㍦㉣㥤搳愱ㄳ㉡〷ぢ㌹㌳㤳晦㤰㤴㐶搸ㅢ摤㠳㔶㌲挳㙥戳慣㘲㈶㝦㑡ㅢ慡㕤〵㌴㘲扤㙤㡢㑡愵戱摣㝡㡥㠰〱㉢㥢㕤㙤愵愵扢㜲㠳愵昲㉡戳㤸㉢戵攴㠸㥦㔵戴昲㐹慢㌴㉤户㘴㔳搲捡㍡㠲愵收摣㔱㘶昱㜰㌳㘷㌵㌲搰㥡戳晢㜰㌸㘵攵换㤹昲收愹戹㈳㑢搶㙡㌳㝦㡡㐵㤱㐸㙥改㔸㈶愵ㅡㅢ昱㍦搴戰㝦㔰捤愴愳㔰㥦摣挰愸㔹㉣㑢㡣㕤ㄸて㤲昵っㄷ㘹㐵㔵扤㌸愴㘶晢㜲戱捦搶㘴㜲㠷㕡挵扣㤵㘵㈱散挹㜹㍥㈱〱挸敥㠷㜱愴摣收戰㤷搴ㄴ㘷摡戰㉤㉣挵㤸〱ㄲㅢ㍣搶㉡ㅤ㕥㌸㜸㔵戱㤰㤸摦㡥昱慡㘷㈲㔵敦㐴晥捥㈰つ㐳昱づ扤ぢ㤳㜶〵㔱㡤慦㘱㌲㝡ㄵ㜱㐲㠴㐷捣昰㐸㈲㍣㤲っ㡦愴挲㈳㔶㜸㈴ㅤㅥ㌹㈵㍣㌲ㅡㅥ挹㠴㐷㑥つ㡦慣㠳㡣㝢㌵㌷㌵㠵㥤慢攷戸㤳㐲昱搷ㅥ㍤散㥣搱㐷捦㘹戸敦慡㜶挵昹㈷搳㜷㌷〴㙡㉢戶㍢㔲昵ㅥ㈰挶㥥㈰攱愱㙥晤㔱愶捣〲㔱敡㔷愸ㄷ敢㜶㔶昱愸扢捡㑤扦㕢㝥挳㜵晡慤搹捦晤晤㕥挵昹㉣㑡㘷㈳㔰慢㜴㙦愴敡㝤㐰㡣㝤㐱挲㐳扤㝡づ㔳收㠲㈸昵㥣愳㜴㤷换㝡㝢收扥㥦ㄸ扥㘹攷㝦晦晣㐷ち㕢㝥愰戸㍥㠸搲晤ㄱ愸㔵㝡〰㔵ㅣ〸㘲ㅣ㐴挱愱㜸㕣捦㘳搲挱㈰㑡㍤敤㘸敤ㅢ㝣㘹户㔹㝦㌸㜵攱敤搷散㜹攲扢㝦晥敢ㄵ㡡ぢ㡥㘸㙤㐳愰㔶敢㈱㔴搱づ㘲挴㐱挲㐳㥤扡㠳㈹㥤㈰㑡㍤敥㈸扤攴㤶攳搶晤敡晣挷㔷㙥摤㝦晡ㄹ㙦㠶ㄷ捥㔰㥣ㄱ愲戴ㅢ㠱㕡愵㍤㔴搱ぢ㘲昴㠱㠴㠷晡㜴㍦㔳㍥づ愲搴㈳㡥搲㘳㙦㝦昷㥥换㥦摦㘹昸晡㌷㕦㐹㜷㕥昰搰〵㡡ぢ愲㈸晤㈴〲戵㑡攷㔳挵愷㐰㡣〵㈰攱愱㝥扤㤰㈹㡢㐰㤴扡摦㔱扡挷ㅥ㡤㤷晥㝥敢㠶㠵摦晡攱ㄵ搳㝢㑦昸摤㕤㡡ぢ慣㈸ㅤ㐰愰㔶改㈰㔵㉣〱㌱㠶㐰挲㐳㍤㝡㈹㔳㤶㠱㈸㜵户愳㜴㈷敢㠵ㄳ昷㕢昸晡攲扢㈳て㍤昳昱搲昵㝦㡢㜰㝣㜶〶捤ㄴ晦㈴ㅣ挲攲㥤㌴㑢㘵㘷㝤㘰㕦㝣戸换挷戶㔷㡦愱㘲昲扦㝦昵㐰㈱ㅦ捡敡愱㤷ㄳ晤㐳㐱㡣ㄵ㈰つ换戰㑥ㅣ挶愴挳㐱㤴晡慥搳㈱㡦戵㝤晤㡢㠹愱㍦て㝦㜳摤晥捦扦㝤㕥敥扦ㄴ㙦㥥搲换慢㄰愸敤攵㈳愸㘲㌵㠸戱㠶㠲㐳昱㜶扤㤶㐹㐷㠲㈸㜵戳愳昵愲㤷㌶て愴㙥㍤㙤挵扤㉦㉦㠹扦搳㜶挳ち挵扢戱㘸㍤ㅡ㠱㕡慤挷㔰挵戱㈰挶㜱㈰攱愱㉥㝤㍣㔳㑥〰㔱敡ㅡ㐷㘹攱㡤㍦ㅤ㌸敤昸晤㤷摤晡攲摤戳搴㜳㜷晤戲攵㈴戰㡦㜰ㄶ捤挱愲戹ㄱ户愱捡ㅤづ户㜵晥摢昶慤ㅤ㜷昶㜴㜷扡㌷ㅤ㡦愷扡摢捤㑥㌳挲〵㜶戲昷㄰㜶㔵㑢晡攸㑣㍥㔵搸㈸㌷㤵㍤ㄷ㥢㈵慢㌲㑡收㌹扣挵㠵戱㝣慡戴㐷㌰㜳㑤搹㉣㕢扢晢㜹ㄵ㈵㌵搹搶攰㤶㙢㤵愴扣㔹晥㙣㐷㤹搹㌱㙢搱愶㡣捤晥愸㡦㡤ㅢ㙥㈱㔱㥦㍢㔴戴㑥ㅢ攷搶搴㘸ㄱ昶㜲ㅢ㐴㜷㑤㉢㙤㤶㕤慦搹〳愳㠵㤲㤵㤷敡捤换慤捡㈴搷㔹挵㌵ㄶ㜷㠲㔶㑡㥡扡㌳㔹捥㕤㝦摥捡㍣ㅡ㡡晢㜸㙡ㅦ㙦㙡㝡挹愶戲㤵㑦㔹㈹搴㜷扤㔵㉣㙦㕥㙢㈶戲搶㉥㔵㈲㜶㤹㘰散㔶㤵㍣㔴㐸㡥㤵〶ち昹㜲戱㤰慤收㉣㑡㙤㌰戱搳㐸ㅤ㔶㐸㔹搸㈸㌴昲ち愹㔰㐳㠳㔲愱㠳㠲搶㈰敡㉤戵㐹㐷㜸扡㤸晢㠶㡦㔴て扢戶搵㘸ㅤ㕡㤱戵㌸㈶挳㜳戶愱㑣昴㔲捤㠱昵〵㍤㙤攲戶㤹搲〷搴㤷㤶㍡㡥昷摣㝦慦㜰㌸㍣搳㘹晤㤲つ搸㡤㉤㌳昳愹慣㔵㥣㜰搳慦㔸㈳㍤〲ㄲ戹ㄲ戳戹㉥㝡摣㘱愸㑤㙡㜳㘴㘳㈶㔵ㅥ㌵㐶慤捣㈹愳㘵愴挱㌰㘸㙥㈶戴㌵㤷㌶㤱愴ㄳ㈴㐹㤰㘸㌴㘴愴㈸㘴㐴戵㘵挷㈳摣㉢㝤昰㝤ㅥ㑤て㉤晢㑡ㄸ〱愵㐸づ昷㥦㔲㐳㐳㔰㉢㤷㤹愵搱㌲㠷攷㠴㑣敥攸㜴㥡攴ㄴ㤰〸户㙣摢摣㐶ㄲ戵㐶敥㤶愷收〶慤戴〹ㅢ㐵㘶户㌲㈳㌹㝢摢㍢㘸㤵㤲㥡晢攳㘱捣㤵㑤〶㐲㤸晣㉤㌹㡥㝥㙢㔳㜹搰㉣㥢㑤㌹散戴搱㑢ㅡ㐲昳㈴㤷ㅤ㘲捥愹㤲收收㡥㍡㌱㘸㠸㐹搰愳㘵㡡㈴搸㥡㌰㜱㌰㕦㐲つづ㥤戸ㄱ愸㍢㤷㐸挳㍦搰慢㜷捣搸挸愷㤶㕡昹戵㥢搷㕢㈵㡡㌷ㅢㄳ㐲改㥦㕥㔴戶㌲㤹㌸戲㥣挹㤶摡㔰搳愵挵挲搸晡て㔳て㜵改㔱㄰昷㡡㝣つ愳㜸昲㙤〲㕣愱愶つ散㥢㤱㤱㔰㌳戵㌱㐵㜳晦慥㌹㕡愱散㝤晣㤱㑢㘷昱㈷㍡ㄱ㉦挲㥤晥〷戱㉥戸挵㙥挹〱愱戵㐵㑢散愵㘶㠹〰敤愹戹愳ぢ挵㜵㠹㐲㘱ㅤ挷搳㌴㠹㤵㐶㉤慢㑣ㅢ㘴㡡㘳㜳㠹㙤愵㔴㐳㐳㤵㕤攱㌱㔶㘸扤ㄸ敢㐱愶㉥捡㘶㘷扢ㅡ㑢挶㘹㐸㙡㠰㌵㘴ㄴㄱ㤸戹摡摡㤰戱㌶捥㕥㘳㤵㘸㌵戶㙤捡㤶㌶愹昳搱㜰㕡〵㤷扣昹昲戹㜳㝦㝣敥捡ぢ㠷捦㈹挴㕥扤㜷慥㍡捦㘱搴搸㈰㌴㌲挴〲ㅡ㐳㐰㝤ㄹ㘲㕣㔰㄰慥扥昴㐶挴昵㈶㤲捤㈰㔸ㄶ〴㘸慣ち愷摢㔱㐵㐳㠵㉢㠳㍥㠳攴㌳㈰㡡收㡡㤸㔲㘷㈲攰㕥敡戳搰捦敥㤶㉥愳㘵㔳摢㘵攷㈰㌵慡㈷攰愹㔹㤰㘰户㘹挲愴〹㡣㈶㈸㙡㈳ㄴ〷〲戰挱㘱搴搸㑢㝢㈳㥢〰昰ㄵ收㉦㐳㉣ㄸ㠰昳㔹挶〵㈴ㄷ㠲㜸〰昸㈷㍢慡㘸㔴〹〰㕢㈸昴㔵㄰㌵〷㐴〰戸ㄸ〱昷㔲敢㔰挶㌸〰晢㈲戹ㄶ㠰㑢㤱ㅡ搵ㄳ昰ㄴつ戶㈰〰捣㝡〰㥣散㌰㙡㙣㍢ㅡ㙦〲挰㔵〸愸㤳敡〲㜰つ搸晡㕡㤲敢㐰㍣〰摣㘰㐷ㄵつ㐰〱攰㐶ち摤〴愲收㠱〸〰㌷㈳攰㕥敡㐸㉦〰戴ㄸ㙢〱戸つ愹㔱㍤〱㑦搱戶っ〲攰搰㝡〰㉣㜷ㄸ㌵㘶攸㈱搰㈴〰摣㡤㠰㕡㔶ㄷ㠰㝢挱搶㕢㐹晥ㄹ挴〳挰昷敤愸㙡挷㕦〱攰㝥ち㍤〰愲㍡㐰〴㠰〷ㄱ㜰㉦戵〰㘵㡣㡦㠰㌸㤲㙢〱㜸ㄸ愹㔱㍤〱㑦㜵㐲㈲〸㠰㙥愷㥤㌵㙢㐰㤷换昰㥢捣㍤搰㈴〰㍣㠱㠰敡㠰㔸昰ㄴ昸ㄹ搸晡㐹㤲㝦〵昱〰昰戴ㅤ㔵扤昸㉢〰㍣㐳愱㥦㠳㈸㕡搷〲挰戳〸戸㤷㍡搰ぢ〰つ昱㕡〰㥥㐳㙡㔴㑦挰㔳ㅦ㠷㐴㄰〰㝢戹敤昴㉦㠲戳ㅣ㐶㡤㜹㑦晢㕤〰㜸ㄹ〱戵㈷挴㠲〱昸つ搸晡ㄵ㤲㔷㐱㍣〰晣愷ㅤ㔵㥦挲㕦〱攰㜵ち晤ㄶ㐴㉤〴ㄱ〰摥㐰挰扤搴㑣㤴㌱㍥〲ㄶ㈰戹ㄶ㠰户㤱ㅡ搵ㄳ昰搴㈲㐸〴〱愰敢〱搰散㌰㙡㕣ㄱ㠳搰㈴〰晣ㄵ〱㘵搴〵攰㙦㘰敢昷㐸晥づ攲〱㠰㜷っ㐴搵ㄲ晣ㄵ〰㜸㐷搶摣搷愸愵㐸ㄲ〰挲㠸戹㤷晡晢㝦㜹〰愰㠳愳ㄶ〰〳昲㔱㍤〱㑦搱ㄷㄲ〴挰ㅦ愰㍣昰㉥昰㝢㠷㔱攳㌶㔹づ㑤ㄳ搸愸㔵㥥ち戶慦捡㐶㙤㐹て㘵戲㘵慢㘸㥢㈱㘹晣戱㍤戹ㄲ㥦㑡搳慢㘸㈶㙤ㅦ改㑥改〱㔸㕦㜰ㅤ㤷㌷㔷散搱ㅡ敢捦㌶㡥晥搷挶摤攱㙣㕣戱㜰慢散摣〹㙣㐸っㅡ㥦㤵㍢戱戰㜷㄰㘱㠸〵敥㐸㘵㐸戵㐱㜳昵㈰愳㘱攳摦㍥㡢㝦㝣㕣摥㍢〸㈹摤㕥摦昶攵㘰慦ㅤ愴捣㔴搷捥㍣〹捣晦戵搲晤㐷㜳戶㤵摥捡㤵㌰㐶㌲㥤㘴〶挹㑣㄰昵〶ㄶ愳攰晢捣捥㤴搹㠵㘴㔷㄰捦㌲扢ㅢ愲挶敥㈰㉤㡢挶捡㠵搹㑥愷㐶㤵愲㕦㔲搶摤㍤㤸㙢㑦㑡㝣ㄴ攴昰㘵㔶ㄶ敥㥥て敢㐴㉤㐲㠷攷挴〶㉡〶捦っ〸敤㤲㕢戳㌹㥦ㅣ㉤ㄶ昲㌸㤱愴摤扣㈸㠹㈳愹㤲㌲㡤摣㡡挲挰㔸搹挸㉤换攰㑦㑢㙥戵戵摥㌲换〳㜰攷挱㈸㕦〱㝦戴㤸摣挳愹㑤晦㤳㈶㜹愸ㄱ㑤㠰愷戴㘲㤵㉢晦搴戵㡤㘳〷摥戶挱〲㡥㌷㉤㌹㤳㈵散㠶〱昷捡づ㘸㜳攳昰〸戵扢攲晦摤晣㠹戹摦晡捥晢捥摦戳㜰户㤷㑢慦㐰愳㙢㙦挳㝢㈳㑢㜴㈲㥥愲〷㝣晣㌶㙣散㐷搸㌰っ㙣㠳散摦敡摤㡡㝦攱㌰㙡ㅣ收㐷㐰㥢散㐵づ㠲㈲昵昳扡㤳攴㘰戰昵挷㐸摡㐰㍣㤳愴摤㡥慡搵㔰㈴㜳㈲㑥愱づ㄰戵ㄶ㐹戲ㄷ改㐴捣扤搴攳㈸㘳㝣㌳戶〶挹戵㈰昴㔲愷㥥㠰愷攸戰ㅦ〷挱㘳㤱晥愰ㅥ〰て㌹㡣ㅡ摦晥㌱搰㈴〰㉣㘴㤵ㅦ愸ぢ挰㘲戰昵〰挹㈰㙢㔷㌱挹㠷散愸㍡ㄶ㡡〴㠰愵ㄴ㕡〶愲㡥㐷㤲〰㌰㡣㤸㝢愹敦㜹〱㌸づ挹戵〰ㅣ㐶㥤㝡〲㥥㍡〱昹㠲〰戸愵ㅥ〰摦㜶ㄸ晥㜳㠸挸〸㌴㝤〰晦昱ㄴ㔶㌸㝤ㄴ㥣㈱㜴㜸㑤㑢攳㈴㝢㘰慣㔴㉥㠸㜷㙥㙡㝡戰㜰㜸愱㍣㤸㈹慤捦㥡㥢㘷愶㥤挰搱愳㔶ㅥ扥昳㈲㕣攸扥戴挲晡昵㔶㑡愷搷ㄴ挶㡡㐹㙢㜸㜰㐷昰慤愳㝤攸㍡㜱慢㠷ㄵ慥敤㜳ㄷ㐳㠵挲㈸挱ㄵ㡡㤸㔰攸昷晡㜹昶ぢ㤵慤㘹っ㠲慤ㄵ㐴搷㘶捡㔹㙢㑡㕡昸ㄲ㙥㑥〳㐵ㅣ㐸愴㥡搲㙢㐷攱つㅢ㥣㥡㕥㕡捣愴戲㤹扣挵捥挰㜶㤷㡦〷慣戰㑥挱攱挳慡㐲㈹挳㐷ㄷ愶愶搷ㄶ捤㝣㘹㍤晤愸挹捤㌳慡㘲戲晡㐷搲㡢㌳昹ㄲ㡡㤱㕥㘴戸㌵扤㘶戴戰ㄱ捦扦㡣攵昲㑢捤昵愵ㅤ愲㔷㉡㌳㐸扡㐶㠵㔵㌸慣㥡挳捤摢摢㍦挶㔱搰㌸ㄳ㡦㈷㝣散昰挲㙣㡣搳㜲㌱㤳ㄸ㈳㘰散晥㄰㍤〹㡤㈴搲㠷愱〸㕤昴ㄳ㙣昹戸昱㜳㡥㠴㜸摣挱扡㔶ㅤ敦〶㝡摥挷ㅦ㉡攲㘶㑦ㅦ㡤㑣㉤挷㠰㉣㕦㝡攴㜰攵㈰昰ㅦ㝡捥㈷㤲㠴㘶晦扤搴㍦昲挶捦㕤攸搰㥤㘶て㈱愶㜱㐴㘱㘶㘲㈴㌰收ㅦ㤶搱戴挸㜰㠴㑥慢〴㠷攰扡㙦㐹慦㌰ㄳ㔶ㄶ㈷づ㌹戳㍣捤㡥㜰晢㥢㌳戳㈵㠷㌷㔰挸攵㑣づ㌹づ搷㌵㐹㌳㙢㌵愷戹挵㍡㉣㤳搷㘹㄰ㄹ㤷㑥㤲戹〹㐹收㈶㐹㙡㐹慦收㐹愴㠴愹慢㜰㡡㔹捣㤴㐷㜳㤹㘴㌳㈳㍣㉤摣㈱挶㉡㈶扦散㘹〰㈸㉦㜷㉤昱敦攵散㕤つ扡扢つ㤶ぢ愱㘳昷㘳㐴㠷㤵㠱㝦㙡㍢て慡戰昰挸つ㐵ㅦ〷㙤ㄱㅥ〴㘱ㄱ㤳㝡㠴摥㜶㥦㜴㝢晢㉣愴挸攲愴㉣ち攰愷㡦〷㘵㠰扦㐶ㅥ昵㑣㜸㡡搱〴㠱攸㡡㠲㤹ㅡ㠲戱㕤㈸㌶㌹捦愵㌵愳㙢戹搴ㄴ㘳㍣㔷ㅡ挰㔱㈵㡥㐰㌷㘴㔲㔶戱㤹〹㙢戰㍦㙤攴㠹㤴㘱昷㈱戱〹㐵㈲㔳㥡㠳捡ㅡ㜶㜵捤㜱扣昵摥㈷昲㠶㙢昴扦㜱㐴摦〲搶㍤ㅡ㙤〰搵㈷㈰慣㑦〴㔱愷㈰捡昶昸〴㑥愲挰〸㐸㠴㘷㈳晥扥愹㍥攲挱㐱㄰ㅦ㑡㘹㤴㈷扡㜸昸搴㡣㠳ㅡ㌹戵㡡㐸㐳愶㜸㑥㥢っ晢愰愹搹㝤㑣捣㔸㠳㔱㙥愵愲昶晡捡摤㌹扢㈳ㅣ㙥㐴㔷ㅢ㝥㉦㐸㑤戱㔰㤶㕢㘳挹㌱㤴攲敤挱㌸ㄹ㤹愷㜰戲㐰晦〸ㅦ㥦㑡㈱㤵㍢㑡晣㤱㉢ㅡ搵〹挸㠴愲㡡㘷㌱㙥挳つ愶㐴搹㙢㍡〹慥㑥㠱㈸㥥㐲昰昶㡦愰㝢戳㔲ㅢㄱ㌳㤹愴戹㐰捡攵㕢っ搵㈶愴㜲㐱搴㘹㉡搹㡣㄰搷㤹昱㜱㌷㡡搴㙤㡦扢搳㤹〳㍦㥤愱ㄲ㈷愲捥㐰挰慤㌲ㄳ㥤捥㍣ㄵ㘱扤㡥㠲㥦〹ㄶ挸㔲㈰㐷㠱㌳㈱挰づ㌵昲㠸㐵挷㠱敡づ挲㘹㍤㐴㠰搳㌹ㅥ㥤ㅥ㥣㑥愳捥㈲㜵㝥〵〲㝥㥣㜸㐲㘱攲㌷〱㑥㍣扦㄰㥣㜸㐳㔰ㄷ㈲㔶㠵搳〶愴㙥ㅢ愷㝦㐲㌶〸㠶昴㐶㉡㜱㈲㙡ぢ〲〱㌸㙤㠲㠰摥㑣挱慦〶ぢ㝣㥡〲愷㔳攰㘲〸〸㑥㘷㈰㔶挱愹㌷〸愷㌳㈱〲㥣㉥昵攸昴攰挴戵㐴㥦㑤㥤㔷㐱挰㡦搳㌵㐸㌳昱㥢〰愷㙢挱ㄵ㥣捥愱ㄲ㥥㜷㔴攱昴㌹愴㙥ㅢ愷ㅢ㤰つ㠲㈱㝤㉥㤵㌸ㄱ㜵㈳〲〱㌸㝤ㅥ〲晡ぢㄴ攴挱㐹㠰挰ㄷ㈹昰㈵ち摣っ〱挱改换㠸㜹㈶㕥㍣〸愸昳㈰〳愰㜸㥥攲㉡昵〰㜵㍥㤵㕥㐰愵㜷㐳挰て搴扤㐸㌳昱㥢〰愸慤攰ち㔰ㄷ㔱〹捦㐵慡㠰摡㠲搴㙤〳挵昳ㄳ〸攲搰㡣㑡㥣㠸攲㈱㡡㕢㘵㈶㍡ㄳ敦㘲㠴昵晦愱攰〳挱〲㤷㔰攰㙢ㄴ㜸㄰〲〲搴愵㠸㔵〶㔴㘷㄰㑥摦㠰〸㜰㝡搸愳㤳㥢愰㘸㜴㍡愸晥㈶㜵㕥㐶㥤㍣㈲昱攳昴㌳愴㤹昸㑤㠰ㄳ㑦㑤〴愷换愹㠴挷㈷㔵㌸㕤㠹搴㙤攳昴㌴戲㐱㌰愴慦愲ㄲ㈷愲㥥㐱㈰〰愷慢㈱愰慦愱㈰捦㘱〲〴慥愵挰㜵ㄴ㜸ㄶ〲㠲搳昵㠸㔵㜰敡ぢ挲改㐶㠸〰愷攷㍣㍡㍤攳改㈶敡扣㤹㍡㕦㠶㠰ㅦ㈷ㅥ㥦㤸昸㑤㠰搳㉢攰ち㑥户㔰挹慢㠸㔵攱㜴ㅢ㔲户㡤ㄳ㑦㘳㈰ㄸ搲摦愱ㄲ㈷愲㜸㈴ㄳ〰挳敤㄰搰摦愵㈰㡦㙢〲〴敥愰挰㥤ㄴ攰〹㡥攰㜴ㄷ㘲ㄵ㥣晡㠳㜰晡ㅥ㐴㠰ㄳて㜱㕣㥤〶㔳散ㅢ摥摤搴㜹て㜵昲挰挵㡦ㄳ㑦㔹㑣晣㈶挰㠹㘷㌰㠲搳㔶㉡攱㘱㑣ㄵ㑥昷㈱㜵摢㌸扤㡦㙣㄰っ改敦㔳㠹ㄳ㔱っ戹㔵㘶愲㌳敦敥㐷㔸㍦〰㈲㝢户〰㠱〷㈹昰㄰〵挲㈰㠲搳て㄰愸攰搴ㄳ㠴搳挳㄰〱㑥〶晥戸㍡㍤㌸㍤㠲㘴晤㈸㐸㠴㕥搴〹散〶昸㥢㍣扥昶㘹搰㘹愴㡦捣㘷捡搸搲昳㠶㍢㤴㈹㘳㜳搲㤲〶㐱㔰㥣攲扢换㔶摦㤳㘹摥戸ぢ㘱慦㕡㔶㤵㑦㘱㔶㉤摦敢㘴㤸ㄳ挰戶摤てㅥ慦挳戶㠴挴つㄱ㔰挷ㅤ挹㉦愱㙣㍦愹攳㥡㔰㜳敢ㅦ㈹㜸㜰攷慡晡て㜸㌱㘴っ㠵昴て㌱ㅣ㌸ㄴ㌱㍡昵㡦㄰愶㔳㈳戶捤㈱攲㌹㘱愱搳㈸㑡挷㠶㥤㌶搵㌹挲ㅢ捥㤷㘰ㅡ㐴㥤ㄸっ扦㘹㑥㜰攵㔸戹㡡㘳㙥㥡改㜰昰㡣捥捡㍣捣昵愴㔹㑣敤㈰戶ㅥ摡㘶扢㈴挴㙣摢㕥㜷ㄱㄱづ㜹㉤㌴㌸〰㝦散㘰捤愳㡣て㝡㐰㌵㤵㜰㡦㥦㕢㌵㌳㜶㤸㘵收愵ㄷ搶㤴㔳㠳搶〶昱摤慤戲攰㜸挳㑢㈹㔹㙢愶㘴ㄸ㡦㡡㕤愳搳㡢ㄲ㈵昸㠱捡㌴昲㥤㤰㑣㜴㥤㕥㙤㘵㑤㍥㔰ぢ㥢摣〹慤㑡㤶㕢搳ㄵ㝤㝣㔸㜶挷改㈱㘰摢攸昴㤲㤲㝥㌲㈶㔸摦慡ㅢ挱㌹戴㥤扤㡡㝥㑢换昵搶〲昵㡤慦昳扡㘹㐱挸つ㌸摥挱ㄹ㄰㥡挰戵㠴戵搶㝢㥡挸㤹㌴搳㍤攴戶㔷㌸㔹扣㕡摣㌴晡㥦愶搲㑦㔸㉣攳㠹㜲扥㙦搰捡愹㤳㠵㠱㕥捥挰搵㤲摤㍣㉤㍤㥣㑦㘶挷㔲㤶昸㘹摣㌵㕢摣㌵㍢㐴㝦㌵〲㄰㘷㐶㑤㠰㡢〳捡㌰㕥挵㜳㥦㌰摥㙥㘷慤搲㍦㐱㤹挶攳㈰㡤昳〷攲敤昸ㅢ搵㑦㤰㘲愱攳改攱〷㍥扦㡤愲〹㌳㉡㑦ㅦ挸扢㕥㔸摦㙡㤲戸戰昱ㅣ㙥晣〸㔸愶㥤㐷㙣㐵㘱㐵㠱ㅥ㕦㑦搲戲㡣㥤戴㐳㜴ㄶ摡㘹昷㤵㘱挰㘵戵㥤搳㠴㑡戰昴挹㥦搰摢㘷㌹㝦ㄷ㄰㝦昴㠰攲〱慤挹㐴愰㡡㈰摤ㄱ攱㡡㙦㔶敤㠲㌴搹㥤晤ㄴ〱戵㉢㠸扤㍢戳捦㔵昴㤳㐸搸昶敥㡣㘷扤昸㡦㠷慤㐸㥤㑢昱㝣搷摤㈸㌱摤搹㥤㍤㠵戰㝥ㅡ㐴敤ㄹ㉣昰っ〵㝥づㄲ㤹〵攲㕦㘹敡㥥㘶㌶愰㠸㐸㡥㉥愲收ㅣ㕤㘵㤸愷〶ㅥ㠷挶㘹㉤ㅣ㌷挶㤴㘶㥥㜶敡㘷㐱㥥㜸晣昱昹慣愳摡ㅢㄱ户㠲ㄱ愹㈰㈴㐳晡ㄷㄴ晣㌷㄰㜵㄰挸〸㐵敤摢户攰㜹㌰搲㑣㈶搵㜷昱㝣っ㈲㠲改㜳〸愸㌶㤰慡ㅤ敦昳㐸搸㌶愶㥣㐷昸ㅦ搲晦攱〴ㄸ㔱㜱㔰户捡㑣㜰㌰㝤〱㘱晤㑢㄰搵ㄱ㉣昰㈲〵㝥㐵㠱㑥㄰搹昱扥㠴㠰挷㈴㙦て摡昲晥ㅡ㌲搸昲昶攲㡦㕢慡㈱愵ち㔰扦㐱戲㝥〵㐴㉤〴昱〳戵ㄸ㘹㈶㠴㈷〰㙡〰㈲〲搴㙢〸愸㐱㤰㉡愰㕥㐷挲戶㠱ㅡ㘲㕥ㄶ昳㕢㈷挰㠸攲㌹愲㕢㘵㈶㌸㐰扤㠱戰㝥ㄳ㐴㉤ぢㄶ㜸㡢〲扦愳挰㌰㠸〰昵㌶〲ㄵ搳愰㉢〸愷摦㐳〴㌸ㅤ㠶㍦㙥愱ㅥ㥣晥㠰㘴晤㐷㄰㜵㌴〹敢晡㈷㈷挰㐸攴㌸㔰扦ぢ戵挶扤㑤㥦㌸㌶㝢㜰㜴慦㈹㙦捥攲㜰㠱㐱扡㔴敤㄰㐷扣捤㠶愳户㔰挴㙤愰搱晦〸捣㜸㕥㍥〲㌳㘵㈷摦㙢㉣㤲㡤㥣㘳㔰㥢㐸ㄴ〷㥥㜵昳戳搲㤵㘷摡㤹㠷㤷昱㘷愴敦㜴㔸㈶㔹㉣㤴ち改昲散㌵㌸㌸挳㈳摦挵っ㄰㘹㕦ㄴ㘹㠶挶挰㌲搹戰挶㍣㕦攵摤挰挷攴愳敢昲㠵㡤㜹愹㑤愴挴户愳㔸㥡㙥㙡㘲㌱扣㌱挸戵㉦㔰㡣搱攷捥捣晡慦〸㑣㙤㠸㥤㠰㍦ㄴ㌶摥〵㥤㍢戰㜸㘰昵㐸㙦㐷㝢㍡㤵㡣㜷昶昷㤹扤㕤晤扤㠹㐴㑦㝢㘷扣㌳摥ㅦ敦敦㙣敦㡡㕢㘶㑣㝣摣搴昱㌷攴㠹㥤攴㘸搰敦㌱㐶昷㌶晥摢扣㐸〲挱挹㍡㥣㔹㉢㤵㔰㐹㤵㔲㔶㘳㔳㔳㡤戹㔱攳愸ㅥ㝦晤挱㌰攸愷㡥㠴〱㤶摦㐶〹捥挴ち㔶晡㠲㤹攵㘰晢㝤愴敢㔰ㄸ㤰挵㤲〸戲㐲㠶㐲㜴摡挰攲ㄱ捦㜹㥢ㄱ㐶㕡ぢ搲攴捥戹ㅡ慦㍣ㄹつ㐸㤹㡥㤴敡㤷慥㡤㐶㈴捦㐰㌲㥥改㜷㥦昲攷攰㡢愵ㅣ敤㤵㜷㤳㜵ㄳ㐴敤㈷㉡搲㘰攲㍦摥搲㐷ㄲ〳昲ㅢ〵攵㤰㔷敦晣晤晤昷㌹搰挰〸㘹㡥ㅥづㄴ昵㐷愴㜲戰㔴㜷㜶〶㙣改散愹㔰㠵捥㍥㤵ち㤰挱㤸㠶戸摤搹挹㔴㐷扡扢戳愷㈷搹搵ㅢ敦敡敢改㌰晢㔲扤㝤㝤㕤㝤㔶㈲㤹㐸㜵㈶ㄲ㌱昱㠱戳慣㔶攴㠹㘵ㅤつ㜶㘷攷摣ㄸ㜹㙡㍤㘲散㜰昵ㄶ㉡挳捥㄰㔰㘷㠲愵㜷〲㠹挶㑥〳㔳慡㐳㔰㌵㔱搴〴㑥ㄳ愶㔸搱㘵敥捥挲昶㄰㐲㘶ㄱ㈱㔵愶㕡㈶㝤ㄴ㐹っ挸㙦〳愸㘰昲㔲㈰㈶㉦〶㘲戲ㄱ㤹愴ㄲ㝢㐳ㄵ㌰搹㠴㌸戵ㄹ晢㈰㙥㘳ㄲ敦㘹敦㙢敦㡤昷戶户昷愵扢晡扡慤㐴㝦㘷慦㤵散改㑢昶昶㥢挹㔴㑦㘷㑣晣摤慣捥扥挸ㄳ晢戴愳挱挶攴㜴㌷㐶㥥㍡ㄳ㌱挱攴㌹㉦㈶晢㠳愵て〰㠹挶捥㠲㐰㕤㑣捥㜶㤹㝢戳戰㝤㐸づ㘱㔶挱攴ㅣ㌰昱㍦愴攳㐸㘲㐰㝥㥦〳ㄵ㑣㝥ㅡ㠸挹攳㠱㤸㥣㡢㑣㔲㠹㙥愸〲㈶㥦㐷㥣摡㡣ㅥ挴㥤㜱㘲愵㤳㤸晣改㘴㜷㕦㘷㤷㠵ㄷ㍦搳〸㈴晡捣づ慢户摤散㠹昷挷挴户捤敡昴㈲㑦散㡢㡥〶ㅢ㤳㉦戹㌱昲搴㜹㠸〹㈶㡦㝡㌱昹〴㔸晡㤳㈰搱搸昹㄰愸㡢挹〵㉥昳〰ㄶ㜶㈰挹〰戳ち㈶ㄷ戹〵㉤㘱㐱攰㜱㝦愳戶㈰㈴㤸㙣つ挴攴㥥㐰㑣扥敡㤶㌳っ㔵挰攴㘲㐷戵戱ㅣ㜱〷㤳㕥慢扦户㌷搱摥搷摦搹搷搵摢搹摥搷搱摦摢摥ㅦ㑦愵㔲㍤敤ㅤ昱㙥㉢㈶㙥㙣搶昰㔰攴㠹㕤攲㘸戰㌱昹㥡ㅢ㈳㑦㝤〳㌱挱攴づ㉦㈶㉢挱搲慢㐰愲戱㙦㐲㐰㌰攱㘴戱攷㡥捣㈲㑥愰搸㘵㉥㤳㈰挸㉢昵晡㄰㠶㡥〱㔳㕤敥ㄶ㜴㉣㘳挴㠳扦㉢㐱〵㤳敢〳㌱戹㌶㄰㤳慢㤰㐹㉡㜱㈲㔴〱㤳慢ㄱ愷㌶攳㈴挴㙤㑣扡慤㜸慡摦敡敤戵㍡捣㜸㔷㉡ㅥ㑦㜴㈵扢㌰㜳扡㝢扡㍢㍡扢㑣慢㉦㜶㡤㤳㐷㡦㈰㑦散㕡㌷㈶㌷㡦敢摣ㄸ㜹敡㐶挴〴㤳换扤㤸㈴挱搲㈹㤰㘸散㈶〸搴ㅤ㈷㌷扢捣ㅥ㈲搱㑢戲㡥㔹㘵㥣摣攲ㄶ㤴㘳㐱挴㠳扦摢㐰〵㤳㉤㠱㤸㕣ㄴ㠸〹㝤搰㔲㠹搳愰ち㤸摣㡥㌸戵ㄹ㐵挴㙤㑣㝡ㄲ改㡥㐴㕦㔷愷搹㙦㜵㜵㜵㈵㔳㠹愴搵㥦散攸㑥㜴昷愶㔲挹捥㥥晥搸㜷㥤㍣扡㠴㍣戱㍢摣㤸㘰㜲愷ㅢ㈳㑦㝤て㌱挱攴换㕥㑣㌶㠲愵㌷㠱㐴㘳㜷㐳愰㉥㈶昴㐸ぢ㤳㕢㜹昹愰㠱㍥㡢㔹〵㤳慤㙥㐱㥦㘵㐱㉥㈶昷㈱㈴㤸㥣ㄹ㠸挹ㄹ㠱㤸搰摦㉣攵㥣ぢ㔵挰攴㝥㐷戵昱㜹挴㙤㑣捣㑥㡢晢㡢㘴扣扦慦愳慢慢扤摤散敢攸敢㐸㜵㔹〰愹㉦搹㤳㐸挶ㅥ㜰昲攸㉦㈰㑦散㐱㌷㈶㤸㍣攴挶挸㔳て㈳㈶㤸㙣昰㘲昲ㄵ戰昴㜹㈰搱搸㈳㄰愸㡢挹愳㉥㜳㤰㤸㉣㈱昹㉡戳ㄲ㤳挸て挱昴㙦㈹㍣㑦戳㜸摣㥥摣摢挷㍣扥㘸搹㥣㑣㑦ㅦ㌱㘶㘶昱昹㤵㤵㜰㠸㤴㤹戴㈳㔸搰㡤戶㕢㙡㥢晢㌲㘹挲昱㈷㜲㝢攴挷愰㝡㕢攵戴㑤㕥㐵摤㍥㝢㍣ㅡ㔹㠷扥㥢㕣㈹攸ㄲ摦收㡤㡢㝣㔴㕦挲扥㠶敤晥㈳〸㔰愶摡慥晥㜱㔰㙡㠴㑥㤸挹㝢㝣愸㜵㘶攵㤱㄰㍥晣㌳㉦ぢ攷搷㈴㥥戵扡ㄴ㤵㔳㑦〴搵㐱晤搴㑤晤〶㘵㔰㠴摣戳㥥㐴㐸收㥤攵㤹㜷挶㘵㄰愹㙢㉤愸㘴攰㘴㜴摤ぢ戱愷㥣㠲㡣换愱挵戹㠳挵㝢㝡㤳㍤㍤㥤㕤㕤愹敥慥敥㕥换挴つ慣㍤搱搹㘷㈶戰搵改散散㡤㍤敤㔶敥ち攴㠹搱挹㠰晦㈱㝤㈵㘳昴㌶㐸㡣扣㔶㍡〹戸晢愴〹昷愱㕥戱㕦㐰㌳㌱搱搵摢挶ㄸ扤つ㤲扥㥣捣㐳㐹㙥㐰㑤搴㜳㐸挷晦㤰扥㤱㌱〴攴昷㍣愸〰㝡戴〷搰捡〶晡挸㐰散攸㐶㤰㤵攳ㄶ愸挲㐲昶〲攲搴㘶摣㡡戸つ㘱慡㈷㙥攲收㤶㐸昴愷ㄲ㕤㘹慢扦㍦摥㤷㑣愷㝢㍢戰愱㑥愶晡㍢摡㘳扦㜴昲攸摢㤰㈷昶愲ㅢ㤳㠵㑣㥣ぢ慣㉡㜹敡搷攰挹㐲戶ㄲ㤵ㄹ摦㐰摦〱㤶扥ㄳ㈴ㅡ晢つ〴敡㉥㘴慦戸㑣㍥㘰㉤㥦ㅣ搱㕢㤹㔵ㄶ昷搷摣㘲敦㘳㐱㉥㈶昴ㄵ〸㈶〳㠱㤸㉣ち挴㠴ㅥ〳愹挴㠳㔰〵㑣攸ㅤ愰㐶攳㈱挴㙤㑣扡扢扢㝡戰〷攸㌰搳ㅤ改慥㡥㡥㐴㝦扦㘹㈶ㄲㅤ㘶㘷摣敡㙡㑦㜵㜶挶摥㜴昲攸ㅦ㈰㑦㡣敥〳㙡戰㌷㐶攲㐷㘰㡣㍣昵㝢㌰〴㤳㑦㜸㌱㜹ㄴ㉣晤ㄸ㐸㌴㐶㍦㐱㕤㑣攸㍦㄰㈶㥦戹㤶て愶攸㥦㌲㉢㌱㠹搱㥤㈰捣㈷㤱㌴戵㈱㐲㡢昸ㄳ昵捦戸㍣ㄶ攰㍣戸㠲慢扥戶戱〴㕦捦搸っ㉤愱〶㍣㙡㘶㍦愰搵ㄸ晥昸昶改攲戲换〳〰晥㈲㠷愰搵晦㠰ㅥ戴挸戳㔶㔲攳㕥昸改愷㔰搵〸㡤昷㐰㉦戳晦㑢㐲摥捦㜹㜱㜶敦㥣ㅢ㉥挱敡挵㙢㈷㙢ぢ㡢挶扦㈹㌶摤戵㠶攷戹ㅦ㠱㤸㕢㐹㜱㑦㜲摣㙣㉢㡢攳昹昰㔱〵㌸㌰挰㤸挷㑦㐶散㕣㠹㜹ㅥ㜰摢愳㤲㡡〳㍣ㅣ㉢㔸㈹㔷㘳〹㕥挶挶㜰㠳昲㝢㍣攵㉥敤㝣㍤㡣㑦戴㔱ㅢ㍥㜰㌲㥣攲昳ㅥ㝢〴㍣摥户㌸㔳㤶挷㘳㜹戶慣昴扢〰挷㜸㠶㌰捤㥦㌳㌰愷㉢㌲て晤㌰改㈲慡㔱㘷㠱ㅣㅡ㔱晤㉣晥㈸捥㝢㙡㘳㔲㉢㍤づㅣ㠲扥㐵昳敤〵㐸攳戵㔰㘸愸㜹㘱㉢㔵㠸攴㠹㙡敦㉤㡢㈲㉦㥥攵㝦换〳づ㕡㕣捦㉦㔰㑤㤰ㄴ换㝢㍤㌲㝢㕥㔴搸て㠵〶扥㌴㌹搷㘱昸扦ㅤ㄰愳〳㐲㈶挸昳〸㑣㙤㔰昴㈲㜰㤲愸㝤㤱㠳㈳㔳〶搳ぢ㐸㔵㜴〰㜰㐰㈹㑤搷㠲昱㈲㠸㡤㥣摡ぢ㜲㙥㝢愳晡㈵㌰㕡㘷㠲㑣慥搵昴ㅢ㑣慥搵㝢㐰㌲愸搵扢㍢㡤慢㜹㕢㝡㌷㠷攱晦㘰㐰㡣㉥〶㘹昵㙢〸愰搵㝢攳㡦戴㝡㔷攴ㄸ㙦昵敢㐸㔵㌴昱敤㔶搳㜹㘰扣〱攲戴㝡㘶㔵慢摦〲愳㜵㝦㤰挹戵㥡㥥㠱挹戵㥡摥㠰愰㔶㑦慢搷敡愹づ挳晦㤵㠰ㄸ㥤〸搲敡㍦㈲㠰㔶搳ㄳ㈰慤㥥攲㙤昵㍢㐸㔵㌴攲敤㔶搳㍤㘰晣〵挴㘹㜵㔳㔵慢摦〵愳㤵㘶晤攴㕡㑤摢㝦㜲慤愶扤ㅦ搴敡㜰扤㔶㉢㠷攱晦㌴㐰㡣㙥〲㘹㌵㌷ㄲ㘸㌵㙤㝤㘹昵晢敦㜹晡㍡っ愶愲㤹㙥户㥡づ〰愳ㄱ㘹㑥慢晦〶搹捡〸㌷挰㘸愵攱㍥戹㔶搳扡㥦㕣慢㘹捣〷戵晡ㅤㄴㅦ㌸慦晦攴㌲㝣摦〳㠸搱ㄱ㈰慤㙥戱㕢㑤㙢㕥㕡晤〷㙦慢愷戱搵㈳㘰搹慤愶㠹㙦挴㉡慤晥㕤㔵慢㘷戰搵㌴捤㈷搷㙡摡敦㤳㙢㌵㙤昶愰㔶扦敥㌶敥㑤摦㤷㔰晥搳㘱昸㍦〲㄰愳愹㉦慤晥㠸摤㙡摡敢搲敡㔷扤慤摥㥤慤愶愹㙤户㥡㐶扣戱㘷愵搵㉦㔷戵㝡ㄶ㕢㑤攳㝢㜲慤愶㠵㍥戹㔶㥦〵挹愰㔶扦㔰慦搵晦攱㌰晣㙦晥挷㍥敢㤴愹攷搸慤愶㐵㉥慤晥扦摥㔶敦挷㔶㝦〱㉣扢搵㌴搳㡤〳㉡慤晥㐵㔵慢て㘲慢㘹㕥㑦慥搵戴挱㈷搷㙡摡摤㐱慤㝥慡㕥慢晦搵㘱昸㕦昷㔷戴〵㜱㌷㠲㉦っ㜵挵㝦昹㈹㌱挲㤸ㅡ㐷ㄲ搹㤰ち挵㘸㜶戱㝥扡〳愹㔸〳㘸捤搸㌰搰㑥㌲扡㤰㙡㜰ㄳ㄰㙦㡦晣〴攵㝤慣晥慥慥昲攰㠴扢㕦㈹戱㤴捡㐹〳㌷㘰扣愲扡㠷㌵戸ㄲ晡愹㤲㐹敡〶㐴㉡㡤摦てㄹ敤㥤晢愳昵ㅡ晦㠸挳昰扦㘰ㄹ愳搹㈳つ晡愴摤㈰摡㉥搲攵晦㠲ㅣ攳㌷戰㑦戱〶㌴㍢散戶搲愰㌱ㄶ㈲捤㔹搴ㅥ㠰㙣㘵㔱㕢っ㐶㉢つ㤱挹㜵㌹慤㤵挹㜵㌹㉤㤴㑡慢㑦〳㄰㜶慢户搶㙢昵扤づ挳晦㔶㘵㡣㠶㡤戴㝡㤹摤敡〷ㄱ㤷㔶摦敤㙤昵㜲戶㥡㠶㠵摤㙡㥡㉣挶㡡㑡慢敦慣㙡昵攱㙣㌵㑤㡤挹戵晡㌱㔷㜲㥢㕢㌴摡㈰㐱慤扥慤㕥慢㙦㜵ㄸ㌵慦㔲搲㜴搹搶慢㤴㥥慦ㅦ㡡㑤㤱收ㄹ搴㤴戴㥤㑣㙢㐳ㅥ㠷换捡改㘱ぢ摥㝣㉡攲晢㠳㉢昰㠲ㅦ摥㜷挲㐷㝡㥤㈳㉤扣昸挷愷〴摣㜷㙢戴挴㤸搹㐸慦㉣攲㘵㥢愶昴㜰〹て㝣愵㥡昱晤戴㌲扥㤵㤱摦ㄱ㍣㕤㌸捦愵扢ㅣ㤷晤㐲㔴攰㔱㉡捦㐸〳户昶昲ㄸ㘹㕢〵て昷愱㥦㌰㕦㤸摡㍥㍦㤷戱ㄶ㐳捡㝤〵㌰攵㜹〵㌰慣扥㡤㉥戶㑦昰捥づ挹㡡挰攵㐹ㅦ〵㜹搹挳换㝡〵ㄲ搵挷㌰㈹㠵㑡摢㡦㑡㐶㘸捣昹ㅢ挶㠳敤㈱戶摣昷㘱挰㈹㔳摣㠳㘷昰㐲㡤㌴㐸㈶戲㠵㔰㔲愸㈹㌷㘲昲㕢攴捤戹㤱慣㤵㍦愵㍣㍡晥晤㜱戸㍣昱ㅡ扣㍥づ㔲㌶挸㤸㕡戴ㄴ㌸㈶㌵ㅢㅡ㔶搷〶㌶敡㐴戶㠰㜳扤搲愸ㄱ㈶㔵ㅡ愵㘸㔴戰㘱敥愵㘸㌸戰扡摡昴ㄶ挷㉤扡愷戸㙦〵ㄶ㤷慡㉤㉥敤㉢㡥扢昹慡攲戸㘳㤷攲㐶扤挵㜱㙦散㈹敥㤲挰攲搶搵ㄶ㤷昳ㄵ昷㡥扦㌸㙥㤵愵戸㠲户㌸摥戵㍣挵㕤ㄸ㔸㕣戱戶㌸㝥㌳摥ぢ㈶昷慦㔵慤攳ㅥ㔵㡡摢㠰〰㡡㤶㑢㜱㌷攸㈹敥㡢㠱挵㙤㠶㤰慦敦㑥㘷㤲愷敦戸㜱慣㉡㡥㥢㐳㈹敥㌳〸㡣ㄷ挷㙤㤸愷戸捦〶ㄶ㜷㌶㠴㝣挵㥤挳㈴㑦㜱摣戱㔵ㄵ挷㕤㤹ㄴ昷㌹〴挶㡢攳晥挷㔳摣愷〳㡢晢〲㠴㝣挵㝤㠹㐹㥥攲戸㔵慡㉡㡥摢㈱㈹敥㉢〸戸挵挵戸昱㘸〴慥晡㍣〴昴昹㈴ㄷ㠰㐴㘳摣㝢〸攳㐲〴戰摤攰慥㠳昵㌲㉥㐲愰搵晤㙡昳散つ昴㡡㤴挲慡攰搶昳户ㅤ扢㔵㤶㠵㉤㤰搵摣㈳㈸愷挰愸扥㤸㐹㥥㝡㜲㠷㈱搵扡〴〱㑡昱愷戸㈵昰愰㌰敡㙡て㜹ㄷ㥤慦㔳㔵昵晣晣㈶㤳㍣摡戹㝢愸㐲㠱㍢〴㈹敥㕢〸㌸㤵挲昳㐲㠸㜸㡡㌳〳㡢扢ㄲ㐲扥攲慥㘶㤲愷㌸摥戶慢㡡攳慤㔹㡡扢ㄶ〱户戸〸㔷换㐹㉦攵摣㥡㙤愷㌷晦㍡㤴愳戸づ㔳㠷扥摥〹㌰搲捡搵㤰㠱㘶晣㐲㡡㉢ㅤ㉢愵㙦㘰㌲ㄷ㌹挹㜱愳ㄳ㤰ㅣ㕣搰㉡㌹戸㔸㐹㡥㥢㤸捣㜵㑡㜲摣散〴㈴〷搷愴㑡づ慥㌷㤲攳摢㑣收㔲㈳㌹㙥㜱〲㤲㠳换㑡㈵〷㤷っ挹㜱㉢㤳戹㕡㐸㡥摢㥣㠰攴搸攰㐴散㜶㜰搶㑢㡥敦㌰㤹ㄳ㕥㜲摣敥〴㈴〷㈷㌷〳㜶づ㑥㕣挹昱㕤㈶㜳捥㑡㡥㍢㥣㠰攴攰晣慣攴攰摣㤳ㅣ㜷㌲㤹搳㑥㜲摣攵〴㈴〷愷㔸㈵〷愷㤶㙣昱づ挵戸攲挶昶㤳㉣㍥㙣㈸㑥㌷㘱㉣㜷ㄸ㍣敦㙣挶㕢〹㥣㠲挲ㄸ㜶ㄸぢ挰搰昷㈰㌵挲改攸㍦㠰昲ㅣ昵㜹ㅥ晥㘵〳㜵㡥て㥢㜳㐷㄰捤㉤挹㡦搹ㅦ㤲㌵㜲㝣㜷㍤㍦摤㤱㥤㌷㉥㌳㘳㍣㘵㕣㜶摡㜸㤲攴搹捤㝥昳㤸㕦挵愵挸扣㡡搲㥤晤ㅣ㤱㙦戴ㄷ㤱搰㍥昵慤ㄱ户㠲摣昳㌵慢㐹ぢ㌶摢㕦㌵扡ㄷ㜰挸㡡愱挷㐳ㄲ㔵㕣㝡愴㥢戶㈲愰戸敡㐸㌷晤戳ㄳ㤰㙥扡挴㠹㌴攳㙦㐸㜱㌹㤱ㅣ昷㌱㤹㉢㠹攴昸扥ㄳ㤰ㅣ㕣㌵ㄸ戰〷て㔷〴挹㜱㍦㤳戹ㄸ㐸㡥〷㥣㠰攴攰挴慦攴㤰ㄹ挹㝥㜱㑦扢㄰づ挵㌸㌳㠱ㄴ㕥㕢㐲〰㙢慤捣挲ㅡ㈹捥㐶㤱晡ㄷ㕢㑡㘶㕥㡤ㄴ㘷愰㐸㍤㘲㑢挹㙣慢㤱攲慣ㄳ愹挷㙣㈹㤹㘱㌵㔲㥣㘹㈲昵㈳㕢㑡㘶㔵㡤ㄴ㘷㤷㐸晤挴㤶㤲㤹㔴㈳挵ㄹ㈵㔲㑦搸㔲㌲㝢㙡愴㌸㡢㐴敡㘷㈲搵捡㈱㝦㌴愴挲㥢㔴昲攴搴挹㈷晦愵戵㜱昶敥㡤挷㉣㙣昹晡㡢㍦㝥㘹换㌳㈷捣㝦昵扤换㉥㝢收搷㕢ㅥ㝦敦扥挴晣挷慥扥晡攱攵㔷㍣晥搲㡣昴㤵攱敦晤㘵挵㤵㘷挴搷㥤㜱㕡晡挸㠳㤶㥥㜱散愹㐷挴㔷㑤㥦搷搰搰搴戴晦捣ㅦ㝥攴㠰搸搹愷摤愳ㅥ晡昷㕤昳ㄱ㡥㥡㐹㡣㌹昶攰㜶㉥挲㑦愲〴㈵㠳戰愶戵ㅣ㡣搲摡愷㄰㐰扦换挰慢㤱攲〰ㄴ愹㘷㙣㈹ㄹ㙣㌵㔲ㅣ㜴㈲昵慣㉤挵愱㈴㑢挸㠱捥ㄲ戲ㄸ㔹㥡昱㔶ㅤ㐷㡦㌰づ昰㌱㌸㘰㠴戱扦㡦挱㌱㈲㡣晤㝣っづぢ㘱捣昵㌱㌸ㄲ㠴㌱挷挷㘰攷ぢ㘳㕦ㅦ㠳晤㉤㡣㝤㝣っ㠱捦摦㕡㐵挰㐴㝣戶㑦㥣ㄸ〹㘳㉦ㅦ㠳戰〸㘳㔶㌵㘳捡晦〷搲㑥㙢㠳</t>
  </si>
  <si>
    <t>Country</t>
  </si>
  <si>
    <t>Life Expectancy</t>
  </si>
  <si>
    <t>USA</t>
  </si>
  <si>
    <t>Canada</t>
  </si>
  <si>
    <t>Income ($1000s)</t>
  </si>
  <si>
    <t>Mexico</t>
  </si>
  <si>
    <t>On the 'Data' tab is life expectancy, income (in $1,000's), and country of citizenship. Estimate a model where conditioned on income, the life expectancy is different across country of citizenship. Furthermore, what is the predicted life expectancy for citizens of Canada, USA, and Mexico who have an income of $50,000?</t>
  </si>
  <si>
    <t>Conditioned:</t>
  </si>
  <si>
    <t>Prediction:</t>
  </si>
  <si>
    <t>&lt;-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</si>
</sst>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4" x14ac:knownFonts="1">
    <font>
      <sz val="12"/>
      <color theme="1"/>
      <name val="Calibri"/>
      <family val="2"/>
      <scheme val="minor"/>
    </font>
    <font>
      <sz val="12"/>
      <color theme="1"/>
      <name val="Calibri"/>
      <family val="2"/>
      <scheme val="minor"/>
    </font>
    <font>
      <b/>
      <sz val="12"/>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4" fontId="1" fillId="0" borderId="0" applyFont="0" applyFill="0" applyBorder="0" applyAlignment="0" applyProtection="0"/>
  </cellStyleXfs>
  <cellXfs count="23">
    <xf numFmtId="0" fontId="0" fillId="0" borderId="0" xfId="0"/>
    <xf numFmtId="1" fontId="0" fillId="0" borderId="0" xfId="0" applyNumberFormat="1"/>
    <xf numFmtId="0" fontId="0" fillId="0" borderId="0" xfId="0" applyAlignment="1">
      <alignment horizontal="center"/>
    </xf>
    <xf numFmtId="1" fontId="0" fillId="0" borderId="0" xfId="0" applyNumberFormat="1" applyAlignment="1">
      <alignment horizontal="center"/>
    </xf>
    <xf numFmtId="2" fontId="0" fillId="0" borderId="0" xfId="0" applyNumberFormat="1" applyAlignment="1">
      <alignment horizontal="center"/>
    </xf>
    <xf numFmtId="0" fontId="2" fillId="0" borderId="0" xfId="0" applyFont="1"/>
    <xf numFmtId="0" fontId="0" fillId="0" borderId="0" xfId="0" applyFill="1"/>
    <xf numFmtId="0" fontId="2" fillId="0" borderId="0" xfId="0" applyFont="1" applyAlignment="1">
      <alignment horizontal="center"/>
    </xf>
    <xf numFmtId="1" fontId="2" fillId="0" borderId="0" xfId="0" applyNumberFormat="1" applyFont="1" applyAlignment="1">
      <alignment horizontal="center"/>
    </xf>
    <xf numFmtId="1" fontId="3" fillId="0" borderId="2" xfId="0" applyNumberFormat="1" applyFont="1" applyFill="1" applyBorder="1" applyAlignment="1">
      <alignment horizontal="centerContinuous"/>
    </xf>
    <xf numFmtId="1" fontId="0" fillId="0" borderId="0" xfId="0" applyNumberFormat="1" applyFill="1" applyBorder="1" applyAlignment="1"/>
    <xf numFmtId="1" fontId="0" fillId="0" borderId="1" xfId="0" applyNumberFormat="1" applyFill="1" applyBorder="1" applyAlignment="1"/>
    <xf numFmtId="1" fontId="3" fillId="0" borderId="2" xfId="0" applyNumberFormat="1" applyFont="1" applyFill="1" applyBorder="1" applyAlignment="1">
      <alignment horizontal="center"/>
    </xf>
    <xf numFmtId="0" fontId="0" fillId="0" borderId="0" xfId="0" quotePrefix="1"/>
    <xf numFmtId="1" fontId="2" fillId="0" borderId="0" xfId="1" applyNumberFormat="1" applyFont="1" applyAlignment="1">
      <alignment horizontal="center"/>
    </xf>
    <xf numFmtId="1" fontId="0" fillId="0" borderId="0" xfId="1" applyNumberFormat="1" applyFont="1" applyAlignment="1">
      <alignment horizontal="center"/>
    </xf>
    <xf numFmtId="164" fontId="0" fillId="0" borderId="0" xfId="0" applyNumberFormat="1" applyFill="1" applyBorder="1" applyAlignment="1"/>
    <xf numFmtId="1" fontId="0" fillId="2" borderId="0" xfId="0" applyNumberFormat="1" applyFill="1"/>
    <xf numFmtId="0" fontId="2" fillId="0" borderId="0" xfId="0" applyFont="1" applyFill="1"/>
    <xf numFmtId="1" fontId="0" fillId="0" borderId="0" xfId="0" applyNumberFormat="1" applyFill="1"/>
    <xf numFmtId="1" fontId="2" fillId="0" borderId="0" xfId="0" applyNumberFormat="1" applyFont="1" applyFill="1"/>
    <xf numFmtId="164" fontId="0" fillId="0" borderId="0" xfId="0" applyNumberFormat="1" applyFill="1"/>
    <xf numFmtId="0" fontId="0" fillId="2" borderId="0" xfId="0" applyFill="1" applyAlignment="1">
      <alignment horizontal="lef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D46CA-2F49-4366-B8BD-7827E5B9AAF7}">
  <sheetPr codeName="Sheet1"/>
  <dimension ref="A1:G51"/>
  <sheetViews>
    <sheetView workbookViewId="0">
      <pane ySplit="1" topLeftCell="A2" activePane="bottomLeft" state="frozen"/>
      <selection pane="bottomLeft" activeCell="A15" sqref="A1:G51"/>
    </sheetView>
  </sheetViews>
  <sheetFormatPr defaultRowHeight="15.6" x14ac:dyDescent="0.6"/>
  <cols>
    <col min="1" max="1" width="16.546875" style="15" customWidth="1"/>
    <col min="2" max="6" width="16.546875" style="2" customWidth="1"/>
    <col min="7" max="7" width="16.546875" style="3" customWidth="1"/>
  </cols>
  <sheetData>
    <row r="1" spans="1:7" s="5" customFormat="1" x14ac:dyDescent="0.6">
      <c r="A1" s="14" t="s">
        <v>47</v>
      </c>
      <c r="B1" s="7" t="s">
        <v>50</v>
      </c>
      <c r="C1" s="7" t="s">
        <v>46</v>
      </c>
      <c r="D1" s="7" t="s">
        <v>46</v>
      </c>
      <c r="E1" s="7" t="s">
        <v>48</v>
      </c>
      <c r="F1" s="7" t="s">
        <v>49</v>
      </c>
      <c r="G1" s="8" t="s">
        <v>1</v>
      </c>
    </row>
    <row r="2" spans="1:7" x14ac:dyDescent="0.6">
      <c r="A2" s="15">
        <f ca="1">50+0.5*B2+5*E2+3*F2+G2</f>
        <v>61.337298785326503</v>
      </c>
      <c r="B2" s="3">
        <f ca="1">_xlfn.NORM.INV(RAND(),50,15)</f>
        <v>39.965710370965922</v>
      </c>
      <c r="C2" s="4">
        <f ca="1">RAND()</f>
        <v>0.82824599634418405</v>
      </c>
      <c r="D2" s="2" t="str">
        <f ca="1">IF(C2&lt;0.33,"USA",IF(C2&lt;0.66,"Canada","Mexico"))</f>
        <v>Mexico</v>
      </c>
      <c r="E2" s="2">
        <f t="shared" ref="E2:E33" ca="1" si="0">IF(D2=$E$1,1,0)</f>
        <v>0</v>
      </c>
      <c r="F2" s="2">
        <f t="shared" ref="F2:F33" ca="1" si="1">IF(D2=$F$1,1,0)</f>
        <v>0</v>
      </c>
      <c r="G2" s="3">
        <f ca="1">_xlfn.NORM.INV(RAND(),0,10)</f>
        <v>-8.6455564001564582</v>
      </c>
    </row>
    <row r="3" spans="1:7" x14ac:dyDescent="0.6">
      <c r="A3" s="15">
        <f t="shared" ref="A3:A51" ca="1" si="2">50+0.5*B3+5*E3+3*F3+G3</f>
        <v>83.287978600783632</v>
      </c>
      <c r="B3" s="3">
        <f t="shared" ref="B3:B51" ca="1" si="3">_xlfn.NORM.INV(RAND(),50,15)</f>
        <v>46.645808814035618</v>
      </c>
      <c r="C3" s="4">
        <f t="shared" ref="C3:C51" ca="1" si="4">RAND()</f>
        <v>0.7327721334475864</v>
      </c>
      <c r="D3" s="2" t="str">
        <f t="shared" ref="D3:D51" ca="1" si="5">IF(C3&lt;0.33,"USA",IF(C3&lt;0.66,"Canada","Mexico"))</f>
        <v>Mexico</v>
      </c>
      <c r="E3" s="2">
        <f t="shared" ca="1" si="0"/>
        <v>0</v>
      </c>
      <c r="F3" s="2">
        <f t="shared" ca="1" si="1"/>
        <v>0</v>
      </c>
      <c r="G3" s="3">
        <f t="shared" ref="G3:G51" ca="1" si="6">_xlfn.NORM.INV(RAND(),0,10)</f>
        <v>9.9650741937658278</v>
      </c>
    </row>
    <row r="4" spans="1:7" x14ac:dyDescent="0.6">
      <c r="A4" s="15">
        <f t="shared" ca="1" si="2"/>
        <v>99.947466364865491</v>
      </c>
      <c r="B4" s="3">
        <f t="shared" ca="1" si="3"/>
        <v>60.519524786910708</v>
      </c>
      <c r="C4" s="4">
        <f t="shared" ca="1" si="4"/>
        <v>0.98154045704214443</v>
      </c>
      <c r="D4" s="2" t="str">
        <f t="shared" ca="1" si="5"/>
        <v>Mexico</v>
      </c>
      <c r="E4" s="2">
        <f t="shared" ca="1" si="0"/>
        <v>0</v>
      </c>
      <c r="F4" s="2">
        <f t="shared" ca="1" si="1"/>
        <v>0</v>
      </c>
      <c r="G4" s="3">
        <f t="shared" ca="1" si="6"/>
        <v>19.68770397141013</v>
      </c>
    </row>
    <row r="5" spans="1:7" x14ac:dyDescent="0.6">
      <c r="A5" s="15">
        <f t="shared" ca="1" si="2"/>
        <v>80.569060844508982</v>
      </c>
      <c r="B5" s="3">
        <f t="shared" ca="1" si="3"/>
        <v>42.234732714626197</v>
      </c>
      <c r="C5" s="4">
        <f t="shared" ca="1" si="4"/>
        <v>0.98393889639465926</v>
      </c>
      <c r="D5" s="2" t="str">
        <f t="shared" ca="1" si="5"/>
        <v>Mexico</v>
      </c>
      <c r="E5" s="2">
        <f t="shared" ca="1" si="0"/>
        <v>0</v>
      </c>
      <c r="F5" s="2">
        <f t="shared" ca="1" si="1"/>
        <v>0</v>
      </c>
      <c r="G5" s="3">
        <f t="shared" ca="1" si="6"/>
        <v>9.451694487195887</v>
      </c>
    </row>
    <row r="6" spans="1:7" x14ac:dyDescent="0.6">
      <c r="A6" s="15">
        <f t="shared" ca="1" si="2"/>
        <v>84.845744124007311</v>
      </c>
      <c r="B6" s="3">
        <f t="shared" ca="1" si="3"/>
        <v>58.870717297300118</v>
      </c>
      <c r="C6" s="4">
        <f t="shared" ca="1" si="4"/>
        <v>0.2264357447206039</v>
      </c>
      <c r="D6" s="2" t="str">
        <f t="shared" ca="1" si="5"/>
        <v>USA</v>
      </c>
      <c r="E6" s="2">
        <f t="shared" ca="1" si="0"/>
        <v>1</v>
      </c>
      <c r="F6" s="2">
        <f t="shared" ca="1" si="1"/>
        <v>0</v>
      </c>
      <c r="G6" s="3">
        <f t="shared" ca="1" si="6"/>
        <v>0.41038547535723974</v>
      </c>
    </row>
    <row r="7" spans="1:7" x14ac:dyDescent="0.6">
      <c r="A7" s="15">
        <f t="shared" ca="1" si="2"/>
        <v>57.677606445984928</v>
      </c>
      <c r="B7" s="3">
        <f t="shared" ca="1" si="3"/>
        <v>35.520857295101884</v>
      </c>
      <c r="C7" s="4">
        <f t="shared" ca="1" si="4"/>
        <v>0.17441804044106635</v>
      </c>
      <c r="D7" s="2" t="str">
        <f t="shared" ca="1" si="5"/>
        <v>USA</v>
      </c>
      <c r="E7" s="2">
        <f t="shared" ca="1" si="0"/>
        <v>1</v>
      </c>
      <c r="F7" s="2">
        <f t="shared" ca="1" si="1"/>
        <v>0</v>
      </c>
      <c r="G7" s="3">
        <f t="shared" ca="1" si="6"/>
        <v>-15.08282220156601</v>
      </c>
    </row>
    <row r="8" spans="1:7" x14ac:dyDescent="0.6">
      <c r="A8" s="15">
        <f t="shared" ca="1" si="2"/>
        <v>69.060212382332935</v>
      </c>
      <c r="B8" s="3">
        <f t="shared" ca="1" si="3"/>
        <v>30.527313547845559</v>
      </c>
      <c r="C8" s="4">
        <f t="shared" ca="1" si="4"/>
        <v>0.38203583089686965</v>
      </c>
      <c r="D8" s="2" t="str">
        <f t="shared" ca="1" si="5"/>
        <v>Canada</v>
      </c>
      <c r="E8" s="2">
        <f t="shared" ca="1" si="0"/>
        <v>0</v>
      </c>
      <c r="F8" s="2">
        <f t="shared" ca="1" si="1"/>
        <v>1</v>
      </c>
      <c r="G8" s="3">
        <f t="shared" ca="1" si="6"/>
        <v>0.79655560841015982</v>
      </c>
    </row>
    <row r="9" spans="1:7" x14ac:dyDescent="0.6">
      <c r="A9" s="15">
        <f t="shared" ca="1" si="2"/>
        <v>88.327604002679152</v>
      </c>
      <c r="B9" s="3">
        <f t="shared" ca="1" si="3"/>
        <v>47.904432309082424</v>
      </c>
      <c r="C9" s="4">
        <f t="shared" ca="1" si="4"/>
        <v>5.9263377785546023E-2</v>
      </c>
      <c r="D9" s="2" t="str">
        <f t="shared" ca="1" si="5"/>
        <v>USA</v>
      </c>
      <c r="E9" s="2">
        <f t="shared" ca="1" si="0"/>
        <v>1</v>
      </c>
      <c r="F9" s="2">
        <f t="shared" ca="1" si="1"/>
        <v>0</v>
      </c>
      <c r="G9" s="3">
        <f t="shared" ca="1" si="6"/>
        <v>9.3753878481379402</v>
      </c>
    </row>
    <row r="10" spans="1:7" x14ac:dyDescent="0.6">
      <c r="A10" s="15">
        <f t="shared" ca="1" si="2"/>
        <v>67.350999980553823</v>
      </c>
      <c r="B10" s="3">
        <f t="shared" ca="1" si="3"/>
        <v>46.770646740188305</v>
      </c>
      <c r="C10" s="4">
        <f t="shared" ca="1" si="4"/>
        <v>0.31938701203681175</v>
      </c>
      <c r="D10" s="2" t="str">
        <f t="shared" ca="1" si="5"/>
        <v>USA</v>
      </c>
      <c r="E10" s="2">
        <f t="shared" ca="1" si="0"/>
        <v>1</v>
      </c>
      <c r="F10" s="2">
        <f t="shared" ca="1" si="1"/>
        <v>0</v>
      </c>
      <c r="G10" s="3">
        <f t="shared" ca="1" si="6"/>
        <v>-11.034323389540333</v>
      </c>
    </row>
    <row r="11" spans="1:7" x14ac:dyDescent="0.6">
      <c r="A11" s="15">
        <f t="shared" ca="1" si="2"/>
        <v>68.438032873857736</v>
      </c>
      <c r="B11" s="3">
        <f t="shared" ca="1" si="3"/>
        <v>66.068350992291329</v>
      </c>
      <c r="C11" s="4">
        <f t="shared" ca="1" si="4"/>
        <v>0.82149920029351864</v>
      </c>
      <c r="D11" s="2" t="str">
        <f t="shared" ca="1" si="5"/>
        <v>Mexico</v>
      </c>
      <c r="E11" s="2">
        <f t="shared" ca="1" si="0"/>
        <v>0</v>
      </c>
      <c r="F11" s="2">
        <f t="shared" ca="1" si="1"/>
        <v>0</v>
      </c>
      <c r="G11" s="3">
        <f t="shared" ca="1" si="6"/>
        <v>-14.596142622287934</v>
      </c>
    </row>
    <row r="12" spans="1:7" x14ac:dyDescent="0.6">
      <c r="A12" s="15">
        <f t="shared" ca="1" si="2"/>
        <v>81.693461121909621</v>
      </c>
      <c r="B12" s="3">
        <f t="shared" ca="1" si="3"/>
        <v>57.833303469122569</v>
      </c>
      <c r="C12" s="4">
        <f t="shared" ca="1" si="4"/>
        <v>0.57676446166368367</v>
      </c>
      <c r="D12" s="2" t="str">
        <f t="shared" ca="1" si="5"/>
        <v>Canada</v>
      </c>
      <c r="E12" s="2">
        <f t="shared" ca="1" si="0"/>
        <v>0</v>
      </c>
      <c r="F12" s="2">
        <f t="shared" ca="1" si="1"/>
        <v>1</v>
      </c>
      <c r="G12" s="3">
        <f t="shared" ca="1" si="6"/>
        <v>-0.22319061265166831</v>
      </c>
    </row>
    <row r="13" spans="1:7" x14ac:dyDescent="0.6">
      <c r="A13" s="15">
        <f t="shared" ca="1" si="2"/>
        <v>84.730928796582631</v>
      </c>
      <c r="B13" s="3">
        <f t="shared" ca="1" si="3"/>
        <v>57.347402951148005</v>
      </c>
      <c r="C13" s="4">
        <f t="shared" ca="1" si="4"/>
        <v>0.37781723585081228</v>
      </c>
      <c r="D13" s="2" t="str">
        <f t="shared" ca="1" si="5"/>
        <v>Canada</v>
      </c>
      <c r="E13" s="2">
        <f t="shared" ca="1" si="0"/>
        <v>0</v>
      </c>
      <c r="F13" s="2">
        <f t="shared" ca="1" si="1"/>
        <v>1</v>
      </c>
      <c r="G13" s="3">
        <f t="shared" ca="1" si="6"/>
        <v>3.0572273210086287</v>
      </c>
    </row>
    <row r="14" spans="1:7" x14ac:dyDescent="0.6">
      <c r="A14" s="15">
        <f t="shared" ca="1" si="2"/>
        <v>78.921875908743772</v>
      </c>
      <c r="B14" s="3">
        <f t="shared" ca="1" si="3"/>
        <v>69.32410445122531</v>
      </c>
      <c r="C14" s="4">
        <f t="shared" ca="1" si="4"/>
        <v>0.15209132189332053</v>
      </c>
      <c r="D14" s="2" t="str">
        <f t="shared" ca="1" si="5"/>
        <v>USA</v>
      </c>
      <c r="E14" s="2">
        <f t="shared" ca="1" si="0"/>
        <v>1</v>
      </c>
      <c r="F14" s="2">
        <f t="shared" ca="1" si="1"/>
        <v>0</v>
      </c>
      <c r="G14" s="3">
        <f t="shared" ca="1" si="6"/>
        <v>-10.740176316868887</v>
      </c>
    </row>
    <row r="15" spans="1:7" x14ac:dyDescent="0.6">
      <c r="A15" s="15">
        <f t="shared" ca="1" si="2"/>
        <v>76.642595673327094</v>
      </c>
      <c r="B15" s="3">
        <f t="shared" ca="1" si="3"/>
        <v>35.561865044860618</v>
      </c>
      <c r="C15" s="4">
        <f t="shared" ca="1" si="4"/>
        <v>0.43915234610042897</v>
      </c>
      <c r="D15" s="2" t="str">
        <f t="shared" ca="1" si="5"/>
        <v>Canada</v>
      </c>
      <c r="E15" s="2">
        <f t="shared" ca="1" si="0"/>
        <v>0</v>
      </c>
      <c r="F15" s="2">
        <f t="shared" ca="1" si="1"/>
        <v>1</v>
      </c>
      <c r="G15" s="3">
        <f t="shared" ca="1" si="6"/>
        <v>5.8616631508967814</v>
      </c>
    </row>
    <row r="16" spans="1:7" x14ac:dyDescent="0.6">
      <c r="A16" s="15">
        <f t="shared" ca="1" si="2"/>
        <v>78.204466547836589</v>
      </c>
      <c r="B16" s="3">
        <f t="shared" ca="1" si="3"/>
        <v>41.895631461528126</v>
      </c>
      <c r="C16" s="4">
        <f t="shared" ca="1" si="4"/>
        <v>0.40106253922420154</v>
      </c>
      <c r="D16" s="2" t="str">
        <f t="shared" ca="1" si="5"/>
        <v>Canada</v>
      </c>
      <c r="E16" s="2">
        <f t="shared" ca="1" si="0"/>
        <v>0</v>
      </c>
      <c r="F16" s="2">
        <f t="shared" ca="1" si="1"/>
        <v>1</v>
      </c>
      <c r="G16" s="3">
        <f t="shared" ca="1" si="6"/>
        <v>4.2566508170725212</v>
      </c>
    </row>
    <row r="17" spans="1:7" x14ac:dyDescent="0.6">
      <c r="A17" s="15">
        <f t="shared" ca="1" si="2"/>
        <v>74.703958858203279</v>
      </c>
      <c r="B17" s="3">
        <f t="shared" ca="1" si="3"/>
        <v>57.559325253952068</v>
      </c>
      <c r="C17" s="4">
        <f t="shared" ca="1" si="4"/>
        <v>0.69523099542120903</v>
      </c>
      <c r="D17" s="2" t="str">
        <f t="shared" ca="1" si="5"/>
        <v>Mexico</v>
      </c>
      <c r="E17" s="2">
        <f t="shared" ca="1" si="0"/>
        <v>0</v>
      </c>
      <c r="F17" s="2">
        <f t="shared" ca="1" si="1"/>
        <v>0</v>
      </c>
      <c r="G17" s="3">
        <f t="shared" ca="1" si="6"/>
        <v>-4.0757037687727511</v>
      </c>
    </row>
    <row r="18" spans="1:7" x14ac:dyDescent="0.6">
      <c r="A18" s="15">
        <f t="shared" ca="1" si="2"/>
        <v>100.03871150300489</v>
      </c>
      <c r="B18" s="3">
        <f t="shared" ca="1" si="3"/>
        <v>81.82040344564858</v>
      </c>
      <c r="C18" s="4">
        <f t="shared" ca="1" si="4"/>
        <v>0.54363957627199755</v>
      </c>
      <c r="D18" s="2" t="str">
        <f t="shared" ca="1" si="5"/>
        <v>Canada</v>
      </c>
      <c r="E18" s="2">
        <f t="shared" ca="1" si="0"/>
        <v>0</v>
      </c>
      <c r="F18" s="2">
        <f t="shared" ca="1" si="1"/>
        <v>1</v>
      </c>
      <c r="G18" s="3">
        <f t="shared" ca="1" si="6"/>
        <v>6.1285097801805941</v>
      </c>
    </row>
    <row r="19" spans="1:7" x14ac:dyDescent="0.6">
      <c r="A19" s="15">
        <f t="shared" ca="1" si="2"/>
        <v>93.017547799616395</v>
      </c>
      <c r="B19" s="3">
        <f t="shared" ca="1" si="3"/>
        <v>49.630598652333347</v>
      </c>
      <c r="C19" s="4">
        <f t="shared" ca="1" si="4"/>
        <v>0.75046513993569552</v>
      </c>
      <c r="D19" s="2" t="str">
        <f t="shared" ca="1" si="5"/>
        <v>Mexico</v>
      </c>
      <c r="E19" s="2">
        <f t="shared" ca="1" si="0"/>
        <v>0</v>
      </c>
      <c r="F19" s="2">
        <f t="shared" ca="1" si="1"/>
        <v>0</v>
      </c>
      <c r="G19" s="3">
        <f t="shared" ca="1" si="6"/>
        <v>18.202248473449728</v>
      </c>
    </row>
    <row r="20" spans="1:7" x14ac:dyDescent="0.6">
      <c r="A20" s="15">
        <f t="shared" ca="1" si="2"/>
        <v>86.232520803457831</v>
      </c>
      <c r="B20" s="3">
        <f t="shared" ca="1" si="3"/>
        <v>59.941221215167133</v>
      </c>
      <c r="C20" s="4">
        <f t="shared" ca="1" si="4"/>
        <v>4.8770185484285578E-2</v>
      </c>
      <c r="D20" s="2" t="str">
        <f t="shared" ca="1" si="5"/>
        <v>USA</v>
      </c>
      <c r="E20" s="2">
        <f t="shared" ca="1" si="0"/>
        <v>1</v>
      </c>
      <c r="F20" s="2">
        <f t="shared" ca="1" si="1"/>
        <v>0</v>
      </c>
      <c r="G20" s="3">
        <f t="shared" ca="1" si="6"/>
        <v>1.2619101958742585</v>
      </c>
    </row>
    <row r="21" spans="1:7" x14ac:dyDescent="0.6">
      <c r="A21" s="15">
        <f t="shared" ca="1" si="2"/>
        <v>101.36076587792348</v>
      </c>
      <c r="B21" s="3">
        <f t="shared" ca="1" si="3"/>
        <v>56.309003698190367</v>
      </c>
      <c r="C21" s="4">
        <f t="shared" ca="1" si="4"/>
        <v>0.29976045461411116</v>
      </c>
      <c r="D21" s="2" t="str">
        <f t="shared" ca="1" si="5"/>
        <v>USA</v>
      </c>
      <c r="E21" s="2">
        <f t="shared" ca="1" si="0"/>
        <v>1</v>
      </c>
      <c r="F21" s="2">
        <f t="shared" ca="1" si="1"/>
        <v>0</v>
      </c>
      <c r="G21" s="3">
        <f t="shared" ca="1" si="6"/>
        <v>18.206264028828304</v>
      </c>
    </row>
    <row r="22" spans="1:7" x14ac:dyDescent="0.6">
      <c r="A22" s="15">
        <f t="shared" ca="1" si="2"/>
        <v>76.293209273455659</v>
      </c>
      <c r="B22" s="3">
        <f t="shared" ca="1" si="3"/>
        <v>60.641072224014422</v>
      </c>
      <c r="C22" s="4">
        <f t="shared" ca="1" si="4"/>
        <v>0.92093570496686861</v>
      </c>
      <c r="D22" s="2" t="str">
        <f t="shared" ca="1" si="5"/>
        <v>Mexico</v>
      </c>
      <c r="E22" s="2">
        <f t="shared" ca="1" si="0"/>
        <v>0</v>
      </c>
      <c r="F22" s="2">
        <f t="shared" ca="1" si="1"/>
        <v>0</v>
      </c>
      <c r="G22" s="3">
        <f t="shared" ca="1" si="6"/>
        <v>-4.0273268385515379</v>
      </c>
    </row>
    <row r="23" spans="1:7" x14ac:dyDescent="0.6">
      <c r="A23" s="15">
        <f t="shared" ca="1" si="2"/>
        <v>97.816402202850639</v>
      </c>
      <c r="B23" s="3">
        <f t="shared" ca="1" si="3"/>
        <v>78.766950943453296</v>
      </c>
      <c r="C23" s="4">
        <f t="shared" ca="1" si="4"/>
        <v>0.61213369632050274</v>
      </c>
      <c r="D23" s="2" t="str">
        <f t="shared" ca="1" si="5"/>
        <v>Canada</v>
      </c>
      <c r="E23" s="2">
        <f t="shared" ca="1" si="0"/>
        <v>0</v>
      </c>
      <c r="F23" s="2">
        <f t="shared" ca="1" si="1"/>
        <v>1</v>
      </c>
      <c r="G23" s="3">
        <f t="shared" ca="1" si="6"/>
        <v>5.4329267311239802</v>
      </c>
    </row>
    <row r="24" spans="1:7" x14ac:dyDescent="0.6">
      <c r="A24" s="15">
        <f t="shared" ca="1" si="2"/>
        <v>69.283005044203009</v>
      </c>
      <c r="B24" s="3">
        <f t="shared" ca="1" si="3"/>
        <v>62.588679952857532</v>
      </c>
      <c r="C24" s="4">
        <f t="shared" ca="1" si="4"/>
        <v>0.70323267442497095</v>
      </c>
      <c r="D24" s="2" t="str">
        <f t="shared" ca="1" si="5"/>
        <v>Mexico</v>
      </c>
      <c r="E24" s="2">
        <f t="shared" ca="1" si="0"/>
        <v>0</v>
      </c>
      <c r="F24" s="2">
        <f t="shared" ca="1" si="1"/>
        <v>0</v>
      </c>
      <c r="G24" s="3">
        <f t="shared" ca="1" si="6"/>
        <v>-12.011334932225765</v>
      </c>
    </row>
    <row r="25" spans="1:7" x14ac:dyDescent="0.6">
      <c r="A25" s="15">
        <f t="shared" ca="1" si="2"/>
        <v>65.312268641939113</v>
      </c>
      <c r="B25" s="3">
        <f t="shared" ca="1" si="3"/>
        <v>36.56381309317608</v>
      </c>
      <c r="C25" s="4">
        <f t="shared" ca="1" si="4"/>
        <v>0.40243186957458865</v>
      </c>
      <c r="D25" s="2" t="str">
        <f t="shared" ca="1" si="5"/>
        <v>Canada</v>
      </c>
      <c r="E25" s="2">
        <f t="shared" ca="1" si="0"/>
        <v>0</v>
      </c>
      <c r="F25" s="2">
        <f t="shared" ca="1" si="1"/>
        <v>1</v>
      </c>
      <c r="G25" s="3">
        <f t="shared" ca="1" si="6"/>
        <v>-5.9696379046489154</v>
      </c>
    </row>
    <row r="26" spans="1:7" x14ac:dyDescent="0.6">
      <c r="A26" s="15">
        <f t="shared" ca="1" si="2"/>
        <v>89.156844872169998</v>
      </c>
      <c r="B26" s="3">
        <f t="shared" ca="1" si="3"/>
        <v>56.702091198885768</v>
      </c>
      <c r="C26" s="4">
        <f t="shared" ca="1" si="4"/>
        <v>0.98953259254269688</v>
      </c>
      <c r="D26" s="2" t="str">
        <f t="shared" ca="1" si="5"/>
        <v>Mexico</v>
      </c>
      <c r="E26" s="2">
        <f t="shared" ca="1" si="0"/>
        <v>0</v>
      </c>
      <c r="F26" s="2">
        <f t="shared" ca="1" si="1"/>
        <v>0</v>
      </c>
      <c r="G26" s="3">
        <f t="shared" ca="1" si="6"/>
        <v>10.805799272727111</v>
      </c>
    </row>
    <row r="27" spans="1:7" x14ac:dyDescent="0.6">
      <c r="A27" s="15">
        <f t="shared" ca="1" si="2"/>
        <v>78.499773299172091</v>
      </c>
      <c r="B27" s="3">
        <f t="shared" ca="1" si="3"/>
        <v>47.96495251763578</v>
      </c>
      <c r="C27" s="4">
        <f t="shared" ca="1" si="4"/>
        <v>0.46434792577409589</v>
      </c>
      <c r="D27" s="2" t="str">
        <f t="shared" ca="1" si="5"/>
        <v>Canada</v>
      </c>
      <c r="E27" s="2">
        <f t="shared" ca="1" si="0"/>
        <v>0</v>
      </c>
      <c r="F27" s="2">
        <f t="shared" ca="1" si="1"/>
        <v>1</v>
      </c>
      <c r="G27" s="3">
        <f t="shared" ca="1" si="6"/>
        <v>1.5172970403542128</v>
      </c>
    </row>
    <row r="28" spans="1:7" x14ac:dyDescent="0.6">
      <c r="A28" s="15">
        <f t="shared" ca="1" si="2"/>
        <v>83.87287611409235</v>
      </c>
      <c r="B28" s="3">
        <f t="shared" ca="1" si="3"/>
        <v>44.294406120790441</v>
      </c>
      <c r="C28" s="4">
        <f t="shared" ca="1" si="4"/>
        <v>0.96904589807434838</v>
      </c>
      <c r="D28" s="2" t="str">
        <f t="shared" ca="1" si="5"/>
        <v>Mexico</v>
      </c>
      <c r="E28" s="2">
        <f t="shared" ca="1" si="0"/>
        <v>0</v>
      </c>
      <c r="F28" s="2">
        <f t="shared" ca="1" si="1"/>
        <v>0</v>
      </c>
      <c r="G28" s="3">
        <f t="shared" ca="1" si="6"/>
        <v>11.72567305369714</v>
      </c>
    </row>
    <row r="29" spans="1:7" x14ac:dyDescent="0.6">
      <c r="A29" s="15">
        <f t="shared" ca="1" si="2"/>
        <v>73.533820846024952</v>
      </c>
      <c r="B29" s="3">
        <f t="shared" ca="1" si="3"/>
        <v>50.529898799875923</v>
      </c>
      <c r="C29" s="4">
        <f t="shared" ca="1" si="4"/>
        <v>0.58133756594385233</v>
      </c>
      <c r="D29" s="2" t="str">
        <f t="shared" ca="1" si="5"/>
        <v>Canada</v>
      </c>
      <c r="E29" s="2">
        <f t="shared" ca="1" si="0"/>
        <v>0</v>
      </c>
      <c r="F29" s="2">
        <f t="shared" ca="1" si="1"/>
        <v>1</v>
      </c>
      <c r="G29" s="3">
        <f t="shared" ca="1" si="6"/>
        <v>-4.7311285539130026</v>
      </c>
    </row>
    <row r="30" spans="1:7" x14ac:dyDescent="0.6">
      <c r="A30" s="15">
        <f t="shared" ca="1" si="2"/>
        <v>58.262410985021248</v>
      </c>
      <c r="B30" s="3">
        <f t="shared" ca="1" si="3"/>
        <v>31.2486036756221</v>
      </c>
      <c r="C30" s="4">
        <f t="shared" ca="1" si="4"/>
        <v>0.45887896547995666</v>
      </c>
      <c r="D30" s="2" t="str">
        <f t="shared" ca="1" si="5"/>
        <v>Canada</v>
      </c>
      <c r="E30" s="2">
        <f t="shared" ca="1" si="0"/>
        <v>0</v>
      </c>
      <c r="F30" s="2">
        <f t="shared" ca="1" si="1"/>
        <v>1</v>
      </c>
      <c r="G30" s="3">
        <f t="shared" ca="1" si="6"/>
        <v>-10.361890852789799</v>
      </c>
    </row>
    <row r="31" spans="1:7" x14ac:dyDescent="0.6">
      <c r="A31" s="15">
        <f t="shared" ca="1" si="2"/>
        <v>83.038037777380381</v>
      </c>
      <c r="B31" s="3">
        <f t="shared" ca="1" si="3"/>
        <v>36.820745711986334</v>
      </c>
      <c r="C31" s="4">
        <f t="shared" ca="1" si="4"/>
        <v>0.36874927266289137</v>
      </c>
      <c r="D31" s="2" t="str">
        <f t="shared" ca="1" si="5"/>
        <v>Canada</v>
      </c>
      <c r="E31" s="2">
        <f t="shared" ca="1" si="0"/>
        <v>0</v>
      </c>
      <c r="F31" s="2">
        <f t="shared" ca="1" si="1"/>
        <v>1</v>
      </c>
      <c r="G31" s="3">
        <f t="shared" ca="1" si="6"/>
        <v>11.62766492138722</v>
      </c>
    </row>
    <row r="32" spans="1:7" x14ac:dyDescent="0.6">
      <c r="A32" s="15">
        <f t="shared" ca="1" si="2"/>
        <v>70.526434980629148</v>
      </c>
      <c r="B32" s="3">
        <f t="shared" ca="1" si="3"/>
        <v>48.278634030302186</v>
      </c>
      <c r="C32" s="4">
        <f t="shared" ca="1" si="4"/>
        <v>9.5775321677338709E-2</v>
      </c>
      <c r="D32" s="2" t="str">
        <f t="shared" ca="1" si="5"/>
        <v>USA</v>
      </c>
      <c r="E32" s="2">
        <f t="shared" ca="1" si="0"/>
        <v>1</v>
      </c>
      <c r="F32" s="2">
        <f t="shared" ca="1" si="1"/>
        <v>0</v>
      </c>
      <c r="G32" s="3">
        <f t="shared" ca="1" si="6"/>
        <v>-8.6128820345219523</v>
      </c>
    </row>
    <row r="33" spans="1:7" x14ac:dyDescent="0.6">
      <c r="A33" s="15">
        <f t="shared" ca="1" si="2"/>
        <v>67.355309766506295</v>
      </c>
      <c r="B33" s="3">
        <f t="shared" ca="1" si="3"/>
        <v>24.97530042793025</v>
      </c>
      <c r="C33" s="4">
        <f t="shared" ca="1" si="4"/>
        <v>0.37488466227826589</v>
      </c>
      <c r="D33" s="2" t="str">
        <f t="shared" ca="1" si="5"/>
        <v>Canada</v>
      </c>
      <c r="E33" s="2">
        <f t="shared" ca="1" si="0"/>
        <v>0</v>
      </c>
      <c r="F33" s="2">
        <f t="shared" ca="1" si="1"/>
        <v>1</v>
      </c>
      <c r="G33" s="3">
        <f t="shared" ca="1" si="6"/>
        <v>1.8676595525411721</v>
      </c>
    </row>
    <row r="34" spans="1:7" x14ac:dyDescent="0.6">
      <c r="A34" s="15">
        <f t="shared" ca="1" si="2"/>
        <v>66.45734857182822</v>
      </c>
      <c r="B34" s="3">
        <f t="shared" ca="1" si="3"/>
        <v>30.818571685121579</v>
      </c>
      <c r="C34" s="4">
        <f t="shared" ca="1" si="4"/>
        <v>0.62781494902755175</v>
      </c>
      <c r="D34" s="2" t="str">
        <f t="shared" ca="1" si="5"/>
        <v>Canada</v>
      </c>
      <c r="E34" s="2">
        <f t="shared" ref="E34:E51" ca="1" si="7">IF(D34=$E$1,1,0)</f>
        <v>0</v>
      </c>
      <c r="F34" s="2">
        <f t="shared" ref="F34:F51" ca="1" si="8">IF(D34=$F$1,1,0)</f>
        <v>1</v>
      </c>
      <c r="G34" s="3">
        <f t="shared" ca="1" si="6"/>
        <v>-1.9519372707325708</v>
      </c>
    </row>
    <row r="35" spans="1:7" x14ac:dyDescent="0.6">
      <c r="A35" s="15">
        <f t="shared" ca="1" si="2"/>
        <v>66.424609251475189</v>
      </c>
      <c r="B35" s="3">
        <f t="shared" ca="1" si="3"/>
        <v>31.841807023734152</v>
      </c>
      <c r="C35" s="4">
        <f t="shared" ca="1" si="4"/>
        <v>0.75318932164410068</v>
      </c>
      <c r="D35" s="2" t="str">
        <f t="shared" ca="1" si="5"/>
        <v>Mexico</v>
      </c>
      <c r="E35" s="2">
        <f t="shared" ca="1" si="7"/>
        <v>0</v>
      </c>
      <c r="F35" s="2">
        <f t="shared" ca="1" si="8"/>
        <v>0</v>
      </c>
      <c r="G35" s="3">
        <f t="shared" ca="1" si="6"/>
        <v>0.50370573960810361</v>
      </c>
    </row>
    <row r="36" spans="1:7" x14ac:dyDescent="0.6">
      <c r="A36" s="15">
        <f t="shared" ca="1" si="2"/>
        <v>58.523741038701672</v>
      </c>
      <c r="B36" s="3">
        <f t="shared" ca="1" si="3"/>
        <v>41.396804817293116</v>
      </c>
      <c r="C36" s="4">
        <f t="shared" ca="1" si="4"/>
        <v>0.89499223852371379</v>
      </c>
      <c r="D36" s="2" t="str">
        <f t="shared" ca="1" si="5"/>
        <v>Mexico</v>
      </c>
      <c r="E36" s="2">
        <f t="shared" ca="1" si="7"/>
        <v>0</v>
      </c>
      <c r="F36" s="2">
        <f t="shared" ca="1" si="8"/>
        <v>0</v>
      </c>
      <c r="G36" s="3">
        <f t="shared" ca="1" si="6"/>
        <v>-12.174661369944886</v>
      </c>
    </row>
    <row r="37" spans="1:7" x14ac:dyDescent="0.6">
      <c r="A37" s="15">
        <f t="shared" ca="1" si="2"/>
        <v>52.874351261881252</v>
      </c>
      <c r="B37" s="3">
        <f t="shared" ca="1" si="3"/>
        <v>34.127985425837522</v>
      </c>
      <c r="C37" s="4">
        <f t="shared" ca="1" si="4"/>
        <v>0.52854822325510975</v>
      </c>
      <c r="D37" s="2" t="str">
        <f t="shared" ca="1" si="5"/>
        <v>Canada</v>
      </c>
      <c r="E37" s="2">
        <f t="shared" ca="1" si="7"/>
        <v>0</v>
      </c>
      <c r="F37" s="2">
        <f t="shared" ca="1" si="8"/>
        <v>1</v>
      </c>
      <c r="G37" s="3">
        <f t="shared" ca="1" si="6"/>
        <v>-17.18964145103751</v>
      </c>
    </row>
    <row r="38" spans="1:7" x14ac:dyDescent="0.6">
      <c r="A38" s="15">
        <f t="shared" ca="1" si="2"/>
        <v>81.340941017370469</v>
      </c>
      <c r="B38" s="3">
        <f t="shared" ca="1" si="3"/>
        <v>53.924360414691847</v>
      </c>
      <c r="C38" s="4">
        <f t="shared" ca="1" si="4"/>
        <v>0.32916627401469178</v>
      </c>
      <c r="D38" s="2" t="str">
        <f t="shared" ca="1" si="5"/>
        <v>USA</v>
      </c>
      <c r="E38" s="2">
        <f t="shared" ca="1" si="7"/>
        <v>1</v>
      </c>
      <c r="F38" s="2">
        <f t="shared" ca="1" si="8"/>
        <v>0</v>
      </c>
      <c r="G38" s="3">
        <f t="shared" ca="1" si="6"/>
        <v>-0.62123918997545358</v>
      </c>
    </row>
    <row r="39" spans="1:7" x14ac:dyDescent="0.6">
      <c r="A39" s="15">
        <f t="shared" ca="1" si="2"/>
        <v>79.500286230140162</v>
      </c>
      <c r="B39" s="3">
        <f t="shared" ca="1" si="3"/>
        <v>48.302107290503386</v>
      </c>
      <c r="C39" s="4">
        <f t="shared" ca="1" si="4"/>
        <v>5.3848613824777347E-2</v>
      </c>
      <c r="D39" s="2" t="str">
        <f t="shared" ca="1" si="5"/>
        <v>USA</v>
      </c>
      <c r="E39" s="2">
        <f t="shared" ca="1" si="7"/>
        <v>1</v>
      </c>
      <c r="F39" s="2">
        <f t="shared" ca="1" si="8"/>
        <v>0</v>
      </c>
      <c r="G39" s="3">
        <f t="shared" ca="1" si="6"/>
        <v>0.34923258488846665</v>
      </c>
    </row>
    <row r="40" spans="1:7" x14ac:dyDescent="0.6">
      <c r="A40" s="15">
        <f t="shared" ca="1" si="2"/>
        <v>76.897770857219626</v>
      </c>
      <c r="B40" s="3">
        <f t="shared" ca="1" si="3"/>
        <v>43.354711387750569</v>
      </c>
      <c r="C40" s="4">
        <f t="shared" ca="1" si="4"/>
        <v>0.10624623799174437</v>
      </c>
      <c r="D40" s="2" t="str">
        <f t="shared" ca="1" si="5"/>
        <v>USA</v>
      </c>
      <c r="E40" s="2">
        <f t="shared" ca="1" si="7"/>
        <v>1</v>
      </c>
      <c r="F40" s="2">
        <f t="shared" ca="1" si="8"/>
        <v>0</v>
      </c>
      <c r="G40" s="3">
        <f t="shared" ca="1" si="6"/>
        <v>0.22041516334434247</v>
      </c>
    </row>
    <row r="41" spans="1:7" x14ac:dyDescent="0.6">
      <c r="A41" s="15">
        <f t="shared" ca="1" si="2"/>
        <v>79.753594847177055</v>
      </c>
      <c r="B41" s="3">
        <f t="shared" ca="1" si="3"/>
        <v>73.266187245896603</v>
      </c>
      <c r="C41" s="4">
        <f t="shared" ca="1" si="4"/>
        <v>6.9281984200303848E-2</v>
      </c>
      <c r="D41" s="2" t="str">
        <f t="shared" ca="1" si="5"/>
        <v>USA</v>
      </c>
      <c r="E41" s="2">
        <f t="shared" ca="1" si="7"/>
        <v>1</v>
      </c>
      <c r="F41" s="2">
        <f t="shared" ca="1" si="8"/>
        <v>0</v>
      </c>
      <c r="G41" s="3">
        <f t="shared" ca="1" si="6"/>
        <v>-11.879498775771253</v>
      </c>
    </row>
    <row r="42" spans="1:7" x14ac:dyDescent="0.6">
      <c r="A42" s="15">
        <f t="shared" ca="1" si="2"/>
        <v>95.734273285491099</v>
      </c>
      <c r="B42" s="3">
        <f t="shared" ca="1" si="3"/>
        <v>62.882297330878217</v>
      </c>
      <c r="C42" s="4">
        <f t="shared" ca="1" si="4"/>
        <v>0.72679326005126343</v>
      </c>
      <c r="D42" s="2" t="str">
        <f t="shared" ca="1" si="5"/>
        <v>Mexico</v>
      </c>
      <c r="E42" s="2">
        <f t="shared" ca="1" si="7"/>
        <v>0</v>
      </c>
      <c r="F42" s="2">
        <f t="shared" ca="1" si="8"/>
        <v>0</v>
      </c>
      <c r="G42" s="3">
        <f t="shared" ca="1" si="6"/>
        <v>14.293124620051996</v>
      </c>
    </row>
    <row r="43" spans="1:7" x14ac:dyDescent="0.6">
      <c r="A43" s="15">
        <f t="shared" ca="1" si="2"/>
        <v>79.86617359044989</v>
      </c>
      <c r="B43" s="3">
        <f t="shared" ca="1" si="3"/>
        <v>47.470168380901285</v>
      </c>
      <c r="C43" s="4">
        <f t="shared" ca="1" si="4"/>
        <v>0.28474548574432867</v>
      </c>
      <c r="D43" s="2" t="str">
        <f t="shared" ca="1" si="5"/>
        <v>USA</v>
      </c>
      <c r="E43" s="2">
        <f t="shared" ca="1" si="7"/>
        <v>1</v>
      </c>
      <c r="F43" s="2">
        <f t="shared" ca="1" si="8"/>
        <v>0</v>
      </c>
      <c r="G43" s="3">
        <f t="shared" ca="1" si="6"/>
        <v>1.1310893999992579</v>
      </c>
    </row>
    <row r="44" spans="1:7" x14ac:dyDescent="0.6">
      <c r="A44" s="15">
        <f t="shared" ca="1" si="2"/>
        <v>82.585592407680423</v>
      </c>
      <c r="B44" s="3">
        <f t="shared" ca="1" si="3"/>
        <v>67.07019558502806</v>
      </c>
      <c r="C44" s="4">
        <f t="shared" ca="1" si="4"/>
        <v>0.42910566200077194</v>
      </c>
      <c r="D44" s="2" t="str">
        <f t="shared" ca="1" si="5"/>
        <v>Canada</v>
      </c>
      <c r="E44" s="2">
        <f t="shared" ca="1" si="7"/>
        <v>0</v>
      </c>
      <c r="F44" s="2">
        <f t="shared" ca="1" si="8"/>
        <v>1</v>
      </c>
      <c r="G44" s="3">
        <f t="shared" ca="1" si="6"/>
        <v>-3.9495053848336061</v>
      </c>
    </row>
    <row r="45" spans="1:7" x14ac:dyDescent="0.6">
      <c r="A45" s="15">
        <f t="shared" ca="1" si="2"/>
        <v>70.694411475111579</v>
      </c>
      <c r="B45" s="3">
        <f t="shared" ca="1" si="3"/>
        <v>50.493852540506765</v>
      </c>
      <c r="C45" s="4">
        <f t="shared" ca="1" si="4"/>
        <v>0.2602189805752968</v>
      </c>
      <c r="D45" s="2" t="str">
        <f t="shared" ca="1" si="5"/>
        <v>USA</v>
      </c>
      <c r="E45" s="2">
        <f t="shared" ca="1" si="7"/>
        <v>1</v>
      </c>
      <c r="F45" s="2">
        <f t="shared" ca="1" si="8"/>
        <v>0</v>
      </c>
      <c r="G45" s="3">
        <f t="shared" ca="1" si="6"/>
        <v>-9.5525147951418017</v>
      </c>
    </row>
    <row r="46" spans="1:7" x14ac:dyDescent="0.6">
      <c r="A46" s="15">
        <f t="shared" ca="1" si="2"/>
        <v>96.193001317939732</v>
      </c>
      <c r="B46" s="3">
        <f t="shared" ca="1" si="3"/>
        <v>53.620248729262819</v>
      </c>
      <c r="C46" s="4">
        <f t="shared" ca="1" si="4"/>
        <v>0.17813754743205801</v>
      </c>
      <c r="D46" s="2" t="str">
        <f t="shared" ca="1" si="5"/>
        <v>USA</v>
      </c>
      <c r="E46" s="2">
        <f t="shared" ca="1" si="7"/>
        <v>1</v>
      </c>
      <c r="F46" s="2">
        <f t="shared" ca="1" si="8"/>
        <v>0</v>
      </c>
      <c r="G46" s="3">
        <f t="shared" ca="1" si="6"/>
        <v>14.38287695330833</v>
      </c>
    </row>
    <row r="47" spans="1:7" x14ac:dyDescent="0.6">
      <c r="A47" s="15">
        <f t="shared" ca="1" si="2"/>
        <v>77.170876474056243</v>
      </c>
      <c r="B47" s="3">
        <f t="shared" ca="1" si="3"/>
        <v>55.215070976736975</v>
      </c>
      <c r="C47" s="4">
        <f t="shared" ca="1" si="4"/>
        <v>0.56704489948360848</v>
      </c>
      <c r="D47" s="2" t="str">
        <f t="shared" ca="1" si="5"/>
        <v>Canada</v>
      </c>
      <c r="E47" s="2">
        <f t="shared" ca="1" si="7"/>
        <v>0</v>
      </c>
      <c r="F47" s="2">
        <f t="shared" ca="1" si="8"/>
        <v>1</v>
      </c>
      <c r="G47" s="3">
        <f t="shared" ca="1" si="6"/>
        <v>-3.4366590143122426</v>
      </c>
    </row>
    <row r="48" spans="1:7" x14ac:dyDescent="0.6">
      <c r="A48" s="15">
        <f t="shared" ca="1" si="2"/>
        <v>86.552648056740551</v>
      </c>
      <c r="B48" s="3">
        <f t="shared" ca="1" si="3"/>
        <v>55.871769046447383</v>
      </c>
      <c r="C48" s="4">
        <f t="shared" ca="1" si="4"/>
        <v>0.98695314872759532</v>
      </c>
      <c r="D48" s="2" t="str">
        <f t="shared" ca="1" si="5"/>
        <v>Mexico</v>
      </c>
      <c r="E48" s="2">
        <f t="shared" ca="1" si="7"/>
        <v>0</v>
      </c>
      <c r="F48" s="2">
        <f t="shared" ca="1" si="8"/>
        <v>0</v>
      </c>
      <c r="G48" s="3">
        <f t="shared" ca="1" si="6"/>
        <v>8.6167635335168562</v>
      </c>
    </row>
    <row r="49" spans="1:7" x14ac:dyDescent="0.6">
      <c r="A49" s="15">
        <f t="shared" ca="1" si="2"/>
        <v>73.074171615824</v>
      </c>
      <c r="B49" s="3">
        <f t="shared" ca="1" si="3"/>
        <v>49.077220575808873</v>
      </c>
      <c r="C49" s="4">
        <f t="shared" ca="1" si="4"/>
        <v>0.75642663865577719</v>
      </c>
      <c r="D49" s="2" t="str">
        <f t="shared" ca="1" si="5"/>
        <v>Mexico</v>
      </c>
      <c r="E49" s="2">
        <f t="shared" ca="1" si="7"/>
        <v>0</v>
      </c>
      <c r="F49" s="2">
        <f t="shared" ca="1" si="8"/>
        <v>0</v>
      </c>
      <c r="G49" s="3">
        <f t="shared" ca="1" si="6"/>
        <v>-1.4644386720804323</v>
      </c>
    </row>
    <row r="50" spans="1:7" x14ac:dyDescent="0.6">
      <c r="A50" s="15">
        <f t="shared" ca="1" si="2"/>
        <v>54.703204187843269</v>
      </c>
      <c r="B50" s="3">
        <f t="shared" ca="1" si="3"/>
        <v>51.942417874726409</v>
      </c>
      <c r="C50" s="4">
        <f t="shared" ca="1" si="4"/>
        <v>0.52054100378224821</v>
      </c>
      <c r="D50" s="2" t="str">
        <f t="shared" ca="1" si="5"/>
        <v>Canada</v>
      </c>
      <c r="E50" s="2">
        <f t="shared" ca="1" si="7"/>
        <v>0</v>
      </c>
      <c r="F50" s="2">
        <f t="shared" ca="1" si="8"/>
        <v>1</v>
      </c>
      <c r="G50" s="3">
        <f t="shared" ca="1" si="6"/>
        <v>-24.268004749519932</v>
      </c>
    </row>
    <row r="51" spans="1:7" x14ac:dyDescent="0.6">
      <c r="A51" s="15">
        <f t="shared" ca="1" si="2"/>
        <v>77.531729664160466</v>
      </c>
      <c r="B51" s="3">
        <f t="shared" ca="1" si="3"/>
        <v>60.539131949641302</v>
      </c>
      <c r="C51" s="4">
        <f t="shared" ca="1" si="4"/>
        <v>0.30893077414035164</v>
      </c>
      <c r="D51" s="2" t="str">
        <f t="shared" ca="1" si="5"/>
        <v>USA</v>
      </c>
      <c r="E51" s="2">
        <f t="shared" ca="1" si="7"/>
        <v>1</v>
      </c>
      <c r="F51" s="2">
        <f t="shared" ca="1" si="8"/>
        <v>0</v>
      </c>
      <c r="G51" s="3">
        <f t="shared" ca="1" si="6"/>
        <v>-7.73783631066018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D7CD2-6201-47FB-9A03-223DB59BF866}">
  <dimension ref="A1:E51"/>
  <sheetViews>
    <sheetView workbookViewId="0">
      <pane ySplit="1" topLeftCell="A29" activePane="bottomLeft" state="frozen"/>
      <selection pane="bottomLeft" activeCell="B5" sqref="B5"/>
    </sheetView>
  </sheetViews>
  <sheetFormatPr defaultRowHeight="15.6" x14ac:dyDescent="0.6"/>
  <cols>
    <col min="1" max="1" width="13.5" style="3" bestFit="1" customWidth="1"/>
    <col min="2" max="2" width="14.34765625" style="3" bestFit="1" customWidth="1"/>
    <col min="3" max="3" width="4.09765625" style="3" bestFit="1" customWidth="1"/>
    <col min="4" max="4" width="6.796875" bestFit="1" customWidth="1"/>
    <col min="5" max="5" width="7.25" style="3" bestFit="1" customWidth="1"/>
  </cols>
  <sheetData>
    <row r="1" spans="1:5" s="5" customFormat="1" x14ac:dyDescent="0.6">
      <c r="A1" s="8" t="s">
        <v>47</v>
      </c>
      <c r="B1" s="8" t="s">
        <v>50</v>
      </c>
      <c r="C1" s="8" t="s">
        <v>48</v>
      </c>
      <c r="D1" s="5" t="s">
        <v>49</v>
      </c>
      <c r="E1" s="8" t="s">
        <v>46</v>
      </c>
    </row>
    <row r="2" spans="1:5" x14ac:dyDescent="0.6">
      <c r="A2" s="3">
        <v>57.748263699329584</v>
      </c>
      <c r="B2" s="3">
        <v>44.76827949082859</v>
      </c>
      <c r="C2" s="3">
        <v>0</v>
      </c>
      <c r="D2">
        <v>0</v>
      </c>
      <c r="E2" s="3" t="s">
        <v>51</v>
      </c>
    </row>
    <row r="3" spans="1:5" x14ac:dyDescent="0.6">
      <c r="A3" s="3">
        <v>69.640689125751365</v>
      </c>
      <c r="B3" s="3">
        <v>35.220515662358828</v>
      </c>
      <c r="C3" s="3">
        <v>0</v>
      </c>
      <c r="D3">
        <v>0</v>
      </c>
      <c r="E3" s="3" t="s">
        <v>51</v>
      </c>
    </row>
    <row r="4" spans="1:5" x14ac:dyDescent="0.6">
      <c r="A4" s="3">
        <v>99.021644476115256</v>
      </c>
      <c r="B4" s="3">
        <v>64.459167778809672</v>
      </c>
      <c r="C4" s="3">
        <v>1</v>
      </c>
      <c r="D4">
        <v>0</v>
      </c>
      <c r="E4" s="3" t="s">
        <v>48</v>
      </c>
    </row>
    <row r="5" spans="1:5" x14ac:dyDescent="0.6">
      <c r="A5" s="3">
        <v>72.409691217612206</v>
      </c>
      <c r="B5" s="3">
        <v>51.74409540990785</v>
      </c>
      <c r="C5" s="3">
        <v>1</v>
      </c>
      <c r="D5">
        <v>0</v>
      </c>
      <c r="E5" s="3" t="s">
        <v>48</v>
      </c>
    </row>
    <row r="6" spans="1:5" x14ac:dyDescent="0.6">
      <c r="A6" s="3">
        <v>92.250890743072901</v>
      </c>
      <c r="B6" s="3">
        <v>48.049796075131646</v>
      </c>
      <c r="C6" s="3">
        <v>1</v>
      </c>
      <c r="D6">
        <v>0</v>
      </c>
      <c r="E6" s="3" t="s">
        <v>48</v>
      </c>
    </row>
    <row r="7" spans="1:5" x14ac:dyDescent="0.6">
      <c r="A7" s="3">
        <v>79.45256064452434</v>
      </c>
      <c r="B7" s="3">
        <v>69.580494937057722</v>
      </c>
      <c r="C7" s="3">
        <v>0</v>
      </c>
      <c r="D7">
        <v>0</v>
      </c>
      <c r="E7" s="3" t="s">
        <v>51</v>
      </c>
    </row>
    <row r="8" spans="1:5" x14ac:dyDescent="0.6">
      <c r="A8" s="3">
        <v>77.313569745562063</v>
      </c>
      <c r="B8" s="3">
        <v>63.932777585421817</v>
      </c>
      <c r="C8" s="3">
        <v>1</v>
      </c>
      <c r="D8">
        <v>0</v>
      </c>
      <c r="E8" s="3" t="s">
        <v>48</v>
      </c>
    </row>
    <row r="9" spans="1:5" x14ac:dyDescent="0.6">
      <c r="A9" s="3">
        <v>92.245743696462227</v>
      </c>
      <c r="B9" s="3">
        <v>57.580055246604971</v>
      </c>
      <c r="C9" s="3">
        <v>1</v>
      </c>
      <c r="D9">
        <v>0</v>
      </c>
      <c r="E9" s="3" t="s">
        <v>48</v>
      </c>
    </row>
    <row r="10" spans="1:5" x14ac:dyDescent="0.6">
      <c r="A10" s="3">
        <v>61.850883073700139</v>
      </c>
      <c r="B10" s="3">
        <v>44.940372452549767</v>
      </c>
      <c r="C10" s="3">
        <v>0</v>
      </c>
      <c r="D10">
        <v>0</v>
      </c>
      <c r="E10" s="3" t="s">
        <v>51</v>
      </c>
    </row>
    <row r="11" spans="1:5" x14ac:dyDescent="0.6">
      <c r="A11" s="3">
        <v>86.088930518118161</v>
      </c>
      <c r="B11" s="3">
        <v>66.099982212869719</v>
      </c>
      <c r="C11" s="3">
        <v>0</v>
      </c>
      <c r="D11">
        <v>0</v>
      </c>
      <c r="E11" s="3" t="s">
        <v>51</v>
      </c>
    </row>
    <row r="12" spans="1:5" x14ac:dyDescent="0.6">
      <c r="A12" s="3">
        <v>71.813324882771809</v>
      </c>
      <c r="B12" s="3">
        <v>31.105761952796986</v>
      </c>
      <c r="C12" s="3">
        <v>1</v>
      </c>
      <c r="D12">
        <v>0</v>
      </c>
      <c r="E12" s="3" t="s">
        <v>48</v>
      </c>
    </row>
    <row r="13" spans="1:5" x14ac:dyDescent="0.6">
      <c r="A13" s="3">
        <v>70.247724658407776</v>
      </c>
      <c r="B13" s="3">
        <v>60.858376760774945</v>
      </c>
      <c r="C13" s="3">
        <v>0</v>
      </c>
      <c r="D13">
        <v>0</v>
      </c>
      <c r="E13" s="3" t="s">
        <v>51</v>
      </c>
    </row>
    <row r="14" spans="1:5" x14ac:dyDescent="0.6">
      <c r="A14" s="3">
        <v>66.376741238253373</v>
      </c>
      <c r="B14" s="3">
        <v>47.607819930167004</v>
      </c>
      <c r="C14" s="3">
        <v>0</v>
      </c>
      <c r="D14">
        <v>0</v>
      </c>
      <c r="E14" s="3" t="s">
        <v>51</v>
      </c>
    </row>
    <row r="15" spans="1:5" x14ac:dyDescent="0.6">
      <c r="A15" s="3">
        <v>81.94074145928704</v>
      </c>
      <c r="B15" s="3">
        <v>48.284918275919146</v>
      </c>
      <c r="C15" s="3">
        <v>0</v>
      </c>
      <c r="D15">
        <v>1</v>
      </c>
      <c r="E15" s="3" t="s">
        <v>49</v>
      </c>
    </row>
    <row r="16" spans="1:5" x14ac:dyDescent="0.6">
      <c r="A16" s="3">
        <v>54.759953193292588</v>
      </c>
      <c r="B16" s="3">
        <v>23.349843976098676</v>
      </c>
      <c r="C16" s="3">
        <v>0</v>
      </c>
      <c r="D16">
        <v>0</v>
      </c>
      <c r="E16" s="3" t="s">
        <v>51</v>
      </c>
    </row>
    <row r="17" spans="1:5" x14ac:dyDescent="0.6">
      <c r="A17" s="3">
        <v>69.380886612861772</v>
      </c>
      <c r="B17" s="3">
        <v>69.351603174631663</v>
      </c>
      <c r="C17" s="3">
        <v>1</v>
      </c>
      <c r="D17">
        <v>0</v>
      </c>
      <c r="E17" s="3" t="s">
        <v>48</v>
      </c>
    </row>
    <row r="18" spans="1:5" x14ac:dyDescent="0.6">
      <c r="A18" s="3">
        <v>71.67830773410229</v>
      </c>
      <c r="B18" s="3">
        <v>43.760387104355374</v>
      </c>
      <c r="C18" s="3">
        <v>0</v>
      </c>
      <c r="D18">
        <v>0</v>
      </c>
      <c r="E18" s="3" t="s">
        <v>51</v>
      </c>
    </row>
    <row r="19" spans="1:5" x14ac:dyDescent="0.6">
      <c r="A19" s="3">
        <v>71.973619777238255</v>
      </c>
      <c r="B19" s="3">
        <v>41.14387346333686</v>
      </c>
      <c r="C19" s="3">
        <v>0</v>
      </c>
      <c r="D19">
        <v>0</v>
      </c>
      <c r="E19" s="3" t="s">
        <v>51</v>
      </c>
    </row>
    <row r="20" spans="1:5" x14ac:dyDescent="0.6">
      <c r="A20" s="3">
        <v>92.859404487657272</v>
      </c>
      <c r="B20" s="3">
        <v>62.817770074667663</v>
      </c>
      <c r="C20" s="3">
        <v>1</v>
      </c>
      <c r="D20">
        <v>0</v>
      </c>
      <c r="E20" s="3" t="s">
        <v>48</v>
      </c>
    </row>
    <row r="21" spans="1:5" x14ac:dyDescent="0.6">
      <c r="A21" s="3">
        <v>51.788632900010469</v>
      </c>
      <c r="B21" s="3">
        <v>35.477097255205848</v>
      </c>
      <c r="C21" s="3">
        <v>1</v>
      </c>
      <c r="D21">
        <v>0</v>
      </c>
      <c r="E21" s="3" t="s">
        <v>48</v>
      </c>
    </row>
    <row r="22" spans="1:5" x14ac:dyDescent="0.6">
      <c r="A22" s="3">
        <v>98.167298327789837</v>
      </c>
      <c r="B22" s="3">
        <v>58.631299729996535</v>
      </c>
      <c r="C22" s="3">
        <v>1</v>
      </c>
      <c r="D22">
        <v>0</v>
      </c>
      <c r="E22" s="3" t="s">
        <v>48</v>
      </c>
    </row>
    <row r="23" spans="1:5" x14ac:dyDescent="0.6">
      <c r="A23" s="3">
        <v>94.064029455906564</v>
      </c>
      <c r="B23" s="3">
        <v>60.825517214910064</v>
      </c>
      <c r="C23" s="3">
        <v>0</v>
      </c>
      <c r="D23">
        <v>1</v>
      </c>
      <c r="E23" s="3" t="s">
        <v>49</v>
      </c>
    </row>
    <row r="24" spans="1:5" x14ac:dyDescent="0.6">
      <c r="A24" s="3">
        <v>66.010723983313881</v>
      </c>
      <c r="B24" s="3">
        <v>59.208262159801372</v>
      </c>
      <c r="C24" s="3">
        <v>0</v>
      </c>
      <c r="D24">
        <v>0</v>
      </c>
      <c r="E24" s="3" t="s">
        <v>51</v>
      </c>
    </row>
    <row r="25" spans="1:5" x14ac:dyDescent="0.6">
      <c r="A25" s="3">
        <v>102.00178417628345</v>
      </c>
      <c r="B25" s="3">
        <v>86.560084490122421</v>
      </c>
      <c r="C25" s="3">
        <v>0</v>
      </c>
      <c r="D25">
        <v>1</v>
      </c>
      <c r="E25" s="3" t="s">
        <v>49</v>
      </c>
    </row>
    <row r="26" spans="1:5" x14ac:dyDescent="0.6">
      <c r="A26" s="3">
        <v>74.359056631337268</v>
      </c>
      <c r="B26" s="3">
        <v>38.343212028046985</v>
      </c>
      <c r="C26" s="3">
        <v>1</v>
      </c>
      <c r="D26">
        <v>0</v>
      </c>
      <c r="E26" s="3" t="s">
        <v>48</v>
      </c>
    </row>
    <row r="27" spans="1:5" x14ac:dyDescent="0.6">
      <c r="A27" s="3">
        <v>91.43655082461261</v>
      </c>
      <c r="B27" s="3">
        <v>59.072589894570797</v>
      </c>
      <c r="C27" s="3">
        <v>0</v>
      </c>
      <c r="D27">
        <v>1</v>
      </c>
      <c r="E27" s="3" t="s">
        <v>49</v>
      </c>
    </row>
    <row r="28" spans="1:5" x14ac:dyDescent="0.6">
      <c r="A28" s="3">
        <v>94.897673474352644</v>
      </c>
      <c r="B28" s="3">
        <v>63.621076324200899</v>
      </c>
      <c r="C28" s="3">
        <v>1</v>
      </c>
      <c r="D28">
        <v>0</v>
      </c>
      <c r="E28" s="3" t="s">
        <v>48</v>
      </c>
    </row>
    <row r="29" spans="1:5" x14ac:dyDescent="0.6">
      <c r="A29" s="3">
        <v>106.60798579917946</v>
      </c>
      <c r="B29" s="3">
        <v>74.075331260335133</v>
      </c>
      <c r="C29" s="3">
        <v>1</v>
      </c>
      <c r="D29">
        <v>0</v>
      </c>
      <c r="E29" s="3" t="s">
        <v>48</v>
      </c>
    </row>
    <row r="30" spans="1:5" x14ac:dyDescent="0.6">
      <c r="A30" s="3">
        <v>72.73797308890957</v>
      </c>
      <c r="B30" s="3">
        <v>38.454735044163229</v>
      </c>
      <c r="C30" s="3">
        <v>1</v>
      </c>
      <c r="D30">
        <v>0</v>
      </c>
      <c r="E30" s="3" t="s">
        <v>48</v>
      </c>
    </row>
    <row r="31" spans="1:5" x14ac:dyDescent="0.6">
      <c r="A31" s="3">
        <v>63.668004888555643</v>
      </c>
      <c r="B31" s="3">
        <v>41.551297441218878</v>
      </c>
      <c r="C31" s="3">
        <v>1</v>
      </c>
      <c r="D31">
        <v>0</v>
      </c>
      <c r="E31" s="3" t="s">
        <v>48</v>
      </c>
    </row>
    <row r="32" spans="1:5" x14ac:dyDescent="0.6">
      <c r="A32" s="3">
        <v>50.929813350014044</v>
      </c>
      <c r="B32" s="3">
        <v>49.535997614597434</v>
      </c>
      <c r="C32" s="3">
        <v>0</v>
      </c>
      <c r="D32">
        <v>1</v>
      </c>
      <c r="E32" s="3" t="s">
        <v>49</v>
      </c>
    </row>
    <row r="33" spans="1:5" x14ac:dyDescent="0.6">
      <c r="A33" s="3">
        <v>71.722575717227102</v>
      </c>
      <c r="B33" s="3">
        <v>49.871955511309807</v>
      </c>
      <c r="C33" s="3">
        <v>1</v>
      </c>
      <c r="D33">
        <v>0</v>
      </c>
      <c r="E33" s="3" t="s">
        <v>48</v>
      </c>
    </row>
    <row r="34" spans="1:5" x14ac:dyDescent="0.6">
      <c r="A34" s="3">
        <v>87.906270557418154</v>
      </c>
      <c r="B34" s="3">
        <v>37.170454770655901</v>
      </c>
      <c r="C34" s="3">
        <v>1</v>
      </c>
      <c r="D34">
        <v>0</v>
      </c>
      <c r="E34" s="3" t="s">
        <v>48</v>
      </c>
    </row>
    <row r="35" spans="1:5" x14ac:dyDescent="0.6">
      <c r="A35" s="3">
        <v>58.587375026608527</v>
      </c>
      <c r="B35" s="3">
        <v>48.543105527577808</v>
      </c>
      <c r="C35" s="3">
        <v>0</v>
      </c>
      <c r="D35">
        <v>0</v>
      </c>
      <c r="E35" s="3" t="s">
        <v>51</v>
      </c>
    </row>
    <row r="36" spans="1:5" x14ac:dyDescent="0.6">
      <c r="A36" s="3">
        <v>69.242591700151138</v>
      </c>
      <c r="B36" s="3">
        <v>39.476729654013198</v>
      </c>
      <c r="C36" s="3">
        <v>0</v>
      </c>
      <c r="D36">
        <v>1</v>
      </c>
      <c r="E36" s="3" t="s">
        <v>49</v>
      </c>
    </row>
    <row r="37" spans="1:5" x14ac:dyDescent="0.6">
      <c r="A37" s="3">
        <v>68.200210051877804</v>
      </c>
      <c r="B37" s="3">
        <v>31.419554561445292</v>
      </c>
      <c r="C37" s="3">
        <v>0</v>
      </c>
      <c r="D37">
        <v>1</v>
      </c>
      <c r="E37" s="3" t="s">
        <v>49</v>
      </c>
    </row>
    <row r="38" spans="1:5" x14ac:dyDescent="0.6">
      <c r="A38" s="3">
        <v>91.361499075875358</v>
      </c>
      <c r="B38" s="3">
        <v>89.423969803984249</v>
      </c>
      <c r="C38" s="3">
        <v>0</v>
      </c>
      <c r="D38">
        <v>0</v>
      </c>
      <c r="E38" s="3" t="s">
        <v>51</v>
      </c>
    </row>
    <row r="39" spans="1:5" x14ac:dyDescent="0.6">
      <c r="A39" s="3">
        <v>85.607698287910807</v>
      </c>
      <c r="B39" s="3">
        <v>81.236836911035056</v>
      </c>
      <c r="C39" s="3">
        <v>0</v>
      </c>
      <c r="D39">
        <v>1</v>
      </c>
      <c r="E39" s="3" t="s">
        <v>49</v>
      </c>
    </row>
    <row r="40" spans="1:5" x14ac:dyDescent="0.6">
      <c r="A40" s="3">
        <v>97.063728233591306</v>
      </c>
      <c r="B40" s="3">
        <v>58.227525177433087</v>
      </c>
      <c r="C40" s="3">
        <v>0</v>
      </c>
      <c r="D40">
        <v>0</v>
      </c>
      <c r="E40" s="3" t="s">
        <v>51</v>
      </c>
    </row>
    <row r="41" spans="1:5" x14ac:dyDescent="0.6">
      <c r="A41" s="3">
        <v>94.453226015163267</v>
      </c>
      <c r="B41" s="3">
        <v>52.424447780509176</v>
      </c>
      <c r="C41" s="3">
        <v>0</v>
      </c>
      <c r="D41">
        <v>1</v>
      </c>
      <c r="E41" s="3" t="s">
        <v>49</v>
      </c>
    </row>
    <row r="42" spans="1:5" x14ac:dyDescent="0.6">
      <c r="A42" s="3">
        <v>87.501737539502216</v>
      </c>
      <c r="B42" s="3">
        <v>72.564191108801424</v>
      </c>
      <c r="C42" s="3">
        <v>1</v>
      </c>
      <c r="D42">
        <v>0</v>
      </c>
      <c r="E42" s="3" t="s">
        <v>48</v>
      </c>
    </row>
    <row r="43" spans="1:5" x14ac:dyDescent="0.6">
      <c r="A43" s="3">
        <v>84.081083922290105</v>
      </c>
      <c r="B43" s="3">
        <v>52.113927062135332</v>
      </c>
      <c r="C43" s="3">
        <v>0</v>
      </c>
      <c r="D43">
        <v>0</v>
      </c>
      <c r="E43" s="3" t="s">
        <v>51</v>
      </c>
    </row>
    <row r="44" spans="1:5" x14ac:dyDescent="0.6">
      <c r="A44" s="3">
        <v>82.039931627997561</v>
      </c>
      <c r="B44" s="3">
        <v>37.63634056081294</v>
      </c>
      <c r="C44" s="3">
        <v>1</v>
      </c>
      <c r="D44">
        <v>0</v>
      </c>
      <c r="E44" s="3" t="s">
        <v>48</v>
      </c>
    </row>
    <row r="45" spans="1:5" x14ac:dyDescent="0.6">
      <c r="A45" s="3">
        <v>83.745503075794289</v>
      </c>
      <c r="B45" s="3">
        <v>55.002838158586655</v>
      </c>
      <c r="C45" s="3">
        <v>0</v>
      </c>
      <c r="D45">
        <v>1</v>
      </c>
      <c r="E45" s="3" t="s">
        <v>49</v>
      </c>
    </row>
    <row r="46" spans="1:5" x14ac:dyDescent="0.6">
      <c r="A46" s="3">
        <v>55.932439928695125</v>
      </c>
      <c r="B46" s="3">
        <v>37.259376591897521</v>
      </c>
      <c r="C46" s="3">
        <v>1</v>
      </c>
      <c r="D46">
        <v>0</v>
      </c>
      <c r="E46" s="3" t="s">
        <v>48</v>
      </c>
    </row>
    <row r="47" spans="1:5" x14ac:dyDescent="0.6">
      <c r="A47" s="3">
        <v>78.636523812813849</v>
      </c>
      <c r="B47" s="3">
        <v>60.904482975600267</v>
      </c>
      <c r="C47" s="3">
        <v>0</v>
      </c>
      <c r="D47">
        <v>1</v>
      </c>
      <c r="E47" s="3" t="s">
        <v>49</v>
      </c>
    </row>
    <row r="48" spans="1:5" x14ac:dyDescent="0.6">
      <c r="A48" s="3">
        <v>76.787034273801467</v>
      </c>
      <c r="B48" s="3">
        <v>47.419020617150245</v>
      </c>
      <c r="C48" s="3">
        <v>0</v>
      </c>
      <c r="D48">
        <v>1</v>
      </c>
      <c r="E48" s="3" t="s">
        <v>49</v>
      </c>
    </row>
    <row r="49" spans="1:5" x14ac:dyDescent="0.6">
      <c r="A49" s="3">
        <v>78.120633163044772</v>
      </c>
      <c r="B49" s="3">
        <v>41.400942277324198</v>
      </c>
      <c r="C49" s="3">
        <v>0</v>
      </c>
      <c r="D49">
        <v>0</v>
      </c>
      <c r="E49" s="3" t="s">
        <v>51</v>
      </c>
    </row>
    <row r="50" spans="1:5" x14ac:dyDescent="0.6">
      <c r="A50" s="3">
        <v>93.598214443880622</v>
      </c>
      <c r="B50" s="3">
        <v>74.371889171743916</v>
      </c>
      <c r="C50" s="3">
        <v>1</v>
      </c>
      <c r="D50">
        <v>0</v>
      </c>
      <c r="E50" s="3" t="s">
        <v>48</v>
      </c>
    </row>
    <row r="51" spans="1:5" x14ac:dyDescent="0.6">
      <c r="A51" s="3">
        <v>84.062842598530693</v>
      </c>
      <c r="B51" s="3">
        <v>71.337542483034753</v>
      </c>
      <c r="C51" s="3">
        <v>0</v>
      </c>
      <c r="D51">
        <v>1</v>
      </c>
      <c r="E51" s="3"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8D4A7-7ABC-464B-98A3-233D8DFF3FA1}">
  <sheetPr codeName="Sheet2"/>
  <dimension ref="A1:C51"/>
  <sheetViews>
    <sheetView tabSelected="1" workbookViewId="0">
      <pane ySplit="1" topLeftCell="A29" activePane="bottomLeft" state="frozen"/>
      <selection pane="bottomLeft" activeCell="C1" sqref="C1:D1048576"/>
    </sheetView>
  </sheetViews>
  <sheetFormatPr defaultRowHeight="15.6" x14ac:dyDescent="0.6"/>
  <cols>
    <col min="1" max="1" width="13.5" style="3" bestFit="1" customWidth="1"/>
    <col min="2" max="2" width="14.34765625" style="3" bestFit="1" customWidth="1"/>
    <col min="3" max="3" width="7.25" style="3" bestFit="1" customWidth="1"/>
  </cols>
  <sheetData>
    <row r="1" spans="1:3" s="5" customFormat="1" x14ac:dyDescent="0.6">
      <c r="A1" s="8" t="s">
        <v>47</v>
      </c>
      <c r="B1" s="8" t="s">
        <v>50</v>
      </c>
      <c r="C1" s="8" t="s">
        <v>46</v>
      </c>
    </row>
    <row r="2" spans="1:3" x14ac:dyDescent="0.6">
      <c r="A2" s="3">
        <v>57.748263699329584</v>
      </c>
      <c r="B2" s="3">
        <v>44.76827949082859</v>
      </c>
      <c r="C2" s="3" t="s">
        <v>51</v>
      </c>
    </row>
    <row r="3" spans="1:3" x14ac:dyDescent="0.6">
      <c r="A3" s="3">
        <v>69.640689125751365</v>
      </c>
      <c r="B3" s="3">
        <v>35.220515662358828</v>
      </c>
      <c r="C3" s="3" t="s">
        <v>51</v>
      </c>
    </row>
    <row r="4" spans="1:3" x14ac:dyDescent="0.6">
      <c r="A4" s="3">
        <v>99.021644476115256</v>
      </c>
      <c r="B4" s="3">
        <v>64.459167778809672</v>
      </c>
      <c r="C4" s="3" t="s">
        <v>48</v>
      </c>
    </row>
    <row r="5" spans="1:3" x14ac:dyDescent="0.6">
      <c r="A5" s="3">
        <v>72.409691217612206</v>
      </c>
      <c r="B5" s="3">
        <v>51.74409540990785</v>
      </c>
      <c r="C5" s="3" t="s">
        <v>48</v>
      </c>
    </row>
    <row r="6" spans="1:3" x14ac:dyDescent="0.6">
      <c r="A6" s="3">
        <v>92.250890743072901</v>
      </c>
      <c r="B6" s="3">
        <v>48.049796075131646</v>
      </c>
      <c r="C6" s="3" t="s">
        <v>48</v>
      </c>
    </row>
    <row r="7" spans="1:3" x14ac:dyDescent="0.6">
      <c r="A7" s="3">
        <v>79.45256064452434</v>
      </c>
      <c r="B7" s="3">
        <v>69.580494937057722</v>
      </c>
      <c r="C7" s="3" t="s">
        <v>51</v>
      </c>
    </row>
    <row r="8" spans="1:3" x14ac:dyDescent="0.6">
      <c r="A8" s="3">
        <v>77.313569745562063</v>
      </c>
      <c r="B8" s="3">
        <v>63.932777585421817</v>
      </c>
      <c r="C8" s="3" t="s">
        <v>48</v>
      </c>
    </row>
    <row r="9" spans="1:3" x14ac:dyDescent="0.6">
      <c r="A9" s="3">
        <v>92.245743696462227</v>
      </c>
      <c r="B9" s="3">
        <v>57.580055246604971</v>
      </c>
      <c r="C9" s="3" t="s">
        <v>48</v>
      </c>
    </row>
    <row r="10" spans="1:3" x14ac:dyDescent="0.6">
      <c r="A10" s="3">
        <v>61.850883073700139</v>
      </c>
      <c r="B10" s="3">
        <v>44.940372452549767</v>
      </c>
      <c r="C10" s="3" t="s">
        <v>51</v>
      </c>
    </row>
    <row r="11" spans="1:3" x14ac:dyDescent="0.6">
      <c r="A11" s="3">
        <v>86.088930518118161</v>
      </c>
      <c r="B11" s="3">
        <v>66.099982212869719</v>
      </c>
      <c r="C11" s="3" t="s">
        <v>51</v>
      </c>
    </row>
    <row r="12" spans="1:3" x14ac:dyDescent="0.6">
      <c r="A12" s="3">
        <v>71.813324882771809</v>
      </c>
      <c r="B12" s="3">
        <v>31.105761952796986</v>
      </c>
      <c r="C12" s="3" t="s">
        <v>48</v>
      </c>
    </row>
    <row r="13" spans="1:3" x14ac:dyDescent="0.6">
      <c r="A13" s="3">
        <v>70.247724658407776</v>
      </c>
      <c r="B13" s="3">
        <v>60.858376760774945</v>
      </c>
      <c r="C13" s="3" t="s">
        <v>51</v>
      </c>
    </row>
    <row r="14" spans="1:3" x14ac:dyDescent="0.6">
      <c r="A14" s="3">
        <v>66.376741238253373</v>
      </c>
      <c r="B14" s="3">
        <v>47.607819930167004</v>
      </c>
      <c r="C14" s="3" t="s">
        <v>51</v>
      </c>
    </row>
    <row r="15" spans="1:3" x14ac:dyDescent="0.6">
      <c r="A15" s="3">
        <v>81.94074145928704</v>
      </c>
      <c r="B15" s="3">
        <v>48.284918275919146</v>
      </c>
      <c r="C15" s="3" t="s">
        <v>49</v>
      </c>
    </row>
    <row r="16" spans="1:3" x14ac:dyDescent="0.6">
      <c r="A16" s="3">
        <v>54.759953193292588</v>
      </c>
      <c r="B16" s="3">
        <v>23.349843976098676</v>
      </c>
      <c r="C16" s="3" t="s">
        <v>51</v>
      </c>
    </row>
    <row r="17" spans="1:3" x14ac:dyDescent="0.6">
      <c r="A17" s="3">
        <v>69.380886612861772</v>
      </c>
      <c r="B17" s="3">
        <v>69.351603174631663</v>
      </c>
      <c r="C17" s="3" t="s">
        <v>48</v>
      </c>
    </row>
    <row r="18" spans="1:3" x14ac:dyDescent="0.6">
      <c r="A18" s="3">
        <v>71.67830773410229</v>
      </c>
      <c r="B18" s="3">
        <v>43.760387104355374</v>
      </c>
      <c r="C18" s="3" t="s">
        <v>51</v>
      </c>
    </row>
    <row r="19" spans="1:3" x14ac:dyDescent="0.6">
      <c r="A19" s="3">
        <v>71.973619777238255</v>
      </c>
      <c r="B19" s="3">
        <v>41.14387346333686</v>
      </c>
      <c r="C19" s="3" t="s">
        <v>51</v>
      </c>
    </row>
    <row r="20" spans="1:3" x14ac:dyDescent="0.6">
      <c r="A20" s="3">
        <v>92.859404487657272</v>
      </c>
      <c r="B20" s="3">
        <v>62.817770074667663</v>
      </c>
      <c r="C20" s="3" t="s">
        <v>48</v>
      </c>
    </row>
    <row r="21" spans="1:3" x14ac:dyDescent="0.6">
      <c r="A21" s="3">
        <v>51.788632900010469</v>
      </c>
      <c r="B21" s="3">
        <v>35.477097255205848</v>
      </c>
      <c r="C21" s="3" t="s">
        <v>48</v>
      </c>
    </row>
    <row r="22" spans="1:3" x14ac:dyDescent="0.6">
      <c r="A22" s="3">
        <v>98.167298327789837</v>
      </c>
      <c r="B22" s="3">
        <v>58.631299729996535</v>
      </c>
      <c r="C22" s="3" t="s">
        <v>48</v>
      </c>
    </row>
    <row r="23" spans="1:3" x14ac:dyDescent="0.6">
      <c r="A23" s="3">
        <v>94.064029455906564</v>
      </c>
      <c r="B23" s="3">
        <v>60.825517214910064</v>
      </c>
      <c r="C23" s="3" t="s">
        <v>49</v>
      </c>
    </row>
    <row r="24" spans="1:3" x14ac:dyDescent="0.6">
      <c r="A24" s="3">
        <v>66.010723983313881</v>
      </c>
      <c r="B24" s="3">
        <v>59.208262159801372</v>
      </c>
      <c r="C24" s="3" t="s">
        <v>51</v>
      </c>
    </row>
    <row r="25" spans="1:3" x14ac:dyDescent="0.6">
      <c r="A25" s="3">
        <v>102.00178417628345</v>
      </c>
      <c r="B25" s="3">
        <v>86.560084490122421</v>
      </c>
      <c r="C25" s="3" t="s">
        <v>49</v>
      </c>
    </row>
    <row r="26" spans="1:3" x14ac:dyDescent="0.6">
      <c r="A26" s="3">
        <v>74.359056631337268</v>
      </c>
      <c r="B26" s="3">
        <v>38.343212028046985</v>
      </c>
      <c r="C26" s="3" t="s">
        <v>48</v>
      </c>
    </row>
    <row r="27" spans="1:3" x14ac:dyDescent="0.6">
      <c r="A27" s="3">
        <v>91.43655082461261</v>
      </c>
      <c r="B27" s="3">
        <v>59.072589894570797</v>
      </c>
      <c r="C27" s="3" t="s">
        <v>49</v>
      </c>
    </row>
    <row r="28" spans="1:3" x14ac:dyDescent="0.6">
      <c r="A28" s="3">
        <v>94.897673474352644</v>
      </c>
      <c r="B28" s="3">
        <v>63.621076324200899</v>
      </c>
      <c r="C28" s="3" t="s">
        <v>48</v>
      </c>
    </row>
    <row r="29" spans="1:3" x14ac:dyDescent="0.6">
      <c r="A29" s="3">
        <v>106.60798579917946</v>
      </c>
      <c r="B29" s="3">
        <v>74.075331260335133</v>
      </c>
      <c r="C29" s="3" t="s">
        <v>48</v>
      </c>
    </row>
    <row r="30" spans="1:3" x14ac:dyDescent="0.6">
      <c r="A30" s="3">
        <v>72.73797308890957</v>
      </c>
      <c r="B30" s="3">
        <v>38.454735044163229</v>
      </c>
      <c r="C30" s="3" t="s">
        <v>48</v>
      </c>
    </row>
    <row r="31" spans="1:3" x14ac:dyDescent="0.6">
      <c r="A31" s="3">
        <v>63.668004888555643</v>
      </c>
      <c r="B31" s="3">
        <v>41.551297441218878</v>
      </c>
      <c r="C31" s="3" t="s">
        <v>48</v>
      </c>
    </row>
    <row r="32" spans="1:3" x14ac:dyDescent="0.6">
      <c r="A32" s="3">
        <v>50.929813350014044</v>
      </c>
      <c r="B32" s="3">
        <v>49.535997614597434</v>
      </c>
      <c r="C32" s="3" t="s">
        <v>49</v>
      </c>
    </row>
    <row r="33" spans="1:3" x14ac:dyDescent="0.6">
      <c r="A33" s="3">
        <v>71.722575717227102</v>
      </c>
      <c r="B33" s="3">
        <v>49.871955511309807</v>
      </c>
      <c r="C33" s="3" t="s">
        <v>48</v>
      </c>
    </row>
    <row r="34" spans="1:3" x14ac:dyDescent="0.6">
      <c r="A34" s="3">
        <v>87.906270557418154</v>
      </c>
      <c r="B34" s="3">
        <v>37.170454770655901</v>
      </c>
      <c r="C34" s="3" t="s">
        <v>48</v>
      </c>
    </row>
    <row r="35" spans="1:3" x14ac:dyDescent="0.6">
      <c r="A35" s="3">
        <v>58.587375026608527</v>
      </c>
      <c r="B35" s="3">
        <v>48.543105527577808</v>
      </c>
      <c r="C35" s="3" t="s">
        <v>51</v>
      </c>
    </row>
    <row r="36" spans="1:3" x14ac:dyDescent="0.6">
      <c r="A36" s="3">
        <v>69.242591700151138</v>
      </c>
      <c r="B36" s="3">
        <v>39.476729654013198</v>
      </c>
      <c r="C36" s="3" t="s">
        <v>49</v>
      </c>
    </row>
    <row r="37" spans="1:3" x14ac:dyDescent="0.6">
      <c r="A37" s="3">
        <v>68.200210051877804</v>
      </c>
      <c r="B37" s="3">
        <v>31.419554561445292</v>
      </c>
      <c r="C37" s="3" t="s">
        <v>49</v>
      </c>
    </row>
    <row r="38" spans="1:3" x14ac:dyDescent="0.6">
      <c r="A38" s="3">
        <v>91.361499075875358</v>
      </c>
      <c r="B38" s="3">
        <v>89.423969803984249</v>
      </c>
      <c r="C38" s="3" t="s">
        <v>51</v>
      </c>
    </row>
    <row r="39" spans="1:3" x14ac:dyDescent="0.6">
      <c r="A39" s="3">
        <v>85.607698287910807</v>
      </c>
      <c r="B39" s="3">
        <v>81.236836911035056</v>
      </c>
      <c r="C39" s="3" t="s">
        <v>49</v>
      </c>
    </row>
    <row r="40" spans="1:3" x14ac:dyDescent="0.6">
      <c r="A40" s="3">
        <v>97.063728233591306</v>
      </c>
      <c r="B40" s="3">
        <v>58.227525177433087</v>
      </c>
      <c r="C40" s="3" t="s">
        <v>51</v>
      </c>
    </row>
    <row r="41" spans="1:3" x14ac:dyDescent="0.6">
      <c r="A41" s="3">
        <v>94.453226015163267</v>
      </c>
      <c r="B41" s="3">
        <v>52.424447780509176</v>
      </c>
      <c r="C41" s="3" t="s">
        <v>49</v>
      </c>
    </row>
    <row r="42" spans="1:3" x14ac:dyDescent="0.6">
      <c r="A42" s="3">
        <v>87.501737539502216</v>
      </c>
      <c r="B42" s="3">
        <v>72.564191108801424</v>
      </c>
      <c r="C42" s="3" t="s">
        <v>48</v>
      </c>
    </row>
    <row r="43" spans="1:3" x14ac:dyDescent="0.6">
      <c r="A43" s="3">
        <v>84.081083922290105</v>
      </c>
      <c r="B43" s="3">
        <v>52.113927062135332</v>
      </c>
      <c r="C43" s="3" t="s">
        <v>51</v>
      </c>
    </row>
    <row r="44" spans="1:3" x14ac:dyDescent="0.6">
      <c r="A44" s="3">
        <v>82.039931627997561</v>
      </c>
      <c r="B44" s="3">
        <v>37.63634056081294</v>
      </c>
      <c r="C44" s="3" t="s">
        <v>48</v>
      </c>
    </row>
    <row r="45" spans="1:3" x14ac:dyDescent="0.6">
      <c r="A45" s="3">
        <v>83.745503075794289</v>
      </c>
      <c r="B45" s="3">
        <v>55.002838158586655</v>
      </c>
      <c r="C45" s="3" t="s">
        <v>49</v>
      </c>
    </row>
    <row r="46" spans="1:3" x14ac:dyDescent="0.6">
      <c r="A46" s="3">
        <v>55.932439928695125</v>
      </c>
      <c r="B46" s="3">
        <v>37.259376591897521</v>
      </c>
      <c r="C46" s="3" t="s">
        <v>48</v>
      </c>
    </row>
    <row r="47" spans="1:3" x14ac:dyDescent="0.6">
      <c r="A47" s="3">
        <v>78.636523812813849</v>
      </c>
      <c r="B47" s="3">
        <v>60.904482975600267</v>
      </c>
      <c r="C47" s="3" t="s">
        <v>49</v>
      </c>
    </row>
    <row r="48" spans="1:3" x14ac:dyDescent="0.6">
      <c r="A48" s="3">
        <v>76.787034273801467</v>
      </c>
      <c r="B48" s="3">
        <v>47.419020617150245</v>
      </c>
      <c r="C48" s="3" t="s">
        <v>49</v>
      </c>
    </row>
    <row r="49" spans="1:3" x14ac:dyDescent="0.6">
      <c r="A49" s="3">
        <v>78.120633163044772</v>
      </c>
      <c r="B49" s="3">
        <v>41.400942277324198</v>
      </c>
      <c r="C49" s="3" t="s">
        <v>51</v>
      </c>
    </row>
    <row r="50" spans="1:3" x14ac:dyDescent="0.6">
      <c r="A50" s="3">
        <v>93.598214443880622</v>
      </c>
      <c r="B50" s="3">
        <v>74.371889171743916</v>
      </c>
      <c r="C50" s="3" t="s">
        <v>48</v>
      </c>
    </row>
    <row r="51" spans="1:3" x14ac:dyDescent="0.6">
      <c r="A51" s="3">
        <v>84.062842598530693</v>
      </c>
      <c r="B51" s="3">
        <v>71.337542483034753</v>
      </c>
      <c r="C51" s="3" t="s">
        <v>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93306-679A-40EB-99F1-90124BCA1B81}">
  <dimension ref="A1:I25"/>
  <sheetViews>
    <sheetView topLeftCell="A8" workbookViewId="0">
      <selection activeCell="H25" sqref="H25"/>
    </sheetView>
  </sheetViews>
  <sheetFormatPr defaultRowHeight="15.6" x14ac:dyDescent="0.6"/>
  <cols>
    <col min="1" max="1" width="17" bestFit="1" customWidth="1"/>
    <col min="2" max="2" width="10.796875" bestFit="1" customWidth="1"/>
    <col min="3" max="3" width="13.5" bestFit="1" customWidth="1"/>
    <col min="4" max="4" width="5.69921875" bestFit="1" customWidth="1"/>
    <col min="5" max="5" width="7.3984375" bestFit="1" customWidth="1"/>
    <col min="6" max="6" width="12.3984375" bestFit="1" customWidth="1"/>
    <col min="7" max="7" width="10.296875" bestFit="1" customWidth="1"/>
    <col min="8" max="8" width="11.75" bestFit="1" customWidth="1"/>
    <col min="9" max="9" width="11.796875" bestFit="1" customWidth="1"/>
  </cols>
  <sheetData>
    <row r="1" spans="1:9" x14ac:dyDescent="0.6">
      <c r="A1" s="1" t="s">
        <v>2</v>
      </c>
      <c r="B1" s="1"/>
      <c r="C1" s="1"/>
      <c r="D1" s="1"/>
      <c r="E1" s="1"/>
      <c r="F1" s="1"/>
      <c r="G1" s="1"/>
      <c r="H1" s="1"/>
      <c r="I1" s="1"/>
    </row>
    <row r="2" spans="1:9" ht="15.9" thickBot="1" x14ac:dyDescent="0.65">
      <c r="A2" s="1"/>
      <c r="B2" s="1"/>
      <c r="C2" s="1"/>
      <c r="D2" s="1"/>
      <c r="E2" s="1"/>
      <c r="F2" s="1"/>
      <c r="G2" s="1"/>
      <c r="H2" s="1"/>
      <c r="I2" s="1"/>
    </row>
    <row r="3" spans="1:9" x14ac:dyDescent="0.6">
      <c r="A3" s="9" t="s">
        <v>3</v>
      </c>
      <c r="B3" s="9"/>
      <c r="C3" s="1"/>
      <c r="D3" s="1"/>
      <c r="E3" s="1"/>
      <c r="F3" s="1"/>
      <c r="G3" s="1"/>
      <c r="H3" s="1"/>
      <c r="I3" s="1"/>
    </row>
    <row r="4" spans="1:9" x14ac:dyDescent="0.6">
      <c r="A4" s="10" t="s">
        <v>4</v>
      </c>
      <c r="B4" s="10">
        <v>0.67024468989213404</v>
      </c>
      <c r="C4" s="1"/>
      <c r="D4" s="1"/>
      <c r="E4" s="1"/>
      <c r="F4" s="1"/>
      <c r="G4" s="1"/>
      <c r="H4" s="1"/>
      <c r="I4" s="1"/>
    </row>
    <row r="5" spans="1:9" x14ac:dyDescent="0.6">
      <c r="A5" s="10" t="s">
        <v>5</v>
      </c>
      <c r="B5" s="10">
        <v>0.44922794432860286</v>
      </c>
      <c r="C5" s="1"/>
      <c r="D5" s="1"/>
      <c r="E5" s="1"/>
      <c r="F5" s="1"/>
      <c r="G5" s="1"/>
      <c r="H5" s="1"/>
      <c r="I5" s="1"/>
    </row>
    <row r="6" spans="1:9" x14ac:dyDescent="0.6">
      <c r="A6" s="10" t="s">
        <v>6</v>
      </c>
      <c r="B6" s="10">
        <v>0.41330802765438135</v>
      </c>
      <c r="C6" s="1"/>
      <c r="D6" s="1"/>
      <c r="E6" s="1"/>
      <c r="F6" s="1"/>
      <c r="G6" s="1"/>
      <c r="H6" s="1"/>
      <c r="I6" s="1"/>
    </row>
    <row r="7" spans="1:9" x14ac:dyDescent="0.6">
      <c r="A7" s="10" t="s">
        <v>7</v>
      </c>
      <c r="B7" s="10">
        <v>10.756473514184371</v>
      </c>
      <c r="C7" s="1"/>
      <c r="D7" s="1"/>
      <c r="E7" s="1"/>
      <c r="F7" s="1"/>
      <c r="G7" s="1"/>
      <c r="H7" s="1"/>
      <c r="I7" s="1"/>
    </row>
    <row r="8" spans="1:9" ht="15.9" thickBot="1" x14ac:dyDescent="0.65">
      <c r="A8" s="11" t="s">
        <v>8</v>
      </c>
      <c r="B8" s="11">
        <v>50</v>
      </c>
      <c r="C8" s="1"/>
      <c r="D8" s="1"/>
      <c r="E8" s="1"/>
      <c r="F8" s="1"/>
      <c r="G8" s="1"/>
      <c r="H8" s="1"/>
      <c r="I8" s="1"/>
    </row>
    <row r="9" spans="1:9" x14ac:dyDescent="0.6">
      <c r="A9" s="1"/>
      <c r="B9" s="1"/>
      <c r="C9" s="1"/>
      <c r="D9" s="1"/>
      <c r="E9" s="1"/>
      <c r="F9" s="1"/>
      <c r="G9" s="1"/>
      <c r="H9" s="1"/>
      <c r="I9" s="1"/>
    </row>
    <row r="10" spans="1:9" ht="15.9" thickBot="1" x14ac:dyDescent="0.65">
      <c r="A10" s="1" t="s">
        <v>9</v>
      </c>
      <c r="B10" s="1"/>
      <c r="C10" s="1"/>
      <c r="D10" s="1"/>
      <c r="E10" s="1"/>
      <c r="F10" s="1"/>
      <c r="G10" s="1"/>
      <c r="H10" s="1"/>
      <c r="I10" s="1"/>
    </row>
    <row r="11" spans="1:9" x14ac:dyDescent="0.6">
      <c r="A11" s="12"/>
      <c r="B11" s="12" t="s">
        <v>14</v>
      </c>
      <c r="C11" s="12" t="s">
        <v>15</v>
      </c>
      <c r="D11" s="12" t="s">
        <v>16</v>
      </c>
      <c r="E11" s="12" t="s">
        <v>17</v>
      </c>
      <c r="F11" s="12" t="s">
        <v>18</v>
      </c>
      <c r="G11" s="1"/>
      <c r="H11" s="1"/>
      <c r="I11" s="1"/>
    </row>
    <row r="12" spans="1:9" x14ac:dyDescent="0.6">
      <c r="A12" s="10" t="s">
        <v>10</v>
      </c>
      <c r="B12" s="10">
        <v>3</v>
      </c>
      <c r="C12" s="10">
        <v>4341.0273532643578</v>
      </c>
      <c r="D12" s="10">
        <v>1447.0091177547858</v>
      </c>
      <c r="E12" s="10">
        <v>12.506374900668904</v>
      </c>
      <c r="F12" s="10">
        <v>4.1647716458085123E-6</v>
      </c>
      <c r="G12" s="1"/>
      <c r="H12" s="1"/>
      <c r="I12" s="1"/>
    </row>
    <row r="13" spans="1:9" x14ac:dyDescent="0.6">
      <c r="A13" s="10" t="s">
        <v>11</v>
      </c>
      <c r="B13" s="10">
        <v>46</v>
      </c>
      <c r="C13" s="10">
        <v>5322.2792332220952</v>
      </c>
      <c r="D13" s="10">
        <v>115.70172246134989</v>
      </c>
      <c r="E13" s="10"/>
      <c r="F13" s="10"/>
      <c r="G13" s="1"/>
      <c r="H13" s="1"/>
      <c r="I13" s="1"/>
    </row>
    <row r="14" spans="1:9" ht="15.9" thickBot="1" x14ac:dyDescent="0.65">
      <c r="A14" s="11" t="s">
        <v>12</v>
      </c>
      <c r="B14" s="11">
        <v>49</v>
      </c>
      <c r="C14" s="11">
        <v>9663.3065864864529</v>
      </c>
      <c r="D14" s="11"/>
      <c r="E14" s="11"/>
      <c r="F14" s="11"/>
      <c r="G14" s="1"/>
      <c r="H14" s="1"/>
      <c r="I14" s="1"/>
    </row>
    <row r="15" spans="1:9" ht="15.9" thickBot="1" x14ac:dyDescent="0.65">
      <c r="A15" s="1"/>
      <c r="B15" s="1"/>
      <c r="C15" s="1"/>
      <c r="D15" s="1"/>
      <c r="E15" s="1"/>
      <c r="F15" s="1"/>
      <c r="G15" s="1"/>
      <c r="H15" s="1"/>
      <c r="I15" s="1"/>
    </row>
    <row r="16" spans="1:9" x14ac:dyDescent="0.6">
      <c r="A16" s="12"/>
      <c r="B16" s="12" t="s">
        <v>19</v>
      </c>
      <c r="C16" s="12" t="s">
        <v>7</v>
      </c>
      <c r="D16" s="12" t="s">
        <v>20</v>
      </c>
      <c r="E16" s="12" t="s">
        <v>21</v>
      </c>
      <c r="F16" s="12" t="s">
        <v>22</v>
      </c>
      <c r="G16" s="12" t="s">
        <v>23</v>
      </c>
      <c r="H16" s="12" t="s">
        <v>24</v>
      </c>
      <c r="I16" s="12" t="s">
        <v>25</v>
      </c>
    </row>
    <row r="17" spans="1:9" x14ac:dyDescent="0.6">
      <c r="A17" s="10" t="s">
        <v>13</v>
      </c>
      <c r="B17" s="10">
        <v>43.153450432870052</v>
      </c>
      <c r="C17" s="10">
        <v>6.0064105782078565</v>
      </c>
      <c r="D17" s="10">
        <v>7.1845655356024336</v>
      </c>
      <c r="E17" s="10">
        <v>4.8203215140503958E-9</v>
      </c>
      <c r="F17" s="10">
        <v>31.063173014692349</v>
      </c>
      <c r="G17" s="10">
        <v>55.243727851047751</v>
      </c>
      <c r="H17" s="10">
        <v>31.063173014692349</v>
      </c>
      <c r="I17" s="10">
        <v>55.243727851047751</v>
      </c>
    </row>
    <row r="18" spans="1:9" x14ac:dyDescent="0.6">
      <c r="A18" s="10" t="s">
        <v>50</v>
      </c>
      <c r="B18" s="16">
        <v>0.57438891845490281</v>
      </c>
      <c r="C18" s="10">
        <v>0.10400389334369582</v>
      </c>
      <c r="D18" s="10">
        <v>5.5227636195959704</v>
      </c>
      <c r="E18" s="10">
        <v>1.4935801487568684E-6</v>
      </c>
      <c r="F18" s="10">
        <v>0.36503993927289169</v>
      </c>
      <c r="G18" s="10">
        <v>0.78373789763691393</v>
      </c>
      <c r="H18" s="10">
        <v>0.36503993927289169</v>
      </c>
      <c r="I18" s="10">
        <v>0.78373789763691393</v>
      </c>
    </row>
    <row r="19" spans="1:9" x14ac:dyDescent="0.6">
      <c r="A19" s="10" t="s">
        <v>48</v>
      </c>
      <c r="B19" s="10">
        <v>7.8827511443568232</v>
      </c>
      <c r="C19" s="10">
        <v>3.5713648367269042</v>
      </c>
      <c r="D19" s="10">
        <v>2.2072097096585721</v>
      </c>
      <c r="E19" s="10">
        <v>3.2327585451956173E-2</v>
      </c>
      <c r="F19" s="10">
        <v>0.69396658237362896</v>
      </c>
      <c r="G19" s="10">
        <v>15.071535706340018</v>
      </c>
      <c r="H19" s="10">
        <v>0.69396658237362896</v>
      </c>
      <c r="I19" s="10">
        <v>15.071535706340018</v>
      </c>
    </row>
    <row r="20" spans="1:9" ht="15.9" thickBot="1" x14ac:dyDescent="0.65">
      <c r="A20" s="11" t="s">
        <v>49</v>
      </c>
      <c r="B20" s="11">
        <v>5.6196315817768205</v>
      </c>
      <c r="C20" s="11">
        <v>4.0576963429099342</v>
      </c>
      <c r="D20" s="11">
        <v>1.3849315244094291</v>
      </c>
      <c r="E20" s="11">
        <v>0.17275388044052029</v>
      </c>
      <c r="F20" s="11">
        <v>-2.5480875286180513</v>
      </c>
      <c r="G20" s="11">
        <v>13.787350692171692</v>
      </c>
      <c r="H20" s="11">
        <v>-2.5480875286180513</v>
      </c>
      <c r="I20" s="11">
        <v>13.787350692171692</v>
      </c>
    </row>
    <row r="21" spans="1:9" x14ac:dyDescent="0.6">
      <c r="A21" s="1"/>
      <c r="B21" s="1"/>
      <c r="C21" s="1"/>
      <c r="D21" s="1"/>
      <c r="E21" s="1"/>
      <c r="F21" s="1"/>
      <c r="G21" s="1"/>
      <c r="H21" s="1"/>
      <c r="I21" s="1"/>
    </row>
    <row r="22" spans="1:9" x14ac:dyDescent="0.6">
      <c r="A22" s="18" t="s">
        <v>53</v>
      </c>
      <c r="B22" s="19" t="s">
        <v>13</v>
      </c>
      <c r="C22" s="19" t="s">
        <v>0</v>
      </c>
      <c r="D22" s="19"/>
      <c r="E22" s="19"/>
      <c r="F22" s="20" t="s">
        <v>54</v>
      </c>
      <c r="G22" s="19"/>
      <c r="H22" s="1"/>
      <c r="I22" s="1"/>
    </row>
    <row r="23" spans="1:9" x14ac:dyDescent="0.6">
      <c r="A23" s="19" t="s">
        <v>51</v>
      </c>
      <c r="B23" s="19">
        <f>$B$17</f>
        <v>43.153450432870052</v>
      </c>
      <c r="C23" s="21">
        <f>$B$18</f>
        <v>0.57438891845490281</v>
      </c>
      <c r="D23" s="19"/>
      <c r="E23" s="19"/>
      <c r="F23" s="19" t="s">
        <v>51</v>
      </c>
      <c r="G23" s="17">
        <f>B23+50*C23</f>
        <v>71.872896355615197</v>
      </c>
      <c r="H23" s="1" t="s">
        <v>55</v>
      </c>
      <c r="I23" s="1"/>
    </row>
    <row r="24" spans="1:9" x14ac:dyDescent="0.6">
      <c r="A24" s="19" t="s">
        <v>48</v>
      </c>
      <c r="B24" s="19">
        <f>$B$17+B19</f>
        <v>51.036201577226876</v>
      </c>
      <c r="C24" s="21">
        <f t="shared" ref="C24:C25" si="0">$B$18</f>
        <v>0.57438891845490281</v>
      </c>
      <c r="D24" s="6"/>
      <c r="E24" s="6"/>
      <c r="F24" s="19" t="s">
        <v>48</v>
      </c>
      <c r="G24" s="17">
        <f t="shared" ref="G24:G25" si="1">B24+50*C24</f>
        <v>79.755647499972014</v>
      </c>
      <c r="H24" s="1" t="s">
        <v>55</v>
      </c>
    </row>
    <row r="25" spans="1:9" x14ac:dyDescent="0.6">
      <c r="A25" s="19" t="s">
        <v>49</v>
      </c>
      <c r="B25" s="19">
        <f>$B$17+B20</f>
        <v>48.773082014646874</v>
      </c>
      <c r="C25" s="21">
        <f t="shared" si="0"/>
        <v>0.57438891845490281</v>
      </c>
      <c r="D25" s="6"/>
      <c r="E25" s="6"/>
      <c r="F25" s="19" t="s">
        <v>49</v>
      </c>
      <c r="G25" s="17">
        <f t="shared" si="1"/>
        <v>77.492527937392012</v>
      </c>
      <c r="H25" s="1" t="s">
        <v>55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E7D63-69F4-43B5-BF90-1B376EE84D0F}">
  <dimension ref="A1:O3"/>
  <sheetViews>
    <sheetView workbookViewId="0">
      <selection sqref="A1:O3"/>
    </sheetView>
  </sheetViews>
  <sheetFormatPr defaultRowHeight="15.6" x14ac:dyDescent="0.6"/>
  <sheetData>
    <row r="1" spans="1:15" x14ac:dyDescent="0.6">
      <c r="A1" s="22" t="s">
        <v>52</v>
      </c>
      <c r="B1" s="22"/>
      <c r="C1" s="22"/>
      <c r="D1" s="22"/>
      <c r="E1" s="22"/>
      <c r="F1" s="22"/>
      <c r="G1" s="22"/>
      <c r="H1" s="22"/>
      <c r="I1" s="22"/>
      <c r="J1" s="22"/>
      <c r="K1" s="22"/>
      <c r="L1" s="22"/>
      <c r="M1" s="22"/>
      <c r="N1" s="22"/>
      <c r="O1" s="22"/>
    </row>
    <row r="2" spans="1:15" x14ac:dyDescent="0.6">
      <c r="A2" s="22"/>
      <c r="B2" s="22"/>
      <c r="C2" s="22"/>
      <c r="D2" s="22"/>
      <c r="E2" s="22"/>
      <c r="F2" s="22"/>
      <c r="G2" s="22"/>
      <c r="H2" s="22"/>
      <c r="I2" s="22"/>
      <c r="J2" s="22"/>
      <c r="K2" s="22"/>
      <c r="L2" s="22"/>
      <c r="M2" s="22"/>
      <c r="N2" s="22"/>
      <c r="O2" s="22"/>
    </row>
    <row r="3" spans="1:15" x14ac:dyDescent="0.6">
      <c r="A3" s="22"/>
      <c r="B3" s="22"/>
      <c r="C3" s="22"/>
      <c r="D3" s="22"/>
      <c r="E3" s="22"/>
      <c r="F3" s="22"/>
      <c r="G3" s="22"/>
      <c r="H3" s="22"/>
      <c r="I3" s="22"/>
      <c r="J3" s="22"/>
      <c r="K3" s="22"/>
      <c r="L3" s="22"/>
      <c r="M3" s="22"/>
      <c r="N3" s="22"/>
      <c r="O3" s="22"/>
    </row>
  </sheetData>
  <mergeCells count="1">
    <mergeCell ref="A1:O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FAF3A-7509-4357-8948-6E5BD99444A6}">
  <sheetPr codeName="Sheet7"/>
  <dimension ref="A1:C31"/>
  <sheetViews>
    <sheetView workbookViewId="0"/>
  </sheetViews>
  <sheetFormatPr defaultRowHeight="15.6" x14ac:dyDescent="0.6"/>
  <cols>
    <col min="1" max="2" width="36.546875" customWidth="1"/>
  </cols>
  <sheetData>
    <row r="1" spans="1:3" x14ac:dyDescent="0.6">
      <c r="A1" s="5" t="s">
        <v>26</v>
      </c>
    </row>
    <row r="3" spans="1:3" x14ac:dyDescent="0.6">
      <c r="A3" t="s">
        <v>27</v>
      </c>
      <c r="B3" t="s">
        <v>28</v>
      </c>
      <c r="C3">
        <v>0</v>
      </c>
    </row>
    <row r="4" spans="1:3" x14ac:dyDescent="0.6">
      <c r="A4" t="s">
        <v>29</v>
      </c>
    </row>
    <row r="5" spans="1:3" x14ac:dyDescent="0.6">
      <c r="A5" t="s">
        <v>30</v>
      </c>
    </row>
    <row r="7" spans="1:3" x14ac:dyDescent="0.6">
      <c r="A7" s="5" t="s">
        <v>31</v>
      </c>
      <c r="B7" t="s">
        <v>32</v>
      </c>
    </row>
    <row r="8" spans="1:3" x14ac:dyDescent="0.6">
      <c r="B8">
        <v>2</v>
      </c>
    </row>
    <row r="10" spans="1:3" x14ac:dyDescent="0.6">
      <c r="A10" t="s">
        <v>33</v>
      </c>
    </row>
    <row r="11" spans="1:3" x14ac:dyDescent="0.6">
      <c r="A11" t="e">
        <f>CB_DATA_!#REF!</f>
        <v>#REF!</v>
      </c>
      <c r="B11" t="e">
        <f>#REF!</f>
        <v>#REF!</v>
      </c>
    </row>
    <row r="13" spans="1:3" x14ac:dyDescent="0.6">
      <c r="A13" t="s">
        <v>34</v>
      </c>
    </row>
    <row r="14" spans="1:3" x14ac:dyDescent="0.6">
      <c r="A14" t="s">
        <v>38</v>
      </c>
      <c r="B14" t="s">
        <v>42</v>
      </c>
    </row>
    <row r="16" spans="1:3" x14ac:dyDescent="0.6">
      <c r="A16" t="s">
        <v>35</v>
      </c>
    </row>
    <row r="19" spans="1:2" x14ac:dyDescent="0.6">
      <c r="A19" t="s">
        <v>36</v>
      </c>
    </row>
    <row r="20" spans="1:2" x14ac:dyDescent="0.6">
      <c r="A20">
        <v>28</v>
      </c>
      <c r="B20">
        <v>31</v>
      </c>
    </row>
    <row r="25" spans="1:2" x14ac:dyDescent="0.6">
      <c r="A25" s="5" t="s">
        <v>37</v>
      </c>
    </row>
    <row r="26" spans="1:2" x14ac:dyDescent="0.6">
      <c r="A26" s="13" t="s">
        <v>39</v>
      </c>
      <c r="B26" s="13" t="s">
        <v>43</v>
      </c>
    </row>
    <row r="27" spans="1:2" x14ac:dyDescent="0.6">
      <c r="A27" t="s">
        <v>40</v>
      </c>
      <c r="B27" t="s">
        <v>45</v>
      </c>
    </row>
    <row r="28" spans="1:2" x14ac:dyDescent="0.6">
      <c r="A28" s="13" t="s">
        <v>41</v>
      </c>
      <c r="B28" s="13" t="s">
        <v>41</v>
      </c>
    </row>
    <row r="29" spans="1:2" x14ac:dyDescent="0.6">
      <c r="B29" s="13" t="s">
        <v>39</v>
      </c>
    </row>
    <row r="30" spans="1:2" x14ac:dyDescent="0.6">
      <c r="B30" t="s">
        <v>44</v>
      </c>
    </row>
    <row r="31" spans="1:2" x14ac:dyDescent="0.6">
      <c r="B31" s="13"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Generation - Ignore</vt:lpstr>
      <vt:lpstr>Data - Solution Setup</vt:lpstr>
      <vt:lpstr>Data</vt:lpstr>
      <vt:lpstr>Regression Solution</vt:lpstr>
      <vt:lpstr>Question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Howard</dc:creator>
  <cp:lastModifiedBy>Philip Howard</cp:lastModifiedBy>
  <dcterms:created xsi:type="dcterms:W3CDTF">2018-05-02T13:14:19Z</dcterms:created>
  <dcterms:modified xsi:type="dcterms:W3CDTF">2018-05-04T02:30:56Z</dcterms:modified>
</cp:coreProperties>
</file>