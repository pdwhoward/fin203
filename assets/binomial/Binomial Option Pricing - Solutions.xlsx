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5 Decision Trees\Excel\new\"/>
    </mc:Choice>
  </mc:AlternateContent>
  <bookViews>
    <workbookView xWindow="0" yWindow="0" windowWidth="20010" windowHeight="9570" activeTab="2" xr2:uid="{00000000-000D-0000-FFFF-FFFF00000000}"/>
  </bookViews>
  <sheets>
    <sheet name="Binomial - One Tree" sheetId="10" r:id="rId1"/>
    <sheet name="Binomial - Two Trees" sheetId="3" r:id="rId2"/>
    <sheet name="Binomial - Two Trees w Dividend" sheetId="19" r:id="rId3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9" l="1"/>
  <c r="G14" i="19"/>
  <c r="F16" i="19" s="1"/>
  <c r="H8" i="19"/>
  <c r="H6" i="19"/>
  <c r="H16" i="19" s="1"/>
  <c r="G17" i="19" s="1"/>
  <c r="H4" i="19"/>
  <c r="H15" i="19" s="1"/>
  <c r="H2" i="19"/>
  <c r="H12" i="19" s="1"/>
  <c r="G13" i="19" s="1"/>
  <c r="F15" i="19" s="1"/>
  <c r="G7" i="19"/>
  <c r="G3" i="19"/>
  <c r="F5" i="19"/>
  <c r="F16" i="3"/>
  <c r="G18" i="3"/>
  <c r="G14" i="3"/>
  <c r="F15" i="3"/>
  <c r="G17" i="3"/>
  <c r="G13" i="3"/>
  <c r="H16" i="3"/>
  <c r="H15" i="3"/>
  <c r="H12" i="3"/>
  <c r="H8" i="3"/>
  <c r="H6" i="3"/>
  <c r="H4" i="3"/>
  <c r="H2" i="3"/>
  <c r="G7" i="3"/>
  <c r="G3" i="3"/>
  <c r="F5" i="3"/>
  <c r="E9" i="10"/>
  <c r="C12" i="10"/>
  <c r="C11" i="10"/>
  <c r="F8" i="10"/>
  <c r="F5" i="10"/>
  <c r="F3" i="10"/>
  <c r="E4" i="10"/>
  <c r="C11" i="3" l="1"/>
  <c r="C12" i="19" l="1"/>
</calcChain>
</file>

<file path=xl/sharedStrings.xml><?xml version="1.0" encoding="utf-8"?>
<sst xmlns="http://schemas.openxmlformats.org/spreadsheetml/2006/main" count="72" uniqueCount="26">
  <si>
    <t>u</t>
  </si>
  <si>
    <t>d</t>
  </si>
  <si>
    <t>Pu</t>
  </si>
  <si>
    <t>Pd</t>
  </si>
  <si>
    <t>Growth rate up</t>
  </si>
  <si>
    <t>Growth rate down</t>
  </si>
  <si>
    <t>Call Option Price</t>
  </si>
  <si>
    <t>Probability of up</t>
  </si>
  <si>
    <t>Probability of down</t>
  </si>
  <si>
    <t>Expected call option value at T</t>
  </si>
  <si>
    <t>S0</t>
  </si>
  <si>
    <t>S2</t>
  </si>
  <si>
    <t>S1</t>
  </si>
  <si>
    <t>C0</t>
  </si>
  <si>
    <t>C1</t>
  </si>
  <si>
    <t>C2</t>
  </si>
  <si>
    <t>Dividend after t=1</t>
  </si>
  <si>
    <t>Strike</t>
  </si>
  <si>
    <t>K</t>
  </si>
  <si>
    <t>Risk-free rate</t>
  </si>
  <si>
    <t>rf</t>
  </si>
  <si>
    <t>Stock price today</t>
  </si>
  <si>
    <t>D1</t>
  </si>
  <si>
    <t>E[C1]</t>
  </si>
  <si>
    <t>European</t>
  </si>
  <si>
    <t>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</si>
</sst>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_(&quot;$&quot;* #,##0_);_(&quot;$&quot;* \(#,##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9" fontId="0" fillId="0" borderId="0" xfId="2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2" applyNumberFormat="1" applyFont="1"/>
    <xf numFmtId="164" fontId="0" fillId="2" borderId="0" xfId="0" applyNumberFormat="1" applyFill="1"/>
    <xf numFmtId="164" fontId="0" fillId="2" borderId="0" xfId="1" applyNumberFormat="1" applyFont="1" applyFill="1" applyAlignment="1"/>
    <xf numFmtId="165" fontId="0" fillId="0" borderId="0" xfId="2" applyNumberFormat="1" applyFont="1"/>
    <xf numFmtId="164" fontId="0" fillId="0" borderId="0" xfId="1" applyNumberFormat="1" applyFont="1" applyAlignment="1"/>
    <xf numFmtId="166" fontId="0" fillId="0" borderId="0" xfId="1" applyNumberFormat="1" applyFont="1"/>
    <xf numFmtId="164" fontId="0" fillId="0" borderId="0" xfId="0" applyNumberFormat="1" applyAlignment="1"/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QE103"/>
  <sheetViews>
    <sheetView zoomScaleNormal="100" workbookViewId="0">
      <selection activeCell="C12" sqref="C12"/>
    </sheetView>
  </sheetViews>
  <sheetFormatPr defaultRowHeight="15.6" x14ac:dyDescent="0.6"/>
  <cols>
    <col min="1" max="1" width="27" bestFit="1" customWidth="1"/>
    <col min="2" max="2" width="6.19921875" bestFit="1" customWidth="1"/>
    <col min="3" max="3" width="7.75" bestFit="1" customWidth="1"/>
    <col min="4" max="4" width="10.3984375" customWidth="1"/>
    <col min="5" max="6" width="6.3984375" style="3" customWidth="1"/>
    <col min="7" max="7" width="6.3984375" customWidth="1"/>
    <col min="8" max="8" width="10.5" bestFit="1" customWidth="1"/>
    <col min="9" max="103" width="6.3984375" customWidth="1"/>
    <col min="104" max="1003" width="7.3984375" customWidth="1"/>
    <col min="1004" max="1004" width="8.3984375" customWidth="1"/>
  </cols>
  <sheetData>
    <row r="1" spans="1:1123" x14ac:dyDescent="0.6">
      <c r="A1" t="s">
        <v>4</v>
      </c>
      <c r="B1" t="s">
        <v>0</v>
      </c>
      <c r="C1" s="2">
        <v>1.1618342427282831</v>
      </c>
    </row>
    <row r="2" spans="1:1123" x14ac:dyDescent="0.6">
      <c r="A2" t="s">
        <v>5</v>
      </c>
      <c r="B2" t="s">
        <v>1</v>
      </c>
      <c r="C2" s="2">
        <v>0.86070797642505781</v>
      </c>
      <c r="E2" s="13" t="s">
        <v>10</v>
      </c>
      <c r="F2" s="13" t="s">
        <v>12</v>
      </c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</row>
    <row r="3" spans="1:1123" x14ac:dyDescent="0.6">
      <c r="F3" s="7">
        <f>E4*C1</f>
        <v>58.091712136414152</v>
      </c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</row>
    <row r="4" spans="1:1123" x14ac:dyDescent="0.6">
      <c r="A4" t="s">
        <v>7</v>
      </c>
      <c r="B4" t="s">
        <v>2</v>
      </c>
      <c r="C4" s="2">
        <v>0.6328345988890749</v>
      </c>
      <c r="E4" s="7">
        <f>C7</f>
        <v>50</v>
      </c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</row>
    <row r="5" spans="1:1123" x14ac:dyDescent="0.6">
      <c r="A5" t="s">
        <v>8</v>
      </c>
      <c r="B5" t="s">
        <v>3</v>
      </c>
      <c r="C5" s="2">
        <v>0.3671654011109251</v>
      </c>
      <c r="F5" s="7">
        <f>E4*C2</f>
        <v>43.03539882125289</v>
      </c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</row>
    <row r="6" spans="1:1123" x14ac:dyDescent="0.6">
      <c r="C6" s="1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</row>
    <row r="7" spans="1:1123" x14ac:dyDescent="0.6">
      <c r="A7" s="3" t="s">
        <v>21</v>
      </c>
      <c r="B7" s="3" t="s">
        <v>10</v>
      </c>
      <c r="C7" s="11">
        <v>50</v>
      </c>
      <c r="E7" s="13" t="s">
        <v>13</v>
      </c>
      <c r="F7" s="13" t="s">
        <v>14</v>
      </c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</row>
    <row r="8" spans="1:1123" x14ac:dyDescent="0.6">
      <c r="A8" t="s">
        <v>17</v>
      </c>
      <c r="B8" t="s">
        <v>18</v>
      </c>
      <c r="C8" s="11">
        <v>44</v>
      </c>
      <c r="F8" s="7">
        <f>F3-C8</f>
        <v>14.091712136414152</v>
      </c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</row>
    <row r="9" spans="1:1123" x14ac:dyDescent="0.6">
      <c r="A9" t="s">
        <v>19</v>
      </c>
      <c r="B9" t="s">
        <v>20</v>
      </c>
      <c r="C9" s="2">
        <v>0.05</v>
      </c>
      <c r="E9" s="7">
        <f>C12</f>
        <v>8.4828005147762777</v>
      </c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</row>
    <row r="10" spans="1:1123" x14ac:dyDescent="0.6">
      <c r="F10" s="7">
        <v>0</v>
      </c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</row>
    <row r="11" spans="1:1123" x14ac:dyDescent="0.6">
      <c r="A11" t="s">
        <v>9</v>
      </c>
      <c r="B11" t="s">
        <v>23</v>
      </c>
      <c r="C11" s="7">
        <f>C4*F8+C5*F10</f>
        <v>8.9177229975079584</v>
      </c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  <c r="AQB11" s="3"/>
      <c r="AQC11" s="3"/>
      <c r="AQD11" s="3"/>
      <c r="AQE11" s="3"/>
    </row>
    <row r="12" spans="1:1123" x14ac:dyDescent="0.6">
      <c r="A12" t="s">
        <v>6</v>
      </c>
      <c r="B12" t="s">
        <v>13</v>
      </c>
      <c r="C12" s="7">
        <f>C11/EXP(C9)</f>
        <v>8.4828005147762777</v>
      </c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  <c r="AQB12" s="3"/>
      <c r="AQC12" s="3"/>
      <c r="AQD12" s="3"/>
      <c r="AQE12" s="3"/>
    </row>
    <row r="13" spans="1:1123" x14ac:dyDescent="0.6"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  <c r="AQB13" s="3"/>
      <c r="AQC13" s="3"/>
      <c r="AQD13" s="3"/>
      <c r="AQE13" s="3"/>
    </row>
    <row r="14" spans="1:1123" x14ac:dyDescent="0.6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  <c r="AQB14" s="3"/>
      <c r="AQC14" s="3"/>
      <c r="AQD14" s="3"/>
      <c r="AQE14" s="3"/>
    </row>
    <row r="15" spans="1:1123" x14ac:dyDescent="0.6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  <c r="AQB15" s="3"/>
      <c r="AQC15" s="3"/>
      <c r="AQD15" s="3"/>
      <c r="AQE15" s="3"/>
    </row>
    <row r="16" spans="1:1123" x14ac:dyDescent="0.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  <c r="AQB16" s="3"/>
      <c r="AQC16" s="3"/>
      <c r="AQD16" s="3"/>
      <c r="AQE16" s="3"/>
    </row>
    <row r="17" spans="3:1123" x14ac:dyDescent="0.6">
      <c r="C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  <c r="AQB17" s="3"/>
      <c r="AQC17" s="3"/>
      <c r="AQD17" s="3"/>
      <c r="AQE17" s="3"/>
    </row>
    <row r="18" spans="3:1123" x14ac:dyDescent="0.6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  <c r="AQB18" s="3"/>
      <c r="AQC18" s="3"/>
      <c r="AQD18" s="3"/>
      <c r="AQE18" s="3"/>
    </row>
    <row r="19" spans="3:1123" x14ac:dyDescent="0.6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  <c r="AQB19" s="3"/>
      <c r="AQC19" s="3"/>
      <c r="AQD19" s="3"/>
      <c r="AQE19" s="3"/>
    </row>
    <row r="20" spans="3:1123" x14ac:dyDescent="0.6">
      <c r="C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  <c r="AQB20" s="3"/>
      <c r="AQC20" s="3"/>
      <c r="AQD20" s="3"/>
      <c r="AQE20" s="3"/>
    </row>
    <row r="21" spans="3:1123" x14ac:dyDescent="0.6">
      <c r="C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  <c r="AQB21" s="3"/>
      <c r="AQC21" s="3"/>
      <c r="AQD21" s="3"/>
      <c r="AQE21" s="3"/>
    </row>
    <row r="22" spans="3:1123" x14ac:dyDescent="0.6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  <c r="AQB22" s="3"/>
      <c r="AQC22" s="3"/>
      <c r="AQD22" s="3"/>
      <c r="AQE22" s="3"/>
    </row>
    <row r="23" spans="3:1123" x14ac:dyDescent="0.6">
      <c r="C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  <c r="AQB23" s="3"/>
      <c r="AQC23" s="3"/>
      <c r="AQD23" s="3"/>
      <c r="AQE23" s="3"/>
    </row>
    <row r="24" spans="3:1123" x14ac:dyDescent="0.6">
      <c r="C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  <c r="AQB24" s="3"/>
      <c r="AQC24" s="3"/>
      <c r="AQD24" s="3"/>
      <c r="AQE24" s="3"/>
    </row>
    <row r="25" spans="3:1123" x14ac:dyDescent="0.6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</row>
    <row r="26" spans="3:1123" x14ac:dyDescent="0.6">
      <c r="C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</row>
    <row r="27" spans="3:1123" x14ac:dyDescent="0.6">
      <c r="C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  <c r="AQB27" s="3"/>
      <c r="AQC27" s="3"/>
      <c r="AQD27" s="3"/>
      <c r="AQE27" s="3"/>
    </row>
    <row r="28" spans="3:1123" x14ac:dyDescent="0.6">
      <c r="C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  <c r="AQB28" s="3"/>
      <c r="AQC28" s="3"/>
      <c r="AQD28" s="3"/>
      <c r="AQE28" s="3"/>
    </row>
    <row r="29" spans="3:1123" x14ac:dyDescent="0.6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  <c r="AQB29" s="3"/>
      <c r="AQC29" s="3"/>
      <c r="AQD29" s="3"/>
      <c r="AQE29" s="3"/>
    </row>
    <row r="30" spans="3:1123" x14ac:dyDescent="0.6">
      <c r="C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</row>
    <row r="31" spans="3:1123" x14ac:dyDescent="0.6">
      <c r="C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  <c r="AQB31" s="3"/>
      <c r="AQC31" s="3"/>
      <c r="AQD31" s="3"/>
      <c r="AQE31" s="3"/>
    </row>
    <row r="32" spans="3:1123" x14ac:dyDescent="0.6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  <c r="AQB32" s="3"/>
      <c r="AQC32" s="3"/>
      <c r="AQD32" s="3"/>
      <c r="AQE32" s="3"/>
    </row>
    <row r="33" spans="3:1123" x14ac:dyDescent="0.6">
      <c r="C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  <c r="AQB33" s="3"/>
      <c r="AQC33" s="3"/>
      <c r="AQD33" s="3"/>
      <c r="AQE33" s="3"/>
    </row>
    <row r="34" spans="3:1123" x14ac:dyDescent="0.6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  <c r="AQB34" s="3"/>
      <c r="AQC34" s="3"/>
      <c r="AQD34" s="3"/>
      <c r="AQE34" s="3"/>
    </row>
    <row r="35" spans="3:1123" x14ac:dyDescent="0.6">
      <c r="C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</row>
    <row r="36" spans="3:1123" x14ac:dyDescent="0.6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</row>
    <row r="37" spans="3:1123" x14ac:dyDescent="0.6">
      <c r="C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</row>
    <row r="38" spans="3:1123" x14ac:dyDescent="0.6">
      <c r="C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  <c r="AQB38" s="3"/>
      <c r="AQC38" s="3"/>
      <c r="AQD38" s="3"/>
      <c r="AQE38" s="3"/>
    </row>
    <row r="39" spans="3:1123" x14ac:dyDescent="0.6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  <c r="AQB39" s="3"/>
      <c r="AQC39" s="3"/>
      <c r="AQD39" s="3"/>
      <c r="AQE39" s="3"/>
    </row>
    <row r="40" spans="3:1123" x14ac:dyDescent="0.6">
      <c r="C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  <c r="AQB40" s="3"/>
      <c r="AQC40" s="3"/>
      <c r="AQD40" s="3"/>
      <c r="AQE40" s="3"/>
    </row>
    <row r="41" spans="3:1123" x14ac:dyDescent="0.6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  <c r="AQB41" s="3"/>
      <c r="AQC41" s="3"/>
      <c r="AQD41" s="3"/>
      <c r="AQE41" s="3"/>
    </row>
    <row r="42" spans="3:1123" x14ac:dyDescent="0.6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  <c r="AQB42" s="3"/>
      <c r="AQC42" s="3"/>
      <c r="AQD42" s="3"/>
      <c r="AQE42" s="3"/>
    </row>
    <row r="43" spans="3:1123" x14ac:dyDescent="0.6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  <c r="AQB43" s="3"/>
      <c r="AQC43" s="3"/>
      <c r="AQD43" s="3"/>
      <c r="AQE43" s="3"/>
    </row>
    <row r="44" spans="3:1123" x14ac:dyDescent="0.6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  <c r="AQB44" s="3"/>
      <c r="AQC44" s="3"/>
      <c r="AQD44" s="3"/>
      <c r="AQE44" s="3"/>
    </row>
    <row r="45" spans="3:1123" x14ac:dyDescent="0.6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  <c r="AQB45" s="3"/>
      <c r="AQC45" s="3"/>
      <c r="AQD45" s="3"/>
      <c r="AQE45" s="3"/>
    </row>
    <row r="46" spans="3:1123" x14ac:dyDescent="0.6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  <c r="AQB46" s="3"/>
      <c r="AQC46" s="3"/>
      <c r="AQD46" s="3"/>
      <c r="AQE46" s="3"/>
    </row>
    <row r="47" spans="3:1123" x14ac:dyDescent="0.6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</row>
    <row r="48" spans="3:1123" x14ac:dyDescent="0.6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  <c r="AQB48" s="3"/>
      <c r="AQC48" s="3"/>
      <c r="AQD48" s="3"/>
      <c r="AQE48" s="3"/>
    </row>
    <row r="49" spans="7:1123" x14ac:dyDescent="0.6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  <c r="AQB49" s="3"/>
      <c r="AQC49" s="3"/>
      <c r="AQD49" s="3"/>
      <c r="AQE49" s="3"/>
    </row>
    <row r="50" spans="7:1123" x14ac:dyDescent="0.6"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  <c r="AQB50" s="3"/>
      <c r="AQC50" s="3"/>
      <c r="AQD50" s="3"/>
      <c r="AQE50" s="3"/>
    </row>
    <row r="51" spans="7:1123" x14ac:dyDescent="0.6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  <c r="AQB51" s="3"/>
      <c r="AQC51" s="3"/>
      <c r="AQD51" s="3"/>
      <c r="AQE51" s="3"/>
    </row>
    <row r="52" spans="7:1123" x14ac:dyDescent="0.6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  <c r="AQB52" s="3"/>
      <c r="AQC52" s="3"/>
      <c r="AQD52" s="3"/>
      <c r="AQE52" s="3"/>
    </row>
    <row r="53" spans="7:1123" x14ac:dyDescent="0.6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  <c r="AQB53" s="3"/>
      <c r="AQC53" s="3"/>
      <c r="AQD53" s="3"/>
      <c r="AQE53" s="3"/>
    </row>
    <row r="54" spans="7:1123" x14ac:dyDescent="0.6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  <c r="AQB54" s="3"/>
      <c r="AQC54" s="3"/>
      <c r="AQD54" s="3"/>
      <c r="AQE54" s="3"/>
    </row>
    <row r="55" spans="7:1123" x14ac:dyDescent="0.6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  <c r="AQB55" s="3"/>
      <c r="AQC55" s="3"/>
      <c r="AQD55" s="3"/>
      <c r="AQE55" s="3"/>
    </row>
    <row r="56" spans="7:1123" x14ac:dyDescent="0.6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  <c r="AQB56" s="3"/>
      <c r="AQC56" s="3"/>
      <c r="AQD56" s="3"/>
      <c r="AQE56" s="3"/>
    </row>
    <row r="57" spans="7:1123" x14ac:dyDescent="0.6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  <c r="AQB57" s="3"/>
      <c r="AQC57" s="3"/>
      <c r="AQD57" s="3"/>
      <c r="AQE57" s="3"/>
    </row>
    <row r="58" spans="7:1123" x14ac:dyDescent="0.6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  <c r="AQB58" s="3"/>
      <c r="AQC58" s="3"/>
      <c r="AQD58" s="3"/>
      <c r="AQE58" s="3"/>
    </row>
    <row r="59" spans="7:1123" x14ac:dyDescent="0.6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  <c r="AQB59" s="3"/>
      <c r="AQC59" s="3"/>
      <c r="AQD59" s="3"/>
      <c r="AQE59" s="3"/>
    </row>
    <row r="60" spans="7:1123" x14ac:dyDescent="0.6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  <c r="AQB60" s="3"/>
      <c r="AQC60" s="3"/>
      <c r="AQD60" s="3"/>
      <c r="AQE60" s="3"/>
    </row>
    <row r="61" spans="7:1123" x14ac:dyDescent="0.6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  <c r="AQB61" s="3"/>
      <c r="AQC61" s="3"/>
      <c r="AQD61" s="3"/>
      <c r="AQE61" s="3"/>
    </row>
    <row r="62" spans="7:1123" x14ac:dyDescent="0.6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  <c r="AQB62" s="3"/>
      <c r="AQC62" s="3"/>
      <c r="AQD62" s="3"/>
      <c r="AQE62" s="3"/>
    </row>
    <row r="63" spans="7:1123" x14ac:dyDescent="0.6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  <c r="AQB63" s="3"/>
      <c r="AQC63" s="3"/>
      <c r="AQD63" s="3"/>
      <c r="AQE63" s="3"/>
    </row>
    <row r="64" spans="7:1123" x14ac:dyDescent="0.6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  <c r="AQB64" s="3"/>
      <c r="AQC64" s="3"/>
      <c r="AQD64" s="3"/>
      <c r="AQE64" s="3"/>
    </row>
    <row r="65" spans="7:1123" x14ac:dyDescent="0.6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  <c r="AQB65" s="3"/>
      <c r="AQC65" s="3"/>
      <c r="AQD65" s="3"/>
      <c r="AQE65" s="3"/>
    </row>
    <row r="66" spans="7:1123" x14ac:dyDescent="0.6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  <c r="AQB66" s="3"/>
      <c r="AQC66" s="3"/>
      <c r="AQD66" s="3"/>
      <c r="AQE66" s="3"/>
    </row>
    <row r="67" spans="7:1123" x14ac:dyDescent="0.6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  <c r="AQB67" s="3"/>
      <c r="AQC67" s="3"/>
      <c r="AQD67" s="3"/>
      <c r="AQE67" s="3"/>
    </row>
    <row r="68" spans="7:1123" x14ac:dyDescent="0.6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  <c r="AQB68" s="3"/>
      <c r="AQC68" s="3"/>
      <c r="AQD68" s="3"/>
      <c r="AQE68" s="3"/>
    </row>
    <row r="69" spans="7:1123" x14ac:dyDescent="0.6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  <c r="AQB69" s="3"/>
      <c r="AQC69" s="3"/>
      <c r="AQD69" s="3"/>
      <c r="AQE69" s="3"/>
    </row>
    <row r="70" spans="7:1123" x14ac:dyDescent="0.6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  <c r="AQB70" s="3"/>
      <c r="AQC70" s="3"/>
      <c r="AQD70" s="3"/>
      <c r="AQE70" s="3"/>
    </row>
    <row r="71" spans="7:1123" x14ac:dyDescent="0.6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  <c r="AQB71" s="3"/>
      <c r="AQC71" s="3"/>
      <c r="AQD71" s="3"/>
      <c r="AQE71" s="3"/>
    </row>
    <row r="72" spans="7:1123" x14ac:dyDescent="0.6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  <c r="AQB72" s="3"/>
      <c r="AQC72" s="3"/>
      <c r="AQD72" s="3"/>
      <c r="AQE72" s="3"/>
    </row>
    <row r="73" spans="7:1123" x14ac:dyDescent="0.6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  <c r="AQB73" s="3"/>
      <c r="AQC73" s="3"/>
      <c r="AQD73" s="3"/>
      <c r="AQE73" s="3"/>
    </row>
    <row r="74" spans="7:1123" x14ac:dyDescent="0.6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  <c r="AQB74" s="3"/>
      <c r="AQC74" s="3"/>
      <c r="AQD74" s="3"/>
      <c r="AQE74" s="3"/>
    </row>
    <row r="75" spans="7:1123" x14ac:dyDescent="0.6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  <c r="AQB75" s="3"/>
      <c r="AQC75" s="3"/>
      <c r="AQD75" s="3"/>
      <c r="AQE75" s="3"/>
    </row>
    <row r="76" spans="7:1123" x14ac:dyDescent="0.6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</row>
    <row r="77" spans="7:1123" x14ac:dyDescent="0.6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  <c r="AQB77" s="3"/>
      <c r="AQC77" s="3"/>
      <c r="AQD77" s="3"/>
      <c r="AQE77" s="3"/>
    </row>
    <row r="78" spans="7:1123" x14ac:dyDescent="0.6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  <c r="AQB78" s="3"/>
      <c r="AQC78" s="3"/>
      <c r="AQD78" s="3"/>
      <c r="AQE78" s="3"/>
    </row>
    <row r="79" spans="7:1123" x14ac:dyDescent="0.6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  <c r="AQB79" s="3"/>
      <c r="AQC79" s="3"/>
      <c r="AQD79" s="3"/>
      <c r="AQE79" s="3"/>
    </row>
    <row r="80" spans="7:1123" x14ac:dyDescent="0.6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  <c r="AQB80" s="3"/>
      <c r="AQC80" s="3"/>
      <c r="AQD80" s="3"/>
      <c r="AQE80" s="3"/>
    </row>
    <row r="81" spans="7:1123" x14ac:dyDescent="0.6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  <c r="AQB81" s="3"/>
      <c r="AQC81" s="3"/>
      <c r="AQD81" s="3"/>
      <c r="AQE81" s="3"/>
    </row>
    <row r="82" spans="7:1123" x14ac:dyDescent="0.6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  <c r="AQB82" s="3"/>
      <c r="AQC82" s="3"/>
      <c r="AQD82" s="3"/>
      <c r="AQE82" s="3"/>
    </row>
    <row r="83" spans="7:1123" x14ac:dyDescent="0.6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  <c r="AQB83" s="3"/>
      <c r="AQC83" s="3"/>
      <c r="AQD83" s="3"/>
      <c r="AQE83" s="3"/>
    </row>
    <row r="84" spans="7:1123" x14ac:dyDescent="0.6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  <c r="AQB84" s="3"/>
      <c r="AQC84" s="3"/>
      <c r="AQD84" s="3"/>
      <c r="AQE84" s="3"/>
    </row>
    <row r="85" spans="7:1123" x14ac:dyDescent="0.6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  <c r="AQB85" s="3"/>
      <c r="AQC85" s="3"/>
      <c r="AQD85" s="3"/>
      <c r="AQE85" s="3"/>
    </row>
    <row r="86" spans="7:1123" x14ac:dyDescent="0.6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  <c r="AQB86" s="3"/>
      <c r="AQC86" s="3"/>
      <c r="AQD86" s="3"/>
      <c r="AQE86" s="3"/>
    </row>
    <row r="87" spans="7:1123" x14ac:dyDescent="0.6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  <c r="AQB87" s="3"/>
      <c r="AQC87" s="3"/>
      <c r="AQD87" s="3"/>
      <c r="AQE87" s="3"/>
    </row>
    <row r="88" spans="7:1123" x14ac:dyDescent="0.6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  <c r="AQB88" s="3"/>
      <c r="AQC88" s="3"/>
      <c r="AQD88" s="3"/>
      <c r="AQE88" s="3"/>
    </row>
    <row r="89" spans="7:1123" x14ac:dyDescent="0.6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  <c r="AQB89" s="3"/>
      <c r="AQC89" s="3"/>
      <c r="AQD89" s="3"/>
      <c r="AQE89" s="3"/>
    </row>
    <row r="90" spans="7:1123" x14ac:dyDescent="0.6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  <c r="AQB90" s="3"/>
      <c r="AQC90" s="3"/>
      <c r="AQD90" s="3"/>
      <c r="AQE90" s="3"/>
    </row>
    <row r="91" spans="7:1123" x14ac:dyDescent="0.6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  <c r="AQB91" s="3"/>
      <c r="AQC91" s="3"/>
      <c r="AQD91" s="3"/>
      <c r="AQE91" s="3"/>
    </row>
    <row r="92" spans="7:1123" x14ac:dyDescent="0.6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  <c r="AQB92" s="3"/>
      <c r="AQC92" s="3"/>
      <c r="AQD92" s="3"/>
      <c r="AQE92" s="3"/>
    </row>
    <row r="93" spans="7:1123" x14ac:dyDescent="0.6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  <c r="AQB93" s="3"/>
      <c r="AQC93" s="3"/>
      <c r="AQD93" s="3"/>
      <c r="AQE93" s="3"/>
    </row>
    <row r="94" spans="7:1123" x14ac:dyDescent="0.6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  <c r="AQB94" s="3"/>
      <c r="AQC94" s="3"/>
      <c r="AQD94" s="3"/>
      <c r="AQE94" s="3"/>
    </row>
    <row r="95" spans="7:1123" x14ac:dyDescent="0.6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  <c r="AQB95" s="3"/>
      <c r="AQC95" s="3"/>
      <c r="AQD95" s="3"/>
      <c r="AQE95" s="3"/>
    </row>
    <row r="96" spans="7:1123" x14ac:dyDescent="0.6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  <c r="AQB96" s="3"/>
      <c r="AQC96" s="3"/>
      <c r="AQD96" s="3"/>
      <c r="AQE96" s="3"/>
    </row>
    <row r="97" spans="7:1123" x14ac:dyDescent="0.6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  <c r="AQB97" s="3"/>
      <c r="AQC97" s="3"/>
      <c r="AQD97" s="3"/>
      <c r="AQE97" s="3"/>
    </row>
    <row r="98" spans="7:1123" x14ac:dyDescent="0.6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  <c r="AQB98" s="3"/>
      <c r="AQC98" s="3"/>
      <c r="AQD98" s="3"/>
      <c r="AQE98" s="3"/>
    </row>
    <row r="99" spans="7:1123" x14ac:dyDescent="0.6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  <c r="AQB99" s="3"/>
      <c r="AQC99" s="3"/>
      <c r="AQD99" s="3"/>
      <c r="AQE99" s="3"/>
    </row>
    <row r="100" spans="7:1123" x14ac:dyDescent="0.6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  <c r="AQB100" s="3"/>
      <c r="AQC100" s="3"/>
      <c r="AQD100" s="3"/>
      <c r="AQE100" s="3"/>
    </row>
    <row r="101" spans="7:1123" x14ac:dyDescent="0.6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  <c r="AQB101" s="3"/>
      <c r="AQC101" s="3"/>
      <c r="AQD101" s="3"/>
      <c r="AQE101" s="3"/>
    </row>
    <row r="102" spans="7:1123" x14ac:dyDescent="0.6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  <c r="AQB102" s="3"/>
      <c r="AQC102" s="3"/>
      <c r="AQD102" s="3"/>
      <c r="AQE102" s="3"/>
    </row>
    <row r="103" spans="7:1123" x14ac:dyDescent="0.6"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  <c r="AQB103" s="3"/>
      <c r="AQC103" s="3"/>
      <c r="AQD103" s="3"/>
      <c r="AQE10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QA103"/>
  <sheetViews>
    <sheetView workbookViewId="0">
      <selection activeCell="F16" sqref="F16"/>
    </sheetView>
  </sheetViews>
  <sheetFormatPr defaultRowHeight="15.6" x14ac:dyDescent="0.6"/>
  <cols>
    <col min="1" max="1" width="21.296875" bestFit="1" customWidth="1"/>
    <col min="2" max="2" width="3.69921875" bestFit="1" customWidth="1"/>
    <col min="3" max="3" width="7.34765625" bestFit="1" customWidth="1"/>
    <col min="4" max="4" width="10.3984375" customWidth="1"/>
    <col min="5" max="5" width="8.5" bestFit="1" customWidth="1"/>
    <col min="6" max="8" width="7.34765625" style="12" bestFit="1" customWidth="1"/>
    <col min="9" max="9" width="7.34765625" bestFit="1" customWidth="1"/>
    <col min="10" max="99" width="6.3984375" bestFit="1" customWidth="1"/>
    <col min="100" max="999" width="7.3984375" bestFit="1" customWidth="1"/>
    <col min="1000" max="1000" width="8.3984375" bestFit="1" customWidth="1"/>
  </cols>
  <sheetData>
    <row r="1" spans="1:1119" x14ac:dyDescent="0.6">
      <c r="A1" t="s">
        <v>4</v>
      </c>
      <c r="B1" t="s">
        <v>0</v>
      </c>
      <c r="C1" s="2">
        <v>1.1118952782720986</v>
      </c>
      <c r="F1" s="13" t="s">
        <v>10</v>
      </c>
      <c r="G1" s="13" t="s">
        <v>12</v>
      </c>
      <c r="H1" s="13" t="s">
        <v>11</v>
      </c>
    </row>
    <row r="2" spans="1:1119" x14ac:dyDescent="0.6">
      <c r="A2" t="s">
        <v>5</v>
      </c>
      <c r="B2" t="s">
        <v>1</v>
      </c>
      <c r="C2" s="2">
        <v>0.89936527255877408</v>
      </c>
      <c r="H2" s="8">
        <f>G3*C1</f>
        <v>61.815555492189375</v>
      </c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6">
      <c r="F3" s="10"/>
      <c r="G3" s="8">
        <f>F5*C1</f>
        <v>55.594763913604929</v>
      </c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6">
      <c r="A4" t="s">
        <v>7</v>
      </c>
      <c r="B4" t="s">
        <v>2</v>
      </c>
      <c r="C4" s="2">
        <v>0.59262148675394499</v>
      </c>
      <c r="F4" s="10"/>
      <c r="H4" s="8">
        <f>G3*C2</f>
        <v>49.999999999999993</v>
      </c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6">
      <c r="A5" t="s">
        <v>8</v>
      </c>
      <c r="B5" t="s">
        <v>3</v>
      </c>
      <c r="C5" s="2">
        <v>0.40737851324605501</v>
      </c>
      <c r="F5" s="8">
        <f>C7</f>
        <v>50</v>
      </c>
      <c r="G5" s="10"/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6">
      <c r="F6" s="10"/>
      <c r="H6" s="8">
        <f>G7*C1</f>
        <v>49.999999999999993</v>
      </c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6">
      <c r="A7" s="3" t="s">
        <v>21</v>
      </c>
      <c r="B7" s="3" t="s">
        <v>10</v>
      </c>
      <c r="C7" s="11">
        <v>50</v>
      </c>
      <c r="F7" s="10"/>
      <c r="G7" s="8">
        <f>F5*C2</f>
        <v>44.968263627938704</v>
      </c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6">
      <c r="A8" t="s">
        <v>17</v>
      </c>
      <c r="B8" t="s">
        <v>18</v>
      </c>
      <c r="C8" s="11">
        <v>44</v>
      </c>
      <c r="F8" s="10"/>
      <c r="G8" s="10"/>
      <c r="H8" s="8">
        <f>G7*C2</f>
        <v>40.442894674235902</v>
      </c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6">
      <c r="A9" t="s">
        <v>19</v>
      </c>
      <c r="B9" t="s">
        <v>20</v>
      </c>
      <c r="C9" s="9">
        <v>2.5000000000000001E-2</v>
      </c>
      <c r="F9" s="10"/>
      <c r="G9" s="10"/>
      <c r="H9" s="10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6"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6">
      <c r="A11" t="s">
        <v>6</v>
      </c>
      <c r="B11" t="s">
        <v>13</v>
      </c>
      <c r="C11" s="7">
        <f>F15</f>
        <v>8.7074421422279578</v>
      </c>
      <c r="F11" s="14" t="s">
        <v>13</v>
      </c>
      <c r="G11" s="14" t="s">
        <v>14</v>
      </c>
      <c r="H11" s="14" t="s">
        <v>15</v>
      </c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6">
      <c r="C12" s="4"/>
      <c r="F12" s="10"/>
      <c r="G12" s="10"/>
      <c r="H12" s="8">
        <f>H2-C8</f>
        <v>17.815555492189375</v>
      </c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6">
      <c r="C13" s="2"/>
      <c r="F13" s="10"/>
      <c r="G13" s="8">
        <f>(C4*H12+C5*H15)/EXP(C9)</f>
        <v>12.68112778435829</v>
      </c>
      <c r="H13" s="10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6">
      <c r="F14" s="10"/>
      <c r="G14" s="8">
        <f>G3-C8</f>
        <v>11.594763913604929</v>
      </c>
      <c r="H14" s="10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6">
      <c r="C15" s="9"/>
      <c r="E15" t="s">
        <v>24</v>
      </c>
      <c r="F15" s="8">
        <f>(C4*G13+C5*G17)/EXP(C9)</f>
        <v>8.7074421422279578</v>
      </c>
      <c r="G15" s="10"/>
      <c r="H15" s="8">
        <f>H4-C8</f>
        <v>5.9999999999999929</v>
      </c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6">
      <c r="C16" s="2"/>
      <c r="E16" t="s">
        <v>25</v>
      </c>
      <c r="F16" s="8">
        <f>(C4*G13+C5*G17)/EXP(C9)</f>
        <v>8.7074421422279578</v>
      </c>
      <c r="G16" s="10"/>
      <c r="H16" s="8">
        <f>H6-C8</f>
        <v>5.9999999999999929</v>
      </c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6">
      <c r="C17" s="2"/>
      <c r="F17" s="10"/>
      <c r="G17" s="8">
        <f>(C4*H16+C5*H19)/EXP(C9)</f>
        <v>3.4679376606725349</v>
      </c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6">
      <c r="F18" s="10"/>
      <c r="G18" s="8">
        <f>G7-C8</f>
        <v>0.96826362793870402</v>
      </c>
      <c r="H18" s="10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6">
      <c r="F19" s="10"/>
      <c r="H19" s="8">
        <v>0</v>
      </c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6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6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6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6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6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6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6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6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6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6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6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6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6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6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6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6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6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6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6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6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6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6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6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6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6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6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6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6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6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6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6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6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6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6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6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6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6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6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6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6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6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6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6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6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6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6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6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6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6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6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6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6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6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6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6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6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6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6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6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6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6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6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6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6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6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6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6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6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6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6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6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6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6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6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6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6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6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6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6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6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6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6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6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6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6DFC-F54A-469D-89F7-17255BAED35A}">
  <dimension ref="A1:AQA103"/>
  <sheetViews>
    <sheetView tabSelected="1" workbookViewId="0">
      <selection activeCell="K17" sqref="K17"/>
    </sheetView>
  </sheetViews>
  <sheetFormatPr defaultRowHeight="15.6" x14ac:dyDescent="0.6"/>
  <cols>
    <col min="1" max="1" width="21.296875" bestFit="1" customWidth="1"/>
    <col min="2" max="2" width="3.69921875" bestFit="1" customWidth="1"/>
    <col min="3" max="3" width="7.34765625" bestFit="1" customWidth="1"/>
    <col min="4" max="4" width="10.3984375" customWidth="1"/>
    <col min="5" max="5" width="8.5" bestFit="1" customWidth="1"/>
    <col min="6" max="8" width="7.34765625" style="12" bestFit="1" customWidth="1"/>
    <col min="9" max="9" width="7.34765625" bestFit="1" customWidth="1"/>
    <col min="10" max="99" width="6.3984375" bestFit="1" customWidth="1"/>
    <col min="100" max="999" width="7.3984375" bestFit="1" customWidth="1"/>
    <col min="1000" max="1000" width="8.3984375" bestFit="1" customWidth="1"/>
  </cols>
  <sheetData>
    <row r="1" spans="1:1119" x14ac:dyDescent="0.6">
      <c r="A1" t="s">
        <v>4</v>
      </c>
      <c r="B1" t="s">
        <v>0</v>
      </c>
      <c r="C1" s="2">
        <v>1.1118952782720986</v>
      </c>
      <c r="F1" s="13" t="s">
        <v>10</v>
      </c>
      <c r="G1" s="13" t="s">
        <v>12</v>
      </c>
      <c r="H1" s="13" t="s">
        <v>11</v>
      </c>
    </row>
    <row r="2" spans="1:1119" x14ac:dyDescent="0.6">
      <c r="A2" t="s">
        <v>5</v>
      </c>
      <c r="B2" t="s">
        <v>1</v>
      </c>
      <c r="C2" s="2">
        <v>0.89936527255877408</v>
      </c>
      <c r="H2" s="8">
        <f>(G3-C10)*C1</f>
        <v>59.59176493564518</v>
      </c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6">
      <c r="F3" s="10"/>
      <c r="G3" s="8">
        <f>F5*C1</f>
        <v>55.594763913604929</v>
      </c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6">
      <c r="A4" t="s">
        <v>7</v>
      </c>
      <c r="B4" t="s">
        <v>2</v>
      </c>
      <c r="C4" s="2">
        <v>0.59262148675394499</v>
      </c>
      <c r="F4" s="10"/>
      <c r="H4" s="8">
        <f>(G3-C10)*C2</f>
        <v>48.201269454882443</v>
      </c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6">
      <c r="A5" t="s">
        <v>8</v>
      </c>
      <c r="B5" t="s">
        <v>3</v>
      </c>
      <c r="C5" s="2">
        <v>0.40737851324605501</v>
      </c>
      <c r="F5" s="8">
        <f>C7</f>
        <v>50</v>
      </c>
      <c r="G5" s="10"/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6">
      <c r="F6" s="10"/>
      <c r="H6" s="8">
        <f>(G7-C10)*C1</f>
        <v>47.776209443455798</v>
      </c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6">
      <c r="A7" s="3" t="s">
        <v>21</v>
      </c>
      <c r="B7" s="3" t="s">
        <v>10</v>
      </c>
      <c r="C7" s="11">
        <v>50</v>
      </c>
      <c r="F7" s="10"/>
      <c r="G7" s="8">
        <f>F5*C2</f>
        <v>44.968263627938704</v>
      </c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6">
      <c r="A8" t="s">
        <v>17</v>
      </c>
      <c r="B8" t="s">
        <v>18</v>
      </c>
      <c r="C8" s="11">
        <v>44</v>
      </c>
      <c r="F8" s="10"/>
      <c r="G8" s="10"/>
      <c r="H8" s="8">
        <f>(G7-C10)*C2</f>
        <v>38.644164129118352</v>
      </c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6">
      <c r="A9" t="s">
        <v>19</v>
      </c>
      <c r="B9" t="s">
        <v>20</v>
      </c>
      <c r="C9" s="9">
        <v>2.5000000000000001E-2</v>
      </c>
      <c r="F9" s="10"/>
      <c r="G9" s="10"/>
      <c r="H9" s="10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6">
      <c r="A10" t="s">
        <v>16</v>
      </c>
      <c r="B10" t="s">
        <v>22</v>
      </c>
      <c r="C10" s="4">
        <v>2</v>
      </c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6">
      <c r="F11" s="14" t="s">
        <v>13</v>
      </c>
      <c r="G11" s="14" t="s">
        <v>14</v>
      </c>
      <c r="H11" s="14" t="s">
        <v>15</v>
      </c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6">
      <c r="A12" t="s">
        <v>6</v>
      </c>
      <c r="B12" t="s">
        <v>13</v>
      </c>
      <c r="C12" s="7">
        <f>F15</f>
        <v>7.0407760778457416</v>
      </c>
      <c r="F12" s="10"/>
      <c r="G12" s="10"/>
      <c r="H12" s="8">
        <f>H2-C8</f>
        <v>15.59176493564518</v>
      </c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6">
      <c r="C13" s="2"/>
      <c r="F13" s="10"/>
      <c r="G13" s="8">
        <f>(C4*H12+C5*H15)/EXP(C9)</f>
        <v>10.681127784358292</v>
      </c>
      <c r="H13" s="10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6">
      <c r="F14" s="10"/>
      <c r="G14" s="8">
        <f>G3-C8</f>
        <v>11.594763913604929</v>
      </c>
      <c r="H14" s="10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6">
      <c r="C15" s="9"/>
      <c r="E15" t="s">
        <v>24</v>
      </c>
      <c r="F15" s="8">
        <f>(C4*G13+C5*G17)/EXP(C9)</f>
        <v>7.0407760778457416</v>
      </c>
      <c r="G15" s="10"/>
      <c r="H15" s="8">
        <f>H4-C8</f>
        <v>4.2012694548824427</v>
      </c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6">
      <c r="E16" t="s">
        <v>25</v>
      </c>
      <c r="F16" s="8">
        <f>(C4*G14+C5*G17)/EXP(C9)</f>
        <v>7.5688482679733244</v>
      </c>
      <c r="G16" s="10"/>
      <c r="H16" s="8">
        <f>H6-C8</f>
        <v>3.776209443455798</v>
      </c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6">
      <c r="C17" s="2"/>
      <c r="F17" s="10"/>
      <c r="G17" s="8">
        <f>(C4*H16+C5*H19)/EXP(C9)</f>
        <v>2.1826098239246083</v>
      </c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6">
      <c r="F18" s="10"/>
      <c r="G18" s="8">
        <f>G7-C8</f>
        <v>0.96826362793870402</v>
      </c>
      <c r="H18" s="10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6">
      <c r="F19" s="10"/>
      <c r="H19" s="8">
        <v>0</v>
      </c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6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6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6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6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6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6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6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6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6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6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6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6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6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6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6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6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6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6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6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6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6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6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6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6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6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6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6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6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6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6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6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6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6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6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6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6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6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6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6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6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6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6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6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6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6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6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6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6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6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6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6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6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6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6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6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6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6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6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6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6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6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6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6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6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6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6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6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6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6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6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6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6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6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6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6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6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6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6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6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6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6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6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6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6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Binomial - One Tree</vt:lpstr>
      <vt:lpstr>Binomial - Two Trees</vt:lpstr>
      <vt:lpstr>Binomial - Two Trees w 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2017-11-08T20:05:06Z</dcterms:modified>
</cp:coreProperties>
</file>