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5 Decision Trees\HW\"/>
    </mc:Choice>
  </mc:AlternateContent>
  <bookViews>
    <workbookView xWindow="0" yWindow="0" windowWidth="20016" windowHeight="9576" xr2:uid="{00000000-000D-0000-FFFF-FFFF00000000}"/>
  </bookViews>
  <sheets>
    <sheet name="Binomial - Two Trees w Dividend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9" l="1"/>
  <c r="F16" i="19"/>
  <c r="C5" i="19" l="1"/>
  <c r="G7" i="19" l="1"/>
  <c r="H8" i="19" s="1"/>
  <c r="F5" i="19"/>
  <c r="G3" i="19"/>
  <c r="H4" i="19" s="1"/>
  <c r="H16" i="19" l="1"/>
  <c r="H2" i="19"/>
  <c r="H12" i="19" s="1"/>
  <c r="H19" i="19"/>
  <c r="G18" i="19"/>
  <c r="H15" i="19"/>
  <c r="G14" i="19"/>
  <c r="G17" i="19" l="1"/>
  <c r="G13" i="19"/>
  <c r="F15" i="19" l="1"/>
</calcChain>
</file>

<file path=xl/sharedStrings.xml><?xml version="1.0" encoding="utf-8"?>
<sst xmlns="http://schemas.openxmlformats.org/spreadsheetml/2006/main" count="24" uniqueCount="23">
  <si>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</si>
  <si>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</si>
  <si>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</si>
  <si>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</si>
  <si>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</si>
  <si>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</si>
  <si>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</si>
  <si>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</si>
  <si>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</si>
  <si>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</si>
  <si>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</si>
  <si>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</si>
  <si>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</si>
  <si>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</si>
  <si>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</si>
  <si>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</si>
  <si>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</si>
  <si>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rf</t>
  </si>
  <si>
    <t>Stock price today</t>
  </si>
  <si>
    <t>D1</t>
  </si>
  <si>
    <t>European</t>
  </si>
  <si>
    <t>American</t>
  </si>
  <si>
    <t>Per-period risk-free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</si>
</sst>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tabSelected="1" workbookViewId="0">
      <selection activeCell="H7" sqref="H7"/>
    </sheetView>
  </sheetViews>
  <sheetFormatPr defaultRowHeight="15.6" x14ac:dyDescent="0.3"/>
  <cols>
    <col min="1" max="1" width="21.296875" bestFit="1" customWidth="1"/>
    <col min="2" max="2" width="3.69921875" bestFit="1" customWidth="1"/>
    <col min="3" max="3" width="7.59765625" bestFit="1" customWidth="1"/>
    <col min="4" max="4" width="10.3984375" customWidth="1"/>
    <col min="5" max="5" width="8.5" bestFit="1" customWidth="1"/>
    <col min="6" max="8" width="7.296875" style="11" bestFit="1" customWidth="1"/>
    <col min="9" max="9" width="7.296875" bestFit="1" customWidth="1"/>
    <col min="10" max="99" width="6.3984375" bestFit="1" customWidth="1"/>
    <col min="100" max="999" width="7.3984375" bestFit="1" customWidth="1"/>
    <col min="1000" max="1000" width="8.3984375" bestFit="1" customWidth="1"/>
  </cols>
  <sheetData>
    <row r="1" spans="1:1119" x14ac:dyDescent="0.3">
      <c r="A1" t="s">
        <v>4</v>
      </c>
      <c r="B1" t="s">
        <v>0</v>
      </c>
      <c r="C1" s="2">
        <v>1.2</v>
      </c>
      <c r="F1" s="12" t="s">
        <v>8</v>
      </c>
      <c r="G1" s="12" t="s">
        <v>10</v>
      </c>
      <c r="H1" s="12" t="s">
        <v>9</v>
      </c>
    </row>
    <row r="2" spans="1:1119" x14ac:dyDescent="0.3">
      <c r="A2" t="s">
        <v>5</v>
      </c>
      <c r="B2" t="s">
        <v>1</v>
      </c>
      <c r="C2" s="2">
        <v>0.9</v>
      </c>
      <c r="H2" s="7">
        <f>(G3-C11)*C1</f>
        <v>132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">
      <c r="F3" s="9"/>
      <c r="G3" s="7">
        <f>F5*C1</f>
        <v>120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">
      <c r="A4" t="s">
        <v>6</v>
      </c>
      <c r="B4" t="s">
        <v>2</v>
      </c>
      <c r="C4" s="2">
        <v>0.7</v>
      </c>
      <c r="F4" s="9"/>
      <c r="H4" s="7">
        <f>(G3-C11)*C2</f>
        <v>99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">
      <c r="A5" t="s">
        <v>7</v>
      </c>
      <c r="B5" t="s">
        <v>3</v>
      </c>
      <c r="C5" s="2">
        <f>1-C4</f>
        <v>0.30000000000000004</v>
      </c>
      <c r="F5" s="7">
        <f>C7</f>
        <v>100</v>
      </c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">
      <c r="F6" s="9"/>
      <c r="H6" s="7">
        <f>(G7-C11)*C1</f>
        <v>96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">
      <c r="A7" s="3" t="s">
        <v>18</v>
      </c>
      <c r="B7" s="3" t="s">
        <v>8</v>
      </c>
      <c r="C7" s="10">
        <v>100</v>
      </c>
      <c r="F7" s="9"/>
      <c r="G7" s="7">
        <f>F5*C2</f>
        <v>90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">
      <c r="F8" s="9"/>
      <c r="G8" s="9"/>
      <c r="H8" s="7">
        <f>(G7-C11)*C2</f>
        <v>72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">
      <c r="A9" t="s">
        <v>15</v>
      </c>
      <c r="B9" t="s">
        <v>16</v>
      </c>
      <c r="C9" s="10"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">
      <c r="A10" t="s">
        <v>22</v>
      </c>
      <c r="B10" t="s">
        <v>17</v>
      </c>
      <c r="C10" s="8"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">
      <c r="A11" t="s">
        <v>14</v>
      </c>
      <c r="B11" t="s">
        <v>19</v>
      </c>
      <c r="C11" s="4">
        <v>10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">
      <c r="F12" s="9"/>
      <c r="G12" s="9"/>
      <c r="H12" s="7">
        <f>MAX(H2-C9,0)</f>
        <v>88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">
      <c r="C13" s="2"/>
      <c r="F13" s="9"/>
      <c r="G13" s="7">
        <f>(H12*C4+H15*C5)/EXP(C10)</f>
        <v>76.171704129412774</v>
      </c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">
      <c r="F14" s="9"/>
      <c r="G14" s="7">
        <f>MAX(G3-C9,0)</f>
        <v>76</v>
      </c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">
      <c r="C15" s="8"/>
      <c r="E15" t="s">
        <v>20</v>
      </c>
      <c r="F15" s="7">
        <f>(C4*G13+C5*G17)/EXP(C10)</f>
        <v>64.788236102743625</v>
      </c>
      <c r="G15" s="9"/>
      <c r="H15" s="7">
        <f>MAX(H4-C9,0)</f>
        <v>55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">
      <c r="E16" t="s">
        <v>21</v>
      </c>
      <c r="F16" s="7">
        <f>(G13*C4+G18*C5)/EXP(C10)</f>
        <v>65.462989423445023</v>
      </c>
      <c r="G16" s="9"/>
      <c r="H16" s="7">
        <f>MAX(H6-C9,0)</f>
        <v>52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">
      <c r="C17" s="2"/>
      <c r="F17" s="9"/>
      <c r="G17" s="7">
        <f>(C4*H16+C5*H19)/EXP(C10)</f>
        <v>43.693884058869301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">
      <c r="F18" s="9"/>
      <c r="G18" s="7">
        <f>MAX(G7-C9,0)</f>
        <v>46</v>
      </c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">
      <c r="F19" s="9"/>
      <c r="H19" s="7">
        <f>MAX(H8-C9,0)</f>
        <v>28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Two Trees w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2017-11-11T19:10:00Z</dcterms:modified>
</cp:coreProperties>
</file>