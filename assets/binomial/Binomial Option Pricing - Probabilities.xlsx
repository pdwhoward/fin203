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5 Decision Trees\Excel\new2\"/>
    </mc:Choice>
  </mc:AlternateContent>
  <bookViews>
    <workbookView xWindow="0" yWindow="0" windowWidth="20010" windowHeight="9570" xr2:uid="{00000000-000D-0000-FFFF-FFFF00000000}"/>
  </bookViews>
  <sheets>
    <sheet name="Binomial Option Pricing Model" sheetId="19" r:id="rId1"/>
    <sheet name="Stock Distribution" sheetId="20" r:id="rId2"/>
    <sheet name="Option Distribution" sheetId="21" r:id="rId3"/>
  </sheets>
  <definedNames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gen" hidden="1">3</definedName>
    <definedName name="solver_rsmp" hidden="1">1</definedName>
    <definedName name="solver_sclt" hidden="1">100</definedName>
    <definedName name="solver_seed" hidden="1">0</definedName>
    <definedName name="solver_strm" hidden="1">0</definedName>
    <definedName name="solver_ucens" hidden="1">1E+30</definedName>
    <definedName name="solver_ucut" hidden="1">1E+30</definedName>
    <definedName name="solveri_CClick" hidden="1">"System.Boolean:False"</definedName>
    <definedName name="solveri_CPop" hidden="1">"System.Boolean:False"</definedName>
    <definedName name="solveri_CTyp" hidden="1">"RiskSolver.Globals.ChartType:Bar"</definedName>
    <definedName name="solvero_CClick" hidden="1">"System.Boolean:True"</definedName>
    <definedName name="solvero_ChGlobalShow" hidden="1">"System.Boolean:False"</definedName>
    <definedName name="solvero_CPop" hidden="1">"System.Boolean:False"</definedName>
    <definedName name="solvero_CTyp" hidden="1">"RiskSolver.Globals.ChartType:Bar"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19" l="1"/>
  <c r="K19" i="19"/>
  <c r="K18" i="19"/>
  <c r="K15" i="19"/>
  <c r="K14" i="19"/>
  <c r="K13" i="19"/>
  <c r="K12" i="19"/>
  <c r="C11" i="19"/>
  <c r="C12" i="19" s="1"/>
  <c r="E27" i="19"/>
  <c r="F31" i="19"/>
  <c r="F23" i="19"/>
  <c r="H34" i="19"/>
  <c r="G33" i="19" s="1"/>
  <c r="G29" i="19"/>
  <c r="G25" i="19"/>
  <c r="H32" i="19"/>
  <c r="H30" i="19"/>
  <c r="H28" i="19"/>
  <c r="H26" i="19"/>
  <c r="H24" i="19"/>
  <c r="H22" i="19"/>
  <c r="H20" i="19"/>
  <c r="C5" i="19"/>
  <c r="K5" i="19" s="1"/>
  <c r="K8" i="19"/>
  <c r="K7" i="19"/>
  <c r="K6" i="19"/>
  <c r="K4" i="19"/>
  <c r="K3" i="19"/>
  <c r="K2" i="19"/>
  <c r="K9" i="19" l="1"/>
  <c r="E9" i="19" l="1"/>
  <c r="F13" i="19" s="1"/>
  <c r="G11" i="19" l="1"/>
  <c r="G15" i="19"/>
  <c r="F5" i="19"/>
  <c r="H16" i="19" l="1"/>
  <c r="H14" i="19"/>
  <c r="H10" i="19"/>
  <c r="H12" i="19"/>
  <c r="G3" i="19"/>
  <c r="G7" i="19"/>
  <c r="H6" i="19" l="1"/>
  <c r="H8" i="19"/>
  <c r="H4" i="19"/>
  <c r="H2" i="19"/>
  <c r="G21" i="19" l="1"/>
</calcChain>
</file>

<file path=xl/sharedStrings.xml><?xml version="1.0" encoding="utf-8"?>
<sst xmlns="http://schemas.openxmlformats.org/spreadsheetml/2006/main" count="43" uniqueCount="36">
  <si>
    <t>u</t>
  </si>
  <si>
    <t>d</t>
  </si>
  <si>
    <t>Pu</t>
  </si>
  <si>
    <t>Pd</t>
  </si>
  <si>
    <t>Growth rate up</t>
  </si>
  <si>
    <t>Growth rate down</t>
  </si>
  <si>
    <t>Probability of up</t>
  </si>
  <si>
    <t>Probability of down</t>
  </si>
  <si>
    <t>S0</t>
  </si>
  <si>
    <t>S2</t>
  </si>
  <si>
    <t>S1</t>
  </si>
  <si>
    <t>C0</t>
  </si>
  <si>
    <t>C1</t>
  </si>
  <si>
    <t>C2</t>
  </si>
  <si>
    <t>K</t>
  </si>
  <si>
    <t>rf</t>
  </si>
  <si>
    <t>Stock price today</t>
  </si>
  <si>
    <t>Perperiod Risk-free rate</t>
  </si>
  <si>
    <t>Strike price</t>
  </si>
  <si>
    <t>Probability</t>
  </si>
  <si>
    <t>Expected Payoff</t>
  </si>
  <si>
    <t>Call price</t>
  </si>
  <si>
    <t>State</t>
  </si>
  <si>
    <t>Stock</t>
  </si>
  <si>
    <t>Call</t>
  </si>
  <si>
    <t>S3</t>
  </si>
  <si>
    <t>C3</t>
  </si>
  <si>
    <t>uuu</t>
  </si>
  <si>
    <t>uud</t>
  </si>
  <si>
    <t>udu</t>
  </si>
  <si>
    <t>udd</t>
  </si>
  <si>
    <t>duu</t>
  </si>
  <si>
    <t>dud</t>
  </si>
  <si>
    <t>ddu</t>
  </si>
  <si>
    <t>ddd</t>
  </si>
  <si>
    <t>E[C3]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</si>
</sst>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_(&quot;$&quot;* #,##0_);_(&quot;$&quot;* \(#,##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2" fontId="0" fillId="0" borderId="0" xfId="0" applyNumberFormat="1"/>
    <xf numFmtId="9" fontId="0" fillId="0" borderId="0" xfId="2" applyFon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0" borderId="0" xfId="2" applyNumberFormat="1" applyFont="1"/>
    <xf numFmtId="164" fontId="0" fillId="2" borderId="0" xfId="1" applyNumberFormat="1" applyFont="1" applyFill="1" applyAlignment="1"/>
    <xf numFmtId="165" fontId="0" fillId="0" borderId="0" xfId="2" applyNumberFormat="1" applyFont="1"/>
    <xf numFmtId="164" fontId="0" fillId="0" borderId="0" xfId="1" applyNumberFormat="1" applyFont="1" applyAlignment="1"/>
    <xf numFmtId="166" fontId="0" fillId="0" borderId="0" xfId="1" applyNumberFormat="1" applyFont="1"/>
    <xf numFmtId="164" fontId="0" fillId="0" borderId="0" xfId="0" applyNumberFormat="1" applyAlignment="1"/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  <xf numFmtId="44" fontId="0" fillId="2" borderId="0" xfId="1" applyFont="1" applyFill="1"/>
    <xf numFmtId="44" fontId="0" fillId="2" borderId="0" xfId="0" applyNumberFormat="1" applyFill="1"/>
    <xf numFmtId="9" fontId="0" fillId="2" borderId="0" xfId="2" applyFont="1" applyFill="1" applyAlignment="1">
      <alignment horizontal="center"/>
    </xf>
    <xf numFmtId="0" fontId="0" fillId="0" borderId="0" xfId="0" applyAlignment="1">
      <alignment horizontal="center"/>
    </xf>
    <xf numFmtId="9" fontId="0" fillId="2" borderId="0" xfId="0" applyNumberFormat="1" applyFill="1" applyAlignment="1">
      <alignment horizontal="center"/>
    </xf>
    <xf numFmtId="164" fontId="0" fillId="0" borderId="0" xfId="2" applyNumberFormat="1" applyFont="1" applyAlignment="1">
      <alignment horizontal="center"/>
    </xf>
    <xf numFmtId="164" fontId="0" fillId="2" borderId="0" xfId="2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Fill="1" applyAlignment="1">
      <alignment horizontal="right"/>
    </xf>
    <xf numFmtId="164" fontId="0" fillId="0" borderId="0" xfId="0" applyNumberFormat="1" applyFill="1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ysClr val="windowText" lastClr="000000"/>
                </a:solidFill>
              </a:rPr>
              <a:t>Stock Price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'Binomial Option Pricing Model'!$L$1</c:f>
              <c:strCache>
                <c:ptCount val="1"/>
                <c:pt idx="0">
                  <c:v>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'Binomial Option Pricing Model'!$L$12:$L$15</c:f>
              <c:numCache>
                <c:formatCode>"$"#,##0.00</c:formatCode>
                <c:ptCount val="4"/>
                <c:pt idx="0">
                  <c:v>66.550000000000026</c:v>
                </c:pt>
                <c:pt idx="1">
                  <c:v>48.400000000000013</c:v>
                </c:pt>
                <c:pt idx="2">
                  <c:v>35.20000000000001</c:v>
                </c:pt>
                <c:pt idx="3">
                  <c:v>25.6</c:v>
                </c:pt>
              </c:numCache>
            </c:numRef>
          </c:cat>
          <c:val>
            <c:numRef>
              <c:f>'Binomial Option Pricing Model'!$K$12:$K$15</c:f>
              <c:numCache>
                <c:formatCode>0%</c:formatCode>
                <c:ptCount val="4"/>
                <c:pt idx="0">
                  <c:v>0.16637500000000005</c:v>
                </c:pt>
                <c:pt idx="1">
                  <c:v>0.40837499999999999</c:v>
                </c:pt>
                <c:pt idx="2">
                  <c:v>0.33412499999999995</c:v>
                </c:pt>
                <c:pt idx="3">
                  <c:v>9.112499999999997E-2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78-428C-A193-9A1A6DED9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166696"/>
        <c:axId val="518171616"/>
      </c:barChart>
      <c:catAx>
        <c:axId val="518166696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Stock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171616"/>
        <c:crosses val="autoZero"/>
        <c:auto val="1"/>
        <c:lblAlgn val="ctr"/>
        <c:lblOffset val="100"/>
        <c:noMultiLvlLbl val="0"/>
      </c:catAx>
      <c:valAx>
        <c:axId val="51817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16669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ysClr val="windowText" lastClr="000000"/>
                </a:solidFill>
              </a:rPr>
              <a:t>Option Payoff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'Binomial Option Pricing Model'!$L$17</c:f>
              <c:strCache>
                <c:ptCount val="1"/>
                <c:pt idx="0">
                  <c:v>Call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'Binomial Option Pricing Model'!$L$18:$L$20</c:f>
              <c:numCache>
                <c:formatCode>"$"#,##0.00</c:formatCode>
                <c:ptCount val="3"/>
                <c:pt idx="0">
                  <c:v>22.550000000000026</c:v>
                </c:pt>
                <c:pt idx="1">
                  <c:v>4.4000000000000128</c:v>
                </c:pt>
                <c:pt idx="2">
                  <c:v>0</c:v>
                </c:pt>
              </c:numCache>
            </c:numRef>
          </c:cat>
          <c:val>
            <c:numRef>
              <c:f>'Binomial Option Pricing Model'!$K$18:$K$20</c:f>
              <c:numCache>
                <c:formatCode>0%</c:formatCode>
                <c:ptCount val="3"/>
                <c:pt idx="0">
                  <c:v>0.16637500000000005</c:v>
                </c:pt>
                <c:pt idx="1">
                  <c:v>0.40837499999999999</c:v>
                </c:pt>
                <c:pt idx="2">
                  <c:v>0.42524999999999991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0-49CB-945A-4E1759091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166696"/>
        <c:axId val="518171616"/>
      </c:barChart>
      <c:catAx>
        <c:axId val="518166696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Option Payoff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171616"/>
        <c:crosses val="autoZero"/>
        <c:auto val="1"/>
        <c:lblAlgn val="ctr"/>
        <c:lblOffset val="100"/>
        <c:noMultiLvlLbl val="0"/>
      </c:catAx>
      <c:valAx>
        <c:axId val="51817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16669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CF57B1-85B3-4463-9434-8EE9A4A3BB7F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30E8C2-DEC9-46A7-9C44-6EEFEA92350E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44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EF7F9-29F8-41A1-82D4-F49C704803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6544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AF56CB-C008-4735-A672-F2837B4C93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6DFC-F54A-469D-89F7-17255BAED35A}">
  <dimension ref="A1:APZ103"/>
  <sheetViews>
    <sheetView tabSelected="1" workbookViewId="0">
      <selection activeCell="N7" sqref="N7"/>
    </sheetView>
  </sheetViews>
  <sheetFormatPr defaultRowHeight="15.6" x14ac:dyDescent="0.6"/>
  <cols>
    <col min="1" max="1" width="21.296875" bestFit="1" customWidth="1"/>
    <col min="2" max="2" width="4.8984375" bestFit="1" customWidth="1"/>
    <col min="3" max="3" width="7.34765625" bestFit="1" customWidth="1"/>
    <col min="4" max="4" width="10.3984375" customWidth="1"/>
    <col min="5" max="7" width="7.34765625" style="11" bestFit="1" customWidth="1"/>
    <col min="8" max="8" width="9.3984375" style="20" bestFit="1" customWidth="1"/>
    <col min="9" max="9" width="9.3984375" style="14" customWidth="1"/>
    <col min="10" max="10" width="4.796875" style="18" bestFit="1" customWidth="1"/>
    <col min="11" max="11" width="9.3984375" style="18" bestFit="1" customWidth="1"/>
    <col min="12" max="13" width="6.1484375" style="18" bestFit="1" customWidth="1"/>
    <col min="14" max="98" width="6.3984375" bestFit="1" customWidth="1"/>
    <col min="99" max="998" width="7.3984375" bestFit="1" customWidth="1"/>
    <col min="999" max="999" width="8.3984375" bestFit="1" customWidth="1"/>
  </cols>
  <sheetData>
    <row r="1" spans="1:1118" x14ac:dyDescent="0.6">
      <c r="A1" t="s">
        <v>4</v>
      </c>
      <c r="B1" t="s">
        <v>0</v>
      </c>
      <c r="C1" s="2">
        <v>1.1000000000000001</v>
      </c>
      <c r="E1" s="12" t="s">
        <v>8</v>
      </c>
      <c r="F1" s="12" t="s">
        <v>10</v>
      </c>
      <c r="G1" s="12" t="s">
        <v>9</v>
      </c>
      <c r="H1" s="20" t="s">
        <v>25</v>
      </c>
      <c r="I1"/>
      <c r="J1" s="12" t="s">
        <v>22</v>
      </c>
      <c r="K1" s="14" t="s">
        <v>19</v>
      </c>
      <c r="L1" s="18" t="s">
        <v>23</v>
      </c>
      <c r="M1" s="18" t="s">
        <v>24</v>
      </c>
    </row>
    <row r="2" spans="1:1118" x14ac:dyDescent="0.6">
      <c r="A2" t="s">
        <v>5</v>
      </c>
      <c r="B2" t="s">
        <v>1</v>
      </c>
      <c r="C2" s="2">
        <v>0.8</v>
      </c>
      <c r="H2" s="21">
        <f>G3*C1</f>
        <v>66.550000000000026</v>
      </c>
      <c r="I2"/>
      <c r="J2" s="18" t="s">
        <v>27</v>
      </c>
      <c r="K2" s="17">
        <f>C4^3</f>
        <v>0.16637500000000005</v>
      </c>
      <c r="L2" s="24">
        <v>66.550000000000026</v>
      </c>
      <c r="M2" s="24">
        <v>22.550000000000026</v>
      </c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</row>
    <row r="3" spans="1:1118" x14ac:dyDescent="0.6">
      <c r="G3" s="7">
        <f>F5*C1</f>
        <v>60.500000000000014</v>
      </c>
      <c r="I3"/>
      <c r="J3" s="18" t="s">
        <v>28</v>
      </c>
      <c r="K3" s="17">
        <f>C4^2*C5</f>
        <v>0.136125</v>
      </c>
      <c r="L3" s="24">
        <v>48.400000000000013</v>
      </c>
      <c r="M3" s="24">
        <v>4.4000000000000128</v>
      </c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</row>
    <row r="4" spans="1:1118" x14ac:dyDescent="0.6">
      <c r="A4" t="s">
        <v>6</v>
      </c>
      <c r="B4" t="s">
        <v>2</v>
      </c>
      <c r="C4" s="2">
        <v>0.55000000000000004</v>
      </c>
      <c r="E4" s="9"/>
      <c r="H4" s="21">
        <f>G3*C2</f>
        <v>48.400000000000013</v>
      </c>
      <c r="I4"/>
      <c r="J4" s="18" t="s">
        <v>29</v>
      </c>
      <c r="K4" s="17">
        <f>C4^2*C5</f>
        <v>0.136125</v>
      </c>
      <c r="L4" s="24">
        <v>48.400000000000013</v>
      </c>
      <c r="M4" s="24">
        <v>4.4000000000000128</v>
      </c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</row>
    <row r="5" spans="1:1118" x14ac:dyDescent="0.6">
      <c r="A5" t="s">
        <v>7</v>
      </c>
      <c r="B5" t="s">
        <v>3</v>
      </c>
      <c r="C5" s="2">
        <f>1-C4</f>
        <v>0.44999999999999996</v>
      </c>
      <c r="F5" s="7">
        <f>E9*C1</f>
        <v>55.000000000000007</v>
      </c>
      <c r="I5"/>
      <c r="J5" s="18" t="s">
        <v>30</v>
      </c>
      <c r="K5" s="17">
        <f>C4*C5^2</f>
        <v>0.11137499999999999</v>
      </c>
      <c r="L5" s="24">
        <v>35.20000000000001</v>
      </c>
      <c r="M5" s="24">
        <v>0</v>
      </c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</row>
    <row r="6" spans="1:1118" x14ac:dyDescent="0.6">
      <c r="E6" s="9"/>
      <c r="H6" s="21">
        <f>G7*C1</f>
        <v>48.400000000000013</v>
      </c>
      <c r="I6"/>
      <c r="J6" s="18" t="s">
        <v>31</v>
      </c>
      <c r="K6" s="17">
        <f>C4^2*C5</f>
        <v>0.136125</v>
      </c>
      <c r="L6" s="11">
        <v>48.400000000000006</v>
      </c>
      <c r="M6" s="11">
        <v>4.4000000000000057</v>
      </c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</row>
    <row r="7" spans="1:1118" x14ac:dyDescent="0.6">
      <c r="A7" s="3" t="s">
        <v>16</v>
      </c>
      <c r="B7" s="3" t="s">
        <v>8</v>
      </c>
      <c r="C7" s="10">
        <v>50</v>
      </c>
      <c r="F7" s="9"/>
      <c r="G7" s="7">
        <f>F5*C2</f>
        <v>44.000000000000007</v>
      </c>
      <c r="I7"/>
      <c r="J7" s="18" t="s">
        <v>32</v>
      </c>
      <c r="K7" s="17">
        <f>C4*C5^2</f>
        <v>0.11137499999999999</v>
      </c>
      <c r="L7" s="11">
        <v>35.200000000000003</v>
      </c>
      <c r="M7" s="11">
        <v>0</v>
      </c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</row>
    <row r="8" spans="1:1118" x14ac:dyDescent="0.6">
      <c r="A8" t="s">
        <v>18</v>
      </c>
      <c r="B8" t="s">
        <v>14</v>
      </c>
      <c r="C8" s="10">
        <v>44</v>
      </c>
      <c r="E8" s="9"/>
      <c r="H8" s="21">
        <f>G7*C2</f>
        <v>35.20000000000001</v>
      </c>
      <c r="I8"/>
      <c r="J8" s="18" t="s">
        <v>33</v>
      </c>
      <c r="K8" s="17">
        <f>C4*C5^2</f>
        <v>0.11137499999999999</v>
      </c>
      <c r="L8" s="11">
        <v>35.200000000000003</v>
      </c>
      <c r="M8" s="11">
        <v>0</v>
      </c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</row>
    <row r="9" spans="1:1118" x14ac:dyDescent="0.6">
      <c r="A9" t="s">
        <v>17</v>
      </c>
      <c r="B9" t="s">
        <v>15</v>
      </c>
      <c r="C9" s="8">
        <v>2.5000000000000001E-2</v>
      </c>
      <c r="E9" s="7">
        <f>C7</f>
        <v>50</v>
      </c>
      <c r="I9"/>
      <c r="J9" s="18" t="s">
        <v>34</v>
      </c>
      <c r="K9" s="17">
        <f>C5^3</f>
        <v>9.112499999999997E-2</v>
      </c>
      <c r="L9" s="11">
        <v>25.6</v>
      </c>
      <c r="M9" s="11">
        <v>0</v>
      </c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</row>
    <row r="10" spans="1:1118" x14ac:dyDescent="0.6">
      <c r="C10" s="4"/>
      <c r="E10" s="9"/>
      <c r="H10" s="21">
        <f>G11*C1</f>
        <v>48.400000000000006</v>
      </c>
      <c r="I10"/>
      <c r="K10" s="22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</row>
    <row r="11" spans="1:1118" x14ac:dyDescent="0.6">
      <c r="A11" t="s">
        <v>20</v>
      </c>
      <c r="B11" t="s">
        <v>35</v>
      </c>
      <c r="C11" s="15">
        <f>SUMPRODUCT(K18:K20,L18:L20)</f>
        <v>5.5486062500000104</v>
      </c>
      <c r="G11" s="7">
        <f>F13*C1</f>
        <v>44</v>
      </c>
      <c r="I11"/>
      <c r="K11" s="14" t="s">
        <v>19</v>
      </c>
      <c r="L11" s="18" t="s">
        <v>23</v>
      </c>
      <c r="M11" s="18" t="s">
        <v>24</v>
      </c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</row>
    <row r="12" spans="1:1118" x14ac:dyDescent="0.6">
      <c r="A12" t="s">
        <v>21</v>
      </c>
      <c r="B12" t="s">
        <v>11</v>
      </c>
      <c r="C12" s="16">
        <f>C11/EXP(3*C9)</f>
        <v>5.1476833066394079</v>
      </c>
      <c r="H12" s="21">
        <f>G11*C2</f>
        <v>35.200000000000003</v>
      </c>
      <c r="I12"/>
      <c r="K12" s="19">
        <f>K2</f>
        <v>0.16637500000000005</v>
      </c>
      <c r="L12" s="24">
        <v>66.550000000000026</v>
      </c>
      <c r="M12" s="24">
        <v>22.550000000000026</v>
      </c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</row>
    <row r="13" spans="1:1118" x14ac:dyDescent="0.6">
      <c r="C13" s="2"/>
      <c r="F13" s="7">
        <f>E9*C2</f>
        <v>40</v>
      </c>
      <c r="I13"/>
      <c r="K13" s="19">
        <f>K3+K4+K6</f>
        <v>0.40837499999999999</v>
      </c>
      <c r="L13" s="24">
        <v>48.400000000000013</v>
      </c>
      <c r="M13" s="24">
        <v>4.4000000000000128</v>
      </c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</row>
    <row r="14" spans="1:1118" x14ac:dyDescent="0.6">
      <c r="F14" s="9"/>
      <c r="H14" s="21">
        <f>G15*C1</f>
        <v>35.200000000000003</v>
      </c>
      <c r="I14"/>
      <c r="K14" s="19">
        <f>K5+K7+K8</f>
        <v>0.33412499999999995</v>
      </c>
      <c r="L14" s="24">
        <v>35.20000000000001</v>
      </c>
      <c r="M14" s="24">
        <v>0</v>
      </c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</row>
    <row r="15" spans="1:1118" x14ac:dyDescent="0.6">
      <c r="C15" s="8"/>
      <c r="G15" s="7">
        <f>F13*C2</f>
        <v>32</v>
      </c>
      <c r="K15" s="19">
        <f>K9</f>
        <v>9.112499999999997E-2</v>
      </c>
      <c r="L15" s="24">
        <v>25.6</v>
      </c>
      <c r="M15" s="24">
        <v>0</v>
      </c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</row>
    <row r="16" spans="1:1118" x14ac:dyDescent="0.6">
      <c r="H16" s="21">
        <f>G15*C2</f>
        <v>25.6</v>
      </c>
      <c r="K16" s="22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</row>
    <row r="17" spans="3:1118" x14ac:dyDescent="0.6">
      <c r="C17" s="2"/>
      <c r="K17" s="14" t="s">
        <v>19</v>
      </c>
      <c r="L17" s="18" t="s">
        <v>24</v>
      </c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</row>
    <row r="18" spans="3:1118" x14ac:dyDescent="0.6">
      <c r="K18" s="19">
        <f>K12</f>
        <v>0.16637500000000005</v>
      </c>
      <c r="L18" s="23">
        <v>22.550000000000026</v>
      </c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</row>
    <row r="19" spans="3:1118" x14ac:dyDescent="0.6">
      <c r="E19" s="13" t="s">
        <v>11</v>
      </c>
      <c r="F19" s="13" t="s">
        <v>12</v>
      </c>
      <c r="G19" s="13" t="s">
        <v>13</v>
      </c>
      <c r="H19" s="20" t="s">
        <v>26</v>
      </c>
      <c r="K19" s="19">
        <f>K13</f>
        <v>0.40837499999999999</v>
      </c>
      <c r="L19" s="23">
        <v>4.4000000000000128</v>
      </c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</row>
    <row r="20" spans="3:1118" x14ac:dyDescent="0.6">
      <c r="C20" s="3"/>
      <c r="H20" s="21">
        <f>MAX(H2-$C$8,0)</f>
        <v>22.550000000000026</v>
      </c>
      <c r="K20" s="19">
        <f>K14+K15</f>
        <v>0.42524999999999991</v>
      </c>
      <c r="L20" s="23">
        <v>0</v>
      </c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</row>
    <row r="21" spans="3:1118" x14ac:dyDescent="0.6">
      <c r="C21" s="2"/>
      <c r="G21" s="7">
        <f>($C$4*H20+$C$5*H22)/EXP($C$9)</f>
        <v>14.027394809747516</v>
      </c>
      <c r="I21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</row>
    <row r="22" spans="3:1118" x14ac:dyDescent="0.6">
      <c r="H22" s="21">
        <f>MAX(H4-$C$8,0)</f>
        <v>4.4000000000000128</v>
      </c>
      <c r="I22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</row>
    <row r="23" spans="3:1118" x14ac:dyDescent="0.6">
      <c r="C23" s="1"/>
      <c r="F23" s="7">
        <f>($C$4*G21+$C$5*G25)/EXP($C$9)</f>
        <v>8.5604703021161299</v>
      </c>
      <c r="G23"/>
      <c r="I2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</row>
    <row r="24" spans="3:1118" x14ac:dyDescent="0.6">
      <c r="C24" s="1"/>
      <c r="E24" s="9"/>
      <c r="F24" s="9"/>
      <c r="H24" s="21">
        <f>MAX(H6-$C$8,0)</f>
        <v>4.4000000000000128</v>
      </c>
      <c r="I24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</row>
    <row r="25" spans="3:1118" x14ac:dyDescent="0.6">
      <c r="E25" s="9"/>
      <c r="F25"/>
      <c r="G25" s="7">
        <f>($C$4*H24+$C$5*H26)/EXP($C$9)</f>
        <v>2.3602499871085718</v>
      </c>
      <c r="I25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</row>
    <row r="26" spans="3:1118" x14ac:dyDescent="0.6">
      <c r="C26" s="4"/>
      <c r="E26" s="9"/>
      <c r="F26"/>
      <c r="H26" s="21">
        <f>MAX(H8-$C$8,0)</f>
        <v>0</v>
      </c>
      <c r="I26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</row>
    <row r="27" spans="3:1118" x14ac:dyDescent="0.6">
      <c r="C27" s="4"/>
      <c r="E27" s="7">
        <f>($C$4*F23+$C$5*F31)/EXP($C$9)</f>
        <v>5.1476833066394079</v>
      </c>
      <c r="F27" s="9"/>
      <c r="I27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</row>
    <row r="28" spans="3:1118" x14ac:dyDescent="0.6">
      <c r="C28" s="4"/>
      <c r="E28"/>
      <c r="F28" s="9"/>
      <c r="G28"/>
      <c r="H28" s="21">
        <f>MAX(H10-$C$8,0)</f>
        <v>4.4000000000000057</v>
      </c>
      <c r="I28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</row>
    <row r="29" spans="3:1118" x14ac:dyDescent="0.6">
      <c r="E29" s="9"/>
      <c r="F29"/>
      <c r="G29" s="7">
        <f>($C$4*H28+$C$5*H30)/EXP($C$9)</f>
        <v>2.3602499871085683</v>
      </c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</row>
    <row r="30" spans="3:1118" x14ac:dyDescent="0.6">
      <c r="C30" s="5"/>
      <c r="E30" s="9"/>
      <c r="F30"/>
      <c r="G30"/>
      <c r="H30" s="21">
        <f>MAX(H12-$C$8,0)</f>
        <v>0</v>
      </c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</row>
    <row r="31" spans="3:1118" x14ac:dyDescent="0.6">
      <c r="C31" s="5"/>
      <c r="F31" s="7">
        <f>($C$4*G29+$C$5*G33)/EXP($C$9)</f>
        <v>1.2660863640104523</v>
      </c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</row>
    <row r="32" spans="3:1118" x14ac:dyDescent="0.6">
      <c r="H32" s="21">
        <f>MAX(H14-$C$8,0)</f>
        <v>0</v>
      </c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</row>
    <row r="33" spans="3:1118" x14ac:dyDescent="0.6">
      <c r="C33" s="1"/>
      <c r="G33" s="7">
        <f>($C$4*H32+$C$5*H34)/EXP($C$9)</f>
        <v>0</v>
      </c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</row>
    <row r="34" spans="3:1118" x14ac:dyDescent="0.6">
      <c r="H34" s="21">
        <f>MAX(H16-$C$8,0)</f>
        <v>0</v>
      </c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</row>
    <row r="35" spans="3:1118" x14ac:dyDescent="0.6">
      <c r="C35" s="4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</row>
    <row r="36" spans="3:1118" x14ac:dyDescent="0.6"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</row>
    <row r="37" spans="3:1118" x14ac:dyDescent="0.6">
      <c r="C37" s="2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</row>
    <row r="38" spans="3:1118" x14ac:dyDescent="0.6">
      <c r="C38" s="2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</row>
    <row r="39" spans="3:1118" x14ac:dyDescent="0.6">
      <c r="ALL39" s="3"/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</row>
    <row r="40" spans="3:1118" x14ac:dyDescent="0.6">
      <c r="C40" s="6"/>
      <c r="ALL40" s="3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</row>
    <row r="41" spans="3:1118" x14ac:dyDescent="0.6">
      <c r="ALL41" s="3"/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</row>
    <row r="42" spans="3:1118" x14ac:dyDescent="0.6">
      <c r="ALL42" s="3"/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</row>
    <row r="43" spans="3:1118" x14ac:dyDescent="0.6">
      <c r="ALL43" s="3"/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</row>
    <row r="44" spans="3:1118" x14ac:dyDescent="0.6">
      <c r="ALL44" s="3"/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</row>
    <row r="45" spans="3:1118" x14ac:dyDescent="0.6">
      <c r="ALL45" s="3"/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</row>
    <row r="46" spans="3:1118" x14ac:dyDescent="0.6">
      <c r="ALL46" s="3"/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</row>
    <row r="47" spans="3:1118" x14ac:dyDescent="0.6"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</row>
    <row r="48" spans="3:1118" x14ac:dyDescent="0.6">
      <c r="ALL48" s="3"/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</row>
    <row r="49" spans="1000:1118" x14ac:dyDescent="0.6"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</row>
    <row r="50" spans="1000:1118" x14ac:dyDescent="0.6">
      <c r="ALL50" s="3"/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</row>
    <row r="51" spans="1000:1118" x14ac:dyDescent="0.6">
      <c r="ALL51" s="3"/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</row>
    <row r="52" spans="1000:1118" x14ac:dyDescent="0.6">
      <c r="ALL52" s="3"/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</row>
    <row r="53" spans="1000:1118" x14ac:dyDescent="0.6">
      <c r="ALL53" s="3"/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</row>
    <row r="54" spans="1000:1118" x14ac:dyDescent="0.6">
      <c r="ALL54" s="3"/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</row>
    <row r="55" spans="1000:1118" x14ac:dyDescent="0.6">
      <c r="ALL55" s="3"/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</row>
    <row r="56" spans="1000:1118" x14ac:dyDescent="0.6">
      <c r="ALL56" s="3"/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</row>
    <row r="57" spans="1000:1118" x14ac:dyDescent="0.6">
      <c r="ALL57" s="3"/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</row>
    <row r="58" spans="1000:1118" x14ac:dyDescent="0.6">
      <c r="ALL58" s="3"/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</row>
    <row r="59" spans="1000:1118" x14ac:dyDescent="0.6">
      <c r="ALL59" s="3"/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</row>
    <row r="60" spans="1000:1118" x14ac:dyDescent="0.6">
      <c r="ALL60" s="3"/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</row>
    <row r="61" spans="1000:1118" x14ac:dyDescent="0.6">
      <c r="ALL61" s="3"/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</row>
    <row r="62" spans="1000:1118" x14ac:dyDescent="0.6">
      <c r="ALL62" s="3"/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</row>
    <row r="63" spans="1000:1118" x14ac:dyDescent="0.6">
      <c r="ALL63" s="3"/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</row>
    <row r="64" spans="1000:1118" x14ac:dyDescent="0.6">
      <c r="ALL64" s="3"/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</row>
    <row r="65" spans="1000:1118" x14ac:dyDescent="0.6">
      <c r="ALL65" s="3"/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</row>
    <row r="66" spans="1000:1118" x14ac:dyDescent="0.6">
      <c r="ALL66" s="3"/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</row>
    <row r="67" spans="1000:1118" x14ac:dyDescent="0.6"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</row>
    <row r="68" spans="1000:1118" x14ac:dyDescent="0.6">
      <c r="ALL68" s="3"/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</row>
    <row r="69" spans="1000:1118" x14ac:dyDescent="0.6">
      <c r="ALL69" s="3"/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</row>
    <row r="70" spans="1000:1118" x14ac:dyDescent="0.6">
      <c r="ALL70" s="3"/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</row>
    <row r="71" spans="1000:1118" x14ac:dyDescent="0.6">
      <c r="ALL71" s="3"/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</row>
    <row r="72" spans="1000:1118" x14ac:dyDescent="0.6">
      <c r="ALL72" s="3"/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</row>
    <row r="73" spans="1000:1118" x14ac:dyDescent="0.6">
      <c r="ALL73" s="3"/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</row>
    <row r="74" spans="1000:1118" x14ac:dyDescent="0.6">
      <c r="ALL74" s="3"/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</row>
    <row r="75" spans="1000:1118" x14ac:dyDescent="0.6">
      <c r="ALL75" s="3"/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</row>
    <row r="76" spans="1000:1118" x14ac:dyDescent="0.6"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</row>
    <row r="77" spans="1000:1118" x14ac:dyDescent="0.6"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</row>
    <row r="78" spans="1000:1118" x14ac:dyDescent="0.6">
      <c r="ALL78" s="3"/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</row>
    <row r="79" spans="1000:1118" x14ac:dyDescent="0.6">
      <c r="ALL79" s="3"/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</row>
    <row r="80" spans="1000:1118" x14ac:dyDescent="0.6">
      <c r="ALL80" s="3"/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</row>
    <row r="81" spans="1000:1118" x14ac:dyDescent="0.6">
      <c r="ALL81" s="3"/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</row>
    <row r="82" spans="1000:1118" x14ac:dyDescent="0.6"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</row>
    <row r="83" spans="1000:1118" x14ac:dyDescent="0.6">
      <c r="ALL83" s="3"/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</row>
    <row r="84" spans="1000:1118" x14ac:dyDescent="0.6">
      <c r="ALL84" s="3"/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</row>
    <row r="85" spans="1000:1118" x14ac:dyDescent="0.6">
      <c r="ALL85" s="3"/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</row>
    <row r="86" spans="1000:1118" x14ac:dyDescent="0.6">
      <c r="ALL86" s="3"/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</row>
    <row r="87" spans="1000:1118" x14ac:dyDescent="0.6">
      <c r="ALL87" s="3"/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</row>
    <row r="88" spans="1000:1118" x14ac:dyDescent="0.6">
      <c r="ALL88" s="3"/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</row>
    <row r="89" spans="1000:1118" x14ac:dyDescent="0.6">
      <c r="ALL89" s="3"/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</row>
    <row r="90" spans="1000:1118" x14ac:dyDescent="0.6">
      <c r="ALL90" s="3"/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</row>
    <row r="91" spans="1000:1118" x14ac:dyDescent="0.6">
      <c r="ALL91" s="3"/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</row>
    <row r="92" spans="1000:1118" x14ac:dyDescent="0.6">
      <c r="ALL92" s="3"/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</row>
    <row r="93" spans="1000:1118" x14ac:dyDescent="0.6">
      <c r="ALL93" s="3"/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</row>
    <row r="94" spans="1000:1118" x14ac:dyDescent="0.6">
      <c r="ALL94" s="3"/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</row>
    <row r="95" spans="1000:1118" x14ac:dyDescent="0.6">
      <c r="ALL95" s="3"/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</row>
    <row r="96" spans="1000:1118" x14ac:dyDescent="0.6">
      <c r="ALL96" s="3"/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</row>
    <row r="97" spans="1000:1118" x14ac:dyDescent="0.6">
      <c r="ALL97" s="3"/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</row>
    <row r="98" spans="1000:1118" x14ac:dyDescent="0.6">
      <c r="ALL98" s="3"/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</row>
    <row r="99" spans="1000:1118" x14ac:dyDescent="0.6">
      <c r="ALL99" s="3"/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</row>
    <row r="100" spans="1000:1118" x14ac:dyDescent="0.6">
      <c r="ALL100" s="3"/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</row>
    <row r="101" spans="1000:1118" x14ac:dyDescent="0.6">
      <c r="ALL101" s="3"/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</row>
    <row r="102" spans="1000:1118" x14ac:dyDescent="0.6">
      <c r="ALL102" s="3"/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</row>
    <row r="103" spans="1000:1118" x14ac:dyDescent="0.6">
      <c r="ALL103" s="3"/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Binomial Option Pricing Model</vt:lpstr>
      <vt:lpstr>Stock Distribution</vt:lpstr>
      <vt:lpstr>Option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2017-04-11T02:49:49Z</dcterms:created>
  <dcterms:modified xsi:type="dcterms:W3CDTF">2017-11-13T16:50:36Z</dcterms:modified>
</cp:coreProperties>
</file>