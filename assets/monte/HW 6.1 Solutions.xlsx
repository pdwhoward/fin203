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7" rupBuild="18625"/>
  <workbookPr codeName="ThisWorkbook" defaultThemeVersion="166925"/>
  <mc:AlternateContent xmlns:mc="http://schemas.openxmlformats.org/markup-compatibility/2006">
    <mc:Choice Requires="x15">
      <x15ac:absPath xmlns:x15ac="http://schemas.microsoft.com/office/spreadsheetml/2010/11/ac" url="C:\Users\Philip\Dropbox\Courses\Teaching\FIN 203\FIN 203 Fall 2017\6 Simulation Analysis\HW\"/>
    </mc:Choice>
  </mc:AlternateContent>
  <bookViews>
    <workbookView xWindow="0" yWindow="0" windowWidth="20010" windowHeight="9570" firstSheet="1" activeTab="1" xr2:uid="{00000000-000D-0000-FFFF-FFFF00000000}"/>
  </bookViews>
  <sheets>
    <sheet name="CB_DATA_" sheetId="23" state="veryHidden" r:id="rId1"/>
    <sheet name="Monte Carlo Option Pricing" sheetId="22" r:id="rId2"/>
    <sheet name="Question" sheetId="27" r:id="rId3"/>
  </sheets>
  <definedNames>
    <definedName name="CB_017698edb536407db0d2e1dd0c338979" localSheetId="1" hidden="1">'Monte Carlo Option Pricing'!$F$3</definedName>
    <definedName name="CB_03b17766b3004cb7b688b3c941b70be2" localSheetId="1" hidden="1">'Monte Carlo Option Pricing'!$F$4</definedName>
    <definedName name="CB_0685a468c69249e7af5c89a5937e0359" localSheetId="1" hidden="1">'Monte Carlo Option Pricing'!$F$7</definedName>
    <definedName name="CB_1020b8eab12e4672b3b390a606d6d36f" localSheetId="1" hidden="1">'Monte Carlo Option Pricing'!$F$11</definedName>
    <definedName name="CB_37ed98fc89a74f9bae8fad27f7598264" localSheetId="1" hidden="1">'Monte Carlo Option Pricing'!$F$5</definedName>
    <definedName name="CB_42159b1ed1e541b69a3726b76ccf3a1c" localSheetId="1" hidden="1">'Monte Carlo Option Pricing'!$F$8</definedName>
    <definedName name="CB_5c88b42d2a334c5d8a44402401b986af" localSheetId="1" hidden="1">#N/A</definedName>
    <definedName name="CB_6c052803727b4bda8b04888c328675b6" localSheetId="1" hidden="1">'Monte Carlo Option Pricing'!$F$6</definedName>
    <definedName name="CB_a0fb5a6c22214bc7aa649596c2b3ae2d" localSheetId="1" hidden="1">'Monte Carlo Option Pricing'!$F$9</definedName>
    <definedName name="CB_Block_00000000000000000000000000000000" localSheetId="0" hidden="1">"'7.0.0.0"</definedName>
    <definedName name="CB_Block_00000000000000000000000000000000" localSheetId="1" hidden="1">"'7.0.0.0"</definedName>
    <definedName name="CB_Block_00000000000000000000000000000001" localSheetId="0" hidden="1">"'636477100126652827"</definedName>
    <definedName name="CB_Block_00000000000000000000000000000001" localSheetId="1" hidden="1">"'636477100126512439"</definedName>
    <definedName name="CB_Block_00000000000000000000000000000003" localSheetId="0" hidden="1">"'11.1.4512.0"</definedName>
    <definedName name="CB_Block_00000000000000000000000000000003" localSheetId="1" hidden="1">"'11.1.4512.0"</definedName>
    <definedName name="CB_BlockExt_00000000000000000000000000000003" localSheetId="0" hidden="1">"'11.1.2.4.600"</definedName>
    <definedName name="CB_BlockExt_00000000000000000000000000000003" localSheetId="1" hidden="1">"'11.1.2.4.600"</definedName>
    <definedName name="CB_c8449e87fcac410189f736e37455ed77" localSheetId="1" hidden="1">'Monte Carlo Option Pricing'!$H$12</definedName>
    <definedName name="CB_e167c7f251bd4f5c98cbd3e4dcc6dfe6" localSheetId="1" hidden="1">'Monte Carlo Option Pricing'!$F$10</definedName>
    <definedName name="CB_f4084f0baf224b858d3dd53377215c21" localSheetId="1" hidden="1">'Monte Carlo Option Pricing'!$F$12</definedName>
    <definedName name="CBCR_1249f07e216e4eab8afe45f3f4e8bcf3" localSheetId="1" hidden="1">'Monte Carlo Option Pricing'!$C$4</definedName>
    <definedName name="CBCR_34c39b5d5d9c4ea18b3b2ecd54f78257" localSheetId="1" hidden="1">'Monte Carlo Option Pricing'!$C$4</definedName>
    <definedName name="CBCR_592d1159cc5645a18c0cb3ca7f281ff8" localSheetId="1" hidden="1">'Monte Carlo Option Pricing'!$C$4</definedName>
    <definedName name="CBCR_61e57049c8874f66ae88cd4267ca88ff" localSheetId="1" hidden="1">'Monte Carlo Option Pricing'!$C$4</definedName>
    <definedName name="CBCR_6c415a8522704d79956c4258048369dd" localSheetId="1" hidden="1">'Monte Carlo Option Pricing'!$C$4</definedName>
    <definedName name="CBCR_8fbef17299794531a793eb5bf13f20e7" localSheetId="1" hidden="1">'Monte Carlo Option Pricing'!$C$4</definedName>
    <definedName name="CBCR_92efafe4b21f4ada94bc18a8c7a523bc" localSheetId="1" hidden="1">'Monte Carlo Option Pricing'!$C$4</definedName>
    <definedName name="CBCR_949b6fb01ca249028fc8d3cce1fd99ad" localSheetId="1" hidden="1">'Monte Carlo Option Pricing'!$C$4</definedName>
    <definedName name="CBCR_9ae6cb7f1cbe46b38e4df2cb4766a1e1" localSheetId="1" hidden="1">'Monte Carlo Option Pricing'!$E$3:$G$32</definedName>
    <definedName name="CBCR_9b49fc63463d4d988aa7ac6debc5dae2" localSheetId="1" hidden="1">'Monte Carlo Option Pricing'!$C$4</definedName>
    <definedName name="CBCR_a3a779809e82425b92b92a04ebfaf5cc" localSheetId="1" hidden="1">'Monte Carlo Option Pricing'!$C$10</definedName>
    <definedName name="CBCR_d98abbb8a10848f4ae07c30b0dcee4b0" localSheetId="1" hidden="1">'Monte Carlo Option Pricing'!$C$4</definedName>
    <definedName name="CBWorkbookPriority" localSheetId="0" hidden="1">-543170919</definedName>
    <definedName name="CBx_0b7114782f20436facd3e092662c9760" localSheetId="0" hidden="1">"'Monte Carlo Option Pricing'!$A$1"</definedName>
    <definedName name="CBx_b589f4d9718647b698946d7c6529c355" localSheetId="0" hidden="1">"'CB_DATA_'!$A$1"</definedName>
    <definedName name="CBx_f16dd8d6c56247c095a9dc97a4935ca9" localSheetId="0" hidden="1">"'Excel Simulation Model'!$A$1"</definedName>
    <definedName name="CBx_Sheet_Guid" localSheetId="0" hidden="1">"'b589f4d9-7186-47b6-9894-6d7c6529c355"</definedName>
    <definedName name="CBx_Sheet_Guid" localSheetId="1" hidden="1">"'0b711478-2f20-436f-acd3-e092662c9760"</definedName>
    <definedName name="CBx_SheetRef" localSheetId="0" hidden="1">CB_DATA_!$A$14</definedName>
    <definedName name="CBx_SheetRef" localSheetId="1" hidden="1">CB_DATA_!$B$14</definedName>
    <definedName name="CBx_StorageType" localSheetId="0" hidden="1">2</definedName>
    <definedName name="CBx_StorageType" localSheetId="1" hidden="1">2</definedName>
    <definedName name="solver_corr" hidden="1">1</definedName>
    <definedName name="solver_ctp1" hidden="1">0</definedName>
    <definedName name="solver_ctp2" hidden="1">0</definedName>
    <definedName name="solver_disp" hidden="1">0</definedName>
    <definedName name="solver_eval" hidden="1">0</definedName>
    <definedName name="solver_lcens" hidden="1">-1E+30</definedName>
    <definedName name="solver_lcut" hidden="1">-1E+30</definedName>
    <definedName name="solver_nsim" hidden="1">1</definedName>
    <definedName name="solver_nssim" hidden="1">-1</definedName>
    <definedName name="solver_ntri" hidden="1">1000</definedName>
    <definedName name="solver_rgen" hidden="1">3</definedName>
    <definedName name="solver_rsmp" hidden="1">1</definedName>
    <definedName name="solver_sclt" hidden="1">100</definedName>
    <definedName name="solver_seed" hidden="1">0</definedName>
    <definedName name="solver_strm" hidden="1">0</definedName>
    <definedName name="solver_ucens" hidden="1">1E+30</definedName>
    <definedName name="solver_ucut" hidden="1">1E+30</definedName>
    <definedName name="solveri_CClick" hidden="1">"System.Boolean:False"</definedName>
    <definedName name="solveri_CPop" hidden="1">"System.Boolean:False"</definedName>
    <definedName name="solveri_CTyp" hidden="1">"RiskSolver.Globals.ChartType:Bar"</definedName>
    <definedName name="solvero_CClick" hidden="1">"System.Boolean:True"</definedName>
    <definedName name="solvero_ChGlobalShow" hidden="1">"System.Boolean:False"</definedName>
    <definedName name="solvero_CPop" hidden="1">"System.Boolean:False"</definedName>
    <definedName name="solvero_CTyp" hidden="1">"RiskSolver.Globals.ChartType:Bar"</definedName>
  </definedNames>
  <calcPr calcId="171027" concurrentCalc="0" concurrentManualCount="4"/>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3" i="22" l="1"/>
  <c r="G4" i="22"/>
  <c r="G5" i="22"/>
  <c r="G6" i="22"/>
  <c r="G7" i="22"/>
  <c r="G8" i="22"/>
  <c r="G9" i="22"/>
  <c r="G10" i="22"/>
  <c r="G11" i="22"/>
  <c r="G12" i="22"/>
  <c r="H12" i="22"/>
  <c r="C5" i="22"/>
  <c r="G2" i="22"/>
  <c r="C11" i="22"/>
  <c r="C11" i="23"/>
  <c r="B11" i="23"/>
  <c r="A11" i="23"/>
</calcChain>
</file>

<file path=xl/sharedStrings.xml><?xml version="1.0" encoding="utf-8"?>
<sst xmlns="http://schemas.openxmlformats.org/spreadsheetml/2006/main" count="49" uniqueCount="46">
  <si>
    <t>u</t>
  </si>
  <si>
    <t>d</t>
  </si>
  <si>
    <t>Pu</t>
  </si>
  <si>
    <t>Pd</t>
  </si>
  <si>
    <t>Growth rate up</t>
  </si>
  <si>
    <t>Growth rate down</t>
  </si>
  <si>
    <t>Probability of up</t>
  </si>
  <si>
    <t>Probability of down</t>
  </si>
  <si>
    <t>S0</t>
  </si>
  <si>
    <t>C0</t>
  </si>
  <si>
    <t>rf</t>
  </si>
  <si>
    <t>Stock price today</t>
  </si>
  <si>
    <t>Expected Payoff</t>
  </si>
  <si>
    <t>Stock</t>
  </si>
  <si>
    <t>Call</t>
  </si>
  <si>
    <t>t</t>
  </si>
  <si>
    <t>Simulation</t>
  </si>
  <si>
    <t>Crystal Ball Data</t>
  </si>
  <si>
    <t>Workbook Variables</t>
  </si>
  <si>
    <t>Last Var Column</t>
  </si>
  <si>
    <t xml:space="preserve">    Name:</t>
  </si>
  <si>
    <t xml:space="preserve">    Value:</t>
  </si>
  <si>
    <t>Worksheet Data</t>
  </si>
  <si>
    <t>Last Data Column Used</t>
  </si>
  <si>
    <t>Sheet Ref</t>
  </si>
  <si>
    <t>Sheet Guid</t>
  </si>
  <si>
    <t>Deleted sheet count</t>
  </si>
  <si>
    <t>Last row used</t>
  </si>
  <si>
    <t>Data blocks</t>
  </si>
  <si>
    <t>b589f4d9-7186-47b6-9894-6d7c6529c355</t>
  </si>
  <si>
    <t>CB_Block_0</t>
  </si>
  <si>
    <t>㜸〱敤㕣㕢㙣ㅣ㔷ㄹ摥㌳摥㕤敦慣敤搸㡤搳㑢㑡㘹つ愵㤴搶挱㡤搳㠶㔲㈰〴㕦㥡㑢㜱㘲㌷㜶㔲慡㠲㌶攳摤㌳昱㌴㍢㌳敥捣慣ㄳ㤷㑡慤愰愵㈰㈸㐸摣㐴愱摣㉡㠴挴ぢ㤷ㄷ敥㉦〸㈴㄰㙡〵ㄲ昰㠰挴㐳愹㉡㜸攰愲㐸扣昰㠰〴摦㜷㘶㘶㜷㘶搷㍢㜶户㉤戸挸㈷摤摦㘷捥㙤捥㌹晦昵晣晦㤹收㐴㉥㤷晢㌷ㄲ晦㌲攵㤹戹㘶㜱摤て愴㍤㌱攳搶敢戲ㅡ㔸慥攳㑦㑣㜹㥥戱㍥㘷昹㐱ㅦㅡㄴ㉢ㄶ敡晤㐲挵户ㅥ㤴愵捡㥡昴㝣㌴㉡攴㜲愵㤲慥愱㥥㠳昰㌷ㄲ㍦攸散㌵㤸〷㔸㥡㤹㥥㕦扥ㅦ愳㉥〶慥㈷昷㡤㥤〹晢ㅥ㥡㥣㥣㤸㥣戸敤攰攴㠱㠹晤晢挶㘶ㅡ昵愰攱挹㐳㡥㙣〴㥥㔱摦㌷戶搰㔸慥㕢搵㜷换昵㈵昷扣㜴づ挹攵晤户㉥ㅢ户扤㜵昲戶㠳〷捤㍢敥㜸敢㈰㕥㥤㍢㌹㌳扤攰㐹搳㝦㤹挶㉣㜰捡户捤捡慡挵戵㐹改㔹捥戹㠹㤹㘹晣㤷㤸㍦㥥㙥㥦㔸㕣㤱㌲攰慢愵㈷㥤慡昴㜵㜴ㅣ戰愷㝣扦㘱慦㜲昳㜴晢〸㤶㕡㌵晣愰㘰捦挸㝡㕤户攳㔱㑢昶㍣昶慥㙥慣て摡㡢搲昱慤挰㕡戳㠲昵愲扤㠴㠱㙡㐳昶㘹㕦㥥㌲㥣㜳昲愴㘱换㠲㝤戴㘱搵昲㘱捡昵摤ㄸて㤱㥣㤸㕡晥挴㤴㙦捦慣ㄸ㥥㥡㤱捦㡤挹㘸㝢挴慢愶摢㕥摦㝤㕣㑥㕤扤㠱㘳摥搰扤ㅤ㙡捥ㄸ㕥戳攵㜸昷㤶搱攲搳㌳戸愵㝢晢挴ㅥ愵晢摣搴扤㡦摡捡㜴㙢㌱㄰搱户摡㔱㉣㐶㉦ㄲ昴ㄳ㤴〸㠸㐰扤㑣㌰㐰㌰〸㈰昲晦〰㤷㈴㍢戲㑡慢ㄸ㕡㘵㔹慢㔴戵㑡㑤慢㐸慤㘲㙡㤵㜳㕡㘵㐵慢㔸㕡攵㝥慤㜲ㅥ㙤攲㔴敡敦搷愲昴搳慦慥㕦昸昸摡ぢ戳摦昸搱摦㝥昳慢㌳㜷摣㌰戸ぢ㡤敥㡥㈶㌵敢ㄹㄷ㐰㙡㉤㉡〶㐷昰摦收㕣〱愶㌰て㥡户㥢㤳㤳戵㠳晢㡤㕢㡤〲㤷㤵㠱晣ㄴ愱㡣愰敤愰㜹㡦攵搴摣ぢち㜷搷㑣ㅢ扥㙣㙤摣㜸㔴㌷敤㌶㥣㥡晦㥡㡤㉢ㄷ〳㈳㤰㔷户搷戵〶改攸戶〸戶㤲扥㝡摦戵敤摤捥ㄸ昵㠶㥣扡㘸㠵搵慦㙤慢戶ㄷ㍣㜷戹㝢敤ㄱ㑦㍥搰慣敤㤸搱ㄴ㠴摡㥡ㅡ扢㘳㤵㘱㔵㌸慦戱㤹ㄵ搷㤷㡥㥡摥戸扤㘰㔵捦㑢㙦㔱㔲㈴捡㥡㕡敡攵慣㡡戸㝥㝣摥挱㐲挱慤戵搷㈷㑢捤㍢㉦〶㘰㘶㔹挳㝣㔷愵ㄷ慣㉦ㄹ换㜵㜹㐵慡㐹昸㑥㔴散㑤ㄵㅦ㜱慢つ㝦挶㜵〲捦慤愷㙢愶㙡㙢〶㈴㑤敤㠴㕢㤳昹㝣㑥〹〵〸摣扥㍥㈱㜲㌷㜷攷〵㠵㠸〴㡡挹挸㔷愵挹㙥攲ㄴ㔶㠷㔵搴㈵㘹㔲㝢挳㈶㠳㜱扥㑡挶㘴㜰㘰㘲㑤搴ㅦ㝣改㥢㌶ㄹ戶㠹戹㔷戶戱愶㡤㐶慢扦㜳㑤㍡挱㌱挳愹搵愵㤷愹晤〴㘷愴て〳ㄴ㉥㐱㈰㜴摤㍤慡㍡㜱㔱慣ㄷ㉥㔸戵㘰愵戸㈲慤㜳㉢〱捡愰㈱㑢㈵㙥㙤㐷搲㉦㐳㤱扥㥢㘰ㄴ愰㕣捥ㄵ昷戰㔱戱㡣㤴㉢㔰㍡㘵昰㜲㑡㤰戳㕦㡡㤷〷捤㈳㔶㍤㤰愱㔰ㅥ㌶㠱㤱㔰慢㈹昴つ㤱㐴㍤愳ㅡ㉡㡣㍤收っ愸搴戰㥣㘰扤挵户ㅤ㕣ㄲㄲ搱㡥㉣搸㜶戲㠰愲㈰㉤て㌲㜸つ㐴搳㈶つ戲ㅢ㈷㠸㠸㙣㤰愱搹㌱㜲㥡挸搸㍥㐳㐶愰㝤㤲〸搹㝡㝦㜷ㄹ㐱㘲敦㈴㔲㜶敡捡㡦㍢搲㙣㈳㕢㍥㤴㘶㤷㘳攳昴㉢〸慥㈴戸㡡㘰㉦㠰昸ㄳ㈴ㅣ愵ㅣ昲改愴扦〶捦晡㌵〴慦〵㠰㝣搲㈹㜳㈲㔱㐵ㅢ㙡㉢㜶㈴摢つ挱㑥㔶㐶㜱㈸㡡㘸ㄹ㌷敤捣㈱㕢㈱㍡戲㍡户㠷慥捤㉢ㅤ晢挶敥戴㤹㕣づ㈹㌲愳㘹㜲慤㥢㌴㑤㙥〴㥢昶愸户慥㐳㔷㝤㡣攰㜵〰㘵晤昵㠴㔰㉥㌴㜸户㘶搱搳愴㝣㔵㤸㐵愱㌱搴愳㠲㡦〸㤹㐷㠰っ㈱搷㜱㝣搹戱愱㘹づ㡥㥢慦㝡ㅢ㝡㕦㜷晥㡥㤰摥愶㌷㜷昴づ晤㐵㉦搲㡡扥ㅥ散㈵晥搰㔵挷摣㠰㙡晤㡤〴㌷〲戴改ㄸ㥥扥㕦慣愷㐰㤹挵㜶〲㜳扢改㜵㔱㔶敥搲晡慡㔴ㅡ㘸搰㕣㌲扣㜳㌲㠰〷攳昸㉣㙣㘱搷昳㘴ㅤ㠷摡㥡㉡攰昹攵捡㜴愱㝦挴㜳㙤㤶敦搸挸晥慢㐲㌱攴昳㕡㕦慥捤㐶捥戰㌵ㄳ㍥愷〴攵㔰〷摦摡㕤㐸㈴㍡愵挹㡢晤戲捦㤷㍢㤲愴〷㐹㜲ㄳ戶㔵扦ㄹ〰㔲㐲晣慥慢㐴搹挷㘶㙦㔶捤搲ㄶ㉢㍤㝣ㄹ愷㤳㌶ㅦ㘲㠷ㅣㄹ〸ㅤ戶搳昰ㅦ昸㐳昶愲㘵㌷㠵挵㠰扤㈰扤㉡㝣ぢ㔶㕤㤶㐳户㉣㐵捤㡥慣㜸㤵挸㡡扥扥㡥昳㜴㠶㝦㑤搱㐹㥢㤴挸攴昶捣捡㡣戳㜸㡢愸攸㠶愴㔰挹㜰つ㌵㈵㄰㈹㡦㙤㜷㐴㑣て㈲收ㄶ㙣㥣扥㥦㘰㤲攰〰㐰攱㔹㐸㥡慤㙥㍣挳㘱晤㙢㜴㘹㔷㉡戹ㄲ搱愰㕣㠴捦㜴ㄵ㔶〷昹㥡户㄰摣づ搰㘶晥搰〱㤹㐱㠸ち攵〹㐲㔴㘱っ昳㡣㈵㉦㤰〶㜶㤹〸㉣捤㌴晣挰戵ㄹ㔹ㅡ㌲㘷摤㤳㙥㌰㙢昹慢㠸㐴㡤㥡㔱收㥥ㄵ改㠰扡㍣搸㍥㙤㘵敥敡慡慣改收愲摢㠰㘸㍢㍥扢ㅤづ收搸づ搸㤲敡㙣慥〹愴摥捥挷ㄸ㐲㘰愷㤵扦㤵摥搸㉤㜹扦㜹攸ㅢ㙥敤攸㤲ㄵ搴攵㠰ㄹ㌲ㅤ昳㈵ㄳ扢㠸挸㐱慤摦㕣㕡昱愴㥣ㅤ㌲㡦㝡㔶慤㙥㌹㤲挸㠰㡤挹㘰摤㥣㍣㠷㈸挱㠲换ㄸ愰敢っ㤹㑢㥥攱昸慢〶〳㡡敢扢㔳㑦㉡㉣㔲㌰愷㉤挷挷㙢ㄴㄶ㤹ㅦ㌶ㄷ㔷摣ぢ㠸搸㌶㙣攷愸戱敡㙦ぢ慣㤰攸挳愴㔰㈳㌴愱㘹愲愴㤵㝡挵てて攴戹ㅣ㜹㉦㑦愰㜰㤵㉢搰㘷㥥愱扤㘹搷㐷㌱ㅡ摡改㥣搳㈰愲㐷捤挲扥㑣㈹㑣㑥搵敦㘰㥦户〱摣㜵昴昴昱㔶㘴敥㈵挵慣ぢ昴昲㘷挸㜸㐵ㄶ捤㐰〸㝤㜴扢㐲㔲㘱ㄹ㈹〷ㅣ〸㡣昳愹㥤晣捡愶㙡㐳敡摢搵捡ㅥ㐱㈴㘹搰㥣㌳㤶㘵ㅤ昱㘸摢〸㜶㠵て㌴㘳㙤愳敥㐷㜵㌳慥㙤ㅢ㈴㉤㤲攵㘲搵㈰〵㑦㌵〲昷㠴攵攸㈶㠰愲扦愸挸戸㠸㈲攳愲㉡ㅡ㌴㑦㌱㌴愸昲ㅣ换㍤㘷㜸㔶戰㘲㕢搵ㄲㅦㄸ扥摢ㄶ㌴〹㈶愷攴㡤㔳㉣㌳挶摡慣昹搳㌰搹晣〹愰㝢〲㜲㤴㕢㐷昴㠳㜲㌵㔱挴㍦搱愳㘳〹〲㐶㜹㑡昵㜷㘰戴㠲扡ㅤ〱㤱愳搲愵昸づ挶愵㠷㔱ㄲち㈱㘲㍤㠳㐴攰ㄵ㑣〸㜹扡戸㡢收㘹挷ち㠰㍤㘲散㠸ㄵ捣晡㐰㌹〰戲敡㜸㝢戵挲㙡愲搳㜸㔳㉢㕣搷㔹㤵㔲ㄳ搷㜶搶㈷昵挶ㅢ㌶愸づ㌵㑡㐲㤱㙣搶㐸㘹㤶つ收戸㥤㔴㡤㔰㡡㍢搶㌶㈲换㙤摡摡㜷㑡㤱㤷愰㤸ㄴ捤攴昴㜷㉡㐲㐱愰㌷搲㔱昴搹㘷㤳㐷㈲㘲㐳ㅢ愰㑣㍤ㄵ㤶つ㐵㈱挱攳戸㜶㔲㤳攵攸〹晣扤㉢捡捥㌷㠲㔴㡤㜱㜱㌴慡㤹慡搷攷ㅤ㔸〹㔵挳慢㙤ㄳ㤶挶摡㐲つ愳戸戳㔷敤ㅦ㙥㙦㠲ㄱ㈳㌶㘴㔸㈴挳てっ㌶〴㜳㈵㈲慡戴捥㠶戸搵捤攲ㄲ㥦㑥㐸挳㔱ㄸ㔸っ㙡戳㜲㑤㤹㘱㉤㑢㝥㔴㜵㘸㥥ㄶ㤵ㅣ搵捤愹㘵ㅦ㉡㍤愰ㅣ㡦㜲㡡挱㜵昳ㄴ摤㔲戸挴〰戱ㅢ攵ㄶ慡〱㐲扢捤〱㜸㌲搸㍥搸挱㡥㠴愱ㄳ㕡㘷㤴愰挵っ挲㑤㉦㠲扣搳㈳㐶㈱㐸㑤㤵晥㝥㔸㝣晥㐹愶㙦ㅣ捥挵㤹㠸㠹ㄸ敥捡戰ㅥ㠰摣㘴㘴㤲㕣㌴ㅡ〷捣㐳挹愶㠴搶㘰㕣㐶ㄳ㘳㠸㈶㥦ㄷ攰ㄶて㘳㔹挳㘴㥢㍡敥戹〵ㄶ戴㘹㝤㝤㤷㜹摣愹搶ㅢ㌵愹㔴㜱㉣慢㤵㐶摥ㄶ昸㔲㔷〰㐳㙥捡搸㤷㘸㔳㡥攳㈸挵㈵ㄳ㐹扤摢摤晡㘱㜴㔷㐲づ㘳㠴慡㡦〱挸っ户㥣ち㠸㜵摣㔳愰㝤戸扢㜵㠱㐱㕤㥥㠳㐸敢㈸愲㉣㥢挳㝤扣㘶ㄴ㔹㜱㕢愲搹㥣㍢攷搲㘶㑦ㄴㅤ戳挲愲㙤㠱㈳慣㌳ㄴ㜸挵㈲㡣㤱ㅥ戹㠳㠳攴㉥㐵搱摤㑢て慢挷摣㈵愰㐲㘱㐰㌰挶换㔳㔰づ扢ち㐶愲挱慤戵慣㙥挱攸㉦㉤㙦㝤ち㐰㌰っ㑣㠳ㄶ㉤㐳〳㘷〶昹捤つ㥣敢搰㉡㈳㐲㥡っ愶㌲㐶㌹ち㠷㍤㤰〶㙥攲㐱㝡挹㠵ㄲち昶愸㡢㘱昱摤挴㜱ㅢ㐷㈰搷扢愲慤㜰挱〸㜰晤挵搹摢㔶㍣㔵慢搱摣㠵㝦㙥㕢㘰ㄵ㔷㌷㐲㜳㜴㑦摢愵㉣戵㈶摡㜷搷户㔵㐴㤷〵て捣㑥ㅣ㌳㠲敡捡㘲戰ㅥ㕥摣敡㤵㈴ち㍦㠶㍦㘲挳户搳㘶捥㍢扣㠸扡挶扤㉦㥦㜷摣ぢ㡥㥡㔷挱攷慤㍦㔰〸慥㔰昶㜳㤲攵摣扦昱㑦㈵㉤㔷昸ㄱ㐶摣捡戴㌹㐰换㐱挲㜱㔴ち愵挱ㄸ昲ㄹ㜴〲摢扤㜹㙢㠰㜴戲愷㡤㑥㤴㈰搸㈱ㄴ攷摣换㐶㈸攲㠷㐰㉢㠹㈵㍣㤲㘳捦扦づ搶ㄷ㍦㐰〹ㄱ㡥攷㐸㡣ㄴ㕥㠷㕣〶敡㤴㈰㡦慥㜸昰㐲挸晦て㤶㘲㙥摥㤰㥤晥ぢ捣㉣扥摦㡥愲㙢㠹愲敦㜵愰㐸昰ㅡ㠸攲摦扢㤰㠹㔳㠱攱搹ㄷㄵ〸攷㥡㜶づ愰慦昸㠵摦晦攱〱㜴㉥㈲づ㘵愳㈱搴㜶〳㥥㥢㈶㐲㕦㠷㠹挰攰扤㌲ㄱ㑥㈰㈳ㄸ挵て㑤㠴挸〷㌲㡦㠲捤㑤〴挶昶㌲っ挱㐴愸㌵攱搶攰〹散ち㥢晥戱㘳戸㜸㉢㝤挴昳愱戴晣ㄹ㜸愴慥散㉣㕥㌰㍣挳摥慢捡㡦㝡ㄲ捡捣㕢挲㑤㙥搵㠵㍤慥摥戰㐶㜵摡挰㔷ㄱ㝢搹㜷晣㈹㕢扢扦づ㑣㠵㈹㜴摦㡢㤲㈸扥〴㑦㠹攰戹㈱昷晥㍤摦㍣晡挷〷ㅦ㍤捣摢㙡ㄱ慤ㄶ㙥㐶扥㤷㤰㍤敤〹〴㜵ㄳㄷ㐵㉥攷㠷㌹㈷昰㠹㤲戵㕡㤷搳㠶愷慣㈰㕦户攳㙣㐸㜸〹挲っ㠹㙦㍢㤸㤸戸昷㄰㥡㤸ㄳ㙤敥㑥昵㘱㤳㜲ㄱ㑥㈴㈶慥㝣㝡㜱搸㔰㜴㔵㘴㍤㕡㥢㠵㙦㐳ㄵ扤挸㠹愴慤㐴㥥㍡㤹㠴昸㔶扢慥㍢㐸㕤ㄷㅥ㘴ㄸ昶㡦愵ㄴ攲て愴㤰攴㐱㠶ㄷ〲㤴㤴㍡㠵㑣攱ㄶ㠰㡣挸㕡㝢㠸㤷晥㠰ㅤ㈱㈰㥢㤷晥㝡晣㠸〵扢〸㉣挶扥昸㕥㑦戴戴㐵㘳搵挴㔰慤戲㘹ㄶ㤱㔱㠷ㄷㄶ㑣挶愵㈹㑢攷〰㑡户散㡥攲㑢㠶散㌰昰ㄶ㌲㜶挱愶慦慤㙣摦改㌴㜰昳〳㝡愶愸ㄴ㠶戳㥢挵㌸㤰慡ㄸ㕤搸戴ㅣㄶㄱづ㠷搹㘶愷㠱愸ち㍡换搹㡢㔳㈹㠲㝦晣㔲㠸昵攳慤愱㉦㙦慦愱㡥㜳晡戱㐰晥㘰㝦㕤㥢挱搸㜸㉢㌹〶ㄲ㜶㑢慤㑡攱昵昰搳攸挲㐵攷㠴摥捡慡㘷㜱㄰㝦㘲捥敡搳㍡昴㍦愳搷㡡戳捥戰㌷挳搸㈹晤晦ㅥㄴ㙣慡晦〵㘳㙦ち㤱昷㐶ㄹ㍥ㄴㄸ㍦搹㌴㘴挳ㅤ㠱㘷ㅢ挱ㅢ㜵㌰搶㔵㤶㈱敦㌰户㠸㡦㔷挳㙡㈵挱攱昷捡户㕦㡤㘸昶愵㙤㍢搰㔵〰㌲㌶㔴昸㍡㐴㔰搷晥㘹戹ㄵ㥦㙥㡢昷愱攳㥥ㄳ㔶搵㜳㝤搷っ挶ㄶㄱ昴ㅤ攳户㘷㈶㙣㥥㈹昱戵㜶愱㜶㍤㜶㘲昰㝤攸㜳㜲ㅥ〲晢愴っ㕥慥㔸㈴㈳ぢ㕢㡢㘴昰㍢愴㤱㐴㜸㠹摡挱扦捣扣扢㘱搴昱改敡㍣㝣㥤〱㡢戶㠵戲ぢ㍤捥敤㌷㌴戸㜵戸愳昵㙥昸㠳㘴㝤〲挱㌱戵㠴晢摥挷㝤㙤摦㠳㜴摢㘸㙤㍥㕢昶收㜳㉢ㄷ㥥〶㑥户昶㤶㌴挹昰㥤晣㈲戹慣㔷〸㜱㘹晦㌰晥㙥摤㐱换搱㐶㐱攷搱〷摤㜴㠴㡤搷攱㍥摢㐲昴晢㉣扡㡡㈹〲晣㜴㈳捡昰㐱搰换㐷㔶ㄴ㕦挲戲挸〰挸攷㡡㔵㠰敥㔴晤搴㐶㔴㍤ㄲぢ㘴挱㌳〶挹戱㉣扥㠰㠶摣慥㜰搹㘰〹㉥㕢愸戳〴昲㝡摣〳昹㥣攰㔹㐲㑤攴㜳攸搰㥣㠸㠵搲敥ㄳ昹散㐶ㄳㄱ戴〲搴㐲㤳攳㡦挴㕡㐴慦愳㕡户〹ㅣ〲ㄷ㘰㤸㘲㤱戲愶ㄸ㠶ㄶ㝥㐰捣㈰晤㍡晡晢摣攱㘷㥦㘱晡敢㘱愱〴㈱慡搲㤳愷㈰㔴㤳晦㐴㜲昲ㅥ㑡扢㑦晥㠹㡤㈶㍦㐲ㄹ挹㤹攸〱挰㔰㥦愸攰㡦㕡㑣〳ㄹ敥㈳㝦攲㉣〱㝥愹㔹㡣ㄸ㈸㔱㝤㉦㈰㠳扥摣㜰搵敡㈲㌲㜱摦〲搷㥦昱㜱㡦戲㡦㜸ㄱ㤲扥㥣㘲攸㡣㉤㠶㕡戱㘴㐷㕥搸㙤㈱ㅢ戰㈴㝥㉤摢㔵愴ㄷ㝢㡣昰㡢挷㘳挴ㅣ㍢ㄶ㝦㌹愵㐵㌱㈷㄰㐶㘸㤱㤲㝥戸㤱攲㐳㜱攳敦㝣户攵㌲㐵〵ㄲ愸㈷㙣㑣㍡㔳㡤ㅦ㡢ㅢㅦ挰㔷㔹慡㑤㡥㌷〸㤸㥥㡢ㅢ㤳ㅥ㔵攳㐷攳挶㝦㌹戰户搹㌸愶挳㜰攴〲㠹㈴挳搶㔵搶㝦攲ぢ敤㘱㌴㉦㤸搴㥦〳㘶㔸㑣挹愹㐲挷㜵愵㐱〷㜱ㄹ挴挳㌷搲㜳戸摢㠴㉢㈰㄰戲攱晦㉡攱㌸敥㍣捤ㅡ㠱㠱㑦愰搷㄰㙣昶㜴昵挴捥㐵㜳摥㐳㐱扦㜹摣挷㤹慡戶慤㐸〴收㐰㍥摣摦㑤㥣昲ㄹ愶㘳㙢㍦攲㈰㤹挶㍢㈴扤㈹てㄵ㔸挹㡢て挴㤸捤㍤搲愲ㄹ晤㘱㈰〷搲ㄱ㤰ㄹ晤ㄱ挰㌰㄰挳摢捡戹ㄱ昲扦㘲敥て戰攲㠳〴㡦〲㤴〵㤹㥤㜴㔰㝣っ㘰㌸晥ㅦ㔵㡣慤㈹㝦㠹㈶ㅥ㡣㕦㤶㈴㈳晤㜱㜶昸㌰㐰ㅦ摣户㈲㈲挲戲晥ㄱ㤴㈴㕦㑡挱愱㕥晡㔱㔶㝣㡣攰〹㠰㜲㠱㤳摤昲慥㜱㑤㍤㙡慥㡦愳慢㜸㠴〰㍦晤ㄳ㔱㠶て〵敥挳摢扢摢捡㍣ち挷ㅦ昶㈳搴㤹晡㠲晦㑥㝣㤱扦捥㐵昷攱㝦㐸㔲㔰㠶㝤㕥㝢㕢㙦㘳㤱〹㘸㤳慢摦㉡㌶晢㈵㡣挳㜵戵㈲㈸ㅣ㤱㑡愵愴ㄵ〵昱捤〵ぢㄷ㙦攰㕢づ愹ち㈱㐸〳慡挲㠹㉡づ愳㐰晦ㄴ㥢ㄲ挷挴㤳晥㘹㍥ㄱ戵㙡ㄳ㍦ㄳ㘵昸㈰㠸㔷搵晤晥愸㝢晣㐲攲㕡㔵㔸㙤㉦㈴晥㔵挵㑡昲㠵㑦㜲㌰㠵㉣㘴搲㕡㠹㐸㔳㌴昴〵㘴㠶晡㠶㌹户㝢昰搳㉥㡡敡搹摡搹戳晦ㅣ捥㡦㕤㥤㝦捦扢〶㥦㝣敥㤷捦㝦昲户敦㍤昴攷㝦㍤昵搴㙦㕦昸攴㌳晦晡昱昲愱㥦㍦晤昴捦敥晡昲㌳捦敦㌶扦愲㝤昷㥦㜳㕦㜹㘸昲晣㐳て㤸愷㙦㍥晡搰扤昷摦㍤戹㜰搹㜸㕦㕦㝦晦㡤愳扦戸敡㑤㈳㡦㍣昰㝤昱㤳摦㕦改〸戵㕣扣㈰㍤つ㉥㕢㑤攳㡢挸㘰ㅡ㥣昱㉢㍡つ㉥㔷㙤搴㜲戴㔱搳㈸㈸挱愷挱〹愸ち㈳㕤㌱昰ㅦ晤㐶戴㕡</t>
  </si>
  <si>
    <t>Decisioneering:7.0.0.0</t>
  </si>
  <si>
    <t>f16dd8d6-c562-47c0-95a9-dc97a4935ca9</t>
  </si>
  <si>
    <t>0b711478-2f20-436f-acd3-e092662c9760</t>
  </si>
  <si>
    <t>E[Payoff]</t>
  </si>
  <si>
    <t>㜸〱敤㕣㕢㙣ㅣ搷㜹摥㌳㝢攱捥㤲ㄴ㘹㔱㤶㉣挷戱㤹㌸㡥ㅤ㔳㘵㐴搹慡攳愴慡挲㡢㈸挹搶㠵ㄶ㈹㌹㑥搳慣㠶扢㌳攴㔸㍢戳搴捣㉣㈵摡㑡散〲つ搰㈲ㄷ戴㑥㄰挰戱ㅤ攷づ〴㐱㔲昴挵㑤搰扣ㄴ㈸搰愲㜰㠰㍣愴て〵晡攰〶㐵晢㤰愰㔰搱ㄷ㍦〴㜰扥敦㥦㤹摤搹㕤敥㤰㕥摢㈹ㅤ㜰㈸晥㍣㜳敥攷晣搷昳晦㘷㤴㔱㤹㑣收つ㍣晣换㈷挷挴ㅤ㡢ㅢ㝥㘰㍡㤳戳昵㕡捤慣〴㜶摤昵㈷愷㍤捦搸㌸㘳晢㐱ㄶㄵち㘵ㅢ攵㝥扥散摢㑦㤹挵昲扡改昹愸㤴捦㘴㡡㐵㕤㐳㌹㍢攱敦㘸晣愲戳搵㔰づ㘰㘹㜶收晣昲㤳攸㜵㌱愸㝢收愱昱㑢㘱摢㘳㔳㔳㤳㔳㤳てㅥ㥤㍡㌲㜹昸搰昸㙣愳ㄶ㌴㍣昳㤸㙢㌶〲捦愸ㅤㅡ㕦㘸㉣搷散捡愳收挶㔲晤㡡改ㅥ㌳㤷て㍦戰㙣㍣昸㤱愹〷㡦ㅥ戵ㅥ㝥昸㈳㐳ㄸ㍡㜳㙥㜶㘶挱㌳㉤晦㙤敡㌳捦㈹㍦㌸㘷㔶㙣慥捤㌴㍤摢㕤㤹㥣㥤挱扦挴晣昱昶搰攴攲慡㘹〶ㅣ摡昴㑣户㘲晡㍡ㅡづ㍡搳扥摦㜰搶戸㜹扡㌳㡦愵㔶っ㍦挸㍢戳㘶慤愶㍢㜱慦㐵攷㍣昶慥㘶㙣っ㌹㡢愶敢摢㠱扤㙥〷ㅢ〵㘷〹ㅤ㔵㠷㥤㡢扥㜹挱㜰㔷捣㜳㠶㘳收㥤㤳つ扢㥡ぢ㥦㑣昶摥戸㡢攴挴㘴昹㤳搳扥㌳扢㙡㜸㌲㈳㥦ㅢ㤳㔲㜷摥慢戴搷扤扢㜷扦㥣扡㡣挰㍥敦改㕤て㈵㤷っ慦㔹㜳愲㜷捤㘸昱敤㌳昸㜰敦晡㠹㍤㙡㙦昳愱摥㙤㘴㉢摢㙢慢挱㠸扥㘵㐷戱ㄸ扤㐰㌰㐰㔰㈴㈰〲昵ㄲ挱㈰挱㄰㠰捡晤ㅦ戸㈴搹㤰㐵㕡搹搰捡换㕡戹愲㤵慢㕡搹搴捡㤶㔶㕥搱捡慢㕡搹搶捡㑦㙡攵㉢愸ㄳ㍦挵㠱〱㉤㝡昶㥣扣攳㜳㍦扦昱扦㈷㥥晢搵搱㐷㕥戸昲攵㕦て敤㐱愵挷愲㐹捤㜹挶㌵㤰㕡㡢㡡挱ㄱ晣搹㥡㉢挰ㄴ搶㔱敢㈱㙢㙡慡㝡昴戰昱㠰㤱攷戲㔲㤰摦㐶㈸愳愸㍢㘴㍤㙥扢搵晡㌵挱摤ㅤ㌳㠶㙦戶㌶㙥㈲㉡㥢愹㌷摣慡晦㥥捤ぢㄷ〳㈳㌰㙦敦㉣㙢㜵搲搵㙣ㄱ㙣㘵晡㌲摥㥤㥤捤㉥ㄹ戵㠶㌹㝤摤づ㡢摦摢㔱散㉣㜸昵攵摥愵昳㥥㜹戵㔹摡㌵愳㘹〸戵㜵改扢㙢㤵㘱㔱㌸慦昱搹搵扡㙦扡㌲扤〹㘷挱慥㕣㌱扤㐵㤳㈲搱慣捡㔲㙦㘵㔱挴昵ㄳ攷㕤㉣ㄴ摣㕡㝤㝦㌲搷㍡㜱㍤〰㌳㥢㔵捣㜷捤昴㠲㡤㈵㘳戹㘶敥㙦慢ㄲ㡥㠹㠲㠳㙤搹昳昵㑡挳㥦慤扢㠱㔷慦戵㤷㑣㔷搷つ㐸㥡敡搹㝡搵捣攵㌲㈲ㄴ㈰㜰戳㔹愵㌲昷昷收〵㐱㐴〲挵㘴攴摢摡挹㙥昲〲㔶㠷㔵搴㑣搲愴昶㠱㉤㍡攳㝣㐵挶愴㜰㘰㘲㑤搴ㅦㅣ昴扥㉤扡㙤㘲敥㥤慤慣㘹㘳搱敡㑦慣㥢㙥㜰捡㜰慢㌵搳㑢搵㝥㡡㌳搲㐷〰昲㌷㈱㄰㝡敥ㅥ㔵㥤扡慥㌶昲搷散㙡戰㕡㔸㌵敤㤵搵〰㜹搰㤰挵㈲户戶敢搱㙦㐱㤶扥㤷㘰っ愰㔴捡ㄴ昶戱㔲愱㠴㈷㤳愷㜴㑡攱攵㌶㐱捥㜶㙤扣㍣㘴捤摢戵挰っ㠵昲㠸〵㡣㠴㕡㑤搰㌷㑣ㄲ昵㡣㑡愸㌰昶㔹戳愰㔲挳㜶㠳㡤ㄶ摦㜶㜱㐹㐸㐴扢戲㘰挷挹〲㡡㠲㜶㜹㤰挲㙢㈰㥡づ㘹㤰㕥㌹㐱㐴㘴㠳ㄴ捤㡥㥥摢㠹㡣昵㔳㘴〴敡㈷㠹㤰戵て昷㤶ㄱ㈴昶㙥㈲㘵愳㥥晣戸㉢捤㌶戳攵㐳㘹㜶㉢㌶㑥摦㑦㜰㠰攰㌶㠲㠳〰敡扦㈰攱㈸攵㤰㙥㝦昴昷攰㕤扦㠳攰扤〰㤰㑦㍡㘵㑥㈴慡㘸㐳㙤挷㡥㘴扤㘱搸挹㘲ㄴ㠷愲㠸㤶㜱搳捥ㅣ㜶〴搱㤱搵戹㌳㜴㙤㑥㜴散〷㝢搳㘶㜲㌹愴挸㤴慡挹戵㙥㔱㌵戹ㄱ慣摡愷摥扡ぢ㑤昵㜱㠲昷〱㤴昴昷ㄳ㐲戹搰攰摤㥥㐵㑦㤳昲㕤㘱ㄶ㠵挶㔰㥦ち㍥㈲㘴ㅥ〱㔲㠴㕣搷昱㘵搷㠶愶㌹㌸㘱扤敢㙤攸㐳扤昹㍢㐲㝡㠷摥摣搵㍢昴ㄷ扤㐹㉢晡㙥戰㤷晡昷㥥㍡收ㅥㄴ敢ㅦ㈴戸ㄷ愰㐳挷昰昴晤㘶㍤〵㘲ㄶ㍢〹捣敤愵搷㐵慣摣愵㡤㌵㔳㌴搰㤰戵㘴㜸㉢㘶〰て挶改㌹搸挲㜵捦㌳㙢㌸搴㔶㈵㠳攷㤷〳敤㤹晥扣㔷㜷㤸扦㙢㈳晢敦ち挵㤰换㘹搹㑣㠷㡤㥣㘲㙢㈶㝣㑥〹捡愱づ㝥愰户㤰㐸㌴㙡㈷㉦戶㑢㍦㕦敥㑡㤲㍥㈴挹㠷戰慤晡晤〰㤰ㄲ敡㕦㝢㑡㤴㐳慣昶〷㔲慤摤㘲愵㠷㉦攵㜴搲攱㐳散㤲㈳㠳愱挳㜶〶晥〳㝦搸㔹戴㥤愶戰ㄸ㜴ㄶ㑣慦〲摦㠲㕤㌳㑢愱㕢㤶愲㘶㔷㔶扣㑢㘴㐵㌶摢㜵㥥㑥昱慦〹㥤㜴㐸㠹㔴㙥㑦㉤㑣㌹㡢户㠸㡡㙥㐸ち㤵ㄴ搷㔰㔳〲㤱昲㔸㜷㔷挴昴㈱㘲㍥㡣㡤搳てㄳ㑣ㄱㅣ〱挸晦っ㤲㘶扢ㅢ捦㜰搸挰㍡㕤摡攵㜲愶㐸㌴㠸㡢昰搵㥥挲敡㈸㠷昹㐳㠲㠷〰㍡捣ㅦ㍡㈰㔳〸㔱㔰㥥㈰㐴〹㘳㔸㤷㙣昳ㅡ㘹㘰㡦㠵挰搲㙣挳て敡づ㈳㑢挳搶㕣晤㕣㍤㤸戳晤㌵㐴愲挶慣㈸昱昸慡改㠲扡㍣搸㍥ㅤ㜹昵戵㌵戳慡㕢㡢昵〶㐴摢改戹㥤㜰㌰挷㜶挰㤶㤴戳戹愶昰昴㜷㍥㐶ㄷち㍢㉤晥㔶㝡㘳户攵晤收愱㙦愴戵愳㑢㜶㔰㌳〷慤㤰改㤸㉥㕡搸㐵㐴づ慡〳搶搲慡㘷㥡㜳挳搶㐹捦慥搶㙣搷㈴㌲㘰㘳㌲㔸㜷挶㕣㐱㤴㘰愱捥ㄸ㘰摤ㅤ戶㤶㍣挳昵搷っ〶ㄴ㌷昶戶扤㐹㔸㈴㙦捤搸慥㡦㘱〴㡢㑣㡦㔸㡢慢昵㙢㠸搸㌶ㅣ昷愴戱收敦〸慣㤰攸挳㐷㔰愳㌴愵㘹慡愸ㄵ晢挵てて攴㤹っ㜹㉦㐷㈰戸捡攴改㌳㑦搱摥戴敢愳ㄸつ敤㜴捥㘹〸搱愳㘶㘶㌶㔵ち㤳㔳昵㠷搹收愳〰㡦㥣扣㜸扡ㄵ㤹㝢㑢㌱敢㍣扤晣㈹㌲㕥挸愲ㄹ〸愱㡦㙥㑦㐸㉡捣㈳攵㠰〳㠱㜱扥㜵㤲㕦挹㤲㍡愴扥㍤慤攴㍣㈲㐹㐳搶ㄹ㘳搹慣㈱ㅥ敤ㄸ挱㥥昰㠵㘶慣㘳搴晣愸㙣戶敥㌸〶㐹㡢㘴戹㔸㌱㐸挱搳㡤愰㝥搶㜶㜵ぢ㐰攸㉦捡㌲慥㈳换戸㉥㔹㐳搶〵㠶〶㈵捤扥敡㉢㠶㘷〷慢㡥㕤㈹昲㠵攱扢ㅤ㐱㤳㘰㜲㑡摥昸㠹㘵挶㜸㠷㌵㝦ㄱ㈶㥢㍦〹㜴㑦㐲㡥㜲敢㠸㝥㔰慥愶ち昸㔱㝤㍡㤶㈰㘰挴㔳慡晦ㄱ㝡换换敤〸㠸ㅣ㜹㙥挶㜷㌰㙥㍥㠳㥣㔰〸ㄱ敢㈹㈴〲慦㘰㐲挸搳挵㕤戰㉥扡㜶〰散ㄱ㘳昳㜶㌰攷〳攵〰㐸捡昱昶㜶挱㙡愲搱㐴㔳㉢摣搵㕤搴愶㈶敥散㉥㑦敡㡤て㙣㔲ㅣ㙡㤴㠴㈲搹慡㤲㘸㤶㑤收戸㤳㔴㡤ㄲ挵ㅤ㙢ㅢ㤵收㌶㙤敤㍢愵挸㕢㔰㑣㐲㌳ㄹ晤㡦㠵㔰㄰攸㡤㜴ㄴ㝤昶改攴㤱㠸搸搰〶㈸㔱㑦㠵㜹挳㔱㐸昰㌴慥㥤㔴捤㔲昴〶晥摥ㄳ㈵捦㌷㠲戶ㄲ攳晡㔸㔴㌲㕤慢㥤㜷㘱㈵㔴っ慦扡㐳㔸ㅡ㙢ぢ㌵㡣㜰㘷扦摡㍦摣摥〴㈳㐶㙣挸戰㐸㡡ㅦㄸ㙣〸收㑡㐴㔴㘹㥤つ㜳慢㥢搹㐵扥㥤㌵つ㔷㌰戰ㄸ㔴攷捣㜵㌱挳㕡㤶晣㤸㌴㘸㥥ㄶ㐵㡥敡搶昴戲て㤵ㅥ㔰㡥㐷㈹㘱㜰摤扡㐰户ㄴ㉥㌱㐰散㐶愹㠵㑡㠰搰㙥戳〳㥥っ㜶づ㜶戰㈳㘱攸㠴搶ㄹ㈵㘸㈱㠵㜰摢ㄷ㐱摥改ㄳ愳㄰愴㤶㍣晦㜳㕣㝤敤㜹㍥摦㍦㥥㠹ㄳㄱㄳ㌱摣㤵㘲㍤〰戹挹挸㈴戹㘸㉣づ㤸㠷㤲㑤㠴搶㔰㥣㐷ㄳ㘳㤸㈶㥦ㄷ攰ㄶて㘳㔹㈳㘴㥢ㅡ敥戹〵㌶戴㘹㙤㘳㡦㜵摡慤搴ㅡ㔵㔳㔴㜱㉣慢㐵㈳敦〸㝣挹ㄵ挰㤰㥢㔲昶㈵摡㤴搳㌸㑡㜱挹㐴㔲晦㜶户㝥ㅣ捤㐵挸愱㡦㔰昵㌱〰㤹攲㤶㤳㠰㔸搷㍤〵摡㠷㝢㕢ㄷㄸ攴昲ㅣ㐴㕡㔷ㄶ㘵搹ㄹ摣挷㙢㐶㤱㠵摢ㄲ搵捥搴捦搴㘹戳㈷戲㑥搹㘱搶㡥挰ㄱ搶ㄹち扣㐲〱挶㐸㥦摣挱㑥㌲㌷愳攸敥捤㘷攴㌵㜳ㄳ愸㄰っ㈸挶㜸㜹ち捡㘰㔷挱㐸㌴戸戵㤶搵慤ㄸ晤愵攵慤㑦〳㈸㠶㠱㘹搰愲㘶㘸攰捣㈲扤戵㠱㜳ㄷ㙡愵㐴㐸㤳挱㔴挶㈸挷攰戰〷搲挰㑤㍣㐸㉦搵愱㠴㠲㝤㜲㌱㉣扥㥢㌸攱攰〸㔴昷昶㜷㘴㉥ㄸ〱慥扦戸〷㍢戲愷慢㔵㥡扢昰捦敤〸慣攲敡㐶㘸㡥敥敢戸㤴㈵㙢愲㝤㜷㜷㐷㐱㜴㔹昰挸摣攴㈹㈳愸慣㉥〶ㅢ攱挵慤㍥㐹㐲攵㝦ち㝦挴愶愳搳㘶捥戹扣㠸扡捥扤㉦㕤㜱敢搷㕣㤹㔷摥攷慤㍦㔰〸慥㔰づ㜰㤲愵捣ㅢ昸㤱㐷换攴晦ㅥ㍤㙥㘷摡散愰攵㈰㘱㍦昲㤴昴㜹晣㘵㤰㝡ㅣ㝦㔳㘸〵昶㝢昳收〰㘹㘵㕦〷慤㠸㌰搸㈵ㄶ㜷攵敤㈲㤶㡣晡〹㔰㑢㠲〹㡦攵搸昳敦㠱晤搵㡦㤱㐳愴攳㍤ㄲ㈵昹昷㈱㤵㠲㍡ㄱ收搱㌵て㕥ち昹晤挱㔲捣搱㥢戲搴敦㠲愱晦慥ㄳ㐵㜷ㄲ㐵慦㜴愱㐸昱㉡㠸昰昰愳㐸挴㑦㥥㈱摡㌷ㄵっ攷㥡㜶て愱敦昸愵摦晦挷㐳攸搹㠸㌸挴㑥㐳戸敤ㅥ扣㌷捤㠴㙣㤷㤹挰〰扥㤸〹攷㤰㔰㡣攴㠷㘶㐲攴〷㔹㐰挶搶㘶〲攳㝢㈹挶㘰㈲摣㥡㜰㙤昰ㄴ戶摦愱㡦散ㄴ㉥摦㥡㍥㘲晡㔰㕣晥㉣扣㔲〷扡戳ㄷっ捦㜰づ㑡晥㐹捦㠴㐲昳㤶㜰㥢㕢㥡戰挵敤㥢㤶㐸愳㑤晣ㄵ戱愷㝤搷愷戲扤㍢散挰㔴昸㠴㉥㝣㔵㔴㠵户攰㉤㔱㍣㍢㘴㥥摥昷愳㤳晦昱搴㥦ㅦ攷㡤戵㠸㔶昳昷㈳摤㑦搸㥥昶〴〲扢㠹换㈲户昲攳㥣戳昸㑣挹㕥慢㤹㌳㠶㈷㤶㤰慦㍢㜱㌲㈴扣〴㘱㠶挴户ㄳ捣㑣摣㝤〸捤捣挹づ㤷愷㝣摣㈴㙥挲挹挴挴挵慦ㄷ㠷づ㔵㑦㐵搶愷挵㤹晦ㅢ愸愲㌷㌹㤱㜶㑢㤱㈷㑦㍥㑡晤愸㔳搷ㅤ愵慥ぢて㌳っ晤挷㔲ち㌱〸㔲㐸昲㌰挳㑢〱㈲愵ㄶ㤱挸㌳搶㤷ㄲ㕤敢っ昳搲㈷戰㉢〴捣收挵扦㍥㍦㘴挱㉥〲㡢戱㍦扥摦㔳㉤㙤搱㔸㌵㌱㕣㉢㌶捤ㄲㄲ㜲㠰㘱挶㔴㥣摢㘶改昰㘴扢㙤㤷ㄴ〷ㄹ㜶挲攰㕢挸搸㜹㠷晥戶㤲㜳挲㙤攰昶〷昴㑣㐱ㄴ㠶扢㤷搹㌸㤴㑡㥣㉥慣㕡ち戳〸㐷挲㘴戳搱㘰㔴〴㥤攵ㅥ挴挹ㄴ〱㐰㝥㉤挴昲㠹㔶搷户㜶㤶㔰挷戹〳㔸㈰㝦㘱㝦摤㤹挲搸ㄸ㤵ㅣ〳〹扢慤㕡挵昰㡡昸㈵㌴ㄱ㉢㕦改慤㈴挷㔲㡡㜱敡㤸戳戲㕡㤷晥㘷〴㕢㌸敢㜱搶㘶㈸扢㑤晦㍦㠱㡣㉤昵扦㝡㤸㙤昱慢㝦㌲㑡昰㈵捦ㄸ捡㤶㘱ㅢ敥〸扣摢〸攰挸攱㔸㤷㈴挳摥㘱㙡ㄱㅦ戰㠶挵㈲挱攱晢捡㜵㕥㡦㘸戶愵㙤㍢搸㔳〰㌲㍥㤴晦㉥㐴㔰捦昶敤㜲㡢扤昱㈹㝣ち㘰摦㔹扢攲搵晤扡ㄵ㡣㉦㈲昰㍢捥敦捦㉣搸㍣搳敡摢㥤㐲敤㙥散挴搰愷搱收摣㜹〸散㜳㘶昰㜶挵㈳ㄹ㕤搸㕥㌴㠳摦㈲㡤㈶㐲㑣搴づ晥㉤搶㘳つ愳㠶捦㔷捦挳摦ㄹ㌰㙢㐷㈸扢搰敢摣㜹㑢㠳㕢㠷㝢㕡㡦挲㈷㘴搶㈶ㄱ㈰㤳㈵晣挹㥦㜲㕦㍢昷愰扤㙥戴㌶㥦㌵晢昳扢㤵昲摦〴㑥户㌷㑡㍢挹㜰㑣㝥㤵㕣搲㉦ㄳ挲㈷〲㘷㕤㥡昳扡挳㐹换摥挶㐰攷搱㐷摤㜴㠶㑤搴攰㐲摢㐶〴摣㐰㔳㌵㑤㠰㕦㝤㌹㑡昰㐵搱搳㐷㔶㔴㉦㘱㔹㘴〰愴㌳㠵㉡㐰㙦慡㝥㘱㌳慡㔶昴昴㐸晦㈰晤っ㠹㑣〸㉤ㄶ搳㡡㈷てㄲ㘹㐹㍤㡦收摣挴㜰㌳㔶㤹㠷㤳㠸㥣㌰㤰搶攳ㄶ㐸㘷ㄴ㑦ㄸ㌲扤慦愲㐱㜳㝡㔷㤰摢㝢㝡㕦搹㜴㝡戴つ㘴㝡挹晥㐷㘳摤愲扢㈸搶敢〴㙢〴㔷〱㐶㈸㉣㈹㠱ち㘱搰攱㈷挴ㄷ㥥㥦㐷㝦㕦㍢晥戳㔷昹晣晡戸ㄲ昱㠸愲昶挹㔳㍣捡攴扦㤸㥣㝣㠰摣摥㤳晦晣㘶㤳ㅦ愵攴攴㑣昴㜵㠰攱慣扡㡣㍦戲㤸㙢㐸㜰ㅦ昹慢㡣㌸户㙤㠹㐴户戴摤㐰㘲㌸㍢㑡昴搰㑦愳㍦㐵昰㌴挱つ㠲捦㄰㝣㤶攰ㄹ㠲㘷〱㑡㡡搸㤱㠱晥っ㠹㜸愰㍣㌷㉢攵ㅢ㈱㌱戱㜸㥦㤲挳ㄴ㐲㥦㙥㈱㔴慣㐵㈷㜲收敥〸昱㠲㈵昱愳摢㥥㕡愱搰攷㐵〱昵搹ㄸ㡢愷㑥挵ㅦ㘰㘹㔱攸ち㔴ㄴㅡ戵㈴㌶㙥愴晡㑣㕣昹㙦㕦㘹㜹㕥㔱㠰〷愴ㄶ㔶㈶㔱㑡攵ㅢ㜱攵㈳昸戸㑢敡㘴戴昰㑦收戵戸㌲㠹㔷㉡㍦ㅤ㔷晥搵㤱㠳捤捡㌱搱㠶㍤攷㐹㔱㈹收戲ㅣ㈰ㄲㅦ㝡昳㕣㥥户愸㠲〷慤㌰㥢挲㔷㈲搰㌵㔱挲㐳戸㔳攲攱㔳敢㌳戸㈲㠵㥢㈴㤰搳攱晦戸㜰ㅡ㔷愷收㡣挰挰㤷搴敢㠸㔹㝢扡扣戱㜱挱㍡敦㈱㘳挰㍡敤攳㔸㔶摤㔱㈴〲㡢㈲ㄷ敥敦ㄶ扥晤ㄴ敢戳戵ㅦ㜱慣㑤攳㔵㤴晥昴㡦挴㘷㜲㙡㈳挶㙣收搹ㄶ捤攸㝦〱攴㐰㤴〲㌲愱晦㈵㘰ㄸ捦攱愵攷捣㈸㠵㠵㐸㠲捦戳攰ぢ〴㕦〴㈸㈹㑡〶搲㐱攱㑢〰㈳昱晦㜷㌱扥㉥㉥ㄷ㑤㕤㡤〷㑢㤲㤱晥㔷㙣昰搷〰㔹㜸㠰㔵㐴㠴㈵晤㌹攴㈴〶捤㔳捡㝣慣户㐹换ㄳ㙢晣つ㍥ㄴ㕥摢挷昶㈷昰昱晣〶㍢捥攲晦づ挹㡢晤㥤搳㍥摡㕦㕦㈴㌴㥡捥昲㕢挳㠲摥㐲㍦摣攰㔶戰㠳㍤㡡㉡㔳㤴愵㕣慥扡㠲晥㌹〶㉤敢㤲愲㜴㤵散㈷愳散晤㤲㑤㜹㉢搹㜶㤴㝤㐰戲㈹㠱㈵㝢㌵捡扥㑦戲㈹㤳㈵㝢㈵捡愶㔷慤愴㥥㡤戳慤㈸㥢㍡愷㔸〰挰昳晡ㅢ愳ㄴ摢㠲昲ㄷ㤰搰㕦㈴㜸〹愰㤴㈷愹㙣㥢㘶戹攰㍥㑤㡦慦愳愹㈲㈱戲て晤攵㈸挱ㄷ㐵㉡㤴㈵㕤㡥收㑥㕤㔹搴ち㡡㤴㈹〵攵愸攰㤸ㄴ㈸㐵㙡㤵㠲㑦㐷〵挷㤱愱㝦ㅢ㐰㤱ㅡ戹㈶晤㍢㝣㈳ㄱ捡㠰摦㡤ㄲ㌲㈰昷㐰㥡㝦戲㘳㐰敥㡢ㄴ㍣搱㌱㈰昷㑡ち㍥㤱ㅣ昰晢散㔴ㄶ㠶㐴㥢捡ㅦ攵〲㘵扦㝦㠰挴㜰㜶㠴㜳愳㜱愰㕤㔷㤵换搵换㤷㕦ㅦ挹㡤摦㥥晢挴挷㠷㥥㝦敤㕦㝥昹摣㉦㍥㜵散扦㝦昳攲㡢扦昸捦攷㕥晤捤㑦㤷㡦晤搳户扥昵㡦㡦扣晣敡㉦昷㕡摦搰㕥㜹晤捣㌷㙥㑣㕤戹㜱搵扡㜸晦挹ㅢ㑦㍣昹搸搴挲㉤ㄳ搹散挰挰扤㘳晦㝣摢㝤愳捦㕥晤戱晡㠷㝦㍢攰㉡㔹㉥〶㘸㥦〶㤷㉤搳昸㈱ㄲ㤸〶㘷晣㡥㑥㠳换㤵㡤扡㄰㙤搴っ㌲㡡㜰攰㜰〲㔲昰㔸㝢挱攰㙦〱ㅣ捦昳㐹</t>
  </si>
  <si>
    <t>Risk-free rate</t>
  </si>
  <si>
    <t>Call Price</t>
  </si>
  <si>
    <t>CB_Block_7.0.0.0:2</t>
  </si>
  <si>
    <t>Decisioneering:11.1.1000.0</t>
  </si>
  <si>
    <t>CB_Block_11.1.1000.0:1</t>
  </si>
  <si>
    <t>㜸〱戵㔶㑢㙦摢㐶㄰㈶㈹㔱ㄲ㈵搹㘱㙣戴㐰㠱ㅥ㡣㈲愷挴㈱愲挶㐶㥤㠳㤱㔲㤴ㅤㄹ㌵㙤㔵㔴㤲㑢㡢挵㑡ㅣ㕢㑣昸㌰昸㔰愳晥㠰愲攸㍦㘸晦㐴㉦扤攴㍦昵摡愲户㜶㠶ㄲ㈵㔲㔶〴ㄸ㐸挷昲扥收㥢㈷㜷㜶㔷㄰〵㐱昸ㄷ㠹㝡愲㌲つ㍥户愶㔱っ㥥㘶〴慥ぢ愳搸〹晣㐸搳挳㤰㑦捦㥤㈸㉥㈱愰挲ㅣ攴㐷㌲㡢㥣ㅦ愱挶㈶㄰㐶〸㤲〵愱㔶㔳㈴攴㤳ㄲ晡㔷戳㠹㐲㔲捤㌲㌶〳愳㝤㌹㝣㠳㕡慤㌸〸㘱㝦敦搵㑣昶戸搵搲㕡摡挱㘱敢㑢敤挹晥㥥㤱戸㜱ㄲ挲戱て㐹ㅣ㜲㜷㝦慦㤷っ㕤㘷昴つ㑣〷挱㕢昰㡦㘱昸攴改㤰ㅦㅣ戵づづて慦㥥㍤㍢㙡愲㘹攱挲㘸昷㐲戸㡡㍥㤲㑥㤹㕣㍥散挰挸愱搸〰㐲挷扦搶㡣㌶晥㜲晥㙢㘸搱㜶㐶ㄸ㡡㜶㘹搱搸ㅡ〳挴つ㤴㙣戰㜴㤸㝡戴捤㑥摥㡤挰㌵挰㜵晢攸攰づ挳挴㈶㥥㝦ㄹ㍡攰挷㥣昲慢戰㌱㡦㍡㍣㠶愸㐱愳㉥㜰ㅢ昳戲换搲㈴搹㌳戸㠵㉥㐰愴捥搷晡挱て戳㠵㈲攸㘴㠲㉡昳愰搹挲㤶昷㌲㠲㍥昷慦攱㠲㝢㈰㝢㉦ㄲ挷㉥搳攷㤰㤰㠴搲攳㜵㘱愶慥㉦〳㕣㠶㐳挹㙥慤㤳挸㈷挶㘸㝦愵ㄵ愲㈶㙢㈲㔲㘳扥戹㔲ㄷ㜰㑤愹㔰㔳㈵慥㈰搴㤱㠴昲㍦戸㈱昳㌰捡愷挴戸挴㠶ㄲㅢ㐹捣㤶ㄸ㐸散㑡㘲搷ㄲㅢ㑢捣㤱搸ㅢ㠹扤㐵㑣㐶戵㙡㤵攲㈲㝡晣挷捦摦㍤㝤昸晤昹㉦㥤慦ㅦ㠸敦㝦晡扤愹㈰愸㘷戴扢攰摥㘰㠶㍦搶㕥愱ㄸ敥㤶㐴つ㈵㜶㔸ㅦ慥㐳㠸㘸㠳㤹㄰㡦〳ㅢ㍦㝦て㍦㜳㘰て愶㌷搰㘴ㄶ昰㈸昰戹敢挴搳㙤㌶㐳㔸愶慥㈷㜱㜰㝦㌹㥤〹㐴ㄹ愰㔳〴攰㜴〵㘰㥤㔸愴攱㕥愶〱愷敥捤㤸㉦攴㡢散捥㙤㜶ㅢ㘲慥捥愵㍢㠳ぢ㡢攵ㅤ㥡㉤㤰挲〲㠴㘴㌲㡢㈹愴㌷㜶戶㌲て搲㠸㌲晢㤶㕥㜰挷搲㕦㜰捦㕢㜸搷㝤㥤㠲㌳㔵㌴捤㍢㡦昳扣㈵㥣愶搲ぢ㑢㈶戹扡戰㘴ㄶ㘴㉤㜳挵㔲ち㕥㕡㉡愲扢慦捤愲愵㤹㜴〶敦っ昴㌴㉤换㈴攰㥣㍣捤〳㡡㠹搴㔹挱㍥㘹挰㈴㉤昱收㡡㐲㥣ㄷㄵ㥡慣愸搰㕣㔵㘸捥ㄴ㔲づ㍣㍣㜶㐶㝡晦捣搴㍦愱㍡㠷㄰晣ㄱ㐴㡦㉥㝤㘳㑣愷㠴晤㐵㝥昵敡攴㕤っ扥つ㜶㉦っ戰㙡攲改㠰て㕤昸戴〰搱昱㥥㤸〰㌲㍥㉢㉣㥦〶愳㈴㌲〲㍦づ〳户挸搱敤〹㐷㥢戶ㄹ搸㈰愴㘷㔱㔶扥ㅢ晡㔲㐹ㄴ〵昱攱扡挳㘷㕥搱摡戲㝥㑥晣挴愳㜲㝦戴〹㥥㉢㌱慡㌹挲㡢㌵晣慢㠸ㄵ晡摤敥㘶换ㄵ㜱㜷㝥㡥愵〷㙣㤷晢戶ぢ攱挶㡢㔳愴㜳㔳㤰晦挶挳敤づ〱搰㌵㕡㥤㜰㌷〱挶㠴ㅡ戹㐷㈴晦㠵㕡敥ㄲ搷㝡㌵㤸㑣っ㌷扤愴㝦晢㤵攸晤㜳㌱ㅢ㘴晤慤㠵て㌲晥て㘴㘶㉣敢㍦㘸㘳〱愸㉢㑤っち慦ㄱ㤹敥㤴扢摦㔳㤴つ㈵扤㈰昱戹ㄱ挹摥㘹㄰㐶愵搲扡㉦摢攵搱㌸愶㑡搸挸愴㝢㑦搹愲㘶ㅢㅢ㤱㥣愳慣㉢昷戰挹愸㑣晣㡤㕡㈸㤶晡㜹挰敤㔳㑥慦㡤敡晣搹㔴㌳〲敦㠶㠷㄰慡攴㡣㠱愵㠴㈵㍡㜱昰昱㔰愳〵ぢ㥦㘷㘵ち愳昲㡡㜶㔰㈴〸愵㤲㈰换㡤摡㍡㕢㘷㤹慥〷㙢㥥㝦㘷户昴晦昹敤搱㜳昲扦㕥愷㠷㤲愲㔲㜳ㅦㅢ㤱挲愴㜸㔶〰㍢〴搸挵㐶捤㈲㔷㐹㠶㐸㈵㌹㈲㤵㐰㐴㉡〱㠹ㅡ晦〱て㘸㕡㑣</t>
  </si>
  <si>
    <t>You are modeling a stock price using a 10 period model. In each period, the stock price can either go up or go down. If the stock price goes up, it increases by 110%. If the stock price goes down, it decreases by 90%. The probability the stock price goes up is 49%. Price an option on the stock that has the following payoff: C10 = max($90-S10,0), where C10 is the payoff of the call option at time 10 and S10 is the stock price at time 10.</t>
  </si>
  <si>
    <t>The 10-period risk-free rate is 3%.</t>
  </si>
  <si>
    <t>㜸〱敤㕤㜹㥣ㅢ挵㤵㔶㘹㐶敤㈹捤搸㈳㘳㥢ㅢ搶㌶㘶㐳㌰㑣收㍥㤲㜵散昱っ㘳ㅢ㙣㙣㍣㌶愷㘱㘸㐹㉤㡦戰づ㈳㘹散㤹㐰㠰昰㑢㌸㌶㄰〲㈴换ㅤ㈰㠴㌳〹㐷㌸ㄳ慥攵㠶〴ㄲ挲ㄱ㡥㉣换㤱㤰㘴挳ㄱ戲扢㙣昸㈵㘴搹敦㝢摤㉤戵愴㥥〳㠷晤慤晦搸挶㝡㔳昵摥慢搷㔵㕦㔵㔷扦㔷搵摤〴㔴㈰㄰昸〸〷晦昲愸㘵㘲昷挱戱㝣挱㑡㌷昵㘵㔳㈹㉢㔶㐸㘶㌳昹愶摥㕣捥ㅣ㕢㤹捣ㄷ㙡愰㘰っ㈵㈱捦㠷㠶昲挹㉦㔸㜵㐳㕢慣㕣ㅥ㑡愱㐰愰慥㑥〷㈱慦㜷㝥ㄱ㌷愳㔹㑡搷㤲㐰㉢愰つ㤲㘹㈴㜵㈴㥡㈴㑣挲㤲扡㠱㘴㍡㐸挳っ㤰㜵㝤㑢㔷㐷㡦㐳㍤〶ぢ搹㥣戵摦摣㐳敤戳㉤㙡㘹㘹㙡㘹㙡敦㘸㘹㙤㙡摥㙦㙥摦㐸慡㌰㤲戳ㄶ㘵慣㤱㐲捥㑣敤㌷㜷捤㐸㌴㤵㡣ㅤ㘴㡤慤换㙥戲㌲㡢慣㘸㜳㕢搴㙣敦㙥㘹敦攸㐸昴昴㜴㌷㌴挲昲挱㝤㑢搷攴慣㐴晥㤳戲ㄹ愱捤搵㝤㑢㥢づ戶ち㥦㤴捤㤹戰〹㤳晤搹戴㤹捣㝣㐲㐶㐳散㡤㡥㝥㉢㤶㘴户㔹㔶㉥㤹搹搸㠴㙡㤷〱㡤㕣㔷㔳㙦㍥㍦㤲摥捣ㄱ搰㘷愵㔲㙢慤㠴㜴㔷扡㍦㕦㔸㘳收搲昹㠶㌴昱戳㜲㔶㈶㘶攵㘷愴てㄸ㡤㔹㈹㐷㌱㕦㤷㍥搴捣ㅤ㙣愶慤㕡㈶ㅡ搳㜶ㅦ慥㠸㕢㤹㐲戲㌰㌶㍤扤㍥㙦慤㌵㌳ㅢ㉤慡㠴搲换㐶㤲㜱㔵㕢㡢㝦㠱㥡㑦昹搵㑣㍡ち昵㐹昷つ㥢戹㠲攴搸㠵㉤㝥扡㥥攱㈲慤㈸慢ㄷ㠷搴摣㡡㔲散戳挱㘴晡㈰㉢㤷戱㔲㍣〹㝢㜲㘱㠵㤲〰㘴昷㐳ㄱ㈹户㌹散㈵㔵敦㕣㌶㙣ぢ捦㘲散〰ㄲ改㍦挲捡ㅦ㥣摤㙦㑤㉥ㅢ㕤搴摣搴摥愳㘷㠱慢㘷㔳㍥〷㈴㌸搰愱㜷㈴㘷㈷㄰㔵晢㍢㕣㡢㕥㍢扣ㅥ㠲㐳㘶㜰㈸ㅡㅣ㡡〵㠷攲挱㈱㉢㌸㤴〸づ㙤っづつ〷㠷㤲挱愱攳㠲㐳㥢愰攳ㅥ㜵搳愶〵㥤攳挳ぢ摦改扡昶捣㑢㔶摦㜸捥昷㍦昵愷㈳㑥〵扣㔰㤲慢㜷ㄷ㈴慡敢戵㉢戸㝡㌷㄰㘳㜷㤰攰戲㌶扤〷㌹㝢㠲㈸昵㍡敡挵扡扤㜳攱ㄶ搵㜹晢ㄷ㤷摣晣捣敢慦㌴戴㥤㌹愶㜸㌹㡢搱戹㐸㔴ㅢ㥤〷慥㥥て㘲散〵㔲㌳搰搲愲ㄷ㤰戵㌷㠸㔲㉦㍢㔶㝦㝦搷摣㐸搳㉤戹㠱㕢㙦晤晡㌵挶㉦㥥捤㉡捥て㘲昵㔳㐸㔴㕢摤㠷㈶㍥つ㘲散ぢㄲㅣ攸搶ぢ挹搹て㐴愹㘷ㅤ愳㝢㕥㌲㘷改㥢㍦扦愳昷攲慥扦扦㌳昵戳捦敥ㅥ攲㝣搳收搷愹㤵攳㘵〰昳㑣捣捣ㄷ㥣愱捣㜲㥦散㐸㥦㝣愰て攴㘲晦晢〳ㅤ㈷昹㐴〶扡㙥㈲晡㥦〱㌱㥡㐱敡晢捣㔴㙡敥ㅡ㜳㉣㥢㐸攸ㄶ㡡㕡㐱㤴㝡捡改㤸搳扦搵晦昸昷㍥㔴扤㘷晥愹昳㔷㠵昵敦㙣㔵㥣㔴愴户摢㤱愸敥敤づ㥡攸〴㌱扡㐰㠲〳敤扡㥢㥣ㅥ㄰愵ㅥ㜵㡣㈶戶摥㔲ㄳ戸昵捥㤵㜷㥣㜱敢ㄳ扤㜷搶扦愱㜸㑦ㄱ愳㥦㐳愲摡攸㍦搰挴㈲㄰攳昳㈰挱㠱㉥扤㤸㥣㈵㈰㑡摤敦ㄸㅤ晥捥㔷㡣昳ㅥ晤敤㡡㥢㌶㥣㜹昵昹㈷搵ㅣ愱㜸㡦ㄲ愳㑢㤱愸㌶摡〷慥敥〷㌱づ愰攲㐰㑢慢ㅥ㈰㙢ㄹ㠸㔲㜷㌹㔶敢㔷搷晤攷晣㥢扥㜲搰搹㡢㥥㙦摢㍡㙦挳㍣挵㡢㕣慣慥㐰愲摡敡㠱㌴㜱㄰㠸戱㤲㡡〳㉤捤㝡ㄵ㔹〷㠳㈸㜵㡢㘳昵摦ㅦ摢昸晡扤㠷㙣㔸㝤攱㑦㥥晤昵扦㍣晡敡㙦ㄴ敦愲㘲㜵つㄲ搵㔶て愱㠹戵㈰挶㈰㐸㜰愰㔳慦㈳㘷㍤㠸㔲㌷㌸㐶㙢昶〹愵㑥挸扤㝣搰㔷㙢捦㌸慢昵戴㤱㍢ㄴ敦捡㘲昴㌰㈴慡㡤ㅥ㑥ㄳ㐷㠰ㄸ㐷㠲〴〷㝡昴㔱攴㙣〰㔱敡㉡挷㘸敡挸扦㕣㌱㙦晥㘳〷摤㄰晦收㍦㍤㜸敢㡤晢㌷ㅣ〳昱㈱捥攴搹㥦㌳户攲㜶㔴扡搳攱昶捥晦㈶扦挵攳づ㥦攸㐸㜴㈵㕡㕡攲ㅤ捤㘶㥢ㄹ攲㐴㍢搵㝢〹慦㠳㠶挴㘱挹㑣㍣扢㔵㙥㉥扢㉦㌵昳㔶改ㄲ㕣攸挸㤶㘶㐷㌲昱晣㙥晥挲挱㠲㔹戰㜶慤㤴㤵㡣㔴ㄵㅢ挴慤搷捡换昹昶慣㉣㜶愸㤹ㅡ戱㝡㐷㤳戶㜸㡦ち㌱㙥扣搹攸昸搲㠱㥣㜵㝣㔱㕡㔵愳㕥昸㜴㕢挴㜶㔵㉢㙤㤱㕤慦戹㝤挳搹扣㤵㤱敡㉤㑣慦㐹挶㌶㔹戹㐱㡢ㅥ愱ㄵ㤷愶捥愱挸戹晢㉦㕣㥤㐱㐳㜱㍦㡦捦昷㜲ㄳ〷㡣ㄶ慣㑣摣㡡愳扥㥢慤㕣㘱㙣㥤ㄹ㑤㔹㍢㤶愹搸攷㠴㘰㤷㌲昶㐰㌶㌶㤲敦换㘶ち戹㙣慡㕣搲ㅢ摦㘲挲攳㠸慦捡挶㉤㌸っ戵㍣〲㉡㔰㔳愳㔴㘰㕦扦〹㥥㜶昳㑤搲ㄱ㥥㉥愶晦戰㜳昹戰㙢㕡㡢搶愱ㄵ㈹㡢㘳㌲戸㘰ㄲ㘳㘲㤷㘶㍥㍤扥愲愷㑤㜴㥦愹扤捦昸摡㔲挷㘲捦晤敦㉡〷㠳戳㥣搶ㅦ戰〵㕥搹㜲㌳ㄳ㑦㔹戹〹㥤㝦挵ㅡ改㈱㤰搰ㄵ戸㥡挷㐵㡦慥㠶ㅡ㔵㘳愱慤挹㜸㘱搸ㄸ戶㤲ㅢ㠷ぢ攰㈱㐰愸慢㈳戴㔵㠷㌶挱搲㔱㤲ㄸ㐸㌸ㅣ㌰攲㔴㌲挲摡戲昳㈱晡㑣ㅦ摦摦㘳〸愲挵扦㐴㌰㤰て愵㜱㜳捦搷搴昸戵㜲戹㤹ㅦ㉥㜰㜸㑥㈸愴㘷愷ㄳ㈴ㅢ㐱㐲昴摤㈶㜵㈷㠹㕡㉤扤收改改㝥㉢㘱㈲㔶㤱慢㕢㤹愱戴敤晥昶㕢昹㤸愶㥦扣〲搷捡愸㠱ㄴ㉥晥㠶㌴㐷扦㌵㕡攸㌷ぢ收戴㌴㍣㙥昴㤲㠶搲㐲㈹㘵愷㔸㜲扡昰摣搲㘱㈷〷ぢㄱ㐹㝡慣搴ぢ挳戶㠴ぢ〷搷㑢愰挶愱ㄳ㌷〲㜵攷ㄴ㘹㔴づ昴㜲捦ㄹづ㝤㝣㤹㤵㔹㌷戶搹捡㔳扤捥㤸㄰捡捡换㡢挶㔶挷愲敢ぢ挹㔴扥〹㌵㕤㤶换㡥㙣晥㈴敤搰㤶ㅥ〶㜱㡦搰〵ㄸ挵㔳㙦ㄳ㠳攳㘹㕢搸㌷㐳㐳㠱㍡㕡㈳㐷搳㡦搷ㅣ慤ㅣ㙢敥愱㔳㐸㠵㈷㤲㠵攸昲㝦㥣㈸㠳扥㜶㐳ㅡ〸慤换㔹ㄲ㌷搵㐹〶㘸㑦㑦ㅦ㤶捤㙤㡡㘶戳㥢㌸㥥㘶㐸㉥㍦㙣㔹〵挶㈲昵㑥散㈵㌱㤶㔲㌵㌵㘵〱㠶㈷㘸㘱ㄴ㘳㙣〶㤹摥ぢ〷捥戵㤸㌷㡥〷慢〶㔱㤱㤱㐳㘲捥昲挳收㜶㌶戵捣ㅤ捣愶㐶散愵㠱搱㔴㝥㔴㥤敤摣摣㐷㘷ㅦ㕦㍦昷㌳搹扥敦㍤晢摡㜹㠹晤㉥㌸㔶㥤攵〸慡挲ㄱ挶ㅢㄲぢ㡤㈰愱晥ㄱ㙡㥣㔲㤰㉥㍦昴㔶攴昵㈸挹ㄸ〸㈶〶㠱ㅡ昳挲〹㜶㔶㌱㘶攱摣愰㑦㈴昹㈲㠸㘲攴㈲㔱搵㐹㐸戸㠷晡ㄲ散戳挳搹㘹挶㈹㈰挱㠱㌶㌱收㙡昰慦㍥ㄵ㈴慣㑦㘱㔲㘶㈰㈴摣挳㤶愹㍤㤱㘷摦㘹㘲愵㠹㡥㈶㌲㙡㉢㙣㌳㐸慡挲㘰㡢㈳愸㡡㥥收愱㤸㘰昰㔵㤶㉦㐰捤ㅦ㠳戳㜹㡥慦㤱㥣〳攲挱攰㕣㍢慢收攳慦㘰㜰ㅥ㤵捥〷㔱ぢ㐰〴㠳㙦㈰攱ㅥ㙡ㄳ捥攱㘲愰昷〲㕢ㅡ㐹て摣㍤昴㠵㐸㠵㈷㤲㈹㐶㙦㝥〰㤸㑥㍢慢〰㌸搶ㄱ㔴〵㝡㡣攴〴㠰㉢㤱㔰挷㡣ぢ挰㔵㄰敢敦㤰㕣つ攲〱攰㕡㍢慢ㄸつち〰搷㔱改㝡㄰戵㄰㐴〰戸〱〹昷㔰敢扤〰㌰㝣ㄴ〰㜸㘹戹㠷扥ㄱ愹戰㥥㐰愶ㄸ㘹晡〱㜰搰㜸〰ㅣ攸〸慡㠲搲㈶㔸㥡挰㐹㉤㡢〳搹扥㌲㈷戵㈱㌱㤰㑣ㄵ慣㥣敤㠷㈴昰挷㕥搲㤱晣㜴晡㕥㌹㌳㘶㉦㤶捣㑥昴挱晤挲ㅡ㔲㘱慣攴㤰㔶戹㝦戶㜷昴晦㑥敥㜶攷攴㡡㡢㕢收攸㑥攰㐴㘲搰㔴戸戹ㄳ㉢㝢〷ㄱ㠶㤸敦㉤㐹㠶㔴ㄳ㉣㤷て㌲㝡㌶㤵昷㑦㔹㈸㉢敡㝢〷㈱戵㥢挷㜷㝥㌹搸慢〷㈹ぢ㡤敢㘸晥扦㥢敥户㐶㙦扢改㜷〲㌸㝤ㄷ挹て㐹㝥㐴㜲㌷㠸敡㜷愶搹挳㜰㈳攴慦ㅦ换㙤て㌰慡搷昷㤲摣㐷㜲㍦㠸㘷㥡㝤〰㔹攳㐱㤰㠶摥㤱㐲㜶慥搳愹㘱愵㍥〳㥥捣扢て㈱愱ㅦ愶挶㈳㈰〷㉦户㔲㠸昷㍥愹愵昵㔰ぢ㙣㑥散愱㘲昰散〰愵ㅤ搳㠳㘳㤹搸㜰㉥㥢挱搶〴ㅤ攷摥ㄸ搶愶昳捡㌴搲㉢戳㝤㈳〵㈳扤㍣㠹㍦つ改戵搶㘶换㉣昴㈱㥥㠷㔷扥ㄲ慢㝤攲㜳慦㠸㡦晥㕦晡攴㠱㕡㌴〱㑢㈵㈵户㕣㔵㕥扡戶㜷散挰摢搴㥦挵㍥㠷㈵㥢㌳㠴摤㌰㄰㕦㙤㠷㑥㜷㐰㍦㡡摡㕤晥挷ㅢ㍥户昷㘵㌷㝤攴晣㍤ㄹ挳㔰づ摤っ愱摣㠶㤹㐵㕡づ晤〴晥㠴㈷㤲愹㔶㘸ㄴ㙦挳挶㑦㤱慢挱㌰戰㥤戱㘶㤸昲㜵挶㍥攳〸慡㤶㈱戹捥㈸扥挸㌳㐸愸晤愱收敦㡣㍤〷戱㝥㥥攴ㄷ㈰㥥㡢攴㐵㍢慢㍡昱㔷慥㠹㤷愸昴㌲㠸敡〶ㄱ㕦攴㤷㐸戸㠷㕡㠰㜳ㄴ㥤戱㉥戰〵〴昴㝥昱搰慦㈲ㄹ搶ㄳ挸㔴て㌴㡡㈰㜸扣搱㕤挷〳㘰ㄷ㐷㔰戵㘴捡㌵㔱〱攰㜷㐸愸㥤挶〵攰昷㄰敢户㐸摥〶昱〰昰慥㥤㔵㕣㔷ㄵ〰晥㐰愵昷㐰搴㘲㄰〱攰㡦㐸戸㠷㥡攱〵攰昳㘰ぢ〰㜲ㄱ㌸㍡晡㝤㈴挲㝡〲㤹㕡〲つ㍦〰㙡挷〳愰挶ㄱ㔴㉤敦昶挱㤲〰昰摦㐸㈸㌵㉥〰っ晢㌴慦㔲ㅤ〴昱〰挰敤㔳㘴㔵㍦捡ぢ〰㈱㉡ㄹ㈰㡡ぢ挱〲挰㌴攴摣㐳㝤昰摦㥥ㄱ㜰〰搸〲㠰㜶攵㘴搴搳愶㥥㐰愶戸扣散〷挰扢㌰敥㝢〹扣攳〸慡㔶愲て㠴㈵〱㘰㌶慢晣ㄶ搴㜸〹㘴㤰攱㙦㘸ㅡ敥ㄳ散ㅣ扤㈳㜲㝡㈷㤲㥤㐱㍣〰散㙡㘷ㄵ㤷慢〵㠰摤愸戴㍢㠸攲㥡戵〰戰〷㜲敥愱摥昰〲戰ㄲ㙣〱〰㈷㉡ㅥ㝡ㅥ㙤敡〹㘴敡㘰㈸晢〱昰攲㜸〰扣攰〸慡ㄶ捤て㠱㈵〱㘰㕦㔶昹㜹〷㠰㘲㕤摣㠴摥て㘲扤㍦㐹ㄳ㙢㔷ち㑡㥢敤慣㕡ぢ㔵〱愰㠵㑡慤㈰㙡ㅤ㔸〲㐰ㅢ㜲敥愱㥥昴〲㌰〸戶〰挰扢戱㝢攸㉥摡搴ㄳ挸搴㝡攸晡〱昰攰㜸〰㍣攰〸慡ㄶ昸て㠷㈵〱㘰〹慢㝣晦戸〰㉣㠵㔸昷㤱昴戳㜶㈵〰〶散慣㍡〲㠶〴㠰㘵㔴㕡づ愲㡥〲㑢〰㔸㠱㥣㝢愸㍢扣〰㜰摢㐰〰㠰㑢㔲㍣昴㉡摡搴ㄳ挸ㄴ㜷ㄸ晣〰昸摥㜸〰㝣搷ㄱ㔴㙥㐶㠴㠶㘰改㘳㉣㈲搷㐳㕤㈷づ㑤㕡㕢戹敡㌵㈳㠱㙤敤扥㤱㝣㈱㉢㑢㜴搳ㄳ晤搹㠳戳㠵晥㘴㝥㜳捡ㅣ㥢㤵㜰ㄲ㠷つ㕢ㄹ㉣愰攷戰㡥㕥挱换㙥摥㙣挵㜵㘲㌰㍢㤲㡢㔹㉢晡户㠷〵㜶改〵㉣ㅡ㘱扡ぢ㉡ㅣ摢戶㘶㡣摥㔷ㄸ㈵㌸〲㈱ㄳ㈶㉢㤷晥㍣㌱㐳㈹㍣㡤㐰戱戱㠴攸扡㘴㈱㘵搵㈷㐴㉥改扡〴㔰挴慥㐴㝣㕡㘲摤㌰㤶挴晡愷㈷㤶攵㤲昱㔴㌲㘳戱㌳㄰昲昲㔹㠱㤵搶㐶散㐰慣挹收㤳㕣慥㥡㥥㔸㤷㌳㌳昹捤㕣㑣㡤㡤敤㔰㤶ㄳて㌰㤴㔸㥡捣攴㜱ㅡ改㐵愶ㅢㄳ㠳挳搹慤㜸ㄸ㘶㈴㥤㔹㘶㙥捥㙦ㄷ扤㔲扡㠲愴㙢㔴㔰〵㠳慡㉥㔸户慤晤㘳ㅣち㡢戳昰慣挲晥〷㘷攷㘲㥣ㄶ㜲挹愸慣敦㐹晦搳搱慡㈵㤱㍥っ㠴愲㐸㑤㄰昶㌱昸㜳昶㠵戸攷挱扡㤶㙤愰晢㉥扦ㄷ㥦㌰㘲挰愷ㄹ㤷㌴ㅣづ㜲攰戲昵㉢㑡扢㠱㝦搳㐳㍦愱ㄸ㉣㔷晡搳㤵㈳慦戸昹㌲〷捡㌳散㈱㐴ㅥ㐷ㄴ慥㑣㡣〴收㉡㠷㘵㌸㈱㍡ㅣ愱㌳㑡挹〱慣摦㌷㈴㔶㥡㔱㉢㠵㙤㠷戴㔹㤸㘱㘷ㄸ〲愷捤㔴摥㤱昵㘵搳㘹㤳㐳㡥挳㜵㌰㘶愶慣扡〴挳慣㔵挹㡣㑥㠰挸戸㜴㔸收㈸㔸收愸戰ㅡㄲ㙢戹ㅤ㈹㘹摡捡㙥㌴㜳挹挲㜰㍡ㄹ慢㘳㠶㕢㠶摢挵㔸挵挵敦㜵改摣戹愴㌲㥥戳㈳ㅢ㜴㜷ㄳ㔶㉦〸ㅤ扢ㅦ㈳㍡愸っ晣愷戶㜱户ちㄳ㡦敤㔳ㅤ〹㙢愱㈰㍡ㄵ㤳ㄸ㈸㡥昷摣挷摥摥㍢ㄹㅣ㤹㥣㤴〵㍥挵晡㈸㔰㈶昸慢㑤㠰㑣戸㤵㐱㠷㈵扣㌲㙢挶〷戰攰㤶捤㑤㜳ㅥ㔲慢㐳搷㜲慡挹㐵戸戹搴㠷晤㑡散㠳㙥㐹挶慤㕣ㅤㄹ㠳㠸㔱㙢戹㉤㘵搸㝤㠸昸愵㈶㄰ち搵搷昹㥤㙢㠵㙢㙢㠱戳㘴敦㝤㍣㙦㐵㤵晤户て改㕥捣扡㠷挳昴㈵昴〶愴昵搱㈰㙡㈳戲㙣㑦㠵挲㌱㔴ㄸ〲〹つ㐳㔸搹㌷攵晢㍣搸つ愲㡢㕡㉢㡦㜷㜱〷慡づ扢㌵戲㜵ㄵ㤲㠶搴㝢戶㥣っ㝢户愹捥㝤㘶捣ㄸ挴㈸户攲㘱㝢㝥㘵㠴捥敥〸〶㙢搱搵㐶攵㑡㘸搵㘹㘱㉣㍤㘸挹㕥㤴攲敤挱㌸ㄶ㠵挳扣㔸㘰㝦〸捦㔲挵挱㠴换㕡㡣㈲挳㘱ㅤ㠵㑡㈰慣㔲愰㙥扢㌹挵㠴挳散㌴ㅤ㠳㔴挷㐱搴〸戲扣晢㈳改摥慢搴㔶攴㑣戲っぢ㉡㔳㥤ㅦ搵㈸㑡㜰㡥搴〹ㅡㅥ㐳㡡㔳㑦㜱㈸づ㠳㍢昹㔰㍣㠱㈵昰搳㐹ㅡ㜱㌲㡡㥢ㅣ㙥㌳挸㜴晡昷㌸愴昵㈶㉡㜲〳挴㐷㈱㐵㠵㌴ㄵ㑥㠲〲晢搸愰㑦㕦挴づ捦㝢昹㘰户ㄹ㉡挰敥㔴㡦捤晤挸〹捦〴搵挷搳㘶㡥㌶扦㡡㙣㈵㜶摣戴㌰昱ぢㄸ㜹愸㑣ㄹ扢慦愱㠴㘰挷晢㠶㍡〷戹㌲散戶㠰㍢㌹㜶攷愲ㄸㄴ〳㝡㉢㡤㌸ㄹ㜵ㅥㄲ㍥搰㡣㐲㐱㡦㔱昱㝣㝦㠵㉦㔰攱〴㉡㝣〳ち㠲摤㠹挸搵ㄷ挷ㅤㅥ㙢昳〱敦㈴攸〰扣ぢ㍤㐶㍤〳㡦㜳㡥㍥㠵㐶慦㠴㐲㈵㜸㔷㠱㘷攲ㄷ㌰扥〴㤵㈹㠳昷ㅤ㤴㄰昰㑥愵攱慢㤱㉢〳敦换攰㑥づ摥戵㈸〶挵㠰晥ち㡤㌸ㄹ㜵ㅤㄲ㍥攰㥤〶〵㝤㍡ㄵ戹改攲愳㜰〶ㄵ捥愴挲つ㔰㄰昰晥ㄱ戹攲挰挳搳㝢㍥搸㥤〵ㄵ㘰㜷愳挷愶〷扢戳㘹昳㙢㈰愱㍢愱㌰挱㉤ㅤ换㐱㥥愵昰ㄹ㔰㌶ㄲ敢㌳挹〲敥戶散扣㠱㘴〱昳㐶㐳〲〴㐹㔹戳摥㔵敥挲㥥㐲ぢ㡢摥晤摦㔵㡢捡摣晤㍤慢攵㕥晦㝦㠱㡦搸㡥っ㍣〱挱㘴㑡ㄲ㈱昸搴㜱㝢ちㄹ㤴扤㡣ㄹ戰愳〶戵昷昸㉢晥ㅥ摣搹扢㝦㐳㠰㈱㘳㈸愰扦捥㘱愳昰ㅦ收晤㜳㤱㘶扣㜱搷愴㐳挴戳〱挲㜸㉥捣㤸挳收㑤㜷㜶搸㔶㘴昲戸㙢㠷㥤ㅣ㝣戲ㄹ㑥㜲昵㐸愱㑣㘲㡥捥㜲㈴搸㐳㕦㥤㠱㈷ㅤ㌳㜳昱敤挴つ㐳摢散㘸㐱㍣慡㙤㡤攴㘰〵㠷挷㜹㐲㙣㝥㥥㠳昵て㈱昹戸晢㐷搳〹㜷㜱㕢愹㡥戹㔵㤶㤹㤱㕥ㄸ㉣挴晢慤㉤ㄲ㔶慦戱㄰ㄳ攳攱昱㤴㌵㑢ちㄴ戳攲㜲攸㐴㙦㌴捦㐷ㄲ攸㝦㍢㈹戹搰㜵㘲慤㤵㌲昹挰ㅢ摣㘵㈷戵㈶㔶㘸㑣㤴散昱㘱戶敤愷㠷㠰㘰慤搳㑢㑡晡挹㤸㘰㝥㉢㙦〴慦愱㙤散㔵昴㕦㐲㡥㜷ㄷ慢㡢㉦攲㜱晤攲㠰㥢㜰〲㜷敥㈰㑤㄰昵㘱慥昵㙥昶昱㑡㥡攵敥㐱摢㌳㥣㑣㕥つ㉥㡦愱攱㜴㠶昰戹〲㥥昸攴挳搶㡤扣㜴㔲昰㥤ぢ㐹㐴㐱愹戱ㄹ㠹ㄵ㤹㔸㙡㈴㙥㐹〸攵捥搹ㄲ㐹㙤ㄷ晤㔵换搹挶敥慢〹㜰㜱㐰㔹㠱㔷㘶摣㈷〰户㜹ㅤ㐵改昳㜱㑥攳ㅢ㈰戵㡢晡㕡㘴戵㔱㝦ㄳ㌹㑥㜴摣摣晢搸摢慢㘱ㄴ摡愱昴㜰㠰扣㤳㠱昹慤㡡挵㠹㡤摢㘴挵ㅤ㕡戹散㍣㙡㉢戳㉢戳㕣㡣昱戰㤶㈷㙤搶㜶搱㔹㘸愷摤㔷㠶㠱㘸㜲ㅢ㉦ㄳㅡ挱搴㈷㝦〲敦㥤散晣㕤㑣晣搱〳㡡晢愷㈶㤹戲㙤㈵捥ㄳ㔷㑤㠲愵愵ㄳ㜵ㅦ昲攲愱㕤㠰㕥㔳昷㈳㘷㝢㘸昶戲愷扥〸摣挹㍤戴〷㔰っ㡡〱㝤㌱㡤㌸ㄹ昵㄰ㄲ㍥づ搸㈵㔰搰㤷㔲昱㘱㝦㠵换愸昰㉤㤰搰愳㔰愸㥣㙤挶摤㜰慣㠱㜲㈸捤〸慥㉥捤㐸ㄶ搷慡㠱㐷ㄶ戱愱㡡挰捡愸慦㝢〴㜲㝤㌹捣㍥昵攴㤳摣ㄱち㈸敥攸戹ㄵ㘴昰攵㠴㘰㔷昰晣㔷㠲愸㘷挰ㅣ挲て挹㘲〸昶ㅣ㜲㈶㔹挶户愱㌲㘵㑦昸㜹㤴㄰㥣慦愲攱㕦㈰㔷收〹㕦つ敥攴㌸扦㠸㘲㔰っ攸㙢㘸挴挹愸㤷㤰㜰㥢㐱愶ㄳ㠲㕤㡢戴扥㡥㡡摣昲昳㔱戸㥥ち㌷㔰㠱扢㠰攲〹㝦ㄷ戹㤲㈷摣敥攷〹㝦ㅦ㉡昰㠴㕦昵搸昴㜸挲㌷搲收㑤戴昹㍢㈸㔴㘲挷㥤㍡ㄳ扦㠰㜱㌳㔴愶㡣摤㕢㈸㈱搸摤㐲挳㙦㈳㔷㠶摤慤攰㑥㡥摤扢㈸〶挵㠰扥㡤㐶㥣㡣晡〳ㄲ㍥搰摣づ〵㝤〷ㄵ戹㕢攸愳㜰㈷ㄵ敥愲〲㌷㄰〵扢ㅦ㈲㔷挲慥换て扢扢愱〲散摥昷搸昴㘰㜷て㙤摥㑢㥢摣敦慢挴㡥㜵㌶挱てㄸ昷㈱㌵㘵散㌰㜰㙤散敥㐷〲㙢㔷ㄵ搸㍤〰挶攴搸昱挶㠲㝦〱晤愰㤳㘰㐶㜱㌳搱〷㥡㠷挰搶て㔳搱昰㔷㜸㠴ち㡦㔲㠱㝢㡦㠲摤㘳㐸㜸挲搷㔶㍦昰㥥㠰づ挰攳晥愳㝢搶㥤挹戱㘳晦ㅦ㠳慤㝦〲愲㘶㠳㔴㠲挷つ㐲ㄳ捡〱攳㐹愴愶っ摥㑥㔰㤶㠱昷ㄴㄲ㙡㘷㤰戲㠱昷㌳㌰㈶〷㡦㝢㤰昸ㄷ搰㑦㍢〹㘶搴㙥愰㙥㌳挸㜰㉥摡㥦㈳慤㥦〱㔱扢晢㉢㍣㑢㠵攷愸挰㝤㑢〱敦㜹㈴㍣攰㌵晢㠱昷〲㜴〰摥㍣晣㜱捦敡ㄹ㜹㉦㠲慤㕦〲㔱晢㠲㔴㠲挷捤㐵ㄳ挵〳挶换㐸㑤ㄹ扣晤愱㉣攰晤ㄲ〹挵㝤挹㌲昰㕥〱㘳㜲昰攸㔱攰㕦㐰晦慢㤳㘰㐶戵㠰扡捤㈰挳〱敦㔵愴昵㙢㈰㡡ㅢ㥣㍥ち慦㔳攱つ㉡戴㠱〸㜸扦㐲愲㜴搵㜶晡㘱昷㈶㔴㠰㕤ㄷ晥戸㌶㍤搸晤〶㙣晤㕢㄰戵〴愴ㄲ扢愵攰㤹㈸ㅥ㌰㝥㠷搴㤴戱敢㠳戲㘰昷㙦㐸愸㝥㤰㌲散摥〲㘳㜲散〶㔸ㄶ愷搶㙦㍢〹㘶搴㌲㔰户ㄹ㘴㌸搸扤㠳戴㝥ㄷ㐴㉤昷㔷昸〳ㄵ摥愳挲ち㄰挱敥㡦㐸㤴戰敢昱挳敥㍦愰〲散㔶攱㡦㝢㔲て㜶晦〹戶㝥ㅦ㐴ㅤ㐶挲扡晥㤷㤳㘰㈶㜴㈴㘸攵搲㙦搵戲㝣㉤捦㤰攰〲晤㘰㘱㉣㠵㑤ㄱ㈶戹ㄴ㙣愷攸ち搸㘲㉣㔰㘷㜳㤸捡㙡㉢ㅦ摦㉢㤶㍤〶愶敡㘷㔷扣㠳㈳挵㈸㌹ㅣ戵〹㘹㙣搴㡥㕢㥥㤵㉥㍤㤰捦㌲㍣㡣て挰㥦扤㉡ㄹ换㘵昳搹㐴㘱敥㈰㌶晣收昲㥤㈶㈰搲摣ㅢ㥡〶㡢扥攷㘴挳㙡㌳㝣ㅦ㜹ぢ㥦昱て㙦捡㘴户㘶愴㌶愱㍣㕦敤攲搹昴戴㘹㍣つ扤㘶㌹昶〲㡡㤱愳㈰㘱㘱晤㘷㈴愶搷㐴㌶攰て㤵㡤扦㠰敥摤户戴㙦敤㔰㑦㝢㑦戴㌳ㄱ㙤㙥㠹㤹慤敤㍤捤慤摤㠹㔸㜷扣㉤ㄶ戳㕡ㄲ昱㥥ㅥ㌳ㅥ㌹摡㈹愳㍦㐴㈲㜲㡣㥢晢㉢㜳㐳㙥㡥戲㔰ㄴ㘴慡ぢ攵慣㤵㡡慡㤸㡡㉢慢㜶摡戴慡戵㤸慡〵昶攲扢ㅢ㠶挱昵昵㤰〲㔸㤵ぢ㌸晥㠵㔰㉢㑦㕦戰戰㙣挸昳愵〸慤㐰挲㤱ㄸ㔴㔸㈱㈳㠸散㡣扥愵㐳㥥㝤㐲愳〶扣〶昰㈴慣㔸㡢昷戵㡣㕡㜰㘶㠲㔳晥收戸挱敢㜰〷戰昱㐲㠲晢㡡〲〷㕦㈴敥㔸㉦扤㘰慤敢愰㙡㍦つ㤶㠰㤰ㄵ搴㘱戰㤸愸挱㑦つ㈳挵㈱慦摥晦敢㐷ㅦ㜱愰㠱ㄹ㌰ㅡ愰㌲敥攸㔱晦〱㔵㡥愰昲ㄱ㤰㠴ㄵㄹ〱㌳㔰ㄸ㈳攰㌸㕡愵戱㐶攴㥤ㄱ㄰㙤敦㐹挴㍡摢摡㍢摢攲敤昱㥥敥㙥搳散㌲㘳㥤㜱㉢ㅡ敢㠸㥢㔶㙢㘴㤳㔳㐶昳戳〹㤱㤴㥢㥢挹㕣摡捤㔱愶㌶㈳挷㔱愰摥㐱㘵搸㐳㠲昴㙣㠸昴ㅣ㤰㜰攴㜸〸〵改ㅤ㤱昵〱换搸〹晣㜲戴㜷〶愷戲㑦㜶〱慦扡〷㈲㕣昱㤷挶收搰㐲㜹㘵㕣敦捡搴ㅥ㔰㔷〵搶㡢戹㍤㤹㐳㐲㝥㕣戵ㄷ愴㕦昷㈰慤㜹㥤昲㤲㔴慦晡㠲扡ㄵ㘲㌹捦㝣㤸〲愸愳挸戳㠴戱ㄷ昲づ愸慤㜸㥦㉡㘱戵㐷㕢㕢ㄲ敤㘶摣散㘹㡦挶㕡扡捤敥㔸㤷搹搱摡ㄶ㡤㐵㘴㔹ㅦ㘵昴〲㤴㠹㝣挱戱愰攵戲㍡挱捤㔱愶㑥㐲㑥㐰㝤挹ぢ敡㍥㄰改㑦㠳㠴㈳㈷㐳㐱慡挳攱慢㌹㕥㌵㠷愸收㠰㡣㥣攲ち攷昱㘴昳㐹㥡㈹㈴㐴敡㔴〸昱て捦〱㠱挵㠴晣扥っ㉡㤸㍣攵挵㠴愳㑦㌰昹㠹㉦㈶㕦㐱㈱愹㐴㈷昴㠰挹㘹挸搳㥡搱㠵扣㡤㐹㕢㝢慣慤㈷摡ㄱ敦㠸昷挴摡㉤戳愵㍢摡ㄶ㙤戵㘲昱㡥昶㐴㔷㜷㙢㐷㔷攴㜴愷㡣敥㐶㤹挸ㄹ㙥慥㠷戹㌳摤ㅣ㘵敡㉣攴〴㤳㐷扣㤸晣〳㐴㝡ㄱ㐸㌸㜲㌶ㄴ㔸ㅤ攳昳挸㔶づ㥦挵攰㤵て戲㈵攰㔴て㈸愳ㄷ㙣㥦㔱ㅡ攱ち扦㌴㜶ㅦ㥣㐲㕥昸搷晤㔰ㄵ㔰㐳㕦㠷戰㜲㘶昲㙣收㝢㤶㤶ㄹ㙡㐶㍣敢晤㌲挷捤㑣ㅣ㌲㘲愶昰㈹㡡搵㔸㜴㉡㤰戵㍤慣㔲搴摡㑢㝦㤳㑥敦搲㠴愳㡥收㉣㕢㠹㐱昹散散戴㑤㕥挷摢戶㌵㡦㜰攸㐷攸晣愹㥤〵㕤㔲㜱て攰㍣ㅢ搶换搰㙢㕣ㅦ㌹ㄷち搴搱换挱㜰て挵挵攳㉡㙥攸㝣戰愶扥慡挶昲戳㑡㍢攲㝣昶㘱㘱ちぢ㡣㔳㜸搴㘴〵敡愲戸㠶㔶㔵〷㜵㠱换㍤㠸㍡㌸㠵摣㌶戸㐶㈳ㄷ敥㙤㥥ぢ搷㔸〵㤵昱㙦ㅢ㍦昰扤㥡㉦㠶㈵ㄹ攰慢㔱ㄸ㔷昳㈵捥昹㡣㌵挸摢㔷㌳摥㘴敦敡敡改㙥敥戱扡㕢摢㕢㍢愲㍤慤昸㘷㌶户㕢㔱㑣㝣ㅤ戱㔸攴㔲愷㡣㍥〴㘵㈲㤷戹戹戵捣㝤换捤㔱搶㜸㌹㜲扣㙤ㄹ㉥昲㥦搴摦挸ㄵ戰㑣㘸㡣㜵㌸㑦攵㌴戰ㅥ扣昲㘹攰㔰㜰慡愷㠱挸㤵㡥㤵搲昷㈴昴ㄱ搰㔴㔷戹慤㌸㤲㌹㥣㐶㝥㔷㠳㑡㉦㕣敤改㠵搲㉤攵㉡㕦挰慦㐱㈱〱晣ㄸ㤸〲攰搷㈲㑦㙢挶㄰昲㌶攰摤㠹愸㤵㘸改㙡敤改改敡㘹敦㘸㙢㌱扢㝡摡慣㘸㐷㌴搱搲㤶㘸㙤戶扡㈲搷㌹㘵昴戱㈸ㄳ戹摥捤挹㉤㐵㔶㜷㘰㑦㘴敡晢㤰挹昴㜹ㄹ㉡㔳扣㑦挷㔱㑣㕢㈰攱〸㔷㙦愴㍡㝥户ㄴ慥敡㠸戰㠳〶㍢㐹㔲㉣㉡户㤴㕢摣搳㘶挰㐲摡晥摤㡡㤴㘰㜲慥㉦㈶攷昸㘲㜲㥢㝢㥥ㅣ㑣〱ㄳ慥挵搰愲㤱㐷摥挶愴〵㍥㙢愲戹换㙡㙤改戴㜰㑢㠹㜶昳㥥摢㤱㘸㑢戴㕢摤搱㔸愲㉤㈲㑢㌷慣㘱〱㘵㈲㜷㍡ㄶ散摢散㕤㙥㡥㌲㜵㌷㜲㠲挹㤹㕥㑣㐶㈱搲㘳㈰攱挸㍤㔰ㄸㄷ㤳㝢㕤㈱㥦㔵㤷敦㜷攸㔳㔸㔴㌰戹摦㍤搱愹㍣㤱㡢〹㔷㕣〴㤳㉦晡㘲㜲㠲㉦㈶て扡攷㌹つ愶㠰挹㐳㡥㘹攳㜴攴㙤㑣攰挲㤹搱㈸愰㘸㘹敥㙥敦㠶昷㘱㌵㜷挵摡㥡愳捤昱㤸〵㠷愴㌹昲戰㔳㐶㥦㠱㌲㤱㐷摣㥣㡣㤳㐷摤ㅣ㘵敡〹攴〴㤳ㄱ㉦㈶㘷㐱愴捦〶〹㐷戸搸㈲㤸搰搷戰㕤てㄹ㌱昴㍦㈲㕣㠴ㄱ愱戸㘳晤〴愶㡦攴㥢㄰慡愷摣ㄳ晤ㄳ㜲昸㈷㥡㡡ぢ㈹㠲㐹搲ㄷ㤳㡤扥㤸㍣敤㥥攷㘲搸〱㈶㍦㜷㑣ㅢ㤷㈰㙦㘳搲ㄹ㙢㙦改㌰扢㍢㕡㕢扢㥡摢攳㕤㍤㍤ㅤ攰戴㜶㜴㌷户㜷户㜵昶挴攳ㄱ㔹㘹㘱攵㉥㐵㤹挸戳㙥攵〴ㄳ㔹㘴㜱㘵敡〵挸〴ㄳ搳㡢挹ㄵ㈸愶慦〴〹㐷㕥㜴慢攳㜷敤㜰㙤㐵㌰㌹㤰〶て㈲戹㡥㐵㘵㥣晣搲㍤敤つ㘰㈱㙤晦㕥㐱㑡㌰㔹敦㡢挹愰㉦㈶㕣㈵㤱昳摣〸㔳挰攴㔵挷戴㜱ㄳ昲づ㈶㉤㔶〷搰攸㠹㜵㜷㜷戵㈷㍡㍢㑤慢扢㍢ㄶ㙦㙦敤散㡡㤹摤摤㠹㐴攴㌵愷㡣扥ㄹ㘵㈲㕣㌲挱扦㠰㝤敤扣攱收㈸㔳㙦㈲㈷㤸慣昲㘲㜲ㅢ㐴晡㜶㤰㜰攴㌷㔰㤰敡昸㘱挲㌵ㄳㄱ昲㈱㜷昹昴㡢扥㠷㐵〵㤳㝦㜳㑦㜴ㅦ㑦攴㘲挲㜵て挱愴搷ㄷ㤳挵扥㤸㜰昵㐳捥昳㈰㑣〱㤳㜷ㅣ搳挶㐳挸摢㤸㜴昴戴挶㕢㕡㍡㝡㘲戱㡥捥昶づ戸愸戱收㔸戴㉤㘶㜶㈵㕡扢㕢ㄲ㠹敥㠸㉣㡣戰㥡て愳㑣㠴㑢㈱昸攷㘰㈲㙢㈲慥㑣㜱挱㐳㌰改昱㘲昲㌸㡡改㈷㐰挲ㄱ慥㜹㡣㡢〹搷㐲㐴㜸㌸つ昲㤹㜵晤㌴㡢ㄲ㤳〸㤷㐶㐴昸っ㔸搳㙢㐲㝦㐶晥㜳攳㍦捣攰㠹㘶ㄷ㘲捦慦散戳㈷〷攰㌳㈶㥣摥〲㌵㜸摣捦㝥㐸慥㌶昸搹㙤戳㐵摦㡦㙢㍡晣㠵昶㐷慢晦〶㍢㘸㤱挷㘱愳挵扦挳㑦㍦㠷慡㠶戸搸攰扢㥤㔸昹扤㉣敦昷搵攸㕢捣㐹慦挸㈳㠲挷敢㝦敢戲扤挵㡦扣捤㜴㈳晢㠵敥搷㌸昶㉥㜱摣㉤㝢户搸敡㕣戱ㅣ扥㙥㠱挵ㄸ〸ㄶ昲摢ㅤ㜳㑡㌹捦㐳㠶扢㤵戸㜸㔲〳晢挷㔶摣戵㤸挷㔶㔲㙤戰㐶㔵㙥㙢㐹愸攰㝣捥㡤㑦ㄵ搲ㅡ扥㌴戳㈲捥㈷摢㜶昳㜹挴㜲㘹戲㈰㡦㈸昳㈱㈲愵晦〲㜰㡣㕦㄰愶㐵ぢ晡ㄶ戴㠷㍥㡤㝥㤸昲㈹捡㔱攷〹㌹㌴挲晡㐵晣㔱㥣ぢ㘹㡤慣㐶ち㌸〴㉢㕣戶昷ㄶ㠳挷㘳㠹搰㐰摤㤲㐶㉥戱㠸收搱㙡摥㜹扤愱搷㑥慥㝣摢㙥挳㌹て扥扦捦㠶㔷ㄷ攳㈹㜱晦㜷㈵ㄶ攰愴扥慦ぢ敤攵〸㉡㍦攱㄰攱㘲㡡㕣㈰晦㡡挴昴ㅡ挵挵て㕥㈴㙡ㅥ㑡㜰㘴捡㘰㝡つ㕣ㄵ〱攱㠰㔲㥡㉢㈲挶ㅢ㈰㌶㜲㙡て攸戹敤つ敢㕦㔳㤹㑢ㅥ㉥慢㜱㌶㌲㔳㠳㠰㙢ㅦ㔳㠳㠰㉢ㄵ戲㘶戲ㄹ昸㜹摥㤹摢搹㘹㘹搵〷っ㜶㜲〴㤵㕦㜰㠸散改㥣㔳晦ㅥ〹㐰㌰ㅦ㝦〴㠲㌹㈸㔱㠴攰㙤㜰搵〲㄰ㅢ〲慥㕦ㄸ敦㠲㌸㄰捣㉣㠳攰㍤〸ㅡ昷〱㤹㕡慢戹㌸㌱戵㔶㌷㐳搳慦搵つ攳戵扡摥ㄱ㔴㝥戶㈱挲㜵っ㥥㔳晦ㄷㄲ㘸㜵㈷晥㐸慢戵户搵ㅦ㠰慢戸㡥㘰户㥡㉢ㄴ挶㥦㐱㥣㔶㠷捡㕡晤㈱㤵戹〴㔱散㜸㉥㌳㑣つ〲慥㐵㑣つ㠲㝥㘸晡㐱㄰ㄸて㠲㡦㍥戴㉦㡡捡て㌷㈸㠶戴扣㡥㜵㄰㠱て㘳ㅦ晥㈲换挱攵愱㈴愸㐴㐲搷㠰㑦㍤ち㈲っ㈳〵户㕡㜰㠱ㅢ挳㍥挱敤㉦㌸㑤㜱戴ㄸ㉣挲㠸捤挶㙤つ㔲㐶ㅤ㜸〶愷㥡㤶收搰㥦愸㍣晥扤愳昴ㅣ㡥㍢㉢收㔹㠱搲㍡㌹愷㜹ㅥ㘱捤㘷挳ㄵ㈳㐵㥡㈴㑢㌱攰㉡〱昴㔳戰㙣晦攰摦ㅤㅣ慡慥㡣㍦㍡㠲捡搷㘹㈳っ搶愴慤ㄱ扢慤㡣戸愴慤㝦㘰昵㠱户㑣づ㍢戰〶挷㐲㘴户㤵㘱㤸㌱ㅢ㍣㘷㡣扣〵㕤㜷㐰㠴昵㡥㄰㌴挶ㅤ扢㤳㑦㠹㡣戱愶㌶㉣ㄸ㔷㤵㕡㝤㝣戱搵扦ㄹ慦搵㙦㍡㠲捡㜷㘸㈳っ挷愴搵扢摢慤㘶㑣㈵慤晥㤵户搵㝢戲搵っ㠷散㔶㌳搰㌲收㤶㕡晤㙡㔹慢攷戳搵っ㤰愴㉤散愵搲攱㜳㈳愰㥢㌱戵㔶㥦〲㑤扦㔶扦㍣㕥慢㕦㜲〴㤵㉦捥㐶㑥㜵捥愹昷戱㕢捤愸㐹㕡晤㠲户搵晢戲搵㘷㐰㘴户㥡愱㤴戱㕦愹搵捦㤶戵扡㠹慤㘶〸㌴戵㔶㌳㑥㥡㕡慢ㄹㄶ昹戵晡愷攳戵晡㈹㐷㔰昹戶㙣㠴㈱ㄵ捦愹摢㔱㔷摤〱㌲㍤愸ㄸㅣ㐹搳㝦散㙤㝡ㄷ㠴㡡㌱㡦摤㜴㐶㑣㐶て㜸捥㌰㝦戴慣改㥦㠳愰昱ち挷昸攴挳㥣攱搰搴㥡㝥ㅤ㌴晤㥡晥挰㜸㑤晦㘷㐷㔰昹㥥㙣㠴㤱㤳㌴扤㤷慤慥㔱っ㝦愴搵昷㜹㕢摤挷㔶摦っ㤱摤㙡挶㐴挶〱愵㔶晦愸慣搵换搸㙡挶㌲搲㤶搲㄰㘷捡㘷㤸㌳攰㤹㕡慢ㄹ攴昸戵晡昶昱㕡㝤㥢㈳愸㝣㌹㌶挲搸㐸㕡扤捡㙥㌵〳ㅣ㘹昵て扣慤㕥捤㔶㍦っ㤱摤㙡㐶㍤挶㈱愵㔶摦㔸搶敡㐱戶晡㜱挷敥攴㝤捤㤰㘶㙡慤㝥ㅡ㥡㝥慤扥㝥扣㔶㕦攷〸慡摥㠸㘵昴㌳搹ㅢ戱㥥㉦㔹㑡㔸㤲攰㤶㕣㝤挲㘶㌳㘰㤱㐷愷㔳戲㤹摡㠰ㄷ搸㜲昸㤶攴㑡扣愷㠹搷搶昰攱㘵㘷㠷て敦㙦昲㘹㌲昷ㄵ㈹㉤㌹ㄶ㌶ㄲ慢㜳㜸㘷㙡㕡㘲㐵ㅥて〷挷敢昰㉤扣〲㍥㝢㤴搹ㅥ㔶散戱扤㕤ぢ㠰㜰搸敦戵昹敥㉣㜳换搸㌷㍡㤰㔷づ㥡㑡㜸戸て㠸〶昹摥摢戶慤搷ㅢ㐷㘰㐸戹て㍥挴㍤㙦㜲〶搵㌵攸㘲㝢敦昲㤴㠰摣敥改㤶攸愳愰㙦㙣〰愹挱㤶慡昸㉡㈰㘱㝤㌴㌸昲㠴㠱㤰㐰㠸㌱㘱㘵攳戸搷㍦挰搶㔷㝣攸戱扥摥摤㡢㈷㌰戵㡣㙢㈶ち愹㜰愶挰戴昴㤰挹㙦捣搷愵㠷㔲㔶㘶㘳㘱戸昸㕤㜹㙣摦攰慢㈶㝡〸㕡㌶搰戸扣ㄸ㜰㜰㕣ㅡ挷㠲敢摦搸换㝤ㅢㅢ㠵扥ㄱ〳㈹㙦㙣ㅣㅣ㑦㘳搵㙢戰捤〶扢㠷晡㌵㌲㙣㠶㑥㐰搳ㄵ㈸㍡晤㔲㡤㡤攰晡㔷攳㐲摦㙡㈴㜹㍥㘲㕥挲㝢ㄳ㔹㜱㜰㙣扣ㄵ㘳㠶戲㉡扣〷㠶㔴㈱つ捤㘲ㄵ攸㠱㑢ㄵ㌲攰晡㔷攱㕣摦㉡㙣收昹㠸㐴愹ち㌹戲㍣㔵昸愰戲ち㜴搲愵ち晣摦〰戸㔵㠸搰〳㤶㘹㜱㠴攵户㤰㙣〵〹㐷攸晢㡡㘰ㄴ〹摣㈵攸昵㑡㕤挷㤰㘸㜴㍦戳㍤㜷ぢ〳晣㝣㔰㥤收搶昳慤搶㕤㑡挳昳〴攸㙡㍡愲㡣㜰㔹搹戰晥㈲㔹㥥㝡搲㘱㈶㔴敢㉥晡㙣敦㕦摢㕥改㔵昴㙢愵㥥㈷㈳挱㘲晣㈹㍡愲㜲晡㔳㤰昰㠷敡㘴户ち〱敦ㄵ㜲㉡昴㉢㝡敢换㘴㜹慡㐰㍦戶慣户攸慢㑡ㄵ㑥㐳㐲㙡捥㉡搰㉢㤴㉡㥣㡥㠴㝦ㄵ㐶㝤慢㜰㈶昴㉢慡昰㔵戲㍣㔵愰㔳㔹㔶〵㍡㡥㔲㠵戳㤱㈸㔶㠱㉥㥡㔴攱㙢㐸昸㔷攱㜸摦㉡㝣ㅤ晡ㄵ㔵㌸㡦㉣㑦ㄵ攸攱㤵㔵㠱㕥㥣㔴攱ㅢ㐸ㄴ慢㐰㝦㐹慡昰㑤㈴㘶㤶晥㈷〳挵㤱㜰㥣㕢㠱戲㤱㜰〱戴敤ち㠸㈵㡥㠴㡢挸昲㔴㠰㑥㤸㔸扥〴〹晦挶挵㕤摢〱㙦ㄷ㕦㔶戴慤ㄸ㉣搱昶攵ㄵ戶改挳戱㜱搷㉦㑥昶㥥戴㈴扣㔴搱㑦㤳挶㕤㠹㐴戱㜱昴㠸愴ち摦㐶挲扦ち㐷晢㔶攱㍢搰慦挰昷ㅡ戲㍣捤愳㐳㔵㠶㉦㥤㈶愹挲㜵㐸ㄴ慢㐰昷㐴慡㜰㍤ㄲ晥㔵㌸搴户ち摦㠵㝥㐵ㄵ扥㑦㤶愷ち昴㙥捡慡㐰て㐶慡㜰ㄳㄲ㙥ㄵ㐲扣愹㑣昹㡥㐷挴户㜱昳昶㘶㥣㐷昱㔶㐵ㅢㅡ摦㠰㤷〴㌳㡤扣㘱㌰㔱㠷ㅦㅥ㠲㐲㡥㤵搲㍦㈰㥢昳扤㤴戸搵㐹㐸〹捥敤愵ㄲ㥣愳愵挴㙤㘴㜳㝡㤶ㄲ户㍢〹㈹挱愹戸㔴㠲㔳慡㤴戸㠳㙣捥愶㔲攲㑥㈷㈱㈵㌸㜳㤶㑡㜰挶ㄴて㜲㌹晡㠳㐱㌱昷戵敡㠲㠶攲㉣㉡㠲㘵㡥㠰㑦搰搷攱〵㌹捥慣㈲ㄸ㜰〴㡢㈱搰㜷㠳ㅢ攲㉣㕢戹㑦敦㜹㈲挲昳ㅥち㈱搱㘹扥昷㐴㠷㈳㥣㍥㈰㌳㘲㝦㜳搸㐸昳ぢ〷㤹㤹㡥敥挲愲捥づ㐵㑥㔱㜷㐶㤱㈵㘵㜶戱摦㑦攷〷㤴愹戲戰㘴㜴㑥愵㐴昴㙢敤㝢㐳㘰晥昸㉢ㄹ㙥〵改㔲搶愹㈹㉢搶搹摦扦扢〷㜰㜰㍣㉡㕤㑣㐹㔶㥤〰㠱㜴搳扤㐸㈸摥㑣愴㥢敥㜳ㄲ搲㑤扣㜱㐸㌷攱㉦ㅥ攰〱㤵ㄲ昷㤳捤戹㕦㑡晣戳㤳㤰ㄲ㥣攷愵〴ち〴ㄴ攷㙢㈹挱て敢㈹㑥搵㔲攲㐱㈷㈱㈵㌸㉤㤷㑡㜰㝡㤵ㄲて㤱捤㤹㔵㑡㍣散㈴愴〴㘷搱㔲〹捥㠷㔲攲ㄱ戲㌹ㄵ㑡㠹㐷㥤〴㌳㡡昳㥡攸㍣㐶㉥愷㌴搱㜹摣愳搳挸改慢㘴㤵搳㤰㤴㜸㠲㙣捥㐰㔲攲挷㑥㠲㤹㐶捥㌶愵ㄲ㥣㌵愴挴㑦挸收㠴㈱㈵㥥㜴ㄲ㔲㠲㤳㐳愹㠴㕣戵㌰愴㥦〲摢㍤㈲扣㝡㌱㉡㜰户㐷〲敥㠲㕣愹捣晦捣慢挵㉢㔶戴㥥戶戵攴敡愴㔶㤹㉤㕥愵愲昵㡣慤㈵㔷㈴戵㥥㐵摥㍤㈲扣㌲㐵敢㌹搱㙡扣ㅢ㝦づ㠳㌴㌸慡㘲挷挶㡦㍤昶㠳挶摡戹扢搶ㅥ扥愴攱愲搷㝥晣挶㜹捦㙤㔸昴摢て㉦扤昴戹㕦㥦昷攴㠷昷㐴ㄷ㍤昶敤㙦㍦㝣攰攵㑦扥戱㐳攲㡡攰ㅤㅦ慣扣攲挴㤶㑤㈷ㅥ㥦㔸扦敦戲ㄳ㡦㌸敥㤰㤶㌵㌳ㄷ搶搴㑣㥢昶愹㔹㡦敦扣㑦攴㤴攳敦㔲て扣戴㔳㈶挴㤱㌸㠵㜱㑣愴戶㜱㐲㝣ㅥ㘷㔰㌲戰㘱愳散㌹㥢〸〷戸戴昶〵㈴㠰慦っ㘶㙡㤵㈱挷㐱㉤㕡㉦搹㕡㌲㠰慢戴㌸㤰㐵敢㤷戶㤶っ摡㉡㉤づ㕥搱㝡挵搶㤲㠱㕡愵挵〱㉢㕡慦摡㕡㌲㔴慢戴㌸㘴㐵敢㜵㕢㑢㠶㘷㤵ㄶ㠷愹㘸晤捡搶㤲㈱㔹愵挵愱㈹㕡㙦㡡㔶挴〵㐰㜱攴挹散扡慢㌳扢㉥㐵搹㍡㍣攲敢づ㐱挵㔱㈷ㅡ扢㤴㙢㈸づ㌴ㄱ散㕣㉥㠸戸㈳㑥㜱㤰㠹挶㑥攵ㅡ㑡晡㡣㤵㜴㤷㡦㤱づ㈸昶㤲愸捦愹㔰㘷挷㠸㘰㜶㠵㠰㝤㈱㠲㔹ㄵ〲挲㉦㠲ㅤ㉡〴㐴㕣〴㌳㉢〴〴㔹〴㤱ち〱㜱ㄵ㐱㘳㠵㠰㔰㡡㘰㐶戹愰晥㝦〰散㌸〳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</si>
</sst>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0.0%"/>
  </numFmts>
  <fonts count="3" x14ac:knownFonts="1">
    <font>
      <sz val="12"/>
      <color theme="1"/>
      <name val="Calibri"/>
      <family val="2"/>
      <scheme val="minor"/>
    </font>
    <font>
      <sz val="12"/>
      <color theme="1"/>
      <name val="Calibri"/>
      <family val="2"/>
      <scheme val="minor"/>
    </font>
    <font>
      <b/>
      <sz val="12"/>
      <color theme="1"/>
      <name val="Calibri"/>
      <family val="2"/>
      <scheme val="minor"/>
    </font>
  </fonts>
  <fills count="5">
    <fill>
      <patternFill patternType="none"/>
    </fill>
    <fill>
      <patternFill patternType="gray125"/>
    </fill>
    <fill>
      <patternFill patternType="solid">
        <fgColor theme="8" tint="0.79998168889431442"/>
        <bgColor indexed="64"/>
      </patternFill>
    </fill>
    <fill>
      <patternFill patternType="solid">
        <fgColor rgb="FF00FF00"/>
        <bgColor indexed="64"/>
      </patternFill>
    </fill>
    <fill>
      <patternFill patternType="solid">
        <fgColor rgb="FF00FFFF"/>
        <bgColor indexed="64"/>
      </patternFill>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0">
    <xf numFmtId="0" fontId="0" fillId="0" borderId="0" xfId="0"/>
    <xf numFmtId="2" fontId="0" fillId="0" borderId="0" xfId="0" applyNumberFormat="1"/>
    <xf numFmtId="164" fontId="0" fillId="0" borderId="0" xfId="0" applyNumberFormat="1"/>
    <xf numFmtId="165" fontId="0" fillId="0" borderId="0" xfId="2" applyNumberFormat="1" applyFont="1"/>
    <xf numFmtId="164" fontId="0" fillId="0" borderId="0" xfId="0" applyNumberFormat="1" applyAlignment="1">
      <alignment horizontal="center"/>
    </xf>
    <xf numFmtId="0" fontId="0" fillId="0" borderId="0" xfId="0" applyAlignment="1">
      <alignment horizontal="center"/>
    </xf>
    <xf numFmtId="0" fontId="2" fillId="0" borderId="0" xfId="0" applyFont="1"/>
    <xf numFmtId="0" fontId="0" fillId="0" borderId="0" xfId="0" quotePrefix="1"/>
    <xf numFmtId="0" fontId="2" fillId="0" borderId="0" xfId="0" applyFont="1" applyAlignment="1">
      <alignment horizontal="center"/>
    </xf>
    <xf numFmtId="164" fontId="2" fillId="0" borderId="0" xfId="0" applyNumberFormat="1" applyFont="1" applyAlignment="1">
      <alignment horizontal="center"/>
    </xf>
    <xf numFmtId="164" fontId="0" fillId="2" borderId="0" xfId="1" applyNumberFormat="1" applyFont="1" applyFill="1" applyAlignment="1">
      <alignment horizontal="center"/>
    </xf>
    <xf numFmtId="164" fontId="1" fillId="2" borderId="0" xfId="1" applyNumberFormat="1" applyFont="1" applyFill="1" applyAlignment="1">
      <alignment horizontal="right"/>
    </xf>
    <xf numFmtId="164" fontId="0" fillId="2" borderId="0" xfId="1" applyNumberFormat="1" applyFont="1" applyFill="1"/>
    <xf numFmtId="2" fontId="2" fillId="0" borderId="0" xfId="0" applyNumberFormat="1" applyFont="1" applyAlignment="1">
      <alignment horizontal="center"/>
    </xf>
    <xf numFmtId="2" fontId="0" fillId="0" borderId="0" xfId="0" applyNumberFormat="1" applyAlignment="1">
      <alignment horizontal="center"/>
    </xf>
    <xf numFmtId="2" fontId="0" fillId="3" borderId="0" xfId="0" applyNumberFormat="1" applyFill="1" applyAlignment="1">
      <alignment horizontal="center"/>
    </xf>
    <xf numFmtId="10" fontId="0" fillId="0" borderId="0" xfId="2" applyNumberFormat="1" applyFont="1"/>
    <xf numFmtId="164" fontId="0" fillId="4" borderId="0" xfId="0" applyNumberFormat="1" applyFill="1" applyAlignment="1">
      <alignment horizontal="center"/>
    </xf>
    <xf numFmtId="0" fontId="0" fillId="0" borderId="0" xfId="0" applyAlignment="1">
      <alignment horizontal="left" vertical="top" wrapText="1"/>
    </xf>
    <xf numFmtId="0" fontId="0" fillId="0" borderId="0" xfId="0" applyAlignment="1">
      <alignment vertical="top"/>
    </xf>
  </cellXfs>
  <cellStyles count="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87073-3AEC-4183-8C89-A747045A0FD1}">
  <sheetPr codeName="Sheet2"/>
  <dimension ref="A1:C34"/>
  <sheetViews>
    <sheetView workbookViewId="0"/>
  </sheetViews>
  <sheetFormatPr defaultRowHeight="15.75" x14ac:dyDescent="0.5"/>
  <cols>
    <col min="1" max="3" width="36.5625" customWidth="1"/>
  </cols>
  <sheetData>
    <row r="1" spans="1:3" x14ac:dyDescent="0.5">
      <c r="A1" s="6" t="s">
        <v>17</v>
      </c>
    </row>
    <row r="3" spans="1:3" x14ac:dyDescent="0.5">
      <c r="A3" t="s">
        <v>18</v>
      </c>
      <c r="B3" t="s">
        <v>19</v>
      </c>
      <c r="C3">
        <v>0</v>
      </c>
    </row>
    <row r="4" spans="1:3" x14ac:dyDescent="0.5">
      <c r="A4" t="s">
        <v>20</v>
      </c>
    </row>
    <row r="5" spans="1:3" x14ac:dyDescent="0.5">
      <c r="A5" t="s">
        <v>21</v>
      </c>
    </row>
    <row r="7" spans="1:3" x14ac:dyDescent="0.5">
      <c r="A7" s="6" t="s">
        <v>22</v>
      </c>
      <c r="B7" t="s">
        <v>23</v>
      </c>
    </row>
    <row r="8" spans="1:3" x14ac:dyDescent="0.5">
      <c r="B8">
        <v>3</v>
      </c>
    </row>
    <row r="10" spans="1:3" x14ac:dyDescent="0.5">
      <c r="A10" t="s">
        <v>24</v>
      </c>
    </row>
    <row r="11" spans="1:3" x14ac:dyDescent="0.5">
      <c r="A11" t="e">
        <f>CB_DATA_!#REF!</f>
        <v>#REF!</v>
      </c>
      <c r="B11" t="e">
        <f>'Monte Carlo Option Pricing'!#REF!</f>
        <v>#REF!</v>
      </c>
      <c r="C11" t="e">
        <f>#REF!</f>
        <v>#REF!</v>
      </c>
    </row>
    <row r="13" spans="1:3" x14ac:dyDescent="0.5">
      <c r="A13" t="s">
        <v>25</v>
      </c>
    </row>
    <row r="14" spans="1:3" x14ac:dyDescent="0.5">
      <c r="A14" t="s">
        <v>29</v>
      </c>
      <c r="B14" t="s">
        <v>34</v>
      </c>
      <c r="C14" s="7" t="s">
        <v>33</v>
      </c>
    </row>
    <row r="16" spans="1:3" x14ac:dyDescent="0.5">
      <c r="A16" t="s">
        <v>26</v>
      </c>
    </row>
    <row r="17" spans="1:3" x14ac:dyDescent="0.5">
      <c r="C17">
        <v>4</v>
      </c>
    </row>
    <row r="19" spans="1:3" x14ac:dyDescent="0.5">
      <c r="A19" t="s">
        <v>27</v>
      </c>
    </row>
    <row r="20" spans="1:3" x14ac:dyDescent="0.5">
      <c r="A20">
        <v>28</v>
      </c>
      <c r="B20">
        <v>34</v>
      </c>
      <c r="C20">
        <v>26</v>
      </c>
    </row>
    <row r="25" spans="1:3" x14ac:dyDescent="0.5">
      <c r="A25" s="6" t="s">
        <v>28</v>
      </c>
    </row>
    <row r="26" spans="1:3" x14ac:dyDescent="0.5">
      <c r="A26" s="7" t="s">
        <v>30</v>
      </c>
      <c r="B26" s="7" t="s">
        <v>39</v>
      </c>
    </row>
    <row r="27" spans="1:3" x14ac:dyDescent="0.5">
      <c r="A27" t="s">
        <v>31</v>
      </c>
      <c r="B27" t="s">
        <v>45</v>
      </c>
    </row>
    <row r="28" spans="1:3" x14ac:dyDescent="0.5">
      <c r="A28" s="7" t="s">
        <v>32</v>
      </c>
      <c r="B28" s="7" t="s">
        <v>32</v>
      </c>
    </row>
    <row r="29" spans="1:3" x14ac:dyDescent="0.5">
      <c r="B29" s="7" t="s">
        <v>30</v>
      </c>
    </row>
    <row r="30" spans="1:3" x14ac:dyDescent="0.5">
      <c r="B30" t="s">
        <v>36</v>
      </c>
    </row>
    <row r="31" spans="1:3" x14ac:dyDescent="0.5">
      <c r="B31" s="7" t="s">
        <v>32</v>
      </c>
    </row>
    <row r="32" spans="1:3" x14ac:dyDescent="0.5">
      <c r="B32" s="7" t="s">
        <v>41</v>
      </c>
    </row>
    <row r="33" spans="2:2" x14ac:dyDescent="0.5">
      <c r="B33" t="s">
        <v>42</v>
      </c>
    </row>
    <row r="34" spans="2:2" x14ac:dyDescent="0.5">
      <c r="B34" s="7" t="s">
        <v>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7D512-DE2F-4F14-97F6-BD36DBDDBDE9}">
  <sheetPr codeName="Sheet3"/>
  <dimension ref="A1:I32"/>
  <sheetViews>
    <sheetView tabSelected="1" workbookViewId="0">
      <selection activeCell="C10" sqref="C10"/>
    </sheetView>
  </sheetViews>
  <sheetFormatPr defaultRowHeight="15.75" x14ac:dyDescent="0.5"/>
  <cols>
    <col min="1" max="1" width="16.625" bestFit="1" customWidth="1"/>
    <col min="2" max="2" width="8" bestFit="1" customWidth="1"/>
    <col min="3" max="3" width="7.125" bestFit="1" customWidth="1"/>
    <col min="5" max="5" width="8.8125" style="5"/>
    <col min="6" max="6" width="9.625" style="14" bestFit="1" customWidth="1"/>
    <col min="7" max="8" width="8.8125" style="4"/>
    <col min="9" max="9" width="12.1875" style="4" bestFit="1" customWidth="1"/>
    <col min="10" max="10" width="10.6875" bestFit="1" customWidth="1"/>
  </cols>
  <sheetData>
    <row r="1" spans="1:8" x14ac:dyDescent="0.5">
      <c r="A1" t="s">
        <v>4</v>
      </c>
      <c r="B1" t="s">
        <v>0</v>
      </c>
      <c r="C1" s="1">
        <v>1.1000000000000001</v>
      </c>
      <c r="E1" s="8" t="s">
        <v>15</v>
      </c>
      <c r="F1" s="13" t="s">
        <v>16</v>
      </c>
      <c r="G1" s="9" t="s">
        <v>13</v>
      </c>
      <c r="H1" s="9" t="s">
        <v>14</v>
      </c>
    </row>
    <row r="2" spans="1:8" x14ac:dyDescent="0.5">
      <c r="A2" t="s">
        <v>5</v>
      </c>
      <c r="B2" t="s">
        <v>1</v>
      </c>
      <c r="C2" s="1">
        <v>0.9</v>
      </c>
      <c r="E2" s="5">
        <v>0</v>
      </c>
      <c r="G2" s="10">
        <f>C7</f>
        <v>100</v>
      </c>
      <c r="H2"/>
    </row>
    <row r="3" spans="1:8" x14ac:dyDescent="0.5">
      <c r="E3" s="5">
        <v>1</v>
      </c>
      <c r="F3" s="15">
        <v>0.49</v>
      </c>
      <c r="G3" s="10">
        <f>IF(F3=1,G2*$C$1,G2*$C$2)</f>
        <v>90</v>
      </c>
    </row>
    <row r="4" spans="1:8" x14ac:dyDescent="0.5">
      <c r="A4" t="s">
        <v>6</v>
      </c>
      <c r="B4" t="s">
        <v>2</v>
      </c>
      <c r="C4" s="3">
        <v>0.49</v>
      </c>
      <c r="E4" s="5">
        <v>2</v>
      </c>
      <c r="F4" s="15">
        <v>0.49</v>
      </c>
      <c r="G4" s="10">
        <f>IF(F4=1,G3*$C$1,G3*$C$2)</f>
        <v>81</v>
      </c>
    </row>
    <row r="5" spans="1:8" x14ac:dyDescent="0.5">
      <c r="A5" t="s">
        <v>7</v>
      </c>
      <c r="B5" t="s">
        <v>3</v>
      </c>
      <c r="C5" s="3">
        <f>1-C4</f>
        <v>0.51</v>
      </c>
      <c r="E5" s="5">
        <v>3</v>
      </c>
      <c r="F5" s="15">
        <v>0.49</v>
      </c>
      <c r="G5" s="10">
        <f>IF(F5=1,G4*$C$1,G4*$C$2)</f>
        <v>72.900000000000006</v>
      </c>
    </row>
    <row r="6" spans="1:8" x14ac:dyDescent="0.5">
      <c r="E6" s="5">
        <v>4</v>
      </c>
      <c r="F6" s="15">
        <v>0.49</v>
      </c>
      <c r="G6" s="10">
        <f>IF(F6=1,G5*$C$1,G5*$C$2)</f>
        <v>65.610000000000014</v>
      </c>
    </row>
    <row r="7" spans="1:8" x14ac:dyDescent="0.5">
      <c r="A7" t="s">
        <v>11</v>
      </c>
      <c r="B7" t="s">
        <v>8</v>
      </c>
      <c r="C7" s="2">
        <v>100</v>
      </c>
      <c r="E7" s="5">
        <v>5</v>
      </c>
      <c r="F7" s="15">
        <v>0.49</v>
      </c>
      <c r="G7" s="10">
        <f>IF(F7=1,G6*$C$1,G6*$C$2)</f>
        <v>59.049000000000014</v>
      </c>
    </row>
    <row r="8" spans="1:8" x14ac:dyDescent="0.5">
      <c r="A8" t="s">
        <v>37</v>
      </c>
      <c r="B8" t="s">
        <v>10</v>
      </c>
      <c r="C8" s="16">
        <v>0.03</v>
      </c>
      <c r="E8" s="5">
        <v>6</v>
      </c>
      <c r="F8" s="15">
        <v>0.49</v>
      </c>
      <c r="G8" s="10">
        <f>IF(F8=1,G7*$C$1,G7*$C$2)</f>
        <v>53.144100000000016</v>
      </c>
    </row>
    <row r="9" spans="1:8" x14ac:dyDescent="0.5">
      <c r="E9" s="5">
        <v>7</v>
      </c>
      <c r="F9" s="15">
        <v>0.49</v>
      </c>
      <c r="G9" s="10">
        <f>IF(F9=1,G8*$C$1,G8*$C$2)</f>
        <v>47.829690000000014</v>
      </c>
    </row>
    <row r="10" spans="1:8" x14ac:dyDescent="0.5">
      <c r="A10" t="s">
        <v>12</v>
      </c>
      <c r="B10" t="s">
        <v>35</v>
      </c>
      <c r="C10" s="11">
        <v>8.4072199698907717</v>
      </c>
      <c r="E10" s="5">
        <v>8</v>
      </c>
      <c r="F10" s="15">
        <v>0.49</v>
      </c>
      <c r="G10" s="10">
        <f>IF(F10=1,G9*$C$1,G9*$C$2)</f>
        <v>43.046721000000012</v>
      </c>
    </row>
    <row r="11" spans="1:8" x14ac:dyDescent="0.5">
      <c r="A11" t="s">
        <v>38</v>
      </c>
      <c r="B11" t="s">
        <v>9</v>
      </c>
      <c r="C11" s="12">
        <f>C10/EXP(C8)</f>
        <v>8.1587490693403222</v>
      </c>
      <c r="E11" s="5">
        <v>9</v>
      </c>
      <c r="F11" s="15">
        <v>0.49</v>
      </c>
      <c r="G11" s="10">
        <f>IF(F11=1,G10*$C$1,G10*$C$2)</f>
        <v>38.742048900000015</v>
      </c>
    </row>
    <row r="12" spans="1:8" x14ac:dyDescent="0.5">
      <c r="E12" s="5">
        <v>10</v>
      </c>
      <c r="F12" s="15">
        <v>0.49</v>
      </c>
      <c r="G12" s="10">
        <f>IF(F12=1,G11*$C$1,G11*$C$2)</f>
        <v>34.867844010000013</v>
      </c>
      <c r="H12" s="17">
        <f>MAX(90-G12,0)</f>
        <v>55.132155989999987</v>
      </c>
    </row>
    <row r="13" spans="1:8" x14ac:dyDescent="0.5">
      <c r="F13"/>
      <c r="G13"/>
      <c r="H13"/>
    </row>
    <row r="14" spans="1:8" x14ac:dyDescent="0.5">
      <c r="F14"/>
      <c r="G14"/>
      <c r="H14"/>
    </row>
    <row r="15" spans="1:8" x14ac:dyDescent="0.5">
      <c r="F15"/>
      <c r="G15"/>
      <c r="H15"/>
    </row>
    <row r="16" spans="1:8" x14ac:dyDescent="0.5">
      <c r="F16"/>
      <c r="G16"/>
      <c r="H16"/>
    </row>
    <row r="17" spans="6:8" x14ac:dyDescent="0.5">
      <c r="F17"/>
      <c r="G17"/>
      <c r="H17"/>
    </row>
    <row r="18" spans="6:8" x14ac:dyDescent="0.5">
      <c r="F18"/>
      <c r="G18"/>
      <c r="H18"/>
    </row>
    <row r="19" spans="6:8" x14ac:dyDescent="0.5">
      <c r="F19"/>
      <c r="G19"/>
      <c r="H19"/>
    </row>
    <row r="20" spans="6:8" x14ac:dyDescent="0.5">
      <c r="F20"/>
      <c r="G20"/>
      <c r="H20"/>
    </row>
    <row r="21" spans="6:8" x14ac:dyDescent="0.5">
      <c r="F21"/>
      <c r="G21"/>
      <c r="H21"/>
    </row>
    <row r="22" spans="6:8" x14ac:dyDescent="0.5">
      <c r="F22"/>
      <c r="G22"/>
      <c r="H22"/>
    </row>
    <row r="23" spans="6:8" x14ac:dyDescent="0.5">
      <c r="F23"/>
      <c r="G23"/>
      <c r="H23"/>
    </row>
    <row r="24" spans="6:8" x14ac:dyDescent="0.5">
      <c r="F24"/>
      <c r="G24"/>
      <c r="H24"/>
    </row>
    <row r="25" spans="6:8" x14ac:dyDescent="0.5">
      <c r="F25"/>
      <c r="G25"/>
      <c r="H25"/>
    </row>
    <row r="26" spans="6:8" x14ac:dyDescent="0.5">
      <c r="F26"/>
      <c r="G26"/>
      <c r="H26"/>
    </row>
    <row r="27" spans="6:8" x14ac:dyDescent="0.5">
      <c r="F27"/>
      <c r="G27"/>
      <c r="H27"/>
    </row>
    <row r="28" spans="6:8" x14ac:dyDescent="0.5">
      <c r="F28"/>
      <c r="G28"/>
      <c r="H28"/>
    </row>
    <row r="29" spans="6:8" x14ac:dyDescent="0.5">
      <c r="F29"/>
      <c r="G29"/>
      <c r="H29"/>
    </row>
    <row r="30" spans="6:8" x14ac:dyDescent="0.5">
      <c r="F30"/>
      <c r="G30"/>
      <c r="H30"/>
    </row>
    <row r="31" spans="6:8" x14ac:dyDescent="0.5">
      <c r="F31"/>
      <c r="G31"/>
      <c r="H31"/>
    </row>
    <row r="32" spans="6:8" x14ac:dyDescent="0.5">
      <c r="F32"/>
      <c r="G32"/>
      <c r="H3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8D497-352E-4322-9783-52141F4E5FBB}">
  <sheetPr codeName="Sheet1"/>
  <dimension ref="A1:K16"/>
  <sheetViews>
    <sheetView workbookViewId="0">
      <selection activeCell="A6" sqref="A6"/>
    </sheetView>
  </sheetViews>
  <sheetFormatPr defaultRowHeight="15.75" x14ac:dyDescent="0.5"/>
  <sheetData>
    <row r="1" spans="1:11" ht="15.85" customHeight="1" x14ac:dyDescent="0.5">
      <c r="A1" s="18" t="s">
        <v>43</v>
      </c>
      <c r="B1" s="18"/>
      <c r="C1" s="18"/>
      <c r="D1" s="18"/>
      <c r="E1" s="18"/>
      <c r="F1" s="18"/>
      <c r="G1" s="18"/>
      <c r="H1" s="18"/>
      <c r="I1" s="18"/>
      <c r="J1" s="18"/>
      <c r="K1" s="19"/>
    </row>
    <row r="2" spans="1:11" ht="15.85" customHeight="1" x14ac:dyDescent="0.5">
      <c r="A2" s="18"/>
      <c r="B2" s="18"/>
      <c r="C2" s="18"/>
      <c r="D2" s="18"/>
      <c r="E2" s="18"/>
      <c r="F2" s="18"/>
      <c r="G2" s="18"/>
      <c r="H2" s="18"/>
      <c r="I2" s="18"/>
      <c r="J2" s="18"/>
      <c r="K2" s="19"/>
    </row>
    <row r="3" spans="1:11" ht="15.85" customHeight="1" x14ac:dyDescent="0.5">
      <c r="A3" s="18"/>
      <c r="B3" s="18"/>
      <c r="C3" s="18"/>
      <c r="D3" s="18"/>
      <c r="E3" s="18"/>
      <c r="F3" s="18"/>
      <c r="G3" s="18"/>
      <c r="H3" s="18"/>
      <c r="I3" s="18"/>
      <c r="J3" s="18"/>
      <c r="K3" s="19"/>
    </row>
    <row r="4" spans="1:11" ht="15.85" customHeight="1" x14ac:dyDescent="0.5">
      <c r="A4" s="18"/>
      <c r="B4" s="18"/>
      <c r="C4" s="18"/>
      <c r="D4" s="18"/>
      <c r="E4" s="18"/>
      <c r="F4" s="18"/>
      <c r="G4" s="18"/>
      <c r="H4" s="18"/>
      <c r="I4" s="18"/>
      <c r="J4" s="18"/>
      <c r="K4" s="19"/>
    </row>
    <row r="5" spans="1:11" ht="15.85" customHeight="1" x14ac:dyDescent="0.5">
      <c r="A5" s="19" t="s">
        <v>44</v>
      </c>
      <c r="B5" s="19"/>
      <c r="C5" s="19"/>
      <c r="D5" s="19"/>
      <c r="E5" s="19"/>
      <c r="F5" s="19"/>
      <c r="G5" s="19"/>
      <c r="H5" s="19"/>
      <c r="I5" s="19"/>
      <c r="J5" s="19"/>
      <c r="K5" s="19"/>
    </row>
    <row r="6" spans="1:11" ht="15.85" customHeight="1" x14ac:dyDescent="0.5">
      <c r="A6" s="19"/>
      <c r="B6" s="19"/>
      <c r="C6" s="19"/>
      <c r="D6" s="19"/>
      <c r="E6" s="19"/>
      <c r="F6" s="19"/>
      <c r="G6" s="19"/>
      <c r="H6" s="19"/>
      <c r="I6" s="19"/>
      <c r="J6" s="19"/>
      <c r="K6" s="19"/>
    </row>
    <row r="7" spans="1:11" ht="15.85" customHeight="1" x14ac:dyDescent="0.5">
      <c r="A7" s="19"/>
      <c r="B7" s="19"/>
      <c r="C7" s="19"/>
      <c r="D7" s="19"/>
      <c r="E7" s="19"/>
      <c r="F7" s="19"/>
      <c r="G7" s="19"/>
      <c r="H7" s="19"/>
      <c r="I7" s="19"/>
      <c r="J7" s="19"/>
      <c r="K7" s="19"/>
    </row>
    <row r="8" spans="1:11" ht="15.85" customHeight="1" x14ac:dyDescent="0.5">
      <c r="A8" s="19"/>
      <c r="B8" s="19"/>
      <c r="C8" s="19"/>
      <c r="D8" s="19"/>
      <c r="E8" s="19"/>
      <c r="F8" s="19"/>
      <c r="G8" s="19"/>
      <c r="H8" s="19"/>
      <c r="I8" s="19"/>
      <c r="J8" s="19"/>
      <c r="K8" s="19"/>
    </row>
    <row r="9" spans="1:11" ht="15.85" customHeight="1" x14ac:dyDescent="0.5">
      <c r="A9" s="19"/>
      <c r="B9" s="19"/>
      <c r="C9" s="19"/>
      <c r="D9" s="19"/>
      <c r="E9" s="19"/>
      <c r="F9" s="19"/>
      <c r="G9" s="19"/>
      <c r="H9" s="19"/>
      <c r="I9" s="19"/>
      <c r="J9" s="19"/>
      <c r="K9" s="19"/>
    </row>
    <row r="10" spans="1:11" ht="15.85" customHeight="1" x14ac:dyDescent="0.5">
      <c r="A10" s="19"/>
      <c r="B10" s="19"/>
      <c r="C10" s="19"/>
      <c r="D10" s="19"/>
      <c r="E10" s="19"/>
      <c r="F10" s="19"/>
      <c r="G10" s="19"/>
      <c r="H10" s="19"/>
      <c r="I10" s="19"/>
      <c r="J10" s="19"/>
      <c r="K10" s="19"/>
    </row>
    <row r="11" spans="1:11" ht="15.85" customHeight="1" x14ac:dyDescent="0.5">
      <c r="A11" s="19"/>
      <c r="B11" s="19"/>
      <c r="C11" s="19"/>
      <c r="D11" s="19"/>
      <c r="E11" s="19"/>
      <c r="F11" s="19"/>
      <c r="G11" s="19"/>
      <c r="H11" s="19"/>
      <c r="I11" s="19"/>
      <c r="J11" s="19"/>
      <c r="K11" s="19"/>
    </row>
    <row r="12" spans="1:11" ht="15.85" customHeight="1" x14ac:dyDescent="0.5">
      <c r="A12" s="19"/>
      <c r="B12" s="19"/>
      <c r="C12" s="19"/>
      <c r="D12" s="19"/>
      <c r="E12" s="19"/>
      <c r="F12" s="19"/>
      <c r="G12" s="19"/>
      <c r="H12" s="19"/>
      <c r="I12" s="19"/>
      <c r="J12" s="19"/>
      <c r="K12" s="19"/>
    </row>
    <row r="13" spans="1:11" ht="15.85" customHeight="1" x14ac:dyDescent="0.5">
      <c r="A13" s="19"/>
      <c r="B13" s="19"/>
      <c r="C13" s="19"/>
      <c r="D13" s="19"/>
      <c r="E13" s="19"/>
      <c r="F13" s="19"/>
      <c r="G13" s="19"/>
      <c r="H13" s="19"/>
      <c r="I13" s="19"/>
      <c r="J13" s="19"/>
      <c r="K13" s="19"/>
    </row>
    <row r="14" spans="1:11" ht="15.85" customHeight="1" x14ac:dyDescent="0.5"/>
    <row r="15" spans="1:11" ht="15.85" customHeight="1" x14ac:dyDescent="0.5"/>
    <row r="16" spans="1:11" ht="15.85" customHeight="1" x14ac:dyDescent="0.5"/>
  </sheetData>
  <mergeCells count="1">
    <mergeCell ref="A1:J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Monte Carlo Option Pricing</vt:lpstr>
      <vt:lpstr>Question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Philip Howard</dc:creator>
  <cp:lastModifiedBy>Philip Howard</cp:lastModifiedBy>
  <dcterms:created xsi:type="dcterms:W3CDTF">2017-04-11T02:49:49Z</dcterms:created>
  <dcterms:modified xsi:type="dcterms:W3CDTF">2017-12-01T12:26:52Z</dcterms:modified>
</cp:coreProperties>
</file>