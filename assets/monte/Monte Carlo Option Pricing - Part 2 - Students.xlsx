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Fall 2017\6 Simulation Analysis\Presentation\"/>
    </mc:Choice>
  </mc:AlternateContent>
  <bookViews>
    <workbookView xWindow="0" yWindow="0" windowWidth="20010" windowHeight="9570" firstSheet="1" activeTab="3" xr2:uid="{00000000-000D-0000-FFFF-FFFF00000000}"/>
  </bookViews>
  <sheets>
    <sheet name="CB_DATA_" sheetId="23" state="veryHidden" r:id="rId1"/>
    <sheet name="AAPL Dec 29" sheetId="29" r:id="rId2"/>
    <sheet name="Black-Scholes Option Pricing" sheetId="26" r:id="rId3"/>
    <sheet name="Monte Carlo Option Pricing" sheetId="22" r:id="rId4"/>
    <sheet name="Sensitiviety Analysis" sheetId="31" r:id="rId5"/>
  </sheets>
  <definedNames>
    <definedName name="CB_2c5cca3da0454389b9bfc6c650f67598" localSheetId="0" hidden="1">#N/A</definedName>
    <definedName name="CB_5c88b42d2a334c5d8a44402401b986af" localSheetId="3" hidden="1">#N/A</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"'636473770287371441"</definedName>
    <definedName name="CB_Block_00000000000000000000000000000001" localSheetId="3" hidden="1">"'636473770287190961"</definedName>
    <definedName name="CB_Block_00000000000000000000000000000003" localSheetId="0" hidden="1">"'11.1.4512.0"</definedName>
    <definedName name="CB_Block_00000000000000000000000000000003" localSheetId="3" hidden="1">"'11.1.4512.0"</definedName>
    <definedName name="CB_BlockExt_00000000000000000000000000000003" localSheetId="0" hidden="1">"'11.1.2.4.600"</definedName>
    <definedName name="CB_BlockExt_00000000000000000000000000000003" localSheetId="3" hidden="1">"'11.1.2.4.600"</definedName>
    <definedName name="CBCR_9ae6cb7f1cbe46b38e4df2cb4766a1e1" localSheetId="3" hidden="1">'Monte Carlo Option Pricing'!$F$3:$H$32</definedName>
    <definedName name="CBWorkbookPriority" localSheetId="0" hidden="1">-967479903423723</definedName>
    <definedName name="CBx_0b7114782f20436facd3e092662c9760" localSheetId="0" hidden="1">"'Monte Carlo Option Pricing'!$A$1"</definedName>
    <definedName name="CBx_b589f4d9718647b698946d7c6529c355" localSheetId="0" hidden="1">"'CB_DATA_'!$A$1"</definedName>
    <definedName name="CBx_f16dd8d6c56247c095a9dc97a4935ca9" localSheetId="0" hidden="1">"'Excel Simulation Model'!$A$1"</definedName>
    <definedName name="CBx_Sheet_Guid" localSheetId="0" hidden="1">"'b589f4d9-7186-47b6-9894-6d7c6529c355"</definedName>
    <definedName name="CBx_Sheet_Guid" localSheetId="3" hidden="1">"'0b711478-2f20-436f-acd3-e092662c9760"</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solver_corr" hidden="1">1</definedName>
    <definedName name="solver_ctp1" hidden="1">0</definedName>
    <definedName name="solver_ctp2" hidden="1">0</definedName>
    <definedName name="solver_disp" localSheetId="2" hidden="1">3</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localSheetId="2" hidden="1">100000</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1027" concurrentCalc="0" concurrentManualCount="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23" l="1"/>
  <c r="C1" i="22"/>
  <c r="C3" i="22"/>
  <c r="C4" i="22"/>
  <c r="C6" i="22"/>
  <c r="C7" i="22"/>
  <c r="C11" i="22"/>
  <c r="C14" i="26"/>
  <c r="C5" i="26"/>
  <c r="C2" i="26"/>
  <c r="C1" i="26"/>
  <c r="C9" i="22"/>
  <c r="C10" i="22"/>
  <c r="C7" i="26"/>
  <c r="C8" i="26"/>
  <c r="C10" i="26"/>
  <c r="C11" i="23"/>
  <c r="B11" i="23"/>
  <c r="A11" i="23"/>
</calcChain>
</file>

<file path=xl/sharedStrings.xml><?xml version="1.0" encoding="utf-8"?>
<sst xmlns="http://schemas.openxmlformats.org/spreadsheetml/2006/main" count="99" uniqueCount="75">
  <si>
    <t>u</t>
  </si>
  <si>
    <t>d</t>
  </si>
  <si>
    <t>Pu</t>
  </si>
  <si>
    <t>Pd</t>
  </si>
  <si>
    <t>Growth rate up</t>
  </si>
  <si>
    <t>Growth rate down</t>
  </si>
  <si>
    <t>Probability of up</t>
  </si>
  <si>
    <t>Probability of down</t>
  </si>
  <si>
    <t>S0</t>
  </si>
  <si>
    <t>C0</t>
  </si>
  <si>
    <t>K</t>
  </si>
  <si>
    <t>rf</t>
  </si>
  <si>
    <t>Stock price today</t>
  </si>
  <si>
    <t>Strike price</t>
  </si>
  <si>
    <t>Expected Payoff</t>
  </si>
  <si>
    <t>Stock</t>
  </si>
  <si>
    <t>Call</t>
  </si>
  <si>
    <t>t</t>
  </si>
  <si>
    <t>Simulation</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</si>
  <si>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</si>
  <si>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</si>
  <si>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</si>
  <si>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</si>
  <si>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</si>
  <si>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</si>
  <si>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</si>
  <si>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</si>
  <si>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</si>
  <si>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</si>
  <si>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</si>
  <si>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</si>
  <si>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b589f4d9-7186-47b6-9894-6d7c6529c355</t>
  </si>
  <si>
    <t>CB_Block_0</t>
  </si>
  <si>
    <t>㜸〱敤㕣㕢㙣ㅣ㔷ㄹ摥㌳摥㕤敦慣敤搸㡤搳㑢㑡㘹つ愵㤴搶挱㡤搳㠶㔲㈰〴㕦㥡㑢㜱㘲㌷㜶㔲慡㠲㌶攳摤㌳昱㌴㍢㌳敥捣慣ㄳ㤷㑡慤愰愵㈰㈸㐸摣㐴愱摣㉡㠴挴ぢ㤷ㄷ敥㉦〸㈴㄰㙡〵ㄲ昰㠰挴㐳愹㉡㜸攰愲㐸扣昰㠰〴摦㜷㘶㘶㜷㘶搷㍢㜶户㉤戸挸㈷摤摦㘷捥㙤捥㌹晦昵晣晦㤹收㐴㉥㤷晢㌷ㄲ晦㌲攵㤹戹㘶㜱摤て愴㍤㌱攳搶敢戲ㅡ㔸慥攳㑦㑣㜹㥥戱㍥㘷昹㐱ㅦㅡㄴ㉢ㄶ敡晤㐲挵户ㅥ㤴愵捡㥡昴㝣㌴㉡攴㜲愵㤲慥愱㥥㠳昰㌷ㄲ㍦攸散㌵㤸〷㔸㥡㤹㥥㕦扥ㅦ愳㉥〶慥㈷昷㡤㥤〹晢ㅥ㥡㥣㥣㤸㥣戸敤攰攴㠱㠹晤晢挶㘶ㅡ昵愰攱挹㐳㡥㙣〴㥥㔱摦㌷戶搰㔸慥㕢搵㜷换昵㈵昷扣㜴づ挹攵晤户㉥ㅢ户扤㜵昲戶㠳〷捤㍢敥㜸敢㈰㕥㥤㍢㌹㌳扤攰㐹搳㝦㤹挶㉣㜰捡户捤捡慡挵戵㐹改㔹捥戹㠹㤹㘹晣㤷㤸㍦㥥㙥㥦㔸㕣㤱㌲攰慢愵㈷㥤慡昴㜵㜴ㅣ戰愷㝣扦㘱慦㜲昳㜴晢〸㤶㕡㌵晣愰㘰捦挸㝡㕤户攳㔱㑢昶㍣昶慥㙥慣て摡㡢搲昱慤挰㕡戳㠲昵愲扤㠴㠱㙡㐳昶㘹㕦㥥㌲㥣㜳昲愴㘱换㠲㝤戴㘱搵昲㘱捡昵摤ㄸて㤱㥣㤸㕡晥挴㤴㙦捦慣ㄸ㥥㥡㤱捦㡤挹㘸㝢挴慢愶摢㕥摦㝤㕣㑥㕤扤㠱㘳摥搰扤ㅤ㙡捥ㄸ㕥戳攵㜸昷㤶搱攲搳㌳戸愵㝢晢挴ㅥ愵晢摣搴扤㡦摡捡㜴㙢㌱㄰搱户摡㔱㉣㐶㉦ㄲ昴ㄳ㤴〸㠸㐰扤㑣㌰㐰㌰〸㈰昲晦〰㤷㈴㍢戲㑡慢ㄸ㕡㘵㔹慢㔴戵㑡㑤慢㐸慤㘲㙡㤵㜳㕡㘵㐵慢㔸㕡攵㝥慤㜲ㅥ㙤攲㔴敡敦搷愲昴搳慦慥㕦昸昸摡ぢ戳摦昸搱摦㝥昳慢㌳㜷摣㌰戸ぢ㡤敥㡥㈶㌵敢ㄹㄷ㐰㙡㉤㉡〶㐷昰摦收㕣〱愶㌰て㥡户㥢㤳㤳戵㠳晢㡤㕢㡤〲㤷㤵㠱晣ㄴ愱㡣愰敤愰㜹㡦攵搴摣ぢち㜷搷㑣ㅢ扥㙣㙤摣㜸㔴㌷敤㌶㥣㥡晦㥡㡤㉢ㄷ〳㈳㤰㔷户搷戵〶改攸戶〸戶㤲扥㝡摦戵敤摤捥ㄸ昵㠶㥣扡㘸㠵搵慦㙤慢戶ㄷ㍣㜷戹㝢敤ㄱ㑦㍥搰慣敤㤸搱ㄴ㠴摡㥡ㅡ扢㘳㤵㘱㔵㌸慦戱㤹ㄵ搷㤷㡥㥡摥戸扤㘰㔵捦㑢㙦㔱㔲㈴捡㥡㕡敡攵慣㡡戸㝥㝣摥挱㐲挱慤戵搷㈷㑢捤㍢㉦〶㘰㘶㔹挳㝣㔷愵ㄷ慣㉦ㄹ换㜵㜹㐵慡㐹昸㑥㔴散㑤ㄵㅦ㜱慢つ㝦挶㜵〲捦慤愷㙢愶㙡㙢〶㈴㑤敤㠴㕢㤳昹㝣㑥〹〵〸摣扥㍥㈱㜲㌷㜷攷〵㠵㠸〴㡡挹挸㔷愵挹㙥攲ㄴ㔶㠷㔵搴㈵㘹㔲㝢挳㈶㠳㜱扥㑡挶㘴㜰㘰㘲㑤搴ㅦ㝣改㥢㌶ㄹ戶㠹戹㔷戶戱愶㡤㐶慢扦㜳㑤㍡挱㌱挳愹搵愵㤷愹晤〴㘷愴て〳ㄴ㉥㐱㈰㜴摤㍤慡㍡㜱㔱慣ㄷ㉥㔸戵㘰愵戸㈲慤㜳㉢〱捡愰㈱㑢㈵㙥㙤㐷搲㉦㐳㤱扥㥢㘰ㄴ愰㕣捥ㄵ昷戰㔱戱㡣㤴㉢㔰㍡㘵昰㜲㑡㤰戳㕦㡡㤷〷捤㈳㔶㍤㤰愱㔰ㅥ㌶㠱㤱㔰慢㈹昴つ㤱㐴㍤愳ㅡ㉡㡣㍤收っ愸搴戰㥣㘰扤挵户ㅤ㕣ㄲㄲ搱㡥㉣搸㜶戲㠰愲㈰㉤て㌲㜸つ㐴搳㈶つ戲ㅢ㈷㠸㠸㙣㤰愱搹㌱㜲㥡挸搸㍥㐳㐶愰㝤㤲〸搹㝡㝦㜷ㄹ㐱㘲敦㈴㔲㜶敡捡㡦㍢搲㙣㈳㕢㍥㤴㘶㤷㘳攳昴㉢〸慥㈴戸㡡㘰㉦㠰昸ㄳ㈴ㅣ愵ㅣ昲改愴扦〶捦晡㌵〴慦〵㠰㝣搲㈹㜳㈲㔱㐵ㅢ㙡㉢㜶㈴摢つ挱㑥㔶㐶㜱㈸㡡㘸ㄹ㌷敤捣㈱㕢㈱㍡戲㍡户㠷慥捤㉢ㅤ晢挶敥戴㤹㕣づ㈹㌲愳㘹㜲慤㥢㌴㑤㙥〴㥢昶愸户慥㐳㔷㝤㡣攰㜵〰㘵晤昵㠴㔰㉥㌴㜸户㘶搱搳愴㝣㔵㤸㐵愱㌱搴愳㠲㡦〸㤹㐷㠰っ㈱搷㜱㝣搹戱愱㘹づ㡥㥢慦㝡ㅢ㝡㕦㜷晥㡥㤰摥愶㌷㜷昴づ晤㐵㉦搲㡡扥ㅥ散㈵晥搰㔵挷摣㠰㙡晤㡤〴㌷〲戴改ㄸ㥥扥㕦慣愷㐰㤹挵㜶〲㜳扢改㜵㔱㔶敥搲晡慡㔴ㅡ㘸搰㕣㌲扣㜳㌲㠰〷攳昸㉣㙣㘱搷昳㘴ㅤ㠷摡㥡㉡攰昹攵捡㜴愱㝦挴㜳㙤㤶敦搸挸晥慢㐲㌱攴昳㕡㕦慥捤㐶捥戰㌵ㄳ㍥愷〴攵㔰〷摦摡㕤㐸㈴㍡愵挹㡢晤戲捦㤷㍢㤲愴〷㐹㜲ㄳ戶㔵扦ㄹ〰㔲㐲晣慥慢㐴搹挷㘶㙦㔶捤搲ㄶ㉢㍤㝣ㄹ愷㤳㌶ㅦ㘲㠷ㅣㄹ〸ㅤ戶搳昰ㅦ昸㐳昶愲㘵㌷㠵挵㠰扤㈰扤㉡㝣ぢ㔶㕤㤶㐳户㉣㐵捤㡥慣㜸㤵挸㡡扥扥㡥昳㜴㠶㝦㑤搱㐹㥢㤴挸攴昶捣捡㡣戳㜸㡢愸攸㠶愴㔰挹㜰つ㌵㈵㄰㈹㡦㙤㜷㐴㑣て㈲收ㄶ㙣㥣扥㥦㘰㤲攰〰㐰攱㔹㐸㥡慤㙥㍣挳㘱晤㙢㜴㘹㔷㉡戹ㄲ搱愰㕣㠴捦㜴ㄵ㔶〷昹㥡户㄰摣づ搰㘶晥搰〱㤹㐱㠸ち攵〹㐲㔴㘱っ昳㡣㈵㉦㤰〶㜶㤹〸㉣捤㌴晣挰戵ㄹ㔹ㅡ㌲㘷摤㤳㙥㌰㙢昹慢㠸㐴㡤㥡㔱收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㘰㥦户〱摣㜵昴昴昱㔶㘴敥㈵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㘰戴㠲扡ㅤ〱㤱愳搲愵昸づ挶愵㠷㔱ㄲち㈱㘲㍤㠳㐴攰ㄵ㑣〸㜹扡戸㡢收㘹挷ち㠰㍤㘲散㠸ㄵ捣晡㐰㌹〰戲敡㜸㝢戵挲㙡愲搳㜸㔳㉢㕣搷㔹㤵㔲ㄳ搷㜶搶㈷昵挶ㅢ㌶愸づ㌵㑡㐲㤱㙣搶㐸㘹㤶つ收戸㥤㔴㡤㔰㡡㍢搶㌶㈲换㙤摡摡㜷㑡㤱㤷愰㤸ㄴ捤攴昴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晥㐹愶㙦ㅣ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搷户㔵㐴㤷〵て捣㑥ㅣ㌳㠲敡捡㘲戰ㅥ㕥摣敡㤵㈴ち㍦㠶㍦㘲挳户搳㘶捥㍢扣㠸扡挶扤㉦㥦㜷摣ぢ㡥㥡㔷挱攷慤㍦㔰〸慥㔰昶㜳㤲攵摣扦昱㑦㈵㉤㔷昸ㄱ㐶摣捡戴㌹㐰换㐱挲㜱㔴ち愵挱ㄸ昲ㄹ㜴〲摢扤㜹㙢㠰㜴戲愷㡤㑥㤴㈰搸㈱ㄴ攷摣换㐶㈸攲㠷㐰㉢㠹㈵㍣㤲㘳捦扦づ搶ㄷ㍦㐰〹ㄱ㡥攷㐸㡣ㄴ㕥㠷㕣〶敡㤴㈰㡦慥㜸昰㐲挸晦て㤶㘲㙥摥㤰㥤晥ぢ捣㉣扥摦㡥愲㙢㠹愲敦㜵愰㐸昰ㅡ㠸攲摦扢㤰㠹㔳㠱攱搹ㄷㄵ〸攷㥡㜶づ愰慦昸㠵摦晦攱〱㜴㉥㈲づ㘵愳㈱搴㜶〳㥥㥢㈶㐲㕦㠷㠹挰攰扤㌲ㄱ㑥㈰㈳ㄸ挵て㑤㠴挸〷㌲㡦㠲捤㑤〴挶昶㌲っ挱㐴愸㌵攱搶攰〹散ち㥢晥戱㘳戸㜸㉢㝤挴昳愱戴晣ㄹ㜸愴慥散㉣㕥㌰㍣挳摥慢捡㡦㝡ㄲ捡捣㕢挲㑤㙥搵㠵㍤慥摥戰㐶㜵摡挰㔷ㄱ㝢搹㜷晣㈹㕢扢扦づ㑣㠵㈹㜴摦㡢㤲㈸扥〴㑦㠹攰戹㈱昷晥㍤摦㍣晡挷〷ㅦ㍤捣摢㙡ㄱ慤ㄶ㙥㐶扥㤷㤰㍤敤〹〴㜵ㄳㄷ㐵㉥攷㠷㌹㈷昰㠹㤲戵㕡㤷搳㠶愷慣㈰㕦户攳㙣㐸㜸〹挲っ㠹㙦㍢㤸㤸戸昷㄰㥡㤸ㄳ㙤敥㑥昵㘱㤳㜲ㄱ㑥㈴㈶慥㝣㝡㜱搸㔰㜴㔵㘴㍤㕡㥢㠵㙦㐳ㄵ扤挸㠹愴慤㐴㥥㍡㤹㠴昸㔶扢慥㍢㐸㕤ㄷㅥ㘴ㄸ昶㡦愵ㄴ攲て愴㤰攴㐱㠶ㄷ〲㤴㤴㍡㠵㑣攱ㄶ㠰㡣挸㕡㝢㠸㤷晥㠰ㅤ㈱㈰㥢㤷晥㝡晣㠸〵扢〸㉣挶扥昸㕥㑦戴戴㐵㘳搵挴㔰慤戲㘹ㄶ㤱㔱㠷ㄷㄶ㑣挶愵㈹㑢攷〰㑡户散㡥攲㑢㠶散㌰昰ㄶ㌲㜶挱愶慦慤㙣摦改㌴㜰昳〳㝡愶愸ㄴ㠶戳㥢挵㌸㤰慡ㄸ㕤搸戴ㅣㄶㄱづ㠷搹㘶愷㠱愸ち㍡换搹㡢㔳㈹㠲㝦晣㔲㠸昵攳慤愱㉦㙦慦愱㡥㜳晡戱㐰晥㘰㝦㕤㥢挱搸㜸㉢㌹〶ㄲ㜶㑢慤㑡攱昵昰搳攸挲㐵攷㠴摥捡慡㘷㜱㄰㝦㘲捥敡搳㍡昴㍦愳搷㡡戳捥戰㌷挳搸㈹晤晦ㅥㄴ㙣慡晦〵㘳㙦ち㤱昷㐶ㄹ㍥ㄴㄸ㍦搹㌴㘴挳ㅤ㠱㘷ㅢ挱ㅢ㜵㌰搶㔵㤶㈱敦㌰户㠸㡦㔷挳㙡㈵挱攱昷捡户㕦㡤㘸昶愵㙤㍢搰㔵〰㌲㌶㔴昸㍡㐴㔰搷晥㘹戹ㄵ㥦㙥㡢昷愱攳㥥ㄳ㔶搵㜳㝤搷っ挶ㄶㄱ昴ㅤ攳户㘷㈶㙣㥥㈹昱戵㜶愱㜶㍤㜶㘲昰㝤攸㜳㜲ㅥ〲晢愴っ㕥慥㔸㈴㈳ぢ㕢㡢㘴昰㍢愴㤱㐴㜸㠹摡挱扦捣扣扢㘱搴昱改敡㍣㝣㥤〱㡢戶㠵戲ぢ㍤捥敤㌷㌴戸㜵戸愳昵㙥昸㠳㘴㝤〲挱㌱戵㠴晢摥挷㝤㙤摦㠳㜴摢㘸㙤㍥㕢昶收㜳㉢ㄷ㥥〶㑥户昶㤶㌴挹昰㥤晣㈲戹慣㔷〸㜱㘹晦㌰晥㙥摤㐱换搱㐶㐱攷搱〷摤㜴㠴㡤搷攱㍥摢㐲昴晢㉣扡㡡㈹〲晣㜴㈳捡昰㐱搰换㐷㔶ㄴ㕦挲戲挸〰挸攷㡡㔵㠰敥㔴晤搴㐶㔴㍤ㄲぢ㘴挱㌳〶挹戱㉣扥㠰㠶摣慥㜰搹㘰〹㉥㕢愸戳〴昲㝡摣〳昹㥣攰㔹㐲㑤攴㜳攸搰㥣㠸㠵搲敥ㄳ昹散㐶ㄳㄱ戴〲搴㐲㤳攳㡦挴㕡㐴慦愳㕡户〹ㅣ〲ㄷ㘰㤸㘲㤱戲愶ㄸ㠶ㄶ㝥㐰捣㈰晤㍡晡晢摣攱㘷㥦㘱晡敢㘱愱〴㈱慡搲㤳愷㈰㔴㤳晦㐴㜲昲ㅥ㑡扢㑦晥㠹㡤㈶㍦㐲ㄹ挹㤹攸〱挰㔰㥦愸攰㡦㕡㑣〳ㄹ敥㈳㝦攲㉣〱㝥愹㔹㡣ㄸ㈸㔱㝤㉦㈰㠳扥摣㜰搵敡㈲㌲㜱摦〲搷㥦昱㜱㡦戲㡦㜸ㄱ㤲扥㥣㘲攸㡣㉤㠶㕡戱㘴㐷㕥搸㙤㈱ㅢ戰㈴㝥㉤摢㔵愴ㄷ㝢㡣昰㡢挷㘳挴ㅣ㍢ㄶ㝦㌹愵㐵㌱㈷㄰㐶㘸㤱㤲㝥戸㤱攲㐳㜱攳敦㝣户攵㌲㐵〵ㄲ愸㈷㙣㑣㍡㔳㡤ㅦ㡢ㅢㅦ挰㔷㔹慡㑤㡥㌷〸㤸㥥㡢ㅢ㤳ㅥ㔵攳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挴㤸捤㍤搲愲ㄹ晤㘱㈰〷搲ㄱ㤰ㄹ晤ㄱ挰㌰㄰挳摢捡戹ㄱ昲扦㘲敥て戰攲㠳〴㡦〲㤴〵㤹㥤㜴㔰㝣っ㘰㌸晥ㅦ㔵㡣慤㈹㝦㠹㈶ㅥ㡣㕦㤶㈴㈳晤㜱㜶昸㌰㐰ㅦ摣户㈲㈲挲戲晥ㄱ㤴㈴㕦㑡挱愱㕥晡㔱㔶㝣㡣攰〹㠰㜲㠱㤳摤昲慥㜱㑤㍤㙡慥㡦愳慢㜸㠴〰㍦晤ㄳ㔱㠶て〵敥挳摢扢摢捡㍣ち挷ㅦ昶㈳搴㤹晡㠲晦㑥㝣㤱扦捥㐵昷攱㝦㐸㔲㔰㠶㝤㕥㝢㕢㙦㘳㤱〹㘸㤳慢摦㉡㌶晢㈵㡣挳㜵戵㈲㈸ㅣ㤱㑡愵愴ㄵ〵昱捤〵ぢㄷ㙦攰㕢づ愹ち㈱㐸〳慡挲㠹㉡づ愳㐰晦ㄴ㥢ㄲ挷挴㤳晥㘹㍥ㄱ戵㙡ㄳ㍦ㄳ㘵昸㈰㠸㔷搵晤晥愸㝢晣㐲攲㕡㔵㔸㙤㉦㈴晥㔵挵㑡昲㠵㑦㜲㌰㠵㉣㘴搲㕡㠹㐸㔳㌴昴〵㘴㠶晡㠶㌹户㝢昰搳㉥㡡敡搹摡搹戳晦ㅣ捥㡦㕤㥤㝦捦扢〶㥦㝣敥㤷捦㝦昲户敦㍤昴攷㝦㍤昵搴㙦㕦昸攴㌳晦晡昱昲愱㥦㍦晤昴捦敥晡昲㌳捦敦㌶扦愲㝤昷㥦㜳㕦㜹㘸昲晣㐳て㤸愷㙦㍥晡搰扤昷摦㍤戹㜰搹㜸㕦㕦㝦晦㡤愳扦戸敡㑤㈳㡦㍣昰㝤昱㤳摦㕦改〸戵㕣扣㈰㍤つ㉥㕢㑤攳㡢挸㘰ㅡ㥣昱㉢㍡つ㉥㔷㙤搴㜲戴㔱搳㈸㈸挱愷挱〹愸ち㈳㕤㌱昰ㅦ晤㐶戴㕡</t>
  </si>
  <si>
    <t>Decisioneering:7.0.0.0</t>
  </si>
  <si>
    <t>f16dd8d6-c562-47c0-95a9-dc97a4935ca9</t>
  </si>
  <si>
    <t>CB_Block_7.0.0.0:1</t>
  </si>
  <si>
    <t>0b711478-2f20-436f-acd3-e092662c9760</t>
  </si>
  <si>
    <t>Current Stock Price</t>
  </si>
  <si>
    <t>T</t>
  </si>
  <si>
    <t>Volatility</t>
  </si>
  <si>
    <t>sigma</t>
  </si>
  <si>
    <t>Intermediate Calculations</t>
  </si>
  <si>
    <t>d1</t>
  </si>
  <si>
    <t>d2</t>
  </si>
  <si>
    <t>Call Option Price</t>
  </si>
  <si>
    <t>=1/(sigma*sqrt(T))*(ln(S0/K)+(rf+sigma^2/2)*T)</t>
  </si>
  <si>
    <t>=d1-sigma*sqrt(T)</t>
  </si>
  <si>
    <t>=norm.s.dist(d1,TRUE)*S0-norm.s.dist(d2,TRUE)*K/exp(rf*T)</t>
  </si>
  <si>
    <t>E[Payoff]</t>
  </si>
  <si>
    <t>㜸〱敤㕣㕢㙣ㅣ搷㜹摥㌳㝢攱捥㤲ㄴ㘹㔱㤶㉣挷戱㤹㌸㡥ㅤ㔳㘵㐴搹慡攳愴慡挲㡢㈸挹搶㠵ㄶ㈹㌹㑥搳慣㠶扢㌳攴㔸㍢戳搴捣㉣㈵摡㑡散〲つ搰㈲ㄷ戴㑥㄰挰戱ㅤ攷づ〴㐱㔲昴挵㑤搰扣ㄴ㈸搰愲㜰㠰㍣愴て〵晡攰〶㐵晢㤰愰㔰搱ㄷ㍦〴㜰扥敦㥦㤹摤搹㕤敥㤰㕥摢㈹ㅤ㜰㈸晥㍣㜳敥攷晣搷昳晦㘷㤴㔱㤹㑣收つ㍣晣换㈷挷挴ㅤ㡢ㅢ㝥㘰㍡㤳戳昵㕡捤慣〴㜶摤昵㈷愷㍤捦搸㌸㘳晢㐱ㄶㄵち㘵ㅢ攵㝥扥散摢㑦㤹挵昲扡改昹愸㤴捦㘴㡡㐵㕤㐳㌹㍢攱敦㘸晣愲戳搵㔰づ㘰㘹㜶收晣昲㤳攸㜵㌱愸㝢收愱昱㑢㘱摢㘳㔳㔳㤳㔳㤳てㅥ㥤㍡㌲㜹昸搰昸㙣愳ㄶ㌴㍣昳㤸㙢㌶〲捦愸ㅤㅡ㕦㘸㉣搷散捡愳收挶㔲晤㡡改ㅥ㌳㤷て㍦戰㙣㍣昸㤱愹〷㡦ㅥ戵ㅥ㝥昸㈳㐳ㄸ㍡㜳㙥㜶㘶挱㌳㉤晦㙤敡㌳捦㈹㍦㌸㘷㔶㙣慥捤㌴㍤摢㕤㤹㥣㥤挱扦挴晣昱昶搰攴攲慡㘹〶ㅣ摡昴㑣户㘲晡㍡ㅡづ㍡搳扥摦㜰搶戸㜹扡㌳㡦愵㔶っ㍦挸㍢戳㘶慤愶㍢㜱慦㐵攷㍣昶慥㘶㙣っ㌹㡢愶敢摢㠱扤㙥〷ㅢ〵㘷〹ㅤ㔵㠷㥤㡢扥㜹挱㜰㔷捣㜳㠶㘳收㥤㤳つ扢㥡ぢ㥦㑣昶摥戸㡢攴挴㘴昹㤳搳扥㌳扢㙡㜸㌲㈳㥦ㅢ㤳㔲㜷摥慢戴搷扤扢㜷扦㥣扡㡣挰㍥敦改㕤て㈵㤷っ慦㔹㜳愲㜷捤㘸昱敤㌳昸㜰敦晡㠹㍤㙡㙦昳愱摥㙤㘴㉢摢㙢慢挱㠸扥㘵㐷戱ㄸ扤㐰㌰㐰㔰㈴㈰〲昵ㄲ挱㈰挱㄰㠰捡晤ㅦ戸㈴搹㤰㐵㕡搹搰捡换㕡戹愲㤵慢㕡搹搴捡㤶㔶㕥搱捡慢㕡搹搶捡㑦㙡攵㉢愸ㄳ㍦挵㠱〱㉤㝡昶㥣扣攳㜳㍦扦昱扦㈷㥥晢搵搱㐷㕥戸昲攵㕦て敤㐱愵挷愲㐹捤㜹挶㌵㤰㕡㡢㡡挱ㄱ晣搹㥡㉢挰ㄴ搶㔱敢㈱㙢㙡慡㝡昴戰昱㠰㤱攷戲㔲㤰摦㐶㈸愳愸㍢㘴㍤㙥扢搵晡㌵挱摤ㅤ㌳㠶㙦戶㌶㙥㈲㉡㥢愹㌷摣慡晦㥥捤ぢㄷ〳㈳㌰㙦敦㉣㙢㜵搲搵㙣ㄱ㙣㘵晡㌲摥㥤㥤捤㉥ㄹ戵㠶㌹㝤摤づ㡢摦摢㔱散㉣㜸昵攵摥愵昳㥥㜹戵㔹摡㌵愳㘹〸戵㜵改扢㙢㤵㘱㔱㌸慦昱搹搵扡㙦扡㌲扤〹㘷挱慥㕣㌱扤㐵㤳㈲搱慣捡㔲㙦㘵㔱挴昵ㄳ攷㕤㉣ㄴ摣㕡㝤㝦㌲搷㍡㜱㍤〰㌳㥢㔵捣㜷捤昴㠲㡤㈵㘳戹㘶敥㙦慢ㄲ㡥㠹㠲㠳㙤搹昳昵㑡挳㥦慤扢㠱㔷慦戵㤷㑣㔷搷つ㐸㥡敡搹㝡搵捣攵㌲㈲ㄴ㈰㜰戳㔹愵㌲昷昷收〵㐱㐴〲挵㘴攴摢摡挹㙥昲〲㔶㠷㔵搴㑣搲愴昶㠱㉤㍡攳㝣㐵挶愴㜰㘰㘲㑤搴ㅦㅣ昴扥㉤扡㙤㘲敥㥤慤慣㘹㘳搱敡㑦慣㥢㙥㜰捡㜰慢㌵搳㑢搵㝥㡡㌳搲㐷〰昲㌷㈱㄰㝡敥ㅥ㔵㥤扡慥㌶昲搷散㙡戰㕡㔸㌵敤㤵搵〰㜹搰㤰挵㈲户戶敢搱㙦㐱㤶扥㤷㘰っ愰㔴捡ㄴ昶戱㔲愱㠴㈷㤳愷㜴㑡攱攵㌶㐱捥㜶㙤扣㍣㘴捤摢戵挰っ㠵昲㠸〵㡣㠴㕡㑤搰㌷㑣ㄲ昵㡣㑡愸㌰昶㔹戳愰㔲挳㜶㠳㡤ㄶ摦㜶㜱㐹㐸㐴扢戲㘰挷挹〲㡡㠲㜶㜹㤰挲㙢㈰㥡づ㘹㤰㕥㌹㐱㐴㘴㠳ㄴ捤㡥㥥摢㠹㡣昵㔳㘴〴敡㈷㠹㤰戵て昷㤶ㄱ㈴昶㙥㈲㘵愳㥥晣戸㉢捤㌶戳攵㐳㘹㜶㉢㌶㑥摦㑦㜰㠰攰㌶㠲㠳〰敡扦㈰攱㈸攵㤰㙥㝦昴昷攰㕤扦㠳攰扤〰㤰㑦㍡㘵㑥㈴慡㘸㐳㙤挷㡥㘴扤㘱搸挹㘲ㄴ㠷愲㠸㤶㜱搳捥ㅣ㜶〴搱㤱搵戹㌳㜴㙤㑥㜴散〷㝢搳㘶㜲㌹愴挸㤴慡挹戵㙥㔱㌵戹ㄱ慣摡愷摥扡ぢ㑤昵㜱㠲昷〱㤴昴昷ㄳ㐲戹搰攰摤㥥㐵㑦㤳昲㕤㘱ㄶ㠵挶㔰㥦ち㍥㈲㘴ㅥ〱㔲㠴㕣搷昱㘵搷㠶愶㌹㌸㘱扤敢㙤攸㐳扤昹㍢㐲㝡㠷摥摣搵㍢昴ㄷ扤㐹㉢晡㙥戰㤷晡昷㥥㍡收ㅥㄴ敢ㅦ㈴戸ㄷ愰㐳挷昰昴晤㘶㍤〵㘲ㄶ㍢〹捣敤愵搷㐵慣摣愵㡤㌵㔳㌴搰㤰戵㘴㜸㉢㘶〰て挶改㌹搸挲㜵捦㌳㙢㌸搴㔶㈵㠳攷㤷〳敤㤹晥扣㔷㜷㤸扦㙢㈳晢敦ち挵㤰换㘹搹㑣㠷㡤㥣㘲㙢㈶㝣㑥〹捡愱づ㝥愰户㤰㐸㌴㙡㈷㉦戶㑢㍦㕦敥㑡㤲㍥㈴挹㠷戰慤晡晤〰㤰ㄲ敡㕦㝢㑡㤴㐳慣昶〷㔲慤摤㘲愵㠷㉦攵㜴搲攱㐳散㤲㈳㠳愱挳㜶〶晥〳㝦搸㔹戴㥤愶戰ㄸ㜴ㄶ㑣慦〲摦㠲㕤㌳㑢愱㕢㤶愲㘶㔷㔶扣㑢㘴㐵㌶摢㜵㥥㑥昱慦〹㥤㜴㐸㠹㔴㙥㑦㉤㑣㌹㡢户㠸㡡㙥㐸ち㤵ㄴ搷㔰㔳〲㤱昲㔸㜷㔷挴昴㈱㘲㍥㡣㡤搳てㄳ㑣ㄱㅣ〱挸晦っ㤲㘶扢ㅢ捦㜰搸挰㍡㕤摡攵㜲愶㐸㌴㠸㡢昰搵㥥挲敡㈸㠷昹㐳㠲㠷〰㍡捣ㅦ㍡㈰㔳〸㔱㔰㥥㈰㐴〹㘳㔸㤷㙣昳ㅡ㘹㘰㡦㠵挰搲㙣挳て敡づ㈳㑢挳搶㕣晤㕣㍤㤸戳晤㌵㐴愲挶慣㈸昱昸慡改㠲扡㍣搸㍥ㅤ㜹昵戵㌵戳慡㕢㡢昵〶㐴摢改戹㥤㜰㌰挷㜶挰㤶㤴戳戹愶昰昴㜷㍥㐶ㄷち㍢㉤晥㔶㝡㘳户攵晤收愱㙦愴戵愳㑢㜶㔰㌳〷慤㤰改㤸㉥㕡搸㐵㐴づ慡〳搶搲慡㘷㥡㜳挳搶㐹捦慥搶㙣搷㈴㌲㘰㘳㌲㔸㜷挶㕣㐱㤴㘰愱捥ㄸ㘰摤ㅤ戶㤶㍣挳昵搷っ〶ㄴ㌷昶戶扤㐹㔸㈴㙦捤搸慥㡦㘱〴㡢㑣㡦㔸㡢慢昵㙢㠸搸㌶ㅣ昷愴戱收敦〸慣㤰攸挳㐷㔰愳㌴愵㘹慡愸ㄵ晢挵てて攴㤹っ㜹㉦㐷㈰戸捡攴改㌳㑦搱摥戴敢愳ㄸつ敤㜴捥㘹〸搱愳㘶㘶㌶㔵ち㤳㔳昵㠷搹收愳〰㡦㥣扣㜸扡ㄵ㤹㝢㑢㌱敢㍣扤晣㈹㌲㕥挸愲ㄹ〸愱㡦㙥㑦㐸㉡捣㈳攵㠰〳㠱㜱扥㜵㤲㕦挹㤲㍡愴扥㍤慤攴㍣㈲㐹㐳搶ㄹ㘳搹慣㈱ㅥ敤ㄸ挱㥥昰㠵㘶慣㘳搴晣愸㙣戶敥㌸〶㐹㡢㘴戹㔸㌱㐸挱搳㡤愰㝥搶㜶㜵ぢ㐰攸㉦捡㌲慥㈳换戸㉥㔹㐳搶〵㠶〶㈵捤扥敡㉢㠶㘷〷慢㡥㕤㈹昲㠵攱扢ㅤ㐱㤳㘰㜲㑡摥昸㠹㘵挶㜸㠷㌵㝦ㄱ㈶㥢㍦〹㜴㑦㐲㡥㜲敢㠸㝥㔰慥愶ち昸㔱㝤㍡㤶㈰㘰挴㔳慡晦ㄱ㝡换换敤〸㠸ㅣ㜹㙥挶㜷㌰㙥㍥㠳㥣㔰〸ㄱ敢㈹㈴〲慦㘰㐲挸搳挵㕤戰㉥扡㜶〰散ㄱ㘳昳㜶㌰攷〳攵〰㐸捡昱昶㜶挱㙡愲搱㐴㔳㉢摣搵㕤搴愶㈶敥散㉥㑦敡㡤て㙣㔲ㅣ㙡㤴㠴㈲搹慡㤲㘸㤶㑤收戸㤳㔴㡤ㄲ挵ㅤ㙢ㅢ㤵收㌶㙤敤㍢愵挸㕢㔰㑣㐲㌳ㄹ晤㡦㠵㔰㄰攸㡤㜴ㄴ㝤昶改攴㤱㠸搸搰〶㈸㔱㑦㠵㜹挳㔱㐸昰㌴慥㥤㔴捤㔲昴〶晥摥ㄳ㈵捦㌷㠲戶ㄲ攳晡㔸㔴㌲㕤慢㥤㜷㘱㈵㔴っ慦扡㐳㔸ㅡ㙢ぢ㌵㡣㜰㘷扦摡㍦摣摥〴㈳㐶㙣挸戰㐸㡡ㅦㄸ㙣〸收㑡㐴㔴㘹㥤つ㜳慢㥢搹㐵扥㥤㌵つ㔷㌰戰ㄸ㔴攷捣㜵㌱挳㕡㤶晣㤸㌴㘸㥥ㄶ㐵㡥敡搶昴戲て㤵ㅥ㔰㡥㐷㈹㘱㜰摤扡㐰户ㄴ㉥㌱㐰散㐶愹㠵㑡㠰搰㙥戳〳㥥っ㜶づ㜶戰㈳㘱攸㠴搶ㄹ㈵㘸㈱㠵㜰摢ㄷ㐱摥改ㄳ愳㄰愴㤶㍣晦㜳㕣㝤敤㜹㍥摦㍦㥥㠹ㄳㄱㄳ㌱摣㤵㘲㍤〰戹挹挸㈴戹㘸㉣づ㤸㠷㤲㑤㠴搶㔰㥣㐷ㄳ㘳㤸㈶㥦ㄷ攰ㄶて㘳㔹㈳㘴㥢ㅡ敥戹〵㌶戴㘹㙤㘳㡦㜵摡慤搴ㅡ㔵㔳㔴㜱㉣慢㐵㈳敦〸㝣挹ㄵ挰㤰㥢㔲昶㈵摡㤴搳㌸㑡㜱挹㐴㔲晦㜶户㝥ㅣ捤㐵挸愱㡦㔰昵㌱〰㤹攲㤶㤳㠰㔸搷㍤〵摡㠷㝢㕢ㄷㄸ攴昲ㅣ㐴㕡㔷ㄶ㘵搹ㄹ摣挷㙢㐶㤱㠵摢ㄲ搵捥搴捦搴㘹戳㈷戲㑥搹㘱搶㡥挰ㄱ搶ㄹち扣㐲〱挶㐸㥦摣挱㑥㌲㌷愳攸敥捤㘷攴㌵㜳ㄳ愸㄰っ㈸挶㜸㜹ち捡㘰㔷挱㐸㌴戸戵㤶搵慤ㄸ晤愵攵慤㑦〳㈸㠶㠱㘹搰愲㘶㘸攰捣㈲扤戵㠱㜳ㄷ㙡愵㐴㐸㤳挱㔴挶㈸挷攰戰〷搲挰㑤㍣㐸㉦搵愱㠴㠲㝤㜲㌱㉣扥㥢㌸攱攰〸㔴昷昶㜷㘴㉥ㄸ〱慥扦戸〷㍢戲愷慢㔵㥡扢昰捦敤〸慣攲敡㐶㘸㡥敥敢戸㤴㈵㙢愲㝤㜷㜷㐷㐱㜴㔹昰挸摣攴㈹㈳愸慣㉥〶ㅢ攱挵慤㍥㐹㐲攵㝦ち㝦挴愶愳搳㘶捥戹扣㠸扡捥扤㉦㕤㜱敢搷㕣㤹㔷摥攷慤㍦㔰〸慥㔰づ㜰㤲愵捣ㅢ昸㤱㐷换攴晦ㅥ㍤㙥㘷摡散愰攵㈰㘱㍦昲㤴昴㜹晣㘵㤰㝡ㅣ㝦㔳㘸〵昶㝢昳收〰㘹㘵㕦〷慤㠸㌰搸㈵ㄶ㜷攵敤㈲㤶㡣晡〹㔰㑢㠲〹㡦攵搸昳敦㠱晤搵㡦㤱㐳愴攳㍤ㄲ㈵昹昷㈱㤵㠲㍡ㄱ收搱㌵て㕥ち昹晤挱㔲捣搱㥢戲搴敦㠲愱晦慥ㄳ㐵㜷ㄲ㐵慦㜴愱㐸昱㉡㠸昰昰愳㐸挴㑦㥥㈱摡㌷ㄵっ攷㥡㜶て愱敦昸愵摦晦挷㐳攸搹㠸㌸挴㑥㐳戸敤ㅥ扣㌷捤㠴㙣㤷㤹挰〰扥㤸〹攷㤰㔰㡣攴㠷㘶㐲攴〷㔹㐰挶搶㘶〲攳㝢㈹挶㘰㈲摣㥡㜰㙤昰ㄴ戶摦愱㡦散ㄴ㉥摦㥡㍥㘲晡㔰㕣晥㉣扣㔲〷扡戳ㄷっ捦㜰づ㑡晥㐹捦㠴㐲昳㤶㜰㥢㕢㥡戰挵敤㥢㤶㐸愳㑤晣ㄵ戱愷㝤搷愷戲扤㍢散挰㔴昸㠴㉥㝣㔵㔴㠵户攰㉤㔱㍣㍢㘴㥥摥昷愳㤳晦昱搴㥦ㅦ攷㡤戵㠸㔶昳昷㈳摤㑦搸㥥昶〴〲扢㠹换㈲户昲攳㥣戳昸㑣挹㕥慢㤹㌳㠶㈷㤶㤰慦㍢㜱㌲㈴扣〴㘱㠶挴户ㄳ捣㑣摣㝤〸捤捣挹づ㤷愷㝣摣㈴㙥挲挹挴挴挵慦ㄷ㠷づ㔵㑦㐵搶愷挵㤹晦ㅢ愸愲㌷㌹㤱㜶㑢㤱㈷㑦㍥㑡晤愸㔳搷ㅤ愵慥ぢて㌳っ晤挷㔲ち㌱〸㔲㐸昲㌰挳㑢〱㈲愵ㄶ㤱挸㌳搶㤷ㄲ㕤敢っ昳搲㈷戰㉢〴捣收挵扦㍥㍦㘴挱㉥〲㡢戱㍦扥摦㔳㉤㙤搱㔸㌵㌱㕣㉢㌶捤ㄲㄲ㜲㠰㘱挶㔴㥣摢㘶改昰㘴扢㙤㤷ㄴ〷ㄹ㜶挲攰㕢挸搸㜹㠷晥戶㤲㜳挲㙤攰昶〷昴㑣㐱ㄴ㠶扢㤷搹㌸㤴㑡㥣㉥慣㕡ち戳〸㐷挲㘴戳搱㘰㔴〴㥤攵ㅥ挴挹ㄴ〱㐰㝥㉤挴昲㠹㔶搷户㜶㤶㔰挷戹〳㔸㈰㝦㘱㝦摤㤹挲搸ㄸ㤵ㅣ〳〹扢慤㕡挵昰㡡昸㈵㌴ㄱ㉢㕦改慤㈴挷㔲㡡㜱敡㤸戳戲㕡㤷晥㘷〴㕢㌸敢㜱搶㘶㈸扢㑤晦㍦㠱㡣㉤昵扦㝡㤸㙤昱慢㝦㌲㑡昰㈵捦ㄸ捡㤶㘱ㅢ敥〸扣摢〸攰挸攱㔸㤷㈴挳摥㘱㙡ㄱㅦ戰㠶挵㈲挱攱晢捡㜵㕥㡦㘸戶愵㙤㍢搸㔳〰㌲㍥㤴晦㉥㐴㔰捦昶敤㜲㡢扤昱㈹㝣ち㘰摦㔹扢攲搵晤扡ㄵ㡣㉦㈲昰㍢捥敦捦㉣搸㍣搳敡摢㥤㐲敤㙥散挴搰愷搱收摣㜹〸散㜳㘶昰㜶挵㈳ㄹ㕤搸㕥㌴㠳摦㈲㡤㈶㐲㑣搴づ晥㉤搶㘳つ愳㠶捦㔷捦挳摦ㄹ㌰㙢㐷㈸扢搰敢摣㜹㑢㠳㕢㠷㝢㕡㡦挲㈷㘴搶㈶ㄱ㈰㤳㈵晣挹㥦㜲㕦㍢昷愰扤㙥戴㌶㥦㌵晢昳扢㤵昲摦〴㑥户㌷㑡㍢挹㜰㑣㝥㤵㕣搲㉦ㄳ挲㈷〲㘷㕤㥡昳扡挳㐹换摥挶㐰攷搱㐷摤㜴㠶㑤搴攰㐲摢㐶〴摣㐰㔳㌵㑤㠰㕦㝤㌹㑡昰㐵搱搳㐷㔶㔴㉦㘱㔹㘴〰愴㌳㠵㉡㐰㙦慡㝥㘱㌳慡㔶昴昴㐸晦㈰晤っ㠹㑣〸㉤ㄶ搳㡡㈷てㄲ㘹㐹㍤㡦收摣挴㜰㌳㔶㤹㠷㤳㠸㥣㌰㤰搶攳ㄶ㐸㘷ㄴ㑦ㄸ㌲扤慦愲㐱㜳㝡㔷㤰摢㝢㝡㕦搹㜴㝡戴つ㘴㝡挹晥㐷㘳摤愲扢㈸搶敢〴㙢〴㔷〱㐶㈸㉣㈹㠱ち㘱搰攱㈷挴ㄷ㥥㥦㐷㝦㕦㍢晥戳㔷昹晣晡戸ㄲ昱㠸愲昶挹㔳㍣捡攴扦㤸㥣㝣㠰摣摥㤳晦晣㘶㤳ㅦ愵攴攴㑣昴㜵㠰攱慣扡㡣㍦戲㤸㙢㐸㜰ㅦ昹慢㡣㌸户㙤㠹㐴户戴摤㐰㘲㌸㍢㑡昴搰㑦愳㍦㐵昰㌴挱つ㠲捦㄰㝣㤶攰ㄹ㠲㘷〱㑡㡡搸㤱㠱晥っ㠹㜸愰㍣㌷㉢攵ㅢ㈱㌱戱㜸㥦㤲挳ㄴ㐲㥦㙥㈱㔴慣㐵㈷㜲收敥〸昱㠲㈵昱愳摢㥥㕡愱搰攷㐵〱昵搹ㄸ㡢愷㑥挵ㅦ㘰㘹㔱攸ち㔴ㄴㅡ戵㈴㌶㙥愴晡㑣㕣昹㙦㕦㘹㜹㕥㔱㠰〷愴ㄶ㔶㈶㔱㑡攵ㅢ㜱攵㈳昸戸㑢敡㘴戴昰㑦收戵戸㌲㠹㔷㉡㍦ㅤ㔷晥搵㤱㠳捤捡㌱搱㠶㍤攷㐹㔱㈹收戲ㅣ㈰ㄲㅦ㝡昳㕣㥥户愸㠲〷慤㌰㥢挲㔷㈲搰㌵㔱挲㐳戸㔳攲攱㔳敢㌳戸㈲㠵㥢㈴㤰搳攱晦戸㜰ㅡ㔷愷收㡣挰挰㤷搴敢㠸㔹㝢扡扣戱㜱挱㍡敦㈱㘳挰㍡敤攳㔸㔶摤㔱㈴〲㡢㈲ㄷ敥敦ㄶ扥晤ㄴ敢戳戵ㅦ㜱慣㑤攳㔵㤴晥昴㡦挴㘷㜲㙡㈳挶㙣收搹ㄶ捤攸㝦〱攴㐰㤴〲㌲愱晦㈵㘰ㄸ捦攱愵攷捣㈸㠵㠵㐸㠲捦戳攰ぢ〴㕦〴㈸㈹㑡〶搲㐱攱㑢〰㈳昱晦㜷㌱扥㉥㉥ㄷ㑤㕤㡤〷㑢㤲㤱晥㔷㙣昰搷〰㔹㜸㠰㔵㐴㠴㈵晤㌹攴㈴〶捤㔳捡㝣慣户㐹换ㄳ㙢晣つ㍥ㄴ㕥摢挷昶㈷昰昱晣〶㍢捥攲晦づ挹㡢晤㥤搳㍥摡㕦㕦㈴㌴㥡捥昲㕢挳㠲摥㐲㍦摣攰㔶戰㠳㍤㡡㉡㔳㤴愵㕣慥扡㠲晥㌹〶㉤敢㤲愲㜴㤵散㈷愳散晤㤲㑤㜹㉢搹㜶㤴㝤㐰戲㈹㠱㈵㝢㌵捡扥㑦戲㈹㤳㈵㝢㈵捡愶㔷慤愴㥥㡤戳慤㈸㥢㍡愷㔸〰挰昳晡ㅢ愳ㄴ摢㠲昲ㄷ㤰搰㕦㈴㜸〹愰㤴㈷愹㙣㥢㘶戹攰㍥㑤㡦慦愳愹㈲㈱戲て晤攵㈸挱ㄷ㐵㉡㤴㈵㕤㡥收㑥㕤㔹搴ち㡡㤴㈹〵攵愸攰㤸ㄴ㈸㐵㙡㤵㠲㑦㐷〵挷㤱愱㝦ㅢ㐰㤱ㅡ戹㈶晤㍢㝣㈳ㄱ捡㠰摦㡤ㄲ㌲㈰昷㐰㥡㝦戲㘳㐰敥㡢ㄴ㍣搱㌱㈰昷㑡ち㍥㤱ㅣ昰晢散㔴ㄶ㠶㐴㥢捡ㅦ攵〲㘵扦㝦㠰挴㜰㜶㠴㜳愳㜱愰㕤㔷㤵换搵换㤷㕦ㅦ挹㡤摦㥥晢挴挷㠷㥥㝦敤㕦㝥昹摣㉦㍥㜵散扦㝦昳攲㡢扦昸捦攷㕥晤捤㑦㤷㡦晤搳户扥昵㡦㡦扣晣敡㉦昷㕡摦搰㕥㜹晤捣㌷㙥㑣㕤戹㜱搵扡㜸晦挹ㅢ㑦㍣昹搸搴挲㉤ㄳ搹散挰挰扤㘳晦㝣摢㝤愳捦㕥晤戱晡㠷㝦㍢攰㉡㔹㉥〶㘸㥦〶㤷㉤搳昸㈱ㄲ㤸〶㘷晣㡥㑥㠳换㤵㡤扡㄰㙤搴っ㌲㡡㜰攰㜰〲㔲昰㔸㝢挱攰㙦〱ㅣ捦昳㐹</t>
  </si>
  <si>
    <t>Number of trees</t>
  </si>
  <si>
    <t>n</t>
  </si>
  <si>
    <t>Time step</t>
  </si>
  <si>
    <t>dt</t>
  </si>
  <si>
    <t>Time of expiration</t>
  </si>
  <si>
    <t>Risk-free rate</t>
  </si>
  <si>
    <t>Call Price</t>
  </si>
  <si>
    <t>https://finance.yahoo.com/quote/AAPL/options?date=1514505600</t>
  </si>
  <si>
    <t>Strike</t>
  </si>
  <si>
    <t>Price</t>
  </si>
  <si>
    <t>Implied Volatility</t>
  </si>
  <si>
    <t>https://www.treasury.gov/resource-center/data-chart-center/interest-rates/Pages/TextView.aspx?data=yield</t>
  </si>
  <si>
    <t>Decisioneering:11.1.1000.0</t>
  </si>
  <si>
    <t>CB_Block_11.1.1000.0:1</t>
  </si>
  <si>
    <t>㜸〱戵㔶㑢㙦摢㐶㄰㈶㈹㔱ㄲ㈵搹㘱㙣戴㐰㠱ㅥ㡣㈲愷挴㈱愲挶㐶㥤㠳㤱㔲㤴ㅤㄹ㌵㙤㔵㔴㤲㑢㡢挵㑡ㅣ㕢㑣昸㌰昸㔰愳晥㠰愲攸㍦㘸晦㐴㉦扤攴㍦昵摡愲户㜶㠶ㄲ㈵㔲㔶〴ㄸ㐸挷昲扥收㥢㈷㜷㜶㔷㄰〵㐱昸ㄷ㠹㝡愲㌲つ㍥户愶㔱っ㥥㘶〴慥ぢ愳搸〹晣㐸搳挳㤰㑦捦㥤㈸㉥㈱愰挲ㅣ攴㐷㌲㡢㥣ㅦ愱挶㈶㄰㐶〸㤲〵愱㔶㔳㈴攴㤳ㄲ晡㔷戳㠹㐲㔲捤㌲㌶〳愳㝤㌹㝣㠳㕡慤㌸〸㘱㝦敦搵㑣昶戸搵搲㕡摡挱㘱敢㑢敤挹晥㥥㤱戸㜱ㄲ挲戱て㐹ㅣ㜲㜷㝦慦㤷っ㕤㘷昴つ㑣〷挱㕢昰㡦㘱昸攴改㤰ㅦㅣ戵づづて慦㥥㍤㍢㙡愲㘹攱挲㘸昷㐲戸㡡㍥㤲㑥㤹㕣㍥散挰挸愱搸〰㐲挷扦搶㡣㌶晥㜲晥㙢㘸搱㜶㐶ㄸ㡡㜶㘹搱搸ㅡ〳挴つ㤴㙣戰㜴㤸㝡戴捤㑥摥㡤挰㌵挰㜵晢攸攰づ挳挴㈶㥥㝦ㄹ㍡攰挷㥣昲慢戰㌱㡦㍡㍣㠶愸㐱愳㉥㜰ㅢ昳戲换搲㈴搹㌳戸㠵㉥㐰愴捥搷晡挱て戳㠵㈲攸㘴㠲㉡昳愰搹挲㤶昷㌲㠲㍥昷慦攱㠲㝢㈰㝢㉦ㄲ挷㉥搳攷㤰㤰㠴搲攳㜵㘱愶慥㉦〳㕣㠶㐳挹㙥慤㤳挸㈷挶㘸㝦愵ㄵ愲㈶㙢㈲㔲㘳扥戹㔲ㄷ㜰㑤愹㔰㔳㈵慥㈰搴㤱㠴昲㍦戸㈱昳㌰捡愷挴戸挴㠶ㄲㅢ㐹捣㤶ㄸ㐸散㑡㘲搷ㄲㅢ㑢捣㤱搸ㅢ㠹扤㐵㑣㐶戵㙡㤵攲㈲㝡晣挷捦摦㍤㝤昸晤昹㉦㥤慦ㅦ㠸敦㝦晡扤愹㈰愸㘷戴扢攰摥㘰㠶㍦搶㕥愱ㄸ敥㤶㐴つ㈵㜶㔸ㅦ慥㐳㠸㘸㠳㤹㄰㡦〳ㅢ㍦㝦て㍦㜳㘰て愶㌷搰㘴ㄶ昰㈸昰戹敢挴搳㙤㌶㐳㔸愶慥㈷㜱㜰㝦㌹㥤〹㐴ㄹ愰㔳〴攰㜴〵㘰㥤㔸愴攱㕥愶〱愷敥捤㤸㉦攴㡢散捥㙤㜶ㅢ㘲慥捥愵㍢㠳ぢ㡢攵ㅤ㥡㉤㤰挲〲㠴㘴㌲㡢㈹愴㌷㜶戶㌲て搲㠸㌲晢㤶㕥㜰挷搲㕦㜰捦㕢㜸搷㝤㥤㠲㌳㔵㌴捤㍢㡦昳扣㈵㥣愶搲ぢ㑢㈶戹扡戰㘴ㄶ㘴㉤㜳挵㔲ち㕥㕡㉡愲扢慦捤愲愵㤹㜴〶敦っ昴㌴㉤换㈴攰㥣㍣捤〳㡡㠹搴㔹挱㍥㘹挰㈴㉤昱收㡡㐲㥣ㄷㄵ㥡慣愸搰㕣㔵㘸捥ㄴ㔲づ㍣㍣㜶㐶㝡晦捣搴㍦愱㍡㠷㄰晣ㄱ㐴㡦㉥㝤㘳㑣愷㠴晤㐵㝥昵敡攴㕤っ扥つ㜶㉦っ戰㙡攲改㠰て㕤昸戴〰搱昱㥥㤸〰㌲㍥㉢㉣㥦〶愳㈴㌲〲㍦づ〳户挸搱敤〹㐷㥢戶ㄹ搸㈰愴㘷㔱㔶扥ㅢ晡㔲㐹ㄴ〵昱攱扡挳㘷㕥搱摡戲㝥㑥晣挴愳㜲㝦戴〹㥥㉢㌱慡㌹挲㡢㌵晣慢㠸ㄵ晡摤敥㘶换ㄵ㜱㜷㝥㡥愵〷㙣㤷晢戶ぢ攱挶㡢㔳愴㜳㔳㤰晦挶挳敤づ〱搰㌵㕡㥤㜰㌷〱挶㠴ㅡ戹㐷㈴晦㠵㕡敥ㄲ搷㝡㌵㤸㑣っ㌷扤愴㝦晢㤵攸晤㜳㌱ㅢ㘴晤慤㠵て㌲晥て㘴㘶㉣敢㍦㘸㘳〱愸㉢㑤っち慦ㄱ㤹敥㤴扢摦㔳㤴つ㈵扤㈰昱戹ㄱ挹摥㘹㄰㐶愵搲扡㉦摢攵搱㌸愶㑡搸挸愴㝢㑦搹愲㘶ㅢㅢ㤱㥣愳慣㉢昷戰挹愸㑣晣㡤㕡㈸㤶晡㜹挰敤㔳㑥慦㡤敡晣搹㔴㌳〲敦㠶㠷㄰慡攴㡣㠱愵㠴㈵㍡㜱昰昱㔰愳〵ぢ㥦㘷㘵ち愳昲㡡㜶㔰㈴〸愵㤲㈰换㡤摡㍡㕢㘷㤹慥〷㙢㥥㝦㘷户昴晦昹敤搱㜳昲扦㕥愷㠷㤲愲㔲㜳ㅦㅢ㤱挲愴㜸㔶〰㍢〴搸挵㐶捤㈲㔷㐹㠶㐸㈵㌹㈲㤵㐰㐴㉡〱㠹ㅡ晦〱て㘸㕡㑣</t>
  </si>
  <si>
    <t>=C9</t>
  </si>
  <si>
    <t>=IF(F3=1,G2*$C$3,G2*$C$4)</t>
  </si>
  <si>
    <t>=C13/EXP(C11)</t>
  </si>
  <si>
    <t>CB_Block_7.0.0.0:3</t>
  </si>
  <si>
    <t>㜸〱捤㕢㝢㤴㈴㔵㜹敦摢㌳㕤搳户㘷㘶愷㘱㜷㐱㕥换㈰扢戰戲换㌰㌳摤㍤て搶捤捥㡢搹ㅤ㘰ㅦ散㉣ぢ㈸搰㔶㜷㔵敦㌴摢㡦戱扢㘷㜷㈷㌹㠸て㌴㈲㠹て㝣㐰㐰〳晣愱㌹㠹㠴㈰ㄱ㐸攴㡦昵㜸㍣ㄸ㌵ㅥ㘳ㄲ㡦㐹㌴ち㈲㥡㜸㐰ㄷㄳ㍤㠹㡡攴昷晢慡慡愷扡扢收㈱㤲㜳愸敤晡收扢昷㝥昷扢昷晢摤㕢㔵扦㝢慢㌶愴㐲愱搰换㌸昸㤷㐷㍢㤵㜳㘷ㄷ慢㌵扢搸㌷㔹㉥ㄴ散㙣㉤㕦㉥㔵晢挶㉢ㄵ㜳昱敡㝣戵搶〶〳㈳㥤㐷㜹㌵㤲慥收㝦摦㡥愶㡦搹㤵㉡㡣㈲愱㔰㌴慡挳㈸敦㜰捦戸㤷搰慣愵摢㈹㘰ㄵ搲〶〵慤㜴㤴㐲㐳㜴挵㈰づ㑤㑥散捦摣㠲㌶㘷㙢攵㡡扤扤昷戰攳㜹攷挰㐰摦㐰㕦㌲㌵㌰搸搷扦扤㜷㜲愱㔰㕢愸搸㍢㑢昶㐲慤㘲ㄶ戶昷ㅥ㔸挸ㄴ昲搹慢散挵㐳攵愳㜶㘹愷㥤改㑦㘴捣攴挸㐰㌲㤵捡㡤㡥㡥㜴㜵挲昳扥挹㠹〳ㄵ㍢㔷㝤戵㝣㜶搱攷晥挹㠹扥㝤㜶敤搵昲搹つ㥦㜰㌹㔵㉥㥡昹搲慢攴㌴㐲攴㔳㔳㜶㌶捦㈱戲敤㑡扥㜴愴て摤㙥〰ㅡ愹攱扥昱㙡㜵愱㌸捦搱㥥戴ぢ㠵㠳㜶㑥㠶愶㌸㔵慤ㅤ㌰㉢挵㙡㔷㤱昸搹ㄵ扢㤴戵慢敢㡡㔷㥣挸摡〵搷戰ㅡ㉤ㅥ㌶㉢晢捣愲摤㑥愵愷攸㡣攱㡣㘵㤷㙡昹摡㘲㜷昱摡慡㝤搰㉣ㅤ戱㘹ㄲ㈹敥㕥挸㕢慡扤ㅤ扦㔰摢挵㐱㍤㤳㠱㐲㝦㡡㤳㜳㘶愵㈶㈹づ攱㐰㤰慤㙦扡㐸ㄴつ晤攲㤴敡㙤慡挵㌱㥢捤ㄷ慦戲㉢㈵扢挰㐶㌸㤲摢㥡㡣〴㈰㘷ㅣ敡㐸搵挳㠱扤敡㜴㉦ㄱ挶挲㔶㡣㜵㄰㥢愶㙥戰慢晢捡摢て㔴捡㤹㥤晤㝤愹晥搴㘸㉡㌵㌲㍣㌰㌰㌰㍣摣摦㍦愲㝢㘰愳攳戴㍥つ㈲扣㍢愱㑦㘷捥㝡〸搵晥㍣慥㐲扦㔷㐶ㅣ㑥㥢攱㜴㈶㥣捥㠶搳㔶㌸㙤㠷搳戹㜰晡㐸㌸㍤ㄷ㑥攷挳改㕢挲改愳戰昱㡥㘸㐷㐷搸㍤㕥戸攷㤸ㅡ㝡散搶戱㐷晥昱㤹㝦敦㑡摣戱愸㜸攱挹㜵扢ㄱ捡㙡扤㍣〳㌶晡㑣〸攳㜵慣㌶㍤㤸搰㘷㌱敢㙣〸愵㥥㐳㌷搹搵敤㜷扦㜵戲㍢昳昹挹扦摣㍡㝡收攲ㄷ㍦㜸慢攲㜵㉤㙤㥣ぢ㘵戵㌶捥愳挳㑤㄰挶昹慣㌶㍤㤸搴扤捣扡〰㐲愹敦扡㙤㝣攲攰ㅦ㍣昵挸㉤ㅦ㤹㝡戸昲㈷摦っ愷晦昰っ挵摢㠶戴㜱㈱㤴搵摡搸㑣㠷㕢㈰㡣㡢㔸㙤㝡㈰愵㉦㘶搶㔶〸愵扥攵戶搱晦攸昵㜷扥晦㌳晦戲晢晤㘳昷晣攴㡦ㅥ㝤㌲慤㜸㔷㤲㌶㉥㠱戲㕡ㅢ摢攸㜰㍢㠴㜱㈹慢㑤て㈴㜵ㅦ戳㉥㠳㔰敡ㅦ摣㌶㥥晥昵愱戱㍢㉥晣昴㥥㜷㝣攷㜳㑦ㅤ㝥摢愹㈷ㄴ慦㉣㘹㘳〰捡㙡㙤っ搲㘱〲挲㐸戲摡昴攰愰㑥㌱㙢〸㐲愹㉦扢㙤晣昸㘷㘷扤㑢㥦扡攷捡昷摥㥦搸戹㐵㍤昳㔳挵㝢慡戴㌱〲㘵戵㌶㐶改昰㜲〸㘳〷㐴㜸㝡㐴扦㤱㌹㍢㈱㤴晡㠲摢挴愶晢㌶㑥㍣昷㡤挷挷敦ㅤ扥攸㠹挲搷㉦㍦户㙢ㄷ㡡慦㜱㉦㠴愹㡡㜹ㅣ户㤶愵扢ㄶ㙥搵晣户晡敤ㅡ㜷敢㕣㉡㌷㥣ㅢㄸ戰㔲晤㘶挲㡣昰㌲㔹敢㝤㠱㔷㔳㔷敥扡㝣挹㉡ㅦ㤷ㅢ挵戹ㄳ㘶搵㕥扡㙦㙣㜳换㈶捡ぢ㈵慢㝡㑥㜰攱㙣捤慣搹㘷㌷㤷㉤㌹㘹愹㌶㡢摢愸㕤㤵昶㌶㌵㔷㍢㙣ㄶㄶ散昱ㄳ㜹愷昸扣愶㘲摣㐴换㤹攵㑢愷㉢昶㕢敢愵㉤㍤ㅡ挷戳昸㤸昸㙥㠹搲㈹㜲晡搵㍢㌹㔷慥摡㈵改摥戶攲㠱㝣昶愸㕤㤹戵昹㈴户㉤〹㜵㈳㡢摣㍢昹戶晤㈵〴㡡㝢戳昵㝡㝦㙥敥㡡ㄳ㌵扢㘴搹ㄶ晡㍢㙦㔷㙡㡢㠷捣㑣挱㍥愳挱挴㘹ㄳ〵㘷㌵㘴㑦㤷戳ぢ搵挹㜲愹㔶㈹ㄷㅡ㑢挶慤㘳㈶㥥ㅥ搶摥戲㘵攳收摦捥㈳愴㐲㙤㙤㑡㠵㉥〹扡〳搳㙦戵㑦〶挲㌷挴扣㌳扥慥㜱摡昵ㅤ㐴㜴㠸愲㘰㜳㑥㠶㌷慦攲㑣晣搲捤ㅢ㤶㌷昴挵㐴摡㐳敢慤换㕢㑢ㅦ敢㈳昷晦㙢ㅣづ慦㜷愳扦攲ㄸ㥥戰㝢捣㤲㔵戰㉢㉢㤲㌶挵ㅥ改㌱㠸挸㐹㕣捤换愲挷〷㠵㍡愱ㄶ㈳挷昳㔶㙤捥㤸戳昳㐷收㙡挸〳戱㡢㐶〹㙤换愱㈷㤰愵㈷㈹愶㈰㘲戱㤰㜱〵㡤㡣㤸㥥㜶搲ㄱ㕥愳扦晤戳㥢搴㔱ぢ㔷〰戱慢㐶㡡搳攵㑡戵慤㉤㈸捡㍤㘶㜵慥挶改戹㘲㈱㥦搲㝡㌷挵ㅥ㠸〸㥦扣慢㔲〳摥㠹摡挹㠰扡㡢㔳㜶捥〴敦㤴慢㕢㤹㤱愲㐳㘵愶散㙡㔶㤳昳捣攰㕡㌹㘱㐰挳挵摦㔵攴散户㑦搴愶捣㥡搹㔱〴㝢挲㈸㘹ㄸ㙤㤳㕡㡥挶㥡摤㤲攷搵㡥戹㈹㜸㠸㡢敡昳搲㈹ㄹ㡥㈷㕣㌸戸㕥㐲㙤慥㕣㌹〸昴㥤晣挶㘸㥥攸㡤㉣〸攴捣摡㙤㤷づ㉤捥摢㔵㥡㐷㡤ㄵ愱㙣扥扣攸㙣㝦㌶㜳㙤㉤㕦愸昶愱愷扢㉢攵㠵昹㔷搳て㝤改ㄹ〸敦㠸㍣㡥㔹扣昶㤸戸愸改㌸挶戱㐹愷㐳㔱㝡㘳㡥㜱ㄵ㐴㜸㍡愱㘵挲㐲昷づ扤ㄷ㕡㑣戳㜸㤹戲〸㌹摢㙦㐳ㅡ挹㡥扡㡡〰改㔰挵ㄶㅡㅣ㤵〴〰敦㉥㕥㔷慥ㅣ捤㤴换㐷㌹愵搶㐹慡㍡㘷摢㌵㔲换㑥㤷㑡ぢ㘵㔶慡慤慤㠱㈱晡㌸㈸㤷づ挶㌵㄰摤攳㠵㐲慦攷戱㙡ㅣ㐴㔶ㅢ㐸慥㌱ぢ㘵敢㕥捥换摥㐹戳㔲㈸昷敥ㄷ慡摦㝢愰㤲捦攲戹摤㝢㘹㉦㘶㔷慤㜷戰敦㐴愱㝡㐲㍤攴㍥昲㑦㙣㜸㙢㘷敦㘵攵挹㠷晥改改扢㜲摢敦㝥㡢晡戴㕢搰㐲㌱挹ㅡ㠵摦ㅥ㠶愲晥ㅣ㘶㈷㜱㐲㙦㍣昴昵㐸敢ㅢ㈸摥〴㠱摢㠵㈰㡣扢挵㡤㑥㔲㤱㜹昲㡥愱㙦愲戸ㄹ㐲㤱㝥ち㔳㑥㐳昱づ昵〰晣㜳ㅡ㜰㈸㌵愹慡㜸摡攰㤵㌳㈳ぢㄱ㕢愹㑣㤱搴㜲㉣㌵戱搳㐴㑢ㄳ㈹昵㌱㌸㈶捤㙤〱攰愳㙥㐱ぢ晦㈵愵ㄵ〰ち慣晦㘱㤸㥤挴〹扤昱搰㈵愴㜵㤹㘲ㅥ挲〷㐰挵㐹㉡搲㘲〱愰㑡㈳摥㝤㔵㉦㠴〰戰〰挵㍢搴晢攰扦づ挰昹挸ㄶ〰㐸昱扤㐳㉦㐲㡢改ㄵ捡搴〵戰〸〲攰敤㜰ㅥ〸挰㙤㙥㐱ぢ㌹㈷摦ㄶ〰摥〹㐵摤ち戳㤳㌸愱㌷ㅥ晡㜶愴昵扢㈹摥〳攱〳攰扤㑥㔲㙤挱㕦〱攰づㅡ扤て㐲㤱戸ぢ〰㜷㐲昱づ㔵㠳晦㍡〰㈴昹〲〰㉦㙦敦搰ㅦ㠰ㄶ搳㉢㤴㈹㉥〷㠲〰戸〵捥〳〱挸扢〵㉤㉢㠷㙤昰㈴〰摣〳㐵ㅤ㠱搹㐹㥣搰ㅢて㝤㉦搲晡㍥㡡㡦㐳昸〰昸㔳㈷愹戶攳慦〰㜰㍦㡤ㅥ㠰㔰㕣㔵〸〰て㐲昱づ㜵㌳晣搷〱攰ち㐴〰攸昴捡㤹昱㐹㠸㤸㕥愱㑣㕤〶㡢㈰〰づ挱㜹㈰〰戳㙥㐱换戲㘶㄰㥥〴㠰㠷愱愸㙢㘰㜶ㄲ㈷昴挶㐳㍦㠲戴晥っ挵愳㄰㍥〰㍥敢㈴㔵〲㝦〵㠰挷㘸昴㌸㠴攲㤲㐷〰㜸〲㡡㜷愸㍤昰㕦〷㈰㠹㙣〱㠰搱㜸㠷㝥ㄲ㕡㑣慦㔰愶戸㤰ち〲攰昷攰㍣㄰㠰㥤㙥㐱换㥡㡢换㈸〱攰㡢㔰搴づ㤸㥤挴〹扤昱搰㑦㈱慤扦㐴昱㜷㄰㍥〰扥攲㈴ㄵ㤷㘲〲挰㔷㘹昴昷㄰㡡ぢ㌲〱攰㙢㔰扣㐳つ挲㝦ㅤ〰慥摤〴〰㍥㙤扣㐳㝦〳㕡㑣慦㔰愶戸捣ぢ〲㘰㉢㥣〷〲㜰戱㕢搰扣㈲㡣㡣挱搳㙦挹攴㜵敥㜰摥㍥㑥敡戱㉥㠷㝤愲挹㠵㙡慤㉣㍣愹㍢㌷㔵摥㔷慥㑤攵慢昳〵㜳㜱㝤捥㔵慥㥢戳㑢㔸挵㔴戰㤸㘹捡㉢捦捦摢㤶捥捤㤶ㄷ㉡㔹㝢㘶敡戵戰捡〱ㅣㄸ㍡㔹攰㠴ㄵ㡥㔷㐶摣攱㐲㘱㤶攰〸㐵㐸户㥢昹㤷散㔶昹搶㑡愲㜲晡昴㉣㈱㝡㈸㕦㉢搸㥤㌹㔹愷㠸ㅥ捤〱㐵㉣つ慤㡥摣愱㌹㤰㤲愹敥摣敥㑡摥㉡攴㑢㌶〷㘳㠳㘳㝡戵㝤〴换挰〳攵㙡㥥ㅢ㠳摤戹㐳ㄵ戳㔴㥤㈷愳捤㉥㥥摥㤰ㄲ敡ㅢ挹㑤攴㑢㔵㌴㈳愳㐸扤㈷㌷㍢㔷㍥㡥㥤攴㠵㘲㘹户㌹㕦㝤㑤㡣ち㈹㠳㜳挸搰愸戰ち㠷㔵㌴ㅣ㝤愵攳㘳晣ㅢ扣慤挷收摦愵晢捡扤㤸愷戵㑡㍥戳㐰挰愴ㄱ摥ㄶ摢㈹㘴っ㐳ㄱ㉥㤶㥡戹慢㙦〸㥢ㄶ㥥散㙢挳摥㙢攰ㅡ愸扥㍤捦㥢扦晥㌶敢㝣〷攲捡摤搷捥㉣㙤挹晣㑥扢攸ㄱ㉥敦搶扣〲㈶ぢ㔹攷㑣㈱慥㡡㌹愳㜰㘵㘲㈶㌰搵㍣㉤㘳㌹戱攱っ㕤户愴㑥㠳慣㜶攵慥㌶㌳㜶〱㙢扦愲㔹㕢攷㈴戸〸㉦㥡㠵慡㕢㌶㔹㉥ㄶ㑤㑥㌹敥ㄵ捦㘶捤㠲ㅤ捤㡤㉦搴捡㝢昳㈵㥤㠳㤰㜹改㘶㤹㈷㤰㘵㥥㜰㔶㘹戹㠳摣ㄳㄲ㥤扥捡㐷捣㑡扥㌶㔷捣㘷愳㑣㜰摦收㌵㌱㔷㜱昱户〳㑣敦昰敥㈵捤换㍥㘷昱㠵攱敥挳㑥〹愱攳昰㘳㐶㠷㤵㠱㝦敡ㄵ㙥ㄹ攰挶㈳てㄴ晤㕤㜸㡢㜰㐹㡥㥢㤸搳㤵㔳摥㍢愳㔳户㈱㐷㙥㑥㙡㥡〶㌸昵昷㕣㠵㠹㜶㉥扡㔷㕣㑦㜶挰㈰㜶㜵搹戴愶捤㉣摥晢㜴戸㙦㝤愲ㄸ㕡摥㙡㉡㜱慥昰㈷戱㘹㠴捤愸㘳㜹换慥㐴㤹㌱㡢㜷㑦敤摣ㅢ㌰㥣㌱挴㐲愷㉤ㄴ㠹㜴㐶㠳摡㥡昱㝣㙤㜶ㄷ㑤晥㜷㕢㌳㉤晥㥦扦㘶㘴ㄷ晢ㅥ㡢㜱ぢ㔵㍦㑤昱っ㠴攲摥〱攳㘹㌲昸㍥つ㥥㠵㠸㜰㤵摡㍣㌶㡤㡢㙤㉣挹戹㌷摢㉥敦㑢戸つ㄰挵㤲㔹昶て㈲ㄲ㐸愷㙦摤㙦㌸㑢晥㈸敡㐰㉢㔶㡤㔹捣㜲摢㡡㌹昷㔷敥㉦㜰㌸挲攱㜶っ戵搱扣㘷摡搲㉣㕤捣摡戲㈱愰挸㤲㡤ㅦ㐰挴㜸戱挰㝦ㅡ慦㈳慥㐰ㅡ㡦昶㍡㘳㠹挵昴て㤱ㄵ㡡愹扤㤰㕥摣㘴搳戱搸㘹㤰晡㐷ㄴ晦〱愱戸散ㅢ挳挹ㄹ㈲戳㈱ㄶ㔲㕣敢昱㜹ㄵ㌲晥ㄳ㘲慤昷㐷挵搵㈱敦㤱晡挷㄰敡㑤㄰扣昵搴愷攲昳搰㔷㥦㡡㌷戲〶㑥晤㠲慢㌰愱戸愶昴挲㘰㠶㍢扥㍦㠱慡㝦㑡〳慥㌷〳っ㑥搱攰㐵ㅡ愴㈱㌸挶挶捦㈰㍡㍤散昸㤲㈴〰扣晦㠶つ挰换㐲㝡㑥㌹昴戱㔸〷愴晥㌹挵㉦㈰㔴〱㘲っ㈷搴㍡㜸㝣㜶〸㜸㥡攰挹搱昴㈰㔱㘵攴ち㔰晦〳㐵捤㐳㌴〰昵㑢㘴慣づ㔴㠵㜵㜱敡㕦戹㡡〰㔵㐵挲敢戲て愸㕦搳昰㈵ㅡ搶㠲つ㝥㐳〳捥ㅦ戵〰㈱㐰搱扢て愸㘴㄰㔰㘱㘹㐳㜱戹敡戵敡〳慡つ愵㥡㙦愶搵㍢㘱㌰㠶ㄳ㙡ㅤ愸摢㤱㕡〵愸㜷挳㐴㠰㌲攸攴㍤㐸㌵〰ㄵ㐵敥敡㐰扤㤷慤攲搴㥡㑥摣㠴扡〳㡡搷㘵㘶扡㌳㉡〶㕤㜷搲㤰敢搷〰㠳㉥ㅡ㜴搳攰㑥ㄸ〸㔰敢㤰㕡〲ち慦慢〲㘶㔴ㅣ㌶㤸㔱ㅦ昰㌹昵〱㜵ㅡ㥤㥥㑥愷㕣㠲㡥攱㠴㕡〷敡㕥愴㔶〱敡㍥㤸〸㔰ㅢ攸攴攳㐸㌵〰㜵〶㜲㔷〷㡡换㔸ㄸ攲㈵㈲㥤戸〹㜵㍦㤴〰ㅣ㕥〷〳㝤ㄶつㅦ〸㌶㌸㥢〶攷搰攰㐱ㄸ〸㔰攷㈲攵〳㉡㜰㐶㙤㠲つ㠰晡愴捦愹て愸昳㔱慡㝢㈱搴挳㌰ㄸ挳〹戵づ搴㈳㐸慤〲ㄴ㔷慦〲搴敢改攴㔱愴ㅡ㠰摡㡣摣搵㠱晡㉣㕢挵愹户搰㠹㥢㔰㡦㐱〹〰敡㈲ㄸ攸㡢㘹挸昵㜰㠰挱㔶ㅡ扣㠱〶㕣㈲ぢ㔰㤷㈰戵〴ㄴ㕥ㅣ〶捣愸敤戰〱㔰㑦晡㥣晡㠰扡㤴㑥晢攸昴㡢㌰ㄸ挳〹戵づ搴㔳㐸〹㔰挶㘵㌰㔹昳つ晥㑢愸㈶攰昵搳㌱㤷挰つ攰つ㈲㜷㜵昰戸㔴㠶㈱㕥㡤搲㠹㥢㔰㕣㉦〷㘰㤳㠴㠱㑥搱㤰㙢改〰㠳㈱ㅡっ搳㠰换㙢〱㙦〴愹晡挳ㄱ㙦㐴〳戰扢ㅣ㈶挰㡥㉢㙣捦愷て扢ㅤ昴昹㐶晡㈴ㅦ愷愹摥挹ㄴ㤴㌶㥣ㄱ㜲慡㘶慡搰㐲攳摡㘱ㄴ换㤱搰捤搶ㄶぢ㈰搱㔴㐹ㅤㅣ㡤㈴挸㈹〶愱㈹㔷㜰㤳㙣㙦㝥戹㔳慦扢ぢ慥㍡㌷㌴扤㌸㤳㙡㉣㈱㕦㡣㝣攱㌷慤㉦㠷敡昵搹昱愵㕤㜴搶攱㘱㤰㈸㙤搸㥢捦㔶捡搵㜲慥搶㍢㡢〵㘲㉦㕦㐴收㐲愱晥昱挸攷攱㌱戰㑤〶搶㕥攲〷㈱挷戸㌱ㅦ㍢㕡㉡ㅦ㉦㐹㙦㈲㔵扥㡦㘵㙢扡愳㠳捤挴㜰捡㜱㈱挰㡢㝦て㉡㉢敢㜱㤸㜴户挵㥦㠶㑥㘳㘳〲㜲换攴挴攴挱昴㘸㈶㌹㥡换づ㈵㤲㐳〹㉢㘹㡤㡥㡣㤸收戰㤹ㅤ戲散㑣㌶㘵㤹昶㘰晣ㄹ户㡥㥥㐴㥤昸昷扤搴ㄴ㔳捦㝡㈹㤶㐵㝥㠸搴㕡㠹ㄵ㝢愵㌲㉡慢㉣㘵户㜷㜴愸㉤㑤敦ぢ㕢〸㔹晤㠵㡢㘱㤰㡦㐵㍥〷戰搶㔶〹㕤昳㡤〵㉢㜳摦㕣敦㐶扥摥〳ㄱ㡢晦〸㘹㜶挸㤸㐱昲昴挹㠹㌴摥〲㜸敦〵㌸㝦㡣㉢㤱摦㠵㝣㈱㥤昸摣愷㙡㕣㠵㥣㜵挸昱慤㐰㡤慢㤱㜷ㅡ昲ㅡ㍦改㠹㤳昳挹㈰捣戲㔹敥㌵㌸㕦户ㅣ㠰戹ㄲ摥挶慣㙢㤸㠲㈲攷昳㔰㌸攵搵挳㠸㤲ㄳつ㝡㐸ぢ捤挶㐴㔱て㈱㠷㤳愵㜱戰挹摥愴㥤㙢攱〳㠳㑤愶㐶㙦挶㘱㐸㘷戰㤳挳〹㌳㤷挸っ㤹㤹㐴㉡㘹㈷㐶㐶㜲㐳昶攸㐰㝦㘶㈴㌵㙣つ㈴〷㤳㜱㈱㜶㙣敢㍡搴㠹㤳捡搱㠳扥㥥㈹攱㜴㕥㤹㈲㕦攳㠰慢㑦愱㈳ㅣっ〱昵捤㌰搴㌷㐲挴攲愴㙣〲敡㑤㐸㌶㐳㜵㌳昲ㅡ〱㑤㈳愷ㄵ㍣攳㉤挸づㄸ㤱㌸戹愰〴㝢〶ㄴ昹〴㐷㘷㘱敡扣㤱㄰㡥挷㝣㕥ㄹ昸㌹㈷㌹㥥㠰㝡㉦㝡摢ち敡㍤挸㙤〵㤵㑣㑦摡挹挳て㐰㈵慢愳㐷攳ㄶ㐸〷搴慣㥤捡㈴慤㝥㉢㘱㡦愶㤲愳挳㐰㌵㍢㌸㤲戲〶㉣换戲㙤㍢㤱㠹ぢ〹㐴ㅤ㝤ㄴ㜵攲扦㜱㍤㌸愰㜲㘴改㑦捡戰〲㜵㐱扤换て㙡ㄹ戹㝡ㅥ㈲ㄶ㈷扤㤳敥㄰㔴㑤ㄴ㌵㠱搳㙦㠱㠸攳㡥收ㄴ㥥㐷㠷㥢㈸㡥戳㤰昳づぢ㕢户愱㐵㔷挱㥦㤰㈲㥤ㄳ㑣摥ㄳ㠸挹敤㠱㤸㤰搴㐹㈷㙥㠵〲㑣㐸攰昰ぢㄹ㙦㠳㜴㌰改㑦㕡㠳戹攴愸㘹て㘷晢㤳愳搹㠱搱愱㤱㘱换㌲㌱搵晡㠷㜲㤶㌵㄰ㄷ扥挷ㅥ摥㠶㍡㜱㌲㍣㝡㜰㌰ㄱ慡攷㤵㈹搲㌸㤹㘸㙦昳㘳昲㉥攴敡摢㈱㘲㜱㌲戹㘵㌱㈱挳㤳挲捤㜴戸㠵攲㑥㔶ㄵ㑣㠴戹㌱敢㡦㤱㠵㥦㜳㤲戹〹㈶㤵㐰㑣收〳㌱㌹ㄳ㤵愴㥤て㐱〱㈶攴㙡昸㠵㡣扢㈰ㅤ㑣〶㜲戹晥搱愱晥㔴㈶㘷㕢挹㠱㤱㤴㤹戰晡〷㌳㜶挲挴〵㤹戲㔲㜶㕣愸ㅤ扢昳㘱搴㠹㤳捣搱㠳㠳㠹戰㍡慦㑣㤱戱〹㈶户昸㌱戹ㅢ戹晡ㅥ㠸㔸晣㝣挸㘵㌱改昵ち户搱攱㜶㡡晢㔹㔵㌰ㄱ㤲挶慣〷㤱㠵㥦㜳㙥㠶㈶㤸摣ㅣ㠸挹㡤㠱㤸㤰慡㐹㈷㍥〹〵㤸㤰㤶攱ㄷ㌲㍥〵改㘰㘲昶㘷戳挹㐴㘶㌸㤱捤㘴㤳搹㤱搱㔱㉢㙢攲〹㌴㤲捡㈶散摣昰㤰ㅤㄷㄶ挷敥晣ㄹ敡挴挹摢攸挱挱㐴〸㥣㔷愶㐸捥〴㤳挳㝥㑣㍥㡤㕣晤㄰㐴㉣㑥㝥戶㉣㈶攴㙤㔲挸㠵愳㝣㐲愶晦㥡㔵〵ㄳ攱㕥捣㝦っ㔹昸㌹㈷戹㤷㘰㜲㘵㈰㈶㝢〲㌱㈱〳㤳㜶晥ㄶち㌰㈱摢挲㉦㘴㝣づ搲挱㈴㤱捣㈶㐶㌳㤸ㄱ搶㘸㌶㘹㥢〳㈳㤹㐴㘶搰捥㕡愹㘴㙥㜸㘴㌰㌵ㅣㄷ㜲挶敥㍣㠹㍡㜱搲㌱㝡㜰㌰ㄹ昶㔲㉣㔳㈴㕤㠲挹㠴ㅦ㤳㤳挸搵㥦㠷㠸挵㜷㐰㉥㡢〹昹㤸ㄴ昲㕤㡤㝣昲愶扦挴慡挴㈴㑥㝡㈶㠵㕦㠶搲摤ㄶ㈱挳搸搱昴㄰て摥愹摤搶晣扤搴ㄵ昸晥㘹㌱っ愷㙤搸愲㜲㌶㜶摡挳㤷扦㌲㕦愴〹摣搷攵ㄹㄹ㐲搴扦㠳ㅦ㐴攴㈳づ昴㜸㍥㑥晤㔵攴㐷㐸㜸晡㠳扡戸搲㐷戶〶慡㙦㉣捥㔴挱㈰昰戱昶愱昲㜸晤㑢摦搳㍣㘶戱捤晢㡣㘷换㔲捥㜸愶㡡㜷〲㌵摢慢戶扦㔲慦㠷捦㘲㐰〸㔱戰㡤ㅦ晤㙣㕣㑡昹㌶挶捥㔹捡㥤㈹㔵昱㠱㥡㙤㜹ㅥ慢㔸愰戴㠷摢㔴攰㕥戵晢㑤㉦㜷挲攸つ㥦愸捤㔸摤㠸攰㥣㠰㙤挱㠹㝣㑤戶搵挹㐸㤴㈶扢㌴扥㐶㤸㜶㙥㥥摣㍣ㄴㄹ挴㌸慣戹〹㔴昳愱捥〶㌹㌵㘲晡敢㈸㔰㘴㥤昴挶慣ㅥ㌲㌸㑥㐱挲敡㍢㑥敤㜲ㄳ㘳捥摦攸㔸て㘹㥥㔸摥愴㉥戸㙢㍣昲昴㙤昷扦昸ㄷ㍢戶㝣攲慦㕥㜶晦摥㜶愰昴昳㥢扥搲晦昴㉥㐵㔲戶ㅥ昵㥡㍦㜲戸ㄴ㡤〶扥摦摢敥ㄶ㌴㝦攵ㄱ㈷愱㤳ぢ攴㥢㔰扡摢ㄴ㔹ㄹ㉦ㄲ㜵〹㙡㜰㘶捡㘴晡ㄶ㜳慥㠳攰㠴㔲㥡㔴捤昸㔷〸〷㌹㜵ㄱ散扣㜸㘳晡摢戴㈱ㄷ昳戲㝡摥㡣挴摡㈰㈰㈹㕢ㅢ〴㔹㔸〶㐱㜰㠱ㅢ㘹换㜷ㅥ扤㙥㐱昳㜷ㅥ㜱搲㉦㠱攰ㄹ㈸㠰㠰ㅣ㑡㈰搸㠴ㅡ㜵〸㥥㐵慥㍡ち攱㐰㐰㘲㘵㍣〷攱㐲㜰㜶〳〴㍦㐲㐱て〹搱摡愲㈶㙢㕡㕢搴挷㘱ㄹㄴ昵挶攵愲摥攰ㄶ㌴㝦摣ㄱ㈷挱㤲愸㕦㠰㠲愸挹㤲㈴敡搳晤㔱晦ㄴ戹㡡攴挷㠹㥡搴挹㜸ㄱ挲㡤㝡㕤㐳搴晦㠵㠲㥥㜷㐱慣㉤㙡昲愲戵㐵㑤㉥ㄴㄴ戵㕥㉥敡愸㕢搰晣㐵㐷㥣ㄴ㑡愲晥㕦㈸㠸㥡㍣㐸愲㌶晣㔱晦ち戹㡡昴挶㠹㥡攴挸㜸〹挲㡤㍡摣㄰昵换㈸攸戹ㅢ㘲㙤㔱㤳昹慣㉤㙡戲㥤愰愸㕦㝡㘹㤹㡢晣搷㙥㐱昳㘷ㅣ昱〷摤㌶㌵㌷㘱㄰㌵㤹㡥㐴晤㑢搴愸捦昰づㄴ㉡ㄲㄸ㈷㙡搲ㅦ㠳晦昹挷㡤晡ㄷ戰昵慥攸㤸敥㐴㐱て㘹换摡愲㈶户㔹㕢搴攴㌳㐱㔱扦戸㕣搴愷摣㠲收㙦㌷攲愴㐱㙣㔳㥦收㐴㑤㉥㈳㔱晦挴ㅦ昵㝡㐶晤㈴㡡㥣愸㐹㜰㡣㡤㑢㔱晦戸㈱敡㌳ㄹ㌵㠹挹摡愲㈶㝢㔹㕢搴㘴㉣㐱㔱㍦户㕣搴㍦㜰ぢ㕡㍥搸㈰搱㔹敤㠳つ摦搷敥㍤〰㈸㤲攳昶㐱㘷捥挹㈶㌷挱〶㔴扥㔰㤰扤㥢㉥扣㕦慤攰㝢昳慢昱ㄹ〱摥慡攲㍦摡戸ㅢ〷昸扣㠰慦慢扣㌷㜸㕡㔲慣㙣攴昶㔷昰㑡慦㈳㌷㔳挵攷ㅦ㔶ㄴ摦换搶㙡昸捦㌹慦㠵㤷慦搸㑤㙢挷ㄸ攲㜰㕥扢〶㙥㘴昱挹ㅣ㐸〴㥣㉦㌲㤶昰昰㍥㈳て昳戵散㉢晢ㄲ挴㌸て摤昱昶㔹㉤摦㠷〶㘱昵㝤っ戱戳搴㝦㝢攸㘵改㌳㌸㠶㍥ㅦ昶㐶㉦〴㍦〲ㄵ㑡つㄱ搳ㄷ㈰㐷㌶㌴㐵㠴㈲愴㝦捤挱㜱㙢㜱ㅡ㜶愱愶㡦挱㍢㍢㍤㉥挲㔶摡㐹㘱㔶㘲㑦摣敡散㈸愶㑤晥晦挱㘸㌱㕤戰㑢㐷㙡㜳昵晦㌳搸㈱㥦㤶敢ぢ搱づ㥢攲愱挸㉤㌸㉦㡤捤挸ちづ昶摢㠱挱㕥〴㝢捤㘰㤷〲摤捡㉣敥摣㍡㠱㉡㔲ㄳ〶敢ㅤ㡡昴㠳㈱攸㑢㘰挹慡㍣搴㌳挸㘱ㄷ㌴扢㄰㔶晦ㅣ搸摣愵昴摤搸摣㘵捣昲㌵昷㉣㝣㌴㌴挷㐷扤㌴㌷㐰挷㑥㙢㈱挵㠷慡慦戹慦〵㌶㤷㙣㙤㙥愸愹㌹㍥㝦ㅢ㥡攳㌳㔶㥡ㅢ昱㌷挷愷㤹慦戹愷〲㥢摢搱摡摣捥愶收昸攰㙢㘸㡥て㌷㘹㙥㤷扦㌹㍥㐶㝣捤㥤っ㙣㙥愲戵戹愹愶收昸挴㘹㘸㡥㑦ㄵ㘹㡥搳ㄴ㍦㌹ㄴ敦摦㙣捥搸つ㈵㜸晡晣㑤㘰ㄷ㘶㘰摦㌴㥥㔷㌱换㌷㥥扣晤㌷㜴㠱户㜸改挲㕥㈸昸挹ㄱ攱㔵户收㕢〲扡ㅡ㕡㡦㥢愷晢㕦㙤昹攱挹戶〲晦愳㙤搰㜷っ㡤摦昹散㐳㍢㡡搷㌲㝤攸晤慥挲㐴て慦㈸㉡㔱㥣㈱挵㉢㠳㥤搲〷㤸捤㡢㐲㙡㕣攳㉡㔲㠳ㄷ挰㔲つ㑥㙥愹㜱㤰搹㥣搷㔲㘳搶㔵愴〶攷昰㔲つ捥㑦愹㜱㠸搹㥣㥡㔲攳㕡㔷㤱ㅡ㥣㠶㑢㌵㌸挵愴挶㘱㘶㜳㜶㐹㡤敢㕣㐵㙡散㜲ㄳ㑥ㅣ㥣㈵㔲攳㝡㘶㜳㠲㐸㡤ㅢ㕣㐵㙡㜰㌲㔰㜱㙡㜰㔰愵挶㥢㤸捤昱㤴ㅡ㙦㜶ㄵ愹挱戱㕢慡㈱愰愲扥扥ㄱ搹摥ㄱ㈷戸㐲て㙥㠲〲㔲㈴㐰搲敡㘶扦ㄵ〱ㄵ慢戴㘳㈵攰戵㔸ㄱ㐴戱㌲ㅤ㉢〱慣挵㡡挰㠹㔵搶戱ㄲ㤰㕡慣〸㤶㔸搹㡥㤵〰搳㘲㐵㠰挴敡㠸㘳㈵㘰戴㔸ㄱㄴ戱捡㡢㔵摣〳㐰㌱㘶攱㐲ㅦ挳㠵㐳〶㌸㠱扡搸㘶㡤㝢挱㉢挶㉢ㄶㅦ㙤戴㔰っ㔱ち㍥搲㔴挰愸愴攰挳㑤〵っ㐴ち敥㙡㉡㘰摦愵攰㐳㑤〵散慥ㄴ㝣戰戱愰昳晦〰㡥㍤敡㜵</t>
  </si>
  <si>
    <t>CB_Block_7.0.0.0:2</t>
  </si>
  <si>
    <t>㜸〱敤㝤〷㝣ㅣ搵戵扥慥愴ㅤ敢慥㙣㙢㙤㔳㡣〱㈳ㅢ㑣戳㉤搴㑢挰ㄸ㕢戶㡣挱㘰攳㐶㌱㡥扣摡㥤戵㠴㔵散㕤挹㠵搰㕢㈸㈱㠰㈱昴ㅥ㙡〲㠶〰愱㈷㌱愱㤳㐰㘸㈱㡤搰挲愳愵㌹扣㈴㤰㍣㈰晦敦㍢㌳㜷㜷㜶㜶㔶㉢㑡㝥㡦昷晢㘷慣㍤㥥㝢捥戹攷摥昳捤㥤㤹㕢捥捣ㄴ愹愲愲愲㝦㘱攳晦摣㑡戹戳挳愲つ愹㝥扢愷慡戵慦扢摢㡥昵㜷昵昵愶慡㘶㈴㤳搱つ昳扡㔲晤㈵㔰戰摡扢㈰㑦㠵摡㔳㕤㐷摢㘵敤㙢敤㘴ち㑡愱愲愲戲㌲㕤っ昹㜶敥㉦㘲ㄲ㥡戹㜴㈹〹戴㡡戴㐵㌲㡣愴㡣㐴㤳㠴㐹捡㐹㠶㤳㡣㈰ㄹ㐹㔲㐱ㄲ㈱ㄹ㐵㌲㥡㘴っ挹㔶㈴㕢㤳㙣㐳戲㉤挹㔸ㄲ㤶慦挷㤱㙣て㌲㝣〷㤰挵慤㌳攷㜷ㅣ〵㙦ㄶ昵昷㈵敤㈹㤵㑢㥤㍡㑦慢愹愹慡愹慡㙦愸愹慤慡㥥㔲搹㍡搰摤㍦㤰戴愷昵摡〳晤挹㘸昷㤴捡〵〳ㅤ摤㕤戱〳敤つ㡢晢㔶搹扤搳散㡥敡扡㡥㘸㝤㜳㑤㝤㐳㐳愲愵愵㜹昸㡥戰㝣㜰敢捣〵㐹㍢㤱晡愲㙣㡥愷捤昹慤㌳慢づ戶晢扦㈸㥢㍢挱㈶㑣捥敡敢㠹㜶昵㝥㐱㐶㐳㍣愶つ戳散㔸ㄷて扥㙤㈷扢㝡㔷㔶愱摡㔹㐰㈳搵㔴㌵㈳㤵ㅡ攸㔹捤㜶搴㙡㜷㜷㉦戴ㄳ㜲搰㝢㘶愵晡ㄷ㐴㤳㍤愹攱㍤挴捦㑥摡扤㌱㍢㌵戲㘷昶晡㤸摤敤㉡愶捡㝡㤶㐶㤳〷㐷㝢散㔲敥㔴昴㌸挷㜰㙥摣敥敤敦敡摦㌰愲㘷㐹捡㕥ㄸ敤㕤㘹㔳㈵搴㌳㘷愰㉢慥㑡㑢昱㔷㔴戲㕢㔰捤攴㐰愱㍥㍤慤㥤搱㘴扦愴㜸〸㙢㠲㜴㍤捤㐵扣挸慡ㄷ㥢㔴愵㉦ㄷ㡦搹愲慥㥥〳敤㘴慦摤捤㐲㜸㈴㈷晢㤴〴㈰攷㌸愴㤱㌲敥昰㈸愹㜲昷攴愳㉦㉣挵慡〴ㄹ㍦敢㜰㍢㜵㜰摦㤴〵挹扥㡥㘹搵㔵つ搵つ㉤つつ捤㑤㌵㌵㌵㑤㑤搵搵捤㝡〲㜴昴㐴㙡敦っ㔲搲㔶㔷慤㜷㈱㙢ㄲ㠸㉡晤㌵㑥㜰慦㔹㥥㘴挵敤搱攲昶㡥攲昶㔸㜱㝢扣戸摤㉥㙥㑦ㄴ户慦㉣㙥敦㉣㙥敦㉡㙥㍦慡戸㝤ㄵ㜴捣㔶㌶㙣㔸戱扢㕤戲㘰攰戶户敦晣㜰收㠳搳慣㌷ㅥ㥤扡晢ㄵ㡡攷戴㕣ㄲ㜶挳㑥愱㙡敥づㅤ扤〷㠸戵㈷㐸㜱㕢㤳㥥㑣捥ㄴ㄰愵㕥㐰㉤㔹搳捥敢㑥戵㌶㍥昶昶摣摢㡥㍣攳晡昳㡦㉢㌹㕣昱㡡㈱㐵㔴㘱愷㔰ㄱ㝢搱㘰㌵㠸㔵挳㙣㙤戵つ扡㤶慣㍡㄰愵㝥敡㤶㜱㐳改愳つ㤷挶戶摤敦捡ㄳ慢ㅦ摦愶晥愱摦㈹㕥㤰愴㡣〶散ㄴ㉡愳㤱〶㥢㐰慣㘶㘶㙢慢㘹搶㉤㘴㝤〵㐴愹㐷摤㌲㉥㝣㜰晢摦㈶昷摡昶愰㕢㙦㕤搷昵㤵搷㘲㍢㉡㕥敦愴㡣㝤戰㔳愸㡣㘹㌴戸㉦㠸㌵㥤搹摡㙡㙡昵㝥㘴捤〰㔱敡㠷㙥ㄹ攵昳换晥㍡昱戶㔳て㍣㝢摡捦敢搶㑤㌸㜲㠲攲㤹㈵㘵戴㘲愷㔰ㄹ戳㘸㜰㌶㠸搵挶㙣㙤㌵搵㝡づ㔹晢㠳㈸㜵㡦㕢挶晢㡦慦㝣晤〷㠷ㅣ㌹晦攲㥦扣昰收换㡦扤晡㤶攲搵㕡捡㌸〰㍢㠵捡㌸㤰〶攷㠱㔸〷㠱ㄴ户㌵敡㠳挹㤹て愲搴敤㙥ㄱ㈵扢㠷扡扦㤶晣昵㠱㘷㤵㥥晥㡤摡搳〶敥㔶扣ㄷ㐸ㄱ㠷㘰愷㔰ㄱぢ㘹㜰ㄱ㠸戵㤸搹摡㙡㕡昴ㄲ戲㤶㠲㈸㜵戳㕢挶愵晦㉣戹散㥤㘸捤㠱摦敦㙡ㅦ晢㐹㜳㍣慣捡愹㡣㥦㜵ㄸ㐸愱㌲づ㠷㡥㍥㠲摡换㐰㔰㐶㡤㍥㤲慣攵㈰㑡㕤敢㤶昱摥扤㤵㤱慡敦㈵摢敥扣昳摣ㅢ慣㤷㕥攸㔳扣㤳㐹ㄹ敤搸㈹㔴挶ち攸攸㈸㠸搵〱㠲㌲㥡㜴㡣慣㌸㠸㔲㤷戹㘵㥣㤰慣昹昶㌳戵㔳攷㥤㕣晥收晢ぢ搷扦摥慣㜸愳㤴㌲ㄲ搸㈹㔴挶㑡ㅡ散〴戱扡㐰㡡摢敡昵㔱攴慣〲㔱敡〲户㠸挴扡敦㤵ㄴ摤㜹捦扣扢㑦扦昳挹ㄹ昷㤴扦愱㜸ㅢ㤶㈲㝡戰㔳愸㠸㕥ㅡ散〳戱㔶㌳㕢㕢㙤㤳㕥㐳㔶ㄲ㐴愹戳摤㌲㌶㝤昵摥㡤㐵ㄵㄷ捤㍦敤摤慢㙥摦ㄲ摤扢㐴昱㉥㉦㘵昴㘳愷㔰ㄹ〳㌴戸ㄶ挴㕡挷㙣㙤戵捤㝡㍤㔹ㅢ㐰㤴㍡捤㉤㘳挴㠴捤㍦㕦扢戰㘵昶〹㤳捦摤改散ㄱ昵扤㡡㥤〸㈹攳㙢搸㈹㔴挶㌱㌴㜸㉣㠸㜵ㅣ㐸㜱㕢㠳㍥㥥㥣ㄳ㐰㤴㍡摥㉤攲愳㡢晦搸㜴攳ㄹ㤷捤摦㜴捥慤扢㝤㜰昸㐹㜱挵㉥㡡ㄴ㜱ㄲ㜶ちㄵ㜱㌲㜴昴㈹㈰搶愹捣搶㔶㕢慤㑦㈳敢敢㈰㑡慤㜷换㤸扡晢㠳昷㕦㜰挰戱㌳慦晦搱搳て㕣戵㔷攸愵㄰㝢㐰㜵㐱昷ㄵ晦㉤慢つ㕤㥤㔸㌴搵敦摥㑤㜹〱晡㘲㙦戶㠵敦戵㙤挹搸扦晦㕥㡢㐲扥㤰㝢慤㍥㠳攸㥦〹㘲㥤〵㔲㡥扥㘲㙣㔵攵㠲㘴㔷捣搶摦愰攸㙣㄰愵㤲敥㠱ㄹ昵㙥攷挴攷慥㕡㌶昷㜶昵攴晦㝣攵慥敥攳ㄵ㝢愵㜲昰捦挱㑥愱㠳㝦㉥つ㥥〷㘲㙤㘴戶戶扡ㅡ㝤㍥㔹ㄷ㠰㈸戵捡㉤攳㥡㍢慥慥㕡㍡㙥㘰晦ㅢ㑦㌹㌴昴晢㐹昷捤㔰散昴㑡ㄹㄷ㘲愷㔰ㄹㄷ搱攰挵㈰搶㈵捣搶㔶摢愲㉦㈵敢㌲㄰愵攲㙥ㄹ㔷㕣摥㝢搳ㅤ慦づ㥢㝦捥㜹㕦扤㍤戲㘱敢㠳ㄵ晢搴㔲挶ㄵ搸㈹㔴挶㤵㌴㜸ㄵ㠸㜵㌵〸㉥㕢㜵晡ㅡ戲慥〵㔱㙡戹㕢挶摣戳㉡㡥搹㝣捦搳㌳慥㍡晡戸㤷捥晤挶戶㠷愸㙤愸㡣㥦㜵ㅤ㐸愱㌲慥㠷㡥扥㠱摡㌷㠲挰㡦㐶㝤ㄳ㔹㌷㠳㈸戵搴㉤攳㝢扦摣㔸戶㘰挹㠹昳㙦㙣摦㘱捥挶㔱㤵攷㈸㡥〸愴㡣敦㘲愷㔰ㄹ户搰攰慤㈰搶㈶㤰攲戶ㄶ㝤ㅢ㌹户㠳㈸㌵摦㉤愲晢㠸晦戹㝡挲挴挷て晣㑥晣㕢ㄷ晥昸捥㑤㔳搵㔸㠸愵㠸㍢戰㔳愸㠸㍢㘹昰㉥㄰敢晢捣搶㔶㕢愳敦㈶敢ㅥ㄰愵昶㜷换搸晤收攸㍦慥㔸ㄸ㥦㜷摥收㜱换㌶㍤㌱㜵㍦戵ㅤ挴㍣攷昵㝤㈴昷㠳㔸て㠰㤴户㐶扢扢㉢ㄷ㐴㌷昴㈵ㄲ晡㐱㡡㝥〰愲搴㑣搷㡥㔵昷㝡摦㥣攳慥㥥㝦摤昸㡢㡦摦㜵昱㠵㍦㔰攳㈰㤶扡晥〸㍢㠵敡扡ㄹ㍡晡㈱㄰敢挷㈰㘸㥥戵晡㘱戲ㅥ〱㔱㙡㙦户㡣㉢て㝢扡敥㥢ㄷ摤戲摦昵㥢㤳挳捦摥改㙦㑦愹敤愹㡣㥦昵ㄸ㐸愱㌲ㅥ㠷㡥㝥㠲摡㑦㠲愰改㌴敡愷挸晡〹㠸㔲昵㙥ㄹ㙦㤴ㅣ慣扦㔹㌴㘹挶㐵愷㍦晣㔶挵㈷愹ㄵ挳㥦㠶昸㄰户㥢㍣㉢ㄹ㕤㠷㠱㐷㘶㑣㠳㠱ㅣ晦ㄵㅥ捣㘱㉣㤷㘸㐸㌴㈵㙡㙡攲つ搵搱扡㘸㘸〲捣づ㜵搴挰㍢挹昰挴愱㕤扤昱扥㜵㌲㡣搸㘱㘶㌴㘵㘷慥㜴㤳㕤搹捣扥㠱摥㜸㙡晢㘰攱愲晥㘸扦㍤捥㉦换ㄸ挹挹戶〸㠳㉣㍢㈵攵㡤昷㘷㕢ㅡ敤ㅥ戰㘷慣敦㜲挴㍢晡挴ㄸ㘲昵㜵攴㤷戶㈵敤㌵㘹㘹㑥㡤㘶㘰づ㘰慤搸捥昱搲ㄱ㌹昵慡㙣敤散㑢搹扤㔲扤挹㍤ぢ扡㘲慢散攴㈲㥢㌳〸㜶㕣㕣摤㥡㈲㜷㥣㌷㜹㝥㉦ㅣ挵挸㉤㍥搱换㑤捣㕥摦㙦昷挶敤㌸敡扢摡㑥昶㙦㔸ㅣ敤攸戶户挹㔲㜱捡㠴㘰扢㉣㜶㕢㕦㙣㈰搵摡搷摢㥦散敢捥㤶捣㠸慦㡤㘲㙣ㄹ㍦愸㉦㙥㘳㘸㔸捡慤㐸ㄵ㤵㤴㈸㔵戴㘷搰㝤㤴㜶㔳㔵㜲㈰㍣㠷㜸㐷ㅣ昳戱搹捤慥㙡㈱扣㠳ㄷ摤㌶摢㘴昱㉥〵㡣㠹㕤㥡搹㈳扦愲挷㈷㑥户㔰㝢昷晣摡㔲挷昴㤱晢昷㉡ㄷㄷ㡦㜱扤㥦扤ㄶ攳敦晤愳扤昱㙥㍢㌹攸㘴㤱㘲㡤昴㌳㈰愱ㅡ㥣捤㜹搱㉢㠵㠶㕡慦㌶㠴搶㜵挵晢㍢慤㑥扢㙢㘵㈷晢㠱㤸㔰㉡㉢㈳戴㌹㥢㝥ㄶ㉣晤ㅣ挹昳㈰攱㜰㤱昵〲㤵慣戰㝥搱㐹㠷㈶攲晦㑦㍦戲㉦㐶㉥㉤㌳〹㤸昶㐹㠵㝡搰㠷㑡㤵㤴〴㜹戹㝦㌴搵搹捦收㌹戸㤰昶㝥㑥昲ㄲ㐸㘸ㄷ㤰㠲ㄳ〷散ぢ㤷㜲㝥㘴㐴捦㉣㍢ㄱ挵慣㤴㥣摤㉡ㅡ敡㜱㈶㍡㘶搹愹㤸收㡣挸㕣㥣㉢敢㉤散攱攴ㅦ摥挳搶㙦慦敦㥦ㄵ敤㡦づ敢挱摣ち㡥㤲㠶搲㘴挹攵散㌱攷〸攱㤹摣㘱㌷〵ぢㄱ搹昵㔸㈹ㄷ㠶㘳〹㈷づ捥㤷愲ㄲ㤷づ敥〴敡捥ㅥ㤹攵㙦攸搹㜳㈴㤸扡㠹捦戱㝢ㄷ㙦㔸㙤愷愸㕥㘶つち愵晦昴愲戱昹戱㡥㈵晤㕤摤愹㉡搴㜴㑥戲㙦㘰昵ㄷ㘹㠷戶昴㉦㐰捣ㄶ摡ㅤ慤㜸攸㍥〱慥愲㘱㙢㜹㙣摡摢㡢捡㘸㡤ㅣ扤㌳〹㕢㉢㙦㤶㘶搳扦挱㕥㜸㌰㔹㘸ㄲ㌴㍥捤㝣㔲〸晡挳㝢㠰搰攲愴㉤㌳㘴㘵㤲〰摡㈳㝡づ敤㑢慥敡攸敢㕢挵昶㌴㔲㔲愹㑥摢敥攷慣㔳戹㍢换㈶戳㘹㑡㤵㤴㘴捤ㅤ㜹愶愷㜶㠲㝤敢㔵㤰ㄱ㌳搰ㄱ㌱ㄶ㔳搶㙢㘰㤵㘰晥换㝡ㅤ㍢扢ㅦ挴㐶㔹搹ㅡ㑤㜶昷㔵捥㤷㔹㐰改㔱攳愶㕤㌹ㄵ扤㤷㘴㝦㘵㙤搵晡敥搴㝡㌵摥扤摦慦摦㙡㑤㜹攵㕥㝤慤户扣昰摡挶挴㤴㡢㔶愸ㅤ㕤㐱捥攴搳敥戰㍦〱㍦晤㈶㠸摡ㅥ㙡扣捡㘰㍦㝢搳㙦㈱慤摦㈶㜹〷〴搷ち㐱ㅦ㤷㡡昷㥣愴摡〳晦昳㜲愱㝦㑦昲〷㄰㌵ㄹ㠴㈷慢晥㈳㠸搹搴㘸搸㘷ㅢ㤰攳戸㈷搸㘲㠹㤷㉦戳改扦㘰㉦慣〷㤱愹㈹搰攰戱搴挴㑥扦㐶㐲愴㔴ㄹっ㜳〶㉣〷㠰㘱慥㈰㘷㙡㙣㉦㘴ㄳ〰晥挹晣㈱愸〵〳昰ㄱ换昸㤸攴ㄳ㄰て〰㙣㤰㐸慡㙡戰〵〰㥥攲扡ㄸ㐴搵㠲㈵〰㤴㈰㘵㌶昵搱㈷ㅥ〰㙡挰ㄶ〰搸㤹㌷㥢ㅥ㐶㥢㝡㄰㤹慡㠳㙥㄰〰敦挳㜸㈰〰㝦㜱〵㌹昳㜶㡤戰㌴〱㍦ㅤ㘱㤵晦っ戵㘰〰㐶㐳慣挷㤰㙣〵攲〱㘰ㅢ㈷愹㥡㘰㐴〰搸㤶㑡㘳㐱㔴ぢ㔸〲挰㜶㐸㤹㑤扤攵〵愰ㄹ㙣〱㠰㔷㙣戳改ㅤ㘹㔳て㈲㔳㕦㠱㙥㄰〰㉦攷〳攰㌷慥㈰㘷㔲㜱ㅡ㉣㑤挰㑦敦捡㉡晦㉡㉦〰扢㐳慣昷㈰搹ㄳ挴〳挰ㄴ㈷愹昶㠵ㄱ〱㘰㉡㤵慡㐰搴㝥㘰〹〰㝢㈱㘵㌶昵慣ㄷ㠰改㘰ぢ〰摡挸挹愸愳㑤㍤㠸㑣捤㠰㕡㄰〰㡦攵〳攰㔱㔷㤰㌳攳㌹ぢ㤶㈶戰搰㝤㔰愸㝡搸〵愰ㄷ〹晥摡㌱攷昱㔰㈹挵晢㈲愵愷㤳散〷攲〱㘰愶㤳㔴戳愱㈵〰戴㔲㘹ㄶ㠸㥡〳㤶〰㌰ㅢ㈹戳愹晢扤〰戴㠱㉤〰愰愰昴愶攷搲愶ㅥ㐴愶昶㠷㜲㄰〰户攷〳攰㌶㔷㤰㌳ㅤ㝢㈰㉣㑤挰㑦㉦㘴㤵㙦㜵〱㐸搷挵散攸挵㄰敢㈵㈴㑢㐱㍣〰ㅣ收㈴搵㍣愸ち〰㠷㔳改〸㄰㜵㌰㔸〲挰㌲愴捣愶慥昳〲㜰㄰搸〲〰㐷㝤㘶搳敤戴愹〷㤱愹昹搰つ〲攰搲㝣〰㕣攲ち㜲㈶㡢ㄷ挲搲〴晣㜴㈷慢㝣㔱㕥〰㡥㠲㔸慦㈲改〶昱〰挰㠶㠲愴㕡〴㈳〲㐰ㅦ㤵㔶㠳愸㈵㘰〹〰㙢㤰㌲㥢晡愶ㄷ㠰挵㘰ぢ〰ㅣㄳ㥡㑤て搰愶ㅥ㐴愶㤶㐲㌷〸㠰㔳昲〱㜰戲㉢挸㤹挹㍥ㅣ㤶㈶攰愷㡦㘳㤵㑦捣ぢ挰〹㄰敢ㄳ㐹㑥〲昱〰㜰㡡㤳㔴㐷挰㠸〰㜰㉡㤵㑥〳㔱㥣攵ㄶ〰扥㡥㤴搹搴㝡㉦〰换挰ㄶ〰捡㡣㥣㡣戳㘸㔳て㈲㔳换愱ㄶ〴㐰㙦㍥〰㝡㕣㐱捥㌴晢ち㔸㥡挰㐲㉦㘰㤵㔷攵〵攰㐲㠸昵㐵㈴ㄷ㠳㜸〰戸搴㐹慡㈸㡣〸〰㤷㔱改㜲㄰ㄵ〳㑢〰戸〲㈹戳愹づ㉦〰ㅤ㘰ぢ〰㈳㡤㥣㡣㙢愰ㅦ搶㠳挸㔴ㅣ㙡㐱〰ㅣ㤶て㠰㐳㕤㐱捥ㅡ挰㑡㔸㥡挰㐲扦挳㉡㉦挹ぢ挰㉤㄰敢㕢㐹㌶㠱㜸〰戸摤㐹慡㑥ㄸㄱ〰扥㐷愵㍢㐰搴㔱㘰〹〰㜷㈲㘵㌶㌵捦ぢ㐰ㄷ搸〲㠰㐷〳戳㕡㐸㠵昵㈰㌲戵ち昹㠲〰㤸㤹て㠰ㄹ慥㈰㘷㠵愲ㄷ㤶㈶戰ㄶ㥢㔱愸㥡㥥ㄷ㠰ㅦ㐳慣ㅦ㈶㜹〴挴〳挰㘳㑥㔲昵挱㠸〰昰㌸㤵㥥〰㔱㙢挰ㄲ〰㥥㐴捡㙣慡搱ぢ挰㙡戰〵〰㑥〷㥡㑤㍦㑤㥢㝡㄰㤹㑡㐲㌷〸㠰㈹昹〰㤸散ち㜲㤶㑦〶㘰㘹〲㝥晡㈵㔶㜹㡦扣〰晣ㄲ㘲晤㉢㤲㕦㠳㜸〰㜸搹㐹慡戵㌰㈲〰晣㤶㑡慦㠰愸昵㘰〹〰慦㈲㘵㌶㔵改〵㘰ㅤ搸〲〰攷㉡捤愶㝦㐷㥢㝡㄰㤹摡〰摤㈰〰戶挹〷挰搶慥㈰㘷㙤㠷换㌵ㄳ昰搳㝦㘰㤵挷攴〵攰㑦㄰敢㍦㤳㙣〱昱〰昰扥㤳㔴挷挲㠸〰昰摦㔴晡㉢㠸㍡ㅥ㉣〱攰㙦㐸㤹㑤㠵扤〰ㅣ〷戶〰㔰㙣攴㘴晣㠳㌶昵㈰㌲㜵〲搴㠲〰㈸捡〷挰扦㍥㜶晡挸㌹㉢㑦㈷挳搲〴ㄶ㕡㡣㉡愸㡦愱ㄶ摣ㄵ㉥㠵㔸㠷㐸㉣㄰て〰㘵㑥㔲㥤〲㈳ㄳ㘹㠸戱㍣㍡っ愲㑥㐳㔲〰㈸㐷捡㙣敡慦㈸㈳㍤ㄸ㍡ㄵ㙣〱㘰㤴㤱㤳㔱〱晤戰ㅥ㐴愶扥づ戵㈰〰摥㜳晤捣ㄹっ扤敢ち㜲㤶挵捥㠰愵㐱收㙦戳㔶愲戶㠲㙥搶晣敤昰㐴㕢㔷㜷扦㥤㤴㈹扡㡡〴晥㜳攲㕡㈴㍤㠲搳㤲挹㘸捣㠹ㄸ搹㉡搱㡡㤹㐹〴搲昴㙦挸捣搵收捣㡣㍡ㄳ㠷晦㤹晦晤搲捤晦捡散㙦搶ㅣ昰㈰昳慢㘸㌴扥ㄹ攰挱㤵㍤㡤㘸㐷㌴戱挰搹ㅡ㘹㔲㔵戰㥣摤挸愸敦㥦㕡㤲㘸愱戴扥户ㄱ㔲扢㍡晦扣㌰ㅢ㝢㙥㈳㘵愶扣㜳戰㥣㘶晤捦っ戶㍦摣搱㤹挱ㅥ换㉢攱㜶㈴攳㐸戶㈷搹〱㐴晤捥扤捣㍥㄰㉡㉡晡㈳愶㕦㍥挴晦㐷㜳㈸愸挷㔳㘷㈷㤲㑡㄰捦㘵㜶㈲㤲搶捥㈰ㄵ㘶㜹扥搲㘹㘲㘱愵捥㐴捥㠹捣扤ぢ攴㝡ㄲ挸昰㕤㐱づ摥摦敥挶㙡挸ㄷㄵ㘲ㄸ晡〶㡡ㄸ㝣晥ㄶ敤㘷㌴㤴戶改㔹戴愱㌷搶㤹散敢㐵愰㈷愷㤵㘷挴㄰愳㤷㔲㔱慢㘷㕥㕦敢㐰扦搵戳㝦ㄷ晥ㅢ摥戳搰㕥㙤㐷晢㕢戱摡㠵㌹敢㜹〸㌹㤰ㄹ改戹昱昵晦㥢㌳搶㐵愵㜰愱㐸攱ㅥ㙣㈶慤㤵晦散㜵收㡥㕤㜸慢㘶昵㈱摥搳㤶㔰㔷挲㙥㔹㔸㝤昸ㄲ㑥㐹ㄷ改摤㔰扢慢晥昲㥤扤㈷㕤㜱摢扦摣晦㡦㐷敢㤳㑤㥦〵愷攵㑥散改慣㘰摡〷㔹挲㠳挹搴搹挸㤷扥ㄳ㕢㝢㐱扦〴捤㐰扦㑥っ㝦㤶敦㙥晣㡣㉢挸㠹㠵㌸ㄷ搹愴㍢㔲〷㐳敡愷敥㜹〲㘶昶愶ㅢ㈰搶㡤㈴㑤㈰㥥昳愴挵㐹慡昳㤰㘱㈲㝥晡㉢㔴摡ㅢ㐴㥤㡦愴㜴㐷昶㐱捡㙣敡㘱㤴㤱敥㡥㙣〴㕢㐰搸挱挸挹搸て晡㘱㍤㠸㑣㕤〰戵㌴〸㥥戹搹晢昲〱㜰慦㉢挸〹搴戸〸㤶〴㠰戹慣昲摤㜹〱㌸㄰㘲㍤㡦攴㈰搶㉥㌳㌹㍤摦㐹慡㡢㘱㘸㈲㙢扦㠰㑡㠷㠰愸㑢㤱ㄴ〰ㄶ㈲㘵㌶㜵慢ㄷ㠰㑢挰ㄶ〰挶ㄹ㌹ㄹ㑢愱ㅦ搶㠳挸搴㘵㔰ぢ〲攰摢昹〰戸搶ㄵ攴㐴㤱㕣〹㑢〲㐰㍢慢㝣㜵㕥〰愲㄰敢づ㤲ㄸ㙢㤷〱挰㜶㤲敡㉡ㄸ㥡挸摡㈷愸戴ㄲ㐴㕤㠳愴〰搰㠹㤴搹搴㐵㕥〰慥〶㕢〰〸ㅢ㌹ㄹ摤搰て敢㐱㘴敡㕡愸〵〱㜰㜶㍥〰扥攱ち㜲㐲㕣慥㠷㈵〱㘰㠰㔵㍥㌳㉦〰敢㈰搶敢㐹㌶㠰㜸〰昸㥡㤳㔴㌷挰搰㐴晣昴㌱㔴㍡ㄶ㐴摤㠴愴〰㜰ㅣ㔲㘶㔳㈷㝡〱戸ㄱ㙣〱㘰㕢㈳㈷攳㈴攸㠷昵㈰㌲㜵㌳搴㠲〰㔸㤷て㠰戵慥㈰㈷晥收ㄶ㔸ㄲ〰捥㘲㤵晢昳〲㜰㌶挴晡㥢㈴攷戰㜶㤹ㄶ㜰㥥㤳㔴户挲搰㐴搶㝥㈳㤵捥〷㔱户㈱㈹〰㕣㠰㤴搹搴㉡㉦〰㥢挰ㄶ〰㉣㈳㈷攳㘲攸㠷昵㈰㌲㜵㍢搴㠲〰㠸收〳㘰㠵㉢挸㠹づ扡ㄳ㤶〴㠰㙢㔸攵慦收〵攰摢㄰敢敢㐸慥㘷敤㌲〰摣攸㈴搵㕤㌰㌴㤱戵扦㠹㑡㌷㠳愸扢㤱ㄴ〰扥㠳㤴搹搴ㄲ㉦〰㡣㌲ㄲ〰㜸㉦㌷㥢摥〴晤戰ㅥ㐴愶敥㠱㙥㄰〰〷收〳攰〰㔷㤰ㄳ扡㜴ㅦ㉣㜱㕣愶敦㘱扤敦㈵戹㡦攴㝥㤲〷㐰搴㉣ㄷ㤴㄰戴昸换昴愰㝥㐰㥤ㅦ㤲晣〸挴〳捡㐳攴戱〷㠵ㅥ搳晤挸㌲㤱〵㍣㑣收㈳㈰敡㐱㈴搹挳㈹搲㡦㈲㤹昷㌶昹〰㌵㕥愰㥥㘷搳㑦㈰㑢㔸て㈲㔳㍦㠰㝡〶ㅣ摥㈶㥤㕢㘴㑤㍥㜰慡㕤㐱㑥㍣搶㘶㔸㤲搶昱ㅣ慢㕤攵〲攱愹㡤戳慢㕦㘰ㄹ㉦㤲晣ㅣ挴〳挴㉦㥣愴㝡〸㡡ㄳ昱搳扦愴搲慦㐰搴挳㐸㑡敢昸㌵㔲㘶㔳㤳㔰㐶晡ㄶ昹㘳戰〵〰づぢ捣愶㕦㠱㝥㔸て㈲㔳㡦㐰㌷〳挰㙢㐸㌹〰㙣㥦て㠰㜱慥㈰㈷㔸散㜱攴ㄵ〰摥㐶愱㙡㙣㕥〰摥㠵㔸扦㐷昲㝢㄰て〰㝦㜴㤲敡〹ㄸ㥡挸㡡晣㠹㑡㝦〶㔱㑦㈱㈹〰㙣㐱捡㙣慡挲ぢ挰㤳㘰ぢ〰㈳㡣㥣㡣扦㐲㍦慣〷㤱愹㥦㐰㉤〸㠰㔰㍥〰㑡㕤㠱㍦㤲㉤昴っ㉣㝤㡡〸愴㜲搶㉦戱戴换㕥挷㤰㠹㤱〹㍣晤搲㍡㤰敡敦㤳昸㡥ㄱ㠹㔹㝤〷昷昵捦敡㑡慤敥㡥㙥ㄸ㤳㜰㜷づ敤戴㝢ㄱ㝤㤵㐴㄰㤶㡦搷户㝡戵ㅤ搷㠹㐵㝤〳挹㤸㍤㜷搶㤷㈱㍡ぢ晥攱搰㐹㘰㔶戱挲昶搹〲㡥㘰㐲愱㤵㘰㉢ち㍤ぢ㠳晥戸ㄱ捦愸㍡㌳㠱ㄳ㠱㘲㐵〶搱挵㕤晤摤㜶㜹㐲攴戲㕦㤶〰㡡〸㘹㡢て㑢㉣敥㐴㍣挵慣ㄱ㠹㌹挹慥㜸㜷㔷慦捤㠳㠱㐹㈱㍥㔲㌴捦㕥㠹昰戵〵㝤愹㉥㍥敥㌴㈲戱㌸ㄹ敤㑤慤㘶㈴㑥㙣挳攸慣㤴っ㤰㐲㠹㤹㕤扤㈹ㄴ㈳㐷㤱晢ㄵ㠹㐵㥤㝤敢昰攴摤㐰㑦敦㥣攸敡搴㤷攲愸㈸ㅥㄶ搹攴搰愸㘲㔵㕣慣捡㡡换㍥敢昱戱㍥挶㌹㌶〶㡦㌴㑤㍤戸慦ㄲ敤戴㍦搹搵㌱㐰挰愴㡣㕡搰㔲ㄲ㌹㠶㐵愱攷戰㌷挸挴〸愷㐷摣愰㐲〶捣戱慥㔹㐱敥㠱戱㕢改挷ㄹ㜹敤搳㥦愰㍡挳晦〵㜲挰㥣㈵㜳㌳愱愴㥦敢搹挰搰昳戰散ㅦ㙥晡㕢㕥㍡㜲㙦㙢㈸㡦㜴㥡㄰㜹㙣㔱㌸㌳搱ㄲ㤸昲㌷换㜰㐲㜴搸㐲㐷㘶㜶摢㄰㘷㌳㍣㌱㉦摡㘱㜷㘳㘲愱㈷摡㍦搲㐹㜰㤲愸㈷摡㥤㜲㘵慤㝤㍤㍤㔱㌶㌹㌶搷㐵戱㘸户㕤㤶㤸㌱搰摦㜷㔰㔷慦㑥㠰㐸扢㜴㔹搱昵㘰㐵搷ぢ㙢㜸㘲㈱㘳㔹㘵㥦戶晡㔶㐶㤳㕤晤㥤㍤㕤戱㌲㈶ㄸ㙦晡愵㘸慢㌸昹㑢〱愶搹捣戵挴㍦摤攱っ晣㜱戸慢㌰昹㐲攸㜸昸搱愲㡢㤵㠵㝦敡㌳㠶㍡攲挲㈳㌷ㄴ慤戰ㅡㅥ㠲㐵㌰摣㤳㘷㡢挴っ㠱戳攵㜸㜰攴攲愴㕥愴〲㝥扡ㄸ敡摣攱慦昴攷㈰㠳挶挱㜱㝥㈹㍣慦㉦ㅡ㙦挳㤴㜴㕦㜲㤸晢㉣㙢ㄹづ㉤㉦㌵挹〸㈳ㄳ㕢ㄱ散㡡㈰摡戵㕤㜱㍢㔹㐶挶㈲㑣攱㤴㌲愶搱㜲㡥㈱㠶昷㈵㐵愱㔰㜹㔹㔰㔹㜳㡤慤㕤摣㜸㉦敦戳挰㜳㜳散晦攱㤰收改慣㝢㌸っ㐷㡡㌴っ攳㘹㕦晡昴ㄲ㤲昴挷愷挰㘷㐷戵〵ㄲ晡〵㠴晥㘳㤳ㅤ㈴㠸㔰㐲つ愵㔲㜹ち㤴攱㡢㘵〸昵㤳戸挷㤰㌸㔲敥㠹㔷戴㥣㔰挵㌲昳㘸愹戵〸慤摣㡥㠷㥤敢㉢㈷戰㜸㌸㡡㡢㑢㜱愸㉤晦㕡㐱㑥戱㌰搶戳挸㤶㐰㐶㌵ㅥ㔵戰㠶愱挶攵㍣㔹㘰扦㥤て㔹戲晢挸㐹ㄷ晣㈷㕢㌸慣攵㔱攷戰晡つ搲挶㜱㔶㍦ㅣ收㔱搳挴㐷㤷㠳愸㌷㤱攴敤ㅦ扢收㘶愵摥㐲㡡㌷慣㈲㙢㌸㔴㠶㝡㠱㔴㙦㈳〷㉦㤲㝡〴つ扦㠳㍤㕥㝢搲㙤戱〲摣挲㙤昱㍤收挰㑦㐷㘸挴㑤愸摦㘳挷戸攱㌹挰愳愰愳㐷㔳昱て挱ち㘳愸戰ㄵㄵ晥〸〵ㅥ㘴㙢㙢愴挲㘹昰㥡㠲戰摢ㄶ㉡攸搴晦挵㘳搳㠳摤㔸摡摣㡥㌶晦〹〵㍦㜶ㅦ㠱攷㘰㌷づ㉡㐳挶敥㘳㘴ㄳ散戶愷攱㑦㤰捡挲㙥㐷㜰ぢ㘳㐷扣〴扢昱㌴〲ㅢ昲㘳㔳ぢ挰㙥㈷攸攸㑡㉡ㄶ〷㉢㑣愰挲㐴㉡㤴㐰㐱戰摢ㄹ愹㑣挳挳㌳慤〱つ㙦ㄲ㜴〰ㅥ愳敦㑣愹ㅥ昰㜶愵搱摤㘸㤴㤱㜲㝥昰ㄸㅥ㈷攰㘹㠲㈷ㅢ㙦挰㥥扢戰㘲昰㥣〰戵〷㡤㙣㠵㔴ㄶ㔰㤳挱㉤っㄴ愳敤昰㠷㐷㝥㘹〴㍢昲㘳挸㥤愹㌲ㄹ敥㔵㘴㉡㜴㜴ㄵㄵㄹ㡥ㄷ愰戰ㄷㄵ慡愹挰〸㍤〱慡〶愹っ㔰㜸㌰㌷〰愸㍡攸〰㈸㐶改ㄹ愳ㅥ愰敡㘹戴㠱㐶ㄹ㔱攷〷㡡㘱㜴〵㠰㘲㤰㥤〰搵㐴㈳㡣戶换〲慡〵摣挲㐰㌱㉡て㝦㤸昴愴ㄱ〳ㄴ㐳昳㑣㤵挹㜴㠱摡ㅢ㍡㝡ㅦ㉡㔶〵㉢㑣愳挲扥㔴㘰㈴㥦〰㌵ㅤ㈹て㔰戵㐱㐰捤㠰づ㠰㘲㌴㥦㈹㜵戴㤴㍡ち㔴捦愴搱㔶ㅡ㘵攴㥤ㅦ㈸㠶摢㌹愷攳㉣愸っ昹㜴攴㕤㐴挰㥢㑤挳晢㈱㤵〵摥ㅣ㜰ぢ㠳㌷ㄳ搹昰㠷〷㤹㘹〴㍢昲㘳㔸㥦㜱㠳っㄷ扣戹搰搱〷㔰㤱㈱㝦〱ち〷㔲㘱ㅥㄵㄸ〵㈸攰ㅤ㠴㤴〷扣挰晢挰㝣攸〰㍣㐶〲ㅡ愳㥥㔶戶㠰㐶て愱㔱㐶敤昹挱㕢っ㥥〳摥㐲愸っㄹ㍣〶昷〹㜸㡢㘸㤸㔱㝥㔹攰㉤〱户㌰㜸㡣〶挴ㅦ愶㡡㘹挴㠰挷㤰㐰攳〶㤹㉥㜸㠷㐲㐷ㅦ㐶㐵㠶ぢ〶㈸ㅣ㑥㠵㈳愸挰〸㐲〱㙦ㄹ㔲㤹晢㐰㘳㔰挳㕢づㄵ㘰搷敥戱改挱敥慢戴搹㑥㥢っ昸昳㘳挷㈸扦〲㘷㈸㘳〰〵愷㈸㡤㌰ㄸ㌰ぢ愷ㄸ戸㠵㜱敡㐵㌶晣攱昱㙣ㅡ㌱㌸㌱㜲㌰〰〶ㅢ㍡㍡㐱㐵㐶ㄵ〶㈸慣愴㐲㈷ㄵㄸ㘸㈸㌸㜵㈱攵㘹㘴㉤㐱㐰慤㠲づ㠰㘲戰愱㌱敡〱慡㥢㐶㝢㘸㤴㠱㠱㝥愰㑥〰捦㘹㘴扤㔰ㄹ㜲㈳㍢ㄱ搹〴扣㍥ㅡ㍥〹愹㉣昰搶㠰㕢ㄸ㍣〶ㅣ攲てて㠵搳㠸〱㡦㔱㠷挶つ㌲摤㐶㤶㠲㡥收㝢㘷ㄴ㈳ㄲ〳ㄴ〶愸戰㤶ちっ㔲ㄴ昰搶㈱攵〱慦㈶〸扣つ搰〱㜸っ㔴㌴㐶㍤攰ㅤ㑤愳㕦愳搱ぢ愰攰〷㡦㤱㠴〵㕡ㄹ攳っ〵愸㘳㘹㠴〱㠷㔹㐰ㅤて㙥㘱愰ㄸ㤸㠸㍦㍣㜶㑥㈳〶㈸㐶㈷㥡㉡㤳改〲㜵㈲㜴昴㐹㔴㘴攴㘲㠰挲挹㔴㌸㠵ちっ㘶ㄴ愰㑥㐵捡〳㔴㘰户散敢搰〱㔰搷㜸㡣㝡㠰㍡㥤㐶捦愰㔱〶ㅦ晡㠱㘲挴愱搳捡捥㠴捡㤰㕢ㄹ㘳ㄴ〵扣戳㘸㜸ㄳ㔲㔹攰㥤つ㙥㘱昰ㄸ搴㠸㍦㉣㉤搰㠸〱㡦㤱㡤〱搸㥣〳ㅤ㝤㉥ㄵㄹ昵ㄸ愰㜰ㅥㄵ㌶㔲㠱㠱㤰〲摥昹㐸㘵㉥㘵昵㐱㡤散㕢㔰〱㜶㡣㠵㌴㌶㍤搸㕤㐸㥢ㄷ搱收㘶㈸昸戱㘳戰愲搳挸㌸㕦㈲㕢㉤愸户㔷挶㔰㐶挱改ㄲㅡ㘱㑣㘳ㄶ㑥㤷㠱㕢ㄸ㈷挶㍥攲て〱慦㌴㠲ㅤ昹㌱〰搲㔴㤹っ户㤱㕤〱ㅤ㝤㈵ㄵㄹㅣㄹ愰㜰ㄵㄵ慥愶〲攳㈵〵愷㙢㤰捡㌴㌲扣㄰㈲愰㔷昶㙤攸〰㈸挶㑣ㅡ愳ㅥ愰慥愳搱敢㘹㤴昱㡤㝥愰ㄸ搴㔸〰㈸㠶㍣ち㔰㌷搲〸㘳ㅦ戳㠰扡ㄹ摣挲㐰㌱㐶ㄲ㝦〸戳愵ㄱ〳ㄴ〳㈵㑤㤵挹㜴㠱晡㉥㜴昴㉤㔴㘴㄰㘵㠰挲慤㔴搸㐴㠵㔷愱㈰㐰摤㠶㤴〷愸挰敥敢昷愰〳愰ㄸ㕢㘹㡣㝡㠰扡㠳㐶敦愴㔱挶㐱晡㠱晡ㄳ㜸捥搹㜸ㄷ㔴㠶㝣㌶㌲㕣㔲挰晢㍥つ㌳㙥㌲ぢ扣㝢挰㉤っㅥ攳㉢昱㠷㔵㈰ㅡ㌱攰㌱挸搲戸㐱愶ぢ摥㝤搰搱昷㔳昱慦挱ちて㔰攱㐱㉡㌰㈶㔳挰晢〱㔲㤹戳㌱㜰㡣昴㈳愸〰㍢㠶㘵㥡㐲㍤搸㙤愶捤㠷㘸㤳㈱㤴㝥散㑡挱㜳ㅡ搹㌸㕡攱收㍦ㅢ〹㠲攰昴㌰㡤㌰扣㌲ぢ愷㐷挱㉤㡣ㄳ挳㌰㠹㠴㝥㡣㐶戰㈳㍦挶㘲㥡㉡㤳攱攲昴㌸㜴昴ㄳ㔴㘴㥣㘶㠰挲㤳㔴㜸㡡ちっ摤ㄴ㥣㝥㠲㤴愷㤱〵昶㕥㥦㠶づ㠰慡昰ㄸ昵〰昵っ㡤晥っ㈴㌴ㄶち㠳㑣㜲㈲㝥挴ㄳ㍥㌷ㄲ㌶慤挴㤲摥慥㝥捣㍦㜲㈶愰慤慢ㅦ㌳㈹挳ㄳ㈰搸㤵㌸户㜱㌲㉦改挹㌴㌹扤摥戱㔳慥㈸㙢〱㘴㝣慥摣扢㈲戲㑢㠰搸㔹㉢昱㉣㤱ㄴ㔲㤲㌵㤳㠰㍡㝥㤹ㄶ㔱㤴ㄳ昷攴慥愳愸㐹昹愳〴㍤戸㜳ㅥ晣㜳㉣戹挸ㄵㅤ捦㘳戳搹㈸晣挳㐴搸昳搸攷ち捣㜶〵㥢㠸㈷㘸㤲㉢㕣㘱慥挲㌸扣ㄱ㙥㔴敥摣摥ㄴ收㌱挳㙥ち戳搴㈳摤摤昹〳晤㔹㤲攸晡㌱慥〴㡦愴捥敦挵摡㐲㉣㥡㡣㝦㐹㈶愶攱㥢戳㝥㈲㜳捣㥦㜵㙤ぢ㔶戰㜹愶㤳戱㕡昹㠲㡢㌵愳ㄳ㍦㑤捣㈹ㅦ㕢ㅣ㐱戸搳愱愸㘵㑣ㅤ㘴㐷㝢攵㈸㉣敡㡦捦戲搷捡㐲攳〲ㅢ慢㠴㜸敢㕥户㍤㐶㌲愴㤳㌲〹慢ㄳ㌳㍡㔲㔸戴敡攷㡡㠴扢㈷㈷扡㑥㉣戴扢愳㝣㝦〴ㄶ㄰摣扤〵戱㝥㐴㔸愷つ昰摤㄰㕦㥥㈳〴㐴㑡摤愳愴攴㌸㔹㠳㕣摦戲㥤攰㌹昴ㄹ㡦㉡㉥改〹搹晥㌴㕤㕤㝡〹户㥢愷ㄷ㤹ㅤ㜷㈹㤳㔱愷㠳慣㠳攱㕡敢つ㄰收㤹㌴挶挴慤㍢㔷㌸戹㜸つ㌷㍣㉥㤶㡤攰愲㘶戲ㅦ捦㘲昳ㄵ㔱ㄵ㍣㜵扡戱㥡搰摦㠵㜵愱敥つ㈳ㄳ㜳㝢㘳摤〳㜱㕢ㄶ㤵捣㌵㕢搶㤶扥ㄴ挷慢㤴㌷㐲攷㔸つ㠲㡢ぢ捡㕣扣戱搴扣㔰攳戳慦㉣敢ㄷ㜱愶挹挵づ㌶挲晡㈵昷扣㘳㉣昰愷㡥挶㘶㕣摡攸捣戳〴昲ㅥ㑢㕣摡㜲㔸扣愶㌱愴戶搵〴㜴换ㄹ攷㔱㥢搷㌷て敦愹戲攳ㅥ搶晥㕤づ敢㑢㜱㥣攰愷㜳㤸㉣ぢ㑢㙢㥦昱っ愱ㄱ㕣昵攴㍦慣愱戹晦㑦攷㍤〶㜷ㄹ㌵ㅥ㐷挰改㥤㥤㈵㈲㌴つ昶捥㡡㐹㕣㤵㥤愰㈲扤戳㕦攲愸㈹㐶㘵㍢扤㌳攷㜸敡㕦㠳㕢戸㜷挶攸㙤㌶㍢晤ㅢㅡ挱㡥晣㜶〱搷㜴扥挰㐳㠱㤰ㄶ改㤷㐱昵㙦愹㌸㈹㔸攱ㄵ㉡扣ちㄲ㘲㐴慦晦㐲㤳㌷㌸ㄹㄹ㡡㐲㍤㕣捥㉡敢攱戲ㅥ㑥㔳ぢ㉦晦㐰昰㌵ㄶ㤹慣昲㌲〶㉦敢搷愰昵昴㑦㝦㍡㡤昵㔱㡣晥㌵ㄵ㤴攵㐳㘷㌹敡㜵㤶晦〶㠸㘲㤴慥扦挷换搰摣〲挳㉡〶敥ち愶㙦搲〸㈳㜸戳㝡扣㙦㠱㕢ㄸ搳ㄶ㘴ㄳ㑣摦愶ㄱ㔶㤷㍦㠶晢㥡㉡㤳攱㘲晡づ㜴昴扢㔴㘴㈸㜰㠰挲㝢㔴昸㍤ㄵㄸㅤ㉣㍤摥㍦㈰㤵改昱攲㐵㙢〱攳捦㍦㐱〷㍤㕥㐶〸ㅢ愳㥥ㅥ敦㥦㘹㜴ぢ㡤㌲㥡搷てㄴ㐳㜸ぢ〰挵〰㕦〱敡㝤ㅡ㘱愴㙦ㄶ㔰㝦〵户㌰㔰昳㤱㑤㠰晡ㅢ㡤ㄸ愰ㄸㄶ㙣慡散〱敡敦搰搱ㅦ㔰㤱㈱挳〱ちㅦ㔲攱ㅦ㔴㘰ㄴ戱〰昵㑦愴㌲㐰攱㙤㜱〱㐰㝤〴ㅤ〰挵㐸㘲㘳搴〳搴挷㌴晡〹㡤戶㐳挱て㔴ㄴ扣〲㘳㈸〶〲ぢ㔰散挵㉡㐶〴㘷〱㠵愵摢㈱〰㘵㈳㥢〰㔵㐲㈳〶㈸㠶て㥢㉡㝢㠰挲换愰昰㐰ㅣㄵㄹ㕡ㅣ愰㘰㔱㘱ㄸㄵㄸ㙤㉣㐰㤵㈱㤵〱ち慦扣ぢ〰㉡っㅤ〰挵㠸㘳㘳搴〳㔴㌹㡤づ愷㔱㐶〷晢㠱㘲㐸㜰㠱ㄶ戵ㅥ㉡〲搴㐸ㅡ搹㠰㔴ㄶ㔰ㄱ㜰ぢ户㈸㐶ㄸぢ㔰愳㘸挴〰挵㌰㘳㔳㘵て㔰愳愱愳挷㔰㤱㈱挸〱ち㕢㔱㘱㙢㉡ㅣ〷〵〱㙡ㅢ愴㌲㐰攱扤㝤〱㐰㡤㠵づ㠰㘲㘴戲㌱敡〱㙡㍢ㅡㅤ㐷愳㡣㈲昶〳挵搰㘱〱捡摡ㅥ㉡㐳㥥搱㘰戰戱㠰户〳つ㥦㠳㔴ㄶ㜸攳挱㉤っㅥ愳㤳〵扣㥤㘸挴㠰挷㄰㘵攳㠶〷扣㑡攸攸〹㔴㘴昸㜲㠰挲㐴㉡散㑣〵㐶㌴ぢ㜸扢㈰㤵㤹搱〸㍣ㅢ㜷㠵ち戰扢搸㘳搳㠳摤㙥戴戹㍢㙤㕥〳〵㍦㜶㡣㍡㉥㜰㌶㌲㈶㔹㜰摡㤳㐶慥㐷㉡ぢ愷㈹攰ㄶ挶㠹㐱捣㠲搳㔴ㅡ㌱㌸㌱㤲㌹〰㠶㉡攸攸扤愸挸㈸攷〰㠵㙡㉡搴㔰㠱㠱捦㠲㔳㉤㔲㥥㐶ㄶ㜸㝤慦㠷づ㠰㘲昰戳㌱敡〱慡㠱㐶ㅢ㘹㤴㠱捡㥣搵㤰㠶㕡愴㥢㤹つ㜵㔶ㄸ搱戶㘰㥦㝤㡤㝢㈱收愸搶㙣搹㘳戱慦戸㕡昷㐱㠳攳㌱收㉥搴户㔷昷㐳㤱晤㝢愵昷㐶㜶㙢ㅦ㤰搲㘹慤㌵㕣㝡つ敢㘹慥挵〷愰挰㥥愶戳攵敦ぢ㌱㜰摡㌹慥㡣㘳㤶ち搴攲㍦㙦㕦攸㠷㔰㤱攳㍡ㅤ戶搵㡦㤰㜲㡥慢摢ㄷ㥡〱㙥攱攳晡㄰戲昱㜰敡㤹㌴攲ㄴ㠴挸㘳㜰つ挲㘴扡昷敤㔶攸攸㔹㔴㘴㤰㜶㠰挲㙣㉡戴㔱攱㔱㈸戰㍦愴攷㈰㤵敥挲㌰㌲摢㘴㉢ㄳ扢ㄲ㔱戳㍦戳捤㘵㌶㐶㔱晢㥢㌸㐳愷ぢ㕣㐷ㄹ㔸㉤㔰ㅣ㐸㈳㡣戰捥㙡攲〷㠱㕢ㄸち㐶㘲ぢㄴ〷搳㠸㠱攲㤷攰㥡㉡㝢愰㤸てㅤ扤㠰㡡扦ち㔶㌸㠴ちぢ愹昰㙢㈸㐸ㄳ㕦㠴㔴愶㠹攳㘵㥣〱搷搱㈵搰㐱ㄳ㝦挵㘳搴搳挴㤷搲攸愱㌴晡㌶ㄴ晣㐰㌱挴扡挰戵㠰〱搸〲搴攱㌴挲㐸散㉣愰㤶㠱㕢ㄸ㈸㐶㙣ぢ㔰㐷搲㠸〱㡡㘱摢〱㐰㉤㠷㡥晥㉡ㄵㄹ搲ㅤ愰搰㑥㠵ㄵ㔴㘰㤴户〰ㄵ㐵㉡〳ㄴ摥㈸ㅡ〰㔴っ㍡〰㡡㤱摥挶愸〷愸㌸㡤摡㌴晡〹ㄴ愴戲〹愶摣捡㠶ㄴ㝡㌷晥㤰戵㥣㜰㐲㈹㈱挱挰挲㐵晤ㅢ扡ㄱ捣挹㕤㠶戰㌹㝢散戵㘳㍡ぢ㍣〴搶昵㈵㌱㤲㉤昵㍦㤸㥢捥晢㌴ち㉥摦捡昷攲㐹挹㐶〹攳ㄶ㐳㤷晣㑦敥换ㄵ搳昹㔹昱捣㕢攸㤸㠷㥢搵㠹㉡㙥㜵㔰㔷㉣搹㤷敡㑢昴㔷㉥㐲愰㜲㈵㕦攴㤹挰㔰㜶㐶攸㈲㔸っ㉣㤳㡥㤵昶昲㜳ぢ㙢昹㘲扢昰慡摥扥㜵扤㔲㥢㔰㡡敦㌳ㄵ扣㠶つ㘳㌱改〷慦㜶〶㜸㤱㘲挰挶捣晡㈸搰ㄱ㈵㤱ㄲ㜶ㄲ㔹㤱㔵㐸㑦㙡㥤搹扡戰摤㑥㌴摡搱㐴㠳㕤㔳㘷㌷搷㔷㌷㌵㌶㌷戵㌴㈵昰愱㠳㡥㘸㜵扣ㅥ㉦昰㡣㤴扡㜹㜴㌷昲㐴㐲㈶搵挳㤴㘵㔲㤴㠵㌴㔲㐳つ昰㠳㝥㤱敡㔰㌱ㄵ㔷㜶改戰㘱㌹㌳愶㌹㠱㠱改ㄷㄶ㕡ㄶ攳〲㐳攷〱㉣晦㌴㙢㜰愶散㘳挱捣摢攲愷㔷愳ち㝡つ㐸㌸挲㤱㈳㉢㘴㈵㐱㐷戶捥㙣昷挴㌷㕢㈹昰㠶㠳㈷㌳〰ぢ昱㤲㔲慢ㅦ㥣㔱攰㘴㝦ㄸ挳ㅡ〰㝢㌴搸㜸ぢ㥦㜹㉦ㅦㅢ㕦愴摣戵慥㈷戰搸㠹㈴敢愱慡㕦挷㥥ㅡ㘱㄰㍣ㅡ㉣搶㔴㝥ㄵ攴昲㜷㉡扣㘴㐳㠳愰挸㍡〶㉡㜹㕢㡦㍡ㄹ㙡㙣㐱搹㉤㈰㘲ち㍦づ㤹搱〲㐶戹攵㔹挷㈳敤戴㠰㥡摡晡㤶㐴㜵㤳㕤㕢搳㘸搷摢搱㡥收㘸挲慥㙦㐸搴㈵敡敤收㡥㔸愲㉥㌲摡捤愳㑦㐰㥥挸ㄸ㤳㍡㤱愹慤㑣㡡㌲戵㉤㔲㙣〵敡㔸㔴㠴㐷㐸㤰㍥〵㈲㝤㉡㐸㌸㌲ㄶ㐲散ㄴ㔹愷㠱晡㤱晥㍡㜸搹㐸㥦づ㑥〰搲㘷㠰ㅤ㠴昴㜶慥㜵扤㍢㡡㤰㡦㕥攸㙦㐰搵㐱㝡㝢搶㡢晣㙦㠲㤵㐶㝡㐷㜲昹㕢㠳摡ㅡ愴㌵㤱收㈹愹晡挰捤〵㜵扣㈹㘷㈳昴〰敡㑥慥㘹敢㝣愴ㅤ㔰㙢敤挶㜸捣㙥㘹㡣摡昵㠹晡㠶摡㔸㐷㐳㑤㜳㑤㐷㝤㔳㐳㉣㔶搷搴ㄱ慦㠹㔴扡㜹昴〵挸ㄳ㤹㘰㔲〲敡㐴㤳愲㑣㑤㐲㑡㐰敤昲㠲㝡㌱㐴晡ㄲ㤰㜰㘴㔷㈸㘰〷㙦㡦㈲㡦㈸㙡〲愷〹㔳㘴㌷㈳摣㡢ㅡ搵㈴㔷㔳昸㍡昶搴ㅥ愶愰㙢挱㑡㘳㌲㤹㕣晥㤶〷㘲戲㉣㄰㤳㈹愶㥣ㅢ㘰ち㤸㑣㜵㑤㕢㌷㈲敤㘰搲搱㔸摦㔲㕤㕤ㅦ慤㙥㙡㙡慣㙦㙥愸敤㘸敡㠸搵㜴㌴㌶搵搸㜵搱㘸㑤㐳㜳愴捡捤愳㙦㐲㥥挸㕥㈶㈵㤸㔴㥢ㄴ㘵慡づ㈹挱㘴㠹ㄷ㤳㕢㈰搲户㠲㠴㈳昵㔰挰㑥㌰㈶つ㐶搸㐸㡤㈶㤲扢㤸㔵㌰㘹㌲〵摤つ㔶ㅡ㤳ㄶ㜲昹㥢ㅢ㠸挹㥣㐰㑣扥㘲捡戹ㅦ愶㠰挹摥慥㘹敢〱愴ㅤ㑣攲㉤捤搱㡥づ㥣㜳㌵搵捤昵捤㠹晡愸㕤摤ㄴ慢慢敥愸㐶敢戱敢㍢慡㈳晢戸㜹昴㠳挸ㄳ㤹㘶㔲㠲挹扥㈶㐵㤹㥡㠱㤴㘰㌲挳㡢挹㘶㠸昴㐳㈰攱挸㑣㈸㘰挷㘹ㄸ㑥㍢㤱ㄶ挳挶ㄲ㘹㌵㐲㠲㈰㕦㐱搱㥣挶搲㑦㐲愸㘶㥢㠲㥥㐲ち㌷㍦㌱愳收㤰换㕦㐳㈰㈶㜵㠱㤸散㙦捡㜹〶愶㠰挹㕣搷戴昵㌳愴ㅤ㑣ㅡ㘳昵㌵つ㔱㌴㤰摡愶敡晡㜸㔳㑢㑢〳㌸戵つ捤搵昵捤㜵㡤㉤昱㜸攴〰㌷㡦㝥ㄶ㜹㈲〷㥡㤴㘰㌲捦愴㈸㔳昳㤱ㄲ㑣愶㝡㌱㜹ㄱ㈲晤㜳㤰㜰㘴〱ㄴ戰ㄳ摣㑥づ㌱挲㔹搴㤸㑤昲㌲戳㑡㍢㔹㘴ち㝡〵慣㜴㍢㔹㐲㉥㝦ㄳ〲㌱搹㈹㄰㤳愵愶㥣㌷㘰ち㤸ㅣ敡㥡戶㝥㠷戴㡢㐹㡤摤〰㌴㕡㘲捤捤㑤昵㠹㐶㕣㔷㥡㥢㘳昱晡摡挶愶㔸戴戹㌹㤱㠸ㅣ收收搱㙦㈲㑦攴㜰㤳ㄲ㑣㡥㌰㈹捡搴㜲愴〴㤳敤扣㤸扣〳㤱㝥ㄷ㈴ㅣ昹㉡ㄴ戰ㄳ㡣㐹扢ㄱㅥ㐸㡤㜹㈴㕢㤸㔵㌰㠹㥡㠲摥〷㉢㡤㐹㡣㕣晥㐶〴㘲㔲ㅥ㠸㐹摣㤴昳㜷㤸〲㈶戶㙢摡晡〰㘹〷㤳摡愸㙤搷㌴㌴搴㌶㌷挴ㄳ昵攸扣㜴搴㔴㌷搴㌴搴㌷搸搱㥡愶㠶㜸㜳㐳㈴攱收搱ㅦ㈲㑦㘴愵㐹〹㈶㥤㈶㐵㤹㕡㠵㤴㘰ㄲ昲㘲昲ㄱ㐴晡㘳㤰㜰愴ㅢち搸〹挶愴挷〸ㄷ㔲㘳ㄱ㐹㘹〸㐴㌰改㌳〵㔹㘰愵㌱㔹㐳㉥㝦晦昸㘷搰㝤攷〳㜰㜳敦㍢㐹㔳㑥ㄸ愶㠰㐹捡㌵㙤㤵㈳敤㘰搲㔲㡢㤷㔷攳晥摤㔱㕢㠳㡢㐹㍣摡㔲㡦㙢㙣㜳戴㌹搶ㄴ㙤愸慤敢㠸㐵晡摤㍣㝡㌸昲㐴〶㑣㑡㌰㔹㙢㔲㤴愹つ㐸〹㈶㝦㐱㘵搲㌷昳〸㐴㝡ㄴ㐸㌸㜲㌴ㄴ昲㘲昲㌵㈳㍣㥣㜰ㅣ㐱㌲㤶㔹〵㤳㘳㑤㐱攳㔸㄰㘴昲㍢㥥㕣晥晥㉢㄰㤳摦〵㘲㜲㠲㈹㘷㍣㑣〱㤳ㄳ㕤搳搶㑥㐸扢敤挴㑥搴户搴挷昰ㄵ戹㠶挶晡摡㜸㘳㐷㙤ㅣ㥦昲慡㙦㑡㌴挶愳㠹㜸㙤㍣㜲㤲㥢㐷㔷㈲㑦攴㘴㤳ㄲ㑣㑥㌱㈹捡搴搷㤱ㄲ㑣㝥敢挵㘴ㄷ㠸昴㈴㤰㜰攴㜴㈸攴挵攴っ㈳㕣㐱㌸愲㈴㔳㤸㔵㌰㌹换ㄴ㔴挵㠲っ㈶㘷㤳换摦㜳㠱㤸晣㉣㄰㤳㙦㥡㜲㙡㘱ち㤸㥣攳㥡戶敡㤰㜶㌰㘹㑥㜴搸㠹㥡愶摡㤶㤶愶㤶晡㠶扡㥡㘸㔳㑢㥤摤搱搰㤱愸愹㑢搴㔶摢㑤㤱㜳摤㍣扡ㅥ㜹㈲攷㤹㤴㘰戲搱愴㈸㔳摦㐲㑡㌰㜹搲㡢㐹㌳㐴扡〵㈴ㅣ戹㄰ち㜹㌱戹挸〸㔷ㄲ㡥㑥㤲晤㤸㔵㌰戹挴ㄴ㌴㤳〵ㄹ㑣㉥㈳㤷扦ㅦ㜸㌱改㘴ㄱ散戳㍤㄰㠸挹攵愶㥣㌶㤸〲㈶㔷戸愶慤㌹㐸扢攷㑥㔳戴㌶㔱㕤搷㠴摢㑤戴ㅥ昷攰收㘸戴㈹㥥愸㡢愱㜷ㅣ慢㡦搶摢㤱㉢摤㍣㝡㝦攴㠹㕣㘵㔲㌲ㄴ扡摡愴㈸㔳摦㐶㑡㌰昹扥ㄷ㤳㜹㄰改㠳㐰挲㤱敢愰㈰㤸㜰挸愱㌹挶搰晤㈴ㅣ㐴㐴慥㌷挲㕥挲挱搷㈳敡挵捣㉡㤸摣㘸ち㕡捡㠲㈰㤳摦捤攴昲㜷㜳㈰㈶㌷〶㘲昲ㅤ㔳捥ㄱ㌰〵㑣扥敢㥡戶㤶㈱敤㘰㘲搷㐷㙢㍡攲㉤㉤戱㘸㕤㐳㝤㙤㔳扣搹戶慢㜱㑢戶㙢ㄲ戸㐱攳㝢㡣㤱㕢摣㍣晡㐸攴㠹摣㙡㔲㠲挹㈶㤳愲㑣㝤て㈹挱攴ㅡ㉦㈶㉢㈰搲㔱㤰㜰攴づ㈸挰㝤㐴㈸ㄳ〹ㅦ㈶㜷ㅡ攱〰㌵昸挶㐴摤挹慣㠲挹昷㑤㐱㐷戱㈰㠳挹㍤攴昲昷㉤㉦㈶挷戰〸戶㤳昳〳㌱戹搷㤴挳㙦㙢〲㤳晢㕣搳㔶ㅦ搲㙥㍢愹㙦改㘸㑣㜴㔴搷挴愲ㄸ㍡㔵搷㌶㈷㘲捤昱扡㔸っ愰〰愹㘸㍣㜲扦㥢㐷慦㐶㥥挸〳㈶㈵攷捥㠳㈶㐵㤹晡ㄱ㔲㠲挹搹㕥㑣晡㈱搲〳㈰攱挸㘶㈸〸㈶㐱㝤晢㠷㡣㤰㉦㘲㤴敦㘶改㘳㤸㔵㌰㜹搸ㄴ㜴ㅣぢ㌲㤸㍣㑡㉥㝦㈷〶㘲㜲㝣㈰㈶㡦㤹㜲㑥㠲㈹㘰昲戸㙢摡㍡ㄹ㘹〷㤳㝡扢扡戶㌱搱㠴〹㠳㤶挶晡㥡㜸㙤㑢㉣㔱㕢㔷摦搱搸搰搱ㄴ㙢㐰ㄷ㈵昲㠴㥢㐷㥦㠲㍣㤱㈷㑤㑡㌰㜹捡愴㈸㔳㑦㈳㈵㤸㙣昰㘲㜲㍡㐴晡っ㤰㜰攴ㄹ㈸攴挵攴㘷㐶㜸㌲㌱㌹㠵攴㕣㘶㈵㈶愱攷㈰昴㑦ㅡ㜸㥥て昶挴㘶㜱㥥㌳攲〹㤸㤳改㠷㔱㠹㐳〶愲摤昸〸收㝣㐴㙤昴㤳昵㘵㔸敢㉦㜵㘲㘷ち捥扣㠸ぢ换㤶㜳〲挴㡦㐱昶挴㠹敢㥢㝣ㅥ攲戳㐵づ㠴㐳扤㌸㜶㐳㉢㠵㑤㌳㌳㔵挶摡攱㈰㘱〶晥㝣ㅥ㙢捣晣㍦㡦㈴㜵昴〵㘰㤸㑤扤㄰挴つ扤〸敥搰挳㔲㘸㜵っ愶搱摣て敥昲㜱敡挹摤㠸搰ㄹ挲搳敢摦㐲㕤搴㑢㐱㜵㔰扦㌴摣㡢愸㠳㈲㤰挶愴㌲戹晣㜵㝡捥㍢敢ㄲ愸攴㥦搱㐹〴㥥㡣扦㠱ㄵ㘹晤㤷㈱㌳㑥挶㤷㘹ㅦ㕢攴户㘶攷ㄵ戳昳慡扢㔳昱ㅡ㜶㌸㉦攴㝤㈹㡦㘴晡扣㈴昲㍡㉣戳ㄴ摦摣㐳攴つ挳㍦㠳挲㌳㐹慥㈱ㅥ㙦㠲㉦㐷昳㕡ㄷㅤ㈶搴㕢攴昲户摣㠳㡥㑥摦搱㤷〵〲昱㌶㌲〸㄰㌷㌸㐰扣攳㥡戶㙥㐴摡戹㉡㌵戶搴㈷㥡㙢慡慢㕢㙡ㅢ攳㤸㝢㘹散㠸戶愰挳ㄳ㡢㌶㌶㌴㌷搴搵搷搵㐵摥㜵昳攸㥢㤰㈷昲㥥㐹挹摤敢昷㈶㐵㤹晡ㄳ㔲㜲㔵㕡㠲捡愴㝢挳户㐰愴㙦〵〹㐷晥っ〵愹㑥搰摤㙢㡢ㄱ㥥㑢㈴捥㈳戹㡢㔹㕦愷昷敦㥢㠲敥㘶㐱攴昰昷㔷㜲昹㥢ㅢ㠸挹㥣㐰㑣晥㘶捡戹ㅦ愶搰㌸晥敥㥡戶昸戲㐴〷㤳㍡っㅢ㌱戵㠰㐱㔲慣戶㍥搶搰㄰㙤戰ㅢ㥢ㅡㄳ㜶㕤㔳㤳㕤搷ㄸ慦㡥㝣攰收搱て㈲㑦攴㐳㤳ㄲ㑣晥㘱㔲㤴愹㡦㤰ㄲ㑣㘶㜸㌱搹っ㤱㝥〸㈴ㅣ昹ㄸち㜹㌱昹挴〸㉦㈲ㅣ㝣攳㥡㝥㠲㔹〵ㄳ㘶㈳っ晡㈹ㄶ㐴㍣昸㉢㈶㤷㔵㘸昰㘲㤲扥愳搷〵㘲㔲㠲㑣㔲㠹㘷㘰ち㤸㤴扡愶慤㥦㈱敤㘰〲搷㌱㌴愸㡢昳㌳搳昵㜵攸摡㔴㈷敡愲㤸ち慤㡦搶搶㐵攳つつㄱ〹㔵㘰㜵㥥㐵㥥㠸攵㕡搰㜲昷ㅡ㘶㔲㤴㈹㐶㈰〸㈶㔳扤㤸扣〸㤱晥㌹㐸㌸挲㈰〴晣昹捦ㄸ㘷戶㙥戸ㄱ㕥㐹㡤慢㐸㕥㘶㔶挱㘴㈴㠴㠲挹㉢㉣〸㌲昹㐵挸㈵㈶ㄳ扣㤸愴捦㥤㥤〲㌱㘱攸〱晥㄰㠸〴㔳挰㘴戴㙢摡晡ㅤ搲敥ㅤ㍤㕥㕢ㅤ挷㌷㡦慢㙢㌰敦㠰捥㑤㑢㈳愶敢戰㌰㠰愹㉡㍢㕥ㅦ㙤㠸㡣㜱昳攸㌷㤱㈷戲㤵㐹㐹㍢搹摡愴㈸㔳㘳㤱ㄲ㑣戶昳㘲昲づ㐴晡㕤㤰㜰㠴昱〶昸ぢ敥昹㌱づ㐱㠴搷㔳攳〶㤲㉤捣㉡㤸散〰㠹㘰昲㍥㔸㘹㑣ㄸ㑢㈰㤸㡣昰㘲㤲㙥㈷攵㠱㤸㌰愲㐰捡昹㍢㑣〱㤳㑡搷戴昵〱搲づ㈶つ㉤戵昱㥡㥡㠶㤶㔸っ捤愵㈱㕡搳ㅣ慢㡥㜵搴挵愲㑤㠹摡收㥡㐴愲㌹㌲挱捤愳昹㑡慤挸㐴㤳㤲㜶戲戳㐹㔱愶㜶㐵㑡㌰〹㜹㌱昹〸㈲晤㌱㐸㌸戲ㅢㄴ昰ㄷ摣㑥㜶㌷㐲扥敥㑤扥愰愸㑢㜱㜱㜷㌰㤱戸〱昲㉤戰搲㤸㑣㐱ㄶ挱攴ㅦ晦〸㥣㜱〰㌷㜷挶㘱慡㈹㈷っ㔳挰愴㡡㐶㘰摡㉡㐷摡挱㈴搶㔴摤㤱挰愹搳搲ㄸ慢慥敦㐸㔴㌷㐷ㅢ慡㙤㉣㈵㌴㘰慡户戱愱㉥ㅡ㤱挰〲㔶㘷㌸昲㐴慡㕤ぢ捥戹㈳㌱〵㐶愶敡㈱ㄳ㑣晥㠲捡愴慦戱ㄱ㘴搳愳㐰挲㤱〶㔳㥤愰摥㌰㐳〹昰㠷㐷㜱㐸昸昶㌶㍤㤶㔹㕦挷㥥㙡㠶㠴扤扦戰㝡ぢ戶搹㍢㐱〲扤㡣敤㘹ㄷ扤っ挶ㄹ搰㌱扤〳ㄸㄴ昱愷ㄸ㔷㈰摣慣扥〷挳〵搸搳搰攳愱慢ㄸ㈹㤰慢㈳㙢晣戴㔷㐹ㅤ㘳㙦〶㜵㤱㔳扤敡㍤〶散〵挸㠸攴户㠱挷㘰㈶㌲攱て㉦愸㠵㈹ㅣ㠳㔶户㐰㙢ㄲ搲敥昵㉢㠶挵㥢收敡扡㡥㡥摡挶㝡㍢搱搱㙣挷㕡敡㜹愲㌶㐵㥢㙢㌱㍢ㄶ㤹攵收搱扢㈲㑦㠴换晥㔲攵摤㤸㙡㌳㈹捡㉡收㈰昵敦改㉡散て换昸㜳ㅡ戴戵㈷ち摢慡㝤㜱㕦戲㌷ㅡ敦㙢㕦㘸愷昰挵戵㔴㍢㕥晤㤱㔹挰㠸捣㌵㌹昸㑡㍢㕤㠵ㅣ昲㈵㑥㕤㡤㍤㈵愱〳攴搷㌰㠵ㅤ昹ㅤ㠴㉣㠲昰㌳㕥㠴搳㔷挳㥦〶㈲㝣戰㈹愷〱愶㠰㌰㠳〵㘸捤㙡㐴摡㐵ㄸ㡢㘱㡤戸ㄹ搴搶㔶搷搶㌷㜷㌴戶搴搶㌵㘳㌲㈹㡡㜹敡㐴㑢㐷㐷㕤㘴㠱㥢㐷㌷㈱㑦㠴搱〴㠲戰㕣つㄷ㥡ㄴ㘵㙡〹㔲搲捡ㅦ㐳㘵搲慤㝣㙦㠸昴㍥㈰攱〸愳〶昰ㄷ㝣㌵㘴㌴㠱〸㌷㔳攳㈱㤲㔶㘶㝤ㅤ㝢㑡愲〴挸㥡捤㠲挸攱㡦㔱〲㠲挹晤㕥㑣搲㔷挳㝢〳㌱㌹搲㤴㌳ㄷ愶㠰〹攳〲㘸捤㍡〰㘹ㄷㄳ慣ㅣ㈶㍡ㄲ㜱戴㍡慣㙣搵㐷昱㜵㑦㑥愰㘰㉤㈷㔱㕤㡢㌵慦㠸㠴ㄱ戰㍡〷㈲㑦㠴㠱〳戴攰㥣昹㉢㑣㡡㌲ㄵ㐳㑡㌰戹挳㡢挹㝣㠸昴〲㤰㜰㈴づ〵晣〵㕦つㄹ㌸㈰挲挷愹昱〴挹愱捣晡㍡昶㈲〹㈳㍣ㅣ慣ㄱ㈵㈱㉥㠵敦㥤晦昹ㅣ捦搲敦㘴㠴戱㘷㝤ㄸ㜳㌶㍥㜴挹愰扦愲ㄲ扣搳挷㜹ㄳ㑥㘹昱㔷㍥㥢㉤㡥挶昸昰〲㝦愱ㅢ攰昵攷戰㐳㔴㌳㐳㈸㕡摣〹㍦扤っづ㠷扡攱㙥㘰㤸扣晦挳搵戳搷挷散㙥㍥㤲㠰㌵㙥㘴㉣摡扡㘷㙥ち扢㜸〵昶攲扥ㄹㄲ㈸捦搵散㔱㘶ㄹ㝣戲昹㕥攳愴っ挷㍣㠵㘲戲捤㑦愶昳攱晢㠷㠸㕣㠰㘰㌲扦敥戸㜵㈶攵㜹㤳搰昶ㄹ㉥ㅥ㍥㐲攴扤ㅤ㌷ㄶ㔳㜸戳㑥㘹㜱㐹捥扢愴㘵昰㍥慢慦〷㕦〶愸攲慢㠳㘸つ摦㈲㥤ㅢ㈷〰摢〷扣㐷㘹㘶㔷扦扣㠷㡣慦㈸㔶㥡㘱㄰搶㜲挲㌴㙤㤷搶㕤ㅡ㐳搷攲㌸昸㈳挲昳ㄶ㤱㡤㍡ぢ㘴搳〸敢㜶搸㔳㍣敦㘹㡤慣㡡搵㐸攰捦㍦晣摡㌲ㅤ㍣㙥晢〹㉤㉡摢慦㠲昱〸愲戹㕣㑤搸㌸㈳昴摡昱晥㔷㘹㉥攸晤摢昲愷慡㕦㥢慥搶㐳㙤ㄲ昲昹㍦㘸㜷〵ち晤㌵㕥㡦㤴昳つ㠷换㕤㠱晦㡢㝥ㄱ㐶ㅥ戰㑣㙤愳攲㈳㑡ㄴ㈳〵㜸㤲愸㑢㤱㠳㉤㔳ㅡ搳㑡㝡㜵〲搸㙣㔰㑡㌳㝣挰敡㑡㈳愷㉥㠴㥥昱㌷慣㔷㔱㤹㥤ㅥ挳慡㌸〵〹晣つ〱〲〶ち㠸㘶㐱〸扥〱戵㈰〸捥㜳㍤捤㠱攰㕣㔷攰晦愶㕦攴㥢㙥㤹㝡㡤〳挱㐶愴〵㠲㙦㈲㐷ㅡ㠲ㄴ扤扡〰㈲〷〲㉥昶㕢〳ㄹ〸捥捣㠲㘰ㅤ〴ㄵㄷ扢㜶戱敦摤〲づ㍣㔷昲昱㠷搶㔸攸挰㕦つ戵㈰慦㑦捤攷昵㈹慥挰晦㈱扦挸戵㙥㤹晡㔸搴て〷晥〶愴挵敢㤳扣㕥ㅦて愱扡〹㈲挷㙢㉥攷㕢㈷㠲攷㥣㌲敡戸㉣慦㑦㠶愰攲ㄶ搷㉥昶扤㕢㠰搷户ㅡ捤㠲㕥摦〵捤㈰慦㌷攴昳㝡扤㉢昰㝦扤㉦挲㘵㝤晣㘱㌲ㄱ昵㠳搷㕣㥢ㄷ慦搷㝡扤㍥ぢ㐲昵㈰㐴㡥搷㕣戰户捥〶捦昵㍡㤹攵昵㌹㄰㔴㙣㠶ち晥㠶搰挲ㅦ㌲㥡〵扤收攲㝢㤰搷㍤昹扣敥㜶〵晥㑦昶㐵㥥㜲换搴摦㐲㕤昵㠵㈰㈳㡡搵㌳㘰㡡敢㕤㕥搷㉦㠶㔰㍤ぢ㤱攳㍡搷攵慤㑢挱㜳㕤户戳㕣扦ㅣ㠲㡡ㄷ㕤攳搸昷㙥〱〷晣攷㐶戳愰敢㉦㐳㌳挸昵ㄵ昹㕣㙦㜷〵晥㡦昵㐵戸㍥㡦扦㈲㝤㉤敡㠷〳晥〶ㄲ攲昵㜲慦搷搷㐱愸摥㠴挸昱晡㜷搸戳㙥〰捦昵晡昰㉣慦㙦㠲愰攲ㅤ愸攰㙦〸〷㥣换敡愲㔹搰敢㉤㔰ぢ昲㝡㜱㍥慦ㄷ戹〲晦ㄷ晡㈲敦扢㘵敡㑤㡥搷㕣㐶ㄷ慦て昱㝡㝤㍢扤晥㄰㈲挷㙢慥慤㕢㜷㘴扣㍥㈸换敢扢攸昵㐷慥㕤散㝢户㠰㘳捤㠵㜳晣ㄵㄵ扥愴㤵㠶㠲扤摥㍦㥦搷㜳㕣㠱晦戳㝣ㄱ慥戱戳㑣㝤㍦敡㠷㘳捤㠵㜲昱㝡戶搷敢〷㈱㔴㕣攳㜶扣收敡戹昵㐳昰摣㘳㍤㈳换敢捤㄰㔴㐴㕣扢搸昷㙥〱㕥㜳㘹㝣㘸㕥㜳㌹㝣ㄲ敢晡㉡挹㙢㈴散戰慡㝤昲㜹扤户㉢昰㝦㡢㉦挲㔵㜴昱晡㌱搴て㕥㜳㈹㕣扣㙥昱㝡晤〴㠴慡ㄲ㈲挷㙢慥㡦㕢㑦㠱攷㝡摤㤰攵昵㑦㈱愸搸挵戵㡢㝤敦ㄶ攰㌵ㄷ扦㠷收㌵ㄷ扣㈷挱㥡摦敢敡㝣㕥敦攵ち晣ㅦ攰㡢㜰㥤㕣扣㝥ㅥ昵㠳搷㕣散ㄶ慦愷㝡扤㝥ㄱ㐲㔵て㤱攳㌵㔷挰慤㤷挰㜳扤摥㈳换敢㕦㐲㔰挱㤵㙢昱挵敢㌳㥥㠳捣敤慤㜱㜹㝢㘸㕥敦〷捤㐹〱㕥敦㤲捦敢㥤㕤㠱晦慢㝢ㄱ慥㠴㡢搷慦㌸㕥㜳㌹㕢扣㥥攰昵晡㌵㝡扤㍦㐴㡥搷㕣攳戶摥挸㜸扤㘳㤶搷㙦搲㙢慥㑤て捤㙢㉥㘰て捤敢挵搰㥣ㄴ攰昵搸㝣㕥㙦敢ち晣㥦摡㡢㜰慤㕢扣㝥捦昱㥡ぢ搶攲昵搶㕥慦晦㐰慦㡦㠴挸昱㥡慢搸搶㥦㌲㕥㡦捡昲㝡ぢ扤㕥攱摡挵扥㜷ぢ㌸搶㔱愳㔹昰ㅡ摥〹捤㐹〱㕥て捦攷㜵戹㉢昰㝦㕦㉦挲搵㙣昱晡敦愸ㅦ㕡㌸㤷愴挵㙢敤昵晡㐳〸搵㙡㠸ㅣ慦戹㑥㙤晤ㄳ㍣户㠵㠷戲扣晥〸㠲㡡㝥搷㉥昶扤㕢㠰搷㕣㠴ㅥ摡戱㍥〶㥡㤳〲扣㉥捡攷昵扦㍥っ晥愸㕥㠴敢搵攲㜵㌱ㄶ㘱攱㌵ㄷ㥤挵敢㡦㤱㈳摤ㄹ㉦㠵㔰㥤〲㤱攳㌵㔷愲㉤ぢ㍣搷敢㝦㐰搷っ㍥挲扡っ㠲㡡搳㕤扢㠵扤收㌲昳搰扣㍥ㄷ㥡㤳〲扣晥慢敢㕣捥㄰攴扦㕤㠱晦㑢㝡㡡换㥤ㅣ㔱敡㤱愸慢㤹㠰㡣㤸㜹㐷㈵ぢ㡥ㄴ愷㌹㐸㐴戸挴㈸㔰㐵㤰〹㔰㜱㐹㔰愰晡戳ㄷ慡搱㄰慡㙢㈰㥡㤴慥改㕥ㄸ㤷㍡㜷㥢昷昲搵昴㕤㔷攰晦捡㔰㠴㉢㜷㔲攸㔸愷㔰㉥扦㐹愱㙦㝢ぢㅤ挷㐲㙦㠲挸㌹㍥㕣㤳戳㜶〰捦㍤㍥扦㠳㙥收昸㡣㠷愰㠲㙢㘹㠲㍡㙡改搹〲㕡㈵ㄷ摣㠶㜶㝣敥㠲收㈴ㄸ昳摦㙤㕥挹攷昵㙦㕤㠱晦搳㐲ㄱ慥捤㠹搷扢㌸㕥㜳㠱㑤扣晥㡤搷敢㕤改昵㠳㄰㌹㕥㜳搵捤摡㍤攳昵㉦戲扣摥㤳㕥㙦㜶敤ㄶ㙥㤵てㄹ捤㠲㔷愰㈷愰㌹㈹挰敢攷昳㜹晤㥣㉢昰㝦㑦㈸挲搵㌷昱扡摡昱㥡㑢㘸攲昵捦扣㕥搷搲敢㘷㈱㜲扣收扡㥡㔵㥦昱晡㈷㔹㕥㌷搲敢ㄷ㕤扢㠵扤收愲搹搰㡥昵换搰㥣ㄴ攰昵㘳昹扣㝥搴ㄵ昸㍦㈲ㄴ攱晡㥡㜸扤㡦攳㌵ㄷ挹挴敢㠷扤㕥敦㑢慦戹扥攵㜸捤㤵㌳㙢扦㡣搷㍦捡昲㝡㈶扤㝥挷戵㕢搸㙢㉥㡢つ捤敢㉤搰㥣ㄴ攰昵晤昹扣扥捦ㄵ昸扦ㅣㄴ攱ち㥡㜸扤扦攳㌵㤷挱挴敢㝢扣㕥ㅦ㐰慦戹㠲攵㜸捤戵㌱㙢㕥挶敢㍢戳扣㍥㤸㕥㝦攴摡㉤散㌵ㄷ扥㠶收㌵ㄷ扢㈶〵㜸扤㈹㥦搷户扡〲晦攷㠲㈲ㄶ㉣㠹搷㡢ㅤ慦挳㐸㡢搷摦昵㝡扤㤴㕥㜳晤捡昱扡ㅣ㝢搶㘱ㄹ慦㙦捣昲晡〸㝡ㅤ㜱敤攲㍦敦ㄶ㜰㌵攳搲搶搰扣收㜲㔶㤰搷搷收昳晡ㅡ㔷㤰昳㡤㈰㉥㝢挹摤㘶〵敡㥡扥摢散攰搶㐴㐷挱搵ㅤ㈴㌱㤰戰㤲㠵㉥挲ㅤ㐷㤲昹㜰愰㡡㈲㤵㐶摤〶ㄷ㜷ㅦ慥㑦〹㜴㤷㝡愱㕢挹㉣扢㐲攴㐰挷㐵㉢慢ぢ㍣㡢㔳慥㌵㜵愱ぢ愱㍣㌵晦ㅣ㝡收ㄵ㍢㘶㜶㌸挵ち㘴㑦㜷㠳㠱㠹搷㔵㉣㠹㑢㕡㌴㐹㔶㠸㑢㐶㔳㝣戶ㄹ敢㌴㍦搶㜱㔰戴㌷扡搲㑥㔶戹㉢㔰敥〲ㄴ㔷扥搴㑡㘵慢〴㕥㜴摢愵㡥㔲慢昰慥摡㥥攱㌲慦㙣慦敦㤷户搹㌳摥ち㐷慣愴㘴慦愱㔹㡥昶慥㤴捦㤵㐸㍣㤵晦㑤㔱扥摡捣戱㥤㡦㐱㐸慣ㄶ㘳愱㠲㍥ㄴ挰㑦〱昴㐷昱搵挴㐱㠵㘵㘵晥慦摣昸捡㜲㍤攷戴戹㔴敤挲攲㠰昹㜲㔴〸捦㈷挶慡㘶㜵挹㔷㍡愳挹つ㉢㙡㤷㉤㜳ㄵㄷ攱㈳㈲扤㉢愷㔴昶愴㘲㝤挹敥慥㡥捣㘷㍣㙡慢慡昹㙦㑡㘵㉢㤶昵〶㤲昶戴㕥㝢〰㕦昳敤㥥㔲戹〰㥦㝢散㡡㘱晤㘴㜱摦㉡扢㜷㕡㐷ㄳ〲搳戱㥡㕥搳㔲㠷㄰挲收㤶攵㔳㤶つつ㔵㘷挱㜰昲摣摥搵〳昸昰㘵搲㌹㝥㔸㍥㥣㔲㐹㌷て收㡥晢㡤㠶㘹㥦敢㥢㈲换㤷て㡡㌲㡦㤱㍣敥ㅡ㍡ㅦ㡤敥搳戶㠸散㤶㑣㕢摣㐲ㅢ㘱敡搳㌴㤴㕣㌳㕣㜶搰㝤㌸ㅦ昴㙡㄰昹㐶㈵㠸㕥㐳㑥ㄲ㈴慣慡㜱㙡㘴慥㈵㤹晥攰㤹㈸㍢㜰晤攰っ㔷攰晦愴㔶㠴敢慦㜲〵㕤て挳戸っ㜰ㄱ㔵㉥〳㕦㐷㡥㜴㝦㥤㕦㘸㔵㕣晦㜴㉥〳㕣㔹戵㡥〱捦敤て㥥っ摤㑣㝦昰㌸〸㉡戸㈲㉡搷㐵〱㈵㑤〲慥愰晢ㄸ捤㠲㍤㈳㉥㤵㘶扣㝥㡤㈸扤づ愲㡥换攷昵戱慥挰晦ㅤ慤〸㔷㔸挵敢㔳ㅣ慦戹㑣㉡㕥㝦捤敢昵㘹昴㥡㉢㥣㡥搷㕣㍢戵㑥捦㜸扤㉥换敢㌳改㌵搷㍣㠷收昵〲愳㔹搰㙢㉥㠶〶㜹㥤捣攷昵ㅡ㔷㤰昳昱㉣慥愱晡㉦㉢戲㐰㈶㉦㤲慣㤲搷㍤昲㠱㘶㍢㈵っ扥敢㉥㤴攰扡㘱㜹挲㘱昳挲㈶敦ㄴ散㤶攷㤷㠷攳㕢㌷挹㔵㜶㜲ㅥ㍥改㠴㉦摣㉣敡敡㜱ㅦ慡挵愷㥥㜸戱㌵㕦㔳搱㤲㘲㘶㉢㌱㍦㠹捦慢っ㑢捣㑤攱慤㜹昱戲㥥〵搱㝥㝣㐳扣昷换㄰㠹㡢㈷捡昹挶㔲㙣捥㈷㜰〲ㅦ收收㔳摡㠱㙢㡣づ㠴ㄹ㍣捣㥢搳㡡昹㠹㥣捦ㄶ㠷㙢㥤㡢㈶㘵㕥搰ㄲ昷㝣昴愹㔸昵攱㄰㍢昱㍥㈷ㄴ挹捤㤲换㤷㝡㈳昴慤昳㐱㑡昰ㄴ戳摣改㐱挲晡〲㜰攴㉡㈷愴㈸挴㤵㘵扦㜳㝣扣扥㡤摥㠷搶㜵挵晢㍢慤㑥扢㙢㘵㘷㍦ㅥ愳㉦㌷㡦扦ㄳ㤸㔲慥㡥づ戶㌰换捥挸戰㥥昶㘸㌲ㄹ摤㔰搶搳摥㙤昷慥散敦㉣㙢㕦㡢㜵㘸㝣慣ち昵挰昷㠱昵㠵昸摦〱ㅡ愷ㄷ㤷㉤搹㉥慤㡢挰つ㜶戶㌳搰搹㑢愰㙦㕤ち㤲敤散㘵攰㜸㥣㔵㕣昹愴挳㘶㔳㕣摤愴ㅢ晡ち㘸愶慢挱愵㐳愹挶㤵攰〶㔷㈳ㅡ㔸㡤慢㔹ㅥ慢㤱挱晢㕡戲昸ㄲ〵〷㙦挵㤵挷慣㉡㜰㜵㔱慡㜰ㅤ㌴搳㔵攰㍡ㅥ慢愰㔹㠵㘲㜵㐴㘰㜱㌷搲㜶㜶㜱㌷晢㡡攳㤲㕦㔶㜱㕣搶㤳攲扥敢㉤㡥ぢ㘸㥥攲ㄶ〵ㄶ户㈹户戸摢㝤挵㜱慤㉤慢㌸慥愷㐹㜱㜷㜸㡢攳捡㤵〰㝣㈷戸愳㘶愴㔲〳㍤慢昹〱戳捡戵っ㉤㐸ㄵ慢㜹愶〲扦慦摤㉥搳愴扦㥦慥㠰攰挴收㝣㡦慦〲㕣づㄳ换昷㐱㄰㝣攸摡㡣敤㈲敦改昲㐰摡㌶㍦㍣㈳愷捡て㝣戶戹㥡㐶攷㙥㥥摥㌵攳戸晤挲㌳搵攵㐸㠸㜳㍦㠲㘶晡搰㜱㙤㑡慡戰㌹㙦ㄵ愶〷㔶攱挷㤹㉡戰㠱搲扤㐷㝣㔵攰搲㔶ㄶ扥㕣扥㤲㉡㍣收慤〲ㄷ㡡㍣㠷戳㌹戰戸㈷㜳㡢晢㠹慦戸摢晤挵㜱摤㐸㡡㝢摡㕢ㅣ㔷㘸挴攳㘷挰つ〶扤㈶戰ち捦收㔶攱㜹㕦ㄵㅥ昴㔷㠱㡢㌸㔲㠵ㄷ扤㔵攰㜲㠹挷攳㍤〳㡢晢㐵㙥㜱扦昲ㄵ挷㤵㤵㉣㠰戹㝡㈲挵晤挶㕢ㅣ搷㈹挴攳㤷挱つ昶㜸攷挰㉡扣㤲㕢㠵搷㝣㔵攰㌲㐷㔶ㄵ戸㤴㈱㔵㜸挳㕢〵㉥ㅡ㠸挷扣㌱ㄴ慢ㅤ〲㡢晢㉦摡收㑤㈰㜳㐱㝡㥢㉣捦〵㠹敢ぢ㔹挵㜱つ㐱㡡㝢㤷㠶搹ㄲ戱㈹捥搶㝢㡡摢㍡戰戸㍦攴ㄶ昷㈷㕦㜱㥣搸捦㉡㙥㡢㈹㙥㡢户㌸㑥㤳ぢ挰㝦〱㌷ㄸ攰㤱㠱㔵昸㙦㤶㤷㝤㑤晣㥢慦ち㥣㘵捦慡挲㐷愶ちㅦ㜸慢㔰㡣㠴㜸散㕣㠲㠷〵ㄶ昷捦摣攲㍥昲ㄵ㔷㡡㜴㔶㜱㥣挲ㄶ㠰㍦挱㡥〱㌸㌲ㄲ〹改㠵晥ぢ㍢扡〸敦㘸搲ち㈴慣㈲㐸ぢㄴ挵㐸㔶㈰攴捡㡥攱㜵愶改㑢攵挷ㅦ戸㜷晦慣㑢㘵㈹昳㜳㈸愰愴〰㕥㑢㉣戲㍣〷㝥㌴散戲㕥改换ㄹ㈷㠱㍤㠷昸〳㘳㌸敢㍡ㄹ愶㤵散ㄶ㌵摣㘷㜸㥣㙢搸㘹㌹愸挲㜸㌰挴攱㤱搰㌴づ慢㕤戲㡢摢ㄲ㔸摣愸摣攲挶昸㡡攳㐴㙤ㄶ扥㥣㡣㤵攲戶昶ㄶ㔷㙤㡡㜳づ攷扢㠱挵㡤愵敤散搶㌳捥㔷㕣慤扦㌸捥㠲㑡㜱㍢㜸㡢攳㝣愳〷捣㌷〲㡢摢㠹戶戳挱㥣攰㉢㙥㕦㝦㜱㌳㑤㜱㍢㝢㡢攳㐴㥦㌴㤲㕤挰つ㍥㕦㝥ㄳ㔸㠵㕤㔹㕥戶挷扢晢慡挰㜹挲㉣㠰て㌶㔵搸搳㕢〵捥扡㠹挷づ挰㉦〶ㄶ㌷㌵户戸扤㝣挵㜱㠲㉥慢戸㈳㑣㜱㌵㥥攲㈲㥣敥㤲昳愵㤶昹敢㐸敡㐱挲㡡㌳㕥㌲㝣晢〹㙡挰㐱敢㈸㌴挴㌲㐴ㅣ㜶ㄸ挱㔳慥㘰㜷ち昰㈶㘲捥㡣㐹㡥㈷㕤挱ㅥ㄰攸㘶㔸㡢挴㑤㈹㉤㐸㘱㐴捣昹㌱㜱㤲㈷㘳戱㝡搴㌸㤹㜵昲敤〳㤹敦攴摢㤷㉣捦挹挷愹戴慣㤳㡦㌳㕥搲㡡昶愳㘱㤴捦㥦攲戸摦扣㘳ぢ㘹昳㌶戸ㄹ戴㌶ㄳ㐴慤づ㔶㘸愵挲㉣㤰㄰攷〹晣挳扣㐱㘶㡦昸摥㙢ㄵ㤵ㄹ㌳扣捥〹㜳㘷㉢㌱㜳ㄶ㔳ㅤ搹昳㘶㈵㈵㐴㥥ㄳ㘷㐱㌳㉡改慦挳づ㉡晣㌴戳㈲㥣㑥㈹挳敢㡦㍦敤愴っ昳摤愶〶㤹ぢ攳挰㙣㐵捤戲愱㑤㔴挹昴摡㘴㜷慥捤捣㔶晤㉦㑣㔲㔹戳㜱㘰㤷ㅥ戳戰慦慦晦ㄸ㜳㍢㐸ㅤ㜳㄰攲㘵敤捡搶㘸戲扢慦㜲扥搳㥢㕥㠰改㍥捣敡㔵慤敦㑥慤ㅦ㐴㝥㑣㉢㕥㔷㕥戹㈰扡愱㉦㤱搰㙤㙣㌹㜳㐰搴扤㘸摢㥣扥㘲㐳攴㈴戱昳㍥昵晢愶攳㤵㠲搸晥㘰㘲㈸昰捥㐷㈸㜲捡っ㍡昸ㄶㅣ戲㠶㑢㤳㘸㜵晦㤹㠴攴慣愸㡤㔰㝡扣慥〲㑦愳㌵昰㈱晢收攵㡣扥㉦捡昹攸㙣晡ㅢ戳㈳㌰㥦㉡搳攳ぢ愲㕤挹ㄴ㈶昴㑢捡㌶づ搶㠲摤㔹摤搹㙢㥣挷㤹捤㠷㘷搹愸晦㡤㔳扢换换㉥ㅤ㙣㡡搹敢挳晦㜷㤳捣换㤶㜳〰愹て挴㠹挰ㄹ㄰㍤㡦㈷ㄳ㈷㔴㍤摤㠱㍢捣㝤㈳慢㙦㌵ㅦ㥡扥敥挰㈱㘴㜹敥ㅢ㐷挳㑥搶捤昱㌸㌰攴扥戱〸㥡改扥搵㈹愶㌸攷㕥晣摤挰攲㤶搲㜶昶慤晦㌰㕦㜱㥣昴捣㉡㡥ㄳ㥢㔲摣ㄱ㥥攲㐲ㅢ挱ㅤ昲㐴ㄸ搱昹㡣捦㙡㉦㐳愱㡡㌳㔸㠲昰㤱㑣挱ㄸ㝦ㄵ㥣㐷攲づ㜸搸攱㝣㄰㉢愵㤷㔳㠷搳㐰㤲攳慢摥ㅣ㥣昲挹攴攰搴㡤攴㘸愷捥戵㈶挷ち㙦㡥敢戲㜲㜰昶㐵㜲㐴愹挳㠹ㄷ㈹愳挳㥢㠳㤳㉣㤹㌲㌶㤹ㅣ㌱敡摣㙥㜲挴扤㌹敥挸捡挱ㄹて㈹挳愶づ㈷㍢愴㡣㠴㈷㠷攲捣㠵攸慣㈴㤷㤳ㄶ愲搳改搱愹攰〴㐵愶ㅥ㍦㌶㌹扡愸昳㠸挹㜱㤴㌷〷攷ㄳ㌲㌹㌸㔷㈰㘵慣愲づ愷〹愴㡣㙥㙦づ㑥〹㘴㜲㍣㙢㜲昴㔰攷㜹㤳愳搷㥢㠳㈳昸㑣づ㡥捥愵㡣㍥敡㜰㘰㉥㘵慣昶收攰㈰㍣㤳攳ㄵ㤳㘳つ㜵㌸㡥㤶ㅣ㐹㙦㡥㌷戲㜲㜰㍣㉣㘵愴愸挳愱戰攴攸昷收攰戰㌷㔳〶㠷戴㤲㘳㠰㍡ㅣ捤㑡㡥戵摥ㅣ㕢戲㜲㜰〴㉡㌹搶㔱㠷㠳㑦挹戱摥㥢㠳〳捤㑣ㄹ晦㌴㌹㌶㔰㠷攳㐷挹㜱戴㌷挷㈷㔹㌹㌸㐶㤴ㅥ敢愹㌸戳搹挷摤㠷㑤扦搸㔲㙣晦㈲㌸挵ㄵ昰捤㙦㘵晣㌴㤱ㄱ㥣散ち㜸晦搶挷戱〸㡥ㄵ愵挲挷㌳挵㘱愲ㄴ㝦㠲扢挳㠴攲戰㑦㜴㑥㈴㤷㈳㍥搱㌹挹愳㔳挱搱ㅤ戹昸て㍢ㅣ戹㐹㡥㤳挹收愰㑤㜲㥣攲敥㌰㔱挱〱㕡㈶〷〷㕦㤲攳㔴戲㌹敥㤲ㅣ愷戹㍢㤲㠳㘳慣㑣づ㡥㥦㈴挷搷挹㥥攰捡昴改敥㡥攴攰㌰㈹㤳㘳㔷愴㈴挷ㄹ㘴㜳愴㐳㤹㍥搳摤㤱ㅣ㝢扡〹晣〷㌱㐷㉣㤲攳㉣戲㌹㔸㤱ㅣ摦㜰㜷㈴〷〷㈶摣挱㝦搸攱㠰㐴㡥㐱捡㜷㜰㌸㐸ㄱ㐱搲㜷㜰㌸㜰ㄱ挱ㅡ敦挱㌹ㄷ摣ち㡥㐲㠶挳敡戰攷昰扤敢て㐳㐷て㙢ㅦ昶㔰改㍤愵㕢㡡㤶㘲攸扥搴挲㌷攸㌹㌲昱扦㥦挳戳㤰攳昹㠰ぢㄴ昱㐵㔳㝥㌰㠸晤摥㜰捦散摥㠱ㅥ改㙢㔸㍤㡢㍡昱ㅥ摡㔱慥敥攴戴捥攸㌴㈷慤㍢㌲捤㤲㍣摢㌹㍤づ慥㘱㔳㘵㜲挶攸搶㝥㠹攸愳昷㈳㘳㠷㠹扥戵㘱㑦㡤㑤〵昹昴㕢㤹ㅡ戲㘲㤹㘲〶㝤ㅥ扣㤴戱㔳㘶㑦㤲㡡愳㌲㌹㤰ㅢ戱愳㌸㈰㤳〳㜹扥扢㈳〷㜲㍦㌷㔱挶㍢㜷㘴〶㔲摣㈲ㅣ㙡挹づ挷㔵戲挳戱ㄵ㌷搵㠶ㅤ戱㘳愲昹㠴㉢ㅤ㘸散愵㘳晣挸㉤㍤〰扡晦攷㠶㈳㐴挲㙡敦挲昷㝦㔲愱昶ㄴ㔶㠶搲㉢㌸㌸㡥晢昸㡥攲㈰㈳㑢晦挰挹㜹㝤つ㔶㠰扥攵㈲㐸ㄴ㑢搹㙢晡㌲昶㜷㜹晣㠶戱㈷㈷〷㥢㔵㉤戹昸㍦㍤㘰㠹晢〸ㄸ攱ㅣ㠵换搸㝦攰㜱挲㘲㜲攱攱攵愸㘴ㄵㅥ㍢㤶搵㉥㔵扡敦㤰㑥㈲㌷慣㈹㌷㑣㠶㤳ㅣ搶㐵㘸㥡换㡥挱㔷晢㉡捤ぢ慢㔳挷㘴搶搵㍥搷散㐰慡㙢㘵㑦㔴㕦捣戳㤴〳ㄴ戹㠴㕥挲搴㈱㈴㈸㕣㕦敡敥㌰㔱戱挸㑤攰㍦㠸㌹挶㤰ㅣ㤷㤱㝤㤸㉢搳㤷扢㍢㤲㠳㐳〹敥攰㍦散㐸ㅦㅦ㍢晡ち㐹㤳㠷㉢㌰晢晡扣㙦攸㉢戱㠳㜹㌸改搷㌳敤扤散㐶搸扦ㄷ慤慢ㅤ㉤改换攷㘸慤㌰㕡搷㍡㕡㔱晣㈷㝥㘴搹㘲㍦㕥㙣㕤攷㘸㐹㥦㍤挷㔶摣㘸摤攰㘸㐹㍦㍤㐷㉢㘱戴㙥㜲戴愴愷㥥愳挵ㅥ扢㤴昸ㅤ㐷㑢㝡攷㌹㕡㐷ㄹ慤㕢ㅣ㉤改㤱攷㘸㜵ㅢ慤㑤㡥㤶昴挲㜳戴搸ㅢ㤷ㄲ㙦㜷戴愴攷㥤愳挵ㅥ戸㘸摤攱㘸慤挱㝦戹㜸戱搷㉤㕡㜷㌹㕡㈹愳㤵㜵ㅣ搹搳ㄶ慤扢ㅤ㉤改㔵戳挴㉣㉤昶慥㐵敢㕥㐷㑢㝡搲㌹昵㕡㙦戴敥㜷戴愴昷㥣愳㜵戴搱㝡㔰戴㉡搸攵㍤ㄴ㕡挵敢㔵㙣㐵㝣挵㡡て㉢㑡㉢挷㤵ㅥ戶摦昰㑢㕥㝢敡㡤㡤㉦ㅥ㌹敤敤㡦㉥扦晣挵㌷㌷晥昴愳〷㍢愶㍤㝥敤戵㡦ㅣ㜰搵㑦摦ㄸ㥤戸扡昸敥て攷㕤㝤㑣捤慡㘳搶㈴㤶散㌹攷㤸挳㡦㍡愴㘶挱愸挹㈵㈵挳㠶敤㌶收㠹戱扢㐷㑥㔸㜳慦㝡攸㔷摢昶㉡改㐵攷㔴攳〴㔳㡤ㅦ㑡㌵㤴昴愳愹㤵攵㌸晢搳攲昸㘶㐷㑢晡捥㌹㕡散㐳㡢搶㡦ㅤ㉤改㉦攷㤴㜸㥡搱㝡挴搱㤲㍥㜲㡥㉤昶㤵挵搶㘳㡥㤶昴㡢㜳㙣㥤㘹戴㥥㜰戴愴㉦㥣愳挵㍥戱搸㝡㑡戴㉡搸㠱晤㜷㐲ㅤ㘲㕦㙦〸晤㐳㌶搶捦㌸攳昰ㄳ㤴愰愴挳㤸攳㉤㍢㡥攲敤搳搸ㄹ㔱㌲㡣晤ㄸ㌹㉦挸㉣昵扦〳攲㔳昴㡣㜸㐱搷捦㠸搱㄰㉦扢㥦昳晥㌰㥡搵㡡㘲ㄲ摦挶ㄷㅡㄸっ扢㤲㠱戰慡㔷昵攱慢つ㑥㘰散敡昲㥥搹摤㔸㔴挴㜴㜱晦㠶慣愹晥㔲㐵㙦戸挹㤴㍦愶㈳㍦㔵㄰㉥㕤ㄹ摡愴扤捣愷愷㘳㘵ㄵ㈶晢戱つ扡㠰搰㍣愴摢㘶搶愴㍤㈲愱㄰㘰㉡㌷㑣换扡㝤戰㘹搵㑦戵㌰㘰㙥捤㡢敤㔴晦㠲扥慥㕥㐴戱㈲㡣攵㡢㕦ㄹ〸挴㈳ㅤ㐲㉣捤㠶㘱搲㌲㕦ㄸ摡ぢ㝤戰㑦ぢ㍤㑦㤴㑣㌸㌶つ㤲挳㕦攰㜶摦昸㔳㝦㝦挸扤㍦㥣㙥晥㌷㑡晡㜹戴㕡晤〲㠸㤱㐰つ扡捦㑤㍦㝡慢㑤㜳㕥㍦晡㤱改晡㐵〸㥤敤挳㝦㠵㤵㜴㈷㤰捣扥ㄸ戲㕢㈱㈷搸㑢搸挱㍤㕦扡㄰搴捡扡㑦戳㉢㈱㕡扦ㄴ慤㠸戹㥥㉡昶ㄴ㘴㔰扤㥢㍢愸㥥㠹扣㘵昸扣㌲㍢〷㈲搸搵㈷㘰㝦㐰〴㤳㝣〲㜶〱㐴戰㡢㑦挰扢扥〸㜶昶〹㜸愳ㄷ挱㐴㥦㠰昷㜶ㄱ㑣昰〹㜸㍢ㄷ㐱愵㑦挰㍢戸〸㜶昲〹㜸搳ㄶ挱㜸㥦㠰昷㘹ㄱ散攸ㄳ昰搶㉣㠲ㅤ㝣〲摥㡤㐵戰扤㑦挰ㅢ戰〸挶昹〴扣攷㡡㘰㍢㥦㠰户㔹ㄱ㡣昵〹㜸攳ㄳ挱戶㍥〱敦㜵㈲搸挶㈷攰敤㑤〴㕢晢〴扣愳㠹㘰㉢㥦㠰㌷㌱ㄱ㡣昱〹㜸摦ㄲ挱㘸㥦㠰户㉡ㄱ㡣昲〹攴捡敦㙦㙤㡡搷㝡㔱慦挸㔶て昱㝡晤㤹慦㐸㥣攰挹扡散㡥昲慤㌲㑥㡥收㜰攲㌹ㅣ㍢㠷ㄳ换攱㜴收㜰扡㜲㌸㐷攵㜰㔶攵㜰ㄲ㌹㥣㤵㍢昸敢散㝤搴愲挴摣㐸昰挸㐵搰㔵㍤㝤ㄵ晢ㄴ㙢搵㥦昵收㈲户㤶愱㕤ㅡ攵愵㐷改扢搲攷扣ㄱ戳扥㠳晡㑥㠵戰㝥ㅦ㉤挹晡㙦㤰㠵捥ㄲ敦ㄷ㌹㡣㔳挳搱㙣㜹㘷攰㌵摤㔹搰㝤㜲㝡昰挲敥㠷㙥摣攵㠷晦㔲攵挸㘰ㄶ㜸挳㘱挵慢㍢昳㘷㕤㠷ㄵ㉦昷㍣〹㕣〷㍥晣㌷㌹㌰散戳㌸㘰㜹ㅣ㤰㤱㙣戸㤴㌷愰晦㝢㍤㠰㐱㈷攳愶つ愹㐳ㄴ摣㔹㐹捦挶㝤〴㕣戸摡捦㥦攲㡤㔷慥㜶㈵〰㤰换っ收ㄶ捡㝢慤〸㡡㝤〲㌶㕥㜹㌴㘵㌶㜶㍣挱〴㥦晣㝤㠸挱〴ㅦ㐳搱戴㌵㕤㡡敦捡㠵㠷戱㑡搲攰昸㝦愹晦㠵㙦挱ㅤ敢㘰㉦㜹㠲改㄰㡣㙡㡢㘴ㄸ㐹ㄹ㠹〶㐱て㠳攵ㅤ挰㡡㠷戱挳㈶㡥摥㔴㔱㠸ㄹ㍥㑦愹㍣㘸攵㍤㙥挰〸㍡㠶挳㝢ㄶ㐷㤳㉢㙤愷㤷㔸摥㈳搷ㄸ改㌱戲㐰攷㥢㘸愶摦〴㡥㙣收ㄴ㔵慣㌷敢昳㌵户㈳㘵ㄴ敡㘴㝢㘱扡愲㑦㔴㌰㈷户㔱㜰晥挷摢挶攸㉦ㄵ搸㈱㍢攴摥㘷搲㘱ㅣ捥㐷㌶摦㥡慥㠸〵ㄵ㑣㥦捤㔸㌰㜱ㅦ挳〸㡥愰昳㠵っ㜴㜸摤ㄸ㔱㔲晥晦〰㠶扣㈷㍤</t>
  </si>
  <si>
    <t>㜸〱捤㔸㑤㙣ㅢ㐵ㄴ昶慥扤敢㕤晦戴愶㑤㝦㈹慤㔵㔵㐰㐹㜰攳愶㔱㝦㔰㔵攲㜵㤳㐶戴㐹㕡扢㉤〷愴㘵敤㥤㡤㤷散敥戸㌳敢挴㉥愸㕣㄰ㄲ㔷㠴愰㐷づ㕣㄰㠸ㅢ㐸ㅣ㄰〷愴ち㔵㜰攲㠴攰搰ㅥ㤱㌸㈲慥昰摥慣㥤摡㡥ぢ㙤〸㔲㈷昱㜸㘶摥扣㌷㌳㙦摥晢摥ㅢ挷愴㔸㉣昶ㄷㄴ晣挶㤲挰挶㠱㑡㠷㠷挴㉦ㄸ搴昳㐸㍤㜴㘹挰ぢ㌳㡣㔹㥤㡢㉥て攳㌰㐱㌵㕤愰㜳挵攴敥㑤愲㤹慢㠴㜱㤸愴挴㘲㥡愶换㐰㐷㈱昸挹昵㍡㍡㜲㘵ㄲ㔰㔵㡤搲㘲敤つ㤰㕡〹㈹㈳ㄳ昹㙢ㄱ敦搹㘲戱㔰㉣㥣㤸㉥ㅥ㉦㑣㑥攴㡤㤶ㄷ戶ㄸ㌹ㅢ㤰㔶挸㉣㙦㈲扦搴慡㜹㙥晤ㄵ搲愹搲ㄵㄲ㥣㈵戵挹愹㥡㜵攲㔴昱挴昴戴㜳晡昴愹っ㉣ㅤ㕢㌲㑡ㄷ㠸搷〴㜹㕢㈵㔵〵愹ぢ㐶㘹㠹ㄱ㘷慢㘴㉡愸㠸㘲㤹搴㕤搴ㄸ㈱捣つ㤶ぢ㐶〹晥晢戴〲扤㤳㠵挵㑡㠵〴摣つ摤㔵㌷散攰昹㜴㝦戱㕥扢㘶㜹㉤愲晡㘲㑢㥡㝦捤㘲ぢ㤶㑦戲晥㔵㑥慥㔸挱㌲挱㥥攲捦戵㕣㍢〱㌷ㄹ㍦㍡㙡愱慥㤲ち㡢㐶挹㘸㔸㉣ㄴ㈲㜱㠱㘳愳㘶㡢㤵ち㝤㕢ㄱ㍣㘲ㄴ搵㈳愵扢戶㈲搶挴㕤㈶戱搲愰㔲㜵愸㜶昶㜱收〵㙢扥㈸㈵晥〴㡢敢㘷㑣挳㑣搹戴㘴戳㈶㥢㜵搹戴㘵㤳挸愶㈳㥢换戲搹㤰㑤㔷㌶摦㤰捤ㄵ㤸搳㉢㕡㌲㈹㜷换搹扢慦㑤㥣晦昸㍤攳敢㙦敦摣㔹晡戳㜵㍢㠳戲ㄶ攰㙣㠵〵ㄲ㙥㤱㈱㈸㜸愶㐷搷㘵〶㘶㉢㝥㜴ㄵ㘵挲敢㍡摥搳㝣㘰㤳戶ち㉤戸扦㡣㙦搰㈰㈴敤戰㙣㠵㔶搲㕦戲ㄸ〹㐲ㅤ㈶㡤ぢ慥愸㠵㥣㔹㌱搶攳㑥㜵㝢㈰㈱㈷㥡㝤㔲搲㘲㈰㤲㈴㠱敢挵ㄳ㔱慤愹愳㥣昹㠲挵ㅢ愱㔵昳挸㤱愱㉢㐷扤㠱㤵㕤つ㕤㡦ㄷ㐰攴ㅣ愳慤㈶㙡㜴慢攴〸㐳㐶挳㔰戳㔰〹攸挱㙦㔸攰㘵㝤ㅢ㝣愵㜴㈴敡㐸㐴㔸㠲㉦㈸㍤㕡㘶〷㜴㘰㡢㘵敡㕢㙥戰㐵㤷㥢搹〹㐲㉦㜷慤戸捣慣㌵昰挸〷愲〱㡥昰敦摦㈱〹㄰挹㤹㜶㑥㍡挵愲㍤㍤㘹㑤㔹ち扡挰攳㝡搴ㄸ昰㘴晣敢㙥㘰搳㌵攱㘲㍢㝣昰ㅦ攱㌶搵㑥㤳㠸愱㡣㔳戵搸㌲〱户㘵昳攵㌱挷愰㡣ㄱ捦ち㠹㉤〶㄰愱昷っづ昲㔹㐶㝤ㅣ㍦㔰戲㌸㜹攰扥攳㑥戴㔰㠹戶〲㥢㍦㍤㥡㔸〹㐱昴晥㘱摡〳㈱ㅢ搸㉡〰㘹㠴㡢㥤ㅥㅣ㘶ㄳ挶㍦搳㜶㈳昲㌳㐳㘴〰㌵㕡㝢㌸㜵㤶㤱ㅢ敢搴つ㍢㥡㠱㌰戵㑡㤰扥攱㤴ㄱ㈹摡ㄷ㐰㄰攵㈴㄰摢ㅢ昷㤷摣晡ち㘱ㄵ㠲㐱㡥搸攲愸扢㤰㐴挰ㅦ敢㠴㡦㉦愲敡〱㔵敤挳晤愳捥昹㜶㐸挰㥢㙤搸㉦㐴㥢戰㔳㐵㑦摡㍤㌰㈵㕡ㄳ〸晢〶㠶㘷㘹扤挵搱㙢ㄹ昵〶㈹㌳昶慡〵㙢摡㤷愸㑤ㄲ〹㌹ㅥ㑢挴ㄲ㔸㈰㡣挶攳攰捡㤳㐳㡥㉡㐲〶捡收晤搸摣㘷㌹〸捥㔳㡦挴㌴㘸㕥挸㌷ち㌲搶攳扦戴㜷搰㔷ち㔷㐰㝢愰㈵㡦愰㈳挹挳㠸搲户搱〷㔶㠳㡢㡣挴搳攸㐴㝤㍡㐳扢挵搹捦㍦晣㈸㐲散扡㘵晣扦㤳㘵㜹㘷昷昴攷㔷〱戳㉦㔸㠱敤ㄱ昶捦晡挲ㅤ改攸搹晡㉥慣㜶㐳㤵㡡㈹扦〱扡㍤㔴㤳㤸㈸㐹㙤愹愳慣戹㜶搸㔰ㅢ挴㕤㙥㠴㌰〶昹㤵愶愱㥡㍦〳㠸挷㑦ㅢ㈲㤳㐸㝥昴扤㌰慡敦㠳㉡㤵㑡㐵昸愹愶昴愷㐵㍦㤶㐰㘴ㅤ戵挹昵㌸㠰〱㉥㜵㤱㕡昶慣㔵㠷扣㉣搹捤捡㌴㠳晡㑤㠸㑥㉣㠷㌳つ戰㑤戰昹㔵搷㈶㑣挳㠱ち㘴㝦〹㐸捡戸㉡㍣㥢㐳搸㠹挷ㄴ㈵慤㡤㕡㙢扥㈷敢㐸㔷㠳晤搹攵晣〶昹扦㕦㍥㜵づ戳挷㔴ち㌳㈶晤〰㔶捦㐰愵愰㈶ㅦ摢ㅢ戶〳搳㙥扦搲愰㙢ㄷ㐰㤵㠴㐷㐹て㌷㤸ㅢ敥搹㌸っ㘱搴昲昷㠹昱㌹㐶〰〰㔹ㄵ㜰㐰㥣ㄱ㌹昶㡦愴〸愶晤挲ㄸ晢摣㜰摣戹收㤲㌵〴敦㐳ㅢ㐹㤰戵ㄹ㉤ㅥ㔲ㄱ昵て㙥愴㤷改〲つ换㉥㙦㝡㔶攷挸〸㜲㐴戹摥㈰〱㘰ㄷ〳〸晢户㐹戴搹㈴昶㠸㍤㔶㘸㡢搵挹㝣昹㐹㐰㍦戸愹愸㐸〲昸㈴㑤㔲㘵〹捡收ㅣ㑦㐲㤷㠸扤㌹昶挵摣晤㥢敦㥣挳㤸㉣愵㔲晡㐱昸〶㌷㔱搰㈱㌷〳㤲㤸愳㘴〷㐲昳㉥㑣挱㉦挱戳挵㙤㝡愴㘴㌱㌰㙥捡戸敥昷㥡㤱昱昵㈵挳㤱挷㍣〹ち㠷㐸ㄳ挵㤸挲挳㌱戶㙦攳挲づ搱愰ㄱ搷愴戱愱㘰㈰捥㡤〸戵挹晢㔲敥〳㉥㍥收㐶昰愵㤹㕣挵挴摡㌴㈱㔱㠵ㅥㄶ㐹戹〷愲㐶敥て攱㌵ㄱ攰㔳㐹㜰愵㔶〲扡ㄶ㠸㥤㉢ㅣ昳ㅤㄴ愸㈷㤳㜸㡣ㄴ㝣㐴㤹㠶㐸っ愶㠳㔶㠳〸㍥㍥㑡㔷㔱㕥扡晥㤶㥢户㈱㐴㜴ㅦ㙦ㄹ㝣扣㔵ㄹㄱ㉦㌴㑤㜴㐰㠵㔹晦㍡㘵㉢㌵㑡㔷昰戵戰㑤昴㜸㠳㤰㄰㕦㔳㘹㍦㝡ㄲ㘲ㅢ散㍦ㅥㅦ㜸㌱㜵昵㡥㐴捣㡡㐵挶慣ㅥ㠶㔶㝣㤶搵㐵㑦晡ㄵ捥㡦㉦慤昶搸㡤㜴晥ㄸ㌵㍥晦改摥晢捥挴㐷慦㑢扦㜴〹敡搴㝤㍡㜷敢攳挵㑦づ摥㝥晢搹敡㠷摦㈸ㄸ㐴ㅥ㈹㠰攷㘰攲㜶㘷ㅤ扦慡㙥攸㤱戴ㄳ㤹〶戶㌵〷㄰〹㤲㉢㍢改㔴ㅢ㜰敡㜲搶㤹㘳慥敤戹〱㐱搳㠱戴ㄵ㕦㥥ㄷ挹㌲㈴㔲㑢ㄴ㕦戹㌴挸㍡㔵㘶〵ㅣ攳㑤㔰敦散ㄸ攸〹㙦㔱㥣㤲ㅢ㜰㔸㐶㘰㈶戶户㍢〸改㜰㜳㉤㍦㤸戳㥡晣㐹㜰㈷昱挳〷愸〷㑡〴㘰戲㈴换㤲㈶㙢㥢昴㠸㤸晡㉣㠸捡昶㜹攰㤹㍣攴㔹戲㐰㌶昹㌸慥ㄳ㤹㈵㈲摤愳㈷㔵㘸攳ㄹ昱㍢㐲㌷摢㡤㡦ち摡敢㔹㥦㐸㘲㥥〳ㅥ〹㜳ち攱㈰捦㜷ㅢ搸挹㘱㝣挶㜰慤ㅥ㠵㙡㥢㔱㌲晢㜲㌸昵〵ㄸ㝢ち挶㈲㝢敥戹㐵づ挳㌹昲㠸㕦ぢ昴〹㘸㐹〸捣㐲昸㡢摤〶㜶㈴戱㉥㌴昴〲㔴扤㤲挳昵搱㤳昵㘳㔰㘵攳ㄲち㐰搷㔴㈷戱㍦攳㜹昹㥥㜳㜱戵㠸㐳〳㍦㜸愸愸戹愹㑢昸づ捦ㅢㄶ昳㘸㝥戱㠹㔶㤸㕦㘲㙥ㅤ㥥㠰昹ㄷ昳㄰搱挳晣㜱㘸㔴挲ㄶ扡㌲㉦戴㍤摥㤶㝥散㝡捦捦㝦扣昷攵扢㌷扥㥡扢晤㠱晦ㄶ㌹晡摤㔵改㠷㉥㘱昸㈷㠹ㅣㅥ㐶散㜴ㅡ户ㄱ捦昵㡥愱攰捥㕦ㅡ㠵㈴ㅢ昲攰昱攱㐷挷㜹㜸㐴㜴㔰㝢㜱㐸挰ㄴ攱ㅦ〹昹捣收㘴昵搰ㅣ㉦㔹戹ぢ愷昸て㜲昰挲〶挱昸㄰㡣攸㈷愱㤲昰昸㜸㘴改㝢㔸〳搷㜹ㄵ㍡㥡㉣㈹㐸ㅤ㐶㙡㑣㉥㘷昱㠰㐳㐹㜰㍡㡤戸晣改㌹㜷收搶换愹㔲晡㙦㔶㜴㠷㝥</t>
  </si>
  <si>
    <t>=MAX(H32-C10,0)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</si>
</sst>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35">
    <xf numFmtId="0" fontId="0" fillId="0" borderId="0" xfId="0"/>
    <xf numFmtId="2" fontId="0" fillId="0" borderId="0" xfId="0" applyNumberFormat="1"/>
    <xf numFmtId="9" fontId="0" fillId="0" borderId="0" xfId="2" applyFont="1"/>
    <xf numFmtId="164" fontId="0" fillId="0" borderId="0" xfId="0" applyNumberFormat="1"/>
    <xf numFmtId="44" fontId="0" fillId="0" borderId="0" xfId="1" applyFont="1"/>
    <xf numFmtId="165" fontId="0" fillId="0" borderId="0" xfId="2" applyNumberFormat="1" applyFont="1"/>
    <xf numFmtId="164" fontId="0" fillId="0" borderId="0" xfId="0" applyNumberFormat="1" applyAlignment="1">
      <alignment horizontal="center"/>
    </xf>
    <xf numFmtId="9" fontId="0" fillId="0" borderId="0" xfId="2" applyFont="1" applyAlignment="1">
      <alignment horizontal="center"/>
    </xf>
    <xf numFmtId="0" fontId="0" fillId="0" borderId="0" xfId="0" applyAlignment="1">
      <alignment horizontal="center"/>
    </xf>
    <xf numFmtId="0" fontId="2" fillId="0" borderId="0" xfId="0" applyFont="1"/>
    <xf numFmtId="0" fontId="0" fillId="0" borderId="0" xfId="0" quotePrefix="1"/>
    <xf numFmtId="0" fontId="2" fillId="0" borderId="0" xfId="0" applyFont="1" applyAlignment="1">
      <alignment horizontal="center"/>
    </xf>
    <xf numFmtId="164" fontId="2" fillId="0" borderId="0" xfId="0" applyNumberFormat="1" applyFont="1" applyAlignment="1">
      <alignment horizontal="center"/>
    </xf>
    <xf numFmtId="164" fontId="0" fillId="2" borderId="0" xfId="1" applyNumberFormat="1" applyFont="1" applyFill="1" applyAlignment="1">
      <alignment horizontal="center"/>
    </xf>
    <xf numFmtId="44" fontId="0" fillId="0" borderId="0" xfId="1" applyFont="1" applyFill="1"/>
    <xf numFmtId="164" fontId="0" fillId="0" borderId="0" xfId="1" applyNumberFormat="1" applyFont="1"/>
    <xf numFmtId="164" fontId="1" fillId="2" borderId="0" xfId="1" applyNumberFormat="1" applyFont="1" applyFill="1" applyAlignment="1">
      <alignment horizontal="right"/>
    </xf>
    <xf numFmtId="164" fontId="0" fillId="2" borderId="0" xfId="1" applyNumberFormat="1" applyFont="1" applyFill="1"/>
    <xf numFmtId="2" fontId="2" fillId="0" borderId="0" xfId="0" applyNumberFormat="1" applyFont="1" applyAlignment="1">
      <alignment horizontal="center"/>
    </xf>
    <xf numFmtId="2" fontId="0" fillId="0" borderId="0" xfId="0" applyNumberFormat="1" applyAlignment="1">
      <alignment horizontal="center"/>
    </xf>
    <xf numFmtId="0" fontId="3" fillId="0" borderId="0" xfId="3"/>
    <xf numFmtId="10" fontId="0" fillId="0" borderId="0" xfId="2" applyNumberFormat="1" applyFont="1"/>
    <xf numFmtId="44" fontId="0" fillId="3" borderId="0" xfId="1" applyFont="1" applyFill="1"/>
    <xf numFmtId="44" fontId="2" fillId="0" borderId="0" xfId="1" applyFont="1"/>
    <xf numFmtId="9" fontId="2" fillId="0" borderId="0" xfId="2" applyFont="1" applyAlignment="1">
      <alignment horizontal="center"/>
    </xf>
    <xf numFmtId="9" fontId="0" fillId="0" borderId="0" xfId="2" applyFont="1" applyFill="1" applyAlignment="1">
      <alignment horizontal="center"/>
    </xf>
    <xf numFmtId="9" fontId="0" fillId="3" borderId="0" xfId="2" applyFont="1" applyFill="1" applyAlignment="1">
      <alignment horizontal="center"/>
    </xf>
    <xf numFmtId="164" fontId="0" fillId="3" borderId="0" xfId="1" applyNumberFormat="1" applyFont="1" applyFill="1"/>
    <xf numFmtId="9" fontId="0" fillId="0" borderId="0" xfId="0" applyNumberFormat="1" applyFill="1"/>
    <xf numFmtId="2" fontId="0" fillId="2" borderId="0" xfId="0" applyNumberFormat="1" applyFill="1" applyAlignment="1">
      <alignment horizontal="center"/>
    </xf>
    <xf numFmtId="164" fontId="1" fillId="0" borderId="0" xfId="1" applyNumberFormat="1" applyFont="1" applyFill="1" applyAlignment="1">
      <alignment horizontal="right"/>
    </xf>
    <xf numFmtId="164" fontId="0" fillId="0" borderId="0" xfId="0" applyNumberFormat="1" applyAlignment="1">
      <alignment horizontal="left"/>
    </xf>
    <xf numFmtId="164" fontId="1" fillId="0" borderId="0" xfId="1" applyNumberFormat="1" applyFont="1" applyFill="1" applyAlignment="1">
      <alignment horizontal="left"/>
    </xf>
    <xf numFmtId="44" fontId="0" fillId="2" borderId="0" xfId="1" applyFont="1" applyFill="1"/>
    <xf numFmtId="164" fontId="0" fillId="0" borderId="0" xfId="0" quotePrefix="1" applyNumberFormat="1" applyAlignment="1">
      <alignment horizontal="left"/>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AAPL/options?date=151450560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reasury.gov/resource-center/data-chart-center/interest-rates/Pages/TextView.aspx?data=yie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073-3AEC-4183-8C89-A747045A0FD1}">
  <sheetPr codeName="Sheet2"/>
  <dimension ref="A1:D37"/>
  <sheetViews>
    <sheetView workbookViewId="0"/>
  </sheetViews>
  <sheetFormatPr defaultRowHeight="15.6" x14ac:dyDescent="0.6"/>
  <cols>
    <col min="1" max="4" width="36.546875" customWidth="1"/>
  </cols>
  <sheetData>
    <row r="1" spans="1:4" x14ac:dyDescent="0.6">
      <c r="A1" s="9" t="s">
        <v>19</v>
      </c>
    </row>
    <row r="3" spans="1:4" x14ac:dyDescent="0.6">
      <c r="A3" t="s">
        <v>20</v>
      </c>
      <c r="B3" t="s">
        <v>21</v>
      </c>
      <c r="C3">
        <v>0</v>
      </c>
    </row>
    <row r="4" spans="1:4" x14ac:dyDescent="0.6">
      <c r="A4" t="s">
        <v>22</v>
      </c>
    </row>
    <row r="5" spans="1:4" x14ac:dyDescent="0.6">
      <c r="A5" t="s">
        <v>23</v>
      </c>
    </row>
    <row r="7" spans="1:4" x14ac:dyDescent="0.6">
      <c r="A7" s="9" t="s">
        <v>24</v>
      </c>
      <c r="B7" t="s">
        <v>25</v>
      </c>
    </row>
    <row r="8" spans="1:4" x14ac:dyDescent="0.6">
      <c r="B8">
        <v>4</v>
      </c>
    </row>
    <row r="10" spans="1:4" x14ac:dyDescent="0.6">
      <c r="A10" t="s">
        <v>26</v>
      </c>
    </row>
    <row r="11" spans="1:4" x14ac:dyDescent="0.6">
      <c r="A11" t="e">
        <f>CB_DATA_!#REF!</f>
        <v>#REF!</v>
      </c>
      <c r="B11" t="e">
        <f>'Monte Carlo Option Pricing'!#REF!</f>
        <v>#REF!</v>
      </c>
      <c r="C11" t="e">
        <f>#REF!</f>
        <v>#REF!</v>
      </c>
      <c r="D11" t="e">
        <f>#REF!</f>
        <v>#REF!</v>
      </c>
    </row>
    <row r="13" spans="1:4" x14ac:dyDescent="0.6">
      <c r="A13" t="s">
        <v>27</v>
      </c>
    </row>
    <row r="14" spans="1:4" x14ac:dyDescent="0.6">
      <c r="A14" t="s">
        <v>31</v>
      </c>
      <c r="B14" t="s">
        <v>37</v>
      </c>
      <c r="C14" s="10" t="s">
        <v>35</v>
      </c>
      <c r="D14" s="10" t="s">
        <v>37</v>
      </c>
    </row>
    <row r="16" spans="1:4" x14ac:dyDescent="0.6">
      <c r="A16" t="s">
        <v>28</v>
      </c>
    </row>
    <row r="17" spans="1:4" x14ac:dyDescent="0.6">
      <c r="C17">
        <v>4</v>
      </c>
      <c r="D17">
        <v>1</v>
      </c>
    </row>
    <row r="19" spans="1:4" x14ac:dyDescent="0.6">
      <c r="A19" t="s">
        <v>29</v>
      </c>
    </row>
    <row r="20" spans="1:4" x14ac:dyDescent="0.6">
      <c r="A20">
        <v>31</v>
      </c>
      <c r="B20">
        <v>31</v>
      </c>
      <c r="C20">
        <v>26</v>
      </c>
      <c r="D20">
        <v>37</v>
      </c>
    </row>
    <row r="25" spans="1:4" x14ac:dyDescent="0.6">
      <c r="A25" s="9" t="s">
        <v>30</v>
      </c>
    </row>
    <row r="26" spans="1:4" x14ac:dyDescent="0.6">
      <c r="A26" s="10" t="s">
        <v>32</v>
      </c>
      <c r="B26" s="10" t="s">
        <v>64</v>
      </c>
      <c r="D26" s="10" t="s">
        <v>69</v>
      </c>
    </row>
    <row r="27" spans="1:4" x14ac:dyDescent="0.6">
      <c r="A27" t="s">
        <v>33</v>
      </c>
      <c r="B27" t="s">
        <v>65</v>
      </c>
      <c r="D27" t="s">
        <v>70</v>
      </c>
    </row>
    <row r="28" spans="1:4" x14ac:dyDescent="0.6">
      <c r="A28" s="10" t="s">
        <v>34</v>
      </c>
      <c r="B28" s="10" t="s">
        <v>63</v>
      </c>
      <c r="D28" s="10" t="s">
        <v>34</v>
      </c>
    </row>
    <row r="29" spans="1:4" x14ac:dyDescent="0.6">
      <c r="A29" s="10" t="s">
        <v>36</v>
      </c>
      <c r="B29" s="10" t="s">
        <v>32</v>
      </c>
      <c r="D29" s="10" t="s">
        <v>32</v>
      </c>
    </row>
    <row r="30" spans="1:4" x14ac:dyDescent="0.6">
      <c r="A30" t="s">
        <v>73</v>
      </c>
      <c r="B30" t="s">
        <v>50</v>
      </c>
      <c r="D30" t="s">
        <v>50</v>
      </c>
    </row>
    <row r="31" spans="1:4" x14ac:dyDescent="0.6">
      <c r="A31" s="10" t="s">
        <v>34</v>
      </c>
      <c r="B31" s="10" t="s">
        <v>34</v>
      </c>
      <c r="D31" s="10" t="s">
        <v>34</v>
      </c>
    </row>
    <row r="32" spans="1:4" x14ac:dyDescent="0.6">
      <c r="D32" s="10" t="s">
        <v>71</v>
      </c>
    </row>
    <row r="33" spans="4:4" x14ac:dyDescent="0.6">
      <c r="D33" t="s">
        <v>72</v>
      </c>
    </row>
    <row r="34" spans="4:4" x14ac:dyDescent="0.6">
      <c r="D34" s="10" t="s">
        <v>34</v>
      </c>
    </row>
    <row r="35" spans="4:4" x14ac:dyDescent="0.6">
      <c r="D35" s="10" t="s">
        <v>64</v>
      </c>
    </row>
    <row r="36" spans="4:4" x14ac:dyDescent="0.6">
      <c r="D36" t="s">
        <v>65</v>
      </c>
    </row>
    <row r="37" spans="4:4" x14ac:dyDescent="0.6">
      <c r="D37" s="10"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75122-1F12-49F6-A874-FB6C360E3C57}">
  <sheetPr codeName="Sheet4"/>
  <dimension ref="A1:H11"/>
  <sheetViews>
    <sheetView workbookViewId="0"/>
  </sheetViews>
  <sheetFormatPr defaultRowHeight="15.6" x14ac:dyDescent="0.6"/>
  <cols>
    <col min="1" max="1" width="8.34765625" style="4" bestFit="1" customWidth="1"/>
    <col min="2" max="2" width="7.34765625" style="4" bestFit="1" customWidth="1"/>
    <col min="3" max="3" width="15.09765625" style="7" bestFit="1" customWidth="1"/>
    <col min="5" max="5" width="16.5" bestFit="1" customWidth="1"/>
    <col min="6" max="6" width="7.1484375" bestFit="1" customWidth="1"/>
  </cols>
  <sheetData>
    <row r="1" spans="1:8" x14ac:dyDescent="0.6">
      <c r="A1" s="23" t="s">
        <v>59</v>
      </c>
      <c r="B1" s="23" t="s">
        <v>60</v>
      </c>
      <c r="C1" s="24" t="s">
        <v>61</v>
      </c>
      <c r="E1" s="9" t="s">
        <v>38</v>
      </c>
      <c r="F1" s="27">
        <v>174.79</v>
      </c>
      <c r="H1" s="20" t="s">
        <v>58</v>
      </c>
    </row>
    <row r="2" spans="1:8" x14ac:dyDescent="0.6">
      <c r="A2" s="14">
        <v>165</v>
      </c>
      <c r="B2" s="14">
        <v>11.15</v>
      </c>
      <c r="C2" s="25">
        <v>0.22170000000000001</v>
      </c>
    </row>
    <row r="3" spans="1:8" x14ac:dyDescent="0.6">
      <c r="A3" s="4">
        <v>167.5</v>
      </c>
      <c r="B3" s="4">
        <v>9</v>
      </c>
      <c r="C3" s="7">
        <v>0.20749999999999999</v>
      </c>
    </row>
    <row r="4" spans="1:8" x14ac:dyDescent="0.6">
      <c r="A4" s="4">
        <v>170</v>
      </c>
      <c r="B4" s="4">
        <v>6.88</v>
      </c>
      <c r="C4" s="7">
        <v>0.1951</v>
      </c>
    </row>
    <row r="5" spans="1:8" x14ac:dyDescent="0.6">
      <c r="A5" s="22">
        <v>172.5</v>
      </c>
      <c r="B5" s="22">
        <v>5.16</v>
      </c>
      <c r="C5" s="26">
        <v>0.1842</v>
      </c>
    </row>
    <row r="6" spans="1:8" x14ac:dyDescent="0.6">
      <c r="A6" s="4">
        <v>175</v>
      </c>
      <c r="B6" s="4">
        <v>3.65</v>
      </c>
      <c r="C6" s="7">
        <v>0.17929999999999999</v>
      </c>
    </row>
    <row r="7" spans="1:8" x14ac:dyDescent="0.6">
      <c r="A7" s="4">
        <v>177.5</v>
      </c>
      <c r="B7" s="4">
        <v>2.5299999999999998</v>
      </c>
      <c r="C7" s="7">
        <v>0.1754</v>
      </c>
    </row>
    <row r="8" spans="1:8" x14ac:dyDescent="0.6">
      <c r="A8" s="4">
        <v>180</v>
      </c>
      <c r="B8" s="4">
        <v>1.69</v>
      </c>
      <c r="C8" s="7">
        <v>0.1724</v>
      </c>
    </row>
    <row r="9" spans="1:8" x14ac:dyDescent="0.6">
      <c r="A9" s="4">
        <v>182.5</v>
      </c>
      <c r="B9" s="4">
        <v>1.1200000000000001</v>
      </c>
      <c r="C9" s="7">
        <v>0.17699999999999999</v>
      </c>
    </row>
    <row r="10" spans="1:8" x14ac:dyDescent="0.6">
      <c r="A10" s="4">
        <v>185</v>
      </c>
      <c r="B10" s="4">
        <v>0.68</v>
      </c>
      <c r="C10" s="7">
        <v>0.18190000000000001</v>
      </c>
    </row>
    <row r="11" spans="1:8" x14ac:dyDescent="0.6">
      <c r="A11" s="4">
        <v>187.5</v>
      </c>
      <c r="B11" s="4">
        <v>0.46</v>
      </c>
      <c r="C11" s="7">
        <v>0.18629999999999999</v>
      </c>
    </row>
  </sheetData>
  <hyperlinks>
    <hyperlink ref="H1" r:id="rId1" xr:uid="{0C4C428C-B9AA-4E48-8A92-08ACBB2975F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AF8F-5791-4CEE-860B-FFEDFBA24E65}">
  <sheetPr codeName="Sheet1"/>
  <dimension ref="A1:D14"/>
  <sheetViews>
    <sheetView workbookViewId="0">
      <selection activeCell="C18" sqref="C18"/>
    </sheetView>
  </sheetViews>
  <sheetFormatPr defaultRowHeight="15.6" x14ac:dyDescent="0.6"/>
  <cols>
    <col min="1" max="1" width="21.59765625" bestFit="1" customWidth="1"/>
    <col min="2" max="2" width="5.69921875" bestFit="1" customWidth="1"/>
    <col min="3" max="3" width="7.1484375" bestFit="1" customWidth="1"/>
  </cols>
  <sheetData>
    <row r="1" spans="1:4" x14ac:dyDescent="0.6">
      <c r="A1" t="s">
        <v>12</v>
      </c>
      <c r="B1" t="s">
        <v>8</v>
      </c>
      <c r="C1" s="15">
        <f>'AAPL Dec 29'!F1</f>
        <v>174.79</v>
      </c>
    </row>
    <row r="2" spans="1:4" x14ac:dyDescent="0.6">
      <c r="A2" t="s">
        <v>13</v>
      </c>
      <c r="B2" t="s">
        <v>10</v>
      </c>
      <c r="C2" s="15">
        <f>'AAPL Dec 29'!A5</f>
        <v>172.5</v>
      </c>
    </row>
    <row r="3" spans="1:4" x14ac:dyDescent="0.6">
      <c r="A3" t="s">
        <v>55</v>
      </c>
      <c r="B3" t="s">
        <v>39</v>
      </c>
      <c r="C3" s="1">
        <v>8.3333333333333329E-2</v>
      </c>
    </row>
    <row r="4" spans="1:4" x14ac:dyDescent="0.6">
      <c r="A4" t="s">
        <v>56</v>
      </c>
      <c r="B4" t="s">
        <v>11</v>
      </c>
      <c r="C4" s="21">
        <v>2.76E-2</v>
      </c>
      <c r="D4" s="20" t="s">
        <v>62</v>
      </c>
    </row>
    <row r="5" spans="1:4" x14ac:dyDescent="0.6">
      <c r="A5" t="s">
        <v>40</v>
      </c>
      <c r="B5" t="s">
        <v>41</v>
      </c>
      <c r="C5" s="2">
        <f>'AAPL Dec 29'!C5</f>
        <v>0.1842</v>
      </c>
    </row>
    <row r="7" spans="1:4" x14ac:dyDescent="0.6">
      <c r="A7" t="s">
        <v>42</v>
      </c>
      <c r="B7" t="s">
        <v>43</v>
      </c>
      <c r="C7" s="1">
        <f>1/(C5*SQRT(C3))*(LN(C1/C2)+(C4+C5^2/2)*C3)</f>
        <v>0.31785768713820245</v>
      </c>
      <c r="D7" s="10" t="s">
        <v>46</v>
      </c>
    </row>
    <row r="8" spans="1:4" x14ac:dyDescent="0.6">
      <c r="A8" t="s">
        <v>42</v>
      </c>
      <c r="B8" t="s">
        <v>44</v>
      </c>
      <c r="C8" s="1">
        <f>C7-C5*SQRT(C3)</f>
        <v>0.26468372734583789</v>
      </c>
      <c r="D8" s="10" t="s">
        <v>47</v>
      </c>
    </row>
    <row r="10" spans="1:4" x14ac:dyDescent="0.6">
      <c r="A10" t="s">
        <v>45</v>
      </c>
      <c r="B10" t="s">
        <v>9</v>
      </c>
      <c r="C10" s="15">
        <f>_xlfn.NORM.S.DIST(C7,TRUE)*C1-_xlfn.NORM.S.DIST(C8,TRUE)*C2/EXP(C4*C3)</f>
        <v>5.1770250996681142</v>
      </c>
      <c r="D10" s="10" t="s">
        <v>48</v>
      </c>
    </row>
    <row r="13" spans="1:4" x14ac:dyDescent="0.6">
      <c r="A13" t="s">
        <v>51</v>
      </c>
      <c r="B13" t="s">
        <v>52</v>
      </c>
      <c r="C13">
        <v>30</v>
      </c>
    </row>
    <row r="14" spans="1:4" x14ac:dyDescent="0.6">
      <c r="A14" t="s">
        <v>53</v>
      </c>
      <c r="B14" t="s">
        <v>54</v>
      </c>
      <c r="C14" s="1">
        <f>'Black-Scholes Option Pricing'!C3/'Black-Scholes Option Pricing'!C13</f>
        <v>2.7777777777777775E-3</v>
      </c>
    </row>
  </sheetData>
  <hyperlinks>
    <hyperlink ref="D4" r:id="rId1" xr:uid="{82CF2984-9179-4A01-B7F4-154D0FD1083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D512-DE2F-4F14-97F6-BD36DBDDBDE9}">
  <sheetPr codeName="Sheet3"/>
  <dimension ref="A1:J32"/>
  <sheetViews>
    <sheetView tabSelected="1" workbookViewId="0">
      <selection activeCell="I1" sqref="I1"/>
    </sheetView>
  </sheetViews>
  <sheetFormatPr defaultRowHeight="15.6" x14ac:dyDescent="0.6"/>
  <cols>
    <col min="1" max="1" width="16.59765625" bestFit="1" customWidth="1"/>
    <col min="2" max="2" width="8" bestFit="1" customWidth="1"/>
    <col min="3" max="3" width="7.1484375" bestFit="1" customWidth="1"/>
    <col min="4" max="4" width="12.84765625" bestFit="1" customWidth="1"/>
    <col min="6" max="6" width="8.796875" style="8"/>
    <col min="7" max="7" width="9.6484375" style="19" bestFit="1" customWidth="1"/>
    <col min="8" max="8" width="8.796875" style="6"/>
    <col min="9" max="9" width="23.8984375" style="6" bestFit="1" customWidth="1"/>
    <col min="10" max="10" width="15.19921875" style="31" bestFit="1" customWidth="1"/>
    <col min="11" max="11" width="10.69921875" bestFit="1" customWidth="1"/>
  </cols>
  <sheetData>
    <row r="1" spans="1:9" x14ac:dyDescent="0.6">
      <c r="A1" t="s">
        <v>40</v>
      </c>
      <c r="B1" t="s">
        <v>41</v>
      </c>
      <c r="C1" s="28">
        <f>'Black-Scholes Option Pricing'!C5</f>
        <v>0.1842</v>
      </c>
      <c r="D1" s="28"/>
      <c r="F1" s="11" t="s">
        <v>17</v>
      </c>
      <c r="G1" s="18" t="s">
        <v>18</v>
      </c>
      <c r="H1" s="12" t="s">
        <v>15</v>
      </c>
      <c r="I1" s="12" t="s">
        <v>16</v>
      </c>
    </row>
    <row r="2" spans="1:9" x14ac:dyDescent="0.6">
      <c r="F2" s="8">
        <v>0</v>
      </c>
      <c r="H2" s="13"/>
      <c r="I2" s="31" t="s">
        <v>66</v>
      </c>
    </row>
    <row r="3" spans="1:9" x14ac:dyDescent="0.6">
      <c r="A3" t="s">
        <v>4</v>
      </c>
      <c r="B3" t="s">
        <v>0</v>
      </c>
      <c r="C3" s="1">
        <f>EXP(C1*SQRT('Black-Scholes Option Pricing'!C14))</f>
        <v>1.0097554697854609</v>
      </c>
      <c r="D3" s="1"/>
      <c r="F3" s="8">
        <v>1</v>
      </c>
      <c r="G3" s="29"/>
      <c r="H3" s="13"/>
      <c r="I3" s="31" t="s">
        <v>67</v>
      </c>
    </row>
    <row r="4" spans="1:9" x14ac:dyDescent="0.6">
      <c r="A4" t="s">
        <v>5</v>
      </c>
      <c r="B4" t="s">
        <v>1</v>
      </c>
      <c r="C4" s="1">
        <f>1/C3</f>
        <v>0.99033877995478092</v>
      </c>
      <c r="D4" s="1"/>
      <c r="F4" s="8">
        <v>2</v>
      </c>
      <c r="G4" s="29"/>
      <c r="H4" s="13"/>
    </row>
    <row r="5" spans="1:9" x14ac:dyDescent="0.6">
      <c r="F5" s="8">
        <v>3</v>
      </c>
      <c r="G5" s="29"/>
      <c r="H5" s="13"/>
    </row>
    <row r="6" spans="1:9" x14ac:dyDescent="0.6">
      <c r="A6" t="s">
        <v>6</v>
      </c>
      <c r="B6" t="s">
        <v>2</v>
      </c>
      <c r="C6" s="5">
        <f>(EXP('Black-Scholes Option Pricing'!C4*'Black-Scholes Option Pricing'!C14)-C4)/(C3-C4)</f>
        <v>0.50152161546419072</v>
      </c>
      <c r="D6" s="5"/>
      <c r="F6" s="8">
        <v>4</v>
      </c>
      <c r="G6" s="29"/>
      <c r="H6" s="13"/>
    </row>
    <row r="7" spans="1:9" x14ac:dyDescent="0.6">
      <c r="A7" t="s">
        <v>7</v>
      </c>
      <c r="B7" t="s">
        <v>3</v>
      </c>
      <c r="C7" s="5">
        <f>1-C6</f>
        <v>0.49847838453580928</v>
      </c>
      <c r="D7" s="5"/>
      <c r="F7" s="8">
        <v>5</v>
      </c>
      <c r="G7" s="29"/>
      <c r="H7" s="13"/>
    </row>
    <row r="8" spans="1:9" x14ac:dyDescent="0.6">
      <c r="F8" s="8">
        <v>6</v>
      </c>
      <c r="G8" s="29"/>
      <c r="H8" s="13"/>
    </row>
    <row r="9" spans="1:9" x14ac:dyDescent="0.6">
      <c r="A9" t="s">
        <v>12</v>
      </c>
      <c r="B9" t="s">
        <v>8</v>
      </c>
      <c r="C9" s="3">
        <f>'Black-Scholes Option Pricing'!C1</f>
        <v>174.79</v>
      </c>
      <c r="D9" s="3"/>
      <c r="F9" s="8">
        <v>7</v>
      </c>
      <c r="G9" s="29"/>
      <c r="H9" s="13"/>
    </row>
    <row r="10" spans="1:9" x14ac:dyDescent="0.6">
      <c r="A10" t="s">
        <v>13</v>
      </c>
      <c r="B10" t="s">
        <v>10</v>
      </c>
      <c r="C10" s="3">
        <f>'Black-Scholes Option Pricing'!C2</f>
        <v>172.5</v>
      </c>
      <c r="D10" s="3"/>
      <c r="F10" s="8">
        <v>8</v>
      </c>
      <c r="G10" s="29"/>
      <c r="H10" s="13"/>
    </row>
    <row r="11" spans="1:9" x14ac:dyDescent="0.6">
      <c r="A11" t="s">
        <v>56</v>
      </c>
      <c r="B11" t="s">
        <v>11</v>
      </c>
      <c r="C11" s="21">
        <f>'Black-Scholes Option Pricing'!C4*'Black-Scholes Option Pricing'!C3</f>
        <v>2.3E-3</v>
      </c>
      <c r="D11" s="21"/>
      <c r="F11" s="8">
        <v>9</v>
      </c>
      <c r="G11" s="29"/>
      <c r="H11" s="13"/>
    </row>
    <row r="12" spans="1:9" x14ac:dyDescent="0.6">
      <c r="F12" s="8">
        <v>10</v>
      </c>
      <c r="G12" s="29"/>
      <c r="H12" s="13"/>
    </row>
    <row r="13" spans="1:9" x14ac:dyDescent="0.6">
      <c r="A13" t="s">
        <v>14</v>
      </c>
      <c r="B13" t="s">
        <v>49</v>
      </c>
      <c r="C13" s="16"/>
      <c r="D13" s="30"/>
      <c r="F13" s="8">
        <v>11</v>
      </c>
      <c r="G13" s="29"/>
      <c r="H13" s="13"/>
    </row>
    <row r="14" spans="1:9" x14ac:dyDescent="0.6">
      <c r="A14" t="s">
        <v>57</v>
      </c>
      <c r="B14" t="s">
        <v>9</v>
      </c>
      <c r="C14" s="17"/>
      <c r="D14" s="32" t="s">
        <v>68</v>
      </c>
      <c r="F14" s="8">
        <v>12</v>
      </c>
      <c r="G14" s="29"/>
      <c r="H14" s="13"/>
    </row>
    <row r="15" spans="1:9" x14ac:dyDescent="0.6">
      <c r="F15" s="8">
        <v>13</v>
      </c>
      <c r="G15" s="29"/>
      <c r="H15" s="13"/>
    </row>
    <row r="16" spans="1:9" x14ac:dyDescent="0.6">
      <c r="F16" s="8">
        <v>14</v>
      </c>
      <c r="G16" s="29"/>
      <c r="H16" s="13"/>
    </row>
    <row r="17" spans="6:10" x14ac:dyDescent="0.6">
      <c r="F17" s="8">
        <v>15</v>
      </c>
      <c r="G17" s="29"/>
      <c r="H17" s="13"/>
    </row>
    <row r="18" spans="6:10" x14ac:dyDescent="0.6">
      <c r="F18" s="8">
        <v>16</v>
      </c>
      <c r="G18" s="29"/>
      <c r="H18" s="13"/>
    </row>
    <row r="19" spans="6:10" x14ac:dyDescent="0.6">
      <c r="F19" s="8">
        <v>17</v>
      </c>
      <c r="G19" s="29"/>
      <c r="H19" s="13"/>
    </row>
    <row r="20" spans="6:10" x14ac:dyDescent="0.6">
      <c r="F20" s="8">
        <v>18</v>
      </c>
      <c r="G20" s="29"/>
      <c r="H20" s="13"/>
    </row>
    <row r="21" spans="6:10" x14ac:dyDescent="0.6">
      <c r="F21" s="8">
        <v>19</v>
      </c>
      <c r="G21" s="29"/>
      <c r="H21" s="13"/>
    </row>
    <row r="22" spans="6:10" x14ac:dyDescent="0.6">
      <c r="F22" s="8">
        <v>20</v>
      </c>
      <c r="G22" s="29"/>
      <c r="H22" s="13"/>
    </row>
    <row r="23" spans="6:10" x14ac:dyDescent="0.6">
      <c r="F23" s="8">
        <v>21</v>
      </c>
      <c r="G23" s="29"/>
      <c r="H23" s="13"/>
    </row>
    <row r="24" spans="6:10" x14ac:dyDescent="0.6">
      <c r="F24" s="8">
        <v>22</v>
      </c>
      <c r="G24" s="29"/>
      <c r="H24" s="13"/>
    </row>
    <row r="25" spans="6:10" x14ac:dyDescent="0.6">
      <c r="F25" s="8">
        <v>23</v>
      </c>
      <c r="G25" s="29"/>
      <c r="H25" s="13"/>
    </row>
    <row r="26" spans="6:10" x14ac:dyDescent="0.6">
      <c r="F26" s="8">
        <v>24</v>
      </c>
      <c r="G26" s="29"/>
      <c r="H26" s="13"/>
    </row>
    <row r="27" spans="6:10" x14ac:dyDescent="0.6">
      <c r="F27" s="8">
        <v>25</v>
      </c>
      <c r="G27" s="29"/>
      <c r="H27" s="13"/>
    </row>
    <row r="28" spans="6:10" x14ac:dyDescent="0.6">
      <c r="F28" s="8">
        <v>26</v>
      </c>
      <c r="G28" s="29"/>
      <c r="H28" s="13"/>
    </row>
    <row r="29" spans="6:10" x14ac:dyDescent="0.6">
      <c r="F29" s="8">
        <v>27</v>
      </c>
      <c r="G29" s="29"/>
      <c r="H29" s="13"/>
    </row>
    <row r="30" spans="6:10" x14ac:dyDescent="0.6">
      <c r="F30" s="8">
        <v>28</v>
      </c>
      <c r="G30" s="29"/>
      <c r="H30" s="13"/>
    </row>
    <row r="31" spans="6:10" x14ac:dyDescent="0.6">
      <c r="F31" s="8">
        <v>29</v>
      </c>
      <c r="G31" s="29"/>
      <c r="H31" s="13"/>
    </row>
    <row r="32" spans="6:10" x14ac:dyDescent="0.6">
      <c r="F32" s="8">
        <v>30</v>
      </c>
      <c r="G32" s="29"/>
      <c r="H32" s="13"/>
      <c r="I32" s="13"/>
      <c r="J32" s="34" t="s">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7900-1A9C-421A-BC20-0CFD6EEAAEA5}">
  <sheetPr codeName="Sheet6"/>
  <dimension ref="A1:B4"/>
  <sheetViews>
    <sheetView workbookViewId="0"/>
  </sheetViews>
  <sheetFormatPr defaultRowHeight="15.6" x14ac:dyDescent="0.6"/>
  <cols>
    <col min="1" max="1" width="7.796875" bestFit="1" customWidth="1"/>
    <col min="2" max="2" width="14.09765625" bestFit="1" customWidth="1"/>
  </cols>
  <sheetData>
    <row r="1" spans="1:2" x14ac:dyDescent="0.6">
      <c r="A1" t="s">
        <v>40</v>
      </c>
      <c r="B1" t="s">
        <v>45</v>
      </c>
    </row>
    <row r="2" spans="1:2" x14ac:dyDescent="0.6">
      <c r="A2" s="2">
        <v>0.1</v>
      </c>
      <c r="B2" s="33"/>
    </row>
    <row r="3" spans="1:2" x14ac:dyDescent="0.6">
      <c r="A3" s="2">
        <v>0.1842</v>
      </c>
      <c r="B3" s="33"/>
    </row>
    <row r="4" spans="1:2" x14ac:dyDescent="0.6">
      <c r="A4" s="2">
        <v>0.3</v>
      </c>
      <c r="B4"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AAPL Dec 29</vt:lpstr>
      <vt:lpstr>Black-Scholes Option Pricing</vt:lpstr>
      <vt:lpstr>Monte Carlo Option Pricing</vt:lpstr>
      <vt:lpstr>Sensitiviety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2017-11-27T18:45:54Z</dcterms:modified>
</cp:coreProperties>
</file>