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625"/>
  <workbookPr codeName="ThisWorkbook" defaultThemeVersion="166925"/>
  <mc:AlternateContent xmlns:mc="http://schemas.openxmlformats.org/markup-compatibility/2006">
    <mc:Choice Requires="x15">
      <x15ac:absPath xmlns:x15ac="http://schemas.microsoft.com/office/spreadsheetml/2010/11/ac" url="C:\Users\Philip\Dropbox\Courses\Teaching\FIN 203\FIN 203 Fall 2017\6 Simulation Analysis\HW\"/>
    </mc:Choice>
  </mc:AlternateContent>
  <bookViews>
    <workbookView xWindow="0" yWindow="0" windowWidth="20010" windowHeight="9570" firstSheet="1" activeTab="2" xr2:uid="{00000000-000D-0000-FFFF-FFFF00000000}"/>
  </bookViews>
  <sheets>
    <sheet name="CB_DATA_" sheetId="23" state="veryHidden" r:id="rId1"/>
    <sheet name="Monte Carlo Option Pricing" sheetId="22" r:id="rId2"/>
    <sheet name="Question" sheetId="27" r:id="rId3"/>
  </sheets>
  <definedNames>
    <definedName name="CB_5c88b42d2a334c5d8a44402401b986af" localSheetId="1" hidden="1">#N/A</definedName>
    <definedName name="CB_Block_00000000000000000000000000000000" localSheetId="0" hidden="1">"'7.0.0.0"</definedName>
    <definedName name="CB_Block_00000000000000000000000000000000" localSheetId="1" hidden="1">"'7.0.0.0"</definedName>
    <definedName name="CB_Block_00000000000000000000000000000001" localSheetId="0" hidden="1">"'636477100840137197"</definedName>
    <definedName name="CB_Block_00000000000000000000000000000001" localSheetId="1" hidden="1">"'636477100839936460"</definedName>
    <definedName name="CB_Block_00000000000000000000000000000003" localSheetId="0" hidden="1">"'11.1.4512.0"</definedName>
    <definedName name="CB_Block_00000000000000000000000000000003" localSheetId="1" hidden="1">"'11.1.4512.0"</definedName>
    <definedName name="CB_BlockExt_00000000000000000000000000000003" localSheetId="0" hidden="1">"'11.1.2.4.600"</definedName>
    <definedName name="CB_BlockExt_00000000000000000000000000000003" localSheetId="1" hidden="1">"'11.1.2.4.600"</definedName>
    <definedName name="CBCR_9ae6cb7f1cbe46b38e4df2cb4766a1e1" localSheetId="1" hidden="1">'Monte Carlo Option Pricing'!$E$3:$G$32</definedName>
    <definedName name="CBWorkbookPriority" localSheetId="0" hidden="1">-543170919</definedName>
    <definedName name="CBx_0b7114782f20436facd3e092662c9760" localSheetId="0" hidden="1">"'Monte Carlo Option Pricing'!$A$1"</definedName>
    <definedName name="CBx_b589f4d9718647b698946d7c6529c355" localSheetId="0" hidden="1">"'CB_DATA_'!$A$1"</definedName>
    <definedName name="CBx_f16dd8d6c56247c095a9dc97a4935ca9" localSheetId="0" hidden="1">"'Excel Simulation Model'!$A$1"</definedName>
    <definedName name="CBx_Sheet_Guid" localSheetId="0" hidden="1">"'b589f4d9-7186-47b6-9894-6d7c6529c355"</definedName>
    <definedName name="CBx_Sheet_Guid" localSheetId="1" hidden="1">"'0b711478-2f20-436f-acd3-e092662c9760"</definedName>
    <definedName name="CBx_SheetRef" localSheetId="0" hidden="1">CB_DATA_!$A$14</definedName>
    <definedName name="CBx_SheetRef" localSheetId="1" hidden="1">CB_DATA_!$B$14</definedName>
    <definedName name="CBx_StorageType" localSheetId="0" hidden="1">2</definedName>
    <definedName name="CBx_StorageType" localSheetId="1" hidden="1">2</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ssim" hidden="1">-1</definedName>
    <definedName name="solver_ntri" hidden="1">1000</definedName>
    <definedName name="solver_rgen" hidden="1">3</definedName>
    <definedName name="solver_rsmp" hidden="1">1</definedName>
    <definedName name="solver_sclt" hidden="1">100</definedName>
    <definedName name="solver_seed" hidden="1">0</definedName>
    <definedName name="solver_strm" hidden="1">0</definedName>
    <definedName name="solver_ucens" hidden="1">1E+30</definedName>
    <definedName name="solver_ucut" hidden="1">1E+30</definedName>
    <definedName name="solveri_CClick" hidden="1">"System.Boolean:False"</definedName>
    <definedName name="solveri_CPop" hidden="1">"System.Boolean:False"</definedName>
    <definedName name="solveri_CTyp" hidden="1">"RiskSolver.Globals.ChartType:Bar"</definedName>
    <definedName name="solvero_CClick" hidden="1">"System.Boolean:True"</definedName>
    <definedName name="solvero_ChGlobalShow" hidden="1">"System.Boolean:False"</definedName>
    <definedName name="solvero_CPop" hidden="1">"System.Boolean:False"</definedName>
    <definedName name="solvero_CTyp" hidden="1">"RiskSolver.Globals.ChartType:Bar"</definedName>
  </definedNames>
  <calcPr calcId="171027" concurrentCalc="0" concurrentManualCount="4"/>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22" l="1"/>
  <c r="B11" i="23"/>
  <c r="A11" i="23"/>
</calcChain>
</file>

<file path=xl/sharedStrings.xml><?xml version="1.0" encoding="utf-8"?>
<sst xmlns="http://schemas.openxmlformats.org/spreadsheetml/2006/main" count="36" uniqueCount="34">
  <si>
    <t>u</t>
  </si>
  <si>
    <t>d</t>
  </si>
  <si>
    <t>Pu</t>
  </si>
  <si>
    <t>Pd</t>
  </si>
  <si>
    <t>Growth rate up</t>
  </si>
  <si>
    <t>Growth rate down</t>
  </si>
  <si>
    <t>Probability of up</t>
  </si>
  <si>
    <t>Probability of down</t>
  </si>
  <si>
    <t>S0</t>
  </si>
  <si>
    <t>rf</t>
  </si>
  <si>
    <t>Stock price today</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</si>
  <si>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</si>
  <si>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</si>
  <si>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</si>
  <si>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</si>
  <si>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</si>
  <si>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</si>
  <si>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</si>
  <si>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</si>
  <si>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</si>
  <si>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</si>
  <si>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</si>
  <si>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</si>
  <si>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b589f4d9-7186-47b6-9894-6d7c6529c355</t>
  </si>
  <si>
    <t>CB_Block_0</t>
  </si>
  <si>
    <t>㜸〱敤㕣㕢㙣ㅣ㔷ㄹ摥㌳摥㕤敦慣敤搸㡤搳㑢㑡㘹つ愵㤴搶挱㡤搳㠶㔲㈰〴㕦㥡㑢㜱㘲㌷㜶㔲慡㠲㌶攳摤㌳昱㌴㍢㌳敥捣慣ㄳ㤷㑡慤愰愵㈰㈸㐸摣㐴愱摣㉡㠴挴ぢ㤷ㄷ敥㉦〸㈴㄰㙡〵ㄲ昰㠰挴㐳愹㉡㜸攰愲㐸扣昰㠰〴摦㜷㘶㘶㜷㘶搷㍢㜶户㉤戸挸㈷摤摦㘷捥㙤捥㌹晦昵晣晦㤹收㐴㉥㤷晢㌷ㄲ晦㌲攵㤹戹㘶㜱摤て愴㍤㌱攳搶敢戲ㅡ㔸慥攳㑦㑣㜹㥥戱㍥㘷昹㐱ㅦㅡㄴ㉢ㄶ敡晤㐲挵户ㅥ㤴愵捡㥡昴㝣㌴㉡攴㜲愵㤲慥愱㥥㠳昰㌷ㄲ㍦攸散㌵㤸〷㔸㥡㤹㥥㕦扥ㅦ愳㉥〶慥㈷昷㡤㥤〹晢ㅥ㥡㥣㥣㤸㥣戸敤攰攴㠱㠹晤晢挶㘶ㅡ昵愰攱挹㐳㡥㙣〴㥥㔱摦㌷戶搰㔸慥㕢搵㜷换昵㈵昷扣㜴づ挹攵晤户㉥ㅢ户扤㜵昲戶㠳〷捤㍢敥㜸敢㈰㕥㥤㍢㌹㌳扤攰㐹搳㝦㤹挶㉣㜰捡户捤捡慡挵戵㐹改㔹捥戹㠹㤹㘹晣㤷㤸㍦㥥㙥㥦㔸㕣㤱㌲攰慢愵㈷㥤慡昴㜵㜴ㅣ戰愷㝣扦㘱慦㜲昳㜴晢〸㤶㕡㌵晣愰㘰捦挸㝡㕤户攳㔱㑢昶㍣昶慥㙥慣て摡㡢搲昱慤挰㕡戳㠲昵愲扤㠴㠱㙡㐳昶㘹㕦㥥㌲㥣㜳昲愴㘱换㠲㝤戴㘱搵昲㘱捡昵摤ㄸて㤱㥣㤸㕡晥挴㤴㙦捦慣ㄸ㥥㥡㤱捦㡤挹㘸㝢挴慢愶摢㕥摦㝤㕣㑥㕤扤㠱㘳摥搰扤ㅤ㙡捥ㄸ㕥戳攵㜸昷㤶搱攲搳㌳戸愵㝢晢挴ㅥ愵晢摣搴扤㡦摡捡㜴㙢㌱㄰搱户摡㔱㉣㐶㉦ㄲ昴ㄳ㤴〸㠸㐰扤㑣㌰㐰㌰〸㈰昲晦〰㤷㈴㍢戲㑡慢ㄸ㕡㘵㔹慢㔴戵㑡㑤慢㐸慤㘲㙡㤵㜳㕡㘵㐵慢㔸㕡攵㝥慤㜲ㅥ㙤攲㔴敡敦搷愲昴搳慦慥㕦昸昸摡ぢ戳摦昸搱摦㝥昳慢㌳㜷摣㌰戸ぢ㡤敥㡥㈶㌵敢ㄹㄷ㐰㙡㉤㉡〶㐷昰摦收㕣〱愶㌰て㥡户㥢㤳㤳戵㠳晢㡤㕢㡤〲㤷㤵㠱晣ㄴ愱㡣愰敤愰㜹㡦攵搴摣ぢち㜷搷㑣ㅢ扥㙣㙤摣㜸㔴㌷敤㌶㥣㥡晦㥡㡤㉢ㄷ〳㈳㤰㔷户搷戵〶改攸戶〸戶㤲扥㝡摦戵敤摤捥ㄸ昵㠶㥣扡㘸㠵搵慦㙤慢戶ㄷ㍣㜷戹㝢敤ㄱ㑦㍥搰慣敤㤸搱ㄴ㠴摡㥡ㅡ扢㘳㤵㘱㔵㌸慦戱㤹ㄵ搷㤷㡥㥡摥戸扤㘰㔵捦㑢㙦㔱㔲㈴捡㥡㕡敡攵慣㡡戸㝥㝣摥挱㐲挱慤戵搷㈷㑢捤㍢㉦〶㘰㘶㔹挳㝣㔷愵ㄷ慣㉦ㄹ换㜵㜹㐵慡㐹昸㑥㔴散㑤ㄵㅦ㜱慢つ㝦挶㜵〲捦慤愷㙢愶㙡㙢〶㈴㑤敤㠴㕢㤳昹㝣㑥〹〵〸摣扥㍥㈱㜲㌷㜷攷〵㠵㠸〴㡡挹挸㔷愵挹㙥攲ㄴ㔶㠷㔵搴㈵㘹㔲㝢挳㈶㠳㜱扥㑡挶㘴㜰㘰㘲㑤搴ㅦ㝣改㥢㌶ㄹ戶㠹戹㔷戶戱愶㡤㐶慢扦㜳㑤㍡挱㌱挳愹搵愵㤷愹晤〴㘷愴て〳ㄴ㉥㐱㈰㜴摤㍤慡㍡㜱㔱慣ㄷ㉥㔸戵㘰愵戸㈲慤㜳㉢〱捡愰㈱㑢㈵㙥㙤㐷搲㉦㐳㤱扥㥢㘰ㄴ愰㕣捥ㄵ昷戰㔱戱㡣㤴㉢㔰㍡㘵昰㜲㑡㤰戳㕦㡡㤷〷捤㈳㔶㍤㤰愱㔰ㅥ㌶㠱㤱㔰慢㈹昴つ㤱㐴㍤愳ㅡ㉡㡣㍤收っ愸搴戰㥣㘰扤挵户ㅤ㕣ㄲㄲ搱㡥㉣搸㜶戲㠰愲㈰㉤て㌲㜸つ㐴搳㈶つ戲ㅢ㈷㠸㠸㙣㤰愱搹㌱㜲㥡挸搸㍥㐳㐶愰㝤㤲〸搹㝡㝦㜷ㄹ㐱㘲敦㈴㔲㜶敡捡㡦㍢搲㙣㈳㕢㍥㤴㘶㤷㘳攳昴㉢〸慥㈴戸㡡㘰㉦㠰昸ㄳ㈴ㅣ愵ㅣ昲改愴扦〶捦晡㌵〴慦〵㠰㝣搲㈹㜳㈲㔱㐵ㅢ㙡㉢㜶㈴摢つ挱㑥㔶㐶㜱㈸㡡㘸ㄹ㌷敤捣㈱㕢㈱㍡戲㍡户㠷慥捤㉢ㅤ晢挶敥戴㤹㕣づ㈹㌲愳㘹㜲慤㥢㌴㑤㙥〴㥢昶愸户慥㐳㔷㝤㡣攰㜵〰㘵晤昵㠴㔰㉥㌴㜸户㘶搱搳愴㝣㔵㤸㐵愱㌱搴愳㠲㡦〸㤹㐷㠰っ㈱搷㜱㝣搹戱愱㘹づ㡥㥢慦㝡ㅢ㝡㕦㜷晥㡥㤰摥愶㌷㜷昴づ晤㐵㉦搲㡡扥ㅥ散㈵晥搰㔵挷摣㠰㙡晤㡤〴㌷〲戴改ㄸ㥥扥㕦慣愷㐰㤹挵㜶〲㜳扢改㜵㔱㔶敥搲晡慡㔴ㅡ㘸搰㕣㌲扣㜳㌲㠰〷攳昸㉣㙣㘱搷昳㘴ㅤ㠷摡㥡㉡攰昹攵捡㜴愱㝦挴㜳㙤㤶敦搸挸晥慢㐲㌱攴昳㕡㕦慥捤㐶捥戰㌵ㄳ㍥愷〴攵㔰〷摦摡㕤㐸㈴㍡愵挹㡢晤戲捦㤷㍢㤲愴〷㐹㜲ㄳ戶㔵扦ㄹ〰㔲㐲晣慥慢㐴搹挷㘶㙦㔶捤搲ㄶ㉢㍤㝣ㄹ愷㤳㌶ㅦ㘲㠷ㅣㄹ〸ㅤ戶搳昰ㅦ昸㐳昶愲㘵㌷㠵挵㠰扤㈰扤㉡㝣ぢ㔶㕤㤶㐳户㉣㐵捤㡥慣㜸㤵挸㡡扥扥㡥昳㜴㠶㝦㑤搱㐹㥢㤴挸攴昶捣捡㡣戳㜸㡢愸攸㠶愴㔰挹㜰つ㌵㈵㄰㈹㡦㙤㜷㐴㑣て㈲收ㄶ㙣㥣扥㥦㘰㤲攰〰㐰攱㔹㐸㥡慤㙥㍣挳㘱晤㙢㜴㘹㔷㉡戹ㄲ搱愰㕣㠴捦㜴ㄵ㔶〷昹㥡户㄰摣づ搰㘶晥搰〱㤹㐱㠸ち攵〹㐲㔴㘱っ昳㡣㈵㉦㤰〶㜶㤹〸㉣捤㌴晣挰戵ㄹ㔹ㅡ㌲㘷摤㤳㙥㌰㙢昹慢㠸㐴㡤㥡㔱收㥥ㄵ改㠰扡㍣搸㍥㙤㘵敥敡慡慣改收愲摢㠰㘸㍢㍥扢ㅤづ收搸づ搸㤲敡㙣慥〹愴摥捥挷ㄸ㐲㘰愷㤵扦㤵摥搸㉤㜹扦㜹攸ㅢ㙥敤攸㤲ㄵ搴攵㠰ㄹ㌲ㅤ昳㈵ㄳ扢㠸挸㐱慤摦㕣㕡昱愴㥣ㅤ㌲㡦㝡㔶慤㙥㌹㤲挸㠰㡤挹㘰摤㥣㍣㠷㈸挱㠲换ㄸ愰敢っ㤹㑢㥥攱昸慢〶〳㡡敢扢㔳㑦㉡㉣㔲㌰愷㉤挷挷㙢ㄴㄶ㤹ㅦ㌶ㄷ㔷摣ぢ㠸搸㌶㙣攷愸戱敡㙦ぢ慣㤰攸挳愴㔰㈳㌴愱㘹愲愴㤵㝡挵てて攴戹ㅣ㜹㉦㑦愰㜰㤵㉢搰㘷㥥愱扤㘹搷㐷㌱ㅡ摡改㥣搳㈰愲㐷捤挲扥㑣㈹㑣㑥搵敦㘰㥦户〱摣㜵昴昴昱㔶㘴敥㈵挵慣ぢ昴昲㘷挸㜸㐵ㄶ捤㐰〸㝤㜴扢㐲㔲㘱ㄹ㈹〷ㅣ〸㡣昳愹㥤晣捡愶㙡㐳敡摢搵捡ㅥ㐱㈴㘹搰㥣㌳㤶㘵ㅤ昱㘸摢〸㜶㠵て㌴㘳㙤愳敥㐷㜵㌳慥㙤ㅢ㈴㉤㤲攵㘲搵㈰〵㑦㌵〲昷㠴攵攸㈶㠰愲扦愸挸戸㠸㈲攳愲㉡ㅡ㌴㑦㌱㌴愸昲ㅣ换㍤㘷㜸㔶戰㘲㕢搵ㄲㅦㄸ扥摢ㄶ㌴〹㈶愷攴㡤㔳㉣㌳挶摡慣昹搳㌰搹晣〹愰㝢〲㜲㤴㕢㐷昴㠳㜲㌵㔱挴㍦搱愳㘳〹〲㐶㜹㑡昵㜷㘰戴㠲扡ㅤ〱㤱愳搲愵昸づ挶愵㠷㔱ㄲち㈱㘲㍤㠳㐴攰ㄵ㑣〸㜹扡戸㡢收㘹挷ち㠰㍤㘲散㠸ㄵ捣晡㐰㌹〰戲敡㜸㝢戵挲㙡愲搳㜸㔳㉢㕣搷㔹㤵㔲ㄳ搷㜶搶㈷昵挶ㅢ㌶愸づ㌵㑡㐲㤱㙣搶㐸㘹㤶つ收戸㥤㔴㡤㔰㡡㍢搶㌶㈲换㙤摡摡㜷㑡㤱㤷愰㤸ㄴ捤攴昴㜷㉡㐲㐱愰㌷搲㔱昴搹㘷㤳㐷㈲㘲㐳ㅢ愰㑣㍤ㄵ㤶つ㐵㈱挱攳戸㜶㔲㤳攵攸〹晣扤㉢捡捥㌷㠲㔴㡤㜱㜱㌴慡㤹慡搷攷ㅤ㔸〹㔵挳慢㙤ㄳ㤶挶摡㐲つ愳戸戳㔷敤ㅦ㙥㙦㠲ㄱ㈳㌶㘴㔸㈴挳てっ㌶〴㜳㈵㈲慡戴捥㠶戸搵捤攲ㄲ㥦㑥㐸挳㔱ㄸ㔸っ㙡戳㜲㑤㤹㘱㉤㑢㝥㔴㜵㘸㥥ㄶ㤵ㅣ搵捤愹㘵ㅦ㉡㍤愰ㅣ㡦㜲㡡挱㜵昳ㄴ摤㔲戸挴〰戱ㅢ攵ㄶ慡〱㐲扢捤〱㜸㌲搸㍥搸挱㡥㠴愱ㄳ㕡㘷㤴愰挵っ挲㑤㉦㠲扣搳㈳㐶㈱㐸㑤㤵晥㝥㔸㝣晥㐹愶㙦ㅣ捥挵㤹㠸㠹ㄸ敥捡戰ㅥ㠰摣㘴㘴㤲㕣㌴ㅡ〷捣㐳挹愶㠴搶㘰㕣㐶ㄳ㘳㠸㈶㥦ㄷ攰ㄶて㘳㔹挳㘴㥢㍡敥戹〵ㄶ戴㘹㝤㝤㤷㜹摣愹搶ㅢ㌵愹㔴㜱㉣慢㤵㐶摥ㄶ昸㔲㔷〰㐳㙥捡搸㤷㘸㔳㡥攳㈸挵㈵ㄳ㐹扤摢摤晡㘱㜴㔷㐲づ㘳㠴慡㡦〱挸っ户㥣ち㠸㜵摣㔳愰㝤戸扢㜵㠱㐱㕤㥥㠳㐸敢㈸愲㉣㥢挳㝤扣㘶ㄴ㔹㜱㕢愲搹㥣㍢攷搲㘶㑦ㄴㅤ戳挲愲㙤㠱㈳慣㌳ㄴ㜸挵㈲㡣㤱ㅥ戹㠳㠳攴㉥㐵搱摤㑢て慢挷摣㈵愰㐲㘱㐰㌰挶换㔳㔰づ扢ち㐶愲挱慤戵慣㙥挱攸㉦㉤㙦㝤ち㐰㌰っ㑣㠳ㄶ㉤㐳〳㘷〶昹捤つ㥣敢搰㉡㈳㐲㥡っ愶㌲㐶㌹ち㠷㍤㤰〶㙥攲㐱㝡挹㠵ㄲち昶愸㡢㘱昱摤挴㜱ㅢ㐷㈰搷扢愲慤㜰挱〸㜰晤挵搹摢㔶㍣㔵慢搱摣㠵㝦㙥㕢㘰ㄵ㔷㌷㐲㜳㜴㑦摢愵㉣戵㈶摡㜷搷户㔵㐴㤷〵て捣㑥ㅣ㌳㠲敡捡㘲戰ㅥ㕥摣敡㤵㈴ち㍦㠶㍦㘲挳户搳㘶捥㍢扣㠸扡挶扤㉦㥦㜷摣ぢ㡥㥡㔷挱攷慤㍦㔰〸慥㔰昶㜳㤲攵摣扦昱㑦㈵㉤㔷昸ㄱ㐶摣捡戴㌹㐰换㐱挲㜱㔴ち愵挱ㄸ昲ㄹ㜴〲摢扤㜹㙢㠰㜴戲愷㡤㑥㤴㈰搸㈱ㄴ攷摣换㐶㈸攲㠷㐰㉢㠹㈵㍣㤲㘳捦扦づ搶ㄷ㍦㐰〹ㄱ㡥攷㐸㡣ㄴ㕥㠷㕣〶敡㤴㈰㡦慥㜸昰㐲挸晦て㤶㘲㙥摥㤰㥤晥ぢ捣㉣扥摦㡥愲㙢㠹愲敦㜵愰㐸昰ㅡ㠸攲摦扢㤰㠹㔳㠱攱搹ㄷㄵ〸攷㥡㜶づ愰慦昸㠵摦晦攱〱㜴㉥㈲づ㘵愳㈱搴㜶〳㥥㥢㈶㐲㕦㠷㠹挰攰扤㌲ㄱ㑥㈰㈳ㄸ挵て㑤㠴挸〷㌲㡦㠲捤㑤〴挶昶㌲っ挱㐴愸㌵攱搶攰〹散ち㥢晥戱㘳戸㜸㉢㝤挴昳愱戴晣ㄹ㜸愴慥散㉣㕥㌰㍣挳摥慢捡㡦㝡ㄲ捡捣㕢挲㑤㙥搵㠵㍤慥摥戰㐶㜵摡挰㔷ㄱ㝢搹㜷晣㈹㕢扢扦づ㑣㠵㈹㜴摦㡢㤲㈸扥〴㑦㠹攰戹㈱昷晥㍤摦㍣晡挷〷ㅦ㍤捣摢㙡ㄱ慤ㄶ㙥㐶扥㤷㤰㍤敤〹〴㜵ㄳㄷ㐵㉥攷㠷㌹㈷昰㠹㤲戵㕡㤷搳㠶愷慣㈰㕦户攳㙣㐸㜸〹挲っ㠹㙦㍢㤸㤸戸昷㄰㥡㤸ㄳ㙤敥㑥昵㘱㤳㜲ㄱ㑥㈴㈶慥㝣㝡㜱搸㔰㜴㔵㘴㍤㕡㥢㠵㙦㐳ㄵ扤挸㠹愴慤㐴㥥㍡㤹㠴昸㔶扢慥㍢㐸㕤ㄷㅥ㘴ㄸ昶㡦愵ㄴ攲て愴㤰攴㐱㠶ㄷ〲㤴㤴㍡㠵㑣攱ㄶ㠰㡣挸㕡㝢㠸㤷晥㠰ㅤ㈱㈰㥢㤷晥㝡晣㠸〵扢〸㉣挶扥昸㕥㑦戴戴㐵㘳搵挴㔰慤戲㘹ㄶ㤱㔱㠷ㄷㄶ㑣挶愵㈹㑢攷〰㑡户散㡥攲㑢㠶散㌰昰ㄶ㌲㜶挱愶慦慤㙣摦改㌴㜰昳〳㝡愶愸ㄴ㠶戳㥢挵㌸㤰慡ㄸ㕤搸戴ㅣㄶㄱづ㠷搹㘶愷㠱愸ち㍡换搹㡢㔳㈹㠲㝦晣㔲㠸昵攳慤愱㉦㙦慦愱㡥㜳晡戱㐰晥㘰㝦㕤㥢挱搸㜸㉢㌹〶ㄲ㜶㑢慤㑡攱昵昰搳攸挲㐵攷㠴摥捡慡㘷㜱㄰㝦㘲捥敡搳㍡昴㍦愳搷㡡戳捥戰㌷挳搸㈹晤晦ㅥㄴ㙣慡晦〵㘳㙦ち㤱昷㐶ㄹ㍥ㄴㄸ㍦搹㌴㘴挳ㅤ㠱㘷ㅢ挱ㅢ㜵㌰搶㔵㤶㈱敦㌰户㠸㡦㔷挳㙡㈵挱攱昷捡户㕦㡤㘸昶愵㙤㍢搰㔵〰㌲㌶㔴昸㍡㐴㔰搷晥㘹戹ㄵ㥦㙥㡢昷愱攳㥥ㄳ㔶搵㜳㝤搷っ挶ㄶㄱ昴ㅤ攳户㘷㈶㙣㥥㈹昱戵㜶愱㜶㍤㜶㘲昰㝤攸㜳㜲ㅥ〲晢愴っ㕥慥㔸㈴㈳ぢ㕢㡢㘴昰㍢愴㤱㐴㜸㠹摡挱扦捣扣扢㘱搴昱改敡㍣㝣㥤〱㡢戶㠵戲ぢ㍤捥敤㌷㌴戸㜵戸愳昵㙥昸㠳㘴㝤〲挱㌱戵㠴晢摥挷㝤㙤摦㠳㜴摢㘸㙤㍥㕢昶收㜳㉢ㄷ㥥〶㑥户昶㤶㌴挹昰㥤晣㈲戹慣㔷〸㜱㘹晦㌰晥㙥摤㐱换搱㐶㐱攷搱〷摤㜴㠴㡤搷攱㍥摢㐲昴晢㉣扡㡡㈹〲晣㜴㈳捡昰㐱搰换㐷㔶ㄴ㕦挲戲挸〰挸攷㡡㔵㠰敥㔴晤搴㐶㔴㍤ㄲぢ㘴挱㌳〶挹戱㉣扥㠰㠶摣慥㜰搹㘰〹㉥㕢愸戳〴昲㝡摣〳昹㥣攰㔹㐲㑤攴㜳攸搰㥣㠸㠵搲敥ㄳ昹散㐶ㄳㄱ戴〲搴㐲㤳攳㡦挴㕡㐴慦愳㕡户〹ㅣ〲ㄷ㘰㤸㘲㤱戲愶ㄸ㠶ㄶ㝥㐰捣㈰晤㍡晡晢摣攱㘷㥦㘱晡敢㘱愱〴㈱慡搲㤳愷㈰㔴㤳晦㐴㜲昲ㅥ㑡扢㑦晥㠹㡤㈶㍦㐲ㄹ挹㤹攸〱挰㔰㥦愸攰㡦㕡㑣〳ㄹ敥㈳㝦攲㉣〱㝥愹㔹㡣ㄸ㈸㔱㝤㉦㈰㠳扥摣㜰搵敡㈲㌲㜱摦〲搷㥦昱㜱㡦戲㡦㜸ㄱ㤲扥㥣㘲攸㡣㉤㠶㕡戱㘴㐷㕥搸㙤㈱ㅢ戰㈴㝥㉤摢㔵愴ㄷ㝢㡣昰㡢挷㘳挴ㅣ㍢ㄶ㝦㌹愵㐵㌱㈷㄰㐶㘸㤱㤲㝥戸㤱攲㐳㜱攳敦㝣户攵㌲㐵〵ㄲ愸㈷㙣㑣㍡㔳㡤ㅦ㡢ㅢㅦ挰㔷㔹慡㑤㡥㌷〸㤸㥥㡢ㅢ㤳ㅥ㔵攳㐷攳挶㝦㌹戰户搹㌸愶挳㜰攴〲㠹㈴挳搶㔵搶㝦攲ぢ敤㘱㌴㉦㤸搴㥦〳㘶㔸㑣挹愹㐲挷㜵愵㐱〷㜱ㄹ挴挳㌷搲㜳戸摢㠴㉢㈰㄰戲攱晦㉡攱㌸敥㍣捤ㅡ㠱㠱㑦愰搷㄰㙣昶㜴昵挴捥㐵㜳摥㐳㐱扦㜹摣挷㤹慡戶慤㐸〴收㐰㍥摣摦㑤㥣昲ㄹ愶㘳㙢㍦攲㈰㤹挶㍢㈴扤㈹てㄵ㔸挹㡢て挴㤸捤㍤搲愲ㄹ晤㘱㈰〷搲ㄱ㤰ㄹ晤ㄱ挰㌰㄰挳摢捡戹ㄱ昲扦㘲敥て戰攲㠳〴㡦〲㤴〵㤹㥤㜴㔰㝣っ㘰㌸晥ㅦ㔵㡣慤㈹㝦㠹㈶ㅥ㡣㕦㤶㈴㈳晤㜱㜶昸㌰㐰ㅦ摣户㈲㈲挲戲晥ㄱ㤴㈴㕦㑡挱愱㕥晡㔱㔶㝣㡣攰〹㠰㜲㠱㤳摤昲慥㜱㑤㍤㙡慥㡦愳慢㜸㠴〰㍦晤ㄳ㔱㠶て〵敥挳摢扢摢捡㍣ち挷ㅦ昶㈳搴㤹晡㠲晦㑥㝣㤱扦捥㐵昷攱㝦㐸㔲㔰㠶㝤㕥㝢㕢㙦㘳㤱〹㘸㤳慢摦㉡㌶晢㈵㡣挳㜵戵㈲㈸ㅣ㤱㑡愵愴ㄵ〵昱捤〵ぢㄷ㙦攰㕢づ愹ち㈱㐸〳慡挲㠹㉡づ愳㐰晦ㄴ㥢ㄲ挷挴㤳晥㘹㍥ㄱ戵㙡ㄳ㍦ㄳ㘵昸㈰㠸㔷搵晤晥愸㝢晣㐲攲㕡㔵㔸㙤㉦㈴晥㔵挵㑡昲㠵㑦㜲㌰㠵㉣㘴搲㕡㠹㐸㔳㌴昴〵㘴㠶晡㠶㌹户㝢昰搳㉥㡡敡搹摡搹戳晦ㅣ捥㡦㕤㥤㝦捦扢〶㥦㝣敥㤷捦㝦昲户敦㍤昴攷㝦㍤昵搴㙦㕦昸攴㌳晦晡昱昲愱㥦㍦晤昴捦敥晡昲㌳捦敦㌶扦愲㝤昷㥦㜳㕦㜹㘸昲晣㐳て㤸愷㙦㍥晡搰扤昷摦㍤戹㜰搹㜸㕦㕦㝦晦㡤愳扦戸敡㑤㈳㡦㍣昰㝤昱㤳摦㕦改〸戵㕣扣㈰㍤つ㉥㕢㑤攳㡢挸㘰ㅡ㥣昱㉢㍡つ㉥㔷㙤搴㜲戴㔱搳㈸㈸挱愷挱〹愸ち㈳㕤㌱昰ㅦ晤㐶戴㕡</t>
  </si>
  <si>
    <t>Decisioneering:7.0.0.0</t>
  </si>
  <si>
    <t>0b711478-2f20-436f-acd3-e092662c9760</t>
  </si>
  <si>
    <t>㜸〱敤㕣㕢㙣ㅣ搷㜹摥㌳㝢攱捥㤲ㄴ㘹㔱㤶㉣挷戱㤹㌸㡥ㅤ㔳㘵㐴搹慡攳愴慡挲㡢㈸挹搶㠵ㄶ㈹㌹㑥搳慣㠶扢㌳攴㔸㍢戳搴捣㉣㈵摡㑡散〲つ搰㈲ㄷ戴㑥㄰挰戱ㅤ攷づ〴㐱㔲昴挵㑤搰扣ㄴ㈸搰愲㜰㠰㍣愴て〵晡攰〶㐵晢㤰愰㔰搱ㄷ㍦〴㜰扥敦㥦㤹摤搹㕤敥㤰㕥摢㈹ㅤ㜰㈸晥㍣㜳敥攷晣搷昳晦㘷㤴㔱㤹㑣收つ㍣晣换㈷挷挴ㅤ㡢ㅢ㝥㘰㍡㤳戳昵㕡捤慣〴㜶摤昵㈷愷㍤捦搸㌸㘳晢㐱ㄶㄵち㘵ㅢ攵㝥扥散摢㑦㤹挵昲扡改昹愸㤴捦㘴㡡㐵㕤㐳㌹㍢攱敦㘸晣愲戳搵㔰づ㘰㘹㜶收晣昲㤳攸㜵㌱愸㝢收愱昱㑢㘱摢㘳㔳㔳㤳㔳㤳てㅥ㥤㍡㌲㜹昸搰昸㙣愳ㄶ㌴㍣昳㤸㙢㌶〲捦愸ㅤㅡ㕦㘸㉣搷散捡愳收挶㔲晤㡡改ㅥ㌳㤷て㍦戰㙣㍣昸㤱愹〷㡦ㅥ戵ㅥ㝥昸㈳㐳ㄸ㍡㜳㙥㜶㘶挱㌳㉤晦㙤敡㌳捦㈹㍦㌸㘷㔶㙣慥捤㌴㍤摢㕤㤹㥣㥤挱扦挴晣昱昶搰攴攲慡㘹〶ㅣ摡昴㑣户㘲晡㍡ㅡづ㍡搳扥摦㜰搶戸㜹扡㌳㡦愵㔶っ㍦挸㍢戳㘶慤愶㍢㜱慦㐵攷㍣昶慥㘶㙣っ㌹㡢愶敢摢㠱扤㙥〷ㅢ〵㘷〹ㅤ㔵㠷㥤㡢扥㜹挱㜰㔷捣㜳㠶㘳收㥤㤳つ扢㥡ぢ㥦㑣昶摥戸㡢攴挴㘴昹㤳搳扥㌳扢㙡㜸㌲㈳㥦ㅢ㤳㔲㜷摥慢戴搷扤扢㜷扦㥣扡㡣挰㍥敦改㕤て㈵㤷っ慦㔹㜳愲㜷捤㘸昱敤㌳昸㜰敦晡㠹㍤㙡㙦昳愱摥㙤㘴㉢摢㙢慢挱㠸扥㘵㐷戱ㄸ扤㐰㌰㐰㔰㈴㈰〲昵ㄲ挱㈰挱㄰㠰捡晤ㅦ戸㈴搹㤰㐵㕡搹搰捡换㕡戹愲㤵慢㕡搹搴捡㤶㔶㕥搱捡慢㕡搹搶捡㑦㙡攵㉢愸ㄳ㍦挵㠱〱㉤㝡昶㥣扣攳㜳㍦扦昱扦㈷㥥晢搵搱㐷㕥戸昲攵㕦て敤㐱愵挷愲㐹捤㜹挶㌵㤰㕡㡢㡡挱ㄱ晣搹㥡㉢挰ㄴ搶㔱敢㈱㙢㙡慡㝡昴戰昱㠰㤱攷戲㔲㤰摦㐶㈸愳愸㍢㘴㍤㙥扢搵晡㌵挱摤ㅤ㌳㠶㙦戶㌶㙥㈲㉡㥢愹㌷摣慡晦㥥捤ぢㄷ〳㈳㌰㙦敦㉣㙢㜵搲搵㙣ㄱ㙣㘵晡㌲摥㥤㥤捤㉥ㄹ戵㠶㌹㝤摤づ㡢摦摢㔱散㉣㜸昵攵摥愵昳㥥㜹戵㔹摡㌵愳㘹〸戵㜵改扢㙢㤵㘱㔱㌸慦昱搹搵扡㙦扡㌲扤〹㘷挱慥㕣㌱扤㐵㤳㈲搱慣捡㔲㙦㘵㔱挴昵ㄳ攷㕤㉣ㄴ摣㕡㝤㝦㌲搷㍡㜱㍤〰㌳㥢㔵捣㜷捤昴㠲㡤㈵㘳戹㘶敥㙦慢ㄲ㡥㠹㠲㠳㙤搹昳昵㑡挳㥦慤扢㠱㔷慦戵㤷㑣㔷搷つ㐸㥡敡搹㝡搵捣攵㌲㈲ㄴ㈰㜰戳㔹愵㌲昷昷收〵㐱㐴〲挵㘴攴摢摡挹㙥昲〲㔶㠷㔵搴㑣搲愴昶㠱㉤㍡攳㝣㐵挶愴㜰㘰㘲㑤搴ㅦㅣ昴扥㉤扡㙤㘲敥㥤慤慣㘹㘳搱敡㑦慣㥢㙥㜰捡㜰慢㌵搳㑢搵㝥㡡㌳搲㐷〰昲㌷㈱㄰㝡敥ㅥ㔵㥤扡慥㌶昲搷散㙡戰㕡㔸㌵敤㤵搵〰㜹搰㤰挵㈲户戶敢搱㙦㐱㤶扥㤷㘰っ愰㔴捡ㄴ昶戱㔲愱㠴㈷㤳愷㜴㑡攱攵㌶㐱捥㜶㙤扣㍣㘴捤摢戵挰っ㠵昲㠸〵㡣㠴㕡㑤搰㌷㑣ㄲ昵㡣㑡愸㌰昶㔹戳愰㔲挳㜶㠳㡤ㄶ摦㜶㜱㐹㐸㐴扢戲㘰挷挹〲㡡㠲㜶㜹㤰挲㙢㈰㥡づ㘹㤰㕥㌹㐱㐴㘴㠳ㄴ捤㡥㥥摢㠹㡣昵㔳㘴〴敡㈷㠹㤰戵て昷㤶ㄱ㈴昶㙥㈲㘵愳㥥晣戸㉢捤㌶戳攵㐳㘹㜶㉢㌶㑥摦㑦㜰㠰攰㌶㠲㠳〰敡扦㈰攱㈸攵㤰㙥㝦昴昷攰㕤扦㠳攰扤〰㤰㑦㍡㘵㑥㈴慡㘸㐳㙤挷㡥㘴扤㘱搸挹㘲ㄴ㠷愲㠸㤶㜱搳捥ㅣ㜶〴搱㤱搵戹㌳㜴㙤㑥㜴散〷㝢搳㘶㜲㌹愴挸㤴慡挹戵㙥㔱㌵戹ㄱ慣摡愷摥扡ぢ㑤昵㜱㠲昷〱㤴昴昷ㄳ㐲戹搰攰摤㥥㐵㑦㤳昲㕤㘱ㄶ㠵挶㔰㥦ち㍥㈲㘴ㅥ〱㔲㠴㕣搷昱㘵搷㠶愶㌹㌸㘱扤敢㙤攸㐳扤昹㍢㐲㝡㠷摥摣搵㍢昴ㄷ扤㐹㉢晡㙥戰㤷晡昷㥥㍡收ㅥㄴ敢ㅦ㈴戸ㄷ愰㐳挷昰昴晤㘶㍤〵㘲ㄶ㍢〹捣敤愵搷㐵慣摣愵㡤㌵㔳㌴搰㤰戵㘴㜸㉢㘶〰て挶改㌹搸挲㜵捦㌳㙢㌸搴㔶㈵㠳攷㤷〳敤㤹晥扣㔷㜷㤸扦㙢㈳晢敦ち挵㤰换㘹搹㑣㠷㡤㥣㘲㙢㈶㝣㑥〹捡愱づ㝥愰户㤰㐸㌴㙡㈷㉦戶㑢㍦㕦敥㑡㤲㍥㈴挹㠷戰慤晡晤〰㤰ㄲ敡㕦㝢㑡㤴㐳慣昶〷㔲慤摤㘲愵㠷㉦攵㜴搲攱㐳散㤲㈳㠳愱挳㜶〶晥〳㝦搸㔹戴㥤愶戰ㄸ㜴ㄶ㑣慦〲摦㠲㕤㌳㑢愱㕢㤶愲㘶㔷㔶扣㑢㘴㐵㌶摢㜵㥥㑥昱慦〹㥤㜴㐸㠹㔴㙥㑦㉤㑣㌹㡢户㠸㡡㙥㐸ち㤵ㄴ搷㔰㔳〲㤱昲㔸㜷㔷挴昴㈱㘲㍥㡣㡤搳てㄳ㑣ㄱㅣ〱挸晦っ㤲㘶扢ㅢ捦㜰搸挰㍡㕤摡攵㜲愶㐸㌴㠸㡢昰搵㥥挲敡㈸㠷昹㐳㠲㠷〰㍡捣ㅦ㍡㈰㔳〸㔱㔰㥥㈰㐴〹㘳㔸㤷㙣昳ㅡ㘹㘰㡦㠵挰搲㙣挳て敡づ㈳㑢挳搶㕣晤㕣㍤㤸戳晤㌵㐴愲挶慣㈸昱昸慡改㠲扡㍣搸㍥ㅤ㜹昵戵㌵戳慡㕢㡢昵〶㐴摢改戹㥤㜰㌰挷㜶挰㤶㤴戳戹愶昰昴㜷㍥㐶ㄷち㍢㉤晥㔶㝡㘳户攵晤收愱㙦愴戵愳㑢㜶㔰㌳〷慤㤰改㤸㉥㕡搸㐵㐴づ慡〳搶搲慡㘷㥡㜳挳搶㐹捦慥搶㙣搷㈴㌲㘰㘳㌲㔸㜷挶㕣㐱㤴㘰愱捥ㄸ㘰摤ㅤ戶㤶㍣挳昵搷っ〶ㄴ㌷昶戶扤㐹㔸㈴㙦捤搸慥㡦㘱〴㡢㑣㡦㔸㡢慢昵㙢㠸搸㌶ㅣ昷愴戱收敦〸慣㤰攸挳㐷㔰愳㌴愵㘹慡愸ㄵ晢挵てて攴㤹っ㜹㉦㐷㈰戸捡攴改㌳㑦搱摥戴敢愳ㄸつ敤㜴捥㘹〸搱愳㘶㘶㌶㔵ち㤳㔳昵㠷搹收愳〰㡦㥣扣㜸扡ㄵ㤹㝢㑢㌱敢㍣扤晣㈹㌲㕥挸愲ㄹ〸愱㡦㙥㑦㐸㉡捣㈳攵㠰〳㠱㜱扥㜵㤲㕦挹㤲㍡愴扥㍤慤攴㍣㈲㐹㐳搶ㄹ㘳搹慣㈱ㅥ敤ㄸ挱㥥昰㠵㘶慣㘳搴晣愸㙣戶敥㌸〶㐹㡢㘴戹㔸㌱㐸挱搳㡤愰㝥搶㜶㜵ぢ㐰攸㉦捡㌲慥㈳换戸㉥㔹㐳搶〵㠶〶㈵捤扥敡㉢㠶㘷〷慢㡥㕤㈹昲㠵攱扢ㅤ㐱㤳㘰㜲㑡摥昸㠹㘵挶㜸㠷㌵㝦ㄱ㈶㥢㍦〹㜴㑦㐲㡥㜲敢㠸㝥㔰慥愶ち昸㔱㝤㍡㤶㈰㘰挴㔳慡晦ㄱ㝡换换敤〸㠸ㅣ㜹㙥挶㜷㌰㙥㍥㠳㥣㔰〸ㄱ敢㈹㈴〲慦㘰㐲挸搳挵㕤戰㉥扡㜶〰散ㄱ㘳昳㜶㌰攷〳攵〰㐸捡昱昶㜶挱㙡愲搱㐴㔳㉢摣搵㕤搴愶㈶敥散㉥㑦敡㡤て㙣㔲ㅣ㙡㤴㠴㈲搹慡㤲㘸㤶㑤收戸㤳㔴㡤ㄲ挵ㅤ㙢ㅢ㤵收㌶㙤敤㍢愵挸㕢㔰㑣㐲㌳ㄹ晤㡦㠵㔰㄰攸㡤㜴ㄴ㝤昶改攴㤱㠸搸搰〶㈸㔱㑦㠵㜹挳㔱㐸昰㌴慥㥤㔴捤㔲昴〶晥摥ㄳ㈵捦㌷㠲戶ㄲ攳晡㔸㔴㌲㕤慢㥤㜷㘱㈵㔴っ慦扡㐳㔸ㅡ㙢ぢ㌵㡣㜰㘷扦摡㍦摣摥〴㈳㐶㙣挸戰㐸㡡ㅦㄸ㙣〸收㑡㐴㔴㘹㥤つ㜳慢㥢搹㐵扥㥤㌵つ㔷㌰戰ㄸ㔴攷捣㜵㌱挳㕡㤶晣㤸㌴㘸㥥ㄶ㐵㡥敡搶昴戲て㤵ㅥ㔰㡥㐷㈹㘱㜰摤扡㐰户ㄴ㉥㌱㐰散㐶愹㠵㑡㠰搰㙥戳〳㥥っ㜶づ㜶戰㈳㘱攸㠴搶ㄹ㈵㘸㈱㠵㜰摢ㄷ㐱摥改ㄳ愳㄰愴㤶㍣晦㜳㕣㝤敤㜹㍥摦㍦㥥㠹ㄳㄱㄳ㌱摣㤵㘲㍤〰戹挹挸㈴戹㘸㉣づ㤸㠷㤲㑤㠴搶㔰㥣㐷ㄳ㘳㤸㈶㥦ㄷ攰ㄶて㘳㔹㈳㘴㥢ㅡ敥戹〵㌶戴㘹㙤㘳㡦㜵摡慤搴ㅡ㔵㔳㔴㜱㉣慢㐵㈳敦〸㝣挹ㄵ挰㤰㥢㔲昶㈵摡㤴搳㌸㑡㜱挹㐴㔲晦㜶户㝥ㅣ捤㐵挸愱㡦㔰昵㌱〰㤹攲㤶㤳㠰㔸搷㍤〵摡㠷㝢㕢ㄷㄸ攴昲ㅣ㐴㕡㔷ㄶ㘵搹ㄹ摣挷㙢㐶㤱㠵摢ㄲ搵捥搴捦搴㘹戳㈷戲㑥搹㘱搶㡥挰ㄱ搶ㄹち扣㐲〱挶㐸㥦摣挱㑥㌲㌷愳攸敥捤㘷攴㌵㜳ㄳ愸㄰っ㈸挶㜸㜹ち捡㘰㔷挱㐸㌴戸戵㤶搵慤ㄸ晤愵攵慤㑦〳㈸㠶㠱㘹搰愲㘶㘸攰捣㈲扤戵㠱㜳ㄷ㙡愵㐴㐸㤳挱㔴挶㈸挷攰戰〷搲挰㑤㍣㐸㉦搵愱㠴㠲㝤㜲㌱㉣扥㥢㌸攱攰〸㔴昷昶㜷㘴㉥ㄸ〱慥扦戸〷㍢戲愷慢㔵㥡扢昰捦敤〸慣攲敡㐶㘸㡥敥敢戸㤴㈵㙢愲㝤㜷㜷㐷㐱㜴㔹昰挸摣攴㈹㈳愸慣㉥〶ㅢ攱挵慤㍥㐹㐲攵㝦ち㝦挴愶愳搳㘶捥戹扣㠸扡捥扤㉦㕤㜱敢搷㕣㤹㔷摥攷慤㍦㔰〸慥㔰づ㜰㤲愵捣ㅢ昸㤱㐷换攴晦ㅥ㍤㙥㘷摡散愰攵㈰㘱㍦昲㤴昴㜹晣㘵㤰㝡ㅣ㝦㔳㘸〵昶㝢昳收〰㘹㘵㕦〷慤㠸㌰搸㈵ㄶ㜷攵敤㈲㤶㡣晡〹㔰㑢㠲〹㡦攵搸昳敦㠱晤搵㡦㤱㐳愴攳㍤ㄲ㈵昹昷㈱㤵㠲㍡ㄱ收搱㌵て㕥ち昹晤挱㔲捣搱㥢戲搴敦㠲愱晦慥ㄳ㐵㜷ㄲ㐵慦㜴愱㐸昱㉡㠸昰昰愳㐸挴㑦㥥㈱摡㌷ㄵっ攷㥡㜶て愱敦昸愵摦晦挷㐳攸搹㠸㌸挴㑥㐳戸敤ㅥ扣㌷捤㠴㙣㤷㤹挰〰扥㤸〹攷㤰㔰㡣攴㠷㘶㐲攴〷㔹㐰挶搶㘶〲攳㝢㈹挶㘰㈲摣㥡㜰㙤昰ㄴ戶摦愱㡦散ㄴ㉥摦㥡㍥㘲晡㔰㕣晥㉣扣㔲〷扡戳ㄷっ捦㜰づ㑡晥㐹捦㠴㐲昳㤶㜰㥢㕢㥡戰挵敤㥢㤶㐸愳㑤晣ㄵ戱愷㝤搷愷戲扤㍢散挰㔴昸㠴㉥㝣㔵㔴㠵户攰㉤㔱㍣㍢㘴㥥摥昷愳㤳晦昱搴㥦ㅦ攷㡤戵㠸㔶昳昷㈳摤㑦搸㥥昶〴〲扢㠹换㈲户昲攳㥣戳昸㑣挹㕥慢㤹㌳㠶㈷㤶㤰慦㍢㜱㌲㈴扣〴㘱㠶挴户ㄳ捣㑣摣㝤〸捤捣挹づ㤷愷㝣摣㈴㙥挲挹挴挴挵慦ㄷ㠷づ㔵㑦㐵搶愷挵㤹晦ㅢ愸愲㌷㌹㤱㜶㑢㤱㈷㑦㍥㑡晤愸㔳搷ㅤ愵慥ぢて㌳っ晤挷㔲ち㌱〸㔲㐸昲㌰挳㑢〱㈲愵ㄶ㤱挸㌳搶㤷ㄲ㕤敢っ昳搲㈷戰㉢〴捣收挵扦㍥㍦㘴挱㉥〲㡢戱㍦扥摦㔳㉤㙤搱㔸㌵㌱㕣㉢㌶捤ㄲㄲ㜲㠰㘱挶㔴㥣摢㘶改昰㘴扢㙤㤷ㄴ〷ㄹ㜶挲攰㕢挸搸㜹㠷晥戶㤲㜳挲㙤攰昶〷昴㑣㐱ㄴ㠶扢㤷搹㌸㤴㑡㥣㉥慣㕡ち戳〸㐷挲㘴戳搱㘰㔴〴㥤攵ㅥ挴挹ㄴ〱㐰㝥㉤挴昲㠹㔶搷户㜶㤶㔰挷戹〳㔸㈰㝦㘱㝦摤㤹挲搸ㄸ㤵ㅣ〳〹扢慤㕡挵昰㡡昸㈵㌴ㄱ㉢㕦改慤㈴挷㔲㡡㜱敡㤸戳戲㕡㤷晥㘷〴㕢㌸敢㜱搶㘶㈸扢㑤晦㍦㠱㡣㉤昵扦㝡㤸㙤昱慢㝦㌲㑡昰㈵捦ㄸ捡㤶㘱ㅢ敥〸扣摢〸攰挸攱㔸㤷㈴挳摥㘱㙡ㄱㅦ戰㠶挵㈲挱攱晢捡㜵㕥㡦㘸戶愵㙤㍢搸㔳〰㌲㍥㤴晦㉥㐴㔰捦昶敤㜲㡢扤昱㈹㝣ち㘰摦㔹扢攲搵晤扡ㄵ㡣㉦㈲昰㍢捥敦捦㉣搸㍣搳敡摢㥤㐲敤㙥散挴搰愷搱收摣㜹〸散㜳㘶昰㜶挵㈳ㄹ㕤搸㕥㌴㠳摦㈲㡤㈶㐲㑣搴づ晥㉤搶㘳つ愳㠶捦㔷捦挳摦ㄹ㌰㙢㐷㈸扢搰敢摣㜹㑢㠳㕢㠷㝢㕡㡦挲㈷㘴搶㈶ㄱ㈰㤳㈵晣挹㥦㜲㕦㍢昷愰扤㙥戴㌶㥦㌵晢昳扢㤵昲摦〴㑥户㌷㑡㍢挹㜰㑣㝥㤵㕣搲㉦ㄳ挲㈷〲㘷㕤㥡昳扡挳㐹换摥挶㐰攷搱㐷摤㜴㠶㑤搴攰㐲摢㐶〴摣㐰㔳㌵㑤㠰㕦㝤㌹㑡昰㐵搱搳㐷㔶㔴㉦㘱㔹㘴〰愴㌳㠵㉡㐰㙦慡㝥㘱㌳慡㔶昴昴㐸晦㈰晤っ㠹㑣〸㉤ㄶ搳㡡㈷てㄲ㘹㐹㍤㡦收摣挴㜰㌳㔶㤹㠷㤳㠸㥣㌰㤰搶攳ㄶ㐸㘷ㄴ㑦ㄸ㌲扤慦愲㐱㜳㝡㔷㤰摢㝢㝡㕦搹㜴㝡戴つ㘴㝡挹晥㐷㘳摤愲扢㈸搶敢〴㙢〴㔷〱㐶㈸㉣㈹㠱ち㘱搰攱㈷挴ㄷ㥥㥦㐷㝦㕦㍢晥戳㔷昹晣晡戸ㄲ昱㠸愲昶挹㔳㍣捡攴扦㤸㥣㝣㠰摣摥㤳晦晣㘶㤳ㅦ愵攴攴㑣昴㜵㠰攱慣扡㡣㍦戲㤸㙢㐸㜰ㅦ昹慢㡣㌸户㙤㠹㐴户戴摤㐰㘲㌸㍢㑡昴搰㑦愳㍦㐵昰㌴挱つ㠲捦㄰㝣㤶攰ㄹ㠲㘷〱㑡㡡搸㤱㠱晥っ㠹㜸愰㍣㌷㉢攵ㅢ㈱㌱戱㜸㥦㤲挳ㄴ㐲㥦㙥㈱㔴慣㐵㈷㜲收敥〸昱㠲㈵昱愳摢㥥㕡愱搰攷㐵〱昵搹ㄸ㡢愷㑥挵ㅦ㘰㘹㔱攸ち㔴ㄴㅡ戵㈴㌶㙥愴晡㑣㕣昹㙦㕦㘹㜹㕥㔱㠰〷愴ㄶ㔶㈶㔱㑡攵ㅢ㜱攵㈳昸戸㑢敡㘴戴昰㑦收戵戸㌲㠹㔷㉡㍦ㅤ㔷晥搵㤱㠳捤捡㌱搱㠶㍤攷㐹㔱㈹收戲ㅣ㈰ㄲㅦ㝡昳㕣㥥户愸㠲〷慤㌰㥢挲㔷㈲搰㌵㔱挲㐳戸㔳攲攱㔳敢㌳戸㈲㠵㥢㈴㤰搳攱晦戸㜰ㅡ㔷愷收㡣挰挰㤷搴敢㠸㔹㝢扡扣戱㜱挱㍡敦㈱㘳挰㍡敤攳㔸㔶摤㔱㈴〲㡢㈲ㄷ敥敦ㄶ扥晤ㄴ敢戳戵ㅦ㜱慣㑤攳㔵㤴晥昴㡦挴㘷㜲㙡㈳挶㙣收搹ㄶ捤攸㝦〱攴㐰㤴〲㌲愱晦㈵㘰ㄸ捦攱愵攷捣㈸㠵㠵㐸㠲捦戳攰ぢ〴㕦〴㈸㈹㑡〶搲㐱攱㑢〰㈳昱晦㜷㌱扥㉥㉥ㄷ㑤㕤㡤〷㑢㤲㤱晥㔷㙣昰搷〰㔹㜸㠰㔵㐴㠴㈵晤㌹攴㈴〶捤㔳捡㝣慣户㐹换ㄳ㙢晣つ㍥ㄴ㕥摢挷昶㈷昰昱晣〶㍢捥攲晦づ挹㡢晤㥤搳㍥摡㕦㕦㈴㌴㥡捥昲㕢挳㠲摥㐲㍦摣攰㔶戰㠳㍤㡡㉡㔳㤴愵㕣慥扡㠲晥㌹〶㉤敢㤲愲㜴㤵散㈷愳散晤㤲㑤㜹㉢搹㜶㤴㝤㐰戲㈹㠱㈵㝢㌵捡扥㑦戲㈹㤳㈵㝢㈵捡愶㔷慤愴㥥㡤戳慤㈸㥢㍡愷㔸〰挰昳晡ㅢ愳ㄴ摢㠲昲ㄷ㤰搰㕦㈴㜸〹愰㤴㈷愹㙣㥢㘶戹攰㍥㑤㡦慦愳愹㈲㈱戲て晤攵㈸挱ㄷ㐵㉡㤴㈵㕤㡥收㑥㕤㔹搴ち㡡㤴㈹〵攵愸攰㤸ㄴ㈸㐵㙡㤵㠲㑦㐷〵挷㤱愱㝦ㅢ㐰㤱ㅡ戹㈶晤㍢㝣㈳ㄱ捡㠰摦㡤ㄲ㌲㈰昷㐰㥡㝦戲㘳㐰敥㡢ㄴ㍣搱㌱㈰昷㑡ち㍥㤱ㅣ昰晢散㔴ㄶ㠶㐴㥢捡ㅦ攵〲㘵扦㝦㠰挴㜰㜶㠴㜳愳㜱愰㕤㔷㤵换搵换㤷㕦ㅦ挹㡤摦㥥晢挴挷㠷㥥㝦敤㕦㝥昹摣㉦㍥㜵散扦㝦昳攲㡢扦昸捦攷㕥晤捤㑦㤷㡦晤搳户扥昵㡦㡦扣晣敡㉦昷㕡摦搰㕥㜹晤捣㌷㙥㑣㕤戹㜱搵扡㜸晦挹ㅢ㑦㍣昹搸搴挲㉤ㄳ搹散挰挰扤㘳晦㝣摢㝤愳捦㕥晤戱晡㠷㝦㍢攰㉡㔹㉥〶㘸㥦〶㤷㉤搳昸㈱ㄲ㤸〶㘷晣㡥㑥㠳换㤵㡤扡㄰㙤搴っ㌲㡡㜰攰㜰〲㔲昰㔸㝢挱攰㙦〱ㅣ捦昳㐹</t>
  </si>
  <si>
    <t>Risk-free rate</t>
  </si>
  <si>
    <t>Decisioneering:11.1.1000.0</t>
  </si>
  <si>
    <t>CB_Block_11.1.1000.0:1</t>
  </si>
  <si>
    <t>㜸〱戵㔶㑢㙦摢㐶㄰㈶㈹㔱ㄲ㈵搹㘱㙣戴㐰㠱ㅥ㡣㈲愷挴㈱愲挶㐶㥤㠳㤱㔲㤴ㅤㄹ㌵㙤㔵㔴㤲㑢㡢挵㑡ㅣ㕢㑣昸㌰昸㔰愳晥㠰愲攸㍦㘸晦㐴㉦扤攴㍦昵摡愲户㜶㠶ㄲ㈵㔲㔶〴ㄸ㐸挷昲扥收㥢㈷㜷㜶㔷㄰〵㐱昸ㄷ㠹㝡愲㌲つ㍥户愶㔱っ㥥㘶〴慥ぢ愳搸〹晣㐸搳挳㤰㑦捦㥤㈸㉥㈱愰挲ㅣ攴㐷㌲㡢㥣ㅦ愱挶㈶㄰㐶〸㤲〵愱㔶㔳㈴攴㤳ㄲ晡㔷戳㠹㐲㔲捤㌲㌶〳愳㝤㌹㝣㠳㕡慤㌸〸㘱㝦敦搵㑣昶戸搵搲㕡摡挱㘱敢㑢敤挹晥㥥㤱戸㜱ㄲ挲戱て㐹ㅣ㜲㜷㝦慦㤷っ㕤㘷昴つ㑣〷挱㕢昰㡦㘱昸攴改㤰ㅦㅣ戵づづて慦㥥㍤㍢㙡愲㘹攱挲㘸昷㐲戸㡡㍥㤲㑥㤹㕣㍥散挰挸愱搸〰㐲挷扦搶㡣㌶晥㜲晥㙢㘸搱㜶㐶ㄸ㡡㜶㘹搱搸ㅡ〳挴つ㤴㙣戰㜴㤸㝡戴捤㑥摥㡤挰㌵挰㜵晢攸攰づ挳挴㈶㥥㝦ㄹ㍡攰挷㥣昲慢戰㌱㡦㍡㍣㠶愸㐱愳㉥㜰ㅢ昳戲换搲㈴搹㌳戸㠵㉥㐰愴捥搷晡挱て戳㠵㈲攸㘴㠲㉡昳愰搹挲㤶昷㌲㠲㍥昷慦攱㠲㝢㈰㝢㉦ㄲ挷㉥搳攷㤰㤰㠴搲攳㜵㘱愶慥㉦〳㕣㠶㐳挹㙥慤㤳挸㈷挶㘸㝦愵ㄵ愲㈶㙢㈲㔲㘳扥戹㔲ㄷ㜰㑤愹㔰㔳㈵慥㈰搴㤱㠴昲㍦戸㈱昳㌰捡愷挴戸挴㠶ㄲㅢ㐹捣㤶ㄸ㐸散㑡㘲搷ㄲㅢ㑢捣㤱搸ㅢ㠹扤㐵㑣㐶戵㙡㤵攲㈲㝡晣挷捦摦㍤㝤昸晤昹㉦㥤慦ㅦ㠸敦㝦晡扤愹㈰愸㘷戴扢攰摥㘰㠶㍦搶㕥愱ㄸ敥㤶㐴つ㈵㜶㔸ㅦ慥㐳㠸㘸㠳㤹㄰㡦〳ㅢ㍦㝦て㍦㜳㘰て愶㌷搰㘴ㄶ昰㈸昰戹敢挴搳㙤㌶㐳㔸愶慥㈷㜱㜰㝦㌹㥤〹㐴ㄹ愰㔳〴攰㜴〵㘰㥤㔸愴攱㕥愶〱愷敥捤㤸㉦攴㡢散捥㙤㜶ㅢ㘲慥捥愵㍢㠳ぢ㡢攵ㅤ㥡㉤㤰挲〲㠴㘴㌲㡢㈹愴㌷㜶戶㌲て搲㠸㌲晢㤶㕥㜰挷搲㕦㜰捦㕢㜸搷㝤㥤㠲㌳㔵㌴捤㍢㡦昳扣㈵㥣愶搲ぢ㑢㈶戹扡戰㘴ㄶ㘴㉤㜳挵㔲ち㕥㕡㉡愲扢慦捤愲愵㤹㜴〶敦っ昴㌴㉤换㈴攰㥣㍣捤〳㡡㠹搴㔹挱㍥㘹挰㈴㉤昱收㡡㐲㥣ㄷㄵ㥡慣愸搰㕣㔵㘸捥ㄴ㔲づ㍣㍣㜶㐶㝡晦捣搴㍦愱㍡㠷㄰晣ㄱ㐴㡦㉥㝤㘳㑣愷㠴晤㐵㝥昵敡攴㕤っ扥つ㜶㉦っ戰㙡攲改㠰て㕤昸戴〰搱昱㥥㤸〰㌲㍥㉢㉣㥦〶愳㈴㌲〲㍦づ〳户挸搱敤〹㐷㥢戶ㄹ搸㈰愴㘷㔱㔶扥ㅢ晡㔲㐹ㄴ〵昱攱扡挳㘷㕥搱摡戲㝥㑥晣挴愳㜲㝦戴〹㥥㉢㌱慡㌹挲㡢㌵晣慢㠸ㄵ晡摤敥㘶换ㄵ㜱㜷㝥㡥愵〷㙣㤷晢戶ぢ攱挶㡢㔳愴㜳㔳㤰晦挶挳敤づ〱搰㌵㕡㥤㜰㌷〱挶㠴ㅡ戹㐷㈴晦㠵㕡敥ㄲ搷㝡㌵㤸㑣っ㌷扤愴㝦晢㤵攸晤㜳㌱ㅢ㘴晤慤㠵て㌲晥て㘴㘶㉣敢㍦㘸㘳〱愸㉢㑤っち慦ㄱ㤹敥㤴扢摦㔳㤴つ㈵扤㈰昱戹ㄱ挹摥㘹㄰㐶愵搲扡㉦摢攵搱㌸愶㑡搸挸愴㝢㑦搹愲㘶ㅢㅢ㤱㥣愳慣㉢昷戰挹愸㑣晣㡤㕡㈸㤶晡㜹挰敤㔳㑥慦㡤敡晣搹㔴㌳〲敦㠶㠷㄰慡攴㡣㠱愵㠴㈵㍡㜱昰昱㔰愳〵ぢ㥦㘷㘵ち愳昲㡡㜶㔰㈴〸愵㤲㈰换㡤摡㍡㕢㘷㤹慥〷㙢㥥㝦㘷户昴晦昹敤搱㜳昲扦㕥愷㠷㤲愲㔲㜳ㅦㅢ㤱挲愴㜸㔶〰㍢〴搸挵㐶捤㈲㔷㐹㠶㐸㈵㌹㈲㤵㐰㐴㉡〱㠹ㅡ晦〱て㘸㕡㑣</t>
  </si>
  <si>
    <t>You are modeling a stock price using a 10 period model. In each period, the stock price can either go up or go down. If the stock price goes up, it increases by 110%. If the stock price goes down, it decreases by 90%. The probability the stock price goes up is 49%. Price an option on the stock that has the following payoff: C10 = max($90-S10,0), where C10 is the payoff of the option at time 10 and S10 is the stock price at time 10. The stock price is currently $100 and the 10 period risk-free rate is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</si>
</sst>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0.0%"/>
  </numFmts>
  <fonts count="3" x14ac:knownFonts="1">
    <font>
      <sz val="12"/>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2" fontId="0" fillId="0" borderId="0" xfId="0" applyNumberFormat="1"/>
    <xf numFmtId="164" fontId="0" fillId="0" borderId="0" xfId="0" applyNumberFormat="1"/>
    <xf numFmtId="165" fontId="0" fillId="0" borderId="0" xfId="1" applyNumberFormat="1" applyFont="1"/>
    <xf numFmtId="164" fontId="0" fillId="0" borderId="0" xfId="0" applyNumberFormat="1" applyAlignment="1">
      <alignment horizontal="center"/>
    </xf>
    <xf numFmtId="0" fontId="2" fillId="0" borderId="0" xfId="0" applyFont="1"/>
    <xf numFmtId="0" fontId="0" fillId="0" borderId="0" xfId="0" quotePrefix="1"/>
    <xf numFmtId="10" fontId="0" fillId="0" borderId="0" xfId="1" applyNumberFormat="1" applyFont="1"/>
    <xf numFmtId="0" fontId="0" fillId="0" borderId="0" xfId="0" applyAlignment="1">
      <alignment vertical="top"/>
    </xf>
    <xf numFmtId="0" fontId="0" fillId="0" borderId="0" xfId="0"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87073-3AEC-4183-8C89-A747045A0FD1}">
  <sheetPr codeName="Sheet2"/>
  <dimension ref="A1:C34"/>
  <sheetViews>
    <sheetView workbookViewId="0"/>
  </sheetViews>
  <sheetFormatPr defaultRowHeight="15.75" x14ac:dyDescent="0.5"/>
  <cols>
    <col min="1" max="3" width="36.5625" customWidth="1"/>
  </cols>
  <sheetData>
    <row r="1" spans="1:3" x14ac:dyDescent="0.5">
      <c r="A1" s="5" t="s">
        <v>11</v>
      </c>
    </row>
    <row r="3" spans="1:3" x14ac:dyDescent="0.5">
      <c r="A3" t="s">
        <v>12</v>
      </c>
      <c r="B3" t="s">
        <v>13</v>
      </c>
      <c r="C3">
        <v>0</v>
      </c>
    </row>
    <row r="4" spans="1:3" x14ac:dyDescent="0.5">
      <c r="A4" t="s">
        <v>14</v>
      </c>
    </row>
    <row r="5" spans="1:3" x14ac:dyDescent="0.5">
      <c r="A5" t="s">
        <v>15</v>
      </c>
    </row>
    <row r="7" spans="1:3" x14ac:dyDescent="0.5">
      <c r="A7" s="5" t="s">
        <v>16</v>
      </c>
      <c r="B7" t="s">
        <v>17</v>
      </c>
    </row>
    <row r="8" spans="1:3" x14ac:dyDescent="0.5">
      <c r="B8">
        <v>2</v>
      </c>
    </row>
    <row r="10" spans="1:3" x14ac:dyDescent="0.5">
      <c r="A10" t="s">
        <v>18</v>
      </c>
    </row>
    <row r="11" spans="1:3" x14ac:dyDescent="0.5">
      <c r="A11" t="e">
        <f>CB_DATA_!#REF!</f>
        <v>#REF!</v>
      </c>
      <c r="B11" t="e">
        <f>'Monte Carlo Option Pricing'!#REF!</f>
        <v>#REF!</v>
      </c>
    </row>
    <row r="13" spans="1:3" x14ac:dyDescent="0.5">
      <c r="A13" t="s">
        <v>19</v>
      </c>
    </row>
    <row r="14" spans="1:3" x14ac:dyDescent="0.5">
      <c r="A14" t="s">
        <v>23</v>
      </c>
      <c r="B14" t="s">
        <v>27</v>
      </c>
    </row>
    <row r="16" spans="1:3" x14ac:dyDescent="0.5">
      <c r="A16" t="s">
        <v>20</v>
      </c>
    </row>
    <row r="19" spans="1:2" x14ac:dyDescent="0.5">
      <c r="A19" t="s">
        <v>21</v>
      </c>
    </row>
    <row r="20" spans="1:2" x14ac:dyDescent="0.5">
      <c r="A20">
        <v>28</v>
      </c>
      <c r="B20">
        <v>34</v>
      </c>
    </row>
    <row r="25" spans="1:2" x14ac:dyDescent="0.5">
      <c r="A25" s="5" t="s">
        <v>22</v>
      </c>
    </row>
    <row r="26" spans="1:2" x14ac:dyDescent="0.5">
      <c r="A26" s="6" t="s">
        <v>24</v>
      </c>
    </row>
    <row r="27" spans="1:2" x14ac:dyDescent="0.5">
      <c r="A27" t="s">
        <v>25</v>
      </c>
    </row>
    <row r="28" spans="1:2" x14ac:dyDescent="0.5">
      <c r="A28" s="6" t="s">
        <v>26</v>
      </c>
    </row>
    <row r="29" spans="1:2" x14ac:dyDescent="0.5">
      <c r="B29" s="6" t="s">
        <v>24</v>
      </c>
    </row>
    <row r="30" spans="1:2" x14ac:dyDescent="0.5">
      <c r="B30" t="s">
        <v>28</v>
      </c>
    </row>
    <row r="31" spans="1:2" x14ac:dyDescent="0.5">
      <c r="B31" s="6" t="s">
        <v>26</v>
      </c>
    </row>
    <row r="32" spans="1:2" x14ac:dyDescent="0.5">
      <c r="B32" s="6" t="s">
        <v>31</v>
      </c>
    </row>
    <row r="33" spans="2:2" x14ac:dyDescent="0.5">
      <c r="B33" t="s">
        <v>32</v>
      </c>
    </row>
    <row r="34" spans="2:2" x14ac:dyDescent="0.5">
      <c r="B34" s="6"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7D512-DE2F-4F14-97F6-BD36DBDDBDE9}">
  <sheetPr codeName="Sheet3"/>
  <dimension ref="A1:I8"/>
  <sheetViews>
    <sheetView workbookViewId="0">
      <selection activeCell="I8" sqref="I8"/>
    </sheetView>
  </sheetViews>
  <sheetFormatPr defaultRowHeight="15.75" x14ac:dyDescent="0.5"/>
  <cols>
    <col min="1" max="1" width="16.625" bestFit="1" customWidth="1"/>
    <col min="2" max="2" width="8" bestFit="1" customWidth="1"/>
    <col min="3" max="3" width="7.125" bestFit="1" customWidth="1"/>
    <col min="5" max="5" width="8.8125"/>
    <col min="6" max="6" width="9.625" bestFit="1" customWidth="1"/>
    <col min="7" max="8" width="8.8125"/>
    <col min="9" max="9" width="12.1875" style="4" bestFit="1" customWidth="1"/>
    <col min="10" max="10" width="10.6875" bestFit="1" customWidth="1"/>
  </cols>
  <sheetData>
    <row r="1" spans="1:3" x14ac:dyDescent="0.5">
      <c r="A1" t="s">
        <v>4</v>
      </c>
      <c r="B1" t="s">
        <v>0</v>
      </c>
      <c r="C1" s="1">
        <v>1.1000000000000001</v>
      </c>
    </row>
    <row r="2" spans="1:3" x14ac:dyDescent="0.5">
      <c r="A2" t="s">
        <v>5</v>
      </c>
      <c r="B2" t="s">
        <v>1</v>
      </c>
      <c r="C2" s="1">
        <v>0.9</v>
      </c>
    </row>
    <row r="4" spans="1:3" x14ac:dyDescent="0.5">
      <c r="A4" t="s">
        <v>6</v>
      </c>
      <c r="B4" t="s">
        <v>2</v>
      </c>
      <c r="C4" s="3">
        <v>0.49</v>
      </c>
    </row>
    <row r="5" spans="1:3" x14ac:dyDescent="0.5">
      <c r="A5" t="s">
        <v>7</v>
      </c>
      <c r="B5" t="s">
        <v>3</v>
      </c>
      <c r="C5" s="3">
        <f>1-C4</f>
        <v>0.51</v>
      </c>
    </row>
    <row r="7" spans="1:3" x14ac:dyDescent="0.5">
      <c r="A7" t="s">
        <v>10</v>
      </c>
      <c r="B7" t="s">
        <v>8</v>
      </c>
      <c r="C7" s="2">
        <v>100</v>
      </c>
    </row>
    <row r="8" spans="1:3" x14ac:dyDescent="0.5">
      <c r="A8" t="s">
        <v>29</v>
      </c>
      <c r="B8" t="s">
        <v>9</v>
      </c>
      <c r="C8" s="7">
        <v>0.03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D497-352E-4322-9783-52141F4E5FBB}">
  <sheetPr codeName="Sheet1"/>
  <dimension ref="A1:L16"/>
  <sheetViews>
    <sheetView tabSelected="1" workbookViewId="0">
      <selection activeCell="C10" sqref="C10"/>
    </sheetView>
  </sheetViews>
  <sheetFormatPr defaultRowHeight="15.75" x14ac:dyDescent="0.5"/>
  <sheetData>
    <row r="1" spans="1:12" ht="15.85" customHeight="1" x14ac:dyDescent="0.5">
      <c r="A1" s="9" t="s">
        <v>33</v>
      </c>
      <c r="B1" s="9"/>
      <c r="C1" s="9"/>
      <c r="D1" s="9"/>
      <c r="E1" s="9"/>
      <c r="F1" s="9"/>
      <c r="G1" s="9"/>
      <c r="H1" s="9"/>
      <c r="I1" s="9"/>
      <c r="J1" s="9"/>
      <c r="K1" s="9"/>
      <c r="L1" s="9"/>
    </row>
    <row r="2" spans="1:12" ht="15.85" customHeight="1" x14ac:dyDescent="0.5">
      <c r="A2" s="9"/>
      <c r="B2" s="9"/>
      <c r="C2" s="9"/>
      <c r="D2" s="9"/>
      <c r="E2" s="9"/>
      <c r="F2" s="9"/>
      <c r="G2" s="9"/>
      <c r="H2" s="9"/>
      <c r="I2" s="9"/>
      <c r="J2" s="9"/>
      <c r="K2" s="9"/>
      <c r="L2" s="9"/>
    </row>
    <row r="3" spans="1:12" ht="15.85" customHeight="1" x14ac:dyDescent="0.5">
      <c r="A3" s="9"/>
      <c r="B3" s="9"/>
      <c r="C3" s="9"/>
      <c r="D3" s="9"/>
      <c r="E3" s="9"/>
      <c r="F3" s="9"/>
      <c r="G3" s="9"/>
      <c r="H3" s="9"/>
      <c r="I3" s="9"/>
      <c r="J3" s="9"/>
      <c r="K3" s="9"/>
      <c r="L3" s="9"/>
    </row>
    <row r="4" spans="1:12" ht="15.85" customHeight="1" x14ac:dyDescent="0.5">
      <c r="A4" s="9"/>
      <c r="B4" s="9"/>
      <c r="C4" s="9"/>
      <c r="D4" s="9"/>
      <c r="E4" s="9"/>
      <c r="F4" s="9"/>
      <c r="G4" s="9"/>
      <c r="H4" s="9"/>
      <c r="I4" s="9"/>
      <c r="J4" s="9"/>
      <c r="K4" s="9"/>
      <c r="L4" s="9"/>
    </row>
    <row r="5" spans="1:12" ht="15.85" customHeight="1" x14ac:dyDescent="0.5">
      <c r="A5" s="9"/>
      <c r="B5" s="9"/>
      <c r="C5" s="9"/>
      <c r="D5" s="9"/>
      <c r="E5" s="9"/>
      <c r="F5" s="9"/>
      <c r="G5" s="9"/>
      <c r="H5" s="9"/>
      <c r="I5" s="9"/>
      <c r="J5" s="9"/>
      <c r="K5" s="9"/>
      <c r="L5" s="9"/>
    </row>
    <row r="6" spans="1:12" ht="15.85" customHeight="1" x14ac:dyDescent="0.5">
      <c r="A6" s="9"/>
      <c r="B6" s="9"/>
      <c r="C6" s="9"/>
      <c r="D6" s="9"/>
      <c r="E6" s="9"/>
      <c r="F6" s="9"/>
      <c r="G6" s="9"/>
      <c r="H6" s="9"/>
      <c r="I6" s="9"/>
      <c r="J6" s="9"/>
      <c r="K6" s="9"/>
      <c r="L6" s="9"/>
    </row>
    <row r="7" spans="1:12" ht="15.85" customHeight="1" x14ac:dyDescent="0.5">
      <c r="A7" s="8"/>
      <c r="B7" s="8"/>
      <c r="C7" s="8"/>
      <c r="D7" s="8"/>
      <c r="E7" s="8"/>
      <c r="F7" s="8"/>
      <c r="G7" s="8"/>
      <c r="H7" s="8"/>
      <c r="I7" s="8"/>
      <c r="J7" s="8"/>
      <c r="K7" s="8"/>
    </row>
    <row r="8" spans="1:12" ht="15.85" customHeight="1" x14ac:dyDescent="0.5">
      <c r="A8" s="8"/>
      <c r="B8" s="8"/>
      <c r="C8" s="8"/>
      <c r="D8" s="8"/>
      <c r="E8" s="8"/>
      <c r="F8" s="8"/>
      <c r="G8" s="8"/>
      <c r="H8" s="8"/>
      <c r="I8" s="8"/>
      <c r="J8" s="8"/>
      <c r="K8" s="8"/>
    </row>
    <row r="9" spans="1:12" ht="15.85" customHeight="1" x14ac:dyDescent="0.5">
      <c r="A9" s="8"/>
      <c r="B9" s="8"/>
      <c r="C9" s="8"/>
      <c r="D9" s="8"/>
      <c r="E9" s="8"/>
      <c r="F9" s="8"/>
      <c r="G9" s="8"/>
      <c r="H9" s="8"/>
      <c r="I9" s="8"/>
      <c r="J9" s="8"/>
      <c r="K9" s="8"/>
    </row>
    <row r="10" spans="1:12" ht="15.85" customHeight="1" x14ac:dyDescent="0.5">
      <c r="A10" s="8"/>
      <c r="B10" s="8"/>
      <c r="C10" s="8"/>
      <c r="D10" s="8"/>
      <c r="E10" s="8"/>
      <c r="F10" s="8"/>
      <c r="G10" s="8"/>
      <c r="H10" s="8"/>
      <c r="I10" s="8"/>
      <c r="J10" s="8"/>
      <c r="K10" s="8"/>
    </row>
    <row r="11" spans="1:12" ht="15.85" customHeight="1" x14ac:dyDescent="0.5">
      <c r="A11" s="8"/>
      <c r="B11" s="8"/>
      <c r="C11" s="8"/>
      <c r="D11" s="8"/>
      <c r="E11" s="8"/>
      <c r="F11" s="8"/>
      <c r="G11" s="8"/>
      <c r="H11" s="8"/>
      <c r="I11" s="8"/>
      <c r="J11" s="8"/>
      <c r="K11" s="8"/>
    </row>
    <row r="12" spans="1:12" ht="15.85" customHeight="1" x14ac:dyDescent="0.5">
      <c r="A12" s="8"/>
      <c r="B12" s="8"/>
      <c r="C12" s="8"/>
      <c r="D12" s="8"/>
      <c r="E12" s="8"/>
      <c r="F12" s="8"/>
      <c r="G12" s="8"/>
      <c r="H12" s="8"/>
      <c r="I12" s="8"/>
      <c r="J12" s="8"/>
      <c r="K12" s="8"/>
    </row>
    <row r="13" spans="1:12" ht="15.85" customHeight="1" x14ac:dyDescent="0.5">
      <c r="A13" s="8"/>
      <c r="B13" s="8"/>
      <c r="C13" s="8"/>
      <c r="D13" s="8"/>
      <c r="E13" s="8"/>
      <c r="F13" s="8"/>
      <c r="G13" s="8"/>
      <c r="H13" s="8"/>
      <c r="I13" s="8"/>
      <c r="J13" s="8"/>
      <c r="K13" s="8"/>
    </row>
    <row r="14" spans="1:12" ht="15.85" customHeight="1" x14ac:dyDescent="0.5"/>
    <row r="15" spans="1:12" ht="15.85" customHeight="1" x14ac:dyDescent="0.5"/>
    <row r="16" spans="1:12" ht="15.85" customHeight="1" x14ac:dyDescent="0.5"/>
  </sheetData>
  <mergeCells count="1">
    <mergeCell ref="A1:L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Monte Carlo Option Pricing</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 Howard</dc:creator>
  <cp:lastModifiedBy>Philip Howard</cp:lastModifiedBy>
  <dcterms:created xsi:type="dcterms:W3CDTF">2017-04-11T02:49:49Z</dcterms:created>
  <dcterms:modified xsi:type="dcterms:W3CDTF">2017-12-01T12:44:41Z</dcterms:modified>
</cp:coreProperties>
</file>