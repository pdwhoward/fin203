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625"/>
  <workbookPr codeName="ThisWorkbook" defaultThemeVersion="166925"/>
  <mc:AlternateContent xmlns:mc="http://schemas.openxmlformats.org/markup-compatibility/2006">
    <mc:Choice Requires="x15">
      <x15ac:absPath xmlns:x15ac="http://schemas.microsoft.com/office/spreadsheetml/2010/11/ac" url="C:\Users\Philip\Dropbox\Courses\Teaching\FIN 203\FIN 203 Fall 2017\6 Simulation Analysis\Presentation\"/>
    </mc:Choice>
  </mc:AlternateContent>
  <bookViews>
    <workbookView xWindow="0" yWindow="0" windowWidth="20010" windowHeight="9570" firstSheet="1" activeTab="3" xr2:uid="{00000000-000D-0000-FFFF-FFFF00000000}"/>
  </bookViews>
  <sheets>
    <sheet name="CB_DATA_" sheetId="23" state="veryHidden" r:id="rId1"/>
    <sheet name="AAPL Dec 29" sheetId="29" r:id="rId2"/>
    <sheet name="Black-Scholes Option Pricing" sheetId="26" r:id="rId3"/>
    <sheet name="Monte Carlo Option Pricing" sheetId="22" r:id="rId4"/>
    <sheet name="Sensitiviety Analysis" sheetId="31" r:id="rId5"/>
    <sheet name="AAPL" sheetId="30" r:id="rId6"/>
  </sheets>
  <definedNames>
    <definedName name="_xlnm._FilterDatabase" localSheetId="5" hidden="1">AAPL!$A$1:$B$9320</definedName>
    <definedName name="CB_017698edb536407db0d2e1dd0c338979" localSheetId="3" hidden="1">'Monte Carlo Option Pricing'!$F$3</definedName>
    <definedName name="CB_03b17766b3004cb7b688b3c941b70be2" localSheetId="3" hidden="1">'Monte Carlo Option Pricing'!$F$4</definedName>
    <definedName name="CB_0685a468c69249e7af5c89a5937e0359" localSheetId="3" hidden="1">'Monte Carlo Option Pricing'!$F$7</definedName>
    <definedName name="CB_0892d8b155504f81a75f1c479211208f" localSheetId="3" hidden="1">'Monte Carlo Option Pricing'!$F$26</definedName>
    <definedName name="CB_094e03e2008e41259788c3e60ffe7360" localSheetId="3" hidden="1">'Monte Carlo Option Pricing'!$F$16</definedName>
    <definedName name="CB_1020b8eab12e4672b3b390a606d6d36f" localSheetId="3" hidden="1">'Monte Carlo Option Pricing'!$F$11</definedName>
    <definedName name="CB_2268e9119fd1495bb001c9fb3ab46c7f" localSheetId="3" hidden="1">'Monte Carlo Option Pricing'!$G$32</definedName>
    <definedName name="CB_2ea0b2a11a564875a7845705eb25b941" localSheetId="3" hidden="1">'Monte Carlo Option Pricing'!$F$31</definedName>
    <definedName name="CB_33cd589e978e40aca5c0720c8d1ff5ca" localSheetId="3" hidden="1">'Monte Carlo Option Pricing'!$F$32</definedName>
    <definedName name="CB_35c504a6639a40179e8130c71634c1e3" localSheetId="3" hidden="1">'Monte Carlo Option Pricing'!$F$25</definedName>
    <definedName name="CB_37ed98fc89a74f9bae8fad27f7598264" localSheetId="3" hidden="1">'Monte Carlo Option Pricing'!$F$5</definedName>
    <definedName name="CB_4054fce0238948ab81dcbac6567ef0b7" localSheetId="3" hidden="1">'Monte Carlo Option Pricing'!$F$14</definedName>
    <definedName name="CB_42159b1ed1e541b69a3726b76ccf3a1c" localSheetId="3" hidden="1">'Monte Carlo Option Pricing'!$F$8</definedName>
    <definedName name="CB_4371972c620d43c0ad28391779c4907d" localSheetId="3" hidden="1">'Monte Carlo Option Pricing'!$F$23</definedName>
    <definedName name="CB_5c88b42d2a334c5d8a44402401b986af" localSheetId="3" hidden="1">#N/A</definedName>
    <definedName name="CB_6c052803727b4bda8b04888c328675b6" localSheetId="3" hidden="1">'Monte Carlo Option Pricing'!$F$6</definedName>
    <definedName name="CB_6fe133067e474fa0a41e987f265496bd" localSheetId="3" hidden="1">'Monte Carlo Option Pricing'!$H$32</definedName>
    <definedName name="CB_7c0f8b49b7c041cd9f7a7ed6908c1751" localSheetId="3" hidden="1">'Monte Carlo Option Pricing'!$F$13</definedName>
    <definedName name="CB_8319f2eaf0094a98889f333d2501e1ef" localSheetId="3" hidden="1">'Monte Carlo Option Pricing'!$F$22</definedName>
    <definedName name="CB_8b58b230b18e47d88e4098ee8cb2bb5f" localSheetId="3" hidden="1">'Monte Carlo Option Pricing'!$F$15</definedName>
    <definedName name="CB_92b85eae0f004f9786e99fb0f0613b03" localSheetId="3" hidden="1">'Monte Carlo Option Pricing'!$F$27</definedName>
    <definedName name="CB_9b03fa9a61e84b31b5695f18fe38640a" localSheetId="3" hidden="1">'Monte Carlo Option Pricing'!$F$19</definedName>
    <definedName name="CB_a0fb5a6c22214bc7aa649596c2b3ae2d" localSheetId="3" hidden="1">'Monte Carlo Option Pricing'!$F$9</definedName>
    <definedName name="CB_a331728032ce4c2d830be4f25278e138" localSheetId="3" hidden="1">'Monte Carlo Option Pricing'!$F$17</definedName>
    <definedName name="CB_a86e9c9ddfb24f078f915eb01079154e" localSheetId="3" hidden="1">'Monte Carlo Option Pricing'!$F$29</definedName>
    <definedName name="CB_af755099b3e742f8bc3d06e2c52d289d" localSheetId="3" hidden="1">'Monte Carlo Option Pricing'!$F$30</definedName>
    <definedName name="CB_babc282d4a94427da5bfcdbb9f2f05d6" localSheetId="3" hidden="1">'Monte Carlo Option Pricing'!$F$20</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"'636473770798227377"</definedName>
    <definedName name="CB_Block_00000000000000000000000000000001" localSheetId="3" hidden="1">"'636473770798147229"</definedName>
    <definedName name="CB_Block_00000000000000000000000000000003" localSheetId="0" hidden="1">"'11.1.4512.0"</definedName>
    <definedName name="CB_Block_00000000000000000000000000000003" localSheetId="3" hidden="1">"'11.1.4512.0"</definedName>
    <definedName name="CB_BlockExt_00000000000000000000000000000003" localSheetId="0" hidden="1">"'11.1.2.4.600"</definedName>
    <definedName name="CB_BlockExt_00000000000000000000000000000003" localSheetId="3" hidden="1">"'11.1.2.4.600"</definedName>
    <definedName name="CB_c67b529d6ab04494ae7299d5025f8716" localSheetId="3" hidden="1">'Monte Carlo Option Pricing'!$F$24</definedName>
    <definedName name="CB_d5c0210d52764539802b901f8d0d346e" localSheetId="3" hidden="1">'Monte Carlo Option Pricing'!$F$28</definedName>
    <definedName name="CB_dd1bbc962f724d17adad77693ae0631d" localSheetId="3" hidden="1">'Monte Carlo Option Pricing'!$F$18</definedName>
    <definedName name="CB_e167c7f251bd4f5c98cbd3e4dcc6dfe6" localSheetId="3" hidden="1">'Monte Carlo Option Pricing'!$F$10</definedName>
    <definedName name="CB_f4084f0baf224b858d3dd53377215c21" localSheetId="3" hidden="1">'Monte Carlo Option Pricing'!$F$12</definedName>
    <definedName name="CB_f961a928529d4c6491c01a5baec82d40" localSheetId="3" hidden="1">'Monte Carlo Option Pricing'!$F$21</definedName>
    <definedName name="CBCR_04d2f49ae7c049c19687dda10b06fdd1" localSheetId="3" hidden="1">'Monte Carlo Option Pricing'!$C$6</definedName>
    <definedName name="CBCR_1249f07e216e4eab8afe45f3f4e8bcf3" localSheetId="3" hidden="1">'Monte Carlo Option Pricing'!$C$6</definedName>
    <definedName name="CBCR_1ff09605bfed4185a3d02be3a3b65d5e" localSheetId="3" hidden="1">'Monte Carlo Option Pricing'!$C$6</definedName>
    <definedName name="CBCR_2aee155285df4840b1051545ea175d85" localSheetId="3" hidden="1">'Monte Carlo Option Pricing'!$C$6</definedName>
    <definedName name="CBCR_2e6dce96ae4f452cb5181b475cc37bd1" localSheetId="3" hidden="1">'Monte Carlo Option Pricing'!$C$6</definedName>
    <definedName name="CBCR_2ef494cba45642d6b2d95547f6dafd2d" localSheetId="3" hidden="1">'Monte Carlo Option Pricing'!$C$6</definedName>
    <definedName name="CBCR_34c39b5d5d9c4ea18b3b2ecd54f78257" localSheetId="3" hidden="1">'Monte Carlo Option Pricing'!$C$6</definedName>
    <definedName name="CBCR_3cd4ee4ea1c24c55a5e676fe377e36d0" localSheetId="3" hidden="1">'Monte Carlo Option Pricing'!$C$6</definedName>
    <definedName name="CBCR_473af3b6ab354e388f6e910b857d1424" localSheetId="3" hidden="1">'Monte Carlo Option Pricing'!$C$6</definedName>
    <definedName name="CBCR_4d20d59501704cce967bc5588a1ed4a5" localSheetId="3" hidden="1">'Monte Carlo Option Pricing'!$C$6</definedName>
    <definedName name="CBCR_4e026f7ced9641d29cf234b65b7c5ca8" localSheetId="3" hidden="1">'Monte Carlo Option Pricing'!$C$6</definedName>
    <definedName name="CBCR_592d1159cc5645a18c0cb3ca7f281ff8" localSheetId="3" hidden="1">'Monte Carlo Option Pricing'!$C$6</definedName>
    <definedName name="CBCR_61e57049c8874f66ae88cd4267ca88ff" localSheetId="3" hidden="1">'Monte Carlo Option Pricing'!$C$6</definedName>
    <definedName name="CBCR_694f8100926d4756ba9997ca65853433" localSheetId="3" hidden="1">'Monte Carlo Option Pricing'!$C$6</definedName>
    <definedName name="CBCR_6c415a8522704d79956c4258048369dd" localSheetId="3" hidden="1">'Monte Carlo Option Pricing'!$C$6</definedName>
    <definedName name="CBCR_7124fbfdbb2b474ab03a2f0aa1f0252c" localSheetId="3" hidden="1">'Monte Carlo Option Pricing'!$C$6</definedName>
    <definedName name="CBCR_74e8623a220248b69238642a5a8f9bb3" localSheetId="3" hidden="1">'Monte Carlo Option Pricing'!$C$6</definedName>
    <definedName name="CBCR_77e5643d481443fa80f3aeab4a23ad55" localSheetId="3" hidden="1">'Monte Carlo Option Pricing'!$C$6</definedName>
    <definedName name="CBCR_7c216803bb264efb8ec948a1e7a825df" localSheetId="3" hidden="1">'Monte Carlo Option Pricing'!$C$13</definedName>
    <definedName name="CBCR_8fbef17299794531a793eb5bf13f20e7" localSheetId="3" hidden="1">'Monte Carlo Option Pricing'!$C$6</definedName>
    <definedName name="CBCR_92efafe4b21f4ada94bc18a8c7a523bc" localSheetId="3" hidden="1">'Monte Carlo Option Pricing'!$C$6</definedName>
    <definedName name="CBCR_949b6fb01ca249028fc8d3cce1fd99ad" localSheetId="3" hidden="1">'Monte Carlo Option Pricing'!$C$6</definedName>
    <definedName name="CBCR_97a2f03756ca430b8aa7df3c9f0c4a4e" localSheetId="3" hidden="1">'Monte Carlo Option Pricing'!$C$6</definedName>
    <definedName name="CBCR_9ae6cb7f1cbe46b38e4df2cb4766a1e1" localSheetId="3" hidden="1">'Monte Carlo Option Pricing'!$E$3:$G$32</definedName>
    <definedName name="CBCR_9b49fc63463d4d988aa7ac6debc5dae2" localSheetId="3" hidden="1">'Monte Carlo Option Pricing'!$C$6</definedName>
    <definedName name="CBCR_a0cc43b73cbc4c899dca8aa85c3ef76e" localSheetId="3" hidden="1">'Monte Carlo Option Pricing'!$C$6</definedName>
    <definedName name="CBCR_b649004a07764852b7bc1b671e3aa158" localSheetId="3" hidden="1">'Monte Carlo Option Pricing'!$C$6</definedName>
    <definedName name="CBCR_c70bf3d496c04bf08a50e16e5004653a" localSheetId="3" hidden="1">'Monte Carlo Option Pricing'!$C$6</definedName>
    <definedName name="CBCR_ce5b4d0d3e95497388c285d1dddeee3b" localSheetId="3" hidden="1">'Monte Carlo Option Pricing'!$C$6</definedName>
    <definedName name="CBCR_d98abbb8a10848f4ae07c30b0dcee4b0" localSheetId="3" hidden="1">'Monte Carlo Option Pricing'!$C$6</definedName>
    <definedName name="CBCR_e4a1bd99ca35427d8ee0d79e1fa85f99" localSheetId="3" hidden="1">'Monte Carlo Option Pricing'!$C$6</definedName>
    <definedName name="CBCR_ef6eaf5e13e840768797f558ba0d4ced" localSheetId="3" hidden="1">'Monte Carlo Option Pricing'!$C$6</definedName>
    <definedName name="CBWorkbookPriority" localSheetId="0" hidden="1">-543170919</definedName>
    <definedName name="CBx_0b7114782f20436facd3e092662c9760" localSheetId="0" hidden="1">"'Monte Carlo Option Pricing'!$A$1"</definedName>
    <definedName name="CBx_b589f4d9718647b698946d7c6529c355" localSheetId="0" hidden="1">"'CB_DATA_'!$A$1"</definedName>
    <definedName name="CBx_f16dd8d6c56247c095a9dc97a4935ca9" localSheetId="0" hidden="1">"'Excel Simulation Model'!$A$1"</definedName>
    <definedName name="CBx_Sheet_Guid" localSheetId="0" hidden="1">"'b589f4d9-7186-47b6-9894-6d7c6529c355"</definedName>
    <definedName name="CBx_Sheet_Guid" localSheetId="3" hidden="1">"'0b711478-2f20-436f-acd3-e092662c9760"</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solver_corr" hidden="1">1</definedName>
    <definedName name="solver_ctp1" hidden="1">0</definedName>
    <definedName name="solver_ctp2" hidden="1">0</definedName>
    <definedName name="solver_disp" localSheetId="2" hidden="1">3</definedName>
    <definedName name="solver_disp" hidden="1">0</definedName>
    <definedName name="solver_eval" hidden="1">0</definedName>
    <definedName name="solver_lcens" hidden="1">-1E+30</definedName>
    <definedName name="solver_lcut" hidden="1">-1E+30</definedName>
    <definedName name="solver_nsim" hidden="1">1</definedName>
    <definedName name="solver_nssim" hidden="1">-1</definedName>
    <definedName name="solver_ntri" localSheetId="2" hidden="1">100000</definedName>
    <definedName name="solver_ntri" hidden="1">1000</definedName>
    <definedName name="solver_rgen" hidden="1">3</definedName>
    <definedName name="solver_rsmp" hidden="1">1</definedName>
    <definedName name="solver_sclt" hidden="1">100</definedName>
    <definedName name="solver_seed" hidden="1">0</definedName>
    <definedName name="solver_strm" hidden="1">0</definedName>
    <definedName name="solver_ucens" hidden="1">1E+30</definedName>
    <definedName name="solver_ucut" hidden="1">1E+30</definedName>
    <definedName name="solveri_CClick" hidden="1">"System.Boolean:False"</definedName>
    <definedName name="solveri_CPop" hidden="1">"System.Boolean:False"</definedName>
    <definedName name="solveri_CTyp" hidden="1">"RiskSolver.Globals.ChartType:Bar"</definedName>
    <definedName name="solvero_CClick" hidden="1">"System.Boolean:True"</definedName>
    <definedName name="solvero_ChGlobalShow" hidden="1">"System.Boolean:False"</definedName>
    <definedName name="solvero_CPop" hidden="1">"System.Boolean:False"</definedName>
    <definedName name="solvero_CTyp" hidden="1">"RiskSolver.Globals.ChartType:Bar"</definedName>
  </definedNames>
  <calcPr calcId="171027" concurrentCalc="0" concurrentManualCount="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 i="22" l="1"/>
  <c r="C3" i="22"/>
  <c r="C4" i="22"/>
  <c r="C14" i="22"/>
  <c r="C11" i="22"/>
  <c r="C14" i="26"/>
  <c r="C5" i="26"/>
  <c r="C2" i="26"/>
  <c r="C1" i="26"/>
  <c r="C4" i="30"/>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96" i="30"/>
  <c r="C97" i="30"/>
  <c r="C98" i="30"/>
  <c r="C99" i="30"/>
  <c r="C100" i="30"/>
  <c r="C101" i="30"/>
  <c r="C102" i="30"/>
  <c r="C103" i="30"/>
  <c r="C104" i="30"/>
  <c r="C105" i="30"/>
  <c r="C106" i="30"/>
  <c r="C107" i="30"/>
  <c r="C108" i="30"/>
  <c r="C109" i="30"/>
  <c r="C110" i="30"/>
  <c r="C111" i="30"/>
  <c r="C112" i="30"/>
  <c r="C113" i="30"/>
  <c r="C114" i="30"/>
  <c r="C115" i="30"/>
  <c r="C116" i="30"/>
  <c r="C117" i="30"/>
  <c r="C118" i="30"/>
  <c r="C119" i="30"/>
  <c r="C120" i="30"/>
  <c r="C121" i="30"/>
  <c r="C122" i="30"/>
  <c r="C123" i="30"/>
  <c r="C124" i="30"/>
  <c r="C125" i="30"/>
  <c r="C126" i="30"/>
  <c r="C127" i="30"/>
  <c r="C128" i="30"/>
  <c r="C129" i="30"/>
  <c r="C130" i="30"/>
  <c r="C131" i="30"/>
  <c r="C132" i="30"/>
  <c r="C133" i="30"/>
  <c r="C134" i="30"/>
  <c r="C135" i="30"/>
  <c r="C136" i="30"/>
  <c r="C137" i="30"/>
  <c r="C138" i="30"/>
  <c r="C139" i="30"/>
  <c r="C140" i="30"/>
  <c r="C141" i="30"/>
  <c r="C142" i="30"/>
  <c r="C143" i="30"/>
  <c r="C144" i="30"/>
  <c r="C145" i="30"/>
  <c r="C146" i="30"/>
  <c r="C147" i="30"/>
  <c r="C148" i="30"/>
  <c r="C149" i="30"/>
  <c r="C150" i="30"/>
  <c r="C151" i="30"/>
  <c r="C152" i="30"/>
  <c r="C153" i="30"/>
  <c r="C154" i="30"/>
  <c r="C155" i="30"/>
  <c r="C156" i="30"/>
  <c r="C157" i="30"/>
  <c r="C158" i="30"/>
  <c r="C159" i="30"/>
  <c r="C160" i="30"/>
  <c r="C161" i="30"/>
  <c r="C162" i="30"/>
  <c r="C163" i="30"/>
  <c r="C164" i="30"/>
  <c r="C165" i="30"/>
  <c r="C166" i="30"/>
  <c r="C167" i="30"/>
  <c r="C168" i="30"/>
  <c r="C169" i="30"/>
  <c r="C170" i="30"/>
  <c r="C171" i="30"/>
  <c r="C172" i="30"/>
  <c r="C173" i="30"/>
  <c r="C174" i="30"/>
  <c r="C175" i="30"/>
  <c r="C176" i="30"/>
  <c r="C177" i="30"/>
  <c r="C178" i="30"/>
  <c r="C179" i="30"/>
  <c r="C180" i="30"/>
  <c r="C181" i="30"/>
  <c r="C182" i="30"/>
  <c r="C183" i="30"/>
  <c r="C184" i="30"/>
  <c r="C185" i="30"/>
  <c r="C186" i="30"/>
  <c r="C187" i="30"/>
  <c r="C188" i="30"/>
  <c r="C189" i="30"/>
  <c r="C190" i="30"/>
  <c r="C191" i="30"/>
  <c r="C192" i="30"/>
  <c r="C193" i="30"/>
  <c r="C194" i="30"/>
  <c r="C195" i="30"/>
  <c r="C196" i="30"/>
  <c r="C197" i="30"/>
  <c r="C198" i="30"/>
  <c r="C199" i="30"/>
  <c r="C200" i="30"/>
  <c r="C201" i="30"/>
  <c r="C202" i="30"/>
  <c r="C203" i="30"/>
  <c r="C204" i="30"/>
  <c r="C205" i="30"/>
  <c r="C206" i="30"/>
  <c r="C207" i="30"/>
  <c r="C208" i="30"/>
  <c r="C209" i="30"/>
  <c r="C210" i="30"/>
  <c r="C211" i="30"/>
  <c r="C212" i="30"/>
  <c r="C213" i="30"/>
  <c r="C214" i="30"/>
  <c r="C215" i="30"/>
  <c r="C216" i="30"/>
  <c r="C217" i="30"/>
  <c r="C218" i="30"/>
  <c r="C219" i="30"/>
  <c r="C220" i="30"/>
  <c r="C221" i="30"/>
  <c r="C222" i="30"/>
  <c r="C223" i="30"/>
  <c r="C224" i="30"/>
  <c r="C225" i="30"/>
  <c r="C226" i="30"/>
  <c r="C227" i="30"/>
  <c r="C228" i="30"/>
  <c r="C229" i="30"/>
  <c r="C230" i="30"/>
  <c r="C231" i="30"/>
  <c r="C232" i="30"/>
  <c r="C233" i="30"/>
  <c r="C234" i="30"/>
  <c r="C235" i="30"/>
  <c r="C236" i="30"/>
  <c r="C237" i="30"/>
  <c r="C238" i="30"/>
  <c r="C239" i="30"/>
  <c r="C240" i="30"/>
  <c r="C241" i="30"/>
  <c r="C242" i="30"/>
  <c r="C243" i="30"/>
  <c r="C244" i="30"/>
  <c r="C245" i="30"/>
  <c r="C246" i="30"/>
  <c r="C247" i="30"/>
  <c r="C248" i="30"/>
  <c r="C249" i="30"/>
  <c r="C250" i="30"/>
  <c r="C251" i="30"/>
  <c r="C252" i="30"/>
  <c r="C253" i="30"/>
  <c r="C254" i="30"/>
  <c r="C255" i="30"/>
  <c r="C256" i="30"/>
  <c r="C257" i="30"/>
  <c r="C258" i="30"/>
  <c r="C259" i="30"/>
  <c r="C260" i="30"/>
  <c r="C261" i="30"/>
  <c r="C262" i="30"/>
  <c r="C263" i="30"/>
  <c r="C264" i="30"/>
  <c r="C265" i="30"/>
  <c r="C266" i="30"/>
  <c r="C267" i="30"/>
  <c r="C268" i="30"/>
  <c r="C269" i="30"/>
  <c r="C270" i="30"/>
  <c r="C271" i="30"/>
  <c r="C272" i="30"/>
  <c r="C273" i="30"/>
  <c r="C274" i="30"/>
  <c r="C275" i="30"/>
  <c r="C276" i="30"/>
  <c r="C277" i="30"/>
  <c r="C278" i="30"/>
  <c r="C279" i="30"/>
  <c r="C280" i="30"/>
  <c r="C281" i="30"/>
  <c r="C282" i="30"/>
  <c r="C283" i="30"/>
  <c r="C284" i="30"/>
  <c r="C285" i="30"/>
  <c r="C286" i="30"/>
  <c r="C287" i="30"/>
  <c r="C288" i="30"/>
  <c r="C289" i="30"/>
  <c r="C290" i="30"/>
  <c r="C291" i="30"/>
  <c r="C292" i="30"/>
  <c r="C293" i="30"/>
  <c r="C294" i="30"/>
  <c r="C295" i="30"/>
  <c r="C296" i="30"/>
  <c r="C297" i="30"/>
  <c r="C298" i="30"/>
  <c r="C299" i="30"/>
  <c r="C300" i="30"/>
  <c r="C301" i="30"/>
  <c r="C302" i="30"/>
  <c r="C303" i="30"/>
  <c r="C304" i="30"/>
  <c r="C305" i="30"/>
  <c r="C306" i="30"/>
  <c r="C307" i="30"/>
  <c r="C308" i="30"/>
  <c r="C309" i="30"/>
  <c r="C310" i="30"/>
  <c r="C311" i="30"/>
  <c r="C312" i="30"/>
  <c r="C313" i="30"/>
  <c r="C314" i="30"/>
  <c r="C315" i="30"/>
  <c r="C316" i="30"/>
  <c r="C317" i="30"/>
  <c r="C318" i="30"/>
  <c r="C319" i="30"/>
  <c r="C320" i="30"/>
  <c r="C321" i="30"/>
  <c r="C322" i="30"/>
  <c r="C323" i="30"/>
  <c r="C324" i="30"/>
  <c r="C325" i="30"/>
  <c r="C326" i="30"/>
  <c r="C327" i="30"/>
  <c r="C328" i="30"/>
  <c r="C329" i="30"/>
  <c r="C330" i="30"/>
  <c r="C331" i="30"/>
  <c r="C332" i="30"/>
  <c r="C333" i="30"/>
  <c r="C334" i="30"/>
  <c r="C335" i="30"/>
  <c r="C336" i="30"/>
  <c r="C337" i="30"/>
  <c r="C338" i="30"/>
  <c r="C339" i="30"/>
  <c r="C340" i="30"/>
  <c r="C341" i="30"/>
  <c r="C342" i="30"/>
  <c r="C343" i="30"/>
  <c r="C344" i="30"/>
  <c r="C345" i="30"/>
  <c r="C346" i="30"/>
  <c r="C347" i="30"/>
  <c r="C348" i="30"/>
  <c r="C349" i="30"/>
  <c r="C350" i="30"/>
  <c r="C351" i="30"/>
  <c r="C352" i="30"/>
  <c r="C353" i="30"/>
  <c r="C354" i="30"/>
  <c r="C355" i="30"/>
  <c r="C356" i="30"/>
  <c r="C357" i="30"/>
  <c r="C358" i="30"/>
  <c r="C359" i="30"/>
  <c r="C360" i="30"/>
  <c r="C361" i="30"/>
  <c r="C362" i="30"/>
  <c r="C363" i="30"/>
  <c r="C364" i="30"/>
  <c r="C365" i="30"/>
  <c r="C366" i="30"/>
  <c r="C367" i="30"/>
  <c r="C368" i="30"/>
  <c r="C369" i="30"/>
  <c r="C370" i="30"/>
  <c r="C371" i="30"/>
  <c r="C372" i="30"/>
  <c r="C373" i="30"/>
  <c r="C374" i="30"/>
  <c r="C375" i="30"/>
  <c r="C376" i="30"/>
  <c r="C377" i="30"/>
  <c r="C378" i="30"/>
  <c r="C379" i="30"/>
  <c r="C380" i="30"/>
  <c r="C381" i="30"/>
  <c r="C382" i="30"/>
  <c r="C383" i="30"/>
  <c r="C384" i="30"/>
  <c r="C385" i="30"/>
  <c r="C386" i="30"/>
  <c r="C387" i="30"/>
  <c r="C388" i="30"/>
  <c r="C389" i="30"/>
  <c r="C390" i="30"/>
  <c r="C391" i="30"/>
  <c r="C392" i="30"/>
  <c r="C393" i="30"/>
  <c r="C394" i="30"/>
  <c r="C395" i="30"/>
  <c r="C396" i="30"/>
  <c r="C397" i="30"/>
  <c r="C398" i="30"/>
  <c r="C399" i="30"/>
  <c r="C400" i="30"/>
  <c r="C401" i="30"/>
  <c r="C402" i="30"/>
  <c r="C403" i="30"/>
  <c r="C404" i="30"/>
  <c r="C405" i="30"/>
  <c r="C406" i="30"/>
  <c r="C407" i="30"/>
  <c r="C408" i="30"/>
  <c r="C409" i="30"/>
  <c r="C410" i="30"/>
  <c r="C411" i="30"/>
  <c r="C412" i="30"/>
  <c r="C413" i="30"/>
  <c r="C414" i="30"/>
  <c r="C415" i="30"/>
  <c r="C416" i="30"/>
  <c r="C417" i="30"/>
  <c r="C418" i="30"/>
  <c r="C419" i="30"/>
  <c r="C420" i="30"/>
  <c r="C421" i="30"/>
  <c r="C422" i="30"/>
  <c r="C423" i="30"/>
  <c r="C424" i="30"/>
  <c r="C425" i="30"/>
  <c r="C426" i="30"/>
  <c r="C427" i="30"/>
  <c r="C428" i="30"/>
  <c r="C429" i="30"/>
  <c r="C430" i="30"/>
  <c r="C431" i="30"/>
  <c r="C432" i="30"/>
  <c r="C433" i="30"/>
  <c r="C434" i="30"/>
  <c r="C435" i="30"/>
  <c r="C436" i="30"/>
  <c r="C437" i="30"/>
  <c r="C438" i="30"/>
  <c r="C439" i="30"/>
  <c r="C440" i="30"/>
  <c r="C441" i="30"/>
  <c r="C442" i="30"/>
  <c r="C443" i="30"/>
  <c r="C444" i="30"/>
  <c r="C445" i="30"/>
  <c r="C446" i="30"/>
  <c r="C447" i="30"/>
  <c r="C448" i="30"/>
  <c r="C449" i="30"/>
  <c r="C450" i="30"/>
  <c r="C451" i="30"/>
  <c r="C452" i="30"/>
  <c r="C453" i="30"/>
  <c r="C454" i="30"/>
  <c r="C455" i="30"/>
  <c r="C456" i="30"/>
  <c r="C457" i="30"/>
  <c r="C458" i="30"/>
  <c r="C459" i="30"/>
  <c r="C460" i="30"/>
  <c r="C461" i="30"/>
  <c r="C462" i="30"/>
  <c r="C463" i="30"/>
  <c r="C464" i="30"/>
  <c r="C465" i="30"/>
  <c r="C466" i="30"/>
  <c r="C467" i="30"/>
  <c r="C468" i="30"/>
  <c r="C469" i="30"/>
  <c r="C470" i="30"/>
  <c r="C471" i="30"/>
  <c r="C472" i="30"/>
  <c r="C473" i="30"/>
  <c r="C474" i="30"/>
  <c r="C475" i="30"/>
  <c r="C476" i="30"/>
  <c r="C477" i="30"/>
  <c r="C478" i="30"/>
  <c r="C479" i="30"/>
  <c r="C480" i="30"/>
  <c r="C481" i="30"/>
  <c r="C482" i="30"/>
  <c r="C483" i="30"/>
  <c r="C484" i="30"/>
  <c r="C485" i="30"/>
  <c r="C486" i="30"/>
  <c r="C487" i="30"/>
  <c r="C488" i="30"/>
  <c r="C489" i="30"/>
  <c r="C490" i="30"/>
  <c r="C491" i="30"/>
  <c r="C492" i="30"/>
  <c r="C493" i="30"/>
  <c r="C494" i="30"/>
  <c r="C495" i="30"/>
  <c r="C496" i="30"/>
  <c r="C497" i="30"/>
  <c r="C498" i="30"/>
  <c r="C499" i="30"/>
  <c r="C500" i="30"/>
  <c r="C501" i="30"/>
  <c r="C502" i="30"/>
  <c r="C503" i="30"/>
  <c r="C504" i="30"/>
  <c r="C505" i="30"/>
  <c r="C506" i="30"/>
  <c r="C507" i="30"/>
  <c r="C508" i="30"/>
  <c r="C509" i="30"/>
  <c r="C510" i="30"/>
  <c r="C511" i="30"/>
  <c r="C512" i="30"/>
  <c r="C513" i="30"/>
  <c r="C514" i="30"/>
  <c r="C515" i="30"/>
  <c r="C516" i="30"/>
  <c r="C517" i="30"/>
  <c r="C518" i="30"/>
  <c r="C519" i="30"/>
  <c r="C520" i="30"/>
  <c r="C521" i="30"/>
  <c r="C522" i="30"/>
  <c r="C523" i="30"/>
  <c r="C524" i="30"/>
  <c r="C525" i="30"/>
  <c r="C526" i="30"/>
  <c r="C527" i="30"/>
  <c r="C528" i="30"/>
  <c r="C529" i="30"/>
  <c r="C530" i="30"/>
  <c r="C531" i="30"/>
  <c r="C532" i="30"/>
  <c r="C533" i="30"/>
  <c r="C534" i="30"/>
  <c r="C535" i="30"/>
  <c r="C536" i="30"/>
  <c r="C537" i="30"/>
  <c r="C538" i="30"/>
  <c r="C539" i="30"/>
  <c r="C540" i="30"/>
  <c r="C541" i="30"/>
  <c r="C542" i="30"/>
  <c r="C543" i="30"/>
  <c r="C544" i="30"/>
  <c r="C545" i="30"/>
  <c r="C546" i="30"/>
  <c r="C547" i="30"/>
  <c r="C548" i="30"/>
  <c r="C549" i="30"/>
  <c r="C550" i="30"/>
  <c r="C551" i="30"/>
  <c r="C552" i="30"/>
  <c r="C553" i="30"/>
  <c r="C554" i="30"/>
  <c r="C555" i="30"/>
  <c r="C556" i="30"/>
  <c r="C557" i="30"/>
  <c r="C558" i="30"/>
  <c r="C559" i="30"/>
  <c r="C560" i="30"/>
  <c r="C561" i="30"/>
  <c r="C562" i="30"/>
  <c r="C563" i="30"/>
  <c r="C564" i="30"/>
  <c r="C565" i="30"/>
  <c r="C566" i="30"/>
  <c r="C567" i="30"/>
  <c r="C568" i="30"/>
  <c r="C569" i="30"/>
  <c r="C570" i="30"/>
  <c r="C571" i="30"/>
  <c r="C572" i="30"/>
  <c r="C573" i="30"/>
  <c r="C574" i="30"/>
  <c r="C575" i="30"/>
  <c r="C576" i="30"/>
  <c r="C577" i="30"/>
  <c r="C578" i="30"/>
  <c r="C579" i="30"/>
  <c r="C580" i="30"/>
  <c r="C581" i="30"/>
  <c r="C582" i="30"/>
  <c r="C583" i="30"/>
  <c r="C584" i="30"/>
  <c r="C585" i="30"/>
  <c r="C586" i="30"/>
  <c r="C587" i="30"/>
  <c r="C588" i="30"/>
  <c r="C589" i="30"/>
  <c r="C590" i="30"/>
  <c r="C591" i="30"/>
  <c r="C592" i="30"/>
  <c r="C593" i="30"/>
  <c r="C594" i="30"/>
  <c r="C595" i="30"/>
  <c r="C596" i="30"/>
  <c r="C597" i="30"/>
  <c r="C598" i="30"/>
  <c r="C599" i="30"/>
  <c r="C600" i="30"/>
  <c r="C601" i="30"/>
  <c r="C602" i="30"/>
  <c r="C603" i="30"/>
  <c r="C604" i="30"/>
  <c r="C605" i="30"/>
  <c r="C606" i="30"/>
  <c r="C607" i="30"/>
  <c r="C608" i="30"/>
  <c r="C609" i="30"/>
  <c r="C610" i="30"/>
  <c r="C611" i="30"/>
  <c r="C612" i="30"/>
  <c r="C613" i="30"/>
  <c r="C614" i="30"/>
  <c r="C615" i="30"/>
  <c r="C616" i="30"/>
  <c r="C617" i="30"/>
  <c r="C618" i="30"/>
  <c r="C619" i="30"/>
  <c r="C620" i="30"/>
  <c r="C621" i="30"/>
  <c r="C622" i="30"/>
  <c r="C623" i="30"/>
  <c r="C624" i="30"/>
  <c r="C625" i="30"/>
  <c r="C626" i="30"/>
  <c r="C627" i="30"/>
  <c r="C628" i="30"/>
  <c r="C629" i="30"/>
  <c r="C630" i="30"/>
  <c r="C631" i="30"/>
  <c r="C632" i="30"/>
  <c r="C633" i="30"/>
  <c r="C634" i="30"/>
  <c r="C635" i="30"/>
  <c r="C636" i="30"/>
  <c r="C637" i="30"/>
  <c r="C638" i="30"/>
  <c r="C639" i="30"/>
  <c r="C640" i="30"/>
  <c r="C641" i="30"/>
  <c r="C642" i="30"/>
  <c r="C643" i="30"/>
  <c r="C644" i="30"/>
  <c r="C645" i="30"/>
  <c r="C646" i="30"/>
  <c r="C647" i="30"/>
  <c r="C648" i="30"/>
  <c r="C649" i="30"/>
  <c r="C650" i="30"/>
  <c r="C651" i="30"/>
  <c r="C652" i="30"/>
  <c r="C653" i="30"/>
  <c r="C654" i="30"/>
  <c r="C655" i="30"/>
  <c r="C656" i="30"/>
  <c r="C657" i="30"/>
  <c r="C658" i="30"/>
  <c r="C659" i="30"/>
  <c r="C660" i="30"/>
  <c r="C661" i="30"/>
  <c r="C662" i="30"/>
  <c r="C663" i="30"/>
  <c r="C664" i="30"/>
  <c r="C665" i="30"/>
  <c r="C666" i="30"/>
  <c r="C667" i="30"/>
  <c r="C668" i="30"/>
  <c r="C669" i="30"/>
  <c r="C670" i="30"/>
  <c r="C671" i="30"/>
  <c r="C672" i="30"/>
  <c r="C673" i="30"/>
  <c r="C674" i="30"/>
  <c r="C675" i="30"/>
  <c r="C676" i="30"/>
  <c r="C677" i="30"/>
  <c r="C678" i="30"/>
  <c r="C679" i="30"/>
  <c r="C680" i="30"/>
  <c r="C681" i="30"/>
  <c r="C682" i="30"/>
  <c r="C683" i="30"/>
  <c r="C684" i="30"/>
  <c r="C685" i="30"/>
  <c r="C686" i="30"/>
  <c r="C687" i="30"/>
  <c r="C688" i="30"/>
  <c r="C689" i="30"/>
  <c r="C690" i="30"/>
  <c r="C691" i="30"/>
  <c r="C692" i="30"/>
  <c r="C693" i="30"/>
  <c r="C694" i="30"/>
  <c r="C695" i="30"/>
  <c r="C696" i="30"/>
  <c r="C697" i="30"/>
  <c r="C698" i="30"/>
  <c r="C699" i="30"/>
  <c r="C700" i="30"/>
  <c r="C701" i="30"/>
  <c r="C702" i="30"/>
  <c r="C703" i="30"/>
  <c r="C704" i="30"/>
  <c r="C705" i="30"/>
  <c r="C706" i="30"/>
  <c r="C707" i="30"/>
  <c r="C708" i="30"/>
  <c r="C709" i="30"/>
  <c r="C710" i="30"/>
  <c r="C711" i="30"/>
  <c r="C712" i="30"/>
  <c r="C713" i="30"/>
  <c r="C714" i="30"/>
  <c r="C715" i="30"/>
  <c r="C716" i="30"/>
  <c r="C717" i="30"/>
  <c r="C718" i="30"/>
  <c r="C719" i="30"/>
  <c r="C720" i="30"/>
  <c r="C721" i="30"/>
  <c r="C722" i="30"/>
  <c r="C723" i="30"/>
  <c r="C724" i="30"/>
  <c r="C725" i="30"/>
  <c r="C726" i="30"/>
  <c r="C727" i="30"/>
  <c r="C728" i="30"/>
  <c r="C729" i="30"/>
  <c r="C730" i="30"/>
  <c r="C731" i="30"/>
  <c r="C732" i="30"/>
  <c r="C733" i="30"/>
  <c r="C734" i="30"/>
  <c r="C735" i="30"/>
  <c r="C736" i="30"/>
  <c r="C737" i="30"/>
  <c r="C738" i="30"/>
  <c r="C739" i="30"/>
  <c r="C740" i="30"/>
  <c r="C741" i="30"/>
  <c r="C742" i="30"/>
  <c r="C743" i="30"/>
  <c r="C744" i="30"/>
  <c r="C745" i="30"/>
  <c r="C746" i="30"/>
  <c r="C747" i="30"/>
  <c r="C748" i="30"/>
  <c r="C749" i="30"/>
  <c r="C750" i="30"/>
  <c r="C751" i="30"/>
  <c r="C752" i="30"/>
  <c r="C753" i="30"/>
  <c r="C754" i="30"/>
  <c r="C755" i="30"/>
  <c r="C756" i="30"/>
  <c r="C757" i="30"/>
  <c r="C758" i="30"/>
  <c r="C759" i="30"/>
  <c r="C760" i="30"/>
  <c r="C761" i="30"/>
  <c r="C762" i="30"/>
  <c r="C763" i="30"/>
  <c r="C764" i="30"/>
  <c r="C765" i="30"/>
  <c r="C766" i="30"/>
  <c r="C767" i="30"/>
  <c r="C768" i="30"/>
  <c r="C769" i="30"/>
  <c r="C770" i="30"/>
  <c r="C771" i="30"/>
  <c r="C772" i="30"/>
  <c r="C773" i="30"/>
  <c r="C774" i="30"/>
  <c r="C775" i="30"/>
  <c r="C776" i="30"/>
  <c r="C777" i="30"/>
  <c r="C778" i="30"/>
  <c r="C779" i="30"/>
  <c r="C780" i="30"/>
  <c r="C781" i="30"/>
  <c r="C782" i="30"/>
  <c r="C783" i="30"/>
  <c r="C784" i="30"/>
  <c r="C785" i="30"/>
  <c r="C786" i="30"/>
  <c r="C787" i="30"/>
  <c r="C788" i="30"/>
  <c r="C789" i="30"/>
  <c r="C790" i="30"/>
  <c r="C791" i="30"/>
  <c r="C792" i="30"/>
  <c r="C793" i="30"/>
  <c r="C794" i="30"/>
  <c r="C795" i="30"/>
  <c r="C796" i="30"/>
  <c r="C797" i="30"/>
  <c r="C798" i="30"/>
  <c r="C799" i="30"/>
  <c r="C800" i="30"/>
  <c r="C801" i="30"/>
  <c r="C802" i="30"/>
  <c r="C803" i="30"/>
  <c r="C804" i="30"/>
  <c r="C805" i="30"/>
  <c r="C806" i="30"/>
  <c r="C807" i="30"/>
  <c r="C808" i="30"/>
  <c r="C809" i="30"/>
  <c r="C810" i="30"/>
  <c r="C811" i="30"/>
  <c r="C812" i="30"/>
  <c r="C813" i="30"/>
  <c r="C814" i="30"/>
  <c r="C815" i="30"/>
  <c r="C816" i="30"/>
  <c r="C817" i="30"/>
  <c r="C818" i="30"/>
  <c r="C819" i="30"/>
  <c r="C820" i="30"/>
  <c r="C821" i="30"/>
  <c r="C822" i="30"/>
  <c r="C823" i="30"/>
  <c r="C824" i="30"/>
  <c r="C825" i="30"/>
  <c r="C826" i="30"/>
  <c r="C827" i="30"/>
  <c r="C828" i="30"/>
  <c r="C829" i="30"/>
  <c r="C830" i="30"/>
  <c r="C831" i="30"/>
  <c r="C832" i="30"/>
  <c r="C833" i="30"/>
  <c r="C834" i="30"/>
  <c r="C835" i="30"/>
  <c r="C836" i="30"/>
  <c r="C837" i="30"/>
  <c r="C838" i="30"/>
  <c r="C839" i="30"/>
  <c r="C840" i="30"/>
  <c r="C841" i="30"/>
  <c r="C842" i="30"/>
  <c r="C843" i="30"/>
  <c r="C844" i="30"/>
  <c r="C845" i="30"/>
  <c r="C846" i="30"/>
  <c r="C847" i="30"/>
  <c r="C848" i="30"/>
  <c r="C849" i="30"/>
  <c r="C850" i="30"/>
  <c r="C851" i="30"/>
  <c r="C852" i="30"/>
  <c r="C853" i="30"/>
  <c r="C854" i="30"/>
  <c r="C855" i="30"/>
  <c r="C856" i="30"/>
  <c r="C857" i="30"/>
  <c r="C858" i="30"/>
  <c r="C859" i="30"/>
  <c r="C860" i="30"/>
  <c r="C861" i="30"/>
  <c r="C862" i="30"/>
  <c r="C863" i="30"/>
  <c r="C864" i="30"/>
  <c r="C865" i="30"/>
  <c r="C866" i="30"/>
  <c r="C867" i="30"/>
  <c r="C868" i="30"/>
  <c r="C869" i="30"/>
  <c r="C870" i="30"/>
  <c r="C871" i="30"/>
  <c r="C872" i="30"/>
  <c r="C873" i="30"/>
  <c r="C874" i="30"/>
  <c r="C875" i="30"/>
  <c r="C876" i="30"/>
  <c r="C877" i="30"/>
  <c r="C878" i="30"/>
  <c r="C879" i="30"/>
  <c r="C880" i="30"/>
  <c r="C881" i="30"/>
  <c r="C882" i="30"/>
  <c r="C883" i="30"/>
  <c r="C884" i="30"/>
  <c r="C885" i="30"/>
  <c r="C886" i="30"/>
  <c r="C887" i="30"/>
  <c r="C888" i="30"/>
  <c r="C889" i="30"/>
  <c r="C890" i="30"/>
  <c r="C891" i="30"/>
  <c r="C892" i="30"/>
  <c r="C893" i="30"/>
  <c r="C894" i="30"/>
  <c r="C895" i="30"/>
  <c r="C896" i="30"/>
  <c r="C897" i="30"/>
  <c r="C898" i="30"/>
  <c r="C899" i="30"/>
  <c r="C900" i="30"/>
  <c r="C901" i="30"/>
  <c r="C902" i="30"/>
  <c r="C903" i="30"/>
  <c r="C904" i="30"/>
  <c r="C905" i="30"/>
  <c r="C906" i="30"/>
  <c r="C907" i="30"/>
  <c r="C908" i="30"/>
  <c r="C909" i="30"/>
  <c r="C910" i="30"/>
  <c r="C911" i="30"/>
  <c r="C912" i="30"/>
  <c r="C913" i="30"/>
  <c r="C914" i="30"/>
  <c r="C915" i="30"/>
  <c r="C916" i="30"/>
  <c r="C917" i="30"/>
  <c r="C918" i="30"/>
  <c r="C919" i="30"/>
  <c r="C920" i="30"/>
  <c r="C921" i="30"/>
  <c r="C922" i="30"/>
  <c r="C923" i="30"/>
  <c r="C924" i="30"/>
  <c r="C925" i="30"/>
  <c r="C926" i="30"/>
  <c r="C927" i="30"/>
  <c r="C928" i="30"/>
  <c r="C929" i="30"/>
  <c r="C930" i="30"/>
  <c r="C931" i="30"/>
  <c r="C932" i="30"/>
  <c r="C933" i="30"/>
  <c r="C934" i="30"/>
  <c r="C935" i="30"/>
  <c r="C936" i="30"/>
  <c r="C937" i="30"/>
  <c r="C938" i="30"/>
  <c r="C939" i="30"/>
  <c r="C940" i="30"/>
  <c r="C941" i="30"/>
  <c r="C942" i="30"/>
  <c r="C943" i="30"/>
  <c r="C944" i="30"/>
  <c r="C945" i="30"/>
  <c r="C946" i="30"/>
  <c r="C947" i="30"/>
  <c r="C948" i="30"/>
  <c r="C949" i="30"/>
  <c r="C950" i="30"/>
  <c r="C951" i="30"/>
  <c r="C952" i="30"/>
  <c r="C953" i="30"/>
  <c r="C954" i="30"/>
  <c r="C955" i="30"/>
  <c r="C956" i="30"/>
  <c r="C957" i="30"/>
  <c r="C958" i="30"/>
  <c r="C959" i="30"/>
  <c r="C960" i="30"/>
  <c r="C961" i="30"/>
  <c r="C962" i="30"/>
  <c r="C963" i="30"/>
  <c r="C964" i="30"/>
  <c r="C965" i="30"/>
  <c r="C966" i="30"/>
  <c r="C967" i="30"/>
  <c r="C968" i="30"/>
  <c r="C969" i="30"/>
  <c r="C970" i="30"/>
  <c r="C971" i="30"/>
  <c r="C972" i="30"/>
  <c r="C973" i="30"/>
  <c r="C974" i="30"/>
  <c r="C975" i="30"/>
  <c r="C976" i="30"/>
  <c r="C977" i="30"/>
  <c r="C978" i="30"/>
  <c r="C979" i="30"/>
  <c r="C980" i="30"/>
  <c r="C981" i="30"/>
  <c r="C982" i="30"/>
  <c r="C983" i="30"/>
  <c r="C984" i="30"/>
  <c r="C985" i="30"/>
  <c r="C986" i="30"/>
  <c r="C987" i="30"/>
  <c r="C988" i="30"/>
  <c r="C989" i="30"/>
  <c r="C990" i="30"/>
  <c r="C991" i="30"/>
  <c r="C992" i="30"/>
  <c r="C993" i="30"/>
  <c r="C994" i="30"/>
  <c r="C995" i="30"/>
  <c r="C996" i="30"/>
  <c r="C997" i="30"/>
  <c r="C998" i="30"/>
  <c r="C999" i="30"/>
  <c r="C1000" i="30"/>
  <c r="C1001" i="30"/>
  <c r="C1002" i="30"/>
  <c r="C1003" i="30"/>
  <c r="C1004" i="30"/>
  <c r="C1005" i="30"/>
  <c r="C1006" i="30"/>
  <c r="C1007" i="30"/>
  <c r="C1008" i="30"/>
  <c r="C1009" i="30"/>
  <c r="C1010" i="30"/>
  <c r="C1011" i="30"/>
  <c r="C1012" i="30"/>
  <c r="C1013" i="30"/>
  <c r="C1014" i="30"/>
  <c r="C1015" i="30"/>
  <c r="C1016" i="30"/>
  <c r="C1017" i="30"/>
  <c r="C1018" i="30"/>
  <c r="C1019" i="30"/>
  <c r="C1020" i="30"/>
  <c r="C1021" i="30"/>
  <c r="C1022" i="30"/>
  <c r="C1023" i="30"/>
  <c r="C1024" i="30"/>
  <c r="C1025" i="30"/>
  <c r="C1026" i="30"/>
  <c r="C1027" i="30"/>
  <c r="C1028" i="30"/>
  <c r="C1029" i="30"/>
  <c r="C1030" i="30"/>
  <c r="C1031" i="30"/>
  <c r="C1032" i="30"/>
  <c r="C1033" i="30"/>
  <c r="C1034" i="30"/>
  <c r="C1035" i="30"/>
  <c r="C1036" i="30"/>
  <c r="C1037" i="30"/>
  <c r="C1038" i="30"/>
  <c r="C1039" i="30"/>
  <c r="C1040" i="30"/>
  <c r="C1041" i="30"/>
  <c r="C1042" i="30"/>
  <c r="C1043" i="30"/>
  <c r="C1044" i="30"/>
  <c r="C1045" i="30"/>
  <c r="C1046" i="30"/>
  <c r="C1047" i="30"/>
  <c r="C1048" i="30"/>
  <c r="C1049" i="30"/>
  <c r="C1050" i="30"/>
  <c r="C1051" i="30"/>
  <c r="C1052" i="30"/>
  <c r="C1053" i="30"/>
  <c r="C1054" i="30"/>
  <c r="C1055" i="30"/>
  <c r="C1056" i="30"/>
  <c r="C1057" i="30"/>
  <c r="C1058" i="30"/>
  <c r="C1059" i="30"/>
  <c r="C1060" i="30"/>
  <c r="C1061" i="30"/>
  <c r="C1062" i="30"/>
  <c r="C1063" i="30"/>
  <c r="C1064" i="30"/>
  <c r="C1065" i="30"/>
  <c r="C1066" i="30"/>
  <c r="C1067" i="30"/>
  <c r="C1068" i="30"/>
  <c r="C1069" i="30"/>
  <c r="C1070" i="30"/>
  <c r="C1071" i="30"/>
  <c r="C1072" i="30"/>
  <c r="C1073" i="30"/>
  <c r="C1074" i="30"/>
  <c r="C1075" i="30"/>
  <c r="C1076" i="30"/>
  <c r="C1077" i="30"/>
  <c r="C1078" i="30"/>
  <c r="C1079" i="30"/>
  <c r="C1080" i="30"/>
  <c r="C1081" i="30"/>
  <c r="C1082" i="30"/>
  <c r="C1083" i="30"/>
  <c r="C1084" i="30"/>
  <c r="C1085" i="30"/>
  <c r="C1086" i="30"/>
  <c r="C1087" i="30"/>
  <c r="C1088" i="30"/>
  <c r="C1089" i="30"/>
  <c r="C1090" i="30"/>
  <c r="C1091" i="30"/>
  <c r="C1092" i="30"/>
  <c r="C1093" i="30"/>
  <c r="C1094" i="30"/>
  <c r="C1095" i="30"/>
  <c r="C1096" i="30"/>
  <c r="C1097" i="30"/>
  <c r="C1098" i="30"/>
  <c r="C1099" i="30"/>
  <c r="C1100" i="30"/>
  <c r="C1101" i="30"/>
  <c r="C1102" i="30"/>
  <c r="C1103" i="30"/>
  <c r="C1104" i="30"/>
  <c r="C1105" i="30"/>
  <c r="C1106" i="30"/>
  <c r="C1107" i="30"/>
  <c r="C1108" i="30"/>
  <c r="C1109" i="30"/>
  <c r="C1110" i="30"/>
  <c r="C1111" i="30"/>
  <c r="C1112" i="30"/>
  <c r="C1113" i="30"/>
  <c r="C1114" i="30"/>
  <c r="C1115" i="30"/>
  <c r="C1116" i="30"/>
  <c r="C1117" i="30"/>
  <c r="C1118" i="30"/>
  <c r="C1119" i="30"/>
  <c r="C1120" i="30"/>
  <c r="C1121" i="30"/>
  <c r="C1122" i="30"/>
  <c r="C1123" i="30"/>
  <c r="C1124" i="30"/>
  <c r="C1125" i="30"/>
  <c r="C1126" i="30"/>
  <c r="C1127" i="30"/>
  <c r="C1128" i="30"/>
  <c r="C1129" i="30"/>
  <c r="C1130" i="30"/>
  <c r="C1131" i="30"/>
  <c r="C1132" i="30"/>
  <c r="C1133" i="30"/>
  <c r="C1134" i="30"/>
  <c r="C1135" i="30"/>
  <c r="C1136" i="30"/>
  <c r="C1137" i="30"/>
  <c r="C1138" i="30"/>
  <c r="C1139" i="30"/>
  <c r="C1140" i="30"/>
  <c r="C1141" i="30"/>
  <c r="C1142" i="30"/>
  <c r="C1143" i="30"/>
  <c r="C1144" i="30"/>
  <c r="C1145" i="30"/>
  <c r="C1146" i="30"/>
  <c r="C1147" i="30"/>
  <c r="C1148" i="30"/>
  <c r="C1149" i="30"/>
  <c r="C1150" i="30"/>
  <c r="C1151" i="30"/>
  <c r="C1152" i="30"/>
  <c r="C1153" i="30"/>
  <c r="C1154" i="30"/>
  <c r="C1155" i="30"/>
  <c r="C1156" i="30"/>
  <c r="C1157" i="30"/>
  <c r="C1158" i="30"/>
  <c r="C1159" i="30"/>
  <c r="C1160" i="30"/>
  <c r="C1161" i="30"/>
  <c r="C1162" i="30"/>
  <c r="C1163" i="30"/>
  <c r="C1164" i="30"/>
  <c r="C1165" i="30"/>
  <c r="C1166" i="30"/>
  <c r="C1167" i="30"/>
  <c r="C1168" i="30"/>
  <c r="C1169" i="30"/>
  <c r="C1170" i="30"/>
  <c r="C1171" i="30"/>
  <c r="C1172" i="30"/>
  <c r="C1173" i="30"/>
  <c r="C1174" i="30"/>
  <c r="C1175" i="30"/>
  <c r="C1176" i="30"/>
  <c r="C1177" i="30"/>
  <c r="C1178" i="30"/>
  <c r="C1179" i="30"/>
  <c r="C1180" i="30"/>
  <c r="C1181" i="30"/>
  <c r="C1182" i="30"/>
  <c r="C1183" i="30"/>
  <c r="C1184" i="30"/>
  <c r="C1185" i="30"/>
  <c r="C1186" i="30"/>
  <c r="C1187" i="30"/>
  <c r="C1188" i="30"/>
  <c r="C1189" i="30"/>
  <c r="C1190" i="30"/>
  <c r="C1191" i="30"/>
  <c r="C1192" i="30"/>
  <c r="C1193" i="30"/>
  <c r="C1194" i="30"/>
  <c r="C1195" i="30"/>
  <c r="C1196" i="30"/>
  <c r="C1197" i="30"/>
  <c r="C1198" i="30"/>
  <c r="C1199" i="30"/>
  <c r="C1200" i="30"/>
  <c r="C1201" i="30"/>
  <c r="C1202" i="30"/>
  <c r="C1203" i="30"/>
  <c r="C1204" i="30"/>
  <c r="C1205" i="30"/>
  <c r="C1206" i="30"/>
  <c r="C1207" i="30"/>
  <c r="C1208" i="30"/>
  <c r="C1209" i="30"/>
  <c r="C1210" i="30"/>
  <c r="C1211" i="30"/>
  <c r="C1212" i="30"/>
  <c r="C1213" i="30"/>
  <c r="C1214" i="30"/>
  <c r="C1215" i="30"/>
  <c r="C1216" i="30"/>
  <c r="C1217" i="30"/>
  <c r="C1218" i="30"/>
  <c r="C1219" i="30"/>
  <c r="C1220" i="30"/>
  <c r="C1221" i="30"/>
  <c r="C1222" i="30"/>
  <c r="C1223" i="30"/>
  <c r="C1224" i="30"/>
  <c r="C1225" i="30"/>
  <c r="C1226" i="30"/>
  <c r="C1227" i="30"/>
  <c r="C1228" i="30"/>
  <c r="C1229" i="30"/>
  <c r="C1230" i="30"/>
  <c r="C1231" i="30"/>
  <c r="C1232" i="30"/>
  <c r="C1233" i="30"/>
  <c r="C1234" i="30"/>
  <c r="C1235" i="30"/>
  <c r="C1236" i="30"/>
  <c r="C1237" i="30"/>
  <c r="C1238" i="30"/>
  <c r="C1239" i="30"/>
  <c r="C1240" i="30"/>
  <c r="C1241" i="30"/>
  <c r="C1242" i="30"/>
  <c r="C1243" i="30"/>
  <c r="C1244" i="30"/>
  <c r="C1245" i="30"/>
  <c r="C1246" i="30"/>
  <c r="C1247" i="30"/>
  <c r="C1248" i="30"/>
  <c r="C1249" i="30"/>
  <c r="C1250" i="30"/>
  <c r="C1251" i="30"/>
  <c r="C1252" i="30"/>
  <c r="C1253" i="30"/>
  <c r="C1254" i="30"/>
  <c r="C1255" i="30"/>
  <c r="C1256" i="30"/>
  <c r="C1257" i="30"/>
  <c r="C1258" i="30"/>
  <c r="C1259" i="30"/>
  <c r="C1260" i="30"/>
  <c r="C1261" i="30"/>
  <c r="C1262" i="30"/>
  <c r="C1263" i="30"/>
  <c r="C1264" i="30"/>
  <c r="C1265" i="30"/>
  <c r="C1266" i="30"/>
  <c r="C1267" i="30"/>
  <c r="C1268" i="30"/>
  <c r="C1269" i="30"/>
  <c r="C1270" i="30"/>
  <c r="C1271" i="30"/>
  <c r="C1272" i="30"/>
  <c r="C1273" i="30"/>
  <c r="C1274" i="30"/>
  <c r="C1275" i="30"/>
  <c r="C1276" i="30"/>
  <c r="C1277" i="30"/>
  <c r="C1278" i="30"/>
  <c r="C1279" i="30"/>
  <c r="C1280" i="30"/>
  <c r="C1281" i="30"/>
  <c r="C1282" i="30"/>
  <c r="C1283" i="30"/>
  <c r="C1284" i="30"/>
  <c r="C1285" i="30"/>
  <c r="C1286" i="30"/>
  <c r="C1287" i="30"/>
  <c r="C1288" i="30"/>
  <c r="C1289" i="30"/>
  <c r="C1290" i="30"/>
  <c r="C1291" i="30"/>
  <c r="C1292" i="30"/>
  <c r="C1293" i="30"/>
  <c r="C1294" i="30"/>
  <c r="C1295" i="30"/>
  <c r="C1296" i="30"/>
  <c r="C1297" i="30"/>
  <c r="C1298" i="30"/>
  <c r="C1299" i="30"/>
  <c r="C1300" i="30"/>
  <c r="C1301" i="30"/>
  <c r="C1302" i="30"/>
  <c r="C1303" i="30"/>
  <c r="C1304" i="30"/>
  <c r="C1305" i="30"/>
  <c r="C1306" i="30"/>
  <c r="C1307" i="30"/>
  <c r="C1308" i="30"/>
  <c r="C1309" i="30"/>
  <c r="C1310" i="30"/>
  <c r="C1311" i="30"/>
  <c r="C1312" i="30"/>
  <c r="C1313" i="30"/>
  <c r="C1314" i="30"/>
  <c r="C1315" i="30"/>
  <c r="C1316" i="30"/>
  <c r="C1317" i="30"/>
  <c r="C1318" i="30"/>
  <c r="C1319" i="30"/>
  <c r="C1320" i="30"/>
  <c r="C1321" i="30"/>
  <c r="C1322" i="30"/>
  <c r="C1323" i="30"/>
  <c r="C1324" i="30"/>
  <c r="C1325" i="30"/>
  <c r="C1326" i="30"/>
  <c r="C1327" i="30"/>
  <c r="C1328" i="30"/>
  <c r="C1329" i="30"/>
  <c r="C1330" i="30"/>
  <c r="C1331" i="30"/>
  <c r="C1332" i="30"/>
  <c r="C1333" i="30"/>
  <c r="C1334" i="30"/>
  <c r="C1335" i="30"/>
  <c r="C1336" i="30"/>
  <c r="C1337" i="30"/>
  <c r="C1338" i="30"/>
  <c r="C1339" i="30"/>
  <c r="C1340" i="30"/>
  <c r="C1341" i="30"/>
  <c r="C1342" i="30"/>
  <c r="C1343" i="30"/>
  <c r="C1344" i="30"/>
  <c r="C1345" i="30"/>
  <c r="C1346" i="30"/>
  <c r="C1347" i="30"/>
  <c r="C1348" i="30"/>
  <c r="C1349" i="30"/>
  <c r="C1350" i="30"/>
  <c r="C1351" i="30"/>
  <c r="C1352" i="30"/>
  <c r="C1353" i="30"/>
  <c r="C1354" i="30"/>
  <c r="C1355" i="30"/>
  <c r="C1356" i="30"/>
  <c r="C1357" i="30"/>
  <c r="C1358" i="30"/>
  <c r="C1359" i="30"/>
  <c r="C1360" i="30"/>
  <c r="C1361" i="30"/>
  <c r="C1362" i="30"/>
  <c r="C1363" i="30"/>
  <c r="C1364" i="30"/>
  <c r="C1365" i="30"/>
  <c r="C1366" i="30"/>
  <c r="C1367" i="30"/>
  <c r="C1368" i="30"/>
  <c r="C1369" i="30"/>
  <c r="C1370" i="30"/>
  <c r="C1371" i="30"/>
  <c r="C1372" i="30"/>
  <c r="C1373" i="30"/>
  <c r="C1374" i="30"/>
  <c r="C1375" i="30"/>
  <c r="C1376" i="30"/>
  <c r="C1377" i="30"/>
  <c r="C1378" i="30"/>
  <c r="C1379" i="30"/>
  <c r="C1380" i="30"/>
  <c r="C1381" i="30"/>
  <c r="C1382" i="30"/>
  <c r="C1383" i="30"/>
  <c r="C1384" i="30"/>
  <c r="C1385" i="30"/>
  <c r="C1386" i="30"/>
  <c r="C1387" i="30"/>
  <c r="C1388" i="30"/>
  <c r="C1389" i="30"/>
  <c r="C1390" i="30"/>
  <c r="C1391" i="30"/>
  <c r="C1392" i="30"/>
  <c r="C1393" i="30"/>
  <c r="C1394" i="30"/>
  <c r="C1395" i="30"/>
  <c r="C1396" i="30"/>
  <c r="C1397" i="30"/>
  <c r="C1398" i="30"/>
  <c r="C1399" i="30"/>
  <c r="C1400" i="30"/>
  <c r="C1401" i="30"/>
  <c r="C1402" i="30"/>
  <c r="C1403" i="30"/>
  <c r="C1404" i="30"/>
  <c r="C1405" i="30"/>
  <c r="C1406" i="30"/>
  <c r="C1407" i="30"/>
  <c r="C1408" i="30"/>
  <c r="C1409" i="30"/>
  <c r="C1410" i="30"/>
  <c r="C1411" i="30"/>
  <c r="C1412" i="30"/>
  <c r="C1413" i="30"/>
  <c r="C1414" i="30"/>
  <c r="C1415" i="30"/>
  <c r="C1416" i="30"/>
  <c r="C1417" i="30"/>
  <c r="C1418" i="30"/>
  <c r="C1419" i="30"/>
  <c r="C1420" i="30"/>
  <c r="C1421" i="30"/>
  <c r="C1422" i="30"/>
  <c r="C1423" i="30"/>
  <c r="C1424" i="30"/>
  <c r="C1425" i="30"/>
  <c r="C1426" i="30"/>
  <c r="C1427" i="30"/>
  <c r="C1428" i="30"/>
  <c r="C1429" i="30"/>
  <c r="C1430" i="30"/>
  <c r="C1431" i="30"/>
  <c r="C1432" i="30"/>
  <c r="C1433" i="30"/>
  <c r="C1434" i="30"/>
  <c r="C1435" i="30"/>
  <c r="C1436" i="30"/>
  <c r="C1437" i="30"/>
  <c r="C1438" i="30"/>
  <c r="C1439" i="30"/>
  <c r="C1440" i="30"/>
  <c r="C1441" i="30"/>
  <c r="C1442" i="30"/>
  <c r="C1443" i="30"/>
  <c r="C1444" i="30"/>
  <c r="C1445" i="30"/>
  <c r="C1446" i="30"/>
  <c r="C1447" i="30"/>
  <c r="C1448" i="30"/>
  <c r="C1449" i="30"/>
  <c r="C1450" i="30"/>
  <c r="C1451" i="30"/>
  <c r="C1452" i="30"/>
  <c r="C1453" i="30"/>
  <c r="C1454" i="30"/>
  <c r="C1455" i="30"/>
  <c r="C1456" i="30"/>
  <c r="C1457" i="30"/>
  <c r="C1458" i="30"/>
  <c r="C1459" i="30"/>
  <c r="C1460" i="30"/>
  <c r="C1461" i="30"/>
  <c r="C1462" i="30"/>
  <c r="C1463" i="30"/>
  <c r="C1464" i="30"/>
  <c r="C1465" i="30"/>
  <c r="C1466" i="30"/>
  <c r="C1467" i="30"/>
  <c r="C1468" i="30"/>
  <c r="C1469" i="30"/>
  <c r="C1470" i="30"/>
  <c r="C1471" i="30"/>
  <c r="C1472" i="30"/>
  <c r="C1473" i="30"/>
  <c r="C1474" i="30"/>
  <c r="C1475" i="30"/>
  <c r="C1476" i="30"/>
  <c r="C1477" i="30"/>
  <c r="C1478" i="30"/>
  <c r="C1479" i="30"/>
  <c r="C1480" i="30"/>
  <c r="C1481" i="30"/>
  <c r="C1482" i="30"/>
  <c r="C1483" i="30"/>
  <c r="C1484" i="30"/>
  <c r="C1485" i="30"/>
  <c r="C1486" i="30"/>
  <c r="C1487" i="30"/>
  <c r="C1488" i="30"/>
  <c r="C1489" i="30"/>
  <c r="C1490" i="30"/>
  <c r="C1491" i="30"/>
  <c r="C1492" i="30"/>
  <c r="C1493" i="30"/>
  <c r="C1494" i="30"/>
  <c r="C1495" i="30"/>
  <c r="C1496" i="30"/>
  <c r="C1497" i="30"/>
  <c r="C1498" i="30"/>
  <c r="C1499" i="30"/>
  <c r="C1500" i="30"/>
  <c r="C1501" i="30"/>
  <c r="C1502" i="30"/>
  <c r="C1503" i="30"/>
  <c r="C1504" i="30"/>
  <c r="C1505" i="30"/>
  <c r="C1506" i="30"/>
  <c r="C1507" i="30"/>
  <c r="C1508" i="30"/>
  <c r="C1509" i="30"/>
  <c r="C1510" i="30"/>
  <c r="C1511" i="30"/>
  <c r="C1512" i="30"/>
  <c r="C1513" i="30"/>
  <c r="C1514" i="30"/>
  <c r="C1515" i="30"/>
  <c r="C1516" i="30"/>
  <c r="C1517" i="30"/>
  <c r="C1518" i="30"/>
  <c r="C1519" i="30"/>
  <c r="C1520" i="30"/>
  <c r="C1521" i="30"/>
  <c r="C1522" i="30"/>
  <c r="C1523" i="30"/>
  <c r="C1524" i="30"/>
  <c r="C1525" i="30"/>
  <c r="C1526" i="30"/>
  <c r="C1527" i="30"/>
  <c r="C1528" i="30"/>
  <c r="C1529" i="30"/>
  <c r="C1530" i="30"/>
  <c r="C1531" i="30"/>
  <c r="C1532" i="30"/>
  <c r="C1533" i="30"/>
  <c r="C1534" i="30"/>
  <c r="C1535" i="30"/>
  <c r="C1536" i="30"/>
  <c r="C1537" i="30"/>
  <c r="C1538" i="30"/>
  <c r="C1539" i="30"/>
  <c r="C1540" i="30"/>
  <c r="C1541" i="30"/>
  <c r="C1542" i="30"/>
  <c r="C1543" i="30"/>
  <c r="C1544" i="30"/>
  <c r="C1545" i="30"/>
  <c r="C1546" i="30"/>
  <c r="C1547" i="30"/>
  <c r="C1548" i="30"/>
  <c r="C1549" i="30"/>
  <c r="C1550" i="30"/>
  <c r="C1551" i="30"/>
  <c r="C1552" i="30"/>
  <c r="C1553" i="30"/>
  <c r="C1554" i="30"/>
  <c r="C1555" i="30"/>
  <c r="C1556" i="30"/>
  <c r="C1557" i="30"/>
  <c r="C1558" i="30"/>
  <c r="C1559" i="30"/>
  <c r="C1560" i="30"/>
  <c r="C1561" i="30"/>
  <c r="C1562" i="30"/>
  <c r="C1563" i="30"/>
  <c r="C1564" i="30"/>
  <c r="C1565" i="30"/>
  <c r="C1566" i="30"/>
  <c r="C1567" i="30"/>
  <c r="C1568" i="30"/>
  <c r="C1569" i="30"/>
  <c r="C1570" i="30"/>
  <c r="C1571" i="30"/>
  <c r="C1572" i="30"/>
  <c r="C1573" i="30"/>
  <c r="C1574" i="30"/>
  <c r="C1575" i="30"/>
  <c r="C1576" i="30"/>
  <c r="C1577" i="30"/>
  <c r="C1578" i="30"/>
  <c r="C1579" i="30"/>
  <c r="C1580" i="30"/>
  <c r="C1581" i="30"/>
  <c r="C1582" i="30"/>
  <c r="C1583" i="30"/>
  <c r="C1584" i="30"/>
  <c r="C1585" i="30"/>
  <c r="C1586" i="30"/>
  <c r="C1587" i="30"/>
  <c r="C1588" i="30"/>
  <c r="C1589" i="30"/>
  <c r="C1590" i="30"/>
  <c r="C1591" i="30"/>
  <c r="C1592" i="30"/>
  <c r="C1593" i="30"/>
  <c r="C1594" i="30"/>
  <c r="C1595" i="30"/>
  <c r="C1596" i="30"/>
  <c r="C1597" i="30"/>
  <c r="C1598" i="30"/>
  <c r="C1599" i="30"/>
  <c r="C1600" i="30"/>
  <c r="C1601" i="30"/>
  <c r="C1602" i="30"/>
  <c r="C1603" i="30"/>
  <c r="C1604" i="30"/>
  <c r="C1605" i="30"/>
  <c r="C1606" i="30"/>
  <c r="C1607" i="30"/>
  <c r="C1608" i="30"/>
  <c r="C1609" i="30"/>
  <c r="C1610" i="30"/>
  <c r="C1611" i="30"/>
  <c r="C1612" i="30"/>
  <c r="C1613" i="30"/>
  <c r="C1614" i="30"/>
  <c r="C1615" i="30"/>
  <c r="C1616" i="30"/>
  <c r="C1617" i="30"/>
  <c r="C1618" i="30"/>
  <c r="C1619" i="30"/>
  <c r="C1620" i="30"/>
  <c r="C1621" i="30"/>
  <c r="C1622" i="30"/>
  <c r="C1623" i="30"/>
  <c r="C1624" i="30"/>
  <c r="C1625" i="30"/>
  <c r="C1626" i="30"/>
  <c r="C1627" i="30"/>
  <c r="C1628" i="30"/>
  <c r="C1629" i="30"/>
  <c r="C1630" i="30"/>
  <c r="C1631" i="30"/>
  <c r="C1632" i="30"/>
  <c r="C1633" i="30"/>
  <c r="C1634" i="30"/>
  <c r="C1635" i="30"/>
  <c r="C1636" i="30"/>
  <c r="C1637" i="30"/>
  <c r="C1638" i="30"/>
  <c r="C1639" i="30"/>
  <c r="C1640" i="30"/>
  <c r="C1641" i="30"/>
  <c r="C1642" i="30"/>
  <c r="C1643" i="30"/>
  <c r="C1644" i="30"/>
  <c r="C1645" i="30"/>
  <c r="C1646" i="30"/>
  <c r="C1647" i="30"/>
  <c r="C1648" i="30"/>
  <c r="C1649" i="30"/>
  <c r="C1650" i="30"/>
  <c r="C1651" i="30"/>
  <c r="C1652" i="30"/>
  <c r="C1653" i="30"/>
  <c r="C1654" i="30"/>
  <c r="C1655" i="30"/>
  <c r="C1656" i="30"/>
  <c r="C1657" i="30"/>
  <c r="C1658" i="30"/>
  <c r="C1659" i="30"/>
  <c r="C1660" i="30"/>
  <c r="C1661" i="30"/>
  <c r="C1662" i="30"/>
  <c r="C1663" i="30"/>
  <c r="C1664" i="30"/>
  <c r="C1665" i="30"/>
  <c r="C1666" i="30"/>
  <c r="C1667" i="30"/>
  <c r="C1668" i="30"/>
  <c r="C1669" i="30"/>
  <c r="C1670" i="30"/>
  <c r="C1671" i="30"/>
  <c r="C1672" i="30"/>
  <c r="C1673" i="30"/>
  <c r="C1674" i="30"/>
  <c r="C1675" i="30"/>
  <c r="C1676" i="30"/>
  <c r="C1677" i="30"/>
  <c r="C1678" i="30"/>
  <c r="C1679" i="30"/>
  <c r="C1680" i="30"/>
  <c r="C1681" i="30"/>
  <c r="C1682" i="30"/>
  <c r="C1683" i="30"/>
  <c r="C1684" i="30"/>
  <c r="C1685" i="30"/>
  <c r="C1686" i="30"/>
  <c r="C1687" i="30"/>
  <c r="C1688" i="30"/>
  <c r="C1689" i="30"/>
  <c r="C1690" i="30"/>
  <c r="C1691" i="30"/>
  <c r="C1692" i="30"/>
  <c r="C1693" i="30"/>
  <c r="C1694" i="30"/>
  <c r="C1695" i="30"/>
  <c r="C1696" i="30"/>
  <c r="C1697" i="30"/>
  <c r="C1698" i="30"/>
  <c r="C1699" i="30"/>
  <c r="C1700" i="30"/>
  <c r="C1701" i="30"/>
  <c r="C1702" i="30"/>
  <c r="C1703" i="30"/>
  <c r="C1704" i="30"/>
  <c r="C1705" i="30"/>
  <c r="C1706" i="30"/>
  <c r="C1707" i="30"/>
  <c r="C1708" i="30"/>
  <c r="C1709" i="30"/>
  <c r="C1710" i="30"/>
  <c r="C1711" i="30"/>
  <c r="C1712" i="30"/>
  <c r="C1713" i="30"/>
  <c r="C1714" i="30"/>
  <c r="C1715" i="30"/>
  <c r="C1716" i="30"/>
  <c r="C1717" i="30"/>
  <c r="C1718" i="30"/>
  <c r="C1719" i="30"/>
  <c r="C1720" i="30"/>
  <c r="C1721" i="30"/>
  <c r="C1722" i="30"/>
  <c r="C1723" i="30"/>
  <c r="C1724" i="30"/>
  <c r="C1725" i="30"/>
  <c r="C1726" i="30"/>
  <c r="C1727" i="30"/>
  <c r="C1728" i="30"/>
  <c r="C1729" i="30"/>
  <c r="C1730" i="30"/>
  <c r="C1731" i="30"/>
  <c r="C1732" i="30"/>
  <c r="C1733" i="30"/>
  <c r="C1734" i="30"/>
  <c r="C1735" i="30"/>
  <c r="C1736" i="30"/>
  <c r="C1737" i="30"/>
  <c r="C1738" i="30"/>
  <c r="C1739" i="30"/>
  <c r="C1740" i="30"/>
  <c r="C1741" i="30"/>
  <c r="C1742" i="30"/>
  <c r="C1743" i="30"/>
  <c r="C1744" i="30"/>
  <c r="C1745" i="30"/>
  <c r="C1746" i="30"/>
  <c r="C1747" i="30"/>
  <c r="C1748" i="30"/>
  <c r="C1749" i="30"/>
  <c r="C1750" i="30"/>
  <c r="C1751" i="30"/>
  <c r="C1752" i="30"/>
  <c r="C1753" i="30"/>
  <c r="C1754" i="30"/>
  <c r="C1755" i="30"/>
  <c r="C1756" i="30"/>
  <c r="C1757" i="30"/>
  <c r="C1758" i="30"/>
  <c r="C1759" i="30"/>
  <c r="C1760" i="30"/>
  <c r="C1761" i="30"/>
  <c r="C1762" i="30"/>
  <c r="C1763" i="30"/>
  <c r="C1764" i="30"/>
  <c r="C1765" i="30"/>
  <c r="C1766" i="30"/>
  <c r="C1767" i="30"/>
  <c r="C1768" i="30"/>
  <c r="C1769" i="30"/>
  <c r="C1770" i="30"/>
  <c r="C1771" i="30"/>
  <c r="C1772" i="30"/>
  <c r="C1773" i="30"/>
  <c r="C1774" i="30"/>
  <c r="C1775" i="30"/>
  <c r="C1776" i="30"/>
  <c r="C1777" i="30"/>
  <c r="C1778" i="30"/>
  <c r="C1779" i="30"/>
  <c r="C1780" i="30"/>
  <c r="C1781" i="30"/>
  <c r="C1782" i="30"/>
  <c r="C1783" i="30"/>
  <c r="C1784" i="30"/>
  <c r="C1785" i="30"/>
  <c r="C1786" i="30"/>
  <c r="C1787" i="30"/>
  <c r="C1788" i="30"/>
  <c r="C1789" i="30"/>
  <c r="C1790" i="30"/>
  <c r="C1791" i="30"/>
  <c r="C1792" i="30"/>
  <c r="C1793" i="30"/>
  <c r="C1794" i="30"/>
  <c r="C1795" i="30"/>
  <c r="C1796" i="30"/>
  <c r="C1797" i="30"/>
  <c r="C1798" i="30"/>
  <c r="C1799" i="30"/>
  <c r="C1800" i="30"/>
  <c r="C1801" i="30"/>
  <c r="C1802" i="30"/>
  <c r="C1803" i="30"/>
  <c r="C1804" i="30"/>
  <c r="C1805" i="30"/>
  <c r="C1806" i="30"/>
  <c r="C1807" i="30"/>
  <c r="C1808" i="30"/>
  <c r="C1809" i="30"/>
  <c r="C1810" i="30"/>
  <c r="C1811" i="30"/>
  <c r="C1812" i="30"/>
  <c r="C1813" i="30"/>
  <c r="C1814" i="30"/>
  <c r="C1815" i="30"/>
  <c r="C1816" i="30"/>
  <c r="C1817" i="30"/>
  <c r="C1818" i="30"/>
  <c r="C1819" i="30"/>
  <c r="C1820" i="30"/>
  <c r="C1821" i="30"/>
  <c r="C1822" i="30"/>
  <c r="C1823" i="30"/>
  <c r="C1824" i="30"/>
  <c r="C1825" i="30"/>
  <c r="C1826" i="30"/>
  <c r="C1827" i="30"/>
  <c r="C1828" i="30"/>
  <c r="C1829" i="30"/>
  <c r="C1830" i="30"/>
  <c r="C1831" i="30"/>
  <c r="C1832" i="30"/>
  <c r="C1833" i="30"/>
  <c r="C1834" i="30"/>
  <c r="C1835" i="30"/>
  <c r="C1836" i="30"/>
  <c r="C1837" i="30"/>
  <c r="C1838" i="30"/>
  <c r="C1839" i="30"/>
  <c r="C1840" i="30"/>
  <c r="C1841" i="30"/>
  <c r="C1842" i="30"/>
  <c r="C1843" i="30"/>
  <c r="C1844" i="30"/>
  <c r="C1845" i="30"/>
  <c r="C1846" i="30"/>
  <c r="C1847" i="30"/>
  <c r="C1848" i="30"/>
  <c r="C1849" i="30"/>
  <c r="C1850" i="30"/>
  <c r="C1851" i="30"/>
  <c r="C1852" i="30"/>
  <c r="C1853" i="30"/>
  <c r="C1854" i="30"/>
  <c r="C1855" i="30"/>
  <c r="C1856" i="30"/>
  <c r="C1857" i="30"/>
  <c r="C1858" i="30"/>
  <c r="C1859" i="30"/>
  <c r="C1860" i="30"/>
  <c r="C1861" i="30"/>
  <c r="C1862" i="30"/>
  <c r="C1863" i="30"/>
  <c r="C1864" i="30"/>
  <c r="C1865" i="30"/>
  <c r="C1866" i="30"/>
  <c r="C1867" i="30"/>
  <c r="C1868" i="30"/>
  <c r="C1869" i="30"/>
  <c r="C1870" i="30"/>
  <c r="C1871" i="30"/>
  <c r="C1872" i="30"/>
  <c r="C1873" i="30"/>
  <c r="C1874" i="30"/>
  <c r="C1875" i="30"/>
  <c r="C1876" i="30"/>
  <c r="C1877" i="30"/>
  <c r="C1878" i="30"/>
  <c r="C1879" i="30"/>
  <c r="C1880" i="30"/>
  <c r="C1881" i="30"/>
  <c r="C1882" i="30"/>
  <c r="C1883" i="30"/>
  <c r="C1884" i="30"/>
  <c r="C1885" i="30"/>
  <c r="C1886" i="30"/>
  <c r="C1887" i="30"/>
  <c r="C1888" i="30"/>
  <c r="C1889" i="30"/>
  <c r="C1890" i="30"/>
  <c r="C1891" i="30"/>
  <c r="C1892" i="30"/>
  <c r="C1893" i="30"/>
  <c r="C1894" i="30"/>
  <c r="C1895" i="30"/>
  <c r="C1896" i="30"/>
  <c r="C1897" i="30"/>
  <c r="C1898" i="30"/>
  <c r="C1899" i="30"/>
  <c r="C1900" i="30"/>
  <c r="C1901" i="30"/>
  <c r="C1902" i="30"/>
  <c r="C1903" i="30"/>
  <c r="C1904" i="30"/>
  <c r="C1905" i="30"/>
  <c r="C1906" i="30"/>
  <c r="C1907" i="30"/>
  <c r="C1908" i="30"/>
  <c r="C1909" i="30"/>
  <c r="C1910" i="30"/>
  <c r="C1911" i="30"/>
  <c r="C1912" i="30"/>
  <c r="C1913" i="30"/>
  <c r="C1914" i="30"/>
  <c r="C1915" i="30"/>
  <c r="C1916" i="30"/>
  <c r="C1917" i="30"/>
  <c r="C1918" i="30"/>
  <c r="C1919" i="30"/>
  <c r="C1920" i="30"/>
  <c r="C1921" i="30"/>
  <c r="C1922" i="30"/>
  <c r="C1923" i="30"/>
  <c r="C1924" i="30"/>
  <c r="C1925" i="30"/>
  <c r="C1926" i="30"/>
  <c r="C1927" i="30"/>
  <c r="C1928" i="30"/>
  <c r="C1929" i="30"/>
  <c r="C1930" i="30"/>
  <c r="C1931" i="30"/>
  <c r="C1932" i="30"/>
  <c r="C1933" i="30"/>
  <c r="C1934" i="30"/>
  <c r="C1935" i="30"/>
  <c r="C1936" i="30"/>
  <c r="C1937" i="30"/>
  <c r="C1938" i="30"/>
  <c r="C1939" i="30"/>
  <c r="C1940" i="30"/>
  <c r="C1941" i="30"/>
  <c r="C1942" i="30"/>
  <c r="C1943" i="30"/>
  <c r="C1944" i="30"/>
  <c r="C1945" i="30"/>
  <c r="C1946" i="30"/>
  <c r="C1947" i="30"/>
  <c r="C1948" i="30"/>
  <c r="C1949" i="30"/>
  <c r="C1950" i="30"/>
  <c r="C1951" i="30"/>
  <c r="C1952" i="30"/>
  <c r="C1953" i="30"/>
  <c r="C1954" i="30"/>
  <c r="C1955" i="30"/>
  <c r="C1956" i="30"/>
  <c r="C1957" i="30"/>
  <c r="C1958" i="30"/>
  <c r="C1959" i="30"/>
  <c r="C1960" i="30"/>
  <c r="C1961" i="30"/>
  <c r="C1962" i="30"/>
  <c r="C1963" i="30"/>
  <c r="C1964" i="30"/>
  <c r="C1965" i="30"/>
  <c r="C1966" i="30"/>
  <c r="C1967" i="30"/>
  <c r="C1968" i="30"/>
  <c r="C1969" i="30"/>
  <c r="C1970" i="30"/>
  <c r="C1971" i="30"/>
  <c r="C1972" i="30"/>
  <c r="C1973" i="30"/>
  <c r="C1974" i="30"/>
  <c r="C1975" i="30"/>
  <c r="C1976" i="30"/>
  <c r="C1977" i="30"/>
  <c r="C1978" i="30"/>
  <c r="C1979" i="30"/>
  <c r="C1980" i="30"/>
  <c r="C1981" i="30"/>
  <c r="C1982" i="30"/>
  <c r="C1983" i="30"/>
  <c r="C1984" i="30"/>
  <c r="C1985" i="30"/>
  <c r="C1986" i="30"/>
  <c r="C1987" i="30"/>
  <c r="C1988" i="30"/>
  <c r="C1989" i="30"/>
  <c r="C1990" i="30"/>
  <c r="C1991" i="30"/>
  <c r="C1992" i="30"/>
  <c r="C1993" i="30"/>
  <c r="C1994" i="30"/>
  <c r="C1995" i="30"/>
  <c r="C1996" i="30"/>
  <c r="C1997" i="30"/>
  <c r="C1998" i="30"/>
  <c r="C1999" i="30"/>
  <c r="C2000" i="30"/>
  <c r="C2001" i="30"/>
  <c r="C2002" i="30"/>
  <c r="C2003" i="30"/>
  <c r="C2004" i="30"/>
  <c r="C2005" i="30"/>
  <c r="C2006" i="30"/>
  <c r="C2007" i="30"/>
  <c r="C2008" i="30"/>
  <c r="C2009" i="30"/>
  <c r="C2010" i="30"/>
  <c r="C2011" i="30"/>
  <c r="C2012" i="30"/>
  <c r="C2013" i="30"/>
  <c r="C2014" i="30"/>
  <c r="C2015" i="30"/>
  <c r="C2016" i="30"/>
  <c r="C2017" i="30"/>
  <c r="C2018" i="30"/>
  <c r="C2019" i="30"/>
  <c r="C2020" i="30"/>
  <c r="C2021" i="30"/>
  <c r="C2022" i="30"/>
  <c r="C2023" i="30"/>
  <c r="C2024" i="30"/>
  <c r="C2025" i="30"/>
  <c r="C2026" i="30"/>
  <c r="C2027" i="30"/>
  <c r="C2028" i="30"/>
  <c r="C2029" i="30"/>
  <c r="C2030" i="30"/>
  <c r="C2031" i="30"/>
  <c r="C2032" i="30"/>
  <c r="C2033" i="30"/>
  <c r="C2034" i="30"/>
  <c r="C2035" i="30"/>
  <c r="C2036" i="30"/>
  <c r="C2037" i="30"/>
  <c r="C2038" i="30"/>
  <c r="C2039" i="30"/>
  <c r="C2040" i="30"/>
  <c r="C2041" i="30"/>
  <c r="C2042" i="30"/>
  <c r="C2043" i="30"/>
  <c r="C2044" i="30"/>
  <c r="C2045" i="30"/>
  <c r="C2046" i="30"/>
  <c r="C2047" i="30"/>
  <c r="C2048" i="30"/>
  <c r="C2049" i="30"/>
  <c r="C2050" i="30"/>
  <c r="C2051" i="30"/>
  <c r="C2052" i="30"/>
  <c r="C2053" i="30"/>
  <c r="C2054" i="30"/>
  <c r="C2055" i="30"/>
  <c r="C2056" i="30"/>
  <c r="C2057" i="30"/>
  <c r="C2058" i="30"/>
  <c r="C2059" i="30"/>
  <c r="C2060" i="30"/>
  <c r="C2061" i="30"/>
  <c r="C2062" i="30"/>
  <c r="C2063" i="30"/>
  <c r="C2064" i="30"/>
  <c r="C2065" i="30"/>
  <c r="C2066" i="30"/>
  <c r="C2067" i="30"/>
  <c r="C2068" i="30"/>
  <c r="C2069" i="30"/>
  <c r="C2070" i="30"/>
  <c r="C2071" i="30"/>
  <c r="C2072" i="30"/>
  <c r="C2073" i="30"/>
  <c r="C2074" i="30"/>
  <c r="C2075" i="30"/>
  <c r="C2076" i="30"/>
  <c r="C2077" i="30"/>
  <c r="C2078" i="30"/>
  <c r="C2079" i="30"/>
  <c r="C2080" i="30"/>
  <c r="C2081" i="30"/>
  <c r="C2082" i="30"/>
  <c r="C2083" i="30"/>
  <c r="C2084" i="30"/>
  <c r="C2085" i="30"/>
  <c r="C2086" i="30"/>
  <c r="C2087" i="30"/>
  <c r="C2088" i="30"/>
  <c r="C2089" i="30"/>
  <c r="C2090" i="30"/>
  <c r="C2091" i="30"/>
  <c r="C2092" i="30"/>
  <c r="C2093" i="30"/>
  <c r="C2094" i="30"/>
  <c r="C2095" i="30"/>
  <c r="C2096" i="30"/>
  <c r="C2097" i="30"/>
  <c r="C2098" i="30"/>
  <c r="C2099" i="30"/>
  <c r="C2100" i="30"/>
  <c r="C2101" i="30"/>
  <c r="C2102" i="30"/>
  <c r="C2103" i="30"/>
  <c r="C2104" i="30"/>
  <c r="C2105" i="30"/>
  <c r="C2106" i="30"/>
  <c r="C2107" i="30"/>
  <c r="C2108" i="30"/>
  <c r="C2109" i="30"/>
  <c r="C2110" i="30"/>
  <c r="C2111" i="30"/>
  <c r="C2112" i="30"/>
  <c r="C2113" i="30"/>
  <c r="C2114" i="30"/>
  <c r="C2115" i="30"/>
  <c r="C2116" i="30"/>
  <c r="C2117" i="30"/>
  <c r="C2118" i="30"/>
  <c r="C2119" i="30"/>
  <c r="C2120" i="30"/>
  <c r="C2121" i="30"/>
  <c r="C2122" i="30"/>
  <c r="C2123" i="30"/>
  <c r="C2124" i="30"/>
  <c r="C2125" i="30"/>
  <c r="C2126" i="30"/>
  <c r="C2127" i="30"/>
  <c r="C2128" i="30"/>
  <c r="C2129" i="30"/>
  <c r="C2130" i="30"/>
  <c r="C2131" i="30"/>
  <c r="C2132" i="30"/>
  <c r="C2133" i="30"/>
  <c r="C2134" i="30"/>
  <c r="C2135" i="30"/>
  <c r="C2136" i="30"/>
  <c r="C2137" i="30"/>
  <c r="C2138" i="30"/>
  <c r="C2139" i="30"/>
  <c r="C2140" i="30"/>
  <c r="C2141" i="30"/>
  <c r="C2142" i="30"/>
  <c r="C2143" i="30"/>
  <c r="C2144" i="30"/>
  <c r="C2145" i="30"/>
  <c r="C2146" i="30"/>
  <c r="C2147" i="30"/>
  <c r="C2148" i="30"/>
  <c r="C2149" i="30"/>
  <c r="C2150" i="30"/>
  <c r="C2151" i="30"/>
  <c r="C2152" i="30"/>
  <c r="C2153" i="30"/>
  <c r="C2154" i="30"/>
  <c r="C2155" i="30"/>
  <c r="C2156" i="30"/>
  <c r="C2157" i="30"/>
  <c r="C2158" i="30"/>
  <c r="C2159" i="30"/>
  <c r="C2160" i="30"/>
  <c r="C2161" i="30"/>
  <c r="C2162" i="30"/>
  <c r="C2163" i="30"/>
  <c r="C2164" i="30"/>
  <c r="C2165" i="30"/>
  <c r="C2166" i="30"/>
  <c r="C2167" i="30"/>
  <c r="C2168" i="30"/>
  <c r="C2169" i="30"/>
  <c r="C2170" i="30"/>
  <c r="C2171" i="30"/>
  <c r="C2172" i="30"/>
  <c r="C2173" i="30"/>
  <c r="C2174" i="30"/>
  <c r="C2175" i="30"/>
  <c r="C2176" i="30"/>
  <c r="C2177" i="30"/>
  <c r="C2178" i="30"/>
  <c r="C2179" i="30"/>
  <c r="C2180" i="30"/>
  <c r="C2181" i="30"/>
  <c r="C2182" i="30"/>
  <c r="C2183" i="30"/>
  <c r="C2184" i="30"/>
  <c r="C2185" i="30"/>
  <c r="C2186" i="30"/>
  <c r="C2187" i="30"/>
  <c r="C2188" i="30"/>
  <c r="C2189" i="30"/>
  <c r="C2190" i="30"/>
  <c r="C2191" i="30"/>
  <c r="C2192" i="30"/>
  <c r="C2193" i="30"/>
  <c r="C2194" i="30"/>
  <c r="C2195" i="30"/>
  <c r="C2196" i="30"/>
  <c r="C2197" i="30"/>
  <c r="C2198" i="30"/>
  <c r="C2199" i="30"/>
  <c r="C2200" i="30"/>
  <c r="C2201" i="30"/>
  <c r="C2202" i="30"/>
  <c r="C2203" i="30"/>
  <c r="C2204" i="30"/>
  <c r="C2205" i="30"/>
  <c r="C2206" i="30"/>
  <c r="C2207" i="30"/>
  <c r="C2208" i="30"/>
  <c r="C2209" i="30"/>
  <c r="C2210" i="30"/>
  <c r="C2211" i="30"/>
  <c r="C2212" i="30"/>
  <c r="C2213" i="30"/>
  <c r="C2214" i="30"/>
  <c r="C2215" i="30"/>
  <c r="C2216" i="30"/>
  <c r="C2217" i="30"/>
  <c r="C2218" i="30"/>
  <c r="C2219" i="30"/>
  <c r="C2220" i="30"/>
  <c r="C2221" i="30"/>
  <c r="C2222" i="30"/>
  <c r="C2223" i="30"/>
  <c r="C2224" i="30"/>
  <c r="C2225" i="30"/>
  <c r="C2226" i="30"/>
  <c r="C2227" i="30"/>
  <c r="C2228" i="30"/>
  <c r="C2229" i="30"/>
  <c r="C2230" i="30"/>
  <c r="C2231" i="30"/>
  <c r="C2232" i="30"/>
  <c r="C2233" i="30"/>
  <c r="C2234" i="30"/>
  <c r="C2235" i="30"/>
  <c r="C2236" i="30"/>
  <c r="C2237" i="30"/>
  <c r="C2238" i="30"/>
  <c r="C2239" i="30"/>
  <c r="C2240" i="30"/>
  <c r="C2241" i="30"/>
  <c r="C2242" i="30"/>
  <c r="C2243" i="30"/>
  <c r="C2244" i="30"/>
  <c r="C2245" i="30"/>
  <c r="C2246" i="30"/>
  <c r="C2247" i="30"/>
  <c r="C2248" i="30"/>
  <c r="C2249" i="30"/>
  <c r="C2250" i="30"/>
  <c r="C2251" i="30"/>
  <c r="C2252" i="30"/>
  <c r="C2253" i="30"/>
  <c r="C2254" i="30"/>
  <c r="C2255" i="30"/>
  <c r="C2256" i="30"/>
  <c r="C2257" i="30"/>
  <c r="C2258" i="30"/>
  <c r="C2259" i="30"/>
  <c r="C2260" i="30"/>
  <c r="C2261" i="30"/>
  <c r="C2262" i="30"/>
  <c r="C2263" i="30"/>
  <c r="C2264" i="30"/>
  <c r="C2265" i="30"/>
  <c r="C2266" i="30"/>
  <c r="C2267" i="30"/>
  <c r="C2268" i="30"/>
  <c r="C2269" i="30"/>
  <c r="C2270" i="30"/>
  <c r="C2271" i="30"/>
  <c r="C2272" i="30"/>
  <c r="C2273" i="30"/>
  <c r="C2274" i="30"/>
  <c r="C2275" i="30"/>
  <c r="C2276" i="30"/>
  <c r="C2277" i="30"/>
  <c r="C2278" i="30"/>
  <c r="C2279" i="30"/>
  <c r="C2280" i="30"/>
  <c r="C2281" i="30"/>
  <c r="C2282" i="30"/>
  <c r="C2283" i="30"/>
  <c r="C2284" i="30"/>
  <c r="C2285" i="30"/>
  <c r="C2286" i="30"/>
  <c r="C2287" i="30"/>
  <c r="C2288" i="30"/>
  <c r="C2289" i="30"/>
  <c r="C2290" i="30"/>
  <c r="C2291" i="30"/>
  <c r="C2292" i="30"/>
  <c r="C2293" i="30"/>
  <c r="C2294" i="30"/>
  <c r="C2295" i="30"/>
  <c r="C2296" i="30"/>
  <c r="C2297" i="30"/>
  <c r="C2298" i="30"/>
  <c r="C2299" i="30"/>
  <c r="C2300" i="30"/>
  <c r="C2301" i="30"/>
  <c r="C2302" i="30"/>
  <c r="C2303" i="30"/>
  <c r="C2304" i="30"/>
  <c r="C2305" i="30"/>
  <c r="C2306" i="30"/>
  <c r="C2307" i="30"/>
  <c r="C2308" i="30"/>
  <c r="C2309" i="30"/>
  <c r="C2310" i="30"/>
  <c r="C2311" i="30"/>
  <c r="C2312" i="30"/>
  <c r="C2313" i="30"/>
  <c r="C2314" i="30"/>
  <c r="C2315" i="30"/>
  <c r="C2316" i="30"/>
  <c r="C2317" i="30"/>
  <c r="C2318" i="30"/>
  <c r="C2319" i="30"/>
  <c r="C2320" i="30"/>
  <c r="C2321" i="30"/>
  <c r="C2322" i="30"/>
  <c r="C2323" i="30"/>
  <c r="C2324" i="30"/>
  <c r="C2325" i="30"/>
  <c r="C2326" i="30"/>
  <c r="C2327" i="30"/>
  <c r="C2328" i="30"/>
  <c r="C2329" i="30"/>
  <c r="C2330" i="30"/>
  <c r="C2331" i="30"/>
  <c r="C2332" i="30"/>
  <c r="C2333" i="30"/>
  <c r="C2334" i="30"/>
  <c r="C2335" i="30"/>
  <c r="C2336" i="30"/>
  <c r="C2337" i="30"/>
  <c r="C2338" i="30"/>
  <c r="C2339" i="30"/>
  <c r="C2340" i="30"/>
  <c r="C2341" i="30"/>
  <c r="C2342" i="30"/>
  <c r="C2343" i="30"/>
  <c r="C2344" i="30"/>
  <c r="C2345" i="30"/>
  <c r="C2346" i="30"/>
  <c r="C2347" i="30"/>
  <c r="C2348" i="30"/>
  <c r="C2349" i="30"/>
  <c r="C2350" i="30"/>
  <c r="C2351" i="30"/>
  <c r="C2352" i="30"/>
  <c r="C2353" i="30"/>
  <c r="C2354" i="30"/>
  <c r="C2355" i="30"/>
  <c r="C2356" i="30"/>
  <c r="C2357" i="30"/>
  <c r="C2358" i="30"/>
  <c r="C2359" i="30"/>
  <c r="C2360" i="30"/>
  <c r="C2361" i="30"/>
  <c r="C2362" i="30"/>
  <c r="C2363" i="30"/>
  <c r="C2364" i="30"/>
  <c r="C2365" i="30"/>
  <c r="C2366" i="30"/>
  <c r="C2367" i="30"/>
  <c r="C2368" i="30"/>
  <c r="C2369" i="30"/>
  <c r="C2370" i="30"/>
  <c r="C2371" i="30"/>
  <c r="C2372" i="30"/>
  <c r="C2373" i="30"/>
  <c r="C2374" i="30"/>
  <c r="C2375" i="30"/>
  <c r="C2376" i="30"/>
  <c r="C2377" i="30"/>
  <c r="C2378" i="30"/>
  <c r="C2379" i="30"/>
  <c r="C2380" i="30"/>
  <c r="C2381" i="30"/>
  <c r="C2382" i="30"/>
  <c r="C2383" i="30"/>
  <c r="C2384" i="30"/>
  <c r="C2385" i="30"/>
  <c r="C2386" i="30"/>
  <c r="C2387" i="30"/>
  <c r="C2388" i="30"/>
  <c r="C2389" i="30"/>
  <c r="C2390" i="30"/>
  <c r="C2391" i="30"/>
  <c r="C2392" i="30"/>
  <c r="C2393" i="30"/>
  <c r="C2394" i="30"/>
  <c r="C2395" i="30"/>
  <c r="C2396" i="30"/>
  <c r="C2397" i="30"/>
  <c r="C2398" i="30"/>
  <c r="C2399" i="30"/>
  <c r="C2400" i="30"/>
  <c r="C2401" i="30"/>
  <c r="C2402" i="30"/>
  <c r="C2403" i="30"/>
  <c r="C2404" i="30"/>
  <c r="C2405" i="30"/>
  <c r="C2406" i="30"/>
  <c r="C2407" i="30"/>
  <c r="C2408" i="30"/>
  <c r="C2409" i="30"/>
  <c r="C2410" i="30"/>
  <c r="C2411" i="30"/>
  <c r="C2412" i="30"/>
  <c r="C2413" i="30"/>
  <c r="C2414" i="30"/>
  <c r="C2415" i="30"/>
  <c r="C2416" i="30"/>
  <c r="C2417" i="30"/>
  <c r="C2418" i="30"/>
  <c r="C2419" i="30"/>
  <c r="C2420" i="30"/>
  <c r="C2421" i="30"/>
  <c r="C2422" i="30"/>
  <c r="C2423" i="30"/>
  <c r="C2424" i="30"/>
  <c r="C2425" i="30"/>
  <c r="C2426" i="30"/>
  <c r="C2427" i="30"/>
  <c r="C2428" i="30"/>
  <c r="C2429" i="30"/>
  <c r="C2430" i="30"/>
  <c r="C2431" i="30"/>
  <c r="C2432" i="30"/>
  <c r="C2433" i="30"/>
  <c r="C2434" i="30"/>
  <c r="C2435" i="30"/>
  <c r="C2436" i="30"/>
  <c r="C2437" i="30"/>
  <c r="C2438" i="30"/>
  <c r="C2439" i="30"/>
  <c r="C2440" i="30"/>
  <c r="C2441" i="30"/>
  <c r="C2442" i="30"/>
  <c r="C2443" i="30"/>
  <c r="C2444" i="30"/>
  <c r="C2445" i="30"/>
  <c r="C2446" i="30"/>
  <c r="C2447" i="30"/>
  <c r="C2448" i="30"/>
  <c r="C2449" i="30"/>
  <c r="C2450" i="30"/>
  <c r="C2451" i="30"/>
  <c r="C2452" i="30"/>
  <c r="C2453" i="30"/>
  <c r="C2454" i="30"/>
  <c r="C2455" i="30"/>
  <c r="C2456" i="30"/>
  <c r="C2457" i="30"/>
  <c r="C2458" i="30"/>
  <c r="C2459" i="30"/>
  <c r="C2460" i="30"/>
  <c r="C2461" i="30"/>
  <c r="C2462" i="30"/>
  <c r="C2463" i="30"/>
  <c r="C2464" i="30"/>
  <c r="C2465" i="30"/>
  <c r="C2466" i="30"/>
  <c r="C2467" i="30"/>
  <c r="C2468" i="30"/>
  <c r="C2469" i="30"/>
  <c r="C2470" i="30"/>
  <c r="C2471" i="30"/>
  <c r="C2472" i="30"/>
  <c r="C2473" i="30"/>
  <c r="C2474" i="30"/>
  <c r="C2475" i="30"/>
  <c r="C2476" i="30"/>
  <c r="C2477" i="30"/>
  <c r="C2478" i="30"/>
  <c r="C2479" i="30"/>
  <c r="C2480" i="30"/>
  <c r="C2481" i="30"/>
  <c r="C2482" i="30"/>
  <c r="C2483" i="30"/>
  <c r="C2484" i="30"/>
  <c r="C2485" i="30"/>
  <c r="C2486" i="30"/>
  <c r="C2487" i="30"/>
  <c r="C2488" i="30"/>
  <c r="C2489" i="30"/>
  <c r="C2490" i="30"/>
  <c r="C2491" i="30"/>
  <c r="C2492" i="30"/>
  <c r="C2493" i="30"/>
  <c r="C2494" i="30"/>
  <c r="C2495" i="30"/>
  <c r="C2496" i="30"/>
  <c r="C2497" i="30"/>
  <c r="C2498" i="30"/>
  <c r="C2499" i="30"/>
  <c r="C2500" i="30"/>
  <c r="C2501" i="30"/>
  <c r="C2502" i="30"/>
  <c r="C2503" i="30"/>
  <c r="C2504" i="30"/>
  <c r="C2505" i="30"/>
  <c r="C2506" i="30"/>
  <c r="C2507" i="30"/>
  <c r="C2508" i="30"/>
  <c r="C2509" i="30"/>
  <c r="C2510" i="30"/>
  <c r="C2511" i="30"/>
  <c r="C2512" i="30"/>
  <c r="C2513" i="30"/>
  <c r="C2514" i="30"/>
  <c r="C2515" i="30"/>
  <c r="C2516" i="30"/>
  <c r="C2517" i="30"/>
  <c r="C2518" i="30"/>
  <c r="C2519" i="30"/>
  <c r="C2520" i="30"/>
  <c r="C2521" i="30"/>
  <c r="C2522" i="30"/>
  <c r="C2523" i="30"/>
  <c r="C2524" i="30"/>
  <c r="C2525" i="30"/>
  <c r="C2526" i="30"/>
  <c r="C2527" i="30"/>
  <c r="C2528" i="30"/>
  <c r="C2529" i="30"/>
  <c r="C2530" i="30"/>
  <c r="C2531" i="30"/>
  <c r="C2532" i="30"/>
  <c r="C2533" i="30"/>
  <c r="C2534" i="30"/>
  <c r="C2535" i="30"/>
  <c r="C2536" i="30"/>
  <c r="C2537" i="30"/>
  <c r="C2538" i="30"/>
  <c r="C2539" i="30"/>
  <c r="C2540" i="30"/>
  <c r="C2541" i="30"/>
  <c r="C2542" i="30"/>
  <c r="C2543" i="30"/>
  <c r="C2544" i="30"/>
  <c r="C2545" i="30"/>
  <c r="C2546" i="30"/>
  <c r="C2547" i="30"/>
  <c r="C2548" i="30"/>
  <c r="C2549" i="30"/>
  <c r="C2550" i="30"/>
  <c r="C2551" i="30"/>
  <c r="C2552" i="30"/>
  <c r="C2553" i="30"/>
  <c r="C2554" i="30"/>
  <c r="C2555" i="30"/>
  <c r="C2556" i="30"/>
  <c r="C2557" i="30"/>
  <c r="C2558" i="30"/>
  <c r="C2559" i="30"/>
  <c r="C2560" i="30"/>
  <c r="C2561" i="30"/>
  <c r="C2562" i="30"/>
  <c r="C2563" i="30"/>
  <c r="C2564" i="30"/>
  <c r="C2565" i="30"/>
  <c r="C2566" i="30"/>
  <c r="C2567" i="30"/>
  <c r="C2568" i="30"/>
  <c r="C2569" i="30"/>
  <c r="C2570" i="30"/>
  <c r="C2571" i="30"/>
  <c r="C2572" i="30"/>
  <c r="C2573" i="30"/>
  <c r="C2574" i="30"/>
  <c r="C2575" i="30"/>
  <c r="C2576" i="30"/>
  <c r="C2577" i="30"/>
  <c r="C2578" i="30"/>
  <c r="C2579" i="30"/>
  <c r="C2580" i="30"/>
  <c r="C2581" i="30"/>
  <c r="C2582" i="30"/>
  <c r="C2583" i="30"/>
  <c r="C2584" i="30"/>
  <c r="C2585" i="30"/>
  <c r="C2586" i="30"/>
  <c r="C2587" i="30"/>
  <c r="C2588" i="30"/>
  <c r="C2589" i="30"/>
  <c r="C2590" i="30"/>
  <c r="C2591" i="30"/>
  <c r="C2592" i="30"/>
  <c r="C2593" i="30"/>
  <c r="C2594" i="30"/>
  <c r="C2595" i="30"/>
  <c r="C2596" i="30"/>
  <c r="C2597" i="30"/>
  <c r="C2598" i="30"/>
  <c r="C2599" i="30"/>
  <c r="C2600" i="30"/>
  <c r="C2601" i="30"/>
  <c r="C2602" i="30"/>
  <c r="C2603" i="30"/>
  <c r="C2604" i="30"/>
  <c r="C2605" i="30"/>
  <c r="C2606" i="30"/>
  <c r="C2607" i="30"/>
  <c r="C2608" i="30"/>
  <c r="C2609" i="30"/>
  <c r="C2610" i="30"/>
  <c r="C2611" i="30"/>
  <c r="C2612" i="30"/>
  <c r="C2613" i="30"/>
  <c r="C2614" i="30"/>
  <c r="C2615" i="30"/>
  <c r="C2616" i="30"/>
  <c r="C2617" i="30"/>
  <c r="C2618" i="30"/>
  <c r="C2619" i="30"/>
  <c r="C2620" i="30"/>
  <c r="C2621" i="30"/>
  <c r="C2622" i="30"/>
  <c r="C2623" i="30"/>
  <c r="C2624" i="30"/>
  <c r="C2625" i="30"/>
  <c r="C2626" i="30"/>
  <c r="C2627" i="30"/>
  <c r="C2628" i="30"/>
  <c r="C2629" i="30"/>
  <c r="C2630" i="30"/>
  <c r="C2631" i="30"/>
  <c r="C2632" i="30"/>
  <c r="C2633" i="30"/>
  <c r="C2634" i="30"/>
  <c r="C2635" i="30"/>
  <c r="C2636" i="30"/>
  <c r="C2637" i="30"/>
  <c r="C2638" i="30"/>
  <c r="C2639" i="30"/>
  <c r="C2640" i="30"/>
  <c r="C2641" i="30"/>
  <c r="C2642" i="30"/>
  <c r="C2643" i="30"/>
  <c r="C2644" i="30"/>
  <c r="C2645" i="30"/>
  <c r="C2646" i="30"/>
  <c r="C2647" i="30"/>
  <c r="C2648" i="30"/>
  <c r="C2649" i="30"/>
  <c r="C2650" i="30"/>
  <c r="C2651" i="30"/>
  <c r="C2652" i="30"/>
  <c r="C2653" i="30"/>
  <c r="C2654" i="30"/>
  <c r="C2655" i="30"/>
  <c r="C2656" i="30"/>
  <c r="C2657" i="30"/>
  <c r="C2658" i="30"/>
  <c r="C2659" i="30"/>
  <c r="C2660" i="30"/>
  <c r="C2661" i="30"/>
  <c r="C2662" i="30"/>
  <c r="C2663" i="30"/>
  <c r="C2664" i="30"/>
  <c r="C2665" i="30"/>
  <c r="C2666" i="30"/>
  <c r="C2667" i="30"/>
  <c r="C2668" i="30"/>
  <c r="C2669" i="30"/>
  <c r="C2670" i="30"/>
  <c r="C2671" i="30"/>
  <c r="C2672" i="30"/>
  <c r="C2673" i="30"/>
  <c r="C2674" i="30"/>
  <c r="C2675" i="30"/>
  <c r="C2676" i="30"/>
  <c r="C2677" i="30"/>
  <c r="C2678" i="30"/>
  <c r="C2679" i="30"/>
  <c r="C2680" i="30"/>
  <c r="C2681" i="30"/>
  <c r="C2682" i="30"/>
  <c r="C2683" i="30"/>
  <c r="C2684" i="30"/>
  <c r="C2685" i="30"/>
  <c r="C2686" i="30"/>
  <c r="C2687" i="30"/>
  <c r="C2688" i="30"/>
  <c r="C2689" i="30"/>
  <c r="C2690" i="30"/>
  <c r="C2691" i="30"/>
  <c r="C2692" i="30"/>
  <c r="C2693" i="30"/>
  <c r="C2694" i="30"/>
  <c r="C2695" i="30"/>
  <c r="C2696" i="30"/>
  <c r="C2697" i="30"/>
  <c r="C2698" i="30"/>
  <c r="C2699" i="30"/>
  <c r="C2700" i="30"/>
  <c r="C2701" i="30"/>
  <c r="C2702" i="30"/>
  <c r="C2703" i="30"/>
  <c r="C2704" i="30"/>
  <c r="C2705" i="30"/>
  <c r="C2706" i="30"/>
  <c r="C2707" i="30"/>
  <c r="C2708" i="30"/>
  <c r="C2709" i="30"/>
  <c r="C2710" i="30"/>
  <c r="C2711" i="30"/>
  <c r="C2712" i="30"/>
  <c r="C2713" i="30"/>
  <c r="C2714" i="30"/>
  <c r="C2715" i="30"/>
  <c r="C2716" i="30"/>
  <c r="C2717" i="30"/>
  <c r="C2718" i="30"/>
  <c r="C2719" i="30"/>
  <c r="C2720" i="30"/>
  <c r="C2721" i="30"/>
  <c r="C2722" i="30"/>
  <c r="C2723" i="30"/>
  <c r="C2724" i="30"/>
  <c r="C2725" i="30"/>
  <c r="C2726" i="30"/>
  <c r="C2727" i="30"/>
  <c r="C2728" i="30"/>
  <c r="C2729" i="30"/>
  <c r="C2730" i="30"/>
  <c r="C2731" i="30"/>
  <c r="C2732" i="30"/>
  <c r="C2733" i="30"/>
  <c r="C2734" i="30"/>
  <c r="C2735" i="30"/>
  <c r="C2736" i="30"/>
  <c r="C2737" i="30"/>
  <c r="C2738" i="30"/>
  <c r="C2739" i="30"/>
  <c r="C2740" i="30"/>
  <c r="C2741" i="30"/>
  <c r="C2742" i="30"/>
  <c r="C2743" i="30"/>
  <c r="C2744" i="30"/>
  <c r="C2745" i="30"/>
  <c r="C2746" i="30"/>
  <c r="C2747" i="30"/>
  <c r="C2748" i="30"/>
  <c r="C2749" i="30"/>
  <c r="C2750" i="30"/>
  <c r="C2751" i="30"/>
  <c r="C2752" i="30"/>
  <c r="C2753" i="30"/>
  <c r="C2754" i="30"/>
  <c r="C2755" i="30"/>
  <c r="C2756" i="30"/>
  <c r="C2757" i="30"/>
  <c r="C2758" i="30"/>
  <c r="C2759" i="30"/>
  <c r="C2760" i="30"/>
  <c r="C2761" i="30"/>
  <c r="C2762" i="30"/>
  <c r="C2763" i="30"/>
  <c r="C2764" i="30"/>
  <c r="C2765" i="30"/>
  <c r="C2766" i="30"/>
  <c r="C2767" i="30"/>
  <c r="C2768" i="30"/>
  <c r="C2769" i="30"/>
  <c r="C2770" i="30"/>
  <c r="C2771" i="30"/>
  <c r="C2772" i="30"/>
  <c r="C2773" i="30"/>
  <c r="C2774" i="30"/>
  <c r="C2775" i="30"/>
  <c r="C2776" i="30"/>
  <c r="C2777" i="30"/>
  <c r="C2778" i="30"/>
  <c r="C2779" i="30"/>
  <c r="C2780" i="30"/>
  <c r="C2781" i="30"/>
  <c r="C2782" i="30"/>
  <c r="C2783" i="30"/>
  <c r="C2784" i="30"/>
  <c r="C2785" i="30"/>
  <c r="C2786" i="30"/>
  <c r="C2787" i="30"/>
  <c r="C2788" i="30"/>
  <c r="C2789" i="30"/>
  <c r="C2790" i="30"/>
  <c r="C2791" i="30"/>
  <c r="C2792" i="30"/>
  <c r="C2793" i="30"/>
  <c r="C2794" i="30"/>
  <c r="C2795" i="30"/>
  <c r="C2796" i="30"/>
  <c r="C2797" i="30"/>
  <c r="C2798" i="30"/>
  <c r="C2799" i="30"/>
  <c r="C2800" i="30"/>
  <c r="C2801" i="30"/>
  <c r="C2802" i="30"/>
  <c r="C2803" i="30"/>
  <c r="C2804" i="30"/>
  <c r="C2805" i="30"/>
  <c r="C2806" i="30"/>
  <c r="C2807" i="30"/>
  <c r="C2808" i="30"/>
  <c r="C2809" i="30"/>
  <c r="C2810" i="30"/>
  <c r="C2811" i="30"/>
  <c r="C2812" i="30"/>
  <c r="C2813" i="30"/>
  <c r="C2814" i="30"/>
  <c r="C2815" i="30"/>
  <c r="C2816" i="30"/>
  <c r="C2817" i="30"/>
  <c r="C2818" i="30"/>
  <c r="C2819" i="30"/>
  <c r="C2820" i="30"/>
  <c r="C2821" i="30"/>
  <c r="C2822" i="30"/>
  <c r="C2823" i="30"/>
  <c r="C2824" i="30"/>
  <c r="C2825" i="30"/>
  <c r="C2826" i="30"/>
  <c r="C2827" i="30"/>
  <c r="C2828" i="30"/>
  <c r="C2829" i="30"/>
  <c r="C2830" i="30"/>
  <c r="C2831" i="30"/>
  <c r="C2832" i="30"/>
  <c r="C2833" i="30"/>
  <c r="C2834" i="30"/>
  <c r="C2835" i="30"/>
  <c r="C2836" i="30"/>
  <c r="C2837" i="30"/>
  <c r="C2838" i="30"/>
  <c r="C2839" i="30"/>
  <c r="C2840" i="30"/>
  <c r="C2841" i="30"/>
  <c r="C2842" i="30"/>
  <c r="C2843" i="30"/>
  <c r="C2844" i="30"/>
  <c r="C2845" i="30"/>
  <c r="C2846" i="30"/>
  <c r="C2847" i="30"/>
  <c r="C2848" i="30"/>
  <c r="C2849" i="30"/>
  <c r="C2850" i="30"/>
  <c r="C2851" i="30"/>
  <c r="C2852" i="30"/>
  <c r="C2853" i="30"/>
  <c r="C2854" i="30"/>
  <c r="C2855" i="30"/>
  <c r="C2856" i="30"/>
  <c r="C2857" i="30"/>
  <c r="C2858" i="30"/>
  <c r="C2859" i="30"/>
  <c r="C2860" i="30"/>
  <c r="C2861" i="30"/>
  <c r="C2862" i="30"/>
  <c r="C2863" i="30"/>
  <c r="C2864" i="30"/>
  <c r="C2865" i="30"/>
  <c r="C2866" i="30"/>
  <c r="C2867" i="30"/>
  <c r="C2868" i="30"/>
  <c r="C2869" i="30"/>
  <c r="C2870" i="30"/>
  <c r="C2871" i="30"/>
  <c r="C2872" i="30"/>
  <c r="C2873" i="30"/>
  <c r="C2874" i="30"/>
  <c r="C2875" i="30"/>
  <c r="C2876" i="30"/>
  <c r="C2877" i="30"/>
  <c r="C2878" i="30"/>
  <c r="C2879" i="30"/>
  <c r="C2880" i="30"/>
  <c r="C2881" i="30"/>
  <c r="C2882" i="30"/>
  <c r="C2883" i="30"/>
  <c r="C2884" i="30"/>
  <c r="C2885" i="30"/>
  <c r="C2886" i="30"/>
  <c r="C2887" i="30"/>
  <c r="C2888" i="30"/>
  <c r="C2889" i="30"/>
  <c r="C2890" i="30"/>
  <c r="C2891" i="30"/>
  <c r="C2892" i="30"/>
  <c r="C2893" i="30"/>
  <c r="C2894" i="30"/>
  <c r="C2895" i="30"/>
  <c r="C2896" i="30"/>
  <c r="C2897" i="30"/>
  <c r="C2898" i="30"/>
  <c r="C2899" i="30"/>
  <c r="C2900" i="30"/>
  <c r="C2901" i="30"/>
  <c r="C2902" i="30"/>
  <c r="C2903" i="30"/>
  <c r="C2904" i="30"/>
  <c r="C2905" i="30"/>
  <c r="C2906" i="30"/>
  <c r="C2907" i="30"/>
  <c r="C2908" i="30"/>
  <c r="C2909" i="30"/>
  <c r="C2910" i="30"/>
  <c r="C2911" i="30"/>
  <c r="C2912" i="30"/>
  <c r="C2913" i="30"/>
  <c r="C2914" i="30"/>
  <c r="C2915" i="30"/>
  <c r="C2916" i="30"/>
  <c r="C2917" i="30"/>
  <c r="C2918" i="30"/>
  <c r="C2919" i="30"/>
  <c r="C2920" i="30"/>
  <c r="C2921" i="30"/>
  <c r="C2922" i="30"/>
  <c r="C2923" i="30"/>
  <c r="C2924" i="30"/>
  <c r="C2925" i="30"/>
  <c r="C2926" i="30"/>
  <c r="C2927" i="30"/>
  <c r="C2928" i="30"/>
  <c r="C2929" i="30"/>
  <c r="C2930" i="30"/>
  <c r="C2931" i="30"/>
  <c r="C2932" i="30"/>
  <c r="C2933" i="30"/>
  <c r="C2934" i="30"/>
  <c r="C2935" i="30"/>
  <c r="C2936" i="30"/>
  <c r="C2937" i="30"/>
  <c r="C2938" i="30"/>
  <c r="C2939" i="30"/>
  <c r="C2940" i="30"/>
  <c r="C2941" i="30"/>
  <c r="C2942" i="30"/>
  <c r="C2943" i="30"/>
  <c r="C2944" i="30"/>
  <c r="C2945" i="30"/>
  <c r="C2946" i="30"/>
  <c r="C2947" i="30"/>
  <c r="C2948" i="30"/>
  <c r="C2949" i="30"/>
  <c r="C2950" i="30"/>
  <c r="C2951" i="30"/>
  <c r="C2952" i="30"/>
  <c r="C2953" i="30"/>
  <c r="C2954" i="30"/>
  <c r="C2955" i="30"/>
  <c r="C2956" i="30"/>
  <c r="C2957" i="30"/>
  <c r="C2958" i="30"/>
  <c r="C2959" i="30"/>
  <c r="C2960" i="30"/>
  <c r="C2961" i="30"/>
  <c r="C2962" i="30"/>
  <c r="C2963" i="30"/>
  <c r="C2964" i="30"/>
  <c r="C2965" i="30"/>
  <c r="C2966" i="30"/>
  <c r="C2967" i="30"/>
  <c r="C2968" i="30"/>
  <c r="C2969" i="30"/>
  <c r="C2970" i="30"/>
  <c r="C2971" i="30"/>
  <c r="C2972" i="30"/>
  <c r="C2973" i="30"/>
  <c r="C2974" i="30"/>
  <c r="C2975" i="30"/>
  <c r="C2976" i="30"/>
  <c r="C2977" i="30"/>
  <c r="C2978" i="30"/>
  <c r="C2979" i="30"/>
  <c r="C2980" i="30"/>
  <c r="C2981" i="30"/>
  <c r="C2982" i="30"/>
  <c r="C2983" i="30"/>
  <c r="C2984" i="30"/>
  <c r="C2985" i="30"/>
  <c r="C2986" i="30"/>
  <c r="C2987" i="30"/>
  <c r="C2988" i="30"/>
  <c r="C2989" i="30"/>
  <c r="C2990" i="30"/>
  <c r="C2991" i="30"/>
  <c r="C2992" i="30"/>
  <c r="C2993" i="30"/>
  <c r="C2994" i="30"/>
  <c r="C2995" i="30"/>
  <c r="C2996" i="30"/>
  <c r="C2997" i="30"/>
  <c r="C2998" i="30"/>
  <c r="C2999" i="30"/>
  <c r="C3000" i="30"/>
  <c r="C3001" i="30"/>
  <c r="C3002" i="30"/>
  <c r="C3003" i="30"/>
  <c r="C3004" i="30"/>
  <c r="C3005" i="30"/>
  <c r="C3006" i="30"/>
  <c r="C3007" i="30"/>
  <c r="C3008" i="30"/>
  <c r="C3009" i="30"/>
  <c r="C3010" i="30"/>
  <c r="C3011" i="30"/>
  <c r="C3012" i="30"/>
  <c r="C3013" i="30"/>
  <c r="C3014" i="30"/>
  <c r="C3015" i="30"/>
  <c r="C3016" i="30"/>
  <c r="C3017" i="30"/>
  <c r="C3018" i="30"/>
  <c r="C3019" i="30"/>
  <c r="C3020" i="30"/>
  <c r="C3021" i="30"/>
  <c r="C3022" i="30"/>
  <c r="C3023" i="30"/>
  <c r="C3024" i="30"/>
  <c r="C3025" i="30"/>
  <c r="C3026" i="30"/>
  <c r="C3027" i="30"/>
  <c r="C3028" i="30"/>
  <c r="C3029" i="30"/>
  <c r="C3030" i="30"/>
  <c r="C3031" i="30"/>
  <c r="C3032" i="30"/>
  <c r="C3033" i="30"/>
  <c r="C3034" i="30"/>
  <c r="C3035" i="30"/>
  <c r="C3036" i="30"/>
  <c r="C3037" i="30"/>
  <c r="C3038" i="30"/>
  <c r="C3039" i="30"/>
  <c r="C3040" i="30"/>
  <c r="C3041" i="30"/>
  <c r="C3042" i="30"/>
  <c r="C3043" i="30"/>
  <c r="C3044" i="30"/>
  <c r="C3045" i="30"/>
  <c r="C3046" i="30"/>
  <c r="C3047" i="30"/>
  <c r="C3048" i="30"/>
  <c r="C3049" i="30"/>
  <c r="C3050" i="30"/>
  <c r="C3051" i="30"/>
  <c r="C3052" i="30"/>
  <c r="C3053" i="30"/>
  <c r="C3054" i="30"/>
  <c r="C3055" i="30"/>
  <c r="C3056" i="30"/>
  <c r="C3057" i="30"/>
  <c r="C3058" i="30"/>
  <c r="C3059" i="30"/>
  <c r="C3060" i="30"/>
  <c r="C3061" i="30"/>
  <c r="C3062" i="30"/>
  <c r="C3063" i="30"/>
  <c r="C3064" i="30"/>
  <c r="C3065" i="30"/>
  <c r="C3066" i="30"/>
  <c r="C3067" i="30"/>
  <c r="C3068" i="30"/>
  <c r="C3069" i="30"/>
  <c r="C3070" i="30"/>
  <c r="C3071" i="30"/>
  <c r="C3072" i="30"/>
  <c r="C3073" i="30"/>
  <c r="C3074" i="30"/>
  <c r="C3075" i="30"/>
  <c r="C3076" i="30"/>
  <c r="C3077" i="30"/>
  <c r="C3078" i="30"/>
  <c r="C3079" i="30"/>
  <c r="C3080" i="30"/>
  <c r="C3081" i="30"/>
  <c r="C3082" i="30"/>
  <c r="C3083" i="30"/>
  <c r="C3084" i="30"/>
  <c r="C3085" i="30"/>
  <c r="C3086" i="30"/>
  <c r="C3087" i="30"/>
  <c r="C3088" i="30"/>
  <c r="C3089" i="30"/>
  <c r="C3090" i="30"/>
  <c r="C3091" i="30"/>
  <c r="C3092" i="30"/>
  <c r="C3093" i="30"/>
  <c r="C3094" i="30"/>
  <c r="C3095" i="30"/>
  <c r="C3096" i="30"/>
  <c r="C3097" i="30"/>
  <c r="C3098" i="30"/>
  <c r="C3099" i="30"/>
  <c r="C3100" i="30"/>
  <c r="C3101" i="30"/>
  <c r="C3102" i="30"/>
  <c r="C3103" i="30"/>
  <c r="C3104" i="30"/>
  <c r="C3105" i="30"/>
  <c r="C3106" i="30"/>
  <c r="C3107" i="30"/>
  <c r="C3108" i="30"/>
  <c r="C3109" i="30"/>
  <c r="C3110" i="30"/>
  <c r="C3111" i="30"/>
  <c r="C3112" i="30"/>
  <c r="C3113" i="30"/>
  <c r="C3114" i="30"/>
  <c r="C3115" i="30"/>
  <c r="C3116" i="30"/>
  <c r="C3117" i="30"/>
  <c r="C3118" i="30"/>
  <c r="C3119" i="30"/>
  <c r="C3120" i="30"/>
  <c r="C3121" i="30"/>
  <c r="C3122" i="30"/>
  <c r="C3123" i="30"/>
  <c r="C3124" i="30"/>
  <c r="C3125" i="30"/>
  <c r="C3126" i="30"/>
  <c r="C3127" i="30"/>
  <c r="C3128" i="30"/>
  <c r="C3129" i="30"/>
  <c r="C3130" i="30"/>
  <c r="C3131" i="30"/>
  <c r="C3132" i="30"/>
  <c r="C3133" i="30"/>
  <c r="C3134" i="30"/>
  <c r="C3135" i="30"/>
  <c r="C3136" i="30"/>
  <c r="C3137" i="30"/>
  <c r="C3138" i="30"/>
  <c r="C3139" i="30"/>
  <c r="C3140" i="30"/>
  <c r="C3141" i="30"/>
  <c r="C3142" i="30"/>
  <c r="C3143" i="30"/>
  <c r="C3144" i="30"/>
  <c r="C3145" i="30"/>
  <c r="C3146" i="30"/>
  <c r="C3147" i="30"/>
  <c r="C3148" i="30"/>
  <c r="C3149" i="30"/>
  <c r="C3150" i="30"/>
  <c r="C3151" i="30"/>
  <c r="C3152" i="30"/>
  <c r="C3153" i="30"/>
  <c r="C3154" i="30"/>
  <c r="C3155" i="30"/>
  <c r="C3156" i="30"/>
  <c r="C3157" i="30"/>
  <c r="C3158" i="30"/>
  <c r="C3159" i="30"/>
  <c r="C3160" i="30"/>
  <c r="C3161" i="30"/>
  <c r="C3162" i="30"/>
  <c r="C3163" i="30"/>
  <c r="C3164" i="30"/>
  <c r="C3165" i="30"/>
  <c r="C3166" i="30"/>
  <c r="C3167" i="30"/>
  <c r="C3168" i="30"/>
  <c r="C3169" i="30"/>
  <c r="C3170" i="30"/>
  <c r="C3171" i="30"/>
  <c r="C3172" i="30"/>
  <c r="C3173" i="30"/>
  <c r="C3174" i="30"/>
  <c r="C3175" i="30"/>
  <c r="C3176" i="30"/>
  <c r="C3177" i="30"/>
  <c r="C3178" i="30"/>
  <c r="C3179" i="30"/>
  <c r="C3180" i="30"/>
  <c r="C3181" i="30"/>
  <c r="C3182" i="30"/>
  <c r="C3183" i="30"/>
  <c r="C3184" i="30"/>
  <c r="C3185" i="30"/>
  <c r="C3186" i="30"/>
  <c r="C3187" i="30"/>
  <c r="C3188" i="30"/>
  <c r="C3189" i="30"/>
  <c r="C3190" i="30"/>
  <c r="C3191" i="30"/>
  <c r="C3192" i="30"/>
  <c r="C3193" i="30"/>
  <c r="C3194" i="30"/>
  <c r="C3195" i="30"/>
  <c r="C3196" i="30"/>
  <c r="C3197" i="30"/>
  <c r="C3198" i="30"/>
  <c r="C3199" i="30"/>
  <c r="C3200" i="30"/>
  <c r="C3201" i="30"/>
  <c r="C3202" i="30"/>
  <c r="C3203" i="30"/>
  <c r="C3204" i="30"/>
  <c r="C3205" i="30"/>
  <c r="C3206" i="30"/>
  <c r="C3207" i="30"/>
  <c r="C3208" i="30"/>
  <c r="C3209" i="30"/>
  <c r="C3210" i="30"/>
  <c r="C3211" i="30"/>
  <c r="C3212" i="30"/>
  <c r="C3213" i="30"/>
  <c r="C3214" i="30"/>
  <c r="C3215" i="30"/>
  <c r="C3216" i="30"/>
  <c r="C3217" i="30"/>
  <c r="C3218" i="30"/>
  <c r="C3219" i="30"/>
  <c r="C3220" i="30"/>
  <c r="C3221" i="30"/>
  <c r="C3222" i="30"/>
  <c r="C3223" i="30"/>
  <c r="C3224" i="30"/>
  <c r="C3225" i="30"/>
  <c r="C3226" i="30"/>
  <c r="C3227" i="30"/>
  <c r="C3228" i="30"/>
  <c r="C3229" i="30"/>
  <c r="C3230" i="30"/>
  <c r="C3231" i="30"/>
  <c r="C3232" i="30"/>
  <c r="C3233" i="30"/>
  <c r="C3234" i="30"/>
  <c r="C3235" i="30"/>
  <c r="C3236" i="30"/>
  <c r="C3237" i="30"/>
  <c r="C3238" i="30"/>
  <c r="C3239" i="30"/>
  <c r="C3240" i="30"/>
  <c r="C3241" i="30"/>
  <c r="C3242" i="30"/>
  <c r="C3243" i="30"/>
  <c r="C3244" i="30"/>
  <c r="C3245" i="30"/>
  <c r="C3246" i="30"/>
  <c r="C3247" i="30"/>
  <c r="C3248" i="30"/>
  <c r="C3249" i="30"/>
  <c r="C3250" i="30"/>
  <c r="C3251" i="30"/>
  <c r="C3252" i="30"/>
  <c r="C3253" i="30"/>
  <c r="C3254" i="30"/>
  <c r="C3255" i="30"/>
  <c r="C3256" i="30"/>
  <c r="C3257" i="30"/>
  <c r="C3258" i="30"/>
  <c r="C3259" i="30"/>
  <c r="C3260" i="30"/>
  <c r="C3261" i="30"/>
  <c r="C3262" i="30"/>
  <c r="C3263" i="30"/>
  <c r="C3264" i="30"/>
  <c r="C3265" i="30"/>
  <c r="C3266" i="30"/>
  <c r="C3267" i="30"/>
  <c r="C3268" i="30"/>
  <c r="C3269" i="30"/>
  <c r="C3270" i="30"/>
  <c r="C3271" i="30"/>
  <c r="C3272" i="30"/>
  <c r="C3273" i="30"/>
  <c r="C3274" i="30"/>
  <c r="C3275" i="30"/>
  <c r="C3276" i="30"/>
  <c r="C3277" i="30"/>
  <c r="C3278" i="30"/>
  <c r="C3279" i="30"/>
  <c r="C3280" i="30"/>
  <c r="C3281" i="30"/>
  <c r="C3282" i="30"/>
  <c r="C3283" i="30"/>
  <c r="C3284" i="30"/>
  <c r="C3285" i="30"/>
  <c r="C3286" i="30"/>
  <c r="C3287" i="30"/>
  <c r="C3288" i="30"/>
  <c r="C3289" i="30"/>
  <c r="C3290" i="30"/>
  <c r="C3291" i="30"/>
  <c r="C3292" i="30"/>
  <c r="C3293" i="30"/>
  <c r="C3294" i="30"/>
  <c r="C3295" i="30"/>
  <c r="C3296" i="30"/>
  <c r="C3297" i="30"/>
  <c r="C3298" i="30"/>
  <c r="C3299" i="30"/>
  <c r="C3300" i="30"/>
  <c r="C3301" i="30"/>
  <c r="C3302" i="30"/>
  <c r="C3303" i="30"/>
  <c r="C3304" i="30"/>
  <c r="C3305" i="30"/>
  <c r="C3306" i="30"/>
  <c r="C3307" i="30"/>
  <c r="C3308" i="30"/>
  <c r="C3309" i="30"/>
  <c r="C3310" i="30"/>
  <c r="C3311" i="30"/>
  <c r="C3312" i="30"/>
  <c r="C3313" i="30"/>
  <c r="C3314" i="30"/>
  <c r="C3315" i="30"/>
  <c r="C3316" i="30"/>
  <c r="C3317" i="30"/>
  <c r="C3318" i="30"/>
  <c r="C3319" i="30"/>
  <c r="C3320" i="30"/>
  <c r="C3321" i="30"/>
  <c r="C3322" i="30"/>
  <c r="C3323" i="30"/>
  <c r="C3324" i="30"/>
  <c r="C3325" i="30"/>
  <c r="C3326" i="30"/>
  <c r="C3327" i="30"/>
  <c r="C3328" i="30"/>
  <c r="C3329" i="30"/>
  <c r="C3330" i="30"/>
  <c r="C3331" i="30"/>
  <c r="C3332" i="30"/>
  <c r="C3333" i="30"/>
  <c r="C3334" i="30"/>
  <c r="C3335" i="30"/>
  <c r="C3336" i="30"/>
  <c r="C3337" i="30"/>
  <c r="C3338" i="30"/>
  <c r="C3339" i="30"/>
  <c r="C3340" i="30"/>
  <c r="C3341" i="30"/>
  <c r="C3342" i="30"/>
  <c r="C3343" i="30"/>
  <c r="C3344" i="30"/>
  <c r="C3345" i="30"/>
  <c r="C3346" i="30"/>
  <c r="C3347" i="30"/>
  <c r="C3348" i="30"/>
  <c r="C3349" i="30"/>
  <c r="C3350" i="30"/>
  <c r="C3351" i="30"/>
  <c r="C3352" i="30"/>
  <c r="C3353" i="30"/>
  <c r="C3354" i="30"/>
  <c r="C3355" i="30"/>
  <c r="C3356" i="30"/>
  <c r="C3357" i="30"/>
  <c r="C3358" i="30"/>
  <c r="C3359" i="30"/>
  <c r="C3360" i="30"/>
  <c r="C3361" i="30"/>
  <c r="C3362" i="30"/>
  <c r="C3363" i="30"/>
  <c r="C3364" i="30"/>
  <c r="C3365" i="30"/>
  <c r="C3366" i="30"/>
  <c r="C3367" i="30"/>
  <c r="C3368" i="30"/>
  <c r="C3369" i="30"/>
  <c r="C3370" i="30"/>
  <c r="C3371" i="30"/>
  <c r="C3372" i="30"/>
  <c r="C3373" i="30"/>
  <c r="C3374" i="30"/>
  <c r="C3375" i="30"/>
  <c r="C3376" i="30"/>
  <c r="C3377" i="30"/>
  <c r="C3378" i="30"/>
  <c r="C3379" i="30"/>
  <c r="C3380" i="30"/>
  <c r="C3381" i="30"/>
  <c r="C3382" i="30"/>
  <c r="C3383" i="30"/>
  <c r="C3384" i="30"/>
  <c r="C3385" i="30"/>
  <c r="C3386" i="30"/>
  <c r="C3387" i="30"/>
  <c r="C3388" i="30"/>
  <c r="C3389" i="30"/>
  <c r="C3390" i="30"/>
  <c r="C3391" i="30"/>
  <c r="C3392" i="30"/>
  <c r="C3393" i="30"/>
  <c r="C3394" i="30"/>
  <c r="C3395" i="30"/>
  <c r="C3396" i="30"/>
  <c r="C3397" i="30"/>
  <c r="C3398" i="30"/>
  <c r="C3399" i="30"/>
  <c r="C3400" i="30"/>
  <c r="C3401" i="30"/>
  <c r="C3402" i="30"/>
  <c r="C3403" i="30"/>
  <c r="C3404" i="30"/>
  <c r="C3405" i="30"/>
  <c r="C3406" i="30"/>
  <c r="C3407" i="30"/>
  <c r="C3408" i="30"/>
  <c r="C3409" i="30"/>
  <c r="C3410" i="30"/>
  <c r="C3411" i="30"/>
  <c r="C3412" i="30"/>
  <c r="C3413" i="30"/>
  <c r="C3414" i="30"/>
  <c r="C3415" i="30"/>
  <c r="C3416" i="30"/>
  <c r="C3417" i="30"/>
  <c r="C3418" i="30"/>
  <c r="C3419" i="30"/>
  <c r="C3420" i="30"/>
  <c r="C3421" i="30"/>
  <c r="C3422" i="30"/>
  <c r="C3423" i="30"/>
  <c r="C3424" i="30"/>
  <c r="C3425" i="30"/>
  <c r="C3426" i="30"/>
  <c r="C3427" i="30"/>
  <c r="C3428" i="30"/>
  <c r="C3429" i="30"/>
  <c r="C3430" i="30"/>
  <c r="C3431" i="30"/>
  <c r="C3432" i="30"/>
  <c r="C3433" i="30"/>
  <c r="C3434" i="30"/>
  <c r="C3435" i="30"/>
  <c r="C3436" i="30"/>
  <c r="C3437" i="30"/>
  <c r="C3438" i="30"/>
  <c r="C3439" i="30"/>
  <c r="C3440" i="30"/>
  <c r="C3441" i="30"/>
  <c r="C3442" i="30"/>
  <c r="C3443" i="30"/>
  <c r="C3444" i="30"/>
  <c r="C3445" i="30"/>
  <c r="C3446" i="30"/>
  <c r="C3447" i="30"/>
  <c r="C3448" i="30"/>
  <c r="C3449" i="30"/>
  <c r="C3450" i="30"/>
  <c r="C3451" i="30"/>
  <c r="C3452" i="30"/>
  <c r="C3453" i="30"/>
  <c r="C3454" i="30"/>
  <c r="C3455" i="30"/>
  <c r="C3456" i="30"/>
  <c r="C3457" i="30"/>
  <c r="C3458" i="30"/>
  <c r="C3459" i="30"/>
  <c r="C3460" i="30"/>
  <c r="C3461" i="30"/>
  <c r="C3462" i="30"/>
  <c r="C3463" i="30"/>
  <c r="C3464" i="30"/>
  <c r="C3465" i="30"/>
  <c r="C3466" i="30"/>
  <c r="C3467" i="30"/>
  <c r="C3468" i="30"/>
  <c r="C3469" i="30"/>
  <c r="C3470" i="30"/>
  <c r="C3471" i="30"/>
  <c r="C3472" i="30"/>
  <c r="C3473" i="30"/>
  <c r="C3474" i="30"/>
  <c r="C3475" i="30"/>
  <c r="C3476" i="30"/>
  <c r="C3477" i="30"/>
  <c r="C3478" i="30"/>
  <c r="C3479" i="30"/>
  <c r="C3480" i="30"/>
  <c r="C3481" i="30"/>
  <c r="C3482" i="30"/>
  <c r="C3483" i="30"/>
  <c r="C3484" i="30"/>
  <c r="C3485" i="30"/>
  <c r="C3486" i="30"/>
  <c r="C3487" i="30"/>
  <c r="C3488" i="30"/>
  <c r="C3489" i="30"/>
  <c r="C3490" i="30"/>
  <c r="C3491" i="30"/>
  <c r="C3492" i="30"/>
  <c r="C3493" i="30"/>
  <c r="C3494" i="30"/>
  <c r="C3495" i="30"/>
  <c r="C3496" i="30"/>
  <c r="C3497" i="30"/>
  <c r="C3498" i="30"/>
  <c r="C3499" i="30"/>
  <c r="C3500" i="30"/>
  <c r="C3501" i="30"/>
  <c r="C3502" i="30"/>
  <c r="C3503" i="30"/>
  <c r="C3504" i="30"/>
  <c r="C3505" i="30"/>
  <c r="C3506" i="30"/>
  <c r="C3507" i="30"/>
  <c r="C3508" i="30"/>
  <c r="C3509" i="30"/>
  <c r="C3510" i="30"/>
  <c r="C3511" i="30"/>
  <c r="C3512" i="30"/>
  <c r="C3513" i="30"/>
  <c r="C3514" i="30"/>
  <c r="C3515" i="30"/>
  <c r="C3516" i="30"/>
  <c r="C3517" i="30"/>
  <c r="C3518" i="30"/>
  <c r="C3519" i="30"/>
  <c r="C3520" i="30"/>
  <c r="C3521" i="30"/>
  <c r="C3522" i="30"/>
  <c r="C3523" i="30"/>
  <c r="C3524" i="30"/>
  <c r="C3525" i="30"/>
  <c r="C3526" i="30"/>
  <c r="C3527" i="30"/>
  <c r="C3528" i="30"/>
  <c r="C3529" i="30"/>
  <c r="C3530" i="30"/>
  <c r="C3531" i="30"/>
  <c r="C3532" i="30"/>
  <c r="C3533" i="30"/>
  <c r="C3534" i="30"/>
  <c r="C3535" i="30"/>
  <c r="C3536" i="30"/>
  <c r="C3537" i="30"/>
  <c r="C3538" i="30"/>
  <c r="C3539" i="30"/>
  <c r="C3540" i="30"/>
  <c r="C3541" i="30"/>
  <c r="C3542" i="30"/>
  <c r="C3543" i="30"/>
  <c r="C3544" i="30"/>
  <c r="C3545" i="30"/>
  <c r="C3546" i="30"/>
  <c r="C3547" i="30"/>
  <c r="C3548" i="30"/>
  <c r="C3549" i="30"/>
  <c r="C3550" i="30"/>
  <c r="C3551" i="30"/>
  <c r="C3552" i="30"/>
  <c r="C3553" i="30"/>
  <c r="C3554" i="30"/>
  <c r="C3555" i="30"/>
  <c r="C3556" i="30"/>
  <c r="C3557" i="30"/>
  <c r="C3558" i="30"/>
  <c r="C3559" i="30"/>
  <c r="C3560" i="30"/>
  <c r="C3561" i="30"/>
  <c r="C3562" i="30"/>
  <c r="C3563" i="30"/>
  <c r="C3564" i="30"/>
  <c r="C3565" i="30"/>
  <c r="C3566" i="30"/>
  <c r="C3567" i="30"/>
  <c r="C3568" i="30"/>
  <c r="C3569" i="30"/>
  <c r="C3570" i="30"/>
  <c r="C3571" i="30"/>
  <c r="C3572" i="30"/>
  <c r="C3573" i="30"/>
  <c r="C3574" i="30"/>
  <c r="C3575" i="30"/>
  <c r="C3576" i="30"/>
  <c r="C3577" i="30"/>
  <c r="C3578" i="30"/>
  <c r="C3579" i="30"/>
  <c r="C3580" i="30"/>
  <c r="C3581" i="30"/>
  <c r="C3582" i="30"/>
  <c r="C3583" i="30"/>
  <c r="C3584" i="30"/>
  <c r="C3585" i="30"/>
  <c r="C3586" i="30"/>
  <c r="C3587" i="30"/>
  <c r="C3588" i="30"/>
  <c r="C3589" i="30"/>
  <c r="C3590" i="30"/>
  <c r="C3591" i="30"/>
  <c r="C3592" i="30"/>
  <c r="C3593" i="30"/>
  <c r="C3594" i="30"/>
  <c r="C3595" i="30"/>
  <c r="C3596" i="30"/>
  <c r="C3597" i="30"/>
  <c r="C3598" i="30"/>
  <c r="C3599" i="30"/>
  <c r="C3600" i="30"/>
  <c r="C3601" i="30"/>
  <c r="C3602" i="30"/>
  <c r="C3603" i="30"/>
  <c r="C3604" i="30"/>
  <c r="C3605" i="30"/>
  <c r="C3606" i="30"/>
  <c r="C3607" i="30"/>
  <c r="C3608" i="30"/>
  <c r="C3609" i="30"/>
  <c r="C3610" i="30"/>
  <c r="C3611" i="30"/>
  <c r="C3612" i="30"/>
  <c r="C3613" i="30"/>
  <c r="C3614" i="30"/>
  <c r="C3615" i="30"/>
  <c r="C3616" i="30"/>
  <c r="C3617" i="30"/>
  <c r="C3618" i="30"/>
  <c r="C3619" i="30"/>
  <c r="C3620" i="30"/>
  <c r="C3621" i="30"/>
  <c r="C3622" i="30"/>
  <c r="C3623" i="30"/>
  <c r="C3624" i="30"/>
  <c r="C3625" i="30"/>
  <c r="C3626" i="30"/>
  <c r="C3627" i="30"/>
  <c r="C3628" i="30"/>
  <c r="C3629" i="30"/>
  <c r="C3630" i="30"/>
  <c r="C3631" i="30"/>
  <c r="C3632" i="30"/>
  <c r="C3633" i="30"/>
  <c r="C3634" i="30"/>
  <c r="C3635" i="30"/>
  <c r="C3636" i="30"/>
  <c r="C3637" i="30"/>
  <c r="C3638" i="30"/>
  <c r="C3639" i="30"/>
  <c r="C3640" i="30"/>
  <c r="C3641" i="30"/>
  <c r="C3642" i="30"/>
  <c r="C3643" i="30"/>
  <c r="C3644" i="30"/>
  <c r="C3645" i="30"/>
  <c r="C3646" i="30"/>
  <c r="C3647" i="30"/>
  <c r="C3648" i="30"/>
  <c r="C3649" i="30"/>
  <c r="C3650" i="30"/>
  <c r="C3651" i="30"/>
  <c r="C3652" i="30"/>
  <c r="C3653" i="30"/>
  <c r="C3654" i="30"/>
  <c r="C3655" i="30"/>
  <c r="C3656" i="30"/>
  <c r="C3657" i="30"/>
  <c r="C3658" i="30"/>
  <c r="C3659" i="30"/>
  <c r="C3660" i="30"/>
  <c r="C3661" i="30"/>
  <c r="C3662" i="30"/>
  <c r="C3663" i="30"/>
  <c r="C3664" i="30"/>
  <c r="C3665" i="30"/>
  <c r="C3666" i="30"/>
  <c r="C3667" i="30"/>
  <c r="C3668" i="30"/>
  <c r="C3669" i="30"/>
  <c r="C3670" i="30"/>
  <c r="C3671" i="30"/>
  <c r="C3672" i="30"/>
  <c r="C3673" i="30"/>
  <c r="C3674" i="30"/>
  <c r="C3675" i="30"/>
  <c r="C3676" i="30"/>
  <c r="C3677" i="30"/>
  <c r="C3678" i="30"/>
  <c r="C3679" i="30"/>
  <c r="C3680" i="30"/>
  <c r="C3681" i="30"/>
  <c r="C3682" i="30"/>
  <c r="C3683" i="30"/>
  <c r="C3684" i="30"/>
  <c r="C3685" i="30"/>
  <c r="C3686" i="30"/>
  <c r="C3687" i="30"/>
  <c r="C3688" i="30"/>
  <c r="C3689" i="30"/>
  <c r="C3690" i="30"/>
  <c r="C3691" i="30"/>
  <c r="C3692" i="30"/>
  <c r="C3693" i="30"/>
  <c r="C3694" i="30"/>
  <c r="C3695" i="30"/>
  <c r="C3696" i="30"/>
  <c r="C3697" i="30"/>
  <c r="C3698" i="30"/>
  <c r="C3699" i="30"/>
  <c r="C3700" i="30"/>
  <c r="C3701" i="30"/>
  <c r="C3702" i="30"/>
  <c r="C3703" i="30"/>
  <c r="C3704" i="30"/>
  <c r="C3705" i="30"/>
  <c r="C3706" i="30"/>
  <c r="C3707" i="30"/>
  <c r="C3708" i="30"/>
  <c r="C3709" i="30"/>
  <c r="C3710" i="30"/>
  <c r="C3711" i="30"/>
  <c r="C3712" i="30"/>
  <c r="C3713" i="30"/>
  <c r="C3714" i="30"/>
  <c r="C3715" i="30"/>
  <c r="C3716" i="30"/>
  <c r="C3717" i="30"/>
  <c r="C3718" i="30"/>
  <c r="C3719" i="30"/>
  <c r="C3720" i="30"/>
  <c r="C3721" i="30"/>
  <c r="C3722" i="30"/>
  <c r="C3723" i="30"/>
  <c r="C3724" i="30"/>
  <c r="C3725" i="30"/>
  <c r="C3726" i="30"/>
  <c r="C3727" i="30"/>
  <c r="C3728" i="30"/>
  <c r="C3729" i="30"/>
  <c r="C3730" i="30"/>
  <c r="C3731" i="30"/>
  <c r="C3732" i="30"/>
  <c r="C3733" i="30"/>
  <c r="C3734" i="30"/>
  <c r="C3735" i="30"/>
  <c r="C3736" i="30"/>
  <c r="C3737" i="30"/>
  <c r="C3738" i="30"/>
  <c r="C3739" i="30"/>
  <c r="C3740" i="30"/>
  <c r="C3741" i="30"/>
  <c r="C3742" i="30"/>
  <c r="C3743" i="30"/>
  <c r="C3744" i="30"/>
  <c r="C3745" i="30"/>
  <c r="C3746" i="30"/>
  <c r="C3747" i="30"/>
  <c r="C3748" i="30"/>
  <c r="C3749" i="30"/>
  <c r="C3750" i="30"/>
  <c r="C3751" i="30"/>
  <c r="C3752" i="30"/>
  <c r="C3753" i="30"/>
  <c r="C3754" i="30"/>
  <c r="C3755" i="30"/>
  <c r="C3756" i="30"/>
  <c r="C3757" i="30"/>
  <c r="C3758" i="30"/>
  <c r="C3759" i="30"/>
  <c r="C3760" i="30"/>
  <c r="C3761" i="30"/>
  <c r="C3762" i="30"/>
  <c r="C3763" i="30"/>
  <c r="C3764" i="30"/>
  <c r="C3765" i="30"/>
  <c r="C3766" i="30"/>
  <c r="C3767" i="30"/>
  <c r="C3768" i="30"/>
  <c r="C3769" i="30"/>
  <c r="C3770" i="30"/>
  <c r="C3771" i="30"/>
  <c r="C3772" i="30"/>
  <c r="C3773" i="30"/>
  <c r="C3774" i="30"/>
  <c r="C3775" i="30"/>
  <c r="C3776" i="30"/>
  <c r="C3777" i="30"/>
  <c r="C3778" i="30"/>
  <c r="C3779" i="30"/>
  <c r="C3780" i="30"/>
  <c r="C3781" i="30"/>
  <c r="C3782" i="30"/>
  <c r="C3783" i="30"/>
  <c r="C3784" i="30"/>
  <c r="C3785" i="30"/>
  <c r="C3786" i="30"/>
  <c r="C3787" i="30"/>
  <c r="C3788" i="30"/>
  <c r="C3789" i="30"/>
  <c r="C3790" i="30"/>
  <c r="C3791" i="30"/>
  <c r="C3792" i="30"/>
  <c r="C3793" i="30"/>
  <c r="C3794" i="30"/>
  <c r="C3795" i="30"/>
  <c r="C3796" i="30"/>
  <c r="C3797" i="30"/>
  <c r="C3798" i="30"/>
  <c r="C3799" i="30"/>
  <c r="C3800" i="30"/>
  <c r="C3801" i="30"/>
  <c r="C3802" i="30"/>
  <c r="C3803" i="30"/>
  <c r="C3804" i="30"/>
  <c r="C3805" i="30"/>
  <c r="C3806" i="30"/>
  <c r="C3807" i="30"/>
  <c r="C3808" i="30"/>
  <c r="C3809" i="30"/>
  <c r="C3810" i="30"/>
  <c r="C3811" i="30"/>
  <c r="C3812" i="30"/>
  <c r="C3813" i="30"/>
  <c r="C3814" i="30"/>
  <c r="C3815" i="30"/>
  <c r="C3816" i="30"/>
  <c r="C3817" i="30"/>
  <c r="C3818" i="30"/>
  <c r="C3819" i="30"/>
  <c r="C3820" i="30"/>
  <c r="C3821" i="30"/>
  <c r="C3822" i="30"/>
  <c r="C3823" i="30"/>
  <c r="C3824" i="30"/>
  <c r="C3825" i="30"/>
  <c r="C3826" i="30"/>
  <c r="C3827" i="30"/>
  <c r="C3828" i="30"/>
  <c r="C3829" i="30"/>
  <c r="C3830" i="30"/>
  <c r="C3831" i="30"/>
  <c r="C3832" i="30"/>
  <c r="C3833" i="30"/>
  <c r="C3834" i="30"/>
  <c r="C3835" i="30"/>
  <c r="C3836" i="30"/>
  <c r="C3837" i="30"/>
  <c r="C3838" i="30"/>
  <c r="C3839" i="30"/>
  <c r="C3840" i="30"/>
  <c r="C3841" i="30"/>
  <c r="C3842" i="30"/>
  <c r="C3843" i="30"/>
  <c r="C3844" i="30"/>
  <c r="C3845" i="30"/>
  <c r="C3846" i="30"/>
  <c r="C3847" i="30"/>
  <c r="C3848" i="30"/>
  <c r="C3849" i="30"/>
  <c r="C3850" i="30"/>
  <c r="C3851" i="30"/>
  <c r="C3852" i="30"/>
  <c r="C3853" i="30"/>
  <c r="C3854" i="30"/>
  <c r="C3855" i="30"/>
  <c r="C3856" i="30"/>
  <c r="C3857" i="30"/>
  <c r="C3858" i="30"/>
  <c r="C3859" i="30"/>
  <c r="C3860" i="30"/>
  <c r="C3861" i="30"/>
  <c r="C3862" i="30"/>
  <c r="C3863" i="30"/>
  <c r="C3864" i="30"/>
  <c r="C3865" i="30"/>
  <c r="C3866" i="30"/>
  <c r="C3867" i="30"/>
  <c r="C3868" i="30"/>
  <c r="C3869" i="30"/>
  <c r="C3870" i="30"/>
  <c r="C3871" i="30"/>
  <c r="C3872" i="30"/>
  <c r="C3873" i="30"/>
  <c r="C3874" i="30"/>
  <c r="C3875" i="30"/>
  <c r="C3876" i="30"/>
  <c r="C3877" i="30"/>
  <c r="C3878" i="30"/>
  <c r="C3879" i="30"/>
  <c r="C3880" i="30"/>
  <c r="C3881" i="30"/>
  <c r="C3882" i="30"/>
  <c r="C3883" i="30"/>
  <c r="C3884" i="30"/>
  <c r="C3885" i="30"/>
  <c r="C3886" i="30"/>
  <c r="C3887" i="30"/>
  <c r="C3888" i="30"/>
  <c r="C3889" i="30"/>
  <c r="C3890" i="30"/>
  <c r="C3891" i="30"/>
  <c r="C3892" i="30"/>
  <c r="C3893" i="30"/>
  <c r="C3894" i="30"/>
  <c r="C3895" i="30"/>
  <c r="C3896" i="30"/>
  <c r="C3897" i="30"/>
  <c r="C3898" i="30"/>
  <c r="C3899" i="30"/>
  <c r="C3900" i="30"/>
  <c r="C3901" i="30"/>
  <c r="C3902" i="30"/>
  <c r="C3903" i="30"/>
  <c r="C3904" i="30"/>
  <c r="C3905" i="30"/>
  <c r="C3906" i="30"/>
  <c r="C3907" i="30"/>
  <c r="C3908" i="30"/>
  <c r="C3909" i="30"/>
  <c r="C3910" i="30"/>
  <c r="C3911" i="30"/>
  <c r="C3912" i="30"/>
  <c r="C3913" i="30"/>
  <c r="C3914" i="30"/>
  <c r="C3915" i="30"/>
  <c r="C3916" i="30"/>
  <c r="C3917" i="30"/>
  <c r="C3918" i="30"/>
  <c r="C3919" i="30"/>
  <c r="C3920" i="30"/>
  <c r="C3921" i="30"/>
  <c r="C3922" i="30"/>
  <c r="C3923" i="30"/>
  <c r="C3924" i="30"/>
  <c r="C3925" i="30"/>
  <c r="C3926" i="30"/>
  <c r="C3927" i="30"/>
  <c r="C3928" i="30"/>
  <c r="C3929" i="30"/>
  <c r="C3930" i="30"/>
  <c r="C3931" i="30"/>
  <c r="C3932" i="30"/>
  <c r="C3933" i="30"/>
  <c r="C3934" i="30"/>
  <c r="C3935" i="30"/>
  <c r="C3936" i="30"/>
  <c r="C3937" i="30"/>
  <c r="C3938" i="30"/>
  <c r="C3939" i="30"/>
  <c r="C3940" i="30"/>
  <c r="C3941" i="30"/>
  <c r="C3942" i="30"/>
  <c r="C3943" i="30"/>
  <c r="C3944" i="30"/>
  <c r="C3945" i="30"/>
  <c r="C3946" i="30"/>
  <c r="C3947" i="30"/>
  <c r="C3948" i="30"/>
  <c r="C3949" i="30"/>
  <c r="C3950" i="30"/>
  <c r="C3951" i="30"/>
  <c r="C3952" i="30"/>
  <c r="C3953" i="30"/>
  <c r="C3954" i="30"/>
  <c r="C3955" i="30"/>
  <c r="C3956" i="30"/>
  <c r="C3957" i="30"/>
  <c r="C3958" i="30"/>
  <c r="C3959" i="30"/>
  <c r="C3960" i="30"/>
  <c r="C3961" i="30"/>
  <c r="C3962" i="30"/>
  <c r="C3963" i="30"/>
  <c r="C3964" i="30"/>
  <c r="C3965" i="30"/>
  <c r="C3966" i="30"/>
  <c r="C3967" i="30"/>
  <c r="C3968" i="30"/>
  <c r="C3969" i="30"/>
  <c r="C3970" i="30"/>
  <c r="C3971" i="30"/>
  <c r="C3972" i="30"/>
  <c r="C3973" i="30"/>
  <c r="C3974" i="30"/>
  <c r="C3975" i="30"/>
  <c r="C3976" i="30"/>
  <c r="C3977" i="30"/>
  <c r="C3978" i="30"/>
  <c r="C3979" i="30"/>
  <c r="C3980" i="30"/>
  <c r="C3981" i="30"/>
  <c r="C3982" i="30"/>
  <c r="C3983" i="30"/>
  <c r="C3984" i="30"/>
  <c r="C3985" i="30"/>
  <c r="C3986" i="30"/>
  <c r="C3987" i="30"/>
  <c r="C3988" i="30"/>
  <c r="C3989" i="30"/>
  <c r="C3990" i="30"/>
  <c r="C3991" i="30"/>
  <c r="C3992" i="30"/>
  <c r="C3993" i="30"/>
  <c r="C3994" i="30"/>
  <c r="C3995" i="30"/>
  <c r="C3996" i="30"/>
  <c r="C3997" i="30"/>
  <c r="C3998" i="30"/>
  <c r="C3999" i="30"/>
  <c r="C4000" i="30"/>
  <c r="C4001" i="30"/>
  <c r="C4002" i="30"/>
  <c r="C4003" i="30"/>
  <c r="C4004" i="30"/>
  <c r="C4005" i="30"/>
  <c r="C4006" i="30"/>
  <c r="C4007" i="30"/>
  <c r="C4008" i="30"/>
  <c r="C4009" i="30"/>
  <c r="C4010" i="30"/>
  <c r="C4011" i="30"/>
  <c r="C4012" i="30"/>
  <c r="C4013" i="30"/>
  <c r="C4014" i="30"/>
  <c r="C4015" i="30"/>
  <c r="C4016" i="30"/>
  <c r="C4017" i="30"/>
  <c r="C4018" i="30"/>
  <c r="C4019" i="30"/>
  <c r="C4020" i="30"/>
  <c r="C4021" i="30"/>
  <c r="C4022" i="30"/>
  <c r="C4023" i="30"/>
  <c r="C4024" i="30"/>
  <c r="C4025" i="30"/>
  <c r="C4026" i="30"/>
  <c r="C4027" i="30"/>
  <c r="C4028" i="30"/>
  <c r="C4029" i="30"/>
  <c r="C4030" i="30"/>
  <c r="C4031" i="30"/>
  <c r="C4032" i="30"/>
  <c r="C4033" i="30"/>
  <c r="C4034" i="30"/>
  <c r="C4035" i="30"/>
  <c r="C4036" i="30"/>
  <c r="C4037" i="30"/>
  <c r="C4038" i="30"/>
  <c r="C4039" i="30"/>
  <c r="C4040" i="30"/>
  <c r="C4041" i="30"/>
  <c r="C4042" i="30"/>
  <c r="C4043" i="30"/>
  <c r="C4044" i="30"/>
  <c r="C4045" i="30"/>
  <c r="C4046" i="30"/>
  <c r="C4047" i="30"/>
  <c r="C4048" i="30"/>
  <c r="C4049" i="30"/>
  <c r="C4050" i="30"/>
  <c r="C4051" i="30"/>
  <c r="C4052" i="30"/>
  <c r="C4053" i="30"/>
  <c r="C4054" i="30"/>
  <c r="C4055" i="30"/>
  <c r="C4056" i="30"/>
  <c r="C4057" i="30"/>
  <c r="C4058" i="30"/>
  <c r="C4059" i="30"/>
  <c r="C4060" i="30"/>
  <c r="C4061" i="30"/>
  <c r="C4062" i="30"/>
  <c r="C4063" i="30"/>
  <c r="C4064" i="30"/>
  <c r="C4065" i="30"/>
  <c r="C4066" i="30"/>
  <c r="C4067" i="30"/>
  <c r="C4068" i="30"/>
  <c r="C4069" i="30"/>
  <c r="C4070" i="30"/>
  <c r="C4071" i="30"/>
  <c r="C4072" i="30"/>
  <c r="C4073" i="30"/>
  <c r="C4074" i="30"/>
  <c r="C4075" i="30"/>
  <c r="C4076" i="30"/>
  <c r="C4077" i="30"/>
  <c r="C4078" i="30"/>
  <c r="C4079" i="30"/>
  <c r="C4080" i="30"/>
  <c r="C4081" i="30"/>
  <c r="C4082" i="30"/>
  <c r="C4083" i="30"/>
  <c r="C4084" i="30"/>
  <c r="C4085" i="30"/>
  <c r="C4086" i="30"/>
  <c r="C4087" i="30"/>
  <c r="C4088" i="30"/>
  <c r="C4089" i="30"/>
  <c r="C4090" i="30"/>
  <c r="C4091" i="30"/>
  <c r="C4092" i="30"/>
  <c r="C4093" i="30"/>
  <c r="C4094" i="30"/>
  <c r="C4095" i="30"/>
  <c r="C4096" i="30"/>
  <c r="C4097" i="30"/>
  <c r="C4098" i="30"/>
  <c r="C4099" i="30"/>
  <c r="C4100" i="30"/>
  <c r="C4101" i="30"/>
  <c r="C4102" i="30"/>
  <c r="C4103" i="30"/>
  <c r="C4104" i="30"/>
  <c r="C4105" i="30"/>
  <c r="C4106" i="30"/>
  <c r="C4107" i="30"/>
  <c r="C4108" i="30"/>
  <c r="C4109" i="30"/>
  <c r="C4110" i="30"/>
  <c r="C4111" i="30"/>
  <c r="C4112" i="30"/>
  <c r="C4113" i="30"/>
  <c r="C4114" i="30"/>
  <c r="C4115" i="30"/>
  <c r="C4116" i="30"/>
  <c r="C4117" i="30"/>
  <c r="C4118" i="30"/>
  <c r="C4119" i="30"/>
  <c r="C4120" i="30"/>
  <c r="C4121" i="30"/>
  <c r="C4122" i="30"/>
  <c r="C4123" i="30"/>
  <c r="C4124" i="30"/>
  <c r="C4125" i="30"/>
  <c r="C4126" i="30"/>
  <c r="C4127" i="30"/>
  <c r="C4128" i="30"/>
  <c r="C4129" i="30"/>
  <c r="C4130" i="30"/>
  <c r="C4131" i="30"/>
  <c r="C4132" i="30"/>
  <c r="C4133" i="30"/>
  <c r="C4134" i="30"/>
  <c r="C4135" i="30"/>
  <c r="C4136" i="30"/>
  <c r="C4137" i="30"/>
  <c r="C4138" i="30"/>
  <c r="C4139" i="30"/>
  <c r="C4140" i="30"/>
  <c r="C4141" i="30"/>
  <c r="C4142" i="30"/>
  <c r="C4143" i="30"/>
  <c r="C4144" i="30"/>
  <c r="C4145" i="30"/>
  <c r="C4146" i="30"/>
  <c r="C4147" i="30"/>
  <c r="C4148" i="30"/>
  <c r="C4149" i="30"/>
  <c r="C4150" i="30"/>
  <c r="C4151" i="30"/>
  <c r="C4152" i="30"/>
  <c r="C4153" i="30"/>
  <c r="C4154" i="30"/>
  <c r="C4155" i="30"/>
  <c r="C4156" i="30"/>
  <c r="C4157" i="30"/>
  <c r="C4158" i="30"/>
  <c r="C4159" i="30"/>
  <c r="C4160" i="30"/>
  <c r="C4161" i="30"/>
  <c r="C4162" i="30"/>
  <c r="C4163" i="30"/>
  <c r="C4164" i="30"/>
  <c r="C4165" i="30"/>
  <c r="C4166" i="30"/>
  <c r="C4167" i="30"/>
  <c r="C4168" i="30"/>
  <c r="C4169" i="30"/>
  <c r="C4170" i="30"/>
  <c r="C4171" i="30"/>
  <c r="C4172" i="30"/>
  <c r="C4173" i="30"/>
  <c r="C4174" i="30"/>
  <c r="C4175" i="30"/>
  <c r="C4176" i="30"/>
  <c r="C4177" i="30"/>
  <c r="C4178" i="30"/>
  <c r="C4179" i="30"/>
  <c r="C4180" i="30"/>
  <c r="C4181" i="30"/>
  <c r="C4182" i="30"/>
  <c r="C4183" i="30"/>
  <c r="C4184" i="30"/>
  <c r="C4185" i="30"/>
  <c r="C4186" i="30"/>
  <c r="C4187" i="30"/>
  <c r="C4188" i="30"/>
  <c r="C4189" i="30"/>
  <c r="C4190" i="30"/>
  <c r="C4191" i="30"/>
  <c r="C4192" i="30"/>
  <c r="C4193" i="30"/>
  <c r="C4194" i="30"/>
  <c r="C4195" i="30"/>
  <c r="C4196" i="30"/>
  <c r="C4197" i="30"/>
  <c r="C4198" i="30"/>
  <c r="C4199" i="30"/>
  <c r="C4200" i="30"/>
  <c r="C4201" i="30"/>
  <c r="C4202" i="30"/>
  <c r="C4203" i="30"/>
  <c r="C4204" i="30"/>
  <c r="C4205" i="30"/>
  <c r="C4206" i="30"/>
  <c r="C4207" i="30"/>
  <c r="C4208" i="30"/>
  <c r="C4209" i="30"/>
  <c r="C4210" i="30"/>
  <c r="C4211" i="30"/>
  <c r="C4212" i="30"/>
  <c r="C4213" i="30"/>
  <c r="C4214" i="30"/>
  <c r="C4215" i="30"/>
  <c r="C4216" i="30"/>
  <c r="C4217" i="30"/>
  <c r="C4218" i="30"/>
  <c r="C4219" i="30"/>
  <c r="C4220" i="30"/>
  <c r="C4221" i="30"/>
  <c r="C4222" i="30"/>
  <c r="C4223" i="30"/>
  <c r="C4224" i="30"/>
  <c r="C4225" i="30"/>
  <c r="C4226" i="30"/>
  <c r="C4227" i="30"/>
  <c r="C4228" i="30"/>
  <c r="C4229" i="30"/>
  <c r="C4230" i="30"/>
  <c r="C4231" i="30"/>
  <c r="C4232" i="30"/>
  <c r="C4233" i="30"/>
  <c r="C4234" i="30"/>
  <c r="C4235" i="30"/>
  <c r="C4236" i="30"/>
  <c r="C4237" i="30"/>
  <c r="C4238" i="30"/>
  <c r="C4239" i="30"/>
  <c r="C4240" i="30"/>
  <c r="C4241" i="30"/>
  <c r="C4242" i="30"/>
  <c r="C4243" i="30"/>
  <c r="C4244" i="30"/>
  <c r="C4245" i="30"/>
  <c r="C4246" i="30"/>
  <c r="C4247" i="30"/>
  <c r="C4248" i="30"/>
  <c r="C4249" i="30"/>
  <c r="C4250" i="30"/>
  <c r="C4251" i="30"/>
  <c r="C4252" i="30"/>
  <c r="C4253" i="30"/>
  <c r="C4254" i="30"/>
  <c r="C4255" i="30"/>
  <c r="C4256" i="30"/>
  <c r="C4257" i="30"/>
  <c r="C4258" i="30"/>
  <c r="C4259" i="30"/>
  <c r="C4260" i="30"/>
  <c r="C4261" i="30"/>
  <c r="C4262" i="30"/>
  <c r="C4263" i="30"/>
  <c r="C4264" i="30"/>
  <c r="C4265" i="30"/>
  <c r="C4266" i="30"/>
  <c r="C4267" i="30"/>
  <c r="C4268" i="30"/>
  <c r="C4269" i="30"/>
  <c r="C4270" i="30"/>
  <c r="C4271" i="30"/>
  <c r="C4272" i="30"/>
  <c r="C4273" i="30"/>
  <c r="C4274" i="30"/>
  <c r="C4275" i="30"/>
  <c r="C4276" i="30"/>
  <c r="C4277" i="30"/>
  <c r="C4278" i="30"/>
  <c r="C4279" i="30"/>
  <c r="C4280" i="30"/>
  <c r="C4281" i="30"/>
  <c r="C4282" i="30"/>
  <c r="C4283" i="30"/>
  <c r="C4284" i="30"/>
  <c r="C4285" i="30"/>
  <c r="C4286" i="30"/>
  <c r="C4287" i="30"/>
  <c r="C4288" i="30"/>
  <c r="C4289" i="30"/>
  <c r="C4290" i="30"/>
  <c r="C4291" i="30"/>
  <c r="C4292" i="30"/>
  <c r="C4293" i="30"/>
  <c r="C4294" i="30"/>
  <c r="C4295" i="30"/>
  <c r="C4296" i="30"/>
  <c r="C4297" i="30"/>
  <c r="C4298" i="30"/>
  <c r="C4299" i="30"/>
  <c r="C4300" i="30"/>
  <c r="C4301" i="30"/>
  <c r="C4302" i="30"/>
  <c r="C4303" i="30"/>
  <c r="C4304" i="30"/>
  <c r="C4305" i="30"/>
  <c r="C4306" i="30"/>
  <c r="C4307" i="30"/>
  <c r="C4308" i="30"/>
  <c r="C4309" i="30"/>
  <c r="C4310" i="30"/>
  <c r="C4311" i="30"/>
  <c r="C4312" i="30"/>
  <c r="C4313" i="30"/>
  <c r="C4314" i="30"/>
  <c r="C4315" i="30"/>
  <c r="C4316" i="30"/>
  <c r="C4317" i="30"/>
  <c r="C4318" i="30"/>
  <c r="C4319" i="30"/>
  <c r="C4320" i="30"/>
  <c r="C4321" i="30"/>
  <c r="C4322" i="30"/>
  <c r="C4323" i="30"/>
  <c r="C4324" i="30"/>
  <c r="C4325" i="30"/>
  <c r="C4326" i="30"/>
  <c r="C4327" i="30"/>
  <c r="C4328" i="30"/>
  <c r="C4329" i="30"/>
  <c r="C4330" i="30"/>
  <c r="C4331" i="30"/>
  <c r="C4332" i="30"/>
  <c r="C4333" i="30"/>
  <c r="C4334" i="30"/>
  <c r="C4335" i="30"/>
  <c r="C4336" i="30"/>
  <c r="C4337" i="30"/>
  <c r="C4338" i="30"/>
  <c r="C4339" i="30"/>
  <c r="C4340" i="30"/>
  <c r="C4341" i="30"/>
  <c r="C4342" i="30"/>
  <c r="C4343" i="30"/>
  <c r="C4344" i="30"/>
  <c r="C4345" i="30"/>
  <c r="C4346" i="30"/>
  <c r="C4347" i="30"/>
  <c r="C4348" i="30"/>
  <c r="C4349" i="30"/>
  <c r="C4350" i="30"/>
  <c r="C4351" i="30"/>
  <c r="C4352" i="30"/>
  <c r="C4353" i="30"/>
  <c r="C4354" i="30"/>
  <c r="C4355" i="30"/>
  <c r="C4356" i="30"/>
  <c r="C4357" i="30"/>
  <c r="C4358" i="30"/>
  <c r="C4359" i="30"/>
  <c r="C4360" i="30"/>
  <c r="C4361" i="30"/>
  <c r="C4362" i="30"/>
  <c r="C4363" i="30"/>
  <c r="C4364" i="30"/>
  <c r="C4365" i="30"/>
  <c r="C4366" i="30"/>
  <c r="C4367" i="30"/>
  <c r="C4368" i="30"/>
  <c r="C4369" i="30"/>
  <c r="C4370" i="30"/>
  <c r="C4371" i="30"/>
  <c r="C4372" i="30"/>
  <c r="C4373" i="30"/>
  <c r="C4374" i="30"/>
  <c r="C4375" i="30"/>
  <c r="C4376" i="30"/>
  <c r="C4377" i="30"/>
  <c r="C4378" i="30"/>
  <c r="C4379" i="30"/>
  <c r="C4380" i="30"/>
  <c r="C4381" i="30"/>
  <c r="C4382" i="30"/>
  <c r="C4383" i="30"/>
  <c r="C4384" i="30"/>
  <c r="C4385" i="30"/>
  <c r="C4386" i="30"/>
  <c r="C4387" i="30"/>
  <c r="C4388" i="30"/>
  <c r="C4389" i="30"/>
  <c r="C4390" i="30"/>
  <c r="C4391" i="30"/>
  <c r="C4392" i="30"/>
  <c r="C4393" i="30"/>
  <c r="C4394" i="30"/>
  <c r="C4395" i="30"/>
  <c r="C4396" i="30"/>
  <c r="C4397" i="30"/>
  <c r="C4398" i="30"/>
  <c r="C4399" i="30"/>
  <c r="C4400" i="30"/>
  <c r="C4401" i="30"/>
  <c r="C4402" i="30"/>
  <c r="C4403" i="30"/>
  <c r="C4404" i="30"/>
  <c r="C4405" i="30"/>
  <c r="C4406" i="30"/>
  <c r="C4407" i="30"/>
  <c r="C4408" i="30"/>
  <c r="C4409" i="30"/>
  <c r="C4410" i="30"/>
  <c r="C4411" i="30"/>
  <c r="C4412" i="30"/>
  <c r="C4413" i="30"/>
  <c r="C4414" i="30"/>
  <c r="C4415" i="30"/>
  <c r="C4416" i="30"/>
  <c r="C4417" i="30"/>
  <c r="C4418" i="30"/>
  <c r="C4419" i="30"/>
  <c r="C4420" i="30"/>
  <c r="C4421" i="30"/>
  <c r="C4422" i="30"/>
  <c r="C4423" i="30"/>
  <c r="C4424" i="30"/>
  <c r="C4425" i="30"/>
  <c r="C4426" i="30"/>
  <c r="C4427" i="30"/>
  <c r="C4428" i="30"/>
  <c r="C4429" i="30"/>
  <c r="C4430" i="30"/>
  <c r="C4431" i="30"/>
  <c r="C4432" i="30"/>
  <c r="C4433" i="30"/>
  <c r="C4434" i="30"/>
  <c r="C4435" i="30"/>
  <c r="C4436" i="30"/>
  <c r="C4437" i="30"/>
  <c r="C4438" i="30"/>
  <c r="C4439" i="30"/>
  <c r="C4440" i="30"/>
  <c r="C4441" i="30"/>
  <c r="C4442" i="30"/>
  <c r="C4443" i="30"/>
  <c r="C4444" i="30"/>
  <c r="C4445" i="30"/>
  <c r="C4446" i="30"/>
  <c r="C4447" i="30"/>
  <c r="C4448" i="30"/>
  <c r="C4449" i="30"/>
  <c r="C4450" i="30"/>
  <c r="C4451" i="30"/>
  <c r="C4452" i="30"/>
  <c r="C4453" i="30"/>
  <c r="C4454" i="30"/>
  <c r="C4455" i="30"/>
  <c r="C4456" i="30"/>
  <c r="C4457" i="30"/>
  <c r="C4458" i="30"/>
  <c r="C4459" i="30"/>
  <c r="C4460" i="30"/>
  <c r="C4461" i="30"/>
  <c r="C4462" i="30"/>
  <c r="C4463" i="30"/>
  <c r="C4464" i="30"/>
  <c r="C4465" i="30"/>
  <c r="C4466" i="30"/>
  <c r="C4467" i="30"/>
  <c r="C4468" i="30"/>
  <c r="C4469" i="30"/>
  <c r="C4470" i="30"/>
  <c r="C4471" i="30"/>
  <c r="C4472" i="30"/>
  <c r="C4473" i="30"/>
  <c r="C4474" i="30"/>
  <c r="C4475" i="30"/>
  <c r="C4476" i="30"/>
  <c r="C4477" i="30"/>
  <c r="C4478" i="30"/>
  <c r="C4479" i="30"/>
  <c r="C4480" i="30"/>
  <c r="C4481" i="30"/>
  <c r="C4482" i="30"/>
  <c r="C4483" i="30"/>
  <c r="C4484" i="30"/>
  <c r="C4485" i="30"/>
  <c r="C4486" i="30"/>
  <c r="C4487" i="30"/>
  <c r="C4488" i="30"/>
  <c r="C4489" i="30"/>
  <c r="C4490" i="30"/>
  <c r="C4491" i="30"/>
  <c r="C4492" i="30"/>
  <c r="C4493" i="30"/>
  <c r="C4494" i="30"/>
  <c r="C4495" i="30"/>
  <c r="C4496" i="30"/>
  <c r="C4497" i="30"/>
  <c r="C4498" i="30"/>
  <c r="C4499" i="30"/>
  <c r="C4500" i="30"/>
  <c r="C4501" i="30"/>
  <c r="C4502" i="30"/>
  <c r="C4503" i="30"/>
  <c r="C4504" i="30"/>
  <c r="C4505" i="30"/>
  <c r="C4506" i="30"/>
  <c r="C4507" i="30"/>
  <c r="C4508" i="30"/>
  <c r="C4509" i="30"/>
  <c r="C4510" i="30"/>
  <c r="C4511" i="30"/>
  <c r="C4512" i="30"/>
  <c r="C4513" i="30"/>
  <c r="C4514" i="30"/>
  <c r="C4515" i="30"/>
  <c r="C4516" i="30"/>
  <c r="C4517" i="30"/>
  <c r="C4518" i="30"/>
  <c r="C4519" i="30"/>
  <c r="C4520" i="30"/>
  <c r="C4521" i="30"/>
  <c r="C4522" i="30"/>
  <c r="C4523" i="30"/>
  <c r="C4524" i="30"/>
  <c r="C4525" i="30"/>
  <c r="C4526" i="30"/>
  <c r="C4527" i="30"/>
  <c r="C4528" i="30"/>
  <c r="C4529" i="30"/>
  <c r="C4530" i="30"/>
  <c r="C4531" i="30"/>
  <c r="C4532" i="30"/>
  <c r="C4533" i="30"/>
  <c r="C4534" i="30"/>
  <c r="C4535" i="30"/>
  <c r="C4536" i="30"/>
  <c r="C4537" i="30"/>
  <c r="C4538" i="30"/>
  <c r="C4539" i="30"/>
  <c r="C4540" i="30"/>
  <c r="C4541" i="30"/>
  <c r="C4542" i="30"/>
  <c r="C4543" i="30"/>
  <c r="C4544" i="30"/>
  <c r="C4545" i="30"/>
  <c r="C4546" i="30"/>
  <c r="C4547" i="30"/>
  <c r="C4548" i="30"/>
  <c r="C4549" i="30"/>
  <c r="C4550" i="30"/>
  <c r="C4551" i="30"/>
  <c r="C4552" i="30"/>
  <c r="C4553" i="30"/>
  <c r="C4554" i="30"/>
  <c r="C4555" i="30"/>
  <c r="C4556" i="30"/>
  <c r="C4557" i="30"/>
  <c r="C4558" i="30"/>
  <c r="C4559" i="30"/>
  <c r="C4560" i="30"/>
  <c r="C4561" i="30"/>
  <c r="C4562" i="30"/>
  <c r="C4563" i="30"/>
  <c r="C4564" i="30"/>
  <c r="C4565" i="30"/>
  <c r="C4566" i="30"/>
  <c r="C4567" i="30"/>
  <c r="C4568" i="30"/>
  <c r="C4569" i="30"/>
  <c r="C4570" i="30"/>
  <c r="C4571" i="30"/>
  <c r="C4572" i="30"/>
  <c r="C4573" i="30"/>
  <c r="C4574" i="30"/>
  <c r="C4575" i="30"/>
  <c r="C4576" i="30"/>
  <c r="C4577" i="30"/>
  <c r="C4578" i="30"/>
  <c r="C4579" i="30"/>
  <c r="C4580" i="30"/>
  <c r="C4581" i="30"/>
  <c r="C4582" i="30"/>
  <c r="C4583" i="30"/>
  <c r="C4584" i="30"/>
  <c r="C4585" i="30"/>
  <c r="C4586" i="30"/>
  <c r="C4587" i="30"/>
  <c r="C4588" i="30"/>
  <c r="C4589" i="30"/>
  <c r="C4590" i="30"/>
  <c r="C4591" i="30"/>
  <c r="C4592" i="30"/>
  <c r="C4593" i="30"/>
  <c r="C4594" i="30"/>
  <c r="C4595" i="30"/>
  <c r="C4596" i="30"/>
  <c r="C4597" i="30"/>
  <c r="C4598" i="30"/>
  <c r="C4599" i="30"/>
  <c r="C4600" i="30"/>
  <c r="C4601" i="30"/>
  <c r="C4602" i="30"/>
  <c r="C4603" i="30"/>
  <c r="C4604" i="30"/>
  <c r="C4605" i="30"/>
  <c r="C4606" i="30"/>
  <c r="C4607" i="30"/>
  <c r="C4608" i="30"/>
  <c r="C4609" i="30"/>
  <c r="C4610" i="30"/>
  <c r="C4611" i="30"/>
  <c r="C4612" i="30"/>
  <c r="C4613" i="30"/>
  <c r="C4614" i="30"/>
  <c r="C4615" i="30"/>
  <c r="C4616" i="30"/>
  <c r="C4617" i="30"/>
  <c r="C4618" i="30"/>
  <c r="C4619" i="30"/>
  <c r="C4620" i="30"/>
  <c r="C4621" i="30"/>
  <c r="C4622" i="30"/>
  <c r="C4623" i="30"/>
  <c r="C4624" i="30"/>
  <c r="C4625" i="30"/>
  <c r="C4626" i="30"/>
  <c r="C4627" i="30"/>
  <c r="C4628" i="30"/>
  <c r="C4629" i="30"/>
  <c r="C4630" i="30"/>
  <c r="C4631" i="30"/>
  <c r="C4632" i="30"/>
  <c r="C4633" i="30"/>
  <c r="C4634" i="30"/>
  <c r="C4635" i="30"/>
  <c r="C4636" i="30"/>
  <c r="C4637" i="30"/>
  <c r="C4638" i="30"/>
  <c r="C4639" i="30"/>
  <c r="C4640" i="30"/>
  <c r="C4641" i="30"/>
  <c r="C4642" i="30"/>
  <c r="C4643" i="30"/>
  <c r="C4644" i="30"/>
  <c r="C4645" i="30"/>
  <c r="C4646" i="30"/>
  <c r="C4647" i="30"/>
  <c r="C4648" i="30"/>
  <c r="C4649" i="30"/>
  <c r="C4650" i="30"/>
  <c r="C4651" i="30"/>
  <c r="C4652" i="30"/>
  <c r="C4653" i="30"/>
  <c r="C4654" i="30"/>
  <c r="C4655" i="30"/>
  <c r="C4656" i="30"/>
  <c r="C4657" i="30"/>
  <c r="C4658" i="30"/>
  <c r="C4659" i="30"/>
  <c r="C4660" i="30"/>
  <c r="C4661" i="30"/>
  <c r="C4662" i="30"/>
  <c r="C4663" i="30"/>
  <c r="C4664" i="30"/>
  <c r="C4665" i="30"/>
  <c r="C4666" i="30"/>
  <c r="C4667" i="30"/>
  <c r="C4668" i="30"/>
  <c r="C4669" i="30"/>
  <c r="C4670" i="30"/>
  <c r="C4671" i="30"/>
  <c r="C4672" i="30"/>
  <c r="C4673" i="30"/>
  <c r="C4674" i="30"/>
  <c r="C4675" i="30"/>
  <c r="C4676" i="30"/>
  <c r="C4677" i="30"/>
  <c r="C4678" i="30"/>
  <c r="C4679" i="30"/>
  <c r="C4680" i="30"/>
  <c r="C4681" i="30"/>
  <c r="C4682" i="30"/>
  <c r="C4683" i="30"/>
  <c r="C4684" i="30"/>
  <c r="C4685" i="30"/>
  <c r="C4686" i="30"/>
  <c r="C4687" i="30"/>
  <c r="C4688" i="30"/>
  <c r="C4689" i="30"/>
  <c r="C4690" i="30"/>
  <c r="C4691" i="30"/>
  <c r="C4692" i="30"/>
  <c r="C4693" i="30"/>
  <c r="C4694" i="30"/>
  <c r="C4695" i="30"/>
  <c r="C4696" i="30"/>
  <c r="C4697" i="30"/>
  <c r="C4698" i="30"/>
  <c r="C4699" i="30"/>
  <c r="C4700" i="30"/>
  <c r="C4701" i="30"/>
  <c r="C4702" i="30"/>
  <c r="C4703" i="30"/>
  <c r="C4704" i="30"/>
  <c r="C4705" i="30"/>
  <c r="C4706" i="30"/>
  <c r="C4707" i="30"/>
  <c r="C4708" i="30"/>
  <c r="C4709" i="30"/>
  <c r="C4710" i="30"/>
  <c r="C4711" i="30"/>
  <c r="C4712" i="30"/>
  <c r="C4713" i="30"/>
  <c r="C4714" i="30"/>
  <c r="C4715" i="30"/>
  <c r="C4716" i="30"/>
  <c r="C4717" i="30"/>
  <c r="C4718" i="30"/>
  <c r="C4719" i="30"/>
  <c r="C4720" i="30"/>
  <c r="C4721" i="30"/>
  <c r="C4722" i="30"/>
  <c r="C4723" i="30"/>
  <c r="C4724" i="30"/>
  <c r="C4725" i="30"/>
  <c r="C4726" i="30"/>
  <c r="C4727" i="30"/>
  <c r="C4728" i="30"/>
  <c r="C4729" i="30"/>
  <c r="C4730" i="30"/>
  <c r="C4731" i="30"/>
  <c r="C4732" i="30"/>
  <c r="C4733" i="30"/>
  <c r="C4734" i="30"/>
  <c r="C4735" i="30"/>
  <c r="C4736" i="30"/>
  <c r="C4737" i="30"/>
  <c r="C4738" i="30"/>
  <c r="C4739" i="30"/>
  <c r="C4740" i="30"/>
  <c r="C4741" i="30"/>
  <c r="C4742" i="30"/>
  <c r="C4743" i="30"/>
  <c r="C4744" i="30"/>
  <c r="C4745" i="30"/>
  <c r="C4746" i="30"/>
  <c r="C4747" i="30"/>
  <c r="C4748" i="30"/>
  <c r="C4749" i="30"/>
  <c r="C4750" i="30"/>
  <c r="C4751" i="30"/>
  <c r="C4752" i="30"/>
  <c r="C4753" i="30"/>
  <c r="C4754" i="30"/>
  <c r="C4755" i="30"/>
  <c r="C4756" i="30"/>
  <c r="C4757" i="30"/>
  <c r="C4758" i="30"/>
  <c r="C4759" i="30"/>
  <c r="C4760" i="30"/>
  <c r="C4761" i="30"/>
  <c r="C4762" i="30"/>
  <c r="C4763" i="30"/>
  <c r="C4764" i="30"/>
  <c r="C4765" i="30"/>
  <c r="C4766" i="30"/>
  <c r="C4767" i="30"/>
  <c r="C4768" i="30"/>
  <c r="C4769" i="30"/>
  <c r="C4770" i="30"/>
  <c r="C4771" i="30"/>
  <c r="C4772" i="30"/>
  <c r="C4773" i="30"/>
  <c r="C4774" i="30"/>
  <c r="C4775" i="30"/>
  <c r="C4776" i="30"/>
  <c r="C4777" i="30"/>
  <c r="C4778" i="30"/>
  <c r="C4779" i="30"/>
  <c r="C4780" i="30"/>
  <c r="C4781" i="30"/>
  <c r="C4782" i="30"/>
  <c r="C4783" i="30"/>
  <c r="C4784" i="30"/>
  <c r="C4785" i="30"/>
  <c r="C4786" i="30"/>
  <c r="C4787" i="30"/>
  <c r="C4788" i="30"/>
  <c r="C4789" i="30"/>
  <c r="C4790" i="30"/>
  <c r="C4791" i="30"/>
  <c r="C4792" i="30"/>
  <c r="C4793" i="30"/>
  <c r="C4794" i="30"/>
  <c r="C4795" i="30"/>
  <c r="C4796" i="30"/>
  <c r="C4797" i="30"/>
  <c r="C4798" i="30"/>
  <c r="C4799" i="30"/>
  <c r="C4800" i="30"/>
  <c r="C4801" i="30"/>
  <c r="C4802" i="30"/>
  <c r="C4803" i="30"/>
  <c r="C4804" i="30"/>
  <c r="C4805" i="30"/>
  <c r="C4806" i="30"/>
  <c r="C4807" i="30"/>
  <c r="C4808" i="30"/>
  <c r="C4809" i="30"/>
  <c r="C4810" i="30"/>
  <c r="C4811" i="30"/>
  <c r="C4812" i="30"/>
  <c r="C4813" i="30"/>
  <c r="C4814" i="30"/>
  <c r="C4815" i="30"/>
  <c r="C4816" i="30"/>
  <c r="C4817" i="30"/>
  <c r="C4818" i="30"/>
  <c r="C4819" i="30"/>
  <c r="C4820" i="30"/>
  <c r="C4821" i="30"/>
  <c r="C4822" i="30"/>
  <c r="C4823" i="30"/>
  <c r="C4824" i="30"/>
  <c r="C4825" i="30"/>
  <c r="C4826" i="30"/>
  <c r="C4827" i="30"/>
  <c r="C4828" i="30"/>
  <c r="C4829" i="30"/>
  <c r="C4830" i="30"/>
  <c r="C4831" i="30"/>
  <c r="C4832" i="30"/>
  <c r="C4833" i="30"/>
  <c r="C4834" i="30"/>
  <c r="C4835" i="30"/>
  <c r="C4836" i="30"/>
  <c r="C4837" i="30"/>
  <c r="C4838" i="30"/>
  <c r="C4839" i="30"/>
  <c r="C4840" i="30"/>
  <c r="C4841" i="30"/>
  <c r="C4842" i="30"/>
  <c r="C4843" i="30"/>
  <c r="C4844" i="30"/>
  <c r="C4845" i="30"/>
  <c r="C4846" i="30"/>
  <c r="C4847" i="30"/>
  <c r="C4848" i="30"/>
  <c r="C4849" i="30"/>
  <c r="C4850" i="30"/>
  <c r="C4851" i="30"/>
  <c r="C4852" i="30"/>
  <c r="C4853" i="30"/>
  <c r="C4854" i="30"/>
  <c r="C4855" i="30"/>
  <c r="C4856" i="30"/>
  <c r="C4857" i="30"/>
  <c r="C4858" i="30"/>
  <c r="C4859" i="30"/>
  <c r="C4860" i="30"/>
  <c r="C4861" i="30"/>
  <c r="C4862" i="30"/>
  <c r="C4863" i="30"/>
  <c r="C4864" i="30"/>
  <c r="C4865" i="30"/>
  <c r="C4866" i="30"/>
  <c r="C4867" i="30"/>
  <c r="C4868" i="30"/>
  <c r="C4869" i="30"/>
  <c r="C4870" i="30"/>
  <c r="C4871" i="30"/>
  <c r="C4872" i="30"/>
  <c r="C4873" i="30"/>
  <c r="C4874" i="30"/>
  <c r="C4875" i="30"/>
  <c r="C4876" i="30"/>
  <c r="C4877" i="30"/>
  <c r="C4878" i="30"/>
  <c r="C4879" i="30"/>
  <c r="C4880" i="30"/>
  <c r="C4881" i="30"/>
  <c r="C4882" i="30"/>
  <c r="C4883" i="30"/>
  <c r="C4884" i="30"/>
  <c r="C4885" i="30"/>
  <c r="C4886" i="30"/>
  <c r="C4887" i="30"/>
  <c r="C4888" i="30"/>
  <c r="C4889" i="30"/>
  <c r="C4890" i="30"/>
  <c r="C4891" i="30"/>
  <c r="C4892" i="30"/>
  <c r="C4893" i="30"/>
  <c r="C4894" i="30"/>
  <c r="C4895" i="30"/>
  <c r="C4896" i="30"/>
  <c r="C4897" i="30"/>
  <c r="C4898" i="30"/>
  <c r="C4899" i="30"/>
  <c r="C4900" i="30"/>
  <c r="C4901" i="30"/>
  <c r="C4902" i="30"/>
  <c r="C4903" i="30"/>
  <c r="C4904" i="30"/>
  <c r="C4905" i="30"/>
  <c r="C4906" i="30"/>
  <c r="C4907" i="30"/>
  <c r="C4908" i="30"/>
  <c r="C4909" i="30"/>
  <c r="C4910" i="30"/>
  <c r="C4911" i="30"/>
  <c r="C4912" i="30"/>
  <c r="C4913" i="30"/>
  <c r="C4914" i="30"/>
  <c r="C4915" i="30"/>
  <c r="C4916" i="30"/>
  <c r="C4917" i="30"/>
  <c r="C4918" i="30"/>
  <c r="C4919" i="30"/>
  <c r="C4920" i="30"/>
  <c r="C4921" i="30"/>
  <c r="C4922" i="30"/>
  <c r="C4923" i="30"/>
  <c r="C4924" i="30"/>
  <c r="C4925" i="30"/>
  <c r="C4926" i="30"/>
  <c r="C4927" i="30"/>
  <c r="C4928" i="30"/>
  <c r="C4929" i="30"/>
  <c r="C4930" i="30"/>
  <c r="C4931" i="30"/>
  <c r="C4932" i="30"/>
  <c r="C4933" i="30"/>
  <c r="C4934" i="30"/>
  <c r="C4935" i="30"/>
  <c r="C4936" i="30"/>
  <c r="C4937" i="30"/>
  <c r="C4938" i="30"/>
  <c r="C4939" i="30"/>
  <c r="C4940" i="30"/>
  <c r="C4941" i="30"/>
  <c r="C4942" i="30"/>
  <c r="C4943" i="30"/>
  <c r="C4944" i="30"/>
  <c r="C4945" i="30"/>
  <c r="C4946" i="30"/>
  <c r="C4947" i="30"/>
  <c r="C4948" i="30"/>
  <c r="C4949" i="30"/>
  <c r="C4950" i="30"/>
  <c r="C4951" i="30"/>
  <c r="C4952" i="30"/>
  <c r="C4953" i="30"/>
  <c r="C4954" i="30"/>
  <c r="C4955" i="30"/>
  <c r="C4956" i="30"/>
  <c r="C4957" i="30"/>
  <c r="C4958" i="30"/>
  <c r="C4959" i="30"/>
  <c r="C4960" i="30"/>
  <c r="C4961" i="30"/>
  <c r="C4962" i="30"/>
  <c r="C4963" i="30"/>
  <c r="C4964" i="30"/>
  <c r="C4965" i="30"/>
  <c r="C4966" i="30"/>
  <c r="C4967" i="30"/>
  <c r="C4968" i="30"/>
  <c r="C4969" i="30"/>
  <c r="C4970" i="30"/>
  <c r="C4971" i="30"/>
  <c r="C4972" i="30"/>
  <c r="C4973" i="30"/>
  <c r="C4974" i="30"/>
  <c r="C4975" i="30"/>
  <c r="C4976" i="30"/>
  <c r="C4977" i="30"/>
  <c r="C4978" i="30"/>
  <c r="C4979" i="30"/>
  <c r="C4980" i="30"/>
  <c r="C4981" i="30"/>
  <c r="C4982" i="30"/>
  <c r="C4983" i="30"/>
  <c r="C4984" i="30"/>
  <c r="C4985" i="30"/>
  <c r="C4986" i="30"/>
  <c r="C4987" i="30"/>
  <c r="C4988" i="30"/>
  <c r="C4989" i="30"/>
  <c r="C4990" i="30"/>
  <c r="C4991" i="30"/>
  <c r="C4992" i="30"/>
  <c r="C4993" i="30"/>
  <c r="C4994" i="30"/>
  <c r="C4995" i="30"/>
  <c r="C4996" i="30"/>
  <c r="C4997" i="30"/>
  <c r="C4998" i="30"/>
  <c r="C4999" i="30"/>
  <c r="C5000" i="30"/>
  <c r="C5001" i="30"/>
  <c r="C5002" i="30"/>
  <c r="C5003" i="30"/>
  <c r="C5004" i="30"/>
  <c r="C5005" i="30"/>
  <c r="C5006" i="30"/>
  <c r="C5007" i="30"/>
  <c r="C5008" i="30"/>
  <c r="C5009" i="30"/>
  <c r="C5010" i="30"/>
  <c r="C5011" i="30"/>
  <c r="C5012" i="30"/>
  <c r="C5013" i="30"/>
  <c r="C5014" i="30"/>
  <c r="C5015" i="30"/>
  <c r="C5016" i="30"/>
  <c r="C5017" i="30"/>
  <c r="C5018" i="30"/>
  <c r="C5019" i="30"/>
  <c r="C5020" i="30"/>
  <c r="C5021" i="30"/>
  <c r="C5022" i="30"/>
  <c r="C5023" i="30"/>
  <c r="C5024" i="30"/>
  <c r="C5025" i="30"/>
  <c r="C5026" i="30"/>
  <c r="C5027" i="30"/>
  <c r="C5028" i="30"/>
  <c r="C5029" i="30"/>
  <c r="C5030" i="30"/>
  <c r="C5031" i="30"/>
  <c r="C5032" i="30"/>
  <c r="C5033" i="30"/>
  <c r="C5034" i="30"/>
  <c r="C5035" i="30"/>
  <c r="C5036" i="30"/>
  <c r="C5037" i="30"/>
  <c r="C5038" i="30"/>
  <c r="C5039" i="30"/>
  <c r="C5040" i="30"/>
  <c r="C5041" i="30"/>
  <c r="C5042" i="30"/>
  <c r="C5043" i="30"/>
  <c r="C5044" i="30"/>
  <c r="C5045" i="30"/>
  <c r="C5046" i="30"/>
  <c r="C5047" i="30"/>
  <c r="C5048" i="30"/>
  <c r="C5049" i="30"/>
  <c r="C5050" i="30"/>
  <c r="C5051" i="30"/>
  <c r="C5052" i="30"/>
  <c r="C5053" i="30"/>
  <c r="C5054" i="30"/>
  <c r="C5055" i="30"/>
  <c r="C5056" i="30"/>
  <c r="C5057" i="30"/>
  <c r="C5058" i="30"/>
  <c r="C5059" i="30"/>
  <c r="C5060" i="30"/>
  <c r="C5061" i="30"/>
  <c r="C5062" i="30"/>
  <c r="C5063" i="30"/>
  <c r="C5064" i="30"/>
  <c r="C5065" i="30"/>
  <c r="C5066" i="30"/>
  <c r="C5067" i="30"/>
  <c r="C5068" i="30"/>
  <c r="C5069" i="30"/>
  <c r="C5070" i="30"/>
  <c r="C5071" i="30"/>
  <c r="C5072" i="30"/>
  <c r="C5073" i="30"/>
  <c r="C5074" i="30"/>
  <c r="C5075" i="30"/>
  <c r="C5076" i="30"/>
  <c r="C5077" i="30"/>
  <c r="C5078" i="30"/>
  <c r="C5079" i="30"/>
  <c r="C5080" i="30"/>
  <c r="C5081" i="30"/>
  <c r="C5082" i="30"/>
  <c r="C5083" i="30"/>
  <c r="C5084" i="30"/>
  <c r="C5085" i="30"/>
  <c r="C5086" i="30"/>
  <c r="C5087" i="30"/>
  <c r="C5088" i="30"/>
  <c r="C5089" i="30"/>
  <c r="C5090" i="30"/>
  <c r="C5091" i="30"/>
  <c r="C5092" i="30"/>
  <c r="C5093" i="30"/>
  <c r="C5094" i="30"/>
  <c r="C5095" i="30"/>
  <c r="C5096" i="30"/>
  <c r="C5097" i="30"/>
  <c r="C5098" i="30"/>
  <c r="C5099" i="30"/>
  <c r="C5100" i="30"/>
  <c r="C5101" i="30"/>
  <c r="C5102" i="30"/>
  <c r="C5103" i="30"/>
  <c r="C5104" i="30"/>
  <c r="C5105" i="30"/>
  <c r="C5106" i="30"/>
  <c r="C5107" i="30"/>
  <c r="C5108" i="30"/>
  <c r="C5109" i="30"/>
  <c r="C5110" i="30"/>
  <c r="C5111" i="30"/>
  <c r="C5112" i="30"/>
  <c r="C5113" i="30"/>
  <c r="C5114" i="30"/>
  <c r="C5115" i="30"/>
  <c r="C5116" i="30"/>
  <c r="C5117" i="30"/>
  <c r="C5118" i="30"/>
  <c r="C5119" i="30"/>
  <c r="C5120" i="30"/>
  <c r="C5121" i="30"/>
  <c r="C5122" i="30"/>
  <c r="C5123" i="30"/>
  <c r="C5124" i="30"/>
  <c r="C5125" i="30"/>
  <c r="C5126" i="30"/>
  <c r="C5127" i="30"/>
  <c r="C5128" i="30"/>
  <c r="C5129" i="30"/>
  <c r="C5130" i="30"/>
  <c r="C5131" i="30"/>
  <c r="C5132" i="30"/>
  <c r="C5133" i="30"/>
  <c r="C5134" i="30"/>
  <c r="C5135" i="30"/>
  <c r="C5136" i="30"/>
  <c r="C5137" i="30"/>
  <c r="C5138" i="30"/>
  <c r="C5139" i="30"/>
  <c r="C5140" i="30"/>
  <c r="C5141" i="30"/>
  <c r="C5142" i="30"/>
  <c r="C5143" i="30"/>
  <c r="C5144" i="30"/>
  <c r="C5145" i="30"/>
  <c r="C5146" i="30"/>
  <c r="C5147" i="30"/>
  <c r="C5148" i="30"/>
  <c r="C5149" i="30"/>
  <c r="C5150" i="30"/>
  <c r="C5151" i="30"/>
  <c r="C5152" i="30"/>
  <c r="C5153" i="30"/>
  <c r="C5154" i="30"/>
  <c r="C5155" i="30"/>
  <c r="C5156" i="30"/>
  <c r="C5157" i="30"/>
  <c r="C5158" i="30"/>
  <c r="C5159" i="30"/>
  <c r="C5160" i="30"/>
  <c r="C5161" i="30"/>
  <c r="C5162" i="30"/>
  <c r="C5163" i="30"/>
  <c r="C5164" i="30"/>
  <c r="C5165" i="30"/>
  <c r="C5166" i="30"/>
  <c r="C5167" i="30"/>
  <c r="C5168" i="30"/>
  <c r="C5169" i="30"/>
  <c r="C5170" i="30"/>
  <c r="C5171" i="30"/>
  <c r="C5172" i="30"/>
  <c r="C5173" i="30"/>
  <c r="C5174" i="30"/>
  <c r="C5175" i="30"/>
  <c r="C5176" i="30"/>
  <c r="C5177" i="30"/>
  <c r="C5178" i="30"/>
  <c r="C5179" i="30"/>
  <c r="C5180" i="30"/>
  <c r="C5181" i="30"/>
  <c r="C5182" i="30"/>
  <c r="C5183" i="30"/>
  <c r="C5184" i="30"/>
  <c r="C5185" i="30"/>
  <c r="C5186" i="30"/>
  <c r="C5187" i="30"/>
  <c r="C5188" i="30"/>
  <c r="C5189" i="30"/>
  <c r="C5190" i="30"/>
  <c r="C5191" i="30"/>
  <c r="C5192" i="30"/>
  <c r="C5193" i="30"/>
  <c r="C5194" i="30"/>
  <c r="C5195" i="30"/>
  <c r="C5196" i="30"/>
  <c r="C5197" i="30"/>
  <c r="C5198" i="30"/>
  <c r="C5199" i="30"/>
  <c r="C5200" i="30"/>
  <c r="C5201" i="30"/>
  <c r="C5202" i="30"/>
  <c r="C5203" i="30"/>
  <c r="C5204" i="30"/>
  <c r="C5205" i="30"/>
  <c r="C5206" i="30"/>
  <c r="C5207" i="30"/>
  <c r="C5208" i="30"/>
  <c r="C5209" i="30"/>
  <c r="C5210" i="30"/>
  <c r="C5211" i="30"/>
  <c r="C5212" i="30"/>
  <c r="C5213" i="30"/>
  <c r="C5214" i="30"/>
  <c r="C5215" i="30"/>
  <c r="C5216" i="30"/>
  <c r="C5217" i="30"/>
  <c r="C5218" i="30"/>
  <c r="C5219" i="30"/>
  <c r="C5220" i="30"/>
  <c r="C5221" i="30"/>
  <c r="C5222" i="30"/>
  <c r="C5223" i="30"/>
  <c r="C5224" i="30"/>
  <c r="C5225" i="30"/>
  <c r="C5226" i="30"/>
  <c r="C5227" i="30"/>
  <c r="C5228" i="30"/>
  <c r="C5229" i="30"/>
  <c r="C5230" i="30"/>
  <c r="C5231" i="30"/>
  <c r="C5232" i="30"/>
  <c r="C5233" i="30"/>
  <c r="C5234" i="30"/>
  <c r="C5235" i="30"/>
  <c r="C5236" i="30"/>
  <c r="C5237" i="30"/>
  <c r="C5238" i="30"/>
  <c r="C5239" i="30"/>
  <c r="C5240" i="30"/>
  <c r="C5241" i="30"/>
  <c r="C5242" i="30"/>
  <c r="C5243" i="30"/>
  <c r="C5244" i="30"/>
  <c r="C5245" i="30"/>
  <c r="C5246" i="30"/>
  <c r="C5247" i="30"/>
  <c r="C5248" i="30"/>
  <c r="C5249" i="30"/>
  <c r="C5250" i="30"/>
  <c r="C5251" i="30"/>
  <c r="C5252" i="30"/>
  <c r="C5253" i="30"/>
  <c r="C5254" i="30"/>
  <c r="C5255" i="30"/>
  <c r="C5256" i="30"/>
  <c r="C5257" i="30"/>
  <c r="C5258" i="30"/>
  <c r="C5259" i="30"/>
  <c r="C5260" i="30"/>
  <c r="C5261" i="30"/>
  <c r="C5262" i="30"/>
  <c r="C5263" i="30"/>
  <c r="C5264" i="30"/>
  <c r="C5265" i="30"/>
  <c r="C5266" i="30"/>
  <c r="C5267" i="30"/>
  <c r="C5268" i="30"/>
  <c r="C5269" i="30"/>
  <c r="C5270" i="30"/>
  <c r="C5271" i="30"/>
  <c r="C5272" i="30"/>
  <c r="C5273" i="30"/>
  <c r="C5274" i="30"/>
  <c r="C5275" i="30"/>
  <c r="C5276" i="30"/>
  <c r="C5277" i="30"/>
  <c r="C5278" i="30"/>
  <c r="C5279" i="30"/>
  <c r="C5280" i="30"/>
  <c r="C5281" i="30"/>
  <c r="C5282" i="30"/>
  <c r="C5283" i="30"/>
  <c r="C5284" i="30"/>
  <c r="C5285" i="30"/>
  <c r="C5286" i="30"/>
  <c r="C5287" i="30"/>
  <c r="C5288" i="30"/>
  <c r="C5289" i="30"/>
  <c r="C5290" i="30"/>
  <c r="C5291" i="30"/>
  <c r="C5292" i="30"/>
  <c r="C5293" i="30"/>
  <c r="C5294" i="30"/>
  <c r="C5295" i="30"/>
  <c r="C5296" i="30"/>
  <c r="C5297" i="30"/>
  <c r="C5298" i="30"/>
  <c r="C5299" i="30"/>
  <c r="C5300" i="30"/>
  <c r="C5301" i="30"/>
  <c r="C5302" i="30"/>
  <c r="C5303" i="30"/>
  <c r="C5304" i="30"/>
  <c r="C5305" i="30"/>
  <c r="C5306" i="30"/>
  <c r="C5307" i="30"/>
  <c r="C5308" i="30"/>
  <c r="C5309" i="30"/>
  <c r="C5310" i="30"/>
  <c r="C5311" i="30"/>
  <c r="C5312" i="30"/>
  <c r="C5313" i="30"/>
  <c r="C5314" i="30"/>
  <c r="C5315" i="30"/>
  <c r="C5316" i="30"/>
  <c r="C5317" i="30"/>
  <c r="C5318" i="30"/>
  <c r="C5319" i="30"/>
  <c r="C5320" i="30"/>
  <c r="C5321" i="30"/>
  <c r="C5322" i="30"/>
  <c r="C5323" i="30"/>
  <c r="C5324" i="30"/>
  <c r="C5325" i="30"/>
  <c r="C5326" i="30"/>
  <c r="C5327" i="30"/>
  <c r="C5328" i="30"/>
  <c r="C5329" i="30"/>
  <c r="C5330" i="30"/>
  <c r="C5331" i="30"/>
  <c r="C5332" i="30"/>
  <c r="C5333" i="30"/>
  <c r="C5334" i="30"/>
  <c r="C5335" i="30"/>
  <c r="C5336" i="30"/>
  <c r="C5337" i="30"/>
  <c r="C5338" i="30"/>
  <c r="C5339" i="30"/>
  <c r="C5340" i="30"/>
  <c r="C5341" i="30"/>
  <c r="C5342" i="30"/>
  <c r="C5343" i="30"/>
  <c r="C5344" i="30"/>
  <c r="C5345" i="30"/>
  <c r="C5346" i="30"/>
  <c r="C5347" i="30"/>
  <c r="C5348" i="30"/>
  <c r="C5349" i="30"/>
  <c r="C5350" i="30"/>
  <c r="C5351" i="30"/>
  <c r="C5352" i="30"/>
  <c r="C5353" i="30"/>
  <c r="C5354" i="30"/>
  <c r="C5355" i="30"/>
  <c r="C5356" i="30"/>
  <c r="C5357" i="30"/>
  <c r="C5358" i="30"/>
  <c r="C5359" i="30"/>
  <c r="C5360" i="30"/>
  <c r="C5361" i="30"/>
  <c r="C5362" i="30"/>
  <c r="C5363" i="30"/>
  <c r="C5364" i="30"/>
  <c r="C5365" i="30"/>
  <c r="C5366" i="30"/>
  <c r="C5367" i="30"/>
  <c r="C5368" i="30"/>
  <c r="C5369" i="30"/>
  <c r="C5370" i="30"/>
  <c r="C5371" i="30"/>
  <c r="C5372" i="30"/>
  <c r="C5373" i="30"/>
  <c r="C5374" i="30"/>
  <c r="C5375" i="30"/>
  <c r="C5376" i="30"/>
  <c r="C5377" i="30"/>
  <c r="C5378" i="30"/>
  <c r="C5379" i="30"/>
  <c r="C5380" i="30"/>
  <c r="C5381" i="30"/>
  <c r="C5382" i="30"/>
  <c r="C5383" i="30"/>
  <c r="C5384" i="30"/>
  <c r="C5385" i="30"/>
  <c r="C5386" i="30"/>
  <c r="C5387" i="30"/>
  <c r="C5388" i="30"/>
  <c r="C5389" i="30"/>
  <c r="C5390" i="30"/>
  <c r="C5391" i="30"/>
  <c r="C5392" i="30"/>
  <c r="C5393" i="30"/>
  <c r="C5394" i="30"/>
  <c r="C5395" i="30"/>
  <c r="C5396" i="30"/>
  <c r="C5397" i="30"/>
  <c r="C5398" i="30"/>
  <c r="C5399" i="30"/>
  <c r="C5400" i="30"/>
  <c r="C5401" i="30"/>
  <c r="C5402" i="30"/>
  <c r="C5403" i="30"/>
  <c r="C5404" i="30"/>
  <c r="C5405" i="30"/>
  <c r="C5406" i="30"/>
  <c r="C5407" i="30"/>
  <c r="C5408" i="30"/>
  <c r="C5409" i="30"/>
  <c r="C5410" i="30"/>
  <c r="C5411" i="30"/>
  <c r="C5412" i="30"/>
  <c r="C5413" i="30"/>
  <c r="C5414" i="30"/>
  <c r="C5415" i="30"/>
  <c r="C5416" i="30"/>
  <c r="C5417" i="30"/>
  <c r="C5418" i="30"/>
  <c r="C5419" i="30"/>
  <c r="C5420" i="30"/>
  <c r="C5421" i="30"/>
  <c r="C5422" i="30"/>
  <c r="C5423" i="30"/>
  <c r="C5424" i="30"/>
  <c r="C5425" i="30"/>
  <c r="C5426" i="30"/>
  <c r="C5427" i="30"/>
  <c r="C5428" i="30"/>
  <c r="C5429" i="30"/>
  <c r="C5430" i="30"/>
  <c r="C5431" i="30"/>
  <c r="C5432" i="30"/>
  <c r="C5433" i="30"/>
  <c r="C5434" i="30"/>
  <c r="C5435" i="30"/>
  <c r="C5436" i="30"/>
  <c r="C5437" i="30"/>
  <c r="C5438" i="30"/>
  <c r="C5439" i="30"/>
  <c r="C5440" i="30"/>
  <c r="C5441" i="30"/>
  <c r="C5442" i="30"/>
  <c r="C5443" i="30"/>
  <c r="C5444" i="30"/>
  <c r="C5445" i="30"/>
  <c r="C5446" i="30"/>
  <c r="C5447" i="30"/>
  <c r="C5448" i="30"/>
  <c r="C5449" i="30"/>
  <c r="C5450" i="30"/>
  <c r="C5451" i="30"/>
  <c r="C5452" i="30"/>
  <c r="C5453" i="30"/>
  <c r="C5454" i="30"/>
  <c r="C5455" i="30"/>
  <c r="C5456" i="30"/>
  <c r="C5457" i="30"/>
  <c r="C5458" i="30"/>
  <c r="C5459" i="30"/>
  <c r="C5460" i="30"/>
  <c r="C5461" i="30"/>
  <c r="C5462" i="30"/>
  <c r="C5463" i="30"/>
  <c r="C5464" i="30"/>
  <c r="C5465" i="30"/>
  <c r="C5466" i="30"/>
  <c r="C5467" i="30"/>
  <c r="C5468" i="30"/>
  <c r="C5469" i="30"/>
  <c r="C5470" i="30"/>
  <c r="C5471" i="30"/>
  <c r="C5472" i="30"/>
  <c r="C5473" i="30"/>
  <c r="C5474" i="30"/>
  <c r="C5475" i="30"/>
  <c r="C5476" i="30"/>
  <c r="C5477" i="30"/>
  <c r="C5478" i="30"/>
  <c r="C5479" i="30"/>
  <c r="C5480" i="30"/>
  <c r="C5481" i="30"/>
  <c r="C5482" i="30"/>
  <c r="C5483" i="30"/>
  <c r="C5484" i="30"/>
  <c r="C5485" i="30"/>
  <c r="C5486" i="30"/>
  <c r="C5487" i="30"/>
  <c r="C5488" i="30"/>
  <c r="C5489" i="30"/>
  <c r="C5490" i="30"/>
  <c r="C5491" i="30"/>
  <c r="C5492" i="30"/>
  <c r="C5493" i="30"/>
  <c r="C5494" i="30"/>
  <c r="C5495" i="30"/>
  <c r="C5496" i="30"/>
  <c r="C5497" i="30"/>
  <c r="C5498" i="30"/>
  <c r="C5499" i="30"/>
  <c r="C5500" i="30"/>
  <c r="C5501" i="30"/>
  <c r="C5502" i="30"/>
  <c r="C5503" i="30"/>
  <c r="C5504" i="30"/>
  <c r="C5505" i="30"/>
  <c r="C5506" i="30"/>
  <c r="C5507" i="30"/>
  <c r="C5508" i="30"/>
  <c r="C5509" i="30"/>
  <c r="C5510" i="30"/>
  <c r="C5511" i="30"/>
  <c r="C5512" i="30"/>
  <c r="C5513" i="30"/>
  <c r="C5514" i="30"/>
  <c r="C5515" i="30"/>
  <c r="C5516" i="30"/>
  <c r="C5517" i="30"/>
  <c r="C5518" i="30"/>
  <c r="C5519" i="30"/>
  <c r="C5520" i="30"/>
  <c r="C5521" i="30"/>
  <c r="C5522" i="30"/>
  <c r="C5523" i="30"/>
  <c r="C5524" i="30"/>
  <c r="C5525" i="30"/>
  <c r="C5526" i="30"/>
  <c r="C5527" i="30"/>
  <c r="C5528" i="30"/>
  <c r="C5529" i="30"/>
  <c r="C5530" i="30"/>
  <c r="C5531" i="30"/>
  <c r="C5532" i="30"/>
  <c r="C5533" i="30"/>
  <c r="C5534" i="30"/>
  <c r="C5535" i="30"/>
  <c r="C5536" i="30"/>
  <c r="C5537" i="30"/>
  <c r="C5538" i="30"/>
  <c r="C5539" i="30"/>
  <c r="C5540" i="30"/>
  <c r="C5541" i="30"/>
  <c r="C5542" i="30"/>
  <c r="C5543" i="30"/>
  <c r="C5544" i="30"/>
  <c r="C5545" i="30"/>
  <c r="C5546" i="30"/>
  <c r="C5547" i="30"/>
  <c r="C5548" i="30"/>
  <c r="C5549" i="30"/>
  <c r="C5550" i="30"/>
  <c r="C5551" i="30"/>
  <c r="C5552" i="30"/>
  <c r="C5553" i="30"/>
  <c r="C5554" i="30"/>
  <c r="C5555" i="30"/>
  <c r="C5556" i="30"/>
  <c r="C5557" i="30"/>
  <c r="C5558" i="30"/>
  <c r="C5559" i="30"/>
  <c r="C5560" i="30"/>
  <c r="C5561" i="30"/>
  <c r="C5562" i="30"/>
  <c r="C5563" i="30"/>
  <c r="C5564" i="30"/>
  <c r="C5565" i="30"/>
  <c r="C5566" i="30"/>
  <c r="C5567" i="30"/>
  <c r="C5568" i="30"/>
  <c r="C5569" i="30"/>
  <c r="C5570" i="30"/>
  <c r="C5571" i="30"/>
  <c r="C5572" i="30"/>
  <c r="C5573" i="30"/>
  <c r="C5574" i="30"/>
  <c r="C5575" i="30"/>
  <c r="C5576" i="30"/>
  <c r="C5577" i="30"/>
  <c r="C5578" i="30"/>
  <c r="C5579" i="30"/>
  <c r="C5580" i="30"/>
  <c r="C5581" i="30"/>
  <c r="C5582" i="30"/>
  <c r="C5583" i="30"/>
  <c r="C5584" i="30"/>
  <c r="C5585" i="30"/>
  <c r="C5586" i="30"/>
  <c r="C5587" i="30"/>
  <c r="C5588" i="30"/>
  <c r="C5589" i="30"/>
  <c r="C5590" i="30"/>
  <c r="C5591" i="30"/>
  <c r="C5592" i="30"/>
  <c r="C5593" i="30"/>
  <c r="C5594" i="30"/>
  <c r="C5595" i="30"/>
  <c r="C5596" i="30"/>
  <c r="C5597" i="30"/>
  <c r="C5598" i="30"/>
  <c r="C5599" i="30"/>
  <c r="C5600" i="30"/>
  <c r="C5601" i="30"/>
  <c r="C5602" i="30"/>
  <c r="C5603" i="30"/>
  <c r="C5604" i="30"/>
  <c r="C5605" i="30"/>
  <c r="C5606" i="30"/>
  <c r="C5607" i="30"/>
  <c r="C5608" i="30"/>
  <c r="C5609" i="30"/>
  <c r="C5610" i="30"/>
  <c r="C5611" i="30"/>
  <c r="C5612" i="30"/>
  <c r="C5613" i="30"/>
  <c r="C5614" i="30"/>
  <c r="C5615" i="30"/>
  <c r="C5616" i="30"/>
  <c r="C5617" i="30"/>
  <c r="C5618" i="30"/>
  <c r="C5619" i="30"/>
  <c r="C5620" i="30"/>
  <c r="C5621" i="30"/>
  <c r="C5622" i="30"/>
  <c r="C5623" i="30"/>
  <c r="C5624" i="30"/>
  <c r="C5625" i="30"/>
  <c r="C5626" i="30"/>
  <c r="C5627" i="30"/>
  <c r="C5628" i="30"/>
  <c r="C5629" i="30"/>
  <c r="C5630" i="30"/>
  <c r="C5631" i="30"/>
  <c r="C5632" i="30"/>
  <c r="C5633" i="30"/>
  <c r="C5634" i="30"/>
  <c r="C5635" i="30"/>
  <c r="C5636" i="30"/>
  <c r="C5637" i="30"/>
  <c r="C5638" i="30"/>
  <c r="C5639" i="30"/>
  <c r="C5640" i="30"/>
  <c r="C5641" i="30"/>
  <c r="C5642" i="30"/>
  <c r="C5643" i="30"/>
  <c r="C5644" i="30"/>
  <c r="C5645" i="30"/>
  <c r="C5646" i="30"/>
  <c r="C5647" i="30"/>
  <c r="C5648" i="30"/>
  <c r="C5649" i="30"/>
  <c r="C5650" i="30"/>
  <c r="C5651" i="30"/>
  <c r="C5652" i="30"/>
  <c r="C5653" i="30"/>
  <c r="C5654" i="30"/>
  <c r="C5655" i="30"/>
  <c r="C5656" i="30"/>
  <c r="C5657" i="30"/>
  <c r="C5658" i="30"/>
  <c r="C5659" i="30"/>
  <c r="C5660" i="30"/>
  <c r="C5661" i="30"/>
  <c r="C5662" i="30"/>
  <c r="C5663" i="30"/>
  <c r="C5664" i="30"/>
  <c r="C5665" i="30"/>
  <c r="C5666" i="30"/>
  <c r="C5667" i="30"/>
  <c r="C5668" i="30"/>
  <c r="C5669" i="30"/>
  <c r="C5670" i="30"/>
  <c r="C5671" i="30"/>
  <c r="C5672" i="30"/>
  <c r="C5673" i="30"/>
  <c r="C5674" i="30"/>
  <c r="C5675" i="30"/>
  <c r="C5676" i="30"/>
  <c r="C5677" i="30"/>
  <c r="C5678" i="30"/>
  <c r="C5679" i="30"/>
  <c r="C5680" i="30"/>
  <c r="C5681" i="30"/>
  <c r="C5682" i="30"/>
  <c r="C5683" i="30"/>
  <c r="C5684" i="30"/>
  <c r="C5685" i="30"/>
  <c r="C5686" i="30"/>
  <c r="C5687" i="30"/>
  <c r="C5688" i="30"/>
  <c r="C5689" i="30"/>
  <c r="C5690" i="30"/>
  <c r="C5691" i="30"/>
  <c r="C5692" i="30"/>
  <c r="C5693" i="30"/>
  <c r="C5694" i="30"/>
  <c r="C5695" i="30"/>
  <c r="C5696" i="30"/>
  <c r="C5697" i="30"/>
  <c r="C5698" i="30"/>
  <c r="C5699" i="30"/>
  <c r="C5700" i="30"/>
  <c r="C5701" i="30"/>
  <c r="C5702" i="30"/>
  <c r="C5703" i="30"/>
  <c r="C5704" i="30"/>
  <c r="C5705" i="30"/>
  <c r="C5706" i="30"/>
  <c r="C5707" i="30"/>
  <c r="C5708" i="30"/>
  <c r="C5709" i="30"/>
  <c r="C5710" i="30"/>
  <c r="C5711" i="30"/>
  <c r="C5712" i="30"/>
  <c r="C5713" i="30"/>
  <c r="C5714" i="30"/>
  <c r="C5715" i="30"/>
  <c r="C5716" i="30"/>
  <c r="C5717" i="30"/>
  <c r="C5718" i="30"/>
  <c r="C5719" i="30"/>
  <c r="C5720" i="30"/>
  <c r="C5721" i="30"/>
  <c r="C5722" i="30"/>
  <c r="C5723" i="30"/>
  <c r="C5724" i="30"/>
  <c r="C5725" i="30"/>
  <c r="C5726" i="30"/>
  <c r="C5727" i="30"/>
  <c r="C5728" i="30"/>
  <c r="C5729" i="30"/>
  <c r="C5730" i="30"/>
  <c r="C5731" i="30"/>
  <c r="C5732" i="30"/>
  <c r="C5733" i="30"/>
  <c r="C5734" i="30"/>
  <c r="C5735" i="30"/>
  <c r="C5736" i="30"/>
  <c r="C5737" i="30"/>
  <c r="C5738" i="30"/>
  <c r="C5739" i="30"/>
  <c r="C5740" i="30"/>
  <c r="C5741" i="30"/>
  <c r="C5742" i="30"/>
  <c r="C5743" i="30"/>
  <c r="C5744" i="30"/>
  <c r="C5745" i="30"/>
  <c r="C5746" i="30"/>
  <c r="C5747" i="30"/>
  <c r="C5748" i="30"/>
  <c r="C5749" i="30"/>
  <c r="C5750" i="30"/>
  <c r="C5751" i="30"/>
  <c r="C5752" i="30"/>
  <c r="C5753" i="30"/>
  <c r="C5754" i="30"/>
  <c r="C5755" i="30"/>
  <c r="C5756" i="30"/>
  <c r="C5757" i="30"/>
  <c r="C5758" i="30"/>
  <c r="C5759" i="30"/>
  <c r="C5760" i="30"/>
  <c r="C5761" i="30"/>
  <c r="C5762" i="30"/>
  <c r="C5763" i="30"/>
  <c r="C5764" i="30"/>
  <c r="C5765" i="30"/>
  <c r="C5766" i="30"/>
  <c r="C5767" i="30"/>
  <c r="C5768" i="30"/>
  <c r="C5769" i="30"/>
  <c r="C5770" i="30"/>
  <c r="C5771" i="30"/>
  <c r="C5772" i="30"/>
  <c r="C5773" i="30"/>
  <c r="C5774" i="30"/>
  <c r="C5775" i="30"/>
  <c r="C5776" i="30"/>
  <c r="C5777" i="30"/>
  <c r="C5778" i="30"/>
  <c r="C5779" i="30"/>
  <c r="C5780" i="30"/>
  <c r="C5781" i="30"/>
  <c r="C5782" i="30"/>
  <c r="C5783" i="30"/>
  <c r="C5784" i="30"/>
  <c r="C5785" i="30"/>
  <c r="C5786" i="30"/>
  <c r="C5787" i="30"/>
  <c r="C5788" i="30"/>
  <c r="C5789" i="30"/>
  <c r="C5790" i="30"/>
  <c r="C5791" i="30"/>
  <c r="C5792" i="30"/>
  <c r="C5793" i="30"/>
  <c r="C5794" i="30"/>
  <c r="C5795" i="30"/>
  <c r="C5796" i="30"/>
  <c r="C5797" i="30"/>
  <c r="C5798" i="30"/>
  <c r="C5799" i="30"/>
  <c r="C5800" i="30"/>
  <c r="C5801" i="30"/>
  <c r="C5802" i="30"/>
  <c r="C5803" i="30"/>
  <c r="C5804" i="30"/>
  <c r="C5805" i="30"/>
  <c r="C5806" i="30"/>
  <c r="C5807" i="30"/>
  <c r="C5808" i="30"/>
  <c r="C5809" i="30"/>
  <c r="C5810" i="30"/>
  <c r="C5811" i="30"/>
  <c r="C5812" i="30"/>
  <c r="C5813" i="30"/>
  <c r="C5814" i="30"/>
  <c r="C5815" i="30"/>
  <c r="C5816" i="30"/>
  <c r="C5817" i="30"/>
  <c r="C5818" i="30"/>
  <c r="C5819" i="30"/>
  <c r="C5820" i="30"/>
  <c r="C5821" i="30"/>
  <c r="C5822" i="30"/>
  <c r="C5823" i="30"/>
  <c r="C5824" i="30"/>
  <c r="C5825" i="30"/>
  <c r="C5826" i="30"/>
  <c r="C5827" i="30"/>
  <c r="C5828" i="30"/>
  <c r="C5829" i="30"/>
  <c r="C5830" i="30"/>
  <c r="C5831" i="30"/>
  <c r="C5832" i="30"/>
  <c r="C5833" i="30"/>
  <c r="C5834" i="30"/>
  <c r="C5835" i="30"/>
  <c r="C5836" i="30"/>
  <c r="C5837" i="30"/>
  <c r="C5838" i="30"/>
  <c r="C5839" i="30"/>
  <c r="C5840" i="30"/>
  <c r="C5841" i="30"/>
  <c r="C5842" i="30"/>
  <c r="C5843" i="30"/>
  <c r="C5844" i="30"/>
  <c r="C5845" i="30"/>
  <c r="C5846" i="30"/>
  <c r="C5847" i="30"/>
  <c r="C5848" i="30"/>
  <c r="C5849" i="30"/>
  <c r="C5850" i="30"/>
  <c r="C5851" i="30"/>
  <c r="C5852" i="30"/>
  <c r="C5853" i="30"/>
  <c r="C5854" i="30"/>
  <c r="C5855" i="30"/>
  <c r="C5856" i="30"/>
  <c r="C5857" i="30"/>
  <c r="C5858" i="30"/>
  <c r="C5859" i="30"/>
  <c r="C5860" i="30"/>
  <c r="C5861" i="30"/>
  <c r="C5862" i="30"/>
  <c r="C5863" i="30"/>
  <c r="C5864" i="30"/>
  <c r="C5865" i="30"/>
  <c r="C5866" i="30"/>
  <c r="C5867" i="30"/>
  <c r="C5868" i="30"/>
  <c r="C5869" i="30"/>
  <c r="C5870" i="30"/>
  <c r="C5871" i="30"/>
  <c r="C5872" i="30"/>
  <c r="C5873" i="30"/>
  <c r="C5874" i="30"/>
  <c r="C5875" i="30"/>
  <c r="C5876" i="30"/>
  <c r="C5877" i="30"/>
  <c r="C5878" i="30"/>
  <c r="C5879" i="30"/>
  <c r="C5880" i="30"/>
  <c r="C5881" i="30"/>
  <c r="C5882" i="30"/>
  <c r="C5883" i="30"/>
  <c r="C5884" i="30"/>
  <c r="C5885" i="30"/>
  <c r="C5886" i="30"/>
  <c r="C5887" i="30"/>
  <c r="C5888" i="30"/>
  <c r="C5889" i="30"/>
  <c r="C5890" i="30"/>
  <c r="C5891" i="30"/>
  <c r="C5892" i="30"/>
  <c r="C5893" i="30"/>
  <c r="C5894" i="30"/>
  <c r="C5895" i="30"/>
  <c r="C5896" i="30"/>
  <c r="C5897" i="30"/>
  <c r="C5898" i="30"/>
  <c r="C5899" i="30"/>
  <c r="C5900" i="30"/>
  <c r="C5901" i="30"/>
  <c r="C5902" i="30"/>
  <c r="C5903" i="30"/>
  <c r="C5904" i="30"/>
  <c r="C5905" i="30"/>
  <c r="C5906" i="30"/>
  <c r="C5907" i="30"/>
  <c r="C5908" i="30"/>
  <c r="C5909" i="30"/>
  <c r="C5910" i="30"/>
  <c r="C5911" i="30"/>
  <c r="C5912" i="30"/>
  <c r="C5913" i="30"/>
  <c r="C5914" i="30"/>
  <c r="C5915" i="30"/>
  <c r="C5916" i="30"/>
  <c r="C5917" i="30"/>
  <c r="C5918" i="30"/>
  <c r="C5919" i="30"/>
  <c r="C5920" i="30"/>
  <c r="C5921" i="30"/>
  <c r="C5922" i="30"/>
  <c r="C5923" i="30"/>
  <c r="C5924" i="30"/>
  <c r="C5925" i="30"/>
  <c r="C5926" i="30"/>
  <c r="C5927" i="30"/>
  <c r="C5928" i="30"/>
  <c r="C5929" i="30"/>
  <c r="C5930" i="30"/>
  <c r="C5931" i="30"/>
  <c r="C5932" i="30"/>
  <c r="C5933" i="30"/>
  <c r="C5934" i="30"/>
  <c r="C5935" i="30"/>
  <c r="C5936" i="30"/>
  <c r="C5937" i="30"/>
  <c r="C5938" i="30"/>
  <c r="C5939" i="30"/>
  <c r="C5940" i="30"/>
  <c r="C5941" i="30"/>
  <c r="C5942" i="30"/>
  <c r="C5943" i="30"/>
  <c r="C5944" i="30"/>
  <c r="C5945" i="30"/>
  <c r="C5946" i="30"/>
  <c r="C5947" i="30"/>
  <c r="C5948" i="30"/>
  <c r="C5949" i="30"/>
  <c r="C5950" i="30"/>
  <c r="C5951" i="30"/>
  <c r="C5952" i="30"/>
  <c r="C5953" i="30"/>
  <c r="C5954" i="30"/>
  <c r="C5955" i="30"/>
  <c r="C5956" i="30"/>
  <c r="C5957" i="30"/>
  <c r="C5958" i="30"/>
  <c r="C5959" i="30"/>
  <c r="C5960" i="30"/>
  <c r="C5961" i="30"/>
  <c r="C5962" i="30"/>
  <c r="C5963" i="30"/>
  <c r="C5964" i="30"/>
  <c r="C5965" i="30"/>
  <c r="C5966" i="30"/>
  <c r="C5967" i="30"/>
  <c r="C5968" i="30"/>
  <c r="C5969" i="30"/>
  <c r="C5970" i="30"/>
  <c r="C5971" i="30"/>
  <c r="C5972" i="30"/>
  <c r="C5973" i="30"/>
  <c r="C5974" i="30"/>
  <c r="C5975" i="30"/>
  <c r="C5976" i="30"/>
  <c r="C5977" i="30"/>
  <c r="C5978" i="30"/>
  <c r="C5979" i="30"/>
  <c r="C5980" i="30"/>
  <c r="C5981" i="30"/>
  <c r="C5982" i="30"/>
  <c r="C5983" i="30"/>
  <c r="C5984" i="30"/>
  <c r="C5985" i="30"/>
  <c r="C5986" i="30"/>
  <c r="C5987" i="30"/>
  <c r="C5988" i="30"/>
  <c r="C5989" i="30"/>
  <c r="C5990" i="30"/>
  <c r="C5991" i="30"/>
  <c r="C5992" i="30"/>
  <c r="C5993" i="30"/>
  <c r="C5994" i="30"/>
  <c r="C5995" i="30"/>
  <c r="C5996" i="30"/>
  <c r="C5997" i="30"/>
  <c r="C5998" i="30"/>
  <c r="C5999" i="30"/>
  <c r="C6000" i="30"/>
  <c r="C6001" i="30"/>
  <c r="C6002" i="30"/>
  <c r="C6003" i="30"/>
  <c r="C6004" i="30"/>
  <c r="C6005" i="30"/>
  <c r="C6006" i="30"/>
  <c r="C6007" i="30"/>
  <c r="C6008" i="30"/>
  <c r="C6009" i="30"/>
  <c r="C6010" i="30"/>
  <c r="C6011" i="30"/>
  <c r="C6012" i="30"/>
  <c r="C6013" i="30"/>
  <c r="C6014" i="30"/>
  <c r="C6015" i="30"/>
  <c r="C6016" i="30"/>
  <c r="C6017" i="30"/>
  <c r="C6018" i="30"/>
  <c r="C6019" i="30"/>
  <c r="C6020" i="30"/>
  <c r="C6021" i="30"/>
  <c r="C6022" i="30"/>
  <c r="C6023" i="30"/>
  <c r="C6024" i="30"/>
  <c r="C6025" i="30"/>
  <c r="C6026" i="30"/>
  <c r="C6027" i="30"/>
  <c r="C6028" i="30"/>
  <c r="C6029" i="30"/>
  <c r="C6030" i="30"/>
  <c r="C6031" i="30"/>
  <c r="C6032" i="30"/>
  <c r="C6033" i="30"/>
  <c r="C6034" i="30"/>
  <c r="C6035" i="30"/>
  <c r="C6036" i="30"/>
  <c r="C6037" i="30"/>
  <c r="C6038" i="30"/>
  <c r="C6039" i="30"/>
  <c r="C6040" i="30"/>
  <c r="C6041" i="30"/>
  <c r="C6042" i="30"/>
  <c r="C6043" i="30"/>
  <c r="C6044" i="30"/>
  <c r="C6045" i="30"/>
  <c r="C6046" i="30"/>
  <c r="C6047" i="30"/>
  <c r="C6048" i="30"/>
  <c r="C6049" i="30"/>
  <c r="C6050" i="30"/>
  <c r="C6051" i="30"/>
  <c r="C6052" i="30"/>
  <c r="C6053" i="30"/>
  <c r="C6054" i="30"/>
  <c r="C6055" i="30"/>
  <c r="C6056" i="30"/>
  <c r="C6057" i="30"/>
  <c r="C6058" i="30"/>
  <c r="C6059" i="30"/>
  <c r="C6060" i="30"/>
  <c r="C6061" i="30"/>
  <c r="C6062" i="30"/>
  <c r="C6063" i="30"/>
  <c r="C6064" i="30"/>
  <c r="C6065" i="30"/>
  <c r="C6066" i="30"/>
  <c r="C6067" i="30"/>
  <c r="C6068" i="30"/>
  <c r="C6069" i="30"/>
  <c r="C6070" i="30"/>
  <c r="C6071" i="30"/>
  <c r="C6072" i="30"/>
  <c r="C6073" i="30"/>
  <c r="C6074" i="30"/>
  <c r="C6075" i="30"/>
  <c r="C6076" i="30"/>
  <c r="C6077" i="30"/>
  <c r="C6078" i="30"/>
  <c r="C6079" i="30"/>
  <c r="C6080" i="30"/>
  <c r="C6081" i="30"/>
  <c r="C6082" i="30"/>
  <c r="C6083" i="30"/>
  <c r="C6084" i="30"/>
  <c r="C6085" i="30"/>
  <c r="C6086" i="30"/>
  <c r="C6087" i="30"/>
  <c r="C6088" i="30"/>
  <c r="C6089" i="30"/>
  <c r="C6090" i="30"/>
  <c r="C6091" i="30"/>
  <c r="C6092" i="30"/>
  <c r="C6093" i="30"/>
  <c r="C6094" i="30"/>
  <c r="C6095" i="30"/>
  <c r="C6096" i="30"/>
  <c r="C6097" i="30"/>
  <c r="C6098" i="30"/>
  <c r="C6099" i="30"/>
  <c r="C6100" i="30"/>
  <c r="C6101" i="30"/>
  <c r="C6102" i="30"/>
  <c r="C6103" i="30"/>
  <c r="C6104" i="30"/>
  <c r="C6105" i="30"/>
  <c r="C6106" i="30"/>
  <c r="C6107" i="30"/>
  <c r="C6108" i="30"/>
  <c r="C6109" i="30"/>
  <c r="C6110" i="30"/>
  <c r="C6111" i="30"/>
  <c r="C6112" i="30"/>
  <c r="C6113" i="30"/>
  <c r="C6114" i="30"/>
  <c r="C6115" i="30"/>
  <c r="C6116" i="30"/>
  <c r="C6117" i="30"/>
  <c r="C6118" i="30"/>
  <c r="C6119" i="30"/>
  <c r="C6120" i="30"/>
  <c r="C6121" i="30"/>
  <c r="C6122" i="30"/>
  <c r="C6123" i="30"/>
  <c r="C6124" i="30"/>
  <c r="C6125" i="30"/>
  <c r="C6126" i="30"/>
  <c r="C6127" i="30"/>
  <c r="C6128" i="30"/>
  <c r="C6129" i="30"/>
  <c r="C6130" i="30"/>
  <c r="C6131" i="30"/>
  <c r="C6132" i="30"/>
  <c r="C6133" i="30"/>
  <c r="C6134" i="30"/>
  <c r="C6135" i="30"/>
  <c r="C6136" i="30"/>
  <c r="C6137" i="30"/>
  <c r="C6138" i="30"/>
  <c r="C6139" i="30"/>
  <c r="C6140" i="30"/>
  <c r="C6141" i="30"/>
  <c r="C6142" i="30"/>
  <c r="C6143" i="30"/>
  <c r="C6144" i="30"/>
  <c r="C6145" i="30"/>
  <c r="C6146" i="30"/>
  <c r="C6147" i="30"/>
  <c r="C6148" i="30"/>
  <c r="C6149" i="30"/>
  <c r="C6150" i="30"/>
  <c r="C6151" i="30"/>
  <c r="C6152" i="30"/>
  <c r="C6153" i="30"/>
  <c r="C6154" i="30"/>
  <c r="C6155" i="30"/>
  <c r="C6156" i="30"/>
  <c r="C6157" i="30"/>
  <c r="C6158" i="30"/>
  <c r="C6159" i="30"/>
  <c r="C6160" i="30"/>
  <c r="C6161" i="30"/>
  <c r="C6162" i="30"/>
  <c r="C6163" i="30"/>
  <c r="C6164" i="30"/>
  <c r="C6165" i="30"/>
  <c r="C6166" i="30"/>
  <c r="C6167" i="30"/>
  <c r="C6168" i="30"/>
  <c r="C6169" i="30"/>
  <c r="C6170" i="30"/>
  <c r="C6171" i="30"/>
  <c r="C6172" i="30"/>
  <c r="C6173" i="30"/>
  <c r="C6174" i="30"/>
  <c r="C6175" i="30"/>
  <c r="C6176" i="30"/>
  <c r="C6177" i="30"/>
  <c r="C6178" i="30"/>
  <c r="C6179" i="30"/>
  <c r="C6180" i="30"/>
  <c r="C6181" i="30"/>
  <c r="C6182" i="30"/>
  <c r="C6183" i="30"/>
  <c r="C6184" i="30"/>
  <c r="C6185" i="30"/>
  <c r="C6186" i="30"/>
  <c r="C6187" i="30"/>
  <c r="C6188" i="30"/>
  <c r="C6189" i="30"/>
  <c r="C6190" i="30"/>
  <c r="C6191" i="30"/>
  <c r="C6192" i="30"/>
  <c r="C6193" i="30"/>
  <c r="C6194" i="30"/>
  <c r="C6195" i="30"/>
  <c r="C6196" i="30"/>
  <c r="C6197" i="30"/>
  <c r="C6198" i="30"/>
  <c r="C6199" i="30"/>
  <c r="C6200" i="30"/>
  <c r="C6201" i="30"/>
  <c r="C6202" i="30"/>
  <c r="C6203" i="30"/>
  <c r="C6204" i="30"/>
  <c r="C6205" i="30"/>
  <c r="C6206" i="30"/>
  <c r="C6207" i="30"/>
  <c r="C6208" i="30"/>
  <c r="C6209" i="30"/>
  <c r="C6210" i="30"/>
  <c r="C6211" i="30"/>
  <c r="C6212" i="30"/>
  <c r="C6213" i="30"/>
  <c r="C6214" i="30"/>
  <c r="C6215" i="30"/>
  <c r="C6216" i="30"/>
  <c r="C6217" i="30"/>
  <c r="C6218" i="30"/>
  <c r="C6219" i="30"/>
  <c r="C6220" i="30"/>
  <c r="C6221" i="30"/>
  <c r="C6222" i="30"/>
  <c r="C6223" i="30"/>
  <c r="C6224" i="30"/>
  <c r="C6225" i="30"/>
  <c r="C6226" i="30"/>
  <c r="C6227" i="30"/>
  <c r="C6228" i="30"/>
  <c r="C6229" i="30"/>
  <c r="C6230" i="30"/>
  <c r="C6231" i="30"/>
  <c r="C6232" i="30"/>
  <c r="C6233" i="30"/>
  <c r="C6234" i="30"/>
  <c r="C6235" i="30"/>
  <c r="C6236" i="30"/>
  <c r="C6237" i="30"/>
  <c r="C6238" i="30"/>
  <c r="C6239" i="30"/>
  <c r="C6240" i="30"/>
  <c r="C6241" i="30"/>
  <c r="C6242" i="30"/>
  <c r="C6243" i="30"/>
  <c r="C6244" i="30"/>
  <c r="C6245" i="30"/>
  <c r="C6246" i="30"/>
  <c r="C6247" i="30"/>
  <c r="C6248" i="30"/>
  <c r="C6249" i="30"/>
  <c r="C6250" i="30"/>
  <c r="C6251" i="30"/>
  <c r="C6252" i="30"/>
  <c r="C6253" i="30"/>
  <c r="C6254" i="30"/>
  <c r="C6255" i="30"/>
  <c r="C6256" i="30"/>
  <c r="C6257" i="30"/>
  <c r="C6258" i="30"/>
  <c r="C6259" i="30"/>
  <c r="C6260" i="30"/>
  <c r="C6261" i="30"/>
  <c r="C6262" i="30"/>
  <c r="C6263" i="30"/>
  <c r="C6264" i="30"/>
  <c r="C6265" i="30"/>
  <c r="C6266" i="30"/>
  <c r="C6267" i="30"/>
  <c r="C6268" i="30"/>
  <c r="C6269" i="30"/>
  <c r="C6270" i="30"/>
  <c r="C6271" i="30"/>
  <c r="C6272" i="30"/>
  <c r="C6273" i="30"/>
  <c r="C6274" i="30"/>
  <c r="C6275" i="30"/>
  <c r="C6276" i="30"/>
  <c r="C6277" i="30"/>
  <c r="C6278" i="30"/>
  <c r="C6279" i="30"/>
  <c r="C6280" i="30"/>
  <c r="C6281" i="30"/>
  <c r="C6282" i="30"/>
  <c r="C6283" i="30"/>
  <c r="C6284" i="30"/>
  <c r="C6285" i="30"/>
  <c r="C6286" i="30"/>
  <c r="C6287" i="30"/>
  <c r="C6288" i="30"/>
  <c r="C6289" i="30"/>
  <c r="C6290" i="30"/>
  <c r="C6291" i="30"/>
  <c r="C6292" i="30"/>
  <c r="C6293" i="30"/>
  <c r="C6294" i="30"/>
  <c r="C6295" i="30"/>
  <c r="C6296" i="30"/>
  <c r="C6297" i="30"/>
  <c r="C6298" i="30"/>
  <c r="C6299" i="30"/>
  <c r="C6300" i="30"/>
  <c r="C6301" i="30"/>
  <c r="C6302" i="30"/>
  <c r="C6303" i="30"/>
  <c r="C6304" i="30"/>
  <c r="C6305" i="30"/>
  <c r="C6306" i="30"/>
  <c r="C6307" i="30"/>
  <c r="C6308" i="30"/>
  <c r="C6309" i="30"/>
  <c r="C6310" i="30"/>
  <c r="C6311" i="30"/>
  <c r="C6312" i="30"/>
  <c r="C6313" i="30"/>
  <c r="C6314" i="30"/>
  <c r="C6315" i="30"/>
  <c r="C6316" i="30"/>
  <c r="C6317" i="30"/>
  <c r="C6318" i="30"/>
  <c r="C6319" i="30"/>
  <c r="C6320" i="30"/>
  <c r="C6321" i="30"/>
  <c r="C6322" i="30"/>
  <c r="C6323" i="30"/>
  <c r="C6324" i="30"/>
  <c r="C6325" i="30"/>
  <c r="C6326" i="30"/>
  <c r="C6327" i="30"/>
  <c r="C6328" i="30"/>
  <c r="C6329" i="30"/>
  <c r="C6330" i="30"/>
  <c r="C6331" i="30"/>
  <c r="C6332" i="30"/>
  <c r="C6333" i="30"/>
  <c r="C6334" i="30"/>
  <c r="C6335" i="30"/>
  <c r="C6336" i="30"/>
  <c r="C6337" i="30"/>
  <c r="C6338" i="30"/>
  <c r="C6339" i="30"/>
  <c r="C6340" i="30"/>
  <c r="C6341" i="30"/>
  <c r="C6342" i="30"/>
  <c r="C6343" i="30"/>
  <c r="C6344" i="30"/>
  <c r="C6345" i="30"/>
  <c r="C6346" i="30"/>
  <c r="C6347" i="30"/>
  <c r="C6348" i="30"/>
  <c r="C6349" i="30"/>
  <c r="C6350" i="30"/>
  <c r="C6351" i="30"/>
  <c r="C6352" i="30"/>
  <c r="C6353" i="30"/>
  <c r="C6354" i="30"/>
  <c r="C6355" i="30"/>
  <c r="C6356" i="30"/>
  <c r="C6357" i="30"/>
  <c r="C6358" i="30"/>
  <c r="C6359" i="30"/>
  <c r="C6360" i="30"/>
  <c r="C6361" i="30"/>
  <c r="C6362" i="30"/>
  <c r="C6363" i="30"/>
  <c r="C6364" i="30"/>
  <c r="C6365" i="30"/>
  <c r="C6366" i="30"/>
  <c r="C6367" i="30"/>
  <c r="C6368" i="30"/>
  <c r="C6369" i="30"/>
  <c r="C6370" i="30"/>
  <c r="C6371" i="30"/>
  <c r="C6372" i="30"/>
  <c r="C6373" i="30"/>
  <c r="C6374" i="30"/>
  <c r="C6375" i="30"/>
  <c r="C6376" i="30"/>
  <c r="C6377" i="30"/>
  <c r="C6378" i="30"/>
  <c r="C6379" i="30"/>
  <c r="C6380" i="30"/>
  <c r="C6381" i="30"/>
  <c r="C6382" i="30"/>
  <c r="C6383" i="30"/>
  <c r="C6384" i="30"/>
  <c r="C6385" i="30"/>
  <c r="C6386" i="30"/>
  <c r="C6387" i="30"/>
  <c r="C6388" i="30"/>
  <c r="C6389" i="30"/>
  <c r="C6390" i="30"/>
  <c r="C6391" i="30"/>
  <c r="C6392" i="30"/>
  <c r="C6393" i="30"/>
  <c r="C6394" i="30"/>
  <c r="C6395" i="30"/>
  <c r="C6396" i="30"/>
  <c r="C6397" i="30"/>
  <c r="C6398" i="30"/>
  <c r="C6399" i="30"/>
  <c r="C6400" i="30"/>
  <c r="C6401" i="30"/>
  <c r="C6402" i="30"/>
  <c r="C6403" i="30"/>
  <c r="C6404" i="30"/>
  <c r="C6405" i="30"/>
  <c r="C6406" i="30"/>
  <c r="C6407" i="30"/>
  <c r="C6408" i="30"/>
  <c r="C6409" i="30"/>
  <c r="C6410" i="30"/>
  <c r="C6411" i="30"/>
  <c r="C6412" i="30"/>
  <c r="C6413" i="30"/>
  <c r="C6414" i="30"/>
  <c r="C6415" i="30"/>
  <c r="C6416" i="30"/>
  <c r="C6417" i="30"/>
  <c r="C6418" i="30"/>
  <c r="C6419" i="30"/>
  <c r="C6420" i="30"/>
  <c r="C6421" i="30"/>
  <c r="C6422" i="30"/>
  <c r="C6423" i="30"/>
  <c r="C6424" i="30"/>
  <c r="C6425" i="30"/>
  <c r="C6426" i="30"/>
  <c r="C6427" i="30"/>
  <c r="C6428" i="30"/>
  <c r="C6429" i="30"/>
  <c r="C6430" i="30"/>
  <c r="C6431" i="30"/>
  <c r="C6432" i="30"/>
  <c r="C6433" i="30"/>
  <c r="C6434" i="30"/>
  <c r="C6435" i="30"/>
  <c r="C6436" i="30"/>
  <c r="C6437" i="30"/>
  <c r="C6438" i="30"/>
  <c r="C6439" i="30"/>
  <c r="C6440" i="30"/>
  <c r="C6441" i="30"/>
  <c r="C6442" i="30"/>
  <c r="C6443" i="30"/>
  <c r="C6444" i="30"/>
  <c r="C6445" i="30"/>
  <c r="C6446" i="30"/>
  <c r="C6447" i="30"/>
  <c r="C6448" i="30"/>
  <c r="C6449" i="30"/>
  <c r="C6450" i="30"/>
  <c r="C6451" i="30"/>
  <c r="C6452" i="30"/>
  <c r="C6453" i="30"/>
  <c r="C6454" i="30"/>
  <c r="C6455" i="30"/>
  <c r="C6456" i="30"/>
  <c r="C6457" i="30"/>
  <c r="C6458" i="30"/>
  <c r="C6459" i="30"/>
  <c r="C6460" i="30"/>
  <c r="C6461" i="30"/>
  <c r="C6462" i="30"/>
  <c r="C6463" i="30"/>
  <c r="C6464" i="30"/>
  <c r="C6465" i="30"/>
  <c r="C6466" i="30"/>
  <c r="C6467" i="30"/>
  <c r="C6468" i="30"/>
  <c r="C6469" i="30"/>
  <c r="C6470" i="30"/>
  <c r="C6471" i="30"/>
  <c r="C6472" i="30"/>
  <c r="C6473" i="30"/>
  <c r="C6474" i="30"/>
  <c r="C6475" i="30"/>
  <c r="C6476" i="30"/>
  <c r="C6477" i="30"/>
  <c r="C6478" i="30"/>
  <c r="C6479" i="30"/>
  <c r="C6480" i="30"/>
  <c r="C6481" i="30"/>
  <c r="C6482" i="30"/>
  <c r="C6483" i="30"/>
  <c r="C6484" i="30"/>
  <c r="C6485" i="30"/>
  <c r="C6486" i="30"/>
  <c r="C6487" i="30"/>
  <c r="C6488" i="30"/>
  <c r="C6489" i="30"/>
  <c r="C6490" i="30"/>
  <c r="C6491" i="30"/>
  <c r="C6492" i="30"/>
  <c r="C6493" i="30"/>
  <c r="C6494" i="30"/>
  <c r="C6495" i="30"/>
  <c r="C6496" i="30"/>
  <c r="C6497" i="30"/>
  <c r="C6498" i="30"/>
  <c r="C6499" i="30"/>
  <c r="C6500" i="30"/>
  <c r="C6501" i="30"/>
  <c r="C6502" i="30"/>
  <c r="C6503" i="30"/>
  <c r="C6504" i="30"/>
  <c r="C6505" i="30"/>
  <c r="C6506" i="30"/>
  <c r="C6507" i="30"/>
  <c r="C6508" i="30"/>
  <c r="C6509" i="30"/>
  <c r="C6510" i="30"/>
  <c r="C6511" i="30"/>
  <c r="C6512" i="30"/>
  <c r="C6513" i="30"/>
  <c r="C6514" i="30"/>
  <c r="C6515" i="30"/>
  <c r="C6516" i="30"/>
  <c r="C6517" i="30"/>
  <c r="C6518" i="30"/>
  <c r="C6519" i="30"/>
  <c r="C6520" i="30"/>
  <c r="C6521" i="30"/>
  <c r="C6522" i="30"/>
  <c r="C6523" i="30"/>
  <c r="C6524" i="30"/>
  <c r="C6525" i="30"/>
  <c r="C6526" i="30"/>
  <c r="C6527" i="30"/>
  <c r="C6528" i="30"/>
  <c r="C6529" i="30"/>
  <c r="C6530" i="30"/>
  <c r="C6531" i="30"/>
  <c r="C6532" i="30"/>
  <c r="C6533" i="30"/>
  <c r="C6534" i="30"/>
  <c r="C6535" i="30"/>
  <c r="C6536" i="30"/>
  <c r="C6537" i="30"/>
  <c r="C6538" i="30"/>
  <c r="C6539" i="30"/>
  <c r="C6540" i="30"/>
  <c r="C6541" i="30"/>
  <c r="C6542" i="30"/>
  <c r="C6543" i="30"/>
  <c r="C6544" i="30"/>
  <c r="C6545" i="30"/>
  <c r="C6546" i="30"/>
  <c r="C6547" i="30"/>
  <c r="C6548" i="30"/>
  <c r="C6549" i="30"/>
  <c r="C6550" i="30"/>
  <c r="C6551" i="30"/>
  <c r="C6552" i="30"/>
  <c r="C6553" i="30"/>
  <c r="C6554" i="30"/>
  <c r="C6555" i="30"/>
  <c r="C6556" i="30"/>
  <c r="C6557" i="30"/>
  <c r="C6558" i="30"/>
  <c r="C6559" i="30"/>
  <c r="C6560" i="30"/>
  <c r="C6561" i="30"/>
  <c r="C6562" i="30"/>
  <c r="C6563" i="30"/>
  <c r="C6564" i="30"/>
  <c r="C6565" i="30"/>
  <c r="C6566" i="30"/>
  <c r="C6567" i="30"/>
  <c r="C6568" i="30"/>
  <c r="C6569" i="30"/>
  <c r="C6570" i="30"/>
  <c r="C6571" i="30"/>
  <c r="C6572" i="30"/>
  <c r="C6573" i="30"/>
  <c r="C6574" i="30"/>
  <c r="C6575" i="30"/>
  <c r="C6576" i="30"/>
  <c r="C6577" i="30"/>
  <c r="C6578" i="30"/>
  <c r="C6579" i="30"/>
  <c r="C6580" i="30"/>
  <c r="C6581" i="30"/>
  <c r="C6582" i="30"/>
  <c r="C6583" i="30"/>
  <c r="C6584" i="30"/>
  <c r="C6585" i="30"/>
  <c r="C6586" i="30"/>
  <c r="C6587" i="30"/>
  <c r="C6588" i="30"/>
  <c r="C6589" i="30"/>
  <c r="C6590" i="30"/>
  <c r="C6591" i="30"/>
  <c r="C6592" i="30"/>
  <c r="C6593" i="30"/>
  <c r="C6594" i="30"/>
  <c r="C6595" i="30"/>
  <c r="C6596" i="30"/>
  <c r="C6597" i="30"/>
  <c r="C6598" i="30"/>
  <c r="C6599" i="30"/>
  <c r="C6600" i="30"/>
  <c r="C6601" i="30"/>
  <c r="C6602" i="30"/>
  <c r="C6603" i="30"/>
  <c r="C6604" i="30"/>
  <c r="C6605" i="30"/>
  <c r="C6606" i="30"/>
  <c r="C6607" i="30"/>
  <c r="C6608" i="30"/>
  <c r="C6609" i="30"/>
  <c r="C6610" i="30"/>
  <c r="C6611" i="30"/>
  <c r="C6612" i="30"/>
  <c r="C6613" i="30"/>
  <c r="C6614" i="30"/>
  <c r="C6615" i="30"/>
  <c r="C6616" i="30"/>
  <c r="C6617" i="30"/>
  <c r="C6618" i="30"/>
  <c r="C6619" i="30"/>
  <c r="C6620" i="30"/>
  <c r="C6621" i="30"/>
  <c r="C6622" i="30"/>
  <c r="C6623" i="30"/>
  <c r="C6624" i="30"/>
  <c r="C6625" i="30"/>
  <c r="C6626" i="30"/>
  <c r="C6627" i="30"/>
  <c r="C6628" i="30"/>
  <c r="C6629" i="30"/>
  <c r="C6630" i="30"/>
  <c r="C6631" i="30"/>
  <c r="C6632" i="30"/>
  <c r="C6633" i="30"/>
  <c r="C6634" i="30"/>
  <c r="C6635" i="30"/>
  <c r="C6636" i="30"/>
  <c r="C6637" i="30"/>
  <c r="C6638" i="30"/>
  <c r="C6639" i="30"/>
  <c r="C6640" i="30"/>
  <c r="C6641" i="30"/>
  <c r="C6642" i="30"/>
  <c r="C6643" i="30"/>
  <c r="C6644" i="30"/>
  <c r="C6645" i="30"/>
  <c r="C6646" i="30"/>
  <c r="C6647" i="30"/>
  <c r="C6648" i="30"/>
  <c r="C6649" i="30"/>
  <c r="C6650" i="30"/>
  <c r="C6651" i="30"/>
  <c r="C6652" i="30"/>
  <c r="C6653" i="30"/>
  <c r="C6654" i="30"/>
  <c r="C6655" i="30"/>
  <c r="C6656" i="30"/>
  <c r="C6657" i="30"/>
  <c r="C6658" i="30"/>
  <c r="C6659" i="30"/>
  <c r="C6660" i="30"/>
  <c r="C6661" i="30"/>
  <c r="C6662" i="30"/>
  <c r="C6663" i="30"/>
  <c r="C6664" i="30"/>
  <c r="C6665" i="30"/>
  <c r="C6666" i="30"/>
  <c r="C6667" i="30"/>
  <c r="C6668" i="30"/>
  <c r="C6669" i="30"/>
  <c r="C6670" i="30"/>
  <c r="C6671" i="30"/>
  <c r="C6672" i="30"/>
  <c r="C6673" i="30"/>
  <c r="C6674" i="30"/>
  <c r="C6675" i="30"/>
  <c r="C6676" i="30"/>
  <c r="C6677" i="30"/>
  <c r="C6678" i="30"/>
  <c r="C6679" i="30"/>
  <c r="C6680" i="30"/>
  <c r="C6681" i="30"/>
  <c r="C6682" i="30"/>
  <c r="C6683" i="30"/>
  <c r="C6684" i="30"/>
  <c r="C6685" i="30"/>
  <c r="C6686" i="30"/>
  <c r="C6687" i="30"/>
  <c r="C6688" i="30"/>
  <c r="C6689" i="30"/>
  <c r="C6690" i="30"/>
  <c r="C6691" i="30"/>
  <c r="C6692" i="30"/>
  <c r="C6693" i="30"/>
  <c r="C6694" i="30"/>
  <c r="C6695" i="30"/>
  <c r="C6696" i="30"/>
  <c r="C6697" i="30"/>
  <c r="C6698" i="30"/>
  <c r="C6699" i="30"/>
  <c r="C6700" i="30"/>
  <c r="C6701" i="30"/>
  <c r="C6702" i="30"/>
  <c r="C6703" i="30"/>
  <c r="C6704" i="30"/>
  <c r="C6705" i="30"/>
  <c r="C6706" i="30"/>
  <c r="C6707" i="30"/>
  <c r="C6708" i="30"/>
  <c r="C6709" i="30"/>
  <c r="C6710" i="30"/>
  <c r="C6711" i="30"/>
  <c r="C6712" i="30"/>
  <c r="C6713" i="30"/>
  <c r="C6714" i="30"/>
  <c r="C6715" i="30"/>
  <c r="C6716" i="30"/>
  <c r="C6717" i="30"/>
  <c r="C6718" i="30"/>
  <c r="C6719" i="30"/>
  <c r="C6720" i="30"/>
  <c r="C6721" i="30"/>
  <c r="C6722" i="30"/>
  <c r="C6723" i="30"/>
  <c r="C6724" i="30"/>
  <c r="C6725" i="30"/>
  <c r="C6726" i="30"/>
  <c r="C6727" i="30"/>
  <c r="C6728" i="30"/>
  <c r="C6729" i="30"/>
  <c r="C6730" i="30"/>
  <c r="C6731" i="30"/>
  <c r="C6732" i="30"/>
  <c r="C6733" i="30"/>
  <c r="C6734" i="30"/>
  <c r="C6735" i="30"/>
  <c r="C6736" i="30"/>
  <c r="C6737" i="30"/>
  <c r="C6738" i="30"/>
  <c r="C6739" i="30"/>
  <c r="C6740" i="30"/>
  <c r="C6741" i="30"/>
  <c r="C6742" i="30"/>
  <c r="C6743" i="30"/>
  <c r="C6744" i="30"/>
  <c r="C6745" i="30"/>
  <c r="C6746" i="30"/>
  <c r="C6747" i="30"/>
  <c r="C6748" i="30"/>
  <c r="C6749" i="30"/>
  <c r="C6750" i="30"/>
  <c r="C6751" i="30"/>
  <c r="C6752" i="30"/>
  <c r="C6753" i="30"/>
  <c r="C6754" i="30"/>
  <c r="C6755" i="30"/>
  <c r="C6756" i="30"/>
  <c r="C6757" i="30"/>
  <c r="C6758" i="30"/>
  <c r="C6759" i="30"/>
  <c r="C6760" i="30"/>
  <c r="C6761" i="30"/>
  <c r="C6762" i="30"/>
  <c r="C6763" i="30"/>
  <c r="C6764" i="30"/>
  <c r="C6765" i="30"/>
  <c r="C6766" i="30"/>
  <c r="C6767" i="30"/>
  <c r="C6768" i="30"/>
  <c r="C6769" i="30"/>
  <c r="C6770" i="30"/>
  <c r="C6771" i="30"/>
  <c r="C6772" i="30"/>
  <c r="C6773" i="30"/>
  <c r="C6774" i="30"/>
  <c r="C6775" i="30"/>
  <c r="C6776" i="30"/>
  <c r="C6777" i="30"/>
  <c r="C6778" i="30"/>
  <c r="C6779" i="30"/>
  <c r="C6780" i="30"/>
  <c r="C6781" i="30"/>
  <c r="C6782" i="30"/>
  <c r="C6783" i="30"/>
  <c r="C6784" i="30"/>
  <c r="C6785" i="30"/>
  <c r="C6786" i="30"/>
  <c r="C6787" i="30"/>
  <c r="C6788" i="30"/>
  <c r="C6789" i="30"/>
  <c r="C6790" i="30"/>
  <c r="C6791" i="30"/>
  <c r="C6792" i="30"/>
  <c r="C6793" i="30"/>
  <c r="C6794" i="30"/>
  <c r="C6795" i="30"/>
  <c r="C6796" i="30"/>
  <c r="C6797" i="30"/>
  <c r="C6798" i="30"/>
  <c r="C6799" i="30"/>
  <c r="C6800" i="30"/>
  <c r="C6801" i="30"/>
  <c r="C6802" i="30"/>
  <c r="C6803" i="30"/>
  <c r="C6804" i="30"/>
  <c r="C6805" i="30"/>
  <c r="C6806" i="30"/>
  <c r="C6807" i="30"/>
  <c r="C6808" i="30"/>
  <c r="C6809" i="30"/>
  <c r="C6810" i="30"/>
  <c r="C6811" i="30"/>
  <c r="C6812" i="30"/>
  <c r="C6813" i="30"/>
  <c r="C6814" i="30"/>
  <c r="C6815" i="30"/>
  <c r="C6816" i="30"/>
  <c r="C6817" i="30"/>
  <c r="C6818" i="30"/>
  <c r="C6819" i="30"/>
  <c r="C6820" i="30"/>
  <c r="C6821" i="30"/>
  <c r="C6822" i="30"/>
  <c r="C6823" i="30"/>
  <c r="C6824" i="30"/>
  <c r="C6825" i="30"/>
  <c r="C6826" i="30"/>
  <c r="C6827" i="30"/>
  <c r="C6828" i="30"/>
  <c r="C6829" i="30"/>
  <c r="C6830" i="30"/>
  <c r="C6831" i="30"/>
  <c r="C6832" i="30"/>
  <c r="C6833" i="30"/>
  <c r="C6834" i="30"/>
  <c r="C6835" i="30"/>
  <c r="C6836" i="30"/>
  <c r="C6837" i="30"/>
  <c r="C6838" i="30"/>
  <c r="C6839" i="30"/>
  <c r="C6840" i="30"/>
  <c r="C6841" i="30"/>
  <c r="C6842" i="30"/>
  <c r="C6843" i="30"/>
  <c r="C6844" i="30"/>
  <c r="C6845" i="30"/>
  <c r="C6846" i="30"/>
  <c r="C6847" i="30"/>
  <c r="C6848" i="30"/>
  <c r="C6849" i="30"/>
  <c r="C6850" i="30"/>
  <c r="C6851" i="30"/>
  <c r="C6852" i="30"/>
  <c r="C6853" i="30"/>
  <c r="C6854" i="30"/>
  <c r="C6855" i="30"/>
  <c r="C6856" i="30"/>
  <c r="C6857" i="30"/>
  <c r="C6858" i="30"/>
  <c r="C6859" i="30"/>
  <c r="C6860" i="30"/>
  <c r="C6861" i="30"/>
  <c r="C6862" i="30"/>
  <c r="C6863" i="30"/>
  <c r="C6864" i="30"/>
  <c r="C6865" i="30"/>
  <c r="C6866" i="30"/>
  <c r="C6867" i="30"/>
  <c r="C6868" i="30"/>
  <c r="C6869" i="30"/>
  <c r="C6870" i="30"/>
  <c r="C6871" i="30"/>
  <c r="C6872" i="30"/>
  <c r="C6873" i="30"/>
  <c r="C6874" i="30"/>
  <c r="C6875" i="30"/>
  <c r="C6876" i="30"/>
  <c r="C6877" i="30"/>
  <c r="C6878" i="30"/>
  <c r="C6879" i="30"/>
  <c r="C6880" i="30"/>
  <c r="C6881" i="30"/>
  <c r="C6882" i="30"/>
  <c r="C6883" i="30"/>
  <c r="C6884" i="30"/>
  <c r="C6885" i="30"/>
  <c r="C6886" i="30"/>
  <c r="C6887" i="30"/>
  <c r="C6888" i="30"/>
  <c r="C6889" i="30"/>
  <c r="C6890" i="30"/>
  <c r="C6891" i="30"/>
  <c r="C6892" i="30"/>
  <c r="C6893" i="30"/>
  <c r="C6894" i="30"/>
  <c r="C6895" i="30"/>
  <c r="C6896" i="30"/>
  <c r="C6897" i="30"/>
  <c r="C6898" i="30"/>
  <c r="C6899" i="30"/>
  <c r="C6900" i="30"/>
  <c r="C6901" i="30"/>
  <c r="C6902" i="30"/>
  <c r="C6903" i="30"/>
  <c r="C6904" i="30"/>
  <c r="C6905" i="30"/>
  <c r="C6906" i="30"/>
  <c r="C6907" i="30"/>
  <c r="C6908" i="30"/>
  <c r="C6909" i="30"/>
  <c r="C6910" i="30"/>
  <c r="C6911" i="30"/>
  <c r="C6912" i="30"/>
  <c r="C6913" i="30"/>
  <c r="C6914" i="30"/>
  <c r="C6915" i="30"/>
  <c r="C6916" i="30"/>
  <c r="C6917" i="30"/>
  <c r="C6918" i="30"/>
  <c r="C6919" i="30"/>
  <c r="C6920" i="30"/>
  <c r="C6921" i="30"/>
  <c r="C6922" i="30"/>
  <c r="C6923" i="30"/>
  <c r="C6924" i="30"/>
  <c r="C6925" i="30"/>
  <c r="C6926" i="30"/>
  <c r="C6927" i="30"/>
  <c r="C6928" i="30"/>
  <c r="C6929" i="30"/>
  <c r="C6930" i="30"/>
  <c r="C6931" i="30"/>
  <c r="C6932" i="30"/>
  <c r="C6933" i="30"/>
  <c r="C6934" i="30"/>
  <c r="C6935" i="30"/>
  <c r="C6936" i="30"/>
  <c r="C6937" i="30"/>
  <c r="C6938" i="30"/>
  <c r="C6939" i="30"/>
  <c r="C6940" i="30"/>
  <c r="C6941" i="30"/>
  <c r="C6942" i="30"/>
  <c r="C6943" i="30"/>
  <c r="C6944" i="30"/>
  <c r="C6945" i="30"/>
  <c r="C6946" i="30"/>
  <c r="C6947" i="30"/>
  <c r="C6948" i="30"/>
  <c r="C6949" i="30"/>
  <c r="C6950" i="30"/>
  <c r="C6951" i="30"/>
  <c r="C6952" i="30"/>
  <c r="C6953" i="30"/>
  <c r="C6954" i="30"/>
  <c r="C6955" i="30"/>
  <c r="C6956" i="30"/>
  <c r="C6957" i="30"/>
  <c r="C6958" i="30"/>
  <c r="C6959" i="30"/>
  <c r="C6960" i="30"/>
  <c r="C6961" i="30"/>
  <c r="C6962" i="30"/>
  <c r="C6963" i="30"/>
  <c r="C6964" i="30"/>
  <c r="C6965" i="30"/>
  <c r="C6966" i="30"/>
  <c r="C6967" i="30"/>
  <c r="C6968" i="30"/>
  <c r="C6969" i="30"/>
  <c r="C6970" i="30"/>
  <c r="C6971" i="30"/>
  <c r="C6972" i="30"/>
  <c r="C6973" i="30"/>
  <c r="C6974" i="30"/>
  <c r="C6975" i="30"/>
  <c r="C6976" i="30"/>
  <c r="C6977" i="30"/>
  <c r="C6978" i="30"/>
  <c r="C6979" i="30"/>
  <c r="C6980" i="30"/>
  <c r="C6981" i="30"/>
  <c r="C6982" i="30"/>
  <c r="C6983" i="30"/>
  <c r="C6984" i="30"/>
  <c r="C6985" i="30"/>
  <c r="C6986" i="30"/>
  <c r="C6987" i="30"/>
  <c r="C6988" i="30"/>
  <c r="C6989" i="30"/>
  <c r="C6990" i="30"/>
  <c r="C6991" i="30"/>
  <c r="C6992" i="30"/>
  <c r="C6993" i="30"/>
  <c r="C6994" i="30"/>
  <c r="C6995" i="30"/>
  <c r="C6996" i="30"/>
  <c r="C6997" i="30"/>
  <c r="C6998" i="30"/>
  <c r="C6999" i="30"/>
  <c r="C7000" i="30"/>
  <c r="C7001" i="30"/>
  <c r="C7002" i="30"/>
  <c r="C7003" i="30"/>
  <c r="C7004" i="30"/>
  <c r="C7005" i="30"/>
  <c r="C7006" i="30"/>
  <c r="C7007" i="30"/>
  <c r="C7008" i="30"/>
  <c r="C7009" i="30"/>
  <c r="C7010" i="30"/>
  <c r="C7011" i="30"/>
  <c r="C7012" i="30"/>
  <c r="C7013" i="30"/>
  <c r="C7014" i="30"/>
  <c r="C7015" i="30"/>
  <c r="C7016" i="30"/>
  <c r="C7017" i="30"/>
  <c r="C7018" i="30"/>
  <c r="C7019" i="30"/>
  <c r="C7020" i="30"/>
  <c r="C7021" i="30"/>
  <c r="C7022" i="30"/>
  <c r="C7023" i="30"/>
  <c r="C7024" i="30"/>
  <c r="C7025" i="30"/>
  <c r="C7026" i="30"/>
  <c r="C7027" i="30"/>
  <c r="C7028" i="30"/>
  <c r="C7029" i="30"/>
  <c r="C7030" i="30"/>
  <c r="C7031" i="30"/>
  <c r="C7032" i="30"/>
  <c r="C7033" i="30"/>
  <c r="C7034" i="30"/>
  <c r="C7035" i="30"/>
  <c r="C7036" i="30"/>
  <c r="C7037" i="30"/>
  <c r="C7038" i="30"/>
  <c r="C7039" i="30"/>
  <c r="C7040" i="30"/>
  <c r="C7041" i="30"/>
  <c r="C7042" i="30"/>
  <c r="C7043" i="30"/>
  <c r="C7044" i="30"/>
  <c r="C7045" i="30"/>
  <c r="C7046" i="30"/>
  <c r="C7047" i="30"/>
  <c r="C7048" i="30"/>
  <c r="C7049" i="30"/>
  <c r="C7050" i="30"/>
  <c r="C7051" i="30"/>
  <c r="C7052" i="30"/>
  <c r="C7053" i="30"/>
  <c r="C7054" i="30"/>
  <c r="C7055" i="30"/>
  <c r="C7056" i="30"/>
  <c r="C7057" i="30"/>
  <c r="C7058" i="30"/>
  <c r="C7059" i="30"/>
  <c r="C7060" i="30"/>
  <c r="C7061" i="30"/>
  <c r="C7062" i="30"/>
  <c r="C7063" i="30"/>
  <c r="C7064" i="30"/>
  <c r="C7065" i="30"/>
  <c r="C7066" i="30"/>
  <c r="C7067" i="30"/>
  <c r="C7068" i="30"/>
  <c r="C7069" i="30"/>
  <c r="C7070" i="30"/>
  <c r="C7071" i="30"/>
  <c r="C7072" i="30"/>
  <c r="C7073" i="30"/>
  <c r="C7074" i="30"/>
  <c r="C7075" i="30"/>
  <c r="C7076" i="30"/>
  <c r="C7077" i="30"/>
  <c r="C7078" i="30"/>
  <c r="C7079" i="30"/>
  <c r="C7080" i="30"/>
  <c r="C7081" i="30"/>
  <c r="C7082" i="30"/>
  <c r="C7083" i="30"/>
  <c r="C7084" i="30"/>
  <c r="C7085" i="30"/>
  <c r="C7086" i="30"/>
  <c r="C7087" i="30"/>
  <c r="C7088" i="30"/>
  <c r="C7089" i="30"/>
  <c r="C7090" i="30"/>
  <c r="C7091" i="30"/>
  <c r="C7092" i="30"/>
  <c r="C7093" i="30"/>
  <c r="C7094" i="30"/>
  <c r="C7095" i="30"/>
  <c r="C7096" i="30"/>
  <c r="C7097" i="30"/>
  <c r="C7098" i="30"/>
  <c r="C7099" i="30"/>
  <c r="C7100" i="30"/>
  <c r="C7101" i="30"/>
  <c r="C7102" i="30"/>
  <c r="C7103" i="30"/>
  <c r="C7104" i="30"/>
  <c r="C7105" i="30"/>
  <c r="C7106" i="30"/>
  <c r="C7107" i="30"/>
  <c r="C7108" i="30"/>
  <c r="C7109" i="30"/>
  <c r="C7110" i="30"/>
  <c r="C7111" i="30"/>
  <c r="C7112" i="30"/>
  <c r="C7113" i="30"/>
  <c r="C7114" i="30"/>
  <c r="C7115" i="30"/>
  <c r="C7116" i="30"/>
  <c r="C7117" i="30"/>
  <c r="C7118" i="30"/>
  <c r="C7119" i="30"/>
  <c r="C7120" i="30"/>
  <c r="C7121" i="30"/>
  <c r="C7122" i="30"/>
  <c r="C7123" i="30"/>
  <c r="C7124" i="30"/>
  <c r="C7125" i="30"/>
  <c r="C7126" i="30"/>
  <c r="C7127" i="30"/>
  <c r="C7128" i="30"/>
  <c r="C7129" i="30"/>
  <c r="C7130" i="30"/>
  <c r="C7131" i="30"/>
  <c r="C7132" i="30"/>
  <c r="C7133" i="30"/>
  <c r="C7134" i="30"/>
  <c r="C7135" i="30"/>
  <c r="C7136" i="30"/>
  <c r="C7137" i="30"/>
  <c r="C7138" i="30"/>
  <c r="C7139" i="30"/>
  <c r="C7140" i="30"/>
  <c r="C7141" i="30"/>
  <c r="C7142" i="30"/>
  <c r="C7143" i="30"/>
  <c r="C7144" i="30"/>
  <c r="C7145" i="30"/>
  <c r="C7146" i="30"/>
  <c r="C7147" i="30"/>
  <c r="C7148" i="30"/>
  <c r="C7149" i="30"/>
  <c r="C7150" i="30"/>
  <c r="C7151" i="30"/>
  <c r="C7152" i="30"/>
  <c r="C7153" i="30"/>
  <c r="C7154" i="30"/>
  <c r="C7155" i="30"/>
  <c r="C7156" i="30"/>
  <c r="C7157" i="30"/>
  <c r="C7158" i="30"/>
  <c r="C7159" i="30"/>
  <c r="C7160" i="30"/>
  <c r="C7161" i="30"/>
  <c r="C7162" i="30"/>
  <c r="C7163" i="30"/>
  <c r="C7164" i="30"/>
  <c r="C7165" i="30"/>
  <c r="C7166" i="30"/>
  <c r="C7167" i="30"/>
  <c r="C7168" i="30"/>
  <c r="C7169" i="30"/>
  <c r="C7170" i="30"/>
  <c r="C7171" i="30"/>
  <c r="C7172" i="30"/>
  <c r="C7173" i="30"/>
  <c r="C7174" i="30"/>
  <c r="C7175" i="30"/>
  <c r="C7176" i="30"/>
  <c r="C7177" i="30"/>
  <c r="C7178" i="30"/>
  <c r="C7179" i="30"/>
  <c r="C7180" i="30"/>
  <c r="C7181" i="30"/>
  <c r="C7182" i="30"/>
  <c r="C7183" i="30"/>
  <c r="C7184" i="30"/>
  <c r="C7185" i="30"/>
  <c r="C7186" i="30"/>
  <c r="C7187" i="30"/>
  <c r="C7188" i="30"/>
  <c r="C7189" i="30"/>
  <c r="C7190" i="30"/>
  <c r="C7191" i="30"/>
  <c r="C7192" i="30"/>
  <c r="C7193" i="30"/>
  <c r="C7194" i="30"/>
  <c r="C7195" i="30"/>
  <c r="C7196" i="30"/>
  <c r="C7197" i="30"/>
  <c r="C7198" i="30"/>
  <c r="C7199" i="30"/>
  <c r="C7200" i="30"/>
  <c r="C7201" i="30"/>
  <c r="C7202" i="30"/>
  <c r="C7203" i="30"/>
  <c r="C7204" i="30"/>
  <c r="C7205" i="30"/>
  <c r="C7206" i="30"/>
  <c r="C7207" i="30"/>
  <c r="C7208" i="30"/>
  <c r="C7209" i="30"/>
  <c r="C7210" i="30"/>
  <c r="C7211" i="30"/>
  <c r="C7212" i="30"/>
  <c r="C7213" i="30"/>
  <c r="C7214" i="30"/>
  <c r="C7215" i="30"/>
  <c r="C7216" i="30"/>
  <c r="C7217" i="30"/>
  <c r="C7218" i="30"/>
  <c r="C7219" i="30"/>
  <c r="C7220" i="30"/>
  <c r="C7221" i="30"/>
  <c r="C7222" i="30"/>
  <c r="C7223" i="30"/>
  <c r="C7224" i="30"/>
  <c r="C7225" i="30"/>
  <c r="C7226" i="30"/>
  <c r="C7227" i="30"/>
  <c r="C7228" i="30"/>
  <c r="C7229" i="30"/>
  <c r="C7230" i="30"/>
  <c r="C7231" i="30"/>
  <c r="C7232" i="30"/>
  <c r="C7233" i="30"/>
  <c r="C7234" i="30"/>
  <c r="C7235" i="30"/>
  <c r="C7236" i="30"/>
  <c r="C7237" i="30"/>
  <c r="C7238" i="30"/>
  <c r="C7239" i="30"/>
  <c r="C7240" i="30"/>
  <c r="C7241" i="30"/>
  <c r="C7242" i="30"/>
  <c r="C7243" i="30"/>
  <c r="C7244" i="30"/>
  <c r="C7245" i="30"/>
  <c r="C7246" i="30"/>
  <c r="C7247" i="30"/>
  <c r="C7248" i="30"/>
  <c r="C7249" i="30"/>
  <c r="C7250" i="30"/>
  <c r="C7251" i="30"/>
  <c r="C7252" i="30"/>
  <c r="C7253" i="30"/>
  <c r="C7254" i="30"/>
  <c r="C7255" i="30"/>
  <c r="C7256" i="30"/>
  <c r="C7257" i="30"/>
  <c r="C7258" i="30"/>
  <c r="C7259" i="30"/>
  <c r="C7260" i="30"/>
  <c r="C7261" i="30"/>
  <c r="C7262" i="30"/>
  <c r="C7263" i="30"/>
  <c r="C7264" i="30"/>
  <c r="C7265" i="30"/>
  <c r="C7266" i="30"/>
  <c r="C7267" i="30"/>
  <c r="C7268" i="30"/>
  <c r="C7269" i="30"/>
  <c r="C7270" i="30"/>
  <c r="C7271" i="30"/>
  <c r="C7272" i="30"/>
  <c r="C7273" i="30"/>
  <c r="C7274" i="30"/>
  <c r="C7275" i="30"/>
  <c r="C7276" i="30"/>
  <c r="C7277" i="30"/>
  <c r="C7278" i="30"/>
  <c r="C7279" i="30"/>
  <c r="C7280" i="30"/>
  <c r="C7281" i="30"/>
  <c r="C7282" i="30"/>
  <c r="C7283" i="30"/>
  <c r="C7284" i="30"/>
  <c r="C7285" i="30"/>
  <c r="C7286" i="30"/>
  <c r="C7287" i="30"/>
  <c r="C7288" i="30"/>
  <c r="C7289" i="30"/>
  <c r="C7290" i="30"/>
  <c r="C7291" i="30"/>
  <c r="C7292" i="30"/>
  <c r="C7293" i="30"/>
  <c r="C7294" i="30"/>
  <c r="C7295" i="30"/>
  <c r="C7296" i="30"/>
  <c r="C7297" i="30"/>
  <c r="C7298" i="30"/>
  <c r="C7299" i="30"/>
  <c r="C7300" i="30"/>
  <c r="C7301" i="30"/>
  <c r="C7302" i="30"/>
  <c r="C7303" i="30"/>
  <c r="C7304" i="30"/>
  <c r="C7305" i="30"/>
  <c r="C7306" i="30"/>
  <c r="C7307" i="30"/>
  <c r="C7308" i="30"/>
  <c r="C7309" i="30"/>
  <c r="C7310" i="30"/>
  <c r="C7311" i="30"/>
  <c r="C7312" i="30"/>
  <c r="C7313" i="30"/>
  <c r="C7314" i="30"/>
  <c r="C7315" i="30"/>
  <c r="C7316" i="30"/>
  <c r="C7317" i="30"/>
  <c r="C7318" i="30"/>
  <c r="C7319" i="30"/>
  <c r="C7320" i="30"/>
  <c r="C7321" i="30"/>
  <c r="C7322" i="30"/>
  <c r="C7323" i="30"/>
  <c r="C7324" i="30"/>
  <c r="C7325" i="30"/>
  <c r="C7326" i="30"/>
  <c r="C7327" i="30"/>
  <c r="C7328" i="30"/>
  <c r="C7329" i="30"/>
  <c r="C7330" i="30"/>
  <c r="C7331" i="30"/>
  <c r="C7332" i="30"/>
  <c r="C7333" i="30"/>
  <c r="C7334" i="30"/>
  <c r="C7335" i="30"/>
  <c r="C7336" i="30"/>
  <c r="C7337" i="30"/>
  <c r="C7338" i="30"/>
  <c r="C7339" i="30"/>
  <c r="C7340" i="30"/>
  <c r="C7341" i="30"/>
  <c r="C7342" i="30"/>
  <c r="C7343" i="30"/>
  <c r="C7344" i="30"/>
  <c r="C7345" i="30"/>
  <c r="C7346" i="30"/>
  <c r="C7347" i="30"/>
  <c r="C7348" i="30"/>
  <c r="C7349" i="30"/>
  <c r="C7350" i="30"/>
  <c r="C7351" i="30"/>
  <c r="C7352" i="30"/>
  <c r="C7353" i="30"/>
  <c r="C7354" i="30"/>
  <c r="C7355" i="30"/>
  <c r="C7356" i="30"/>
  <c r="C7357" i="30"/>
  <c r="C7358" i="30"/>
  <c r="C7359" i="30"/>
  <c r="C7360" i="30"/>
  <c r="C7361" i="30"/>
  <c r="C7362" i="30"/>
  <c r="C7363" i="30"/>
  <c r="C7364" i="30"/>
  <c r="C7365" i="30"/>
  <c r="C7366" i="30"/>
  <c r="C7367" i="30"/>
  <c r="C7368" i="30"/>
  <c r="C7369" i="30"/>
  <c r="C7370" i="30"/>
  <c r="C7371" i="30"/>
  <c r="C7372" i="30"/>
  <c r="C7373" i="30"/>
  <c r="C7374" i="30"/>
  <c r="C7375" i="30"/>
  <c r="C7376" i="30"/>
  <c r="C7377" i="30"/>
  <c r="C7378" i="30"/>
  <c r="C7379" i="30"/>
  <c r="C7380" i="30"/>
  <c r="C7381" i="30"/>
  <c r="C7382" i="30"/>
  <c r="C7383" i="30"/>
  <c r="C7384" i="30"/>
  <c r="C7385" i="30"/>
  <c r="C7386" i="30"/>
  <c r="C7387" i="30"/>
  <c r="C7388" i="30"/>
  <c r="C7389" i="30"/>
  <c r="C7390" i="30"/>
  <c r="C7391" i="30"/>
  <c r="C7392" i="30"/>
  <c r="C7393" i="30"/>
  <c r="C7394" i="30"/>
  <c r="C7395" i="30"/>
  <c r="C7396" i="30"/>
  <c r="C7397" i="30"/>
  <c r="C7398" i="30"/>
  <c r="C7399" i="30"/>
  <c r="C7400" i="30"/>
  <c r="C7401" i="30"/>
  <c r="C7402" i="30"/>
  <c r="C7403" i="30"/>
  <c r="C7404" i="30"/>
  <c r="C7405" i="30"/>
  <c r="C7406" i="30"/>
  <c r="C7407" i="30"/>
  <c r="C7408" i="30"/>
  <c r="C7409" i="30"/>
  <c r="C7410" i="30"/>
  <c r="C7411" i="30"/>
  <c r="C7412" i="30"/>
  <c r="C7413" i="30"/>
  <c r="C7414" i="30"/>
  <c r="C7415" i="30"/>
  <c r="C7416" i="30"/>
  <c r="C7417" i="30"/>
  <c r="C7418" i="30"/>
  <c r="C7419" i="30"/>
  <c r="C7420" i="30"/>
  <c r="C7421" i="30"/>
  <c r="C7422" i="30"/>
  <c r="C7423" i="30"/>
  <c r="C7424" i="30"/>
  <c r="C7425" i="30"/>
  <c r="C7426" i="30"/>
  <c r="C7427" i="30"/>
  <c r="C7428" i="30"/>
  <c r="C7429" i="30"/>
  <c r="C7430" i="30"/>
  <c r="C7431" i="30"/>
  <c r="C7432" i="30"/>
  <c r="C7433" i="30"/>
  <c r="C7434" i="30"/>
  <c r="C7435" i="30"/>
  <c r="C7436" i="30"/>
  <c r="C7437" i="30"/>
  <c r="C7438" i="30"/>
  <c r="C7439" i="30"/>
  <c r="C7440" i="30"/>
  <c r="C7441" i="30"/>
  <c r="C7442" i="30"/>
  <c r="C7443" i="30"/>
  <c r="C7444" i="30"/>
  <c r="C7445" i="30"/>
  <c r="C7446" i="30"/>
  <c r="C7447" i="30"/>
  <c r="C7448" i="30"/>
  <c r="C7449" i="30"/>
  <c r="C7450" i="30"/>
  <c r="C7451" i="30"/>
  <c r="C7452" i="30"/>
  <c r="C7453" i="30"/>
  <c r="C7454" i="30"/>
  <c r="C7455" i="30"/>
  <c r="C7456" i="30"/>
  <c r="C7457" i="30"/>
  <c r="C7458" i="30"/>
  <c r="C7459" i="30"/>
  <c r="C7460" i="30"/>
  <c r="C7461" i="30"/>
  <c r="C7462" i="30"/>
  <c r="C7463" i="30"/>
  <c r="C7464" i="30"/>
  <c r="C7465" i="30"/>
  <c r="C7466" i="30"/>
  <c r="C7467" i="30"/>
  <c r="C7468" i="30"/>
  <c r="C7469" i="30"/>
  <c r="C7470" i="30"/>
  <c r="C7471" i="30"/>
  <c r="C7472" i="30"/>
  <c r="C7473" i="30"/>
  <c r="C7474" i="30"/>
  <c r="C7475" i="30"/>
  <c r="C7476" i="30"/>
  <c r="C7477" i="30"/>
  <c r="C7478" i="30"/>
  <c r="C7479" i="30"/>
  <c r="C7480" i="30"/>
  <c r="C7481" i="30"/>
  <c r="C7482" i="30"/>
  <c r="C7483" i="30"/>
  <c r="C7484" i="30"/>
  <c r="C7485" i="30"/>
  <c r="C7486" i="30"/>
  <c r="C7487" i="30"/>
  <c r="C7488" i="30"/>
  <c r="C7489" i="30"/>
  <c r="C7490" i="30"/>
  <c r="C7491" i="30"/>
  <c r="C7492" i="30"/>
  <c r="C7493" i="30"/>
  <c r="C7494" i="30"/>
  <c r="C7495" i="30"/>
  <c r="C7496" i="30"/>
  <c r="C7497" i="30"/>
  <c r="C7498" i="30"/>
  <c r="C7499" i="30"/>
  <c r="C7500" i="30"/>
  <c r="C7501" i="30"/>
  <c r="C7502" i="30"/>
  <c r="C7503" i="30"/>
  <c r="C7504" i="30"/>
  <c r="C7505" i="30"/>
  <c r="C7506" i="30"/>
  <c r="C7507" i="30"/>
  <c r="C7508" i="30"/>
  <c r="C7509" i="30"/>
  <c r="C7510" i="30"/>
  <c r="C7511" i="30"/>
  <c r="C7512" i="30"/>
  <c r="C7513" i="30"/>
  <c r="C7514" i="30"/>
  <c r="C7515" i="30"/>
  <c r="C7516" i="30"/>
  <c r="C7517" i="30"/>
  <c r="C7518" i="30"/>
  <c r="C7519" i="30"/>
  <c r="C7520" i="30"/>
  <c r="C7521" i="30"/>
  <c r="C7522" i="30"/>
  <c r="C7523" i="30"/>
  <c r="C7524" i="30"/>
  <c r="C7525" i="30"/>
  <c r="C7526" i="30"/>
  <c r="C7527" i="30"/>
  <c r="C7528" i="30"/>
  <c r="C7529" i="30"/>
  <c r="C7530" i="30"/>
  <c r="C7531" i="30"/>
  <c r="C7532" i="30"/>
  <c r="C7533" i="30"/>
  <c r="C7534" i="30"/>
  <c r="C7535" i="30"/>
  <c r="C7536" i="30"/>
  <c r="C7537" i="30"/>
  <c r="C7538" i="30"/>
  <c r="C7539" i="30"/>
  <c r="C7540" i="30"/>
  <c r="C7541" i="30"/>
  <c r="C7542" i="30"/>
  <c r="C7543" i="30"/>
  <c r="C7544" i="30"/>
  <c r="C7545" i="30"/>
  <c r="C7546" i="30"/>
  <c r="C7547" i="30"/>
  <c r="C7548" i="30"/>
  <c r="C7549" i="30"/>
  <c r="C7550" i="30"/>
  <c r="C7551" i="30"/>
  <c r="C7552" i="30"/>
  <c r="C7553" i="30"/>
  <c r="C7554" i="30"/>
  <c r="C7555" i="30"/>
  <c r="C7556" i="30"/>
  <c r="C7557" i="30"/>
  <c r="C7558" i="30"/>
  <c r="C7559" i="30"/>
  <c r="C7560" i="30"/>
  <c r="C7561" i="30"/>
  <c r="C7562" i="30"/>
  <c r="C7563" i="30"/>
  <c r="C7564" i="30"/>
  <c r="C7565" i="30"/>
  <c r="C7566" i="30"/>
  <c r="C7567" i="30"/>
  <c r="C7568" i="30"/>
  <c r="C7569" i="30"/>
  <c r="C7570" i="30"/>
  <c r="C7571" i="30"/>
  <c r="C7572" i="30"/>
  <c r="C7573" i="30"/>
  <c r="C7574" i="30"/>
  <c r="C7575" i="30"/>
  <c r="C7576" i="30"/>
  <c r="C7577" i="30"/>
  <c r="C7578" i="30"/>
  <c r="C7579" i="30"/>
  <c r="C7580" i="30"/>
  <c r="C7581" i="30"/>
  <c r="C7582" i="30"/>
  <c r="C7583" i="30"/>
  <c r="C7584" i="30"/>
  <c r="C7585" i="30"/>
  <c r="C7586" i="30"/>
  <c r="C7587" i="30"/>
  <c r="C7588" i="30"/>
  <c r="C7589" i="30"/>
  <c r="C7590" i="30"/>
  <c r="C7591" i="30"/>
  <c r="C7592" i="30"/>
  <c r="C7593" i="30"/>
  <c r="C7594" i="30"/>
  <c r="C7595" i="30"/>
  <c r="C7596" i="30"/>
  <c r="C7597" i="30"/>
  <c r="C7598" i="30"/>
  <c r="C7599" i="30"/>
  <c r="C7600" i="30"/>
  <c r="C7601" i="30"/>
  <c r="C7602" i="30"/>
  <c r="C7603" i="30"/>
  <c r="C7604" i="30"/>
  <c r="C7605" i="30"/>
  <c r="C7606" i="30"/>
  <c r="C7607" i="30"/>
  <c r="C7608" i="30"/>
  <c r="C7609" i="30"/>
  <c r="C7610" i="30"/>
  <c r="C7611" i="30"/>
  <c r="C7612" i="30"/>
  <c r="C7613" i="30"/>
  <c r="C7614" i="30"/>
  <c r="C7615" i="30"/>
  <c r="C7616" i="30"/>
  <c r="C7617" i="30"/>
  <c r="C7618" i="30"/>
  <c r="C7619" i="30"/>
  <c r="C7620" i="30"/>
  <c r="C7621" i="30"/>
  <c r="C7622" i="30"/>
  <c r="C7623" i="30"/>
  <c r="C7624" i="30"/>
  <c r="C7625" i="30"/>
  <c r="C7626" i="30"/>
  <c r="C7627" i="30"/>
  <c r="C7628" i="30"/>
  <c r="C7629" i="30"/>
  <c r="C7630" i="30"/>
  <c r="C7631" i="30"/>
  <c r="C7632" i="30"/>
  <c r="C7633" i="30"/>
  <c r="C7634" i="30"/>
  <c r="C7635" i="30"/>
  <c r="C7636" i="30"/>
  <c r="C7637" i="30"/>
  <c r="C7638" i="30"/>
  <c r="C7639" i="30"/>
  <c r="C7640" i="30"/>
  <c r="C7641" i="30"/>
  <c r="C7642" i="30"/>
  <c r="C7643" i="30"/>
  <c r="C7644" i="30"/>
  <c r="C7645" i="30"/>
  <c r="C7646" i="30"/>
  <c r="C7647" i="30"/>
  <c r="C7648" i="30"/>
  <c r="C7649" i="30"/>
  <c r="C7650" i="30"/>
  <c r="C7651" i="30"/>
  <c r="C7652" i="30"/>
  <c r="C7653" i="30"/>
  <c r="C7654" i="30"/>
  <c r="C7655" i="30"/>
  <c r="C7656" i="30"/>
  <c r="C7657" i="30"/>
  <c r="C7658" i="30"/>
  <c r="C7659" i="30"/>
  <c r="C7660" i="30"/>
  <c r="C7661" i="30"/>
  <c r="C7662" i="30"/>
  <c r="C7663" i="30"/>
  <c r="C7664" i="30"/>
  <c r="C7665" i="30"/>
  <c r="C7666" i="30"/>
  <c r="C7667" i="30"/>
  <c r="C7668" i="30"/>
  <c r="C7669" i="30"/>
  <c r="C7670" i="30"/>
  <c r="C7671" i="30"/>
  <c r="C7672" i="30"/>
  <c r="C7673" i="30"/>
  <c r="C7674" i="30"/>
  <c r="C7675" i="30"/>
  <c r="C7676" i="30"/>
  <c r="C7677" i="30"/>
  <c r="C7678" i="30"/>
  <c r="C7679" i="30"/>
  <c r="C7680" i="30"/>
  <c r="C7681" i="30"/>
  <c r="C7682" i="30"/>
  <c r="C7683" i="30"/>
  <c r="C7684" i="30"/>
  <c r="C7685" i="30"/>
  <c r="C7686" i="30"/>
  <c r="C7687" i="30"/>
  <c r="C7688" i="30"/>
  <c r="C7689" i="30"/>
  <c r="C7690" i="30"/>
  <c r="C7691" i="30"/>
  <c r="C7692" i="30"/>
  <c r="C7693" i="30"/>
  <c r="C7694" i="30"/>
  <c r="C7695" i="30"/>
  <c r="C7696" i="30"/>
  <c r="C7697" i="30"/>
  <c r="C7698" i="30"/>
  <c r="C7699" i="30"/>
  <c r="C7700" i="30"/>
  <c r="C7701" i="30"/>
  <c r="C7702" i="30"/>
  <c r="C7703" i="30"/>
  <c r="C7704" i="30"/>
  <c r="C7705" i="30"/>
  <c r="C7706" i="30"/>
  <c r="C7707" i="30"/>
  <c r="C7708" i="30"/>
  <c r="C7709" i="30"/>
  <c r="C7710" i="30"/>
  <c r="C7711" i="30"/>
  <c r="C7712" i="30"/>
  <c r="C7713" i="30"/>
  <c r="C7714" i="30"/>
  <c r="C7715" i="30"/>
  <c r="C7716" i="30"/>
  <c r="C7717" i="30"/>
  <c r="C7718" i="30"/>
  <c r="C7719" i="30"/>
  <c r="C7720" i="30"/>
  <c r="C7721" i="30"/>
  <c r="C7722" i="30"/>
  <c r="C7723" i="30"/>
  <c r="C7724" i="30"/>
  <c r="C7725" i="30"/>
  <c r="C7726" i="30"/>
  <c r="C7727" i="30"/>
  <c r="C7728" i="30"/>
  <c r="C7729" i="30"/>
  <c r="C7730" i="30"/>
  <c r="C7731" i="30"/>
  <c r="C7732" i="30"/>
  <c r="C7733" i="30"/>
  <c r="C7734" i="30"/>
  <c r="C7735" i="30"/>
  <c r="C7736" i="30"/>
  <c r="C7737" i="30"/>
  <c r="C7738" i="30"/>
  <c r="C7739" i="30"/>
  <c r="C7740" i="30"/>
  <c r="C7741" i="30"/>
  <c r="C7742" i="30"/>
  <c r="C7743" i="30"/>
  <c r="C7744" i="30"/>
  <c r="C7745" i="30"/>
  <c r="C7746" i="30"/>
  <c r="C7747" i="30"/>
  <c r="C7748" i="30"/>
  <c r="C7749" i="30"/>
  <c r="C7750" i="30"/>
  <c r="C7751" i="30"/>
  <c r="C7752" i="30"/>
  <c r="C7753" i="30"/>
  <c r="C7754" i="30"/>
  <c r="C7755" i="30"/>
  <c r="C7756" i="30"/>
  <c r="C7757" i="30"/>
  <c r="C7758" i="30"/>
  <c r="C7759" i="30"/>
  <c r="C7760" i="30"/>
  <c r="C7761" i="30"/>
  <c r="C7762" i="30"/>
  <c r="C7763" i="30"/>
  <c r="C7764" i="30"/>
  <c r="C7765" i="30"/>
  <c r="C7766" i="30"/>
  <c r="C7767" i="30"/>
  <c r="C7768" i="30"/>
  <c r="C7769" i="30"/>
  <c r="C7770" i="30"/>
  <c r="C7771" i="30"/>
  <c r="C7772" i="30"/>
  <c r="C7773" i="30"/>
  <c r="C7774" i="30"/>
  <c r="C7775" i="30"/>
  <c r="C7776" i="30"/>
  <c r="C7777" i="30"/>
  <c r="C7778" i="30"/>
  <c r="C7779" i="30"/>
  <c r="C7780" i="30"/>
  <c r="C7781" i="30"/>
  <c r="C7782" i="30"/>
  <c r="C7783" i="30"/>
  <c r="C7784" i="30"/>
  <c r="C7785" i="30"/>
  <c r="C7786" i="30"/>
  <c r="C7787" i="30"/>
  <c r="C7788" i="30"/>
  <c r="C7789" i="30"/>
  <c r="C7790" i="30"/>
  <c r="C7791" i="30"/>
  <c r="C7792" i="30"/>
  <c r="C7793" i="30"/>
  <c r="C7794" i="30"/>
  <c r="C7795" i="30"/>
  <c r="C7796" i="30"/>
  <c r="C7797" i="30"/>
  <c r="C7798" i="30"/>
  <c r="C7799" i="30"/>
  <c r="C7800" i="30"/>
  <c r="C7801" i="30"/>
  <c r="C7802" i="30"/>
  <c r="C7803" i="30"/>
  <c r="C7804" i="30"/>
  <c r="C7805" i="30"/>
  <c r="C7806" i="30"/>
  <c r="C7807" i="30"/>
  <c r="C7808" i="30"/>
  <c r="C7809" i="30"/>
  <c r="C7810" i="30"/>
  <c r="C7811" i="30"/>
  <c r="C7812" i="30"/>
  <c r="C7813" i="30"/>
  <c r="C7814" i="30"/>
  <c r="C7815" i="30"/>
  <c r="C7816" i="30"/>
  <c r="C7817" i="30"/>
  <c r="C7818" i="30"/>
  <c r="C7819" i="30"/>
  <c r="C7820" i="30"/>
  <c r="C7821" i="30"/>
  <c r="C7822" i="30"/>
  <c r="C7823" i="30"/>
  <c r="C7824" i="30"/>
  <c r="C7825" i="30"/>
  <c r="C7826" i="30"/>
  <c r="C7827" i="30"/>
  <c r="C7828" i="30"/>
  <c r="C7829" i="30"/>
  <c r="C7830" i="30"/>
  <c r="C7831" i="30"/>
  <c r="C7832" i="30"/>
  <c r="C7833" i="30"/>
  <c r="C7834" i="30"/>
  <c r="C7835" i="30"/>
  <c r="C7836" i="30"/>
  <c r="C7837" i="30"/>
  <c r="C7838" i="30"/>
  <c r="C7839" i="30"/>
  <c r="C7840" i="30"/>
  <c r="C7841" i="30"/>
  <c r="C7842" i="30"/>
  <c r="C7843" i="30"/>
  <c r="C7844" i="30"/>
  <c r="C7845" i="30"/>
  <c r="C7846" i="30"/>
  <c r="C7847" i="30"/>
  <c r="C7848" i="30"/>
  <c r="C7849" i="30"/>
  <c r="C7850" i="30"/>
  <c r="C7851" i="30"/>
  <c r="C7852" i="30"/>
  <c r="C7853" i="30"/>
  <c r="C7854" i="30"/>
  <c r="C7855" i="30"/>
  <c r="C7856" i="30"/>
  <c r="C7857" i="30"/>
  <c r="C7858" i="30"/>
  <c r="C7859" i="30"/>
  <c r="C7860" i="30"/>
  <c r="C7861" i="30"/>
  <c r="C7862" i="30"/>
  <c r="C7863" i="30"/>
  <c r="C7864" i="30"/>
  <c r="C7865" i="30"/>
  <c r="C7866" i="30"/>
  <c r="C7867" i="30"/>
  <c r="C7868" i="30"/>
  <c r="C7869" i="30"/>
  <c r="C7870" i="30"/>
  <c r="C7871" i="30"/>
  <c r="C7872" i="30"/>
  <c r="C7873" i="30"/>
  <c r="C7874" i="30"/>
  <c r="C7875" i="30"/>
  <c r="C7876" i="30"/>
  <c r="C7877" i="30"/>
  <c r="C7878" i="30"/>
  <c r="C7879" i="30"/>
  <c r="C7880" i="30"/>
  <c r="C7881" i="30"/>
  <c r="C7882" i="30"/>
  <c r="C7883" i="30"/>
  <c r="C7884" i="30"/>
  <c r="C7885" i="30"/>
  <c r="C7886" i="30"/>
  <c r="C7887" i="30"/>
  <c r="C7888" i="30"/>
  <c r="C7889" i="30"/>
  <c r="C7890" i="30"/>
  <c r="C7891" i="30"/>
  <c r="C7892" i="30"/>
  <c r="C7893" i="30"/>
  <c r="C7894" i="30"/>
  <c r="C7895" i="30"/>
  <c r="C7896" i="30"/>
  <c r="C7897" i="30"/>
  <c r="C7898" i="30"/>
  <c r="C7899" i="30"/>
  <c r="C7900" i="30"/>
  <c r="C7901" i="30"/>
  <c r="C7902" i="30"/>
  <c r="C7903" i="30"/>
  <c r="C7904" i="30"/>
  <c r="C7905" i="30"/>
  <c r="C7906" i="30"/>
  <c r="C7907" i="30"/>
  <c r="C7908" i="30"/>
  <c r="C7909" i="30"/>
  <c r="C7910" i="30"/>
  <c r="C7911" i="30"/>
  <c r="C7912" i="30"/>
  <c r="C7913" i="30"/>
  <c r="C7914" i="30"/>
  <c r="C7915" i="30"/>
  <c r="C7916" i="30"/>
  <c r="C7917" i="30"/>
  <c r="C7918" i="30"/>
  <c r="C7919" i="30"/>
  <c r="C7920" i="30"/>
  <c r="C7921" i="30"/>
  <c r="C7922" i="30"/>
  <c r="C7923" i="30"/>
  <c r="C7924" i="30"/>
  <c r="C7925" i="30"/>
  <c r="C7926" i="30"/>
  <c r="C7927" i="30"/>
  <c r="C7928" i="30"/>
  <c r="C7929" i="30"/>
  <c r="C7930" i="30"/>
  <c r="C7931" i="30"/>
  <c r="C7932" i="30"/>
  <c r="C7933" i="30"/>
  <c r="C7934" i="30"/>
  <c r="C7935" i="30"/>
  <c r="C7936" i="30"/>
  <c r="C7937" i="30"/>
  <c r="C7938" i="30"/>
  <c r="C7939" i="30"/>
  <c r="C7940" i="30"/>
  <c r="C7941" i="30"/>
  <c r="C7942" i="30"/>
  <c r="C7943" i="30"/>
  <c r="C7944" i="30"/>
  <c r="C7945" i="30"/>
  <c r="C7946" i="30"/>
  <c r="C7947" i="30"/>
  <c r="C7948" i="30"/>
  <c r="C7949" i="30"/>
  <c r="C7950" i="30"/>
  <c r="C7951" i="30"/>
  <c r="C7952" i="30"/>
  <c r="C7953" i="30"/>
  <c r="C7954" i="30"/>
  <c r="C7955" i="30"/>
  <c r="C7956" i="30"/>
  <c r="C7957" i="30"/>
  <c r="C7958" i="30"/>
  <c r="C7959" i="30"/>
  <c r="C7960" i="30"/>
  <c r="C7961" i="30"/>
  <c r="C7962" i="30"/>
  <c r="C7963" i="30"/>
  <c r="C7964" i="30"/>
  <c r="C7965" i="30"/>
  <c r="C7966" i="30"/>
  <c r="C7967" i="30"/>
  <c r="C7968" i="30"/>
  <c r="C7969" i="30"/>
  <c r="C7970" i="30"/>
  <c r="C7971" i="30"/>
  <c r="C7972" i="30"/>
  <c r="C7973" i="30"/>
  <c r="C7974" i="30"/>
  <c r="C7975" i="30"/>
  <c r="C7976" i="30"/>
  <c r="C7977" i="30"/>
  <c r="C7978" i="30"/>
  <c r="C7979" i="30"/>
  <c r="C7980" i="30"/>
  <c r="C7981" i="30"/>
  <c r="C7982" i="30"/>
  <c r="C7983" i="30"/>
  <c r="C7984" i="30"/>
  <c r="C7985" i="30"/>
  <c r="C7986" i="30"/>
  <c r="C7987" i="30"/>
  <c r="C7988" i="30"/>
  <c r="C7989" i="30"/>
  <c r="C7990" i="30"/>
  <c r="C7991" i="30"/>
  <c r="C7992" i="30"/>
  <c r="C7993" i="30"/>
  <c r="C7994" i="30"/>
  <c r="C7995" i="30"/>
  <c r="C7996" i="30"/>
  <c r="C7997" i="30"/>
  <c r="C7998" i="30"/>
  <c r="C7999" i="30"/>
  <c r="C8000" i="30"/>
  <c r="C8001" i="30"/>
  <c r="C8002" i="30"/>
  <c r="C8003" i="30"/>
  <c r="C8004" i="30"/>
  <c r="C8005" i="30"/>
  <c r="C8006" i="30"/>
  <c r="C8007" i="30"/>
  <c r="C8008" i="30"/>
  <c r="C8009" i="30"/>
  <c r="C8010" i="30"/>
  <c r="C8011" i="30"/>
  <c r="C8012" i="30"/>
  <c r="C8013" i="30"/>
  <c r="C8014" i="30"/>
  <c r="C8015" i="30"/>
  <c r="C8016" i="30"/>
  <c r="C8017" i="30"/>
  <c r="C8018" i="30"/>
  <c r="C8019" i="30"/>
  <c r="C8020" i="30"/>
  <c r="C8021" i="30"/>
  <c r="C8022" i="30"/>
  <c r="C8023" i="30"/>
  <c r="C8024" i="30"/>
  <c r="C8025" i="30"/>
  <c r="C8026" i="30"/>
  <c r="C8027" i="30"/>
  <c r="C8028" i="30"/>
  <c r="C8029" i="30"/>
  <c r="C8030" i="30"/>
  <c r="C8031" i="30"/>
  <c r="C8032" i="30"/>
  <c r="C8033" i="30"/>
  <c r="C8034" i="30"/>
  <c r="C8035" i="30"/>
  <c r="C8036" i="30"/>
  <c r="C8037" i="30"/>
  <c r="C8038" i="30"/>
  <c r="C8039" i="30"/>
  <c r="C8040" i="30"/>
  <c r="C8041" i="30"/>
  <c r="C8042" i="30"/>
  <c r="C8043" i="30"/>
  <c r="C8044" i="30"/>
  <c r="C8045" i="30"/>
  <c r="C8046" i="30"/>
  <c r="C8047" i="30"/>
  <c r="C8048" i="30"/>
  <c r="C8049" i="30"/>
  <c r="C8050" i="30"/>
  <c r="C8051" i="30"/>
  <c r="C8052" i="30"/>
  <c r="C8053" i="30"/>
  <c r="C8054" i="30"/>
  <c r="C8055" i="30"/>
  <c r="C8056" i="30"/>
  <c r="C8057" i="30"/>
  <c r="C8058" i="30"/>
  <c r="C8059" i="30"/>
  <c r="C8060" i="30"/>
  <c r="C8061" i="30"/>
  <c r="C8062" i="30"/>
  <c r="C8063" i="30"/>
  <c r="C8064" i="30"/>
  <c r="C8065" i="30"/>
  <c r="C8066" i="30"/>
  <c r="C8067" i="30"/>
  <c r="C8068" i="30"/>
  <c r="C8069" i="30"/>
  <c r="C8070" i="30"/>
  <c r="C8071" i="30"/>
  <c r="C8072" i="30"/>
  <c r="C8073" i="30"/>
  <c r="C8074" i="30"/>
  <c r="C8075" i="30"/>
  <c r="C8076" i="30"/>
  <c r="C8077" i="30"/>
  <c r="C8078" i="30"/>
  <c r="C8079" i="30"/>
  <c r="C8080" i="30"/>
  <c r="C8081" i="30"/>
  <c r="C8082" i="30"/>
  <c r="C8083" i="30"/>
  <c r="C8084" i="30"/>
  <c r="C8085" i="30"/>
  <c r="C8086" i="30"/>
  <c r="C8087" i="30"/>
  <c r="C8088" i="30"/>
  <c r="C8089" i="30"/>
  <c r="C8090" i="30"/>
  <c r="C8091" i="30"/>
  <c r="C8092" i="30"/>
  <c r="C8093" i="30"/>
  <c r="C8094" i="30"/>
  <c r="C8095" i="30"/>
  <c r="C8096" i="30"/>
  <c r="C8097" i="30"/>
  <c r="C8098" i="30"/>
  <c r="C8099" i="30"/>
  <c r="C8100" i="30"/>
  <c r="C8101" i="30"/>
  <c r="C8102" i="30"/>
  <c r="C8103" i="30"/>
  <c r="C8104" i="30"/>
  <c r="C8105" i="30"/>
  <c r="C8106" i="30"/>
  <c r="C8107" i="30"/>
  <c r="C8108" i="30"/>
  <c r="C8109" i="30"/>
  <c r="C8110" i="30"/>
  <c r="C8111" i="30"/>
  <c r="C8112" i="30"/>
  <c r="C8113" i="30"/>
  <c r="C8114" i="30"/>
  <c r="C8115" i="30"/>
  <c r="C8116" i="30"/>
  <c r="C8117" i="30"/>
  <c r="C8118" i="30"/>
  <c r="C8119" i="30"/>
  <c r="C8120" i="30"/>
  <c r="C8121" i="30"/>
  <c r="C8122" i="30"/>
  <c r="C8123" i="30"/>
  <c r="C8124" i="30"/>
  <c r="C8125" i="30"/>
  <c r="C8126" i="30"/>
  <c r="C8127" i="30"/>
  <c r="C8128" i="30"/>
  <c r="C8129" i="30"/>
  <c r="C8130" i="30"/>
  <c r="C8131" i="30"/>
  <c r="C8132" i="30"/>
  <c r="C8133" i="30"/>
  <c r="C8134" i="30"/>
  <c r="C8135" i="30"/>
  <c r="C8136" i="30"/>
  <c r="C8137" i="30"/>
  <c r="C8138" i="30"/>
  <c r="C8139" i="30"/>
  <c r="C8140" i="30"/>
  <c r="C8141" i="30"/>
  <c r="C8142" i="30"/>
  <c r="C8143" i="30"/>
  <c r="C8144" i="30"/>
  <c r="C8145" i="30"/>
  <c r="C8146" i="30"/>
  <c r="C8147" i="30"/>
  <c r="C8148" i="30"/>
  <c r="C8149" i="30"/>
  <c r="C8150" i="30"/>
  <c r="C8151" i="30"/>
  <c r="C8152" i="30"/>
  <c r="C8153" i="30"/>
  <c r="C8154" i="30"/>
  <c r="C8155" i="30"/>
  <c r="C8156" i="30"/>
  <c r="C8157" i="30"/>
  <c r="C8158" i="30"/>
  <c r="C8159" i="30"/>
  <c r="C8160" i="30"/>
  <c r="C8161" i="30"/>
  <c r="C8162" i="30"/>
  <c r="C8163" i="30"/>
  <c r="C8164" i="30"/>
  <c r="C8165" i="30"/>
  <c r="C8166" i="30"/>
  <c r="C8167" i="30"/>
  <c r="C8168" i="30"/>
  <c r="C8169" i="30"/>
  <c r="C8170" i="30"/>
  <c r="C8171" i="30"/>
  <c r="C8172" i="30"/>
  <c r="C8173" i="30"/>
  <c r="C8174" i="30"/>
  <c r="C8175" i="30"/>
  <c r="C8176" i="30"/>
  <c r="C8177" i="30"/>
  <c r="C8178" i="30"/>
  <c r="C8179" i="30"/>
  <c r="C8180" i="30"/>
  <c r="C8181" i="30"/>
  <c r="C8182" i="30"/>
  <c r="C8183" i="30"/>
  <c r="C8184" i="30"/>
  <c r="C8185" i="30"/>
  <c r="C8186" i="30"/>
  <c r="C8187" i="30"/>
  <c r="C8188" i="30"/>
  <c r="C8189" i="30"/>
  <c r="C8190" i="30"/>
  <c r="C8191" i="30"/>
  <c r="C8192" i="30"/>
  <c r="C8193" i="30"/>
  <c r="C8194" i="30"/>
  <c r="C8195" i="30"/>
  <c r="C8196" i="30"/>
  <c r="C8197" i="30"/>
  <c r="C8198" i="30"/>
  <c r="C8199" i="30"/>
  <c r="C8200" i="30"/>
  <c r="C8201" i="30"/>
  <c r="C8202" i="30"/>
  <c r="C8203" i="30"/>
  <c r="C8204" i="30"/>
  <c r="C8205" i="30"/>
  <c r="C8206" i="30"/>
  <c r="C8207" i="30"/>
  <c r="C8208" i="30"/>
  <c r="C8209" i="30"/>
  <c r="C8210" i="30"/>
  <c r="C8211" i="30"/>
  <c r="C8212" i="30"/>
  <c r="C8213" i="30"/>
  <c r="C8214" i="30"/>
  <c r="C8215" i="30"/>
  <c r="C8216" i="30"/>
  <c r="C8217" i="30"/>
  <c r="C8218" i="30"/>
  <c r="C8219" i="30"/>
  <c r="C8220" i="30"/>
  <c r="C8221" i="30"/>
  <c r="C8222" i="30"/>
  <c r="C8223" i="30"/>
  <c r="C8224" i="30"/>
  <c r="C8225" i="30"/>
  <c r="C8226" i="30"/>
  <c r="C8227" i="30"/>
  <c r="C8228" i="30"/>
  <c r="C8229" i="30"/>
  <c r="C8230" i="30"/>
  <c r="C8231" i="30"/>
  <c r="C8232" i="30"/>
  <c r="C8233" i="30"/>
  <c r="C8234" i="30"/>
  <c r="C8235" i="30"/>
  <c r="C8236" i="30"/>
  <c r="C8237" i="30"/>
  <c r="C8238" i="30"/>
  <c r="C8239" i="30"/>
  <c r="C8240" i="30"/>
  <c r="C8241" i="30"/>
  <c r="C8242" i="30"/>
  <c r="C8243" i="30"/>
  <c r="C8244" i="30"/>
  <c r="C8245" i="30"/>
  <c r="C8246" i="30"/>
  <c r="C8247" i="30"/>
  <c r="C8248" i="30"/>
  <c r="C8249" i="30"/>
  <c r="C8250" i="30"/>
  <c r="C8251" i="30"/>
  <c r="C8252" i="30"/>
  <c r="C8253" i="30"/>
  <c r="C8254" i="30"/>
  <c r="C8255" i="30"/>
  <c r="C8256" i="30"/>
  <c r="C8257" i="30"/>
  <c r="C8258" i="30"/>
  <c r="C8259" i="30"/>
  <c r="C8260" i="30"/>
  <c r="C8261" i="30"/>
  <c r="C8262" i="30"/>
  <c r="C8263" i="30"/>
  <c r="C8264" i="30"/>
  <c r="C8265" i="30"/>
  <c r="C8266" i="30"/>
  <c r="C8267" i="30"/>
  <c r="C8268" i="30"/>
  <c r="C8269" i="30"/>
  <c r="C8270" i="30"/>
  <c r="C8271" i="30"/>
  <c r="C8272" i="30"/>
  <c r="C8273" i="30"/>
  <c r="C8274" i="30"/>
  <c r="C8275" i="30"/>
  <c r="C8276" i="30"/>
  <c r="C8277" i="30"/>
  <c r="C8278" i="30"/>
  <c r="C8279" i="30"/>
  <c r="C8280" i="30"/>
  <c r="C8281" i="30"/>
  <c r="C8282" i="30"/>
  <c r="C8283" i="30"/>
  <c r="C8284" i="30"/>
  <c r="C8285" i="30"/>
  <c r="C8286" i="30"/>
  <c r="C8287" i="30"/>
  <c r="C8288" i="30"/>
  <c r="C8289" i="30"/>
  <c r="C8290" i="30"/>
  <c r="C8291" i="30"/>
  <c r="C8292" i="30"/>
  <c r="C8293" i="30"/>
  <c r="C8294" i="30"/>
  <c r="C8295" i="30"/>
  <c r="C8296" i="30"/>
  <c r="C8297" i="30"/>
  <c r="C8298" i="30"/>
  <c r="C8299" i="30"/>
  <c r="C8300" i="30"/>
  <c r="C8301" i="30"/>
  <c r="C8302" i="30"/>
  <c r="C8303" i="30"/>
  <c r="C8304" i="30"/>
  <c r="C8305" i="30"/>
  <c r="C8306" i="30"/>
  <c r="C8307" i="30"/>
  <c r="C8308" i="30"/>
  <c r="C8309" i="30"/>
  <c r="C8310" i="30"/>
  <c r="C8311" i="30"/>
  <c r="C8312" i="30"/>
  <c r="C8313" i="30"/>
  <c r="C8314" i="30"/>
  <c r="C8315" i="30"/>
  <c r="C8316" i="30"/>
  <c r="C8317" i="30"/>
  <c r="C8318" i="30"/>
  <c r="C8319" i="30"/>
  <c r="C8320" i="30"/>
  <c r="C8321" i="30"/>
  <c r="C8322" i="30"/>
  <c r="C8323" i="30"/>
  <c r="C8324" i="30"/>
  <c r="C8325" i="30"/>
  <c r="C8326" i="30"/>
  <c r="C8327" i="30"/>
  <c r="C8328" i="30"/>
  <c r="C8329" i="30"/>
  <c r="C8330" i="30"/>
  <c r="C8331" i="30"/>
  <c r="C8332" i="30"/>
  <c r="C8333" i="30"/>
  <c r="C8334" i="30"/>
  <c r="C8335" i="30"/>
  <c r="C8336" i="30"/>
  <c r="C8337" i="30"/>
  <c r="C8338" i="30"/>
  <c r="C8339" i="30"/>
  <c r="C8340" i="30"/>
  <c r="C8341" i="30"/>
  <c r="C8342" i="30"/>
  <c r="C8343" i="30"/>
  <c r="C8344" i="30"/>
  <c r="C8345" i="30"/>
  <c r="C8346" i="30"/>
  <c r="C8347" i="30"/>
  <c r="C8348" i="30"/>
  <c r="C8349" i="30"/>
  <c r="C8350" i="30"/>
  <c r="C8351" i="30"/>
  <c r="C8352" i="30"/>
  <c r="C8353" i="30"/>
  <c r="C8354" i="30"/>
  <c r="C8355" i="30"/>
  <c r="C8356" i="30"/>
  <c r="C8357" i="30"/>
  <c r="C8358" i="30"/>
  <c r="C8359" i="30"/>
  <c r="C8360" i="30"/>
  <c r="C8361" i="30"/>
  <c r="C8362" i="30"/>
  <c r="C8363" i="30"/>
  <c r="C8364" i="30"/>
  <c r="C8365" i="30"/>
  <c r="C8366" i="30"/>
  <c r="C8367" i="30"/>
  <c r="C8368" i="30"/>
  <c r="C8369" i="30"/>
  <c r="C8370" i="30"/>
  <c r="C8371" i="30"/>
  <c r="C8372" i="30"/>
  <c r="C8373" i="30"/>
  <c r="C8374" i="30"/>
  <c r="C8375" i="30"/>
  <c r="C8376" i="30"/>
  <c r="C8377" i="30"/>
  <c r="C8378" i="30"/>
  <c r="C8379" i="30"/>
  <c r="C8380" i="30"/>
  <c r="C8381" i="30"/>
  <c r="C8382" i="30"/>
  <c r="C8383" i="30"/>
  <c r="C8384" i="30"/>
  <c r="C8385" i="30"/>
  <c r="C8386" i="30"/>
  <c r="C8387" i="30"/>
  <c r="C8388" i="30"/>
  <c r="C8389" i="30"/>
  <c r="C8390" i="30"/>
  <c r="C8391" i="30"/>
  <c r="C8392" i="30"/>
  <c r="C8393" i="30"/>
  <c r="C8394" i="30"/>
  <c r="C8395" i="30"/>
  <c r="C8396" i="30"/>
  <c r="C8397" i="30"/>
  <c r="C8398" i="30"/>
  <c r="C8399" i="30"/>
  <c r="C8400" i="30"/>
  <c r="C8401" i="30"/>
  <c r="C8402" i="30"/>
  <c r="C8403" i="30"/>
  <c r="C8404" i="30"/>
  <c r="C8405" i="30"/>
  <c r="C8406" i="30"/>
  <c r="C8407" i="30"/>
  <c r="C8408" i="30"/>
  <c r="C8409" i="30"/>
  <c r="C8410" i="30"/>
  <c r="C8411" i="30"/>
  <c r="C8412" i="30"/>
  <c r="C8413" i="30"/>
  <c r="C8414" i="30"/>
  <c r="C8415" i="30"/>
  <c r="C8416" i="30"/>
  <c r="C8417" i="30"/>
  <c r="C8418" i="30"/>
  <c r="C8419" i="30"/>
  <c r="C8420" i="30"/>
  <c r="C8421" i="30"/>
  <c r="C8422" i="30"/>
  <c r="C8423" i="30"/>
  <c r="C8424" i="30"/>
  <c r="C8425" i="30"/>
  <c r="C8426" i="30"/>
  <c r="C8427" i="30"/>
  <c r="C8428" i="30"/>
  <c r="C8429" i="30"/>
  <c r="C8430" i="30"/>
  <c r="C8431" i="30"/>
  <c r="C8432" i="30"/>
  <c r="C8433" i="30"/>
  <c r="C8434" i="30"/>
  <c r="C8435" i="30"/>
  <c r="C8436" i="30"/>
  <c r="C8437" i="30"/>
  <c r="C8438" i="30"/>
  <c r="C8439" i="30"/>
  <c r="C8440" i="30"/>
  <c r="C8441" i="30"/>
  <c r="C8442" i="30"/>
  <c r="C8443" i="30"/>
  <c r="C8444" i="30"/>
  <c r="C8445" i="30"/>
  <c r="C8446" i="30"/>
  <c r="C8447" i="30"/>
  <c r="C8448" i="30"/>
  <c r="C8449" i="30"/>
  <c r="C8450" i="30"/>
  <c r="C8451" i="30"/>
  <c r="C8452" i="30"/>
  <c r="C8453" i="30"/>
  <c r="C8454" i="30"/>
  <c r="C8455" i="30"/>
  <c r="C8456" i="30"/>
  <c r="C8457" i="30"/>
  <c r="C8458" i="30"/>
  <c r="C8459" i="30"/>
  <c r="C8460" i="30"/>
  <c r="C8461" i="30"/>
  <c r="C8462" i="30"/>
  <c r="C8463" i="30"/>
  <c r="C8464" i="30"/>
  <c r="C8465" i="30"/>
  <c r="C8466" i="30"/>
  <c r="C8467" i="30"/>
  <c r="C8468" i="30"/>
  <c r="C8469" i="30"/>
  <c r="C8470" i="30"/>
  <c r="C8471" i="30"/>
  <c r="C8472" i="30"/>
  <c r="C8473" i="30"/>
  <c r="C8474" i="30"/>
  <c r="C8475" i="30"/>
  <c r="C8476" i="30"/>
  <c r="C8477" i="30"/>
  <c r="C8478" i="30"/>
  <c r="C8479" i="30"/>
  <c r="C8480" i="30"/>
  <c r="C8481" i="30"/>
  <c r="C8482" i="30"/>
  <c r="C8483" i="30"/>
  <c r="C8484" i="30"/>
  <c r="C8485" i="30"/>
  <c r="C8486" i="30"/>
  <c r="C8487" i="30"/>
  <c r="C8488" i="30"/>
  <c r="C8489" i="30"/>
  <c r="C8490" i="30"/>
  <c r="C8491" i="30"/>
  <c r="C8492" i="30"/>
  <c r="C8493" i="30"/>
  <c r="C8494" i="30"/>
  <c r="C8495" i="30"/>
  <c r="C8496" i="30"/>
  <c r="C8497" i="30"/>
  <c r="C8498" i="30"/>
  <c r="C8499" i="30"/>
  <c r="C8500" i="30"/>
  <c r="C8501" i="30"/>
  <c r="C8502" i="30"/>
  <c r="C8503" i="30"/>
  <c r="C8504" i="30"/>
  <c r="C8505" i="30"/>
  <c r="C8506" i="30"/>
  <c r="C8507" i="30"/>
  <c r="C8508" i="30"/>
  <c r="C8509" i="30"/>
  <c r="C8510" i="30"/>
  <c r="C8511" i="30"/>
  <c r="C8512" i="30"/>
  <c r="C8513" i="30"/>
  <c r="C8514" i="30"/>
  <c r="C8515" i="30"/>
  <c r="C8516" i="30"/>
  <c r="C8517" i="30"/>
  <c r="C8518" i="30"/>
  <c r="C8519" i="30"/>
  <c r="C8520" i="30"/>
  <c r="C8521" i="30"/>
  <c r="C8522" i="30"/>
  <c r="C8523" i="30"/>
  <c r="C8524" i="30"/>
  <c r="C8525" i="30"/>
  <c r="C8526" i="30"/>
  <c r="C8527" i="30"/>
  <c r="C8528" i="30"/>
  <c r="C8529" i="30"/>
  <c r="C8530" i="30"/>
  <c r="C8531" i="30"/>
  <c r="C8532" i="30"/>
  <c r="C8533" i="30"/>
  <c r="C8534" i="30"/>
  <c r="C8535" i="30"/>
  <c r="C8536" i="30"/>
  <c r="C8537" i="30"/>
  <c r="C8538" i="30"/>
  <c r="C8539" i="30"/>
  <c r="C8540" i="30"/>
  <c r="C8541" i="30"/>
  <c r="C8542" i="30"/>
  <c r="C8543" i="30"/>
  <c r="C8544" i="30"/>
  <c r="C8545" i="30"/>
  <c r="C8546" i="30"/>
  <c r="C8547" i="30"/>
  <c r="C8548" i="30"/>
  <c r="C8549" i="30"/>
  <c r="C8550" i="30"/>
  <c r="C8551" i="30"/>
  <c r="C8552" i="30"/>
  <c r="C8553" i="30"/>
  <c r="C8554" i="30"/>
  <c r="C8555" i="30"/>
  <c r="C8556" i="30"/>
  <c r="C8557" i="30"/>
  <c r="C8558" i="30"/>
  <c r="C8559" i="30"/>
  <c r="C8560" i="30"/>
  <c r="C8561" i="30"/>
  <c r="C8562" i="30"/>
  <c r="C8563" i="30"/>
  <c r="C8564" i="30"/>
  <c r="C8565" i="30"/>
  <c r="C8566" i="30"/>
  <c r="C8567" i="30"/>
  <c r="C8568" i="30"/>
  <c r="C8569" i="30"/>
  <c r="C8570" i="30"/>
  <c r="C8571" i="30"/>
  <c r="C8572" i="30"/>
  <c r="C8573" i="30"/>
  <c r="C8574" i="30"/>
  <c r="C8575" i="30"/>
  <c r="C8576" i="30"/>
  <c r="C8577" i="30"/>
  <c r="C8578" i="30"/>
  <c r="C8579" i="30"/>
  <c r="C8580" i="30"/>
  <c r="C8581" i="30"/>
  <c r="C8582" i="30"/>
  <c r="C8583" i="30"/>
  <c r="C8584" i="30"/>
  <c r="C8585" i="30"/>
  <c r="C8586" i="30"/>
  <c r="C8587" i="30"/>
  <c r="C8588" i="30"/>
  <c r="C8589" i="30"/>
  <c r="C8590" i="30"/>
  <c r="C8591" i="30"/>
  <c r="C8592" i="30"/>
  <c r="C8593" i="30"/>
  <c r="C8594" i="30"/>
  <c r="C8595" i="30"/>
  <c r="C8596" i="30"/>
  <c r="C8597" i="30"/>
  <c r="C8598" i="30"/>
  <c r="C8599" i="30"/>
  <c r="C8600" i="30"/>
  <c r="C8601" i="30"/>
  <c r="C8602" i="30"/>
  <c r="C8603" i="30"/>
  <c r="C8604" i="30"/>
  <c r="C8605" i="30"/>
  <c r="C8606" i="30"/>
  <c r="C8607" i="30"/>
  <c r="C8608" i="30"/>
  <c r="C8609" i="30"/>
  <c r="C8610" i="30"/>
  <c r="C8611" i="30"/>
  <c r="C8612" i="30"/>
  <c r="C8613" i="30"/>
  <c r="C8614" i="30"/>
  <c r="C8615" i="30"/>
  <c r="C8616" i="30"/>
  <c r="C8617" i="30"/>
  <c r="C8618" i="30"/>
  <c r="C8619" i="30"/>
  <c r="C8620" i="30"/>
  <c r="C8621" i="30"/>
  <c r="C8622" i="30"/>
  <c r="C8623" i="30"/>
  <c r="C8624" i="30"/>
  <c r="C8625" i="30"/>
  <c r="C8626" i="30"/>
  <c r="C8627" i="30"/>
  <c r="C8628" i="30"/>
  <c r="C8629" i="30"/>
  <c r="C8630" i="30"/>
  <c r="C8631" i="30"/>
  <c r="C8632" i="30"/>
  <c r="C8633" i="30"/>
  <c r="C8634" i="30"/>
  <c r="C8635" i="30"/>
  <c r="C8636" i="30"/>
  <c r="C8637" i="30"/>
  <c r="C8638" i="30"/>
  <c r="C8639" i="30"/>
  <c r="C8640" i="30"/>
  <c r="C8641" i="30"/>
  <c r="C8642" i="30"/>
  <c r="C8643" i="30"/>
  <c r="C8644" i="30"/>
  <c r="C8645" i="30"/>
  <c r="C8646" i="30"/>
  <c r="C8647" i="30"/>
  <c r="C8648" i="30"/>
  <c r="C8649" i="30"/>
  <c r="C8650" i="30"/>
  <c r="C8651" i="30"/>
  <c r="C8652" i="30"/>
  <c r="C8653" i="30"/>
  <c r="C8654" i="30"/>
  <c r="C8655" i="30"/>
  <c r="C8656" i="30"/>
  <c r="C8657" i="30"/>
  <c r="C8658" i="30"/>
  <c r="C8659" i="30"/>
  <c r="C8660" i="30"/>
  <c r="C8661" i="30"/>
  <c r="C8662" i="30"/>
  <c r="C8663" i="30"/>
  <c r="C8664" i="30"/>
  <c r="C8665" i="30"/>
  <c r="C8666" i="30"/>
  <c r="C8667" i="30"/>
  <c r="C8668" i="30"/>
  <c r="C8669" i="30"/>
  <c r="C8670" i="30"/>
  <c r="C8671" i="30"/>
  <c r="C8672" i="30"/>
  <c r="C8673" i="30"/>
  <c r="C8674" i="30"/>
  <c r="C8675" i="30"/>
  <c r="C8676" i="30"/>
  <c r="C8677" i="30"/>
  <c r="C8678" i="30"/>
  <c r="C8679" i="30"/>
  <c r="C8680" i="30"/>
  <c r="C8681" i="30"/>
  <c r="C8682" i="30"/>
  <c r="C8683" i="30"/>
  <c r="C8684" i="30"/>
  <c r="C8685" i="30"/>
  <c r="C8686" i="30"/>
  <c r="C8687" i="30"/>
  <c r="C8688" i="30"/>
  <c r="C8689" i="30"/>
  <c r="C8690" i="30"/>
  <c r="C8691" i="30"/>
  <c r="C8692" i="30"/>
  <c r="C8693" i="30"/>
  <c r="C8694" i="30"/>
  <c r="C8695" i="30"/>
  <c r="C8696" i="30"/>
  <c r="C8697" i="30"/>
  <c r="C8698" i="30"/>
  <c r="C8699" i="30"/>
  <c r="C8700" i="30"/>
  <c r="C8701" i="30"/>
  <c r="C8702" i="30"/>
  <c r="C8703" i="30"/>
  <c r="C8704" i="30"/>
  <c r="C8705" i="30"/>
  <c r="C8706" i="30"/>
  <c r="C8707" i="30"/>
  <c r="C8708" i="30"/>
  <c r="C8709" i="30"/>
  <c r="C8710" i="30"/>
  <c r="C8711" i="30"/>
  <c r="C8712" i="30"/>
  <c r="C8713" i="30"/>
  <c r="C8714" i="30"/>
  <c r="C8715" i="30"/>
  <c r="C8716" i="30"/>
  <c r="C8717" i="30"/>
  <c r="C8718" i="30"/>
  <c r="C8719" i="30"/>
  <c r="C8720" i="30"/>
  <c r="C8721" i="30"/>
  <c r="C8722" i="30"/>
  <c r="C8723" i="30"/>
  <c r="C8724" i="30"/>
  <c r="C8725" i="30"/>
  <c r="C8726" i="30"/>
  <c r="C8727" i="30"/>
  <c r="C8728" i="30"/>
  <c r="C8729" i="30"/>
  <c r="C8730" i="30"/>
  <c r="C8731" i="30"/>
  <c r="C8732" i="30"/>
  <c r="C8733" i="30"/>
  <c r="C8734" i="30"/>
  <c r="C8735" i="30"/>
  <c r="C8736" i="30"/>
  <c r="C8737" i="30"/>
  <c r="C8738" i="30"/>
  <c r="C8739" i="30"/>
  <c r="C8740" i="30"/>
  <c r="C8741" i="30"/>
  <c r="C8742" i="30"/>
  <c r="C8743" i="30"/>
  <c r="C8744" i="30"/>
  <c r="C8745" i="30"/>
  <c r="C8746" i="30"/>
  <c r="C8747" i="30"/>
  <c r="C8748" i="30"/>
  <c r="C8749" i="30"/>
  <c r="C8750" i="30"/>
  <c r="C8751" i="30"/>
  <c r="C8752" i="30"/>
  <c r="C8753" i="30"/>
  <c r="C8754" i="30"/>
  <c r="C8755" i="30"/>
  <c r="C8756" i="30"/>
  <c r="C8757" i="30"/>
  <c r="C8758" i="30"/>
  <c r="C8759" i="30"/>
  <c r="C8760" i="30"/>
  <c r="C8761" i="30"/>
  <c r="C8762" i="30"/>
  <c r="C8763" i="30"/>
  <c r="C8764" i="30"/>
  <c r="C8765" i="30"/>
  <c r="C8766" i="30"/>
  <c r="C8767" i="30"/>
  <c r="C8768" i="30"/>
  <c r="C8769" i="30"/>
  <c r="C8770" i="30"/>
  <c r="C8771" i="30"/>
  <c r="C8772" i="30"/>
  <c r="C8773" i="30"/>
  <c r="C8774" i="30"/>
  <c r="C8775" i="30"/>
  <c r="C8776" i="30"/>
  <c r="C8777" i="30"/>
  <c r="C8778" i="30"/>
  <c r="C8779" i="30"/>
  <c r="C8780" i="30"/>
  <c r="C8781" i="30"/>
  <c r="C8782" i="30"/>
  <c r="C8783" i="30"/>
  <c r="C8784" i="30"/>
  <c r="C8785" i="30"/>
  <c r="C8786" i="30"/>
  <c r="C8787" i="30"/>
  <c r="C8788" i="30"/>
  <c r="C8789" i="30"/>
  <c r="C8790" i="30"/>
  <c r="C8791" i="30"/>
  <c r="C8792" i="30"/>
  <c r="C8793" i="30"/>
  <c r="C8794" i="30"/>
  <c r="C8795" i="30"/>
  <c r="C8796" i="30"/>
  <c r="C8797" i="30"/>
  <c r="C8798" i="30"/>
  <c r="C8799" i="30"/>
  <c r="C8800" i="30"/>
  <c r="C8801" i="30"/>
  <c r="C8802" i="30"/>
  <c r="C8803" i="30"/>
  <c r="C8804" i="30"/>
  <c r="C8805" i="30"/>
  <c r="C8806" i="30"/>
  <c r="C8807" i="30"/>
  <c r="C8808" i="30"/>
  <c r="C8809" i="30"/>
  <c r="C8810" i="30"/>
  <c r="C8811" i="30"/>
  <c r="C8812" i="30"/>
  <c r="C8813" i="30"/>
  <c r="C8814" i="30"/>
  <c r="C8815" i="30"/>
  <c r="C8816" i="30"/>
  <c r="C8817" i="30"/>
  <c r="C8818" i="30"/>
  <c r="C8819" i="30"/>
  <c r="C8820" i="30"/>
  <c r="C8821" i="30"/>
  <c r="C8822" i="30"/>
  <c r="C8823" i="30"/>
  <c r="C8824" i="30"/>
  <c r="C8825" i="30"/>
  <c r="C8826" i="30"/>
  <c r="C8827" i="30"/>
  <c r="C8828" i="30"/>
  <c r="C8829" i="30"/>
  <c r="C8830" i="30"/>
  <c r="C8831" i="30"/>
  <c r="C8832" i="30"/>
  <c r="C8833" i="30"/>
  <c r="C8834" i="30"/>
  <c r="C8835" i="30"/>
  <c r="C8836" i="30"/>
  <c r="C8837" i="30"/>
  <c r="C8838" i="30"/>
  <c r="C8839" i="30"/>
  <c r="C8840" i="30"/>
  <c r="C8841" i="30"/>
  <c r="C8842" i="30"/>
  <c r="C8843" i="30"/>
  <c r="C8844" i="30"/>
  <c r="C8845" i="30"/>
  <c r="C8846" i="30"/>
  <c r="C8847" i="30"/>
  <c r="C8848" i="30"/>
  <c r="C8849" i="30"/>
  <c r="C8850" i="30"/>
  <c r="C8851" i="30"/>
  <c r="C8852" i="30"/>
  <c r="C8853" i="30"/>
  <c r="C8854" i="30"/>
  <c r="C8855" i="30"/>
  <c r="C8856" i="30"/>
  <c r="C8857" i="30"/>
  <c r="C8858" i="30"/>
  <c r="C8859" i="30"/>
  <c r="C8860" i="30"/>
  <c r="C8861" i="30"/>
  <c r="C8862" i="30"/>
  <c r="C8863" i="30"/>
  <c r="C8864" i="30"/>
  <c r="C8865" i="30"/>
  <c r="C8866" i="30"/>
  <c r="C8867" i="30"/>
  <c r="C8868" i="30"/>
  <c r="C8869" i="30"/>
  <c r="C8870" i="30"/>
  <c r="C8871" i="30"/>
  <c r="C8872" i="30"/>
  <c r="C8873" i="30"/>
  <c r="C8874" i="30"/>
  <c r="C8875" i="30"/>
  <c r="C8876" i="30"/>
  <c r="C8877" i="30"/>
  <c r="C8878" i="30"/>
  <c r="C8879" i="30"/>
  <c r="C8880" i="30"/>
  <c r="C8881" i="30"/>
  <c r="C8882" i="30"/>
  <c r="C8883" i="30"/>
  <c r="C8884" i="30"/>
  <c r="C8885" i="30"/>
  <c r="C8886" i="30"/>
  <c r="C8887" i="30"/>
  <c r="C8888" i="30"/>
  <c r="C8889" i="30"/>
  <c r="C8890" i="30"/>
  <c r="C8891" i="30"/>
  <c r="C8892" i="30"/>
  <c r="C8893" i="30"/>
  <c r="C8894" i="30"/>
  <c r="C8895" i="30"/>
  <c r="C8896" i="30"/>
  <c r="C8897" i="30"/>
  <c r="C8898" i="30"/>
  <c r="C8899" i="30"/>
  <c r="C8900" i="30"/>
  <c r="C8901" i="30"/>
  <c r="C8902" i="30"/>
  <c r="C8903" i="30"/>
  <c r="C8904" i="30"/>
  <c r="C8905" i="30"/>
  <c r="C8906" i="30"/>
  <c r="C8907" i="30"/>
  <c r="C8908" i="30"/>
  <c r="C8909" i="30"/>
  <c r="C8910" i="30"/>
  <c r="C8911" i="30"/>
  <c r="C8912" i="30"/>
  <c r="C8913" i="30"/>
  <c r="C8914" i="30"/>
  <c r="C8915" i="30"/>
  <c r="C8916" i="30"/>
  <c r="C8917" i="30"/>
  <c r="C8918" i="30"/>
  <c r="C8919" i="30"/>
  <c r="C8920" i="30"/>
  <c r="C8921" i="30"/>
  <c r="C8922" i="30"/>
  <c r="C8923" i="30"/>
  <c r="C8924" i="30"/>
  <c r="C8925" i="30"/>
  <c r="C8926" i="30"/>
  <c r="C8927" i="30"/>
  <c r="C8928" i="30"/>
  <c r="C8929" i="30"/>
  <c r="C8930" i="30"/>
  <c r="C8931" i="30"/>
  <c r="C8932" i="30"/>
  <c r="C8933" i="30"/>
  <c r="C8934" i="30"/>
  <c r="C8935" i="30"/>
  <c r="C8936" i="30"/>
  <c r="C8937" i="30"/>
  <c r="C8938" i="30"/>
  <c r="C8939" i="30"/>
  <c r="C8940" i="30"/>
  <c r="C8941" i="30"/>
  <c r="C8942" i="30"/>
  <c r="C8943" i="30"/>
  <c r="C8944" i="30"/>
  <c r="C8945" i="30"/>
  <c r="C8946" i="30"/>
  <c r="C8947" i="30"/>
  <c r="C8948" i="30"/>
  <c r="C8949" i="30"/>
  <c r="C8950" i="30"/>
  <c r="C8951" i="30"/>
  <c r="C8952" i="30"/>
  <c r="C8953" i="30"/>
  <c r="C8954" i="30"/>
  <c r="C8955" i="30"/>
  <c r="C8956" i="30"/>
  <c r="C8957" i="30"/>
  <c r="C8958" i="30"/>
  <c r="C8959" i="30"/>
  <c r="C8960" i="30"/>
  <c r="C8961" i="30"/>
  <c r="C8962" i="30"/>
  <c r="C8963" i="30"/>
  <c r="C8964" i="30"/>
  <c r="C8965" i="30"/>
  <c r="C8966" i="30"/>
  <c r="C8967" i="30"/>
  <c r="C8968" i="30"/>
  <c r="C8969" i="30"/>
  <c r="C8970" i="30"/>
  <c r="C8971" i="30"/>
  <c r="C8972" i="30"/>
  <c r="C8973" i="30"/>
  <c r="C8974" i="30"/>
  <c r="C8975" i="30"/>
  <c r="C8976" i="30"/>
  <c r="C8977" i="30"/>
  <c r="C8978" i="30"/>
  <c r="C8979" i="30"/>
  <c r="C8980" i="30"/>
  <c r="C8981" i="30"/>
  <c r="C8982" i="30"/>
  <c r="C8983" i="30"/>
  <c r="C8984" i="30"/>
  <c r="C8985" i="30"/>
  <c r="C8986" i="30"/>
  <c r="C8987" i="30"/>
  <c r="C8988" i="30"/>
  <c r="C8989" i="30"/>
  <c r="C8990" i="30"/>
  <c r="C8991" i="30"/>
  <c r="C8992" i="30"/>
  <c r="C8993" i="30"/>
  <c r="C8994" i="30"/>
  <c r="C8995" i="30"/>
  <c r="C8996" i="30"/>
  <c r="C8997" i="30"/>
  <c r="C8998" i="30"/>
  <c r="C8999" i="30"/>
  <c r="C9000" i="30"/>
  <c r="C9001" i="30"/>
  <c r="C9002" i="30"/>
  <c r="C9003" i="30"/>
  <c r="C9004" i="30"/>
  <c r="C9005" i="30"/>
  <c r="C9006" i="30"/>
  <c r="C9007" i="30"/>
  <c r="C9008" i="30"/>
  <c r="C9009" i="30"/>
  <c r="C9010" i="30"/>
  <c r="C9011" i="30"/>
  <c r="C9012" i="30"/>
  <c r="C9013" i="30"/>
  <c r="C9014" i="30"/>
  <c r="C9015" i="30"/>
  <c r="C9016" i="30"/>
  <c r="C9017" i="30"/>
  <c r="C9018" i="30"/>
  <c r="C9019" i="30"/>
  <c r="C9020" i="30"/>
  <c r="C9021" i="30"/>
  <c r="C9022" i="30"/>
  <c r="C9023" i="30"/>
  <c r="C9024" i="30"/>
  <c r="C9025" i="30"/>
  <c r="C9026" i="30"/>
  <c r="C9027" i="30"/>
  <c r="C9028" i="30"/>
  <c r="C9029" i="30"/>
  <c r="C9030" i="30"/>
  <c r="C9031" i="30"/>
  <c r="C9032" i="30"/>
  <c r="C9033" i="30"/>
  <c r="C9034" i="30"/>
  <c r="C9035" i="30"/>
  <c r="C9036" i="30"/>
  <c r="C9037" i="30"/>
  <c r="C9038" i="30"/>
  <c r="C9039" i="30"/>
  <c r="C9040" i="30"/>
  <c r="C9041" i="30"/>
  <c r="C9042" i="30"/>
  <c r="C9043" i="30"/>
  <c r="C9044" i="30"/>
  <c r="C9045" i="30"/>
  <c r="C9046" i="30"/>
  <c r="C9047" i="30"/>
  <c r="C9048" i="30"/>
  <c r="C9049" i="30"/>
  <c r="C9050" i="30"/>
  <c r="C9051" i="30"/>
  <c r="C9052" i="30"/>
  <c r="C9053" i="30"/>
  <c r="C9054" i="30"/>
  <c r="C9055" i="30"/>
  <c r="C9056" i="30"/>
  <c r="C9057" i="30"/>
  <c r="C9058" i="30"/>
  <c r="C9059" i="30"/>
  <c r="C9060" i="30"/>
  <c r="C9061" i="30"/>
  <c r="C9062" i="30"/>
  <c r="C9063" i="30"/>
  <c r="C9064" i="30"/>
  <c r="C9065" i="30"/>
  <c r="C9066" i="30"/>
  <c r="C9067" i="30"/>
  <c r="C9068" i="30"/>
  <c r="C9069" i="30"/>
  <c r="C9070" i="30"/>
  <c r="C9071" i="30"/>
  <c r="C9072" i="30"/>
  <c r="C9073" i="30"/>
  <c r="C9074" i="30"/>
  <c r="C9075" i="30"/>
  <c r="C9076" i="30"/>
  <c r="C9077" i="30"/>
  <c r="C9078" i="30"/>
  <c r="C9079" i="30"/>
  <c r="C9080" i="30"/>
  <c r="C9081" i="30"/>
  <c r="C9082" i="30"/>
  <c r="C9083" i="30"/>
  <c r="C9084" i="30"/>
  <c r="C9085" i="30"/>
  <c r="C9086" i="30"/>
  <c r="C9087" i="30"/>
  <c r="C9088" i="30"/>
  <c r="C9089" i="30"/>
  <c r="C9090" i="30"/>
  <c r="C9091" i="30"/>
  <c r="C9092" i="30"/>
  <c r="C9093" i="30"/>
  <c r="C9094" i="30"/>
  <c r="C9095" i="30"/>
  <c r="C9096" i="30"/>
  <c r="C9097" i="30"/>
  <c r="C9098" i="30"/>
  <c r="C9099" i="30"/>
  <c r="C9100" i="30"/>
  <c r="C9101" i="30"/>
  <c r="C9102" i="30"/>
  <c r="C9103" i="30"/>
  <c r="C9104" i="30"/>
  <c r="C9105" i="30"/>
  <c r="C9106" i="30"/>
  <c r="C9107" i="30"/>
  <c r="C9108" i="30"/>
  <c r="C9109" i="30"/>
  <c r="C9110" i="30"/>
  <c r="C9111" i="30"/>
  <c r="C9112" i="30"/>
  <c r="C9113" i="30"/>
  <c r="C9114" i="30"/>
  <c r="C9115" i="30"/>
  <c r="C9116" i="30"/>
  <c r="C9117" i="30"/>
  <c r="C9118" i="30"/>
  <c r="C9119" i="30"/>
  <c r="C9120" i="30"/>
  <c r="C9121" i="30"/>
  <c r="C9122" i="30"/>
  <c r="C9123" i="30"/>
  <c r="C9124" i="30"/>
  <c r="C9125" i="30"/>
  <c r="C9126" i="30"/>
  <c r="C9127" i="30"/>
  <c r="C9128" i="30"/>
  <c r="C9129" i="30"/>
  <c r="C9130" i="30"/>
  <c r="C9131" i="30"/>
  <c r="C9132" i="30"/>
  <c r="C9133" i="30"/>
  <c r="C9134" i="30"/>
  <c r="C9135" i="30"/>
  <c r="C9136" i="30"/>
  <c r="C9137" i="30"/>
  <c r="C9138" i="30"/>
  <c r="C9139" i="30"/>
  <c r="C9140" i="30"/>
  <c r="C9141" i="30"/>
  <c r="C9142" i="30"/>
  <c r="C9143" i="30"/>
  <c r="C9144" i="30"/>
  <c r="C9145" i="30"/>
  <c r="C9146" i="30"/>
  <c r="C9147" i="30"/>
  <c r="C9148" i="30"/>
  <c r="C9149" i="30"/>
  <c r="C9150" i="30"/>
  <c r="C9151" i="30"/>
  <c r="C9152" i="30"/>
  <c r="C9153" i="30"/>
  <c r="C9154" i="30"/>
  <c r="C9155" i="30"/>
  <c r="C9156" i="30"/>
  <c r="C9157" i="30"/>
  <c r="C9158" i="30"/>
  <c r="C9159" i="30"/>
  <c r="C9160" i="30"/>
  <c r="C9161" i="30"/>
  <c r="C9162" i="30"/>
  <c r="C9163" i="30"/>
  <c r="C9164" i="30"/>
  <c r="C9165" i="30"/>
  <c r="C9166" i="30"/>
  <c r="C9167" i="30"/>
  <c r="C9168" i="30"/>
  <c r="C9169" i="30"/>
  <c r="C9170" i="30"/>
  <c r="C9171" i="30"/>
  <c r="C9172" i="30"/>
  <c r="C9173" i="30"/>
  <c r="C9174" i="30"/>
  <c r="C9175" i="30"/>
  <c r="C9176" i="30"/>
  <c r="C9177" i="30"/>
  <c r="C9178" i="30"/>
  <c r="C9179" i="30"/>
  <c r="C9180" i="30"/>
  <c r="C9181" i="30"/>
  <c r="C9182" i="30"/>
  <c r="C9183" i="30"/>
  <c r="C9184" i="30"/>
  <c r="C9185" i="30"/>
  <c r="C9186" i="30"/>
  <c r="C9187" i="30"/>
  <c r="C9188" i="30"/>
  <c r="C9189" i="30"/>
  <c r="C9190" i="30"/>
  <c r="C9191" i="30"/>
  <c r="C9192" i="30"/>
  <c r="C9193" i="30"/>
  <c r="C9194" i="30"/>
  <c r="C9195" i="30"/>
  <c r="C9196" i="30"/>
  <c r="C9197" i="30"/>
  <c r="C9198" i="30"/>
  <c r="C9199" i="30"/>
  <c r="C9200" i="30"/>
  <c r="C9201" i="30"/>
  <c r="C9202" i="30"/>
  <c r="C9203" i="30"/>
  <c r="C9204" i="30"/>
  <c r="C9205" i="30"/>
  <c r="C9206" i="30"/>
  <c r="C9207" i="30"/>
  <c r="C9208" i="30"/>
  <c r="C9209" i="30"/>
  <c r="C9210" i="30"/>
  <c r="C9211" i="30"/>
  <c r="C9212" i="30"/>
  <c r="C9213" i="30"/>
  <c r="C9214" i="30"/>
  <c r="C9215" i="30"/>
  <c r="C9216" i="30"/>
  <c r="C9217" i="30"/>
  <c r="C9218" i="30"/>
  <c r="C9219" i="30"/>
  <c r="C9220" i="30"/>
  <c r="C9221" i="30"/>
  <c r="C9222" i="30"/>
  <c r="C9223" i="30"/>
  <c r="C9224" i="30"/>
  <c r="C9225" i="30"/>
  <c r="C9226" i="30"/>
  <c r="C9227" i="30"/>
  <c r="C9228" i="30"/>
  <c r="C9229" i="30"/>
  <c r="C9230" i="30"/>
  <c r="C9231" i="30"/>
  <c r="C9232" i="30"/>
  <c r="C9233" i="30"/>
  <c r="C9234" i="30"/>
  <c r="C9235" i="30"/>
  <c r="C9236" i="30"/>
  <c r="C9237" i="30"/>
  <c r="C9238" i="30"/>
  <c r="C9239" i="30"/>
  <c r="C9240" i="30"/>
  <c r="C9241" i="30"/>
  <c r="C9242" i="30"/>
  <c r="C9243" i="30"/>
  <c r="C9244" i="30"/>
  <c r="C9245" i="30"/>
  <c r="C9246" i="30"/>
  <c r="C9247" i="30"/>
  <c r="C9248" i="30"/>
  <c r="C9249" i="30"/>
  <c r="C9250" i="30"/>
  <c r="C9251" i="30"/>
  <c r="C9252" i="30"/>
  <c r="C9253" i="30"/>
  <c r="C9254" i="30"/>
  <c r="C9255" i="30"/>
  <c r="C9256" i="30"/>
  <c r="C9257" i="30"/>
  <c r="C9258" i="30"/>
  <c r="C9259" i="30"/>
  <c r="C9260" i="30"/>
  <c r="C9261" i="30"/>
  <c r="C9262" i="30"/>
  <c r="C9263" i="30"/>
  <c r="C9264" i="30"/>
  <c r="C9265" i="30"/>
  <c r="C9266" i="30"/>
  <c r="C9267" i="30"/>
  <c r="C9268" i="30"/>
  <c r="C9269" i="30"/>
  <c r="C9270" i="30"/>
  <c r="C9271" i="30"/>
  <c r="C9272" i="30"/>
  <c r="C9273" i="30"/>
  <c r="C9274" i="30"/>
  <c r="C9275" i="30"/>
  <c r="C9276" i="30"/>
  <c r="C9277" i="30"/>
  <c r="C9278" i="30"/>
  <c r="C9279" i="30"/>
  <c r="C9280" i="30"/>
  <c r="C9281" i="30"/>
  <c r="C9282" i="30"/>
  <c r="C9283" i="30"/>
  <c r="C9284" i="30"/>
  <c r="C9285" i="30"/>
  <c r="C9286" i="30"/>
  <c r="C9287" i="30"/>
  <c r="C9288" i="30"/>
  <c r="C9289" i="30"/>
  <c r="C9290" i="30"/>
  <c r="C9291" i="30"/>
  <c r="C9292" i="30"/>
  <c r="C9293" i="30"/>
  <c r="C9294" i="30"/>
  <c r="C9295" i="30"/>
  <c r="C9296" i="30"/>
  <c r="C9297" i="30"/>
  <c r="C9298" i="30"/>
  <c r="C9299" i="30"/>
  <c r="C9300" i="30"/>
  <c r="C9301" i="30"/>
  <c r="C9302" i="30"/>
  <c r="C9303" i="30"/>
  <c r="C9304" i="30"/>
  <c r="C9305" i="30"/>
  <c r="C9306" i="30"/>
  <c r="C9307" i="30"/>
  <c r="C9308" i="30"/>
  <c r="C9309" i="30"/>
  <c r="C9310" i="30"/>
  <c r="C9311" i="30"/>
  <c r="C9312" i="30"/>
  <c r="C9313" i="30"/>
  <c r="C9314" i="30"/>
  <c r="C9315" i="30"/>
  <c r="C9316" i="30"/>
  <c r="C9317" i="30"/>
  <c r="C9318" i="30"/>
  <c r="C9319" i="30"/>
  <c r="C9320" i="30"/>
  <c r="C3" i="30"/>
  <c r="C9" i="22"/>
  <c r="G2" i="22"/>
  <c r="C10" i="22"/>
  <c r="C7" i="26"/>
  <c r="C8" i="26"/>
  <c r="C10" i="26"/>
  <c r="C11" i="23"/>
  <c r="B11" i="23"/>
  <c r="A11" i="23"/>
  <c r="G3" i="22"/>
  <c r="G4" i="22"/>
  <c r="G5" i="22"/>
  <c r="G6" i="22"/>
  <c r="G7" i="22"/>
  <c r="G8" i="22"/>
  <c r="G9" i="22"/>
  <c r="G10" i="22"/>
  <c r="G11" i="22"/>
  <c r="G12" i="22"/>
  <c r="G13" i="22"/>
  <c r="G14" i="22"/>
  <c r="G15" i="22"/>
  <c r="G16" i="22"/>
  <c r="G17" i="22"/>
  <c r="G18" i="22"/>
  <c r="G19" i="22"/>
  <c r="G20" i="22"/>
  <c r="G21" i="22"/>
  <c r="G22" i="22"/>
  <c r="G23" i="22"/>
  <c r="G24" i="22"/>
  <c r="G25" i="22"/>
  <c r="G26" i="22"/>
  <c r="G27" i="22"/>
  <c r="G28" i="22"/>
  <c r="G29" i="22"/>
  <c r="G30" i="22"/>
  <c r="G31" i="22"/>
  <c r="G32" i="22"/>
  <c r="H32" i="22"/>
  <c r="C6" i="22"/>
  <c r="C7" i="22"/>
</calcChain>
</file>

<file path=xl/sharedStrings.xml><?xml version="1.0" encoding="utf-8"?>
<sst xmlns="http://schemas.openxmlformats.org/spreadsheetml/2006/main" count="88" uniqueCount="72">
  <si>
    <t>u</t>
  </si>
  <si>
    <t>d</t>
  </si>
  <si>
    <t>Pu</t>
  </si>
  <si>
    <t>Pd</t>
  </si>
  <si>
    <t>Growth rate up</t>
  </si>
  <si>
    <t>Growth rate down</t>
  </si>
  <si>
    <t>Probability of up</t>
  </si>
  <si>
    <t>Probability of down</t>
  </si>
  <si>
    <t>S0</t>
  </si>
  <si>
    <t>C0</t>
  </si>
  <si>
    <t>K</t>
  </si>
  <si>
    <t>rf</t>
  </si>
  <si>
    <t>Stock price today</t>
  </si>
  <si>
    <t>Strike price</t>
  </si>
  <si>
    <t>Expected Payoff</t>
  </si>
  <si>
    <t>Stock</t>
  </si>
  <si>
    <t>Call</t>
  </si>
  <si>
    <t>t</t>
  </si>
  <si>
    <t>Simulation</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</si>
  <si>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</si>
  <si>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</si>
  <si>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</si>
  <si>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</si>
  <si>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</si>
  <si>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</si>
  <si>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</si>
  <si>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</si>
  <si>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</si>
  <si>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</si>
  <si>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</si>
  <si>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</si>
  <si>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b589f4d9-7186-47b6-9894-6d7c6529c355</t>
  </si>
  <si>
    <t>CB_Block_0</t>
  </si>
  <si>
    <t>㜸〱敤㕣㕢㙣ㅣ㔷ㄹ摥㌳摥㕤敦慣敤搸㡤搳㑢㑡㘹つ愵㤴搶挱㡤搳㠶㔲㈰〴㕦㥡㑢㜱㘲㌷㜶㔲慡㠲㌶攳摤㌳昱㌴㍢㌳敥捣慣ㄳ㤷㑡慤愰愵㈰㈸㐸摣㐴愱摣㉡㠴挴ぢ㤷ㄷ敥㉦〸㈴㄰㙡〵ㄲ昰㠰挴㐳愹㉡㜸攰愲㐸扣昰㠰〴摦㜷㘶㘶㜷㘶搷㍢㜶户㉤戸挸㈷摤摦㘷捥㙤捥㌹晦昵晣晦㤹收㐴㉥㤷晢㌷ㄲ晦㌲攵㤹戹㘶㜱摤て愴㍤㌱攳搶敢戲ㅡ㔸慥攳㑦㑣㜹㥥戱㍥㘷昹㐱ㅦㅡㄴ㉢ㄶ敡晤㐲挵户ㅥ㤴愵捡㥡昴㝣㌴㉡攴㜲愵㤲慥愱㥥㠳昰㌷ㄲ㍦攸散㌵㤸〷㔸㥡㤹㥥㕦扥ㅦ愳㉥〶慥㈷昷㡤㥤〹晢ㅥ㥡㥣㥣㤸㥣戸敤攰攴㠱㠹晤晢挶㘶ㅡ昵愰攱挹㐳㡥㙣〴㥥㔱摦㌷戶搰㔸慥㕢搵㜷换昵㈵昷扣㜴づ挹攵晤户㉥ㅢ户扤㜵昲戶㠳〷捤㍢敥㜸敢㈰㕥㥤㍢㌹㌳扤攰㐹搳㝦㤹挶㉣㜰捡户捤捡慡挵戵㐹改㔹捥戹㠹㤹㘹晣㤷㤸㍦㥥㙥㥦㔸㕣㤱㌲攰慢愵㈷㥤慡昴㜵㜴ㅣ戰愷㝣扦㘱慦㜲昳㜴晢〸㤶㕡㌵晣愰㘰捦挸㝡㕤户攳㔱㑢昶㍣昶慥㙥慣て摡㡢搲昱慤挰㕡戳㠲昵愲扤㠴㠱㙡㐳昶㘹㕦㥥㌲㥣㜳昲愴㘱换㠲㝤戴㘱搵昲㘱捡昵摤ㄸて㤱㥣㤸㕡晥挴㤴㙦捦慣ㄸ㥥㥡㤱捦㡤挹㘸㝢挴慢愶摢㕥摦㝤㕣㑥㕤扤㠱㘳摥搰扤ㅤ㙡捥ㄸ㕥戳攵㜸昷㤶搱攲搳㌳戸愵㝢晢挴ㅥ愵晢摣搴扤㡦摡捡㜴㙢㌱㄰搱户摡㔱㉣㐶㉦ㄲ昴ㄳ㤴〸㠸㐰扤㑣㌰㐰㌰〸㈰昲晦〰㤷㈴㍢戲㑡慢ㄸ㕡㘵㔹慢㔴戵㑡㑤慢㐸慤㘲㙡㤵㜳㕡㘵㐵慢㔸㕡攵㝥慤㜲ㅥ㙤攲㔴敡敦搷愲昴搳慦慥㕦昸昸摡ぢ戳摦昸搱摦㝥昳慢㌳㜷摣㌰戸ぢ㡤敥㡥㈶㌵敢ㄹㄷ㐰㙡㉤㉡〶㐷昰摦收㕣〱愶㌰て㥡户㥢㤳㤳戵㠳晢㡤㕢㡤〲㤷㤵㠱晣ㄴ愱㡣愰敤愰㜹㡦攵搴摣ぢち㜷搷㑣ㅢ扥㙣㙤摣㜸㔴㌷敤㌶㥣㥡晦㥡㡤㉢ㄷ〳㈳㤰㔷户搷戵〶改攸戶〸戶㤲扥㝡摦戵敤摤捥ㄸ昵㠶㥣扡㘸㠵搵慦㙤慢戶ㄷ㍣㜷戹㝢敤ㄱ㑦㍥搰慣敤㤸搱ㄴ㠴摡㥡ㅡ扢㘳㤵㘱㔵㌸慦戱㤹ㄵ搷㤷㡥㥡摥戸扤㘰㔵捦㑢㙦㔱㔲㈴捡㥡㕡敡攵慣㡡戸㝥㝣摥挱㐲挱慤戵搷㈷㑢捤㍢㉦〶㘰㘶㔹挳㝣㔷愵ㄷ慣㉦ㄹ换㜵㜹㐵慡㐹昸㑥㔴散㑤ㄵㅦ㜱慢つ㝦挶㜵〲捦慤愷㙢愶㙡㙢〶㈴㑤敤㠴㕢㤳昹㝣㑥〹〵〸摣扥㍥㈱㜲㌷㜷攷〵㠵㠸〴㡡挹挸㔷愵挹㙥攲ㄴ㔶㠷㔵搴㈵㘹㔲㝢挳㈶㠳㜱扥㑡挶㘴㜰㘰㘲㑤搴ㅦ㝣改㥢㌶ㄹ戶㠹戹㔷戶戱愶㡤㐶慢扦㜳㑤㍡挱㌱挳愹搵愵㤷愹晤〴㘷愴て〳ㄴ㉥㐱㈰㜴摤㍤慡㍡㜱㔱慣ㄷ㉥㔸戵㘰愵戸㈲慤㜳㉢〱捡愰㈱㑢㈵㙥㙤㐷搲㉦㐳㤱扥㥢㘰ㄴ愰㕣捥ㄵ昷戰㔱戱㡣㤴㉢㔰㍡㘵昰㜲㑡㤰戳㕦㡡㤷〷捤㈳㔶㍤㤰愱㔰ㅥ㌶㠱㤱㔰慢㈹昴つ㤱㐴㍤愳ㅡ㉡㡣㍤收っ愸搴戰㥣㘰扤挵户ㅤ㕣ㄲㄲ搱㡥㉣搸㜶戲㠰愲㈰㉤て㌲㜸つ㐴搳㈶つ戲ㅢ㈷㠸㠸㙣㤰愱搹㌱㜲㥡挸搸㍥㐳㐶愰㝤㤲〸搹㝡㝦㜷ㄹ㐱㘲敦㈴㔲㜶敡捡㡦㍢搲㙣㈳㕢㍥㤴㘶㤷㘳攳昴㉢〸慥㈴戸㡡㘰㉦㠰昸ㄳ㈴ㅣ愵ㅣ昲改愴扦〶捦晡㌵〴慦〵㠰㝣搲㈹㜳㈲㔱㐵ㅢ㙡㉢㜶㈴摢つ挱㑥㔶㐶㜱㈸㡡㘸ㄹ㌷敤捣㈱㕢㈱㍡戲㍡户㠷慥捤㉢ㅤ晢挶敥戴㤹㕣づ㈹㌲愳㘹㜲慤㥢㌴㑤㙥〴㥢昶愸户慥㐳㔷㝤㡣攰㜵〰㘵晤昵㠴㔰㉥㌴㜸户㘶搱搳愴㝣㔵㤸㐵愱㌱搴愳㠲㡦〸㤹㐷㠰っ㈱搷㜱㝣搹戱愱㘹づ㡥㥢慦㝡ㅢ㝡㕦㜷晥㡥㤰摥愶㌷㜷昴づ晤㐵㉦搲㡡扥ㅥ散㈵晥搰㔵挷摣㠰㙡晤㡤〴㌷〲戴改ㄸ㥥扥㕦慣愷㐰㤹挵㜶〲㜳扢改㜵㔱㔶敥搲晡慡㔴ㅡ㘸搰㕣㌲扣㜳㌲㠰〷攳昸㉣㙣㘱搷昳㘴ㅤ㠷摡㥡㉡攰昹攵捡㜴愱㝦挴㜳㙤㤶敦搸挸晥慢㐲㌱攴昳㕡㕦慥捤㐶捥戰㌵ㄳ㍥愷〴攵㔰〷摦摡㕤㐸㈴㍡愵挹㡢晤戲捦㤷㍢㤲愴〷㐹㜲ㄳ戶㔵扦ㄹ〰㔲㐲晣慥慢㐴搹挷㘶㙦㔶捤搲ㄶ㉢㍤㝣ㄹ愷㤳㌶ㅦ㘲㠷ㅣㄹ〸ㅤ戶搳昰ㅦ昸㐳昶愲㘵㌷㠵挵㠰扤㈰扤㉡㝣ぢ㔶㕤㤶㐳户㉣㐵捤㡥慣㜸㤵挸㡡扥扥㡥昳㜴㠶㝦㑤搱㐹㥢㤴挸攴昶捣捡㡣戳㜸㡢愸攸㠶愴㔰挹㜰つ㌵㈵㄰㈹㡦㙤㜷㐴㑣て㈲收ㄶ㙣㥣扥㥦㘰㤲攰〰㐰攱㔹㐸㥡慤㙥㍣挳㘱晤㙢㜴㘹㔷㉡戹ㄲ搱愰㕣㠴捦㜴ㄵ㔶〷昹㥡户㄰摣づ搰㘶晥搰〱㤹㐱㠸ち攵〹㐲㔴㘱っ昳㡣㈵㉦㤰〶㜶㤹〸㉣捤㌴晣挰戵ㄹ㔹ㅡ㌲㘷摤㤳㙥㌰㙢昹慢㠸㐴㡤㥡㔱收㥥ㄵ改㠰扡㍣搸㍥㙤㘵敥敡慡慣改收愲摢㠰㘸㍢㍥扢ㅤづ收搸づ搸㤲敡㙣慥〹愴摥捥挷ㄸ㐲㘰愷㤵扦㤵摥搸㉤㜹扦㜹攸ㅢ㙥敤攸㤲ㄵ搴攵㠰ㄹ㌲ㅤ昳㈵ㄳ扢㠸挸㐱慤摦㕣㕡昱愴㥣ㅤ㌲㡦㝡㔶慤㙥㌹㤲挸㠰㡤挹㘰摤㥣㍣㠷㈸挱㠲换ㄸ愰敢っ㤹㑢㥥攱昸慢〶〳㡡敢扢㔳㑦㉡㉣㔲㌰愷㉤挷挷㙢ㄴㄶ㤹ㅦ㌶ㄷ㔷摣ぢ㠸搸㌶㙣攷愸戱敡㙦ぢ慣㤰攸挳愴㔰㈳㌴愱㘹愲愴㤵㝡挵てて攴戹ㅣ㜹㉦㑦愰㜰㤵㉢搰㘷㥥愱扤㘹搷㐷㌱ㅡ摡改㥣搳㈰愲㐷捤挲扥㑣㈹㑣㑥搵敦㘰㥦户〱摣㜵昴昴昱㔶㘴敥㈵挵慣ぢ昴昲㘷挸㜸㐵ㄶ捤㐰〸㝤㜴扢㐲㔲㘱ㄹ㈹〷ㅣ〸㡣昳愹㥤晣捡愶㙡㐳敡摢搵捡ㅥ㐱㈴㘹搰㥣㌳㤶㘵ㅤ昱㘸摢〸㜶㠵て㌴㘳㙤愳敥㐷㜵㌳慥㙤ㅢ㈴㉤㤲攵㘲搵㈰〵㑦㌵〲昷㠴攵攸㈶㠰愲扦愸挸戸㠸㈲攳愲㉡ㅡ㌴㑦㌱㌴愸昲ㅣ换㍤㘷㜸㔶戰㘲㕢搵ㄲㅦㄸ扥摢ㄶ㌴〹㈶愷攴㡤㔳㉣㌳挶摡慣昹搳㌰搹晣〹愰㝢〲㜲㤴㕢㐷昴㠳㜲㌵㔱挴㍦搱愳㘳〹〲㐶㜹㑡昵㜷㘰戴㠲扡ㅤ〱㤱愳搲愵昸づ挶愵㠷㔱ㄲち㈱㘲㍤㠳㐴攰ㄵ㑣〸㜹扡戸㡢收㘹挷ち㠰㍤㘲散㠸ㄵ捣晡㐰㌹〰戲敡㜸㝢戵挲㙡愲搳㜸㔳㉢㕣搷㔹㤵㔲ㄳ搷㜶搶㈷昵挶ㅢ㌶愸づ㌵㑡㐲㤱㙣搶㐸㘹㤶つ收戸㥤㔴㡤㔰㡡㍢搶㌶㈲换㙤摡摡㜷㑡㤱㤷愰㤸ㄴ捤攴昴㜷㉡㐲㐱愰㌷搲㔱昴搹㘷㤳㐷㈲㘲㐳ㅢ愰㑣㍤ㄵ㤶つ㐵㈱挱攳戸㜶㔲㤳攵攸〹晣扤㉢捡捥㌷㠲㔴㡤㜱㜱㌴慡㤹慡搷攷ㅤ㔸〹㔵挳慢㙤ㄳ㤶挶摡㐲つ愳戸戳㔷敤ㅦ㙥㙦㠲ㄱ㈳㌶㘴㔸㈴挳てっ㌶〴㜳㈵㈲慡戴捥㠶戸搵捤攲ㄲ㥦㑥㐸挳㔱ㄸ㔸っ㙡戳㜲㑤㤹㘱㉤㑢㝥㔴㜵㘸㥥ㄶ㤵ㅣ搵捤愹㘵ㅦ㉡㍤愰ㅣ㡦㜲㡡挱㜵昳ㄴ摤㔲戸挴〰戱ㅢ攵ㄶ慡〱㐲扢捤〱㜸㌲搸㍥搸挱㡥㠴愱ㄳ㕡㘷㤴愰挵っ挲㑤㉦㠲扣搳㈳㐶㈱㐸㑤㤵晥㝥㔸㝣晥㐹愶㙦ㅣ捥挵㤹㠸㠹ㄸ敥捡戰ㅥ㠰摣㘴㘴㤲㕣㌴ㅡ〷捣㐳挹愶㠴搶㘰㕣㐶ㄳ㘳㠸㈶㥦ㄷ攰ㄶて㘳㔹挳㘴㥢㍡敥戹〵ㄶ戴㘹㝤㝤㤷㜹摣愹搶ㅢ㌵愹㔴㜱㉣慢㤵㐶摥ㄶ昸㔲㔷〰㐳㙥捡搸㤷㘸㔳㡥攳㈸挵㈵ㄳ㐹扤摢摤晡㘱㜴㔷㐲づ㘳㠴慡㡦〱挸っ户㥣ち㠸㜵摣㔳愰㝤戸扢㜵㠱㐱㕤㥥㠳㐸敢㈸愲㉣㥢挳㝤扣㘶ㄴ㔹㜱㕢愲搹㥣㍢攷搲㘶㑦ㄴㅤ戳挲愲㙤㠱㈳慣㌳ㄴ㜸挵㈲㡣㤱ㅥ戹㠳㠳攴㉥㐵搱摤㑢て慢挷摣㈵愰㐲㘱㐰㌰挶换㔳㔰づ扢ち㐶愲挱慤戵慣㙥挱攸㉦㉤㙦㝤ち㐰㌰っ㑣㠳ㄶ㉤㐳〳㘷〶昹捤つ㥣敢搰㉡㈳㐲㥡っ愶㌲㐶㌹ち㠷㍤㤰〶㙥攲㐱㝡挹㠵ㄲち昶愸㡢㘱昱摤挴㜱ㅢ㐷㈰搷扢愲慤㜰挱〸㜰晤挵搹摢㔶㍣㔵慢搱摣㠵㝦㙥㕢㘰ㄵ㔷㌷㐲㜳㜴㑦摢愵㉣戵㈶摡㜷搷户㔵㐴㤷〵て捣㑥ㅣ㌳㠲敡捡㘲戰ㅥ㕥摣敡㤵㈴ち㍦㠶㍦㘲挳户搳㘶捥㍢扣㠸扡挶扤㉦㥦㜷摣ぢ㡥㥡㔷挱攷慤㍦㔰〸慥㔰昶㜳㤲攵摣扦昱㑦㈵㉤㔷昸ㄱ㐶摣捡戴㌹㐰换㐱挲㜱㔴ち愵挱ㄸ昲ㄹ㜴〲摢扤㜹㙢㠰㜴戲愷㡤㑥㤴㈰搸㈱ㄴ攷摣换㐶㈸攲㠷㐰㉢㠹㈵㍣㤲㘳捦扦づ搶ㄷ㍦㐰〹ㄱ㡥攷㐸㡣ㄴ㕥㠷㕣〶敡㤴㈰㡦慥㜸昰㐲挸晦て㤶㘲㙥摥㤰㥤晥ぢ捣㉣扥摦㡥愲㙢㠹愲敦㜵愰㐸昰ㅡ㠸攲摦扢㤰㠹㔳㠱攱搹ㄷㄵ〸攷㥡㜶づ愰慦昸㠵摦晦攱〱㜴㉥㈲づ㘵愳㈱搴㜶〳㥥㥢㈶㐲㕦㠷㠹挰攰扤㌲ㄱ㑥㈰㈳ㄸ挵て㑤㠴挸〷㌲㡦㠲捤㑤〴挶昶㌲っ挱㐴愸㌵攱搶攰〹散ち㥢晥戱㘳戸㜸㉢㝤挴昳愱戴晣ㄹ㜸愴慥散㉣㕥㌰㍣挳摥慢捡㡦㝡ㄲ捡捣㕢挲㑤㙥搵㠵㍤慥摥戰㐶㜵摡挰㔷ㄱ㝢搹㜷晣㈹㕢扢扦づ㑣㠵㈹㜴摦㡢㤲㈸扥〴㑦㠹攰戹㈱昷晥㍤摦㍣晡挷〷ㅦ㍤捣摢㙡ㄱ慤ㄶ㙥㐶扥㤷㤰㍤敤〹〴㜵ㄳㄷ㐵㉥攷㠷㌹㈷昰㠹㤲戵㕡㤷搳㠶愷慣㈰㕦户攳㙣㐸㜸〹挲っ㠹㙦㍢㤸㤸戸昷㄰㥡㤸ㄳ㙤敥㑥昵㘱㤳㜲ㄱ㑥㈴㈶慥㝣㝡㜱搸㔰㜴㔵㘴㍤㕡㥢㠵㙦㐳ㄵ扤挸㠹愴慤㐴㥥㍡㤹㠴昸㔶扢慥㍢㐸㕤ㄷㅥ㘴ㄸ昶㡦愵ㄴ攲て愴㤰攴㐱㠶ㄷ〲㤴㤴㍡㠵㑣攱ㄶ㠰㡣挸㕡㝢㠸㤷晥㠰ㅤ㈱㈰㥢㤷晥㝡晣㠸〵扢〸㉣挶扥昸㕥㑦戴戴㐵㘳搵挴㔰慤戲㘹ㄶ㤱㔱㠷ㄷㄶ㑣挶愵㈹㑢攷〰㑡户散㡥攲㑢㠶散㌰昰ㄶ㌲㜶挱愶慦慤㙣摦改㌴㜰昳〳㝡愶愸ㄴ㠶戳㥢挵㌸㤰慡ㄸ㕤搸戴ㅣㄶㄱづ㠷搹㘶愷㠱愸ち㍡换搹㡢㔳㈹㠲㝦晣㔲㠸昵攳慤愱㉦㙦慦愱㡥㜳晡戱㐰晥㘰㝦㕤㥢挱搸㜸㉢㌹〶ㄲ㜶㑢慤㑡攱昵昰搳攸挲㐵攷㠴摥捡慡㘷㜱㄰㝦㘲捥敡搳㍡昴㍦愳搷㡡戳捥戰㌷挳搸㈹晤晦ㅥㄴ㙣慡晦〵㘳㙦ち㤱昷㐶ㄹ㍥ㄴㄸ㍦搹㌴㘴挳ㅤ㠱㘷ㅢ挱ㅢ㜵㌰搶㔵㤶㈱敦㌰户㠸㡦㔷挳㙡㈵挱攱昷捡户㕦㡤㘸昶愵㙤㍢搰㔵〰㌲㌶㔴昸㍡㐴㔰搷晥㘹戹ㄵ㥦㙥㡢昷愱攳㥥ㄳ㔶搵㜳㝤搷っ挶ㄶㄱ昴ㅤ攳户㘷㈶㙣㥥㈹昱戵㜶愱㜶㍤㜶㘲昰㝤攸㜳㜲ㅥ〲晢愴っ㕥慥㔸㈴㈳ぢ㕢㡢㘴昰㍢愴㤱㐴㜸㠹摡挱扦捣扣扢㘱搴昱改敡㍣㝣㥤〱㡢戶㠵戲ぢ㍤捥敤㌷㌴戸㜵戸愳昵㙥昸㠳㘴㝤〲挱㌱戵㠴晢摥挷㝤㙤摦㠳㜴摢㘸㙤㍥㕢昶收㜳㉢ㄷ㥥〶㑥户昶㤶㌴挹昰㥤晣㈲戹慣㔷〸㜱㘹晦㌰晥㙥摤㐱换搱㐶㐱攷搱〷摤㜴㠴㡤搷攱㍥摢㐲昴晢㉣扡㡡㈹〲晣㜴㈳捡昰㐱搰换㐷㔶ㄴ㕦挲戲挸〰挸攷㡡㔵㠰敥㔴晤搴㐶㔴㍤ㄲぢ㘴挱㌳〶挹戱㉣扥㠰㠶摣慥㜰搹㘰〹㉥㕢愸戳〴昲㝡摣〳昹㥣攰㔹㐲㑤攴㜳攸搰㥣㠸㠵搲敥ㄳ昹散㐶ㄳㄱ戴〲搴㐲㤳攳㡦挴㕡㐴慦愳㕡户〹ㅣ〲ㄷ㘰㤸㘲㤱戲愶ㄸ㠶ㄶ㝥㐰捣㈰晤㍡晡晢摣攱㘷㥦㘱晡敢㘱愱〴㈱慡搲㤳愷㈰㔴㤳晦㐴㜲昲ㅥ㑡扢㑦晥㠹㡤㈶㍦㐲ㄹ挹㤹攸〱挰㔰㥦愸攰㡦㕡㑣〳ㄹ敥㈳㝦攲㉣〱㝥愹㔹㡣ㄸ㈸㔱㝤㉦㈰㠳扥摣㜰搵敡㈲㌲㜱摦〲搷㥦昱㜱㡦戲㡦㜸ㄱ㤲扥㥣㘲攸㡣㉤㠶㕡戱㘴㐷㕥搸㙤㈱ㅢ戰㈴㝥㉤摢㔵愴ㄷ㝢㡣昰㡢挷㘳挴ㅣ㍢ㄶ㝦㌹愵㐵㌱㈷㄰㐶㘸㤱㤲㝥戸㤱攲㐳㜱攳敦㝣户攵㌲㐵〵ㄲ愸㈷㙣㑣㍡㔳㡤ㅦ㡢ㅢㅦ挰㔷㔹慡㑤㡥㌷〸㤸㥥㡢ㅢ㤳ㅥ㔵攳㐷攳挶㝦㌹戰户搹㌸愶挳㜰攴〲㠹㈴挳搶㔵搶㝦攲ぢ敤㘱㌴㉦㤸搴㥦〳㘶㔸㑣挹愹㐲挷㜵愵㐱〷㜱ㄹ挴挳㌷搲㜳戸摢㠴㉢㈰㄰戲攱晦㉡攱㌸敥㍣捤ㅡ㠱㠱㑦愰搷㄰㙣昶㜴昵挴捥㐵㜳摥㐳㐱扦㜹摣挷㤹慡戶慤㐸〴收㐰㍥摣摦㑤㥣昲ㄹ愶㘳㙢㍦攲㈰㤹挶㍢㈴扤㈹てㄵ㔸挹㡢て挴㤸捤㍤搲愲ㄹ晤㘱㈰〷搲ㄱ㤰ㄹ晤ㄱ挰㌰㄰挳摢捡戹ㄱ昲扦㘲敥て戰攲㠳〴㡦〲㤴〵㤹㥤㜴㔰㝣っ㘰㌸晥ㅦ㔵㡣慤㈹㝦㠹㈶ㅥ㡣㕦㤶㈴㈳晤㜱㜶昸㌰㐰ㅦ摣户㈲㈲挲戲晥ㄱ㤴㈴㕦㑡挱愱㕥晡㔱㔶㝣㡣攰〹㠰㜲㠱㤳摤昲慥㜱㑤㍤㙡慥㡦愳慢㜸㠴〰㍦晤ㄳ㔱㠶て〵敥挳摢扢摢捡㍣ち挷ㅦ昶㈳搴㤹晡㠲晦㑥㝣㤱扦捥㐵昷攱㝦㐸㔲㔰㠶㝤㕥㝢㕢㙦㘳㤱〹㘸㤳慢摦㉡㌶晢㈵㡣挳㜵戵㈲㈸ㅣ㤱㑡愵愴ㄵ〵昱捤〵ぢㄷ㙦攰㕢づ愹ち㈱㐸〳慡挲㠹㉡づ愳㐰晦ㄴ㥢ㄲ挷挴㤳晥㘹㍥ㄱ戵㙡ㄳ㍦ㄳ㘵昸㈰㠸㔷搵晤晥愸㝢晣㐲攲㕡㔵㔸㙤㉦㈴晥㔵挵㑡昲㠵㑦㜲㌰㠵㉣㘴搲㕡㠹㐸㔳㌴昴〵㘴㠶晡㠶㌹户㝢昰搳㉥㡡敡搹摡搹戳晦ㅣ捥㡦㕤㥤㝦捦扢〶㥦㝣敥㤷捦㝦昲户敦㍤昴攷㝦㍤昵搴㙦㕦昸攴㌳晦晡昱昲愱㥦㍦晤昴捦敥晡昲㌳捦敦㌶扦愲㝤昷㥦㜳㕦㜹㘸昲晣㐳て㤸愷㙦㍥晡搰扤昷摦㍤戹㜰搹㜸㕦㕦㝦晦㡤愳扦戸敡㑤㈳㡦㍣昰㝤昱㤳摦㕦改〸戵㕣扣㈰㍤つ㉥㕢㑤攳㡢挸㘰ㅡ㥣昱㉢㍡つ㉥㔷㙤搴㜲戴㔱搳㈸㈸挱愷挱〹愸ち㈳㕤㌱昰ㅦ晤㐶戴㕡</t>
  </si>
  <si>
    <t>Decisioneering:7.0.0.0</t>
  </si>
  <si>
    <t>f16dd8d6-c562-47c0-95a9-dc97a4935ca9</t>
  </si>
  <si>
    <t>0b711478-2f20-436f-acd3-e092662c9760</t>
  </si>
  <si>
    <t>Current Stock Price</t>
  </si>
  <si>
    <t>T</t>
  </si>
  <si>
    <t>Volatility</t>
  </si>
  <si>
    <t>sigma</t>
  </si>
  <si>
    <t>Intermediate Calculations</t>
  </si>
  <si>
    <t>d1</t>
  </si>
  <si>
    <t>d2</t>
  </si>
  <si>
    <t>Call Option Price</t>
  </si>
  <si>
    <t>=1/(sigma*sqrt(T))*(ln(S0/K)+(rf+sigma^2/2)*T)</t>
  </si>
  <si>
    <t>=d1-sigma*sqrt(T)</t>
  </si>
  <si>
    <t>=norm.s.dist(d1,TRUE)*S0-norm.s.dist(d2,TRUE)*K/exp(rf*T)</t>
  </si>
  <si>
    <t>E[Payoff]</t>
  </si>
  <si>
    <t>㜸〱敤㕣㕢㙣ㅣ搷㜹摥㌳㝢攱捥㤲ㄴ㘹㔱㤶㉣挷戱㤹㌸㡥ㅤ㔳㘵㐴搹慡攳愴慡挲㡢㈸挹搶㠵ㄶ㈹㌹㑥搳慣㠶扢㌳攴㔸㍢戳搴捣㉣㈵摡㑡散〲つ搰㈲ㄷ戴㑥㄰挰戱ㅤ攷づ〴㐱㔲昴挵㑤搰扣ㄴ㈸搰愲㜰㠰㍣愴て〵晡攰〶㐵晢㤰愰㔰搱ㄷ㍦〴㜰扥敦㥦㤹摤搹㕤敥㤰㕥摢㈹ㅤ㜰㈸晥㍣㜳敥攷晣搷昳晦㘷㤴㔱㤹㑣收つ㍣晣换㈷挷挴ㅤ㡢ㅢ㝥㘰㍡㤳戳昵㕡捤慣〴㜶摤昵㈷愷㍤捦搸㌸㘳晢㐱ㄶㄵち㘵ㅢ攵㝥扥散摢㑦㤹挵昲扡改昹愸㤴捦㘴㡡㐵㕤㐳㌹㍢攱敦㘸晣愲戳搵㔰づ㘰㘹㜶收晣昲㤳攸㜵㌱愸㝢收愱昱㑢㘱摢㘳㔳㔳㤳㔳㤳てㅥ㥤㍡㌲㜹昸搰昸㙣愳ㄶ㌴㍣昳㤸㙢㌶〲捦愸ㅤㅡ㕦㘸㉣搷散捡愳收挶㔲晤㡡改ㅥ㌳㤷て㍦戰㙣㍣昸㤱愹〷㡦ㅥ戵ㅥ㝥昸㈳㐳ㄸ㍡㜳㙥㜶㘶挱㌳㉤晦㙤敡㌳捦㈹㍦㌸㘷㔶㙣慥捤㌴㍤摢㕤㤹㥣㥤挱扦挴晣昱昶搰攴攲慡㘹〶ㅣ摡昴㑣户㘲晡㍡ㅡづ㍡搳扥摦㜰搶戸㜹扡㌳㡦愵㔶っ㍦挸㍢戳㘶慤愶㍢㜱慦㐵攷㍣昶慥㘶㙣っ㌹㡢愶敢摢㠱扤㙥〷ㅢ〵㘷〹ㅤ㔵㠷㥤㡢扥㜹挱㜰㔷捣㜳㠶㘳收㥤㤳つ扢㥡ぢ㥦㑣昶摥戸㡢攴挴㘴昹㤳搳扥㌳扢㙡㜸㌲㈳㥦ㅢ㤳㔲㜷摥慢戴搷扤扢㜷扦㥣扡㡣挰㍥敦改㕤て㈵㤷っ慦㔹㜳愲㜷捤㘸昱敤㌳昸㜰敦晡㠹㍤㙡㙦昳愱摥㙤㘴㉢摢㙢慢挱㠸扥㘵㐷戱ㄸ扤㐰㌰㐰㔰㈴㈰〲昵ㄲ挱㈰挱㄰㠰捡晤ㅦ戸㈴搹㤰㐵㕡搹搰捡换㕡戹愲㤵慢㕡搹搴捡㤶㔶㕥搱捡慢㕡搹搶捡㑦㙡攵㉢愸ㄳ㍦挵㠱〱㉤㝡昶㥣扣攳㜳㍦扦昱扦㈷㥥晢搵搱㐷㕥戸昲攵㕦て敤㐱愵挷愲㐹捤㜹挶㌵㤰㕡㡢㡡挱ㄱ晣搹㥡㉢挰ㄴ搶㔱敢㈱㙢㙡慡㝡昴戰昱㠰㤱攷戲㔲㤰摦㐶㈸愳愸㍢㘴㍤㙥扢搵晡㌵挱摤ㅤ㌳㠶㙦戶㌶㙥㈲㉡㥢愹㌷摣慡晦㥥捤ぢㄷ〳㈳㌰㙦敦㉣㙢㜵搲搵㙣ㄱ㙣㘵晡㌲摥㥤㥤捤㉥ㄹ戵㠶㌹㝤摤づ㡢摦摢㔱散㉣㜸昵攵摥愵昳㥥㜹戵㔹摡㌵愳㘹〸戵㜵改扢㙢㤵㘱㔱㌸慦昱搹搵扡㙦扡㌲扤〹㘷挱慥㕣㌱扤㐵㤳㈲搱慣捡㔲㙦㘵㔱挴昵ㄳ攷㕤㉣ㄴ摣㕡㝤㝦㌲搷㍡㜱㍤〰㌳㥢㔵捣㜷捤昴㠲㡤㈵㘳戹㘶敥㙦慢ㄲ㡥㠹㠲㠳㙤搹昳昵㑡挳㥦慤扢㠱㔷慦戵㤷㑣㔷搷つ㐸㥡敡搹㝡搵捣攵㌲㈲ㄴ㈰㜰戳㔹愵㌲昷昷收〵㐱㐴〲挵㘴攴摢摡挹㙥昲〲㔶㠷㔵搴㑣搲愴昶㠱㉤㍡攳㝣㐵挶愴㜰㘰㘲㑤搴ㅦㅣ昴扥㉤扡㙤㘲敥㥤慤慣㘹㘳搱敡㑦慣㥢㙥㜰捡㜰慢㌵搳㑢搵㝥㡡㌳搲㐷〰昲㌷㈱㄰㝡敥ㅥ㔵㥤扡慥㌶昲搷散㙡戰㕡㔸㌵敤㤵搵〰㜹搰㤰挵㈲户戶敢搱㙦㐱㤶扥㤷㘰っ愰㔴捡ㄴ昶戱㔲愱㠴㈷㤳愷㜴㑡攱攵㌶㐱捥㜶㙤扣㍣㘴捤摢戵挰っ㠵昲㠸〵㡣㠴㕡㑤搰㌷㑣ㄲ昵㡣㑡愸㌰昶㔹戳愰㔲挳㜶㠳㡤ㄶ摦㜶㜱㐹㐸㐴扢戲㘰挷挹〲㡡㠲㜶㜹㤰挲㙢㈰㥡づ㘹㤰㕥㌹㐱㐴㘴㠳ㄴ捤㡥㥥摢㠹㡣昵㔳㘴〴敡㈷㠹㤰戵て昷㤶ㄱ㈴昶㙥㈲㘵愳㥥晣戸㉢捤㌶戳攵㐳㘹㜶㉢㌶㑥摦㑦㜰㠰攰㌶㠲㠳〰敡扦㈰攱㈸攵㤰㙥㝦昴昷攰㕤扦㠳攰扤〰㤰㑦㍡㘵㑥㈴慡㘸㐳㙤挷㡥㘴扤㘱搸挹㘲ㄴ㠷愲㠸㤶㜱搳捥ㅣ㜶〴搱㤱搵戹㌳㜴㙤㑥㜴散〷㝢搳㘶㜲㌹愴挸㤴慡挹戵㙥㔱㌵戹ㄱ慣摡愷摥扡ぢ㑤昵㜱㠲昷〱㤴昴昷ㄳ㐲戹搰攰摤㥥㐵㑦㤳昲㕤㘱ㄶ㠵挶㔰㥦ち㍥㈲㘴ㅥ〱㔲㠴㕣搷昱㘵搷㠶愶㌹㌸㘱扤敢㙤攸㐳扤昹㍢㐲㝡㠷摥摣搵㍢昴ㄷ扤㐹㉢晡㙥戰㤷晡昷㥥㍡收ㅥㄴ敢ㅦ㈴戸ㄷ愰㐳挷昰昴晤㘶㍤〵㘲ㄶ㍢〹捣敤愵搷㐵慣摣愵㡤㌵㔳㌴搰㤰戵㘴㜸㉢㘶〰て挶改㌹搸挲㜵捦㌳㙢㌸搴㔶㈵㠳攷㤷〳敤㤹晥扣㔷㜷㤸扦㙢㈳晢敦ち挵㤰换㘹搹㑣㠷㡤㥣㘲㙢㈶㝣㑥〹捡愱づ㝥愰户㤰㐸㌴㙡㈷㉦戶㑢㍦㕦敥㑡㤲㍥㈴挹㠷戰慤晡晤〰㤰ㄲ敡㕦㝢㑡㤴㐳慣昶〷㔲慤摤㘲愵㠷㉦攵㜴搲攱㐳散㤲㈳㠳愱挳㜶〶晥〳㝦搸㔹戴㥤愶戰ㄸ㜴ㄶ㑣慦〲摦㠲㕤㌳㑢愱㕢㤶愲㘶㔷㔶扣㑢㘴㐵㌶摢㜵㥥㑥昱慦〹㥤㜴㐸㠹㔴㙥㑦㉤㑣㌹㡢户㠸㡡㙥㐸ち㤵ㄴ搷㔰㔳〲㤱昲㔸㜷㔷挴昴㈱㘲㍥㡣㡤搳てㄳ㑣ㄱㅣ〱挸晦っ㤲㘶扢ㅢ捦㜰搸挰㍡㕤摡攵㜲愶㐸㌴㠸㡢昰搵㥥挲敡㈸㠷昹㐳㠲㠷〰㍡捣ㅦ㍡㈰㔳〸㔱㔰㥥㈰㐴〹㘳㔸㤷㙣昳ㅡ㘹㘰㡦㠵挰搲㙣挳て敡づ㈳㑢挳搶㕣晤㕣㍤㤸戳晤㌵㐴愲挶慣㈸昱昸慡改㠲扡㍣搸㍥ㅤ㜹昵戵㌵戳慡㕢㡢昵〶㐴摢改戹㥤㜰㌰挷㜶挰㤶㤴戳戹愶昰昴㜷㍥㐶ㄷち㍢㉤晥㔶㝡㘳户攵晤收愱㙦愴戵愳㑢㜶㔰㌳〷慤㤰改㤸㉥㕡搸㐵㐴づ慡〳搶搲慡㘷㥡㜳挳搶㐹捦慥搶㙣搷㈴㌲㘰㘳㌲㔸㜷挶㕣㐱㤴㘰愱捥ㄸ㘰摤ㅤ戶㤶㍣挳昵搷っ〶ㄴ㌷昶戶扤㐹㔸㈴㙦捤搸慥㡦㘱〴㡢㑣㡦㔸㡢慢昵㙢㠸搸㌶ㅣ昷愴戱收敦〸慣㤰攸挳㐷㔰愳㌴愵㘹慡愸ㄵ晢挵てて攴㤹っ㜹㉦㐷㈰戸捡攴改㌳㑦搱摥戴敢愳ㄸつ敤㜴捥㘹〸搱愳㘶㘶㌶㔵ち㤳㔳昵㠷搹收愳〰㡦㥣扣㜸扡ㄵ㤹㝢㑢㌱敢㍣扤晣㈹㌲㕥挸愲ㄹ〸愱㡦㙥㑦㐸㉡捣㈳攵㠰〳㠱㜱扥㜵㤲㕦挹㤲㍡愴扥㍤慤攴㍣㈲㐹㐳搶ㄹ㘳搹慣㈱ㅥ敤ㄸ挱㥥昰㠵㘶慣㘳搴晣愸㙣戶敥㌸〶㐹㡢㘴戹㔸㌱㐸挱搳㡤愰㝥搶㜶㜵ぢ㐰攸㉦捡㌲慥㈳换戸㉥㔹㐳搶〵㠶〶㈵捤扥敡㉢㠶㘷〷慢㡥㕤㈹昲㠵攱扢ㅤ㐱㤳㘰㜲㑡摥昸㠹㘵挶㜸㠷㌵㝦ㄱ㈶㥢㍦〹㜴㑦㐲㡥㜲敢㠸㝥㔰慥愶ち昸㔱㝤㍡㤶㈰㘰挴㔳慡晦ㄱ㝡换换敤〸㠸ㅣ㜹㙥挶㜷㌰㙥㍥㠳㥣㔰〸ㄱ敢㈹㈴〲慦㘰㐲挸搳挵㕤戰㉥扡㜶〰散ㄱ㘳昳㜶㌰攷〳攵〰㐸捡昱昶㜶挱㙡愲搱㐴㔳㉢摣搵㕤搴愶㈶敥散㉥㑦敡㡤て㙣㔲ㅣ㙡㤴㠴㈲搹慡㤲㘸㤶㑤收戸㤳㔴㡤ㄲ挵ㅤ㙢ㅢ㤵收㌶㙤敤㍢愵挸㕢㔰㑣㐲㌳ㄹ晤㡦㠵㔰㄰攸㡤㜴ㄴ㝤昶改攴㤱㠸搸搰〶㈸㔱㑦㠵㜹挳㔱㐸昰㌴慥㥤㔴捤㔲昴〶晥摥ㄳ㈵捦㌷㠲戶ㄲ攳晡㔸㔴㌲㕤慢㥤㜷㘱㈵㔴っ慦扡㐳㔸ㅡ㙢ぢ㌵㡣㜰㘷扦摡㍦摣摥〴㈳㐶㙣挸戰㐸㡡ㅦㄸ㙣〸收㑡㐴㔴㘹㥤つ㜳慢㥢搹㐵扥㥤㌵つ㔷㌰戰ㄸ㔴攷捣㜵㌱挳㕡㤶晣㤸㌴㘸㥥ㄶ㐵㡥敡搶昴戲て㤵ㅥ㔰㡥㐷㈹㘱㜰摤扡㐰户ㄴ㉥㌱㐰散㐶愹㠵㑡㠰搰㙥戳〳㥥っ㜶づ㜶戰㈳㘱攸㠴搶ㄹ㈵㘸㈱㠵㜰摢ㄷ㐱摥改ㄳ愳㄰愴㤶㍣晦㜳㕣㝤敤㜹㍥摦㍦㥥㠹ㄳㄱㄳ㌱摣㤵㘲㍤〰戹挹挸㈴戹㘸㉣づ㤸㠷㤲㑤㠴搶㔰㥣㐷ㄳ㘳㤸㈶㥦ㄷ攰ㄶて㘳㔹㈳㘴㥢ㅡ敥戹〵㌶戴㘹㙤㘳㡦㜵摡慤搴ㅡ㔵㔳㔴㜱㉣慢㐵㈳敦〸㝣挹ㄵ挰㤰㥢㔲昶㈵摡㤴搳㌸㑡㜱挹㐴㔲晦㜶户㝥ㅣ捤㐵挸愱㡦㔰昵㌱〰㤹攲㤶㤳㠰㔸搷㍤〵摡㠷㝢㕢ㄷㄸ攴昲ㅣ㐴㕡㔷ㄶ㘵搹ㄹ摣挷㙢㐶㤱㠵摢ㄲ搵捥搴捦搴㘹戳㈷戲㑥搹㘱搶㡥挰ㄱ搶ㄹち扣㐲〱挶㐸㥦摣挱㑥㌲㌷愳攸敥捤㘷攴㌵㜳ㄳ愸㄰っ㈸挶㜸㜹ち捡㘰㔷挱㐸㌴戸戵㤶搵慤ㄸ晤愵攵慤㑦〳㈸㠶㠱㘹搰愲㘶㘸攰捣㈲扤戵㠱㜳ㄷ㙡愵㐴㐸㤳挱㔴挶㈸挷攰戰〷搲挰㑤㍣㐸㉦搵愱㠴㠲㝤㜲㌱㉣扥㥢㌸攱攰〸㔴昷昶㜷㘴㉥ㄸ〱慥扦戸〷㍢戲愷慢㔵㥡扢昰捦敤〸慣攲敡㐶㘸㡥敥敢戸㤴㈵㙢愲㝤㜷㜷㐷㐱㜴㔹昰挸摣攴㈹㈳愸慣㉥〶ㅢ攱挵慤㍥㐹㐲攵㝦ち㝦挴愶愳搳㘶捥戹扣㠸扡捥扤㉦㕤㜱敢搷㕣㤹㔷摥攷慤㍦㔰〸慥㔰づ㜰㤲愵捣ㅢ昸㤱㐷换攴晦ㅥ㍤㙥㘷摡散愰攵㈰㘱㍦昲㤴昴㜹晣㘵㤰㝡ㅣ㝦㔳㘸〵昶㝢昳收〰㘹㘵㕦〷慤㠸㌰搸㈵ㄶ㜷攵敤㈲㤶㡣晡〹㔰㑢㠲〹㡦攵搸昳敦㠱晤搵㡦㤱㐳愴攳㍤ㄲ㈵昹昷㈱㤵㠲㍡ㄱ收搱㌵て㕥ち昹晤挱㔲捣搱㥢戲搴敦㠲愱晦慥ㄳ㐵㜷ㄲ㐵慦㜴愱㐸昱㉡㠸昰昰愳㐸挴㑦㥥㈱摡㌷ㄵっ攷㥡㜶て愱敦昸愵摦晦挷㐳攸搹㠸㌸挴㑥㐳戸敤ㅥ扣㌷捤㠴㙣㤷㤹挰〰扥㤸〹攷㤰㔰㡣攴㠷㘶㐲攴〷㔹㐰挶搶㘶〲攳㝢㈹挶㘰㈲摣㥡㜰㙤昰ㄴ戶摦愱㡦散ㄴ㉥摦㥡㍥㘲晡㔰㕣晥㉣扣㔲〷扡戳ㄷっ捦㜰づ㑡晥㐹捦㠴㐲昳㤶㜰㥢㕢㥡戰挵敤㥢㤶㐸愳㑤晣ㄵ戱愷㝤搷愷戲扤㍢散挰㔴昸㠴㉥㝣㔵㔴㠵户攰㉤㔱㍣㍢㘴㥥摥昷愳㤳晦昱搴㥦ㅦ攷㡤戵㠸㔶昳昷㈳摤㑦搸㥥昶〴〲扢㠹换㈲户昲攳㥣戳昸㑣挹㕥慢㤹㌳㠶㈷㤶㤰慦㍢㜱㌲㈴扣〴㘱㠶挴户ㄳ捣㑣摣㝤〸捤捣挹づ㤷愷㝣摣㈴㙥挲挹挴挴挵慦ㄷ㠷づ㔵㑦㐵搶愷挵㤹晦ㅢ愸愲㌷㌹㤱㜶㑢㤱㈷㑦㍥㑡晤愸㔳搷ㅤ愵慥ぢて㌳っ晤挷㔲ち㌱〸㔲㐸昲㌰挳㑢〱㈲愵ㄶ㤱挸㌳搶㤷ㄲ㕤敢っ昳搲㈷戰㉢〴捣收挵扦㍥㍦㘴挱㉥〲㡢戱㍦扥摦㔳㉤㙤搱㔸㌵㌱㕣㉢㌶捤ㄲㄲ㜲㠰㘱挶㔴㥣摢㘶改昰㘴扢㙤㤷ㄴ〷ㄹ㜶挲攰㕢挸搸㜹㠷晥戶㤲㜳挲㙤攰昶〷昴㑣㐱ㄴ㠶扢㤷搹㌸㤴㑡㥣㉥慣㕡ち戳〸㐷挲㘴戳搱㘰㔴〴㥤攵ㅥ挴挹ㄴ〱㐰㝥㉤挴昲㠹㔶搷户㜶㤶㔰挷戹〳㔸㈰㝦㘱㝦摤㤹挲搸ㄸ㤵ㅣ〳〹扢慤㕡挵昰㡡昸㈵㌴ㄱ㉢㕦改慤㈴挷㔲㡡㜱敡㤸戳戲㕡㤷晥㘷〴㕢㌸敢㜱搶㘶㈸扢㑤晦㍦㠱㡣㉤昵扦㝡㤸㙤昱慢㝦㌲㑡昰㈵捦ㄸ捡㤶㘱ㅢ敥〸扣摢〸攰挸攱㔸㤷㈴挳摥㘱㙡ㄱㅦ戰㠶挵㈲挱攱晢捡㜵㕥㡦㘸戶愵㙤㍢搸㔳〰㌲㍥㤴晦㉥㐴㔰捦昶敤㜲㡢扤昱㈹㝣ち㘰摦㔹扢攲搵晤扡ㄵ㡣㉦㈲昰㍢捥敦捦㉣搸㍣搳敡摢㥤㐲敤㙥散挴搰愷搱收摣㜹〸散㜳㘶昰㜶挵㈳ㄹ㕤搸㕥㌴㠳摦㈲㡤㈶㐲㑣搴づ晥㉤搶㘳つ愳㠶捦㔷捦挳摦ㄹ㌰㙢㐷㈸扢搰敢摣㜹㑢㠳㕢㠷㝢㕡㡦挲㈷㘴搶㈶ㄱ㈰㤳㈵晣挹㥦㜲㕦㍢昷愰扤㙥戴㌶㥦㌵晢昳扢㤵昲摦〴㑥户㌷㑡㍢挹㜰㑣㝥㤵㕣搲㉦ㄳ挲㈷〲㘷㕤㥡昳扡挳㐹换摥挶㐰攷搱㐷摤㜴㠶㑤搴攰㐲摢㐶〴摣㐰㔳㌵㑤㠰㕦㝤㌹㑡昰㐵搱搳㐷㔶㔴㉦㘱㔹㘴〰愴㌳㠵㉡㐰㙦慡㝥㘱㌳慡㔶昴昴㐸晦㈰晤っ㠹㑣〸㉤ㄶ搳㡡㈷てㄲ㘹㐹㍤㡦收摣挴㜰㌳㔶㤹㠷㤳㠸㥣㌰㤰搶攳ㄶ㐸㘷ㄴ㑦ㄸ㌲扤慦愲㐱㜳㝡㔷㤰摢㝢㝡㕦搹㜴㝡戴つ㘴㝡挹晥㐷㘳摤愲扢㈸搶敢〴㙢〴㔷〱㐶㈸㉣㈹㠱ち㘱搰攱㈷挴ㄷ㥥㥦㐷㝦㕦㍢晥戳㔷昹晣晡戸ㄲ昱㠸愲昶挹㔳㍣捡攴扦㤸㥣㝣㠰摣摥㤳晦晣㘶㤳ㅦ愵攴攴㑣昴㜵㠰攱慣扡㡣㍦戲㤸㙢㐸㜰ㅦ昹慢㡣㌸户㙤㠹㐴户戴摤㐰㘲㌸㍢㑡昴搰㑦愳㍦㐵昰㌴挱つ㠲捦㄰㝣㤶攰ㄹ㠲㘷〱㑡㡡搸㤱㠱晥っ㠹㜸愰㍣㌷㉢攵ㅢ㈱㌱戱㜸㥦㤲挳ㄴ㐲㥦㙥㈱㔴慣㐵㈷㜲收敥〸昱㠲㈵昱愳摢㥥㕡愱搰攷㐵〱昵搹ㄸ㡢愷㑥挵ㅦ㘰㘹㔱攸ち㔴ㄴㅡ戵㈴㌶㙥愴晡㑣㕣昹㙦㕦㘹㜹㕥㔱㠰〷愴ㄶ㔶㈶㔱㑡攵ㅢ㜱攵㈳昸戸㑢敡㘴戴昰㑦收戵戸㌲㠹㔷㉡㍦ㅤ㔷晥搵㤱㠳捤捡㌱搱㠶㍤攷㐹㔱㈹收戲ㅣ㈰ㄲㅦ㝡昳㕣㥥户愸㠲〷慤㌰㥢挲㔷㈲搰㌵㔱挲㐳戸㔳攲攱㔳敢㌳戸㈲㠵㥢㈴㤰搳攱晦戸㜰ㅡ㔷愷收㡣挰挰㤷搴敢㠸㔹㝢扡扣戱㜱挱㍡敦㈱㘳挰㍡敤攳㔸㔶摤㔱㈴〲㡢㈲ㄷ敥敦ㄶ扥晤ㄴ敢戳戵ㅦ㜱慣㑤攳㔵㤴晥昴㡦挴㘷㜲㙡㈳挶㙣收搹ㄶ捤攸㝦〱攴㐰㤴〲㌲愱晦㈵㘰ㄸ捦攱愵攷捣㈸㠵㠵㐸㠲捦戳攰ぢ〴㕦〴㈸㈹㑡〶搲㐱攱㑢〰㈳昱晦㜷㌱扥㉥㉥ㄷ㑤㕤㡤〷㑢㤲㤱晥㔷㙣昰搷〰㔹㜸㠰㔵㐴㠴㈵晤㌹攴㈴〶捤㔳捡㝣慣户㐹换ㄳ㙢晣つ㍥ㄴ㕥摢挷昶㈷昰昱晣〶㍢捥攲晦づ挹㡢晤㥤搳㍥摡㕦㕦㈴㌴㥡捥昲㕢挳㠲摥㐲㍦摣攰㔶戰㠳㍤㡡㉡㔳㤴愵㕣慥扡㠲晥㌹〶㉤敢㤲愲㜴㤵散㈷愳散晤㤲㑤㜹㉢搹㜶㤴㝤㐰戲㈹㠱㈵㝢㌵捡扥㑦戲㈹㤳㈵㝢㈵捡愶㔷慤愴㥥㡤戳慤㈸㥢㍡愷㔸〰挰昳晡ㅢ愳ㄴ摢㠲昲ㄷ㤰搰㕦㈴㜸〹愰㤴㈷愹㙣㥢㘶戹攰㍥㑤㡦慦愳愹㈲㈱戲て晤攵㈸挱ㄷ㐵㉡㤴㈵㕤㡥收㑥㕤㔹搴ち㡡㤴㈹〵攵愸攰㤸ㄴ㈸㐵㙡㤵㠲㑦㐷〵挷㤱愱㝦ㅢ㐰㤱ㅡ戹㈶晤㍢㝣㈳ㄱ捡㠰摦㡤ㄲ㌲㈰昷㐰㥡㝦戲㘳㐰敥㡢ㄴ㍣搱㌱㈰昷㑡ち㍥㤱ㅣ昰晢散㔴ㄶ㠶㐴㥢捡ㅦ攵〲㘵扦㝦㠰挴㜰㜶㠴㜳愳㜱愰㕤㔷㤵换搵换㤷㕦ㅦ挹㡤摦㥥晢挴挷㠷㥥㝦敤㕦㝥昹摣㉦㍥㜵散扦㝦昳攲㡢扦昸捦攷㕥晤捤㑦㤷㡦晤搳户扥昵㡦㡦扣晣敡㉦昷㕡摦搰㕥㜹晤捣㌷㙥㑣㕤戹㜱搵扡㜸晦挹ㅢ㑦㍣昹搸搴挲㉤ㄳ搹散挰挰扤㘳晦㝣摢㝤愳捦㕥晤戱晡㠷㝦㍢攰㉡㔹㉥〶㘸㥦〶㤷㉤搳昸㈱ㄲ㤸〶㘷晣㡥㑥㠳换㤵㡤扡㄰㙤搴っ㌲㡡㜰攰㜰〲㔲昰㔸㝢挱攰㙦〱ㅣ捦昳㐹</t>
  </si>
  <si>
    <t>Number of trees</t>
  </si>
  <si>
    <t>n</t>
  </si>
  <si>
    <t>Time step</t>
  </si>
  <si>
    <t>dt</t>
  </si>
  <si>
    <t>Time of expiration</t>
  </si>
  <si>
    <t>Risk-free rate</t>
  </si>
  <si>
    <t>Call Price</t>
  </si>
  <si>
    <t>CB_Block_7.0.0.0:2</t>
  </si>
  <si>
    <t>https://finance.yahoo.com/quote/AAPL/options?date=1514505600</t>
  </si>
  <si>
    <t>Strike</t>
  </si>
  <si>
    <t>Price</t>
  </si>
  <si>
    <t>Implied Volatility</t>
  </si>
  <si>
    <t>Date</t>
  </si>
  <si>
    <t>Adj Close</t>
  </si>
  <si>
    <t>Return</t>
  </si>
  <si>
    <t>https://www.treasury.gov/resource-center/data-chart-center/interest-rates/Pages/TextView.aspx?data=yield</t>
  </si>
  <si>
    <t>Decisioneering:11.1.1000.0</t>
  </si>
  <si>
    <t>CB_Block_7.0.0.0:3</t>
  </si>
  <si>
    <t>㜸〱捤㕢㝢㤴㈴㔵㜹敦摢㌳㕤搳户㘷㘶愷㘱㜷㐱㥥㍢挸㉥慣散㌲捣㑣㜷捦㠳㜵戳昳㘲㜶〷搸〷㍢换〲ち戴搵㕤搵㍢捤昶㘳散敥搹摤㐹づ攲〳㡤㐸攲〳ㅦ㄰搰〰㝦㘸㑥㈲㈱㐸㐴ㄳ昸㘳㍤ㅥて挶ㄸ㡦㌱㠹挷㈴ㅡ攵㈱㤲㜸㔰ㄷ㤳㜸ㄲ〵挹敦昷㔵㔵㑦㜵㜷捤㐳㈴攷㔰摢昵捤㜷敦晤敥㜷敦昷扢户慡㝥昷㔶㙤㐸㠵㐲愱㔷㜰昰㉦㡦㜶㉡攷捥㉥㔶㙢㜶戱㙦戲㕣㈸搸搹㕡扥㕣慡昶㡤㔷㉡收攲搵昹㙡慤つ〶㐶㍡㡦昲㙡㈴㕤捤晦慥ㅤ㑤ㅦ戳㉢㔵ㄸ㐵㐲愱㘸㔴㠷㔱摥攱㥥㜱㉦愱㔹㑢户㔳挰㉡愴つち㕡改㈸㠵㠶攸㡡㐱ㅣ㥡㥣搸㥦戹〵㙤捥搶捡ㄵ㝢㝢敦㘱挷昳捥㠱㠱扥㠱扥㘴㙡㘰戰慦㝦㝢敦攴㐲愱戶㔰戱㜷㤶散㠵㕡挵㉣㙣敦㍤戰㤰㈹攴戳㔷搹㡢㠷捡㐷敤搲㑥㍢搳㥦挸㤸挹㤱㠱㘴㉡㤵ㅢㅤㅤ改敡㠴攷㝤㤳ㄳ〷㉡㜶慥晡㕡昹散愲捦晤㤳ㄳ㝤晢散摡㙢攵戳ㅢ㍥攱㜲慡㕣㌴昳愵搷挸㘹㠴挸愷愶散㙣㥥㐳㘴摢㤵㝣改㐸ㅦ扡摤〰㌴㔲挳㝤攳搵敡㐲㜱㥥愳㍤㘹ㄷち〷敤㥣っ㑤㜱慡㕡㍢㘰㔶㡡搵慥㈲昱戳㉢㜶㈹㙢㔷搷ㄵ慦㌸㤱戵ぢ慥㘱㌵㕡㍣㙣㔶昶㤹㐵扢㥤㑡㑦搱ㄹ挳ㄹ换㉥搵昲戵挵敥攲戵㔵晢愰㔹㍡㘲搳㈴㔲摣扤㤰户㔴㝢㍢㝥愱戶㡢㠳㝡㈶〳㠵晥ㄴ㈷攷捣㑡㑤㔲ㅣ挲㠱㈰㕢摦㜴㤱㈸ㅡ晡挵㈹搵摢㔴㡢㘳㌶㥢㉦㕥㘵㔷㑡㜶㠱㡤㜰㈴户㌵ㄹ〹㐰捥㌸搴㤱慡㠷〳㝢搵改㕥㈲㡣㠵慤ㄸ敢㈰㌶㑤摤㘰㔷昷㤵户ㅦ愸㤴㌳㍢晢晢㔲晤〳愹挱㠱愱㠱㔴㜲㈸㌹㌰摡㍦㍣愸㝢㘰愴攳㌴㍦つ㈲扣㍢愱㑦㘷捥㝡〸搵晥〲㉥㐳扦㕢㠶ㅣ㑥㥢攱㜴㈶㥣捥㠶搳㔶㌸㙤㠷搳戹㜰晡㐸㌸㍤ㄷ㑥攷挳改㕢挲改愳戰昱㡥㘸㐷㐷搸㍤㝥㜲捦㌱㌵昴搸慤㘳㡦晣挳搳晦搶㤵戸㘳㔱昱捡㤳ぢ㜷㈳㤴㔵扢㜹〶㡣昴㤹㄰挶ㅢ㔸㙦㝡㌰愱捦㘲搶搹㄰㑡㍤㠷㝥戲慦摢敦㝥晢㘴㜷收㑢㤳㝦扥㜵昴捣挵慦㝣昸㔶挵㉢㕢ㅡ㌹ㄷ捡慡㡤㥣㐷㡦攷㐳ㄸ㥢㔸㙦㝡㌰愹㝢㤹㜵〱㠴㔲摦㜷ㅢ昹搴挱摦㝢昲㤱㕢㍥㌶昵㜰攵㡦扥ㅤ㑥晦晥ㄹ㡡㜷づ㘹攴㐲㈸慢㌶戲㤹ㅥ户㐰ㄸㄷ戱摥昴㐰㑡㕦捣慣慤㄰㑡㝤挷㙤愴晦搱敢敦晣攰攷晥㜹昷〷挷敥昹改ㅦ㍣晡㐴㕡昱捥㈴㡤㕣〲㘵搵㐶戶搱攳㜶〸攳㔲搶㥢ㅥ㐸敡㍥㘶㕤〶愱搴摦扢㡤㍣昵搲愱戱㍢㉥晣散㥥㜷㝤敦昱㈷て扦攳搴ㄷㄵ㉦㉦㘹㘴〰捡慡㡤っ搲㘳〲挲㐸戲摥昴攰愰㑥㌱㙢〸㐲愹慦戹㡤晣昸攷㘷扤㐷㥦扡攷捡昷摦㥦搸戹㐵㍤晤㌳挵㍢慢㌴㌲〲㘵搵㐶㐶改昱㜲〸㘳〷㐴㜸㝡㐴扦㤹㌹㍢㈱㤴晡戲摢挶昹昷㙤㥣㜸敥㕢㕦ㄸ扦㜷昸愲㉦ㄶ扥㜹昹戹㕤扢㔰㝣㡤㝢㍤㑣㔵捣攳戸挳㉣摤扣㜰挷收扦搵敦摡戸㘹攷㔲戹攱摣挰㠰㤵敡㌷ㄳ㘶㠴ㄷ换㕡㙦て扣愶扡㜲搷攵㑢㔶昹戸摣㉦捥㥤㌰慢昶搲敤㘳㥢㕢㌶㔱㕥㈸㔹搵㜳㠲ぢ㘷㙢㘶捤㍥扢戹㙣挹㐹㑢戵㔹摣㑤敤慡戴㜷㝥㜳戵挳㘶㘱挱ㅥ㍦㤱㜷㡡捦㙢㉡挶扤戴㥣㔹扥㜴扡㘲扦扤㕥摡搲愳㜱㍣㤲㡦㠹敦㤶㈸㥤㈲愷㕦扤㤳㜳攵慡㕤㤲敥㙤㉢ㅥ挸㘷㡦摡㤵㔹㥢て㜴摢㤲㔰㌷戲挸扤愱㙦摢㕦㐲愰戸㐵㕢㙦昴攷收慥㌸㔱戳㑢㤶㙤愱扦昳㜶愵戶㜸挸捣ㄴ散㌳ㅡ㑣㥣㌶㔱㜰㔶㐳昶㜴㌹扢㔰㥤㉣㤷㙡㤵㜲愱戱㘴摣㍡㘶攲㈱㘲敤㉤㕢㌶㥥〱敤㍣㐲㉡搴搶愶㔴攸㤲愰ㅢ㌱晤㔶晢㘴㈰㝣㐳捣晢攳ㅢㅡ愷㕤摦㐱㐴㠷㈸ち㌶攷㘴㜸昳㉡捥挴㉦摤扣㘹㜹㐳㕦㑣㘴㍦戴摥扡扣戵昴戱㍥㜲晦扦挶攱昰㝡㌷晡㉢㡥攱㐱扢挷㉣㔹〵扢戲㈲㜷㔳散㤱ㅥ㠳㠸㥣挴搵扣㉣㝡㝣㕣愸ㄳ㙡㌱㜲㍣㙦搵收㡣㌹㍢㝦㘴慥㠶㍣昰扢㘸㤴搰戶ㅣ㝡〲㔹㝡㤲㘲ち㈲ㄶぢㄹ㔷搰挸㠸改㘹㈷ㅤ攱㌵晡㥢㍦挲挹㈰戵㔰〶昰扢㙡愴㌸㕤慥㔴摢摡㠲愲摣㘳㔶攷㙡㥣㥥㉢ㄶ昲㘱慤㜷㔳散㠱㠸昰昹扢㉡㐳攰㥤愸㥤㐴愸扢㌸㘵攷㑣搰㑦戹扡㤵ㄹ㈹㍡㡣㘶捡慥㘶㌵愹捦っ慥㤵ㄳ〶㌴㕣晣㕤㐵捥㝥晢㐴㙤捡慣㤹ㅤ㐵㤰㈸㡣㤲㠶搱㌶愹攵㘸慣搹㉤㜹㕥敤㤸㥢㠲㠷戸愸㍥㉦㥤㤲攱㜸挲㠵㠳敢㈵搴收捡㤵㠳㐰摦㐹㜳㡣收㠹摥㐸㠶挰搱慣摤㜶改搰攲扣㕤愵㜹搴㔸ㄱ捡收换㡢捥昶㘷㌳搷搶昲㠵㙡ㅦ㝡扡扢㔲㕥㤸㝦㉤晤搰㤷㥥㠱昰㡥挸ㄷ㌰㡢搷ㅥㄳ搷㌶ㅤ挷㌸㌶改㜴㈸㑡㙦捣㌱慥㠲〸㑦㈷戴㑣㔸攸摥愱昷㐲㡢㘹ㄶ㉦㔳ㄶ㈱㜳晢㑤戸㈳㈹㔲㔷ㄱ㈰ㅤ慡搸挲㠶愳㤲〰攰摤挵敢捡㤵愳㤹㜲昹㈸愷搴㍡㐹㔵攷㙣扢㐶㠶搹改㌲㙡㘱捥㑡戵戵㌵昰㐴ㅦㄵ攵ち挲戸〶愲㝢扣㔰攸昵㍣㔶㡤㠳挸㙡〳搷㌵㘶愱㙣摤换㜹搹㍢㘹㔶ち攵摥晤挲昸㝢て㔴昲㔹㍣户㝢㉦敤挵散慡昵づ昶㥤㈸㔴㑦愸㠷摣㐷晥㠹つ㙦敦散扤慣㍣昹搰㍦㍥㜵㔷㙥晢摤㙦㔳㥦㜵ぢ㕡㠸㈶愹愳戰摣挳㔰搴㥦挲散㈴㑥攸㡤㠷扥ㅥ㘹㝤〳挵㕢㈰㜰扢㄰㠴㜱户戸搱㐹㉡搲㑦摥㌱昴㑤ㄴ㌷㐳㈸㜲㔰攱换㘹㈸摥愱ㅥ㠰㝦㑥〳づ愵㈶㕦ㄵ㑦ㅢ扣㜲㘶㘴㈱㘲㉢㤵㈹㌲㕢㡥愵㈶㜶㥡㘸㘹㈲愵㍥〱挷攴扡㉤〰㝣摣㉤㘸㈱挱愴戵〲㐰㠱昵㍦ち戳㤳㌸愱㌷ㅥ扡㠴戴㉥㔳捣㐳昸〰愸㌸㐹㐵㙡㉣〰㔴㘹挴扢慦敡㠵㄰〰ㄶ愰㜸㠷晡〰晣搷〱搸㠴㙣〱㠰㐴摦㍢昴㈲戴㤸㕥愱㑣㕤〰㡢㈰〰摥〹攷㠱〰摣收ㄶ戴㄰㜴㔲㙥〱攰摤㔰搴慤㌰㍢㠹ㄳ㝡攳愱㙦㐷㕡扦㤷攲㝤㄰㍥〰摥敦㈴搵ㄶ晣ㄵ〰敥愰搱〷㈰ㄴ戹扢〰㜰㈷ㄴ敦㔰㌵昸慦〳㐰㥥㉦〰昰昲昶づ晤㈱㘸㌱扤㐲㤹攲㡡㈰〸㠰㕢攰㍣㄰㠰扣㕢搰戲㜸搸〶㑦〲挰㍤㔰搴ㄱ㤸㥤挴〹扤昱搰昷㈲慤敦愳昸㈴㠴て㠰㍦㜶㤲㙡㍢晥ち〰昷搳攸〱〸挵㜵㠵〰昰㈰ㄴ敦㔰㌷挳㝦ㅤ〰慥㐱〴㠰㑥慦㥣ㄹ㥦㠶㠸改ㄵ捡搴㘵戰〸〲攰㄰㥣〷〲㌰敢ㄶ戴㉣㙣〶攱㐹〰㜸ㄸ㡡扡〶㘶㈷㜱㐲㙦㍣昴㈳㐸敢捦㔱㍣ち攱〳攰昳㑥㔲㈵昰㔷〰㜸㡣㐶㕦㠰㔰㕣昳〸〰㕦㠴攲ㅤ㙡て晣搷〱㐸㈲㕢〰㘰㌴摥愱㥦㠰ㄶ搳㉢㤴㈹慥愴㠲〰昸ㅤ㌸て〴㘰愷㕢搰戲攸攲㌲㑡〰昸ちㄴ戵〳㘶㈷㜱㐲㙦㍣昴㤳㐸敢慦㔲晣つ㠴て㠰扦㜵㤲㡡㑢㌱〱攰敢㌴晡㍢〸挵〵㤹〰昰つ㈸摥愱〶攱扦づ〰搷㙥〲〰㥦㌶摥愱扦〵㉤愶㔷㈸㔳㕣收〵〱戰ㄵ捥〳〱戸搸㉤㘸㕥ㄱ㐶挶攰改㌷㘴昲㍡㜷㌸㙦ㅦ㈷昵㔸㤷挳㜶搱攴㐲戵㔶ㄶ㥥搴㥤㥢㉡敦㉢搷愶昲搵昹㠲戹戸㍥攷㉡搷捤搹㈵慣㘲㉡㔸捣㌴攵㤵攷攷㙤㑢攷㘶换ぢ㤵慣㍤㌳昵㝡㔸攵〰づっ㥤㉣㜰挲ち挷慢㈳敥㜰愱㌰㑢㜰㠴㈲愴摢捤晣㑢㌶慤㝣㙢㈵㔱㌹㝤㝡㤶㄰㍤㤴慦ㄵ散捥㥣慣㔳㐴㡦收㠰㈲㤶㠶㔶㐷敥搰ㅣ㐸挹㔴㜷㙥㜷㈵㙦ㄵ昲㈵㥢㠳戱挱㌱扤摡㍥㠲㘵攰㠱㜲㌵捦晤挱敥摣愱㡡㔹慡捥㤳搱㘶ㄷ㑦㙦㐸〹昵㡤攴㈶昲愵㉡㥡㤱㔱愴摥㤳㥢㥤㉢ㅦ挷㠶昲㐲戱戴摢㥣慦扥㉥㐶㠵㤴挱㌹㘴㘸㔴㔸㠵挳㉡ㅡ㡥扥摡昱㌱晥ㄵ摥搶㘳て昰搲㝤攵㕥捣搳㕡㈵㥦㔹㈰㘰搲〸㙦㡢敤ㄴ㌲㠶愱〸ㄷ㑢捤摣搵㌷㠴㑤ぢ㑦昶戵㘱ぢ㌶㜰つ㔴摦愵攷捤㕦㝦㤷㜵扥〷㜱攵敥㙢㘷㤶戶㘴㝥慢捤昴〸㤷㜷㙢㕥〱㤳㠵慣㜳愶㄰㔷挵㥣㔱戸㌲㌱ㄳ㤸㙡㥥㤶戱㥣搸㜰㠶慥㕢㔲愷㐱㔶扢㜲㔷㥢ㄹ扢㠰戵㕦搱慣慤㜳ㄲ㕣㠴ㄷ捤㐲搵㉤㥢㉣ㄷ㡢㈶愷ㅣ户㡣㘷戳㘶挱㡥收挶ㄷ㙡攵扤昹㤲捥㐱挸扣㜴戳捣ㄳ挸㌲㑦㌸慢戴摣㐱敥〹㠹㑥㕦攵㈳㘶㈵㕦㥢㉢收戳㔱㈶戸㙦昳扡㤸慢戸昸摢〱愶㜷㜸昷㤲收㘵㥦戳昸挲㜰昷㘱愷㠴搰㜱昸㌱愳挳捡挰㍦昵㉡户っ㜰攳㤱〷㡡晥㍥扣㐵戸㈴挷㑤捣改捡㈹敦搵搱愹摢㤰㈳㌷㈷㌵㑤〳㥣晡〷慥挲㐴㍢ㄷ摤㉢慥㈷㍢㘰㄰扢扡㙣㕡搳㘶ㄶ慦㝦㍡摣㤷㍦㔱っ㉤㙦㌵㤵㌸㔷昸㤳搸㌴挲㘶搴戱扣㘵㔷愲捣㤸挵㉢愸㜶敥つㄸ捥ㄸ㘲愱搳ㄶ㡡㐴㍡愳㐱㙤捤㜸扥㌶扢㡢㈶晦㉢慥㤹ㄶ晦㉦㕣㌳戲㡢㝤㡦挵戸㠷慡㥦愲㜸ㅡ㐲㜱敦㠰昱㌴ㄹ㍣㐳㠳㘷㈱㈲㕣愵㌶㡦㑤攳㘲ㅢ㑢㜲㙥捥戶换㙢ㄳ㙥〳㐴戱㘴㤶晤㠳㠸〴搲改㕢昷ㅢ捥㤲㍦㡡㍡搰㡡㔵㘳ㄶ戳摣戶㘲捥晤㤵晢ぢㅣ㡥㜰戸ㅤ㐳㙤㌴敦㤹戶㌴㑢ㄷ戳戶㙣〸㈸戲㘴攳㠷㄰㌱㕥㉣昰㥦挶㑢㠹㉢㤰挶愳扤捥㔸㘲㌱晤㈳㘴㠵㘲㙡㉦愴ㄷ㌷搹㜴㉣㜶ㅡ愴㝥㥥攲摦㈱ㄴ㤷㝤㘳㌸㌹㐳㘴㌶挴㐲㡡㙢㍤㍥慦㐲挶㝦㐰慣昵晥愸戸㍡攴㍤㔲晦ㄸ㐲扤〵㠲户㥥晡㔴㝣〱晡敡㔳昱㐶搶挰愹㝦攲㉡㑣㈸慥㈹扤㌰㤸攱㡥敦㑦愱敡㥦搱㠰敢捤〰㠳㔳㌴㜸㤱〶㘹〸㡥戱昱㜳㠸㑥て㍢扥㈹〹〰敦扦㘰〳昰戲㤰㥥㔳づ㝤㉣搶〱愹晦㥢攲ㄷ㄰慡〰㌱㠶ㄳ㙡ㅤ㍣㍥㍢〴㍣㑤昰攴㘸㝡㤰愸㌲㜲〵愸晦㠱愲收㈱ㅡ㠰晡㈵㌲㔶〷慡挲扡㌸昵慦㕣㐵㠰慡㈲攱㜵搹〷搴㑢㌴㝣㤹㠶戵㘰㠳㕦搳㠰昳㐷㉤㐰〸㔰昴敥〳㉡ㄹ〴㔴㔸摡㔰㕣慥㝡慤晡㠰㙡㐳愹收ぢ㙡昵㙥ㄸ㡣攱㠴㕡〷敡㜶愴㔶〱敡扤㌰ㄱ愰っ㍡㜹ㅦ㔲つ㐰㐵㤱扢㍡㔰敦㘷慢㌸戵愶ㄳ㌷愱敥㠰攲㜵㤹㤹敥㡣㡡㐱搷㥤㌴攴晡㌵挰愰㡢〶摤㌴戸ㄳ〶〲搴㍡愴㤶㠰挲ㅢ慢㠰ㄹㄵ㠷つ㘶搴㠷㝣㑥㝤㐰㥤㐶愷愷搳㈹㤷愰㘳㌸愱搶㠱扡ㄷ愹㔵㠰扡て㈶〲搴〶㍡昹㈴㔲つ㐰㥤㠱摣搵㠱攲㌲ㄶ㠶㜸㤳㐸㈷㙥㐲摤て㈵〰㠷㌷挰㐰㥦㐵挳〷㠲つ捥愶挱㌹㌴㜸㄰〶〲搴戹㐸昹㠰ち㥣㔱攷挳〶㐰㝤摡攷搴〷搴㈶㤴敡㕥〸昵㌰っ挶㜰㐲慤〳昵〸㔲慢〰挵搵慢〰昵㐶㍡㜹ㄴ愹〶愰㌶㈳㜷㜵愰㍥捦㔶㜱敡㉤㜴攲㈶搴㘳㔰〲㠰扡〸〶晡㘲ㅡ㜲㍤ㅣ㘰戰㤵〶㙦愲〱㤷挸〲搴㈵㐸㉤〱㠵㌷㠷〱㌳㙡㍢㙣〰搴ㄳ㍥愷㍥愰㉥愵搳㍥㍡晤ちっ挶㜰㐲慤〳昵㈴㔲〲㤴㜱ㄹ㑣搶㝣㠳晦㉡慡〹㜸晤㜴捣㈵㜰〳㜸㠳挸㕤ㅤ㍣㉥㤵㘱㠸㜷愳㜴攲㈶ㄴ搷换〱搸㈴㘱愰㔳㌴攴㕡㍡挰㘰㠸〶挳㌴攰昲㕡挰ㅢ㐱慡晥㜰挴ㅢ搱〰散㉥㠷〹戰攳ち摢昳改挳㙥〷㝤扥㤹㍥挹挷㘹慡㜷㌲〵愵つ㘷㠴㥣慡㤹㉡戴搰戸㜶ㄸ挵㜲㈴㜴戳戵挵〲㐸㌴㔵㔲〷㐷㈳〹㜲㡡㐱㘸捡ㄵ摣㈴摢㥢㕦敥搴敢敥㠲慢捥つ㑤㉦捥愴ㅡ㑢挸ㄷ㈳㕦晥㜵敢换愱㝡㝤㜶㝣㘹ㄷ㥤㜵㜸ㄸ㈴㑡ㅢ昶收戳㤵㜲戵㥣慢昵捥㘲㠱搸换ㄷ㤱戹㔰愸㝦㍣昲㈵㜸っ㙣㤳㠱戵㤷昸㕤挸㌱㙥捣挷㡥㤶捡挷㑢搲㥢㐸㤵敦㘳搹㥡敥攸㘰㌳㌱㥣㜲㕣〸昰攲㍦㠰捡捡㝡ㅣ㈶摤㙤昱愷愰搳搸㤸㠰摣㌲㌹㌱㜹㌰㍤㥡㐹㡥收戲㐳㠹攴㔰挲㑡㕡愳㈳㈳愶㌹㙣㘶㠷㉣㍢㤳㑤㔹愶㍤ㄸ㝦摡慤愳㈷㔱㈷晥㡣㤷㥡㘲敡㔹㉦挵戲挸㡦㤰㕡㉢戱㘲慦㔴㐶㘵㤵愵散昶㡥づ戵愵改㝤㘱ぢ㈱慢扦㜰㌱っ昲戱挸攳〰㙢㙤㤵搰㌵摦㔸戰㌲昷捤昵㙥攴敢㍤㄰戱昸昳㐸戳㐳挶っ㤲愷㑦㑥愴昱ㄶ挰㝢㉦挰昹㘳㕣㠹晣㉥攴ぢ改挴㔷㍦㔵攳㉡攴慣㐳㡥㙦〵㙡㕣㡤扣搳㤰搷昸㘵㑦㥣㥣㑦〶㘱㤶捤㜲慦挱昹挶攵〰捣㤵昰㌶㘶㕤挳ㄴㄴ㌹㕦㠰挲㈹慦ㅥ㐶㤴㥣㘸搰㐳㕡㘸㌶㈶㡡㝡〸㌹㥣㉣㡤㠳㑤昶㈶敤㕣ぢㅦㄸ㙣㌲㌵㝡㌳づ㐳㍡㠳㥤ㅣ㑥㤸戹㐴㘶挸捣㈴㔲㐹㍢㌱㌲㤲ㅢ戲㐷〷晡㌳㈳愹㘱㙢㈰㌹㤸㡣ぢ戱㘳㕢搷愱㑥㥣㔴㡥ㅥ昴昵㑣〹愷昳捡ㄴ昹ㅡ〷㕣㝤〶ㅤ攱㘰〸愸㙦㠵愱扥ㄱ㈲ㄶ㈷㘵ㄳ㔰㙦㐲戲ㄹ慡㥢㤱搷〸㘸ㅡ㌹慤攰ㄹ㙦㐳㜶挰㠸挴挹〵㈵搸㌳愰挸㜷㌸㍡ぢ㔳攷㡤㠴㜰㍣收昳捡挰捦㌹挹昱〴搴㝢搱摢㔶㔰敦㐱㙥㉢愸㘴㝡搲㑥ㅥ㝥〰㉡㔹ㅤ㍤ㅡ户㐰㍡愰㘶敤㔴㈶㘹昵㕢〹㝢㌴㤵ㅣㅤ〶慡搹挱㤱㤴㌵㘰㔹㤶㙤摢㠹㑣㕣㐸㈰敡攸愳愸ㄳ晦戵敢挱〱㤵㈳㑢㝦㔲㠶ㄵ愸ぢ敡㕤㝥㔰换挸搵昳㄰戱㌸改㥤㜴㠷愰㙡愲愸〹㥣㝥ㅢ㐴ㅣ㜷㌴愷昰㍣㍡㍣㥦攲㌸ぢ㌹敦戰戰㜵ㅢ㕡㜴ㄵ晣〹㈹搲㌹挱攴㝤㠱㤸摣ㅥ㠸〹㐹㥤㜴攲㔶㈸挰㠴〴づ扦㤰昱づ㐸〷㤳晥愴㌵㤸㑢㡥㥡昶㜰戶㍦㌹㥡ㅤㄸㅤㅡㄹ戶㉣ㄳ㔳慤㝦㈸㘷㔹〳㜱攱㝢散攱㙤愸ㄳ㈷挳愳〷〷ㄳ愱㝡㕥㤹㈲㡤㤳㠹昶づ㍦㈶敦㐱慥扥ㅤ㈲ㄶ㈷㤳㕢ㄶㄳ㌲㍣㈹摣㑣㠷㕢㈸敥㘴㔵挱㐴㤸ㅢ戳晥㄰㔹昸㌹㈷㤹㥢㘰㔲〹挴㘴㍥㄰㤳㌳㔱㐹摡昹〸ㄴ㘰㐲慥㠶㕦挸戸ぢ搲挱㘴㈰㤷敢ㅦㅤ敡㑦㘵㜲戶㤵ㅣㄸ㐹㤹〹慢㝦㌰㘳㈷㑣㕣㤰㈹㉢㘵挷㠵摡戱㍢ㅦ㐵㥤㌸挹ㅣ㍤㌸㤸〸慢昳捡ㄴㄹ㥢㘰㜲㡢ㅦ㤳扢㤱慢敦㠱㠸挵㌷㐱㉥㡢㐹慦㔷戸㡤づ户㔳摣捦慡㠲㠹㤰㌴㘶㍤㠸㉣晣㥣㜳㌳㌴挱攴收㐰㑣㙥っ挴㠴㔴㑤㍡昱㘹㈸挰㠴戴っ扦㤰昱ㄹ㐸〷ㄳ戳㍦㥢㑤㈶㌲挳㠹㙣㈶㥢捣㡥㡣㡥㕡㔹ㄳ㑦愰㤱㔴㌶㘱攷㠶㠷散戸戰㌸㜶攷㑦㔰㈷㑥摥㐶てづ㈶㐲攰扣㌲㐵㜲㈶㤸ㅣ昶㘳昲㔹攴敡㠷㈰㘲㜱昲戳㘵㌱㈱㙦㤳㐲㉥ㅣ攵ㅢ㌲晤㤷慣㉡㤸〸昷㘲晥㘳挸挲捦㌹挹扤〴㤳㉢〳㌱搹ㄳ㠸〹ㄹ㤸戴昳搷㔰㠰〹搹ㄶ㝥㈱攳㜱㐸〷㤳㐴㌲㥢ㄸ捤㘰㐶㔸愳搹愴㙤づ㡣㘴ㄲ㤹㐱㍢㙢愵㤲戹攱㤱挱搴㜰㕣挸ㄹ扢昳〴敡挴㐹挷攸挱挱㘴搸㑢戱㑣㤱㜴〹㈶ㄳ㝥㑣㑥㈲㔷㝦〹㈲ㄶ摦〱戹㉣㈶攴㘳㔲挸㜷㌵昲挹㥢晥㉡慢ㄲ㤳㌸改㤹ㄴ㝥つ㑡㜷㕢㠴っ㘳㐷搳㐳㍣㜸愷㜶㕢昳昷㔲㔷攰晢愷挵㌰㥣戶㘱㡢捡搹搸㘹て㕦晥敡㝣㤱㈶㜰㕦㤷㘷㘴〸㔱晦ㄶ㝥㄰㤱㡦㌸搰攳㈶㥣晡敢挸㡦㤰昰昴〷㜵㜱愵㙦㙤つ㔴摦㔸㥣愹㠲㐱攰㥢敤㐳攵昱晡〷扦愷㜹捣㘲㥢昷ㄹ捦㤶愵㥣昱㑣ㄵ敦〴㙡戶㔷㙤㝦愵㕥て㥦挵㠰㄰愲㘰ㅢ㍦晡搹戸㤴昲㙤㡣㥤戳㤴㍢㔳慡攲〳㌵摢昲㍣㔶戱㐰㘹て户愹挰扤㙡昷搳㕥敥㠴搱ㅢ㍥㔱㥢戱扡ㄱ挱㌹〱摢㠲ㄳ昹㥡㙣慢㤳㤱㈸㑤㜶㘹㝣㠳㌰敤摣㍣戹㜹㈸㌲㠸㜱㔸㜳ㄳ愸收㐳㥤つ㜲㙡挴昴㌷㔱愰挸㍡改㡤㔹㍤㘴㜰㥣㠲㠴搵㜷㥣摡攵㈶挶㥣扦搱戱ㅥ搲㍣戱扣㐹㕤㜰搷㜸攴愹摢敥㝦昱捦㜶㙣昹搴㕦扣攲晥扤㉤昵搲㠶㥥攳㕤㑦敤㔲㈴㘵敢㔱慦昹㈳㠷㑢搱㘸攰晢扤敤㙥㐱昳㔷ㅥ㜱ㄲ㍡戹㐰扥つ愵扢㑤㤱㤵昱㈲㔱㤷愰〶㘷愶㑣愶敦㌰攷㍡〸㑥㈸愵㐹搵㡣㝦㠱㜰㤰㔳ㄷ挱捥㡢㌷愶扦㑢ㅢ㜲㌱㉦慢攷慤㐸慣つ〲㤲戲戵㐱㤰㠵㘵㄰〴ㄷ戸㤱戶㝣攷搱敢ㄶ㌴㝦攷ㄱ㈷晤ㄲ〸㥥㠶〲〸挸愱〴㠲昳㔱愳づ挱戳挸㔵㐷㈱ㅣ〸㐸慣㡣攷㈰㕣〸捥㙥㠰攰㜹ㄴ昴㤰㄰慤㉤㙡戲愶戵㐵㝤ㅣ㤶㐱㔱㙦㕣㉥敡つ㙥㐱昳挷ㅤ㜱ㄲ㉣㠹晡㈷㔰㄰㌵㔹㤲㐴㝤扡㍦敡㥦㈱㔷㤱晣㌸㔱㤳㍡ㄹ㉦㐲戸㔱慦㙢㠸晡㍦㔱搰昳ㅥ㠸戵㐵㑤㕥戴戶愸挹㠵㠲愲搶换㐵ㅤ㜵ぢ㥡扦攸㠸㤳㐲㐹搴晦ぢ〵㔱㤳〷㐹搴㠶㍦敡㕦㈱㔷㤱摥㌸㔱㤳ㅣㄹ㉦㐳戸㔱㠷ㅢ愲㝥〵〵㍤㜷㐳慣㉤㙡㌲㥦戵㐵㑤戶ㄳㄴ昵换㉦㉦㜳㤱扦攴ㄶ㌴㝦挶ㄱ㝦搰㙤㔳㜳ㄳ〶㔱㤳改㐸搴扦㐴㡤晡っ敦㐰愱㈲㠱㜱愲㈶晤㌱昸㝦㠰摣愸㝦〱㕢敦㡡㡥改㑥ㄴ昴㤰戶慣㉤㙡㜲㥢戵㐵㑤㍥ㄳㄴ昵㡢换㐵㝤捡㉤㘸晥㜶㈳㑥ㅡ挴㌶昵㘹㑥搴攴㌲ㄲ昵㑦晤㔱慦㘷搴㑦愰挸㠹㥡〴挷搸戸ㄴ昵㡦ㅢ愲㍥㤳㔱㤳㤸慣㉤㙡戲㤷戵㐵㑤挶ㄲㄴ昵㜳换㐵晤㐳户愰攵㠳つㄲ㥤搵㍥搸昰㝤敤摥〳㠰㈲㌹㙥ㅦ㜴收㥣㙣㜲ㄳ㙣㐰攵ぢ〵搹扢改挲晢搵ち扥㌷扦ㅡ㥦ㄱ攰慤㉡晥扦㡤扢㜱㠰捦ぢ昸扡捡㝢㠳愷㈵挵捡㐶㙥㝦〵慦昴㍡㜲㌳㔵㝣晥㘱㐵昱扤㙣慤㠶晦愳昳㝡㜸昹㡡摤戴㜶㡣㈱づ攷戵㙢攰㐶ㄶ㥦捣㠱㐴挰昹㈲㘳〹て敦㌳昲㌰㕦换扥扡㉦㐱㡣昳搰ㅤ㙦㥦搵昲㝤㘸㄰㔶捦㘰㠸㥤愵晥㍢㐳慦㐸㥦挱㌱昴㈶搸ㅢ扤㄰晣〸㔴㈸㌵㐴㑣㕦㠰ㅣ搹搰ㄴㄱ㡡㤰晥㌵〷挷慤挵㘹搸㠵㥡㍥〶敦散昴戸〸㕢㘹㈷㠵㔹㠹㍤㜱慢戳愳㤸㌶昹摦〸愳挵㜴挱㉥ㅤ愹捤搵晦敢㘰㠷㝣㕡慥㉦㐴㍢㙣㡡㠷㈲户攰扣㌴㌶㈳㉢㌸搸敦〶〶㝢ㄱ散㌵㠳㕤ち㜴㉢戳戸㜳敢〴慡㐸㑤ㄸ慣㜷㈸搲て㠶愰㉦㠱㈵慢昲㔰㑦㈳㠷㕤搰散㐲㔸晤㔳㘰㜳㤷搲㜷㘳㜳㤷㌱换搷摣戳昰搱搰ㅣㅦ昵搲摣〰ㅤ㍢慤㠵ㄴㅦ慡扥收扥ㄱ搸㕣戲戵戹愱愶收昸晣㙤㘸㡥捦㔸㘹㙥挴摦ㅣ㥦㘶扥收㥥っ㙣㙥㐷㙢㜳㍢㥢㥡攳㠳慦愱㌹㍥摣愴戹㕤晥收昸ㄸ昱㌵㜷㌲戰戹㠹搶收愶㥡㥡攳ㄳ愷愱㌹㍥㔵愴㌹㑥㔳晣攴㔰扣㝦戳㌹㘳㌷㤴攰改昳㔷㠱㕤㤸㠱㝤搳㜸㕥挵㉣摦㜸昲昶摦搰〵摥攲愵ぢ㝢愱攰㈷㐷㠴㔷摤㥡㙦〹攸㙡㘸㍤㙥㥥敥晦戸攵㠷㈷摢ち晣晦戶㐱摦㌱㌴㝥攷戳て敤㈸㕥换昴愱昷扢ちㄳ㍤扣愲愸㐴㜱㠶ㄴ慦っ㜶㑡ㅦ㘰㌶㉦ち愹㜱㡤慢㐸つ㕥〰㑢㌵㌸戹愵挶㐱㘶㜳㕥㑢㡤㔹㔷㤱ㅡ㥣挳㑢㌵㌸㍦愵挶㈱㘶㜳㙡㑡㡤㙢㕤㐵㙡㜰ㅡ㉥搵攰ㄴ㤳ㅡ㠷㤹捤搹㈵㌵慥㜳ㄵ愹戱换㑤㌸㜱㜰㤶㐸㡤敢㤹捤〹㈲㌵㙥㜰ㄵ愹挱挹㐰挵愹挱㐱㤵ㅡ㙦㘱㌶挷㔳㙡扣搵㔵愴〶挷㙥愹㠶㠰㡡晡晡㐶㘴㝢㐷㥣攰ち㍤戸〹ち㐸㤱〰㐹慢㥢晤㔶〴㔴慣搲㡥㤵㠰搷㘲㐵㄰挵捡㜴慣〴戰ㄶ㉢〲㈷㔶㔹挷㑡㐰㙡戱㈲㔸㘲㘵㍢㔶〲㑣㡢ㄵ〱ㄲ慢㈳㡥㤵㠰搱㘲㐵㔰挴㉡㉦㔶㜱て〰挵㤸㠵ぢ㝤〲ㄷづㄹ攰〴敡㘲㥢㌵敥〵慦ㄸ慦㔸㝣扣搱㐲㌱㐴㈹昸㔸㔳〱愳㤲㠲㡦㌶ㄵ㌰㄰㈹戸慢愹㠰㝤㤷㠲㡦㌴ㄵ戰扢㔲昰攱挶㠲捥晦〳㐸㐴攳㈱</t>
  </si>
  <si>
    <t>CB_Block_11.1.1000.0:1</t>
  </si>
  <si>
    <t>㜸〱戵㔶㑢㙦摢㐶㄰㈶㈹㔱ㄲ㈵搹㘱㙣戴㐰㠱ㅥ㡣㈲愷挴㈱愲挶㐶㥤㠳㤱㔲㤴ㅤㄹ㌵㙤㔵㔴㤲㑢㡢挵㑡ㅣ㕢㑣昸㌰昸㔰愳晥㠰愲攸㍦㘸晦㐴㉦扤攴㍦昵摡愲户㜶㠶ㄲ㈵㔲㔶〴ㄸ㐸挷昲扥收㥢㈷㜷㜶㔷㄰〵㐱昸ㄷ㠹㝡愲㌲つ㍥户愶㔱っ㥥㘶〴慥ぢ愳搸〹晣㐸搳挳㤰㑦捦㥤㈸㉥㈱愰挲ㅣ攴㐷㌲㡢㥣ㅦ愱挶㈶㄰㐶〸㤲〵愱㔶㔳㈴攴㤳ㄲ晡㔷戳㠹㐲㔲捤㌲㌶〳愳㝤㌹㝣㠳㕡慤㌸〸㘱㝦敦搵㑣昶戸搵搲㕡摡挱㘱敢㑢敤挹晥㥥㤱戸㜱ㄲ挲戱て㐹ㅣ㜲㜷㝦慦㤷っ㕤㘷昴つ㑣〷挱㕢昰㡦㘱昸攴改㤰ㅦㅣ戵づづて慦㥥㍤㍢㙡愲㘹攱挲㘸昷㐲戸㡡㍥㤲㑥㤹㕣㍥散挰挸愱搸〰㐲挷扦搶㡣㌶晥㜲晥㙢㘸搱㜶㐶ㄸ㡡㜶㘹搱搸ㅡ〳挴つ㤴㙣戰㜴㤸㝡戴捤㑥摥㡤挰㌵挰㜵晢攸攰づ挳挴㈶㥥㝦ㄹ㍡攰挷㥣昲慢戰㌱㡦㍡㍣㠶愸㐱愳㉥㜰ㅢ昳戲换搲㈴搹㌳戸㠵㉥㐰愴捥搷晡挱て戳㠵㈲攸㘴㠲㉡昳愰搹挲㤶昷㌲㠲㍥昷慦攱㠲㝢㈰㝢㉦ㄲ挷㉥搳攷㤰㤰㠴搲攳㜵㘱愶慥㉦〳㕣㠶㐳挹㙥慤㤳挸㈷挶㘸㝦愵ㄵ愲㈶㙢㈲㔲㘳扥戹㔲ㄷ㜰㑤愹㔰㔳㈵慥㈰搴㤱㠴昲㍦戸㈱昳㌰捡愷挴戸挴㠶ㄲㅢ㐹捣㤶ㄸ㐸散㑡㘲搷ㄲㅢ㑢捣㤱搸ㅢ㠹扤㐵㑣㐶戵㙡㤵攲㈲㝡晣挷捦摦㍤㝤昸晤昹㉦㥤慦ㅦ㠸敦㝦晡扤愹㈰愸㘷戴扢攰摥㘰㠶㍦搶㕥愱ㄸ敥㤶㐴つ㈵㜶㔸ㅦ慥㐳㠸㘸㠳㤹㄰㡦〳ㅢ㍦㝦て㍦㜳㘰て愶㌷搰㘴ㄶ昰㈸昰戹敢挴搳㙤㌶㐳㔸愶慥㈷㜱㜰㝦㌹㥤〹㐴ㄹ愰㔳〴攰㜴〵㘰㥤㔸愴攱㕥愶〱愷敥捤㤸㉦攴㡢散捥㙤㜶ㅢ㘲慥捥愵㍢㠳ぢ㡢攵ㅤ㥡㉤㤰挲〲㠴㘴㌲㡢㈹愴㌷㜶戶㌲て搲㠸㌲晢㤶㕥㜰挷搲㕦㜰捦㕢㜸搷㝤㥤㠲㌳㔵㌴捤㍢㡦昳扣㈵㥣愶搲ぢ㑢㈶戹扡戰㘴ㄶ㘴㉤㜳挵㔲ち㕥㕡㉡愲扢慦捤愲愵㤹㜴〶敦っ昴㌴㉤换㈴攰㥣㍣捤〳㡡㠹搴㔹挱㍥㘹挰㈴㉤昱收㡡㐲㥣ㄷㄵ㥡慣愸搰㕣㔵㘸捥ㄴ㔲づ㍣㍣㜶㐶㝡晦捣搴㍦愱㍡㠷㄰晣ㄱ㐴㡦㉥㝤㘳㑣愷㠴晤㐵㝥昵敡攴㕤っ扥つ㜶㉦っ戰㙡攲改㠰て㕤昸戴〰搱昱㥥㤸〰㌲㍥㉢㉣㥦〶愳㈴㌲〲㍦づ〳户挸搱敤〹㐷㥢戶ㄹ搸㈰愴㘷㔱㔶扥ㅢ晡㔲㐹ㄴ〵昱攱扡挳㘷㕥搱摡戲㝥㑥晣挴愳㜲㝦戴〹㥥㉢㌱慡㌹挲㡢㌵晣慢㠸ㄵ晡摤敥㘶换ㄵ㜱㜷㝥㡥愵〷㙣㤷晢戶ぢ攱挶㡢㔳愴㜳㔳㤰晦挶挳敤づ〱搰㌵㕡㥤㜰㌷〱挶㠴ㅡ戹㐷㈴晦㠵㕡敥ㄲ搷㝡㌵㤸㑣っ㌷扤愴㝦晢㤵攸晤㜳㌱ㅢ㘴晤慤㠵て㌲晥て㘴㘶㉣敢㍦㘸㘳〱愸㉢㑤っち慦ㄱ㤹敥㤴扢摦㔳㤴つ㈵扤㈰昱戹ㄱ挹摥㘹㄰㐶愵搲扡㉦摢攵搱㌸愶㑡搸挸愴㝢㑦搹愲㘶ㅢㅢ㤱㥣愳慣㉢昷戰挹愸㑣晣㡤㕡㈸㤶晡㜹挰敤㔳㑥慦㡤敡晣搹㔴㌳〲敦㠶㠷㄰慡攴㡣㠱愵㠴㈵㍡㜱昰昱㔰愳〵ぢ㥦㘷㘵ち愳昲㡡㜶㔰㈴〸愵㤲㈰换㡤摡㍡㕢㘷㤹慥〷㙢㥥㝦㘷户昴晦昹敤搱㜳昲扦㕥愷㠷㤲愲㔲㜳ㅦㅢ㤱挲愴㜸㔶〰㍢〴搸挵㐶捤㈲㔷㐹㠶㐸㈵㌹㈲㤵㐰㐴㉡〱㠹ㅡ晦〱て㘸㕡㑣</t>
  </si>
  <si>
    <t>㜸〱敤㝤〷㝣ㅣ搵戵扥慥愴ㅤ敢慥㙣㙢㙤㥡㌱㘰换挶〶㠳ぢ敡㈵㘰㕣㘴换ㄸっ㌶戶㌱挵㌸昲㙡㜷搶ㄲ㔶戱㜷㈵ㄷ㐲㙦愱㠴〰㠶搰㝢愸〹ㄸ〲㠴㥥挴㠴㑥〲愱㠵㌴㐲ぢ㡦㤶收昰㤲㐰昲㠰晣扦敦捣摣摤搹搹㔹慤㈸昹㍤摥敦㥦戱昶㜸敥㌹攷㥥㝢捦㌷㜷㘶㙥㌹㌳㔳愴㡡㡡㡡晥㠵㡤晦㜳㉢攵捥捥㑢㌶愶晡散敥㘹㉤扤㕤㕤㜶慣慦戳户㈷㌵㙤㔶㌲ㄹ摤戸愰㌳搵㔷〲〵慢慤ㄳ昲㔴愸㉤搵㜹戴㕤搶戶捥㑥愶愰ㄴ㉡㉡㉡㉢搳挵㤰敦攸晥㈲㈶愱㤹㑢㤷㤲㐰慢㐸㕢㈴㐳㐸捡㐸㌴㐹㤸愴㥣㘴㈸挹㌰㤲攱㈴ㄵ㈴ㄱ㤲ㄱ㈴㈳㐹戶㈱搹㤶㘴㍢㤲敤㐹㜶㈰ㄹ㐵挲昲昵㘸㤲㥤㐰㠶敥っ戲戴㘵昶挲昶愳攰捤㤲扥摥愴㍤愵㜲㤹㔳攷改搵搵搳慡愷搵搵㔷搷㑣慢㥡㔲搹搲摦搵搷㥦戴愷昷搸晤㝤挹㘸搷㤴捡㐵晤敤㕤㥤戱〳散㡤㑢㝢㔷摢㍤搳敤昶慡摡昶㘸㕤㔳㜵㕤㝤㝤愲戹戹㘹攸㉥戰㝣㔰换散㐵㐹㍢㤱晡愲㙣㡥愱捤㠵㉤戳愷ㅤ㘴昷㝤㔱㌶挷挲㈶㑣捥改敤㡥㜶昶㝣㐱㐶㐳㍣愶昵㜳散㔸㈷て扥㙤㈷㍢㝢㔶㑤㐳戵戳㠰㐶慡㜱摡慣㔴慡扦㝢つ摢㔱㡢摤搵戵搸㑥挸㐱敦㥥㤳敡㕢ㄴ㑤㜶愷㠶㜶ㄳ㍦㍢㘹昷挴散搴昰敥戹ㅢ㘲㜶㤷慢㤸㉡敢㕥ㄶ㑤ㅥㄴ敤戶㑢戹㔳搱敤ㅣ挳昹㜱扢愷慦戳㙦攳戰敥㐳㔲昶攲㘸捦㉡㥢㉡愱敥㜹晤㥤㜱㔵㕡㡡扦愲㤲摤㠳㙡㈶〷ち昵改㙥改㠸㈶晢㈴挵㐳㔸ㅤ愴敢㘹㉥攲㐵㔶扤搸愴㉡㝤戹㜸捣㤶㜴㜶ㅦ㘰㈷㝢散㉥ㄶ挲㈳㌹搹愷㈴〰㌹挷㈱㡤㤴㜱㠷㐷㐹㤵扢㈷ㅦ㝤㘱㈹㔶㈵挸搸㌹㠷摢愹㠳㝡愷㉣㑡昶戶㑦慦㥡㔶㕦㔵㕤㕦㔳摤㔰㕤㕦搷㔰㔷摤㕣搵㔸愳挷㐱㐹㡦愷晡慥㈰㈵慤戵㔵㝡〲㔹ㄳ㐱㔴改慦㜱㠶㝢敤昲㉣㉢㙥㡢ㄶ户戵ㄷ户挵㡡摢攲挵㙤㜶㜱㕢愲戸㙤㔵㜱㕢㐷㜱㕢㘷㜱摢㔱挵㙤慢愱㘳戶戲㈱㐳㡡摤敤㤲㐵晤户扤㝤攷㠷戳ㅦ㥣㙥扤昱攸搴㐹㔷㈸㥥搴㜲㑤搸ㅤ㍢〵敢㌹〹㑡㝡て㄰㙢㑦㤰攲搶㐶㍤㤹㥣㈹㈰㑡扤㠰㙡戲慡ㅤ搷㥤㙡㙤㝡散敤昹户ㅤ㜹挶昵攷ㅦ㔷㜲戸攲㌵㐳捡㤸㠶㥤㠲㘵散㐵㡢㔵㈰㔶㌵昳戵搶搴敢ㅡ戲㙡㐱㤴晡愹㕢挸つ愵㡦搶㕦ㅡ摢㘱收㤵㈷㔶㍤扥㝤摤㐳扦㔳扣㈶㐹㈱昵搸㈹㔸㐸〳㉤㌶㠲㔸㑤捣搷㕡摤愴㥢挹晡ち㠸㔲㡦扡㠵㕣昸攰㑥扦㑤敥戵挳㠱户摥扡扥昳㉢慦挵㜶㔱扣收㐹㈱晢㘰愷㘰㈱搳㘹㜱㕦㄰㙢〶昳戵㔶搷攸㤹㘴捤〲㔱敡㠷㙥㈱攵ぢ换晥㍡晥戶㔳て㌸㝢晡捦㙢搷㡦㍢㜲㥣攲改㈵㠵戴㘰愷㘰㈱㜳㘸㜱㉥㠸搵捡㝣慤搵㔵㝡ㅥ㔹晢㠱㈸㜵㡦㕢挸晢㡦慦㝡晤〷〷ㅦ戹昰攲㥦扣昰收换㡦扤晡㤶攲㌵㕢ち搹ㅦ㍢〵ぢ㌹㠰ㄶㄷ㠰㔸〷㠲ㄴ户㌶攸㠳挸㔹〸愲搴敤㙥ㄹ㈵㤳㐲㕤㕦㑢晥晡㠰戳㑡㑦晦㐶捤㘹晤㜷㉢摥ㄲ愴㡣㠳戱㔳戰㡣挵戴戸〴挴㕡捡㝣慤搵捤晡㄰戲㤶㠱㈸㜵戳㕢挸愵晦㉣戹散㥤㘸昵〱摦敦㙣ㅢ昵㐹㔳㍣慣捡愹㡣㥦㜵ㄸ㐸挱㐲づ㠷㤲㍥㠲敡换㐱㔰㐸戵㍥㤲慣ㄵ㈰㑡㕤敢ㄶ昲摥扤㤵㤱㘹摦㑢戶摥㜹攷戹㌷㔸㉦扤搰慢㜸㑢㤳㐲摡戰㔳戰㤰㤵㔰搲㔱㄰慢ㅤ〴㠵㌴敡ㄸ㔹㜱㄰愵㉥㜳ぢ㌹㈱㔹晤敤㘷㙡愶㉥㌸戹晣捤昷ㄷ㙦㜸扤㐹昱㤶㈹㠵㈴戰㔳戰㤰㔵戴搸〱㘲㜵㠲ㄴ户搶改愳挸㔹つ愲搴〵㙥ㄹ㠹昵摦㉢㈹扡昳㥥〵㜷㥦㝥攷㤳戳敥㈹㝦㐳昱㡥㉣㘵㜴㘳愷㘰ㄹ㍤戴搸ぢ㘲慤㘱扥搶㥡㐶扤㤶慣㈴㠸㔲㘷扢㠵㙣晥敡扤㥢㡡㉡㉥㕡㜸摡扢㔷摤扥㌵扡㜷㠹攲ㅤ㕦ち改挳㑥挱㐲晡㘹㜱ㅤ㠸戵㥥昹㕡㙢㥡昴〶戲㌶㠲㈸㜵㥡㕢挸戰㜱㕢㝥扥㙥㜱昳摣ㄳ㈶㥦㍢昶散㘱㜵㍤㡡㍤ち㈹攴㙢搸㈹㔸挸㌱戴㜸㉣㠸㜵ㅣ㐸㜱㙢扤㍥㥥㥣ㄳ㐰㤴㍡摥㉤攳愳㡢晦搸㜸攳ㄹ㤷㉤摣㝣捥慤扢㝦㜰昸㐹㜱挵づ㡢㤴㜱ㄲ㜶ち㤶㜱㌲㤴昴㈹㈰搶愹捣搷㕡㔳愵㑦㈳敢敢㈰㑡㙤㜰ぢ㤹㍡改挱晢㉦搸晦搸搹搷晦攸改〷慥摡㉢昴㔲㠸ㅤ愲摡愰摢㡣晦づ搶㡡㥥㑦㉣㥡敡㜳㙦慥扣ㄶ㝤戱昷摥挲户摥搶㘴散摦㝦敢㐵㈱㕦挸慤㔷㥦㐱昴捦〴戱捥〲㈹㐷搷㌱戶扡㜲㔱戲㌳㘶敢㙦㔰㜴㌶㠸㔲㐹昷挰㡣㜸户㘳晣㜳㔷㉤㥦㝦扢㝡昲㝦扥㜲㔷搷昱㡡㥤㔴㌹晡攷㘰愷攰搱㍦㤷ㄶ捦〳戱㌶㌱㕦㙢㙤戵㍥㥦慣ぢ㐰㤴㕡敤ㄶ㜲捤ㅤ㔷㑦㕢㌶扡㝦扦ㅢ㑦㌹㌴昴晢㠹昷捤㔲散〴㑢㈱ㄷ㘲愷㘰㈱ㄷ搱攲挵㈰搶㈵捣搷㕡搳慣㉦㈵敢㌲㄰愵攲㙥㈱㔷㕣摥㜳搳ㅤ慦づ㔹㜸捥㜹㕦扤㍤戲㜱扢㠳ㄴ㍢搹㔲挸ㄵ搸㈹㔸挸㤵戴㜸ㄵ㠸㜵㌵〸㉥㕦戵晡ㅡ戲慥〵㔱㙡㠵㕢挸晣戳㉡㡥搹㜲捦搳戳慥㍡晡戸㤷捥晤挶づ〷慢敤愹㡣㥦㜵ㅤ㐸挱㐲慥㠷㤲扥㠱敡㌷㠲挰㤳〶㝤ㄳ㔹㌷㠳㈸戵捣㉤攴㝢扦摣㔴戶攸㤰ㄳㄷ摥搸戶昳扣㑤㈳㉡捦㔱ㅣ㈴㐸㈱摦挵㑥挱㐲㙥愱挵㕢㐱慣捤㈰挵慤捤晡㌶㜲㙥〷㔱㙡愱㕢㐶搷ㄱ晦㜳昵戸昱㡦ㅦ昰㥤昸户㉥晣昱㥤㥢愷慡㔱㄰㑢ㄹ㜷㘰愷㘰ㄹ㜷搲攲㕤㈰搶昷㤹慦戵愶㕡摦㑤搶㍤㈰㑡敤攷ㄶ㌲改收攸㍦慥㔸ㅣ㕦㜰摥㤶搱换㌷㍦㌱㜵愶摡ㄱ㘲㥥昹晡㍥㤲晢㐱慣〷㐰捡㕢愲㕤㕤㤵㡢愲ㅢ㝢ㄳ〹晤㈰㐵㍦〰㔱㙡戶㙢挷慡㝤扤㜷摥㜱㔷㉦扣㙥捣挵挷敦戶昴挲ㅦ愸搱㄰㑢㘵㝦㠴㥤㠲㤵摤〲㈵晤㄰㠸昵㘳㄰㌴搲ㅡ晤㌰㔹㡦㠰㈸戵户㕢挸㤵㠷㍤㕤晢捤㡢㙥㤹㜹晤㤶攴搰戳挷晥敤㈹戵ㄳ㤵昱戳ㅥ〳㈹㔸挸攳㔰搲㑦㔰晤㐹㄰戴㥦〶晤ㄴ㔹㍦〱㔱慡捥㉤攴㡤㤲㠳昴㌷㡢㈶捥扡攸昴㠷摦慡昸㈴戵㜲攸搳㄰ㅦ散昶㥥攷㈴愳敢㌱ㅥ挹っ㜵㌰扥攳扦挲㘳㍣っ昱ㄲ昵㠹挶㐴㜵㜵扣扥㉡㕡ㅢつ㡤㠳搹挱づ㈶㜸㑦ㄹ㥡㌸戴戳㈷摥扢㕥㐶ㄷ㍢捦㡥愶散捣ㄵ㙦戲㉢㥢摤摢摦ㄳ㑦敤ㄴ㉣㕣搲ㄷ敤戳㐷晢㘵ㄹ㈳㌹搹㤶㘰散㘵愷愴扣㌱晥㙣换愲㕤晤昶慣つ㥤㡥㜸ㄷ㥦ㄸ㈳慦摥昶晣搲搶愴扤㌶㉤捤愹搱㉣㑣つ慣ㄳ摢㌹㕥㍡㈲愷㕥㤵㉤ㅤ扤㈹扢㐷慡㌷戹㝢㔱㘷㙣戵㥤㕣㘲㜳㘲挱㡥㡢慢摢㔱攴づ晦㈶㉦散㠱愳ㄸ搰挵挷㝢戹㠹戹ㅢ晡散㥥戸ㅤ㐷㝤搷搸挹扥㡤㑢愳敤㕤昶昶㔹㉡㑥㤹㄰散㤸挵㙥敤㡤昵愷㕡㝡㝢晡㤲扤㕤搹㤲㔹昱㜵㔱っ㌹攳〷昶挶㙤㡣ㄸ㑢戹ㄵ愹愲㤲ㄲ愵㡡昶っ扡㥦搲㙥㙡㥡ㅣ〸捦㈱摥〵挷㝣㔴㜶戳㥢戶ㄸ摥挱㡢㉥㥢㙤戲㜸㐲〱㘳㘲㤷㘶昶挸慦攸昱㠹戳㌰搴㥥㤴㕦㕢敡㤸㍥㜲晦㕥攵攲攲㙤㕣敦攷慥挳戰㝣扦㘸㑦扣换㑥づ㌸㠷愴㔸㈳晤っ㐸愸ㅡ㘷㜳㕥昴㑡愱愱㌶愸㡤愱昵㥤昱扥づ慢挳敥㕣搵挱㉥㈱收㤹捡捡〸㙤捥愶㥦〵㑢㍦㐷昲㍣㐸㌸㕣㘴扤㐰㈵㉢慣㕦㜴搲愱昱昸晦搳て昸㡢㤱㑢换〴〳㘶㠳㔲愱㙥昴愵㔲㈵㈵㐱㕥敥ㄷ㑤㜵昴戱㜹づ㉣愴扤㥦㤳扣〴ㄲ㥡〰㔲㜰㍥㠱摤攲㔲㑥㥢っ敢㥥㘳㈷愲㤸慣㤲戳㕢㐵㐳摤捥晣挷ㅣ㍢ㄵ搳㥣㈸㤹㡦㜳㘵㠳㠵㍤㥣晣㐳扢搹晡敤つ㝤㜳愲㝤搱㈱摤㤸㜲挱㔱搲㔰㥡㉣戹㥣㍤收ㅣ㈶㍣㤳㍢散愶㘰㈱㈲扢ㅥ㉢攵挲㜰㉣攱挴挱昹㔲㔴攲搲㠱㥤㐰摤搹㌳戳晣つ㍤㝢敡〴㌳㍡昱㜹㜶捦搲㡤㙢散ㄴ搵换慣〱愱昴㥦㕥㌴戶㌰搶㝥㐸㕦㘷㔷㙡ㅡ㙡㍡㉦搹摢扦收㡢戴㐳㕢晡ㄷ㈰㘶ぢ㑤㐲㉢ㅥ扣㑦㠰慢㘸挸㍡ㅥ㥢戶戶愲㌲㕡㈳㐷敦㑡挲搶捡扢愵搹昴㙦戰ㄷㅥ㐸ㄶ㥡〸㡤㑦㌳捤ㄴ㠲晥搰㙥㈰戴㌴㘹换挴㔹㤹㈴㠰昶戰敥㐳㝢㤳慢摢㝢㝢㔷戳㍤つ㤷㔴慡挳戶晢㌸ㄹ㔵敥㑥扥挹㈴㥢㔲㈵㈵㔹㌳㑡㥥㔹慢戱戰㙦扤ち㌲㙣ㄶ扡㈲挶㘲捡㝡つ慣ㄲ㑣㡢㔹慦㘳㘷搲㠱㙣㤴㤵㉤搱㘴㔷㙦攵㐲㤹ㅣ㤴㥥㌵㙥摡㤵㔳搱㝦㐹昶㔵搶㑣摢搰㤵摡愰挶戸昷晢つ摢慥㉤慦摣慢户攵㤶ㄷ㕥摢㤴㤸㜲搱㑡戵㡢㉢挸㤹㤲㥡〴晢攳昰搳㙦㠲愸㥤愰挶慢っ昶戳㌷晤ㄶ搲晡㙤㤲㜷㐰㜰慤㄰昴㜱愹㜸捦㐹慡㍤昰㍦㉦ㄷ晡昷㈴㝦〰㔱㤳㐱㜸戲敡㍦㠲㤸㑤㡤㠴㝤戶〱㌹㡥㝢㠲㉤㤶㜸昹㌲㥢晥ぢ昶挲㝡〰㤹㥡〲つㅥ㑢㑤散昴㙢㈴㐴㑡㤵挱㌰愷挵㜲〰ㄸ攲ち㜲收换昶㐲㌶〱攰㥦捣ㅦ㠲㕡㌰〰ㅦ戱㡣㡦㐹㍥〱昱〰挰〶㠹愴慡〲㕢〰攰㈹慥㡢㐱㔴つ㔸〲㐰〹㔲㘶㔳ㅦ㝤攲〱愰ㅡ㙣〱㠰㍤㝡戳改㈱戴愹〷㤰愹㕡攸〶〱昰㍥㡣〷〲昰ㄷ㔷㤰㌳㤷搷〰㑢攳昰搳ㄱ㔶昹捦㔰ぢ〶㘰㈴挴㝡ㅢ㤲㙤㐱㍣〰㙣敦㈴㔵㈳㡣〸〰㍢㔰㘹ㄴ㠸㙡〶㑢〰搸ㄱ㈹戳愹户扣〰㌴㠱㉤〰昰㡡㙤㌶扤ぢ㙤敡〱㘴敡㉢搰つ〲攰攵㝣〰晣挶ㄵ攴捣㌳㑥㠷愵㜱昸改摤㔸攵㕦攵〵㘰ㄲ挴㝡て㤲㍤㐱㍣〰㑣㜱㤲㙡㕦ㄸㄱ〰愶㔲㘹ㅡ㠸㥡〹㤶〰戰ㄷ㔲㘶㔳捦㝡〱㤸〱戶〰愰㡤㥣㡣㕡摡搴〳挸搴㉣愸〵〱昰㔸㍥〰ㅥ㜵〵㌹㜳愰㜳㘰㘹ㅣぢ摤〷㠵慡㠷㕤〰㝡㤰攰慦つ㜳ㅦて㤵㔲扣㉦㔲㝡〶挹㑣㄰て〰戳㥤愴㥡ぢ㉤〱愰㠵㑡㜳㐰搴㍣戰〴㠰戹㐸㤹㑤摤敦〵愰ㄵ㙣〱〰〵愵㌷㍤㥦㌶昵〰㌲戵ㅦ㤴㠳〰戸㍤ㅦ〰户戹㠲㥣昹搹〳㘰㘹ㅣ㝥㝡㌱慢㝣慢ぢ㐰扡㉥㘶㐷㉦㠵㔸ㅦ㐲戲っ挴〳挰㘱㑥㔲㉤㠰慡〰㜰㌸㤵㡥〰㔱〷㠱㈵〰㉣㐷捡㙣敡㍡㉦〰〷㠲㉤〰㜰搸㘷㌶摤㐶㥢㝡〰㤹㕡〸摤㈰〰㉥捤〷挰㈵慥㈰㘷昲㜸㌱㉣㡤挳㑦㜷戰捡ㄷ攵〵攰㈸㠸昵㙡㤲㉥㄰て〰㙣㈸㐸慡㈵㌰㈲〰昴㔲㘹つ㠸㍡〴㉣〱㘰㉤㔲㘶㔳摦昴〲戰ㄴ㙣〱㠰㘳㐲戳改㝥摡搴〳挸搴㌲攸〶〱㜰㑡㍥〰㑥㜶〵㌹ㄳ摢㠷挳搲㌸晣昴㜱慣昲㠹㜹〱㌸〱㘲㝤㈲挹㐹㈰ㅥ〰㑥㜱㤲敡〸ㄸㄱ〰㑥愵搲㘹㈰㡡㜳摥〲挰搷㤱㌲㥢摡攰〵㘰㌹搸〲㐰㤹㤱㤳㜱ㄶ㙤敡〱㘴㙡〵搴㠲〰攸挹〷㐰户㉢挸㤹㜴㕦〹㑢攳㔸攸〵慣昲敡扣〰㕣〸戱扥㠸攴㘲㄰て〰㤷㍡㐹ㄵ㠵ㄱ〱攰㌲㉡㕤づ愲㘲㘰〹〰㔷㈰㘵㌶搵敥〵愰ㅤ㙣〱㘰戸㤱㤳㜱つ昴挳㝡〰㤹㡡㐳㉤〸㠰挳昲〱㜰愸㉢挸㔹㄰㔸〵㑢攳㔸攸㜷㔸攵㐳昲〲㜰ぢ挴晡㔶㤲捤㈰ㅥ〰㙥㜷㤲慡〳㐶〴㠰敦㔱改づ㄰㜵ㄴ㔸〲挰㥤㐸㤹㑤㉤昰〲搰〹戶〰攰搱挰扣ㄶ㔲㘱㍤㠰㑣慤㐶扥㈰〰㘶攷〳㘰㤶㉢挸㔹慤攸㠱愵㜱慣挵ㄶㄴ慡㘶攴〵攰挷㄰敢㠷㐹ㅥ〱昱〰昰㤸㤳㔴扤㌰㈲〰㍣㑥愵㈷㐰搴㕡戰〴㠰㈷㤱㌲㥢㙡昰〲戰〶㙣〱㠰㌳㠲㘶搳㑦搳愶ㅥ㐰愶㤲搰つ〲㘰㑡㍥〰㈶扢㠲㥣㤵㤴㝥㔸ㅡ㠷㥦㝥㠹㔵摥㈳㉦〰扦㠴㔸晦㡡攴搷㈰ㅥ〰㕥㜶㤲㙡ㅤ㡣〸〰扦愵搲㉢㈰㙡〳㔸〲挰慢㐸㤹㑤㔵㝡〱㔸て戶〰挰搹㑡戳改摦搱愶ㅥ㐰愶㌶㐲㌷〸㠰敤昳〱戰㥤㉢挸㔹攵攱扡捤㌸晣昴ㅦ㔸攵㙤昲〲昰㈷㠸昵㥦㐹戶㠲㜸〰㜸摦㐹慡㘳㘱㐴〰昸㙦㉡晤ㄵ㐴ㅤて㤶〰昰㌷愴捣愶挲㕥〰㡥〳㕢〰㈸㌶㜲㌲晥㐱㥢㝡〰㤹㍡〱㙡㐱〰ㄴ攵〳攰㕦ㅦ㍢㝤攴㥣㈵愸㤳㘱㘹ㅣぢ㉤㐶ㄵ搴挷㔰ぢ敥ち㤷㐲慣㐳㈴ㄶ㠸〷㠰㌲㈷愹㑥㠱㤱昱㌴挴㄰ㅦㅤ〶㔱愷㈱㈹〰㤴㈳㘵㌶昵㔷㤴㤱ㅥっ㥤ち戶〰㌰挲挸挹愸㠰㝥㔸て㈰㔳㕦㠷㕡㄰〰敦戹㝥收っ㠶摥㜵〵㌹换㘳㘷挰搲〰昳户㔹㉢㔲摢㐲㌷㙢晥㜶㘸愲戵戳慢捦㑥捡ㄴ㕤㐵〲晦㌹攱㉥㤲ㅥ挶㘹挹㘴㌴收〴㤲㙣㥢㘸挱捣㈴攲㙢晡㌶㘶收㙡㜳㘶㐶㥤㠹挳晦捣晦㝥改收㝦㘵昶㌷㙢づ㜸㠰昹㔵㌴ㅡ摦っ昰挰捡㥥㐶戴ぢ㥡㔸攰㙣㡤㌴愹㘹戰㥣摤挸愸敦㥦㕡㤲㈰愲戴扥户ㄱ㔲扢㉡晦扣㌰ㅢ㝢㙥㈳㘵愶扣㜳戰㥣㘶晤捦っ戶㍦ち搲㤹挱ㅥ挵㉢攱㡥㈴愳㐹㜶㈲搹ㄹ㐴晤捥扤捣㍥㄰挲摣㉥〰晣㄰攴㘸づ〵昵ㄸ敡㡣㈵愹〴昱㕣㘶挷㈳㘹敤ち㔲㘱㤶改㉢㥤㈶ㄶ㔶敡㑣攴ㅣ捦摣ㄳ㈰搷ㄳ㐱㠶敥〶㜲搰㝥㜶ㄷ㔶㐳扥愸挸挳搰㌷㔰挴挰昳户㘸㍦㈳愱戴㝤昷㤲㡤㍤戱㡥㘴㙦て攲㍦㌹慤㍣㉢㠶搰扤㤴㡡㕡摤ぢ㝡㕢晡晢慣敥晤㍡昱摦搰敥挵昶ㅡ㍢摡搷㠲搵㉥捣㔹㉦㐰攸㠱捣㐸捦㡦㙦昸摦㥣戱㉥㉡㠵ぢ㐵ち昷㘰㌳㘹慤晣㘷慦㌳㜷散挲㍢㙤㑥㉦挲㐰㙤㠹㠰㈵散㤶㠵搵㠷㉦攱㤴㜴㤱摥ㅤ戵扢敡㉦摦搹㝢攲ㄵ户晤换晤晦㜸㑣晥挹愶捦㠲搳㜲㈷昶㜴㔶㌰敤㠳㉣攱㠱㘴敡㙣攴㑢摦㠹慤扤愰㕦㠲㘶愰㕦㈷㠶㍦换㜷㌷㝥挶ㄵ攴挴㐴㥣㡢㙣搲ㅤ愹㠵㈱昵㔳昷㍣〱㌳㝢搳昵㄰敢〶㤲㐶㄰捦㜹搲散㈴搵㜹挸㌰ㅥ㍦晤ㄵ㉡敤つ愲捥㐷㔲扡㈳晢㈰㘵㌶昵㌰捡㐸㜷㐷㌶㠱㉤㈰散㙣攴㘴捣㠴㝥㔸て㈰㔳ㄷ㐰㉤つ㠲㘷㙥昶扥㝣〰摣敢ち㜲攲㌵㉥㠲㈵〱㘰㍥慢㝣㜷㕥〰づ㠰㔸㉦㈰㌹㤰戵换㑣㑥㉦㜴㤲敡㘲ㄸㅡ捦摡㉦愲搲挱㈰敡㔲㈴〵㠰挵㐸㤹㑤摤敡〵攰ㄲ戰〵㠰搱㐶㑥挶㌲攸㠷昵〰㌲㜵ㄹ搴㠲〰昸㜶㍥〰慥㜵〵㌹戱㈴㔷挲㤲〰搰挶㉡㕦㥤ㄷ㠰㈸挴扡㥤㈴挶摡㘵〰戰㥤愴扡ち㠶挶戳昶〹㉡慤〲㔱搷㈰㈹〰㜴㈰㘵㌶㜵㤱ㄷ㠰慢挱ㄶ〰挲㐶㑥㐶ㄷ昴挳㝡〰㤹扡ㄶ㙡㐱〰㥣㥤て㠰㙦戸㠲㥣㌸㤷敢㘱㐹〰攸㘷㤵捦捣ぢ挰㝡㠸昵〶㤲㡤㈰ㅥ〰扥收㈴搵つ㌰㌴ㅥ㍦㝤っ㤵㡥〵㔱㌷㈱㈹〰ㅣ㠷㤴搹搴㠹㕥〰㙥〴㕢〰搸挱挸挹㌸〹晡㘱㍤㠰㑣摤っ戵㈰〰搶攷〳㘰㥤㉢挸㠹挱戹〵㤶〴㠰戳㔸攵扥扣〰㥣つ戱晥㈶挹㌹慣㕤愶〵㥣攷㈴搵慤㌰㌴㥥戵摦㐴愵昳㐱搴㙤㐸ち〰ㄷ㈰㘵㌶戵摡ぢ挰㘶戰〵〰换挸挹戸ㄸ晡㘱㍤㠰㑣摤づ戵㈰〰愲昹〰㔸改ち㜲〲㠴敥㠴㈵〱攰ㅡ㔶昹慢㜹〱昸㌶挴晡㍡㤲敢㔹扢っ〰㌷㍡㐹㜵ㄷっ㡤㘷敤㙦愲搲捤㈰敡㙥㈴〵㠰敦㈰㘵㌶㜵㠸ㄷ〰挶ㄹ〹〰扣㤷㥢㑤㙦㠶㝥㔸て㈰㔳昷㐰㌷〸㠰〳昲〱戰扦㉢挸〹㕥扡て㤶㌸㉥搳昷戰摥昷㤲摣㐷㜲㍦挹〳㈰㙡㡥ぢ㑡〸㕡㝦挴つ㉣搳㠳晡〱㜵㝥㐸昲㈳㄰て㈸て㤱挷ㅥㄴ㝡㑣昷㈳摢㜸ㄶ昰㌰㤹㡦㠰愸〷㤱㘴て愷㐸㍦㡡㘴摥摢攴〳搴㜸㠱㝡㥥㑤㍦㠱㉣㘱㍤㠰㑣晤〰敡ㄹ㜰㜸㥢㜴㙥㤱搵昹挰愹㜲〵㌹ㄱ㔹㕢㘰㐹㕡挷㜳慣昶㌴ㄷ〸㑦㙤㥣㕤晤〲换㜸㤱攴攷㈰ㅥ㈰㝥攱㈴搵㐳㔰ㅣ㡦㥦晥㈵㤵㝥〵愲ㅥ㐶㔲㕡挷慦㤱㌲㥢㥡㠸㌲搲户挸ㅦ㠳㉤〰㜰㔸㘰㌶晤ち昴挳㝡〰㤹㝡〴扡ㄹ〰㕥㐳捡〱㘰愷㝣〰㡣㜶〵㌹搱㘲㡦㈳慦〰昰㌶ち㔵愳昲〲昰㉥挴晡㍤㤲摦㠳㜸〰昸愳㤳㔴㑦挰搰㜸㔶攴㑦㔴晡㌳㠸㝡ち㐹〱㘰㉢㔲㘶㔳ㄵ㕥〰㥥〴㕢〰ㄸ㘶攴㘴晣ㄵ晡㘱㍤㠰㑣晤〴㙡㐱〰㠴昲〱㔰敡ち晣㤱㙣愱㘷㘰改㔳㐴㈰㤵戳㝥㠹㘵㥤昶㝡㠶㑣っ㑦攰愱㤸㤶晥㔴㕦慦挴㜷っ㑢捣改㍤愸户㙦㑥㘷㙡㑤㔷㜴攳㌶〹㜷攷搰づ扢〷搱㔷㐹〴㘱昹㜸扤㙢搶搸㜱㥤㔸搲摢㥦㡣搹昳攷㝣ㄹ愲戳攰ㅦづ㥤〴㘶ㄵ㉢㙣㥦㉤攰〸㈶ㄴ㕡〹戶愲搰戳㌰攸㡦ㅢ昱㡣慡㌳ㄳ㌸ㄱ㈸㔶㘴㄰㕤摡搹搷㘵㤷㈷㐴㉥晢㘵〹愰㠸㤰戶昸㤰挴搲づ挴㔳捣ㄹ㤶㤸㤷散㡣㜷㜵昶搸㍣ㄸ㤸ㄴ攲㤳㐶ぢ散㔵〸㕦㕢搴㥢敡攴㔳㔰挳ㄲ㑢㤳搱㥥搴ㅡ㐶攲挴㌶㡥捣㑡挹〰㈹㤴㤸摤搹㤳㐲㌱㜲ㄴ戹㕦㤱㔸搲搱扢ㅥて攴昵㜷昷捣㡢慥㐹㝤㈹㡥㡡攲㘱㤱㑤づ㡤㉡㔶挵挵慡慣戸散戳ㅥㅦ敢㘳㥣㘳摢攰㐹愷愹〷昵㔶愲㥤昶㈵㍢摢晢〹㤸㤴㔱〳㕡㑡㈲挷戰㈸昴ㅣ昶〶㤸ㄸ攱昴㠸ㅢ㔴挸㠰㌹搶㌵㉢搸㍤㌰㜶㉢晤㤴㈳慦㝤晡ㄳ㔴㘷攸扦㐰昶㥦㜷挸晣㑣㈸改攷㝡㘴㌰昴㍣㉣晢㠷㥢晥㤶㤷㡥摣摢づ捡挳㥤㈶㐴ㅥ㕢ㄴ捥㑣戴〴愶晣捤㌲㥣㄰ㅤ戶搰攱㤹摤㔶挴搹っ㑤㉣㠸戶摢㕤㤸㔸攸㡥昶つ㜷ㄲ㥣㈴敡㡥㜶愵㕣㔹㑢㙦㜷㜷㤴㑤㡥捤㜵㐹㉣摡㘵㤷㈵㘶昵昷昵ㅥ搸搹愳ㄳ㈰搲㉥㕤㔶㜴〳㔸搱つ挲ㅡ㥡㔸捣㔸㔶搹愷慤摥㔵搱㘴㘷㕦㐷㜷㘷慣㡣〹挶㥢㝥㈹摡㉡㑥晥㔲㠰㘹㌶㜳㉤昱㑦㜷㌸〳㝦ㅣ敥㘹㤸㝣㈱㜴㍣晣㘸搱挵捡挲㍦昵ㄹ㐳ㅤ㜱攱㤱ㅢ㡡㔶㔸つて挱㈲ㄸ敥挹戳㔵㘲㠶挰搹㝡㍣㌸㜲㜱㔲㉦㔲〱㍦㕤っ㜵敥昰㔷晡㜳㤰〱攳攰㌸扦ㄴ㕥搰ㅢ㡤户㘲㑡扡㌷㌹挴㝤挴戵っ㠷㤶㤷㥡㘴㠴㤱㠹㉤〸㜶㐵㄰敤扡捥戸㥤㉣㈳㘳〹愶㜰㑡ㄹ搳㘸㌹挷㄰挳晢㤲愲㔰愸扣㉣愸慣昹挶搶〴㌷摥换晢㠸昰晣ㅣ晢㝦㌸戸㘹〶敢ㅥづ挳㤱㈲つ挳㜸〸㤸㍥扤㠴㈴晤昱㈹昰㤱㔲㙤㠱㠴㝥〱愱晦搸㘴〷〹㈲㤴㔰㐳愹㔴ㅥづ㘵昸㘲ㄹ㐲晤㈴敥㌱㈴㡥㤴㝢攲ㄵ㉤㈷㔴戱捣㍣㜱㙡㉤㐱㉢户攳㘱攷晡捡〹㉣ㅥ㡥攲攲㔲ㅣ㙡换扦㔶㤰㔳㉣㡣㜵㉦戱㈵㤰㔱㡤㐱ㄵ慣㈱愸㜱㌹㑦ㄶ搸㙦攳愳㤷散㍥㜲搲〵晦挹ㄶづ㙢㜹〲㍡慣㝥㠳戴㜱㥣搵て㠷㜹搴㌴昱搱攵㈰敡㑤㈴㜹晢挷慥戹㔹愹户㤰攲つ慢挸ㅡち㤵挱㕥㈰搵摢挸挱㡢愴ㅥ㐶挳敦㘰㡦搷㥥㜴㕢慣〰户㜰㕢㝣㡦㌹昰搳ㄱㅡ㜱ㄳ敡昷搸㌱㙥㜸づ昰〸攸攸㤱㔴晣㐳戰挲㌶㔴搸㤶ち㝦㠴〲て戲戵ㅤ㔲攱㌴㜸㡤㐱搸敤〰ㄵ㜴敡晦攲戱改挱㙥ㄴ㙤敥㐸㥢晦㠴㠲ㅦ扢㡦挰㜳戰ㅢつ㤵㐱㘳昷㌱戲〹㜶㍢搱昰㈷㐸㘵㘱户ぢ戸㠵戱㈳㕥㠲摤ㄸㅡ㠱つ昹戱愹〵㘰㌷ㄶ㍡扡㤲㡡挵挱ち攳愸㌰㥥ち㈵㔰㄰散㜶㐵㉡搳昰昰㥣㙢㐰挳㥢〸ㅤ㠰挷攸㍢㔳慡〷扣摤㘸㜴㜷ㅡ㘵愴㥣ㅦ㍣㠶挷〹㜸㥡攰挹挶ㅢ戰攷㉥慣ㄸ㍣㈷㐰敤㐱㈳摢㈲㤵〵搴㘴㜰ぢ〳挵㘸㍢晣攱㌹㘰ㅡ挱㡥晣ㄸ㜲㘷慡㑣㠶㝢ㄵ㤹ちㅤ㍤㡤㡡っ挷ぢ㔰搸㡢ち㔵㔴㘰㠴㥥〰㔵㡤㔴〶㈸㍣慢ㅢ〰㔴㉤㜴〰ㄴ愳昴㡣㔱て㔰㜵㌴㕡㑦愳㡣愸昳〳挵㌰扡〲㐰㌱挸㑥㠰㙡愴ㄱ㐶摢㘵〱搵っ㙥㘱愰ㄸ㤵㠷㍦㑣㝡搲㠸〱㡡愱㜹愶捡㘴扡㐰敤つㅤ扤てㄵ愷〵㉢㑣愷挲扥㔴㘰㈴㥦〰㌵〳㈹て㔰㌵㐱㐰捤㠲づ㠰㘲㌴㥦㈹㜵愴㤴㍡〲㔴捦愶搱ㄶㅡ㘵攴㥤ㅦ㈸㠶摢㌹愷攳ㅣ愸っ晡㜴攴㕤㐴挰㥢㑢挳㌳㤱捡〲㙦ㅥ戸㠵挱㥢㡤㙣昸挳㤳捤㌴㠲ㅤ昹㌱慣捦戸㐱㠶ぢ摥㝣攸攸晤愹挸㤰扦〰㠵〳愸戰㠰ち㡣〲ㄴ昰づ㐴捡〳㕥攰㝤㘰㈱㜴〰ㅥ㈳〱㡤㔱㑦㉢㕢㐴愳〷搳㈸愳昶晣攰㉤〵捦〱㙦㌱㔴〶つㅥ㠳晢〴扣㈵㌴捣㈸扦㉣昰づ〱户㌰㜸㡣〶挴ㅦ愶㡡㘹挴㠰挷㤰㐰攳〶㤹㉥㜸㠷㐲㐷ㅦ㐶㐵㠶ぢ〶㈸ㅣ㑥㠵㈳愸挰〸㐲〱㙦㌹㔲㤹晢㐰㐳㔰挳㕢〱ㄵ㘰搷收戱改挱敥慢戴搹㐶㥢っ昸昳㘳挷㈸扦〲㘷㈸㘳〰〵愷㈸㡤㌰ㄸ㌰ぢ愷ㄸ戸㠵㜱敡㐱㌶晣攱㔹㙤ㅡ㌱㌸㌱㜲㌰〰〶ㅢ㍡㍡㐱㐵㐶ㄵ〶㈸慣愲㐲〷ㄵㄸ㘸㈸㌸㜵㈲攵㘹㘴捤㐱㐰慤㠶づ㠰㘲戰愱㌱敡〱慡㡢㐶扢㘹㤴㠱㠱㝥愰㑥〰捦㘹㘴㍤㔰ㄹ㜴㈳㍢ㄱ搹〴扣㕥ㅡ㍥〹愹㉣昰搶㠲㕢ㄸ㍣〶ㅣ攲て捦㠷搳㠸〱㡦㔱㠷挶つ㌲摤㐶㤶㠲㡥收敢㘸ㄴ㈳ㄲ〳ㄴ晡愹戰㡥ちっ㔲ㄴ昰搶㈳攵〱慦㍡〸扣㡤搰〱㜸っ㔴㌴㐶㍤攰ㅤ㑤愳㕦愳搱ぢ愰攰〷㡦㤱㠴〵㕡ㄹ攳っ〵愸㘳㘹㠴〱㠷㔹㐰ㅤて㙥㘱愰ㄸ㤸㠸㍦㍣㝦㑥㈳〶㈸㐶㈷㥡㉡㤳改〲㜵㈲㜴昴㐹㔴㘴攴㘲㠰挲挹㔴㌸㠵ちっ㘶ㄴ愰㑥㐵捡〳㔴㘰户散敢搰〱㔰搷㜸㡣㝡㠰㍡㥤㐶捦愰㔱〶ㅦ晡㠱㘲挴愱搳捡捥㠴捡愰㕢ㄹ㘳ㄴ〵扣戳㘸㜸㌳㔲㔹攰㥤つ㙥㘱昰ㄸ搴㠸㍦㉣㉤搰㠸〱㡦㤱㡤〱搸㥣〳ㅤ㝤㉥ㄵㄹ昵ㄸ愰㜰ㅥㄵ㌶㔱㠱㠱㤰〲摥昹㐸㘵㉥㘵㜵㐱㡤散㕢㔰〱㜶㡣㠵㌴㌶㍤搸㕤㐸㥢ㄷ搱收ㄶ㈸昸戱㘳戰愲搳挸㌸㕦㈲㕢つ愸户㔷挶㔰㐶挱改ㄲㅡ㘱㑣㘳ㄶ㑥㤷㠱㕢ㄸ㈷挶㍥攲て〱慦㌴㠲ㅤ昹㌱〰搲㔴㤹っ户㤱㕤〱ㅤ㝤㈵ㄵㄹㅣㄹ愰㜰ㄵㄵ慥愶〲攳㈵〵愷㙢㤰捡㌴㌲扣ㅢ㈲愰㔷昶㙤攸〰㈸挶㑣ㅡ愳ㅥ愰慥愳搱敢㘹㤴昱㡤㝥愰ㄸ搴㔸〰㈸㠶㍣ち㔰㌷搲〸㘳ㅦ戳㠰扡ㄹ摣挲㐰㌱㐶ㄲ㝦〸戳愵ㄱ〳ㄴ〳㈵㑤㤵挹㜴㠱晡㉥㜴昴㉤㔴㘴㄰㘵㠰挲慤㔴搸㑣㠵㔷愱㈰㐰摤㠶㤴〷愸挰敥敢昷愰〳愰ㄸ㕢㘹㡣㝡㠰扡㠳㐶敦愴㔱挶㐱晡㠱晡ㄳ㜸捥搹㜸ㄷ㔴〶㝤㌶㌲㕣㔲挰晢㍥つ㌳㙥㌲ぢ扣㝢挰㉤っㅥ攳㉢昱㠷㔵㈰ㅡ㌱攰㌱挸搲戸㐱愶ぢ摥㝤搰搱昷㔳昱慦挱ちて㔰攱㐱㉡㌰㈶㔳挰晢〱㔲㤹戳㌱㜰㡣昴㈳愸〰㍢㠶㘵㥡㐲㍤搸㙤愱捤㠷㘸㤳㈱㤴㝥散㑡挱㜳ㅡ搹㘸㕡攱收㍦ㅢ〹㠲攰昴㌰㡤㌰扣㌲ぢ愷㐷挱㉤㡣ㄳ挳㌰㠹㠴㝥㡣㐶戰㈳㍦挶㘲㥡㉡㤳攱攲昴㌸㜴昴ㄳ㔴㘴㥣㘶㠰挲㤳㔴㜸㡡ちっ摤ㄴ㥣㝥㠲㤴愷㤱〵昶㕥㥦㠶づ㠰慡昰ㄸ昵〰昵っ㡤晥っ㈴㌴ちち〳㑣㜲㈲㝥挴ㄳ㍥㌷ㅣ㌶慤挴㈱㍤㥤㝤㤸㝦攴㑣㐰㙢㘷ㅦ㘶㔲㠶㈶㐰戰㉢㜱㙥愳㘵㕥搲㤳㘹㜲㝡扤㘳㙣慥㈸㙢〱㘴㑣慥摣扢㈲㌲㈱㐰散慣㤵㜸㤶㐸ち㈹挹㥡㐹㐰ㅤ扦㑣㡢㈸捡㠹㝢㜲搷㔱搴挴晣㔱㠲ㅥ摣㌹て晥㌹㤶㕣攴㡡㡥攷戱搹㙣ㄴ晥㘱㈲散㜹散㜳〵㘶挷㠲㑤挴ㄳ㌴挹ㄵ慥㌰㔷㘱ㅣ摥㌰㌷㉡㜷㝥㑦ち昳㤸㘱㌷㠵㔹敡攱敥敥挲晥扥㉣㐹㜴挳㌶慥〴㡦愴㉥散挱摡㐲㉣㥡㡣㝦㐹㈶愶攱㥢戳㝥㈲㜳捣㥦㜵㙤ぢ㔶戰㜹愶㤳戱㕡昹㠲㡢㌵愳ㄳ㍦㑤捣㈹ㅦ㕢ㅣ㐶戸搳愱愸㘵㑣ㅤ㘸㐷㝢攴㈸㉣改㡢捦戱搷挹㐲攳㈲ㅢ慢㠴㜸ㄹ㕦㤷扤㡤㘴㐸㈷㘵ㄲ㔶㈷㘶戵愷戰㘸搵挷ㄵ〹㜷㑦㑥㜴㥤㔸㙣㜷㐵昹晥〸㉣㈰戸㝢㡢㘲㝤㠸戰㑥ㅢ攰扢㈱扥㍣㐷〸㠸㤴扡㐷㐹挹㜱戲〶戸扥㘵㍢挱㜳攸㌳ㅥ㔵㕣搲ㄳ戲晤㘹㠶扡昴ㄲ㙥㌷捦㈸㌲㍢敥㔲㈶愳㑥〷㔸〷挳戵搶ㅢ㈰捣㌳㘹ㅢㄳ户敥㕣攱攴攲㌵搴昰戸㔸㌶㡣㡢㥡挹㍥㍣㡢捤㔷㐵㔵昰搴改挲㙡㐲㕦㈷搶㠵扡㌶づ㑦捣敦㠹㜵昵挷㙤㔹㔴㌲搷㙣㔹㕢晡㔲ㅣ慦㔲摥〸㥤㘳㌵〰㉥㉥㈸昳昱㈲㔳昳㐲㡤捦扥戲慣㕦挴㤹㈶ㄷ㍢搸〸敢㤷摣昳㡥戱挰㥦㍡ㅡ㥢㜱㘹㈳㌳捦ㄲ挸敢㉤㜱㘹换㘱昱㥡挶㤰摡ㄶㄳ搰㉤㘷㥣㐷㙤㐱敦〲扣慦捡㡥㝢㔸晢㜵㍡慣㉦挵㜱㠲㥦捥㘱戲㉣㉣慤㝤挶㌳㠴㐶㜰搵㤳晦戰㠶收晥㍦㠳昷ㄸ摣㘵搴ㄸㅣ〱愷㜷㜶㤶㠸搰㌴搸㍢㉢㈶㜱㔵挶㐲㐵㝡㘷扦挴㔱㔳㡣捡㜶㝡㘷捥昱搴扦〶户㜰敦㡣搱摢㙣㜶晡㌷㌴㠲ㅤ昹㑤〰搷㜴扥挰㐳㠱㤰ㄶ改㤷㐱昵㙦愹㌸㌱㔸攱ㄵ㉡扣ちㄲ㘲㐴慦晦㐲㤳㌷㌸ㄹㄹ㡡㐲摤㕣捥㉡敢收戲ㅥ㑥㔳ぢ㉦晦㐰昰㌵ㄶ㤹慣昲㌲〶㉦敢搷愰昵昴㑦㝦㍡㥤昵㔱㡣晥㌵ㄵ㤴攵㐳㘷㌹敡㜵㤶晦〶㠸㘲㤴慥扦挷换搰摣〲挳㉡〶敥ち愶㙦搲〸㈳㜸戳㝡扣㙦㠱㕢ㄸ搳㘶㘴ㄳ㑣摦愶ㄱ㔶㤷㍦㠶晢㥡㉡㤳攱㘲晡づ㜴昴扢㔴㘴㈸㜰㠰挲㝢㔴昸㍤ㄵㄸㅤ㉣㍤摥㍦㈰㤵改昱攲㝤㙢〱攳捦㍦㐱〷㍤㕥㐶〸ㅢ愳㥥ㅥ敦㥦㘹㜴㉢㡤㌲㥡搷てㄴ㐳㜸ぢ〰挵〰㕦〱敡㝤ㅡ㘱愴㙦ㄶ㔰㝦〵户㌰㔰ぢ㤱㑤㠰晡ㅢ㡤ㄸ愰ㄸㄶ㙣慡散〱敡敦搰搱ㅦ㔰㤱㈱挳〱ちㅦ㔲攱ㅦ㔴㘰ㄴ戱〰昵㑦愴㌲㐰攱㥤㜱〱㐰㝤〴ㅤ〰挵㐸㘲㘳搴〳搴挷㌴晡〹㡤戶㐱挱て㔴ㄴ扣〲㘳㈸〶〲ぢ㔰散挵㉡㐶〴㘷〱㠵愵摢㐱〰㘵㈳㥢〰㔵㐲㈳〶㈸㠶て㥢㉡㝢㠰挲换愰昰㐰ㅣㄵㄹ㕡ㅣ愰㘰㔱㘱〸ㄵㄸ㙤㉣㐰㤵㈱㤵〱ち敦扤ぢ〰㉡っㅤ〰挵㠸㘳㘳搴〳㔴㌹㡤づ愵㔱㐶〷晢㠱㘲㐸㜰㠱ㄶ戵〱㉡〲搴㜰ㅡ搹㠸㔴ㄶ㔰ㄱ㜰ぢ户㈸㐶ㄸぢ㔰㈳㘸挴〰挵㌰㘳㔳㘵て㔰㈳愱愳户愱㈲㐳㤰〳ㄴ戶愵挲㜶㔴㌸づち〲搴昶㐸㘵㠰挲扢晢〲㠰ㅡ〵ㅤ〰挵挸㘴㘳搴〳搴㡥㌴㍡㥡㐶ㄹ㐵散〷㡡愱挳〲㤴戵ㄳ㔴〶㍤愳挱㘰㘳〱㙦㘷ㅡ㍥〷愹㉣昰挶㠰㕢ㄸ㍣㐶㈷ぢ㜸㘳㘹挴㠰挷㄰㘵攳㠶〷扣㑡攸攸㜱㔴㘴昸㜲㠰挲㜸㉡散㑡〵㐶㌴ぢ㜸ㄳ㤰捡捣㘸〴㥥㡤扢㐱〵搸㕤散戱改挱㙥㜷摡㥣㐴㥢搷㐰挱㡦ㅤ愳㡥ぢ㥣㡤㡣㐹ㄶ㥣昶愴㤱敢㤱捡挲㘹ち戸㠵㜱㘲㄰戳攰㌴㤵㐶っ㑥㡣㘴づ㠰㘱ㅡ㜴昴㕥㔴㘴㤴㜳㠰㐲ㄵㄵ慡愹挰挰㘷挱愹〶㈹㑦㈳ぢ扣扥搷㐱〷㐰㌱昸搹ㄸ昵〰㔵㑦愳つ㌴捡㐰㘵捥㙡㐸㐳㉤搲㑤捣㠶㍡㉢㡣㘸㥢戱捦扥挶扤㄰㜳㔴㙢戶散戱搸㔷㕣慤晢愰挱昱ㄸ㜳ㄷ敡摢慢晢愱挸晥扤搲㝢㈳扢戵て㐸改昴㤶㙡㉥扤㠶昵㜴搷攲〳㔰㘰㑦搳搹昲昷㠵ㄸ㌸敤ㅣ㔷挶㌱㑢〵㙡昰㥦户㉦昴㐳愸挸㜱㥤〱摢敡㐷㐸㌹挷搵敤ぢ捤〲户昰㜱㝤〸搹㜸㌸昵㙣ㅡ㜱ち㐲攴㌱戸〶㘱㌲摤晢㜶ぢ㜴昴ㅣ㉡㌲㐸㍢㐰㘱㉥ㄵ㕡愹昰㈸ㄴ搸ㅦ搲昳㤰㑡㜷㘱ㄸ㤹㙤戲㤵㠹㕤㠹愸搹㡦搹收㌳ㅢ愳愸晤㑤㥣愱搳〵慥愳っ慣ㄶ㈸づ愰ㄱ㐶㔸㘷㌵昱〳挱㉤っ〵㈳戱〵㡡㠳㘸挴㐰昱㑢㜰㑤㤵㍤㔰㉣㠴㡥㕥㐴挵㕦〵㉢ㅣ㑣㠵挵㔴昸㌵ㄴ愴㠹㉦㐱㉡搳挴昱㌶捥㠰敢攸㈱搰㐱ㄳ㝦挵㘳搴搳挴㤷搱攸愱㌴晡㌶ㄴ晣㐰㌱挴扡挰戵㠰〱搸〲搴攱㌴挲㐸散㉣愰㤶㠳㕢ㄸ㈸㐶㙣ぢ㔰㐷搲㠸〱㡡㘱摢〱㐰慤㠰㡥晥㉡ㄵㄹ搲ㅤ愰搰㐶㠵㤵㔴㘰㤴户〰ㄵ㐵㉡〳ㄴ摥㈸ㅡ〰㔴っ㍡〰㡡㤱摥挶愸〷愸㌸㡤摡㌴晡〹ㄴ愴戲〹愶摣捡㠶ㄴ㝡㌷晥㤰戵㥣㜰㐲㈹㈱挱挰挲㈵㝤ㅢ扢㄰捣挹㕤㠶戰㌹㝢散戵㘳㍡ぢ㍣〴搶昵㈶㌱㤲㉤昵㍦㤸㥢捥晢㌴ち㉥摦搶昷攲㐹挹㐶〹攳ㄶ㐳㤷晣㑦敥换ㄵ搳昹㔹昱捣㕢攸㤸㠷㥢搵㠱㉡㙥㝢㘰㘷㉣搹㥢敡㑤昴㔵㉥㐱愰㜲㈵㕦攴㤹挰㔰㜶㔶攸㈲㔸っ㉣㤳㡥㤵昶昰㉢っ敢昸㘲扢昰敡㥥摥昵㍤㔲㥢㔰㡡敦㌳ㄵ扣㠶っ㘱㌱改〷慦㜶〵㜸㤱㘲挰挶捣晡㈸搰㘱㈵㤱ㄲ㜶ㄲ㔹㤱搵㐸㑦㙣㤹摤戲戸捤㑥㌴搸搱㐴扤㕤㕤㙢㌷搵㔵㌵㌶㌴㌵㌶㌷㈶敡敢㥢摡愳㔵昱㍡扣挰㌳㔲敡收搱㕤挸ㄳ〹㤹㔴㌷㔳㤶㐹㔱ㄶ搲㐸つ㌶挰て晡㐵慡㕤挵㔴㕣搹愵㐳㠶攴捣㤸收〴〶愶㕦㔸㘸㔹㡣ぢっ㥤〷戰晣搳慣挱㤹戲㡦〵㌳敦㠰㥦㕥㠳㉡攸戵㈰攱〸㐷㡥慣㤰㤵〴ㅤ摥㌲扢捤ㄳ摦㙣愵挰ㅢち㥥捣〰㉣挶㑢㑡慤㍥㜰㐶㠰㤳晤扤っ慢ㅦ散㤱㘰攳㉤㝣收扤㝣㙣㝣㤱㜲搷扡ㅥ挷㘲挷㤳㙣㠰慡㝥ㅤ㝢㙡㤸㐱昰㘸戰㔸㔳昹㔵㤰换摦愹昰㤲つつ㠲㈲敢ㄸ愸攴㙤㍤敡㘴愸戱〵㘵户㠰㠸㈹晣㌸㘴㐶ぢㄸ攱㤶㘷ㅤ㡦戴搳〲慡㙢敡㥡ㄳ㔵㡤㌶㍥㝡㘱搷搹搱昶愶㘸挲慥慢㑦搴㈶敡散愶昶㔸愲㌶㌲搲捤愳㑦㐰㥥挸㌶㈶㜵㈲㔳摢㥡ㄴ㘵㙡〷愴搸ち搴戱愸〸㡦㤰㈰㝤ち㐴晡㔴㤰㜰㘴ㄴ㠴搸㈹戲㑥〳昵㈳晤㜵昰戲㤱㍥ㅤ㥣〰愴捦〰㍢〸改ㅤ㕤敢㝡ㄲ㡡㤰㉦㘱攸㙦㐰搵㐱㝡㈷搶㡢晣㙦㠲㤵㐶㝡ㄷ㜲昹㕢㡢摡ㅡ愴㌵㤱收㈹愹㝡挱捤〵㜵㡣㈹㘷ㄳ昴〰敡㔸搷戴㜵㍥搲づ愸㌵㜶㐳㍣㘶㌷㌷㐴敤扡㐴㕤㝤㑤慣扤扥扡愹扡扤慥戱㍥ㄶ慢㙤㙣㡦㔷㐷㉡摤㍣晡〲攴㠹㡣㌳㈹〱㜵扣㐹㔱愶㈶㈲㈵愰㜶㝡㐱扤ㄸ㈲㝤〹㐸㌸戲ㅢㄴ戰㠳户㐷㤱㐷ㄴ㌵㠱搳㠴㈹戲扢ㄱ敥㐵㡤㉡㤲慢㈹㝣ㅤ㝢㙡て㔳搰戵㘰愵㌱㤹㑣㉥㝦㉢〲㌱㔹ㅥ㠸挹ㄴ㔳捥つ㌰〵㑣愶扡愶慤ㅢ㤱㜶㌰㘹㙦愸㙢慥慡慡㡢㔶㌵㌶㌶搴㌵搵搷戴㌷戶挷慡摢ㅢㅡ慢敤摡㘸戴扡扥㈹㌲捤捤愳㙦㐲㥥挸㕥㈶㈵㤸㔴㤹ㄴ㘵慡ㄶ㈹挱攴㄰㉦㈶户㐰愴㙦〵〹㐷敡愰㠰㥤㘰㑣敡㡤戰㠱ㅡ㡤㈴㜷㌱慢㘰搲㘸ち扡ㅢ慣㌴㈶捤攴昲㌷㍦㄰㤳㜹㠱㤸㝣挵㤴㜳㍦㑣〱㤳扤㕤搳搶〳㐸㍢㤸挴㥢㥢愲敤敤㌸攷慡慢㥡敡㥡ㄲ㜵㔱扢慡㌱㔶㕢搵㕥㠵搶㘳搷戵㔷㐵昶㜱昳攸〷㤱㈷㌲摤愴〴㤳㝤㑤㡡㌲㌵ぢ㈹挱㘴㤶ㄷ㤳㉤㄰改㠷㐰挲㤱搹㔰挰㡥搳㌰㥣㜶㈲㉤㠶㡤㈵搲㘲㠴〴㐱扥㡢愲㌹㡤愵㥦㠴㔰捤㌵〵㍤㠵ㄴ㙥㝥㘲㐶捤㈳㤷扦晡㐰㑣㙡〳㌱搹捦㤴昳っ㑣〱㤳昹慥㘹敢㘷㐸㍢㤸㌴挴敡慡敢愳㘸㈰㌵㡤㔵㜵昱挶收收㝡㜰㙡敡㥢慡敡㥡㙡ㅢ㥡攳昱挸晥㙥ㅥ晤㉣昲㐴づ㌰㈹挱㘴㠱㐹㔱愶ㄶ㈲㈵㤸㑣昵㘲昲㈲㐴晡攷㈰攱挸㈲㈸㘰㈷戸㥤ㅣ㙣㠴㜳愸㌱㤷攴㘵㘶㤵㜶戲挴ㄴ昴ち㔸改㜶㜲〸戹晣㡤ぢ挴㘴㙣㈰㈶换㑣㌹㙦挰ㄴ㌰㌹搴㌵㙤晤づ㘹ㄷ㤳㙡扢ㅥ㘸㌴挷㥡㥡ㅡ敢ㄲつ戸慥㌴㌵挵攲㜵㌵つ㡤戱㘸㔳㔳㈲ㄱ㌹捣捤愳摦㐴㥥挸攱㈶㈵㤸ㅣ㘱㔲㤴愹ㄵ㐸〹㈶㍢㝡㌱㜹〷㈲晤㉥㐸㌸昲㔵㈸㘰㈷ㄸ㤳㌶㈳㍣㠰ㅡぢ㐸戶㌲慢㘰ㄲ㌵〵扤て㔶ㅡ㤳ㄸ戹晣つぢ挴愴㍣㄰㤳戸㈹攷敦㌰〵㑣㙣搷戴昵〱搲づ㈶㌵㔱摢慥慥慦慦㘹慡㡦㈷敡搰㜹㘹慦慥慡挷㘷㥢敡敤㘸㜵㘳㝤扣愹㍥㤲㜰昳攸て㤱㈷戲捡愴〴㤳づ㤳愲㑣慤㐶㑡㌰〹㜹㌱昹〸㈲晤㌱㐸㌸搲〵〵散〴㘳搲㙤㠴㡢愹戱㠴愴㌴〴㈲㤸昴㥡㠲㉣戰搲㤸慣㈵㤷扦㝦晣㌳攸扥昳〱戸戹昷㥤愴㈹㈷っ㔳挰㈴攵㥡戶捡㤱㜶㌰㘹慥挱换慢㜱晦㙥慦愹挶挵㈴ㅥ㙤慥挳㌵戶㈹摡ㄴ㙢㡣搶搷搴戶挷㈲㝤㙥ㅥ㍤ㄴ㜹㈲晤㈶㈵㤸慣㌳㈹捡搴㐶愴〴㤳扦愰㌲改㥢㜹〴㈲㍤〲㈴ㅣ㌹ㅡち㜹㌱昹㥡ㄱㅥ㑥㌸㡥㈰ㄹ挵慣㠲挹戱愶愰搱㉣〸㌲昹ㅤ㑦㉥㝦晦ㄵ㠸挹敦〲㌱㌹挱㤴㌳〶愶㠰挹㠹慥㘹㙢㉣搲㙥㍢戱ㄳ㜵捤㜵㌱㝣㕣慥扥愱慥㈶摥搰㕥ㄳ㙦慥慦慦㙢㑣㌴挴愳㠹㜸㑤㍣㜲㤲㥢㐷㔷㈲㑦攴㘴㤳ㄲ㑣㑥㌱㈹捡搴搷㤱ㄲ㑣㝥敢挵㘴〲㐴㝡㈲㐸㌸㜲㍡ㄴ昲㘲㜲㠶ㄱ慥㈴ㅣ㔱㤲㈹捣㉡㤸㥣㘵ち㥡挶㠲っ㈶㘷㤳换摦㜳㠱㤸晣㉣㄰㤳㙦㥡㜲㙡㘰ち㤸㥣攳㥡戶㙡㤱㜶㌰㘹㑡戴摢㠹敡挶㥡收收挶收扡晡摡敡㘸㘳㜳慤摤㕥摦㥥愸慥㑤搴㔴搹㡤㤱㜳摤㍣扡づ㜹㈲攷㤹㤴㘰戲挹愴㈸㔳摦㐲㑡㌰㜹搲㡢㐹ㄳ㐴扡ㄹ㈴ㅣ戹㄰ち㜹㌱戹挸〸㔷ㄱ㡥づ㤲㤹捣㉡㤸㕣㘲ち㥡捤㠲っ㈶㤷㤱换摦て扣㤸㜴戰〸昶搹ㅥ〸挴攴㜲㔳㑥㉢㑣〱㤳㉢㕣搳搶㍣愴摤㜳愷㌱㕡㤳愸慡㙤挴敤㈶㕡㠷㝢㜰㔳㌴摡ㄸ㑦搴挶搰㍢㡥搵㐵敢散挸㤵㙥ㅥ扤ㅦ昲㐴慥㌲㈹ㄹち㕤㙤㔲㤴愹㙦㈳㈵㤸㝣摦㡢挹〲㠸昴㠱㈰攱挸㜵㔰㄰㑣㌸攴搰ㅣ㘳攸㍥ㄲづ㈲㈲搷ㅢ㘱て攱攰敢ㄱ昵㔲㘶ㄵ㑣㙥㌴〵㉤㘳㐱㤰挹敦㘶㜲昹扢㌹㄰㤳ㅢ〳㌱昹㡥㈹攷〸㤸〲㈶摦㜵㑤㕢换㤱㜶㌰戱敢愲搵敤昱收收㔸戴戶扥慥愶㌱摥㘴摢㔵戸㈵摢搵〹摣愰昱㤹挶挸㉤㙥ㅥ㝤㈴昲㐴㙥㌵㈹挱㘴戳㐹㔱愶扥㠷㤴㘰㜲㡤ㄷ㤳㤵㄰改㈸㐸㌸㜲〷ㄴ攰㍥㈲㤴㠹㠴て㤳㍢㡤戰㥦ㅡ㝣㘳愲敥㘰㔶挱攴晢愶愰愳㔸㤰挱攴ㅥ㜲昹晢㤶ㄷ㤳㘳㔸〴摢挹昹㠱㤸摣㙢捡攱㈷㌷㠱挹㝤慥㘹慢ㄷ㘹户㥤搴㌵户㌷㈴摡慢慡㘳㔱っ㥤慡㙡㥡ㄲ戱愶㜸㙤㉣〶㔰㠰㔴㌴ㅥ戹摦捤愳搷㈰㑦攴〱㤳㤲㜳攷㐱㤳愲㑣晤〸㈹挱攴㙣㉦㈶㝤㄰改㝥㤰㜰㘴ぢㄴ〴㤳愰扥晤㐳㐶挸ㄷ㌱捡〷戴昴㌱捣㉡㤸㍣㙣ち㍡㡥〵ㄹ㑣ㅥ㈵㤷扦ㄳ〳㌱㌹㍥㄰㤳挷㑣㌹㈷挱ㄴ㌰㜹摣㌵㙤㥤㡣戴㠳㐹㥤㕤㔵搳㤰㘸挴㠴㐱㌳㍥㥢ㄸ慦㘹㡥㈵㙡㙡敢摡ㅢ敡摢ㅢ㘳昵攸愲㐴㥥㜰昳攸㔳㤰㈷昲愴㐹〹㈶㑦㤹ㄴ㘵敡㘹愴〴㤳㡤㕥㑣㑥㠷㐸㥦〱ㄲ㡥㍣〳㠵扣㤸晣捣〸㑦㈶㈶愷㤰㥣换慣挴㈴昴ㅣ㠴晥㐹〳捦昳挱㥥搸㉣捥㜳㐶㍣〱㜳㌲晤㌰㈲㜱㜰㝦戴ぢ摦挶㕣㠸愸㡤㍥戲扥っ㙢晤愵㑥散㑣挱㤹ㄷ㜱㘱昹ち㑥㠰昸㌱挸㥥㌸㜱㝤㤳捦㐳㝣戶挸㠱㜰愸〷挷㙥㜰愵戰㘹㘶愶捡㔸㍢ㅣ㈴捣挰㥦捦㘳㡤㤹晦攷㤱愴㡥扥〰っ戳愹ㄷ㠲戸愱ㄷ挱ㅤ㝣㔸ち慤㙥㠳㘹㌴昷㍢扣㝣㥣㝡㜲ㄷ㈲㜴〶昱昴晡户㔰ㄷ昵㔲㔰ㅤ搴㉦つ昷㈲敡愰〸愴㌱愹㑣㉥㝦ㅤ㥥昳捥扡〴㉡昹㘷㜴ㄲ㠱㈷攳㙦㘰㐵㕡晦㘵挸㡣㤳昱㘵摡挷ㄶ昹慤搹㜹挵散扣敡敥㔴扣㠶ㅤ捥ぢ㜹㕦捡㈳㤹㍥㉦㠹扣づ换㉣挵㌷昷㄰㜹挳昰捦愰昰㑣㤲㙢㠸挷㥢攰换搱扣搶㐵㠷〹昵ㄶ戹晣慤昰愰愳搳㜷昴攵㠱㐰扣㡤っ〲挴つづ㄰敦戸愶慤ㅢ㤱㜶慥㑡つ捤㜵㠹愶敡慡慡收㥡㠶㌸收㕥ㅡ摡愳捤攸昰挴愲つ昵㑤昵戵㜵戵戵㤱㜷摤㍣晡㈶攴㠹扣㘷㔲㜲昷晡扤㐹㔱愶晥㠴㤴㕣㤵づ㐱㘵搲扤攱㕢㈰搲户㠲㠴㈳㝦㠶㠲㔴㈷攸敥戵搵〸捦㈵ㄲ攷㤱摣挵慣慦搳晢昷㑤㐱㜷戳㈰㜲昸晢㉢戹晣捤て挴㘴㕥㈰㈶㝦㌳攵摣て㔳㘸ㅣ㝦㜷㑤㕢㝣㔹愲㠳㐹㉤㠶㡤㤸㕡挰㈰㈹㔶㔳ㄷ慢慦㡦搶摢つ㡤つ〹扢戶戱搱慥㙤㠸㔷㐵㍥㜰昳攸〷㤱㈷昲愱㐹〹㈶晦㌰㈹捡搴㐷㐸〹㈶戳扣㤸㙣㠱㐸㍦〴ㄲ㡥㝣っ㠵扣㤸㝣㘲㠴ㄷㄱづ扥㜱㑤㍦挱慣㠲〹戳ㄱ〶晤ㄴぢ㈲ㅥ晣ㄵ㤳换㉡搴㝢㌱㐹摦搱㙢〳㌱㈹㐱㈶愹挴㌳㌰〵㑣㑡㕤搳搶捦㤰㜶㌰㠱敢ㄸㅡ搴挶昹昵改扡㕡㜴㙤慡ㄲ戵㔱㑣㠵搶㐵㙢㙡愳昱晡晡㠸㠴㉡戰㍡捦㈲㑦挴㜲㉤㘸戹㝢つ㌱㈹捡ㄴ㈳㄰〴㤳愹㕥㑣㕥㠴㐸晦ㅣ㈴ㅣ㘱㄰〲晥晣㘷㡣㌳㕢㌷搴〸慦愴挶㔵㈴㉦㌳慢㘰㌲ㅣ㐲挱攴ㄵㄶ〴㤹晣㈲攴ㄲ㤳㜱㕥㑣搲攷捥搸㐰㑣ㄸ㝡㠰㍦〴㈲挱ㄴ㌰ㄹ改㥡戶㝥㠷戴㝢㐷㡦搷㔴挵敢㥢昱㌹㘴捣㍢愰㜳搳摣㠰改㍡㉣っ㘰慡捡㡥搷㐵敢㈳摢戸㜹昴㥢挸ㄳ搹搶愴愴㥤㙣㘷㔲㤴愹㔱㐸〹㈶㍢㝡㌱㜹〷㈲晤㉥㐸㌸挲㜸〳晣〵昷晣ㄸ㠷㈰挲敢愹㜱〳挹㔶㘶ㄵ㑣㜶㠶㐴㌰㜹ㅦ慣㌴㈶㡣㈵㄰㑣㠶㜹㌱㐹户㤳昲㐰㑣ㄸ㔱㈰攵晣ㅤ愶㠰㐹愵㙢摡晡〰㘹〷㤳晡收㥡㜸㜵㜵㝤㜳㉣㠶收㔲ㅦ慤㙥㡡㔵挵摡㙢㘳搱挶㐴㑤㔳㜵㈲搱ㄴㄹ攷收搱㝣愵㔶㘴扣㐹㐹㍢搹搵愴㈸㔳扢㈱㈵㤸㠴扣㤸㝣〴㤱晥ㄸ㈴ㅣ搹ㅤち昸ぢ㙥㈷㤳㡣㤰慦㝢㤳㡦㈸敡㔲㕣摣ㅤ㑣㈴㙥㠰㝣ぢ慣㌴㈶㔳㤰㐵㌰昹挷㍦〲㘷ㅣ挰捤㥤㜱㤸㙡捡〹挳ㄴ㌰㤹㐶㈳㌰㙤㤵㈳敤㘰ㄲ㙢慣㙡㑦攰搴㘹㙥㠸㔵搵戵㈷慡㥡愲昵㔵㌶㤶ㄲ敡㌱搵摢㔰㕦ㅢ㡤㐸㘰〱慢㌳ㄴ㜹㈲㔵慥〵攷摣㤱㤸〲㈳㔳㜵㤰〹㈶㝦㐱㘵搲搷搸〸戲改ㄱ㈰攱㐸扤愹㑥㔰㙦㤸愱〴昸挳愳㌸㈴㝣㝢㥢ㅥ挵慣慦㘳㑦㌵㐱挲摥㕦㔸扤〵摢散㥤㈰㠱㕥挶㑥戴㡢㕥〶攳っ攸㤸摥ㄹっ㡡昸㔳㡣㉢㄰㙥㔶摦㠳攱〲散㘹攸㌱搰㔵㡣ㄴ挸搵㤱㌵㝥摡慢愴㡥戱㌷㡢扡挸愹㕥昵ㅥ〳昶〲㘴㐴昲摢挰㘳㌰ㅢ㤹昰㠷ㄷ搴挲ㄴ㡥㐱㡢㕢愰㌵ㄱ㘹昷晡ㄵ挳攲㑤㔳㔵㙤㝢㝢㑤㐳㥤㥤㘸㙦戲㘳捤㜵㍣㔱ㅢ愳㑤㌵㤸ㅤ㡢捣㜱昳攸摤㤰㈷挲㘵㝦愹昲敥㑣戵㥡ㄴ㘵ㄵ昳㤰晡昷㜴ㄵ昶㠳㘵晣㌹つ摡摡ㄳ㠵㙤摢戶戴㌷搹ㄳ㡤昷戶㉤戶㔳昸攲㕡慡つ慦晥挸㉣㘰㐴收㥢ㅣ㝣愵㥤㥥㠶ㅣ昲㉤㑥㕤㠵㍤㈵愱〳攴㔷㌳㠵ㅤ昹ㅤ㠸㉣㠲昰㌳㕥㠴搳㔷挳㥦〶㈲㝣㤰㈹愷ㅥ愶㠰㌰㠳〵㘸捤㙡㐰摡㐵ㄸ㡢㘱つ戸ㄹ搴搴㔴搵搴㌵戵㌷㌴搷搴㌶㘱㌲㈹㡡㜹敡㐴㜳㝢㝢㙤㘴㤱㥢㐷㌷㈲㑦㠴搱〴㠲戰㕣つㄷ㥢ㄴ㘵敡㄰愴愴㤵㍦㠶捡愴㕢昹摥㄰改㝤㐰挲ㄱ㐶つ攰㉦昸㙡挸㘸〲ㄱ㙥愱挶㐳㈴㉤捣晡㍡昶㤴㐴〹㤰㌵㤷〵㤱挳ㅦ愳〴〴㤳晢扤㤸愴慦㠶昷〶㘲㜲愴㈹㘷㍥㑣〱ㄳ挶〵搰㥡戵㍦搲㉥㈶㔸㌹㑣戴㈷攲㘸㜵㔸搹慡㡢攲敢㥥㥣㐰挱㕡㑥愲慡〶㙢㕥ㄱ〹㈳㘰㜵づ㐰㥥〸〳〷㘸挱㌹昳㔷㥡ㄴ㘵㉡㠶㤴㘰㜲㠷ㄷ㤳㠵㄰改㐵㈰攱㐸ㅣち昸ぢ扥ㅡ㌲㜰㐰㠴㡦㔳攳〹㤲㐳㤹昵㜵散㐵ㄲ㐶㜸㌸㔸挳㑡㐲㕣ち摦㍢晦昳㌹㥥愵摦挹〸㘳捦晡㌰收㕣㝣攸㤲㐱㝦㐵㈵㜸愷㡦昳㈶㥣搲攲慦㝣㌶㕢ㅣ㡤昱攱〵晥㐲㌷挰敢捦㘱㠷愸㘶㠶㔰戴㌸ㄶ㍦扤ㅣづ㠷扡攰㙥㘰㤸扣晦〳搶㜳㌷挴散㉥㍥㤲㠰㌵㙥㘴㉣摡慥㝢㝥ち扢㜸〵昶搲摥㔹ㄲ㈸捦搵散ㄱ㘶ㄹ㝣戲昹㕥攳挴っ挷㍣㠵㘲戲㉤㑣愶昳攱晢㠷㠸㕣㠰㘰㌲扦敥戸㕤㈶攵㜹㤳搰㑥ㄹ㉥ㅥ㍥㐲攴扤ㅤ㌷ㄶ㔳㜸戳㑥㘹㜱㐹捥扢愴㘵昰㍥愷户ㅢ㕦〶㤸挶㔷〷搱ㅡ扥㐵㍡㍦㑥〰㜶ち㜸㡦搲散捥㍥㜹てㄹ㕦㔱慣㌴挳㈰慣ㄵ㠴㘹晡㠴㤶〹つ愱㙢㜱ㅣ晣ㄱ攱㜹㡢挸㐶㥤〵戲㘹㠴㜵ㅢ散㈹㥥昷戴㐶㔶挵ㅡ㈴昰攷ㅦ㝥㙤㥤〱ㅥ户㤹㐲㡢捡㘶㔶㌰ㅥ㐱㌴㔷愸㜱㥢㘶㠵㕥㍢摥晦㉡捤晡㡦戶慤㔸㍦昴戵ㄹ㙡〳搴㈶㈲㥦晦㠳㜶㔷愰搰㕦攳昵㐸㌹摦㜰戸摣ㄵ昸扦攸ㄷ㘱攴〱换搴㌶㉡㍥慣㐴㌱㔲㠰㈷㠹扡ㄴ㌹搸㌲愵㌱慤愲㔷㈷㠰捤〶愵㌴挳〷慣捥㌴㜲敡㐲攸ㄹ㝦挳㝡㌵㤵搹改㌱慣㡡㔳㤰挰摦㈰㈰㘰愰㠰㘸ㄶ㠴攰ㅢ㔰ぢ㠲攰㍣搷搳ㅣ〸捥㜵〵晥㙦晡㐵扥改㤶愹搷㍡㄰㙣㐲㕡㈰昸㈶㜲愴㈱㐸搱慢ぢ㈰㜲㈰攰㘲扦搵㥦㠱攰捣㉣〸搶㐳㔰㜱戱㙢ㄷ晢摥㉤攰挰㜳㈵ㅦ㝦㘸㡤㠵づ晣搵㔰ぢ昲晡搴㝣㕥㥦攲ち晣ㅦ昲㡢㕣敢㤶愹㡦㐵晤㜰攰㙦㐰㕡扣㍥挹敢昵昱㄰慡㥢㈰㜲扣收㜲扥㜵㈲㜸捥㈹愳㡥换昲晡㘴〸㉡㙥㜱敤㘲摦扢〵㜸㝤慢搱㉣攸昵㕤搰っ昲㝡㘳㍥慦㌷戸〲晦搷晢㈲㕣搶挷ㅦ㈶ㄳ㔱㍦㜸捤戵㜹昱㝡㥤搷敢戳㈰㔴て㐲攴㜸捤〵㝢敢㙣昰㕣慦㤳㔹㕥㥦〳㐱挵ㄶ愸攰㙦㄰㉤晣㈱愳㔹搰㙢㉥扥〷㜹摤㥤捦敢㉥㔷攰晦㘴㕦攴㈹户㑣晤㉤搴㔵㕦〸㌲慣㔸㍤〳愶戸摥改㜵晤㘲〸搵戳㄰㌹慥㜳㕤摥扡ㄴ㍣搷㜵㍢换昵换㈱愸㜸搱㌵㡥㝤敦ㄶ㜰挰㝦㙥㌴ぢ扡晥㌲㌴㠳㕣㕦㤹捦昵㌶㔷攰晦㔸㕦㠴敢昳昸㉢搲搷愲㝥㌸攰㙦㈰㈱㕥慦昰㝡㝤ㅤ㠴敡㑤㠸ㅣ慦㝦㠷㍤敢〶昰㕣慦て捦昲晡㈶〸㉡摥㠱ち晥〶㜱挰戹慣㉥㥡〵扤摥ち戵㈰慦㤷收昳㝡㠹㉢昰㝦愱㉦昲扥㕢愶摥散㜸捤㘵㜴昱晡㘰慦搷户搳敢て㈱㜲扣收摡扡㜵㐷挶敢〳戳扣扥㡢㕥㝦攴摡挵扥㜷ぢ㌸搶㕣㌸挷㕦㔱攱㑢㕡㘹㈸搸敢晤昲㜹㍤捦ㄵ昸㍦换ㄷ攱ㅡ㍢换搴昷愳㝥㌸搶㕣㈸ㄷ慦攷㝡扤㝥㄰㐲挵㌵㙥挷㙢慥㥥㕢㍦〴捦㍤搶戳戲扣摥〲㐱㐵挴戵㡢㝤敦ㄶ攰㌵㤷挶〷攷㌵㤷挳㈷戲慥慦㤲扣㐶挲づ慢摡㈷㥦搷㝢扢〲晦户昸㈲㕣㐵ㄷ慦ㅦ㐳晤攰㌵㤷挲挵敢㘶慦搷㑦㐰愸㉡㈱㜲扣收晡戸昵ㄴ㜸慥搷昵㔹㕥晦ㄴ㠲㡡〹慥㕤散㝢户〰慦戹昸㍤㌸慦戹攰㍤ㄱ搶晣㕥㔷攵昳㝡㉦㔷攰晦〰㕦㠴敢攴攲昵昳愸ㅦ扣收㘲户㜸㍤搵敢昵㡢㄰慡㍡㠸ㅣ慦戹〲㙥扤〴㥥敢昵ㅥ㔹㕥晦ㄲ㠲ち慥㕣㡢㉦㕥㥦昱ㅣ㘴㙥㙦㡤换摢㠳昳㝡㈶㌴㈷〶㜸㍤㈱㥦搷扢扡〲晦㔷昷㈲㕣〹ㄷ慦㕦㜱扣收㜲戶㜸㍤捥敢昵㙢昴㝡㍦㠸ㅣ慦戹挶㙤扤㤱昱㝡㤷㉣慦摦愴搷㕣㥢ㅥ㥣搷㕣挰ㅥ㥣搷㑢愱㌹㌱挰敢㔱昹扣摥挱ㄵ昸㍦戵ㄷ攱㕡户㜸晤㥥攳㌵ㄷ慣挵敢敤扣㕥晦㠱㕥ㅦ〹㤱攳㌵㔷戱慤㍦㘵扣ㅥ㤱攵昵㔶㝡扤搲戵㡢㝤敦ㄶ㜰慣愳㐶戳攰㌵扣〳㥡ㄳ〳扣ㅥ㥡捦敢㜲㔷攰晦扥㕥㠴慢搹攲昵摦㔱㍦戴㜰㉥㐹㡢搷摡敢昵㠷㄰慡㌵㄰㌹㕥㜳㥤摡晡㈷㜸㙥ぢて㘵㜹晤ㄱ〴ㄵ㝤慥㕤散㝢户〰慦戹〸㍤戸㘳㝤っ㌴㈷〶㜸㕤㤴捦敢㝦㝤ㄸ晣㔱扤〸搷慢挵敢㘲㉣挲挲㙢㉥㍡㡢搷ㅦ㈳㐷扡㌳㕥ち愱㍡〵㈲挷㙢慥㐴㕢ㄶ㜸慥搷晦㠰慥ㄹ㝣㠴㜵ㄹ〴ㄵ愷扢㜶ぢ㝢捤㘵收挱㜹㝤㉥㌴㈷〶㜸晤㔷搷戹㥣㈱挸㝦扢〲晦㤷昴ㄴ㤷㍢㌹愲搴挳㔱㔷㌳〱ㄹ㌱昳㡥㑡ㄶㅣ㈹㑥㜳㤰㠸㜰㠹㔱愰㡡㈰ㄳ愰攲㤲愰㐰昵㘷㉦㔴㈳㈱㔴搷㐰㌴㌱㕤搳扤㌰㉥㜵敥㌶敦攵慢改扢慥挰晦㤵愱〸㔷敥愴搰㔱㑥愱㕣㝥㤳㐲摦昶ㄶ㍡㥡㠵摥〴㤱㜳㝣戸㈶㘷敤っ㥥㝢㝣㝥〷摤捣昱ㄹ〳㐱〵搷搲〴㜵搴搲戳〵戴㑡㉥戸つ敥昸摣〵捤㠹㌰收扦摢扣㤲捦敢摦扡〲晦愷㠵㈲㕣㥢ㄳ慦㈷㌸㕥㜳㠱㑤扣晥㡤搷敢摤攸昵㠳㄰㌹㕥㜳搵捤㥡㤴昱晡ㄷ㔹㕥敦㐹慦户戸㜶ぢ户捡㠷㡣㘶挱㉢搰ㄳ搰㥣ㄸ攰昵昳昹扣㝥捥ㄵ昸扦㈷ㄴ攱敡㥢㜸㕤攵㜸捤㈵㌴昱晡㘷㕥慦㙢攸昵戳㄰㌹㕥㜳㕤捤慡换㜸晤㤳㉣慦ㅢ攸昵㡢慥摤挲㕥㜳搱㙣㜰挷晡㘵㘸㑥っ昰晡戱㝣㕥㍦敡ち晣ㅦㄱ㡡㜰㝤㑤扣摥挷昱㥡㡢㘴攲昵挳㕥慦昷愵搷㕣摦㜲扣收捡㤹㌵㌳攳昵㡦戲扣㥥㑤慦摦㜱敤ㄶ昶㥡换㘲㠳昳㝡㉢㌴㈷〶㜸㝤㝦㍥慦敦㜳〵晥㉦〷㐵戸㠲㈶㕥敦攷㜸捤㘵㌰昱晡ㅥ慦搷晢搳㙢慥㘰㌹㕥㜳㙤捣㕡㤰昱晡捥㉣慦て愲搷ㅦ戹㜶ぢ㝢捤㠵慦挱㜹捤挵慥㠹〱㕥㙦捥攷昵慤慥挰晦戹愰㠸〵㑢攲昵㔲挷敢㌰搲攲昵㜷扤㕥㉦愳搷㕣扦㜲扣㉥挷㥥㜵㔸挶敢ㅢ戳扣㍥㠲㕥㐷㕣扢昸捦扢〵㕣捤戸戴㌵㌸慦戹㥣ㄵ攴昵戵昹扣扥挶ㄵ攴㝣㈳㠸换㕥㜲户㔹㠹扡愶敦㌶㍢扢㌵搱㔱㜰㜵㍢㐹っ㈴慣㘴愱㡢㜰挷㤱㘴㍥ㅣ愸愲㐸愵㔱户挱挵摤㠷敢㔳〲摤愵㕥攸㔶㌱换㙥㄰㌹搰㜱搱捡敡〴捦攲㤴㙢㜵㙤攸㐲㈸㑦捤㍦㠷㥥㜹挵㡥㤹ㅤ㑥戱〲搹搳摤㘰㘰攲㜵㌵㑢攲㤲ㄶ㑤㤲ㄵ攲㤲搱ㄴ㥦㙤挶㍡㉤㡣戵ㅦㄸ敤㠹慥戲㤳搳摣ㄵ㈸㜷〱㡡㉢㕦㙡㤵戲㔵〲㉦扡敤㔴㐷愹搵㜸㔷㙤昷㔰㤹㔷戶㌷昴挹摢散ㄹ㙦㠵㈳㔶㔲戲搷攰㉣㐷㝢㔶挹攷㑡㈴㥥捡晦愶㈸㕦㙤收搹捥挷㈰㈴㔶㡢戱㔰㐱ㅦち攰愷〰晡愲昸㙡攲㠰挲戲㌲晦㔷㙥㝣㘵戹㥥㜳摡㕣慡㜶㘱㜱挰㝣㌹㉡㠴攷ㄳ㘳搳收㜴捡㔷㍡愳挹㡤㉢㙢㤶㉦㜷ㄵ㤷攰㈳㈲㍤慢愶㔴㜶愷㘲扤挹慥捥昶捣㘷㍣㙡愶㔵昱摦㤴捡ㄶ㉣敢昵㈷敤改㍤㜶㍦扥收摢㌵愵㜲ㄱ㍥昷搸ㄹ挳晡挹搲摥搵㜶捦昴昶㐶〴愶㘳㌵扤扡戹ㄶ㈱㠴㑤捤㉢愶㉣ㅦㅣ慡捥㠲攱攴昹㍤㙢晡昱攱换愴㜳晣戰㝣㌸愵㤲㙥ㅥ挴ㅤ昷ㅢつ搳㍦搷㌷㐵㔶慣ㄸ㄰㘵ㅥ㈳㜹摣㌵㜴㍥ㅡ摤愷㙤ㄱ搹㉤㤹戶戸㠵㌶挱搴愷㘹㈸戹㘶戸散愰㝢㜱㍥攸㌵㈰晣㕣〲㌷扤㤶㥣㈴㐸㔸㔵攱搴挸㕣㑢㌲晤挱㌳㔱㜶攰晡挱ㄹ慥挰晦㐹慤〸搷㕦攵ち扡〱㠶㜱ㄹ攰㈲慡㕣〶扥㡥ㅣ改晥㍡扦搰慡戸晥改㕣〶戸戲㙡ㅤ〳㥥摢ㅦ㍣ㄹ扡㤹晥攰㜱㄰㔴㜰㐵㔴慥㡢〲㑡㥡〴㕣㐱昷㌱㥡〵㝢㐶㕣㉡捤㜸晤ㅡ㔱㝡ㅤ㐴ㅤ㤷捦敢㘳㕤㠱晦㍢㕡ㄱ慥戰㡡搷愷㌸㕥㜳㤹㔴扣晥㥡搷敢搳攸㌵㔷㌸ㅤ慦戹㜶㙡㥤㥥昱㝡㝤㤶搷㘷搲㙢慥㜹づ捥敢㐵㐶戳愰搷㕣っつ昲㍡㤹捦敢戵慥㈰攷攳㔹㕣㐳昵㕦㔶㘴㠱㑣㕥㈴㌹㑤㕥昷挸〷㥡敤㤴㌰昸慥扢㔰㠲敢㠶攵〹㠷捤ぢ㥢扣㔳戰㑢㥥㕦ㅥ㡡㙦摤㈴㔷摢挹〵昸愴ㄳ扥㜰戳愴戳摢㝤愸ㄶ㥦㝡攲挵搶㝣㑤㐵㑢㡡㤹慤挴挲㈴㍥慦㌲㈴㌱㍦㠵户收挵换扡ㄷ㐵晢昰つ昱㥥㉦㐳㈴㉥㥥㈸攷ㅢ㑢戱㌹㥦挰〹㝣㤸㥢㑦㘹〷慥㌱㍡㄰㘶昰㌰㙦㑥㉢收㈷㜲㍥㕢ㅣ慥㜵㉥㥡㤴㜹㐱㑢摣昳搱愷㘲搵㡢㐳散挴晢㥣㔰㈴㌷㑢㉥㕦敡㑤搰户捥〷㈹挱㔳捣㜲愷〷〹敢ぢ挰㤱慢㥣㤰愲㄰㔷㤶晤捥昱昱晡㔶㝡ㅦ㕡摦ㄹ敦敢戰㍡散捥㔵ㅤ㝤㜸㡣扥摣㍣晥㑥㘰㑡戹㍡㍡搰挲㉣㍢㈳㐳扡摢愲挹㘴㜴㘳㔹㜷㕢㤷摤戳慡慦愳慣㙤ㅤ搶愱昱戱㉡搴〳摦〷搶ㄷ攲㝦〷㘸㥣㕥㕣戶㘴扢戴㉥〲㌷搸搹㡥㐰㘷㉦㠱扥㜵㈹㐸戶戳㤷㠱攳㜱㔶㜱攵㤳づ㥢㑤㜱㜵㤳㙥攸㉢愰㤹慥〶㤷づ愵ㅡ㔷㠲ㅢ㕣㡤㘸㘰㌵慥㘶㜹慣㐶〶敦㙢挹攲㑢ㄴㅣ扣ㄵ㔷ㅥ戳慡挰搵㐵愹挲㜵搰㑣㔷㠱敢㜸慣㠲㘶ㄵ㡡搵ㄱ㠱挵摤㐸摢搹挵摤散㉢㡥㑢㝥㔹挵㜱㔹㑦㡡晢慥户㌸㉥愰㜹㡡㕢ㄲ㔸摣收摣攲㙥昷ㄵ挷戵戶慣攲戸㥥㈶挵摤攱㉤㡥㉢㔷〲昰㥤攰㡥㤸㤵㑡昵㜷慦攱〷捣㉡搷㌱戴㈰㔵慣ㄶ㤸ち晣扥㘶挷㑣㤳晥㝥扡〲㠲ㄳ㥢昳㍤扥ち㜰㌹㑣㉣摦〷㐱昰愱㙢㌵戶㡢扣愷换〳㘹摢晣昰㡣㥣㉡㍦昰搹收㙡ㅡ㥤扢㜹㐶攷慣攳㘶㠶㘷慢换㤱㄰攷㝥〴捤昴愱攳摡㤴㔴㘱㑢摥㉡捣〸慣挲㡦㌳㔵㘰〳愵㝢㡦昸慡挰愵慤㉣㝣戹㝣㈵㔵㜸捣㕢〵㉥ㄴ㜹づ㘷㔳㘰㜱㑦收ㄶ昷ㄳ㕦㜱户晢㡢攳扡㤱ㄴ昷戴户㌸慥搰㠸挷捦㠰ㅢっ㝡㜵㘰ㄵ㥥捤慤挲昳扥㉡㍣攸慦〲ㄷ㜱愴ち㉦㝡慢挰攵ㄲ㡦挷㝢〶ㄶ昷㡢摣攲㝥攵㉢㡥㉢㉢㔹〰㜳昵㐴㡡晢㡤户㌸慥㔳㠸挷㉦㠳ㅢ散昱慥㠱㔵㜸㈵户ち慦昹慡挰㘵㡥慣㉡㜰㈹㐳慡昰㠶户ち㕣㌴㄰㡦㜹㘳㈸㔶㍢〷ㄶ昷㕦戴捤㥢㐰收㠲昴㌶㔹㥥ぢㄲ搷ㄷ戲㡡攳ㅡ㠲ㄴ昷㉥つ戳㈵㘲㔳㥣慤昷ㄴ户㕤㘰㜱㝦挸㉤敥㑦扥攲㌸戱㥦㔵摣㔶㔳摣㔶㙦㜱㥣㈶ㄷ㠰晦〲㙥㌰挰挳〳慢昰摦㉣㉦晢㥡昸㌷㕦ㄵ㌸换㥥㔵㠵㡦㑣ㄵ㍥昰㔶愱ㄸ〹昱搸戹〴て〹㉣敥㥦戹挵㝤攴㉢慥ㄴ改慣攲㌸㠵㉤〰㝦㠲ㅤ〳㜰㘴㌸ㄲ搲ぢ晤ㄷ㜶㜴ㄱ摥搱愴ㄵ㐸㔸㐵㤰ㄶ㈸㡡㤱慣㐰挸㤵ㅤ挳敢㑣搳㤷捡㡦㍦㜰敦晥㔹㤷捡㔲收攷㔰㐰㐹〱扣㤶㔸㘴㜹づ晣㐸搸㘵扤搲㤷㌳㑥〲㝢づ昱〷挶㜰搶㜵㌲㑣㉢搹㉤㙡愸捦昰㘸搷戰搳㜲㔰㠵㌱㘰㠸挳挳愱㘹ㅣ㔶ㄳ戲㡢摢ㅡ㔸摣㠸摣攲戶昱ㄵ挷㠹摡㉣㝣㌹ㄹ㉢挵㙤攷㉤慥捡ㄴ攷ㅣ捥㜷〳㡢ㅢ㐵摢搹慤㘷戴慦戸ㅡ㝦㜱㥣〵㤵攲㜶昶ㄶ挷昹㐶て㤸㙦〴ㄶ㌷㤶戶戳挱ㅣ攷㉢㙥㕦㝦㜱戳㑤㜱扢㝡㡢攳㐴㥦㌴㤲〹攰〶㥦㉦扦〹慣挲㙥㉣㉦摢攳㐹扥㉡㜰㥥㌰ぢ攰㠳㑣ㄵ昶昴㔶㠱戳㙥攲戱〳昰㡢㠱挵㑤捤㉤㙥㉦㕦㜱㥣愰换㉡敥〸㔳㕣戵愷戸〸愷扢攴㝣愹㘱晥㕡㤲㍡㤰戰攲㡣㤷っ摦㝥㠲ㅡ㜰搰㍡〲つ戱っㄱ㠷敤㐶昰㤴㉢㤸㐴〱摥㐴捣㤹㌱挹昱愴㉢搸〳〲摤〴㙢㤱戸㈹愵ㄹ㈹㡣㠸㌹㍦㈶㑥昲㘴㉣㔶㡦ㅡ㈷戳㑥扥㝤㈰昳㥤㝣晢㤲攵㌹昹㌸㤵㤶㜵昲㜱挶㑢㕡搱㑣ㅡ㐶昹晣㈹㡥晢捤㍢戶㤰㌶㙦㠳㥢㐵㙢戳㐱搴㥡㘰㠵ㄶ㉡捣〱〹㜱㥥挰㍦捣ㅢ㘰昶㠸敦扤㔶㔱㤹㌱挳敢㥣㌰㜷戶ち㌳㘷㌱搵㥥㍤㙦㔶㔲㐲攴㌹㜱ㄶ㌴愳㤲晥㍡散㠰挲㑦㌳㉢挲改㤴㌲扣晥昸搳㑥捡㌰摦㙤㙡㠰戹㌰づ捣㔶㔶㉦ㅦ摣㐴㤵㑣慦㑤㜶攷摡捣㙣搵晦挲㈴㤵㌵ㄷ〷㜶搹㌱㡢㝢㝢晢㡥㌱户㠳搴㌱〷㈲㕥搶慥㙣㠹㈶扢㝡㉢ㄷ㍡扤改㐵㤸敥挳慣摥戴つ㕤愹つ〳挸㡦㘹挱敢捡㉢ㄷ㐵㌷昶㈶ㄲ扡㤵㉤㘷ㅥ㠸扡ㄷ㙤㥢搳㔷㙣㠸㥣㈴㜶摥愷㝥摦っ扣㔲㄰摢ㅦ㑣っ〵摥昹〸㐵㑥㤹㐱〷摦㠲㐳搶㜰㘹ㄲ慤敥㍦㤳㤰㥣ㄵ戵ㄱ㑡㡦搷㔵攰㘹戴㝡㍥㘴摦戴㠲搱昷㐵㌹ㅦ㥤㑤㝦㘳㜶ㄸ收㔳㘵㝡㝣㔱戴㌳㤹挲㠴㝥㐹搹愶㠱㕡戰㍢慢㍢㜷慤昳㌸戳昹昰㉣ㅢ昵扦㜱㙡㜷㐵搹愵〳㑤㌱㝢㝤昸晦㙥㤲㜹昹ちづ㈰昵〱㌸ㄱ㌸〳愲ㄷ昰㘴攲㠴慡愷㍢㜰㠷戹㙦㘴昵慤ㄶ㐲搳搷ㅤ㌸㤸㉣捦㝤攳㘸搸挹扡㌹ㅥ〷㠶摣㌷㤶㐰㌳摤户㍡挵ㄴ攷摣㡢扦ㅢ㔸摣㌲摡捥扥昵ㅦ收㉢㡥㤳㥥㔹挵㜱㘲㔳㡡㍢挲㔳㕣㘸ㄳ戸㠳㥥〸㈳㍡㥦昱㔹敤攵㈸㔴㜱〶㑢㄰㍥㤲㈹ㄸ攳慦㠲昳㐸摣〱て㍢㥣て㘲愵昴ち敡㜰ㅡ㐸㜲㝣搵㥢㠳㔳㍥㤹ㅣ㥣扡㤱ㅣ㙤搴戹搶攴㔸改捤㜱㕤㔶づ捥扥㐸㡥㈸㜵㌸昱㈲㘵戴㝢㜳㜰㤲㈵㔳挶㘶㤳㈳㐶㥤摢㑤㡥戸㌷挷ㅤ㔹㌹㌸攳㈱㘵搸搴攱㘴㠷㤴㤱昰攴㔰㥣戹㄰㥤㔵攴㜲搲㐲㜴㍡㍣㍡ㄵ㥣愰挸搴攳挷㈶㐷㈷㜵ㅥ㌱㌹㡥昲收攰㝣㐲㈶〷攷ち愴㡣搵搴攱㌴㠱㤴搱攵捤挱㈹㠱㑣㡥㘷㑤㡥㙥敡㍣㙦㜲昴㜸㜳㜰〴㥦挹挱搱戹㤴搱㑢ㅤづ捣愵㡣㌵摥ㅣㅣ㠴㘷㜲扣㘲㜲慣愵づ挷搱㤲㈳改捤昱㐶㔶づ㡥㠷愵㡣ㄴ㜵㌸ㄴ㤶ㅣ㝤摥ㅣㅣ昶㘶捡攰㤰㔶㜲昴㔳㠷愳㔹挹戱捥㥢㘳㙢㔶づ㡥㐰㈵挷㝡敡㜰昰㈹㌹㌶㜸㜳㜰愰㤹㈹攳㥦㈶挷㐶敡㜰晣㈸㌹㡥昶收昸㈴㉢〷挷㠸搲㘳㍤ㄵ㘷㌶晢戸晢戰改ㄷ㕢㡡敤㕦〴愷戸〲扥昹慤㡣㥦㈶㌲㠲㤳㕤〱敦摦晡㌸ㄶ挱戱愲㔴昸㜸愶㌸㑣㤴攲㑦㜰㜷㤸㔰ㅣ昶㠹捥㠹攴㜲挴㈷㍡㈷㜹㜴㉡㌸扡㈳ㄷ晦㘱㠷㈳㌷挹㜱㌲搹ㅣ戴㐹㡥㔳摣ㅤ㈶㉡㌸㐰换攴攰攰㑢㜲㥣㑡㌶挷㕤㤲攳㌴㜷㐷㜲㜰㡣㤵挹挱昱㤳攴昸㍡搹攳㕣㤹㍥摤摤㤱ㅣㅣ㈶㘵㜲散㠶㤴攴㌸㠳㙣㡥㜴㈸搳㘷扡㍢㤲㘳㑦㌷㠱晦㈰收㠸㐵㜲㥣㐵㌶〷㉢㤲攳ㅢ敥㡥攴攰挰㠴㍢昸て㍢ㅣ㤰挸㌱㐸昹づづ〷㈹㈲㐸晡づづ〷㉥㈲㔸敢㍤㌸攷㠲㕢挱㔱挸㔰㔸ㅤ昲ㅣ扥㜷晤㘱攸攸㈱㙤㐳ㅥ㉡扤愷㜴㙢搱㌲っ摤㤷㔹昸〶㍤㐷㈶晥昷㜳㜸ㄶ㜲㍣ㅦ㜰㠱㈲扥㘸捡て〶戱摦ㅢ敥㥥摢搳摦㉤㝤つ慢㝢㐹〷摥㐳㍢挲搵㥤㥣搶ㄹ㤹收愴㜵㠷愷㔹㤲㘷㐷愷挷挱㌵㙣慡㑣捥ㄸ摤捥㉦ㄱ㝤昴㝥㘴散㌰摥户㌶散愹戱愹㈰㥦㝥㉢㔳㠳㔶㉣㔳捣愰捦㠳㤷㌲㜶捡散㐹㔲㜱㔴㈶〷㜲ㄳ㜶ㄴ〷㘴㜲㈰捦㜷㜷攴㐰捥㜴ㄳ㘵扣㜳㐷㘶㈱挵㉤挲愱㤶散㜰㕣㈵㍢ㅣ㕢㜱㔳慤搸ㄱ㍢㈶㥡㑦戸搲㠱挶㕥㍡挶㡦摣搲晤愱晢㝦㙥㌸㐲㈴慣戶㑥㝣晦㈷ㄵ㙡㑢㘱㘵㈸扤㠲㠳攳戸㡦敦㈸づ㌰戲昴て㥣㥣搷搷㘰〵攸㕢㉥㠲㐴戱㤴扤愶㉦㘳㝦㤷挷㙦〸㝢㜲㜲戰㔹搵㤲㡢晦搳〳㤶戸㡦㠰ㄱ捥㔱戸㡣晤〷ㅥ㈷㉣㈶ㄷㅥ㕥㡥㑡㔶攳戱㘳㔹敤㔲愵晢づ敡㈴㜲挳㥡㜲挳㘴㌸挹㘱㕤㠴愶戹晣ㄸ㝣戵慦搲扣戰㍡㜵㑣㘶㕤敤㜳捤づ愴㍡㔷㜵㐷昵挵㍣㑢㌹㐰㤱㑢攸㈵㑣ㅤ㑣㠲挲昵愵敥づㄳㄵ㑢摣〴晥㠳㤸㘳っ挹㜱ㄹ搹㠷戹㌲㝤戹扢㈳㌹㌸㤴攰づ晥挳㡥昴昱戱愳慦㤰㌴㜹戸〲戳慦捦晢㠶扥ㄲ㍢㤸㠷㤳㝥㍤搳摥换㙥㠴晤㝢搱扡摡搱㤲扥㝣㡥搶㑡愳㜵慤愳ㄵ挵㝦攲㐷㤶㉤昶攳挵搶㜵㡥㤶昴搹㜳㙣挵㡤搶つ㡥㤶昴搳㜳戴ㄲ㐶敢㈶㐷㑢㝡敡㌹㕡散戱㑢㠹摦㜱戴愴㜷㥥愳㜵㤴搱扡挵搱㤲ㅥ㜹㡥㔶㤷搱摡散㘸㐹㉦㍣㐷㡢扤㜱㈹昱㜶㐷㑢㝡摥㌹㕡散㠱㡢搶ㅤ㡥搶㕡晣㤷㡢ㄷ㝢摤愲㜵㤷愳㤵㌲㕡㔹挷㤱㍤㙤搱扡摢搱㤲㕥㌵㑢捣搲㘲敦㕡戴敥㜵戴愴㈷㥤㔳慦つ㐶敢㝥㐷㑢㝡捦㌹㕡㐷ㅢ慤〷㐵慢㠲㕤摥㐳愱㔵扣㐱挵㔶挶㔷慥晣戰愲戴㜲㜴改㘱㌳㠷㕥昲摡㔳㙦㙣㝡昱挸改㙦㝦㜴昹攵㉦扥戹改愷ㅦ㍤搸㍥晤昱㙢慦㝤㘴晦慢㝥晡挶挸挴搵挵㜷㝦戸攰敡㘳慡㔷ㅦ戳㌶㜱挸㥥昳㡥㌹晣愸㠳慢ㄷ㡤㤸㕣㔲㌲㘴挸敥摢㍣㌱㙡㔲攴㠴戵昷慡㠷㝥戵㐳㡦㤲㕥㜴㑥㌵㑥㌰搵昸愱㔴㐳㐹㍦㥡㕡㔹㡥戳㍦㉤㡥㙦㜱戴愴敦㥣愳挵㍥戴㘸晤搸搱㤲晥㜲㑥㠹愷ㄹ慤㐷ㅣ㉤改㈳攷搸㘲㕦㔹㙣㍤收㘸㐹扦㌸挷搶㤹㐶敢〹㐷㑢晡挲㌹㕡散ㄳ㡢慤愷㐴慢㠲ㅤ搸㝦㈷搴㈱昶昵〶搱㍦㘴㘳晤㡣㌳づ㍦㐱〹㑡㍡㡣㌹摥戲攳㈸摥㍥㡤㥤㘱㈵㐳搸㡦㤱昳㠲捣㔲晦㍢㈰㍥㐵捦㠸ㄷ㜴晤㡣ㄸつ昱戲晢㌹敦て㈳㔹慤㈸㈶昱㙤㝣愱㠱挱戰慢ㄸ〸慢㝡㔴㉦扥摡攰〴挶慥㈹敦㥥摢㠵㐵㐵㑣ㄷ昷㙤捣㥡敡㉦㔵昴㠶㥢㑣昹㘳㍡昲㔳〵攱搲㤵挱㑤摡换㝣㝡㍡㔶㔶㘱戲ㅦ摢㠰ぢ〸㑤㠳扡㙤㘶㑤摡㈳ㄲち〱愶㜲挳戴慣摢〷㥡㔶晤㔴ぢ〳收搶扣搴㑥昵㉤敡敤散㐱ㄴ㉢挲㔸扥昸㤵㠱㐰㍣搲㈱挴搲㙣ㄸ㈶㉤昳㠵愱扤搰〷晢戴搰昳㐴挹㠴㘳搳㈰㌹晣〵㙥昷㡤㌹昵昷〷摦晢挳ㄹ收㝦愳愴㥦㐷慢搵㉦㠰ㄸ〹搴愰晢摣㡣愳户摤㍣敦昵愳ㅦ㤹愱㕦㠴搰搹㍥晣㔷㔸㐹㜷〲挹散㡢㈱扢ㄵ㜲㠲扤㠴ㅤ摣昳愵ぢ㐱慤慣晢㌴扢ㄲ愲昵㑢搱㡡㤸敢愹㘲㑦㐱〶搵扢扢㠳敡搹挸㕢㠶捦㉢戳㜳㈰㠲摤㝣〲昶〷㐴㌰搱㈷㘰ㄷ㐰〴ㄳ㝣〲摥昵㐵戰慢㑦挰ㅢ扤〸挶晢〴扣户㡢㘰㥣㑦挰摢戹〸㉡㝤〲摥挱㐵㌰搶㈷攰㑤㕢〴㘳㝣〲摥愷㐵戰㡢㑦挰㕢戳〸㜶昶〹㜸㌷ㄶ挱㑥㍥〱㙦挰㈲ㄸ敤ㄳ昰㥥㉢㠲ㅤ㝤〲摥㘶㐵㌰捡㈷攰㡤㑦〴㍢昸〴扣搷㠹㘰㝢㥦㠰户㌷ㄱ㙣攷ㄳ昰㡥㈶㠲㙤㝤〲摥挴㐴戰㡤㑦挰晢㤶〸㐶晡〴扣㔵㠹㘰㠴㑦㈰㔷㝥㝦㙢㔳扣搶㡢㝡㐵戶㝡㠸搷敢捦㝣㐵攲〴㑦搶㘵㜷㠴㙦㤵㜱㜲㌴㠷ㄳ捦攱搸㌹㥣㔸づ愷㈳㠷搳㤹挳㌹㉡㠷戳㍡㠷㤳挸攱慣摡搹㕦㘷敦愳ㄶ㈵收㐶㠲㐷㉥㠲慥敡改慢搸愷㔸慢晥慣㌷ㄷ戹戵っ敥搲㈸㉦㍤㑡摦㤵㍥攷㡤㤸昵ㅤ搰㜷㉡㠴昵晢㘸㐹搶㝦㠳㉣㜶㤶㜸扦挸㘱㥣ㅡ㡡㘶换㍢〳慦改捥㠲敥㤳㌳㠲ㄷ㜶㍦㜴攳㉥㍦晣㤷㉡㐷〶戳挰ㅢづ㉢㕥摤㤹㍦敢㍡慣㜸戹攷㐹攰㍡昰攱扦挹㠱㈱㥦挵〱换攳㠰㡣㘴挳愵扣〱晤摦敢〱っ㌸ㄹ㌷㝤㔰ㅤ愲攰捥㑡㝡㌶敥㈳攰挲搵㝥晥ㄴ㙦扣㜲戵㉢〱㠰㕣㘶㌰户㔰摥㙢㐵㔰散ㄳ戰昱捡愳㈹㜳戱攳〹㈶昸攴敦㠳っ㈶昸ㄸ㡡愶慤改㔲㝣㔷㉥㍣㠴㔵㤲〶挷晦㑢晤㉦㝣ぢ敥㔸〷㝢挹ㄳ㑣㠷㘰㔴㕢㈴㐳㐸捡㐸㌴〸㝡ㄸ㉣㙦㝦㔶㍣㡣ㅤ㌶㜱昴愶㡡㐲捣昰㜹㑡攵㐱㉢敦㜶〳㐶搰㌱ㅣ摡扤㌴㥡㕣㘵㍢扤挴昲㙥戹挶㐸㡦㤱〵㍡摦㐴㌳晤㈶㜰㘴㌳愷愸㘲扤㔹㥦慦戹ㅤ㈹愳㔰㉢摢ぢ㌳ㄴ㝤愲㠲㌹戹㡤㠲昳㍦摥㌶㐶㝦愹挰づ搹挱昷㍥㤳づ攳㜰㍥戲昹搶っ㐵㉣愸㘰晡㙣挶㠲㠹晢ㄸ㐲㜰〴㥤㉦㘴愰挳敢挶戰㤲昲晦〷㈰㜱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</si>
</sst>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
  </numFmts>
  <fonts count="4" x14ac:knownFonts="1">
    <font>
      <sz val="12"/>
      <color theme="1"/>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rgb="FF00FF00"/>
        <bgColor indexed="64"/>
      </patternFill>
    </fill>
    <fill>
      <patternFill patternType="solid">
        <fgColor rgb="FF00FFFF"/>
        <bgColor indexed="64"/>
      </patternFill>
    </fill>
    <fill>
      <patternFill patternType="solid">
        <fgColor rgb="FFFFFF00"/>
        <bgColor indexed="64"/>
      </patternFill>
    </fill>
  </fills>
  <borders count="1">
    <border>
      <left/>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36">
    <xf numFmtId="0" fontId="0" fillId="0" borderId="0" xfId="0"/>
    <xf numFmtId="2" fontId="0" fillId="0" borderId="0" xfId="0" applyNumberFormat="1"/>
    <xf numFmtId="9" fontId="0" fillId="0" borderId="0" xfId="2" applyFont="1"/>
    <xf numFmtId="164" fontId="0" fillId="0" borderId="0" xfId="0" applyNumberFormat="1"/>
    <xf numFmtId="44" fontId="0" fillId="0" borderId="0" xfId="1" applyFont="1"/>
    <xf numFmtId="165" fontId="0" fillId="0" borderId="0" xfId="2" applyNumberFormat="1" applyFont="1"/>
    <xf numFmtId="164" fontId="0" fillId="0" borderId="0" xfId="0" applyNumberFormat="1" applyAlignment="1">
      <alignment horizontal="center"/>
    </xf>
    <xf numFmtId="9" fontId="0" fillId="0" borderId="0" xfId="2" applyFont="1" applyAlignment="1">
      <alignment horizontal="center"/>
    </xf>
    <xf numFmtId="0" fontId="0" fillId="0" borderId="0" xfId="0" applyAlignment="1">
      <alignment horizontal="center"/>
    </xf>
    <xf numFmtId="0" fontId="2" fillId="0" borderId="0" xfId="0" applyFont="1"/>
    <xf numFmtId="0" fontId="0" fillId="0" borderId="0" xfId="0" quotePrefix="1"/>
    <xf numFmtId="0" fontId="2" fillId="0" borderId="0" xfId="0" applyFont="1" applyAlignment="1">
      <alignment horizontal="center"/>
    </xf>
    <xf numFmtId="164" fontId="2" fillId="0" borderId="0" xfId="0" applyNumberFormat="1" applyFont="1" applyAlignment="1">
      <alignment horizontal="center"/>
    </xf>
    <xf numFmtId="164" fontId="0" fillId="2" borderId="0" xfId="1" applyNumberFormat="1" applyFont="1" applyFill="1" applyAlignment="1">
      <alignment horizontal="center"/>
    </xf>
    <xf numFmtId="44" fontId="0" fillId="0" borderId="0" xfId="1" applyFont="1" applyFill="1"/>
    <xf numFmtId="164" fontId="0" fillId="4" borderId="0" xfId="1" applyNumberFormat="1" applyFont="1" applyFill="1" applyAlignment="1">
      <alignment horizontal="center"/>
    </xf>
    <xf numFmtId="164" fontId="0" fillId="0" borderId="0" xfId="1" applyNumberFormat="1" applyFont="1"/>
    <xf numFmtId="164" fontId="1" fillId="2" borderId="0" xfId="1" applyNumberFormat="1" applyFont="1" applyFill="1" applyAlignment="1">
      <alignment horizontal="right"/>
    </xf>
    <xf numFmtId="164" fontId="0" fillId="2" borderId="0" xfId="1" applyNumberFormat="1" applyFont="1" applyFill="1"/>
    <xf numFmtId="2" fontId="2" fillId="0" borderId="0" xfId="0" applyNumberFormat="1" applyFont="1" applyAlignment="1">
      <alignment horizontal="center"/>
    </xf>
    <xf numFmtId="2" fontId="0" fillId="0" borderId="0" xfId="0" applyNumberFormat="1" applyAlignment="1">
      <alignment horizontal="center"/>
    </xf>
    <xf numFmtId="2" fontId="0" fillId="3" borderId="0" xfId="0" applyNumberFormat="1" applyFill="1" applyAlignment="1">
      <alignment horizontal="center"/>
    </xf>
    <xf numFmtId="0" fontId="3" fillId="0" borderId="0" xfId="3"/>
    <xf numFmtId="44" fontId="0" fillId="0" borderId="0" xfId="0" applyNumberFormat="1" applyAlignment="1">
      <alignment horizontal="center"/>
    </xf>
    <xf numFmtId="14" fontId="0" fillId="0" borderId="0" xfId="0" applyNumberFormat="1" applyAlignment="1">
      <alignment horizontal="center"/>
    </xf>
    <xf numFmtId="10" fontId="0" fillId="0" borderId="0" xfId="2" applyNumberFormat="1" applyFont="1"/>
    <xf numFmtId="44" fontId="0" fillId="5" borderId="0" xfId="1" applyFont="1" applyFill="1"/>
    <xf numFmtId="44" fontId="2" fillId="0" borderId="0" xfId="1" applyFont="1"/>
    <xf numFmtId="9" fontId="2" fillId="0" borderId="0" xfId="2" applyFont="1" applyAlignment="1">
      <alignment horizontal="center"/>
    </xf>
    <xf numFmtId="9" fontId="0" fillId="0" borderId="0" xfId="2" applyFont="1" applyFill="1" applyAlignment="1">
      <alignment horizontal="center"/>
    </xf>
    <xf numFmtId="9" fontId="0" fillId="5" borderId="0" xfId="2" applyFont="1" applyFill="1" applyAlignment="1">
      <alignment horizontal="center"/>
    </xf>
    <xf numFmtId="164" fontId="0" fillId="5" borderId="0" xfId="1" applyNumberFormat="1" applyFont="1" applyFill="1"/>
    <xf numFmtId="165" fontId="0" fillId="0" borderId="0" xfId="2" applyNumberFormat="1" applyFont="1" applyAlignment="1">
      <alignment horizontal="center"/>
    </xf>
    <xf numFmtId="44" fontId="2" fillId="0" borderId="0" xfId="0" applyNumberFormat="1" applyFont="1" applyAlignment="1">
      <alignment horizontal="center"/>
    </xf>
    <xf numFmtId="165" fontId="2" fillId="0" borderId="0" xfId="2" applyNumberFormat="1" applyFont="1" applyAlignment="1">
      <alignment horizontal="center"/>
    </xf>
    <xf numFmtId="9" fontId="0" fillId="0" borderId="0" xfId="0" applyNumberFormat="1" applyFill="1"/>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finance.yahoo.com/quote/AAPL/options?date=151450560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treasury.gov/resource-center/data-chart-center/interest-rates/Pages/TextView.aspx?data=yiel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7073-3AEC-4183-8C89-A747045A0FD1}">
  <sheetPr codeName="Sheet2"/>
  <dimension ref="A1:C37"/>
  <sheetViews>
    <sheetView workbookViewId="0"/>
  </sheetViews>
  <sheetFormatPr defaultRowHeight="15.6" x14ac:dyDescent="0.6"/>
  <cols>
    <col min="1" max="3" width="36.546875" customWidth="1"/>
  </cols>
  <sheetData>
    <row r="1" spans="1:3" x14ac:dyDescent="0.6">
      <c r="A1" s="9" t="s">
        <v>19</v>
      </c>
    </row>
    <row r="3" spans="1:3" x14ac:dyDescent="0.6">
      <c r="A3" t="s">
        <v>20</v>
      </c>
      <c r="B3" t="s">
        <v>21</v>
      </c>
      <c r="C3">
        <v>0</v>
      </c>
    </row>
    <row r="4" spans="1:3" x14ac:dyDescent="0.6">
      <c r="A4" t="s">
        <v>22</v>
      </c>
    </row>
    <row r="5" spans="1:3" x14ac:dyDescent="0.6">
      <c r="A5" t="s">
        <v>23</v>
      </c>
    </row>
    <row r="7" spans="1:3" x14ac:dyDescent="0.6">
      <c r="A7" s="9" t="s">
        <v>24</v>
      </c>
      <c r="B7" t="s">
        <v>25</v>
      </c>
    </row>
    <row r="8" spans="1:3" x14ac:dyDescent="0.6">
      <c r="B8">
        <v>3</v>
      </c>
    </row>
    <row r="10" spans="1:3" x14ac:dyDescent="0.6">
      <c r="A10" t="s">
        <v>26</v>
      </c>
    </row>
    <row r="11" spans="1:3" x14ac:dyDescent="0.6">
      <c r="A11" t="e">
        <f>CB_DATA_!#REF!</f>
        <v>#REF!</v>
      </c>
      <c r="B11" t="e">
        <f>'Monte Carlo Option Pricing'!#REF!</f>
        <v>#REF!</v>
      </c>
      <c r="C11" t="e">
        <f>#REF!</f>
        <v>#REF!</v>
      </c>
    </row>
    <row r="13" spans="1:3" x14ac:dyDescent="0.6">
      <c r="A13" t="s">
        <v>27</v>
      </c>
    </row>
    <row r="14" spans="1:3" x14ac:dyDescent="0.6">
      <c r="A14" t="s">
        <v>31</v>
      </c>
      <c r="B14" t="s">
        <v>36</v>
      </c>
      <c r="C14" s="10" t="s">
        <v>35</v>
      </c>
    </row>
    <row r="16" spans="1:3" x14ac:dyDescent="0.6">
      <c r="A16" t="s">
        <v>28</v>
      </c>
    </row>
    <row r="17" spans="1:3" x14ac:dyDescent="0.6">
      <c r="C17">
        <v>2</v>
      </c>
    </row>
    <row r="19" spans="1:3" x14ac:dyDescent="0.6">
      <c r="A19" t="s">
        <v>29</v>
      </c>
    </row>
    <row r="20" spans="1:3" x14ac:dyDescent="0.6">
      <c r="A20">
        <v>28</v>
      </c>
      <c r="B20">
        <v>37</v>
      </c>
      <c r="C20">
        <v>26</v>
      </c>
    </row>
    <row r="25" spans="1:3" x14ac:dyDescent="0.6">
      <c r="A25" s="9" t="s">
        <v>30</v>
      </c>
    </row>
    <row r="26" spans="1:3" x14ac:dyDescent="0.6">
      <c r="A26" s="10" t="s">
        <v>32</v>
      </c>
      <c r="B26" s="10" t="s">
        <v>67</v>
      </c>
    </row>
    <row r="27" spans="1:3" x14ac:dyDescent="0.6">
      <c r="A27" t="s">
        <v>33</v>
      </c>
      <c r="B27" t="s">
        <v>68</v>
      </c>
    </row>
    <row r="28" spans="1:3" x14ac:dyDescent="0.6">
      <c r="A28" s="10" t="s">
        <v>34</v>
      </c>
      <c r="B28" s="10" t="s">
        <v>34</v>
      </c>
    </row>
    <row r="29" spans="1:3" x14ac:dyDescent="0.6">
      <c r="B29" s="10" t="s">
        <v>32</v>
      </c>
    </row>
    <row r="30" spans="1:3" x14ac:dyDescent="0.6">
      <c r="B30" t="s">
        <v>49</v>
      </c>
    </row>
    <row r="31" spans="1:3" x14ac:dyDescent="0.6">
      <c r="B31" s="10" t="s">
        <v>34</v>
      </c>
    </row>
    <row r="32" spans="1:3" x14ac:dyDescent="0.6">
      <c r="B32" s="10" t="s">
        <v>57</v>
      </c>
    </row>
    <row r="33" spans="2:2" x14ac:dyDescent="0.6">
      <c r="B33" t="s">
        <v>71</v>
      </c>
    </row>
    <row r="34" spans="2:2" x14ac:dyDescent="0.6">
      <c r="B34" s="10" t="s">
        <v>34</v>
      </c>
    </row>
    <row r="35" spans="2:2" x14ac:dyDescent="0.6">
      <c r="B35" s="10" t="s">
        <v>69</v>
      </c>
    </row>
    <row r="36" spans="2:2" x14ac:dyDescent="0.6">
      <c r="B36" t="s">
        <v>70</v>
      </c>
    </row>
    <row r="37" spans="2:2" x14ac:dyDescent="0.6">
      <c r="B37" s="10"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75122-1F12-49F6-A874-FB6C360E3C57}">
  <sheetPr codeName="Sheet4"/>
  <dimension ref="A1:H11"/>
  <sheetViews>
    <sheetView workbookViewId="0"/>
  </sheetViews>
  <sheetFormatPr defaultRowHeight="15.6" x14ac:dyDescent="0.6"/>
  <cols>
    <col min="1" max="1" width="8.34765625" style="4" bestFit="1" customWidth="1"/>
    <col min="2" max="2" width="7.34765625" style="4" bestFit="1" customWidth="1"/>
    <col min="3" max="3" width="15.09765625" style="7" bestFit="1" customWidth="1"/>
    <col min="5" max="5" width="16.5" bestFit="1" customWidth="1"/>
    <col min="6" max="6" width="7.1484375" bestFit="1" customWidth="1"/>
  </cols>
  <sheetData>
    <row r="1" spans="1:8" x14ac:dyDescent="0.6">
      <c r="A1" s="27" t="s">
        <v>59</v>
      </c>
      <c r="B1" s="27" t="s">
        <v>60</v>
      </c>
      <c r="C1" s="28" t="s">
        <v>61</v>
      </c>
      <c r="E1" s="9" t="s">
        <v>37</v>
      </c>
      <c r="F1" s="31">
        <v>174.79</v>
      </c>
      <c r="H1" s="22" t="s">
        <v>58</v>
      </c>
    </row>
    <row r="2" spans="1:8" x14ac:dyDescent="0.6">
      <c r="A2" s="14">
        <v>165</v>
      </c>
      <c r="B2" s="14">
        <v>11.15</v>
      </c>
      <c r="C2" s="29">
        <v>0.22170000000000001</v>
      </c>
    </row>
    <row r="3" spans="1:8" x14ac:dyDescent="0.6">
      <c r="A3" s="4">
        <v>167.5</v>
      </c>
      <c r="B3" s="4">
        <v>9</v>
      </c>
      <c r="C3" s="7">
        <v>0.20749999999999999</v>
      </c>
    </row>
    <row r="4" spans="1:8" x14ac:dyDescent="0.6">
      <c r="A4" s="4">
        <v>170</v>
      </c>
      <c r="B4" s="4">
        <v>6.88</v>
      </c>
      <c r="C4" s="7">
        <v>0.1951</v>
      </c>
    </row>
    <row r="5" spans="1:8" x14ac:dyDescent="0.6">
      <c r="A5" s="26">
        <v>172.5</v>
      </c>
      <c r="B5" s="26">
        <v>5.16</v>
      </c>
      <c r="C5" s="30">
        <v>0.1842</v>
      </c>
    </row>
    <row r="6" spans="1:8" x14ac:dyDescent="0.6">
      <c r="A6" s="4">
        <v>175</v>
      </c>
      <c r="B6" s="4">
        <v>3.65</v>
      </c>
      <c r="C6" s="7">
        <v>0.17929999999999999</v>
      </c>
    </row>
    <row r="7" spans="1:8" x14ac:dyDescent="0.6">
      <c r="A7" s="4">
        <v>177.5</v>
      </c>
      <c r="B7" s="4">
        <v>2.5299999999999998</v>
      </c>
      <c r="C7" s="7">
        <v>0.1754</v>
      </c>
    </row>
    <row r="8" spans="1:8" x14ac:dyDescent="0.6">
      <c r="A8" s="4">
        <v>180</v>
      </c>
      <c r="B8" s="4">
        <v>1.69</v>
      </c>
      <c r="C8" s="7">
        <v>0.1724</v>
      </c>
    </row>
    <row r="9" spans="1:8" x14ac:dyDescent="0.6">
      <c r="A9" s="4">
        <v>182.5</v>
      </c>
      <c r="B9" s="4">
        <v>1.1200000000000001</v>
      </c>
      <c r="C9" s="7">
        <v>0.17699999999999999</v>
      </c>
    </row>
    <row r="10" spans="1:8" x14ac:dyDescent="0.6">
      <c r="A10" s="4">
        <v>185</v>
      </c>
      <c r="B10" s="4">
        <v>0.68</v>
      </c>
      <c r="C10" s="7">
        <v>0.18190000000000001</v>
      </c>
    </row>
    <row r="11" spans="1:8" x14ac:dyDescent="0.6">
      <c r="A11" s="4">
        <v>187.5</v>
      </c>
      <c r="B11" s="4">
        <v>0.46</v>
      </c>
      <c r="C11" s="7">
        <v>0.18629999999999999</v>
      </c>
    </row>
  </sheetData>
  <hyperlinks>
    <hyperlink ref="H1" r:id="rId1" xr:uid="{0C4C428C-B9AA-4E48-8A92-08ACBB2975F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6AF8F-5791-4CEE-860B-FFEDFBA24E65}">
  <sheetPr codeName="Sheet1"/>
  <dimension ref="A1:D14"/>
  <sheetViews>
    <sheetView workbookViewId="0"/>
  </sheetViews>
  <sheetFormatPr defaultRowHeight="15.6" x14ac:dyDescent="0.6"/>
  <cols>
    <col min="1" max="1" width="21.59765625" bestFit="1" customWidth="1"/>
    <col min="2" max="2" width="5.69921875" bestFit="1" customWidth="1"/>
    <col min="3" max="3" width="7.1484375" bestFit="1" customWidth="1"/>
  </cols>
  <sheetData>
    <row r="1" spans="1:4" x14ac:dyDescent="0.6">
      <c r="A1" t="s">
        <v>12</v>
      </c>
      <c r="B1" t="s">
        <v>8</v>
      </c>
      <c r="C1" s="16">
        <f>'AAPL Dec 29'!F1</f>
        <v>174.79</v>
      </c>
    </row>
    <row r="2" spans="1:4" x14ac:dyDescent="0.6">
      <c r="A2" t="s">
        <v>13</v>
      </c>
      <c r="B2" t="s">
        <v>10</v>
      </c>
      <c r="C2" s="16">
        <f>'AAPL Dec 29'!A5</f>
        <v>172.5</v>
      </c>
    </row>
    <row r="3" spans="1:4" x14ac:dyDescent="0.6">
      <c r="A3" t="s">
        <v>54</v>
      </c>
      <c r="B3" t="s">
        <v>38</v>
      </c>
      <c r="C3" s="1">
        <v>8.3333333333333329E-2</v>
      </c>
    </row>
    <row r="4" spans="1:4" x14ac:dyDescent="0.6">
      <c r="A4" t="s">
        <v>55</v>
      </c>
      <c r="B4" t="s">
        <v>11</v>
      </c>
      <c r="C4" s="25">
        <v>2.76E-2</v>
      </c>
      <c r="D4" s="22" t="s">
        <v>65</v>
      </c>
    </row>
    <row r="5" spans="1:4" x14ac:dyDescent="0.6">
      <c r="A5" t="s">
        <v>39</v>
      </c>
      <c r="B5" t="s">
        <v>40</v>
      </c>
      <c r="C5" s="2">
        <f>'AAPL Dec 29'!C5</f>
        <v>0.1842</v>
      </c>
    </row>
    <row r="7" spans="1:4" x14ac:dyDescent="0.6">
      <c r="A7" t="s">
        <v>41</v>
      </c>
      <c r="B7" t="s">
        <v>42</v>
      </c>
      <c r="C7" s="1">
        <f>1/(C5*SQRT(C3))*(LN(C1/C2)+(C4+C5^2/2)*C3)</f>
        <v>0.31785768713820245</v>
      </c>
      <c r="D7" s="10" t="s">
        <v>45</v>
      </c>
    </row>
    <row r="8" spans="1:4" x14ac:dyDescent="0.6">
      <c r="A8" t="s">
        <v>41</v>
      </c>
      <c r="B8" t="s">
        <v>43</v>
      </c>
      <c r="C8" s="1">
        <f>C7-C5*SQRT(C3)</f>
        <v>0.26468372734583789</v>
      </c>
      <c r="D8" s="10" t="s">
        <v>46</v>
      </c>
    </row>
    <row r="10" spans="1:4" x14ac:dyDescent="0.6">
      <c r="A10" t="s">
        <v>44</v>
      </c>
      <c r="B10" t="s">
        <v>9</v>
      </c>
      <c r="C10" s="16">
        <f>_xlfn.NORM.S.DIST(C7,TRUE)*C1-_xlfn.NORM.S.DIST(C8,TRUE)*C2/EXP(C4*C3)</f>
        <v>5.1770250996681142</v>
      </c>
      <c r="D10" s="10" t="s">
        <v>47</v>
      </c>
    </row>
    <row r="13" spans="1:4" x14ac:dyDescent="0.6">
      <c r="A13" t="s">
        <v>50</v>
      </c>
      <c r="B13" t="s">
        <v>51</v>
      </c>
      <c r="C13">
        <v>30</v>
      </c>
    </row>
    <row r="14" spans="1:4" x14ac:dyDescent="0.6">
      <c r="A14" t="s">
        <v>52</v>
      </c>
      <c r="B14" t="s">
        <v>53</v>
      </c>
      <c r="C14" s="1">
        <f>'Black-Scholes Option Pricing'!C3/'Black-Scholes Option Pricing'!C13</f>
        <v>2.7777777777777775E-3</v>
      </c>
    </row>
  </sheetData>
  <hyperlinks>
    <hyperlink ref="D4" r:id="rId1" xr:uid="{82CF2984-9179-4A01-B7F4-154D0FD1083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D512-DE2F-4F14-97F6-BD36DBDDBDE9}">
  <sheetPr codeName="Sheet3"/>
  <dimension ref="A1:I32"/>
  <sheetViews>
    <sheetView tabSelected="1" workbookViewId="0">
      <selection activeCell="K2" sqref="K2"/>
    </sheetView>
  </sheetViews>
  <sheetFormatPr defaultRowHeight="15.6" x14ac:dyDescent="0.6"/>
  <cols>
    <col min="1" max="1" width="16.59765625" bestFit="1" customWidth="1"/>
    <col min="2" max="2" width="8" bestFit="1" customWidth="1"/>
    <col min="3" max="3" width="7.1484375" bestFit="1" customWidth="1"/>
    <col min="5" max="5" width="8.796875" style="8"/>
    <col min="6" max="6" width="9.6484375" style="20" bestFit="1" customWidth="1"/>
    <col min="7" max="8" width="8.796875" style="6"/>
    <col min="9" max="9" width="12.19921875" style="6" bestFit="1" customWidth="1"/>
    <col min="10" max="10" width="10.69921875" bestFit="1" customWidth="1"/>
  </cols>
  <sheetData>
    <row r="1" spans="1:8" x14ac:dyDescent="0.6">
      <c r="A1" t="s">
        <v>39</v>
      </c>
      <c r="B1" t="s">
        <v>40</v>
      </c>
      <c r="C1" s="35">
        <f>'Black-Scholes Option Pricing'!C5</f>
        <v>0.1842</v>
      </c>
      <c r="E1" s="11" t="s">
        <v>17</v>
      </c>
      <c r="F1" s="19" t="s">
        <v>18</v>
      </c>
      <c r="G1" s="12" t="s">
        <v>15</v>
      </c>
      <c r="H1" s="12" t="s">
        <v>16</v>
      </c>
    </row>
    <row r="2" spans="1:8" x14ac:dyDescent="0.6">
      <c r="E2" s="8">
        <v>0</v>
      </c>
      <c r="G2" s="13">
        <f>C9</f>
        <v>174.79</v>
      </c>
      <c r="H2"/>
    </row>
    <row r="3" spans="1:8" x14ac:dyDescent="0.6">
      <c r="A3" t="s">
        <v>4</v>
      </c>
      <c r="B3" t="s">
        <v>0</v>
      </c>
      <c r="C3" s="1">
        <f>EXP(C1*SQRT('Black-Scholes Option Pricing'!C14))</f>
        <v>1.0097554697854609</v>
      </c>
      <c r="E3" s="8">
        <v>1</v>
      </c>
      <c r="F3" s="21">
        <v>0.50152161546419072</v>
      </c>
      <c r="G3" s="13">
        <f t="shared" ref="G3:G32" si="0">IF(F3=1,G2*$C$3,G2*$C$4)</f>
        <v>173.10131534829614</v>
      </c>
    </row>
    <row r="4" spans="1:8" x14ac:dyDescent="0.6">
      <c r="A4" t="s">
        <v>5</v>
      </c>
      <c r="B4" t="s">
        <v>1</v>
      </c>
      <c r="C4" s="1">
        <f>1/C3</f>
        <v>0.99033877995478092</v>
      </c>
      <c r="E4" s="8">
        <v>2</v>
      </c>
      <c r="F4" s="21">
        <v>0.50152161546419072</v>
      </c>
      <c r="G4" s="13">
        <f t="shared" si="0"/>
        <v>171.4289454505994</v>
      </c>
    </row>
    <row r="5" spans="1:8" x14ac:dyDescent="0.6">
      <c r="E5" s="8">
        <v>3</v>
      </c>
      <c r="F5" s="21">
        <v>0.50152161546419072</v>
      </c>
      <c r="G5" s="13">
        <f t="shared" si="0"/>
        <v>169.77273268648131</v>
      </c>
    </row>
    <row r="6" spans="1:8" x14ac:dyDescent="0.6">
      <c r="A6" t="s">
        <v>6</v>
      </c>
      <c r="B6" t="s">
        <v>2</v>
      </c>
      <c r="C6" s="5">
        <f>(EXP('Black-Scholes Option Pricing'!C4*'Black-Scholes Option Pricing'!C14)-C4)/(C3-C4)</f>
        <v>0.50152161546419072</v>
      </c>
      <c r="E6" s="8">
        <v>4</v>
      </c>
      <c r="F6" s="21">
        <v>0.50152161546419072</v>
      </c>
      <c r="G6" s="13">
        <f t="shared" si="0"/>
        <v>168.13252095831905</v>
      </c>
    </row>
    <row r="7" spans="1:8" x14ac:dyDescent="0.6">
      <c r="A7" t="s">
        <v>7</v>
      </c>
      <c r="B7" t="s">
        <v>3</v>
      </c>
      <c r="C7" s="5">
        <f>1-C6</f>
        <v>0.49847838453580928</v>
      </c>
      <c r="E7" s="8">
        <v>5</v>
      </c>
      <c r="F7" s="21">
        <v>0.50152161546419072</v>
      </c>
      <c r="G7" s="13">
        <f t="shared" si="0"/>
        <v>166.50815567658333</v>
      </c>
    </row>
    <row r="8" spans="1:8" x14ac:dyDescent="0.6">
      <c r="E8" s="8">
        <v>6</v>
      </c>
      <c r="F8" s="21">
        <v>0.50152161546419072</v>
      </c>
      <c r="G8" s="13">
        <f t="shared" si="0"/>
        <v>164.89948374526827</v>
      </c>
    </row>
    <row r="9" spans="1:8" x14ac:dyDescent="0.6">
      <c r="A9" t="s">
        <v>12</v>
      </c>
      <c r="B9" t="s">
        <v>8</v>
      </c>
      <c r="C9" s="3">
        <f>'Black-Scholes Option Pricing'!C1</f>
        <v>174.79</v>
      </c>
      <c r="E9" s="8">
        <v>7</v>
      </c>
      <c r="F9" s="21">
        <v>0.50152161546419072</v>
      </c>
      <c r="G9" s="13">
        <f t="shared" si="0"/>
        <v>163.30635354746221</v>
      </c>
    </row>
    <row r="10" spans="1:8" x14ac:dyDescent="0.6">
      <c r="A10" t="s">
        <v>13</v>
      </c>
      <c r="B10" t="s">
        <v>10</v>
      </c>
      <c r="C10" s="3">
        <f>'Black-Scholes Option Pricing'!C2</f>
        <v>172.5</v>
      </c>
      <c r="E10" s="8">
        <v>8</v>
      </c>
      <c r="F10" s="21">
        <v>0.50152161546419072</v>
      </c>
      <c r="G10" s="13">
        <f t="shared" si="0"/>
        <v>161.72861493105782</v>
      </c>
    </row>
    <row r="11" spans="1:8" x14ac:dyDescent="0.6">
      <c r="A11" t="s">
        <v>55</v>
      </c>
      <c r="B11" t="s">
        <v>11</v>
      </c>
      <c r="C11" s="25">
        <f>'Black-Scholes Option Pricing'!C4*'Black-Scholes Option Pricing'!C3</f>
        <v>2.3E-3</v>
      </c>
      <c r="E11" s="8">
        <v>9</v>
      </c>
      <c r="F11" s="21">
        <v>0.50152161546419072</v>
      </c>
      <c r="G11" s="13">
        <f t="shared" si="0"/>
        <v>160.16611919460036</v>
      </c>
    </row>
    <row r="12" spans="1:8" x14ac:dyDescent="0.6">
      <c r="E12" s="8">
        <v>10</v>
      </c>
      <c r="F12" s="21">
        <v>0.50152161546419072</v>
      </c>
      <c r="G12" s="13">
        <f t="shared" si="0"/>
        <v>158.61871907327253</v>
      </c>
    </row>
    <row r="13" spans="1:8" x14ac:dyDescent="0.6">
      <c r="A13" t="s">
        <v>14</v>
      </c>
      <c r="B13" t="s">
        <v>48</v>
      </c>
      <c r="C13" s="17">
        <v>5.1567720681439573</v>
      </c>
      <c r="E13" s="8">
        <v>11</v>
      </c>
      <c r="F13" s="21">
        <v>0.50152161546419072</v>
      </c>
      <c r="G13" s="13">
        <f t="shared" si="0"/>
        <v>157.08626872501486</v>
      </c>
    </row>
    <row r="14" spans="1:8" x14ac:dyDescent="0.6">
      <c r="A14" t="s">
        <v>56</v>
      </c>
      <c r="B14" t="s">
        <v>9</v>
      </c>
      <c r="C14" s="18">
        <f>C13/EXP(C11)</f>
        <v>5.1449251215982814</v>
      </c>
      <c r="E14" s="8">
        <v>12</v>
      </c>
      <c r="F14" s="21">
        <v>0.50152161546419072</v>
      </c>
      <c r="G14" s="13">
        <f t="shared" si="0"/>
        <v>155.56862371678008</v>
      </c>
    </row>
    <row r="15" spans="1:8" x14ac:dyDescent="0.6">
      <c r="E15" s="8">
        <v>13</v>
      </c>
      <c r="F15" s="21">
        <v>0.50152161546419072</v>
      </c>
      <c r="G15" s="13">
        <f t="shared" si="0"/>
        <v>154.06564101092039</v>
      </c>
    </row>
    <row r="16" spans="1:8" x14ac:dyDescent="0.6">
      <c r="E16" s="8">
        <v>14</v>
      </c>
      <c r="F16" s="21">
        <v>0.50152161546419072</v>
      </c>
      <c r="G16" s="13">
        <f t="shared" si="0"/>
        <v>152.57717895170614</v>
      </c>
    </row>
    <row r="17" spans="5:8" x14ac:dyDescent="0.6">
      <c r="E17" s="8">
        <v>15</v>
      </c>
      <c r="F17" s="21">
        <v>0.50152161546419072</v>
      </c>
      <c r="G17" s="13">
        <f t="shared" si="0"/>
        <v>151.10309725197493</v>
      </c>
    </row>
    <row r="18" spans="5:8" x14ac:dyDescent="0.6">
      <c r="E18" s="8">
        <v>16</v>
      </c>
      <c r="F18" s="21">
        <v>0.50152161546419072</v>
      </c>
      <c r="G18" s="13">
        <f t="shared" si="0"/>
        <v>149.64325697990947</v>
      </c>
    </row>
    <row r="19" spans="5:8" x14ac:dyDescent="0.6">
      <c r="E19" s="8">
        <v>17</v>
      </c>
      <c r="F19" s="21">
        <v>0.50152161546419072</v>
      </c>
      <c r="G19" s="13">
        <f t="shared" si="0"/>
        <v>148.19752054594329</v>
      </c>
    </row>
    <row r="20" spans="5:8" x14ac:dyDescent="0.6">
      <c r="E20" s="8">
        <v>18</v>
      </c>
      <c r="F20" s="21">
        <v>0.50152161546419072</v>
      </c>
      <c r="G20" s="13">
        <f t="shared" si="0"/>
        <v>146.76575168979306</v>
      </c>
    </row>
    <row r="21" spans="5:8" x14ac:dyDescent="0.6">
      <c r="E21" s="8">
        <v>19</v>
      </c>
      <c r="F21" s="21">
        <v>0.50152161546419072</v>
      </c>
      <c r="G21" s="13">
        <f t="shared" si="0"/>
        <v>145.34781546761599</v>
      </c>
    </row>
    <row r="22" spans="5:8" x14ac:dyDescent="0.6">
      <c r="E22" s="8">
        <v>20</v>
      </c>
      <c r="F22" s="21">
        <v>0.50152161546419072</v>
      </c>
      <c r="G22" s="13">
        <f t="shared" si="0"/>
        <v>143.94357823929144</v>
      </c>
    </row>
    <row r="23" spans="5:8" x14ac:dyDescent="0.6">
      <c r="E23" s="8">
        <v>21</v>
      </c>
      <c r="F23" s="21">
        <v>0.50152161546419072</v>
      </c>
      <c r="G23" s="13">
        <f t="shared" si="0"/>
        <v>142.55290765582544</v>
      </c>
    </row>
    <row r="24" spans="5:8" x14ac:dyDescent="0.6">
      <c r="E24" s="8">
        <v>22</v>
      </c>
      <c r="F24" s="21">
        <v>0.50152161546419072</v>
      </c>
      <c r="G24" s="13">
        <f t="shared" si="0"/>
        <v>141.17567264687671</v>
      </c>
    </row>
    <row r="25" spans="5:8" x14ac:dyDescent="0.6">
      <c r="E25" s="8">
        <v>23</v>
      </c>
      <c r="F25" s="21">
        <v>0.50152161546419072</v>
      </c>
      <c r="G25" s="13">
        <f t="shared" si="0"/>
        <v>139.8117434084034</v>
      </c>
    </row>
    <row r="26" spans="5:8" x14ac:dyDescent="0.6">
      <c r="E26" s="8">
        <v>24</v>
      </c>
      <c r="F26" s="21">
        <v>0.50152161546419072</v>
      </c>
      <c r="G26" s="13">
        <f t="shared" si="0"/>
        <v>138.46099139042911</v>
      </c>
    </row>
    <row r="27" spans="5:8" x14ac:dyDescent="0.6">
      <c r="E27" s="8">
        <v>25</v>
      </c>
      <c r="F27" s="21">
        <v>0.50152161546419072</v>
      </c>
      <c r="G27" s="13">
        <f t="shared" si="0"/>
        <v>137.12328928492698</v>
      </c>
    </row>
    <row r="28" spans="5:8" x14ac:dyDescent="0.6">
      <c r="E28" s="8">
        <v>26</v>
      </c>
      <c r="F28" s="21">
        <v>0.50152161546419072</v>
      </c>
      <c r="G28" s="13">
        <f t="shared" si="0"/>
        <v>135.79851101382107</v>
      </c>
    </row>
    <row r="29" spans="5:8" x14ac:dyDescent="0.6">
      <c r="E29" s="8">
        <v>27</v>
      </c>
      <c r="F29" s="21">
        <v>0.50152161546419072</v>
      </c>
      <c r="G29" s="13">
        <f t="shared" si="0"/>
        <v>134.48653171710345</v>
      </c>
    </row>
    <row r="30" spans="5:8" x14ac:dyDescent="0.6">
      <c r="E30" s="8">
        <v>28</v>
      </c>
      <c r="F30" s="21">
        <v>0.50152161546419072</v>
      </c>
      <c r="G30" s="13">
        <f t="shared" si="0"/>
        <v>133.18722774106618</v>
      </c>
    </row>
    <row r="31" spans="5:8" x14ac:dyDescent="0.6">
      <c r="E31" s="8">
        <v>29</v>
      </c>
      <c r="F31" s="21">
        <v>0.50152161546419072</v>
      </c>
      <c r="G31" s="13">
        <f t="shared" si="0"/>
        <v>131.90047662664702</v>
      </c>
    </row>
    <row r="32" spans="5:8" x14ac:dyDescent="0.6">
      <c r="E32" s="8">
        <v>30</v>
      </c>
      <c r="F32" s="21">
        <v>0.50152161546419072</v>
      </c>
      <c r="G32" s="15">
        <f t="shared" si="0"/>
        <v>130.6261570978877</v>
      </c>
      <c r="H32" s="15">
        <f>MAX(G32-C10,0)</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5C697-82ED-4B59-9A23-181BC1514B51}">
  <sheetPr codeName="Sheet6"/>
  <dimension ref="A1:B4"/>
  <sheetViews>
    <sheetView workbookViewId="0"/>
  </sheetViews>
  <sheetFormatPr defaultRowHeight="15.6" x14ac:dyDescent="0.6"/>
  <cols>
    <col min="1" max="1" width="7.796875" bestFit="1" customWidth="1"/>
    <col min="2" max="2" width="14.09765625" bestFit="1" customWidth="1"/>
  </cols>
  <sheetData>
    <row r="1" spans="1:2" x14ac:dyDescent="0.6">
      <c r="A1" t="s">
        <v>39</v>
      </c>
      <c r="B1" t="s">
        <v>44</v>
      </c>
    </row>
    <row r="2" spans="1:2" x14ac:dyDescent="0.6">
      <c r="A2" s="2">
        <v>0.1</v>
      </c>
      <c r="B2" s="4">
        <v>3.58</v>
      </c>
    </row>
    <row r="3" spans="1:2" x14ac:dyDescent="0.6">
      <c r="A3" s="2">
        <v>0.1842</v>
      </c>
      <c r="B3" s="4">
        <v>5.2063508030968357</v>
      </c>
    </row>
    <row r="4" spans="1:2" x14ac:dyDescent="0.6">
      <c r="A4" s="2">
        <v>0.3</v>
      </c>
      <c r="B4" s="4">
        <v>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328A4-702C-441D-93BA-8E4A88FBA4E6}">
  <sheetPr codeName="Sheet5"/>
  <dimension ref="A1:C9320"/>
  <sheetViews>
    <sheetView workbookViewId="0">
      <pane ySplit="1" topLeftCell="A2" activePane="bottomLeft" state="frozen"/>
      <selection pane="bottomLeft"/>
    </sheetView>
  </sheetViews>
  <sheetFormatPr defaultRowHeight="15.6" x14ac:dyDescent="0.6"/>
  <cols>
    <col min="1" max="1" width="10.1484375" style="8" bestFit="1" customWidth="1"/>
    <col min="2" max="2" width="10.6484375" style="23" bestFit="1" customWidth="1"/>
    <col min="3" max="3" width="8.796875" style="32"/>
  </cols>
  <sheetData>
    <row r="1" spans="1:3" x14ac:dyDescent="0.6">
      <c r="A1" s="11" t="s">
        <v>62</v>
      </c>
      <c r="B1" s="33" t="s">
        <v>63</v>
      </c>
      <c r="C1" s="34" t="s">
        <v>64</v>
      </c>
    </row>
    <row r="2" spans="1:3" x14ac:dyDescent="0.6">
      <c r="A2" s="24">
        <v>29567</v>
      </c>
      <c r="B2" s="23">
        <v>0.42008699999999999</v>
      </c>
    </row>
    <row r="3" spans="1:3" x14ac:dyDescent="0.6">
      <c r="A3" s="24">
        <v>29570</v>
      </c>
      <c r="B3" s="23">
        <v>0.398169</v>
      </c>
      <c r="C3" s="32">
        <f>B3/B2-1</f>
        <v>-5.2174906626484496E-2</v>
      </c>
    </row>
    <row r="4" spans="1:3" x14ac:dyDescent="0.6">
      <c r="A4" s="24">
        <v>29571</v>
      </c>
      <c r="B4" s="23">
        <v>0.368946</v>
      </c>
      <c r="C4" s="32">
        <f t="shared" ref="C4:C67" si="0">B4/B3-1</f>
        <v>-7.3393458556542557E-2</v>
      </c>
    </row>
    <row r="5" spans="1:3" x14ac:dyDescent="0.6">
      <c r="A5" s="24">
        <v>29572</v>
      </c>
      <c r="B5" s="23">
        <v>0.37807800000000003</v>
      </c>
      <c r="C5" s="32">
        <f t="shared" si="0"/>
        <v>2.4751589663527973E-2</v>
      </c>
    </row>
    <row r="6" spans="1:3" x14ac:dyDescent="0.6">
      <c r="A6" s="24">
        <v>29573</v>
      </c>
      <c r="B6" s="23">
        <v>0.38903700000000002</v>
      </c>
      <c r="C6" s="32">
        <f t="shared" si="0"/>
        <v>2.8986082236998723E-2</v>
      </c>
    </row>
    <row r="7" spans="1:3" x14ac:dyDescent="0.6">
      <c r="A7" s="24">
        <v>29574</v>
      </c>
      <c r="B7" s="23">
        <v>0.41278100000000001</v>
      </c>
      <c r="C7" s="32">
        <f t="shared" si="0"/>
        <v>6.1032755239218917E-2</v>
      </c>
    </row>
    <row r="8" spans="1:3" x14ac:dyDescent="0.6">
      <c r="A8" s="24">
        <v>29577</v>
      </c>
      <c r="B8" s="23">
        <v>0.43287199999999998</v>
      </c>
      <c r="C8" s="32">
        <f t="shared" si="0"/>
        <v>4.8672298385826762E-2</v>
      </c>
    </row>
    <row r="9" spans="1:3" x14ac:dyDescent="0.6">
      <c r="A9" s="24">
        <v>29578</v>
      </c>
      <c r="B9" s="23">
        <v>0.45113700000000001</v>
      </c>
      <c r="C9" s="32">
        <f t="shared" si="0"/>
        <v>4.2194921362435078E-2</v>
      </c>
    </row>
    <row r="10" spans="1:3" x14ac:dyDescent="0.6">
      <c r="A10" s="24">
        <v>29579</v>
      </c>
      <c r="B10" s="23">
        <v>0.474881</v>
      </c>
      <c r="C10" s="32">
        <f t="shared" si="0"/>
        <v>5.2631462283075914E-2</v>
      </c>
    </row>
    <row r="11" spans="1:3" x14ac:dyDescent="0.6">
      <c r="A11" s="24">
        <v>29581</v>
      </c>
      <c r="B11" s="23">
        <v>0.51871599999999995</v>
      </c>
      <c r="C11" s="32">
        <f t="shared" si="0"/>
        <v>9.2307335943109914E-2</v>
      </c>
    </row>
    <row r="12" spans="1:3" x14ac:dyDescent="0.6">
      <c r="A12" s="24">
        <v>29584</v>
      </c>
      <c r="B12" s="23">
        <v>0.52602199999999999</v>
      </c>
      <c r="C12" s="32">
        <f t="shared" si="0"/>
        <v>1.408477856861956E-2</v>
      </c>
    </row>
    <row r="13" spans="1:3" x14ac:dyDescent="0.6">
      <c r="A13" s="24">
        <v>29585</v>
      </c>
      <c r="B13" s="23">
        <v>0.51323700000000005</v>
      </c>
      <c r="C13" s="32">
        <f t="shared" si="0"/>
        <v>-2.4305067088448595E-2</v>
      </c>
    </row>
    <row r="14" spans="1:3" x14ac:dyDescent="0.6">
      <c r="A14" s="24">
        <v>29586</v>
      </c>
      <c r="B14" s="23">
        <v>0.49862499999999998</v>
      </c>
      <c r="C14" s="32">
        <f t="shared" si="0"/>
        <v>-2.8470277863833049E-2</v>
      </c>
    </row>
    <row r="15" spans="1:3" x14ac:dyDescent="0.6">
      <c r="A15" s="24">
        <v>29588</v>
      </c>
      <c r="B15" s="23">
        <v>0.504104</v>
      </c>
      <c r="C15" s="32">
        <f t="shared" si="0"/>
        <v>1.0988217598395522E-2</v>
      </c>
    </row>
    <row r="16" spans="1:3" x14ac:dyDescent="0.6">
      <c r="A16" s="24">
        <v>29591</v>
      </c>
      <c r="B16" s="23">
        <v>0.49314599999999997</v>
      </c>
      <c r="C16" s="32">
        <f t="shared" si="0"/>
        <v>-2.173757796010356E-2</v>
      </c>
    </row>
    <row r="17" spans="1:3" x14ac:dyDescent="0.6">
      <c r="A17" s="24">
        <v>29592</v>
      </c>
      <c r="B17" s="23">
        <v>0.47122799999999998</v>
      </c>
      <c r="C17" s="32">
        <f t="shared" si="0"/>
        <v>-4.4445255563261177E-2</v>
      </c>
    </row>
    <row r="18" spans="1:3" x14ac:dyDescent="0.6">
      <c r="A18" s="24">
        <v>29593</v>
      </c>
      <c r="B18" s="23">
        <v>0.45113700000000001</v>
      </c>
      <c r="C18" s="32">
        <f t="shared" si="0"/>
        <v>-4.2635412157172259E-2</v>
      </c>
    </row>
    <row r="19" spans="1:3" x14ac:dyDescent="0.6">
      <c r="A19" s="24">
        <v>29594</v>
      </c>
      <c r="B19" s="23">
        <v>0.44200499999999998</v>
      </c>
      <c r="C19" s="32">
        <f t="shared" si="0"/>
        <v>-2.0242188071472822E-2</v>
      </c>
    </row>
    <row r="20" spans="1:3" x14ac:dyDescent="0.6">
      <c r="A20" s="24">
        <v>29595</v>
      </c>
      <c r="B20" s="23">
        <v>0.46574900000000002</v>
      </c>
      <c r="C20" s="32">
        <f t="shared" si="0"/>
        <v>5.3718849334283725E-2</v>
      </c>
    </row>
    <row r="21" spans="1:3" x14ac:dyDescent="0.6">
      <c r="A21" s="24">
        <v>29598</v>
      </c>
      <c r="B21" s="23">
        <v>0.46209600000000001</v>
      </c>
      <c r="C21" s="32">
        <f t="shared" si="0"/>
        <v>-7.8432803935166717E-3</v>
      </c>
    </row>
    <row r="22" spans="1:3" x14ac:dyDescent="0.6">
      <c r="A22" s="24">
        <v>29599</v>
      </c>
      <c r="B22" s="23">
        <v>0.445658</v>
      </c>
      <c r="C22" s="32">
        <f t="shared" si="0"/>
        <v>-3.5572694851286335E-2</v>
      </c>
    </row>
    <row r="23" spans="1:3" x14ac:dyDescent="0.6">
      <c r="A23" s="24">
        <v>29600</v>
      </c>
      <c r="B23" s="23">
        <v>0.44748399999999999</v>
      </c>
      <c r="C23" s="32">
        <f t="shared" si="0"/>
        <v>4.0973122887955071E-3</v>
      </c>
    </row>
    <row r="24" spans="1:3" x14ac:dyDescent="0.6">
      <c r="A24" s="24">
        <v>29601</v>
      </c>
      <c r="B24" s="23">
        <v>0.45661600000000002</v>
      </c>
      <c r="C24" s="32">
        <f t="shared" si="0"/>
        <v>2.0407433561870469E-2</v>
      </c>
    </row>
    <row r="25" spans="1:3" x14ac:dyDescent="0.6">
      <c r="A25" s="24">
        <v>29602</v>
      </c>
      <c r="B25" s="23">
        <v>0.452963</v>
      </c>
      <c r="C25" s="32">
        <f t="shared" si="0"/>
        <v>-8.0001576817282372E-3</v>
      </c>
    </row>
    <row r="26" spans="1:3" x14ac:dyDescent="0.6">
      <c r="A26" s="24">
        <v>29605</v>
      </c>
      <c r="B26" s="23">
        <v>0.48036000000000001</v>
      </c>
      <c r="C26" s="32">
        <f t="shared" si="0"/>
        <v>6.0483968889291084E-2</v>
      </c>
    </row>
    <row r="27" spans="1:3" x14ac:dyDescent="0.6">
      <c r="A27" s="24">
        <v>29606</v>
      </c>
      <c r="B27" s="23">
        <v>0.46574900000000002</v>
      </c>
      <c r="C27" s="32">
        <f t="shared" si="0"/>
        <v>-3.0416770755266831E-2</v>
      </c>
    </row>
    <row r="28" spans="1:3" x14ac:dyDescent="0.6">
      <c r="A28" s="24">
        <v>29607</v>
      </c>
      <c r="B28" s="23">
        <v>0.474881</v>
      </c>
      <c r="C28" s="32">
        <f t="shared" si="0"/>
        <v>1.960712744418136E-2</v>
      </c>
    </row>
    <row r="29" spans="1:3" x14ac:dyDescent="0.6">
      <c r="A29" s="24">
        <v>29608</v>
      </c>
      <c r="B29" s="23">
        <v>0.48036000000000001</v>
      </c>
      <c r="C29" s="32">
        <f t="shared" si="0"/>
        <v>1.153762732137098E-2</v>
      </c>
    </row>
    <row r="30" spans="1:3" x14ac:dyDescent="0.6">
      <c r="A30" s="24">
        <v>29609</v>
      </c>
      <c r="B30" s="23">
        <v>0.47853400000000001</v>
      </c>
      <c r="C30" s="32">
        <f t="shared" si="0"/>
        <v>-3.8013156799067138E-3</v>
      </c>
    </row>
    <row r="31" spans="1:3" x14ac:dyDescent="0.6">
      <c r="A31" s="24">
        <v>29612</v>
      </c>
      <c r="B31" s="23">
        <v>0.47122799999999998</v>
      </c>
      <c r="C31" s="32">
        <f t="shared" si="0"/>
        <v>-1.5267462709023905E-2</v>
      </c>
    </row>
    <row r="32" spans="1:3" x14ac:dyDescent="0.6">
      <c r="A32" s="24">
        <v>29613</v>
      </c>
      <c r="B32" s="23">
        <v>0.46757500000000002</v>
      </c>
      <c r="C32" s="32">
        <f t="shared" si="0"/>
        <v>-7.7520860390298818E-3</v>
      </c>
    </row>
    <row r="33" spans="1:3" x14ac:dyDescent="0.6">
      <c r="A33" s="24">
        <v>29614</v>
      </c>
      <c r="B33" s="23">
        <v>0.452963</v>
      </c>
      <c r="C33" s="32">
        <f t="shared" si="0"/>
        <v>-3.1250601507779474E-2</v>
      </c>
    </row>
    <row r="34" spans="1:3" x14ac:dyDescent="0.6">
      <c r="A34" s="24">
        <v>29615</v>
      </c>
      <c r="B34" s="23">
        <v>0.436525</v>
      </c>
      <c r="C34" s="32">
        <f t="shared" si="0"/>
        <v>-3.6289939796407267E-2</v>
      </c>
    </row>
    <row r="35" spans="1:3" x14ac:dyDescent="0.6">
      <c r="A35" s="24">
        <v>29616</v>
      </c>
      <c r="B35" s="23">
        <v>0.41278100000000001</v>
      </c>
      <c r="C35" s="32">
        <f t="shared" si="0"/>
        <v>-5.4393219174159513E-2</v>
      </c>
    </row>
    <row r="36" spans="1:3" x14ac:dyDescent="0.6">
      <c r="A36" s="24">
        <v>29619</v>
      </c>
      <c r="B36" s="23">
        <v>0.38903700000000002</v>
      </c>
      <c r="C36" s="32">
        <f t="shared" si="0"/>
        <v>-5.752202741889767E-2</v>
      </c>
    </row>
    <row r="37" spans="1:3" x14ac:dyDescent="0.6">
      <c r="A37" s="24">
        <v>29620</v>
      </c>
      <c r="B37" s="23">
        <v>0.40364899999999998</v>
      </c>
      <c r="C37" s="32">
        <f t="shared" si="0"/>
        <v>3.7559409516318309E-2</v>
      </c>
    </row>
    <row r="38" spans="1:3" x14ac:dyDescent="0.6">
      <c r="A38" s="24">
        <v>29621</v>
      </c>
      <c r="B38" s="23">
        <v>0.41826099999999999</v>
      </c>
      <c r="C38" s="32">
        <f t="shared" si="0"/>
        <v>3.6199767619887524E-2</v>
      </c>
    </row>
    <row r="39" spans="1:3" x14ac:dyDescent="0.6">
      <c r="A39" s="24">
        <v>29622</v>
      </c>
      <c r="B39" s="23">
        <v>0.41826099999999999</v>
      </c>
      <c r="C39" s="32">
        <f t="shared" si="0"/>
        <v>0</v>
      </c>
    </row>
    <row r="40" spans="1:3" x14ac:dyDescent="0.6">
      <c r="A40" s="24">
        <v>29623</v>
      </c>
      <c r="B40" s="23">
        <v>0.42008699999999999</v>
      </c>
      <c r="C40" s="32">
        <f t="shared" si="0"/>
        <v>4.3656951042529979E-3</v>
      </c>
    </row>
    <row r="41" spans="1:3" x14ac:dyDescent="0.6">
      <c r="A41" s="24">
        <v>29626</v>
      </c>
      <c r="B41" s="23">
        <v>0.398169</v>
      </c>
      <c r="C41" s="32">
        <f t="shared" si="0"/>
        <v>-5.2174906626484496E-2</v>
      </c>
    </row>
    <row r="42" spans="1:3" x14ac:dyDescent="0.6">
      <c r="A42" s="24">
        <v>29627</v>
      </c>
      <c r="B42" s="23">
        <v>0.398169</v>
      </c>
      <c r="C42" s="32">
        <f t="shared" si="0"/>
        <v>0</v>
      </c>
    </row>
    <row r="43" spans="1:3" x14ac:dyDescent="0.6">
      <c r="A43" s="24">
        <v>29628</v>
      </c>
      <c r="B43" s="23">
        <v>0.385384</v>
      </c>
      <c r="C43" s="32">
        <f t="shared" si="0"/>
        <v>-3.2109481149963925E-2</v>
      </c>
    </row>
    <row r="44" spans="1:3" x14ac:dyDescent="0.6">
      <c r="A44" s="24">
        <v>29629</v>
      </c>
      <c r="B44" s="23">
        <v>0.38173099999999999</v>
      </c>
      <c r="C44" s="32">
        <f t="shared" si="0"/>
        <v>-9.4788574512694179E-3</v>
      </c>
    </row>
    <row r="45" spans="1:3" x14ac:dyDescent="0.6">
      <c r="A45" s="24">
        <v>29630</v>
      </c>
      <c r="B45" s="23">
        <v>0.37259900000000001</v>
      </c>
      <c r="C45" s="32">
        <f t="shared" si="0"/>
        <v>-2.392260518532674E-2</v>
      </c>
    </row>
    <row r="46" spans="1:3" x14ac:dyDescent="0.6">
      <c r="A46" s="24">
        <v>29634</v>
      </c>
      <c r="B46" s="23">
        <v>0.38173099999999999</v>
      </c>
      <c r="C46" s="32">
        <f t="shared" si="0"/>
        <v>2.4508922460876104E-2</v>
      </c>
    </row>
    <row r="47" spans="1:3" x14ac:dyDescent="0.6">
      <c r="A47" s="24">
        <v>29635</v>
      </c>
      <c r="B47" s="23">
        <v>0.398169</v>
      </c>
      <c r="C47" s="32">
        <f t="shared" si="0"/>
        <v>4.3061737191896876E-2</v>
      </c>
    </row>
    <row r="48" spans="1:3" x14ac:dyDescent="0.6">
      <c r="A48" s="24">
        <v>29636</v>
      </c>
      <c r="B48" s="23">
        <v>0.37442500000000001</v>
      </c>
      <c r="C48" s="32">
        <f t="shared" si="0"/>
        <v>-5.9632969919807932E-2</v>
      </c>
    </row>
    <row r="49" spans="1:3" x14ac:dyDescent="0.6">
      <c r="A49" s="24">
        <v>29637</v>
      </c>
      <c r="B49" s="23">
        <v>0.35433399999999998</v>
      </c>
      <c r="C49" s="32">
        <f t="shared" si="0"/>
        <v>-5.3658276023235696E-2</v>
      </c>
    </row>
    <row r="50" spans="1:3" x14ac:dyDescent="0.6">
      <c r="A50" s="24">
        <v>29640</v>
      </c>
      <c r="B50" s="23">
        <v>0.35981400000000002</v>
      </c>
      <c r="C50" s="32">
        <f t="shared" si="0"/>
        <v>1.5465634119220972E-2</v>
      </c>
    </row>
    <row r="51" spans="1:3" x14ac:dyDescent="0.6">
      <c r="A51" s="24">
        <v>29641</v>
      </c>
      <c r="B51" s="23">
        <v>0.347028</v>
      </c>
      <c r="C51" s="32">
        <f t="shared" si="0"/>
        <v>-3.5535026430322358E-2</v>
      </c>
    </row>
    <row r="52" spans="1:3" x14ac:dyDescent="0.6">
      <c r="A52" s="24">
        <v>29642</v>
      </c>
      <c r="B52" s="23">
        <v>0.368946</v>
      </c>
      <c r="C52" s="32">
        <f t="shared" si="0"/>
        <v>6.3159168712610958E-2</v>
      </c>
    </row>
    <row r="53" spans="1:3" x14ac:dyDescent="0.6">
      <c r="A53" s="24">
        <v>29643</v>
      </c>
      <c r="B53" s="23">
        <v>0.37442500000000001</v>
      </c>
      <c r="C53" s="32">
        <f t="shared" si="0"/>
        <v>1.4850411713367206E-2</v>
      </c>
    </row>
    <row r="54" spans="1:3" x14ac:dyDescent="0.6">
      <c r="A54" s="24">
        <v>29644</v>
      </c>
      <c r="B54" s="23">
        <v>0.38721</v>
      </c>
      <c r="C54" s="32">
        <f t="shared" si="0"/>
        <v>3.4145690058088984E-2</v>
      </c>
    </row>
    <row r="55" spans="1:3" x14ac:dyDescent="0.6">
      <c r="A55" s="24">
        <v>29647</v>
      </c>
      <c r="B55" s="23">
        <v>0.38903700000000002</v>
      </c>
      <c r="C55" s="32">
        <f t="shared" si="0"/>
        <v>4.7183698768111793E-3</v>
      </c>
    </row>
    <row r="56" spans="1:3" x14ac:dyDescent="0.6">
      <c r="A56" s="24">
        <v>29648</v>
      </c>
      <c r="B56" s="23">
        <v>0.38355800000000001</v>
      </c>
      <c r="C56" s="32">
        <f t="shared" si="0"/>
        <v>-1.4083493343820752E-2</v>
      </c>
    </row>
    <row r="57" spans="1:3" x14ac:dyDescent="0.6">
      <c r="A57" s="24">
        <v>29649</v>
      </c>
      <c r="B57" s="23">
        <v>0.37990499999999999</v>
      </c>
      <c r="C57" s="32">
        <f t="shared" si="0"/>
        <v>-9.5239833349846093E-3</v>
      </c>
    </row>
    <row r="58" spans="1:3" x14ac:dyDescent="0.6">
      <c r="A58" s="24">
        <v>29650</v>
      </c>
      <c r="B58" s="23">
        <v>0.37807800000000003</v>
      </c>
      <c r="C58" s="32">
        <f t="shared" si="0"/>
        <v>-4.8090970110947762E-3</v>
      </c>
    </row>
    <row r="59" spans="1:3" x14ac:dyDescent="0.6">
      <c r="A59" s="24">
        <v>29651</v>
      </c>
      <c r="B59" s="23">
        <v>0.37442500000000001</v>
      </c>
      <c r="C59" s="32">
        <f t="shared" si="0"/>
        <v>-9.6620274123329075E-3</v>
      </c>
    </row>
    <row r="60" spans="1:3" x14ac:dyDescent="0.6">
      <c r="A60" s="24">
        <v>29654</v>
      </c>
      <c r="B60" s="23">
        <v>0.34520200000000001</v>
      </c>
      <c r="C60" s="32">
        <f t="shared" si="0"/>
        <v>-7.804767309875138E-2</v>
      </c>
    </row>
    <row r="61" spans="1:3" x14ac:dyDescent="0.6">
      <c r="A61" s="24">
        <v>29655</v>
      </c>
      <c r="B61" s="23">
        <v>0.328764</v>
      </c>
      <c r="C61" s="32">
        <f t="shared" si="0"/>
        <v>-4.7618495837219998E-2</v>
      </c>
    </row>
    <row r="62" spans="1:3" x14ac:dyDescent="0.6">
      <c r="A62" s="24">
        <v>29656</v>
      </c>
      <c r="B62" s="23">
        <v>0.31597799999999998</v>
      </c>
      <c r="C62" s="32">
        <f t="shared" si="0"/>
        <v>-3.8891119465634949E-2</v>
      </c>
    </row>
    <row r="63" spans="1:3" x14ac:dyDescent="0.6">
      <c r="A63" s="24">
        <v>29657</v>
      </c>
      <c r="B63" s="23">
        <v>0.328764</v>
      </c>
      <c r="C63" s="32">
        <f t="shared" si="0"/>
        <v>4.0464842489034147E-2</v>
      </c>
    </row>
    <row r="64" spans="1:3" x14ac:dyDescent="0.6">
      <c r="A64" s="24">
        <v>29658</v>
      </c>
      <c r="B64" s="23">
        <v>0.32511099999999998</v>
      </c>
      <c r="C64" s="32">
        <f t="shared" si="0"/>
        <v>-1.1111313890815322E-2</v>
      </c>
    </row>
    <row r="65" spans="1:3" x14ac:dyDescent="0.6">
      <c r="A65" s="24">
        <v>29661</v>
      </c>
      <c r="B65" s="23">
        <v>0.33789599999999997</v>
      </c>
      <c r="C65" s="32">
        <f t="shared" si="0"/>
        <v>3.9325030528035043E-2</v>
      </c>
    </row>
    <row r="66" spans="1:3" x14ac:dyDescent="0.6">
      <c r="A66" s="24">
        <v>29662</v>
      </c>
      <c r="B66" s="23">
        <v>0.35433399999999998</v>
      </c>
      <c r="C66" s="32">
        <f t="shared" si="0"/>
        <v>4.8648104742287535E-2</v>
      </c>
    </row>
    <row r="67" spans="1:3" x14ac:dyDescent="0.6">
      <c r="A67" s="24">
        <v>29663</v>
      </c>
      <c r="B67" s="23">
        <v>0.37625199999999998</v>
      </c>
      <c r="C67" s="32">
        <f t="shared" si="0"/>
        <v>6.1856892084868997E-2</v>
      </c>
    </row>
    <row r="68" spans="1:3" x14ac:dyDescent="0.6">
      <c r="A68" s="24">
        <v>29664</v>
      </c>
      <c r="B68" s="23">
        <v>0.37259900000000001</v>
      </c>
      <c r="C68" s="32">
        <f t="shared" ref="C68:C131" si="1">B68/B67-1</f>
        <v>-9.7089184907985793E-3</v>
      </c>
    </row>
    <row r="69" spans="1:3" x14ac:dyDescent="0.6">
      <c r="A69" s="24">
        <v>29665</v>
      </c>
      <c r="B69" s="23">
        <v>0.37625199999999998</v>
      </c>
      <c r="C69" s="32">
        <f t="shared" si="1"/>
        <v>9.8041057544437926E-3</v>
      </c>
    </row>
    <row r="70" spans="1:3" x14ac:dyDescent="0.6">
      <c r="A70" s="24">
        <v>29668</v>
      </c>
      <c r="B70" s="23">
        <v>0.39086300000000002</v>
      </c>
      <c r="C70" s="32">
        <f t="shared" si="1"/>
        <v>3.883301617001389E-2</v>
      </c>
    </row>
    <row r="71" spans="1:3" x14ac:dyDescent="0.6">
      <c r="A71" s="24">
        <v>29669</v>
      </c>
      <c r="B71" s="23">
        <v>0.38903700000000002</v>
      </c>
      <c r="C71" s="32">
        <f t="shared" si="1"/>
        <v>-4.6717136183266339E-3</v>
      </c>
    </row>
    <row r="72" spans="1:3" x14ac:dyDescent="0.6">
      <c r="A72" s="24">
        <v>29670</v>
      </c>
      <c r="B72" s="23">
        <v>0.38173099999999999</v>
      </c>
      <c r="C72" s="32">
        <f t="shared" si="1"/>
        <v>-1.8779704758159377E-2</v>
      </c>
    </row>
    <row r="73" spans="1:3" x14ac:dyDescent="0.6">
      <c r="A73" s="24">
        <v>29671</v>
      </c>
      <c r="B73" s="23">
        <v>0.37442500000000001</v>
      </c>
      <c r="C73" s="32">
        <f t="shared" si="1"/>
        <v>-1.9139132006570025E-2</v>
      </c>
    </row>
    <row r="74" spans="1:3" x14ac:dyDescent="0.6">
      <c r="A74" s="24">
        <v>29672</v>
      </c>
      <c r="B74" s="23">
        <v>0.36164000000000002</v>
      </c>
      <c r="C74" s="32">
        <f t="shared" si="1"/>
        <v>-3.4145690058089095E-2</v>
      </c>
    </row>
    <row r="75" spans="1:3" x14ac:dyDescent="0.6">
      <c r="A75" s="24">
        <v>29675</v>
      </c>
      <c r="B75" s="23">
        <v>0.36164000000000002</v>
      </c>
      <c r="C75" s="32">
        <f t="shared" si="1"/>
        <v>0</v>
      </c>
    </row>
    <row r="76" spans="1:3" x14ac:dyDescent="0.6">
      <c r="A76" s="24">
        <v>29676</v>
      </c>
      <c r="B76" s="23">
        <v>0.357987</v>
      </c>
      <c r="C76" s="32">
        <f t="shared" si="1"/>
        <v>-1.0101205618847531E-2</v>
      </c>
    </row>
    <row r="77" spans="1:3" x14ac:dyDescent="0.6">
      <c r="A77" s="24">
        <v>29677</v>
      </c>
      <c r="B77" s="23">
        <v>0.35433399999999998</v>
      </c>
      <c r="C77" s="32">
        <f t="shared" si="1"/>
        <v>-1.0204281161047768E-2</v>
      </c>
    </row>
    <row r="78" spans="1:3" x14ac:dyDescent="0.6">
      <c r="A78" s="24">
        <v>29678</v>
      </c>
      <c r="B78" s="23">
        <v>0.385384</v>
      </c>
      <c r="C78" s="32">
        <f t="shared" si="1"/>
        <v>8.7629186022227579E-2</v>
      </c>
    </row>
    <row r="79" spans="1:3" x14ac:dyDescent="0.6">
      <c r="A79" s="24">
        <v>29679</v>
      </c>
      <c r="B79" s="23">
        <v>0.38721</v>
      </c>
      <c r="C79" s="32">
        <f t="shared" si="1"/>
        <v>4.7381313183734175E-3</v>
      </c>
    </row>
    <row r="80" spans="1:3" x14ac:dyDescent="0.6">
      <c r="A80" s="24">
        <v>29682</v>
      </c>
      <c r="B80" s="23">
        <v>0.37990499999999999</v>
      </c>
      <c r="C80" s="32">
        <f t="shared" si="1"/>
        <v>-1.8865731773456296E-2</v>
      </c>
    </row>
    <row r="81" spans="1:3" x14ac:dyDescent="0.6">
      <c r="A81" s="24">
        <v>29683</v>
      </c>
      <c r="B81" s="23">
        <v>0.37625199999999998</v>
      </c>
      <c r="C81" s="32">
        <f t="shared" si="1"/>
        <v>-9.6155617851831909E-3</v>
      </c>
    </row>
    <row r="82" spans="1:3" x14ac:dyDescent="0.6">
      <c r="A82" s="24">
        <v>29684</v>
      </c>
      <c r="B82" s="23">
        <v>0.39451599999999998</v>
      </c>
      <c r="C82" s="32">
        <f t="shared" si="1"/>
        <v>4.8541934660812469E-2</v>
      </c>
    </row>
    <row r="83" spans="1:3" x14ac:dyDescent="0.6">
      <c r="A83" s="24">
        <v>29685</v>
      </c>
      <c r="B83" s="23">
        <v>0.40182200000000001</v>
      </c>
      <c r="C83" s="32">
        <f t="shared" si="1"/>
        <v>1.851889403725071E-2</v>
      </c>
    </row>
    <row r="84" spans="1:3" x14ac:dyDescent="0.6">
      <c r="A84" s="24">
        <v>29686</v>
      </c>
      <c r="B84" s="23">
        <v>0.407302</v>
      </c>
      <c r="C84" s="32">
        <f t="shared" si="1"/>
        <v>1.3637879459063917E-2</v>
      </c>
    </row>
    <row r="85" spans="1:3" x14ac:dyDescent="0.6">
      <c r="A85" s="24">
        <v>29689</v>
      </c>
      <c r="B85" s="23">
        <v>0.407302</v>
      </c>
      <c r="C85" s="32">
        <f t="shared" si="1"/>
        <v>0</v>
      </c>
    </row>
    <row r="86" spans="1:3" x14ac:dyDescent="0.6">
      <c r="A86" s="24">
        <v>29690</v>
      </c>
      <c r="B86" s="23">
        <v>0.407302</v>
      </c>
      <c r="C86" s="32">
        <f t="shared" si="1"/>
        <v>0</v>
      </c>
    </row>
    <row r="87" spans="1:3" x14ac:dyDescent="0.6">
      <c r="A87" s="24">
        <v>29691</v>
      </c>
      <c r="B87" s="23">
        <v>0.38721</v>
      </c>
      <c r="C87" s="32">
        <f t="shared" si="1"/>
        <v>-4.9329490157180689E-2</v>
      </c>
    </row>
    <row r="88" spans="1:3" x14ac:dyDescent="0.6">
      <c r="A88" s="24">
        <v>29692</v>
      </c>
      <c r="B88" s="23">
        <v>0.36529299999999998</v>
      </c>
      <c r="C88" s="32">
        <f t="shared" si="1"/>
        <v>-5.6602360476227465E-2</v>
      </c>
    </row>
    <row r="89" spans="1:3" x14ac:dyDescent="0.6">
      <c r="A89" s="24">
        <v>29696</v>
      </c>
      <c r="B89" s="23">
        <v>0.37625199999999998</v>
      </c>
      <c r="C89" s="32">
        <f t="shared" si="1"/>
        <v>3.0000574880985953E-2</v>
      </c>
    </row>
    <row r="90" spans="1:3" x14ac:dyDescent="0.6">
      <c r="A90" s="24">
        <v>29697</v>
      </c>
      <c r="B90" s="23">
        <v>0.40182200000000001</v>
      </c>
      <c r="C90" s="32">
        <f t="shared" si="1"/>
        <v>6.7959771642410072E-2</v>
      </c>
    </row>
    <row r="91" spans="1:3" x14ac:dyDescent="0.6">
      <c r="A91" s="24">
        <v>29698</v>
      </c>
      <c r="B91" s="23">
        <v>0.41643400000000003</v>
      </c>
      <c r="C91" s="32">
        <f t="shared" si="1"/>
        <v>3.636436033865742E-2</v>
      </c>
    </row>
    <row r="92" spans="1:3" x14ac:dyDescent="0.6">
      <c r="A92" s="24">
        <v>29699</v>
      </c>
      <c r="B92" s="23">
        <v>0.42739300000000002</v>
      </c>
      <c r="C92" s="32">
        <f t="shared" si="1"/>
        <v>2.631629501913868E-2</v>
      </c>
    </row>
    <row r="93" spans="1:3" x14ac:dyDescent="0.6">
      <c r="A93" s="24">
        <v>29700</v>
      </c>
      <c r="B93" s="23">
        <v>0.42374000000000001</v>
      </c>
      <c r="C93" s="32">
        <f t="shared" si="1"/>
        <v>-8.5471685310709589E-3</v>
      </c>
    </row>
    <row r="94" spans="1:3" x14ac:dyDescent="0.6">
      <c r="A94" s="24">
        <v>29703</v>
      </c>
      <c r="B94" s="23">
        <v>0.42008699999999999</v>
      </c>
      <c r="C94" s="32">
        <f t="shared" si="1"/>
        <v>-8.6208524094963934E-3</v>
      </c>
    </row>
    <row r="95" spans="1:3" x14ac:dyDescent="0.6">
      <c r="A95" s="24">
        <v>29704</v>
      </c>
      <c r="B95" s="23">
        <v>0.41278100000000001</v>
      </c>
      <c r="C95" s="32">
        <f t="shared" si="1"/>
        <v>-1.7391635542161499E-2</v>
      </c>
    </row>
    <row r="96" spans="1:3" x14ac:dyDescent="0.6">
      <c r="A96" s="24">
        <v>29705</v>
      </c>
      <c r="B96" s="23">
        <v>0.407302</v>
      </c>
      <c r="C96" s="32">
        <f t="shared" si="1"/>
        <v>-1.3273382253543686E-2</v>
      </c>
    </row>
    <row r="97" spans="1:3" x14ac:dyDescent="0.6">
      <c r="A97" s="24">
        <v>29706</v>
      </c>
      <c r="B97" s="23">
        <v>0.414607</v>
      </c>
      <c r="C97" s="32">
        <f t="shared" si="1"/>
        <v>1.7935094843629651E-2</v>
      </c>
    </row>
    <row r="98" spans="1:3" x14ac:dyDescent="0.6">
      <c r="A98" s="24">
        <v>29707</v>
      </c>
      <c r="B98" s="23">
        <v>0.414607</v>
      </c>
      <c r="C98" s="32">
        <f t="shared" si="1"/>
        <v>0</v>
      </c>
    </row>
    <row r="99" spans="1:3" x14ac:dyDescent="0.6">
      <c r="A99" s="24">
        <v>29710</v>
      </c>
      <c r="B99" s="23">
        <v>0.41278100000000001</v>
      </c>
      <c r="C99" s="32">
        <f t="shared" si="1"/>
        <v>-4.4041706965873839E-3</v>
      </c>
    </row>
    <row r="100" spans="1:3" x14ac:dyDescent="0.6">
      <c r="A100" s="24">
        <v>29711</v>
      </c>
      <c r="B100" s="23">
        <v>0.41095500000000001</v>
      </c>
      <c r="C100" s="32">
        <f t="shared" si="1"/>
        <v>-4.4236532204727785E-3</v>
      </c>
    </row>
    <row r="101" spans="1:3" x14ac:dyDescent="0.6">
      <c r="A101" s="24">
        <v>29712</v>
      </c>
      <c r="B101" s="23">
        <v>0.39999600000000002</v>
      </c>
      <c r="C101" s="32">
        <f t="shared" si="1"/>
        <v>-2.6667153337956662E-2</v>
      </c>
    </row>
    <row r="102" spans="1:3" x14ac:dyDescent="0.6">
      <c r="A102" s="24">
        <v>29713</v>
      </c>
      <c r="B102" s="23">
        <v>0.40547499999999997</v>
      </c>
      <c r="C102" s="32">
        <f t="shared" si="1"/>
        <v>1.369763697636972E-2</v>
      </c>
    </row>
    <row r="103" spans="1:3" x14ac:dyDescent="0.6">
      <c r="A103" s="24">
        <v>29714</v>
      </c>
      <c r="B103" s="23">
        <v>0.40912799999999999</v>
      </c>
      <c r="C103" s="32">
        <f t="shared" si="1"/>
        <v>9.0091867562736017E-3</v>
      </c>
    </row>
    <row r="104" spans="1:3" x14ac:dyDescent="0.6">
      <c r="A104" s="24">
        <v>29717</v>
      </c>
      <c r="B104" s="23">
        <v>0.39999600000000002</v>
      </c>
      <c r="C104" s="32">
        <f t="shared" si="1"/>
        <v>-2.2320642928374435E-2</v>
      </c>
    </row>
    <row r="105" spans="1:3" x14ac:dyDescent="0.6">
      <c r="A105" s="24">
        <v>29718</v>
      </c>
      <c r="B105" s="23">
        <v>0.39999600000000002</v>
      </c>
      <c r="C105" s="32">
        <f t="shared" si="1"/>
        <v>0</v>
      </c>
    </row>
    <row r="106" spans="1:3" x14ac:dyDescent="0.6">
      <c r="A106" s="24">
        <v>29719</v>
      </c>
      <c r="B106" s="23">
        <v>0.398169</v>
      </c>
      <c r="C106" s="32">
        <f t="shared" si="1"/>
        <v>-4.5675456754568078E-3</v>
      </c>
    </row>
    <row r="107" spans="1:3" x14ac:dyDescent="0.6">
      <c r="A107" s="24">
        <v>29720</v>
      </c>
      <c r="B107" s="23">
        <v>0.39268999999999998</v>
      </c>
      <c r="C107" s="32">
        <f t="shared" si="1"/>
        <v>-1.3760488636734736E-2</v>
      </c>
    </row>
    <row r="108" spans="1:3" x14ac:dyDescent="0.6">
      <c r="A108" s="24">
        <v>29721</v>
      </c>
      <c r="B108" s="23">
        <v>0.40182200000000001</v>
      </c>
      <c r="C108" s="32">
        <f t="shared" si="1"/>
        <v>2.3254984848099181E-2</v>
      </c>
    </row>
    <row r="109" spans="1:3" x14ac:dyDescent="0.6">
      <c r="A109" s="24">
        <v>29724</v>
      </c>
      <c r="B109" s="23">
        <v>0.40912799999999999</v>
      </c>
      <c r="C109" s="32">
        <f t="shared" si="1"/>
        <v>1.818218016932871E-2</v>
      </c>
    </row>
    <row r="110" spans="1:3" x14ac:dyDescent="0.6">
      <c r="A110" s="24">
        <v>29725</v>
      </c>
      <c r="B110" s="23">
        <v>0.40182200000000001</v>
      </c>
      <c r="C110" s="32">
        <f t="shared" si="1"/>
        <v>-1.7857492031833511E-2</v>
      </c>
    </row>
    <row r="111" spans="1:3" x14ac:dyDescent="0.6">
      <c r="A111" s="24">
        <v>29726</v>
      </c>
      <c r="B111" s="23">
        <v>0.414607</v>
      </c>
      <c r="C111" s="32">
        <f t="shared" si="1"/>
        <v>3.1817570964257857E-2</v>
      </c>
    </row>
    <row r="112" spans="1:3" x14ac:dyDescent="0.6">
      <c r="A112" s="24">
        <v>29727</v>
      </c>
      <c r="B112" s="23">
        <v>0.43835200000000002</v>
      </c>
      <c r="C112" s="32">
        <f t="shared" si="1"/>
        <v>5.7271102513946959E-2</v>
      </c>
    </row>
    <row r="113" spans="1:3" x14ac:dyDescent="0.6">
      <c r="A113" s="24">
        <v>29728</v>
      </c>
      <c r="B113" s="23">
        <v>0.45844299999999999</v>
      </c>
      <c r="C113" s="32">
        <f t="shared" si="1"/>
        <v>4.5833029163776962E-2</v>
      </c>
    </row>
    <row r="114" spans="1:3" x14ac:dyDescent="0.6">
      <c r="A114" s="24">
        <v>29732</v>
      </c>
      <c r="B114" s="23">
        <v>0.45661600000000002</v>
      </c>
      <c r="C114" s="32">
        <f t="shared" si="1"/>
        <v>-3.9852282617467427E-3</v>
      </c>
    </row>
    <row r="115" spans="1:3" x14ac:dyDescent="0.6">
      <c r="A115" s="24">
        <v>29733</v>
      </c>
      <c r="B115" s="23">
        <v>0.48218699999999998</v>
      </c>
      <c r="C115" s="32">
        <f t="shared" si="1"/>
        <v>5.6001103772097327E-2</v>
      </c>
    </row>
    <row r="116" spans="1:3" x14ac:dyDescent="0.6">
      <c r="A116" s="24">
        <v>29734</v>
      </c>
      <c r="B116" s="23">
        <v>0.48218699999999998</v>
      </c>
      <c r="C116" s="32">
        <f t="shared" si="1"/>
        <v>0</v>
      </c>
    </row>
    <row r="117" spans="1:3" x14ac:dyDescent="0.6">
      <c r="A117" s="24">
        <v>29735</v>
      </c>
      <c r="B117" s="23">
        <v>0.48401300000000003</v>
      </c>
      <c r="C117" s="32">
        <f t="shared" si="1"/>
        <v>3.7869125463774189E-3</v>
      </c>
    </row>
    <row r="118" spans="1:3" x14ac:dyDescent="0.6">
      <c r="A118" s="24">
        <v>29738</v>
      </c>
      <c r="B118" s="23">
        <v>0.48401300000000003</v>
      </c>
      <c r="C118" s="32">
        <f t="shared" si="1"/>
        <v>0</v>
      </c>
    </row>
    <row r="119" spans="1:3" x14ac:dyDescent="0.6">
      <c r="A119" s="24">
        <v>29739</v>
      </c>
      <c r="B119" s="23">
        <v>0.46026899999999998</v>
      </c>
      <c r="C119" s="32">
        <f t="shared" si="1"/>
        <v>-4.9056533605502439E-2</v>
      </c>
    </row>
    <row r="120" spans="1:3" x14ac:dyDescent="0.6">
      <c r="A120" s="24">
        <v>29740</v>
      </c>
      <c r="B120" s="23">
        <v>0.46026899999999998</v>
      </c>
      <c r="C120" s="32">
        <f t="shared" si="1"/>
        <v>0</v>
      </c>
    </row>
    <row r="121" spans="1:3" x14ac:dyDescent="0.6">
      <c r="A121" s="24">
        <v>29741</v>
      </c>
      <c r="B121" s="23">
        <v>0.46940100000000001</v>
      </c>
      <c r="C121" s="32">
        <f t="shared" si="1"/>
        <v>1.9840571491888559E-2</v>
      </c>
    </row>
    <row r="122" spans="1:3" x14ac:dyDescent="0.6">
      <c r="A122" s="24">
        <v>29742</v>
      </c>
      <c r="B122" s="23">
        <v>0.46209600000000001</v>
      </c>
      <c r="C122" s="32">
        <f t="shared" si="1"/>
        <v>-1.556238695699419E-2</v>
      </c>
    </row>
    <row r="123" spans="1:3" x14ac:dyDescent="0.6">
      <c r="A123" s="24">
        <v>29745</v>
      </c>
      <c r="B123" s="23">
        <v>0.445658</v>
      </c>
      <c r="C123" s="32">
        <f t="shared" si="1"/>
        <v>-3.5572694851286335E-2</v>
      </c>
    </row>
    <row r="124" spans="1:3" x14ac:dyDescent="0.6">
      <c r="A124" s="24">
        <v>29746</v>
      </c>
      <c r="B124" s="23">
        <v>0.45479000000000003</v>
      </c>
      <c r="C124" s="32">
        <f t="shared" si="1"/>
        <v>2.0491049190186184E-2</v>
      </c>
    </row>
    <row r="125" spans="1:3" x14ac:dyDescent="0.6">
      <c r="A125" s="24">
        <v>29747</v>
      </c>
      <c r="B125" s="23">
        <v>0.46026899999999998</v>
      </c>
      <c r="C125" s="32">
        <f t="shared" si="1"/>
        <v>1.2047318542623975E-2</v>
      </c>
    </row>
    <row r="126" spans="1:3" x14ac:dyDescent="0.6">
      <c r="A126" s="24">
        <v>29748</v>
      </c>
      <c r="B126" s="23">
        <v>0.48036000000000001</v>
      </c>
      <c r="C126" s="32">
        <f t="shared" si="1"/>
        <v>4.3650560867666499E-2</v>
      </c>
    </row>
    <row r="127" spans="1:3" x14ac:dyDescent="0.6">
      <c r="A127" s="24">
        <v>29749</v>
      </c>
      <c r="B127" s="23">
        <v>0.474881</v>
      </c>
      <c r="C127" s="32">
        <f t="shared" si="1"/>
        <v>-1.1406028811724589E-2</v>
      </c>
    </row>
    <row r="128" spans="1:3" x14ac:dyDescent="0.6">
      <c r="A128" s="24">
        <v>29752</v>
      </c>
      <c r="B128" s="23">
        <v>0.47305399999999997</v>
      </c>
      <c r="C128" s="32">
        <f t="shared" si="1"/>
        <v>-3.8472796342663429E-3</v>
      </c>
    </row>
    <row r="129" spans="1:3" x14ac:dyDescent="0.6">
      <c r="A129" s="24">
        <v>29753</v>
      </c>
      <c r="B129" s="23">
        <v>0.463922</v>
      </c>
      <c r="C129" s="32">
        <f t="shared" si="1"/>
        <v>-1.9304350031920214E-2</v>
      </c>
    </row>
    <row r="130" spans="1:3" x14ac:dyDescent="0.6">
      <c r="A130" s="24">
        <v>29754</v>
      </c>
      <c r="B130" s="23">
        <v>0.45661600000000002</v>
      </c>
      <c r="C130" s="32">
        <f t="shared" si="1"/>
        <v>-1.5748337004927504E-2</v>
      </c>
    </row>
    <row r="131" spans="1:3" x14ac:dyDescent="0.6">
      <c r="A131" s="24">
        <v>29755</v>
      </c>
      <c r="B131" s="23">
        <v>0.45479000000000003</v>
      </c>
      <c r="C131" s="32">
        <f t="shared" si="1"/>
        <v>-3.9989838288627677E-3</v>
      </c>
    </row>
    <row r="132" spans="1:3" x14ac:dyDescent="0.6">
      <c r="A132" s="24">
        <v>29756</v>
      </c>
      <c r="B132" s="23">
        <v>0.44200499999999998</v>
      </c>
      <c r="C132" s="32">
        <f t="shared" ref="C132:C195" si="2">B132/B131-1</f>
        <v>-2.8111875810813869E-2</v>
      </c>
    </row>
    <row r="133" spans="1:3" x14ac:dyDescent="0.6">
      <c r="A133" s="24">
        <v>29759</v>
      </c>
      <c r="B133" s="23">
        <v>0.425566</v>
      </c>
      <c r="C133" s="32">
        <f t="shared" si="2"/>
        <v>-3.7191886969604404E-2</v>
      </c>
    </row>
    <row r="134" spans="1:3" x14ac:dyDescent="0.6">
      <c r="A134" s="24">
        <v>29760</v>
      </c>
      <c r="B134" s="23">
        <v>0.43287199999999998</v>
      </c>
      <c r="C134" s="32">
        <f t="shared" si="2"/>
        <v>1.716772486523821E-2</v>
      </c>
    </row>
    <row r="135" spans="1:3" x14ac:dyDescent="0.6">
      <c r="A135" s="24">
        <v>29761</v>
      </c>
      <c r="B135" s="23">
        <v>0.42191299999999998</v>
      </c>
      <c r="C135" s="32">
        <f t="shared" si="2"/>
        <v>-2.5316952817461047E-2</v>
      </c>
    </row>
    <row r="136" spans="1:3" x14ac:dyDescent="0.6">
      <c r="A136" s="24">
        <v>29762</v>
      </c>
      <c r="B136" s="23">
        <v>0.43104599999999998</v>
      </c>
      <c r="C136" s="32">
        <f t="shared" si="2"/>
        <v>2.1646642791286252E-2</v>
      </c>
    </row>
    <row r="137" spans="1:3" x14ac:dyDescent="0.6">
      <c r="A137" s="24">
        <v>29763</v>
      </c>
      <c r="B137" s="23">
        <v>0.425566</v>
      </c>
      <c r="C137" s="32">
        <f t="shared" si="2"/>
        <v>-1.2713260301684737E-2</v>
      </c>
    </row>
    <row r="138" spans="1:3" x14ac:dyDescent="0.6">
      <c r="A138" s="24">
        <v>29766</v>
      </c>
      <c r="B138" s="23">
        <v>0.41095500000000001</v>
      </c>
      <c r="C138" s="32">
        <f t="shared" si="2"/>
        <v>-3.4333099918696486E-2</v>
      </c>
    </row>
    <row r="139" spans="1:3" x14ac:dyDescent="0.6">
      <c r="A139" s="24">
        <v>29767</v>
      </c>
      <c r="B139" s="23">
        <v>0.37990499999999999</v>
      </c>
      <c r="C139" s="32">
        <f t="shared" si="2"/>
        <v>-7.5555717779318909E-2</v>
      </c>
    </row>
    <row r="140" spans="1:3" x14ac:dyDescent="0.6">
      <c r="A140" s="24">
        <v>29768</v>
      </c>
      <c r="B140" s="23">
        <v>0.37625199999999998</v>
      </c>
      <c r="C140" s="32">
        <f t="shared" si="2"/>
        <v>-9.6155617851831909E-3</v>
      </c>
    </row>
    <row r="141" spans="1:3" x14ac:dyDescent="0.6">
      <c r="A141" s="24">
        <v>29769</v>
      </c>
      <c r="B141" s="23">
        <v>0.37625199999999998</v>
      </c>
      <c r="C141" s="32">
        <f t="shared" si="2"/>
        <v>0</v>
      </c>
    </row>
    <row r="142" spans="1:3" x14ac:dyDescent="0.6">
      <c r="A142" s="24">
        <v>29773</v>
      </c>
      <c r="B142" s="23">
        <v>0.36346699999999998</v>
      </c>
      <c r="C142" s="32">
        <f t="shared" si="2"/>
        <v>-3.3979885821204925E-2</v>
      </c>
    </row>
    <row r="143" spans="1:3" x14ac:dyDescent="0.6">
      <c r="A143" s="24">
        <v>29774</v>
      </c>
      <c r="B143" s="23">
        <v>0.36711899999999997</v>
      </c>
      <c r="C143" s="32">
        <f t="shared" si="2"/>
        <v>1.0047679706823409E-2</v>
      </c>
    </row>
    <row r="144" spans="1:3" x14ac:dyDescent="0.6">
      <c r="A144" s="24">
        <v>29775</v>
      </c>
      <c r="B144" s="23">
        <v>0.38173099999999999</v>
      </c>
      <c r="C144" s="32">
        <f t="shared" si="2"/>
        <v>3.9801808133057781E-2</v>
      </c>
    </row>
    <row r="145" spans="1:3" x14ac:dyDescent="0.6">
      <c r="A145" s="24">
        <v>29776</v>
      </c>
      <c r="B145" s="23">
        <v>0.35250799999999999</v>
      </c>
      <c r="C145" s="32">
        <f t="shared" si="2"/>
        <v>-7.6553908380508795E-2</v>
      </c>
    </row>
    <row r="146" spans="1:3" x14ac:dyDescent="0.6">
      <c r="A146" s="24">
        <v>29777</v>
      </c>
      <c r="B146" s="23">
        <v>0.32511099999999998</v>
      </c>
      <c r="C146" s="32">
        <f t="shared" si="2"/>
        <v>-7.7720221952409574E-2</v>
      </c>
    </row>
    <row r="147" spans="1:3" x14ac:dyDescent="0.6">
      <c r="A147" s="24">
        <v>29780</v>
      </c>
      <c r="B147" s="23">
        <v>0.33241700000000002</v>
      </c>
      <c r="C147" s="32">
        <f t="shared" si="2"/>
        <v>2.2472324836748214E-2</v>
      </c>
    </row>
    <row r="148" spans="1:3" x14ac:dyDescent="0.6">
      <c r="A148" s="24">
        <v>29781</v>
      </c>
      <c r="B148" s="23">
        <v>0.347028</v>
      </c>
      <c r="C148" s="32">
        <f t="shared" si="2"/>
        <v>4.3953829076130324E-2</v>
      </c>
    </row>
    <row r="149" spans="1:3" x14ac:dyDescent="0.6">
      <c r="A149" s="24">
        <v>29782</v>
      </c>
      <c r="B149" s="23">
        <v>0.35616100000000001</v>
      </c>
      <c r="C149" s="32">
        <f t="shared" si="2"/>
        <v>2.6317761102850445E-2</v>
      </c>
    </row>
    <row r="150" spans="1:3" x14ac:dyDescent="0.6">
      <c r="A150" s="24">
        <v>29783</v>
      </c>
      <c r="B150" s="23">
        <v>0.36529299999999998</v>
      </c>
      <c r="C150" s="32">
        <f t="shared" si="2"/>
        <v>2.5640089734698668E-2</v>
      </c>
    </row>
    <row r="151" spans="1:3" x14ac:dyDescent="0.6">
      <c r="A151" s="24">
        <v>29784</v>
      </c>
      <c r="B151" s="23">
        <v>0.37807800000000003</v>
      </c>
      <c r="C151" s="32">
        <f t="shared" si="2"/>
        <v>3.4999301930231486E-2</v>
      </c>
    </row>
    <row r="152" spans="1:3" x14ac:dyDescent="0.6">
      <c r="A152" s="24">
        <v>29787</v>
      </c>
      <c r="B152" s="23">
        <v>0.35250799999999999</v>
      </c>
      <c r="C152" s="32">
        <f t="shared" si="2"/>
        <v>-6.763154692946971E-2</v>
      </c>
    </row>
    <row r="153" spans="1:3" x14ac:dyDescent="0.6">
      <c r="A153" s="24">
        <v>29788</v>
      </c>
      <c r="B153" s="23">
        <v>0.35068100000000002</v>
      </c>
      <c r="C153" s="32">
        <f t="shared" si="2"/>
        <v>-5.1828610981877743E-3</v>
      </c>
    </row>
    <row r="154" spans="1:3" x14ac:dyDescent="0.6">
      <c r="A154" s="24">
        <v>29789</v>
      </c>
      <c r="B154" s="23">
        <v>0.33058999999999999</v>
      </c>
      <c r="C154" s="32">
        <f t="shared" si="2"/>
        <v>-5.7291384477630714E-2</v>
      </c>
    </row>
    <row r="155" spans="1:3" x14ac:dyDescent="0.6">
      <c r="A155" s="24">
        <v>29790</v>
      </c>
      <c r="B155" s="23">
        <v>0.339723</v>
      </c>
      <c r="C155" s="32">
        <f t="shared" si="2"/>
        <v>2.7626364983816876E-2</v>
      </c>
    </row>
    <row r="156" spans="1:3" x14ac:dyDescent="0.6">
      <c r="A156" s="24">
        <v>29791</v>
      </c>
      <c r="B156" s="23">
        <v>0.35068100000000002</v>
      </c>
      <c r="C156" s="32">
        <f t="shared" si="2"/>
        <v>3.225569066563061E-2</v>
      </c>
    </row>
    <row r="157" spans="1:3" x14ac:dyDescent="0.6">
      <c r="A157" s="24">
        <v>29794</v>
      </c>
      <c r="B157" s="23">
        <v>0.36529299999999998</v>
      </c>
      <c r="C157" s="32">
        <f t="shared" si="2"/>
        <v>4.1667498381720014E-2</v>
      </c>
    </row>
    <row r="158" spans="1:3" x14ac:dyDescent="0.6">
      <c r="A158" s="24">
        <v>29795</v>
      </c>
      <c r="B158" s="23">
        <v>0.35250799999999999</v>
      </c>
      <c r="C158" s="32">
        <f t="shared" si="2"/>
        <v>-3.4999301930231375E-2</v>
      </c>
    </row>
    <row r="159" spans="1:3" x14ac:dyDescent="0.6">
      <c r="A159" s="24">
        <v>29796</v>
      </c>
      <c r="B159" s="23">
        <v>0.347028</v>
      </c>
      <c r="C159" s="32">
        <f t="shared" si="2"/>
        <v>-1.5545746479512457E-2</v>
      </c>
    </row>
    <row r="160" spans="1:3" x14ac:dyDescent="0.6">
      <c r="A160" s="24">
        <v>29797</v>
      </c>
      <c r="B160" s="23">
        <v>0.35981400000000002</v>
      </c>
      <c r="C160" s="32">
        <f t="shared" si="2"/>
        <v>3.6844289221618975E-2</v>
      </c>
    </row>
    <row r="161" spans="1:3" x14ac:dyDescent="0.6">
      <c r="A161" s="24">
        <v>29798</v>
      </c>
      <c r="B161" s="23">
        <v>0.36529299999999998</v>
      </c>
      <c r="C161" s="32">
        <f t="shared" si="2"/>
        <v>1.5227311888920347E-2</v>
      </c>
    </row>
    <row r="162" spans="1:3" x14ac:dyDescent="0.6">
      <c r="A162" s="24">
        <v>29801</v>
      </c>
      <c r="B162" s="23">
        <v>0.36164000000000002</v>
      </c>
      <c r="C162" s="32">
        <f t="shared" si="2"/>
        <v>-1.000019162699517E-2</v>
      </c>
    </row>
    <row r="163" spans="1:3" x14ac:dyDescent="0.6">
      <c r="A163" s="24">
        <v>29802</v>
      </c>
      <c r="B163" s="23">
        <v>0.36711899999999997</v>
      </c>
      <c r="C163" s="32">
        <f t="shared" si="2"/>
        <v>1.5150425837849646E-2</v>
      </c>
    </row>
    <row r="164" spans="1:3" x14ac:dyDescent="0.6">
      <c r="A164" s="24">
        <v>29803</v>
      </c>
      <c r="B164" s="23">
        <v>0.37807800000000003</v>
      </c>
      <c r="C164" s="32">
        <f t="shared" si="2"/>
        <v>2.9851356099793502E-2</v>
      </c>
    </row>
    <row r="165" spans="1:3" x14ac:dyDescent="0.6">
      <c r="A165" s="24">
        <v>29804</v>
      </c>
      <c r="B165" s="23">
        <v>0.368946</v>
      </c>
      <c r="C165" s="32">
        <f t="shared" si="2"/>
        <v>-2.4153746052401948E-2</v>
      </c>
    </row>
    <row r="166" spans="1:3" x14ac:dyDescent="0.6">
      <c r="A166" s="24">
        <v>29805</v>
      </c>
      <c r="B166" s="23">
        <v>0.368946</v>
      </c>
      <c r="C166" s="32">
        <f t="shared" si="2"/>
        <v>0</v>
      </c>
    </row>
    <row r="167" spans="1:3" x14ac:dyDescent="0.6">
      <c r="A167" s="24">
        <v>29809</v>
      </c>
      <c r="B167" s="23">
        <v>0.357987</v>
      </c>
      <c r="C167" s="32">
        <f t="shared" si="2"/>
        <v>-2.9703533850482189E-2</v>
      </c>
    </row>
    <row r="168" spans="1:3" x14ac:dyDescent="0.6">
      <c r="A168" s="24">
        <v>29810</v>
      </c>
      <c r="B168" s="23">
        <v>0.35068100000000002</v>
      </c>
      <c r="C168" s="32">
        <f t="shared" si="2"/>
        <v>-2.0408562322095425E-2</v>
      </c>
    </row>
    <row r="169" spans="1:3" x14ac:dyDescent="0.6">
      <c r="A169" s="24">
        <v>29811</v>
      </c>
      <c r="B169" s="23">
        <v>0.339723</v>
      </c>
      <c r="C169" s="32">
        <f t="shared" si="2"/>
        <v>-3.1247772191821066E-2</v>
      </c>
    </row>
    <row r="170" spans="1:3" x14ac:dyDescent="0.6">
      <c r="A170" s="24">
        <v>29812</v>
      </c>
      <c r="B170" s="23">
        <v>0.33424300000000001</v>
      </c>
      <c r="C170" s="32">
        <f t="shared" si="2"/>
        <v>-1.6130788907433358E-2</v>
      </c>
    </row>
    <row r="171" spans="1:3" x14ac:dyDescent="0.6">
      <c r="A171" s="24">
        <v>29815</v>
      </c>
      <c r="B171" s="23">
        <v>0.32328400000000002</v>
      </c>
      <c r="C171" s="32">
        <f t="shared" si="2"/>
        <v>-3.278752285014197E-2</v>
      </c>
    </row>
    <row r="172" spans="1:3" x14ac:dyDescent="0.6">
      <c r="A172" s="24">
        <v>29816</v>
      </c>
      <c r="B172" s="23">
        <v>0.31597799999999998</v>
      </c>
      <c r="C172" s="32">
        <f t="shared" si="2"/>
        <v>-2.2599324433006385E-2</v>
      </c>
    </row>
    <row r="173" spans="1:3" x14ac:dyDescent="0.6">
      <c r="A173" s="24">
        <v>29817</v>
      </c>
      <c r="B173" s="23">
        <v>0.31232500000000002</v>
      </c>
      <c r="C173" s="32">
        <f t="shared" si="2"/>
        <v>-1.1560931457253232E-2</v>
      </c>
    </row>
    <row r="174" spans="1:3" x14ac:dyDescent="0.6">
      <c r="A174" s="24">
        <v>29818</v>
      </c>
      <c r="B174" s="23">
        <v>0.31597799999999998</v>
      </c>
      <c r="C174" s="32">
        <f t="shared" si="2"/>
        <v>1.169614984391254E-2</v>
      </c>
    </row>
    <row r="175" spans="1:3" x14ac:dyDescent="0.6">
      <c r="A175" s="24">
        <v>29819</v>
      </c>
      <c r="B175" s="23">
        <v>0.29406100000000002</v>
      </c>
      <c r="C175" s="32">
        <f t="shared" si="2"/>
        <v>-6.9362423966225384E-2</v>
      </c>
    </row>
    <row r="176" spans="1:3" x14ac:dyDescent="0.6">
      <c r="A176" s="24">
        <v>29822</v>
      </c>
      <c r="B176" s="23">
        <v>0.27579599999999999</v>
      </c>
      <c r="C176" s="32">
        <f t="shared" si="2"/>
        <v>-6.2112962956665574E-2</v>
      </c>
    </row>
    <row r="177" spans="1:3" x14ac:dyDescent="0.6">
      <c r="A177" s="24">
        <v>29823</v>
      </c>
      <c r="B177" s="23">
        <v>0.28310200000000002</v>
      </c>
      <c r="C177" s="32">
        <f t="shared" si="2"/>
        <v>2.6490594497382336E-2</v>
      </c>
    </row>
    <row r="178" spans="1:3" x14ac:dyDescent="0.6">
      <c r="A178" s="24">
        <v>29824</v>
      </c>
      <c r="B178" s="23">
        <v>0.27762300000000001</v>
      </c>
      <c r="C178" s="32">
        <f t="shared" si="2"/>
        <v>-1.9353448580370358E-2</v>
      </c>
    </row>
    <row r="179" spans="1:3" x14ac:dyDescent="0.6">
      <c r="A179" s="24">
        <v>29825</v>
      </c>
      <c r="B179" s="23">
        <v>0.279449</v>
      </c>
      <c r="C179" s="32">
        <f t="shared" si="2"/>
        <v>6.5772648519755172E-3</v>
      </c>
    </row>
    <row r="180" spans="1:3" x14ac:dyDescent="0.6">
      <c r="A180" s="24">
        <v>29826</v>
      </c>
      <c r="B180" s="23">
        <v>0.29406100000000002</v>
      </c>
      <c r="C180" s="32">
        <f t="shared" si="2"/>
        <v>5.2288610801971114E-2</v>
      </c>
    </row>
    <row r="181" spans="1:3" x14ac:dyDescent="0.6">
      <c r="A181" s="24">
        <v>29829</v>
      </c>
      <c r="B181" s="23">
        <v>0.29406100000000002</v>
      </c>
      <c r="C181" s="32">
        <f t="shared" si="2"/>
        <v>0</v>
      </c>
    </row>
    <row r="182" spans="1:3" x14ac:dyDescent="0.6">
      <c r="A182" s="24">
        <v>29830</v>
      </c>
      <c r="B182" s="23">
        <v>0.31232500000000002</v>
      </c>
      <c r="C182" s="32">
        <f t="shared" si="2"/>
        <v>6.2109562301699395E-2</v>
      </c>
    </row>
    <row r="183" spans="1:3" x14ac:dyDescent="0.6">
      <c r="A183" s="24">
        <v>29831</v>
      </c>
      <c r="B183" s="23">
        <v>0.317805</v>
      </c>
      <c r="C183" s="32">
        <f t="shared" si="2"/>
        <v>1.754582566237084E-2</v>
      </c>
    </row>
    <row r="184" spans="1:3" x14ac:dyDescent="0.6">
      <c r="A184" s="24">
        <v>29832</v>
      </c>
      <c r="B184" s="23">
        <v>0.301367</v>
      </c>
      <c r="C184" s="32">
        <f t="shared" si="2"/>
        <v>-5.1723541165179965E-2</v>
      </c>
    </row>
    <row r="185" spans="1:3" x14ac:dyDescent="0.6">
      <c r="A185" s="24">
        <v>29833</v>
      </c>
      <c r="B185" s="23">
        <v>0.29771399999999998</v>
      </c>
      <c r="C185" s="32">
        <f t="shared" si="2"/>
        <v>-1.2121433335434917E-2</v>
      </c>
    </row>
    <row r="186" spans="1:3" x14ac:dyDescent="0.6">
      <c r="A186" s="24">
        <v>29837</v>
      </c>
      <c r="B186" s="23">
        <v>0.28858099999999998</v>
      </c>
      <c r="C186" s="32">
        <f t="shared" si="2"/>
        <v>-3.0677092780319382E-2</v>
      </c>
    </row>
    <row r="187" spans="1:3" x14ac:dyDescent="0.6">
      <c r="A187" s="24">
        <v>29838</v>
      </c>
      <c r="B187" s="23">
        <v>0.28858099999999998</v>
      </c>
      <c r="C187" s="32">
        <f t="shared" si="2"/>
        <v>0</v>
      </c>
    </row>
    <row r="188" spans="1:3" x14ac:dyDescent="0.6">
      <c r="A188" s="24">
        <v>29839</v>
      </c>
      <c r="B188" s="23">
        <v>0.290408</v>
      </c>
      <c r="C188" s="32">
        <f t="shared" si="2"/>
        <v>6.3309781309235369E-3</v>
      </c>
    </row>
    <row r="189" spans="1:3" x14ac:dyDescent="0.6">
      <c r="A189" s="24">
        <v>29840</v>
      </c>
      <c r="B189" s="23">
        <v>0.28675499999999998</v>
      </c>
      <c r="C189" s="32">
        <f t="shared" si="2"/>
        <v>-1.2578854577008913E-2</v>
      </c>
    </row>
    <row r="190" spans="1:3" x14ac:dyDescent="0.6">
      <c r="A190" s="24">
        <v>29843</v>
      </c>
      <c r="B190" s="23">
        <v>0.27762300000000001</v>
      </c>
      <c r="C190" s="32">
        <f t="shared" si="2"/>
        <v>-3.1846000941570196E-2</v>
      </c>
    </row>
    <row r="191" spans="1:3" x14ac:dyDescent="0.6">
      <c r="A191" s="24">
        <v>29844</v>
      </c>
      <c r="B191" s="23">
        <v>0.27031699999999997</v>
      </c>
      <c r="C191" s="32">
        <f t="shared" si="2"/>
        <v>-2.6316263421978903E-2</v>
      </c>
    </row>
    <row r="192" spans="1:3" x14ac:dyDescent="0.6">
      <c r="A192" s="24">
        <v>29845</v>
      </c>
      <c r="B192" s="23">
        <v>0.26483800000000002</v>
      </c>
      <c r="C192" s="32">
        <f t="shared" si="2"/>
        <v>-2.0268795525253513E-2</v>
      </c>
    </row>
    <row r="193" spans="1:3" x14ac:dyDescent="0.6">
      <c r="A193" s="24">
        <v>29846</v>
      </c>
      <c r="B193" s="23">
        <v>0.25753199999999998</v>
      </c>
      <c r="C193" s="32">
        <f t="shared" si="2"/>
        <v>-2.7586675628120005E-2</v>
      </c>
    </row>
    <row r="194" spans="1:3" x14ac:dyDescent="0.6">
      <c r="A194" s="24">
        <v>29847</v>
      </c>
      <c r="B194" s="23">
        <v>0.25935799999999998</v>
      </c>
      <c r="C194" s="32">
        <f t="shared" si="2"/>
        <v>7.0903810011959667E-3</v>
      </c>
    </row>
    <row r="195" spans="1:3" x14ac:dyDescent="0.6">
      <c r="A195" s="24">
        <v>29850</v>
      </c>
      <c r="B195" s="23">
        <v>0.261185</v>
      </c>
      <c r="C195" s="32">
        <f t="shared" si="2"/>
        <v>7.0443171215077705E-3</v>
      </c>
    </row>
    <row r="196" spans="1:3" x14ac:dyDescent="0.6">
      <c r="A196" s="24">
        <v>29851</v>
      </c>
      <c r="B196" s="23">
        <v>0.24657299999999999</v>
      </c>
      <c r="C196" s="32">
        <f t="shared" ref="C196:C259" si="3">B196/B195-1</f>
        <v>-5.5945019813542163E-2</v>
      </c>
    </row>
    <row r="197" spans="1:3" x14ac:dyDescent="0.6">
      <c r="A197" s="24">
        <v>29852</v>
      </c>
      <c r="B197" s="23">
        <v>0.241093</v>
      </c>
      <c r="C197" s="32">
        <f t="shared" si="3"/>
        <v>-2.222465557867237E-2</v>
      </c>
    </row>
    <row r="198" spans="1:3" x14ac:dyDescent="0.6">
      <c r="A198" s="24">
        <v>29853</v>
      </c>
      <c r="B198" s="23">
        <v>0.23926700000000001</v>
      </c>
      <c r="C198" s="32">
        <f t="shared" si="3"/>
        <v>-7.5738408000232127E-3</v>
      </c>
    </row>
    <row r="199" spans="1:3" x14ac:dyDescent="0.6">
      <c r="A199" s="24">
        <v>29854</v>
      </c>
      <c r="B199" s="23">
        <v>0.20821700000000001</v>
      </c>
      <c r="C199" s="32">
        <f t="shared" si="3"/>
        <v>-0.12977134331102902</v>
      </c>
    </row>
    <row r="200" spans="1:3" x14ac:dyDescent="0.6">
      <c r="A200" s="24">
        <v>29857</v>
      </c>
      <c r="B200" s="23">
        <v>0.21004300000000001</v>
      </c>
      <c r="C200" s="32">
        <f t="shared" si="3"/>
        <v>8.769696998804033E-3</v>
      </c>
    </row>
    <row r="201" spans="1:3" x14ac:dyDescent="0.6">
      <c r="A201" s="24">
        <v>29858</v>
      </c>
      <c r="B201" s="23">
        <v>0.221002</v>
      </c>
      <c r="C201" s="32">
        <f t="shared" si="3"/>
        <v>5.2175030827021018E-2</v>
      </c>
    </row>
    <row r="202" spans="1:3" x14ac:dyDescent="0.6">
      <c r="A202" s="24">
        <v>29859</v>
      </c>
      <c r="B202" s="23">
        <v>0.222829</v>
      </c>
      <c r="C202" s="32">
        <f t="shared" si="3"/>
        <v>8.2668935122758302E-3</v>
      </c>
    </row>
    <row r="203" spans="1:3" x14ac:dyDescent="0.6">
      <c r="A203" s="24">
        <v>29860</v>
      </c>
      <c r="B203" s="23">
        <v>0.222829</v>
      </c>
      <c r="C203" s="32">
        <f t="shared" si="3"/>
        <v>0</v>
      </c>
    </row>
    <row r="204" spans="1:3" x14ac:dyDescent="0.6">
      <c r="A204" s="24">
        <v>29861</v>
      </c>
      <c r="B204" s="23">
        <v>0.241093</v>
      </c>
      <c r="C204" s="32">
        <f t="shared" si="3"/>
        <v>8.1964196760744734E-2</v>
      </c>
    </row>
    <row r="205" spans="1:3" x14ac:dyDescent="0.6">
      <c r="A205" s="24">
        <v>29864</v>
      </c>
      <c r="B205" s="23">
        <v>0.24839900000000001</v>
      </c>
      <c r="C205" s="32">
        <f t="shared" si="3"/>
        <v>3.0303658754090801E-2</v>
      </c>
    </row>
    <row r="206" spans="1:3" x14ac:dyDescent="0.6">
      <c r="A206" s="24">
        <v>29865</v>
      </c>
      <c r="B206" s="23">
        <v>0.24657299999999999</v>
      </c>
      <c r="C206" s="32">
        <f t="shared" si="3"/>
        <v>-7.3510762925778073E-3</v>
      </c>
    </row>
    <row r="207" spans="1:3" x14ac:dyDescent="0.6">
      <c r="A207" s="24">
        <v>29866</v>
      </c>
      <c r="B207" s="23">
        <v>0.261185</v>
      </c>
      <c r="C207" s="32">
        <f t="shared" si="3"/>
        <v>5.926034075101505E-2</v>
      </c>
    </row>
    <row r="208" spans="1:3" x14ac:dyDescent="0.6">
      <c r="A208" s="24">
        <v>29867</v>
      </c>
      <c r="B208" s="23">
        <v>0.27031699999999997</v>
      </c>
      <c r="C208" s="32">
        <f t="shared" si="3"/>
        <v>3.4963723031567584E-2</v>
      </c>
    </row>
    <row r="209" spans="1:3" x14ac:dyDescent="0.6">
      <c r="A209" s="24">
        <v>29868</v>
      </c>
      <c r="B209" s="23">
        <v>0.27214300000000002</v>
      </c>
      <c r="C209" s="32">
        <f t="shared" si="3"/>
        <v>6.7550320549578657E-3</v>
      </c>
    </row>
    <row r="210" spans="1:3" x14ac:dyDescent="0.6">
      <c r="A210" s="24">
        <v>29871</v>
      </c>
      <c r="B210" s="23">
        <v>0.28127600000000003</v>
      </c>
      <c r="C210" s="32">
        <f t="shared" si="3"/>
        <v>3.3559562435925283E-2</v>
      </c>
    </row>
    <row r="211" spans="1:3" x14ac:dyDescent="0.6">
      <c r="A211" s="24">
        <v>29872</v>
      </c>
      <c r="B211" s="23">
        <v>0.28127600000000003</v>
      </c>
      <c r="C211" s="32">
        <f t="shared" si="3"/>
        <v>0</v>
      </c>
    </row>
    <row r="212" spans="1:3" x14ac:dyDescent="0.6">
      <c r="A212" s="24">
        <v>29873</v>
      </c>
      <c r="B212" s="23">
        <v>0.26483800000000002</v>
      </c>
      <c r="C212" s="32">
        <f t="shared" si="3"/>
        <v>-5.8440819693112878E-2</v>
      </c>
    </row>
    <row r="213" spans="1:3" x14ac:dyDescent="0.6">
      <c r="A213" s="24">
        <v>29874</v>
      </c>
      <c r="B213" s="23">
        <v>0.27031699999999997</v>
      </c>
      <c r="C213" s="32">
        <f t="shared" si="3"/>
        <v>2.0688118774495834E-2</v>
      </c>
    </row>
    <row r="214" spans="1:3" x14ac:dyDescent="0.6">
      <c r="A214" s="24">
        <v>29875</v>
      </c>
      <c r="B214" s="23">
        <v>0.26666400000000001</v>
      </c>
      <c r="C214" s="32">
        <f t="shared" si="3"/>
        <v>-1.351376347029587E-2</v>
      </c>
    </row>
    <row r="215" spans="1:3" x14ac:dyDescent="0.6">
      <c r="A215" s="24">
        <v>29878</v>
      </c>
      <c r="B215" s="23">
        <v>0.27214300000000002</v>
      </c>
      <c r="C215" s="32">
        <f t="shared" si="3"/>
        <v>2.0546455464554692E-2</v>
      </c>
    </row>
    <row r="216" spans="1:3" x14ac:dyDescent="0.6">
      <c r="A216" s="24">
        <v>29879</v>
      </c>
      <c r="B216" s="23">
        <v>0.28675499999999998</v>
      </c>
      <c r="C216" s="32">
        <f t="shared" si="3"/>
        <v>5.369236026647739E-2</v>
      </c>
    </row>
    <row r="217" spans="1:3" x14ac:dyDescent="0.6">
      <c r="A217" s="24">
        <v>29880</v>
      </c>
      <c r="B217" s="23">
        <v>0.28675499999999998</v>
      </c>
      <c r="C217" s="32">
        <f t="shared" si="3"/>
        <v>0</v>
      </c>
    </row>
    <row r="218" spans="1:3" x14ac:dyDescent="0.6">
      <c r="A218" s="24">
        <v>29881</v>
      </c>
      <c r="B218" s="23">
        <v>0.28492899999999999</v>
      </c>
      <c r="C218" s="32">
        <f t="shared" si="3"/>
        <v>-6.3678052693065812E-3</v>
      </c>
    </row>
    <row r="219" spans="1:3" x14ac:dyDescent="0.6">
      <c r="A219" s="24">
        <v>29882</v>
      </c>
      <c r="B219" s="23">
        <v>0.27762300000000001</v>
      </c>
      <c r="C219" s="32">
        <f t="shared" si="3"/>
        <v>-2.5641475595674645E-2</v>
      </c>
    </row>
    <row r="220" spans="1:3" x14ac:dyDescent="0.6">
      <c r="A220" s="24">
        <v>29885</v>
      </c>
      <c r="B220" s="23">
        <v>0.27762300000000001</v>
      </c>
      <c r="C220" s="32">
        <f t="shared" si="3"/>
        <v>0</v>
      </c>
    </row>
    <row r="221" spans="1:3" x14ac:dyDescent="0.6">
      <c r="A221" s="24">
        <v>29886</v>
      </c>
      <c r="B221" s="23">
        <v>0.28310200000000002</v>
      </c>
      <c r="C221" s="32">
        <f t="shared" si="3"/>
        <v>1.9735396562964969E-2</v>
      </c>
    </row>
    <row r="222" spans="1:3" x14ac:dyDescent="0.6">
      <c r="A222" s="24">
        <v>29887</v>
      </c>
      <c r="B222" s="23">
        <v>0.29223399999999999</v>
      </c>
      <c r="C222" s="32">
        <f t="shared" si="3"/>
        <v>3.2256925065877295E-2</v>
      </c>
    </row>
    <row r="223" spans="1:3" x14ac:dyDescent="0.6">
      <c r="A223" s="24">
        <v>29888</v>
      </c>
      <c r="B223" s="23">
        <v>0.28858099999999998</v>
      </c>
      <c r="C223" s="32">
        <f t="shared" si="3"/>
        <v>-1.2500256643648622E-2</v>
      </c>
    </row>
    <row r="224" spans="1:3" x14ac:dyDescent="0.6">
      <c r="A224" s="24">
        <v>29889</v>
      </c>
      <c r="B224" s="23">
        <v>0.29223399999999999</v>
      </c>
      <c r="C224" s="32">
        <f t="shared" si="3"/>
        <v>1.2658491030248076E-2</v>
      </c>
    </row>
    <row r="225" spans="1:3" x14ac:dyDescent="0.6">
      <c r="A225" s="24">
        <v>29892</v>
      </c>
      <c r="B225" s="23">
        <v>0.29223399999999999</v>
      </c>
      <c r="C225" s="32">
        <f t="shared" si="3"/>
        <v>0</v>
      </c>
    </row>
    <row r="226" spans="1:3" x14ac:dyDescent="0.6">
      <c r="A226" s="24">
        <v>29893</v>
      </c>
      <c r="B226" s="23">
        <v>0.28858099999999998</v>
      </c>
      <c r="C226" s="32">
        <f t="shared" si="3"/>
        <v>-1.2500256643648622E-2</v>
      </c>
    </row>
    <row r="227" spans="1:3" x14ac:dyDescent="0.6">
      <c r="A227" s="24">
        <v>29894</v>
      </c>
      <c r="B227" s="23">
        <v>0.28127600000000003</v>
      </c>
      <c r="C227" s="32">
        <f t="shared" si="3"/>
        <v>-2.5313516828897042E-2</v>
      </c>
    </row>
    <row r="228" spans="1:3" x14ac:dyDescent="0.6">
      <c r="A228" s="24">
        <v>29895</v>
      </c>
      <c r="B228" s="23">
        <v>0.261185</v>
      </c>
      <c r="C228" s="32">
        <f t="shared" si="3"/>
        <v>-7.1428063539015096E-2</v>
      </c>
    </row>
    <row r="229" spans="1:3" x14ac:dyDescent="0.6">
      <c r="A229" s="24">
        <v>29896</v>
      </c>
      <c r="B229" s="23">
        <v>0.26301099999999999</v>
      </c>
      <c r="C229" s="32">
        <f t="shared" si="3"/>
        <v>6.9912131247966691E-3</v>
      </c>
    </row>
    <row r="230" spans="1:3" x14ac:dyDescent="0.6">
      <c r="A230" s="24">
        <v>29899</v>
      </c>
      <c r="B230" s="23">
        <v>0.26666400000000001</v>
      </c>
      <c r="C230" s="32">
        <f t="shared" si="3"/>
        <v>1.3889152925162795E-2</v>
      </c>
    </row>
    <row r="231" spans="1:3" x14ac:dyDescent="0.6">
      <c r="A231" s="24">
        <v>29900</v>
      </c>
      <c r="B231" s="23">
        <v>0.26849000000000001</v>
      </c>
      <c r="C231" s="32">
        <f t="shared" si="3"/>
        <v>6.8475684756847954E-3</v>
      </c>
    </row>
    <row r="232" spans="1:3" x14ac:dyDescent="0.6">
      <c r="A232" s="24">
        <v>29901</v>
      </c>
      <c r="B232" s="23">
        <v>0.27579599999999999</v>
      </c>
      <c r="C232" s="32">
        <f t="shared" si="3"/>
        <v>2.7211441766918698E-2</v>
      </c>
    </row>
    <row r="233" spans="1:3" x14ac:dyDescent="0.6">
      <c r="A233" s="24">
        <v>29902</v>
      </c>
      <c r="B233" s="23">
        <v>0.28492899999999999</v>
      </c>
      <c r="C233" s="32">
        <f t="shared" si="3"/>
        <v>3.3115056055925463E-2</v>
      </c>
    </row>
    <row r="234" spans="1:3" x14ac:dyDescent="0.6">
      <c r="A234" s="24">
        <v>29903</v>
      </c>
      <c r="B234" s="23">
        <v>0.26483800000000002</v>
      </c>
      <c r="C234" s="32">
        <f t="shared" si="3"/>
        <v>-7.0512303064974025E-2</v>
      </c>
    </row>
    <row r="235" spans="1:3" x14ac:dyDescent="0.6">
      <c r="A235" s="24">
        <v>29906</v>
      </c>
      <c r="B235" s="23">
        <v>0.261185</v>
      </c>
      <c r="C235" s="32">
        <f t="shared" si="3"/>
        <v>-1.3793337814060003E-2</v>
      </c>
    </row>
    <row r="236" spans="1:3" x14ac:dyDescent="0.6">
      <c r="A236" s="24">
        <v>29907</v>
      </c>
      <c r="B236" s="23">
        <v>0.26666400000000001</v>
      </c>
      <c r="C236" s="32">
        <f t="shared" si="3"/>
        <v>2.0977468078182238E-2</v>
      </c>
    </row>
    <row r="237" spans="1:3" x14ac:dyDescent="0.6">
      <c r="A237" s="24">
        <v>29908</v>
      </c>
      <c r="B237" s="23">
        <v>0.27579599999999999</v>
      </c>
      <c r="C237" s="32">
        <f t="shared" si="3"/>
        <v>3.4245342453424366E-2</v>
      </c>
    </row>
    <row r="238" spans="1:3" x14ac:dyDescent="0.6">
      <c r="A238" s="24">
        <v>29909</v>
      </c>
      <c r="B238" s="23">
        <v>0.27579599999999999</v>
      </c>
      <c r="C238" s="32">
        <f t="shared" si="3"/>
        <v>0</v>
      </c>
    </row>
    <row r="239" spans="1:3" x14ac:dyDescent="0.6">
      <c r="A239" s="24">
        <v>29910</v>
      </c>
      <c r="B239" s="23">
        <v>0.27762300000000001</v>
      </c>
      <c r="C239" s="32">
        <f t="shared" si="3"/>
        <v>6.6244615585433486E-3</v>
      </c>
    </row>
    <row r="240" spans="1:3" x14ac:dyDescent="0.6">
      <c r="A240" s="24">
        <v>29913</v>
      </c>
      <c r="B240" s="23">
        <v>0.26483800000000002</v>
      </c>
      <c r="C240" s="32">
        <f t="shared" si="3"/>
        <v>-4.6051659984943538E-2</v>
      </c>
    </row>
    <row r="241" spans="1:3" x14ac:dyDescent="0.6">
      <c r="A241" s="24">
        <v>29914</v>
      </c>
      <c r="B241" s="23">
        <v>0.26301099999999999</v>
      </c>
      <c r="C241" s="32">
        <f t="shared" si="3"/>
        <v>-6.8985568536238384E-3</v>
      </c>
    </row>
    <row r="242" spans="1:3" x14ac:dyDescent="0.6">
      <c r="A242" s="24">
        <v>29915</v>
      </c>
      <c r="B242" s="23">
        <v>0.26849000000000001</v>
      </c>
      <c r="C242" s="32">
        <f t="shared" si="3"/>
        <v>2.0831828326572044E-2</v>
      </c>
    </row>
    <row r="243" spans="1:3" x14ac:dyDescent="0.6">
      <c r="A243" s="24">
        <v>29917</v>
      </c>
      <c r="B243" s="23">
        <v>0.27579599999999999</v>
      </c>
      <c r="C243" s="32">
        <f t="shared" si="3"/>
        <v>2.7211441766918698E-2</v>
      </c>
    </row>
    <row r="244" spans="1:3" x14ac:dyDescent="0.6">
      <c r="A244" s="24">
        <v>29920</v>
      </c>
      <c r="B244" s="23">
        <v>0.27214300000000002</v>
      </c>
      <c r="C244" s="32">
        <f t="shared" si="3"/>
        <v>-1.3245297248690946E-2</v>
      </c>
    </row>
    <row r="245" spans="1:3" x14ac:dyDescent="0.6">
      <c r="A245" s="24">
        <v>29921</v>
      </c>
      <c r="B245" s="23">
        <v>0.27214300000000002</v>
      </c>
      <c r="C245" s="32">
        <f t="shared" si="3"/>
        <v>0</v>
      </c>
    </row>
    <row r="246" spans="1:3" x14ac:dyDescent="0.6">
      <c r="A246" s="24">
        <v>29922</v>
      </c>
      <c r="B246" s="23">
        <v>0.27396999999999999</v>
      </c>
      <c r="C246" s="32">
        <f t="shared" si="3"/>
        <v>6.7133823026863659E-3</v>
      </c>
    </row>
    <row r="247" spans="1:3" x14ac:dyDescent="0.6">
      <c r="A247" s="24">
        <v>29923</v>
      </c>
      <c r="B247" s="23">
        <v>0.27031699999999997</v>
      </c>
      <c r="C247" s="32">
        <f t="shared" si="3"/>
        <v>-1.3333576668978386E-2</v>
      </c>
    </row>
    <row r="248" spans="1:3" x14ac:dyDescent="0.6">
      <c r="A248" s="24">
        <v>29924</v>
      </c>
      <c r="B248" s="23">
        <v>0.27762300000000001</v>
      </c>
      <c r="C248" s="32">
        <f t="shared" si="3"/>
        <v>2.7027526940592184E-2</v>
      </c>
    </row>
    <row r="249" spans="1:3" x14ac:dyDescent="0.6">
      <c r="A249" s="24">
        <v>29927</v>
      </c>
      <c r="B249" s="23">
        <v>0.279449</v>
      </c>
      <c r="C249" s="32">
        <f t="shared" si="3"/>
        <v>6.5772648519755172E-3</v>
      </c>
    </row>
    <row r="250" spans="1:3" x14ac:dyDescent="0.6">
      <c r="A250" s="24">
        <v>29928</v>
      </c>
      <c r="B250" s="23">
        <v>0.27396999999999999</v>
      </c>
      <c r="C250" s="32">
        <f t="shared" si="3"/>
        <v>-1.9606439815494148E-2</v>
      </c>
    </row>
    <row r="251" spans="1:3" x14ac:dyDescent="0.6">
      <c r="A251" s="24">
        <v>29929</v>
      </c>
      <c r="B251" s="23">
        <v>0.27579599999999999</v>
      </c>
      <c r="C251" s="32">
        <f t="shared" si="3"/>
        <v>6.6649633171513845E-3</v>
      </c>
    </row>
    <row r="252" spans="1:3" x14ac:dyDescent="0.6">
      <c r="A252" s="24">
        <v>29930</v>
      </c>
      <c r="B252" s="23">
        <v>0.27579599999999999</v>
      </c>
      <c r="C252" s="32">
        <f t="shared" si="3"/>
        <v>0</v>
      </c>
    </row>
    <row r="253" spans="1:3" x14ac:dyDescent="0.6">
      <c r="A253" s="24">
        <v>29931</v>
      </c>
      <c r="B253" s="23">
        <v>0.27396999999999999</v>
      </c>
      <c r="C253" s="32">
        <f t="shared" si="3"/>
        <v>-6.6208356901478194E-3</v>
      </c>
    </row>
    <row r="254" spans="1:3" x14ac:dyDescent="0.6">
      <c r="A254" s="24">
        <v>29934</v>
      </c>
      <c r="B254" s="23">
        <v>0.26483800000000002</v>
      </c>
      <c r="C254" s="32">
        <f t="shared" si="3"/>
        <v>-3.3332116655108157E-2</v>
      </c>
    </row>
    <row r="255" spans="1:3" x14ac:dyDescent="0.6">
      <c r="A255" s="24">
        <v>29935</v>
      </c>
      <c r="B255" s="23">
        <v>0.27214300000000002</v>
      </c>
      <c r="C255" s="32">
        <f t="shared" si="3"/>
        <v>2.7582899734932331E-2</v>
      </c>
    </row>
    <row r="256" spans="1:3" x14ac:dyDescent="0.6">
      <c r="A256" s="24">
        <v>29936</v>
      </c>
      <c r="B256" s="23">
        <v>0.28492899999999999</v>
      </c>
      <c r="C256" s="32">
        <f t="shared" si="3"/>
        <v>4.698265250254452E-2</v>
      </c>
    </row>
    <row r="257" spans="1:3" x14ac:dyDescent="0.6">
      <c r="A257" s="24">
        <v>29937</v>
      </c>
      <c r="B257" s="23">
        <v>0.30867299999999998</v>
      </c>
      <c r="C257" s="32">
        <f t="shared" si="3"/>
        <v>8.3333040862811458E-2</v>
      </c>
    </row>
    <row r="258" spans="1:3" x14ac:dyDescent="0.6">
      <c r="A258" s="24">
        <v>29938</v>
      </c>
      <c r="B258" s="23">
        <v>0.33424300000000001</v>
      </c>
      <c r="C258" s="32">
        <f t="shared" si="3"/>
        <v>8.2838473076686459E-2</v>
      </c>
    </row>
    <row r="259" spans="1:3" x14ac:dyDescent="0.6">
      <c r="A259" s="24">
        <v>29941</v>
      </c>
      <c r="B259" s="23">
        <v>0.319631</v>
      </c>
      <c r="C259" s="32">
        <f t="shared" si="3"/>
        <v>-4.3716697133522664E-2</v>
      </c>
    </row>
    <row r="260" spans="1:3" x14ac:dyDescent="0.6">
      <c r="A260" s="24">
        <v>29942</v>
      </c>
      <c r="B260" s="23">
        <v>0.32511099999999998</v>
      </c>
      <c r="C260" s="32">
        <f t="shared" ref="C260:C323" si="4">B260/B259-1</f>
        <v>1.7144770062978765E-2</v>
      </c>
    </row>
    <row r="261" spans="1:3" x14ac:dyDescent="0.6">
      <c r="A261" s="24">
        <v>29943</v>
      </c>
      <c r="B261" s="23">
        <v>0.317805</v>
      </c>
      <c r="C261" s="32">
        <f t="shared" si="4"/>
        <v>-2.2472324836747992E-2</v>
      </c>
    </row>
    <row r="262" spans="1:3" x14ac:dyDescent="0.6">
      <c r="A262" s="24">
        <v>29944</v>
      </c>
      <c r="B262" s="23">
        <v>0.319631</v>
      </c>
      <c r="C262" s="32">
        <f t="shared" si="4"/>
        <v>5.7456616478657185E-3</v>
      </c>
    </row>
    <row r="263" spans="1:3" x14ac:dyDescent="0.6">
      <c r="A263" s="24">
        <v>29948</v>
      </c>
      <c r="B263" s="23">
        <v>0.30502000000000001</v>
      </c>
      <c r="C263" s="32">
        <f t="shared" si="4"/>
        <v>-4.5712086750033576E-2</v>
      </c>
    </row>
    <row r="264" spans="1:3" x14ac:dyDescent="0.6">
      <c r="A264" s="24">
        <v>29949</v>
      </c>
      <c r="B264" s="23">
        <v>0.31049900000000002</v>
      </c>
      <c r="C264" s="32">
        <f t="shared" si="4"/>
        <v>1.7962756540554681E-2</v>
      </c>
    </row>
    <row r="265" spans="1:3" x14ac:dyDescent="0.6">
      <c r="A265" s="24">
        <v>29950</v>
      </c>
      <c r="B265" s="23">
        <v>0.32328400000000002</v>
      </c>
      <c r="C265" s="32">
        <f t="shared" si="4"/>
        <v>4.1175655960244528E-2</v>
      </c>
    </row>
    <row r="266" spans="1:3" x14ac:dyDescent="0.6">
      <c r="A266" s="24">
        <v>29951</v>
      </c>
      <c r="B266" s="23">
        <v>0.32328400000000002</v>
      </c>
      <c r="C266" s="32">
        <f t="shared" si="4"/>
        <v>0</v>
      </c>
    </row>
    <row r="267" spans="1:3" x14ac:dyDescent="0.6">
      <c r="A267" s="24">
        <v>29955</v>
      </c>
      <c r="B267" s="23">
        <v>0.32145800000000002</v>
      </c>
      <c r="C267" s="32">
        <f t="shared" si="4"/>
        <v>-5.6482844805186838E-3</v>
      </c>
    </row>
    <row r="268" spans="1:3" x14ac:dyDescent="0.6">
      <c r="A268" s="24">
        <v>29956</v>
      </c>
      <c r="B268" s="23">
        <v>0.30502000000000001</v>
      </c>
      <c r="C268" s="32">
        <f t="shared" si="4"/>
        <v>-5.1135762681283392E-2</v>
      </c>
    </row>
    <row r="269" spans="1:3" x14ac:dyDescent="0.6">
      <c r="A269" s="24">
        <v>29957</v>
      </c>
      <c r="B269" s="23">
        <v>0.301367</v>
      </c>
      <c r="C269" s="32">
        <f t="shared" si="4"/>
        <v>-1.1976263851550817E-2</v>
      </c>
    </row>
    <row r="270" spans="1:3" x14ac:dyDescent="0.6">
      <c r="A270" s="24">
        <v>29958</v>
      </c>
      <c r="B270" s="23">
        <v>0.27762300000000001</v>
      </c>
      <c r="C270" s="32">
        <f t="shared" si="4"/>
        <v>-7.8787657573656023E-2</v>
      </c>
    </row>
    <row r="271" spans="1:3" x14ac:dyDescent="0.6">
      <c r="A271" s="24">
        <v>29959</v>
      </c>
      <c r="B271" s="23">
        <v>0.290408</v>
      </c>
      <c r="C271" s="32">
        <f t="shared" si="4"/>
        <v>4.6051659984943649E-2</v>
      </c>
    </row>
    <row r="272" spans="1:3" x14ac:dyDescent="0.6">
      <c r="A272" s="24">
        <v>29962</v>
      </c>
      <c r="B272" s="23">
        <v>0.27214300000000002</v>
      </c>
      <c r="C272" s="32">
        <f t="shared" si="4"/>
        <v>-6.2894272885044455E-2</v>
      </c>
    </row>
    <row r="273" spans="1:3" x14ac:dyDescent="0.6">
      <c r="A273" s="24">
        <v>29963</v>
      </c>
      <c r="B273" s="23">
        <v>0.26301099999999999</v>
      </c>
      <c r="C273" s="32">
        <f t="shared" si="4"/>
        <v>-3.3555887897171788E-2</v>
      </c>
    </row>
    <row r="274" spans="1:3" x14ac:dyDescent="0.6">
      <c r="A274" s="24">
        <v>29964</v>
      </c>
      <c r="B274" s="23">
        <v>0.261185</v>
      </c>
      <c r="C274" s="32">
        <f t="shared" si="4"/>
        <v>-6.9426754014090264E-3</v>
      </c>
    </row>
    <row r="275" spans="1:3" x14ac:dyDescent="0.6">
      <c r="A275" s="24">
        <v>29965</v>
      </c>
      <c r="B275" s="23">
        <v>0.27396999999999999</v>
      </c>
      <c r="C275" s="32">
        <f t="shared" si="4"/>
        <v>4.8949977984953152E-2</v>
      </c>
    </row>
    <row r="276" spans="1:3" x14ac:dyDescent="0.6">
      <c r="A276" s="24">
        <v>29966</v>
      </c>
      <c r="B276" s="23">
        <v>0.29223399999999999</v>
      </c>
      <c r="C276" s="32">
        <f t="shared" si="4"/>
        <v>6.6664233310216536E-2</v>
      </c>
    </row>
    <row r="277" spans="1:3" x14ac:dyDescent="0.6">
      <c r="A277" s="24">
        <v>29969</v>
      </c>
      <c r="B277" s="23">
        <v>0.29771399999999998</v>
      </c>
      <c r="C277" s="32">
        <f t="shared" si="4"/>
        <v>1.8752095923129986E-2</v>
      </c>
    </row>
    <row r="278" spans="1:3" x14ac:dyDescent="0.6">
      <c r="A278" s="24">
        <v>29970</v>
      </c>
      <c r="B278" s="23">
        <v>0.290408</v>
      </c>
      <c r="C278" s="32">
        <f t="shared" si="4"/>
        <v>-2.4540330652908393E-2</v>
      </c>
    </row>
    <row r="279" spans="1:3" x14ac:dyDescent="0.6">
      <c r="A279" s="24">
        <v>29971</v>
      </c>
      <c r="B279" s="23">
        <v>0.29588700000000001</v>
      </c>
      <c r="C279" s="32">
        <f t="shared" si="4"/>
        <v>1.8866560149858103E-2</v>
      </c>
    </row>
    <row r="280" spans="1:3" x14ac:dyDescent="0.6">
      <c r="A280" s="24">
        <v>29972</v>
      </c>
      <c r="B280" s="23">
        <v>0.301367</v>
      </c>
      <c r="C280" s="32">
        <f t="shared" si="4"/>
        <v>1.8520583871545426E-2</v>
      </c>
    </row>
    <row r="281" spans="1:3" x14ac:dyDescent="0.6">
      <c r="A281" s="24">
        <v>29973</v>
      </c>
      <c r="B281" s="23">
        <v>0.30319299999999999</v>
      </c>
      <c r="C281" s="32">
        <f t="shared" si="4"/>
        <v>6.0590575610468544E-3</v>
      </c>
    </row>
    <row r="282" spans="1:3" x14ac:dyDescent="0.6">
      <c r="A282" s="24">
        <v>29976</v>
      </c>
      <c r="B282" s="23">
        <v>0.29406100000000002</v>
      </c>
      <c r="C282" s="32">
        <f t="shared" si="4"/>
        <v>-3.0119428878634946E-2</v>
      </c>
    </row>
    <row r="283" spans="1:3" x14ac:dyDescent="0.6">
      <c r="A283" s="24">
        <v>29977</v>
      </c>
      <c r="B283" s="23">
        <v>0.28310200000000002</v>
      </c>
      <c r="C283" s="32">
        <f t="shared" si="4"/>
        <v>-3.7267777773999256E-2</v>
      </c>
    </row>
    <row r="284" spans="1:3" x14ac:dyDescent="0.6">
      <c r="A284" s="24">
        <v>29978</v>
      </c>
      <c r="B284" s="23">
        <v>0.28492899999999999</v>
      </c>
      <c r="C284" s="32">
        <f t="shared" si="4"/>
        <v>6.4535043906435163E-3</v>
      </c>
    </row>
    <row r="285" spans="1:3" x14ac:dyDescent="0.6">
      <c r="A285" s="24">
        <v>29979</v>
      </c>
      <c r="B285" s="23">
        <v>0.29406100000000002</v>
      </c>
      <c r="C285" s="32">
        <f t="shared" si="4"/>
        <v>3.2050089671462167E-2</v>
      </c>
    </row>
    <row r="286" spans="1:3" x14ac:dyDescent="0.6">
      <c r="A286" s="24">
        <v>29980</v>
      </c>
      <c r="B286" s="23">
        <v>0.29771399999999998</v>
      </c>
      <c r="C286" s="32">
        <f t="shared" si="4"/>
        <v>1.2422592591333048E-2</v>
      </c>
    </row>
    <row r="287" spans="1:3" x14ac:dyDescent="0.6">
      <c r="A287" s="24">
        <v>29983</v>
      </c>
      <c r="B287" s="23">
        <v>0.29406100000000002</v>
      </c>
      <c r="C287" s="32">
        <f t="shared" si="4"/>
        <v>-1.2270165326454086E-2</v>
      </c>
    </row>
    <row r="288" spans="1:3" x14ac:dyDescent="0.6">
      <c r="A288" s="24">
        <v>29984</v>
      </c>
      <c r="B288" s="23">
        <v>0.29588700000000001</v>
      </c>
      <c r="C288" s="32">
        <f t="shared" si="4"/>
        <v>6.209595968183379E-3</v>
      </c>
    </row>
    <row r="289" spans="1:3" x14ac:dyDescent="0.6">
      <c r="A289" s="24">
        <v>29985</v>
      </c>
      <c r="B289" s="23">
        <v>0.29588700000000001</v>
      </c>
      <c r="C289" s="32">
        <f t="shared" si="4"/>
        <v>0</v>
      </c>
    </row>
    <row r="290" spans="1:3" x14ac:dyDescent="0.6">
      <c r="A290" s="24">
        <v>29986</v>
      </c>
      <c r="B290" s="23">
        <v>0.28858099999999998</v>
      </c>
      <c r="C290" s="32">
        <f t="shared" si="4"/>
        <v>-2.4691858716334392E-2</v>
      </c>
    </row>
    <row r="291" spans="1:3" x14ac:dyDescent="0.6">
      <c r="A291" s="24">
        <v>29987</v>
      </c>
      <c r="B291" s="23">
        <v>0.28858099999999998</v>
      </c>
      <c r="C291" s="32">
        <f t="shared" si="4"/>
        <v>0</v>
      </c>
    </row>
    <row r="292" spans="1:3" x14ac:dyDescent="0.6">
      <c r="A292" s="24">
        <v>29990</v>
      </c>
      <c r="B292" s="23">
        <v>0.27031699999999997</v>
      </c>
      <c r="C292" s="32">
        <f t="shared" si="4"/>
        <v>-6.328898991964127E-2</v>
      </c>
    </row>
    <row r="293" spans="1:3" x14ac:dyDescent="0.6">
      <c r="A293" s="24">
        <v>29991</v>
      </c>
      <c r="B293" s="23">
        <v>0.27031699999999997</v>
      </c>
      <c r="C293" s="32">
        <f t="shared" si="4"/>
        <v>0</v>
      </c>
    </row>
    <row r="294" spans="1:3" x14ac:dyDescent="0.6">
      <c r="A294" s="24">
        <v>29992</v>
      </c>
      <c r="B294" s="23">
        <v>0.27396999999999999</v>
      </c>
      <c r="C294" s="32">
        <f t="shared" si="4"/>
        <v>1.3513763470295981E-2</v>
      </c>
    </row>
    <row r="295" spans="1:3" x14ac:dyDescent="0.6">
      <c r="A295" s="24">
        <v>29993</v>
      </c>
      <c r="B295" s="23">
        <v>0.27031699999999997</v>
      </c>
      <c r="C295" s="32">
        <f t="shared" si="4"/>
        <v>-1.3333576668978386E-2</v>
      </c>
    </row>
    <row r="296" spans="1:3" x14ac:dyDescent="0.6">
      <c r="A296" s="24">
        <v>29994</v>
      </c>
      <c r="B296" s="23">
        <v>0.27396999999999999</v>
      </c>
      <c r="C296" s="32">
        <f t="shared" si="4"/>
        <v>1.3513763470295981E-2</v>
      </c>
    </row>
    <row r="297" spans="1:3" x14ac:dyDescent="0.6">
      <c r="A297" s="24">
        <v>29998</v>
      </c>
      <c r="B297" s="23">
        <v>0.26849000000000001</v>
      </c>
      <c r="C297" s="32">
        <f t="shared" si="4"/>
        <v>-2.0002190020805166E-2</v>
      </c>
    </row>
    <row r="298" spans="1:3" x14ac:dyDescent="0.6">
      <c r="A298" s="24">
        <v>29999</v>
      </c>
      <c r="B298" s="23">
        <v>0.27214300000000002</v>
      </c>
      <c r="C298" s="32">
        <f t="shared" si="4"/>
        <v>1.360572088345946E-2</v>
      </c>
    </row>
    <row r="299" spans="1:3" x14ac:dyDescent="0.6">
      <c r="A299" s="24">
        <v>30000</v>
      </c>
      <c r="B299" s="23">
        <v>0.27579599999999999</v>
      </c>
      <c r="C299" s="32">
        <f t="shared" si="4"/>
        <v>1.3423090066619237E-2</v>
      </c>
    </row>
    <row r="300" spans="1:3" x14ac:dyDescent="0.6">
      <c r="A300" s="24">
        <v>30001</v>
      </c>
      <c r="B300" s="23">
        <v>0.27396999999999999</v>
      </c>
      <c r="C300" s="32">
        <f t="shared" si="4"/>
        <v>-6.6208356901478194E-3</v>
      </c>
    </row>
    <row r="301" spans="1:3" x14ac:dyDescent="0.6">
      <c r="A301" s="24">
        <v>30004</v>
      </c>
      <c r="B301" s="23">
        <v>0.27031699999999997</v>
      </c>
      <c r="C301" s="32">
        <f t="shared" si="4"/>
        <v>-1.3333576668978386E-2</v>
      </c>
    </row>
    <row r="302" spans="1:3" x14ac:dyDescent="0.6">
      <c r="A302" s="24">
        <v>30005</v>
      </c>
      <c r="B302" s="23">
        <v>0.26666400000000001</v>
      </c>
      <c r="C302" s="32">
        <f t="shared" si="4"/>
        <v>-1.351376347029587E-2</v>
      </c>
    </row>
    <row r="303" spans="1:3" x14ac:dyDescent="0.6">
      <c r="A303" s="24">
        <v>30006</v>
      </c>
      <c r="B303" s="23">
        <v>0.26849000000000001</v>
      </c>
      <c r="C303" s="32">
        <f t="shared" si="4"/>
        <v>6.8475684756847954E-3</v>
      </c>
    </row>
    <row r="304" spans="1:3" x14ac:dyDescent="0.6">
      <c r="A304" s="24">
        <v>30007</v>
      </c>
      <c r="B304" s="23">
        <v>0.26666400000000001</v>
      </c>
      <c r="C304" s="32">
        <f t="shared" si="4"/>
        <v>-6.8009981749785897E-3</v>
      </c>
    </row>
    <row r="305" spans="1:3" x14ac:dyDescent="0.6">
      <c r="A305" s="24">
        <v>30008</v>
      </c>
      <c r="B305" s="23">
        <v>0.26666400000000001</v>
      </c>
      <c r="C305" s="32">
        <f t="shared" si="4"/>
        <v>0</v>
      </c>
    </row>
    <row r="306" spans="1:3" x14ac:dyDescent="0.6">
      <c r="A306" s="24">
        <v>30011</v>
      </c>
      <c r="B306" s="23">
        <v>0.26849000000000001</v>
      </c>
      <c r="C306" s="32">
        <f t="shared" si="4"/>
        <v>6.8475684756847954E-3</v>
      </c>
    </row>
    <row r="307" spans="1:3" x14ac:dyDescent="0.6">
      <c r="A307" s="24">
        <v>30012</v>
      </c>
      <c r="B307" s="23">
        <v>0.26849000000000001</v>
      </c>
      <c r="C307" s="32">
        <f t="shared" si="4"/>
        <v>0</v>
      </c>
    </row>
    <row r="308" spans="1:3" x14ac:dyDescent="0.6">
      <c r="A308" s="24">
        <v>30013</v>
      </c>
      <c r="B308" s="23">
        <v>0.26849000000000001</v>
      </c>
      <c r="C308" s="32">
        <f t="shared" si="4"/>
        <v>0</v>
      </c>
    </row>
    <row r="309" spans="1:3" x14ac:dyDescent="0.6">
      <c r="A309" s="24">
        <v>30014</v>
      </c>
      <c r="B309" s="23">
        <v>0.26301099999999999</v>
      </c>
      <c r="C309" s="32">
        <f t="shared" si="4"/>
        <v>-2.0406719058437939E-2</v>
      </c>
    </row>
    <row r="310" spans="1:3" x14ac:dyDescent="0.6">
      <c r="A310" s="24">
        <v>30015</v>
      </c>
      <c r="B310" s="23">
        <v>0.24292</v>
      </c>
      <c r="C310" s="32">
        <f t="shared" si="4"/>
        <v>-7.6388440027223226E-2</v>
      </c>
    </row>
    <row r="311" spans="1:3" x14ac:dyDescent="0.6">
      <c r="A311" s="24">
        <v>30018</v>
      </c>
      <c r="B311" s="23">
        <v>0.23926700000000001</v>
      </c>
      <c r="C311" s="32">
        <f t="shared" si="4"/>
        <v>-1.5037872550633935E-2</v>
      </c>
    </row>
    <row r="312" spans="1:3" x14ac:dyDescent="0.6">
      <c r="A312" s="24">
        <v>30019</v>
      </c>
      <c r="B312" s="23">
        <v>0.241093</v>
      </c>
      <c r="C312" s="32">
        <f t="shared" si="4"/>
        <v>7.631641638838671E-3</v>
      </c>
    </row>
    <row r="313" spans="1:3" x14ac:dyDescent="0.6">
      <c r="A313" s="24">
        <v>30020</v>
      </c>
      <c r="B313" s="23">
        <v>0.23744000000000001</v>
      </c>
      <c r="C313" s="32">
        <f t="shared" si="4"/>
        <v>-1.5151829377045289E-2</v>
      </c>
    </row>
    <row r="314" spans="1:3" x14ac:dyDescent="0.6">
      <c r="A314" s="24">
        <v>30021</v>
      </c>
      <c r="B314" s="23">
        <v>0.23744000000000001</v>
      </c>
      <c r="C314" s="32">
        <f t="shared" si="4"/>
        <v>0</v>
      </c>
    </row>
    <row r="315" spans="1:3" x14ac:dyDescent="0.6">
      <c r="A315" s="24">
        <v>30022</v>
      </c>
      <c r="B315" s="23">
        <v>0.222829</v>
      </c>
      <c r="C315" s="32">
        <f t="shared" si="4"/>
        <v>-6.1535545822102522E-2</v>
      </c>
    </row>
    <row r="316" spans="1:3" x14ac:dyDescent="0.6">
      <c r="A316" s="24">
        <v>30025</v>
      </c>
      <c r="B316" s="23">
        <v>0.221002</v>
      </c>
      <c r="C316" s="32">
        <f t="shared" si="4"/>
        <v>-8.1991123237998842E-3</v>
      </c>
    </row>
    <row r="317" spans="1:3" x14ac:dyDescent="0.6">
      <c r="A317" s="24">
        <v>30026</v>
      </c>
      <c r="B317" s="23">
        <v>0.21734899999999999</v>
      </c>
      <c r="C317" s="32">
        <f t="shared" si="4"/>
        <v>-1.6529262178622939E-2</v>
      </c>
    </row>
    <row r="318" spans="1:3" x14ac:dyDescent="0.6">
      <c r="A318" s="24">
        <v>30027</v>
      </c>
      <c r="B318" s="23">
        <v>0.20639099999999999</v>
      </c>
      <c r="C318" s="32">
        <f t="shared" si="4"/>
        <v>-5.0416611072514717E-2</v>
      </c>
    </row>
    <row r="319" spans="1:3" x14ac:dyDescent="0.6">
      <c r="A319" s="24">
        <v>30028</v>
      </c>
      <c r="B319" s="23">
        <v>0.222829</v>
      </c>
      <c r="C319" s="32">
        <f t="shared" si="4"/>
        <v>7.9644945758293728E-2</v>
      </c>
    </row>
    <row r="320" spans="1:3" x14ac:dyDescent="0.6">
      <c r="A320" s="24">
        <v>30029</v>
      </c>
      <c r="B320" s="23">
        <v>0.24292</v>
      </c>
      <c r="C320" s="32">
        <f t="shared" si="4"/>
        <v>9.0163309084544618E-2</v>
      </c>
    </row>
    <row r="321" spans="1:3" x14ac:dyDescent="0.6">
      <c r="A321" s="24">
        <v>30032</v>
      </c>
      <c r="B321" s="23">
        <v>0.261185</v>
      </c>
      <c r="C321" s="32">
        <f t="shared" si="4"/>
        <v>7.5189362753169675E-2</v>
      </c>
    </row>
    <row r="322" spans="1:3" x14ac:dyDescent="0.6">
      <c r="A322" s="24">
        <v>30033</v>
      </c>
      <c r="B322" s="23">
        <v>0.25753199999999998</v>
      </c>
      <c r="C322" s="32">
        <f t="shared" si="4"/>
        <v>-1.3986254953385568E-2</v>
      </c>
    </row>
    <row r="323" spans="1:3" x14ac:dyDescent="0.6">
      <c r="A323" s="24">
        <v>30034</v>
      </c>
      <c r="B323" s="23">
        <v>0.24292</v>
      </c>
      <c r="C323" s="32">
        <f t="shared" si="4"/>
        <v>-5.6738580059953692E-2</v>
      </c>
    </row>
    <row r="324" spans="1:3" x14ac:dyDescent="0.6">
      <c r="A324" s="24">
        <v>30035</v>
      </c>
      <c r="B324" s="23">
        <v>0.241093</v>
      </c>
      <c r="C324" s="32">
        <f t="shared" ref="C324:C387" si="5">B324/B323-1</f>
        <v>-7.5209945661123268E-3</v>
      </c>
    </row>
    <row r="325" spans="1:3" x14ac:dyDescent="0.6">
      <c r="A325" s="24">
        <v>30036</v>
      </c>
      <c r="B325" s="23">
        <v>0.23744000000000001</v>
      </c>
      <c r="C325" s="32">
        <f t="shared" si="5"/>
        <v>-1.5151829377045289E-2</v>
      </c>
    </row>
    <row r="326" spans="1:3" x14ac:dyDescent="0.6">
      <c r="A326" s="24">
        <v>30039</v>
      </c>
      <c r="B326" s="23">
        <v>0.24292</v>
      </c>
      <c r="C326" s="32">
        <f t="shared" si="5"/>
        <v>2.3079514824797753E-2</v>
      </c>
    </row>
    <row r="327" spans="1:3" x14ac:dyDescent="0.6">
      <c r="A327" s="24">
        <v>30040</v>
      </c>
      <c r="B327" s="23">
        <v>0.24657299999999999</v>
      </c>
      <c r="C327" s="32">
        <f t="shared" si="5"/>
        <v>1.5037872550633935E-2</v>
      </c>
    </row>
    <row r="328" spans="1:3" x14ac:dyDescent="0.6">
      <c r="A328" s="24">
        <v>30041</v>
      </c>
      <c r="B328" s="23">
        <v>0.24657299999999999</v>
      </c>
      <c r="C328" s="32">
        <f t="shared" si="5"/>
        <v>0</v>
      </c>
    </row>
    <row r="329" spans="1:3" x14ac:dyDescent="0.6">
      <c r="A329" s="24">
        <v>30042</v>
      </c>
      <c r="B329" s="23">
        <v>0.25935799999999998</v>
      </c>
      <c r="C329" s="32">
        <f t="shared" si="5"/>
        <v>5.185077036009611E-2</v>
      </c>
    </row>
    <row r="330" spans="1:3" x14ac:dyDescent="0.6">
      <c r="A330" s="24">
        <v>30043</v>
      </c>
      <c r="B330" s="23">
        <v>0.25935799999999998</v>
      </c>
      <c r="C330" s="32">
        <f t="shared" si="5"/>
        <v>0</v>
      </c>
    </row>
    <row r="331" spans="1:3" x14ac:dyDescent="0.6">
      <c r="A331" s="24">
        <v>30046</v>
      </c>
      <c r="B331" s="23">
        <v>0.25935799999999998</v>
      </c>
      <c r="C331" s="32">
        <f t="shared" si="5"/>
        <v>0</v>
      </c>
    </row>
    <row r="332" spans="1:3" x14ac:dyDescent="0.6">
      <c r="A332" s="24">
        <v>30047</v>
      </c>
      <c r="B332" s="23">
        <v>0.25753199999999998</v>
      </c>
      <c r="C332" s="32">
        <f t="shared" si="5"/>
        <v>-7.0404614471116789E-3</v>
      </c>
    </row>
    <row r="333" spans="1:3" x14ac:dyDescent="0.6">
      <c r="A333" s="24">
        <v>30048</v>
      </c>
      <c r="B333" s="23">
        <v>0.25387900000000002</v>
      </c>
      <c r="C333" s="32">
        <f t="shared" si="5"/>
        <v>-1.4184645014988284E-2</v>
      </c>
    </row>
    <row r="334" spans="1:3" x14ac:dyDescent="0.6">
      <c r="A334" s="24">
        <v>30049</v>
      </c>
      <c r="B334" s="23">
        <v>0.25570500000000002</v>
      </c>
      <c r="C334" s="32">
        <f t="shared" si="5"/>
        <v>7.1924026800167518E-3</v>
      </c>
    </row>
    <row r="335" spans="1:3" x14ac:dyDescent="0.6">
      <c r="A335" s="24">
        <v>30053</v>
      </c>
      <c r="B335" s="23">
        <v>0.25387900000000002</v>
      </c>
      <c r="C335" s="32">
        <f t="shared" si="5"/>
        <v>-7.1410414344654782E-3</v>
      </c>
    </row>
    <row r="336" spans="1:3" x14ac:dyDescent="0.6">
      <c r="A336" s="24">
        <v>30054</v>
      </c>
      <c r="B336" s="23">
        <v>0.23378699999999999</v>
      </c>
      <c r="C336" s="32">
        <f t="shared" si="5"/>
        <v>-7.9140062785815424E-2</v>
      </c>
    </row>
    <row r="337" spans="1:3" x14ac:dyDescent="0.6">
      <c r="A337" s="24">
        <v>30055</v>
      </c>
      <c r="B337" s="23">
        <v>0.23561399999999999</v>
      </c>
      <c r="C337" s="32">
        <f t="shared" si="5"/>
        <v>7.8148057847526875E-3</v>
      </c>
    </row>
    <row r="338" spans="1:3" x14ac:dyDescent="0.6">
      <c r="A338" s="24">
        <v>30056</v>
      </c>
      <c r="B338" s="23">
        <v>0.23926700000000001</v>
      </c>
      <c r="C338" s="32">
        <f t="shared" si="5"/>
        <v>1.5504172078059986E-2</v>
      </c>
    </row>
    <row r="339" spans="1:3" x14ac:dyDescent="0.6">
      <c r="A339" s="24">
        <v>30057</v>
      </c>
      <c r="B339" s="23">
        <v>0.24657299999999999</v>
      </c>
      <c r="C339" s="32">
        <f t="shared" si="5"/>
        <v>3.0534925418047587E-2</v>
      </c>
    </row>
    <row r="340" spans="1:3" x14ac:dyDescent="0.6">
      <c r="A340" s="24">
        <v>30060</v>
      </c>
      <c r="B340" s="23">
        <v>0.241093</v>
      </c>
      <c r="C340" s="32">
        <f t="shared" si="5"/>
        <v>-2.222465557867237E-2</v>
      </c>
    </row>
    <row r="341" spans="1:3" x14ac:dyDescent="0.6">
      <c r="A341" s="24">
        <v>30061</v>
      </c>
      <c r="B341" s="23">
        <v>0.23013500000000001</v>
      </c>
      <c r="C341" s="32">
        <f t="shared" si="5"/>
        <v>-4.5451340354137226E-2</v>
      </c>
    </row>
    <row r="342" spans="1:3" x14ac:dyDescent="0.6">
      <c r="A342" s="24">
        <v>30062</v>
      </c>
      <c r="B342" s="23">
        <v>0.22830800000000001</v>
      </c>
      <c r="C342" s="32">
        <f t="shared" si="5"/>
        <v>-7.9388185195645722E-3</v>
      </c>
    </row>
    <row r="343" spans="1:3" x14ac:dyDescent="0.6">
      <c r="A343" s="24">
        <v>30063</v>
      </c>
      <c r="B343" s="23">
        <v>0.22465499999999999</v>
      </c>
      <c r="C343" s="32">
        <f t="shared" si="5"/>
        <v>-1.6000315363456474E-2</v>
      </c>
    </row>
    <row r="344" spans="1:3" x14ac:dyDescent="0.6">
      <c r="A344" s="24">
        <v>30064</v>
      </c>
      <c r="B344" s="23">
        <v>0.22465499999999999</v>
      </c>
      <c r="C344" s="32">
        <f t="shared" si="5"/>
        <v>0</v>
      </c>
    </row>
    <row r="345" spans="1:3" x14ac:dyDescent="0.6">
      <c r="A345" s="24">
        <v>30067</v>
      </c>
      <c r="B345" s="23">
        <v>0.23013500000000001</v>
      </c>
      <c r="C345" s="32">
        <f t="shared" si="5"/>
        <v>2.4392958091295602E-2</v>
      </c>
    </row>
    <row r="346" spans="1:3" x14ac:dyDescent="0.6">
      <c r="A346" s="24">
        <v>30068</v>
      </c>
      <c r="B346" s="23">
        <v>0.222829</v>
      </c>
      <c r="C346" s="32">
        <f t="shared" si="5"/>
        <v>-3.1746583527060279E-2</v>
      </c>
    </row>
    <row r="347" spans="1:3" x14ac:dyDescent="0.6">
      <c r="A347" s="24">
        <v>30069</v>
      </c>
      <c r="B347" s="23">
        <v>0.213696</v>
      </c>
      <c r="C347" s="32">
        <f t="shared" si="5"/>
        <v>-4.0986586126581348E-2</v>
      </c>
    </row>
    <row r="348" spans="1:3" x14ac:dyDescent="0.6">
      <c r="A348" s="24">
        <v>30070</v>
      </c>
      <c r="B348" s="23">
        <v>0.213696</v>
      </c>
      <c r="C348" s="32">
        <f t="shared" si="5"/>
        <v>0</v>
      </c>
    </row>
    <row r="349" spans="1:3" x14ac:dyDescent="0.6">
      <c r="A349" s="24">
        <v>30071</v>
      </c>
      <c r="B349" s="23">
        <v>0.21552299999999999</v>
      </c>
      <c r="C349" s="32">
        <f t="shared" si="5"/>
        <v>8.5495283018868218E-3</v>
      </c>
    </row>
    <row r="350" spans="1:3" x14ac:dyDescent="0.6">
      <c r="A350" s="24">
        <v>30074</v>
      </c>
      <c r="B350" s="23">
        <v>0.222829</v>
      </c>
      <c r="C350" s="32">
        <f t="shared" si="5"/>
        <v>3.3898934220477628E-2</v>
      </c>
    </row>
    <row r="351" spans="1:3" x14ac:dyDescent="0.6">
      <c r="A351" s="24">
        <v>30075</v>
      </c>
      <c r="B351" s="23">
        <v>0.23013500000000001</v>
      </c>
      <c r="C351" s="32">
        <f t="shared" si="5"/>
        <v>3.2787473802781575E-2</v>
      </c>
    </row>
    <row r="352" spans="1:3" x14ac:dyDescent="0.6">
      <c r="A352" s="24">
        <v>30076</v>
      </c>
      <c r="B352" s="23">
        <v>0.22648199999999999</v>
      </c>
      <c r="C352" s="32">
        <f t="shared" si="5"/>
        <v>-1.587329176353014E-2</v>
      </c>
    </row>
    <row r="353" spans="1:3" x14ac:dyDescent="0.6">
      <c r="A353" s="24">
        <v>30077</v>
      </c>
      <c r="B353" s="23">
        <v>0.23378699999999999</v>
      </c>
      <c r="C353" s="32">
        <f t="shared" si="5"/>
        <v>3.2254218878321472E-2</v>
      </c>
    </row>
    <row r="354" spans="1:3" x14ac:dyDescent="0.6">
      <c r="A354" s="24">
        <v>30078</v>
      </c>
      <c r="B354" s="23">
        <v>0.23744000000000001</v>
      </c>
      <c r="C354" s="32">
        <f t="shared" si="5"/>
        <v>1.562533417170342E-2</v>
      </c>
    </row>
    <row r="355" spans="1:3" x14ac:dyDescent="0.6">
      <c r="A355" s="24">
        <v>30081</v>
      </c>
      <c r="B355" s="23">
        <v>0.23378699999999999</v>
      </c>
      <c r="C355" s="32">
        <f t="shared" si="5"/>
        <v>-1.5384939353099814E-2</v>
      </c>
    </row>
    <row r="356" spans="1:3" x14ac:dyDescent="0.6">
      <c r="A356" s="24">
        <v>30082</v>
      </c>
      <c r="B356" s="23">
        <v>0.22648199999999999</v>
      </c>
      <c r="C356" s="32">
        <f t="shared" si="5"/>
        <v>-3.124639094560433E-2</v>
      </c>
    </row>
    <row r="357" spans="1:3" x14ac:dyDescent="0.6">
      <c r="A357" s="24">
        <v>30083</v>
      </c>
      <c r="B357" s="23">
        <v>0.221002</v>
      </c>
      <c r="C357" s="32">
        <f t="shared" si="5"/>
        <v>-2.4196183361150037E-2</v>
      </c>
    </row>
    <row r="358" spans="1:3" x14ac:dyDescent="0.6">
      <c r="A358" s="24">
        <v>30084</v>
      </c>
      <c r="B358" s="23">
        <v>0.222829</v>
      </c>
      <c r="C358" s="32">
        <f t="shared" si="5"/>
        <v>8.2668935122758302E-3</v>
      </c>
    </row>
    <row r="359" spans="1:3" x14ac:dyDescent="0.6">
      <c r="A359" s="24">
        <v>30085</v>
      </c>
      <c r="B359" s="23">
        <v>0.213696</v>
      </c>
      <c r="C359" s="32">
        <f t="shared" si="5"/>
        <v>-4.0986586126581348E-2</v>
      </c>
    </row>
    <row r="360" spans="1:3" x14ac:dyDescent="0.6">
      <c r="A360" s="24">
        <v>30088</v>
      </c>
      <c r="B360" s="23">
        <v>0.21004300000000001</v>
      </c>
      <c r="C360" s="32">
        <f t="shared" si="5"/>
        <v>-1.7094377058999632E-2</v>
      </c>
    </row>
    <row r="361" spans="1:3" x14ac:dyDescent="0.6">
      <c r="A361" s="24">
        <v>30089</v>
      </c>
      <c r="B361" s="23">
        <v>0.20639099999999999</v>
      </c>
      <c r="C361" s="32">
        <f t="shared" si="5"/>
        <v>-1.7386916012435583E-2</v>
      </c>
    </row>
    <row r="362" spans="1:3" x14ac:dyDescent="0.6">
      <c r="A362" s="24">
        <v>30090</v>
      </c>
      <c r="B362" s="23">
        <v>0.204564</v>
      </c>
      <c r="C362" s="32">
        <f t="shared" si="5"/>
        <v>-8.8521301800950081E-3</v>
      </c>
    </row>
    <row r="363" spans="1:3" x14ac:dyDescent="0.6">
      <c r="A363" s="24">
        <v>30091</v>
      </c>
      <c r="B363" s="23">
        <v>0.20639099999999999</v>
      </c>
      <c r="C363" s="32">
        <f t="shared" si="5"/>
        <v>8.9311902387516628E-3</v>
      </c>
    </row>
    <row r="364" spans="1:3" x14ac:dyDescent="0.6">
      <c r="A364" s="24">
        <v>30092</v>
      </c>
      <c r="B364" s="23">
        <v>0.20821700000000001</v>
      </c>
      <c r="C364" s="32">
        <f t="shared" si="5"/>
        <v>8.8472850075826948E-3</v>
      </c>
    </row>
    <row r="365" spans="1:3" x14ac:dyDescent="0.6">
      <c r="A365" s="24">
        <v>30095</v>
      </c>
      <c r="B365" s="23">
        <v>0.21004300000000001</v>
      </c>
      <c r="C365" s="32">
        <f t="shared" si="5"/>
        <v>8.769696998804033E-3</v>
      </c>
    </row>
    <row r="366" spans="1:3" x14ac:dyDescent="0.6">
      <c r="A366" s="24">
        <v>30096</v>
      </c>
      <c r="B366" s="23">
        <v>0.21004300000000001</v>
      </c>
      <c r="C366" s="32">
        <f t="shared" si="5"/>
        <v>0</v>
      </c>
    </row>
    <row r="367" spans="1:3" x14ac:dyDescent="0.6">
      <c r="A367" s="24">
        <v>30097</v>
      </c>
      <c r="B367" s="23">
        <v>0.20821700000000001</v>
      </c>
      <c r="C367" s="32">
        <f t="shared" si="5"/>
        <v>-8.6934580062177913E-3</v>
      </c>
    </row>
    <row r="368" spans="1:3" x14ac:dyDescent="0.6">
      <c r="A368" s="24">
        <v>30098</v>
      </c>
      <c r="B368" s="23">
        <v>0.204564</v>
      </c>
      <c r="C368" s="32">
        <f t="shared" si="5"/>
        <v>-1.7544196679425861E-2</v>
      </c>
    </row>
    <row r="369" spans="1:3" x14ac:dyDescent="0.6">
      <c r="A369" s="24">
        <v>30099</v>
      </c>
      <c r="B369" s="23">
        <v>0.204564</v>
      </c>
      <c r="C369" s="32">
        <f t="shared" si="5"/>
        <v>0</v>
      </c>
    </row>
    <row r="370" spans="1:3" x14ac:dyDescent="0.6">
      <c r="A370" s="24">
        <v>30103</v>
      </c>
      <c r="B370" s="23">
        <v>0.20091100000000001</v>
      </c>
      <c r="C370" s="32">
        <f t="shared" si="5"/>
        <v>-1.7857492031833511E-2</v>
      </c>
    </row>
    <row r="371" spans="1:3" x14ac:dyDescent="0.6">
      <c r="A371" s="24">
        <v>30104</v>
      </c>
      <c r="B371" s="23">
        <v>0.204564</v>
      </c>
      <c r="C371" s="32">
        <f t="shared" si="5"/>
        <v>1.818218016932871E-2</v>
      </c>
    </row>
    <row r="372" spans="1:3" x14ac:dyDescent="0.6">
      <c r="A372" s="24">
        <v>30105</v>
      </c>
      <c r="B372" s="23">
        <v>0.19725799999999999</v>
      </c>
      <c r="C372" s="32">
        <f t="shared" si="5"/>
        <v>-3.5714984063667132E-2</v>
      </c>
    </row>
    <row r="373" spans="1:3" x14ac:dyDescent="0.6">
      <c r="A373" s="24">
        <v>30106</v>
      </c>
      <c r="B373" s="23">
        <v>0.19177900000000001</v>
      </c>
      <c r="C373" s="32">
        <f t="shared" si="5"/>
        <v>-2.7775806304433659E-2</v>
      </c>
    </row>
    <row r="374" spans="1:3" x14ac:dyDescent="0.6">
      <c r="A374" s="24">
        <v>30109</v>
      </c>
      <c r="B374" s="23">
        <v>0.19177900000000001</v>
      </c>
      <c r="C374" s="32">
        <f t="shared" si="5"/>
        <v>0</v>
      </c>
    </row>
    <row r="375" spans="1:3" x14ac:dyDescent="0.6">
      <c r="A375" s="24">
        <v>30110</v>
      </c>
      <c r="B375" s="23">
        <v>0.18995200000000001</v>
      </c>
      <c r="C375" s="32">
        <f t="shared" si="5"/>
        <v>-9.5265905026097331E-3</v>
      </c>
    </row>
    <row r="376" spans="1:3" x14ac:dyDescent="0.6">
      <c r="A376" s="24">
        <v>30111</v>
      </c>
      <c r="B376" s="23">
        <v>0.18629899999999999</v>
      </c>
      <c r="C376" s="32">
        <f t="shared" si="5"/>
        <v>-1.9231174191374767E-2</v>
      </c>
    </row>
    <row r="377" spans="1:3" x14ac:dyDescent="0.6">
      <c r="A377" s="24">
        <v>30112</v>
      </c>
      <c r="B377" s="23">
        <v>0.18812599999999999</v>
      </c>
      <c r="C377" s="32">
        <f t="shared" si="5"/>
        <v>9.8068159249378173E-3</v>
      </c>
    </row>
    <row r="378" spans="1:3" x14ac:dyDescent="0.6">
      <c r="A378" s="24">
        <v>30113</v>
      </c>
      <c r="B378" s="23">
        <v>0.19543199999999999</v>
      </c>
      <c r="C378" s="32">
        <f t="shared" si="5"/>
        <v>3.8835673963194983E-2</v>
      </c>
    </row>
    <row r="379" spans="1:3" x14ac:dyDescent="0.6">
      <c r="A379" s="24">
        <v>30116</v>
      </c>
      <c r="B379" s="23">
        <v>0.19543199999999999</v>
      </c>
      <c r="C379" s="32">
        <f t="shared" si="5"/>
        <v>0</v>
      </c>
    </row>
    <row r="380" spans="1:3" x14ac:dyDescent="0.6">
      <c r="A380" s="24">
        <v>30117</v>
      </c>
      <c r="B380" s="23">
        <v>0.19543199999999999</v>
      </c>
      <c r="C380" s="32">
        <f t="shared" si="5"/>
        <v>0</v>
      </c>
    </row>
    <row r="381" spans="1:3" x14ac:dyDescent="0.6">
      <c r="A381" s="24">
        <v>30118</v>
      </c>
      <c r="B381" s="23">
        <v>0.19543199999999999</v>
      </c>
      <c r="C381" s="32">
        <f t="shared" si="5"/>
        <v>0</v>
      </c>
    </row>
    <row r="382" spans="1:3" x14ac:dyDescent="0.6">
      <c r="A382" s="24">
        <v>30119</v>
      </c>
      <c r="B382" s="23">
        <v>0.19177900000000001</v>
      </c>
      <c r="C382" s="32">
        <f t="shared" si="5"/>
        <v>-1.8691923533505239E-2</v>
      </c>
    </row>
    <row r="383" spans="1:3" x14ac:dyDescent="0.6">
      <c r="A383" s="24">
        <v>30120</v>
      </c>
      <c r="B383" s="23">
        <v>0.18812599999999999</v>
      </c>
      <c r="C383" s="32">
        <f t="shared" si="5"/>
        <v>-1.9047966669969219E-2</v>
      </c>
    </row>
    <row r="384" spans="1:3" x14ac:dyDescent="0.6">
      <c r="A384" s="24">
        <v>30123</v>
      </c>
      <c r="B384" s="23">
        <v>0.18812599999999999</v>
      </c>
      <c r="C384" s="32">
        <f t="shared" si="5"/>
        <v>0</v>
      </c>
    </row>
    <row r="385" spans="1:3" x14ac:dyDescent="0.6">
      <c r="A385" s="24">
        <v>30124</v>
      </c>
      <c r="B385" s="23">
        <v>0.19543199999999999</v>
      </c>
      <c r="C385" s="32">
        <f t="shared" si="5"/>
        <v>3.8835673963194983E-2</v>
      </c>
    </row>
    <row r="386" spans="1:3" x14ac:dyDescent="0.6">
      <c r="A386" s="24">
        <v>30125</v>
      </c>
      <c r="B386" s="23">
        <v>0.20091100000000001</v>
      </c>
      <c r="C386" s="32">
        <f t="shared" si="5"/>
        <v>2.803532686561061E-2</v>
      </c>
    </row>
    <row r="387" spans="1:3" x14ac:dyDescent="0.6">
      <c r="A387" s="24">
        <v>30126</v>
      </c>
      <c r="B387" s="23">
        <v>0.20091100000000001</v>
      </c>
      <c r="C387" s="32">
        <f t="shared" si="5"/>
        <v>0</v>
      </c>
    </row>
    <row r="388" spans="1:3" x14ac:dyDescent="0.6">
      <c r="A388" s="24">
        <v>30127</v>
      </c>
      <c r="B388" s="23">
        <v>0.193605</v>
      </c>
      <c r="C388" s="32">
        <f t="shared" ref="C388:C451" si="6">B388/B387-1</f>
        <v>-3.636436033865742E-2</v>
      </c>
    </row>
    <row r="389" spans="1:3" x14ac:dyDescent="0.6">
      <c r="A389" s="24">
        <v>30130</v>
      </c>
      <c r="B389" s="23">
        <v>0.19177900000000001</v>
      </c>
      <c r="C389" s="32">
        <f t="shared" si="6"/>
        <v>-9.431574597763448E-3</v>
      </c>
    </row>
    <row r="390" spans="1:3" x14ac:dyDescent="0.6">
      <c r="A390" s="24">
        <v>30131</v>
      </c>
      <c r="B390" s="23">
        <v>0.18629899999999999</v>
      </c>
      <c r="C390" s="32">
        <f t="shared" si="6"/>
        <v>-2.8574557172578952E-2</v>
      </c>
    </row>
    <row r="391" spans="1:3" x14ac:dyDescent="0.6">
      <c r="A391" s="24">
        <v>30132</v>
      </c>
      <c r="B391" s="23">
        <v>0.18629899999999999</v>
      </c>
      <c r="C391" s="32">
        <f t="shared" si="6"/>
        <v>0</v>
      </c>
    </row>
    <row r="392" spans="1:3" x14ac:dyDescent="0.6">
      <c r="A392" s="24">
        <v>30133</v>
      </c>
      <c r="B392" s="23">
        <v>0.184473</v>
      </c>
      <c r="C392" s="32">
        <f t="shared" si="6"/>
        <v>-9.8014482095984956E-3</v>
      </c>
    </row>
    <row r="393" spans="1:3" x14ac:dyDescent="0.6">
      <c r="A393" s="24">
        <v>30134</v>
      </c>
      <c r="B393" s="23">
        <v>0.175341</v>
      </c>
      <c r="C393" s="32">
        <f t="shared" si="6"/>
        <v>-4.9503179327055946E-2</v>
      </c>
    </row>
    <row r="394" spans="1:3" x14ac:dyDescent="0.6">
      <c r="A394" s="24">
        <v>30138</v>
      </c>
      <c r="B394" s="23">
        <v>0.16803499999999999</v>
      </c>
      <c r="C394" s="32">
        <f t="shared" si="6"/>
        <v>-4.1667379563251061E-2</v>
      </c>
    </row>
    <row r="395" spans="1:3" x14ac:dyDescent="0.6">
      <c r="A395" s="24">
        <v>30139</v>
      </c>
      <c r="B395" s="23">
        <v>0.16803499999999999</v>
      </c>
      <c r="C395" s="32">
        <f t="shared" si="6"/>
        <v>0</v>
      </c>
    </row>
    <row r="396" spans="1:3" x14ac:dyDescent="0.6">
      <c r="A396" s="24">
        <v>30140</v>
      </c>
      <c r="B396" s="23">
        <v>0.16072900000000001</v>
      </c>
      <c r="C396" s="32">
        <f t="shared" si="6"/>
        <v>-4.3479037105364826E-2</v>
      </c>
    </row>
    <row r="397" spans="1:3" x14ac:dyDescent="0.6">
      <c r="A397" s="24">
        <v>30141</v>
      </c>
      <c r="B397" s="23">
        <v>0.16620799999999999</v>
      </c>
      <c r="C397" s="32">
        <f t="shared" si="6"/>
        <v>3.4088434569990334E-2</v>
      </c>
    </row>
    <row r="398" spans="1:3" x14ac:dyDescent="0.6">
      <c r="A398" s="24">
        <v>30144</v>
      </c>
      <c r="B398" s="23">
        <v>0.16986100000000001</v>
      </c>
      <c r="C398" s="32">
        <f t="shared" si="6"/>
        <v>2.1978484790142527E-2</v>
      </c>
    </row>
    <row r="399" spans="1:3" x14ac:dyDescent="0.6">
      <c r="A399" s="24">
        <v>30145</v>
      </c>
      <c r="B399" s="23">
        <v>0.18082000000000001</v>
      </c>
      <c r="C399" s="32">
        <f t="shared" si="6"/>
        <v>6.4517458392450378E-2</v>
      </c>
    </row>
    <row r="400" spans="1:3" x14ac:dyDescent="0.6">
      <c r="A400" s="24">
        <v>30146</v>
      </c>
      <c r="B400" s="23">
        <v>0.182646</v>
      </c>
      <c r="C400" s="32">
        <f t="shared" si="6"/>
        <v>1.0098440438004674E-2</v>
      </c>
    </row>
    <row r="401" spans="1:3" x14ac:dyDescent="0.6">
      <c r="A401" s="24">
        <v>30147</v>
      </c>
      <c r="B401" s="23">
        <v>0.18629899999999999</v>
      </c>
      <c r="C401" s="32">
        <f t="shared" si="6"/>
        <v>2.000043800575968E-2</v>
      </c>
    </row>
    <row r="402" spans="1:3" x14ac:dyDescent="0.6">
      <c r="A402" s="24">
        <v>30148</v>
      </c>
      <c r="B402" s="23">
        <v>0.193605</v>
      </c>
      <c r="C402" s="32">
        <f t="shared" si="6"/>
        <v>3.9216528269072848E-2</v>
      </c>
    </row>
    <row r="403" spans="1:3" x14ac:dyDescent="0.6">
      <c r="A403" s="24">
        <v>30151</v>
      </c>
      <c r="B403" s="23">
        <v>0.19543199999999999</v>
      </c>
      <c r="C403" s="32">
        <f t="shared" si="6"/>
        <v>9.4367397536221365E-3</v>
      </c>
    </row>
    <row r="404" spans="1:3" x14ac:dyDescent="0.6">
      <c r="A404" s="24">
        <v>30152</v>
      </c>
      <c r="B404" s="23">
        <v>0.20821700000000001</v>
      </c>
      <c r="C404" s="32">
        <f t="shared" si="6"/>
        <v>6.5419173932621089E-2</v>
      </c>
    </row>
    <row r="405" spans="1:3" x14ac:dyDescent="0.6">
      <c r="A405" s="24">
        <v>30153</v>
      </c>
      <c r="B405" s="23">
        <v>0.20821700000000001</v>
      </c>
      <c r="C405" s="32">
        <f t="shared" si="6"/>
        <v>0</v>
      </c>
    </row>
    <row r="406" spans="1:3" x14ac:dyDescent="0.6">
      <c r="A406" s="24">
        <v>30154</v>
      </c>
      <c r="B406" s="23">
        <v>0.21004300000000001</v>
      </c>
      <c r="C406" s="32">
        <f t="shared" si="6"/>
        <v>8.769696998804033E-3</v>
      </c>
    </row>
    <row r="407" spans="1:3" x14ac:dyDescent="0.6">
      <c r="A407" s="24">
        <v>30155</v>
      </c>
      <c r="B407" s="23">
        <v>0.20639099999999999</v>
      </c>
      <c r="C407" s="32">
        <f t="shared" si="6"/>
        <v>-1.7386916012435583E-2</v>
      </c>
    </row>
    <row r="408" spans="1:3" x14ac:dyDescent="0.6">
      <c r="A408" s="24">
        <v>30158</v>
      </c>
      <c r="B408" s="23">
        <v>0.19725799999999999</v>
      </c>
      <c r="C408" s="32">
        <f t="shared" si="6"/>
        <v>-4.4250960555450636E-2</v>
      </c>
    </row>
    <row r="409" spans="1:3" x14ac:dyDescent="0.6">
      <c r="A409" s="24">
        <v>30159</v>
      </c>
      <c r="B409" s="23">
        <v>0.19725799999999999</v>
      </c>
      <c r="C409" s="32">
        <f t="shared" si="6"/>
        <v>0</v>
      </c>
    </row>
    <row r="410" spans="1:3" x14ac:dyDescent="0.6">
      <c r="A410" s="24">
        <v>30160</v>
      </c>
      <c r="B410" s="23">
        <v>0.18812599999999999</v>
      </c>
      <c r="C410" s="32">
        <f t="shared" si="6"/>
        <v>-4.629470034168448E-2</v>
      </c>
    </row>
    <row r="411" spans="1:3" x14ac:dyDescent="0.6">
      <c r="A411" s="24">
        <v>30161</v>
      </c>
      <c r="B411" s="23">
        <v>0.19543199999999999</v>
      </c>
      <c r="C411" s="32">
        <f t="shared" si="6"/>
        <v>3.8835673963194983E-2</v>
      </c>
    </row>
    <row r="412" spans="1:3" x14ac:dyDescent="0.6">
      <c r="A412" s="24">
        <v>30162</v>
      </c>
      <c r="B412" s="23">
        <v>0.19725799999999999</v>
      </c>
      <c r="C412" s="32">
        <f t="shared" si="6"/>
        <v>9.3434033321051491E-3</v>
      </c>
    </row>
    <row r="413" spans="1:3" x14ac:dyDescent="0.6">
      <c r="A413" s="24">
        <v>30165</v>
      </c>
      <c r="B413" s="23">
        <v>0.202738</v>
      </c>
      <c r="C413" s="32">
        <f t="shared" si="6"/>
        <v>2.7780875807318361E-2</v>
      </c>
    </row>
    <row r="414" spans="1:3" x14ac:dyDescent="0.6">
      <c r="A414" s="24">
        <v>30166</v>
      </c>
      <c r="B414" s="23">
        <v>0.18995200000000001</v>
      </c>
      <c r="C414" s="32">
        <f t="shared" si="6"/>
        <v>-6.3066617999585683E-2</v>
      </c>
    </row>
    <row r="415" spans="1:3" x14ac:dyDescent="0.6">
      <c r="A415" s="24">
        <v>30167</v>
      </c>
      <c r="B415" s="23">
        <v>0.18812599999999999</v>
      </c>
      <c r="C415" s="32">
        <f t="shared" si="6"/>
        <v>-9.6129548517521757E-3</v>
      </c>
    </row>
    <row r="416" spans="1:3" x14ac:dyDescent="0.6">
      <c r="A416" s="24">
        <v>30168</v>
      </c>
      <c r="B416" s="23">
        <v>0.18082000000000001</v>
      </c>
      <c r="C416" s="32">
        <f t="shared" si="6"/>
        <v>-3.8835673963194761E-2</v>
      </c>
    </row>
    <row r="417" spans="1:3" x14ac:dyDescent="0.6">
      <c r="A417" s="24">
        <v>30169</v>
      </c>
      <c r="B417" s="23">
        <v>0.17899399999999999</v>
      </c>
      <c r="C417" s="32">
        <f t="shared" si="6"/>
        <v>-1.0098440438004785E-2</v>
      </c>
    </row>
    <row r="418" spans="1:3" x14ac:dyDescent="0.6">
      <c r="A418" s="24">
        <v>30172</v>
      </c>
      <c r="B418" s="23">
        <v>0.18082000000000001</v>
      </c>
      <c r="C418" s="32">
        <f t="shared" si="6"/>
        <v>1.0201459266791169E-2</v>
      </c>
    </row>
    <row r="419" spans="1:3" x14ac:dyDescent="0.6">
      <c r="A419" s="24">
        <v>30173</v>
      </c>
      <c r="B419" s="23">
        <v>0.19177900000000001</v>
      </c>
      <c r="C419" s="32">
        <f t="shared" si="6"/>
        <v>6.0607233713084741E-2</v>
      </c>
    </row>
    <row r="420" spans="1:3" x14ac:dyDescent="0.6">
      <c r="A420" s="24">
        <v>30174</v>
      </c>
      <c r="B420" s="23">
        <v>0.193605</v>
      </c>
      <c r="C420" s="32">
        <f t="shared" si="6"/>
        <v>9.5213761673593744E-3</v>
      </c>
    </row>
    <row r="421" spans="1:3" x14ac:dyDescent="0.6">
      <c r="A421" s="24">
        <v>30175</v>
      </c>
      <c r="B421" s="23">
        <v>0.19177900000000001</v>
      </c>
      <c r="C421" s="32">
        <f t="shared" si="6"/>
        <v>-9.431574597763448E-3</v>
      </c>
    </row>
    <row r="422" spans="1:3" x14ac:dyDescent="0.6">
      <c r="A422" s="24">
        <v>30176</v>
      </c>
      <c r="B422" s="23">
        <v>0.19177900000000001</v>
      </c>
      <c r="C422" s="32">
        <f t="shared" si="6"/>
        <v>0</v>
      </c>
    </row>
    <row r="423" spans="1:3" x14ac:dyDescent="0.6">
      <c r="A423" s="24">
        <v>30179</v>
      </c>
      <c r="B423" s="23">
        <v>0.19543199999999999</v>
      </c>
      <c r="C423" s="32">
        <f t="shared" si="6"/>
        <v>1.9047966669968996E-2</v>
      </c>
    </row>
    <row r="424" spans="1:3" x14ac:dyDescent="0.6">
      <c r="A424" s="24">
        <v>30180</v>
      </c>
      <c r="B424" s="23">
        <v>0.20821700000000001</v>
      </c>
      <c r="C424" s="32">
        <f t="shared" si="6"/>
        <v>6.5419173932621089E-2</v>
      </c>
    </row>
    <row r="425" spans="1:3" x14ac:dyDescent="0.6">
      <c r="A425" s="24">
        <v>30181</v>
      </c>
      <c r="B425" s="23">
        <v>0.20821700000000001</v>
      </c>
      <c r="C425" s="32">
        <f t="shared" si="6"/>
        <v>0</v>
      </c>
    </row>
    <row r="426" spans="1:3" x14ac:dyDescent="0.6">
      <c r="A426" s="24">
        <v>30182</v>
      </c>
      <c r="B426" s="23">
        <v>0.21004300000000001</v>
      </c>
      <c r="C426" s="32">
        <f t="shared" si="6"/>
        <v>8.769696998804033E-3</v>
      </c>
    </row>
    <row r="427" spans="1:3" x14ac:dyDescent="0.6">
      <c r="A427" s="24">
        <v>30183</v>
      </c>
      <c r="B427" s="23">
        <v>0.21552299999999999</v>
      </c>
      <c r="C427" s="32">
        <f t="shared" si="6"/>
        <v>2.6089895878462999E-2</v>
      </c>
    </row>
    <row r="428" spans="1:3" x14ac:dyDescent="0.6">
      <c r="A428" s="24">
        <v>30186</v>
      </c>
      <c r="B428" s="23">
        <v>0.22465499999999999</v>
      </c>
      <c r="C428" s="32">
        <f t="shared" si="6"/>
        <v>4.2371347837585782E-2</v>
      </c>
    </row>
    <row r="429" spans="1:3" x14ac:dyDescent="0.6">
      <c r="A429" s="24">
        <v>30187</v>
      </c>
      <c r="B429" s="23">
        <v>0.23561399999999999</v>
      </c>
      <c r="C429" s="32">
        <f t="shared" si="6"/>
        <v>4.878146491286639E-2</v>
      </c>
    </row>
    <row r="430" spans="1:3" x14ac:dyDescent="0.6">
      <c r="A430" s="24">
        <v>30188</v>
      </c>
      <c r="B430" s="23">
        <v>0.252052</v>
      </c>
      <c r="C430" s="32">
        <f t="shared" si="6"/>
        <v>6.9766652236284754E-2</v>
      </c>
    </row>
    <row r="431" spans="1:3" x14ac:dyDescent="0.6">
      <c r="A431" s="24">
        <v>30189</v>
      </c>
      <c r="B431" s="23">
        <v>0.25935799999999998</v>
      </c>
      <c r="C431" s="32">
        <f t="shared" si="6"/>
        <v>2.8986082236998723E-2</v>
      </c>
    </row>
    <row r="432" spans="1:3" x14ac:dyDescent="0.6">
      <c r="A432" s="24">
        <v>30190</v>
      </c>
      <c r="B432" s="23">
        <v>0.24657299999999999</v>
      </c>
      <c r="C432" s="32">
        <f t="shared" si="6"/>
        <v>-4.9294797152970027E-2</v>
      </c>
    </row>
    <row r="433" spans="1:3" x14ac:dyDescent="0.6">
      <c r="A433" s="24">
        <v>30193</v>
      </c>
      <c r="B433" s="23">
        <v>0.250226</v>
      </c>
      <c r="C433" s="32">
        <f t="shared" si="6"/>
        <v>1.4815085187753763E-2</v>
      </c>
    </row>
    <row r="434" spans="1:3" x14ac:dyDescent="0.6">
      <c r="A434" s="24">
        <v>30194</v>
      </c>
      <c r="B434" s="23">
        <v>0.26301099999999999</v>
      </c>
      <c r="C434" s="32">
        <f t="shared" si="6"/>
        <v>5.1093811194679928E-2</v>
      </c>
    </row>
    <row r="435" spans="1:3" x14ac:dyDescent="0.6">
      <c r="A435" s="24">
        <v>30195</v>
      </c>
      <c r="B435" s="23">
        <v>0.25570500000000002</v>
      </c>
      <c r="C435" s="32">
        <f t="shared" si="6"/>
        <v>-2.7778305850325591E-2</v>
      </c>
    </row>
    <row r="436" spans="1:3" x14ac:dyDescent="0.6">
      <c r="A436" s="24">
        <v>30196</v>
      </c>
      <c r="B436" s="23">
        <v>0.26666400000000001</v>
      </c>
      <c r="C436" s="32">
        <f t="shared" si="6"/>
        <v>4.285798087640047E-2</v>
      </c>
    </row>
    <row r="437" spans="1:3" x14ac:dyDescent="0.6">
      <c r="A437" s="24">
        <v>30197</v>
      </c>
      <c r="B437" s="23">
        <v>0.26849000000000001</v>
      </c>
      <c r="C437" s="32">
        <f t="shared" si="6"/>
        <v>6.8475684756847954E-3</v>
      </c>
    </row>
    <row r="438" spans="1:3" x14ac:dyDescent="0.6">
      <c r="A438" s="24">
        <v>30201</v>
      </c>
      <c r="B438" s="23">
        <v>0.25387900000000002</v>
      </c>
      <c r="C438" s="32">
        <f t="shared" si="6"/>
        <v>-5.4419159000335116E-2</v>
      </c>
    </row>
    <row r="439" spans="1:3" x14ac:dyDescent="0.6">
      <c r="A439" s="24">
        <v>30202</v>
      </c>
      <c r="B439" s="23">
        <v>0.26301099999999999</v>
      </c>
      <c r="C439" s="32">
        <f t="shared" si="6"/>
        <v>3.5969891168627477E-2</v>
      </c>
    </row>
    <row r="440" spans="1:3" x14ac:dyDescent="0.6">
      <c r="A440" s="24">
        <v>30203</v>
      </c>
      <c r="B440" s="23">
        <v>0.25753199999999998</v>
      </c>
      <c r="C440" s="32">
        <f t="shared" si="6"/>
        <v>-2.0831828326571933E-2</v>
      </c>
    </row>
    <row r="441" spans="1:3" x14ac:dyDescent="0.6">
      <c r="A441" s="24">
        <v>30204</v>
      </c>
      <c r="B441" s="23">
        <v>0.26483800000000002</v>
      </c>
      <c r="C441" s="32">
        <f t="shared" si="6"/>
        <v>2.8369290029977012E-2</v>
      </c>
    </row>
    <row r="442" spans="1:3" x14ac:dyDescent="0.6">
      <c r="A442" s="24">
        <v>30207</v>
      </c>
      <c r="B442" s="23">
        <v>0.26666400000000001</v>
      </c>
      <c r="C442" s="32">
        <f t="shared" si="6"/>
        <v>6.8947809604362753E-3</v>
      </c>
    </row>
    <row r="443" spans="1:3" x14ac:dyDescent="0.6">
      <c r="A443" s="24">
        <v>30208</v>
      </c>
      <c r="B443" s="23">
        <v>0.27579599999999999</v>
      </c>
      <c r="C443" s="32">
        <f t="shared" si="6"/>
        <v>3.4245342453424366E-2</v>
      </c>
    </row>
    <row r="444" spans="1:3" x14ac:dyDescent="0.6">
      <c r="A444" s="24">
        <v>30209</v>
      </c>
      <c r="B444" s="23">
        <v>0.27396999999999999</v>
      </c>
      <c r="C444" s="32">
        <f t="shared" si="6"/>
        <v>-6.6208356901478194E-3</v>
      </c>
    </row>
    <row r="445" spans="1:3" x14ac:dyDescent="0.6">
      <c r="A445" s="24">
        <v>30210</v>
      </c>
      <c r="B445" s="23">
        <v>0.26483800000000002</v>
      </c>
      <c r="C445" s="32">
        <f t="shared" si="6"/>
        <v>-3.3332116655108157E-2</v>
      </c>
    </row>
    <row r="446" spans="1:3" x14ac:dyDescent="0.6">
      <c r="A446" s="24">
        <v>30211</v>
      </c>
      <c r="B446" s="23">
        <v>0.25935799999999998</v>
      </c>
      <c r="C446" s="32">
        <f t="shared" si="6"/>
        <v>-2.0691894667683841E-2</v>
      </c>
    </row>
    <row r="447" spans="1:3" x14ac:dyDescent="0.6">
      <c r="A447" s="24">
        <v>30214</v>
      </c>
      <c r="B447" s="23">
        <v>0.261185</v>
      </c>
      <c r="C447" s="32">
        <f t="shared" si="6"/>
        <v>7.0443171215077705E-3</v>
      </c>
    </row>
    <row r="448" spans="1:3" x14ac:dyDescent="0.6">
      <c r="A448" s="24">
        <v>30215</v>
      </c>
      <c r="B448" s="23">
        <v>0.26666400000000001</v>
      </c>
      <c r="C448" s="32">
        <f t="shared" si="6"/>
        <v>2.0977468078182238E-2</v>
      </c>
    </row>
    <row r="449" spans="1:3" x14ac:dyDescent="0.6">
      <c r="A449" s="24">
        <v>30216</v>
      </c>
      <c r="B449" s="23">
        <v>0.27396999999999999</v>
      </c>
      <c r="C449" s="32">
        <f t="shared" si="6"/>
        <v>2.7397773977739792E-2</v>
      </c>
    </row>
    <row r="450" spans="1:3" x14ac:dyDescent="0.6">
      <c r="A450" s="24">
        <v>30217</v>
      </c>
      <c r="B450" s="23">
        <v>0.27396999999999999</v>
      </c>
      <c r="C450" s="32">
        <f t="shared" si="6"/>
        <v>0</v>
      </c>
    </row>
    <row r="451" spans="1:3" x14ac:dyDescent="0.6">
      <c r="A451" s="24">
        <v>30218</v>
      </c>
      <c r="B451" s="23">
        <v>0.26483800000000002</v>
      </c>
      <c r="C451" s="32">
        <f t="shared" si="6"/>
        <v>-3.3332116655108157E-2</v>
      </c>
    </row>
    <row r="452" spans="1:3" x14ac:dyDescent="0.6">
      <c r="A452" s="24">
        <v>30221</v>
      </c>
      <c r="B452" s="23">
        <v>0.26483800000000002</v>
      </c>
      <c r="C452" s="32">
        <f t="shared" ref="C452:C515" si="7">B452/B451-1</f>
        <v>0</v>
      </c>
    </row>
    <row r="453" spans="1:3" x14ac:dyDescent="0.6">
      <c r="A453" s="24">
        <v>30222</v>
      </c>
      <c r="B453" s="23">
        <v>0.26849000000000001</v>
      </c>
      <c r="C453" s="32">
        <f t="shared" si="7"/>
        <v>1.3789561920872329E-2</v>
      </c>
    </row>
    <row r="454" spans="1:3" x14ac:dyDescent="0.6">
      <c r="A454" s="24">
        <v>30223</v>
      </c>
      <c r="B454" s="23">
        <v>0.26849000000000001</v>
      </c>
      <c r="C454" s="32">
        <f t="shared" si="7"/>
        <v>0</v>
      </c>
    </row>
    <row r="455" spans="1:3" x14ac:dyDescent="0.6">
      <c r="A455" s="24">
        <v>30224</v>
      </c>
      <c r="B455" s="23">
        <v>0.26666400000000001</v>
      </c>
      <c r="C455" s="32">
        <f t="shared" si="7"/>
        <v>-6.8009981749785897E-3</v>
      </c>
    </row>
    <row r="456" spans="1:3" x14ac:dyDescent="0.6">
      <c r="A456" s="24">
        <v>30225</v>
      </c>
      <c r="B456" s="23">
        <v>0.27031699999999997</v>
      </c>
      <c r="C456" s="32">
        <f t="shared" si="7"/>
        <v>1.3698886988869674E-2</v>
      </c>
    </row>
    <row r="457" spans="1:3" x14ac:dyDescent="0.6">
      <c r="A457" s="24">
        <v>30228</v>
      </c>
      <c r="B457" s="23">
        <v>0.27396999999999999</v>
      </c>
      <c r="C457" s="32">
        <f t="shared" si="7"/>
        <v>1.3513763470295981E-2</v>
      </c>
    </row>
    <row r="458" spans="1:3" x14ac:dyDescent="0.6">
      <c r="A458" s="24">
        <v>30229</v>
      </c>
      <c r="B458" s="23">
        <v>0.27579599999999999</v>
      </c>
      <c r="C458" s="32">
        <f t="shared" si="7"/>
        <v>6.6649633171513845E-3</v>
      </c>
    </row>
    <row r="459" spans="1:3" x14ac:dyDescent="0.6">
      <c r="A459" s="24">
        <v>30230</v>
      </c>
      <c r="B459" s="23">
        <v>0.29588700000000001</v>
      </c>
      <c r="C459" s="32">
        <f t="shared" si="7"/>
        <v>7.2847321933603215E-2</v>
      </c>
    </row>
    <row r="460" spans="1:3" x14ac:dyDescent="0.6">
      <c r="A460" s="24">
        <v>30231</v>
      </c>
      <c r="B460" s="23">
        <v>0.319631</v>
      </c>
      <c r="C460" s="32">
        <f t="shared" si="7"/>
        <v>8.0246850993791474E-2</v>
      </c>
    </row>
    <row r="461" spans="1:3" x14ac:dyDescent="0.6">
      <c r="A461" s="24">
        <v>30232</v>
      </c>
      <c r="B461" s="23">
        <v>0.34337499999999999</v>
      </c>
      <c r="C461" s="32">
        <f t="shared" si="7"/>
        <v>7.42856606524398E-2</v>
      </c>
    </row>
    <row r="462" spans="1:3" x14ac:dyDescent="0.6">
      <c r="A462" s="24">
        <v>30235</v>
      </c>
      <c r="B462" s="23">
        <v>0.35068100000000002</v>
      </c>
      <c r="C462" s="32">
        <f t="shared" si="7"/>
        <v>2.127702948671284E-2</v>
      </c>
    </row>
    <row r="463" spans="1:3" x14ac:dyDescent="0.6">
      <c r="A463" s="24">
        <v>30236</v>
      </c>
      <c r="B463" s="23">
        <v>0.339723</v>
      </c>
      <c r="C463" s="32">
        <f t="shared" si="7"/>
        <v>-3.1247772191821066E-2</v>
      </c>
    </row>
    <row r="464" spans="1:3" x14ac:dyDescent="0.6">
      <c r="A464" s="24">
        <v>30237</v>
      </c>
      <c r="B464" s="23">
        <v>0.34337499999999999</v>
      </c>
      <c r="C464" s="32">
        <f t="shared" si="7"/>
        <v>1.0749934505464687E-2</v>
      </c>
    </row>
    <row r="465" spans="1:3" x14ac:dyDescent="0.6">
      <c r="A465" s="24">
        <v>30238</v>
      </c>
      <c r="B465" s="23">
        <v>0.34520200000000001</v>
      </c>
      <c r="C465" s="32">
        <f t="shared" si="7"/>
        <v>5.3207135056425603E-3</v>
      </c>
    </row>
    <row r="466" spans="1:3" x14ac:dyDescent="0.6">
      <c r="A466" s="24">
        <v>30239</v>
      </c>
      <c r="B466" s="23">
        <v>0.33606999999999998</v>
      </c>
      <c r="C466" s="32">
        <f t="shared" si="7"/>
        <v>-2.6454076164101115E-2</v>
      </c>
    </row>
    <row r="467" spans="1:3" x14ac:dyDescent="0.6">
      <c r="A467" s="24">
        <v>30242</v>
      </c>
      <c r="B467" s="23">
        <v>0.34337499999999999</v>
      </c>
      <c r="C467" s="32">
        <f t="shared" si="7"/>
        <v>2.1736542982116802E-2</v>
      </c>
    </row>
    <row r="468" spans="1:3" x14ac:dyDescent="0.6">
      <c r="A468" s="24">
        <v>30243</v>
      </c>
      <c r="B468" s="23">
        <v>0.35068100000000002</v>
      </c>
      <c r="C468" s="32">
        <f t="shared" si="7"/>
        <v>2.127702948671284E-2</v>
      </c>
    </row>
    <row r="469" spans="1:3" x14ac:dyDescent="0.6">
      <c r="A469" s="24">
        <v>30244</v>
      </c>
      <c r="B469" s="23">
        <v>0.37077199999999999</v>
      </c>
      <c r="C469" s="32">
        <f t="shared" si="7"/>
        <v>5.7291384477630602E-2</v>
      </c>
    </row>
    <row r="470" spans="1:3" x14ac:dyDescent="0.6">
      <c r="A470" s="24">
        <v>30245</v>
      </c>
      <c r="B470" s="23">
        <v>0.37990499999999999</v>
      </c>
      <c r="C470" s="32">
        <f t="shared" si="7"/>
        <v>2.4632388637761293E-2</v>
      </c>
    </row>
    <row r="471" spans="1:3" x14ac:dyDescent="0.6">
      <c r="A471" s="24">
        <v>30246</v>
      </c>
      <c r="B471" s="23">
        <v>0.37807800000000003</v>
      </c>
      <c r="C471" s="32">
        <f t="shared" si="7"/>
        <v>-4.8090970110947762E-3</v>
      </c>
    </row>
    <row r="472" spans="1:3" x14ac:dyDescent="0.6">
      <c r="A472" s="24">
        <v>30249</v>
      </c>
      <c r="B472" s="23">
        <v>0.35616100000000001</v>
      </c>
      <c r="C472" s="32">
        <f t="shared" si="7"/>
        <v>-5.7969519517136692E-2</v>
      </c>
    </row>
    <row r="473" spans="1:3" x14ac:dyDescent="0.6">
      <c r="A473" s="24">
        <v>30250</v>
      </c>
      <c r="B473" s="23">
        <v>0.357987</v>
      </c>
      <c r="C473" s="32">
        <f t="shared" si="7"/>
        <v>5.126894859347253E-3</v>
      </c>
    </row>
    <row r="474" spans="1:3" x14ac:dyDescent="0.6">
      <c r="A474" s="24">
        <v>30251</v>
      </c>
      <c r="B474" s="23">
        <v>0.36711899999999997</v>
      </c>
      <c r="C474" s="32">
        <f t="shared" si="7"/>
        <v>2.5509306203856497E-2</v>
      </c>
    </row>
    <row r="475" spans="1:3" x14ac:dyDescent="0.6">
      <c r="A475" s="24">
        <v>30252</v>
      </c>
      <c r="B475" s="23">
        <v>0.36711899999999997</v>
      </c>
      <c r="C475" s="32">
        <f t="shared" si="7"/>
        <v>0</v>
      </c>
    </row>
    <row r="476" spans="1:3" x14ac:dyDescent="0.6">
      <c r="A476" s="24">
        <v>30253</v>
      </c>
      <c r="B476" s="23">
        <v>0.37077199999999999</v>
      </c>
      <c r="C476" s="32">
        <f t="shared" si="7"/>
        <v>9.9504520332645008E-3</v>
      </c>
    </row>
    <row r="477" spans="1:3" x14ac:dyDescent="0.6">
      <c r="A477" s="24">
        <v>30256</v>
      </c>
      <c r="B477" s="23">
        <v>0.39086300000000002</v>
      </c>
      <c r="C477" s="32">
        <f t="shared" si="7"/>
        <v>5.4186939682608237E-2</v>
      </c>
    </row>
    <row r="478" spans="1:3" x14ac:dyDescent="0.6">
      <c r="A478" s="24">
        <v>30257</v>
      </c>
      <c r="B478" s="23">
        <v>0.41826099999999999</v>
      </c>
      <c r="C478" s="32">
        <f t="shared" si="7"/>
        <v>7.0096171804442831E-2</v>
      </c>
    </row>
    <row r="479" spans="1:3" x14ac:dyDescent="0.6">
      <c r="A479" s="24">
        <v>30258</v>
      </c>
      <c r="B479" s="23">
        <v>0.44930999999999999</v>
      </c>
      <c r="C479" s="32">
        <f t="shared" si="7"/>
        <v>7.4233552733819375E-2</v>
      </c>
    </row>
    <row r="480" spans="1:3" x14ac:dyDescent="0.6">
      <c r="A480" s="24">
        <v>30259</v>
      </c>
      <c r="B480" s="23">
        <v>0.452963</v>
      </c>
      <c r="C480" s="32">
        <f t="shared" si="7"/>
        <v>8.1302441521444724E-3</v>
      </c>
    </row>
    <row r="481" spans="1:3" x14ac:dyDescent="0.6">
      <c r="A481" s="24">
        <v>30260</v>
      </c>
      <c r="B481" s="23">
        <v>0.44017800000000001</v>
      </c>
      <c r="C481" s="32">
        <f t="shared" si="7"/>
        <v>-2.8225263432112513E-2</v>
      </c>
    </row>
    <row r="482" spans="1:3" x14ac:dyDescent="0.6">
      <c r="A482" s="24">
        <v>30263</v>
      </c>
      <c r="B482" s="23">
        <v>0.42191299999999998</v>
      </c>
      <c r="C482" s="32">
        <f t="shared" si="7"/>
        <v>-4.1494577193771698E-2</v>
      </c>
    </row>
    <row r="483" spans="1:3" x14ac:dyDescent="0.6">
      <c r="A483" s="24">
        <v>30264</v>
      </c>
      <c r="B483" s="23">
        <v>0.436525</v>
      </c>
      <c r="C483" s="32">
        <f t="shared" si="7"/>
        <v>3.4632732340553751E-2</v>
      </c>
    </row>
    <row r="484" spans="1:3" x14ac:dyDescent="0.6">
      <c r="A484" s="24">
        <v>30265</v>
      </c>
      <c r="B484" s="23">
        <v>0.452963</v>
      </c>
      <c r="C484" s="32">
        <f t="shared" si="7"/>
        <v>3.7656491609873388E-2</v>
      </c>
    </row>
    <row r="485" spans="1:3" x14ac:dyDescent="0.6">
      <c r="A485" s="24">
        <v>30266</v>
      </c>
      <c r="B485" s="23">
        <v>0.48218699999999998</v>
      </c>
      <c r="C485" s="32">
        <f t="shared" si="7"/>
        <v>6.4517410914357143E-2</v>
      </c>
    </row>
    <row r="486" spans="1:3" x14ac:dyDescent="0.6">
      <c r="A486" s="24">
        <v>30267</v>
      </c>
      <c r="B486" s="23">
        <v>0.47305399999999997</v>
      </c>
      <c r="C486" s="32">
        <f t="shared" si="7"/>
        <v>-1.8940784384481546E-2</v>
      </c>
    </row>
    <row r="487" spans="1:3" x14ac:dyDescent="0.6">
      <c r="A487" s="24">
        <v>30270</v>
      </c>
      <c r="B487" s="23">
        <v>0.46209600000000001</v>
      </c>
      <c r="C487" s="32">
        <f t="shared" si="7"/>
        <v>-2.3164374468876647E-2</v>
      </c>
    </row>
    <row r="488" spans="1:3" x14ac:dyDescent="0.6">
      <c r="A488" s="24">
        <v>30271</v>
      </c>
      <c r="B488" s="23">
        <v>0.43835200000000002</v>
      </c>
      <c r="C488" s="32">
        <f t="shared" si="7"/>
        <v>-5.1383262352411641E-2</v>
      </c>
    </row>
    <row r="489" spans="1:3" x14ac:dyDescent="0.6">
      <c r="A489" s="24">
        <v>30272</v>
      </c>
      <c r="B489" s="23">
        <v>0.45844299999999999</v>
      </c>
      <c r="C489" s="32">
        <f t="shared" si="7"/>
        <v>4.5833029163776962E-2</v>
      </c>
    </row>
    <row r="490" spans="1:3" x14ac:dyDescent="0.6">
      <c r="A490" s="24">
        <v>30273</v>
      </c>
      <c r="B490" s="23">
        <v>0.45844299999999999</v>
      </c>
      <c r="C490" s="32">
        <f t="shared" si="7"/>
        <v>0</v>
      </c>
    </row>
    <row r="491" spans="1:3" x14ac:dyDescent="0.6">
      <c r="A491" s="24">
        <v>30274</v>
      </c>
      <c r="B491" s="23">
        <v>0.45113700000000001</v>
      </c>
      <c r="C491" s="32">
        <f t="shared" si="7"/>
        <v>-1.5936550454473064E-2</v>
      </c>
    </row>
    <row r="492" spans="1:3" x14ac:dyDescent="0.6">
      <c r="A492" s="24">
        <v>30277</v>
      </c>
      <c r="B492" s="23">
        <v>0.41095500000000001</v>
      </c>
      <c r="C492" s="32">
        <f t="shared" si="7"/>
        <v>-8.9068287460350115E-2</v>
      </c>
    </row>
    <row r="493" spans="1:3" x14ac:dyDescent="0.6">
      <c r="A493" s="24">
        <v>30278</v>
      </c>
      <c r="B493" s="23">
        <v>0.42191299999999998</v>
      </c>
      <c r="C493" s="32">
        <f t="shared" si="7"/>
        <v>2.6664719981506435E-2</v>
      </c>
    </row>
    <row r="494" spans="1:3" x14ac:dyDescent="0.6">
      <c r="A494" s="24">
        <v>30279</v>
      </c>
      <c r="B494" s="23">
        <v>0.43104599999999998</v>
      </c>
      <c r="C494" s="32">
        <f t="shared" si="7"/>
        <v>2.1646642791286252E-2</v>
      </c>
    </row>
    <row r="495" spans="1:3" x14ac:dyDescent="0.6">
      <c r="A495" s="24">
        <v>30281</v>
      </c>
      <c r="B495" s="23">
        <v>0.42374000000000001</v>
      </c>
      <c r="C495" s="32">
        <f t="shared" si="7"/>
        <v>-1.6949467110238814E-2</v>
      </c>
    </row>
    <row r="496" spans="1:3" x14ac:dyDescent="0.6">
      <c r="A496" s="24">
        <v>30284</v>
      </c>
      <c r="B496" s="23">
        <v>0.42191299999999998</v>
      </c>
      <c r="C496" s="32">
        <f t="shared" si="7"/>
        <v>-4.311606173597049E-3</v>
      </c>
    </row>
    <row r="497" spans="1:3" x14ac:dyDescent="0.6">
      <c r="A497" s="24">
        <v>30285</v>
      </c>
      <c r="B497" s="23">
        <v>0.46574900000000002</v>
      </c>
      <c r="C497" s="32">
        <f t="shared" si="7"/>
        <v>0.10389819702166103</v>
      </c>
    </row>
    <row r="498" spans="1:3" x14ac:dyDescent="0.6">
      <c r="A498" s="24">
        <v>30286</v>
      </c>
      <c r="B498" s="23">
        <v>0.474881</v>
      </c>
      <c r="C498" s="32">
        <f t="shared" si="7"/>
        <v>1.960712744418136E-2</v>
      </c>
    </row>
    <row r="499" spans="1:3" x14ac:dyDescent="0.6">
      <c r="A499" s="24">
        <v>30287</v>
      </c>
      <c r="B499" s="23">
        <v>0.474881</v>
      </c>
      <c r="C499" s="32">
        <f t="shared" si="7"/>
        <v>0</v>
      </c>
    </row>
    <row r="500" spans="1:3" x14ac:dyDescent="0.6">
      <c r="A500" s="24">
        <v>30288</v>
      </c>
      <c r="B500" s="23">
        <v>0.463922</v>
      </c>
      <c r="C500" s="32">
        <f t="shared" si="7"/>
        <v>-2.3077360433455985E-2</v>
      </c>
    </row>
    <row r="501" spans="1:3" x14ac:dyDescent="0.6">
      <c r="A501" s="24">
        <v>30291</v>
      </c>
      <c r="B501" s="23">
        <v>0.48949300000000001</v>
      </c>
      <c r="C501" s="32">
        <f t="shared" si="7"/>
        <v>5.5119179517246542E-2</v>
      </c>
    </row>
    <row r="502" spans="1:3" x14ac:dyDescent="0.6">
      <c r="A502" s="24">
        <v>30292</v>
      </c>
      <c r="B502" s="23">
        <v>0.49497200000000002</v>
      </c>
      <c r="C502" s="32">
        <f t="shared" si="7"/>
        <v>1.1193214203267576E-2</v>
      </c>
    </row>
    <row r="503" spans="1:3" x14ac:dyDescent="0.6">
      <c r="A503" s="24">
        <v>30293</v>
      </c>
      <c r="B503" s="23">
        <v>0.48401300000000003</v>
      </c>
      <c r="C503" s="32">
        <f t="shared" si="7"/>
        <v>-2.2140646339590897E-2</v>
      </c>
    </row>
    <row r="504" spans="1:3" x14ac:dyDescent="0.6">
      <c r="A504" s="24">
        <v>30294</v>
      </c>
      <c r="B504" s="23">
        <v>0.46026899999999998</v>
      </c>
      <c r="C504" s="32">
        <f t="shared" si="7"/>
        <v>-4.9056533605502439E-2</v>
      </c>
    </row>
    <row r="505" spans="1:3" x14ac:dyDescent="0.6">
      <c r="A505" s="24">
        <v>30295</v>
      </c>
      <c r="B505" s="23">
        <v>0.42739300000000002</v>
      </c>
      <c r="C505" s="32">
        <f t="shared" si="7"/>
        <v>-7.142779548481426E-2</v>
      </c>
    </row>
    <row r="506" spans="1:3" x14ac:dyDescent="0.6">
      <c r="A506" s="24">
        <v>30298</v>
      </c>
      <c r="B506" s="23">
        <v>0.41826099999999999</v>
      </c>
      <c r="C506" s="32">
        <f t="shared" si="7"/>
        <v>-2.1366751444221177E-2</v>
      </c>
    </row>
    <row r="507" spans="1:3" x14ac:dyDescent="0.6">
      <c r="A507" s="24">
        <v>30299</v>
      </c>
      <c r="B507" s="23">
        <v>0.414607</v>
      </c>
      <c r="C507" s="32">
        <f t="shared" si="7"/>
        <v>-8.736171911796653E-3</v>
      </c>
    </row>
    <row r="508" spans="1:3" x14ac:dyDescent="0.6">
      <c r="A508" s="24">
        <v>30300</v>
      </c>
      <c r="B508" s="23">
        <v>0.41278100000000001</v>
      </c>
      <c r="C508" s="32">
        <f t="shared" si="7"/>
        <v>-4.4041706965873839E-3</v>
      </c>
    </row>
    <row r="509" spans="1:3" x14ac:dyDescent="0.6">
      <c r="A509" s="24">
        <v>30301</v>
      </c>
      <c r="B509" s="23">
        <v>0.42008699999999999</v>
      </c>
      <c r="C509" s="32">
        <f t="shared" si="7"/>
        <v>1.7699458066141593E-2</v>
      </c>
    </row>
    <row r="510" spans="1:3" x14ac:dyDescent="0.6">
      <c r="A510" s="24">
        <v>30302</v>
      </c>
      <c r="B510" s="23">
        <v>0.44017800000000001</v>
      </c>
      <c r="C510" s="32">
        <f t="shared" si="7"/>
        <v>4.7825807511301388E-2</v>
      </c>
    </row>
    <row r="511" spans="1:3" x14ac:dyDescent="0.6">
      <c r="A511" s="24">
        <v>30305</v>
      </c>
      <c r="B511" s="23">
        <v>0.43835200000000002</v>
      </c>
      <c r="C511" s="32">
        <f t="shared" si="7"/>
        <v>-4.1483218152655876E-3</v>
      </c>
    </row>
    <row r="512" spans="1:3" x14ac:dyDescent="0.6">
      <c r="A512" s="24">
        <v>30306</v>
      </c>
      <c r="B512" s="23">
        <v>0.44200499999999998</v>
      </c>
      <c r="C512" s="32">
        <f t="shared" si="7"/>
        <v>8.3334854181114082E-3</v>
      </c>
    </row>
    <row r="513" spans="1:3" x14ac:dyDescent="0.6">
      <c r="A513" s="24">
        <v>30307</v>
      </c>
      <c r="B513" s="23">
        <v>0.45479000000000003</v>
      </c>
      <c r="C513" s="32">
        <f t="shared" si="7"/>
        <v>2.8925012160496033E-2</v>
      </c>
    </row>
    <row r="514" spans="1:3" x14ac:dyDescent="0.6">
      <c r="A514" s="24">
        <v>30308</v>
      </c>
      <c r="B514" s="23">
        <v>0.46757500000000002</v>
      </c>
      <c r="C514" s="32">
        <f t="shared" si="7"/>
        <v>2.8111875810813869E-2</v>
      </c>
    </row>
    <row r="515" spans="1:3" x14ac:dyDescent="0.6">
      <c r="A515" s="24">
        <v>30312</v>
      </c>
      <c r="B515" s="23">
        <v>0.47853400000000001</v>
      </c>
      <c r="C515" s="32">
        <f t="shared" si="7"/>
        <v>2.3437951130834689E-2</v>
      </c>
    </row>
    <row r="516" spans="1:3" x14ac:dyDescent="0.6">
      <c r="A516" s="24">
        <v>30313</v>
      </c>
      <c r="B516" s="23">
        <v>0.474881</v>
      </c>
      <c r="C516" s="32">
        <f t="shared" ref="C516:C579" si="8">B516/B515-1</f>
        <v>-7.6337313545119523E-3</v>
      </c>
    </row>
    <row r="517" spans="1:3" x14ac:dyDescent="0.6">
      <c r="A517" s="24">
        <v>30314</v>
      </c>
      <c r="B517" s="23">
        <v>0.45844299999999999</v>
      </c>
      <c r="C517" s="32">
        <f t="shared" si="8"/>
        <v>-3.4614987754826965E-2</v>
      </c>
    </row>
    <row r="518" spans="1:3" x14ac:dyDescent="0.6">
      <c r="A518" s="24">
        <v>30315</v>
      </c>
      <c r="B518" s="23">
        <v>0.43835200000000002</v>
      </c>
      <c r="C518" s="32">
        <f t="shared" si="8"/>
        <v>-4.3824423101672338E-2</v>
      </c>
    </row>
    <row r="519" spans="1:3" x14ac:dyDescent="0.6">
      <c r="A519" s="24">
        <v>30316</v>
      </c>
      <c r="B519" s="23">
        <v>0.436525</v>
      </c>
      <c r="C519" s="32">
        <f t="shared" si="8"/>
        <v>-4.1678833448918207E-3</v>
      </c>
    </row>
    <row r="520" spans="1:3" x14ac:dyDescent="0.6">
      <c r="A520" s="24">
        <v>30319</v>
      </c>
      <c r="B520" s="23">
        <v>0.41643400000000003</v>
      </c>
      <c r="C520" s="32">
        <f t="shared" si="8"/>
        <v>-4.6024855392016395E-2</v>
      </c>
    </row>
    <row r="521" spans="1:3" x14ac:dyDescent="0.6">
      <c r="A521" s="24">
        <v>30320</v>
      </c>
      <c r="B521" s="23">
        <v>0.44017800000000001</v>
      </c>
      <c r="C521" s="32">
        <f t="shared" si="8"/>
        <v>5.7017438537679377E-2</v>
      </c>
    </row>
    <row r="522" spans="1:3" x14ac:dyDescent="0.6">
      <c r="A522" s="24">
        <v>30321</v>
      </c>
      <c r="B522" s="23">
        <v>0.44200499999999998</v>
      </c>
      <c r="C522" s="32">
        <f t="shared" si="8"/>
        <v>4.1505936234886853E-3</v>
      </c>
    </row>
    <row r="523" spans="1:3" x14ac:dyDescent="0.6">
      <c r="A523" s="24">
        <v>30322</v>
      </c>
      <c r="B523" s="23">
        <v>0.425566</v>
      </c>
      <c r="C523" s="32">
        <f t="shared" si="8"/>
        <v>-3.7191886969604404E-2</v>
      </c>
    </row>
    <row r="524" spans="1:3" x14ac:dyDescent="0.6">
      <c r="A524" s="24">
        <v>30323</v>
      </c>
      <c r="B524" s="23">
        <v>0.40182200000000001</v>
      </c>
      <c r="C524" s="32">
        <f t="shared" si="8"/>
        <v>-5.5793930906134381E-2</v>
      </c>
    </row>
    <row r="525" spans="1:3" x14ac:dyDescent="0.6">
      <c r="A525" s="24">
        <v>30326</v>
      </c>
      <c r="B525" s="23">
        <v>0.42008699999999999</v>
      </c>
      <c r="C525" s="32">
        <f t="shared" si="8"/>
        <v>4.5455450423321775E-2</v>
      </c>
    </row>
    <row r="526" spans="1:3" x14ac:dyDescent="0.6">
      <c r="A526" s="24">
        <v>30327</v>
      </c>
      <c r="B526" s="23">
        <v>0.425566</v>
      </c>
      <c r="C526" s="32">
        <f t="shared" si="8"/>
        <v>1.3042536426978169E-2</v>
      </c>
    </row>
    <row r="527" spans="1:3" x14ac:dyDescent="0.6">
      <c r="A527" s="24">
        <v>30328</v>
      </c>
      <c r="B527" s="23">
        <v>0.44930999999999999</v>
      </c>
      <c r="C527" s="32">
        <f t="shared" si="8"/>
        <v>5.5793930906134381E-2</v>
      </c>
    </row>
    <row r="528" spans="1:3" x14ac:dyDescent="0.6">
      <c r="A528" s="24">
        <v>30329</v>
      </c>
      <c r="B528" s="23">
        <v>0.44930999999999999</v>
      </c>
      <c r="C528" s="32">
        <f t="shared" si="8"/>
        <v>0</v>
      </c>
    </row>
    <row r="529" spans="1:3" x14ac:dyDescent="0.6">
      <c r="A529" s="24">
        <v>30330</v>
      </c>
      <c r="B529" s="23">
        <v>0.48218699999999998</v>
      </c>
      <c r="C529" s="32">
        <f t="shared" si="8"/>
        <v>7.3172197369299585E-2</v>
      </c>
    </row>
    <row r="530" spans="1:3" x14ac:dyDescent="0.6">
      <c r="A530" s="24">
        <v>30333</v>
      </c>
      <c r="B530" s="23">
        <v>0.49862499999999998</v>
      </c>
      <c r="C530" s="32">
        <f t="shared" si="8"/>
        <v>3.4090508454188928E-2</v>
      </c>
    </row>
    <row r="531" spans="1:3" x14ac:dyDescent="0.6">
      <c r="A531" s="24">
        <v>30334</v>
      </c>
      <c r="B531" s="23">
        <v>0.48766599999999999</v>
      </c>
      <c r="C531" s="32">
        <f t="shared" si="8"/>
        <v>-2.197844071195787E-2</v>
      </c>
    </row>
    <row r="532" spans="1:3" x14ac:dyDescent="0.6">
      <c r="A532" s="24">
        <v>30335</v>
      </c>
      <c r="B532" s="23">
        <v>0.49131900000000001</v>
      </c>
      <c r="C532" s="32">
        <f t="shared" si="8"/>
        <v>7.4907826258137078E-3</v>
      </c>
    </row>
    <row r="533" spans="1:3" x14ac:dyDescent="0.6">
      <c r="A533" s="24">
        <v>30336</v>
      </c>
      <c r="B533" s="23">
        <v>0.54611299999999996</v>
      </c>
      <c r="C533" s="32">
        <f t="shared" si="8"/>
        <v>0.11152428462974151</v>
      </c>
    </row>
    <row r="534" spans="1:3" x14ac:dyDescent="0.6">
      <c r="A534" s="24">
        <v>30337</v>
      </c>
      <c r="B534" s="23">
        <v>0.54611299999999996</v>
      </c>
      <c r="C534" s="32">
        <f t="shared" si="8"/>
        <v>0</v>
      </c>
    </row>
    <row r="535" spans="1:3" x14ac:dyDescent="0.6">
      <c r="A535" s="24">
        <v>30340</v>
      </c>
      <c r="B535" s="23">
        <v>0.51506300000000005</v>
      </c>
      <c r="C535" s="32">
        <f t="shared" si="8"/>
        <v>-5.6856364891515021E-2</v>
      </c>
    </row>
    <row r="536" spans="1:3" x14ac:dyDescent="0.6">
      <c r="A536" s="24">
        <v>30341</v>
      </c>
      <c r="B536" s="23">
        <v>0.53515400000000002</v>
      </c>
      <c r="C536" s="32">
        <f t="shared" si="8"/>
        <v>3.9006878770169839E-2</v>
      </c>
    </row>
    <row r="537" spans="1:3" x14ac:dyDescent="0.6">
      <c r="A537" s="24">
        <v>30342</v>
      </c>
      <c r="B537" s="23">
        <v>0.55707200000000001</v>
      </c>
      <c r="C537" s="32">
        <f t="shared" si="8"/>
        <v>4.0956434970120803E-2</v>
      </c>
    </row>
    <row r="538" spans="1:3" x14ac:dyDescent="0.6">
      <c r="A538" s="24">
        <v>30343</v>
      </c>
      <c r="B538" s="23">
        <v>0.59542799999999996</v>
      </c>
      <c r="C538" s="32">
        <f t="shared" si="8"/>
        <v>6.8852859235430941E-2</v>
      </c>
    </row>
    <row r="539" spans="1:3" x14ac:dyDescent="0.6">
      <c r="A539" s="24">
        <v>30344</v>
      </c>
      <c r="B539" s="23">
        <v>0.59908099999999997</v>
      </c>
      <c r="C539" s="32">
        <f t="shared" si="8"/>
        <v>6.1350826632271538E-3</v>
      </c>
    </row>
    <row r="540" spans="1:3" x14ac:dyDescent="0.6">
      <c r="A540" s="24">
        <v>30347</v>
      </c>
      <c r="B540" s="23">
        <v>0.59725399999999995</v>
      </c>
      <c r="C540" s="32">
        <f t="shared" si="8"/>
        <v>-3.0496710795369086E-3</v>
      </c>
    </row>
    <row r="541" spans="1:3" x14ac:dyDescent="0.6">
      <c r="A541" s="24">
        <v>30348</v>
      </c>
      <c r="B541" s="23">
        <v>0.610039</v>
      </c>
      <c r="C541" s="32">
        <f t="shared" si="8"/>
        <v>2.1406302846025405E-2</v>
      </c>
    </row>
    <row r="542" spans="1:3" x14ac:dyDescent="0.6">
      <c r="A542" s="24">
        <v>30349</v>
      </c>
      <c r="B542" s="23">
        <v>0.62647699999999995</v>
      </c>
      <c r="C542" s="32">
        <f t="shared" si="8"/>
        <v>2.6945818218179429E-2</v>
      </c>
    </row>
    <row r="543" spans="1:3" x14ac:dyDescent="0.6">
      <c r="A543" s="24">
        <v>30350</v>
      </c>
      <c r="B543" s="23">
        <v>0.65204799999999996</v>
      </c>
      <c r="C543" s="32">
        <f t="shared" si="8"/>
        <v>4.0817140932548179E-2</v>
      </c>
    </row>
    <row r="544" spans="1:3" x14ac:dyDescent="0.6">
      <c r="A544" s="24">
        <v>30351</v>
      </c>
      <c r="B544" s="23">
        <v>0.64291600000000004</v>
      </c>
      <c r="C544" s="32">
        <f t="shared" si="8"/>
        <v>-1.4005103918729778E-2</v>
      </c>
    </row>
    <row r="545" spans="1:3" x14ac:dyDescent="0.6">
      <c r="A545" s="24">
        <v>30354</v>
      </c>
      <c r="B545" s="23">
        <v>0.61734500000000003</v>
      </c>
      <c r="C545" s="32">
        <f t="shared" si="8"/>
        <v>-3.9773469629002856E-2</v>
      </c>
    </row>
    <row r="546" spans="1:3" x14ac:dyDescent="0.6">
      <c r="A546" s="24">
        <v>30355</v>
      </c>
      <c r="B546" s="23">
        <v>0.61186600000000002</v>
      </c>
      <c r="C546" s="32">
        <f t="shared" si="8"/>
        <v>-8.8751022523873013E-3</v>
      </c>
    </row>
    <row r="547" spans="1:3" x14ac:dyDescent="0.6">
      <c r="A547" s="24">
        <v>30356</v>
      </c>
      <c r="B547" s="23">
        <v>0.61734500000000003</v>
      </c>
      <c r="C547" s="32">
        <f t="shared" si="8"/>
        <v>8.9545750213282371E-3</v>
      </c>
    </row>
    <row r="548" spans="1:3" x14ac:dyDescent="0.6">
      <c r="A548" s="24">
        <v>30357</v>
      </c>
      <c r="B548" s="23">
        <v>0.65752699999999997</v>
      </c>
      <c r="C548" s="32">
        <f t="shared" si="8"/>
        <v>6.5088402756967145E-2</v>
      </c>
    </row>
    <row r="549" spans="1:3" x14ac:dyDescent="0.6">
      <c r="A549" s="24">
        <v>30358</v>
      </c>
      <c r="B549" s="23">
        <v>0.67944499999999997</v>
      </c>
      <c r="C549" s="32">
        <f t="shared" si="8"/>
        <v>3.3333992368374199E-2</v>
      </c>
    </row>
    <row r="550" spans="1:3" x14ac:dyDescent="0.6">
      <c r="A550" s="24">
        <v>30361</v>
      </c>
      <c r="B550" s="23">
        <v>0.67579199999999995</v>
      </c>
      <c r="C550" s="32">
        <f t="shared" si="8"/>
        <v>-5.376446953027858E-3</v>
      </c>
    </row>
    <row r="551" spans="1:3" x14ac:dyDescent="0.6">
      <c r="A551" s="24">
        <v>30362</v>
      </c>
      <c r="B551" s="23">
        <v>0.66300700000000001</v>
      </c>
      <c r="C551" s="32">
        <f t="shared" si="8"/>
        <v>-1.8918542983639819E-2</v>
      </c>
    </row>
    <row r="552" spans="1:3" x14ac:dyDescent="0.6">
      <c r="A552" s="24">
        <v>30363</v>
      </c>
      <c r="B552" s="23">
        <v>0.65022199999999997</v>
      </c>
      <c r="C552" s="32">
        <f t="shared" si="8"/>
        <v>-1.928335598266695E-2</v>
      </c>
    </row>
    <row r="553" spans="1:3" x14ac:dyDescent="0.6">
      <c r="A553" s="24">
        <v>30364</v>
      </c>
      <c r="B553" s="23">
        <v>0.64291600000000004</v>
      </c>
      <c r="C553" s="32">
        <f t="shared" si="8"/>
        <v>-1.1236162418373885E-2</v>
      </c>
    </row>
    <row r="554" spans="1:3" x14ac:dyDescent="0.6">
      <c r="A554" s="24">
        <v>30365</v>
      </c>
      <c r="B554" s="23">
        <v>0.66300700000000001</v>
      </c>
      <c r="C554" s="32">
        <f t="shared" si="8"/>
        <v>3.1249805573356326E-2</v>
      </c>
    </row>
    <row r="555" spans="1:3" x14ac:dyDescent="0.6">
      <c r="A555" s="24">
        <v>30369</v>
      </c>
      <c r="B555" s="23">
        <v>0.67944499999999997</v>
      </c>
      <c r="C555" s="32">
        <f t="shared" si="8"/>
        <v>2.479310173195759E-2</v>
      </c>
    </row>
    <row r="556" spans="1:3" x14ac:dyDescent="0.6">
      <c r="A556" s="24">
        <v>30370</v>
      </c>
      <c r="B556" s="23">
        <v>0.68492399999999998</v>
      </c>
      <c r="C556" s="32">
        <f t="shared" si="8"/>
        <v>8.0639345348041402E-3</v>
      </c>
    </row>
    <row r="557" spans="1:3" x14ac:dyDescent="0.6">
      <c r="A557" s="24">
        <v>30371</v>
      </c>
      <c r="B557" s="23">
        <v>0.70318899999999995</v>
      </c>
      <c r="C557" s="32">
        <f t="shared" si="8"/>
        <v>2.6667192272427309E-2</v>
      </c>
    </row>
    <row r="558" spans="1:3" x14ac:dyDescent="0.6">
      <c r="A558" s="24">
        <v>30372</v>
      </c>
      <c r="B558" s="23">
        <v>0.68309799999999998</v>
      </c>
      <c r="C558" s="32">
        <f t="shared" si="8"/>
        <v>-2.8571266046539368E-2</v>
      </c>
    </row>
    <row r="559" spans="1:3" x14ac:dyDescent="0.6">
      <c r="A559" s="24">
        <v>30375</v>
      </c>
      <c r="B559" s="23">
        <v>0.66666000000000003</v>
      </c>
      <c r="C559" s="32">
        <f t="shared" si="8"/>
        <v>-2.4063897127498457E-2</v>
      </c>
    </row>
    <row r="560" spans="1:3" x14ac:dyDescent="0.6">
      <c r="A560" s="24">
        <v>30376</v>
      </c>
      <c r="B560" s="23">
        <v>0.67761899999999997</v>
      </c>
      <c r="C560" s="32">
        <f t="shared" si="8"/>
        <v>1.6438664386643875E-2</v>
      </c>
    </row>
    <row r="561" spans="1:3" x14ac:dyDescent="0.6">
      <c r="A561" s="24">
        <v>30377</v>
      </c>
      <c r="B561" s="23">
        <v>0.68309799999999998</v>
      </c>
      <c r="C561" s="32">
        <f t="shared" si="8"/>
        <v>8.085664658163294E-3</v>
      </c>
    </row>
    <row r="562" spans="1:3" x14ac:dyDescent="0.6">
      <c r="A562" s="24">
        <v>30378</v>
      </c>
      <c r="B562" s="23">
        <v>0.66117999999999999</v>
      </c>
      <c r="C562" s="32">
        <f t="shared" si="8"/>
        <v>-3.2086172115860401E-2</v>
      </c>
    </row>
    <row r="563" spans="1:3" x14ac:dyDescent="0.6">
      <c r="A563" s="24">
        <v>30379</v>
      </c>
      <c r="B563" s="23">
        <v>0.65204799999999996</v>
      </c>
      <c r="C563" s="32">
        <f t="shared" si="8"/>
        <v>-1.381167004446604E-2</v>
      </c>
    </row>
    <row r="564" spans="1:3" x14ac:dyDescent="0.6">
      <c r="A564" s="24">
        <v>30382</v>
      </c>
      <c r="B564" s="23">
        <v>0.63926300000000003</v>
      </c>
      <c r="C564" s="32">
        <f t="shared" si="8"/>
        <v>-1.9607452212107024E-2</v>
      </c>
    </row>
    <row r="565" spans="1:3" x14ac:dyDescent="0.6">
      <c r="A565" s="24">
        <v>30383</v>
      </c>
      <c r="B565" s="23">
        <v>0.61917100000000003</v>
      </c>
      <c r="C565" s="32">
        <f t="shared" si="8"/>
        <v>-3.1429943544362793E-2</v>
      </c>
    </row>
    <row r="566" spans="1:3" x14ac:dyDescent="0.6">
      <c r="A566" s="24">
        <v>30384</v>
      </c>
      <c r="B566" s="23">
        <v>0.637436</v>
      </c>
      <c r="C566" s="32">
        <f t="shared" si="8"/>
        <v>2.9499120598348361E-2</v>
      </c>
    </row>
    <row r="567" spans="1:3" x14ac:dyDescent="0.6">
      <c r="A567" s="24">
        <v>30385</v>
      </c>
      <c r="B567" s="23">
        <v>0.62830399999999997</v>
      </c>
      <c r="C567" s="32">
        <f t="shared" si="8"/>
        <v>-1.4326144114860218E-2</v>
      </c>
    </row>
    <row r="568" spans="1:3" x14ac:dyDescent="0.6">
      <c r="A568" s="24">
        <v>30386</v>
      </c>
      <c r="B568" s="23">
        <v>0.61917100000000003</v>
      </c>
      <c r="C568" s="32">
        <f t="shared" si="8"/>
        <v>-1.4535957116300291E-2</v>
      </c>
    </row>
    <row r="569" spans="1:3" x14ac:dyDescent="0.6">
      <c r="A569" s="24">
        <v>30389</v>
      </c>
      <c r="B569" s="23">
        <v>0.60455999999999999</v>
      </c>
      <c r="C569" s="32">
        <f t="shared" si="8"/>
        <v>-2.3597681415957861E-2</v>
      </c>
    </row>
    <row r="570" spans="1:3" x14ac:dyDescent="0.6">
      <c r="A570" s="24">
        <v>30390</v>
      </c>
      <c r="B570" s="23">
        <v>0.61369200000000002</v>
      </c>
      <c r="C570" s="32">
        <f t="shared" si="8"/>
        <v>1.5105200476379643E-2</v>
      </c>
    </row>
    <row r="571" spans="1:3" x14ac:dyDescent="0.6">
      <c r="A571" s="24">
        <v>30391</v>
      </c>
      <c r="B571" s="23">
        <v>0.61369200000000002</v>
      </c>
      <c r="C571" s="32">
        <f t="shared" si="8"/>
        <v>0</v>
      </c>
    </row>
    <row r="572" spans="1:3" x14ac:dyDescent="0.6">
      <c r="A572" s="24">
        <v>30392</v>
      </c>
      <c r="B572" s="23">
        <v>0.61917100000000003</v>
      </c>
      <c r="C572" s="32">
        <f t="shared" si="8"/>
        <v>8.9279312749719342E-3</v>
      </c>
    </row>
    <row r="573" spans="1:3" x14ac:dyDescent="0.6">
      <c r="A573" s="24">
        <v>30393</v>
      </c>
      <c r="B573" s="23">
        <v>0.62830399999999997</v>
      </c>
      <c r="C573" s="32">
        <f t="shared" si="8"/>
        <v>1.4750367830534517E-2</v>
      </c>
    </row>
    <row r="574" spans="1:3" x14ac:dyDescent="0.6">
      <c r="A574" s="24">
        <v>30396</v>
      </c>
      <c r="B574" s="23">
        <v>0.64291600000000004</v>
      </c>
      <c r="C574" s="32">
        <f t="shared" si="8"/>
        <v>2.3256258117089867E-2</v>
      </c>
    </row>
    <row r="575" spans="1:3" x14ac:dyDescent="0.6">
      <c r="A575" s="24">
        <v>30397</v>
      </c>
      <c r="B575" s="23">
        <v>0.65022199999999997</v>
      </c>
      <c r="C575" s="32">
        <f t="shared" si="8"/>
        <v>1.136384846542926E-2</v>
      </c>
    </row>
    <row r="576" spans="1:3" x14ac:dyDescent="0.6">
      <c r="A576" s="24">
        <v>30398</v>
      </c>
      <c r="B576" s="23">
        <v>0.61917100000000003</v>
      </c>
      <c r="C576" s="32">
        <f t="shared" si="8"/>
        <v>-4.7754459246226566E-2</v>
      </c>
    </row>
    <row r="577" spans="1:3" x14ac:dyDescent="0.6">
      <c r="A577" s="24">
        <v>30399</v>
      </c>
      <c r="B577" s="23">
        <v>0.63012999999999997</v>
      </c>
      <c r="C577" s="32">
        <f t="shared" si="8"/>
        <v>1.7699472359008928E-2</v>
      </c>
    </row>
    <row r="578" spans="1:3" x14ac:dyDescent="0.6">
      <c r="A578" s="24">
        <v>30400</v>
      </c>
      <c r="B578" s="23">
        <v>0.63012999999999997</v>
      </c>
      <c r="C578" s="32">
        <f t="shared" si="8"/>
        <v>0</v>
      </c>
    </row>
    <row r="579" spans="1:3" x14ac:dyDescent="0.6">
      <c r="A579" s="24">
        <v>30403</v>
      </c>
      <c r="B579" s="23">
        <v>0.62099800000000005</v>
      </c>
      <c r="C579" s="32">
        <f t="shared" si="8"/>
        <v>-1.4492247631440969E-2</v>
      </c>
    </row>
    <row r="580" spans="1:3" x14ac:dyDescent="0.6">
      <c r="A580" s="24">
        <v>30404</v>
      </c>
      <c r="B580" s="23">
        <v>0.63926300000000003</v>
      </c>
      <c r="C580" s="32">
        <f t="shared" ref="C580:C643" si="9">B580/B579-1</f>
        <v>2.9412333050992112E-2</v>
      </c>
    </row>
    <row r="581" spans="1:3" x14ac:dyDescent="0.6">
      <c r="A581" s="24">
        <v>30405</v>
      </c>
      <c r="B581" s="23">
        <v>0.64656899999999995</v>
      </c>
      <c r="C581" s="32">
        <f t="shared" si="9"/>
        <v>1.1428785961333565E-2</v>
      </c>
    </row>
    <row r="582" spans="1:3" x14ac:dyDescent="0.6">
      <c r="A582" s="24">
        <v>30406</v>
      </c>
      <c r="B582" s="23">
        <v>0.61734500000000003</v>
      </c>
      <c r="C582" s="32">
        <f t="shared" si="9"/>
        <v>-4.5198578960636726E-2</v>
      </c>
    </row>
    <row r="583" spans="1:3" x14ac:dyDescent="0.6">
      <c r="A583" s="24">
        <v>30410</v>
      </c>
      <c r="B583" s="23">
        <v>0.60090699999999997</v>
      </c>
      <c r="C583" s="32">
        <f t="shared" si="9"/>
        <v>-2.6626926596959644E-2</v>
      </c>
    </row>
    <row r="584" spans="1:3" x14ac:dyDescent="0.6">
      <c r="A584" s="24">
        <v>30411</v>
      </c>
      <c r="B584" s="23">
        <v>0.58994800000000003</v>
      </c>
      <c r="C584" s="32">
        <f t="shared" si="9"/>
        <v>-1.8237431083345523E-2</v>
      </c>
    </row>
    <row r="585" spans="1:3" x14ac:dyDescent="0.6">
      <c r="A585" s="24">
        <v>30412</v>
      </c>
      <c r="B585" s="23">
        <v>0.58446900000000002</v>
      </c>
      <c r="C585" s="32">
        <f t="shared" si="9"/>
        <v>-9.2872592160665457E-3</v>
      </c>
    </row>
    <row r="586" spans="1:3" x14ac:dyDescent="0.6">
      <c r="A586" s="24">
        <v>30413</v>
      </c>
      <c r="B586" s="23">
        <v>0.57898899999999998</v>
      </c>
      <c r="C586" s="32">
        <f t="shared" si="9"/>
        <v>-9.3760319195714814E-3</v>
      </c>
    </row>
    <row r="587" spans="1:3" x14ac:dyDescent="0.6">
      <c r="A587" s="24">
        <v>30414</v>
      </c>
      <c r="B587" s="23">
        <v>0.57533599999999996</v>
      </c>
      <c r="C587" s="32">
        <f t="shared" si="9"/>
        <v>-6.3092735786000054E-3</v>
      </c>
    </row>
    <row r="588" spans="1:3" x14ac:dyDescent="0.6">
      <c r="A588" s="24">
        <v>30417</v>
      </c>
      <c r="B588" s="23">
        <v>0.608213</v>
      </c>
      <c r="C588" s="32">
        <f t="shared" si="9"/>
        <v>5.7143999332563977E-2</v>
      </c>
    </row>
    <row r="589" spans="1:3" x14ac:dyDescent="0.6">
      <c r="A589" s="24">
        <v>30418</v>
      </c>
      <c r="B589" s="23">
        <v>0.62099800000000005</v>
      </c>
      <c r="C589" s="32">
        <f t="shared" si="9"/>
        <v>2.1020596402904879E-2</v>
      </c>
    </row>
    <row r="590" spans="1:3" x14ac:dyDescent="0.6">
      <c r="A590" s="24">
        <v>30419</v>
      </c>
      <c r="B590" s="23">
        <v>0.64291600000000004</v>
      </c>
      <c r="C590" s="32">
        <f t="shared" si="9"/>
        <v>3.5294799661190535E-2</v>
      </c>
    </row>
    <row r="591" spans="1:3" x14ac:dyDescent="0.6">
      <c r="A591" s="24">
        <v>30420</v>
      </c>
      <c r="B591" s="23">
        <v>0.65752699999999997</v>
      </c>
      <c r="C591" s="32">
        <f t="shared" si="9"/>
        <v>2.2726141517709797E-2</v>
      </c>
    </row>
    <row r="592" spans="1:3" x14ac:dyDescent="0.6">
      <c r="A592" s="24">
        <v>30421</v>
      </c>
      <c r="B592" s="23">
        <v>0.66848600000000002</v>
      </c>
      <c r="C592" s="32">
        <f t="shared" si="9"/>
        <v>1.6666996184187211E-2</v>
      </c>
    </row>
    <row r="593" spans="1:3" x14ac:dyDescent="0.6">
      <c r="A593" s="24">
        <v>30424</v>
      </c>
      <c r="B593" s="23">
        <v>0.686751</v>
      </c>
      <c r="C593" s="32">
        <f t="shared" si="9"/>
        <v>2.7322935708451679E-2</v>
      </c>
    </row>
    <row r="594" spans="1:3" x14ac:dyDescent="0.6">
      <c r="A594" s="24">
        <v>30425</v>
      </c>
      <c r="B594" s="23">
        <v>0.67944499999999997</v>
      </c>
      <c r="C594" s="32">
        <f t="shared" si="9"/>
        <v>-1.0638499252276334E-2</v>
      </c>
    </row>
    <row r="595" spans="1:3" x14ac:dyDescent="0.6">
      <c r="A595" s="24">
        <v>30426</v>
      </c>
      <c r="B595" s="23">
        <v>0.73971799999999999</v>
      </c>
      <c r="C595" s="32">
        <f t="shared" si="9"/>
        <v>8.8709167040746495E-2</v>
      </c>
    </row>
    <row r="596" spans="1:3" x14ac:dyDescent="0.6">
      <c r="A596" s="24">
        <v>30427</v>
      </c>
      <c r="B596" s="23">
        <v>0.75980899999999996</v>
      </c>
      <c r="C596" s="32">
        <f t="shared" si="9"/>
        <v>2.7160350295653224E-2</v>
      </c>
    </row>
    <row r="597" spans="1:3" x14ac:dyDescent="0.6">
      <c r="A597" s="24">
        <v>30428</v>
      </c>
      <c r="B597" s="23">
        <v>0.74519800000000003</v>
      </c>
      <c r="C597" s="32">
        <f t="shared" si="9"/>
        <v>-1.9229832760601639E-2</v>
      </c>
    </row>
    <row r="598" spans="1:3" x14ac:dyDescent="0.6">
      <c r="A598" s="24">
        <v>30431</v>
      </c>
      <c r="B598" s="23">
        <v>0.71049499999999999</v>
      </c>
      <c r="C598" s="32">
        <f t="shared" si="9"/>
        <v>-4.6568831370991437E-2</v>
      </c>
    </row>
    <row r="599" spans="1:3" x14ac:dyDescent="0.6">
      <c r="A599" s="24">
        <v>30432</v>
      </c>
      <c r="B599" s="23">
        <v>0.73058599999999996</v>
      </c>
      <c r="C599" s="32">
        <f t="shared" si="9"/>
        <v>2.8277468525464533E-2</v>
      </c>
    </row>
    <row r="600" spans="1:3" x14ac:dyDescent="0.6">
      <c r="A600" s="24">
        <v>30433</v>
      </c>
      <c r="B600" s="23">
        <v>0.72328000000000003</v>
      </c>
      <c r="C600" s="32">
        <f t="shared" si="9"/>
        <v>-1.000019162699517E-2</v>
      </c>
    </row>
    <row r="601" spans="1:3" x14ac:dyDescent="0.6">
      <c r="A601" s="24">
        <v>30434</v>
      </c>
      <c r="B601" s="23">
        <v>0.73058599999999996</v>
      </c>
      <c r="C601" s="32">
        <f t="shared" si="9"/>
        <v>1.010120561884742E-2</v>
      </c>
    </row>
    <row r="602" spans="1:3" x14ac:dyDescent="0.6">
      <c r="A602" s="24">
        <v>30435</v>
      </c>
      <c r="B602" s="23">
        <v>0.73789199999999999</v>
      </c>
      <c r="C602" s="32">
        <f t="shared" si="9"/>
        <v>1.0000191626995392E-2</v>
      </c>
    </row>
    <row r="603" spans="1:3" x14ac:dyDescent="0.6">
      <c r="A603" s="24">
        <v>30438</v>
      </c>
      <c r="B603" s="23">
        <v>0.715974</v>
      </c>
      <c r="C603" s="32">
        <f t="shared" si="9"/>
        <v>-2.9703533850482189E-2</v>
      </c>
    </row>
    <row r="604" spans="1:3" x14ac:dyDescent="0.6">
      <c r="A604" s="24">
        <v>30439</v>
      </c>
      <c r="B604" s="23">
        <v>0.70866799999999996</v>
      </c>
      <c r="C604" s="32">
        <f t="shared" si="9"/>
        <v>-1.0204281161047768E-2</v>
      </c>
    </row>
    <row r="605" spans="1:3" x14ac:dyDescent="0.6">
      <c r="A605" s="24">
        <v>30440</v>
      </c>
      <c r="B605" s="23">
        <v>0.75250300000000003</v>
      </c>
      <c r="C605" s="32">
        <f t="shared" si="9"/>
        <v>6.1855480986865663E-2</v>
      </c>
    </row>
    <row r="606" spans="1:3" x14ac:dyDescent="0.6">
      <c r="A606" s="24">
        <v>30441</v>
      </c>
      <c r="B606" s="23">
        <v>0.80181800000000003</v>
      </c>
      <c r="C606" s="32">
        <f t="shared" si="9"/>
        <v>6.5534622453332414E-2</v>
      </c>
    </row>
    <row r="607" spans="1:3" x14ac:dyDescent="0.6">
      <c r="A607" s="24">
        <v>30442</v>
      </c>
      <c r="B607" s="23">
        <v>0.80547100000000005</v>
      </c>
      <c r="C607" s="32">
        <f t="shared" si="9"/>
        <v>4.5558967246932536E-3</v>
      </c>
    </row>
    <row r="608" spans="1:3" x14ac:dyDescent="0.6">
      <c r="A608" s="24">
        <v>30445</v>
      </c>
      <c r="B608" s="23">
        <v>0.794512</v>
      </c>
      <c r="C608" s="32">
        <f t="shared" si="9"/>
        <v>-1.3605703991825924E-2</v>
      </c>
    </row>
    <row r="609" spans="1:3" x14ac:dyDescent="0.6">
      <c r="A609" s="24">
        <v>30446</v>
      </c>
      <c r="B609" s="23">
        <v>0.79999200000000004</v>
      </c>
      <c r="C609" s="32">
        <f t="shared" si="9"/>
        <v>6.8973155849125778E-3</v>
      </c>
    </row>
    <row r="610" spans="1:3" x14ac:dyDescent="0.6">
      <c r="A610" s="24">
        <v>30447</v>
      </c>
      <c r="B610" s="23">
        <v>0.77990099999999996</v>
      </c>
      <c r="C610" s="32">
        <f t="shared" si="9"/>
        <v>-2.5114001140011499E-2</v>
      </c>
    </row>
    <row r="611" spans="1:3" x14ac:dyDescent="0.6">
      <c r="A611" s="24">
        <v>30448</v>
      </c>
      <c r="B611" s="23">
        <v>0.77259500000000003</v>
      </c>
      <c r="C611" s="32">
        <f t="shared" si="9"/>
        <v>-9.3678556637315502E-3</v>
      </c>
    </row>
    <row r="612" spans="1:3" x14ac:dyDescent="0.6">
      <c r="A612" s="24">
        <v>30449</v>
      </c>
      <c r="B612" s="23">
        <v>0.77624800000000005</v>
      </c>
      <c r="C612" s="32">
        <f t="shared" si="9"/>
        <v>4.7282211249102257E-3</v>
      </c>
    </row>
    <row r="613" spans="1:3" x14ac:dyDescent="0.6">
      <c r="A613" s="24">
        <v>30452</v>
      </c>
      <c r="B613" s="23">
        <v>0.75615699999999997</v>
      </c>
      <c r="C613" s="32">
        <f t="shared" si="9"/>
        <v>-2.5882192289062411E-2</v>
      </c>
    </row>
    <row r="614" spans="1:3" x14ac:dyDescent="0.6">
      <c r="A614" s="24">
        <v>30453</v>
      </c>
      <c r="B614" s="23">
        <v>0.75798299999999996</v>
      </c>
      <c r="C614" s="32">
        <f t="shared" si="9"/>
        <v>2.4148424202909968E-3</v>
      </c>
    </row>
    <row r="615" spans="1:3" x14ac:dyDescent="0.6">
      <c r="A615" s="24">
        <v>30454</v>
      </c>
      <c r="B615" s="23">
        <v>0.76711499999999999</v>
      </c>
      <c r="C615" s="32">
        <f t="shared" si="9"/>
        <v>1.2047763604196904E-2</v>
      </c>
    </row>
    <row r="616" spans="1:3" x14ac:dyDescent="0.6">
      <c r="A616" s="24">
        <v>30455</v>
      </c>
      <c r="B616" s="23">
        <v>0.79085899999999998</v>
      </c>
      <c r="C616" s="32">
        <f t="shared" si="9"/>
        <v>3.0952334395755399E-2</v>
      </c>
    </row>
    <row r="617" spans="1:3" x14ac:dyDescent="0.6">
      <c r="A617" s="24">
        <v>30456</v>
      </c>
      <c r="B617" s="23">
        <v>0.83104199999999995</v>
      </c>
      <c r="C617" s="32">
        <f t="shared" si="9"/>
        <v>5.0809309876981734E-2</v>
      </c>
    </row>
    <row r="618" spans="1:3" x14ac:dyDescent="0.6">
      <c r="A618" s="24">
        <v>30459</v>
      </c>
      <c r="B618" s="23">
        <v>0.84017299999999995</v>
      </c>
      <c r="C618" s="32">
        <f t="shared" si="9"/>
        <v>1.0987410985245027E-2</v>
      </c>
    </row>
    <row r="619" spans="1:3" x14ac:dyDescent="0.6">
      <c r="A619" s="24">
        <v>30460</v>
      </c>
      <c r="B619" s="23">
        <v>0.88400900000000004</v>
      </c>
      <c r="C619" s="32">
        <f t="shared" si="9"/>
        <v>5.2174968726679039E-2</v>
      </c>
    </row>
    <row r="620" spans="1:3" x14ac:dyDescent="0.6">
      <c r="A620" s="24">
        <v>30461</v>
      </c>
      <c r="B620" s="23">
        <v>0.87670300000000001</v>
      </c>
      <c r="C620" s="32">
        <f t="shared" si="9"/>
        <v>-8.2646217402764233E-3</v>
      </c>
    </row>
    <row r="621" spans="1:3" x14ac:dyDescent="0.6">
      <c r="A621" s="24">
        <v>30462</v>
      </c>
      <c r="B621" s="23">
        <v>0.86757099999999998</v>
      </c>
      <c r="C621" s="32">
        <f t="shared" si="9"/>
        <v>-1.0416298335924501E-2</v>
      </c>
    </row>
    <row r="622" spans="1:3" x14ac:dyDescent="0.6">
      <c r="A622" s="24">
        <v>30463</v>
      </c>
      <c r="B622" s="23">
        <v>0.86757099999999998</v>
      </c>
      <c r="C622" s="32">
        <f t="shared" si="9"/>
        <v>0</v>
      </c>
    </row>
    <row r="623" spans="1:3" x14ac:dyDescent="0.6">
      <c r="A623" s="24">
        <v>30467</v>
      </c>
      <c r="B623" s="23">
        <v>0.84382699999999999</v>
      </c>
      <c r="C623" s="32">
        <f t="shared" si="9"/>
        <v>-2.7368365240424075E-2</v>
      </c>
    </row>
    <row r="624" spans="1:3" x14ac:dyDescent="0.6">
      <c r="A624" s="24">
        <v>30468</v>
      </c>
      <c r="B624" s="23">
        <v>0.84930600000000001</v>
      </c>
      <c r="C624" s="32">
        <f t="shared" si="9"/>
        <v>6.4930370798754744E-3</v>
      </c>
    </row>
    <row r="625" spans="1:3" x14ac:dyDescent="0.6">
      <c r="A625" s="24">
        <v>30469</v>
      </c>
      <c r="B625" s="23">
        <v>0.85478600000000005</v>
      </c>
      <c r="C625" s="32">
        <f t="shared" si="9"/>
        <v>6.4523269587168919E-3</v>
      </c>
    </row>
    <row r="626" spans="1:3" x14ac:dyDescent="0.6">
      <c r="A626" s="24">
        <v>30470</v>
      </c>
      <c r="B626" s="23">
        <v>0.89679399999999998</v>
      </c>
      <c r="C626" s="32">
        <f t="shared" si="9"/>
        <v>4.9144464228473517E-2</v>
      </c>
    </row>
    <row r="627" spans="1:3" x14ac:dyDescent="0.6">
      <c r="A627" s="24">
        <v>30473</v>
      </c>
      <c r="B627" s="23">
        <v>0.91688499999999995</v>
      </c>
      <c r="C627" s="32">
        <f t="shared" si="9"/>
        <v>2.2403138290398861E-2</v>
      </c>
    </row>
    <row r="628" spans="1:3" x14ac:dyDescent="0.6">
      <c r="A628" s="24">
        <v>30474</v>
      </c>
      <c r="B628" s="23">
        <v>0.88583500000000004</v>
      </c>
      <c r="C628" s="32">
        <f t="shared" si="9"/>
        <v>-3.3864661326120427E-2</v>
      </c>
    </row>
    <row r="629" spans="1:3" x14ac:dyDescent="0.6">
      <c r="A629" s="24">
        <v>30475</v>
      </c>
      <c r="B629" s="23">
        <v>0.87487700000000002</v>
      </c>
      <c r="C629" s="32">
        <f t="shared" si="9"/>
        <v>-1.2370249538571021E-2</v>
      </c>
    </row>
    <row r="630" spans="1:3" x14ac:dyDescent="0.6">
      <c r="A630" s="24">
        <v>30476</v>
      </c>
      <c r="B630" s="23">
        <v>0.869398</v>
      </c>
      <c r="C630" s="32">
        <f t="shared" si="9"/>
        <v>-6.2625946275877142E-3</v>
      </c>
    </row>
    <row r="631" spans="1:3" x14ac:dyDescent="0.6">
      <c r="A631" s="24">
        <v>30477</v>
      </c>
      <c r="B631" s="23">
        <v>0.86574399999999996</v>
      </c>
      <c r="C631" s="32">
        <f t="shared" si="9"/>
        <v>-4.2029082192506229E-3</v>
      </c>
    </row>
    <row r="632" spans="1:3" x14ac:dyDescent="0.6">
      <c r="A632" s="24">
        <v>30480</v>
      </c>
      <c r="B632" s="23">
        <v>0.83652099999999996</v>
      </c>
      <c r="C632" s="32">
        <f t="shared" si="9"/>
        <v>-3.3754782014082663E-2</v>
      </c>
    </row>
    <row r="633" spans="1:3" x14ac:dyDescent="0.6">
      <c r="A633" s="24">
        <v>30481</v>
      </c>
      <c r="B633" s="23">
        <v>0.81825599999999998</v>
      </c>
      <c r="C633" s="32">
        <f t="shared" si="9"/>
        <v>-2.1834478751878272E-2</v>
      </c>
    </row>
    <row r="634" spans="1:3" x14ac:dyDescent="0.6">
      <c r="A634" s="24">
        <v>30482</v>
      </c>
      <c r="B634" s="23">
        <v>0.794512</v>
      </c>
      <c r="C634" s="32">
        <f t="shared" si="9"/>
        <v>-2.9017813496020839E-2</v>
      </c>
    </row>
    <row r="635" spans="1:3" x14ac:dyDescent="0.6">
      <c r="A635" s="24">
        <v>30483</v>
      </c>
      <c r="B635" s="23">
        <v>0.83652099999999996</v>
      </c>
      <c r="C635" s="32">
        <f t="shared" si="9"/>
        <v>5.2873965402662204E-2</v>
      </c>
    </row>
    <row r="636" spans="1:3" x14ac:dyDescent="0.6">
      <c r="A636" s="24">
        <v>30484</v>
      </c>
      <c r="B636" s="23">
        <v>0.82008300000000001</v>
      </c>
      <c r="C636" s="32">
        <f t="shared" si="9"/>
        <v>-1.9650433163064585E-2</v>
      </c>
    </row>
    <row r="637" spans="1:3" x14ac:dyDescent="0.6">
      <c r="A637" s="24">
        <v>30487</v>
      </c>
      <c r="B637" s="23">
        <v>0.77990099999999996</v>
      </c>
      <c r="C637" s="32">
        <f t="shared" si="9"/>
        <v>-4.8997479523414156E-2</v>
      </c>
    </row>
    <row r="638" spans="1:3" x14ac:dyDescent="0.6">
      <c r="A638" s="24">
        <v>30488</v>
      </c>
      <c r="B638" s="23">
        <v>0.78537999999999997</v>
      </c>
      <c r="C638" s="32">
        <f t="shared" si="9"/>
        <v>7.0252506407864068E-3</v>
      </c>
    </row>
    <row r="639" spans="1:3" x14ac:dyDescent="0.6">
      <c r="A639" s="24">
        <v>30489</v>
      </c>
      <c r="B639" s="23">
        <v>0.80912399999999995</v>
      </c>
      <c r="C639" s="32">
        <f t="shared" si="9"/>
        <v>3.0232498917721395E-2</v>
      </c>
    </row>
    <row r="640" spans="1:3" x14ac:dyDescent="0.6">
      <c r="A640" s="24">
        <v>30490</v>
      </c>
      <c r="B640" s="23">
        <v>0.78355399999999997</v>
      </c>
      <c r="C640" s="32">
        <f t="shared" si="9"/>
        <v>-3.160207829702244E-2</v>
      </c>
    </row>
    <row r="641" spans="1:3" x14ac:dyDescent="0.6">
      <c r="A641" s="24">
        <v>30491</v>
      </c>
      <c r="B641" s="23">
        <v>0.77807400000000004</v>
      </c>
      <c r="C641" s="32">
        <f t="shared" si="9"/>
        <v>-6.9937745196884116E-3</v>
      </c>
    </row>
    <row r="642" spans="1:3" x14ac:dyDescent="0.6">
      <c r="A642" s="24">
        <v>30494</v>
      </c>
      <c r="B642" s="23">
        <v>0.73606499999999997</v>
      </c>
      <c r="C642" s="32">
        <f t="shared" si="9"/>
        <v>-5.3991008567308652E-2</v>
      </c>
    </row>
    <row r="643" spans="1:3" x14ac:dyDescent="0.6">
      <c r="A643" s="24">
        <v>30495</v>
      </c>
      <c r="B643" s="23">
        <v>0.68492399999999998</v>
      </c>
      <c r="C643" s="32">
        <f t="shared" si="9"/>
        <v>-6.9478918302052106E-2</v>
      </c>
    </row>
    <row r="644" spans="1:3" x14ac:dyDescent="0.6">
      <c r="A644" s="24">
        <v>30496</v>
      </c>
      <c r="B644" s="23">
        <v>0.71780100000000002</v>
      </c>
      <c r="C644" s="32">
        <f t="shared" ref="C644:C707" si="10">B644/B643-1</f>
        <v>4.8000946090369201E-2</v>
      </c>
    </row>
    <row r="645" spans="1:3" x14ac:dyDescent="0.6">
      <c r="A645" s="24">
        <v>30497</v>
      </c>
      <c r="B645" s="23">
        <v>0.71414800000000001</v>
      </c>
      <c r="C645" s="32">
        <f t="shared" si="10"/>
        <v>-5.0891542363412645E-3</v>
      </c>
    </row>
    <row r="646" spans="1:3" x14ac:dyDescent="0.6">
      <c r="A646" s="24">
        <v>30498</v>
      </c>
      <c r="B646" s="23">
        <v>0.71962700000000002</v>
      </c>
      <c r="C646" s="32">
        <f t="shared" si="10"/>
        <v>7.6720791768654095E-3</v>
      </c>
    </row>
    <row r="647" spans="1:3" x14ac:dyDescent="0.6">
      <c r="A647" s="24">
        <v>30502</v>
      </c>
      <c r="B647" s="23">
        <v>0.69040400000000002</v>
      </c>
      <c r="C647" s="32">
        <f t="shared" si="10"/>
        <v>-4.0608537478443729E-2</v>
      </c>
    </row>
    <row r="648" spans="1:3" x14ac:dyDescent="0.6">
      <c r="A648" s="24">
        <v>30503</v>
      </c>
      <c r="B648" s="23">
        <v>0.69223000000000001</v>
      </c>
      <c r="C648" s="32">
        <f t="shared" si="10"/>
        <v>2.6448282454909489E-3</v>
      </c>
    </row>
    <row r="649" spans="1:3" x14ac:dyDescent="0.6">
      <c r="A649" s="24">
        <v>30504</v>
      </c>
      <c r="B649" s="23">
        <v>0.68309799999999998</v>
      </c>
      <c r="C649" s="32">
        <f t="shared" si="10"/>
        <v>-1.3192147118732289E-2</v>
      </c>
    </row>
    <row r="650" spans="1:3" x14ac:dyDescent="0.6">
      <c r="A650" s="24">
        <v>30505</v>
      </c>
      <c r="B650" s="23">
        <v>0.67579199999999995</v>
      </c>
      <c r="C650" s="32">
        <f t="shared" si="10"/>
        <v>-1.06953907052868E-2</v>
      </c>
    </row>
    <row r="651" spans="1:3" x14ac:dyDescent="0.6">
      <c r="A651" s="24">
        <v>30508</v>
      </c>
      <c r="B651" s="23">
        <v>0.69405700000000004</v>
      </c>
      <c r="C651" s="32">
        <f t="shared" si="10"/>
        <v>2.7027546937519409E-2</v>
      </c>
    </row>
    <row r="652" spans="1:3" x14ac:dyDescent="0.6">
      <c r="A652" s="24">
        <v>30509</v>
      </c>
      <c r="B652" s="23">
        <v>0.67761899999999997</v>
      </c>
      <c r="C652" s="32">
        <f t="shared" si="10"/>
        <v>-2.3683933740312524E-2</v>
      </c>
    </row>
    <row r="653" spans="1:3" x14ac:dyDescent="0.6">
      <c r="A653" s="24">
        <v>30510</v>
      </c>
      <c r="B653" s="23">
        <v>0.67396500000000004</v>
      </c>
      <c r="C653" s="32">
        <f t="shared" si="10"/>
        <v>-5.392410779508694E-3</v>
      </c>
    </row>
    <row r="654" spans="1:3" x14ac:dyDescent="0.6">
      <c r="A654" s="24">
        <v>30511</v>
      </c>
      <c r="B654" s="23">
        <v>0.67213900000000004</v>
      </c>
      <c r="C654" s="32">
        <f t="shared" si="10"/>
        <v>-2.7093395057606884E-3</v>
      </c>
    </row>
    <row r="655" spans="1:3" x14ac:dyDescent="0.6">
      <c r="A655" s="24">
        <v>30512</v>
      </c>
      <c r="B655" s="23">
        <v>0.64839500000000005</v>
      </c>
      <c r="C655" s="32">
        <f t="shared" si="10"/>
        <v>-3.5326026313009629E-2</v>
      </c>
    </row>
    <row r="656" spans="1:3" x14ac:dyDescent="0.6">
      <c r="A656" s="24">
        <v>30515</v>
      </c>
      <c r="B656" s="23">
        <v>0.64656899999999995</v>
      </c>
      <c r="C656" s="32">
        <f t="shared" si="10"/>
        <v>-2.8161845788448048E-3</v>
      </c>
    </row>
    <row r="657" spans="1:3" x14ac:dyDescent="0.6">
      <c r="A657" s="24">
        <v>30516</v>
      </c>
      <c r="B657" s="23">
        <v>0.63926300000000003</v>
      </c>
      <c r="C657" s="32">
        <f t="shared" si="10"/>
        <v>-1.1299644740159098E-2</v>
      </c>
    </row>
    <row r="658" spans="1:3" x14ac:dyDescent="0.6">
      <c r="A658" s="24">
        <v>30517</v>
      </c>
      <c r="B658" s="23">
        <v>0.60273299999999996</v>
      </c>
      <c r="C658" s="32">
        <f t="shared" si="10"/>
        <v>-5.7143929806668048E-2</v>
      </c>
    </row>
    <row r="659" spans="1:3" x14ac:dyDescent="0.6">
      <c r="A659" s="24">
        <v>30518</v>
      </c>
      <c r="B659" s="23">
        <v>0.63378299999999999</v>
      </c>
      <c r="C659" s="32">
        <f t="shared" si="10"/>
        <v>5.1515347591719829E-2</v>
      </c>
    </row>
    <row r="660" spans="1:3" x14ac:dyDescent="0.6">
      <c r="A660" s="24">
        <v>30519</v>
      </c>
      <c r="B660" s="23">
        <v>0.63926300000000003</v>
      </c>
      <c r="C660" s="32">
        <f t="shared" si="10"/>
        <v>8.6464925692233408E-3</v>
      </c>
    </row>
    <row r="661" spans="1:3" x14ac:dyDescent="0.6">
      <c r="A661" s="24">
        <v>30522</v>
      </c>
      <c r="B661" s="23">
        <v>0.63012999999999997</v>
      </c>
      <c r="C661" s="32">
        <f t="shared" si="10"/>
        <v>-1.4286764602362445E-2</v>
      </c>
    </row>
    <row r="662" spans="1:3" x14ac:dyDescent="0.6">
      <c r="A662" s="24">
        <v>30523</v>
      </c>
      <c r="B662" s="23">
        <v>0.57168399999999997</v>
      </c>
      <c r="C662" s="32">
        <f t="shared" si="10"/>
        <v>-9.2752289210162986E-2</v>
      </c>
    </row>
    <row r="663" spans="1:3" x14ac:dyDescent="0.6">
      <c r="A663" s="24">
        <v>30524</v>
      </c>
      <c r="B663" s="23">
        <v>0.52967500000000001</v>
      </c>
      <c r="C663" s="32">
        <f t="shared" si="10"/>
        <v>-7.348290314229533E-2</v>
      </c>
    </row>
    <row r="664" spans="1:3" x14ac:dyDescent="0.6">
      <c r="A664" s="24">
        <v>30525</v>
      </c>
      <c r="B664" s="23">
        <v>0.49679800000000002</v>
      </c>
      <c r="C664" s="32">
        <f t="shared" si="10"/>
        <v>-6.2070137348373966E-2</v>
      </c>
    </row>
    <row r="665" spans="1:3" x14ac:dyDescent="0.6">
      <c r="A665" s="24">
        <v>30526</v>
      </c>
      <c r="B665" s="23">
        <v>0.50958400000000004</v>
      </c>
      <c r="C665" s="32">
        <f t="shared" si="10"/>
        <v>2.573681858622634E-2</v>
      </c>
    </row>
    <row r="666" spans="1:3" x14ac:dyDescent="0.6">
      <c r="A666" s="24">
        <v>30529</v>
      </c>
      <c r="B666" s="23">
        <v>0.504104</v>
      </c>
      <c r="C666" s="32">
        <f t="shared" si="10"/>
        <v>-1.0753869823228457E-2</v>
      </c>
    </row>
    <row r="667" spans="1:3" x14ac:dyDescent="0.6">
      <c r="A667" s="24">
        <v>30530</v>
      </c>
      <c r="B667" s="23">
        <v>0.502278</v>
      </c>
      <c r="C667" s="32">
        <f t="shared" si="10"/>
        <v>-3.6222684208020439E-3</v>
      </c>
    </row>
    <row r="668" spans="1:3" x14ac:dyDescent="0.6">
      <c r="A668" s="24">
        <v>30531</v>
      </c>
      <c r="B668" s="23">
        <v>0.50958400000000004</v>
      </c>
      <c r="C668" s="32">
        <f t="shared" si="10"/>
        <v>1.4545729655688788E-2</v>
      </c>
    </row>
    <row r="669" spans="1:3" x14ac:dyDescent="0.6">
      <c r="A669" s="24">
        <v>30532</v>
      </c>
      <c r="B669" s="23">
        <v>0.48583900000000002</v>
      </c>
      <c r="C669" s="32">
        <f t="shared" si="10"/>
        <v>-4.6596831925649229E-2</v>
      </c>
    </row>
    <row r="670" spans="1:3" x14ac:dyDescent="0.6">
      <c r="A670" s="24">
        <v>30533</v>
      </c>
      <c r="B670" s="23">
        <v>0.49497200000000002</v>
      </c>
      <c r="C670" s="32">
        <f t="shared" si="10"/>
        <v>1.8798408526281341E-2</v>
      </c>
    </row>
    <row r="671" spans="1:3" x14ac:dyDescent="0.6">
      <c r="A671" s="24">
        <v>30536</v>
      </c>
      <c r="B671" s="23">
        <v>0.49679800000000002</v>
      </c>
      <c r="C671" s="32">
        <f t="shared" si="10"/>
        <v>3.6890975651147073E-3</v>
      </c>
    </row>
    <row r="672" spans="1:3" x14ac:dyDescent="0.6">
      <c r="A672" s="24">
        <v>30537</v>
      </c>
      <c r="B672" s="23">
        <v>0.502278</v>
      </c>
      <c r="C672" s="32">
        <f t="shared" si="10"/>
        <v>1.103064021996869E-2</v>
      </c>
    </row>
    <row r="673" spans="1:3" x14ac:dyDescent="0.6">
      <c r="A673" s="24">
        <v>30538</v>
      </c>
      <c r="B673" s="23">
        <v>0.50045200000000001</v>
      </c>
      <c r="C673" s="32">
        <f t="shared" si="10"/>
        <v>-3.6354369492591632E-3</v>
      </c>
    </row>
    <row r="674" spans="1:3" x14ac:dyDescent="0.6">
      <c r="A674" s="24">
        <v>30539</v>
      </c>
      <c r="B674" s="23">
        <v>0.49314599999999997</v>
      </c>
      <c r="C674" s="32">
        <f t="shared" si="10"/>
        <v>-1.4598802682375234E-2</v>
      </c>
    </row>
    <row r="675" spans="1:3" x14ac:dyDescent="0.6">
      <c r="A675" s="24">
        <v>30540</v>
      </c>
      <c r="B675" s="23">
        <v>0.48949300000000001</v>
      </c>
      <c r="C675" s="32">
        <f t="shared" si="10"/>
        <v>-7.4075425938767703E-3</v>
      </c>
    </row>
    <row r="676" spans="1:3" x14ac:dyDescent="0.6">
      <c r="A676" s="24">
        <v>30543</v>
      </c>
      <c r="B676" s="23">
        <v>0.502278</v>
      </c>
      <c r="C676" s="32">
        <f t="shared" si="10"/>
        <v>2.6118861761046608E-2</v>
      </c>
    </row>
    <row r="677" spans="1:3" x14ac:dyDescent="0.6">
      <c r="A677" s="24">
        <v>30544</v>
      </c>
      <c r="B677" s="23">
        <v>0.49497200000000002</v>
      </c>
      <c r="C677" s="32">
        <f t="shared" si="10"/>
        <v>-1.4545729655688677E-2</v>
      </c>
    </row>
    <row r="678" spans="1:3" x14ac:dyDescent="0.6">
      <c r="A678" s="24">
        <v>30545</v>
      </c>
      <c r="B678" s="23">
        <v>0.48401300000000003</v>
      </c>
      <c r="C678" s="32">
        <f t="shared" si="10"/>
        <v>-2.2140646339590897E-2</v>
      </c>
    </row>
    <row r="679" spans="1:3" x14ac:dyDescent="0.6">
      <c r="A679" s="24">
        <v>30546</v>
      </c>
      <c r="B679" s="23">
        <v>0.48949300000000001</v>
      </c>
      <c r="C679" s="32">
        <f t="shared" si="10"/>
        <v>1.1322009946013845E-2</v>
      </c>
    </row>
    <row r="680" spans="1:3" x14ac:dyDescent="0.6">
      <c r="A680" s="24">
        <v>30547</v>
      </c>
      <c r="B680" s="23">
        <v>0.49314599999999997</v>
      </c>
      <c r="C680" s="32">
        <f t="shared" si="10"/>
        <v>7.4628237788894047E-3</v>
      </c>
    </row>
    <row r="681" spans="1:3" x14ac:dyDescent="0.6">
      <c r="A681" s="24">
        <v>30550</v>
      </c>
      <c r="B681" s="23">
        <v>0.49131900000000001</v>
      </c>
      <c r="C681" s="32">
        <f t="shared" si="10"/>
        <v>-3.7047851954592481E-3</v>
      </c>
    </row>
    <row r="682" spans="1:3" x14ac:dyDescent="0.6">
      <c r="A682" s="24">
        <v>30551</v>
      </c>
      <c r="B682" s="23">
        <v>0.46574900000000002</v>
      </c>
      <c r="C682" s="32">
        <f t="shared" si="10"/>
        <v>-5.2043580647196608E-2</v>
      </c>
    </row>
    <row r="683" spans="1:3" x14ac:dyDescent="0.6">
      <c r="A683" s="24">
        <v>30552</v>
      </c>
      <c r="B683" s="23">
        <v>0.44200499999999998</v>
      </c>
      <c r="C683" s="32">
        <f t="shared" si="10"/>
        <v>-5.0980249018248158E-2</v>
      </c>
    </row>
    <row r="684" spans="1:3" x14ac:dyDescent="0.6">
      <c r="A684" s="24">
        <v>30553</v>
      </c>
      <c r="B684" s="23">
        <v>0.445658</v>
      </c>
      <c r="C684" s="32">
        <f t="shared" si="10"/>
        <v>8.2646123912626379E-3</v>
      </c>
    </row>
    <row r="685" spans="1:3" x14ac:dyDescent="0.6">
      <c r="A685" s="24">
        <v>30554</v>
      </c>
      <c r="B685" s="23">
        <v>0.45113700000000001</v>
      </c>
      <c r="C685" s="32">
        <f t="shared" si="10"/>
        <v>1.2294180739490956E-2</v>
      </c>
    </row>
    <row r="686" spans="1:3" x14ac:dyDescent="0.6">
      <c r="A686" s="24">
        <v>30557</v>
      </c>
      <c r="B686" s="23">
        <v>0.45661600000000002</v>
      </c>
      <c r="C686" s="32">
        <f t="shared" si="10"/>
        <v>1.2144869518571966E-2</v>
      </c>
    </row>
    <row r="687" spans="1:3" x14ac:dyDescent="0.6">
      <c r="A687" s="24">
        <v>30558</v>
      </c>
      <c r="B687" s="23">
        <v>0.48036000000000001</v>
      </c>
      <c r="C687" s="32">
        <f t="shared" si="10"/>
        <v>5.1999929919231969E-2</v>
      </c>
    </row>
    <row r="688" spans="1:3" x14ac:dyDescent="0.6">
      <c r="A688" s="24">
        <v>30559</v>
      </c>
      <c r="B688" s="23">
        <v>0.54428699999999997</v>
      </c>
      <c r="C688" s="32">
        <f t="shared" si="10"/>
        <v>0.13308143892080926</v>
      </c>
    </row>
    <row r="689" spans="1:3" x14ac:dyDescent="0.6">
      <c r="A689" s="24">
        <v>30560</v>
      </c>
      <c r="B689" s="23">
        <v>0.531501</v>
      </c>
      <c r="C689" s="32">
        <f t="shared" si="10"/>
        <v>-2.3491283091457205E-2</v>
      </c>
    </row>
    <row r="690" spans="1:3" x14ac:dyDescent="0.6">
      <c r="A690" s="24">
        <v>30561</v>
      </c>
      <c r="B690" s="23">
        <v>0.55524499999999999</v>
      </c>
      <c r="C690" s="32">
        <f t="shared" si="10"/>
        <v>4.4673481329291942E-2</v>
      </c>
    </row>
    <row r="691" spans="1:3" x14ac:dyDescent="0.6">
      <c r="A691" s="24">
        <v>30565</v>
      </c>
      <c r="B691" s="23">
        <v>0.57533599999999996</v>
      </c>
      <c r="C691" s="32">
        <f t="shared" si="10"/>
        <v>3.6184026871020958E-2</v>
      </c>
    </row>
    <row r="692" spans="1:3" x14ac:dyDescent="0.6">
      <c r="A692" s="24">
        <v>30566</v>
      </c>
      <c r="B692" s="23">
        <v>0.50593100000000002</v>
      </c>
      <c r="C692" s="32">
        <f t="shared" si="10"/>
        <v>-0.12063385569475915</v>
      </c>
    </row>
    <row r="693" spans="1:3" x14ac:dyDescent="0.6">
      <c r="A693" s="24">
        <v>30567</v>
      </c>
      <c r="B693" s="23">
        <v>0.463922</v>
      </c>
      <c r="C693" s="32">
        <f t="shared" si="10"/>
        <v>-8.3033061820683041E-2</v>
      </c>
    </row>
    <row r="694" spans="1:3" x14ac:dyDescent="0.6">
      <c r="A694" s="24">
        <v>30568</v>
      </c>
      <c r="B694" s="23">
        <v>0.44748399999999999</v>
      </c>
      <c r="C694" s="32">
        <f t="shared" si="10"/>
        <v>-3.5432680493703739E-2</v>
      </c>
    </row>
    <row r="695" spans="1:3" x14ac:dyDescent="0.6">
      <c r="A695" s="24">
        <v>30571</v>
      </c>
      <c r="B695" s="23">
        <v>0.44748399999999999</v>
      </c>
      <c r="C695" s="32">
        <f t="shared" si="10"/>
        <v>0</v>
      </c>
    </row>
    <row r="696" spans="1:3" x14ac:dyDescent="0.6">
      <c r="A696" s="24">
        <v>30572</v>
      </c>
      <c r="B696" s="23">
        <v>0.46757500000000002</v>
      </c>
      <c r="C696" s="32">
        <f t="shared" si="10"/>
        <v>4.4897694666178101E-2</v>
      </c>
    </row>
    <row r="697" spans="1:3" x14ac:dyDescent="0.6">
      <c r="A697" s="24">
        <v>30573</v>
      </c>
      <c r="B697" s="23">
        <v>0.46209600000000001</v>
      </c>
      <c r="C697" s="32">
        <f t="shared" si="10"/>
        <v>-1.1717906218253749E-2</v>
      </c>
    </row>
    <row r="698" spans="1:3" x14ac:dyDescent="0.6">
      <c r="A698" s="24">
        <v>30574</v>
      </c>
      <c r="B698" s="23">
        <v>0.44017800000000001</v>
      </c>
      <c r="C698" s="32">
        <f t="shared" si="10"/>
        <v>-4.7431702503375917E-2</v>
      </c>
    </row>
    <row r="699" spans="1:3" x14ac:dyDescent="0.6">
      <c r="A699" s="24">
        <v>30575</v>
      </c>
      <c r="B699" s="23">
        <v>0.42921900000000002</v>
      </c>
      <c r="C699" s="32">
        <f t="shared" si="10"/>
        <v>-2.489674631626293E-2</v>
      </c>
    </row>
    <row r="700" spans="1:3" x14ac:dyDescent="0.6">
      <c r="A700" s="24">
        <v>30578</v>
      </c>
      <c r="B700" s="23">
        <v>0.46757500000000002</v>
      </c>
      <c r="C700" s="32">
        <f t="shared" si="10"/>
        <v>8.9362306887626142E-2</v>
      </c>
    </row>
    <row r="701" spans="1:3" x14ac:dyDescent="0.6">
      <c r="A701" s="24">
        <v>30579</v>
      </c>
      <c r="B701" s="23">
        <v>0.46940100000000001</v>
      </c>
      <c r="C701" s="32">
        <f t="shared" si="10"/>
        <v>3.9052558413088523E-3</v>
      </c>
    </row>
    <row r="702" spans="1:3" x14ac:dyDescent="0.6">
      <c r="A702" s="24">
        <v>30580</v>
      </c>
      <c r="B702" s="23">
        <v>0.46026899999999998</v>
      </c>
      <c r="C702" s="32">
        <f t="shared" si="10"/>
        <v>-1.9454581477244437E-2</v>
      </c>
    </row>
    <row r="703" spans="1:3" x14ac:dyDescent="0.6">
      <c r="A703" s="24">
        <v>30581</v>
      </c>
      <c r="B703" s="23">
        <v>0.474881</v>
      </c>
      <c r="C703" s="32">
        <f t="shared" si="10"/>
        <v>3.1746652501037476E-2</v>
      </c>
    </row>
    <row r="704" spans="1:3" x14ac:dyDescent="0.6">
      <c r="A704" s="24">
        <v>30582</v>
      </c>
      <c r="B704" s="23">
        <v>0.35433399999999998</v>
      </c>
      <c r="C704" s="32">
        <f t="shared" si="10"/>
        <v>-0.25384675318658778</v>
      </c>
    </row>
    <row r="705" spans="1:3" x14ac:dyDescent="0.6">
      <c r="A705" s="24">
        <v>30585</v>
      </c>
      <c r="B705" s="23">
        <v>0.36346699999999998</v>
      </c>
      <c r="C705" s="32">
        <f t="shared" si="10"/>
        <v>2.5775116133365694E-2</v>
      </c>
    </row>
    <row r="706" spans="1:3" x14ac:dyDescent="0.6">
      <c r="A706" s="24">
        <v>30586</v>
      </c>
      <c r="B706" s="23">
        <v>0.34337499999999999</v>
      </c>
      <c r="C706" s="32">
        <f t="shared" si="10"/>
        <v>-5.527874607598493E-2</v>
      </c>
    </row>
    <row r="707" spans="1:3" x14ac:dyDescent="0.6">
      <c r="A707" s="24">
        <v>30587</v>
      </c>
      <c r="B707" s="23">
        <v>0.33424300000000001</v>
      </c>
      <c r="C707" s="32">
        <f t="shared" si="10"/>
        <v>-2.6594830724426588E-2</v>
      </c>
    </row>
    <row r="708" spans="1:3" x14ac:dyDescent="0.6">
      <c r="A708" s="24">
        <v>30588</v>
      </c>
      <c r="B708" s="23">
        <v>0.33241700000000002</v>
      </c>
      <c r="C708" s="32">
        <f t="shared" ref="C708:C771" si="11">B708/B707-1</f>
        <v>-5.4630912240495322E-3</v>
      </c>
    </row>
    <row r="709" spans="1:3" x14ac:dyDescent="0.6">
      <c r="A709" s="24">
        <v>30589</v>
      </c>
      <c r="B709" s="23">
        <v>0.33789599999999997</v>
      </c>
      <c r="C709" s="32">
        <f t="shared" si="11"/>
        <v>1.6482309869832124E-2</v>
      </c>
    </row>
    <row r="710" spans="1:3" x14ac:dyDescent="0.6">
      <c r="A710" s="24">
        <v>30592</v>
      </c>
      <c r="B710" s="23">
        <v>0.33789599999999997</v>
      </c>
      <c r="C710" s="32">
        <f t="shared" si="11"/>
        <v>0</v>
      </c>
    </row>
    <row r="711" spans="1:3" x14ac:dyDescent="0.6">
      <c r="A711" s="24">
        <v>30593</v>
      </c>
      <c r="B711" s="23">
        <v>0.33424300000000001</v>
      </c>
      <c r="C711" s="32">
        <f t="shared" si="11"/>
        <v>-1.0811018775007564E-2</v>
      </c>
    </row>
    <row r="712" spans="1:3" x14ac:dyDescent="0.6">
      <c r="A712" s="24">
        <v>30594</v>
      </c>
      <c r="B712" s="23">
        <v>0.328764</v>
      </c>
      <c r="C712" s="32">
        <f t="shared" si="11"/>
        <v>-1.6392265507430226E-2</v>
      </c>
    </row>
    <row r="713" spans="1:3" x14ac:dyDescent="0.6">
      <c r="A713" s="24">
        <v>30595</v>
      </c>
      <c r="B713" s="23">
        <v>0.32511099999999998</v>
      </c>
      <c r="C713" s="32">
        <f t="shared" si="11"/>
        <v>-1.1111313890815322E-2</v>
      </c>
    </row>
    <row r="714" spans="1:3" x14ac:dyDescent="0.6">
      <c r="A714" s="24">
        <v>30596</v>
      </c>
      <c r="B714" s="23">
        <v>0.29771399999999998</v>
      </c>
      <c r="C714" s="32">
        <f t="shared" si="11"/>
        <v>-8.4269680201531139E-2</v>
      </c>
    </row>
    <row r="715" spans="1:3" x14ac:dyDescent="0.6">
      <c r="A715" s="24">
        <v>30599</v>
      </c>
      <c r="B715" s="23">
        <v>0.28858099999999998</v>
      </c>
      <c r="C715" s="32">
        <f t="shared" si="11"/>
        <v>-3.0677092780319382E-2</v>
      </c>
    </row>
    <row r="716" spans="1:3" x14ac:dyDescent="0.6">
      <c r="A716" s="24">
        <v>30600</v>
      </c>
      <c r="B716" s="23">
        <v>0.28310200000000002</v>
      </c>
      <c r="C716" s="32">
        <f t="shared" si="11"/>
        <v>-1.8986003929572504E-2</v>
      </c>
    </row>
    <row r="717" spans="1:3" x14ac:dyDescent="0.6">
      <c r="A717" s="24">
        <v>30601</v>
      </c>
      <c r="B717" s="23">
        <v>0.30867299999999998</v>
      </c>
      <c r="C717" s="32">
        <f t="shared" si="11"/>
        <v>9.0324335398548783E-2</v>
      </c>
    </row>
    <row r="718" spans="1:3" x14ac:dyDescent="0.6">
      <c r="A718" s="24">
        <v>30602</v>
      </c>
      <c r="B718" s="23">
        <v>0.33606999999999998</v>
      </c>
      <c r="C718" s="32">
        <f t="shared" si="11"/>
        <v>8.8757358110362672E-2</v>
      </c>
    </row>
    <row r="719" spans="1:3" x14ac:dyDescent="0.6">
      <c r="A719" s="24">
        <v>30603</v>
      </c>
      <c r="B719" s="23">
        <v>0.33241700000000002</v>
      </c>
      <c r="C719" s="32">
        <f t="shared" si="11"/>
        <v>-1.0869759276341151E-2</v>
      </c>
    </row>
    <row r="720" spans="1:3" x14ac:dyDescent="0.6">
      <c r="A720" s="24">
        <v>30606</v>
      </c>
      <c r="B720" s="23">
        <v>0.30684600000000001</v>
      </c>
      <c r="C720" s="32">
        <f t="shared" si="11"/>
        <v>-7.6924465355261651E-2</v>
      </c>
    </row>
    <row r="721" spans="1:3" x14ac:dyDescent="0.6">
      <c r="A721" s="24">
        <v>30607</v>
      </c>
      <c r="B721" s="23">
        <v>0.28310200000000002</v>
      </c>
      <c r="C721" s="32">
        <f t="shared" si="11"/>
        <v>-7.7380835989388719E-2</v>
      </c>
    </row>
    <row r="722" spans="1:3" x14ac:dyDescent="0.6">
      <c r="A722" s="24">
        <v>30608</v>
      </c>
      <c r="B722" s="23">
        <v>0.31415199999999999</v>
      </c>
      <c r="C722" s="32">
        <f t="shared" si="11"/>
        <v>0.10967778397891914</v>
      </c>
    </row>
    <row r="723" spans="1:3" x14ac:dyDescent="0.6">
      <c r="A723" s="24">
        <v>30609</v>
      </c>
      <c r="B723" s="23">
        <v>0.29771399999999998</v>
      </c>
      <c r="C723" s="32">
        <f t="shared" si="11"/>
        <v>-5.2324989177213621E-2</v>
      </c>
    </row>
    <row r="724" spans="1:3" x14ac:dyDescent="0.6">
      <c r="A724" s="24">
        <v>30610</v>
      </c>
      <c r="B724" s="23">
        <v>0.290408</v>
      </c>
      <c r="C724" s="32">
        <f t="shared" si="11"/>
        <v>-2.4540330652908393E-2</v>
      </c>
    </row>
    <row r="725" spans="1:3" x14ac:dyDescent="0.6">
      <c r="A725" s="24">
        <v>30613</v>
      </c>
      <c r="B725" s="23">
        <v>0.30867299999999998</v>
      </c>
      <c r="C725" s="32">
        <f t="shared" si="11"/>
        <v>6.2894272885044344E-2</v>
      </c>
    </row>
    <row r="726" spans="1:3" x14ac:dyDescent="0.6">
      <c r="A726" s="24">
        <v>30614</v>
      </c>
      <c r="B726" s="23">
        <v>0.31049900000000002</v>
      </c>
      <c r="C726" s="32">
        <f t="shared" si="11"/>
        <v>5.9156453593285363E-3</v>
      </c>
    </row>
    <row r="727" spans="1:3" x14ac:dyDescent="0.6">
      <c r="A727" s="24">
        <v>30615</v>
      </c>
      <c r="B727" s="23">
        <v>0.29406100000000002</v>
      </c>
      <c r="C727" s="32">
        <f t="shared" si="11"/>
        <v>-5.2940589180641484E-2</v>
      </c>
    </row>
    <row r="728" spans="1:3" x14ac:dyDescent="0.6">
      <c r="A728" s="24">
        <v>30616</v>
      </c>
      <c r="B728" s="23">
        <v>0.30867299999999998</v>
      </c>
      <c r="C728" s="32">
        <f t="shared" si="11"/>
        <v>4.9690370365332193E-2</v>
      </c>
    </row>
    <row r="729" spans="1:3" x14ac:dyDescent="0.6">
      <c r="A729" s="24">
        <v>30617</v>
      </c>
      <c r="B729" s="23">
        <v>0.30502000000000001</v>
      </c>
      <c r="C729" s="32">
        <f t="shared" si="11"/>
        <v>-1.183453039300475E-2</v>
      </c>
    </row>
    <row r="730" spans="1:3" x14ac:dyDescent="0.6">
      <c r="A730" s="24">
        <v>30620</v>
      </c>
      <c r="B730" s="23">
        <v>0.33058999999999999</v>
      </c>
      <c r="C730" s="32">
        <f t="shared" si="11"/>
        <v>8.3830568487312185E-2</v>
      </c>
    </row>
    <row r="731" spans="1:3" x14ac:dyDescent="0.6">
      <c r="A731" s="24">
        <v>30621</v>
      </c>
      <c r="B731" s="23">
        <v>0.33606999999999998</v>
      </c>
      <c r="C731" s="32">
        <f t="shared" si="11"/>
        <v>1.6576423969266951E-2</v>
      </c>
    </row>
    <row r="732" spans="1:3" x14ac:dyDescent="0.6">
      <c r="A732" s="24">
        <v>30622</v>
      </c>
      <c r="B732" s="23">
        <v>0.34337499999999999</v>
      </c>
      <c r="C732" s="32">
        <f t="shared" si="11"/>
        <v>2.1736542982116802E-2</v>
      </c>
    </row>
    <row r="733" spans="1:3" x14ac:dyDescent="0.6">
      <c r="A733" s="24">
        <v>30623</v>
      </c>
      <c r="B733" s="23">
        <v>0.319631</v>
      </c>
      <c r="C733" s="32">
        <f t="shared" si="11"/>
        <v>-6.9148889697852156E-2</v>
      </c>
    </row>
    <row r="734" spans="1:3" x14ac:dyDescent="0.6">
      <c r="A734" s="24">
        <v>30624</v>
      </c>
      <c r="B734" s="23">
        <v>0.30867299999999998</v>
      </c>
      <c r="C734" s="32">
        <f t="shared" si="11"/>
        <v>-3.4283282910606339E-2</v>
      </c>
    </row>
    <row r="735" spans="1:3" x14ac:dyDescent="0.6">
      <c r="A735" s="24">
        <v>30627</v>
      </c>
      <c r="B735" s="23">
        <v>0.30684600000000001</v>
      </c>
      <c r="C735" s="32">
        <f t="shared" si="11"/>
        <v>-5.9188850336763243E-3</v>
      </c>
    </row>
    <row r="736" spans="1:3" x14ac:dyDescent="0.6">
      <c r="A736" s="24">
        <v>30628</v>
      </c>
      <c r="B736" s="23">
        <v>0.261185</v>
      </c>
      <c r="C736" s="32">
        <f t="shared" si="11"/>
        <v>-0.14880754515294314</v>
      </c>
    </row>
    <row r="737" spans="1:3" x14ac:dyDescent="0.6">
      <c r="A737" s="24">
        <v>30629</v>
      </c>
      <c r="B737" s="23">
        <v>0.28127600000000003</v>
      </c>
      <c r="C737" s="32">
        <f t="shared" si="11"/>
        <v>7.6922487891724289E-2</v>
      </c>
    </row>
    <row r="738" spans="1:3" x14ac:dyDescent="0.6">
      <c r="A738" s="24">
        <v>30630</v>
      </c>
      <c r="B738" s="23">
        <v>0.28675499999999998</v>
      </c>
      <c r="C738" s="32">
        <f t="shared" si="11"/>
        <v>1.9479088155405888E-2</v>
      </c>
    </row>
    <row r="739" spans="1:3" x14ac:dyDescent="0.6">
      <c r="A739" s="24">
        <v>30631</v>
      </c>
      <c r="B739" s="23">
        <v>0.29223399999999999</v>
      </c>
      <c r="C739" s="32">
        <f t="shared" si="11"/>
        <v>1.91069031054385E-2</v>
      </c>
    </row>
    <row r="740" spans="1:3" x14ac:dyDescent="0.6">
      <c r="A740" s="24">
        <v>30634</v>
      </c>
      <c r="B740" s="23">
        <v>0.28858099999999998</v>
      </c>
      <c r="C740" s="32">
        <f t="shared" si="11"/>
        <v>-1.2500256643648622E-2</v>
      </c>
    </row>
    <row r="741" spans="1:3" x14ac:dyDescent="0.6">
      <c r="A741" s="24">
        <v>30635</v>
      </c>
      <c r="B741" s="23">
        <v>0.28858099999999998</v>
      </c>
      <c r="C741" s="32">
        <f t="shared" si="11"/>
        <v>0</v>
      </c>
    </row>
    <row r="742" spans="1:3" x14ac:dyDescent="0.6">
      <c r="A742" s="24">
        <v>30636</v>
      </c>
      <c r="B742" s="23">
        <v>0.29223399999999999</v>
      </c>
      <c r="C742" s="32">
        <f t="shared" si="11"/>
        <v>1.2658491030248076E-2</v>
      </c>
    </row>
    <row r="743" spans="1:3" x14ac:dyDescent="0.6">
      <c r="A743" s="24">
        <v>30637</v>
      </c>
      <c r="B743" s="23">
        <v>0.29953999999999997</v>
      </c>
      <c r="C743" s="32">
        <f t="shared" si="11"/>
        <v>2.5000513287297021E-2</v>
      </c>
    </row>
    <row r="744" spans="1:3" x14ac:dyDescent="0.6">
      <c r="A744" s="24">
        <v>30638</v>
      </c>
      <c r="B744" s="23">
        <v>0.301367</v>
      </c>
      <c r="C744" s="32">
        <f t="shared" si="11"/>
        <v>6.0993523402550487E-3</v>
      </c>
    </row>
    <row r="745" spans="1:3" x14ac:dyDescent="0.6">
      <c r="A745" s="24">
        <v>30641</v>
      </c>
      <c r="B745" s="23">
        <v>0.31415199999999999</v>
      </c>
      <c r="C745" s="32">
        <f t="shared" si="11"/>
        <v>4.2423357567351383E-2</v>
      </c>
    </row>
    <row r="746" spans="1:3" x14ac:dyDescent="0.6">
      <c r="A746" s="24">
        <v>30642</v>
      </c>
      <c r="B746" s="23">
        <v>0.31415199999999999</v>
      </c>
      <c r="C746" s="32">
        <f t="shared" si="11"/>
        <v>0</v>
      </c>
    </row>
    <row r="747" spans="1:3" x14ac:dyDescent="0.6">
      <c r="A747" s="24">
        <v>30643</v>
      </c>
      <c r="B747" s="23">
        <v>0.29771399999999998</v>
      </c>
      <c r="C747" s="32">
        <f t="shared" si="11"/>
        <v>-5.2324989177213621E-2</v>
      </c>
    </row>
    <row r="748" spans="1:3" x14ac:dyDescent="0.6">
      <c r="A748" s="24">
        <v>30645</v>
      </c>
      <c r="B748" s="23">
        <v>0.29953999999999997</v>
      </c>
      <c r="C748" s="32">
        <f t="shared" si="11"/>
        <v>6.1334031990434301E-3</v>
      </c>
    </row>
    <row r="749" spans="1:3" x14ac:dyDescent="0.6">
      <c r="A749" s="24">
        <v>30648</v>
      </c>
      <c r="B749" s="23">
        <v>0.30684600000000001</v>
      </c>
      <c r="C749" s="32">
        <f t="shared" si="11"/>
        <v>2.4390732456433417E-2</v>
      </c>
    </row>
    <row r="750" spans="1:3" x14ac:dyDescent="0.6">
      <c r="A750" s="24">
        <v>30649</v>
      </c>
      <c r="B750" s="23">
        <v>0.30319299999999999</v>
      </c>
      <c r="C750" s="32">
        <f t="shared" si="11"/>
        <v>-1.1904994687889081E-2</v>
      </c>
    </row>
    <row r="751" spans="1:3" x14ac:dyDescent="0.6">
      <c r="A751" s="24">
        <v>30650</v>
      </c>
      <c r="B751" s="23">
        <v>0.29771399999999998</v>
      </c>
      <c r="C751" s="32">
        <f t="shared" si="11"/>
        <v>-1.8070997681344902E-2</v>
      </c>
    </row>
    <row r="752" spans="1:3" x14ac:dyDescent="0.6">
      <c r="A752" s="24">
        <v>30651</v>
      </c>
      <c r="B752" s="23">
        <v>0.29588700000000001</v>
      </c>
      <c r="C752" s="32">
        <f t="shared" si="11"/>
        <v>-6.1367621274107664E-3</v>
      </c>
    </row>
    <row r="753" spans="1:3" x14ac:dyDescent="0.6">
      <c r="A753" s="24">
        <v>30652</v>
      </c>
      <c r="B753" s="23">
        <v>0.290408</v>
      </c>
      <c r="C753" s="32">
        <f t="shared" si="11"/>
        <v>-1.8517204202955884E-2</v>
      </c>
    </row>
    <row r="754" spans="1:3" x14ac:dyDescent="0.6">
      <c r="A754" s="24">
        <v>30655</v>
      </c>
      <c r="B754" s="23">
        <v>0.29771399999999998</v>
      </c>
      <c r="C754" s="32">
        <f t="shared" si="11"/>
        <v>2.5157709154017827E-2</v>
      </c>
    </row>
    <row r="755" spans="1:3" x14ac:dyDescent="0.6">
      <c r="A755" s="24">
        <v>30656</v>
      </c>
      <c r="B755" s="23">
        <v>0.29953999999999997</v>
      </c>
      <c r="C755" s="32">
        <f t="shared" si="11"/>
        <v>6.1334031990434301E-3</v>
      </c>
    </row>
    <row r="756" spans="1:3" x14ac:dyDescent="0.6">
      <c r="A756" s="24">
        <v>30657</v>
      </c>
      <c r="B756" s="23">
        <v>0.30684600000000001</v>
      </c>
      <c r="C756" s="32">
        <f t="shared" si="11"/>
        <v>2.4390732456433417E-2</v>
      </c>
    </row>
    <row r="757" spans="1:3" x14ac:dyDescent="0.6">
      <c r="A757" s="24">
        <v>30658</v>
      </c>
      <c r="B757" s="23">
        <v>0.31415199999999999</v>
      </c>
      <c r="C757" s="32">
        <f t="shared" si="11"/>
        <v>2.380998937577794E-2</v>
      </c>
    </row>
    <row r="758" spans="1:3" x14ac:dyDescent="0.6">
      <c r="A758" s="24">
        <v>30659</v>
      </c>
      <c r="B758" s="23">
        <v>0.31597799999999998</v>
      </c>
      <c r="C758" s="32">
        <f t="shared" si="11"/>
        <v>5.8124729430339972E-3</v>
      </c>
    </row>
    <row r="759" spans="1:3" x14ac:dyDescent="0.6">
      <c r="A759" s="24">
        <v>30662</v>
      </c>
      <c r="B759" s="23">
        <v>0.31415199999999999</v>
      </c>
      <c r="C759" s="32">
        <f t="shared" si="11"/>
        <v>-5.7788833399793349E-3</v>
      </c>
    </row>
    <row r="760" spans="1:3" x14ac:dyDescent="0.6">
      <c r="A760" s="24">
        <v>30663</v>
      </c>
      <c r="B760" s="23">
        <v>0.328764</v>
      </c>
      <c r="C760" s="32">
        <f t="shared" si="11"/>
        <v>4.6512516234179735E-2</v>
      </c>
    </row>
    <row r="761" spans="1:3" x14ac:dyDescent="0.6">
      <c r="A761" s="24">
        <v>30664</v>
      </c>
      <c r="B761" s="23">
        <v>0.34154899999999999</v>
      </c>
      <c r="C761" s="32">
        <f t="shared" si="11"/>
        <v>3.8888077770072194E-2</v>
      </c>
    </row>
    <row r="762" spans="1:3" x14ac:dyDescent="0.6">
      <c r="A762" s="24">
        <v>30665</v>
      </c>
      <c r="B762" s="23">
        <v>0.35616100000000001</v>
      </c>
      <c r="C762" s="32">
        <f t="shared" si="11"/>
        <v>4.2781562821147201E-2</v>
      </c>
    </row>
    <row r="763" spans="1:3" x14ac:dyDescent="0.6">
      <c r="A763" s="24">
        <v>30666</v>
      </c>
      <c r="B763" s="23">
        <v>0.36164000000000002</v>
      </c>
      <c r="C763" s="32">
        <f t="shared" si="11"/>
        <v>1.5383492297023071E-2</v>
      </c>
    </row>
    <row r="764" spans="1:3" x14ac:dyDescent="0.6">
      <c r="A764" s="24">
        <v>30669</v>
      </c>
      <c r="B764" s="23">
        <v>0.35068100000000002</v>
      </c>
      <c r="C764" s="32">
        <f t="shared" si="11"/>
        <v>-3.030361685654237E-2</v>
      </c>
    </row>
    <row r="765" spans="1:3" x14ac:dyDescent="0.6">
      <c r="A765" s="24">
        <v>30670</v>
      </c>
      <c r="B765" s="23">
        <v>0.34154899999999999</v>
      </c>
      <c r="C765" s="32">
        <f t="shared" si="11"/>
        <v>-2.6040760691340648E-2</v>
      </c>
    </row>
    <row r="766" spans="1:3" x14ac:dyDescent="0.6">
      <c r="A766" s="24">
        <v>30671</v>
      </c>
      <c r="B766" s="23">
        <v>0.35433399999999998</v>
      </c>
      <c r="C766" s="32">
        <f t="shared" si="11"/>
        <v>3.7432403549710225E-2</v>
      </c>
    </row>
    <row r="767" spans="1:3" x14ac:dyDescent="0.6">
      <c r="A767" s="24">
        <v>30672</v>
      </c>
      <c r="B767" s="23">
        <v>0.36164000000000002</v>
      </c>
      <c r="C767" s="32">
        <f t="shared" si="11"/>
        <v>2.0618964028289888E-2</v>
      </c>
    </row>
    <row r="768" spans="1:3" x14ac:dyDescent="0.6">
      <c r="A768" s="24">
        <v>30673</v>
      </c>
      <c r="B768" s="23">
        <v>0.35981400000000002</v>
      </c>
      <c r="C768" s="32">
        <f t="shared" si="11"/>
        <v>-5.0492202190023372E-3</v>
      </c>
    </row>
    <row r="769" spans="1:3" x14ac:dyDescent="0.6">
      <c r="A769" s="24">
        <v>30677</v>
      </c>
      <c r="B769" s="23">
        <v>0.36164000000000002</v>
      </c>
      <c r="C769" s="32">
        <f t="shared" si="11"/>
        <v>5.0748442250718728E-3</v>
      </c>
    </row>
    <row r="770" spans="1:3" x14ac:dyDescent="0.6">
      <c r="A770" s="24">
        <v>30678</v>
      </c>
      <c r="B770" s="23">
        <v>0.36529299999999998</v>
      </c>
      <c r="C770" s="32">
        <f t="shared" si="11"/>
        <v>1.010120561884742E-2</v>
      </c>
    </row>
    <row r="771" spans="1:3" x14ac:dyDescent="0.6">
      <c r="A771" s="24">
        <v>30679</v>
      </c>
      <c r="B771" s="23">
        <v>0.35616100000000001</v>
      </c>
      <c r="C771" s="32">
        <f t="shared" si="11"/>
        <v>-2.4999110303235983E-2</v>
      </c>
    </row>
    <row r="772" spans="1:3" x14ac:dyDescent="0.6">
      <c r="A772" s="24">
        <v>30680</v>
      </c>
      <c r="B772" s="23">
        <v>0.35616100000000001</v>
      </c>
      <c r="C772" s="32">
        <f t="shared" ref="C772:C835" si="12">B772/B771-1</f>
        <v>0</v>
      </c>
    </row>
    <row r="773" spans="1:3" x14ac:dyDescent="0.6">
      <c r="A773" s="24">
        <v>30684</v>
      </c>
      <c r="B773" s="23">
        <v>0.37442500000000001</v>
      </c>
      <c r="C773" s="32">
        <f t="shared" si="12"/>
        <v>5.1280179469397336E-2</v>
      </c>
    </row>
    <row r="774" spans="1:3" x14ac:dyDescent="0.6">
      <c r="A774" s="24">
        <v>30685</v>
      </c>
      <c r="B774" s="23">
        <v>0.407302</v>
      </c>
      <c r="C774" s="32">
        <f t="shared" si="12"/>
        <v>8.7806636843159591E-2</v>
      </c>
    </row>
    <row r="775" spans="1:3" x14ac:dyDescent="0.6">
      <c r="A775" s="24">
        <v>30686</v>
      </c>
      <c r="B775" s="23">
        <v>0.41278100000000001</v>
      </c>
      <c r="C775" s="32">
        <f t="shared" si="12"/>
        <v>1.3451934927891429E-2</v>
      </c>
    </row>
    <row r="776" spans="1:3" x14ac:dyDescent="0.6">
      <c r="A776" s="24">
        <v>30687</v>
      </c>
      <c r="B776" s="23">
        <v>0.40547499999999997</v>
      </c>
      <c r="C776" s="32">
        <f t="shared" si="12"/>
        <v>-1.7699458066141704E-2</v>
      </c>
    </row>
    <row r="777" spans="1:3" x14ac:dyDescent="0.6">
      <c r="A777" s="24">
        <v>30690</v>
      </c>
      <c r="B777" s="23">
        <v>0.38355800000000001</v>
      </c>
      <c r="C777" s="32">
        <f t="shared" si="12"/>
        <v>-5.4052654294346025E-2</v>
      </c>
    </row>
    <row r="778" spans="1:3" x14ac:dyDescent="0.6">
      <c r="A778" s="24">
        <v>30691</v>
      </c>
      <c r="B778" s="23">
        <v>0.40364899999999998</v>
      </c>
      <c r="C778" s="32">
        <f t="shared" si="12"/>
        <v>5.2380604758602178E-2</v>
      </c>
    </row>
    <row r="779" spans="1:3" x14ac:dyDescent="0.6">
      <c r="A779" s="24">
        <v>30692</v>
      </c>
      <c r="B779" s="23">
        <v>0.40912799999999999</v>
      </c>
      <c r="C779" s="32">
        <f t="shared" si="12"/>
        <v>1.3573674157498328E-2</v>
      </c>
    </row>
    <row r="780" spans="1:3" x14ac:dyDescent="0.6">
      <c r="A780" s="24">
        <v>30693</v>
      </c>
      <c r="B780" s="23">
        <v>0.407302</v>
      </c>
      <c r="C780" s="32">
        <f t="shared" si="12"/>
        <v>-4.4631508965409239E-3</v>
      </c>
    </row>
    <row r="781" spans="1:3" x14ac:dyDescent="0.6">
      <c r="A781" s="24">
        <v>30694</v>
      </c>
      <c r="B781" s="23">
        <v>0.398169</v>
      </c>
      <c r="C781" s="32">
        <f t="shared" si="12"/>
        <v>-2.2423165120721289E-2</v>
      </c>
    </row>
    <row r="782" spans="1:3" x14ac:dyDescent="0.6">
      <c r="A782" s="24">
        <v>30697</v>
      </c>
      <c r="B782" s="23">
        <v>0.407302</v>
      </c>
      <c r="C782" s="32">
        <f t="shared" si="12"/>
        <v>2.2937496389723977E-2</v>
      </c>
    </row>
    <row r="783" spans="1:3" x14ac:dyDescent="0.6">
      <c r="A783" s="24">
        <v>30698</v>
      </c>
      <c r="B783" s="23">
        <v>0.41826099999999999</v>
      </c>
      <c r="C783" s="32">
        <f t="shared" si="12"/>
        <v>2.69063250364594E-2</v>
      </c>
    </row>
    <row r="784" spans="1:3" x14ac:dyDescent="0.6">
      <c r="A784" s="24">
        <v>30699</v>
      </c>
      <c r="B784" s="23">
        <v>0.42008699999999999</v>
      </c>
      <c r="C784" s="32">
        <f t="shared" si="12"/>
        <v>4.3656951042529979E-3</v>
      </c>
    </row>
    <row r="785" spans="1:3" x14ac:dyDescent="0.6">
      <c r="A785" s="24">
        <v>30700</v>
      </c>
      <c r="B785" s="23">
        <v>0.42374000000000001</v>
      </c>
      <c r="C785" s="32">
        <f t="shared" si="12"/>
        <v>8.6958177710807494E-3</v>
      </c>
    </row>
    <row r="786" spans="1:3" x14ac:dyDescent="0.6">
      <c r="A786" s="24">
        <v>30701</v>
      </c>
      <c r="B786" s="23">
        <v>0.41826099999999999</v>
      </c>
      <c r="C786" s="32">
        <f t="shared" si="12"/>
        <v>-1.2930098645395738E-2</v>
      </c>
    </row>
    <row r="787" spans="1:3" x14ac:dyDescent="0.6">
      <c r="A787" s="24">
        <v>30704</v>
      </c>
      <c r="B787" s="23">
        <v>0.42191299999999998</v>
      </c>
      <c r="C787" s="32">
        <f t="shared" si="12"/>
        <v>8.7313902085062178E-3</v>
      </c>
    </row>
    <row r="788" spans="1:3" x14ac:dyDescent="0.6">
      <c r="A788" s="24">
        <v>30705</v>
      </c>
      <c r="B788" s="23">
        <v>0.398169</v>
      </c>
      <c r="C788" s="32">
        <f t="shared" si="12"/>
        <v>-5.6277004974959244E-2</v>
      </c>
    </row>
    <row r="789" spans="1:3" x14ac:dyDescent="0.6">
      <c r="A789" s="24">
        <v>30706</v>
      </c>
      <c r="B789" s="23">
        <v>0.39451599999999998</v>
      </c>
      <c r="C789" s="32">
        <f t="shared" si="12"/>
        <v>-9.1744962566147059E-3</v>
      </c>
    </row>
    <row r="790" spans="1:3" x14ac:dyDescent="0.6">
      <c r="A790" s="24">
        <v>30707</v>
      </c>
      <c r="B790" s="23">
        <v>0.40364899999999998</v>
      </c>
      <c r="C790" s="32">
        <f t="shared" si="12"/>
        <v>2.3149884922284425E-2</v>
      </c>
    </row>
    <row r="791" spans="1:3" x14ac:dyDescent="0.6">
      <c r="A791" s="24">
        <v>30708</v>
      </c>
      <c r="B791" s="23">
        <v>0.38173099999999999</v>
      </c>
      <c r="C791" s="32">
        <f t="shared" si="12"/>
        <v>-5.4299651429831397E-2</v>
      </c>
    </row>
    <row r="792" spans="1:3" x14ac:dyDescent="0.6">
      <c r="A792" s="24">
        <v>30711</v>
      </c>
      <c r="B792" s="23">
        <v>0.36164000000000002</v>
      </c>
      <c r="C792" s="32">
        <f t="shared" si="12"/>
        <v>-5.2631303195181833E-2</v>
      </c>
    </row>
    <row r="793" spans="1:3" x14ac:dyDescent="0.6">
      <c r="A793" s="24">
        <v>30712</v>
      </c>
      <c r="B793" s="23">
        <v>0.36164000000000002</v>
      </c>
      <c r="C793" s="32">
        <f t="shared" si="12"/>
        <v>0</v>
      </c>
    </row>
    <row r="794" spans="1:3" x14ac:dyDescent="0.6">
      <c r="A794" s="24">
        <v>30713</v>
      </c>
      <c r="B794" s="23">
        <v>0.35981400000000002</v>
      </c>
      <c r="C794" s="32">
        <f t="shared" si="12"/>
        <v>-5.0492202190023372E-3</v>
      </c>
    </row>
    <row r="795" spans="1:3" x14ac:dyDescent="0.6">
      <c r="A795" s="24">
        <v>30714</v>
      </c>
      <c r="B795" s="23">
        <v>0.36346699999999998</v>
      </c>
      <c r="C795" s="32">
        <f t="shared" si="12"/>
        <v>1.0152467663848475E-2</v>
      </c>
    </row>
    <row r="796" spans="1:3" x14ac:dyDescent="0.6">
      <c r="A796" s="24">
        <v>30715</v>
      </c>
      <c r="B796" s="23">
        <v>0.357987</v>
      </c>
      <c r="C796" s="32">
        <f t="shared" si="12"/>
        <v>-1.5077022123053729E-2</v>
      </c>
    </row>
    <row r="797" spans="1:3" x14ac:dyDescent="0.6">
      <c r="A797" s="24">
        <v>30718</v>
      </c>
      <c r="B797" s="23">
        <v>0.339723</v>
      </c>
      <c r="C797" s="32">
        <f t="shared" si="12"/>
        <v>-5.1018612407713104E-2</v>
      </c>
    </row>
    <row r="798" spans="1:3" x14ac:dyDescent="0.6">
      <c r="A798" s="24">
        <v>30719</v>
      </c>
      <c r="B798" s="23">
        <v>0.35250799999999999</v>
      </c>
      <c r="C798" s="32">
        <f t="shared" si="12"/>
        <v>3.7633601492981006E-2</v>
      </c>
    </row>
    <row r="799" spans="1:3" x14ac:dyDescent="0.6">
      <c r="A799" s="24">
        <v>30720</v>
      </c>
      <c r="B799" s="23">
        <v>0.339723</v>
      </c>
      <c r="C799" s="32">
        <f t="shared" si="12"/>
        <v>-3.6268680427110844E-2</v>
      </c>
    </row>
    <row r="800" spans="1:3" x14ac:dyDescent="0.6">
      <c r="A800" s="24">
        <v>30721</v>
      </c>
      <c r="B800" s="23">
        <v>0.34520200000000001</v>
      </c>
      <c r="C800" s="32">
        <f t="shared" si="12"/>
        <v>1.6127845332815305E-2</v>
      </c>
    </row>
    <row r="801" spans="1:3" x14ac:dyDescent="0.6">
      <c r="A801" s="24">
        <v>30722</v>
      </c>
      <c r="B801" s="23">
        <v>0.35616100000000001</v>
      </c>
      <c r="C801" s="32">
        <f t="shared" si="12"/>
        <v>3.1746629509678437E-2</v>
      </c>
    </row>
    <row r="802" spans="1:3" x14ac:dyDescent="0.6">
      <c r="A802" s="24">
        <v>30725</v>
      </c>
      <c r="B802" s="23">
        <v>0.35433399999999998</v>
      </c>
      <c r="C802" s="32">
        <f t="shared" si="12"/>
        <v>-5.1297025783284544E-3</v>
      </c>
    </row>
    <row r="803" spans="1:3" x14ac:dyDescent="0.6">
      <c r="A803" s="24">
        <v>30726</v>
      </c>
      <c r="B803" s="23">
        <v>0.37442500000000001</v>
      </c>
      <c r="C803" s="32">
        <f t="shared" si="12"/>
        <v>5.6700739979793191E-2</v>
      </c>
    </row>
    <row r="804" spans="1:3" x14ac:dyDescent="0.6">
      <c r="A804" s="24">
        <v>30727</v>
      </c>
      <c r="B804" s="23">
        <v>0.36711899999999997</v>
      </c>
      <c r="C804" s="32">
        <f t="shared" si="12"/>
        <v>-1.95125859651466E-2</v>
      </c>
    </row>
    <row r="805" spans="1:3" x14ac:dyDescent="0.6">
      <c r="A805" s="24">
        <v>30728</v>
      </c>
      <c r="B805" s="23">
        <v>0.37077199999999999</v>
      </c>
      <c r="C805" s="32">
        <f t="shared" si="12"/>
        <v>9.9504520332645008E-3</v>
      </c>
    </row>
    <row r="806" spans="1:3" x14ac:dyDescent="0.6">
      <c r="A806" s="24">
        <v>30729</v>
      </c>
      <c r="B806" s="23">
        <v>0.36529299999999998</v>
      </c>
      <c r="C806" s="32">
        <f t="shared" si="12"/>
        <v>-1.4777275522423472E-2</v>
      </c>
    </row>
    <row r="807" spans="1:3" x14ac:dyDescent="0.6">
      <c r="A807" s="24">
        <v>30733</v>
      </c>
      <c r="B807" s="23">
        <v>0.38173099999999999</v>
      </c>
      <c r="C807" s="32">
        <f t="shared" si="12"/>
        <v>4.4999493557226655E-2</v>
      </c>
    </row>
    <row r="808" spans="1:3" x14ac:dyDescent="0.6">
      <c r="A808" s="24">
        <v>30734</v>
      </c>
      <c r="B808" s="23">
        <v>0.39999600000000002</v>
      </c>
      <c r="C808" s="32">
        <f t="shared" si="12"/>
        <v>4.7847830016425341E-2</v>
      </c>
    </row>
    <row r="809" spans="1:3" x14ac:dyDescent="0.6">
      <c r="A809" s="24">
        <v>30735</v>
      </c>
      <c r="B809" s="23">
        <v>0.39268999999999998</v>
      </c>
      <c r="C809" s="32">
        <f t="shared" si="12"/>
        <v>-1.8265182651826639E-2</v>
      </c>
    </row>
    <row r="810" spans="1:3" x14ac:dyDescent="0.6">
      <c r="A810" s="24">
        <v>30736</v>
      </c>
      <c r="B810" s="23">
        <v>0.396343</v>
      </c>
      <c r="C810" s="32">
        <f t="shared" si="12"/>
        <v>9.3025032468359026E-3</v>
      </c>
    </row>
    <row r="811" spans="1:3" x14ac:dyDescent="0.6">
      <c r="A811" s="24">
        <v>30739</v>
      </c>
      <c r="B811" s="23">
        <v>0.39451599999999998</v>
      </c>
      <c r="C811" s="32">
        <f t="shared" si="12"/>
        <v>-4.6096436672277141E-3</v>
      </c>
    </row>
    <row r="812" spans="1:3" x14ac:dyDescent="0.6">
      <c r="A812" s="24">
        <v>30740</v>
      </c>
      <c r="B812" s="23">
        <v>0.37259900000000001</v>
      </c>
      <c r="C812" s="32">
        <f t="shared" si="12"/>
        <v>-5.5554147360309725E-2</v>
      </c>
    </row>
    <row r="813" spans="1:3" x14ac:dyDescent="0.6">
      <c r="A813" s="24">
        <v>30741</v>
      </c>
      <c r="B813" s="23">
        <v>0.38355800000000001</v>
      </c>
      <c r="C813" s="32">
        <f t="shared" si="12"/>
        <v>2.9412317263331378E-2</v>
      </c>
    </row>
    <row r="814" spans="1:3" x14ac:dyDescent="0.6">
      <c r="A814" s="24">
        <v>30742</v>
      </c>
      <c r="B814" s="23">
        <v>0.39451599999999998</v>
      </c>
      <c r="C814" s="32">
        <f t="shared" si="12"/>
        <v>2.8569342837328371E-2</v>
      </c>
    </row>
    <row r="815" spans="1:3" x14ac:dyDescent="0.6">
      <c r="A815" s="24">
        <v>30743</v>
      </c>
      <c r="B815" s="23">
        <v>0.398169</v>
      </c>
      <c r="C815" s="32">
        <f t="shared" si="12"/>
        <v>9.2594470186253552E-3</v>
      </c>
    </row>
    <row r="816" spans="1:3" x14ac:dyDescent="0.6">
      <c r="A816" s="24">
        <v>30746</v>
      </c>
      <c r="B816" s="23">
        <v>0.39086300000000002</v>
      </c>
      <c r="C816" s="32">
        <f t="shared" si="12"/>
        <v>-1.8348992513229301E-2</v>
      </c>
    </row>
    <row r="817" spans="1:3" x14ac:dyDescent="0.6">
      <c r="A817" s="24">
        <v>30747</v>
      </c>
      <c r="B817" s="23">
        <v>0.37625199999999998</v>
      </c>
      <c r="C817" s="32">
        <f t="shared" si="12"/>
        <v>-3.7381384270191997E-2</v>
      </c>
    </row>
    <row r="818" spans="1:3" x14ac:dyDescent="0.6">
      <c r="A818" s="24">
        <v>30748</v>
      </c>
      <c r="B818" s="23">
        <v>0.38721</v>
      </c>
      <c r="C818" s="32">
        <f t="shared" si="12"/>
        <v>2.9124097679215089E-2</v>
      </c>
    </row>
    <row r="819" spans="1:3" x14ac:dyDescent="0.6">
      <c r="A819" s="24">
        <v>30749</v>
      </c>
      <c r="B819" s="23">
        <v>0.39268999999999998</v>
      </c>
      <c r="C819" s="32">
        <f t="shared" si="12"/>
        <v>1.4152527052503805E-2</v>
      </c>
    </row>
    <row r="820" spans="1:3" x14ac:dyDescent="0.6">
      <c r="A820" s="24">
        <v>30750</v>
      </c>
      <c r="B820" s="23">
        <v>0.385384</v>
      </c>
      <c r="C820" s="32">
        <f t="shared" si="12"/>
        <v>-1.8605006493671805E-2</v>
      </c>
    </row>
    <row r="821" spans="1:3" x14ac:dyDescent="0.6">
      <c r="A821" s="24">
        <v>30753</v>
      </c>
      <c r="B821" s="23">
        <v>0.39999600000000002</v>
      </c>
      <c r="C821" s="32">
        <f t="shared" si="12"/>
        <v>3.7915429805077672E-2</v>
      </c>
    </row>
    <row r="822" spans="1:3" x14ac:dyDescent="0.6">
      <c r="A822" s="24">
        <v>30754</v>
      </c>
      <c r="B822" s="23">
        <v>0.39451599999999998</v>
      </c>
      <c r="C822" s="32">
        <f t="shared" si="12"/>
        <v>-1.3700137001370072E-2</v>
      </c>
    </row>
    <row r="823" spans="1:3" x14ac:dyDescent="0.6">
      <c r="A823" s="24">
        <v>30755</v>
      </c>
      <c r="B823" s="23">
        <v>0.38903700000000002</v>
      </c>
      <c r="C823" s="32">
        <f t="shared" si="12"/>
        <v>-1.3887903152216774E-2</v>
      </c>
    </row>
    <row r="824" spans="1:3" x14ac:dyDescent="0.6">
      <c r="A824" s="24">
        <v>30756</v>
      </c>
      <c r="B824" s="23">
        <v>0.39086300000000002</v>
      </c>
      <c r="C824" s="32">
        <f t="shared" si="12"/>
        <v>4.6936409647411192E-3</v>
      </c>
    </row>
    <row r="825" spans="1:3" x14ac:dyDescent="0.6">
      <c r="A825" s="24">
        <v>30757</v>
      </c>
      <c r="B825" s="23">
        <v>0.38903700000000002</v>
      </c>
      <c r="C825" s="32">
        <f t="shared" si="12"/>
        <v>-4.6717136183266339E-3</v>
      </c>
    </row>
    <row r="826" spans="1:3" x14ac:dyDescent="0.6">
      <c r="A826" s="24">
        <v>30760</v>
      </c>
      <c r="B826" s="23">
        <v>0.38355800000000001</v>
      </c>
      <c r="C826" s="32">
        <f t="shared" si="12"/>
        <v>-1.4083493343820752E-2</v>
      </c>
    </row>
    <row r="827" spans="1:3" x14ac:dyDescent="0.6">
      <c r="A827" s="24">
        <v>30761</v>
      </c>
      <c r="B827" s="23">
        <v>0.37990499999999999</v>
      </c>
      <c r="C827" s="32">
        <f t="shared" si="12"/>
        <v>-9.5239833349846093E-3</v>
      </c>
    </row>
    <row r="828" spans="1:3" x14ac:dyDescent="0.6">
      <c r="A828" s="24">
        <v>30762</v>
      </c>
      <c r="B828" s="23">
        <v>0.37990499999999999</v>
      </c>
      <c r="C828" s="32">
        <f t="shared" si="12"/>
        <v>0</v>
      </c>
    </row>
    <row r="829" spans="1:3" x14ac:dyDescent="0.6">
      <c r="A829" s="24">
        <v>30763</v>
      </c>
      <c r="B829" s="23">
        <v>0.37259900000000001</v>
      </c>
      <c r="C829" s="32">
        <f t="shared" si="12"/>
        <v>-1.9231123570366271E-2</v>
      </c>
    </row>
    <row r="830" spans="1:3" x14ac:dyDescent="0.6">
      <c r="A830" s="24">
        <v>30764</v>
      </c>
      <c r="B830" s="23">
        <v>0.37259900000000001</v>
      </c>
      <c r="C830" s="32">
        <f t="shared" si="12"/>
        <v>0</v>
      </c>
    </row>
    <row r="831" spans="1:3" x14ac:dyDescent="0.6">
      <c r="A831" s="24">
        <v>30767</v>
      </c>
      <c r="B831" s="23">
        <v>0.37625199999999998</v>
      </c>
      <c r="C831" s="32">
        <f t="shared" si="12"/>
        <v>9.8041057544437926E-3</v>
      </c>
    </row>
    <row r="832" spans="1:3" x14ac:dyDescent="0.6">
      <c r="A832" s="24">
        <v>30768</v>
      </c>
      <c r="B832" s="23">
        <v>0.36529299999999998</v>
      </c>
      <c r="C832" s="32">
        <f t="shared" si="12"/>
        <v>-2.9126755472396182E-2</v>
      </c>
    </row>
    <row r="833" spans="1:3" x14ac:dyDescent="0.6">
      <c r="A833" s="24">
        <v>30769</v>
      </c>
      <c r="B833" s="23">
        <v>0.37259900000000001</v>
      </c>
      <c r="C833" s="32">
        <f t="shared" si="12"/>
        <v>2.0000383253990783E-2</v>
      </c>
    </row>
    <row r="834" spans="1:3" x14ac:dyDescent="0.6">
      <c r="A834" s="24">
        <v>30770</v>
      </c>
      <c r="B834" s="23">
        <v>0.37077199999999999</v>
      </c>
      <c r="C834" s="32">
        <f t="shared" si="12"/>
        <v>-4.9033948024552743E-3</v>
      </c>
    </row>
    <row r="835" spans="1:3" x14ac:dyDescent="0.6">
      <c r="A835" s="24">
        <v>30771</v>
      </c>
      <c r="B835" s="23">
        <v>0.36164000000000002</v>
      </c>
      <c r="C835" s="32">
        <f t="shared" si="12"/>
        <v>-2.4629691562469636E-2</v>
      </c>
    </row>
    <row r="836" spans="1:3" x14ac:dyDescent="0.6">
      <c r="A836" s="24">
        <v>30774</v>
      </c>
      <c r="B836" s="23">
        <v>0.36346699999999998</v>
      </c>
      <c r="C836" s="32">
        <f t="shared" ref="C836:C899" si="13">B836/B835-1</f>
        <v>5.0519853998449715E-3</v>
      </c>
    </row>
    <row r="837" spans="1:3" x14ac:dyDescent="0.6">
      <c r="A837" s="24">
        <v>30775</v>
      </c>
      <c r="B837" s="23">
        <v>0.36529299999999998</v>
      </c>
      <c r="C837" s="32">
        <f t="shared" si="13"/>
        <v>5.0238398534117046E-3</v>
      </c>
    </row>
    <row r="838" spans="1:3" x14ac:dyDescent="0.6">
      <c r="A838" s="24">
        <v>30776</v>
      </c>
      <c r="B838" s="23">
        <v>0.357987</v>
      </c>
      <c r="C838" s="32">
        <f t="shared" si="13"/>
        <v>-2.0000383253990561E-2</v>
      </c>
    </row>
    <row r="839" spans="1:3" x14ac:dyDescent="0.6">
      <c r="A839" s="24">
        <v>30777</v>
      </c>
      <c r="B839" s="23">
        <v>0.35250799999999999</v>
      </c>
      <c r="C839" s="32">
        <f t="shared" si="13"/>
        <v>-1.530502504280884E-2</v>
      </c>
    </row>
    <row r="840" spans="1:3" x14ac:dyDescent="0.6">
      <c r="A840" s="24">
        <v>30778</v>
      </c>
      <c r="B840" s="23">
        <v>0.34337499999999999</v>
      </c>
      <c r="C840" s="32">
        <f t="shared" si="13"/>
        <v>-2.590863186083725E-2</v>
      </c>
    </row>
    <row r="841" spans="1:3" x14ac:dyDescent="0.6">
      <c r="A841" s="24">
        <v>30781</v>
      </c>
      <c r="B841" s="23">
        <v>0.34337499999999999</v>
      </c>
      <c r="C841" s="32">
        <f t="shared" si="13"/>
        <v>0</v>
      </c>
    </row>
    <row r="842" spans="1:3" x14ac:dyDescent="0.6">
      <c r="A842" s="24">
        <v>30782</v>
      </c>
      <c r="B842" s="23">
        <v>0.36164000000000002</v>
      </c>
      <c r="C842" s="32">
        <f t="shared" si="13"/>
        <v>5.3192573716781988E-2</v>
      </c>
    </row>
    <row r="843" spans="1:3" x14ac:dyDescent="0.6">
      <c r="A843" s="24">
        <v>30783</v>
      </c>
      <c r="B843" s="23">
        <v>0.357987</v>
      </c>
      <c r="C843" s="32">
        <f t="shared" si="13"/>
        <v>-1.0101205618847531E-2</v>
      </c>
    </row>
    <row r="844" spans="1:3" x14ac:dyDescent="0.6">
      <c r="A844" s="24">
        <v>30784</v>
      </c>
      <c r="B844" s="23">
        <v>0.37625199999999998</v>
      </c>
      <c r="C844" s="32">
        <f t="shared" si="13"/>
        <v>5.1021405805238729E-2</v>
      </c>
    </row>
    <row r="845" spans="1:3" x14ac:dyDescent="0.6">
      <c r="A845" s="24">
        <v>30785</v>
      </c>
      <c r="B845" s="23">
        <v>0.37625199999999998</v>
      </c>
      <c r="C845" s="32">
        <f t="shared" si="13"/>
        <v>0</v>
      </c>
    </row>
    <row r="846" spans="1:3" x14ac:dyDescent="0.6">
      <c r="A846" s="24">
        <v>30788</v>
      </c>
      <c r="B846" s="23">
        <v>0.38355800000000001</v>
      </c>
      <c r="C846" s="32">
        <f t="shared" si="13"/>
        <v>1.9417836981597603E-2</v>
      </c>
    </row>
    <row r="847" spans="1:3" x14ac:dyDescent="0.6">
      <c r="A847" s="24">
        <v>30789</v>
      </c>
      <c r="B847" s="23">
        <v>0.40182200000000001</v>
      </c>
      <c r="C847" s="32">
        <f t="shared" si="13"/>
        <v>4.7617309507297367E-2</v>
      </c>
    </row>
    <row r="848" spans="1:3" x14ac:dyDescent="0.6">
      <c r="A848" s="24">
        <v>30790</v>
      </c>
      <c r="B848" s="23">
        <v>0.40912799999999999</v>
      </c>
      <c r="C848" s="32">
        <f t="shared" si="13"/>
        <v>1.818218016932871E-2</v>
      </c>
    </row>
    <row r="849" spans="1:3" x14ac:dyDescent="0.6">
      <c r="A849" s="24">
        <v>30791</v>
      </c>
      <c r="B849" s="23">
        <v>0.41278100000000001</v>
      </c>
      <c r="C849" s="32">
        <f t="shared" si="13"/>
        <v>8.9287460159168663E-3</v>
      </c>
    </row>
    <row r="850" spans="1:3" x14ac:dyDescent="0.6">
      <c r="A850" s="24">
        <v>30795</v>
      </c>
      <c r="B850" s="23">
        <v>0.414607</v>
      </c>
      <c r="C850" s="32">
        <f t="shared" si="13"/>
        <v>4.4236532204728896E-3</v>
      </c>
    </row>
    <row r="851" spans="1:3" x14ac:dyDescent="0.6">
      <c r="A851" s="24">
        <v>30796</v>
      </c>
      <c r="B851" s="23">
        <v>0.407302</v>
      </c>
      <c r="C851" s="32">
        <f t="shared" si="13"/>
        <v>-1.7619094708965388E-2</v>
      </c>
    </row>
    <row r="852" spans="1:3" x14ac:dyDescent="0.6">
      <c r="A852" s="24">
        <v>30797</v>
      </c>
      <c r="B852" s="23">
        <v>0.40364899999999998</v>
      </c>
      <c r="C852" s="32">
        <f t="shared" si="13"/>
        <v>-8.9687750121532073E-3</v>
      </c>
    </row>
    <row r="853" spans="1:3" x14ac:dyDescent="0.6">
      <c r="A853" s="24">
        <v>30798</v>
      </c>
      <c r="B853" s="23">
        <v>0.434699</v>
      </c>
      <c r="C853" s="32">
        <f t="shared" si="13"/>
        <v>7.6923267492301495E-2</v>
      </c>
    </row>
    <row r="854" spans="1:3" x14ac:dyDescent="0.6">
      <c r="A854" s="24">
        <v>30799</v>
      </c>
      <c r="B854" s="23">
        <v>0.44017800000000001</v>
      </c>
      <c r="C854" s="32">
        <f t="shared" si="13"/>
        <v>1.2604123773001685E-2</v>
      </c>
    </row>
    <row r="855" spans="1:3" x14ac:dyDescent="0.6">
      <c r="A855" s="24">
        <v>30802</v>
      </c>
      <c r="B855" s="23">
        <v>0.45844299999999999</v>
      </c>
      <c r="C855" s="32">
        <f t="shared" si="13"/>
        <v>4.1494577193771587E-2</v>
      </c>
    </row>
    <row r="856" spans="1:3" x14ac:dyDescent="0.6">
      <c r="A856" s="24">
        <v>30803</v>
      </c>
      <c r="B856" s="23">
        <v>0.48583900000000002</v>
      </c>
      <c r="C856" s="32">
        <f t="shared" si="13"/>
        <v>5.9758792259888338E-2</v>
      </c>
    </row>
    <row r="857" spans="1:3" x14ac:dyDescent="0.6">
      <c r="A857" s="24">
        <v>30804</v>
      </c>
      <c r="B857" s="23">
        <v>0.48218699999999998</v>
      </c>
      <c r="C857" s="32">
        <f t="shared" si="13"/>
        <v>-7.5168934564743273E-3</v>
      </c>
    </row>
    <row r="858" spans="1:3" x14ac:dyDescent="0.6">
      <c r="A858" s="24">
        <v>30805</v>
      </c>
      <c r="B858" s="23">
        <v>0.46209600000000001</v>
      </c>
      <c r="C858" s="32">
        <f t="shared" si="13"/>
        <v>-4.1666407431141805E-2</v>
      </c>
    </row>
    <row r="859" spans="1:3" x14ac:dyDescent="0.6">
      <c r="A859" s="24">
        <v>30806</v>
      </c>
      <c r="B859" s="23">
        <v>0.44017800000000001</v>
      </c>
      <c r="C859" s="32">
        <f t="shared" si="13"/>
        <v>-4.7431702503375917E-2</v>
      </c>
    </row>
    <row r="860" spans="1:3" x14ac:dyDescent="0.6">
      <c r="A860" s="24">
        <v>30809</v>
      </c>
      <c r="B860" s="23">
        <v>0.45479000000000003</v>
      </c>
      <c r="C860" s="32">
        <f t="shared" si="13"/>
        <v>3.3195661755017314E-2</v>
      </c>
    </row>
    <row r="861" spans="1:3" x14ac:dyDescent="0.6">
      <c r="A861" s="24">
        <v>30810</v>
      </c>
      <c r="B861" s="23">
        <v>0.48036000000000001</v>
      </c>
      <c r="C861" s="32">
        <f t="shared" si="13"/>
        <v>5.6223751621627516E-2</v>
      </c>
    </row>
    <row r="862" spans="1:3" x14ac:dyDescent="0.6">
      <c r="A862" s="24">
        <v>30811</v>
      </c>
      <c r="B862" s="23">
        <v>0.48401300000000003</v>
      </c>
      <c r="C862" s="32">
        <f t="shared" si="13"/>
        <v>7.6047131318177641E-3</v>
      </c>
    </row>
    <row r="863" spans="1:3" x14ac:dyDescent="0.6">
      <c r="A863" s="24">
        <v>30812</v>
      </c>
      <c r="B863" s="23">
        <v>0.48401300000000003</v>
      </c>
      <c r="C863" s="32">
        <f t="shared" si="13"/>
        <v>0</v>
      </c>
    </row>
    <row r="864" spans="1:3" x14ac:dyDescent="0.6">
      <c r="A864" s="24">
        <v>30813</v>
      </c>
      <c r="B864" s="23">
        <v>0.47122799999999998</v>
      </c>
      <c r="C864" s="32">
        <f t="shared" si="13"/>
        <v>-2.6414579773683888E-2</v>
      </c>
    </row>
    <row r="865" spans="1:3" x14ac:dyDescent="0.6">
      <c r="A865" s="24">
        <v>30816</v>
      </c>
      <c r="B865" s="23">
        <v>0.46209600000000001</v>
      </c>
      <c r="C865" s="32">
        <f t="shared" si="13"/>
        <v>-1.9379154040082502E-2</v>
      </c>
    </row>
    <row r="866" spans="1:3" x14ac:dyDescent="0.6">
      <c r="A866" s="24">
        <v>30817</v>
      </c>
      <c r="B866" s="23">
        <v>0.46574900000000002</v>
      </c>
      <c r="C866" s="32">
        <f t="shared" si="13"/>
        <v>7.9052837505626528E-3</v>
      </c>
    </row>
    <row r="867" spans="1:3" x14ac:dyDescent="0.6">
      <c r="A867" s="24">
        <v>30818</v>
      </c>
      <c r="B867" s="23">
        <v>0.445658</v>
      </c>
      <c r="C867" s="32">
        <f t="shared" si="13"/>
        <v>-4.3136968624731375E-2</v>
      </c>
    </row>
    <row r="868" spans="1:3" x14ac:dyDescent="0.6">
      <c r="A868" s="24">
        <v>30819</v>
      </c>
      <c r="B868" s="23">
        <v>0.425566</v>
      </c>
      <c r="C868" s="32">
        <f t="shared" si="13"/>
        <v>-4.5083898415376855E-2</v>
      </c>
    </row>
    <row r="869" spans="1:3" x14ac:dyDescent="0.6">
      <c r="A869" s="24">
        <v>30820</v>
      </c>
      <c r="B869" s="23">
        <v>0.434699</v>
      </c>
      <c r="C869" s="32">
        <f t="shared" si="13"/>
        <v>2.1460830987438007E-2</v>
      </c>
    </row>
    <row r="870" spans="1:3" x14ac:dyDescent="0.6">
      <c r="A870" s="24">
        <v>30823</v>
      </c>
      <c r="B870" s="23">
        <v>0.46574900000000002</v>
      </c>
      <c r="C870" s="32">
        <f t="shared" si="13"/>
        <v>7.1428735745884042E-2</v>
      </c>
    </row>
    <row r="871" spans="1:3" x14ac:dyDescent="0.6">
      <c r="A871" s="24">
        <v>30824</v>
      </c>
      <c r="B871" s="23">
        <v>0.45113700000000001</v>
      </c>
      <c r="C871" s="32">
        <f t="shared" si="13"/>
        <v>-3.1373121574066798E-2</v>
      </c>
    </row>
    <row r="872" spans="1:3" x14ac:dyDescent="0.6">
      <c r="A872" s="24">
        <v>30825</v>
      </c>
      <c r="B872" s="23">
        <v>0.44200499999999998</v>
      </c>
      <c r="C872" s="32">
        <f t="shared" si="13"/>
        <v>-2.0242188071472822E-2</v>
      </c>
    </row>
    <row r="873" spans="1:3" x14ac:dyDescent="0.6">
      <c r="A873" s="24">
        <v>30826</v>
      </c>
      <c r="B873" s="23">
        <v>0.42921900000000002</v>
      </c>
      <c r="C873" s="32">
        <f t="shared" si="13"/>
        <v>-2.8927274578341766E-2</v>
      </c>
    </row>
    <row r="874" spans="1:3" x14ac:dyDescent="0.6">
      <c r="A874" s="24">
        <v>30827</v>
      </c>
      <c r="B874" s="23">
        <v>0.43104599999999998</v>
      </c>
      <c r="C874" s="32">
        <f t="shared" si="13"/>
        <v>4.2565683252604458E-3</v>
      </c>
    </row>
    <row r="875" spans="1:3" x14ac:dyDescent="0.6">
      <c r="A875" s="24">
        <v>30831</v>
      </c>
      <c r="B875" s="23">
        <v>0.42921900000000002</v>
      </c>
      <c r="C875" s="32">
        <f t="shared" si="13"/>
        <v>-4.2385267465652188E-3</v>
      </c>
    </row>
    <row r="876" spans="1:3" x14ac:dyDescent="0.6">
      <c r="A876" s="24">
        <v>30832</v>
      </c>
      <c r="B876" s="23">
        <v>0.42374000000000001</v>
      </c>
      <c r="C876" s="32">
        <f t="shared" si="13"/>
        <v>-1.2765045349809823E-2</v>
      </c>
    </row>
    <row r="877" spans="1:3" x14ac:dyDescent="0.6">
      <c r="A877" s="24">
        <v>30833</v>
      </c>
      <c r="B877" s="23">
        <v>0.42921900000000002</v>
      </c>
      <c r="C877" s="32">
        <f t="shared" si="13"/>
        <v>1.2930098645395738E-2</v>
      </c>
    </row>
    <row r="878" spans="1:3" x14ac:dyDescent="0.6">
      <c r="A878" s="24">
        <v>30834</v>
      </c>
      <c r="B878" s="23">
        <v>0.44383099999999998</v>
      </c>
      <c r="C878" s="32">
        <f t="shared" si="13"/>
        <v>3.4043227350140537E-2</v>
      </c>
    </row>
    <row r="879" spans="1:3" x14ac:dyDescent="0.6">
      <c r="A879" s="24">
        <v>30837</v>
      </c>
      <c r="B879" s="23">
        <v>0.43287199999999998</v>
      </c>
      <c r="C879" s="32">
        <f t="shared" si="13"/>
        <v>-2.4691830899599143E-2</v>
      </c>
    </row>
    <row r="880" spans="1:3" x14ac:dyDescent="0.6">
      <c r="A880" s="24">
        <v>30838</v>
      </c>
      <c r="B880" s="23">
        <v>0.407302</v>
      </c>
      <c r="C880" s="32">
        <f t="shared" si="13"/>
        <v>-5.907057975567831E-2</v>
      </c>
    </row>
    <row r="881" spans="1:3" x14ac:dyDescent="0.6">
      <c r="A881" s="24">
        <v>30839</v>
      </c>
      <c r="B881" s="23">
        <v>0.42374000000000001</v>
      </c>
      <c r="C881" s="32">
        <f t="shared" si="13"/>
        <v>4.0358259964350829E-2</v>
      </c>
    </row>
    <row r="882" spans="1:3" x14ac:dyDescent="0.6">
      <c r="A882" s="24">
        <v>30840</v>
      </c>
      <c r="B882" s="23">
        <v>0.42008699999999999</v>
      </c>
      <c r="C882" s="32">
        <f t="shared" si="13"/>
        <v>-8.6208524094963934E-3</v>
      </c>
    </row>
    <row r="883" spans="1:3" x14ac:dyDescent="0.6">
      <c r="A883" s="24">
        <v>30841</v>
      </c>
      <c r="B883" s="23">
        <v>0.41826099999999999</v>
      </c>
      <c r="C883" s="32">
        <f t="shared" si="13"/>
        <v>-4.3467186558974191E-3</v>
      </c>
    </row>
    <row r="884" spans="1:3" x14ac:dyDescent="0.6">
      <c r="A884" s="24">
        <v>30844</v>
      </c>
      <c r="B884" s="23">
        <v>0.41826099999999999</v>
      </c>
      <c r="C884" s="32">
        <f t="shared" si="13"/>
        <v>0</v>
      </c>
    </row>
    <row r="885" spans="1:3" x14ac:dyDescent="0.6">
      <c r="A885" s="24">
        <v>30845</v>
      </c>
      <c r="B885" s="23">
        <v>0.425566</v>
      </c>
      <c r="C885" s="32">
        <f t="shared" si="13"/>
        <v>1.7465171268657542E-2</v>
      </c>
    </row>
    <row r="886" spans="1:3" x14ac:dyDescent="0.6">
      <c r="A886" s="24">
        <v>30846</v>
      </c>
      <c r="B886" s="23">
        <v>0.434699</v>
      </c>
      <c r="C886" s="32">
        <f t="shared" si="13"/>
        <v>2.1460830987438007E-2</v>
      </c>
    </row>
    <row r="887" spans="1:3" x14ac:dyDescent="0.6">
      <c r="A887" s="24">
        <v>30847</v>
      </c>
      <c r="B887" s="23">
        <v>0.42191299999999998</v>
      </c>
      <c r="C887" s="32">
        <f t="shared" si="13"/>
        <v>-2.9413456207628808E-2</v>
      </c>
    </row>
    <row r="888" spans="1:3" x14ac:dyDescent="0.6">
      <c r="A888" s="24">
        <v>30848</v>
      </c>
      <c r="B888" s="23">
        <v>0.42374000000000001</v>
      </c>
      <c r="C888" s="32">
        <f t="shared" si="13"/>
        <v>4.3302766210095989E-3</v>
      </c>
    </row>
    <row r="889" spans="1:3" x14ac:dyDescent="0.6">
      <c r="A889" s="24">
        <v>30851</v>
      </c>
      <c r="B889" s="23">
        <v>0.43287199999999998</v>
      </c>
      <c r="C889" s="32">
        <f t="shared" si="13"/>
        <v>2.1550951054892131E-2</v>
      </c>
    </row>
    <row r="890" spans="1:3" x14ac:dyDescent="0.6">
      <c r="A890" s="24">
        <v>30852</v>
      </c>
      <c r="B890" s="23">
        <v>0.42921900000000002</v>
      </c>
      <c r="C890" s="32">
        <f t="shared" si="13"/>
        <v>-8.4389842724869046E-3</v>
      </c>
    </row>
    <row r="891" spans="1:3" x14ac:dyDescent="0.6">
      <c r="A891" s="24">
        <v>30853</v>
      </c>
      <c r="B891" s="23">
        <v>0.44200499999999998</v>
      </c>
      <c r="C891" s="32">
        <f t="shared" si="13"/>
        <v>2.978898883786596E-2</v>
      </c>
    </row>
    <row r="892" spans="1:3" x14ac:dyDescent="0.6">
      <c r="A892" s="24">
        <v>30854</v>
      </c>
      <c r="B892" s="23">
        <v>0.42374000000000001</v>
      </c>
      <c r="C892" s="32">
        <f t="shared" si="13"/>
        <v>-4.1323061956312634E-2</v>
      </c>
    </row>
    <row r="893" spans="1:3" x14ac:dyDescent="0.6">
      <c r="A893" s="24">
        <v>30855</v>
      </c>
      <c r="B893" s="23">
        <v>0.41826099999999999</v>
      </c>
      <c r="C893" s="32">
        <f t="shared" si="13"/>
        <v>-1.2930098645395738E-2</v>
      </c>
    </row>
    <row r="894" spans="1:3" x14ac:dyDescent="0.6">
      <c r="A894" s="24">
        <v>30858</v>
      </c>
      <c r="B894" s="23">
        <v>0.398169</v>
      </c>
      <c r="C894" s="32">
        <f t="shared" si="13"/>
        <v>-4.8036991256655504E-2</v>
      </c>
    </row>
    <row r="895" spans="1:3" x14ac:dyDescent="0.6">
      <c r="A895" s="24">
        <v>30859</v>
      </c>
      <c r="B895" s="23">
        <v>0.37990499999999999</v>
      </c>
      <c r="C895" s="32">
        <f t="shared" si="13"/>
        <v>-4.5869969786698661E-2</v>
      </c>
    </row>
    <row r="896" spans="1:3" x14ac:dyDescent="0.6">
      <c r="A896" s="24">
        <v>30860</v>
      </c>
      <c r="B896" s="23">
        <v>0.368946</v>
      </c>
      <c r="C896" s="32">
        <f t="shared" si="13"/>
        <v>-2.8846685355549351E-2</v>
      </c>
    </row>
    <row r="897" spans="1:3" x14ac:dyDescent="0.6">
      <c r="A897" s="24">
        <v>30861</v>
      </c>
      <c r="B897" s="23">
        <v>0.385384</v>
      </c>
      <c r="C897" s="32">
        <f t="shared" si="13"/>
        <v>4.4553945563849506E-2</v>
      </c>
    </row>
    <row r="898" spans="1:3" x14ac:dyDescent="0.6">
      <c r="A898" s="24">
        <v>30862</v>
      </c>
      <c r="B898" s="23">
        <v>0.38721</v>
      </c>
      <c r="C898" s="32">
        <f t="shared" si="13"/>
        <v>4.7381313183734175E-3</v>
      </c>
    </row>
    <row r="899" spans="1:3" x14ac:dyDescent="0.6">
      <c r="A899" s="24">
        <v>30865</v>
      </c>
      <c r="B899" s="23">
        <v>0.37442500000000001</v>
      </c>
      <c r="C899" s="32">
        <f t="shared" si="13"/>
        <v>-3.3018258825960101E-2</v>
      </c>
    </row>
    <row r="900" spans="1:3" x14ac:dyDescent="0.6">
      <c r="A900" s="24">
        <v>30866</v>
      </c>
      <c r="B900" s="23">
        <v>0.368946</v>
      </c>
      <c r="C900" s="32">
        <f t="shared" ref="C900:C963" si="14">B900/B899-1</f>
        <v>-1.4633104092942495E-2</v>
      </c>
    </row>
    <row r="901" spans="1:3" x14ac:dyDescent="0.6">
      <c r="A901" s="24">
        <v>30868</v>
      </c>
      <c r="B901" s="23">
        <v>0.36164000000000002</v>
      </c>
      <c r="C901" s="32">
        <f t="shared" si="14"/>
        <v>-1.9802355900321422E-2</v>
      </c>
    </row>
    <row r="902" spans="1:3" x14ac:dyDescent="0.6">
      <c r="A902" s="24">
        <v>30869</v>
      </c>
      <c r="B902" s="23">
        <v>0.36711899999999997</v>
      </c>
      <c r="C902" s="32">
        <f t="shared" si="14"/>
        <v>1.5150425837849646E-2</v>
      </c>
    </row>
    <row r="903" spans="1:3" x14ac:dyDescent="0.6">
      <c r="A903" s="24">
        <v>30872</v>
      </c>
      <c r="B903" s="23">
        <v>0.38355800000000001</v>
      </c>
      <c r="C903" s="32">
        <f t="shared" si="14"/>
        <v>4.4778396105894958E-2</v>
      </c>
    </row>
    <row r="904" spans="1:3" x14ac:dyDescent="0.6">
      <c r="A904" s="24">
        <v>30873</v>
      </c>
      <c r="B904" s="23">
        <v>0.39268999999999998</v>
      </c>
      <c r="C904" s="32">
        <f t="shared" si="14"/>
        <v>2.3808654753648684E-2</v>
      </c>
    </row>
    <row r="905" spans="1:3" x14ac:dyDescent="0.6">
      <c r="A905" s="24">
        <v>30874</v>
      </c>
      <c r="B905" s="23">
        <v>0.38721</v>
      </c>
      <c r="C905" s="32">
        <f t="shared" si="14"/>
        <v>-1.3955028139244652E-2</v>
      </c>
    </row>
    <row r="906" spans="1:3" x14ac:dyDescent="0.6">
      <c r="A906" s="24">
        <v>30875</v>
      </c>
      <c r="B906" s="23">
        <v>0.38903700000000002</v>
      </c>
      <c r="C906" s="32">
        <f t="shared" si="14"/>
        <v>4.7183698768111793E-3</v>
      </c>
    </row>
    <row r="907" spans="1:3" x14ac:dyDescent="0.6">
      <c r="A907" s="24">
        <v>30876</v>
      </c>
      <c r="B907" s="23">
        <v>0.385384</v>
      </c>
      <c r="C907" s="32">
        <f t="shared" si="14"/>
        <v>-9.3898523790796329E-3</v>
      </c>
    </row>
    <row r="908" spans="1:3" x14ac:dyDescent="0.6">
      <c r="A908" s="24">
        <v>30879</v>
      </c>
      <c r="B908" s="23">
        <v>0.37625199999999998</v>
      </c>
      <c r="C908" s="32">
        <f t="shared" si="14"/>
        <v>-2.3695846220912253E-2</v>
      </c>
    </row>
    <row r="909" spans="1:3" x14ac:dyDescent="0.6">
      <c r="A909" s="24">
        <v>30880</v>
      </c>
      <c r="B909" s="23">
        <v>0.37625199999999998</v>
      </c>
      <c r="C909" s="32">
        <f t="shared" si="14"/>
        <v>0</v>
      </c>
    </row>
    <row r="910" spans="1:3" x14ac:dyDescent="0.6">
      <c r="A910" s="24">
        <v>30881</v>
      </c>
      <c r="B910" s="23">
        <v>0.37077199999999999</v>
      </c>
      <c r="C910" s="32">
        <f t="shared" si="14"/>
        <v>-1.4564706632788638E-2</v>
      </c>
    </row>
    <row r="911" spans="1:3" x14ac:dyDescent="0.6">
      <c r="A911" s="24">
        <v>30882</v>
      </c>
      <c r="B911" s="23">
        <v>0.37077199999999999</v>
      </c>
      <c r="C911" s="32">
        <f t="shared" si="14"/>
        <v>0</v>
      </c>
    </row>
    <row r="912" spans="1:3" x14ac:dyDescent="0.6">
      <c r="A912" s="24">
        <v>30883</v>
      </c>
      <c r="B912" s="23">
        <v>0.37077199999999999</v>
      </c>
      <c r="C912" s="32">
        <f t="shared" si="14"/>
        <v>0</v>
      </c>
    </row>
    <row r="913" spans="1:3" x14ac:dyDescent="0.6">
      <c r="A913" s="24">
        <v>30886</v>
      </c>
      <c r="B913" s="23">
        <v>0.36711899999999997</v>
      </c>
      <c r="C913" s="32">
        <f t="shared" si="14"/>
        <v>-9.8524160400462746E-3</v>
      </c>
    </row>
    <row r="914" spans="1:3" x14ac:dyDescent="0.6">
      <c r="A914" s="24">
        <v>30887</v>
      </c>
      <c r="B914" s="23">
        <v>0.38903700000000002</v>
      </c>
      <c r="C914" s="32">
        <f t="shared" si="14"/>
        <v>5.9702712199586561E-2</v>
      </c>
    </row>
    <row r="915" spans="1:3" x14ac:dyDescent="0.6">
      <c r="A915" s="24">
        <v>30888</v>
      </c>
      <c r="B915" s="23">
        <v>0.39086300000000002</v>
      </c>
      <c r="C915" s="32">
        <f t="shared" si="14"/>
        <v>4.6936409647411192E-3</v>
      </c>
    </row>
    <row r="916" spans="1:3" x14ac:dyDescent="0.6">
      <c r="A916" s="24">
        <v>30889</v>
      </c>
      <c r="B916" s="23">
        <v>0.398169</v>
      </c>
      <c r="C916" s="32">
        <f t="shared" si="14"/>
        <v>1.8691971355692338E-2</v>
      </c>
    </row>
    <row r="917" spans="1:3" x14ac:dyDescent="0.6">
      <c r="A917" s="24">
        <v>30890</v>
      </c>
      <c r="B917" s="23">
        <v>0.396343</v>
      </c>
      <c r="C917" s="32">
        <f t="shared" si="14"/>
        <v>-4.5859923801200297E-3</v>
      </c>
    </row>
    <row r="918" spans="1:3" x14ac:dyDescent="0.6">
      <c r="A918" s="24">
        <v>30893</v>
      </c>
      <c r="B918" s="23">
        <v>0.37259900000000001</v>
      </c>
      <c r="C918" s="32">
        <f t="shared" si="14"/>
        <v>-5.9907706203969791E-2</v>
      </c>
    </row>
    <row r="919" spans="1:3" x14ac:dyDescent="0.6">
      <c r="A919" s="24">
        <v>30894</v>
      </c>
      <c r="B919" s="23">
        <v>0.37259900000000001</v>
      </c>
      <c r="C919" s="32">
        <f t="shared" si="14"/>
        <v>0</v>
      </c>
    </row>
    <row r="920" spans="1:3" x14ac:dyDescent="0.6">
      <c r="A920" s="24">
        <v>30895</v>
      </c>
      <c r="B920" s="23">
        <v>0.36529299999999998</v>
      </c>
      <c r="C920" s="32">
        <f t="shared" si="14"/>
        <v>-1.9608211508887696E-2</v>
      </c>
    </row>
    <row r="921" spans="1:3" x14ac:dyDescent="0.6">
      <c r="A921" s="24">
        <v>30896</v>
      </c>
      <c r="B921" s="23">
        <v>0.35250799999999999</v>
      </c>
      <c r="C921" s="32">
        <f t="shared" si="14"/>
        <v>-3.4999301930231375E-2</v>
      </c>
    </row>
    <row r="922" spans="1:3" x14ac:dyDescent="0.6">
      <c r="A922" s="24">
        <v>30897</v>
      </c>
      <c r="B922" s="23">
        <v>0.39999600000000002</v>
      </c>
      <c r="C922" s="32">
        <f t="shared" si="14"/>
        <v>0.13471467314217</v>
      </c>
    </row>
    <row r="923" spans="1:3" x14ac:dyDescent="0.6">
      <c r="A923" s="24">
        <v>30900</v>
      </c>
      <c r="B923" s="23">
        <v>0.42739300000000002</v>
      </c>
      <c r="C923" s="32">
        <f t="shared" si="14"/>
        <v>6.8493184931849305E-2</v>
      </c>
    </row>
    <row r="924" spans="1:3" x14ac:dyDescent="0.6">
      <c r="A924" s="24">
        <v>30901</v>
      </c>
      <c r="B924" s="23">
        <v>0.43287199999999998</v>
      </c>
      <c r="C924" s="32">
        <f t="shared" si="14"/>
        <v>1.2819582913150107E-2</v>
      </c>
    </row>
    <row r="925" spans="1:3" x14ac:dyDescent="0.6">
      <c r="A925" s="24">
        <v>30902</v>
      </c>
      <c r="B925" s="23">
        <v>0.41643400000000003</v>
      </c>
      <c r="C925" s="32">
        <f t="shared" si="14"/>
        <v>-3.7974274150326059E-2</v>
      </c>
    </row>
    <row r="926" spans="1:3" x14ac:dyDescent="0.6">
      <c r="A926" s="24">
        <v>30903</v>
      </c>
      <c r="B926" s="23">
        <v>0.434699</v>
      </c>
      <c r="C926" s="32">
        <f t="shared" si="14"/>
        <v>4.3860491698564319E-2</v>
      </c>
    </row>
    <row r="927" spans="1:3" x14ac:dyDescent="0.6">
      <c r="A927" s="24">
        <v>30904</v>
      </c>
      <c r="B927" s="23">
        <v>0.41643400000000003</v>
      </c>
      <c r="C927" s="32">
        <f t="shared" si="14"/>
        <v>-4.2017579980630271E-2</v>
      </c>
    </row>
    <row r="928" spans="1:3" x14ac:dyDescent="0.6">
      <c r="A928" s="24">
        <v>30907</v>
      </c>
      <c r="B928" s="23">
        <v>0.43835200000000002</v>
      </c>
      <c r="C928" s="32">
        <f t="shared" si="14"/>
        <v>5.263259003827736E-2</v>
      </c>
    </row>
    <row r="929" spans="1:3" x14ac:dyDescent="0.6">
      <c r="A929" s="24">
        <v>30908</v>
      </c>
      <c r="B929" s="23">
        <v>0.42191299999999998</v>
      </c>
      <c r="C929" s="32">
        <f t="shared" si="14"/>
        <v>-3.7501825017337787E-2</v>
      </c>
    </row>
    <row r="930" spans="1:3" x14ac:dyDescent="0.6">
      <c r="A930" s="24">
        <v>30909</v>
      </c>
      <c r="B930" s="23">
        <v>0.407302</v>
      </c>
      <c r="C930" s="32">
        <f t="shared" si="14"/>
        <v>-3.463036218367288E-2</v>
      </c>
    </row>
    <row r="931" spans="1:3" x14ac:dyDescent="0.6">
      <c r="A931" s="24">
        <v>30910</v>
      </c>
      <c r="B931" s="23">
        <v>0.41095500000000001</v>
      </c>
      <c r="C931" s="32">
        <f t="shared" si="14"/>
        <v>8.9687750121532073E-3</v>
      </c>
    </row>
    <row r="932" spans="1:3" x14ac:dyDescent="0.6">
      <c r="A932" s="24">
        <v>30911</v>
      </c>
      <c r="B932" s="23">
        <v>0.40182200000000001</v>
      </c>
      <c r="C932" s="32">
        <f t="shared" si="14"/>
        <v>-2.2223844459855702E-2</v>
      </c>
    </row>
    <row r="933" spans="1:3" x14ac:dyDescent="0.6">
      <c r="A933" s="24">
        <v>30914</v>
      </c>
      <c r="B933" s="23">
        <v>0.39999600000000002</v>
      </c>
      <c r="C933" s="32">
        <f t="shared" si="14"/>
        <v>-4.5443007102646815E-3</v>
      </c>
    </row>
    <row r="934" spans="1:3" x14ac:dyDescent="0.6">
      <c r="A934" s="24">
        <v>30915</v>
      </c>
      <c r="B934" s="23">
        <v>0.41643400000000003</v>
      </c>
      <c r="C934" s="32">
        <f t="shared" si="14"/>
        <v>4.1095410954109513E-2</v>
      </c>
    </row>
    <row r="935" spans="1:3" x14ac:dyDescent="0.6">
      <c r="A935" s="24">
        <v>30916</v>
      </c>
      <c r="B935" s="23">
        <v>0.40912799999999999</v>
      </c>
      <c r="C935" s="32">
        <f t="shared" si="14"/>
        <v>-1.7544196679425861E-2</v>
      </c>
    </row>
    <row r="936" spans="1:3" x14ac:dyDescent="0.6">
      <c r="A936" s="24">
        <v>30917</v>
      </c>
      <c r="B936" s="23">
        <v>0.41095500000000001</v>
      </c>
      <c r="C936" s="32">
        <f t="shared" si="14"/>
        <v>4.4655951193759424E-3</v>
      </c>
    </row>
    <row r="937" spans="1:3" x14ac:dyDescent="0.6">
      <c r="A937" s="24">
        <v>30918</v>
      </c>
      <c r="B937" s="23">
        <v>0.41095500000000001</v>
      </c>
      <c r="C937" s="32">
        <f t="shared" si="14"/>
        <v>0</v>
      </c>
    </row>
    <row r="938" spans="1:3" x14ac:dyDescent="0.6">
      <c r="A938" s="24">
        <v>30921</v>
      </c>
      <c r="B938" s="23">
        <v>0.407302</v>
      </c>
      <c r="C938" s="32">
        <f t="shared" si="14"/>
        <v>-8.8890511126522576E-3</v>
      </c>
    </row>
    <row r="939" spans="1:3" x14ac:dyDescent="0.6">
      <c r="A939" s="24">
        <v>30922</v>
      </c>
      <c r="B939" s="23">
        <v>0.41278100000000001</v>
      </c>
      <c r="C939" s="32">
        <f t="shared" si="14"/>
        <v>1.3451934927891429E-2</v>
      </c>
    </row>
    <row r="940" spans="1:3" x14ac:dyDescent="0.6">
      <c r="A940" s="24">
        <v>30923</v>
      </c>
      <c r="B940" s="23">
        <v>0.40182200000000001</v>
      </c>
      <c r="C940" s="32">
        <f t="shared" si="14"/>
        <v>-2.654918709921239E-2</v>
      </c>
    </row>
    <row r="941" spans="1:3" x14ac:dyDescent="0.6">
      <c r="A941" s="24">
        <v>30924</v>
      </c>
      <c r="B941" s="23">
        <v>0.39451599999999998</v>
      </c>
      <c r="C941" s="32">
        <f t="shared" si="14"/>
        <v>-1.8182180169328821E-2</v>
      </c>
    </row>
    <row r="942" spans="1:3" x14ac:dyDescent="0.6">
      <c r="A942" s="24">
        <v>30925</v>
      </c>
      <c r="B942" s="23">
        <v>0.38721</v>
      </c>
      <c r="C942" s="32">
        <f t="shared" si="14"/>
        <v>-1.851889403725071E-2</v>
      </c>
    </row>
    <row r="943" spans="1:3" x14ac:dyDescent="0.6">
      <c r="A943" s="24">
        <v>30929</v>
      </c>
      <c r="B943" s="23">
        <v>0.38355800000000001</v>
      </c>
      <c r="C943" s="32">
        <f t="shared" si="14"/>
        <v>-9.431574597763448E-3</v>
      </c>
    </row>
    <row r="944" spans="1:3" x14ac:dyDescent="0.6">
      <c r="A944" s="24">
        <v>30930</v>
      </c>
      <c r="B944" s="23">
        <v>0.38355800000000001</v>
      </c>
      <c r="C944" s="32">
        <f t="shared" si="14"/>
        <v>0</v>
      </c>
    </row>
    <row r="945" spans="1:3" x14ac:dyDescent="0.6">
      <c r="A945" s="24">
        <v>30931</v>
      </c>
      <c r="B945" s="23">
        <v>0.38721</v>
      </c>
      <c r="C945" s="32">
        <f t="shared" si="14"/>
        <v>9.5213761673593744E-3</v>
      </c>
    </row>
    <row r="946" spans="1:3" x14ac:dyDescent="0.6">
      <c r="A946" s="24">
        <v>30932</v>
      </c>
      <c r="B946" s="23">
        <v>0.38721</v>
      </c>
      <c r="C946" s="32">
        <f t="shared" si="14"/>
        <v>0</v>
      </c>
    </row>
    <row r="947" spans="1:3" x14ac:dyDescent="0.6">
      <c r="A947" s="24">
        <v>30935</v>
      </c>
      <c r="B947" s="23">
        <v>0.385384</v>
      </c>
      <c r="C947" s="32">
        <f t="shared" si="14"/>
        <v>-4.7157872988817795E-3</v>
      </c>
    </row>
    <row r="948" spans="1:3" x14ac:dyDescent="0.6">
      <c r="A948" s="24">
        <v>30936</v>
      </c>
      <c r="B948" s="23">
        <v>0.39268999999999998</v>
      </c>
      <c r="C948" s="32">
        <f t="shared" si="14"/>
        <v>1.8957714902538614E-2</v>
      </c>
    </row>
    <row r="949" spans="1:3" x14ac:dyDescent="0.6">
      <c r="A949" s="24">
        <v>30937</v>
      </c>
      <c r="B949" s="23">
        <v>0.38173099999999999</v>
      </c>
      <c r="C949" s="32">
        <f t="shared" si="14"/>
        <v>-2.7907509740507819E-2</v>
      </c>
    </row>
    <row r="950" spans="1:3" x14ac:dyDescent="0.6">
      <c r="A950" s="24">
        <v>30938</v>
      </c>
      <c r="B950" s="23">
        <v>0.40182200000000001</v>
      </c>
      <c r="C950" s="32">
        <f t="shared" si="14"/>
        <v>5.2631303195181944E-2</v>
      </c>
    </row>
    <row r="951" spans="1:3" x14ac:dyDescent="0.6">
      <c r="A951" s="24">
        <v>30939</v>
      </c>
      <c r="B951" s="23">
        <v>0.407302</v>
      </c>
      <c r="C951" s="32">
        <f t="shared" si="14"/>
        <v>1.3637879459063917E-2</v>
      </c>
    </row>
    <row r="952" spans="1:3" x14ac:dyDescent="0.6">
      <c r="A952" s="24">
        <v>30942</v>
      </c>
      <c r="B952" s="23">
        <v>0.41826099999999999</v>
      </c>
      <c r="C952" s="32">
        <f t="shared" si="14"/>
        <v>2.69063250364594E-2</v>
      </c>
    </row>
    <row r="953" spans="1:3" x14ac:dyDescent="0.6">
      <c r="A953" s="24">
        <v>30943</v>
      </c>
      <c r="B953" s="23">
        <v>0.40364899999999998</v>
      </c>
      <c r="C953" s="32">
        <f t="shared" si="14"/>
        <v>-3.4935124240605742E-2</v>
      </c>
    </row>
    <row r="954" spans="1:3" x14ac:dyDescent="0.6">
      <c r="A954" s="24">
        <v>30944</v>
      </c>
      <c r="B954" s="23">
        <v>0.39451599999999998</v>
      </c>
      <c r="C954" s="32">
        <f t="shared" si="14"/>
        <v>-2.2626093462389307E-2</v>
      </c>
    </row>
    <row r="955" spans="1:3" x14ac:dyDescent="0.6">
      <c r="A955" s="24">
        <v>30945</v>
      </c>
      <c r="B955" s="23">
        <v>0.396343</v>
      </c>
      <c r="C955" s="32">
        <f t="shared" si="14"/>
        <v>4.6309908850339365E-3</v>
      </c>
    </row>
    <row r="956" spans="1:3" x14ac:dyDescent="0.6">
      <c r="A956" s="24">
        <v>30946</v>
      </c>
      <c r="B956" s="23">
        <v>0.39268999999999998</v>
      </c>
      <c r="C956" s="32">
        <f t="shared" si="14"/>
        <v>-9.2167642673139927E-3</v>
      </c>
    </row>
    <row r="957" spans="1:3" x14ac:dyDescent="0.6">
      <c r="A957" s="24">
        <v>30949</v>
      </c>
      <c r="B957" s="23">
        <v>0.38903700000000002</v>
      </c>
      <c r="C957" s="32">
        <f t="shared" si="14"/>
        <v>-9.3025032468357916E-3</v>
      </c>
    </row>
    <row r="958" spans="1:3" x14ac:dyDescent="0.6">
      <c r="A958" s="24">
        <v>30950</v>
      </c>
      <c r="B958" s="23">
        <v>0.38173099999999999</v>
      </c>
      <c r="C958" s="32">
        <f t="shared" si="14"/>
        <v>-1.8779704758159377E-2</v>
      </c>
    </row>
    <row r="959" spans="1:3" x14ac:dyDescent="0.6">
      <c r="A959" s="24">
        <v>30951</v>
      </c>
      <c r="B959" s="23">
        <v>0.37625199999999998</v>
      </c>
      <c r="C959" s="32">
        <f t="shared" si="14"/>
        <v>-1.4353039182041782E-2</v>
      </c>
    </row>
    <row r="960" spans="1:3" x14ac:dyDescent="0.6">
      <c r="A960" s="24">
        <v>30952</v>
      </c>
      <c r="B960" s="23">
        <v>0.37625199999999998</v>
      </c>
      <c r="C960" s="32">
        <f t="shared" si="14"/>
        <v>0</v>
      </c>
    </row>
    <row r="961" spans="1:3" x14ac:dyDescent="0.6">
      <c r="A961" s="24">
        <v>30953</v>
      </c>
      <c r="B961" s="23">
        <v>0.36711899999999997</v>
      </c>
      <c r="C961" s="32">
        <f t="shared" si="14"/>
        <v>-2.4273625123587439E-2</v>
      </c>
    </row>
    <row r="962" spans="1:3" x14ac:dyDescent="0.6">
      <c r="A962" s="24">
        <v>30956</v>
      </c>
      <c r="B962" s="23">
        <v>0.357987</v>
      </c>
      <c r="C962" s="32">
        <f t="shared" si="14"/>
        <v>-2.4874768126955993E-2</v>
      </c>
    </row>
    <row r="963" spans="1:3" x14ac:dyDescent="0.6">
      <c r="A963" s="24">
        <v>30957</v>
      </c>
      <c r="B963" s="23">
        <v>0.36164000000000002</v>
      </c>
      <c r="C963" s="32">
        <f t="shared" si="14"/>
        <v>1.0204281161047879E-2</v>
      </c>
    </row>
    <row r="964" spans="1:3" x14ac:dyDescent="0.6">
      <c r="A964" s="24">
        <v>30958</v>
      </c>
      <c r="B964" s="23">
        <v>0.36711899999999997</v>
      </c>
      <c r="C964" s="32">
        <f t="shared" ref="C964:C1027" si="15">B964/B963-1</f>
        <v>1.5150425837849646E-2</v>
      </c>
    </row>
    <row r="965" spans="1:3" x14ac:dyDescent="0.6">
      <c r="A965" s="24">
        <v>30959</v>
      </c>
      <c r="B965" s="23">
        <v>0.37077199999999999</v>
      </c>
      <c r="C965" s="32">
        <f t="shared" si="15"/>
        <v>9.9504520332645008E-3</v>
      </c>
    </row>
    <row r="966" spans="1:3" x14ac:dyDescent="0.6">
      <c r="A966" s="24">
        <v>30960</v>
      </c>
      <c r="B966" s="23">
        <v>0.36346699999999998</v>
      </c>
      <c r="C966" s="32">
        <f t="shared" si="15"/>
        <v>-1.970213500480078E-2</v>
      </c>
    </row>
    <row r="967" spans="1:3" x14ac:dyDescent="0.6">
      <c r="A967" s="24">
        <v>30963</v>
      </c>
      <c r="B967" s="23">
        <v>0.36346699999999998</v>
      </c>
      <c r="C967" s="32">
        <f t="shared" si="15"/>
        <v>0</v>
      </c>
    </row>
    <row r="968" spans="1:3" x14ac:dyDescent="0.6">
      <c r="A968" s="24">
        <v>30964</v>
      </c>
      <c r="B968" s="23">
        <v>0.35981400000000002</v>
      </c>
      <c r="C968" s="32">
        <f t="shared" si="15"/>
        <v>-1.0050430988232661E-2</v>
      </c>
    </row>
    <row r="969" spans="1:3" x14ac:dyDescent="0.6">
      <c r="A969" s="24">
        <v>30965</v>
      </c>
      <c r="B969" s="23">
        <v>0.34885500000000003</v>
      </c>
      <c r="C969" s="32">
        <f t="shared" si="15"/>
        <v>-3.0457402991545646E-2</v>
      </c>
    </row>
    <row r="970" spans="1:3" x14ac:dyDescent="0.6">
      <c r="A970" s="24">
        <v>30966</v>
      </c>
      <c r="B970" s="23">
        <v>0.347028</v>
      </c>
      <c r="C970" s="32">
        <f t="shared" si="15"/>
        <v>-5.237132906221853E-3</v>
      </c>
    </row>
    <row r="971" spans="1:3" x14ac:dyDescent="0.6">
      <c r="A971" s="24">
        <v>30967</v>
      </c>
      <c r="B971" s="23">
        <v>0.33241700000000002</v>
      </c>
      <c r="C971" s="32">
        <f t="shared" si="15"/>
        <v>-4.2103230863215657E-2</v>
      </c>
    </row>
    <row r="972" spans="1:3" x14ac:dyDescent="0.6">
      <c r="A972" s="24">
        <v>30970</v>
      </c>
      <c r="B972" s="23">
        <v>0.35068100000000002</v>
      </c>
      <c r="C972" s="32">
        <f t="shared" si="15"/>
        <v>5.4943038412596179E-2</v>
      </c>
    </row>
    <row r="973" spans="1:3" x14ac:dyDescent="0.6">
      <c r="A973" s="24">
        <v>30971</v>
      </c>
      <c r="B973" s="23">
        <v>0.34885500000000003</v>
      </c>
      <c r="C973" s="32">
        <f t="shared" si="15"/>
        <v>-5.2070115004805295E-3</v>
      </c>
    </row>
    <row r="974" spans="1:3" x14ac:dyDescent="0.6">
      <c r="A974" s="24">
        <v>30972</v>
      </c>
      <c r="B974" s="23">
        <v>0.36346699999999998</v>
      </c>
      <c r="C974" s="32">
        <f t="shared" si="15"/>
        <v>4.1885597167877542E-2</v>
      </c>
    </row>
    <row r="975" spans="1:3" x14ac:dyDescent="0.6">
      <c r="A975" s="24">
        <v>30973</v>
      </c>
      <c r="B975" s="23">
        <v>0.37442500000000001</v>
      </c>
      <c r="C975" s="32">
        <f t="shared" si="15"/>
        <v>3.0148541683288954E-2</v>
      </c>
    </row>
    <row r="976" spans="1:3" x14ac:dyDescent="0.6">
      <c r="A976" s="24">
        <v>30974</v>
      </c>
      <c r="B976" s="23">
        <v>0.37442500000000001</v>
      </c>
      <c r="C976" s="32">
        <f t="shared" si="15"/>
        <v>0</v>
      </c>
    </row>
    <row r="977" spans="1:3" x14ac:dyDescent="0.6">
      <c r="A977" s="24">
        <v>30977</v>
      </c>
      <c r="B977" s="23">
        <v>0.37077199999999999</v>
      </c>
      <c r="C977" s="32">
        <f t="shared" si="15"/>
        <v>-9.7562929825733002E-3</v>
      </c>
    </row>
    <row r="978" spans="1:3" x14ac:dyDescent="0.6">
      <c r="A978" s="24">
        <v>30978</v>
      </c>
      <c r="B978" s="23">
        <v>0.37990499999999999</v>
      </c>
      <c r="C978" s="32">
        <f t="shared" si="15"/>
        <v>2.4632388637761293E-2</v>
      </c>
    </row>
    <row r="979" spans="1:3" x14ac:dyDescent="0.6">
      <c r="A979" s="24">
        <v>30979</v>
      </c>
      <c r="B979" s="23">
        <v>0.38355800000000001</v>
      </c>
      <c r="C979" s="32">
        <f t="shared" si="15"/>
        <v>9.6155617851831909E-3</v>
      </c>
    </row>
    <row r="980" spans="1:3" x14ac:dyDescent="0.6">
      <c r="A980" s="24">
        <v>30980</v>
      </c>
      <c r="B980" s="23">
        <v>0.368946</v>
      </c>
      <c r="C980" s="32">
        <f t="shared" si="15"/>
        <v>-3.8095933339938215E-2</v>
      </c>
    </row>
    <row r="981" spans="1:3" x14ac:dyDescent="0.6">
      <c r="A981" s="24">
        <v>30981</v>
      </c>
      <c r="B981" s="23">
        <v>0.35981400000000002</v>
      </c>
      <c r="C981" s="32">
        <f t="shared" si="15"/>
        <v>-2.4751589663527973E-2</v>
      </c>
    </row>
    <row r="982" spans="1:3" x14ac:dyDescent="0.6">
      <c r="A982" s="24">
        <v>30984</v>
      </c>
      <c r="B982" s="23">
        <v>0.36164000000000002</v>
      </c>
      <c r="C982" s="32">
        <f t="shared" si="15"/>
        <v>5.0748442250718728E-3</v>
      </c>
    </row>
    <row r="983" spans="1:3" x14ac:dyDescent="0.6">
      <c r="A983" s="24">
        <v>30985</v>
      </c>
      <c r="B983" s="23">
        <v>0.36529299999999998</v>
      </c>
      <c r="C983" s="32">
        <f t="shared" si="15"/>
        <v>1.010120561884742E-2</v>
      </c>
    </row>
    <row r="984" spans="1:3" x14ac:dyDescent="0.6">
      <c r="A984" s="24">
        <v>30986</v>
      </c>
      <c r="B984" s="23">
        <v>0.36346699999999998</v>
      </c>
      <c r="C984" s="32">
        <f t="shared" si="15"/>
        <v>-4.9987270492454217E-3</v>
      </c>
    </row>
    <row r="985" spans="1:3" x14ac:dyDescent="0.6">
      <c r="A985" s="24">
        <v>30987</v>
      </c>
      <c r="B985" s="23">
        <v>0.36529299999999998</v>
      </c>
      <c r="C985" s="32">
        <f t="shared" si="15"/>
        <v>5.0238398534117046E-3</v>
      </c>
    </row>
    <row r="986" spans="1:3" x14ac:dyDescent="0.6">
      <c r="A986" s="24">
        <v>30988</v>
      </c>
      <c r="B986" s="23">
        <v>0.36346699999999998</v>
      </c>
      <c r="C986" s="32">
        <f t="shared" si="15"/>
        <v>-4.9987270492454217E-3</v>
      </c>
    </row>
    <row r="987" spans="1:3" x14ac:dyDescent="0.6">
      <c r="A987" s="24">
        <v>30991</v>
      </c>
      <c r="B987" s="23">
        <v>0.36164000000000002</v>
      </c>
      <c r="C987" s="32">
        <f t="shared" si="15"/>
        <v>-5.0265911348209569E-3</v>
      </c>
    </row>
    <row r="988" spans="1:3" x14ac:dyDescent="0.6">
      <c r="A988" s="24">
        <v>30992</v>
      </c>
      <c r="B988" s="23">
        <v>0.38355800000000001</v>
      </c>
      <c r="C988" s="32">
        <f t="shared" si="15"/>
        <v>6.0607233713084741E-2</v>
      </c>
    </row>
    <row r="989" spans="1:3" x14ac:dyDescent="0.6">
      <c r="A989" s="24">
        <v>30993</v>
      </c>
      <c r="B989" s="23">
        <v>0.37625199999999998</v>
      </c>
      <c r="C989" s="32">
        <f t="shared" si="15"/>
        <v>-1.9047966669969219E-2</v>
      </c>
    </row>
    <row r="990" spans="1:3" x14ac:dyDescent="0.6">
      <c r="A990" s="24">
        <v>30994</v>
      </c>
      <c r="B990" s="23">
        <v>0.36164000000000002</v>
      </c>
      <c r="C990" s="32">
        <f t="shared" si="15"/>
        <v>-3.8835673963194761E-2</v>
      </c>
    </row>
    <row r="991" spans="1:3" x14ac:dyDescent="0.6">
      <c r="A991" s="24">
        <v>30995</v>
      </c>
      <c r="B991" s="23">
        <v>0.339723</v>
      </c>
      <c r="C991" s="32">
        <f t="shared" si="15"/>
        <v>-6.0604468532242106E-2</v>
      </c>
    </row>
    <row r="992" spans="1:3" x14ac:dyDescent="0.6">
      <c r="A992" s="24">
        <v>30998</v>
      </c>
      <c r="B992" s="23">
        <v>0.35250799999999999</v>
      </c>
      <c r="C992" s="32">
        <f t="shared" si="15"/>
        <v>3.7633601492981006E-2</v>
      </c>
    </row>
    <row r="993" spans="1:3" x14ac:dyDescent="0.6">
      <c r="A993" s="24">
        <v>30999</v>
      </c>
      <c r="B993" s="23">
        <v>0.34337499999999999</v>
      </c>
      <c r="C993" s="32">
        <f t="shared" si="15"/>
        <v>-2.590863186083725E-2</v>
      </c>
    </row>
    <row r="994" spans="1:3" x14ac:dyDescent="0.6">
      <c r="A994" s="24">
        <v>31000</v>
      </c>
      <c r="B994" s="23">
        <v>0.347028</v>
      </c>
      <c r="C994" s="32">
        <f t="shared" si="15"/>
        <v>1.0638514743356531E-2</v>
      </c>
    </row>
    <row r="995" spans="1:3" x14ac:dyDescent="0.6">
      <c r="A995" s="24">
        <v>31001</v>
      </c>
      <c r="B995" s="23">
        <v>0.347028</v>
      </c>
      <c r="C995" s="32">
        <f t="shared" si="15"/>
        <v>0</v>
      </c>
    </row>
    <row r="996" spans="1:3" x14ac:dyDescent="0.6">
      <c r="A996" s="24">
        <v>31002</v>
      </c>
      <c r="B996" s="23">
        <v>0.339723</v>
      </c>
      <c r="C996" s="32">
        <f t="shared" si="15"/>
        <v>-2.1050174625678597E-2</v>
      </c>
    </row>
    <row r="997" spans="1:3" x14ac:dyDescent="0.6">
      <c r="A997" s="24">
        <v>31005</v>
      </c>
      <c r="B997" s="23">
        <v>0.319631</v>
      </c>
      <c r="C997" s="32">
        <f t="shared" si="15"/>
        <v>-5.9142301227764982E-2</v>
      </c>
    </row>
    <row r="998" spans="1:3" x14ac:dyDescent="0.6">
      <c r="A998" s="24">
        <v>31006</v>
      </c>
      <c r="B998" s="23">
        <v>0.33058999999999999</v>
      </c>
      <c r="C998" s="32">
        <f t="shared" si="15"/>
        <v>3.4286411518281934E-2</v>
      </c>
    </row>
    <row r="999" spans="1:3" x14ac:dyDescent="0.6">
      <c r="A999" s="24">
        <v>31007</v>
      </c>
      <c r="B999" s="23">
        <v>0.33789599999999997</v>
      </c>
      <c r="C999" s="32">
        <f t="shared" si="15"/>
        <v>2.2099882029099405E-2</v>
      </c>
    </row>
    <row r="1000" spans="1:3" x14ac:dyDescent="0.6">
      <c r="A1000" s="24">
        <v>31009</v>
      </c>
      <c r="B1000" s="23">
        <v>0.347028</v>
      </c>
      <c r="C1000" s="32">
        <f t="shared" si="15"/>
        <v>2.7026067192272185E-2</v>
      </c>
    </row>
    <row r="1001" spans="1:3" x14ac:dyDescent="0.6">
      <c r="A1001" s="24">
        <v>31012</v>
      </c>
      <c r="B1001" s="23">
        <v>0.35068100000000002</v>
      </c>
      <c r="C1001" s="32">
        <f t="shared" si="15"/>
        <v>1.052652811876853E-2</v>
      </c>
    </row>
    <row r="1002" spans="1:3" x14ac:dyDescent="0.6">
      <c r="A1002" s="24">
        <v>31013</v>
      </c>
      <c r="B1002" s="23">
        <v>0.35981400000000002</v>
      </c>
      <c r="C1002" s="32">
        <f t="shared" si="15"/>
        <v>2.6043612285809647E-2</v>
      </c>
    </row>
    <row r="1003" spans="1:3" x14ac:dyDescent="0.6">
      <c r="A1003" s="24">
        <v>31014</v>
      </c>
      <c r="B1003" s="23">
        <v>0.37807800000000003</v>
      </c>
      <c r="C1003" s="32">
        <f t="shared" si="15"/>
        <v>5.0759559105537866E-2</v>
      </c>
    </row>
    <row r="1004" spans="1:3" x14ac:dyDescent="0.6">
      <c r="A1004" s="24">
        <v>31015</v>
      </c>
      <c r="B1004" s="23">
        <v>0.37077199999999999</v>
      </c>
      <c r="C1004" s="32">
        <f t="shared" si="15"/>
        <v>-1.9324054824665926E-2</v>
      </c>
    </row>
    <row r="1005" spans="1:3" x14ac:dyDescent="0.6">
      <c r="A1005" s="24">
        <v>31016</v>
      </c>
      <c r="B1005" s="23">
        <v>0.36164000000000002</v>
      </c>
      <c r="C1005" s="32">
        <f t="shared" si="15"/>
        <v>-2.4629691562469636E-2</v>
      </c>
    </row>
    <row r="1006" spans="1:3" x14ac:dyDescent="0.6">
      <c r="A1006" s="24">
        <v>31019</v>
      </c>
      <c r="B1006" s="23">
        <v>0.35616100000000001</v>
      </c>
      <c r="C1006" s="32">
        <f t="shared" si="15"/>
        <v>-1.5150425837849868E-2</v>
      </c>
    </row>
    <row r="1007" spans="1:3" x14ac:dyDescent="0.6">
      <c r="A1007" s="24">
        <v>31020</v>
      </c>
      <c r="B1007" s="23">
        <v>0.36346699999999998</v>
      </c>
      <c r="C1007" s="32">
        <f t="shared" si="15"/>
        <v>2.0513194875351193E-2</v>
      </c>
    </row>
    <row r="1008" spans="1:3" x14ac:dyDescent="0.6">
      <c r="A1008" s="24">
        <v>31021</v>
      </c>
      <c r="B1008" s="23">
        <v>0.38173099999999999</v>
      </c>
      <c r="C1008" s="32">
        <f t="shared" si="15"/>
        <v>5.0249403659754499E-2</v>
      </c>
    </row>
    <row r="1009" spans="1:3" x14ac:dyDescent="0.6">
      <c r="A1009" s="24">
        <v>31022</v>
      </c>
      <c r="B1009" s="23">
        <v>0.39999600000000002</v>
      </c>
      <c r="C1009" s="32">
        <f t="shared" si="15"/>
        <v>4.7847830016425341E-2</v>
      </c>
    </row>
    <row r="1010" spans="1:3" x14ac:dyDescent="0.6">
      <c r="A1010" s="24">
        <v>31023</v>
      </c>
      <c r="B1010" s="23">
        <v>0.398169</v>
      </c>
      <c r="C1010" s="32">
        <f t="shared" si="15"/>
        <v>-4.5675456754568078E-3</v>
      </c>
    </row>
    <row r="1011" spans="1:3" x14ac:dyDescent="0.6">
      <c r="A1011" s="24">
        <v>31026</v>
      </c>
      <c r="B1011" s="23">
        <v>0.39086300000000002</v>
      </c>
      <c r="C1011" s="32">
        <f t="shared" si="15"/>
        <v>-1.8348992513229301E-2</v>
      </c>
    </row>
    <row r="1012" spans="1:3" x14ac:dyDescent="0.6">
      <c r="A1012" s="24">
        <v>31027</v>
      </c>
      <c r="B1012" s="23">
        <v>0.385384</v>
      </c>
      <c r="C1012" s="32">
        <f t="shared" si="15"/>
        <v>-1.4017699296172803E-2</v>
      </c>
    </row>
    <row r="1013" spans="1:3" x14ac:dyDescent="0.6">
      <c r="A1013" s="24">
        <v>31028</v>
      </c>
      <c r="B1013" s="23">
        <v>0.37259900000000001</v>
      </c>
      <c r="C1013" s="32">
        <f t="shared" si="15"/>
        <v>-3.3174703672181449E-2</v>
      </c>
    </row>
    <row r="1014" spans="1:3" x14ac:dyDescent="0.6">
      <c r="A1014" s="24">
        <v>31029</v>
      </c>
      <c r="B1014" s="23">
        <v>0.37625199999999998</v>
      </c>
      <c r="C1014" s="32">
        <f t="shared" si="15"/>
        <v>9.8041057544437926E-3</v>
      </c>
    </row>
    <row r="1015" spans="1:3" x14ac:dyDescent="0.6">
      <c r="A1015" s="24">
        <v>31030</v>
      </c>
      <c r="B1015" s="23">
        <v>0.385384</v>
      </c>
      <c r="C1015" s="32">
        <f t="shared" si="15"/>
        <v>2.4270967330406235E-2</v>
      </c>
    </row>
    <row r="1016" spans="1:3" x14ac:dyDescent="0.6">
      <c r="A1016" s="24">
        <v>31033</v>
      </c>
      <c r="B1016" s="23">
        <v>0.39451599999999998</v>
      </c>
      <c r="C1016" s="32">
        <f t="shared" si="15"/>
        <v>2.3695846220912031E-2</v>
      </c>
    </row>
    <row r="1017" spans="1:3" x14ac:dyDescent="0.6">
      <c r="A1017" s="24">
        <v>31034</v>
      </c>
      <c r="B1017" s="23">
        <v>0.41826099999999999</v>
      </c>
      <c r="C1017" s="32">
        <f t="shared" si="15"/>
        <v>6.0187672996786068E-2</v>
      </c>
    </row>
    <row r="1018" spans="1:3" x14ac:dyDescent="0.6">
      <c r="A1018" s="24">
        <v>31035</v>
      </c>
      <c r="B1018" s="23">
        <v>0.40182200000000001</v>
      </c>
      <c r="C1018" s="32">
        <f t="shared" si="15"/>
        <v>-3.9303210196504068E-2</v>
      </c>
    </row>
    <row r="1019" spans="1:3" x14ac:dyDescent="0.6">
      <c r="A1019" s="24">
        <v>31036</v>
      </c>
      <c r="B1019" s="23">
        <v>0.39999600000000002</v>
      </c>
      <c r="C1019" s="32">
        <f t="shared" si="15"/>
        <v>-4.5443007102646815E-3</v>
      </c>
    </row>
    <row r="1020" spans="1:3" x14ac:dyDescent="0.6">
      <c r="A1020" s="24">
        <v>31037</v>
      </c>
      <c r="B1020" s="23">
        <v>0.39451599999999998</v>
      </c>
      <c r="C1020" s="32">
        <f t="shared" si="15"/>
        <v>-1.3700137001370072E-2</v>
      </c>
    </row>
    <row r="1021" spans="1:3" x14ac:dyDescent="0.6">
      <c r="A1021" s="24">
        <v>31040</v>
      </c>
      <c r="B1021" s="23">
        <v>0.40182200000000001</v>
      </c>
      <c r="C1021" s="32">
        <f t="shared" si="15"/>
        <v>1.851889403725071E-2</v>
      </c>
    </row>
    <row r="1022" spans="1:3" x14ac:dyDescent="0.6">
      <c r="A1022" s="24">
        <v>31042</v>
      </c>
      <c r="B1022" s="23">
        <v>0.40364899999999998</v>
      </c>
      <c r="C1022" s="32">
        <f t="shared" si="15"/>
        <v>4.5467893743995624E-3</v>
      </c>
    </row>
    <row r="1023" spans="1:3" x14ac:dyDescent="0.6">
      <c r="A1023" s="24">
        <v>31043</v>
      </c>
      <c r="B1023" s="23">
        <v>0.40547499999999997</v>
      </c>
      <c r="C1023" s="32">
        <f t="shared" si="15"/>
        <v>4.5237322525262247E-3</v>
      </c>
    </row>
    <row r="1024" spans="1:3" x14ac:dyDescent="0.6">
      <c r="A1024" s="24">
        <v>31044</v>
      </c>
      <c r="B1024" s="23">
        <v>0.42008699999999999</v>
      </c>
      <c r="C1024" s="32">
        <f t="shared" si="15"/>
        <v>3.6036747025093963E-2</v>
      </c>
    </row>
    <row r="1025" spans="1:3" x14ac:dyDescent="0.6">
      <c r="A1025" s="24">
        <v>31047</v>
      </c>
      <c r="B1025" s="23">
        <v>0.425566</v>
      </c>
      <c r="C1025" s="32">
        <f t="shared" si="15"/>
        <v>1.3042536426978169E-2</v>
      </c>
    </row>
    <row r="1026" spans="1:3" x14ac:dyDescent="0.6">
      <c r="A1026" s="24">
        <v>31049</v>
      </c>
      <c r="B1026" s="23">
        <v>0.407302</v>
      </c>
      <c r="C1026" s="32">
        <f t="shared" si="15"/>
        <v>-4.2916962351315702E-2</v>
      </c>
    </row>
    <row r="1027" spans="1:3" x14ac:dyDescent="0.6">
      <c r="A1027" s="24">
        <v>31050</v>
      </c>
      <c r="B1027" s="23">
        <v>0.414607</v>
      </c>
      <c r="C1027" s="32">
        <f t="shared" si="15"/>
        <v>1.7935094843629651E-2</v>
      </c>
    </row>
    <row r="1028" spans="1:3" x14ac:dyDescent="0.6">
      <c r="A1028" s="24">
        <v>31051</v>
      </c>
      <c r="B1028" s="23">
        <v>0.414607</v>
      </c>
      <c r="C1028" s="32">
        <f t="shared" ref="C1028:C1091" si="16">B1028/B1027-1</f>
        <v>0</v>
      </c>
    </row>
    <row r="1029" spans="1:3" x14ac:dyDescent="0.6">
      <c r="A1029" s="24">
        <v>31054</v>
      </c>
      <c r="B1029" s="23">
        <v>0.41278100000000001</v>
      </c>
      <c r="C1029" s="32">
        <f t="shared" si="16"/>
        <v>-4.4041706965873839E-3</v>
      </c>
    </row>
    <row r="1030" spans="1:3" x14ac:dyDescent="0.6">
      <c r="A1030" s="24">
        <v>31055</v>
      </c>
      <c r="B1030" s="23">
        <v>0.40912799999999999</v>
      </c>
      <c r="C1030" s="32">
        <f t="shared" si="16"/>
        <v>-8.8497290330707967E-3</v>
      </c>
    </row>
    <row r="1031" spans="1:3" x14ac:dyDescent="0.6">
      <c r="A1031" s="24">
        <v>31056</v>
      </c>
      <c r="B1031" s="23">
        <v>0.42008699999999999</v>
      </c>
      <c r="C1031" s="32">
        <f t="shared" si="16"/>
        <v>2.6786238047750377E-2</v>
      </c>
    </row>
    <row r="1032" spans="1:3" x14ac:dyDescent="0.6">
      <c r="A1032" s="24">
        <v>31057</v>
      </c>
      <c r="B1032" s="23">
        <v>0.43835200000000002</v>
      </c>
      <c r="C1032" s="32">
        <f t="shared" si="16"/>
        <v>4.3479088855403747E-2</v>
      </c>
    </row>
    <row r="1033" spans="1:3" x14ac:dyDescent="0.6">
      <c r="A1033" s="24">
        <v>31058</v>
      </c>
      <c r="B1033" s="23">
        <v>0.434699</v>
      </c>
      <c r="C1033" s="32">
        <f t="shared" si="16"/>
        <v>-8.3334854181115192E-3</v>
      </c>
    </row>
    <row r="1034" spans="1:3" x14ac:dyDescent="0.6">
      <c r="A1034" s="24">
        <v>31061</v>
      </c>
      <c r="B1034" s="23">
        <v>0.44748399999999999</v>
      </c>
      <c r="C1034" s="32">
        <f t="shared" si="16"/>
        <v>2.941115576525366E-2</v>
      </c>
    </row>
    <row r="1035" spans="1:3" x14ac:dyDescent="0.6">
      <c r="A1035" s="24">
        <v>31062</v>
      </c>
      <c r="B1035" s="23">
        <v>0.43835200000000002</v>
      </c>
      <c r="C1035" s="32">
        <f t="shared" si="16"/>
        <v>-2.0407433561870358E-2</v>
      </c>
    </row>
    <row r="1036" spans="1:3" x14ac:dyDescent="0.6">
      <c r="A1036" s="24">
        <v>31063</v>
      </c>
      <c r="B1036" s="23">
        <v>0.44200499999999998</v>
      </c>
      <c r="C1036" s="32">
        <f t="shared" si="16"/>
        <v>8.3334854181114082E-3</v>
      </c>
    </row>
    <row r="1037" spans="1:3" x14ac:dyDescent="0.6">
      <c r="A1037" s="24">
        <v>31064</v>
      </c>
      <c r="B1037" s="23">
        <v>0.41095500000000001</v>
      </c>
      <c r="C1037" s="32">
        <f t="shared" si="16"/>
        <v>-7.0248074116808557E-2</v>
      </c>
    </row>
    <row r="1038" spans="1:3" x14ac:dyDescent="0.6">
      <c r="A1038" s="24">
        <v>31065</v>
      </c>
      <c r="B1038" s="23">
        <v>0.41826099999999999</v>
      </c>
      <c r="C1038" s="32">
        <f t="shared" si="16"/>
        <v>1.7778102225304515E-2</v>
      </c>
    </row>
    <row r="1039" spans="1:3" x14ac:dyDescent="0.6">
      <c r="A1039" s="24">
        <v>31068</v>
      </c>
      <c r="B1039" s="23">
        <v>0.42739300000000002</v>
      </c>
      <c r="C1039" s="32">
        <f t="shared" si="16"/>
        <v>2.1833257224556091E-2</v>
      </c>
    </row>
    <row r="1040" spans="1:3" x14ac:dyDescent="0.6">
      <c r="A1040" s="24">
        <v>31069</v>
      </c>
      <c r="B1040" s="23">
        <v>0.44017800000000001</v>
      </c>
      <c r="C1040" s="32">
        <f t="shared" si="16"/>
        <v>2.9913919975292025E-2</v>
      </c>
    </row>
    <row r="1041" spans="1:3" x14ac:dyDescent="0.6">
      <c r="A1041" s="24">
        <v>31070</v>
      </c>
      <c r="B1041" s="23">
        <v>0.43287199999999998</v>
      </c>
      <c r="C1041" s="32">
        <f t="shared" si="16"/>
        <v>-1.6597830877508768E-2</v>
      </c>
    </row>
    <row r="1042" spans="1:3" x14ac:dyDescent="0.6">
      <c r="A1042" s="24">
        <v>31071</v>
      </c>
      <c r="B1042" s="23">
        <v>0.42374000000000001</v>
      </c>
      <c r="C1042" s="32">
        <f t="shared" si="16"/>
        <v>-2.1096305605352139E-2</v>
      </c>
    </row>
    <row r="1043" spans="1:3" x14ac:dyDescent="0.6">
      <c r="A1043" s="24">
        <v>31072</v>
      </c>
      <c r="B1043" s="23">
        <v>0.43287199999999998</v>
      </c>
      <c r="C1043" s="32">
        <f t="shared" si="16"/>
        <v>2.1550951054892131E-2</v>
      </c>
    </row>
    <row r="1044" spans="1:3" x14ac:dyDescent="0.6">
      <c r="A1044" s="24">
        <v>31075</v>
      </c>
      <c r="B1044" s="23">
        <v>0.44200499999999998</v>
      </c>
      <c r="C1044" s="32">
        <f t="shared" si="16"/>
        <v>2.1098615757082939E-2</v>
      </c>
    </row>
    <row r="1045" spans="1:3" x14ac:dyDescent="0.6">
      <c r="A1045" s="24">
        <v>31076</v>
      </c>
      <c r="B1045" s="23">
        <v>0.436525</v>
      </c>
      <c r="C1045" s="32">
        <f t="shared" si="16"/>
        <v>-1.2398049795816712E-2</v>
      </c>
    </row>
    <row r="1046" spans="1:3" x14ac:dyDescent="0.6">
      <c r="A1046" s="24">
        <v>31077</v>
      </c>
      <c r="B1046" s="23">
        <v>0.436525</v>
      </c>
      <c r="C1046" s="32">
        <f t="shared" si="16"/>
        <v>0</v>
      </c>
    </row>
    <row r="1047" spans="1:3" x14ac:dyDescent="0.6">
      <c r="A1047" s="24">
        <v>31078</v>
      </c>
      <c r="B1047" s="23">
        <v>0.42374000000000001</v>
      </c>
      <c r="C1047" s="32">
        <f t="shared" si="16"/>
        <v>-2.9288127827730381E-2</v>
      </c>
    </row>
    <row r="1048" spans="1:3" x14ac:dyDescent="0.6">
      <c r="A1048" s="24">
        <v>31079</v>
      </c>
      <c r="B1048" s="23">
        <v>0.41826099999999999</v>
      </c>
      <c r="C1048" s="32">
        <f t="shared" si="16"/>
        <v>-1.2930098645395738E-2</v>
      </c>
    </row>
    <row r="1049" spans="1:3" x14ac:dyDescent="0.6">
      <c r="A1049" s="24">
        <v>31082</v>
      </c>
      <c r="B1049" s="23">
        <v>0.42739300000000002</v>
      </c>
      <c r="C1049" s="32">
        <f t="shared" si="16"/>
        <v>2.1833257224556091E-2</v>
      </c>
    </row>
    <row r="1050" spans="1:3" x14ac:dyDescent="0.6">
      <c r="A1050" s="24">
        <v>31083</v>
      </c>
      <c r="B1050" s="23">
        <v>0.43104599999999998</v>
      </c>
      <c r="C1050" s="32">
        <f t="shared" si="16"/>
        <v>8.5471685310707368E-3</v>
      </c>
    </row>
    <row r="1051" spans="1:3" x14ac:dyDescent="0.6">
      <c r="A1051" s="24">
        <v>31084</v>
      </c>
      <c r="B1051" s="23">
        <v>0.43835200000000002</v>
      </c>
      <c r="C1051" s="32">
        <f t="shared" si="16"/>
        <v>1.6949467110238814E-2</v>
      </c>
    </row>
    <row r="1052" spans="1:3" x14ac:dyDescent="0.6">
      <c r="A1052" s="24">
        <v>31085</v>
      </c>
      <c r="B1052" s="23">
        <v>0.436525</v>
      </c>
      <c r="C1052" s="32">
        <f t="shared" si="16"/>
        <v>-4.1678833448918207E-3</v>
      </c>
    </row>
    <row r="1053" spans="1:3" x14ac:dyDescent="0.6">
      <c r="A1053" s="24">
        <v>31086</v>
      </c>
      <c r="B1053" s="23">
        <v>0.436525</v>
      </c>
      <c r="C1053" s="32">
        <f t="shared" si="16"/>
        <v>0</v>
      </c>
    </row>
    <row r="1054" spans="1:3" x14ac:dyDescent="0.6">
      <c r="A1054" s="24">
        <v>31089</v>
      </c>
      <c r="B1054" s="23">
        <v>0.445658</v>
      </c>
      <c r="C1054" s="32">
        <f t="shared" si="16"/>
        <v>2.0922054865128104E-2</v>
      </c>
    </row>
    <row r="1055" spans="1:3" x14ac:dyDescent="0.6">
      <c r="A1055" s="24">
        <v>31090</v>
      </c>
      <c r="B1055" s="23">
        <v>0.434699</v>
      </c>
      <c r="C1055" s="32">
        <f t="shared" si="16"/>
        <v>-2.4590605352086126E-2</v>
      </c>
    </row>
    <row r="1056" spans="1:3" x14ac:dyDescent="0.6">
      <c r="A1056" s="24">
        <v>31091</v>
      </c>
      <c r="B1056" s="23">
        <v>0.414607</v>
      </c>
      <c r="C1056" s="32">
        <f t="shared" si="16"/>
        <v>-4.6220488199880783E-2</v>
      </c>
    </row>
    <row r="1057" spans="1:3" x14ac:dyDescent="0.6">
      <c r="A1057" s="24">
        <v>31092</v>
      </c>
      <c r="B1057" s="23">
        <v>0.40364899999999998</v>
      </c>
      <c r="C1057" s="32">
        <f t="shared" si="16"/>
        <v>-2.6429848024756009E-2</v>
      </c>
    </row>
    <row r="1058" spans="1:3" x14ac:dyDescent="0.6">
      <c r="A1058" s="24">
        <v>31093</v>
      </c>
      <c r="B1058" s="23">
        <v>0.40912799999999999</v>
      </c>
      <c r="C1058" s="32">
        <f t="shared" si="16"/>
        <v>1.3573674157498328E-2</v>
      </c>
    </row>
    <row r="1059" spans="1:3" x14ac:dyDescent="0.6">
      <c r="A1059" s="24">
        <v>31097</v>
      </c>
      <c r="B1059" s="23">
        <v>0.40364899999999998</v>
      </c>
      <c r="C1059" s="32">
        <f t="shared" si="16"/>
        <v>-1.339189691245779E-2</v>
      </c>
    </row>
    <row r="1060" spans="1:3" x14ac:dyDescent="0.6">
      <c r="A1060" s="24">
        <v>31098</v>
      </c>
      <c r="B1060" s="23">
        <v>0.385384</v>
      </c>
      <c r="C1060" s="32">
        <f t="shared" si="16"/>
        <v>-4.5249709524859405E-2</v>
      </c>
    </row>
    <row r="1061" spans="1:3" x14ac:dyDescent="0.6">
      <c r="A1061" s="24">
        <v>31099</v>
      </c>
      <c r="B1061" s="23">
        <v>0.39268999999999998</v>
      </c>
      <c r="C1061" s="32">
        <f t="shared" si="16"/>
        <v>1.8957714902538614E-2</v>
      </c>
    </row>
    <row r="1062" spans="1:3" x14ac:dyDescent="0.6">
      <c r="A1062" s="24">
        <v>31100</v>
      </c>
      <c r="B1062" s="23">
        <v>0.40364899999999998</v>
      </c>
      <c r="C1062" s="32">
        <f t="shared" si="16"/>
        <v>2.7907509740507708E-2</v>
      </c>
    </row>
    <row r="1063" spans="1:3" x14ac:dyDescent="0.6">
      <c r="A1063" s="24">
        <v>31103</v>
      </c>
      <c r="B1063" s="23">
        <v>0.398169</v>
      </c>
      <c r="C1063" s="32">
        <f t="shared" si="16"/>
        <v>-1.3576151557417426E-2</v>
      </c>
    </row>
    <row r="1064" spans="1:3" x14ac:dyDescent="0.6">
      <c r="A1064" s="24">
        <v>31104</v>
      </c>
      <c r="B1064" s="23">
        <v>0.39086300000000002</v>
      </c>
      <c r="C1064" s="32">
        <f t="shared" si="16"/>
        <v>-1.8348992513229301E-2</v>
      </c>
    </row>
    <row r="1065" spans="1:3" x14ac:dyDescent="0.6">
      <c r="A1065" s="24">
        <v>31105</v>
      </c>
      <c r="B1065" s="23">
        <v>0.36711899999999997</v>
      </c>
      <c r="C1065" s="32">
        <f t="shared" si="16"/>
        <v>-6.0747627685403982E-2</v>
      </c>
    </row>
    <row r="1066" spans="1:3" x14ac:dyDescent="0.6">
      <c r="A1066" s="24">
        <v>31106</v>
      </c>
      <c r="B1066" s="23">
        <v>0.36164000000000002</v>
      </c>
      <c r="C1066" s="32">
        <f t="shared" si="16"/>
        <v>-1.4924316093691603E-2</v>
      </c>
    </row>
    <row r="1067" spans="1:3" x14ac:dyDescent="0.6">
      <c r="A1067" s="24">
        <v>31107</v>
      </c>
      <c r="B1067" s="23">
        <v>0.36346699999999998</v>
      </c>
      <c r="C1067" s="32">
        <f t="shared" si="16"/>
        <v>5.0519853998449715E-3</v>
      </c>
    </row>
    <row r="1068" spans="1:3" x14ac:dyDescent="0.6">
      <c r="A1068" s="24">
        <v>31110</v>
      </c>
      <c r="B1068" s="23">
        <v>0.368946</v>
      </c>
      <c r="C1068" s="32">
        <f t="shared" si="16"/>
        <v>1.5074270841644477E-2</v>
      </c>
    </row>
    <row r="1069" spans="1:3" x14ac:dyDescent="0.6">
      <c r="A1069" s="24">
        <v>31111</v>
      </c>
      <c r="B1069" s="23">
        <v>0.37807800000000003</v>
      </c>
      <c r="C1069" s="32">
        <f t="shared" si="16"/>
        <v>2.4751589663527973E-2</v>
      </c>
    </row>
    <row r="1070" spans="1:3" x14ac:dyDescent="0.6">
      <c r="A1070" s="24">
        <v>31112</v>
      </c>
      <c r="B1070" s="23">
        <v>0.35981400000000002</v>
      </c>
      <c r="C1070" s="32">
        <f t="shared" si="16"/>
        <v>-4.8307492104803784E-2</v>
      </c>
    </row>
    <row r="1071" spans="1:3" x14ac:dyDescent="0.6">
      <c r="A1071" s="24">
        <v>31113</v>
      </c>
      <c r="B1071" s="23">
        <v>0.32328400000000002</v>
      </c>
      <c r="C1071" s="32">
        <f t="shared" si="16"/>
        <v>-0.10152467663848541</v>
      </c>
    </row>
    <row r="1072" spans="1:3" x14ac:dyDescent="0.6">
      <c r="A1072" s="24">
        <v>31114</v>
      </c>
      <c r="B1072" s="23">
        <v>0.31415199999999999</v>
      </c>
      <c r="C1072" s="32">
        <f t="shared" si="16"/>
        <v>-2.8247608913525069E-2</v>
      </c>
    </row>
    <row r="1073" spans="1:3" x14ac:dyDescent="0.6">
      <c r="A1073" s="24">
        <v>31117</v>
      </c>
      <c r="B1073" s="23">
        <v>0.32511099999999998</v>
      </c>
      <c r="C1073" s="32">
        <f t="shared" si="16"/>
        <v>3.4884387175634801E-2</v>
      </c>
    </row>
    <row r="1074" spans="1:3" x14ac:dyDescent="0.6">
      <c r="A1074" s="24">
        <v>31118</v>
      </c>
      <c r="B1074" s="23">
        <v>0.33606999999999998</v>
      </c>
      <c r="C1074" s="32">
        <f t="shared" si="16"/>
        <v>3.3708487255122099E-2</v>
      </c>
    </row>
    <row r="1075" spans="1:3" x14ac:dyDescent="0.6">
      <c r="A1075" s="24">
        <v>31119</v>
      </c>
      <c r="B1075" s="23">
        <v>0.317805</v>
      </c>
      <c r="C1075" s="32">
        <f t="shared" si="16"/>
        <v>-5.4348796381706088E-2</v>
      </c>
    </row>
    <row r="1076" spans="1:3" x14ac:dyDescent="0.6">
      <c r="A1076" s="24">
        <v>31120</v>
      </c>
      <c r="B1076" s="23">
        <v>0.317805</v>
      </c>
      <c r="C1076" s="32">
        <f t="shared" si="16"/>
        <v>0</v>
      </c>
    </row>
    <row r="1077" spans="1:3" x14ac:dyDescent="0.6">
      <c r="A1077" s="24">
        <v>31121</v>
      </c>
      <c r="B1077" s="23">
        <v>0.33058999999999999</v>
      </c>
      <c r="C1077" s="32">
        <f t="shared" si="16"/>
        <v>4.0229071285851292E-2</v>
      </c>
    </row>
    <row r="1078" spans="1:3" x14ac:dyDescent="0.6">
      <c r="A1078" s="24">
        <v>31124</v>
      </c>
      <c r="B1078" s="23">
        <v>0.33424300000000001</v>
      </c>
      <c r="C1078" s="32">
        <f t="shared" si="16"/>
        <v>1.1049941014549702E-2</v>
      </c>
    </row>
    <row r="1079" spans="1:3" x14ac:dyDescent="0.6">
      <c r="A1079" s="24">
        <v>31125</v>
      </c>
      <c r="B1079" s="23">
        <v>0.32145800000000002</v>
      </c>
      <c r="C1079" s="32">
        <f t="shared" si="16"/>
        <v>-3.8250614074191502E-2</v>
      </c>
    </row>
    <row r="1080" spans="1:3" x14ac:dyDescent="0.6">
      <c r="A1080" s="24">
        <v>31126</v>
      </c>
      <c r="B1080" s="23">
        <v>0.32511099999999998</v>
      </c>
      <c r="C1080" s="32">
        <f t="shared" si="16"/>
        <v>1.136384846542926E-2</v>
      </c>
    </row>
    <row r="1081" spans="1:3" x14ac:dyDescent="0.6">
      <c r="A1081" s="24">
        <v>31127</v>
      </c>
      <c r="B1081" s="23">
        <v>0.33058999999999999</v>
      </c>
      <c r="C1081" s="32">
        <f t="shared" si="16"/>
        <v>1.6852705691287051E-2</v>
      </c>
    </row>
    <row r="1082" spans="1:3" x14ac:dyDescent="0.6">
      <c r="A1082" s="24">
        <v>31128</v>
      </c>
      <c r="B1082" s="23">
        <v>0.32511099999999998</v>
      </c>
      <c r="C1082" s="32">
        <f t="shared" si="16"/>
        <v>-1.6573399074382156E-2</v>
      </c>
    </row>
    <row r="1083" spans="1:3" x14ac:dyDescent="0.6">
      <c r="A1083" s="24">
        <v>31131</v>
      </c>
      <c r="B1083" s="23">
        <v>0.31597799999999998</v>
      </c>
      <c r="C1083" s="32">
        <f t="shared" si="16"/>
        <v>-2.8091943982209155E-2</v>
      </c>
    </row>
    <row r="1084" spans="1:3" x14ac:dyDescent="0.6">
      <c r="A1084" s="24">
        <v>31132</v>
      </c>
      <c r="B1084" s="23">
        <v>0.328764</v>
      </c>
      <c r="C1084" s="32">
        <f t="shared" si="16"/>
        <v>4.0464842489034147E-2</v>
      </c>
    </row>
    <row r="1085" spans="1:3" x14ac:dyDescent="0.6">
      <c r="A1085" s="24">
        <v>31133</v>
      </c>
      <c r="B1085" s="23">
        <v>0.319631</v>
      </c>
      <c r="C1085" s="32">
        <f t="shared" si="16"/>
        <v>-2.7779805574819627E-2</v>
      </c>
    </row>
    <row r="1086" spans="1:3" x14ac:dyDescent="0.6">
      <c r="A1086" s="24">
        <v>31134</v>
      </c>
      <c r="B1086" s="23">
        <v>0.319631</v>
      </c>
      <c r="C1086" s="32">
        <f t="shared" si="16"/>
        <v>0</v>
      </c>
    </row>
    <row r="1087" spans="1:3" x14ac:dyDescent="0.6">
      <c r="A1087" s="24">
        <v>31135</v>
      </c>
      <c r="B1087" s="23">
        <v>0.32328400000000002</v>
      </c>
      <c r="C1087" s="32">
        <f t="shared" si="16"/>
        <v>1.1428803839427459E-2</v>
      </c>
    </row>
    <row r="1088" spans="1:3" x14ac:dyDescent="0.6">
      <c r="A1088" s="24">
        <v>31138</v>
      </c>
      <c r="B1088" s="23">
        <v>0.31597799999999998</v>
      </c>
      <c r="C1088" s="32">
        <f t="shared" si="16"/>
        <v>-2.2599324433006385E-2</v>
      </c>
    </row>
    <row r="1089" spans="1:3" x14ac:dyDescent="0.6">
      <c r="A1089" s="24">
        <v>31139</v>
      </c>
      <c r="B1089" s="23">
        <v>0.30684600000000001</v>
      </c>
      <c r="C1089" s="32">
        <f t="shared" si="16"/>
        <v>-2.8900746254486021E-2</v>
      </c>
    </row>
    <row r="1090" spans="1:3" x14ac:dyDescent="0.6">
      <c r="A1090" s="24">
        <v>31140</v>
      </c>
      <c r="B1090" s="23">
        <v>0.30684600000000001</v>
      </c>
      <c r="C1090" s="32">
        <f t="shared" si="16"/>
        <v>0</v>
      </c>
    </row>
    <row r="1091" spans="1:3" x14ac:dyDescent="0.6">
      <c r="A1091" s="24">
        <v>31141</v>
      </c>
      <c r="B1091" s="23">
        <v>0.30502000000000001</v>
      </c>
      <c r="C1091" s="32">
        <f t="shared" si="16"/>
        <v>-5.9508678620545652E-3</v>
      </c>
    </row>
    <row r="1092" spans="1:3" x14ac:dyDescent="0.6">
      <c r="A1092" s="24">
        <v>31145</v>
      </c>
      <c r="B1092" s="23">
        <v>0.28675499999999998</v>
      </c>
      <c r="C1092" s="32">
        <f t="shared" ref="C1092:C1155" si="17">B1092/B1091-1</f>
        <v>-5.988131925775364E-2</v>
      </c>
    </row>
    <row r="1093" spans="1:3" x14ac:dyDescent="0.6">
      <c r="A1093" s="24">
        <v>31146</v>
      </c>
      <c r="B1093" s="23">
        <v>0.28675499999999998</v>
      </c>
      <c r="C1093" s="32">
        <f t="shared" si="17"/>
        <v>0</v>
      </c>
    </row>
    <row r="1094" spans="1:3" x14ac:dyDescent="0.6">
      <c r="A1094" s="24">
        <v>31147</v>
      </c>
      <c r="B1094" s="23">
        <v>0.30684600000000001</v>
      </c>
      <c r="C1094" s="32">
        <f t="shared" si="17"/>
        <v>7.0063294449966174E-2</v>
      </c>
    </row>
    <row r="1095" spans="1:3" x14ac:dyDescent="0.6">
      <c r="A1095" s="24">
        <v>31148</v>
      </c>
      <c r="B1095" s="23">
        <v>0.31232500000000002</v>
      </c>
      <c r="C1095" s="32">
        <f t="shared" si="17"/>
        <v>1.7855862549943646E-2</v>
      </c>
    </row>
    <row r="1096" spans="1:3" x14ac:dyDescent="0.6">
      <c r="A1096" s="24">
        <v>31149</v>
      </c>
      <c r="B1096" s="23">
        <v>0.30502000000000001</v>
      </c>
      <c r="C1096" s="32">
        <f t="shared" si="17"/>
        <v>-2.3389097894821131E-2</v>
      </c>
    </row>
    <row r="1097" spans="1:3" x14ac:dyDescent="0.6">
      <c r="A1097" s="24">
        <v>31152</v>
      </c>
      <c r="B1097" s="23">
        <v>0.31232500000000002</v>
      </c>
      <c r="C1097" s="32">
        <f t="shared" si="17"/>
        <v>2.3949249229558767E-2</v>
      </c>
    </row>
    <row r="1098" spans="1:3" x14ac:dyDescent="0.6">
      <c r="A1098" s="24">
        <v>31153</v>
      </c>
      <c r="B1098" s="23">
        <v>0.31597799999999998</v>
      </c>
      <c r="C1098" s="32">
        <f t="shared" si="17"/>
        <v>1.169614984391254E-2</v>
      </c>
    </row>
    <row r="1099" spans="1:3" x14ac:dyDescent="0.6">
      <c r="A1099" s="24">
        <v>31154</v>
      </c>
      <c r="B1099" s="23">
        <v>0.33058999999999999</v>
      </c>
      <c r="C1099" s="32">
        <f t="shared" si="17"/>
        <v>4.6243725829013371E-2</v>
      </c>
    </row>
    <row r="1100" spans="1:3" x14ac:dyDescent="0.6">
      <c r="A1100" s="24">
        <v>31155</v>
      </c>
      <c r="B1100" s="23">
        <v>0.33424300000000001</v>
      </c>
      <c r="C1100" s="32">
        <f t="shared" si="17"/>
        <v>1.1049941014549702E-2</v>
      </c>
    </row>
    <row r="1101" spans="1:3" x14ac:dyDescent="0.6">
      <c r="A1101" s="24">
        <v>31156</v>
      </c>
      <c r="B1101" s="23">
        <v>0.328764</v>
      </c>
      <c r="C1101" s="32">
        <f t="shared" si="17"/>
        <v>-1.6392265507430226E-2</v>
      </c>
    </row>
    <row r="1102" spans="1:3" x14ac:dyDescent="0.6">
      <c r="A1102" s="24">
        <v>31159</v>
      </c>
      <c r="B1102" s="23">
        <v>0.31597799999999998</v>
      </c>
      <c r="C1102" s="32">
        <f t="shared" si="17"/>
        <v>-3.8891119465634949E-2</v>
      </c>
    </row>
    <row r="1103" spans="1:3" x14ac:dyDescent="0.6">
      <c r="A1103" s="24">
        <v>31160</v>
      </c>
      <c r="B1103" s="23">
        <v>0.32328400000000002</v>
      </c>
      <c r="C1103" s="32">
        <f t="shared" si="17"/>
        <v>2.3121862914506908E-2</v>
      </c>
    </row>
    <row r="1104" spans="1:3" x14ac:dyDescent="0.6">
      <c r="A1104" s="24">
        <v>31161</v>
      </c>
      <c r="B1104" s="23">
        <v>0.32145800000000002</v>
      </c>
      <c r="C1104" s="32">
        <f t="shared" si="17"/>
        <v>-5.6482844805186838E-3</v>
      </c>
    </row>
    <row r="1105" spans="1:3" x14ac:dyDescent="0.6">
      <c r="A1105" s="24">
        <v>31162</v>
      </c>
      <c r="B1105" s="23">
        <v>0.32145800000000002</v>
      </c>
      <c r="C1105" s="32">
        <f t="shared" si="17"/>
        <v>0</v>
      </c>
    </row>
    <row r="1106" spans="1:3" x14ac:dyDescent="0.6">
      <c r="A1106" s="24">
        <v>31163</v>
      </c>
      <c r="B1106" s="23">
        <v>0.319631</v>
      </c>
      <c r="C1106" s="32">
        <f t="shared" si="17"/>
        <v>-5.6834796458635761E-3</v>
      </c>
    </row>
    <row r="1107" spans="1:3" x14ac:dyDescent="0.6">
      <c r="A1107" s="24">
        <v>31166</v>
      </c>
      <c r="B1107" s="23">
        <v>0.30867299999999998</v>
      </c>
      <c r="C1107" s="32">
        <f t="shared" si="17"/>
        <v>-3.4283282910606339E-2</v>
      </c>
    </row>
    <row r="1108" spans="1:3" x14ac:dyDescent="0.6">
      <c r="A1108" s="24">
        <v>31167</v>
      </c>
      <c r="B1108" s="23">
        <v>0.31049900000000002</v>
      </c>
      <c r="C1108" s="32">
        <f t="shared" si="17"/>
        <v>5.9156453593285363E-3</v>
      </c>
    </row>
    <row r="1109" spans="1:3" x14ac:dyDescent="0.6">
      <c r="A1109" s="24">
        <v>31168</v>
      </c>
      <c r="B1109" s="23">
        <v>0.30502000000000001</v>
      </c>
      <c r="C1109" s="32">
        <f t="shared" si="17"/>
        <v>-1.764578951945095E-2</v>
      </c>
    </row>
    <row r="1110" spans="1:3" x14ac:dyDescent="0.6">
      <c r="A1110" s="24">
        <v>31169</v>
      </c>
      <c r="B1110" s="23">
        <v>0.28127600000000003</v>
      </c>
      <c r="C1110" s="32">
        <f t="shared" si="17"/>
        <v>-7.784407579830821E-2</v>
      </c>
    </row>
    <row r="1111" spans="1:3" x14ac:dyDescent="0.6">
      <c r="A1111" s="24">
        <v>31170</v>
      </c>
      <c r="B1111" s="23">
        <v>0.29223399999999999</v>
      </c>
      <c r="C1111" s="32">
        <f t="shared" si="17"/>
        <v>3.8958176310811998E-2</v>
      </c>
    </row>
    <row r="1112" spans="1:3" x14ac:dyDescent="0.6">
      <c r="A1112" s="24">
        <v>31173</v>
      </c>
      <c r="B1112" s="23">
        <v>0.28858099999999998</v>
      </c>
      <c r="C1112" s="32">
        <f t="shared" si="17"/>
        <v>-1.2500256643648622E-2</v>
      </c>
    </row>
    <row r="1113" spans="1:3" x14ac:dyDescent="0.6">
      <c r="A1113" s="24">
        <v>31174</v>
      </c>
      <c r="B1113" s="23">
        <v>0.29223399999999999</v>
      </c>
      <c r="C1113" s="32">
        <f t="shared" si="17"/>
        <v>1.2658491030248076E-2</v>
      </c>
    </row>
    <row r="1114" spans="1:3" x14ac:dyDescent="0.6">
      <c r="A1114" s="24">
        <v>31175</v>
      </c>
      <c r="B1114" s="23">
        <v>0.290408</v>
      </c>
      <c r="C1114" s="32">
        <f t="shared" si="17"/>
        <v>-6.248417364167036E-3</v>
      </c>
    </row>
    <row r="1115" spans="1:3" x14ac:dyDescent="0.6">
      <c r="A1115" s="24">
        <v>31176</v>
      </c>
      <c r="B1115" s="23">
        <v>0.29223399999999999</v>
      </c>
      <c r="C1115" s="32">
        <f t="shared" si="17"/>
        <v>6.2877055728491893E-3</v>
      </c>
    </row>
    <row r="1116" spans="1:3" x14ac:dyDescent="0.6">
      <c r="A1116" s="24">
        <v>31177</v>
      </c>
      <c r="B1116" s="23">
        <v>0.29588700000000001</v>
      </c>
      <c r="C1116" s="32">
        <f t="shared" si="17"/>
        <v>1.2500256643648733E-2</v>
      </c>
    </row>
    <row r="1117" spans="1:3" x14ac:dyDescent="0.6">
      <c r="A1117" s="24">
        <v>31180</v>
      </c>
      <c r="B1117" s="23">
        <v>0.29223399999999999</v>
      </c>
      <c r="C1117" s="32">
        <f t="shared" si="17"/>
        <v>-1.2345929358167251E-2</v>
      </c>
    </row>
    <row r="1118" spans="1:3" x14ac:dyDescent="0.6">
      <c r="A1118" s="24">
        <v>31181</v>
      </c>
      <c r="B1118" s="23">
        <v>0.28858099999999998</v>
      </c>
      <c r="C1118" s="32">
        <f t="shared" si="17"/>
        <v>-1.2500256643648622E-2</v>
      </c>
    </row>
    <row r="1119" spans="1:3" x14ac:dyDescent="0.6">
      <c r="A1119" s="24">
        <v>31182</v>
      </c>
      <c r="B1119" s="23">
        <v>0.29223399999999999</v>
      </c>
      <c r="C1119" s="32">
        <f t="shared" si="17"/>
        <v>1.2658491030248076E-2</v>
      </c>
    </row>
    <row r="1120" spans="1:3" x14ac:dyDescent="0.6">
      <c r="A1120" s="24">
        <v>31183</v>
      </c>
      <c r="B1120" s="23">
        <v>0.31232500000000002</v>
      </c>
      <c r="C1120" s="32">
        <f t="shared" si="17"/>
        <v>6.8749700582410034E-2</v>
      </c>
    </row>
    <row r="1121" spans="1:3" x14ac:dyDescent="0.6">
      <c r="A1121" s="24">
        <v>31184</v>
      </c>
      <c r="B1121" s="23">
        <v>0.317805</v>
      </c>
      <c r="C1121" s="32">
        <f t="shared" si="17"/>
        <v>1.754582566237084E-2</v>
      </c>
    </row>
    <row r="1122" spans="1:3" x14ac:dyDescent="0.6">
      <c r="A1122" s="24">
        <v>31187</v>
      </c>
      <c r="B1122" s="23">
        <v>0.31232500000000002</v>
      </c>
      <c r="C1122" s="32">
        <f t="shared" si="17"/>
        <v>-1.7243278110791183E-2</v>
      </c>
    </row>
    <row r="1123" spans="1:3" x14ac:dyDescent="0.6">
      <c r="A1123" s="24">
        <v>31188</v>
      </c>
      <c r="B1123" s="23">
        <v>0.30319299999999999</v>
      </c>
      <c r="C1123" s="32">
        <f t="shared" si="17"/>
        <v>-2.9238773713279542E-2</v>
      </c>
    </row>
    <row r="1124" spans="1:3" x14ac:dyDescent="0.6">
      <c r="A1124" s="24">
        <v>31189</v>
      </c>
      <c r="B1124" s="23">
        <v>0.301367</v>
      </c>
      <c r="C1124" s="32">
        <f t="shared" si="17"/>
        <v>-6.0225664840547477E-3</v>
      </c>
    </row>
    <row r="1125" spans="1:3" x14ac:dyDescent="0.6">
      <c r="A1125" s="24">
        <v>31190</v>
      </c>
      <c r="B1125" s="23">
        <v>0.28858099999999998</v>
      </c>
      <c r="C1125" s="32">
        <f t="shared" si="17"/>
        <v>-4.2426675780692702E-2</v>
      </c>
    </row>
    <row r="1126" spans="1:3" x14ac:dyDescent="0.6">
      <c r="A1126" s="24">
        <v>31191</v>
      </c>
      <c r="B1126" s="23">
        <v>0.26483800000000002</v>
      </c>
      <c r="C1126" s="32">
        <f t="shared" si="17"/>
        <v>-8.2274993849213773E-2</v>
      </c>
    </row>
    <row r="1127" spans="1:3" x14ac:dyDescent="0.6">
      <c r="A1127" s="24">
        <v>31195</v>
      </c>
      <c r="B1127" s="23">
        <v>0.24657299999999999</v>
      </c>
      <c r="C1127" s="32">
        <f t="shared" si="17"/>
        <v>-6.896668907029968E-2</v>
      </c>
    </row>
    <row r="1128" spans="1:3" x14ac:dyDescent="0.6">
      <c r="A1128" s="24">
        <v>31196</v>
      </c>
      <c r="B1128" s="23">
        <v>0.250226</v>
      </c>
      <c r="C1128" s="32">
        <f t="shared" si="17"/>
        <v>1.4815085187753763E-2</v>
      </c>
    </row>
    <row r="1129" spans="1:3" x14ac:dyDescent="0.6">
      <c r="A1129" s="24">
        <v>31197</v>
      </c>
      <c r="B1129" s="23">
        <v>0.25753199999999998</v>
      </c>
      <c r="C1129" s="32">
        <f t="shared" si="17"/>
        <v>2.9197605364750245E-2</v>
      </c>
    </row>
    <row r="1130" spans="1:3" x14ac:dyDescent="0.6">
      <c r="A1130" s="24">
        <v>31198</v>
      </c>
      <c r="B1130" s="23">
        <v>0.25387900000000002</v>
      </c>
      <c r="C1130" s="32">
        <f t="shared" si="17"/>
        <v>-1.4184645014988284E-2</v>
      </c>
    </row>
    <row r="1131" spans="1:3" x14ac:dyDescent="0.6">
      <c r="A1131" s="24">
        <v>31201</v>
      </c>
      <c r="B1131" s="23">
        <v>0.23378699999999999</v>
      </c>
      <c r="C1131" s="32">
        <f t="shared" si="17"/>
        <v>-7.9140062785815424E-2</v>
      </c>
    </row>
    <row r="1132" spans="1:3" x14ac:dyDescent="0.6">
      <c r="A1132" s="24">
        <v>31202</v>
      </c>
      <c r="B1132" s="23">
        <v>0.252052</v>
      </c>
      <c r="C1132" s="32">
        <f t="shared" si="17"/>
        <v>7.8126670858516434E-2</v>
      </c>
    </row>
    <row r="1133" spans="1:3" x14ac:dyDescent="0.6">
      <c r="A1133" s="24">
        <v>31203</v>
      </c>
      <c r="B1133" s="23">
        <v>0.24657299999999999</v>
      </c>
      <c r="C1133" s="32">
        <f t="shared" si="17"/>
        <v>-2.173757796010356E-2</v>
      </c>
    </row>
    <row r="1134" spans="1:3" x14ac:dyDescent="0.6">
      <c r="A1134" s="24">
        <v>31204</v>
      </c>
      <c r="B1134" s="23">
        <v>0.24839900000000001</v>
      </c>
      <c r="C1134" s="32">
        <f t="shared" si="17"/>
        <v>7.4055147968350443E-3</v>
      </c>
    </row>
    <row r="1135" spans="1:3" x14ac:dyDescent="0.6">
      <c r="A1135" s="24">
        <v>31205</v>
      </c>
      <c r="B1135" s="23">
        <v>0.23926700000000001</v>
      </c>
      <c r="C1135" s="32">
        <f t="shared" si="17"/>
        <v>-3.6763433025092662E-2</v>
      </c>
    </row>
    <row r="1136" spans="1:3" x14ac:dyDescent="0.6">
      <c r="A1136" s="24">
        <v>31208</v>
      </c>
      <c r="B1136" s="23">
        <v>0.23561399999999999</v>
      </c>
      <c r="C1136" s="32">
        <f t="shared" si="17"/>
        <v>-1.5267462709023905E-2</v>
      </c>
    </row>
    <row r="1137" spans="1:3" x14ac:dyDescent="0.6">
      <c r="A1137" s="24">
        <v>31209</v>
      </c>
      <c r="B1137" s="23">
        <v>0.23561399999999999</v>
      </c>
      <c r="C1137" s="32">
        <f t="shared" si="17"/>
        <v>0</v>
      </c>
    </row>
    <row r="1138" spans="1:3" x14ac:dyDescent="0.6">
      <c r="A1138" s="24">
        <v>31210</v>
      </c>
      <c r="B1138" s="23">
        <v>0.23013500000000001</v>
      </c>
      <c r="C1138" s="32">
        <f t="shared" si="17"/>
        <v>-2.3254136002105019E-2</v>
      </c>
    </row>
    <row r="1139" spans="1:3" x14ac:dyDescent="0.6">
      <c r="A1139" s="24">
        <v>31211</v>
      </c>
      <c r="B1139" s="23">
        <v>0.21734899999999999</v>
      </c>
      <c r="C1139" s="32">
        <f t="shared" si="17"/>
        <v>-5.5558693810154991E-2</v>
      </c>
    </row>
    <row r="1140" spans="1:3" x14ac:dyDescent="0.6">
      <c r="A1140" s="24">
        <v>31212</v>
      </c>
      <c r="B1140" s="23">
        <v>0.21552299999999999</v>
      </c>
      <c r="C1140" s="32">
        <f t="shared" si="17"/>
        <v>-8.4012348803076398E-3</v>
      </c>
    </row>
    <row r="1141" spans="1:3" x14ac:dyDescent="0.6">
      <c r="A1141" s="24">
        <v>31215</v>
      </c>
      <c r="B1141" s="23">
        <v>0.21734899999999999</v>
      </c>
      <c r="C1141" s="32">
        <f t="shared" si="17"/>
        <v>8.4724136171081543E-3</v>
      </c>
    </row>
    <row r="1142" spans="1:3" x14ac:dyDescent="0.6">
      <c r="A1142" s="24">
        <v>31216</v>
      </c>
      <c r="B1142" s="23">
        <v>0.222829</v>
      </c>
      <c r="C1142" s="32">
        <f t="shared" si="17"/>
        <v>2.5212906431591575E-2</v>
      </c>
    </row>
    <row r="1143" spans="1:3" x14ac:dyDescent="0.6">
      <c r="A1143" s="24">
        <v>31217</v>
      </c>
      <c r="B1143" s="23">
        <v>0.22830800000000001</v>
      </c>
      <c r="C1143" s="32">
        <f t="shared" si="17"/>
        <v>2.4588361478981691E-2</v>
      </c>
    </row>
    <row r="1144" spans="1:3" x14ac:dyDescent="0.6">
      <c r="A1144" s="24">
        <v>31218</v>
      </c>
      <c r="B1144" s="23">
        <v>0.23013500000000001</v>
      </c>
      <c r="C1144" s="32">
        <f t="shared" si="17"/>
        <v>8.0023477057309389E-3</v>
      </c>
    </row>
    <row r="1145" spans="1:3" x14ac:dyDescent="0.6">
      <c r="A1145" s="24">
        <v>31219</v>
      </c>
      <c r="B1145" s="23">
        <v>0.23561399999999999</v>
      </c>
      <c r="C1145" s="32">
        <f t="shared" si="17"/>
        <v>2.3807765007495485E-2</v>
      </c>
    </row>
    <row r="1146" spans="1:3" x14ac:dyDescent="0.6">
      <c r="A1146" s="24">
        <v>31222</v>
      </c>
      <c r="B1146" s="23">
        <v>0.252052</v>
      </c>
      <c r="C1146" s="32">
        <f t="shared" si="17"/>
        <v>6.9766652236284754E-2</v>
      </c>
    </row>
    <row r="1147" spans="1:3" x14ac:dyDescent="0.6">
      <c r="A1147" s="24">
        <v>31223</v>
      </c>
      <c r="B1147" s="23">
        <v>0.25570500000000002</v>
      </c>
      <c r="C1147" s="32">
        <f t="shared" si="17"/>
        <v>1.4493041118499361E-2</v>
      </c>
    </row>
    <row r="1148" spans="1:3" x14ac:dyDescent="0.6">
      <c r="A1148" s="24">
        <v>31224</v>
      </c>
      <c r="B1148" s="23">
        <v>0.26483800000000002</v>
      </c>
      <c r="C1148" s="32">
        <f t="shared" si="17"/>
        <v>3.5716939441934992E-2</v>
      </c>
    </row>
    <row r="1149" spans="1:3" x14ac:dyDescent="0.6">
      <c r="A1149" s="24">
        <v>31225</v>
      </c>
      <c r="B1149" s="23">
        <v>0.26849000000000001</v>
      </c>
      <c r="C1149" s="32">
        <f t="shared" si="17"/>
        <v>1.3789561920872329E-2</v>
      </c>
    </row>
    <row r="1150" spans="1:3" x14ac:dyDescent="0.6">
      <c r="A1150" s="24">
        <v>31226</v>
      </c>
      <c r="B1150" s="23">
        <v>0.26301099999999999</v>
      </c>
      <c r="C1150" s="32">
        <f t="shared" si="17"/>
        <v>-2.0406719058437939E-2</v>
      </c>
    </row>
    <row r="1151" spans="1:3" x14ac:dyDescent="0.6">
      <c r="A1151" s="24">
        <v>31229</v>
      </c>
      <c r="B1151" s="23">
        <v>0.26483800000000002</v>
      </c>
      <c r="C1151" s="32">
        <f t="shared" si="17"/>
        <v>6.946477523753769E-3</v>
      </c>
    </row>
    <row r="1152" spans="1:3" x14ac:dyDescent="0.6">
      <c r="A1152" s="24">
        <v>31230</v>
      </c>
      <c r="B1152" s="23">
        <v>0.252052</v>
      </c>
      <c r="C1152" s="32">
        <f t="shared" si="17"/>
        <v>-4.8278570295803513E-2</v>
      </c>
    </row>
    <row r="1153" spans="1:3" x14ac:dyDescent="0.6">
      <c r="A1153" s="24">
        <v>31231</v>
      </c>
      <c r="B1153" s="23">
        <v>0.25570500000000002</v>
      </c>
      <c r="C1153" s="32">
        <f t="shared" si="17"/>
        <v>1.4493041118499361E-2</v>
      </c>
    </row>
    <row r="1154" spans="1:3" x14ac:dyDescent="0.6">
      <c r="A1154" s="24">
        <v>31233</v>
      </c>
      <c r="B1154" s="23">
        <v>0.25753199999999998</v>
      </c>
      <c r="C1154" s="32">
        <f t="shared" si="17"/>
        <v>7.1449521910011971E-3</v>
      </c>
    </row>
    <row r="1155" spans="1:3" x14ac:dyDescent="0.6">
      <c r="A1155" s="24">
        <v>31236</v>
      </c>
      <c r="B1155" s="23">
        <v>0.25753199999999998</v>
      </c>
      <c r="C1155" s="32">
        <f t="shared" si="17"/>
        <v>0</v>
      </c>
    </row>
    <row r="1156" spans="1:3" x14ac:dyDescent="0.6">
      <c r="A1156" s="24">
        <v>31237</v>
      </c>
      <c r="B1156" s="23">
        <v>0.25753199999999998</v>
      </c>
      <c r="C1156" s="32">
        <f t="shared" ref="C1156:C1219" si="18">B1156/B1155-1</f>
        <v>0</v>
      </c>
    </row>
    <row r="1157" spans="1:3" x14ac:dyDescent="0.6">
      <c r="A1157" s="24">
        <v>31238</v>
      </c>
      <c r="B1157" s="23">
        <v>0.26301099999999999</v>
      </c>
      <c r="C1157" s="32">
        <f t="shared" si="18"/>
        <v>2.1275026016184473E-2</v>
      </c>
    </row>
    <row r="1158" spans="1:3" x14ac:dyDescent="0.6">
      <c r="A1158" s="24">
        <v>31239</v>
      </c>
      <c r="B1158" s="23">
        <v>0.26301099999999999</v>
      </c>
      <c r="C1158" s="32">
        <f t="shared" si="18"/>
        <v>0</v>
      </c>
    </row>
    <row r="1159" spans="1:3" x14ac:dyDescent="0.6">
      <c r="A1159" s="24">
        <v>31240</v>
      </c>
      <c r="B1159" s="23">
        <v>0.261185</v>
      </c>
      <c r="C1159" s="32">
        <f t="shared" si="18"/>
        <v>-6.9426754014090264E-3</v>
      </c>
    </row>
    <row r="1160" spans="1:3" x14ac:dyDescent="0.6">
      <c r="A1160" s="24">
        <v>31243</v>
      </c>
      <c r="B1160" s="23">
        <v>0.25935799999999998</v>
      </c>
      <c r="C1160" s="32">
        <f t="shared" si="18"/>
        <v>-6.9950418285890104E-3</v>
      </c>
    </row>
    <row r="1161" spans="1:3" x14ac:dyDescent="0.6">
      <c r="A1161" s="24">
        <v>31244</v>
      </c>
      <c r="B1161" s="23">
        <v>0.25570500000000002</v>
      </c>
      <c r="C1161" s="32">
        <f t="shared" si="18"/>
        <v>-1.4084778568619338E-2</v>
      </c>
    </row>
    <row r="1162" spans="1:3" x14ac:dyDescent="0.6">
      <c r="A1162" s="24">
        <v>31245</v>
      </c>
      <c r="B1162" s="23">
        <v>0.25753199999999998</v>
      </c>
      <c r="C1162" s="32">
        <f t="shared" si="18"/>
        <v>7.1449521910011971E-3</v>
      </c>
    </row>
    <row r="1163" spans="1:3" x14ac:dyDescent="0.6">
      <c r="A1163" s="24">
        <v>31246</v>
      </c>
      <c r="B1163" s="23">
        <v>0.252052</v>
      </c>
      <c r="C1163" s="32">
        <f t="shared" si="18"/>
        <v>-2.1278909028780824E-2</v>
      </c>
    </row>
    <row r="1164" spans="1:3" x14ac:dyDescent="0.6">
      <c r="A1164" s="24">
        <v>31247</v>
      </c>
      <c r="B1164" s="23">
        <v>0.25387900000000002</v>
      </c>
      <c r="C1164" s="32">
        <f t="shared" si="18"/>
        <v>7.2485042768952734E-3</v>
      </c>
    </row>
    <row r="1165" spans="1:3" x14ac:dyDescent="0.6">
      <c r="A1165" s="24">
        <v>31250</v>
      </c>
      <c r="B1165" s="23">
        <v>0.24657299999999999</v>
      </c>
      <c r="C1165" s="32">
        <f t="shared" si="18"/>
        <v>-2.8777488488610836E-2</v>
      </c>
    </row>
    <row r="1166" spans="1:3" x14ac:dyDescent="0.6">
      <c r="A1166" s="24">
        <v>31251</v>
      </c>
      <c r="B1166" s="23">
        <v>0.241093</v>
      </c>
      <c r="C1166" s="32">
        <f t="shared" si="18"/>
        <v>-2.222465557867237E-2</v>
      </c>
    </row>
    <row r="1167" spans="1:3" x14ac:dyDescent="0.6">
      <c r="A1167" s="24">
        <v>31252</v>
      </c>
      <c r="B1167" s="23">
        <v>0.23744000000000001</v>
      </c>
      <c r="C1167" s="32">
        <f t="shared" si="18"/>
        <v>-1.5151829377045289E-2</v>
      </c>
    </row>
    <row r="1168" spans="1:3" x14ac:dyDescent="0.6">
      <c r="A1168" s="24">
        <v>31253</v>
      </c>
      <c r="B1168" s="23">
        <v>0.24292</v>
      </c>
      <c r="C1168" s="32">
        <f t="shared" si="18"/>
        <v>2.3079514824797753E-2</v>
      </c>
    </row>
    <row r="1169" spans="1:3" x14ac:dyDescent="0.6">
      <c r="A1169" s="24">
        <v>31254</v>
      </c>
      <c r="B1169" s="23">
        <v>0.24292</v>
      </c>
      <c r="C1169" s="32">
        <f t="shared" si="18"/>
        <v>0</v>
      </c>
    </row>
    <row r="1170" spans="1:3" x14ac:dyDescent="0.6">
      <c r="A1170" s="24">
        <v>31257</v>
      </c>
      <c r="B1170" s="23">
        <v>0.23378699999999999</v>
      </c>
      <c r="C1170" s="32">
        <f t="shared" si="18"/>
        <v>-3.7596739667380197E-2</v>
      </c>
    </row>
    <row r="1171" spans="1:3" x14ac:dyDescent="0.6">
      <c r="A1171" s="24">
        <v>31258</v>
      </c>
      <c r="B1171" s="23">
        <v>0.23744000000000001</v>
      </c>
      <c r="C1171" s="32">
        <f t="shared" si="18"/>
        <v>1.562533417170342E-2</v>
      </c>
    </row>
    <row r="1172" spans="1:3" x14ac:dyDescent="0.6">
      <c r="A1172" s="24">
        <v>31259</v>
      </c>
      <c r="B1172" s="23">
        <v>0.231961</v>
      </c>
      <c r="C1172" s="32">
        <f t="shared" si="18"/>
        <v>-2.3075303234501354E-2</v>
      </c>
    </row>
    <row r="1173" spans="1:3" x14ac:dyDescent="0.6">
      <c r="A1173" s="24">
        <v>31260</v>
      </c>
      <c r="B1173" s="23">
        <v>0.231961</v>
      </c>
      <c r="C1173" s="32">
        <f t="shared" si="18"/>
        <v>0</v>
      </c>
    </row>
    <row r="1174" spans="1:3" x14ac:dyDescent="0.6">
      <c r="A1174" s="24">
        <v>31261</v>
      </c>
      <c r="B1174" s="23">
        <v>0.23013500000000001</v>
      </c>
      <c r="C1174" s="32">
        <f t="shared" si="18"/>
        <v>-7.8720129676971284E-3</v>
      </c>
    </row>
    <row r="1175" spans="1:3" x14ac:dyDescent="0.6">
      <c r="A1175" s="24">
        <v>31264</v>
      </c>
      <c r="B1175" s="23">
        <v>0.22465499999999999</v>
      </c>
      <c r="C1175" s="32">
        <f t="shared" si="18"/>
        <v>-2.3812110283094712E-2</v>
      </c>
    </row>
    <row r="1176" spans="1:3" x14ac:dyDescent="0.6">
      <c r="A1176" s="24">
        <v>31265</v>
      </c>
      <c r="B1176" s="23">
        <v>0.222829</v>
      </c>
      <c r="C1176" s="32">
        <f t="shared" si="18"/>
        <v>-8.1280185172820651E-3</v>
      </c>
    </row>
    <row r="1177" spans="1:3" x14ac:dyDescent="0.6">
      <c r="A1177" s="24">
        <v>31266</v>
      </c>
      <c r="B1177" s="23">
        <v>0.21734899999999999</v>
      </c>
      <c r="C1177" s="32">
        <f t="shared" si="18"/>
        <v>-2.4592849225190672E-2</v>
      </c>
    </row>
    <row r="1178" spans="1:3" x14ac:dyDescent="0.6">
      <c r="A1178" s="24">
        <v>31267</v>
      </c>
      <c r="B1178" s="23">
        <v>0.221002</v>
      </c>
      <c r="C1178" s="32">
        <f t="shared" si="18"/>
        <v>1.6807070655949774E-2</v>
      </c>
    </row>
    <row r="1179" spans="1:3" x14ac:dyDescent="0.6">
      <c r="A1179" s="24">
        <v>31268</v>
      </c>
      <c r="B1179" s="23">
        <v>0.222829</v>
      </c>
      <c r="C1179" s="32">
        <f t="shared" si="18"/>
        <v>8.2668935122758302E-3</v>
      </c>
    </row>
    <row r="1180" spans="1:3" x14ac:dyDescent="0.6">
      <c r="A1180" s="24">
        <v>31271</v>
      </c>
      <c r="B1180" s="23">
        <v>0.21917600000000001</v>
      </c>
      <c r="C1180" s="32">
        <f t="shared" si="18"/>
        <v>-1.6393736901390676E-2</v>
      </c>
    </row>
    <row r="1181" spans="1:3" x14ac:dyDescent="0.6">
      <c r="A1181" s="24">
        <v>31272</v>
      </c>
      <c r="B1181" s="23">
        <v>0.222829</v>
      </c>
      <c r="C1181" s="32">
        <f t="shared" si="18"/>
        <v>1.6666970836222816E-2</v>
      </c>
    </row>
    <row r="1182" spans="1:3" x14ac:dyDescent="0.6">
      <c r="A1182" s="24">
        <v>31273</v>
      </c>
      <c r="B1182" s="23">
        <v>0.213696</v>
      </c>
      <c r="C1182" s="32">
        <f t="shared" si="18"/>
        <v>-4.0986586126581348E-2</v>
      </c>
    </row>
    <row r="1183" spans="1:3" x14ac:dyDescent="0.6">
      <c r="A1183" s="24">
        <v>31274</v>
      </c>
      <c r="B1183" s="23">
        <v>0.21187</v>
      </c>
      <c r="C1183" s="32">
        <f t="shared" si="18"/>
        <v>-8.5448487571129217E-3</v>
      </c>
    </row>
    <row r="1184" spans="1:3" x14ac:dyDescent="0.6">
      <c r="A1184" s="24">
        <v>31275</v>
      </c>
      <c r="B1184" s="23">
        <v>0.213696</v>
      </c>
      <c r="C1184" s="32">
        <f t="shared" si="18"/>
        <v>8.6184924717986888E-3</v>
      </c>
    </row>
    <row r="1185" spans="1:3" x14ac:dyDescent="0.6">
      <c r="A1185" s="24">
        <v>31278</v>
      </c>
      <c r="B1185" s="23">
        <v>0.21917600000000001</v>
      </c>
      <c r="C1185" s="32">
        <f t="shared" si="18"/>
        <v>2.5643905360886565E-2</v>
      </c>
    </row>
    <row r="1186" spans="1:3" x14ac:dyDescent="0.6">
      <c r="A1186" s="24">
        <v>31279</v>
      </c>
      <c r="B1186" s="23">
        <v>0.222829</v>
      </c>
      <c r="C1186" s="32">
        <f t="shared" si="18"/>
        <v>1.6666970836222816E-2</v>
      </c>
    </row>
    <row r="1187" spans="1:3" x14ac:dyDescent="0.6">
      <c r="A1187" s="24">
        <v>31280</v>
      </c>
      <c r="B1187" s="23">
        <v>0.222829</v>
      </c>
      <c r="C1187" s="32">
        <f t="shared" si="18"/>
        <v>0</v>
      </c>
    </row>
    <row r="1188" spans="1:3" x14ac:dyDescent="0.6">
      <c r="A1188" s="24">
        <v>31281</v>
      </c>
      <c r="B1188" s="23">
        <v>0.21734899999999999</v>
      </c>
      <c r="C1188" s="32">
        <f t="shared" si="18"/>
        <v>-2.4592849225190672E-2</v>
      </c>
    </row>
    <row r="1189" spans="1:3" x14ac:dyDescent="0.6">
      <c r="A1189" s="24">
        <v>31282</v>
      </c>
      <c r="B1189" s="23">
        <v>0.21552299999999999</v>
      </c>
      <c r="C1189" s="32">
        <f t="shared" si="18"/>
        <v>-8.4012348803076398E-3</v>
      </c>
    </row>
    <row r="1190" spans="1:3" x14ac:dyDescent="0.6">
      <c r="A1190" s="24">
        <v>31285</v>
      </c>
      <c r="B1190" s="23">
        <v>0.221002</v>
      </c>
      <c r="C1190" s="32">
        <f t="shared" si="18"/>
        <v>2.5421880727346968E-2</v>
      </c>
    </row>
    <row r="1191" spans="1:3" x14ac:dyDescent="0.6">
      <c r="A1191" s="24">
        <v>31286</v>
      </c>
      <c r="B1191" s="23">
        <v>0.222829</v>
      </c>
      <c r="C1191" s="32">
        <f t="shared" si="18"/>
        <v>8.2668935122758302E-3</v>
      </c>
    </row>
    <row r="1192" spans="1:3" x14ac:dyDescent="0.6">
      <c r="A1192" s="24">
        <v>31287</v>
      </c>
      <c r="B1192" s="23">
        <v>0.222829</v>
      </c>
      <c r="C1192" s="32">
        <f t="shared" si="18"/>
        <v>0</v>
      </c>
    </row>
    <row r="1193" spans="1:3" x14ac:dyDescent="0.6">
      <c r="A1193" s="24">
        <v>31288</v>
      </c>
      <c r="B1193" s="23">
        <v>0.21734899999999999</v>
      </c>
      <c r="C1193" s="32">
        <f t="shared" si="18"/>
        <v>-2.4592849225190672E-2</v>
      </c>
    </row>
    <row r="1194" spans="1:3" x14ac:dyDescent="0.6">
      <c r="A1194" s="24">
        <v>31289</v>
      </c>
      <c r="B1194" s="23">
        <v>0.21917600000000001</v>
      </c>
      <c r="C1194" s="32">
        <f t="shared" si="18"/>
        <v>8.4058357756420232E-3</v>
      </c>
    </row>
    <row r="1195" spans="1:3" x14ac:dyDescent="0.6">
      <c r="A1195" s="24">
        <v>31293</v>
      </c>
      <c r="B1195" s="23">
        <v>0.21552299999999999</v>
      </c>
      <c r="C1195" s="32">
        <f t="shared" si="18"/>
        <v>-1.6666970836223038E-2</v>
      </c>
    </row>
    <row r="1196" spans="1:3" x14ac:dyDescent="0.6">
      <c r="A1196" s="24">
        <v>31294</v>
      </c>
      <c r="B1196" s="23">
        <v>0.21734899999999999</v>
      </c>
      <c r="C1196" s="32">
        <f t="shared" si="18"/>
        <v>8.4724136171081543E-3</v>
      </c>
    </row>
    <row r="1197" spans="1:3" x14ac:dyDescent="0.6">
      <c r="A1197" s="24">
        <v>31295</v>
      </c>
      <c r="B1197" s="23">
        <v>0.21734899999999999</v>
      </c>
      <c r="C1197" s="32">
        <f t="shared" si="18"/>
        <v>0</v>
      </c>
    </row>
    <row r="1198" spans="1:3" x14ac:dyDescent="0.6">
      <c r="A1198" s="24">
        <v>31296</v>
      </c>
      <c r="B1198" s="23">
        <v>0.21917600000000001</v>
      </c>
      <c r="C1198" s="32">
        <f t="shared" si="18"/>
        <v>8.4058357756420232E-3</v>
      </c>
    </row>
    <row r="1199" spans="1:3" x14ac:dyDescent="0.6">
      <c r="A1199" s="24">
        <v>31299</v>
      </c>
      <c r="B1199" s="23">
        <v>0.222829</v>
      </c>
      <c r="C1199" s="32">
        <f t="shared" si="18"/>
        <v>1.6666970836222816E-2</v>
      </c>
    </row>
    <row r="1200" spans="1:3" x14ac:dyDescent="0.6">
      <c r="A1200" s="24">
        <v>31300</v>
      </c>
      <c r="B1200" s="23">
        <v>0.22465499999999999</v>
      </c>
      <c r="C1200" s="32">
        <f t="shared" si="18"/>
        <v>8.1946245775907922E-3</v>
      </c>
    </row>
    <row r="1201" spans="1:3" x14ac:dyDescent="0.6">
      <c r="A1201" s="24">
        <v>31301</v>
      </c>
      <c r="B1201" s="23">
        <v>0.22648199999999999</v>
      </c>
      <c r="C1201" s="32">
        <f t="shared" si="18"/>
        <v>8.1324697870066576E-3</v>
      </c>
    </row>
    <row r="1202" spans="1:3" x14ac:dyDescent="0.6">
      <c r="A1202" s="24">
        <v>31302</v>
      </c>
      <c r="B1202" s="23">
        <v>0.23561399999999999</v>
      </c>
      <c r="C1202" s="32">
        <f t="shared" si="18"/>
        <v>4.0321085119347178E-2</v>
      </c>
    </row>
    <row r="1203" spans="1:3" x14ac:dyDescent="0.6">
      <c r="A1203" s="24">
        <v>31303</v>
      </c>
      <c r="B1203" s="23">
        <v>0.23013500000000001</v>
      </c>
      <c r="C1203" s="32">
        <f t="shared" si="18"/>
        <v>-2.3254136002105019E-2</v>
      </c>
    </row>
    <row r="1204" spans="1:3" x14ac:dyDescent="0.6">
      <c r="A1204" s="24">
        <v>31306</v>
      </c>
      <c r="B1204" s="23">
        <v>0.222829</v>
      </c>
      <c r="C1204" s="32">
        <f t="shared" si="18"/>
        <v>-3.1746583527060279E-2</v>
      </c>
    </row>
    <row r="1205" spans="1:3" x14ac:dyDescent="0.6">
      <c r="A1205" s="24">
        <v>31307</v>
      </c>
      <c r="B1205" s="23">
        <v>0.222829</v>
      </c>
      <c r="C1205" s="32">
        <f t="shared" si="18"/>
        <v>0</v>
      </c>
    </row>
    <row r="1206" spans="1:3" x14ac:dyDescent="0.6">
      <c r="A1206" s="24">
        <v>31308</v>
      </c>
      <c r="B1206" s="23">
        <v>0.23744000000000001</v>
      </c>
      <c r="C1206" s="32">
        <f t="shared" si="18"/>
        <v>6.5570459859354058E-2</v>
      </c>
    </row>
    <row r="1207" spans="1:3" x14ac:dyDescent="0.6">
      <c r="A1207" s="24">
        <v>31309</v>
      </c>
      <c r="B1207" s="23">
        <v>0.24839900000000001</v>
      </c>
      <c r="C1207" s="32">
        <f t="shared" si="18"/>
        <v>4.6154818059299219E-2</v>
      </c>
    </row>
    <row r="1208" spans="1:3" x14ac:dyDescent="0.6">
      <c r="A1208" s="24">
        <v>31310</v>
      </c>
      <c r="B1208" s="23">
        <v>0.24474599999999999</v>
      </c>
      <c r="C1208" s="32">
        <f t="shared" si="18"/>
        <v>-1.4706178366257538E-2</v>
      </c>
    </row>
    <row r="1209" spans="1:3" x14ac:dyDescent="0.6">
      <c r="A1209" s="24">
        <v>31313</v>
      </c>
      <c r="B1209" s="23">
        <v>0.24657299999999999</v>
      </c>
      <c r="C1209" s="32">
        <f t="shared" si="18"/>
        <v>7.4648819592557647E-3</v>
      </c>
    </row>
    <row r="1210" spans="1:3" x14ac:dyDescent="0.6">
      <c r="A1210" s="24">
        <v>31314</v>
      </c>
      <c r="B1210" s="23">
        <v>0.241093</v>
      </c>
      <c r="C1210" s="32">
        <f t="shared" si="18"/>
        <v>-2.222465557867237E-2</v>
      </c>
    </row>
    <row r="1211" spans="1:3" x14ac:dyDescent="0.6">
      <c r="A1211" s="24">
        <v>31315</v>
      </c>
      <c r="B1211" s="23">
        <v>0.231961</v>
      </c>
      <c r="C1211" s="32">
        <f t="shared" si="18"/>
        <v>-3.7877499554114014E-2</v>
      </c>
    </row>
    <row r="1212" spans="1:3" x14ac:dyDescent="0.6">
      <c r="A1212" s="24">
        <v>31316</v>
      </c>
      <c r="B1212" s="23">
        <v>0.231961</v>
      </c>
      <c r="C1212" s="32">
        <f t="shared" si="18"/>
        <v>0</v>
      </c>
    </row>
    <row r="1213" spans="1:3" x14ac:dyDescent="0.6">
      <c r="A1213" s="24">
        <v>31320</v>
      </c>
      <c r="B1213" s="23">
        <v>0.23013500000000001</v>
      </c>
      <c r="C1213" s="32">
        <f t="shared" si="18"/>
        <v>-7.8720129676971284E-3</v>
      </c>
    </row>
    <row r="1214" spans="1:3" x14ac:dyDescent="0.6">
      <c r="A1214" s="24">
        <v>31321</v>
      </c>
      <c r="B1214" s="23">
        <v>0.23013500000000001</v>
      </c>
      <c r="C1214" s="32">
        <f t="shared" si="18"/>
        <v>0</v>
      </c>
    </row>
    <row r="1215" spans="1:3" x14ac:dyDescent="0.6">
      <c r="A1215" s="24">
        <v>31322</v>
      </c>
      <c r="B1215" s="23">
        <v>0.22830800000000001</v>
      </c>
      <c r="C1215" s="32">
        <f t="shared" si="18"/>
        <v>-7.9388185195645722E-3</v>
      </c>
    </row>
    <row r="1216" spans="1:3" x14ac:dyDescent="0.6">
      <c r="A1216" s="24">
        <v>31323</v>
      </c>
      <c r="B1216" s="23">
        <v>0.22648199999999999</v>
      </c>
      <c r="C1216" s="32">
        <f t="shared" si="18"/>
        <v>-7.9979676577256464E-3</v>
      </c>
    </row>
    <row r="1217" spans="1:3" x14ac:dyDescent="0.6">
      <c r="A1217" s="24">
        <v>31324</v>
      </c>
      <c r="B1217" s="23">
        <v>0.21917600000000001</v>
      </c>
      <c r="C1217" s="32">
        <f t="shared" si="18"/>
        <v>-3.2258634240248552E-2</v>
      </c>
    </row>
    <row r="1218" spans="1:3" x14ac:dyDescent="0.6">
      <c r="A1218" s="24">
        <v>31327</v>
      </c>
      <c r="B1218" s="23">
        <v>0.21917600000000001</v>
      </c>
      <c r="C1218" s="32">
        <f t="shared" si="18"/>
        <v>0</v>
      </c>
    </row>
    <row r="1219" spans="1:3" x14ac:dyDescent="0.6">
      <c r="A1219" s="24">
        <v>31328</v>
      </c>
      <c r="B1219" s="23">
        <v>0.221002</v>
      </c>
      <c r="C1219" s="32">
        <f t="shared" si="18"/>
        <v>8.3312041464393971E-3</v>
      </c>
    </row>
    <row r="1220" spans="1:3" x14ac:dyDescent="0.6">
      <c r="A1220" s="24">
        <v>31329</v>
      </c>
      <c r="B1220" s="23">
        <v>0.21917600000000001</v>
      </c>
      <c r="C1220" s="32">
        <f t="shared" ref="C1220:C1283" si="19">B1220/B1219-1</f>
        <v>-8.2623686663468865E-3</v>
      </c>
    </row>
    <row r="1221" spans="1:3" x14ac:dyDescent="0.6">
      <c r="A1221" s="24">
        <v>31330</v>
      </c>
      <c r="B1221" s="23">
        <v>0.231961</v>
      </c>
      <c r="C1221" s="32">
        <f t="shared" si="19"/>
        <v>5.8332116655108068E-2</v>
      </c>
    </row>
    <row r="1222" spans="1:3" x14ac:dyDescent="0.6">
      <c r="A1222" s="24">
        <v>31331</v>
      </c>
      <c r="B1222" s="23">
        <v>0.23378699999999999</v>
      </c>
      <c r="C1222" s="32">
        <f t="shared" si="19"/>
        <v>7.8720129676972395E-3</v>
      </c>
    </row>
    <row r="1223" spans="1:3" x14ac:dyDescent="0.6">
      <c r="A1223" s="24">
        <v>31334</v>
      </c>
      <c r="B1223" s="23">
        <v>0.24292</v>
      </c>
      <c r="C1223" s="32">
        <f t="shared" si="19"/>
        <v>3.9065474128159305E-2</v>
      </c>
    </row>
    <row r="1224" spans="1:3" x14ac:dyDescent="0.6">
      <c r="A1224" s="24">
        <v>31335</v>
      </c>
      <c r="B1224" s="23">
        <v>0.24839900000000001</v>
      </c>
      <c r="C1224" s="32">
        <f t="shared" si="19"/>
        <v>2.2554750535155765E-2</v>
      </c>
    </row>
    <row r="1225" spans="1:3" x14ac:dyDescent="0.6">
      <c r="A1225" s="24">
        <v>31336</v>
      </c>
      <c r="B1225" s="23">
        <v>0.26301099999999999</v>
      </c>
      <c r="C1225" s="32">
        <f t="shared" si="19"/>
        <v>5.8824713465029932E-2</v>
      </c>
    </row>
    <row r="1226" spans="1:3" x14ac:dyDescent="0.6">
      <c r="A1226" s="24">
        <v>31337</v>
      </c>
      <c r="B1226" s="23">
        <v>0.26666400000000001</v>
      </c>
      <c r="C1226" s="32">
        <f t="shared" si="19"/>
        <v>1.3889152925162795E-2</v>
      </c>
    </row>
    <row r="1227" spans="1:3" x14ac:dyDescent="0.6">
      <c r="A1227" s="24">
        <v>31338</v>
      </c>
      <c r="B1227" s="23">
        <v>0.25935799999999998</v>
      </c>
      <c r="C1227" s="32">
        <f t="shared" si="19"/>
        <v>-2.7397773977739903E-2</v>
      </c>
    </row>
    <row r="1228" spans="1:3" x14ac:dyDescent="0.6">
      <c r="A1228" s="24">
        <v>31341</v>
      </c>
      <c r="B1228" s="23">
        <v>0.252052</v>
      </c>
      <c r="C1228" s="32">
        <f t="shared" si="19"/>
        <v>-2.8169557137238788E-2</v>
      </c>
    </row>
    <row r="1229" spans="1:3" x14ac:dyDescent="0.6">
      <c r="A1229" s="24">
        <v>31342</v>
      </c>
      <c r="B1229" s="23">
        <v>0.26301099999999999</v>
      </c>
      <c r="C1229" s="32">
        <f t="shared" si="19"/>
        <v>4.3479123355498084E-2</v>
      </c>
    </row>
    <row r="1230" spans="1:3" x14ac:dyDescent="0.6">
      <c r="A1230" s="24">
        <v>31343</v>
      </c>
      <c r="B1230" s="23">
        <v>0.26301099999999999</v>
      </c>
      <c r="C1230" s="32">
        <f t="shared" si="19"/>
        <v>0</v>
      </c>
    </row>
    <row r="1231" spans="1:3" x14ac:dyDescent="0.6">
      <c r="A1231" s="24">
        <v>31344</v>
      </c>
      <c r="B1231" s="23">
        <v>0.26849000000000001</v>
      </c>
      <c r="C1231" s="32">
        <f t="shared" si="19"/>
        <v>2.0831828326572044E-2</v>
      </c>
    </row>
    <row r="1232" spans="1:3" x14ac:dyDescent="0.6">
      <c r="A1232" s="24">
        <v>31345</v>
      </c>
      <c r="B1232" s="23">
        <v>0.26301099999999999</v>
      </c>
      <c r="C1232" s="32">
        <f t="shared" si="19"/>
        <v>-2.0406719058437939E-2</v>
      </c>
    </row>
    <row r="1233" spans="1:3" x14ac:dyDescent="0.6">
      <c r="A1233" s="24">
        <v>31348</v>
      </c>
      <c r="B1233" s="23">
        <v>0.26301099999999999</v>
      </c>
      <c r="C1233" s="32">
        <f t="shared" si="19"/>
        <v>0</v>
      </c>
    </row>
    <row r="1234" spans="1:3" x14ac:dyDescent="0.6">
      <c r="A1234" s="24">
        <v>31349</v>
      </c>
      <c r="B1234" s="23">
        <v>0.261185</v>
      </c>
      <c r="C1234" s="32">
        <f t="shared" si="19"/>
        <v>-6.9426754014090264E-3</v>
      </c>
    </row>
    <row r="1235" spans="1:3" x14ac:dyDescent="0.6">
      <c r="A1235" s="24">
        <v>31350</v>
      </c>
      <c r="B1235" s="23">
        <v>0.27762300000000001</v>
      </c>
      <c r="C1235" s="32">
        <f t="shared" si="19"/>
        <v>6.2936232938338721E-2</v>
      </c>
    </row>
    <row r="1236" spans="1:3" x14ac:dyDescent="0.6">
      <c r="A1236" s="24">
        <v>31351</v>
      </c>
      <c r="B1236" s="23">
        <v>0.27214300000000002</v>
      </c>
      <c r="C1236" s="32">
        <f t="shared" si="19"/>
        <v>-1.9738998570003163E-2</v>
      </c>
    </row>
    <row r="1237" spans="1:3" x14ac:dyDescent="0.6">
      <c r="A1237" s="24">
        <v>31352</v>
      </c>
      <c r="B1237" s="23">
        <v>0.27214300000000002</v>
      </c>
      <c r="C1237" s="32">
        <f t="shared" si="19"/>
        <v>0</v>
      </c>
    </row>
    <row r="1238" spans="1:3" x14ac:dyDescent="0.6">
      <c r="A1238" s="24">
        <v>31355</v>
      </c>
      <c r="B1238" s="23">
        <v>0.27396999999999999</v>
      </c>
      <c r="C1238" s="32">
        <f t="shared" si="19"/>
        <v>6.7133823026863659E-3</v>
      </c>
    </row>
    <row r="1239" spans="1:3" x14ac:dyDescent="0.6">
      <c r="A1239" s="24">
        <v>31356</v>
      </c>
      <c r="B1239" s="23">
        <v>0.27214300000000002</v>
      </c>
      <c r="C1239" s="32">
        <f t="shared" si="19"/>
        <v>-6.6686133518266688E-3</v>
      </c>
    </row>
    <row r="1240" spans="1:3" x14ac:dyDescent="0.6">
      <c r="A1240" s="24">
        <v>31357</v>
      </c>
      <c r="B1240" s="23">
        <v>0.28127600000000003</v>
      </c>
      <c r="C1240" s="32">
        <f t="shared" si="19"/>
        <v>3.3559562435925283E-2</v>
      </c>
    </row>
    <row r="1241" spans="1:3" x14ac:dyDescent="0.6">
      <c r="A1241" s="24">
        <v>31358</v>
      </c>
      <c r="B1241" s="23">
        <v>0.28675499999999998</v>
      </c>
      <c r="C1241" s="32">
        <f t="shared" si="19"/>
        <v>1.9479088155405888E-2</v>
      </c>
    </row>
    <row r="1242" spans="1:3" x14ac:dyDescent="0.6">
      <c r="A1242" s="24">
        <v>31359</v>
      </c>
      <c r="B1242" s="23">
        <v>0.29953999999999997</v>
      </c>
      <c r="C1242" s="32">
        <f t="shared" si="19"/>
        <v>4.4585098777702115E-2</v>
      </c>
    </row>
    <row r="1243" spans="1:3" x14ac:dyDescent="0.6">
      <c r="A1243" s="24">
        <v>31362</v>
      </c>
      <c r="B1243" s="23">
        <v>0.29223399999999999</v>
      </c>
      <c r="C1243" s="32">
        <f t="shared" si="19"/>
        <v>-2.4390732456433084E-2</v>
      </c>
    </row>
    <row r="1244" spans="1:3" x14ac:dyDescent="0.6">
      <c r="A1244" s="24">
        <v>31363</v>
      </c>
      <c r="B1244" s="23">
        <v>0.290408</v>
      </c>
      <c r="C1244" s="32">
        <f t="shared" si="19"/>
        <v>-6.248417364167036E-3</v>
      </c>
    </row>
    <row r="1245" spans="1:3" x14ac:dyDescent="0.6">
      <c r="A1245" s="24">
        <v>31364</v>
      </c>
      <c r="B1245" s="23">
        <v>0.28310200000000002</v>
      </c>
      <c r="C1245" s="32">
        <f t="shared" si="19"/>
        <v>-2.5157709154017716E-2</v>
      </c>
    </row>
    <row r="1246" spans="1:3" x14ac:dyDescent="0.6">
      <c r="A1246" s="24">
        <v>31365</v>
      </c>
      <c r="B1246" s="23">
        <v>0.29223399999999999</v>
      </c>
      <c r="C1246" s="32">
        <f t="shared" si="19"/>
        <v>3.2256925065877295E-2</v>
      </c>
    </row>
    <row r="1247" spans="1:3" x14ac:dyDescent="0.6">
      <c r="A1247" s="24">
        <v>31366</v>
      </c>
      <c r="B1247" s="23">
        <v>0.290408</v>
      </c>
      <c r="C1247" s="32">
        <f t="shared" si="19"/>
        <v>-6.248417364167036E-3</v>
      </c>
    </row>
    <row r="1248" spans="1:3" x14ac:dyDescent="0.6">
      <c r="A1248" s="24">
        <v>31369</v>
      </c>
      <c r="B1248" s="23">
        <v>0.290408</v>
      </c>
      <c r="C1248" s="32">
        <f t="shared" si="19"/>
        <v>0</v>
      </c>
    </row>
    <row r="1249" spans="1:3" x14ac:dyDescent="0.6">
      <c r="A1249" s="24">
        <v>31370</v>
      </c>
      <c r="B1249" s="23">
        <v>0.28127600000000003</v>
      </c>
      <c r="C1249" s="32">
        <f t="shared" si="19"/>
        <v>-3.1445414726866905E-2</v>
      </c>
    </row>
    <row r="1250" spans="1:3" x14ac:dyDescent="0.6">
      <c r="A1250" s="24">
        <v>31371</v>
      </c>
      <c r="B1250" s="23">
        <v>0.27762300000000001</v>
      </c>
      <c r="C1250" s="32">
        <f t="shared" si="19"/>
        <v>-1.298724384590233E-2</v>
      </c>
    </row>
    <row r="1251" spans="1:3" x14ac:dyDescent="0.6">
      <c r="A1251" s="24">
        <v>31372</v>
      </c>
      <c r="B1251" s="23">
        <v>0.27762300000000001</v>
      </c>
      <c r="C1251" s="32">
        <f t="shared" si="19"/>
        <v>0</v>
      </c>
    </row>
    <row r="1252" spans="1:3" x14ac:dyDescent="0.6">
      <c r="A1252" s="24">
        <v>31373</v>
      </c>
      <c r="B1252" s="23">
        <v>0.27762300000000001</v>
      </c>
      <c r="C1252" s="32">
        <f t="shared" si="19"/>
        <v>0</v>
      </c>
    </row>
    <row r="1253" spans="1:3" x14ac:dyDescent="0.6">
      <c r="A1253" s="24">
        <v>31376</v>
      </c>
      <c r="B1253" s="23">
        <v>0.279449</v>
      </c>
      <c r="C1253" s="32">
        <f t="shared" si="19"/>
        <v>6.5772648519755172E-3</v>
      </c>
    </row>
    <row r="1254" spans="1:3" x14ac:dyDescent="0.6">
      <c r="A1254" s="24">
        <v>31377</v>
      </c>
      <c r="B1254" s="23">
        <v>0.28310200000000002</v>
      </c>
      <c r="C1254" s="32">
        <f t="shared" si="19"/>
        <v>1.3072152700492889E-2</v>
      </c>
    </row>
    <row r="1255" spans="1:3" x14ac:dyDescent="0.6">
      <c r="A1255" s="24">
        <v>31378</v>
      </c>
      <c r="B1255" s="23">
        <v>0.29223399999999999</v>
      </c>
      <c r="C1255" s="32">
        <f t="shared" si="19"/>
        <v>3.2256925065877295E-2</v>
      </c>
    </row>
    <row r="1256" spans="1:3" x14ac:dyDescent="0.6">
      <c r="A1256" s="24">
        <v>31380</v>
      </c>
      <c r="B1256" s="23">
        <v>0.29406100000000002</v>
      </c>
      <c r="C1256" s="32">
        <f t="shared" si="19"/>
        <v>6.2518392794816968E-3</v>
      </c>
    </row>
    <row r="1257" spans="1:3" x14ac:dyDescent="0.6">
      <c r="A1257" s="24">
        <v>31383</v>
      </c>
      <c r="B1257" s="23">
        <v>0.29588700000000001</v>
      </c>
      <c r="C1257" s="32">
        <f t="shared" si="19"/>
        <v>6.209595968183379E-3</v>
      </c>
    </row>
    <row r="1258" spans="1:3" x14ac:dyDescent="0.6">
      <c r="A1258" s="24">
        <v>31384</v>
      </c>
      <c r="B1258" s="23">
        <v>0.29406100000000002</v>
      </c>
      <c r="C1258" s="32">
        <f t="shared" si="19"/>
        <v>-6.1712748447887433E-3</v>
      </c>
    </row>
    <row r="1259" spans="1:3" x14ac:dyDescent="0.6">
      <c r="A1259" s="24">
        <v>31385</v>
      </c>
      <c r="B1259" s="23">
        <v>0.29953999999999997</v>
      </c>
      <c r="C1259" s="32">
        <f t="shared" si="19"/>
        <v>1.8632188559516427E-2</v>
      </c>
    </row>
    <row r="1260" spans="1:3" x14ac:dyDescent="0.6">
      <c r="A1260" s="24">
        <v>31386</v>
      </c>
      <c r="B1260" s="23">
        <v>0.29406100000000002</v>
      </c>
      <c r="C1260" s="32">
        <f t="shared" si="19"/>
        <v>-1.8291380116178035E-2</v>
      </c>
    </row>
    <row r="1261" spans="1:3" x14ac:dyDescent="0.6">
      <c r="A1261" s="24">
        <v>31387</v>
      </c>
      <c r="B1261" s="23">
        <v>0.28858099999999998</v>
      </c>
      <c r="C1261" s="32">
        <f t="shared" si="19"/>
        <v>-1.8635589214482828E-2</v>
      </c>
    </row>
    <row r="1262" spans="1:3" x14ac:dyDescent="0.6">
      <c r="A1262" s="24">
        <v>31390</v>
      </c>
      <c r="B1262" s="23">
        <v>0.28310200000000002</v>
      </c>
      <c r="C1262" s="32">
        <f t="shared" si="19"/>
        <v>-1.8986003929572504E-2</v>
      </c>
    </row>
    <row r="1263" spans="1:3" x14ac:dyDescent="0.6">
      <c r="A1263" s="24">
        <v>31391</v>
      </c>
      <c r="B1263" s="23">
        <v>0.28492899999999999</v>
      </c>
      <c r="C1263" s="32">
        <f t="shared" si="19"/>
        <v>6.4535043906435163E-3</v>
      </c>
    </row>
    <row r="1264" spans="1:3" x14ac:dyDescent="0.6">
      <c r="A1264" s="24">
        <v>31392</v>
      </c>
      <c r="B1264" s="23">
        <v>0.28858099999999998</v>
      </c>
      <c r="C1264" s="32">
        <f t="shared" si="19"/>
        <v>1.28172281515746E-2</v>
      </c>
    </row>
    <row r="1265" spans="1:3" x14ac:dyDescent="0.6">
      <c r="A1265" s="24">
        <v>31393</v>
      </c>
      <c r="B1265" s="23">
        <v>0.29223399999999999</v>
      </c>
      <c r="C1265" s="32">
        <f t="shared" si="19"/>
        <v>1.2658491030248076E-2</v>
      </c>
    </row>
    <row r="1266" spans="1:3" x14ac:dyDescent="0.6">
      <c r="A1266" s="24">
        <v>31394</v>
      </c>
      <c r="B1266" s="23">
        <v>0.29223399999999999</v>
      </c>
      <c r="C1266" s="32">
        <f t="shared" si="19"/>
        <v>0</v>
      </c>
    </row>
    <row r="1267" spans="1:3" x14ac:dyDescent="0.6">
      <c r="A1267" s="24">
        <v>31397</v>
      </c>
      <c r="B1267" s="23">
        <v>0.30502000000000001</v>
      </c>
      <c r="C1267" s="32">
        <f t="shared" si="19"/>
        <v>4.3752609210427229E-2</v>
      </c>
    </row>
    <row r="1268" spans="1:3" x14ac:dyDescent="0.6">
      <c r="A1268" s="24">
        <v>31398</v>
      </c>
      <c r="B1268" s="23">
        <v>0.301367</v>
      </c>
      <c r="C1268" s="32">
        <f t="shared" si="19"/>
        <v>-1.1976263851550817E-2</v>
      </c>
    </row>
    <row r="1269" spans="1:3" x14ac:dyDescent="0.6">
      <c r="A1269" s="24">
        <v>31399</v>
      </c>
      <c r="B1269" s="23">
        <v>0.32511099999999998</v>
      </c>
      <c r="C1269" s="32">
        <f t="shared" si="19"/>
        <v>7.8787657573655911E-2</v>
      </c>
    </row>
    <row r="1270" spans="1:3" x14ac:dyDescent="0.6">
      <c r="A1270" s="24">
        <v>31400</v>
      </c>
      <c r="B1270" s="23">
        <v>0.328764</v>
      </c>
      <c r="C1270" s="32">
        <f t="shared" si="19"/>
        <v>1.1236162418374107E-2</v>
      </c>
    </row>
    <row r="1271" spans="1:3" x14ac:dyDescent="0.6">
      <c r="A1271" s="24">
        <v>31401</v>
      </c>
      <c r="B1271" s="23">
        <v>0.32693699999999998</v>
      </c>
      <c r="C1271" s="32">
        <f t="shared" si="19"/>
        <v>-5.5571777931890942E-3</v>
      </c>
    </row>
    <row r="1272" spans="1:3" x14ac:dyDescent="0.6">
      <c r="A1272" s="24">
        <v>31404</v>
      </c>
      <c r="B1272" s="23">
        <v>0.319631</v>
      </c>
      <c r="C1272" s="32">
        <f t="shared" si="19"/>
        <v>-2.2346812994552434E-2</v>
      </c>
    </row>
    <row r="1273" spans="1:3" x14ac:dyDescent="0.6">
      <c r="A1273" s="24">
        <v>31405</v>
      </c>
      <c r="B1273" s="23">
        <v>0.317805</v>
      </c>
      <c r="C1273" s="32">
        <f t="shared" si="19"/>
        <v>-5.712837615875821E-3</v>
      </c>
    </row>
    <row r="1274" spans="1:3" x14ac:dyDescent="0.6">
      <c r="A1274" s="24">
        <v>31407</v>
      </c>
      <c r="B1274" s="23">
        <v>0.317805</v>
      </c>
      <c r="C1274" s="32">
        <f t="shared" si="19"/>
        <v>0</v>
      </c>
    </row>
    <row r="1275" spans="1:3" x14ac:dyDescent="0.6">
      <c r="A1275" s="24">
        <v>31408</v>
      </c>
      <c r="B1275" s="23">
        <v>0.32693699999999998</v>
      </c>
      <c r="C1275" s="32">
        <f t="shared" si="19"/>
        <v>2.8734601406522842E-2</v>
      </c>
    </row>
    <row r="1276" spans="1:3" x14ac:dyDescent="0.6">
      <c r="A1276" s="24">
        <v>31411</v>
      </c>
      <c r="B1276" s="23">
        <v>0.32511099999999998</v>
      </c>
      <c r="C1276" s="32">
        <f t="shared" si="19"/>
        <v>-5.5851739020055247E-3</v>
      </c>
    </row>
    <row r="1277" spans="1:3" x14ac:dyDescent="0.6">
      <c r="A1277" s="24">
        <v>31412</v>
      </c>
      <c r="B1277" s="23">
        <v>0.32145800000000002</v>
      </c>
      <c r="C1277" s="32">
        <f t="shared" si="19"/>
        <v>-1.1236162418373885E-2</v>
      </c>
    </row>
    <row r="1278" spans="1:3" x14ac:dyDescent="0.6">
      <c r="A1278" s="24">
        <v>31414</v>
      </c>
      <c r="B1278" s="23">
        <v>0.32511099999999998</v>
      </c>
      <c r="C1278" s="32">
        <f t="shared" si="19"/>
        <v>1.136384846542926E-2</v>
      </c>
    </row>
    <row r="1279" spans="1:3" x14ac:dyDescent="0.6">
      <c r="A1279" s="24">
        <v>31415</v>
      </c>
      <c r="B1279" s="23">
        <v>0.32693699999999998</v>
      </c>
      <c r="C1279" s="32">
        <f t="shared" si="19"/>
        <v>5.6165432729129439E-3</v>
      </c>
    </row>
    <row r="1280" spans="1:3" x14ac:dyDescent="0.6">
      <c r="A1280" s="24">
        <v>31418</v>
      </c>
      <c r="B1280" s="23">
        <v>0.32511099999999998</v>
      </c>
      <c r="C1280" s="32">
        <f t="shared" si="19"/>
        <v>-5.5851739020055247E-3</v>
      </c>
    </row>
    <row r="1281" spans="1:3" x14ac:dyDescent="0.6">
      <c r="A1281" s="24">
        <v>31419</v>
      </c>
      <c r="B1281" s="23">
        <v>0.33606999999999998</v>
      </c>
      <c r="C1281" s="32">
        <f t="shared" si="19"/>
        <v>3.3708487255122099E-2</v>
      </c>
    </row>
    <row r="1282" spans="1:3" x14ac:dyDescent="0.6">
      <c r="A1282" s="24">
        <v>31420</v>
      </c>
      <c r="B1282" s="23">
        <v>0.33424300000000001</v>
      </c>
      <c r="C1282" s="32">
        <f t="shared" si="19"/>
        <v>-5.4363674234533255E-3</v>
      </c>
    </row>
    <row r="1283" spans="1:3" x14ac:dyDescent="0.6">
      <c r="A1283" s="24">
        <v>31421</v>
      </c>
      <c r="B1283" s="23">
        <v>0.33058999999999999</v>
      </c>
      <c r="C1283" s="32">
        <f t="shared" si="19"/>
        <v>-1.0929174283380694E-2</v>
      </c>
    </row>
    <row r="1284" spans="1:3" x14ac:dyDescent="0.6">
      <c r="A1284" s="24">
        <v>31422</v>
      </c>
      <c r="B1284" s="23">
        <v>0.33241700000000002</v>
      </c>
      <c r="C1284" s="32">
        <f t="shared" ref="C1284:C1347" si="20">B1284/B1283-1</f>
        <v>5.526482954717471E-3</v>
      </c>
    </row>
    <row r="1285" spans="1:3" x14ac:dyDescent="0.6">
      <c r="A1285" s="24">
        <v>31425</v>
      </c>
      <c r="B1285" s="23">
        <v>0.33606999999999998</v>
      </c>
      <c r="C1285" s="32">
        <f t="shared" si="20"/>
        <v>1.0989209336465855E-2</v>
      </c>
    </row>
    <row r="1286" spans="1:3" x14ac:dyDescent="0.6">
      <c r="A1286" s="24">
        <v>31426</v>
      </c>
      <c r="B1286" s="23">
        <v>0.339723</v>
      </c>
      <c r="C1286" s="32">
        <f t="shared" si="20"/>
        <v>1.0869759276341373E-2</v>
      </c>
    </row>
    <row r="1287" spans="1:3" x14ac:dyDescent="0.6">
      <c r="A1287" s="24">
        <v>31427</v>
      </c>
      <c r="B1287" s="23">
        <v>0.34885500000000003</v>
      </c>
      <c r="C1287" s="32">
        <f t="shared" si="20"/>
        <v>2.6880723412898266E-2</v>
      </c>
    </row>
    <row r="1288" spans="1:3" x14ac:dyDescent="0.6">
      <c r="A1288" s="24">
        <v>31428</v>
      </c>
      <c r="B1288" s="23">
        <v>0.357987</v>
      </c>
      <c r="C1288" s="32">
        <f t="shared" si="20"/>
        <v>2.6177064969686414E-2</v>
      </c>
    </row>
    <row r="1289" spans="1:3" x14ac:dyDescent="0.6">
      <c r="A1289" s="24">
        <v>31429</v>
      </c>
      <c r="B1289" s="23">
        <v>0.35068100000000002</v>
      </c>
      <c r="C1289" s="32">
        <f t="shared" si="20"/>
        <v>-2.0408562322095425E-2</v>
      </c>
    </row>
    <row r="1290" spans="1:3" x14ac:dyDescent="0.6">
      <c r="A1290" s="24">
        <v>31432</v>
      </c>
      <c r="B1290" s="23">
        <v>0.34885500000000003</v>
      </c>
      <c r="C1290" s="32">
        <f t="shared" si="20"/>
        <v>-5.2070115004805295E-3</v>
      </c>
    </row>
    <row r="1291" spans="1:3" x14ac:dyDescent="0.6">
      <c r="A1291" s="24">
        <v>31433</v>
      </c>
      <c r="B1291" s="23">
        <v>0.35068100000000002</v>
      </c>
      <c r="C1291" s="32">
        <f t="shared" si="20"/>
        <v>5.2342663857476435E-3</v>
      </c>
    </row>
    <row r="1292" spans="1:3" x14ac:dyDescent="0.6">
      <c r="A1292" s="24">
        <v>31434</v>
      </c>
      <c r="B1292" s="23">
        <v>0.34154899999999999</v>
      </c>
      <c r="C1292" s="32">
        <f t="shared" si="20"/>
        <v>-2.6040760691340648E-2</v>
      </c>
    </row>
    <row r="1293" spans="1:3" x14ac:dyDescent="0.6">
      <c r="A1293" s="24">
        <v>31435</v>
      </c>
      <c r="B1293" s="23">
        <v>0.33606999999999998</v>
      </c>
      <c r="C1293" s="32">
        <f t="shared" si="20"/>
        <v>-1.6041622139136735E-2</v>
      </c>
    </row>
    <row r="1294" spans="1:3" x14ac:dyDescent="0.6">
      <c r="A1294" s="24">
        <v>31436</v>
      </c>
      <c r="B1294" s="23">
        <v>0.33058999999999999</v>
      </c>
      <c r="C1294" s="32">
        <f t="shared" si="20"/>
        <v>-1.6306126699794588E-2</v>
      </c>
    </row>
    <row r="1295" spans="1:3" x14ac:dyDescent="0.6">
      <c r="A1295" s="24">
        <v>31439</v>
      </c>
      <c r="B1295" s="23">
        <v>0.32328400000000002</v>
      </c>
      <c r="C1295" s="32">
        <f t="shared" si="20"/>
        <v>-2.2099882029099405E-2</v>
      </c>
    </row>
    <row r="1296" spans="1:3" x14ac:dyDescent="0.6">
      <c r="A1296" s="24">
        <v>31440</v>
      </c>
      <c r="B1296" s="23">
        <v>0.32511099999999998</v>
      </c>
      <c r="C1296" s="32">
        <f t="shared" si="20"/>
        <v>5.651377735984342E-3</v>
      </c>
    </row>
    <row r="1297" spans="1:3" x14ac:dyDescent="0.6">
      <c r="A1297" s="24">
        <v>31441</v>
      </c>
      <c r="B1297" s="23">
        <v>0.34520200000000001</v>
      </c>
      <c r="C1297" s="32">
        <f t="shared" si="20"/>
        <v>6.1797355364783257E-2</v>
      </c>
    </row>
    <row r="1298" spans="1:3" x14ac:dyDescent="0.6">
      <c r="A1298" s="24">
        <v>31442</v>
      </c>
      <c r="B1298" s="23">
        <v>0.33606999999999998</v>
      </c>
      <c r="C1298" s="32">
        <f t="shared" si="20"/>
        <v>-2.6454076164101115E-2</v>
      </c>
    </row>
    <row r="1299" spans="1:3" x14ac:dyDescent="0.6">
      <c r="A1299" s="24">
        <v>31443</v>
      </c>
      <c r="B1299" s="23">
        <v>0.33789599999999997</v>
      </c>
      <c r="C1299" s="32">
        <f t="shared" si="20"/>
        <v>5.4333918528877145E-3</v>
      </c>
    </row>
    <row r="1300" spans="1:3" x14ac:dyDescent="0.6">
      <c r="A1300" s="24">
        <v>31446</v>
      </c>
      <c r="B1300" s="23">
        <v>0.34885500000000003</v>
      </c>
      <c r="C1300" s="32">
        <f t="shared" si="20"/>
        <v>3.2433056325023246E-2</v>
      </c>
    </row>
    <row r="1301" spans="1:3" x14ac:dyDescent="0.6">
      <c r="A1301" s="24">
        <v>31447</v>
      </c>
      <c r="B1301" s="23">
        <v>0.347028</v>
      </c>
      <c r="C1301" s="32">
        <f t="shared" si="20"/>
        <v>-5.237132906221853E-3</v>
      </c>
    </row>
    <row r="1302" spans="1:3" x14ac:dyDescent="0.6">
      <c r="A1302" s="24">
        <v>31448</v>
      </c>
      <c r="B1302" s="23">
        <v>0.347028</v>
      </c>
      <c r="C1302" s="32">
        <f t="shared" si="20"/>
        <v>0</v>
      </c>
    </row>
    <row r="1303" spans="1:3" x14ac:dyDescent="0.6">
      <c r="A1303" s="24">
        <v>31449</v>
      </c>
      <c r="B1303" s="23">
        <v>0.35250799999999999</v>
      </c>
      <c r="C1303" s="32">
        <f t="shared" si="20"/>
        <v>1.5791232984081915E-2</v>
      </c>
    </row>
    <row r="1304" spans="1:3" x14ac:dyDescent="0.6">
      <c r="A1304" s="24">
        <v>31450</v>
      </c>
      <c r="B1304" s="23">
        <v>0.35068100000000002</v>
      </c>
      <c r="C1304" s="32">
        <f t="shared" si="20"/>
        <v>-5.1828610981877743E-3</v>
      </c>
    </row>
    <row r="1305" spans="1:3" x14ac:dyDescent="0.6">
      <c r="A1305" s="24">
        <v>31453</v>
      </c>
      <c r="B1305" s="23">
        <v>0.34885500000000003</v>
      </c>
      <c r="C1305" s="32">
        <f t="shared" si="20"/>
        <v>-5.2070115004805295E-3</v>
      </c>
    </row>
    <row r="1306" spans="1:3" x14ac:dyDescent="0.6">
      <c r="A1306" s="24">
        <v>31454</v>
      </c>
      <c r="B1306" s="23">
        <v>0.34885500000000003</v>
      </c>
      <c r="C1306" s="32">
        <f t="shared" si="20"/>
        <v>0</v>
      </c>
    </row>
    <row r="1307" spans="1:3" x14ac:dyDescent="0.6">
      <c r="A1307" s="24">
        <v>31455</v>
      </c>
      <c r="B1307" s="23">
        <v>0.35068100000000002</v>
      </c>
      <c r="C1307" s="32">
        <f t="shared" si="20"/>
        <v>5.2342663857476435E-3</v>
      </c>
    </row>
    <row r="1308" spans="1:3" x14ac:dyDescent="0.6">
      <c r="A1308" s="24">
        <v>31456</v>
      </c>
      <c r="B1308" s="23">
        <v>0.34885500000000003</v>
      </c>
      <c r="C1308" s="32">
        <f t="shared" si="20"/>
        <v>-5.2070115004805295E-3</v>
      </c>
    </row>
    <row r="1309" spans="1:3" x14ac:dyDescent="0.6">
      <c r="A1309" s="24">
        <v>31457</v>
      </c>
      <c r="B1309" s="23">
        <v>0.347028</v>
      </c>
      <c r="C1309" s="32">
        <f t="shared" si="20"/>
        <v>-5.237132906221853E-3</v>
      </c>
    </row>
    <row r="1310" spans="1:3" x14ac:dyDescent="0.6">
      <c r="A1310" s="24">
        <v>31461</v>
      </c>
      <c r="B1310" s="23">
        <v>0.34885500000000003</v>
      </c>
      <c r="C1310" s="32">
        <f t="shared" si="20"/>
        <v>5.2647048653136075E-3</v>
      </c>
    </row>
    <row r="1311" spans="1:3" x14ac:dyDescent="0.6">
      <c r="A1311" s="24">
        <v>31462</v>
      </c>
      <c r="B1311" s="23">
        <v>0.36529299999999998</v>
      </c>
      <c r="C1311" s="32">
        <f t="shared" si="20"/>
        <v>4.7119863553625185E-2</v>
      </c>
    </row>
    <row r="1312" spans="1:3" x14ac:dyDescent="0.6">
      <c r="A1312" s="24">
        <v>31463</v>
      </c>
      <c r="B1312" s="23">
        <v>0.36711899999999997</v>
      </c>
      <c r="C1312" s="32">
        <f t="shared" si="20"/>
        <v>4.9987270492453106E-3</v>
      </c>
    </row>
    <row r="1313" spans="1:3" x14ac:dyDescent="0.6">
      <c r="A1313" s="24">
        <v>31464</v>
      </c>
      <c r="B1313" s="23">
        <v>0.368946</v>
      </c>
      <c r="C1313" s="32">
        <f t="shared" si="20"/>
        <v>4.9765879728371765E-3</v>
      </c>
    </row>
    <row r="1314" spans="1:3" x14ac:dyDescent="0.6">
      <c r="A1314" s="24">
        <v>31467</v>
      </c>
      <c r="B1314" s="23">
        <v>0.37625199999999998</v>
      </c>
      <c r="C1314" s="32">
        <f t="shared" si="20"/>
        <v>1.9802355900321311E-2</v>
      </c>
    </row>
    <row r="1315" spans="1:3" x14ac:dyDescent="0.6">
      <c r="A1315" s="24">
        <v>31468</v>
      </c>
      <c r="B1315" s="23">
        <v>0.385384</v>
      </c>
      <c r="C1315" s="32">
        <f t="shared" si="20"/>
        <v>2.4270967330406235E-2</v>
      </c>
    </row>
    <row r="1316" spans="1:3" x14ac:dyDescent="0.6">
      <c r="A1316" s="24">
        <v>31469</v>
      </c>
      <c r="B1316" s="23">
        <v>0.37990499999999999</v>
      </c>
      <c r="C1316" s="32">
        <f t="shared" si="20"/>
        <v>-1.4216988769642724E-2</v>
      </c>
    </row>
    <row r="1317" spans="1:3" x14ac:dyDescent="0.6">
      <c r="A1317" s="24">
        <v>31470</v>
      </c>
      <c r="B1317" s="23">
        <v>0.37442500000000001</v>
      </c>
      <c r="C1317" s="32">
        <f t="shared" si="20"/>
        <v>-1.4424658796277967E-2</v>
      </c>
    </row>
    <row r="1318" spans="1:3" x14ac:dyDescent="0.6">
      <c r="A1318" s="24">
        <v>31471</v>
      </c>
      <c r="B1318" s="23">
        <v>0.36529299999999998</v>
      </c>
      <c r="C1318" s="32">
        <f t="shared" si="20"/>
        <v>-2.4389397075515906E-2</v>
      </c>
    </row>
    <row r="1319" spans="1:3" x14ac:dyDescent="0.6">
      <c r="A1319" s="24">
        <v>31474</v>
      </c>
      <c r="B1319" s="23">
        <v>0.35981400000000002</v>
      </c>
      <c r="C1319" s="32">
        <f t="shared" si="20"/>
        <v>-1.4998918676240591E-2</v>
      </c>
    </row>
    <row r="1320" spans="1:3" x14ac:dyDescent="0.6">
      <c r="A1320" s="24">
        <v>31475</v>
      </c>
      <c r="B1320" s="23">
        <v>0.35981400000000002</v>
      </c>
      <c r="C1320" s="32">
        <f t="shared" si="20"/>
        <v>0</v>
      </c>
    </row>
    <row r="1321" spans="1:3" x14ac:dyDescent="0.6">
      <c r="A1321" s="24">
        <v>31476</v>
      </c>
      <c r="B1321" s="23">
        <v>0.368946</v>
      </c>
      <c r="C1321" s="32">
        <f t="shared" si="20"/>
        <v>2.5379779552768822E-2</v>
      </c>
    </row>
    <row r="1322" spans="1:3" x14ac:dyDescent="0.6">
      <c r="A1322" s="24">
        <v>31477</v>
      </c>
      <c r="B1322" s="23">
        <v>0.37077199999999999</v>
      </c>
      <c r="C1322" s="32">
        <f t="shared" si="20"/>
        <v>4.9492337632064398E-3</v>
      </c>
    </row>
    <row r="1323" spans="1:3" x14ac:dyDescent="0.6">
      <c r="A1323" s="24">
        <v>31478</v>
      </c>
      <c r="B1323" s="23">
        <v>0.36164000000000002</v>
      </c>
      <c r="C1323" s="32">
        <f t="shared" si="20"/>
        <v>-2.4629691562469636E-2</v>
      </c>
    </row>
    <row r="1324" spans="1:3" x14ac:dyDescent="0.6">
      <c r="A1324" s="24">
        <v>31481</v>
      </c>
      <c r="B1324" s="23">
        <v>0.35981400000000002</v>
      </c>
      <c r="C1324" s="32">
        <f t="shared" si="20"/>
        <v>-5.0492202190023372E-3</v>
      </c>
    </row>
    <row r="1325" spans="1:3" x14ac:dyDescent="0.6">
      <c r="A1325" s="24">
        <v>31482</v>
      </c>
      <c r="B1325" s="23">
        <v>0.36346699999999998</v>
      </c>
      <c r="C1325" s="32">
        <f t="shared" si="20"/>
        <v>1.0152467663848475E-2</v>
      </c>
    </row>
    <row r="1326" spans="1:3" x14ac:dyDescent="0.6">
      <c r="A1326" s="24">
        <v>31483</v>
      </c>
      <c r="B1326" s="23">
        <v>0.36164000000000002</v>
      </c>
      <c r="C1326" s="32">
        <f t="shared" si="20"/>
        <v>-5.0265911348209569E-3</v>
      </c>
    </row>
    <row r="1327" spans="1:3" x14ac:dyDescent="0.6">
      <c r="A1327" s="24">
        <v>31484</v>
      </c>
      <c r="B1327" s="23">
        <v>0.36164000000000002</v>
      </c>
      <c r="C1327" s="32">
        <f t="shared" si="20"/>
        <v>0</v>
      </c>
    </row>
    <row r="1328" spans="1:3" x14ac:dyDescent="0.6">
      <c r="A1328" s="24">
        <v>31485</v>
      </c>
      <c r="B1328" s="23">
        <v>0.38173099999999999</v>
      </c>
      <c r="C1328" s="32">
        <f t="shared" si="20"/>
        <v>5.5555248313239547E-2</v>
      </c>
    </row>
    <row r="1329" spans="1:3" x14ac:dyDescent="0.6">
      <c r="A1329" s="24">
        <v>31488</v>
      </c>
      <c r="B1329" s="23">
        <v>0.37990499999999999</v>
      </c>
      <c r="C1329" s="32">
        <f t="shared" si="20"/>
        <v>-4.7834731787567142E-3</v>
      </c>
    </row>
    <row r="1330" spans="1:3" x14ac:dyDescent="0.6">
      <c r="A1330" s="24">
        <v>31489</v>
      </c>
      <c r="B1330" s="23">
        <v>0.39268999999999998</v>
      </c>
      <c r="C1330" s="32">
        <f t="shared" si="20"/>
        <v>3.3653150129637543E-2</v>
      </c>
    </row>
    <row r="1331" spans="1:3" x14ac:dyDescent="0.6">
      <c r="A1331" s="24">
        <v>31490</v>
      </c>
      <c r="B1331" s="23">
        <v>0.38721</v>
      </c>
      <c r="C1331" s="32">
        <f t="shared" si="20"/>
        <v>-1.3955028139244652E-2</v>
      </c>
    </row>
    <row r="1332" spans="1:3" x14ac:dyDescent="0.6">
      <c r="A1332" s="24">
        <v>31491</v>
      </c>
      <c r="B1332" s="23">
        <v>0.41278100000000001</v>
      </c>
      <c r="C1332" s="32">
        <f t="shared" si="20"/>
        <v>6.603910022984949E-2</v>
      </c>
    </row>
    <row r="1333" spans="1:3" x14ac:dyDescent="0.6">
      <c r="A1333" s="24">
        <v>31492</v>
      </c>
      <c r="B1333" s="23">
        <v>0.40364899999999998</v>
      </c>
      <c r="C1333" s="32">
        <f t="shared" si="20"/>
        <v>-2.2123111286614483E-2</v>
      </c>
    </row>
    <row r="1334" spans="1:3" x14ac:dyDescent="0.6">
      <c r="A1334" s="24">
        <v>31495</v>
      </c>
      <c r="B1334" s="23">
        <v>0.39086300000000002</v>
      </c>
      <c r="C1334" s="32">
        <f t="shared" si="20"/>
        <v>-3.1676035367361188E-2</v>
      </c>
    </row>
    <row r="1335" spans="1:3" x14ac:dyDescent="0.6">
      <c r="A1335" s="24">
        <v>31496</v>
      </c>
      <c r="B1335" s="23">
        <v>0.407302</v>
      </c>
      <c r="C1335" s="32">
        <f t="shared" si="20"/>
        <v>4.2058214770904323E-2</v>
      </c>
    </row>
    <row r="1336" spans="1:3" x14ac:dyDescent="0.6">
      <c r="A1336" s="24">
        <v>31497</v>
      </c>
      <c r="B1336" s="23">
        <v>0.41278100000000001</v>
      </c>
      <c r="C1336" s="32">
        <f t="shared" si="20"/>
        <v>1.3451934927891429E-2</v>
      </c>
    </row>
    <row r="1337" spans="1:3" x14ac:dyDescent="0.6">
      <c r="A1337" s="24">
        <v>31498</v>
      </c>
      <c r="B1337" s="23">
        <v>0.41278100000000001</v>
      </c>
      <c r="C1337" s="32">
        <f t="shared" si="20"/>
        <v>0</v>
      </c>
    </row>
    <row r="1338" spans="1:3" x14ac:dyDescent="0.6">
      <c r="A1338" s="24">
        <v>31502</v>
      </c>
      <c r="B1338" s="23">
        <v>0.41278100000000001</v>
      </c>
      <c r="C1338" s="32">
        <f t="shared" si="20"/>
        <v>0</v>
      </c>
    </row>
    <row r="1339" spans="1:3" x14ac:dyDescent="0.6">
      <c r="A1339" s="24">
        <v>31503</v>
      </c>
      <c r="B1339" s="23">
        <v>0.398169</v>
      </c>
      <c r="C1339" s="32">
        <f t="shared" si="20"/>
        <v>-3.5398916132283298E-2</v>
      </c>
    </row>
    <row r="1340" spans="1:3" x14ac:dyDescent="0.6">
      <c r="A1340" s="24">
        <v>31504</v>
      </c>
      <c r="B1340" s="23">
        <v>0.398169</v>
      </c>
      <c r="C1340" s="32">
        <f t="shared" si="20"/>
        <v>0</v>
      </c>
    </row>
    <row r="1341" spans="1:3" x14ac:dyDescent="0.6">
      <c r="A1341" s="24">
        <v>31505</v>
      </c>
      <c r="B1341" s="23">
        <v>0.39451599999999998</v>
      </c>
      <c r="C1341" s="32">
        <f t="shared" si="20"/>
        <v>-9.1744962566147059E-3</v>
      </c>
    </row>
    <row r="1342" spans="1:3" x14ac:dyDescent="0.6">
      <c r="A1342" s="24">
        <v>31506</v>
      </c>
      <c r="B1342" s="23">
        <v>0.39086300000000002</v>
      </c>
      <c r="C1342" s="32">
        <f t="shared" si="20"/>
        <v>-9.2594470186252442E-3</v>
      </c>
    </row>
    <row r="1343" spans="1:3" x14ac:dyDescent="0.6">
      <c r="A1343" s="24">
        <v>31509</v>
      </c>
      <c r="B1343" s="23">
        <v>0.398169</v>
      </c>
      <c r="C1343" s="32">
        <f t="shared" si="20"/>
        <v>1.8691971355692338E-2</v>
      </c>
    </row>
    <row r="1344" spans="1:3" x14ac:dyDescent="0.6">
      <c r="A1344" s="24">
        <v>31510</v>
      </c>
      <c r="B1344" s="23">
        <v>0.40364899999999998</v>
      </c>
      <c r="C1344" s="32">
        <f t="shared" si="20"/>
        <v>1.3763000133109271E-2</v>
      </c>
    </row>
    <row r="1345" spans="1:3" x14ac:dyDescent="0.6">
      <c r="A1345" s="24">
        <v>31511</v>
      </c>
      <c r="B1345" s="23">
        <v>0.396343</v>
      </c>
      <c r="C1345" s="32">
        <f t="shared" si="20"/>
        <v>-1.8099883809943762E-2</v>
      </c>
    </row>
    <row r="1346" spans="1:3" x14ac:dyDescent="0.6">
      <c r="A1346" s="24">
        <v>31512</v>
      </c>
      <c r="B1346" s="23">
        <v>0.398169</v>
      </c>
      <c r="C1346" s="32">
        <f t="shared" si="20"/>
        <v>4.6071206000861675E-3</v>
      </c>
    </row>
    <row r="1347" spans="1:3" x14ac:dyDescent="0.6">
      <c r="A1347" s="24">
        <v>31513</v>
      </c>
      <c r="B1347" s="23">
        <v>0.39451599999999998</v>
      </c>
      <c r="C1347" s="32">
        <f t="shared" si="20"/>
        <v>-9.1744962566147059E-3</v>
      </c>
    </row>
    <row r="1348" spans="1:3" x14ac:dyDescent="0.6">
      <c r="A1348" s="24">
        <v>31516</v>
      </c>
      <c r="B1348" s="23">
        <v>0.39268999999999998</v>
      </c>
      <c r="C1348" s="32">
        <f t="shared" ref="C1348:C1411" si="21">B1348/B1347-1</f>
        <v>-4.6284561335915297E-3</v>
      </c>
    </row>
    <row r="1349" spans="1:3" x14ac:dyDescent="0.6">
      <c r="A1349" s="24">
        <v>31517</v>
      </c>
      <c r="B1349" s="23">
        <v>0.39999600000000002</v>
      </c>
      <c r="C1349" s="32">
        <f t="shared" si="21"/>
        <v>1.8605006493672027E-2</v>
      </c>
    </row>
    <row r="1350" spans="1:3" x14ac:dyDescent="0.6">
      <c r="A1350" s="24">
        <v>31518</v>
      </c>
      <c r="B1350" s="23">
        <v>0.41278100000000001</v>
      </c>
      <c r="C1350" s="32">
        <f t="shared" si="21"/>
        <v>3.1962819628196248E-2</v>
      </c>
    </row>
    <row r="1351" spans="1:3" x14ac:dyDescent="0.6">
      <c r="A1351" s="24">
        <v>31519</v>
      </c>
      <c r="B1351" s="23">
        <v>0.42374000000000001</v>
      </c>
      <c r="C1351" s="32">
        <f t="shared" si="21"/>
        <v>2.6549187099212501E-2</v>
      </c>
    </row>
    <row r="1352" spans="1:3" x14ac:dyDescent="0.6">
      <c r="A1352" s="24">
        <v>31520</v>
      </c>
      <c r="B1352" s="23">
        <v>0.434699</v>
      </c>
      <c r="C1352" s="32">
        <f t="shared" si="21"/>
        <v>2.586255722848918E-2</v>
      </c>
    </row>
    <row r="1353" spans="1:3" x14ac:dyDescent="0.6">
      <c r="A1353" s="24">
        <v>31523</v>
      </c>
      <c r="B1353" s="23">
        <v>0.44383099999999998</v>
      </c>
      <c r="C1353" s="32">
        <f t="shared" si="21"/>
        <v>2.1007639769127451E-2</v>
      </c>
    </row>
    <row r="1354" spans="1:3" x14ac:dyDescent="0.6">
      <c r="A1354" s="24">
        <v>31524</v>
      </c>
      <c r="B1354" s="23">
        <v>0.436525</v>
      </c>
      <c r="C1354" s="32">
        <f t="shared" si="21"/>
        <v>-1.6461220599732762E-2</v>
      </c>
    </row>
    <row r="1355" spans="1:3" x14ac:dyDescent="0.6">
      <c r="A1355" s="24">
        <v>31525</v>
      </c>
      <c r="B1355" s="23">
        <v>0.43287199999999998</v>
      </c>
      <c r="C1355" s="32">
        <f t="shared" si="21"/>
        <v>-8.3683637821431178E-3</v>
      </c>
    </row>
    <row r="1356" spans="1:3" x14ac:dyDescent="0.6">
      <c r="A1356" s="24">
        <v>31526</v>
      </c>
      <c r="B1356" s="23">
        <v>0.45844299999999999</v>
      </c>
      <c r="C1356" s="32">
        <f t="shared" si="21"/>
        <v>5.907288990740911E-2</v>
      </c>
    </row>
    <row r="1357" spans="1:3" x14ac:dyDescent="0.6">
      <c r="A1357" s="24">
        <v>31527</v>
      </c>
      <c r="B1357" s="23">
        <v>0.47122799999999998</v>
      </c>
      <c r="C1357" s="32">
        <f t="shared" si="21"/>
        <v>2.7887872647199385E-2</v>
      </c>
    </row>
    <row r="1358" spans="1:3" x14ac:dyDescent="0.6">
      <c r="A1358" s="24">
        <v>31530</v>
      </c>
      <c r="B1358" s="23">
        <v>0.46757500000000002</v>
      </c>
      <c r="C1358" s="32">
        <f t="shared" si="21"/>
        <v>-7.7520860390298818E-3</v>
      </c>
    </row>
    <row r="1359" spans="1:3" x14ac:dyDescent="0.6">
      <c r="A1359" s="24">
        <v>31531</v>
      </c>
      <c r="B1359" s="23">
        <v>0.45661600000000002</v>
      </c>
      <c r="C1359" s="32">
        <f t="shared" si="21"/>
        <v>-2.3437951130834578E-2</v>
      </c>
    </row>
    <row r="1360" spans="1:3" x14ac:dyDescent="0.6">
      <c r="A1360" s="24">
        <v>31532</v>
      </c>
      <c r="B1360" s="23">
        <v>0.44200499999999998</v>
      </c>
      <c r="C1360" s="32">
        <f t="shared" si="21"/>
        <v>-3.1998440702910136E-2</v>
      </c>
    </row>
    <row r="1361" spans="1:3" x14ac:dyDescent="0.6">
      <c r="A1361" s="24">
        <v>31533</v>
      </c>
      <c r="B1361" s="23">
        <v>0.44200499999999998</v>
      </c>
      <c r="C1361" s="32">
        <f t="shared" si="21"/>
        <v>0</v>
      </c>
    </row>
    <row r="1362" spans="1:3" x14ac:dyDescent="0.6">
      <c r="A1362" s="24">
        <v>31534</v>
      </c>
      <c r="B1362" s="23">
        <v>0.445658</v>
      </c>
      <c r="C1362" s="32">
        <f t="shared" si="21"/>
        <v>8.2646123912626379E-3</v>
      </c>
    </row>
    <row r="1363" spans="1:3" x14ac:dyDescent="0.6">
      <c r="A1363" s="24">
        <v>31537</v>
      </c>
      <c r="B1363" s="23">
        <v>0.46940100000000001</v>
      </c>
      <c r="C1363" s="32">
        <f t="shared" si="21"/>
        <v>5.3276279119863323E-2</v>
      </c>
    </row>
    <row r="1364" spans="1:3" x14ac:dyDescent="0.6">
      <c r="A1364" s="24">
        <v>31538</v>
      </c>
      <c r="B1364" s="23">
        <v>0.47670699999999999</v>
      </c>
      <c r="C1364" s="32">
        <f t="shared" si="21"/>
        <v>1.5564517331662975E-2</v>
      </c>
    </row>
    <row r="1365" spans="1:3" x14ac:dyDescent="0.6">
      <c r="A1365" s="24">
        <v>31539</v>
      </c>
      <c r="B1365" s="23">
        <v>0.46026899999999998</v>
      </c>
      <c r="C1365" s="32">
        <f t="shared" si="21"/>
        <v>-3.4482396944034877E-2</v>
      </c>
    </row>
    <row r="1366" spans="1:3" x14ac:dyDescent="0.6">
      <c r="A1366" s="24">
        <v>31540</v>
      </c>
      <c r="B1366" s="23">
        <v>0.48218699999999998</v>
      </c>
      <c r="C1366" s="32">
        <f t="shared" si="21"/>
        <v>4.7619978751556102E-2</v>
      </c>
    </row>
    <row r="1367" spans="1:3" x14ac:dyDescent="0.6">
      <c r="A1367" s="24">
        <v>31541</v>
      </c>
      <c r="B1367" s="23">
        <v>0.48766599999999999</v>
      </c>
      <c r="C1367" s="32">
        <f t="shared" si="21"/>
        <v>1.1362811523330185E-2</v>
      </c>
    </row>
    <row r="1368" spans="1:3" x14ac:dyDescent="0.6">
      <c r="A1368" s="24">
        <v>31544</v>
      </c>
      <c r="B1368" s="23">
        <v>0.531501</v>
      </c>
      <c r="C1368" s="32">
        <f t="shared" si="21"/>
        <v>8.9887340925961734E-2</v>
      </c>
    </row>
    <row r="1369" spans="1:3" x14ac:dyDescent="0.6">
      <c r="A1369" s="24">
        <v>31545</v>
      </c>
      <c r="B1369" s="23">
        <v>0.52602199999999999</v>
      </c>
      <c r="C1369" s="32">
        <f t="shared" si="21"/>
        <v>-1.0308541282142536E-2</v>
      </c>
    </row>
    <row r="1370" spans="1:3" x14ac:dyDescent="0.6">
      <c r="A1370" s="24">
        <v>31546</v>
      </c>
      <c r="B1370" s="23">
        <v>0.53880700000000004</v>
      </c>
      <c r="C1370" s="32">
        <f t="shared" si="21"/>
        <v>2.4305067088448817E-2</v>
      </c>
    </row>
    <row r="1371" spans="1:3" x14ac:dyDescent="0.6">
      <c r="A1371" s="24">
        <v>31547</v>
      </c>
      <c r="B1371" s="23">
        <v>0.52602199999999999</v>
      </c>
      <c r="C1371" s="32">
        <f t="shared" si="21"/>
        <v>-2.3728347998448474E-2</v>
      </c>
    </row>
    <row r="1372" spans="1:3" x14ac:dyDescent="0.6">
      <c r="A1372" s="24">
        <v>31548</v>
      </c>
      <c r="B1372" s="23">
        <v>0.52602199999999999</v>
      </c>
      <c r="C1372" s="32">
        <f t="shared" si="21"/>
        <v>0</v>
      </c>
    </row>
    <row r="1373" spans="1:3" x14ac:dyDescent="0.6">
      <c r="A1373" s="24">
        <v>31551</v>
      </c>
      <c r="B1373" s="23">
        <v>0.52054299999999998</v>
      </c>
      <c r="C1373" s="32">
        <f t="shared" si="21"/>
        <v>-1.0415914163286022E-2</v>
      </c>
    </row>
    <row r="1374" spans="1:3" x14ac:dyDescent="0.6">
      <c r="A1374" s="24">
        <v>31552</v>
      </c>
      <c r="B1374" s="23">
        <v>0.51688999999999996</v>
      </c>
      <c r="C1374" s="32">
        <f t="shared" si="21"/>
        <v>-7.0176719310413027E-3</v>
      </c>
    </row>
    <row r="1375" spans="1:3" x14ac:dyDescent="0.6">
      <c r="A1375" s="24">
        <v>31553</v>
      </c>
      <c r="B1375" s="23">
        <v>0.54063399999999995</v>
      </c>
      <c r="C1375" s="32">
        <f t="shared" si="21"/>
        <v>4.5936272707926218E-2</v>
      </c>
    </row>
    <row r="1376" spans="1:3" x14ac:dyDescent="0.6">
      <c r="A1376" s="24">
        <v>31554</v>
      </c>
      <c r="B1376" s="23">
        <v>0.53698100000000004</v>
      </c>
      <c r="C1376" s="32">
        <f t="shared" si="21"/>
        <v>-6.7568817351477684E-3</v>
      </c>
    </row>
    <row r="1377" spans="1:3" x14ac:dyDescent="0.6">
      <c r="A1377" s="24">
        <v>31555</v>
      </c>
      <c r="B1377" s="23">
        <v>0.54063399999999995</v>
      </c>
      <c r="C1377" s="32">
        <f t="shared" si="21"/>
        <v>6.8028477730122106E-3</v>
      </c>
    </row>
    <row r="1378" spans="1:3" x14ac:dyDescent="0.6">
      <c r="A1378" s="24">
        <v>31559</v>
      </c>
      <c r="B1378" s="23">
        <v>0.53880700000000004</v>
      </c>
      <c r="C1378" s="32">
        <f t="shared" si="21"/>
        <v>-3.3793657076689465E-3</v>
      </c>
    </row>
    <row r="1379" spans="1:3" x14ac:dyDescent="0.6">
      <c r="A1379" s="24">
        <v>31560</v>
      </c>
      <c r="B1379" s="23">
        <v>0.54428699999999997</v>
      </c>
      <c r="C1379" s="32">
        <f t="shared" si="21"/>
        <v>1.0170617679428728E-2</v>
      </c>
    </row>
    <row r="1380" spans="1:3" x14ac:dyDescent="0.6">
      <c r="A1380" s="24">
        <v>31561</v>
      </c>
      <c r="B1380" s="23">
        <v>0.54063399999999995</v>
      </c>
      <c r="C1380" s="32">
        <f t="shared" si="21"/>
        <v>-6.7115327024162008E-3</v>
      </c>
    </row>
    <row r="1381" spans="1:3" x14ac:dyDescent="0.6">
      <c r="A1381" s="24">
        <v>31562</v>
      </c>
      <c r="B1381" s="23">
        <v>0.54063399999999995</v>
      </c>
      <c r="C1381" s="32">
        <f t="shared" si="21"/>
        <v>0</v>
      </c>
    </row>
    <row r="1382" spans="1:3" x14ac:dyDescent="0.6">
      <c r="A1382" s="24">
        <v>31565</v>
      </c>
      <c r="B1382" s="23">
        <v>0.54246000000000005</v>
      </c>
      <c r="C1382" s="32">
        <f t="shared" si="21"/>
        <v>3.3775160274791549E-3</v>
      </c>
    </row>
    <row r="1383" spans="1:3" x14ac:dyDescent="0.6">
      <c r="A1383" s="24">
        <v>31566</v>
      </c>
      <c r="B1383" s="23">
        <v>0.55341899999999999</v>
      </c>
      <c r="C1383" s="32">
        <f t="shared" si="21"/>
        <v>2.0202411237694839E-2</v>
      </c>
    </row>
    <row r="1384" spans="1:3" x14ac:dyDescent="0.6">
      <c r="A1384" s="24">
        <v>31567</v>
      </c>
      <c r="B1384" s="23">
        <v>0.56620400000000004</v>
      </c>
      <c r="C1384" s="32">
        <f t="shared" si="21"/>
        <v>2.3101845075792493E-2</v>
      </c>
    </row>
    <row r="1385" spans="1:3" x14ac:dyDescent="0.6">
      <c r="A1385" s="24">
        <v>31568</v>
      </c>
      <c r="B1385" s="23">
        <v>0.56803099999999995</v>
      </c>
      <c r="C1385" s="32">
        <f t="shared" si="21"/>
        <v>3.2267521953217582E-3</v>
      </c>
    </row>
    <row r="1386" spans="1:3" x14ac:dyDescent="0.6">
      <c r="A1386" s="24">
        <v>31569</v>
      </c>
      <c r="B1386" s="23">
        <v>0.551593</v>
      </c>
      <c r="C1386" s="32">
        <f t="shared" si="21"/>
        <v>-2.8938561451751665E-2</v>
      </c>
    </row>
    <row r="1387" spans="1:3" x14ac:dyDescent="0.6">
      <c r="A1387" s="24">
        <v>31572</v>
      </c>
      <c r="B1387" s="23">
        <v>0.52602199999999999</v>
      </c>
      <c r="C1387" s="32">
        <f t="shared" si="21"/>
        <v>-4.6358456325587882E-2</v>
      </c>
    </row>
    <row r="1388" spans="1:3" x14ac:dyDescent="0.6">
      <c r="A1388" s="24">
        <v>31573</v>
      </c>
      <c r="B1388" s="23">
        <v>0.52602199999999999</v>
      </c>
      <c r="C1388" s="32">
        <f t="shared" si="21"/>
        <v>0</v>
      </c>
    </row>
    <row r="1389" spans="1:3" x14ac:dyDescent="0.6">
      <c r="A1389" s="24">
        <v>31574</v>
      </c>
      <c r="B1389" s="23">
        <v>0.52784799999999998</v>
      </c>
      <c r="C1389" s="32">
        <f t="shared" si="21"/>
        <v>3.4713377007045132E-3</v>
      </c>
    </row>
    <row r="1390" spans="1:3" x14ac:dyDescent="0.6">
      <c r="A1390" s="24">
        <v>31575</v>
      </c>
      <c r="B1390" s="23">
        <v>0.52602199999999999</v>
      </c>
      <c r="C1390" s="32">
        <f t="shared" si="21"/>
        <v>-3.4593292008305854E-3</v>
      </c>
    </row>
    <row r="1391" spans="1:3" x14ac:dyDescent="0.6">
      <c r="A1391" s="24">
        <v>31576</v>
      </c>
      <c r="B1391" s="23">
        <v>0.531501</v>
      </c>
      <c r="C1391" s="32">
        <f t="shared" si="21"/>
        <v>1.0415914163286022E-2</v>
      </c>
    </row>
    <row r="1392" spans="1:3" x14ac:dyDescent="0.6">
      <c r="A1392" s="24">
        <v>31579</v>
      </c>
      <c r="B1392" s="23">
        <v>0.52419499999999997</v>
      </c>
      <c r="C1392" s="32">
        <f t="shared" si="21"/>
        <v>-1.3745976018859851E-2</v>
      </c>
    </row>
    <row r="1393" spans="1:3" x14ac:dyDescent="0.6">
      <c r="A1393" s="24">
        <v>31580</v>
      </c>
      <c r="B1393" s="23">
        <v>0.50045200000000001</v>
      </c>
      <c r="C1393" s="32">
        <f t="shared" si="21"/>
        <v>-4.5294213031410013E-2</v>
      </c>
    </row>
    <row r="1394" spans="1:3" x14ac:dyDescent="0.6">
      <c r="A1394" s="24">
        <v>31581</v>
      </c>
      <c r="B1394" s="23">
        <v>0.50045200000000001</v>
      </c>
      <c r="C1394" s="32">
        <f t="shared" si="21"/>
        <v>0</v>
      </c>
    </row>
    <row r="1395" spans="1:3" x14ac:dyDescent="0.6">
      <c r="A1395" s="24">
        <v>31582</v>
      </c>
      <c r="B1395" s="23">
        <v>0.51141000000000003</v>
      </c>
      <c r="C1395" s="32">
        <f t="shared" si="21"/>
        <v>2.1896205829929682E-2</v>
      </c>
    </row>
    <row r="1396" spans="1:3" x14ac:dyDescent="0.6">
      <c r="A1396" s="24">
        <v>31583</v>
      </c>
      <c r="B1396" s="23">
        <v>0.52602199999999999</v>
      </c>
      <c r="C1396" s="32">
        <f t="shared" si="21"/>
        <v>2.8571987250933573E-2</v>
      </c>
    </row>
    <row r="1397" spans="1:3" x14ac:dyDescent="0.6">
      <c r="A1397" s="24">
        <v>31586</v>
      </c>
      <c r="B1397" s="23">
        <v>0.50775700000000001</v>
      </c>
      <c r="C1397" s="32">
        <f t="shared" si="21"/>
        <v>-3.4722882312906989E-2</v>
      </c>
    </row>
    <row r="1398" spans="1:3" x14ac:dyDescent="0.6">
      <c r="A1398" s="24">
        <v>31587</v>
      </c>
      <c r="B1398" s="23">
        <v>0.50958400000000004</v>
      </c>
      <c r="C1398" s="32">
        <f t="shared" si="21"/>
        <v>3.5981778685474364E-3</v>
      </c>
    </row>
    <row r="1399" spans="1:3" x14ac:dyDescent="0.6">
      <c r="A1399" s="24">
        <v>31588</v>
      </c>
      <c r="B1399" s="23">
        <v>0.52419499999999997</v>
      </c>
      <c r="C1399" s="32">
        <f t="shared" si="21"/>
        <v>2.8672407296932212E-2</v>
      </c>
    </row>
    <row r="1400" spans="1:3" x14ac:dyDescent="0.6">
      <c r="A1400" s="24">
        <v>31589</v>
      </c>
      <c r="B1400" s="23">
        <v>0.52967500000000001</v>
      </c>
      <c r="C1400" s="32">
        <f t="shared" si="21"/>
        <v>1.0454124896269512E-2</v>
      </c>
    </row>
    <row r="1401" spans="1:3" x14ac:dyDescent="0.6">
      <c r="A1401" s="24">
        <v>31590</v>
      </c>
      <c r="B1401" s="23">
        <v>0.52419499999999997</v>
      </c>
      <c r="C1401" s="32">
        <f t="shared" si="21"/>
        <v>-1.0345966866474821E-2</v>
      </c>
    </row>
    <row r="1402" spans="1:3" x14ac:dyDescent="0.6">
      <c r="A1402" s="24">
        <v>31593</v>
      </c>
      <c r="B1402" s="23">
        <v>0.52419499999999997</v>
      </c>
      <c r="C1402" s="32">
        <f t="shared" si="21"/>
        <v>0</v>
      </c>
    </row>
    <row r="1403" spans="1:3" x14ac:dyDescent="0.6">
      <c r="A1403" s="24">
        <v>31594</v>
      </c>
      <c r="B1403" s="23">
        <v>0.51688999999999996</v>
      </c>
      <c r="C1403" s="32">
        <f t="shared" si="21"/>
        <v>-1.3935653716651286E-2</v>
      </c>
    </row>
    <row r="1404" spans="1:3" x14ac:dyDescent="0.6">
      <c r="A1404" s="24">
        <v>31595</v>
      </c>
      <c r="B1404" s="23">
        <v>0.52784799999999998</v>
      </c>
      <c r="C1404" s="32">
        <f t="shared" si="21"/>
        <v>2.1199868443962933E-2</v>
      </c>
    </row>
    <row r="1405" spans="1:3" x14ac:dyDescent="0.6">
      <c r="A1405" s="24">
        <v>31596</v>
      </c>
      <c r="B1405" s="23">
        <v>0.54976599999999998</v>
      </c>
      <c r="C1405" s="32">
        <f t="shared" si="21"/>
        <v>4.1523317318622022E-2</v>
      </c>
    </row>
    <row r="1406" spans="1:3" x14ac:dyDescent="0.6">
      <c r="A1406" s="24">
        <v>31600</v>
      </c>
      <c r="B1406" s="23">
        <v>0.52054299999999998</v>
      </c>
      <c r="C1406" s="32">
        <f t="shared" si="21"/>
        <v>-5.3155342454789811E-2</v>
      </c>
    </row>
    <row r="1407" spans="1:3" x14ac:dyDescent="0.6">
      <c r="A1407" s="24">
        <v>31601</v>
      </c>
      <c r="B1407" s="23">
        <v>0.50045200000000001</v>
      </c>
      <c r="C1407" s="32">
        <f t="shared" si="21"/>
        <v>-3.8596235085285868E-2</v>
      </c>
    </row>
    <row r="1408" spans="1:3" x14ac:dyDescent="0.6">
      <c r="A1408" s="24">
        <v>31602</v>
      </c>
      <c r="B1408" s="23">
        <v>0.50593100000000002</v>
      </c>
      <c r="C1408" s="32">
        <f t="shared" si="21"/>
        <v>1.0948102914964952E-2</v>
      </c>
    </row>
    <row r="1409" spans="1:3" x14ac:dyDescent="0.6">
      <c r="A1409" s="24">
        <v>31603</v>
      </c>
      <c r="B1409" s="23">
        <v>0.51688999999999996</v>
      </c>
      <c r="C1409" s="32">
        <f t="shared" si="21"/>
        <v>2.1661056547236601E-2</v>
      </c>
    </row>
    <row r="1410" spans="1:3" x14ac:dyDescent="0.6">
      <c r="A1410" s="24">
        <v>31604</v>
      </c>
      <c r="B1410" s="23">
        <v>0.54246000000000005</v>
      </c>
      <c r="C1410" s="32">
        <f t="shared" si="21"/>
        <v>4.9468939232719E-2</v>
      </c>
    </row>
    <row r="1411" spans="1:3" x14ac:dyDescent="0.6">
      <c r="A1411" s="24">
        <v>31607</v>
      </c>
      <c r="B1411" s="23">
        <v>0.52967500000000001</v>
      </c>
      <c r="C1411" s="32">
        <f t="shared" si="21"/>
        <v>-2.3568558050363286E-2</v>
      </c>
    </row>
    <row r="1412" spans="1:3" x14ac:dyDescent="0.6">
      <c r="A1412" s="24">
        <v>31608</v>
      </c>
      <c r="B1412" s="23">
        <v>0.50958400000000004</v>
      </c>
      <c r="C1412" s="32">
        <f t="shared" ref="C1412:C1475" si="22">B1412/B1411-1</f>
        <v>-3.7930806626705005E-2</v>
      </c>
    </row>
    <row r="1413" spans="1:3" x14ac:dyDescent="0.6">
      <c r="A1413" s="24">
        <v>31609</v>
      </c>
      <c r="B1413" s="23">
        <v>0.48949300000000001</v>
      </c>
      <c r="C1413" s="32">
        <f t="shared" si="22"/>
        <v>-3.942627712016078E-2</v>
      </c>
    </row>
    <row r="1414" spans="1:3" x14ac:dyDescent="0.6">
      <c r="A1414" s="24">
        <v>31610</v>
      </c>
      <c r="B1414" s="23">
        <v>0.47122799999999998</v>
      </c>
      <c r="C1414" s="32">
        <f t="shared" si="22"/>
        <v>-3.7314118894448023E-2</v>
      </c>
    </row>
    <row r="1415" spans="1:3" x14ac:dyDescent="0.6">
      <c r="A1415" s="24">
        <v>31611</v>
      </c>
      <c r="B1415" s="23">
        <v>0.463922</v>
      </c>
      <c r="C1415" s="32">
        <f t="shared" si="22"/>
        <v>-1.5504172078059875E-2</v>
      </c>
    </row>
    <row r="1416" spans="1:3" x14ac:dyDescent="0.6">
      <c r="A1416" s="24">
        <v>31614</v>
      </c>
      <c r="B1416" s="23">
        <v>0.48949300000000001</v>
      </c>
      <c r="C1416" s="32">
        <f t="shared" si="22"/>
        <v>5.5119179517246542E-2</v>
      </c>
    </row>
    <row r="1417" spans="1:3" x14ac:dyDescent="0.6">
      <c r="A1417" s="24">
        <v>31615</v>
      </c>
      <c r="B1417" s="23">
        <v>0.50593100000000002</v>
      </c>
      <c r="C1417" s="32">
        <f t="shared" si="22"/>
        <v>3.3581685539936235E-2</v>
      </c>
    </row>
    <row r="1418" spans="1:3" x14ac:dyDescent="0.6">
      <c r="A1418" s="24">
        <v>31616</v>
      </c>
      <c r="B1418" s="23">
        <v>0.49862499999999998</v>
      </c>
      <c r="C1418" s="32">
        <f t="shared" si="22"/>
        <v>-1.4440704364824475E-2</v>
      </c>
    </row>
    <row r="1419" spans="1:3" x14ac:dyDescent="0.6">
      <c r="A1419" s="24">
        <v>31617</v>
      </c>
      <c r="B1419" s="23">
        <v>0.48401300000000003</v>
      </c>
      <c r="C1419" s="32">
        <f t="shared" si="22"/>
        <v>-2.9304587615943789E-2</v>
      </c>
    </row>
    <row r="1420" spans="1:3" x14ac:dyDescent="0.6">
      <c r="A1420" s="24">
        <v>31618</v>
      </c>
      <c r="B1420" s="23">
        <v>0.49679800000000002</v>
      </c>
      <c r="C1420" s="32">
        <f t="shared" si="22"/>
        <v>2.6414579773683666E-2</v>
      </c>
    </row>
    <row r="1421" spans="1:3" x14ac:dyDescent="0.6">
      <c r="A1421" s="24">
        <v>31621</v>
      </c>
      <c r="B1421" s="23">
        <v>0.47305399999999997</v>
      </c>
      <c r="C1421" s="32">
        <f t="shared" si="22"/>
        <v>-4.7794073245061464E-2</v>
      </c>
    </row>
    <row r="1422" spans="1:3" x14ac:dyDescent="0.6">
      <c r="A1422" s="24">
        <v>31622</v>
      </c>
      <c r="B1422" s="23">
        <v>0.45661600000000002</v>
      </c>
      <c r="C1422" s="32">
        <f t="shared" si="22"/>
        <v>-3.4748675626883885E-2</v>
      </c>
    </row>
    <row r="1423" spans="1:3" x14ac:dyDescent="0.6">
      <c r="A1423" s="24">
        <v>31623</v>
      </c>
      <c r="B1423" s="23">
        <v>0.445658</v>
      </c>
      <c r="C1423" s="32">
        <f t="shared" si="22"/>
        <v>-2.399828302118201E-2</v>
      </c>
    </row>
    <row r="1424" spans="1:3" x14ac:dyDescent="0.6">
      <c r="A1424" s="24">
        <v>31624</v>
      </c>
      <c r="B1424" s="23">
        <v>0.45661600000000002</v>
      </c>
      <c r="C1424" s="32">
        <f t="shared" si="22"/>
        <v>2.4588361478981691E-2</v>
      </c>
    </row>
    <row r="1425" spans="1:3" x14ac:dyDescent="0.6">
      <c r="A1425" s="24">
        <v>31625</v>
      </c>
      <c r="B1425" s="23">
        <v>0.45844299999999999</v>
      </c>
      <c r="C1425" s="32">
        <f t="shared" si="22"/>
        <v>4.0011738528653584E-3</v>
      </c>
    </row>
    <row r="1426" spans="1:3" x14ac:dyDescent="0.6">
      <c r="A1426" s="24">
        <v>31628</v>
      </c>
      <c r="B1426" s="23">
        <v>0.46026899999999998</v>
      </c>
      <c r="C1426" s="32">
        <f t="shared" si="22"/>
        <v>3.9830469654897893E-3</v>
      </c>
    </row>
    <row r="1427" spans="1:3" x14ac:dyDescent="0.6">
      <c r="A1427" s="24">
        <v>31629</v>
      </c>
      <c r="B1427" s="23">
        <v>0.46940100000000001</v>
      </c>
      <c r="C1427" s="32">
        <f t="shared" si="22"/>
        <v>1.9840571491888559E-2</v>
      </c>
    </row>
    <row r="1428" spans="1:3" x14ac:dyDescent="0.6">
      <c r="A1428" s="24">
        <v>31630</v>
      </c>
      <c r="B1428" s="23">
        <v>0.45479000000000003</v>
      </c>
      <c r="C1428" s="32">
        <f t="shared" si="22"/>
        <v>-3.1126904288657165E-2</v>
      </c>
    </row>
    <row r="1429" spans="1:3" x14ac:dyDescent="0.6">
      <c r="A1429" s="24">
        <v>31631</v>
      </c>
      <c r="B1429" s="23">
        <v>0.463922</v>
      </c>
      <c r="C1429" s="32">
        <f t="shared" si="22"/>
        <v>2.0079597176718922E-2</v>
      </c>
    </row>
    <row r="1430" spans="1:3" x14ac:dyDescent="0.6">
      <c r="A1430" s="24">
        <v>31632</v>
      </c>
      <c r="B1430" s="23">
        <v>0.46209600000000001</v>
      </c>
      <c r="C1430" s="32">
        <f t="shared" si="22"/>
        <v>-3.9360064838486197E-3</v>
      </c>
    </row>
    <row r="1431" spans="1:3" x14ac:dyDescent="0.6">
      <c r="A1431" s="24">
        <v>31635</v>
      </c>
      <c r="B1431" s="23">
        <v>0.48949300000000001</v>
      </c>
      <c r="C1431" s="32">
        <f t="shared" si="22"/>
        <v>5.9288546102974182E-2</v>
      </c>
    </row>
    <row r="1432" spans="1:3" x14ac:dyDescent="0.6">
      <c r="A1432" s="24">
        <v>31636</v>
      </c>
      <c r="B1432" s="23">
        <v>0.50045200000000001</v>
      </c>
      <c r="C1432" s="32">
        <f t="shared" si="22"/>
        <v>2.2388471336668658E-2</v>
      </c>
    </row>
    <row r="1433" spans="1:3" x14ac:dyDescent="0.6">
      <c r="A1433" s="24">
        <v>31637</v>
      </c>
      <c r="B1433" s="23">
        <v>0.52602199999999999</v>
      </c>
      <c r="C1433" s="32">
        <f t="shared" si="22"/>
        <v>5.1093811194679928E-2</v>
      </c>
    </row>
    <row r="1434" spans="1:3" x14ac:dyDescent="0.6">
      <c r="A1434" s="24">
        <v>31638</v>
      </c>
      <c r="B1434" s="23">
        <v>0.52602199999999999</v>
      </c>
      <c r="C1434" s="32">
        <f t="shared" si="22"/>
        <v>0</v>
      </c>
    </row>
    <row r="1435" spans="1:3" x14ac:dyDescent="0.6">
      <c r="A1435" s="24">
        <v>31639</v>
      </c>
      <c r="B1435" s="23">
        <v>0.52236899999999997</v>
      </c>
      <c r="C1435" s="32">
        <f t="shared" si="22"/>
        <v>-6.9445764625813977E-3</v>
      </c>
    </row>
    <row r="1436" spans="1:3" x14ac:dyDescent="0.6">
      <c r="A1436" s="24">
        <v>31642</v>
      </c>
      <c r="B1436" s="23">
        <v>0.51688999999999996</v>
      </c>
      <c r="C1436" s="32">
        <f t="shared" si="22"/>
        <v>-1.0488754118257448E-2</v>
      </c>
    </row>
    <row r="1437" spans="1:3" x14ac:dyDescent="0.6">
      <c r="A1437" s="24">
        <v>31643</v>
      </c>
      <c r="B1437" s="23">
        <v>0.51688999999999996</v>
      </c>
      <c r="C1437" s="32">
        <f t="shared" si="22"/>
        <v>0</v>
      </c>
    </row>
    <row r="1438" spans="1:3" x14ac:dyDescent="0.6">
      <c r="A1438" s="24">
        <v>31644</v>
      </c>
      <c r="B1438" s="23">
        <v>0.52967500000000001</v>
      </c>
      <c r="C1438" s="32">
        <f t="shared" si="22"/>
        <v>2.4734469616359389E-2</v>
      </c>
    </row>
    <row r="1439" spans="1:3" x14ac:dyDescent="0.6">
      <c r="A1439" s="24">
        <v>31645</v>
      </c>
      <c r="B1439" s="23">
        <v>0.52236899999999997</v>
      </c>
      <c r="C1439" s="32">
        <f t="shared" si="22"/>
        <v>-1.3793363855194252E-2</v>
      </c>
    </row>
    <row r="1440" spans="1:3" x14ac:dyDescent="0.6">
      <c r="A1440" s="24">
        <v>31646</v>
      </c>
      <c r="B1440" s="23">
        <v>0.52967500000000001</v>
      </c>
      <c r="C1440" s="32">
        <f t="shared" si="22"/>
        <v>1.3986281728050498E-2</v>
      </c>
    </row>
    <row r="1441" spans="1:3" x14ac:dyDescent="0.6">
      <c r="A1441" s="24">
        <v>31649</v>
      </c>
      <c r="B1441" s="23">
        <v>0.531501</v>
      </c>
      <c r="C1441" s="32">
        <f t="shared" si="22"/>
        <v>3.4473969887194311E-3</v>
      </c>
    </row>
    <row r="1442" spans="1:3" x14ac:dyDescent="0.6">
      <c r="A1442" s="24">
        <v>31650</v>
      </c>
      <c r="B1442" s="23">
        <v>0.53515400000000002</v>
      </c>
      <c r="C1442" s="32">
        <f t="shared" si="22"/>
        <v>6.8729880094300366E-3</v>
      </c>
    </row>
    <row r="1443" spans="1:3" x14ac:dyDescent="0.6">
      <c r="A1443" s="24">
        <v>31651</v>
      </c>
      <c r="B1443" s="23">
        <v>0.54063399999999995</v>
      </c>
      <c r="C1443" s="32">
        <f t="shared" si="22"/>
        <v>1.0240043053027614E-2</v>
      </c>
    </row>
    <row r="1444" spans="1:3" x14ac:dyDescent="0.6">
      <c r="A1444" s="24">
        <v>31652</v>
      </c>
      <c r="B1444" s="23">
        <v>0.551593</v>
      </c>
      <c r="C1444" s="32">
        <f t="shared" si="22"/>
        <v>2.0270645205443971E-2</v>
      </c>
    </row>
    <row r="1445" spans="1:3" x14ac:dyDescent="0.6">
      <c r="A1445" s="24">
        <v>31653</v>
      </c>
      <c r="B1445" s="23">
        <v>0.54063399999999995</v>
      </c>
      <c r="C1445" s="32">
        <f t="shared" si="22"/>
        <v>-1.9867909853823473E-2</v>
      </c>
    </row>
    <row r="1446" spans="1:3" x14ac:dyDescent="0.6">
      <c r="A1446" s="24">
        <v>31657</v>
      </c>
      <c r="B1446" s="23">
        <v>0.50775700000000001</v>
      </c>
      <c r="C1446" s="32">
        <f t="shared" si="22"/>
        <v>-6.0811935616331803E-2</v>
      </c>
    </row>
    <row r="1447" spans="1:3" x14ac:dyDescent="0.6">
      <c r="A1447" s="24">
        <v>31658</v>
      </c>
      <c r="B1447" s="23">
        <v>0.50775700000000001</v>
      </c>
      <c r="C1447" s="32">
        <f t="shared" si="22"/>
        <v>0</v>
      </c>
    </row>
    <row r="1448" spans="1:3" x14ac:dyDescent="0.6">
      <c r="A1448" s="24">
        <v>31659</v>
      </c>
      <c r="B1448" s="23">
        <v>0.51871599999999995</v>
      </c>
      <c r="C1448" s="32">
        <f t="shared" si="22"/>
        <v>2.1583158873240471E-2</v>
      </c>
    </row>
    <row r="1449" spans="1:3" x14ac:dyDescent="0.6">
      <c r="A1449" s="24">
        <v>31660</v>
      </c>
      <c r="B1449" s="23">
        <v>0.51323700000000005</v>
      </c>
      <c r="C1449" s="32">
        <f t="shared" si="22"/>
        <v>-1.0562620007865342E-2</v>
      </c>
    </row>
    <row r="1450" spans="1:3" x14ac:dyDescent="0.6">
      <c r="A1450" s="24">
        <v>31663</v>
      </c>
      <c r="B1450" s="23">
        <v>0.50775700000000001</v>
      </c>
      <c r="C1450" s="32">
        <f t="shared" si="22"/>
        <v>-1.0677328407733722E-2</v>
      </c>
    </row>
    <row r="1451" spans="1:3" x14ac:dyDescent="0.6">
      <c r="A1451" s="24">
        <v>31664</v>
      </c>
      <c r="B1451" s="23">
        <v>0.52236899999999997</v>
      </c>
      <c r="C1451" s="32">
        <f t="shared" si="22"/>
        <v>2.8777545164320628E-2</v>
      </c>
    </row>
    <row r="1452" spans="1:3" x14ac:dyDescent="0.6">
      <c r="A1452" s="24">
        <v>31665</v>
      </c>
      <c r="B1452" s="23">
        <v>0.51141000000000003</v>
      </c>
      <c r="C1452" s="32">
        <f t="shared" si="22"/>
        <v>-2.0979422592075636E-2</v>
      </c>
    </row>
    <row r="1453" spans="1:3" x14ac:dyDescent="0.6">
      <c r="A1453" s="24">
        <v>31666</v>
      </c>
      <c r="B1453" s="23">
        <v>0.47670699999999999</v>
      </c>
      <c r="C1453" s="32">
        <f t="shared" si="22"/>
        <v>-6.7857492031833666E-2</v>
      </c>
    </row>
    <row r="1454" spans="1:3" x14ac:dyDescent="0.6">
      <c r="A1454" s="24">
        <v>31667</v>
      </c>
      <c r="B1454" s="23">
        <v>0.463922</v>
      </c>
      <c r="C1454" s="32">
        <f t="shared" si="22"/>
        <v>-2.6819408987071691E-2</v>
      </c>
    </row>
    <row r="1455" spans="1:3" x14ac:dyDescent="0.6">
      <c r="A1455" s="24">
        <v>31670</v>
      </c>
      <c r="B1455" s="23">
        <v>0.48401300000000003</v>
      </c>
      <c r="C1455" s="32">
        <f t="shared" si="22"/>
        <v>4.3306848996167435E-2</v>
      </c>
    </row>
    <row r="1456" spans="1:3" x14ac:dyDescent="0.6">
      <c r="A1456" s="24">
        <v>31671</v>
      </c>
      <c r="B1456" s="23">
        <v>0.50958400000000004</v>
      </c>
      <c r="C1456" s="32">
        <f t="shared" si="22"/>
        <v>5.2831225607576693E-2</v>
      </c>
    </row>
    <row r="1457" spans="1:3" x14ac:dyDescent="0.6">
      <c r="A1457" s="24">
        <v>31672</v>
      </c>
      <c r="B1457" s="23">
        <v>0.50045200000000001</v>
      </c>
      <c r="C1457" s="32">
        <f t="shared" si="22"/>
        <v>-1.7920499858708361E-2</v>
      </c>
    </row>
    <row r="1458" spans="1:3" x14ac:dyDescent="0.6">
      <c r="A1458" s="24">
        <v>31673</v>
      </c>
      <c r="B1458" s="23">
        <v>0.49679800000000002</v>
      </c>
      <c r="C1458" s="32">
        <f t="shared" si="22"/>
        <v>-7.3013995348204519E-3</v>
      </c>
    </row>
    <row r="1459" spans="1:3" x14ac:dyDescent="0.6">
      <c r="A1459" s="24">
        <v>31674</v>
      </c>
      <c r="B1459" s="23">
        <v>0.49131900000000001</v>
      </c>
      <c r="C1459" s="32">
        <f t="shared" si="22"/>
        <v>-1.1028627329417562E-2</v>
      </c>
    </row>
    <row r="1460" spans="1:3" x14ac:dyDescent="0.6">
      <c r="A1460" s="24">
        <v>31677</v>
      </c>
      <c r="B1460" s="23">
        <v>0.51506300000000005</v>
      </c>
      <c r="C1460" s="32">
        <f t="shared" si="22"/>
        <v>4.8327054317052864E-2</v>
      </c>
    </row>
    <row r="1461" spans="1:3" x14ac:dyDescent="0.6">
      <c r="A1461" s="24">
        <v>31678</v>
      </c>
      <c r="B1461" s="23">
        <v>0.52784799999999998</v>
      </c>
      <c r="C1461" s="32">
        <f t="shared" si="22"/>
        <v>2.4822206215550313E-2</v>
      </c>
    </row>
    <row r="1462" spans="1:3" x14ac:dyDescent="0.6">
      <c r="A1462" s="24">
        <v>31679</v>
      </c>
      <c r="B1462" s="23">
        <v>0.51323700000000005</v>
      </c>
      <c r="C1462" s="32">
        <f t="shared" si="22"/>
        <v>-2.768031706097196E-2</v>
      </c>
    </row>
    <row r="1463" spans="1:3" x14ac:dyDescent="0.6">
      <c r="A1463" s="24">
        <v>31680</v>
      </c>
      <c r="B1463" s="23">
        <v>0.504104</v>
      </c>
      <c r="C1463" s="32">
        <f t="shared" si="22"/>
        <v>-1.7794897873692039E-2</v>
      </c>
    </row>
    <row r="1464" spans="1:3" x14ac:dyDescent="0.6">
      <c r="A1464" s="24">
        <v>31681</v>
      </c>
      <c r="B1464" s="23">
        <v>0.50045200000000001</v>
      </c>
      <c r="C1464" s="32">
        <f t="shared" si="22"/>
        <v>-7.2445368416040878E-3</v>
      </c>
    </row>
    <row r="1465" spans="1:3" x14ac:dyDescent="0.6">
      <c r="A1465" s="24">
        <v>31684</v>
      </c>
      <c r="B1465" s="23">
        <v>0.474881</v>
      </c>
      <c r="C1465" s="32">
        <f t="shared" si="22"/>
        <v>-5.109580938831304E-2</v>
      </c>
    </row>
    <row r="1466" spans="1:3" x14ac:dyDescent="0.6">
      <c r="A1466" s="24">
        <v>31685</v>
      </c>
      <c r="B1466" s="23">
        <v>0.48949300000000001</v>
      </c>
      <c r="C1466" s="32">
        <f t="shared" si="22"/>
        <v>3.0769813911274646E-2</v>
      </c>
    </row>
    <row r="1467" spans="1:3" x14ac:dyDescent="0.6">
      <c r="A1467" s="24">
        <v>31686</v>
      </c>
      <c r="B1467" s="23">
        <v>0.49862499999999998</v>
      </c>
      <c r="C1467" s="32">
        <f t="shared" si="22"/>
        <v>1.8656037982156981E-2</v>
      </c>
    </row>
    <row r="1468" spans="1:3" x14ac:dyDescent="0.6">
      <c r="A1468" s="24">
        <v>31687</v>
      </c>
      <c r="B1468" s="23">
        <v>0.49862499999999998</v>
      </c>
      <c r="C1468" s="32">
        <f t="shared" si="22"/>
        <v>0</v>
      </c>
    </row>
    <row r="1469" spans="1:3" x14ac:dyDescent="0.6">
      <c r="A1469" s="24">
        <v>31688</v>
      </c>
      <c r="B1469" s="23">
        <v>0.49314599999999997</v>
      </c>
      <c r="C1469" s="32">
        <f t="shared" si="22"/>
        <v>-1.0988217598395633E-2</v>
      </c>
    </row>
    <row r="1470" spans="1:3" x14ac:dyDescent="0.6">
      <c r="A1470" s="24">
        <v>31691</v>
      </c>
      <c r="B1470" s="23">
        <v>0.49862499999999998</v>
      </c>
      <c r="C1470" s="32">
        <f t="shared" si="22"/>
        <v>1.1110299992294292E-2</v>
      </c>
    </row>
    <row r="1471" spans="1:3" x14ac:dyDescent="0.6">
      <c r="A1471" s="24">
        <v>31692</v>
      </c>
      <c r="B1471" s="23">
        <v>0.48218699999999998</v>
      </c>
      <c r="C1471" s="32">
        <f t="shared" si="22"/>
        <v>-3.2966658310353503E-2</v>
      </c>
    </row>
    <row r="1472" spans="1:3" x14ac:dyDescent="0.6">
      <c r="A1472" s="24">
        <v>31693</v>
      </c>
      <c r="B1472" s="23">
        <v>0.47853400000000001</v>
      </c>
      <c r="C1472" s="32">
        <f t="shared" si="22"/>
        <v>-7.5758989769528773E-3</v>
      </c>
    </row>
    <row r="1473" spans="1:3" x14ac:dyDescent="0.6">
      <c r="A1473" s="24">
        <v>31694</v>
      </c>
      <c r="B1473" s="23">
        <v>0.48218699999999998</v>
      </c>
      <c r="C1473" s="32">
        <f t="shared" si="22"/>
        <v>7.6337313545118413E-3</v>
      </c>
    </row>
    <row r="1474" spans="1:3" x14ac:dyDescent="0.6">
      <c r="A1474" s="24">
        <v>31695</v>
      </c>
      <c r="B1474" s="23">
        <v>0.48583900000000002</v>
      </c>
      <c r="C1474" s="32">
        <f t="shared" si="22"/>
        <v>7.5738250927546158E-3</v>
      </c>
    </row>
    <row r="1475" spans="1:3" x14ac:dyDescent="0.6">
      <c r="A1475" s="24">
        <v>31698</v>
      </c>
      <c r="B1475" s="23">
        <v>0.50593100000000002</v>
      </c>
      <c r="C1475" s="32">
        <f t="shared" si="22"/>
        <v>4.13552637807999E-2</v>
      </c>
    </row>
    <row r="1476" spans="1:3" x14ac:dyDescent="0.6">
      <c r="A1476" s="24">
        <v>31699</v>
      </c>
      <c r="B1476" s="23">
        <v>0.49679800000000002</v>
      </c>
      <c r="C1476" s="32">
        <f t="shared" ref="C1476:C1539" si="23">B1476/B1475-1</f>
        <v>-1.8051868733088061E-2</v>
      </c>
    </row>
    <row r="1477" spans="1:3" x14ac:dyDescent="0.6">
      <c r="A1477" s="24">
        <v>31700</v>
      </c>
      <c r="B1477" s="23">
        <v>0.48766599999999999</v>
      </c>
      <c r="C1477" s="32">
        <f t="shared" si="23"/>
        <v>-1.8381716512546387E-2</v>
      </c>
    </row>
    <row r="1478" spans="1:3" x14ac:dyDescent="0.6">
      <c r="A1478" s="24">
        <v>31701</v>
      </c>
      <c r="B1478" s="23">
        <v>0.49131900000000001</v>
      </c>
      <c r="C1478" s="32">
        <f t="shared" si="23"/>
        <v>7.4907826258137078E-3</v>
      </c>
    </row>
    <row r="1479" spans="1:3" x14ac:dyDescent="0.6">
      <c r="A1479" s="24">
        <v>31702</v>
      </c>
      <c r="B1479" s="23">
        <v>0.49131900000000001</v>
      </c>
      <c r="C1479" s="32">
        <f t="shared" si="23"/>
        <v>0</v>
      </c>
    </row>
    <row r="1480" spans="1:3" x14ac:dyDescent="0.6">
      <c r="A1480" s="24">
        <v>31705</v>
      </c>
      <c r="B1480" s="23">
        <v>0.48036000000000001</v>
      </c>
      <c r="C1480" s="32">
        <f t="shared" si="23"/>
        <v>-2.2305263993454338E-2</v>
      </c>
    </row>
    <row r="1481" spans="1:3" x14ac:dyDescent="0.6">
      <c r="A1481" s="24">
        <v>31706</v>
      </c>
      <c r="B1481" s="23">
        <v>0.47853400000000001</v>
      </c>
      <c r="C1481" s="32">
        <f t="shared" si="23"/>
        <v>-3.8013156799067138E-3</v>
      </c>
    </row>
    <row r="1482" spans="1:3" x14ac:dyDescent="0.6">
      <c r="A1482" s="24">
        <v>31707</v>
      </c>
      <c r="B1482" s="23">
        <v>0.474881</v>
      </c>
      <c r="C1482" s="32">
        <f t="shared" si="23"/>
        <v>-7.6337313545119523E-3</v>
      </c>
    </row>
    <row r="1483" spans="1:3" x14ac:dyDescent="0.6">
      <c r="A1483" s="24">
        <v>31708</v>
      </c>
      <c r="B1483" s="23">
        <v>0.48401300000000003</v>
      </c>
      <c r="C1483" s="32">
        <f t="shared" si="23"/>
        <v>1.9230080799189864E-2</v>
      </c>
    </row>
    <row r="1484" spans="1:3" x14ac:dyDescent="0.6">
      <c r="A1484" s="24">
        <v>31709</v>
      </c>
      <c r="B1484" s="23">
        <v>0.48218699999999998</v>
      </c>
      <c r="C1484" s="32">
        <f t="shared" si="23"/>
        <v>-3.7726259418653374E-3</v>
      </c>
    </row>
    <row r="1485" spans="1:3" x14ac:dyDescent="0.6">
      <c r="A1485" s="24">
        <v>31712</v>
      </c>
      <c r="B1485" s="23">
        <v>0.49679800000000002</v>
      </c>
      <c r="C1485" s="32">
        <f t="shared" si="23"/>
        <v>3.0301522023613359E-2</v>
      </c>
    </row>
    <row r="1486" spans="1:3" x14ac:dyDescent="0.6">
      <c r="A1486" s="24">
        <v>31713</v>
      </c>
      <c r="B1486" s="23">
        <v>0.48766599999999999</v>
      </c>
      <c r="C1486" s="32">
        <f t="shared" si="23"/>
        <v>-1.8381716512546387E-2</v>
      </c>
    </row>
    <row r="1487" spans="1:3" x14ac:dyDescent="0.6">
      <c r="A1487" s="24">
        <v>31714</v>
      </c>
      <c r="B1487" s="23">
        <v>0.48766599999999999</v>
      </c>
      <c r="C1487" s="32">
        <f t="shared" si="23"/>
        <v>0</v>
      </c>
    </row>
    <row r="1488" spans="1:3" x14ac:dyDescent="0.6">
      <c r="A1488" s="24">
        <v>31715</v>
      </c>
      <c r="B1488" s="23">
        <v>0.50045200000000001</v>
      </c>
      <c r="C1488" s="32">
        <f t="shared" si="23"/>
        <v>2.6218764482248247E-2</v>
      </c>
    </row>
    <row r="1489" spans="1:3" x14ac:dyDescent="0.6">
      <c r="A1489" s="24">
        <v>31716</v>
      </c>
      <c r="B1489" s="23">
        <v>0.50593100000000002</v>
      </c>
      <c r="C1489" s="32">
        <f t="shared" si="23"/>
        <v>1.0948102914964952E-2</v>
      </c>
    </row>
    <row r="1490" spans="1:3" x14ac:dyDescent="0.6">
      <c r="A1490" s="24">
        <v>31719</v>
      </c>
      <c r="B1490" s="23">
        <v>0.51141000000000003</v>
      </c>
      <c r="C1490" s="32">
        <f t="shared" si="23"/>
        <v>1.0829539996560777E-2</v>
      </c>
    </row>
    <row r="1491" spans="1:3" x14ac:dyDescent="0.6">
      <c r="A1491" s="24">
        <v>31720</v>
      </c>
      <c r="B1491" s="23">
        <v>0.52236899999999997</v>
      </c>
      <c r="C1491" s="32">
        <f t="shared" si="23"/>
        <v>2.1428990438200124E-2</v>
      </c>
    </row>
    <row r="1492" spans="1:3" x14ac:dyDescent="0.6">
      <c r="A1492" s="24">
        <v>31721</v>
      </c>
      <c r="B1492" s="23">
        <v>0.54063399999999995</v>
      </c>
      <c r="C1492" s="32">
        <f t="shared" si="23"/>
        <v>3.4965704320126134E-2</v>
      </c>
    </row>
    <row r="1493" spans="1:3" x14ac:dyDescent="0.6">
      <c r="A1493" s="24">
        <v>31722</v>
      </c>
      <c r="B1493" s="23">
        <v>0.52784799999999998</v>
      </c>
      <c r="C1493" s="32">
        <f t="shared" si="23"/>
        <v>-2.3650010913113029E-2</v>
      </c>
    </row>
    <row r="1494" spans="1:3" x14ac:dyDescent="0.6">
      <c r="A1494" s="24">
        <v>31723</v>
      </c>
      <c r="B1494" s="23">
        <v>0.52236899999999997</v>
      </c>
      <c r="C1494" s="32">
        <f t="shared" si="23"/>
        <v>-1.0379882087267589E-2</v>
      </c>
    </row>
    <row r="1495" spans="1:3" x14ac:dyDescent="0.6">
      <c r="A1495" s="24">
        <v>31726</v>
      </c>
      <c r="B1495" s="23">
        <v>0.51688999999999996</v>
      </c>
      <c r="C1495" s="32">
        <f t="shared" si="23"/>
        <v>-1.0488754118257448E-2</v>
      </c>
    </row>
    <row r="1496" spans="1:3" x14ac:dyDescent="0.6">
      <c r="A1496" s="24">
        <v>31727</v>
      </c>
      <c r="B1496" s="23">
        <v>0.51871599999999995</v>
      </c>
      <c r="C1496" s="32">
        <f t="shared" si="23"/>
        <v>3.5326665247925604E-3</v>
      </c>
    </row>
    <row r="1497" spans="1:3" x14ac:dyDescent="0.6">
      <c r="A1497" s="24">
        <v>31728</v>
      </c>
      <c r="B1497" s="23">
        <v>0.53515400000000002</v>
      </c>
      <c r="C1497" s="32">
        <f t="shared" si="23"/>
        <v>3.1689787860794905E-2</v>
      </c>
    </row>
    <row r="1498" spans="1:3" x14ac:dyDescent="0.6">
      <c r="A1498" s="24">
        <v>31729</v>
      </c>
      <c r="B1498" s="23">
        <v>0.51871599999999995</v>
      </c>
      <c r="C1498" s="32">
        <f t="shared" si="23"/>
        <v>-3.0716391917093189E-2</v>
      </c>
    </row>
    <row r="1499" spans="1:3" x14ac:dyDescent="0.6">
      <c r="A1499" s="24">
        <v>31730</v>
      </c>
      <c r="B1499" s="23">
        <v>0.51506300000000005</v>
      </c>
      <c r="C1499" s="32">
        <f t="shared" si="23"/>
        <v>-7.0423892843095581E-3</v>
      </c>
    </row>
    <row r="1500" spans="1:3" x14ac:dyDescent="0.6">
      <c r="A1500" s="24">
        <v>31733</v>
      </c>
      <c r="B1500" s="23">
        <v>0.531501</v>
      </c>
      <c r="C1500" s="32">
        <f t="shared" si="23"/>
        <v>3.1914542492859965E-2</v>
      </c>
    </row>
    <row r="1501" spans="1:3" x14ac:dyDescent="0.6">
      <c r="A1501" s="24">
        <v>31734</v>
      </c>
      <c r="B1501" s="23">
        <v>0.51688999999999996</v>
      </c>
      <c r="C1501" s="32">
        <f t="shared" si="23"/>
        <v>-2.7490070573714886E-2</v>
      </c>
    </row>
    <row r="1502" spans="1:3" x14ac:dyDescent="0.6">
      <c r="A1502" s="24">
        <v>31735</v>
      </c>
      <c r="B1502" s="23">
        <v>0.51141000000000003</v>
      </c>
      <c r="C1502" s="32">
        <f t="shared" si="23"/>
        <v>-1.0601868869585251E-2</v>
      </c>
    </row>
    <row r="1503" spans="1:3" x14ac:dyDescent="0.6">
      <c r="A1503" s="24">
        <v>31736</v>
      </c>
      <c r="B1503" s="23">
        <v>0.51506300000000005</v>
      </c>
      <c r="C1503" s="32">
        <f t="shared" si="23"/>
        <v>7.1429968127334487E-3</v>
      </c>
    </row>
    <row r="1504" spans="1:3" x14ac:dyDescent="0.6">
      <c r="A1504" s="24">
        <v>31737</v>
      </c>
      <c r="B1504" s="23">
        <v>0.52602199999999999</v>
      </c>
      <c r="C1504" s="32">
        <f t="shared" si="23"/>
        <v>2.1277008831929178E-2</v>
      </c>
    </row>
    <row r="1505" spans="1:3" x14ac:dyDescent="0.6">
      <c r="A1505" s="24">
        <v>31740</v>
      </c>
      <c r="B1505" s="23">
        <v>0.55524499999999999</v>
      </c>
      <c r="C1505" s="32">
        <f t="shared" si="23"/>
        <v>5.5554710639478921E-2</v>
      </c>
    </row>
    <row r="1506" spans="1:3" x14ac:dyDescent="0.6">
      <c r="A1506" s="24">
        <v>31741</v>
      </c>
      <c r="B1506" s="23">
        <v>0.58812200000000003</v>
      </c>
      <c r="C1506" s="32">
        <f t="shared" si="23"/>
        <v>5.9211699339931201E-2</v>
      </c>
    </row>
    <row r="1507" spans="1:3" x14ac:dyDescent="0.6">
      <c r="A1507" s="24">
        <v>31742</v>
      </c>
      <c r="B1507" s="23">
        <v>0.59177500000000005</v>
      </c>
      <c r="C1507" s="32">
        <f t="shared" si="23"/>
        <v>6.2112962956666351E-3</v>
      </c>
    </row>
    <row r="1508" spans="1:3" x14ac:dyDescent="0.6">
      <c r="A1508" s="24">
        <v>31744</v>
      </c>
      <c r="B1508" s="23">
        <v>0.58446900000000002</v>
      </c>
      <c r="C1508" s="32">
        <f t="shared" si="23"/>
        <v>-1.2345908495627667E-2</v>
      </c>
    </row>
    <row r="1509" spans="1:3" x14ac:dyDescent="0.6">
      <c r="A1509" s="24">
        <v>31747</v>
      </c>
      <c r="B1509" s="23">
        <v>0.58629500000000001</v>
      </c>
      <c r="C1509" s="32">
        <f t="shared" si="23"/>
        <v>3.1242033367038236E-3</v>
      </c>
    </row>
    <row r="1510" spans="1:3" x14ac:dyDescent="0.6">
      <c r="A1510" s="24">
        <v>31748</v>
      </c>
      <c r="B1510" s="23">
        <v>0.60638599999999998</v>
      </c>
      <c r="C1510" s="32">
        <f t="shared" si="23"/>
        <v>3.4267732114379168E-2</v>
      </c>
    </row>
    <row r="1511" spans="1:3" x14ac:dyDescent="0.6">
      <c r="A1511" s="24">
        <v>31749</v>
      </c>
      <c r="B1511" s="23">
        <v>0.62465099999999996</v>
      </c>
      <c r="C1511" s="32">
        <f t="shared" si="23"/>
        <v>3.0121077993225498E-2</v>
      </c>
    </row>
    <row r="1512" spans="1:3" x14ac:dyDescent="0.6">
      <c r="A1512" s="24">
        <v>31750</v>
      </c>
      <c r="B1512" s="23">
        <v>0.62099800000000005</v>
      </c>
      <c r="C1512" s="32">
        <f t="shared" si="23"/>
        <v>-5.8480655598084352E-3</v>
      </c>
    </row>
    <row r="1513" spans="1:3" x14ac:dyDescent="0.6">
      <c r="A1513" s="24">
        <v>31751</v>
      </c>
      <c r="B1513" s="23">
        <v>0.63926300000000003</v>
      </c>
      <c r="C1513" s="32">
        <f t="shared" si="23"/>
        <v>2.9412333050992112E-2</v>
      </c>
    </row>
    <row r="1514" spans="1:3" x14ac:dyDescent="0.6">
      <c r="A1514" s="24">
        <v>31754</v>
      </c>
      <c r="B1514" s="23">
        <v>0.62099800000000005</v>
      </c>
      <c r="C1514" s="32">
        <f t="shared" si="23"/>
        <v>-2.8571964903333913E-2</v>
      </c>
    </row>
    <row r="1515" spans="1:3" x14ac:dyDescent="0.6">
      <c r="A1515" s="24">
        <v>31755</v>
      </c>
      <c r="B1515" s="23">
        <v>0.61917100000000003</v>
      </c>
      <c r="C1515" s="32">
        <f t="shared" si="23"/>
        <v>-2.9420384606714256E-3</v>
      </c>
    </row>
    <row r="1516" spans="1:3" x14ac:dyDescent="0.6">
      <c r="A1516" s="24">
        <v>31756</v>
      </c>
      <c r="B1516" s="23">
        <v>0.63561000000000001</v>
      </c>
      <c r="C1516" s="32">
        <f t="shared" si="23"/>
        <v>2.655001606987395E-2</v>
      </c>
    </row>
    <row r="1517" spans="1:3" x14ac:dyDescent="0.6">
      <c r="A1517" s="24">
        <v>31757</v>
      </c>
      <c r="B1517" s="23">
        <v>0.62647699999999995</v>
      </c>
      <c r="C1517" s="32">
        <f t="shared" si="23"/>
        <v>-1.4368873995059928E-2</v>
      </c>
    </row>
    <row r="1518" spans="1:3" x14ac:dyDescent="0.6">
      <c r="A1518" s="24">
        <v>31758</v>
      </c>
      <c r="B1518" s="23">
        <v>0.60273299999999996</v>
      </c>
      <c r="C1518" s="32">
        <f t="shared" si="23"/>
        <v>-3.790083275204037E-2</v>
      </c>
    </row>
    <row r="1519" spans="1:3" x14ac:dyDescent="0.6">
      <c r="A1519" s="24">
        <v>31761</v>
      </c>
      <c r="B1519" s="23">
        <v>0.610039</v>
      </c>
      <c r="C1519" s="32">
        <f t="shared" si="23"/>
        <v>1.2121453446219288E-2</v>
      </c>
    </row>
    <row r="1520" spans="1:3" x14ac:dyDescent="0.6">
      <c r="A1520" s="24">
        <v>31762</v>
      </c>
      <c r="B1520" s="23">
        <v>0.62099800000000005</v>
      </c>
      <c r="C1520" s="32">
        <f t="shared" si="23"/>
        <v>1.796442522527264E-2</v>
      </c>
    </row>
    <row r="1521" spans="1:3" x14ac:dyDescent="0.6">
      <c r="A1521" s="24">
        <v>31763</v>
      </c>
      <c r="B1521" s="23">
        <v>0.60273299999999996</v>
      </c>
      <c r="C1521" s="32">
        <f t="shared" si="23"/>
        <v>-2.9412333050992223E-2</v>
      </c>
    </row>
    <row r="1522" spans="1:3" x14ac:dyDescent="0.6">
      <c r="A1522" s="24">
        <v>31764</v>
      </c>
      <c r="B1522" s="23">
        <v>0.60455999999999999</v>
      </c>
      <c r="C1522" s="32">
        <f t="shared" si="23"/>
        <v>3.031192916266523E-3</v>
      </c>
    </row>
    <row r="1523" spans="1:3" x14ac:dyDescent="0.6">
      <c r="A1523" s="24">
        <v>31765</v>
      </c>
      <c r="B1523" s="23">
        <v>0.61551900000000004</v>
      </c>
      <c r="C1523" s="32">
        <f t="shared" si="23"/>
        <v>1.8127233028979894E-2</v>
      </c>
    </row>
    <row r="1524" spans="1:3" x14ac:dyDescent="0.6">
      <c r="A1524" s="24">
        <v>31768</v>
      </c>
      <c r="B1524" s="23">
        <v>0.61551900000000004</v>
      </c>
      <c r="C1524" s="32">
        <f t="shared" si="23"/>
        <v>0</v>
      </c>
    </row>
    <row r="1525" spans="1:3" x14ac:dyDescent="0.6">
      <c r="A1525" s="24">
        <v>31769</v>
      </c>
      <c r="B1525" s="23">
        <v>0.61551900000000004</v>
      </c>
      <c r="C1525" s="32">
        <f t="shared" si="23"/>
        <v>0</v>
      </c>
    </row>
    <row r="1526" spans="1:3" x14ac:dyDescent="0.6">
      <c r="A1526" s="24">
        <v>31770</v>
      </c>
      <c r="B1526" s="23">
        <v>0.61186600000000002</v>
      </c>
      <c r="C1526" s="32">
        <f t="shared" si="23"/>
        <v>-5.9348289817211519E-3</v>
      </c>
    </row>
    <row r="1527" spans="1:3" x14ac:dyDescent="0.6">
      <c r="A1527" s="24">
        <v>31772</v>
      </c>
      <c r="B1527" s="23">
        <v>0.59908099999999997</v>
      </c>
      <c r="C1527" s="32">
        <f t="shared" si="23"/>
        <v>-2.0895097946282415E-2</v>
      </c>
    </row>
    <row r="1528" spans="1:3" x14ac:dyDescent="0.6">
      <c r="A1528" s="24">
        <v>31775</v>
      </c>
      <c r="B1528" s="23">
        <v>0.59177500000000005</v>
      </c>
      <c r="C1528" s="32">
        <f t="shared" si="23"/>
        <v>-1.2195345871426233E-2</v>
      </c>
    </row>
    <row r="1529" spans="1:3" x14ac:dyDescent="0.6">
      <c r="A1529" s="24">
        <v>31776</v>
      </c>
      <c r="B1529" s="23">
        <v>0.59908099999999997</v>
      </c>
      <c r="C1529" s="32">
        <f t="shared" si="23"/>
        <v>1.2345908495627445E-2</v>
      </c>
    </row>
    <row r="1530" spans="1:3" x14ac:dyDescent="0.6">
      <c r="A1530" s="24">
        <v>31777</v>
      </c>
      <c r="B1530" s="23">
        <v>0.59177500000000005</v>
      </c>
      <c r="C1530" s="32">
        <f t="shared" si="23"/>
        <v>-1.2195345871426233E-2</v>
      </c>
    </row>
    <row r="1531" spans="1:3" x14ac:dyDescent="0.6">
      <c r="A1531" s="24">
        <v>31779</v>
      </c>
      <c r="B1531" s="23">
        <v>0.59725399999999995</v>
      </c>
      <c r="C1531" s="32">
        <f t="shared" si="23"/>
        <v>9.2585864560008613E-3</v>
      </c>
    </row>
    <row r="1532" spans="1:3" x14ac:dyDescent="0.6">
      <c r="A1532" s="24">
        <v>31782</v>
      </c>
      <c r="B1532" s="23">
        <v>0.62830399999999997</v>
      </c>
      <c r="C1532" s="32">
        <f t="shared" si="23"/>
        <v>5.1987931432857737E-2</v>
      </c>
    </row>
    <row r="1533" spans="1:3" x14ac:dyDescent="0.6">
      <c r="A1533" s="24">
        <v>31783</v>
      </c>
      <c r="B1533" s="23">
        <v>0.63926300000000003</v>
      </c>
      <c r="C1533" s="32">
        <f t="shared" si="23"/>
        <v>1.7442193587817512E-2</v>
      </c>
    </row>
    <row r="1534" spans="1:3" x14ac:dyDescent="0.6">
      <c r="A1534" s="24">
        <v>31784</v>
      </c>
      <c r="B1534" s="23">
        <v>0.65387399999999996</v>
      </c>
      <c r="C1534" s="32">
        <f t="shared" si="23"/>
        <v>2.2856007621276264E-2</v>
      </c>
    </row>
    <row r="1535" spans="1:3" x14ac:dyDescent="0.6">
      <c r="A1535" s="24">
        <v>31785</v>
      </c>
      <c r="B1535" s="23">
        <v>0.65387399999999996</v>
      </c>
      <c r="C1535" s="32">
        <f t="shared" si="23"/>
        <v>0</v>
      </c>
    </row>
    <row r="1536" spans="1:3" x14ac:dyDescent="0.6">
      <c r="A1536" s="24">
        <v>31786</v>
      </c>
      <c r="B1536" s="23">
        <v>0.66300700000000001</v>
      </c>
      <c r="C1536" s="32">
        <f t="shared" si="23"/>
        <v>1.3967522794911646E-2</v>
      </c>
    </row>
    <row r="1537" spans="1:3" x14ac:dyDescent="0.6">
      <c r="A1537" s="24">
        <v>31789</v>
      </c>
      <c r="B1537" s="23">
        <v>0.66483300000000001</v>
      </c>
      <c r="C1537" s="32">
        <f t="shared" si="23"/>
        <v>2.7541187347945861E-3</v>
      </c>
    </row>
    <row r="1538" spans="1:3" x14ac:dyDescent="0.6">
      <c r="A1538" s="24">
        <v>31790</v>
      </c>
      <c r="B1538" s="23">
        <v>0.65204799999999996</v>
      </c>
      <c r="C1538" s="32">
        <f t="shared" si="23"/>
        <v>-1.9230393196487006E-2</v>
      </c>
    </row>
    <row r="1539" spans="1:3" x14ac:dyDescent="0.6">
      <c r="A1539" s="24">
        <v>31791</v>
      </c>
      <c r="B1539" s="23">
        <v>0.70318899999999995</v>
      </c>
      <c r="C1539" s="32">
        <f t="shared" si="23"/>
        <v>7.8431342477854438E-2</v>
      </c>
    </row>
    <row r="1540" spans="1:3" x14ac:dyDescent="0.6">
      <c r="A1540" s="24">
        <v>31792</v>
      </c>
      <c r="B1540" s="23">
        <v>0.72875999999999996</v>
      </c>
      <c r="C1540" s="32">
        <f t="shared" ref="C1540:C1603" si="24">B1540/B1539-1</f>
        <v>3.6364334481910232E-2</v>
      </c>
    </row>
    <row r="1541" spans="1:3" x14ac:dyDescent="0.6">
      <c r="A1541" s="24">
        <v>31793</v>
      </c>
      <c r="B1541" s="23">
        <v>0.71232099999999998</v>
      </c>
      <c r="C1541" s="32">
        <f t="shared" si="24"/>
        <v>-2.2557494922882726E-2</v>
      </c>
    </row>
    <row r="1542" spans="1:3" x14ac:dyDescent="0.6">
      <c r="A1542" s="24">
        <v>31796</v>
      </c>
      <c r="B1542" s="23">
        <v>0.77624800000000005</v>
      </c>
      <c r="C1542" s="32">
        <f t="shared" si="24"/>
        <v>8.9744651638797857E-2</v>
      </c>
    </row>
    <row r="1543" spans="1:3" x14ac:dyDescent="0.6">
      <c r="A1543" s="24">
        <v>31797</v>
      </c>
      <c r="B1543" s="23">
        <v>0.75432999999999995</v>
      </c>
      <c r="C1543" s="32">
        <f t="shared" si="24"/>
        <v>-2.8235821541569339E-2</v>
      </c>
    </row>
    <row r="1544" spans="1:3" x14ac:dyDescent="0.6">
      <c r="A1544" s="24">
        <v>31798</v>
      </c>
      <c r="B1544" s="23">
        <v>0.715974</v>
      </c>
      <c r="C1544" s="32">
        <f t="shared" si="24"/>
        <v>-5.0847772195192986E-2</v>
      </c>
    </row>
    <row r="1545" spans="1:3" x14ac:dyDescent="0.6">
      <c r="A1545" s="24">
        <v>31799</v>
      </c>
      <c r="B1545" s="23">
        <v>0.76711499999999999</v>
      </c>
      <c r="C1545" s="32">
        <f t="shared" si="24"/>
        <v>7.1428571428571397E-2</v>
      </c>
    </row>
    <row r="1546" spans="1:3" x14ac:dyDescent="0.6">
      <c r="A1546" s="24">
        <v>31800</v>
      </c>
      <c r="B1546" s="23">
        <v>0.73423899999999998</v>
      </c>
      <c r="C1546" s="32">
        <f t="shared" si="24"/>
        <v>-4.2856677290888601E-2</v>
      </c>
    </row>
    <row r="1547" spans="1:3" x14ac:dyDescent="0.6">
      <c r="A1547" s="24">
        <v>31803</v>
      </c>
      <c r="B1547" s="23">
        <v>0.72693300000000005</v>
      </c>
      <c r="C1547" s="32">
        <f t="shared" si="24"/>
        <v>-9.9504384812029167E-3</v>
      </c>
    </row>
    <row r="1548" spans="1:3" x14ac:dyDescent="0.6">
      <c r="A1548" s="24">
        <v>31804</v>
      </c>
      <c r="B1548" s="23">
        <v>0.77076800000000001</v>
      </c>
      <c r="C1548" s="32">
        <f t="shared" si="24"/>
        <v>6.030129324160538E-2</v>
      </c>
    </row>
    <row r="1549" spans="1:3" x14ac:dyDescent="0.6">
      <c r="A1549" s="24">
        <v>31805</v>
      </c>
      <c r="B1549" s="23">
        <v>0.80912399999999995</v>
      </c>
      <c r="C1549" s="32">
        <f t="shared" si="24"/>
        <v>4.9763352915533465E-2</v>
      </c>
    </row>
    <row r="1550" spans="1:3" x14ac:dyDescent="0.6">
      <c r="A1550" s="24">
        <v>31806</v>
      </c>
      <c r="B1550" s="23">
        <v>0.79085899999999998</v>
      </c>
      <c r="C1550" s="32">
        <f t="shared" si="24"/>
        <v>-2.2573795858236823E-2</v>
      </c>
    </row>
    <row r="1551" spans="1:3" x14ac:dyDescent="0.6">
      <c r="A1551" s="24">
        <v>31807</v>
      </c>
      <c r="B1551" s="23">
        <v>0.81094999999999995</v>
      </c>
      <c r="C1551" s="32">
        <f t="shared" si="24"/>
        <v>2.5404022714542007E-2</v>
      </c>
    </row>
    <row r="1552" spans="1:3" x14ac:dyDescent="0.6">
      <c r="A1552" s="24">
        <v>31810</v>
      </c>
      <c r="B1552" s="23">
        <v>0.81642999999999999</v>
      </c>
      <c r="C1552" s="32">
        <f t="shared" si="24"/>
        <v>6.7575066280289864E-3</v>
      </c>
    </row>
    <row r="1553" spans="1:3" x14ac:dyDescent="0.6">
      <c r="A1553" s="24">
        <v>31811</v>
      </c>
      <c r="B1553" s="23">
        <v>0.81094999999999995</v>
      </c>
      <c r="C1553" s="32">
        <f t="shared" si="24"/>
        <v>-6.7121492350844525E-3</v>
      </c>
    </row>
    <row r="1554" spans="1:3" x14ac:dyDescent="0.6">
      <c r="A1554" s="24">
        <v>31812</v>
      </c>
      <c r="B1554" s="23">
        <v>0.80364500000000005</v>
      </c>
      <c r="C1554" s="32">
        <f t="shared" si="24"/>
        <v>-9.0079536346259204E-3</v>
      </c>
    </row>
    <row r="1555" spans="1:3" x14ac:dyDescent="0.6">
      <c r="A1555" s="24">
        <v>31813</v>
      </c>
      <c r="B1555" s="23">
        <v>0.78720599999999996</v>
      </c>
      <c r="C1555" s="32">
        <f t="shared" si="24"/>
        <v>-2.0455549403032514E-2</v>
      </c>
    </row>
    <row r="1556" spans="1:3" x14ac:dyDescent="0.6">
      <c r="A1556" s="24">
        <v>31814</v>
      </c>
      <c r="B1556" s="23">
        <v>0.78903299999999998</v>
      </c>
      <c r="C1556" s="32">
        <f t="shared" si="24"/>
        <v>2.3208664568106219E-3</v>
      </c>
    </row>
    <row r="1557" spans="1:3" x14ac:dyDescent="0.6">
      <c r="A1557" s="24">
        <v>31817</v>
      </c>
      <c r="B1557" s="23">
        <v>0.76894200000000001</v>
      </c>
      <c r="C1557" s="32">
        <f t="shared" si="24"/>
        <v>-2.5462813342407742E-2</v>
      </c>
    </row>
    <row r="1558" spans="1:3" x14ac:dyDescent="0.6">
      <c r="A1558" s="24">
        <v>31818</v>
      </c>
      <c r="B1558" s="23">
        <v>0.77076800000000001</v>
      </c>
      <c r="C1558" s="32">
        <f t="shared" si="24"/>
        <v>2.3746914591737944E-3</v>
      </c>
    </row>
    <row r="1559" spans="1:3" x14ac:dyDescent="0.6">
      <c r="A1559" s="24">
        <v>31819</v>
      </c>
      <c r="B1559" s="23">
        <v>0.82556200000000002</v>
      </c>
      <c r="C1559" s="32">
        <f t="shared" si="24"/>
        <v>7.1090133477259121E-2</v>
      </c>
    </row>
    <row r="1560" spans="1:3" x14ac:dyDescent="0.6">
      <c r="A1560" s="24">
        <v>31820</v>
      </c>
      <c r="B1560" s="23">
        <v>0.85661200000000004</v>
      </c>
      <c r="C1560" s="32">
        <f t="shared" si="24"/>
        <v>3.7610742742519632E-2</v>
      </c>
    </row>
    <row r="1561" spans="1:3" x14ac:dyDescent="0.6">
      <c r="A1561" s="24">
        <v>31821</v>
      </c>
      <c r="B1561" s="23">
        <v>0.90775399999999995</v>
      </c>
      <c r="C1561" s="32">
        <f t="shared" si="24"/>
        <v>5.9702642503256964E-2</v>
      </c>
    </row>
    <row r="1562" spans="1:3" x14ac:dyDescent="0.6">
      <c r="A1562" s="24">
        <v>31825</v>
      </c>
      <c r="B1562" s="23">
        <v>0.96985200000000005</v>
      </c>
      <c r="C1562" s="32">
        <f t="shared" si="24"/>
        <v>6.8408401395091634E-2</v>
      </c>
    </row>
    <row r="1563" spans="1:3" x14ac:dyDescent="0.6">
      <c r="A1563" s="24">
        <v>31826</v>
      </c>
      <c r="B1563" s="23">
        <v>0.927844</v>
      </c>
      <c r="C1563" s="32">
        <f t="shared" si="24"/>
        <v>-4.3313825202195844E-2</v>
      </c>
    </row>
    <row r="1564" spans="1:3" x14ac:dyDescent="0.6">
      <c r="A1564" s="24">
        <v>31827</v>
      </c>
      <c r="B1564" s="23">
        <v>0.91140600000000005</v>
      </c>
      <c r="C1564" s="32">
        <f t="shared" si="24"/>
        <v>-1.7716340246851758E-2</v>
      </c>
    </row>
    <row r="1565" spans="1:3" x14ac:dyDescent="0.6">
      <c r="A1565" s="24">
        <v>31828</v>
      </c>
      <c r="B1565" s="23">
        <v>0.89496699999999996</v>
      </c>
      <c r="C1565" s="32">
        <f t="shared" si="24"/>
        <v>-1.8036967059685938E-2</v>
      </c>
    </row>
    <row r="1566" spans="1:3" x14ac:dyDescent="0.6">
      <c r="A1566" s="24">
        <v>31831</v>
      </c>
      <c r="B1566" s="23">
        <v>0.92236499999999999</v>
      </c>
      <c r="C1566" s="32">
        <f t="shared" si="24"/>
        <v>3.0613419265738351E-2</v>
      </c>
    </row>
    <row r="1567" spans="1:3" x14ac:dyDescent="0.6">
      <c r="A1567" s="24">
        <v>31832</v>
      </c>
      <c r="B1567" s="23">
        <v>0.95706800000000003</v>
      </c>
      <c r="C1567" s="32">
        <f t="shared" si="24"/>
        <v>3.7623934125861291E-2</v>
      </c>
    </row>
    <row r="1568" spans="1:3" x14ac:dyDescent="0.6">
      <c r="A1568" s="24">
        <v>31833</v>
      </c>
      <c r="B1568" s="23">
        <v>1.010035</v>
      </c>
      <c r="C1568" s="32">
        <f t="shared" si="24"/>
        <v>5.534298503345636E-2</v>
      </c>
    </row>
    <row r="1569" spans="1:3" x14ac:dyDescent="0.6">
      <c r="A1569" s="24">
        <v>31834</v>
      </c>
      <c r="B1569" s="23">
        <v>1.010035</v>
      </c>
      <c r="C1569" s="32">
        <f t="shared" si="24"/>
        <v>0</v>
      </c>
    </row>
    <row r="1570" spans="1:3" x14ac:dyDescent="0.6">
      <c r="A1570" s="24">
        <v>31835</v>
      </c>
      <c r="B1570" s="23">
        <v>1.0228200000000001</v>
      </c>
      <c r="C1570" s="32">
        <f t="shared" si="24"/>
        <v>1.2657977198810011E-2</v>
      </c>
    </row>
    <row r="1571" spans="1:3" x14ac:dyDescent="0.6">
      <c r="A1571" s="24">
        <v>31838</v>
      </c>
      <c r="B1571" s="23">
        <v>0.98629100000000003</v>
      </c>
      <c r="C1571" s="32">
        <f t="shared" si="24"/>
        <v>-3.5714006374533147E-2</v>
      </c>
    </row>
    <row r="1572" spans="1:3" x14ac:dyDescent="0.6">
      <c r="A1572" s="24">
        <v>31839</v>
      </c>
      <c r="B1572" s="23">
        <v>0.949762</v>
      </c>
      <c r="C1572" s="32">
        <f t="shared" si="24"/>
        <v>-3.7036736622355959E-2</v>
      </c>
    </row>
    <row r="1573" spans="1:3" x14ac:dyDescent="0.6">
      <c r="A1573" s="24">
        <v>31840</v>
      </c>
      <c r="B1573" s="23">
        <v>0.98811800000000005</v>
      </c>
      <c r="C1573" s="32">
        <f t="shared" si="24"/>
        <v>4.0384854310869578E-2</v>
      </c>
    </row>
    <row r="1574" spans="1:3" x14ac:dyDescent="0.6">
      <c r="A1574" s="24">
        <v>31841</v>
      </c>
      <c r="B1574" s="23">
        <v>1.0009030000000001</v>
      </c>
      <c r="C1574" s="32">
        <f t="shared" si="24"/>
        <v>1.2938738085937151E-2</v>
      </c>
    </row>
    <row r="1575" spans="1:3" x14ac:dyDescent="0.6">
      <c r="A1575" s="24">
        <v>31842</v>
      </c>
      <c r="B1575" s="23">
        <v>0.98263800000000001</v>
      </c>
      <c r="C1575" s="32">
        <f t="shared" si="24"/>
        <v>-1.8248521585008781E-2</v>
      </c>
    </row>
    <row r="1576" spans="1:3" x14ac:dyDescent="0.6">
      <c r="A1576" s="24">
        <v>31845</v>
      </c>
      <c r="B1576" s="23">
        <v>0.94428199999999995</v>
      </c>
      <c r="C1576" s="32">
        <f t="shared" si="24"/>
        <v>-3.9033703154162658E-2</v>
      </c>
    </row>
    <row r="1577" spans="1:3" x14ac:dyDescent="0.6">
      <c r="A1577" s="24">
        <v>31846</v>
      </c>
      <c r="B1577" s="23">
        <v>0.97533199999999998</v>
      </c>
      <c r="C1577" s="32">
        <f t="shared" si="24"/>
        <v>3.2882126313961368E-2</v>
      </c>
    </row>
    <row r="1578" spans="1:3" x14ac:dyDescent="0.6">
      <c r="A1578" s="24">
        <v>31847</v>
      </c>
      <c r="B1578" s="23">
        <v>0.96802600000000005</v>
      </c>
      <c r="C1578" s="32">
        <f t="shared" si="24"/>
        <v>-7.4907826258134858E-3</v>
      </c>
    </row>
    <row r="1579" spans="1:3" x14ac:dyDescent="0.6">
      <c r="A1579" s="24">
        <v>31848</v>
      </c>
      <c r="B1579" s="23">
        <v>0.95341399999999998</v>
      </c>
      <c r="C1579" s="32">
        <f t="shared" si="24"/>
        <v>-1.5094635887879071E-2</v>
      </c>
    </row>
    <row r="1580" spans="1:3" x14ac:dyDescent="0.6">
      <c r="A1580" s="24">
        <v>31849</v>
      </c>
      <c r="B1580" s="23">
        <v>0.927844</v>
      </c>
      <c r="C1580" s="32">
        <f t="shared" si="24"/>
        <v>-2.6819408987071691E-2</v>
      </c>
    </row>
    <row r="1581" spans="1:3" x14ac:dyDescent="0.6">
      <c r="A1581" s="24">
        <v>31852</v>
      </c>
      <c r="B1581" s="23">
        <v>0.95341399999999998</v>
      </c>
      <c r="C1581" s="32">
        <f t="shared" si="24"/>
        <v>2.755851199123982E-2</v>
      </c>
    </row>
    <row r="1582" spans="1:3" x14ac:dyDescent="0.6">
      <c r="A1582" s="24">
        <v>31853</v>
      </c>
      <c r="B1582" s="23">
        <v>0.97898499999999999</v>
      </c>
      <c r="C1582" s="32">
        <f t="shared" si="24"/>
        <v>2.6820457849370705E-2</v>
      </c>
    </row>
    <row r="1583" spans="1:3" x14ac:dyDescent="0.6">
      <c r="A1583" s="24">
        <v>31854</v>
      </c>
      <c r="B1583" s="23">
        <v>0.96437300000000004</v>
      </c>
      <c r="C1583" s="32">
        <f t="shared" si="24"/>
        <v>-1.4925662803822237E-2</v>
      </c>
    </row>
    <row r="1584" spans="1:3" x14ac:dyDescent="0.6">
      <c r="A1584" s="24">
        <v>31855</v>
      </c>
      <c r="B1584" s="23">
        <v>0.99907599999999996</v>
      </c>
      <c r="C1584" s="32">
        <f t="shared" si="24"/>
        <v>3.5985038983878503E-2</v>
      </c>
    </row>
    <row r="1585" spans="1:3" x14ac:dyDescent="0.6">
      <c r="A1585" s="24">
        <v>31856</v>
      </c>
      <c r="B1585" s="23">
        <v>0.99724999999999997</v>
      </c>
      <c r="C1585" s="32">
        <f t="shared" si="24"/>
        <v>-1.8276887844368428E-3</v>
      </c>
    </row>
    <row r="1586" spans="1:3" x14ac:dyDescent="0.6">
      <c r="A1586" s="24">
        <v>31859</v>
      </c>
      <c r="B1586" s="23">
        <v>0.98629100000000003</v>
      </c>
      <c r="C1586" s="32">
        <f t="shared" si="24"/>
        <v>-1.0989220355978935E-2</v>
      </c>
    </row>
    <row r="1587" spans="1:3" x14ac:dyDescent="0.6">
      <c r="A1587" s="24">
        <v>31860</v>
      </c>
      <c r="B1587" s="23">
        <v>0.96802600000000005</v>
      </c>
      <c r="C1587" s="32">
        <f t="shared" si="24"/>
        <v>-1.8518875260952417E-2</v>
      </c>
    </row>
    <row r="1588" spans="1:3" x14ac:dyDescent="0.6">
      <c r="A1588" s="24">
        <v>31861</v>
      </c>
      <c r="B1588" s="23">
        <v>0.97533199999999998</v>
      </c>
      <c r="C1588" s="32">
        <f t="shared" si="24"/>
        <v>7.5473179439393689E-3</v>
      </c>
    </row>
    <row r="1589" spans="1:3" x14ac:dyDescent="0.6">
      <c r="A1589" s="24">
        <v>31862</v>
      </c>
      <c r="B1589" s="23">
        <v>0.98263800000000001</v>
      </c>
      <c r="C1589" s="32">
        <f t="shared" si="24"/>
        <v>7.4907826258137078E-3</v>
      </c>
    </row>
    <row r="1590" spans="1:3" x14ac:dyDescent="0.6">
      <c r="A1590" s="24">
        <v>31863</v>
      </c>
      <c r="B1590" s="23">
        <v>0.949762</v>
      </c>
      <c r="C1590" s="32">
        <f t="shared" si="24"/>
        <v>-3.3456878321416417E-2</v>
      </c>
    </row>
    <row r="1591" spans="1:3" x14ac:dyDescent="0.6">
      <c r="A1591" s="24">
        <v>31866</v>
      </c>
      <c r="B1591" s="23">
        <v>0.91323200000000004</v>
      </c>
      <c r="C1591" s="32">
        <f t="shared" si="24"/>
        <v>-3.8462267389093197E-2</v>
      </c>
    </row>
    <row r="1592" spans="1:3" x14ac:dyDescent="0.6">
      <c r="A1592" s="24">
        <v>31867</v>
      </c>
      <c r="B1592" s="23">
        <v>0.94245599999999996</v>
      </c>
      <c r="C1592" s="32">
        <f t="shared" si="24"/>
        <v>3.2000630726912727E-2</v>
      </c>
    </row>
    <row r="1593" spans="1:3" x14ac:dyDescent="0.6">
      <c r="A1593" s="24">
        <v>31868</v>
      </c>
      <c r="B1593" s="23">
        <v>0.97533199999999998</v>
      </c>
      <c r="C1593" s="32">
        <f t="shared" si="24"/>
        <v>3.4883326118142488E-2</v>
      </c>
    </row>
    <row r="1594" spans="1:3" x14ac:dyDescent="0.6">
      <c r="A1594" s="24">
        <v>31869</v>
      </c>
      <c r="B1594" s="23">
        <v>1.0483910000000001</v>
      </c>
      <c r="C1594" s="32">
        <f t="shared" si="24"/>
        <v>7.4906800966235254E-2</v>
      </c>
    </row>
    <row r="1595" spans="1:3" x14ac:dyDescent="0.6">
      <c r="A1595" s="24">
        <v>31870</v>
      </c>
      <c r="B1595" s="23">
        <v>1.0483910000000001</v>
      </c>
      <c r="C1595" s="32">
        <f t="shared" si="24"/>
        <v>0</v>
      </c>
    </row>
    <row r="1596" spans="1:3" x14ac:dyDescent="0.6">
      <c r="A1596" s="24">
        <v>31873</v>
      </c>
      <c r="B1596" s="23">
        <v>1.0228200000000001</v>
      </c>
      <c r="C1596" s="32">
        <f t="shared" si="24"/>
        <v>-2.4390709191513427E-2</v>
      </c>
    </row>
    <row r="1597" spans="1:3" x14ac:dyDescent="0.6">
      <c r="A1597" s="24">
        <v>31874</v>
      </c>
      <c r="B1597" s="23">
        <v>0.98994400000000005</v>
      </c>
      <c r="C1597" s="32">
        <f t="shared" si="24"/>
        <v>-3.2142507968166423E-2</v>
      </c>
    </row>
    <row r="1598" spans="1:3" x14ac:dyDescent="0.6">
      <c r="A1598" s="24">
        <v>31875</v>
      </c>
      <c r="B1598" s="23">
        <v>1.008208</v>
      </c>
      <c r="C1598" s="32">
        <f t="shared" si="24"/>
        <v>1.8449528458175379E-2</v>
      </c>
    </row>
    <row r="1599" spans="1:3" x14ac:dyDescent="0.6">
      <c r="A1599" s="24">
        <v>31876</v>
      </c>
      <c r="B1599" s="23">
        <v>1.0374319999999999</v>
      </c>
      <c r="C1599" s="32">
        <f t="shared" si="24"/>
        <v>2.8986082236998723E-2</v>
      </c>
    </row>
    <row r="1600" spans="1:3" x14ac:dyDescent="0.6">
      <c r="A1600" s="24">
        <v>31877</v>
      </c>
      <c r="B1600" s="23">
        <v>1.026473</v>
      </c>
      <c r="C1600" s="32">
        <f t="shared" si="24"/>
        <v>-1.0563583926464504E-2</v>
      </c>
    </row>
    <row r="1601" spans="1:3" x14ac:dyDescent="0.6">
      <c r="A1601" s="24">
        <v>31880</v>
      </c>
      <c r="B1601" s="23">
        <v>0.98629100000000003</v>
      </c>
      <c r="C1601" s="32">
        <f t="shared" si="24"/>
        <v>-3.914569599005524E-2</v>
      </c>
    </row>
    <row r="1602" spans="1:3" x14ac:dyDescent="0.6">
      <c r="A1602" s="24">
        <v>31881</v>
      </c>
      <c r="B1602" s="23">
        <v>0.99359699999999995</v>
      </c>
      <c r="C1602" s="32">
        <f t="shared" si="24"/>
        <v>7.4075501043808778E-3</v>
      </c>
    </row>
    <row r="1603" spans="1:3" x14ac:dyDescent="0.6">
      <c r="A1603" s="24">
        <v>31882</v>
      </c>
      <c r="B1603" s="23">
        <v>1.0374319999999999</v>
      </c>
      <c r="C1603" s="32">
        <f t="shared" si="24"/>
        <v>4.4117484251663397E-2</v>
      </c>
    </row>
    <row r="1604" spans="1:3" x14ac:dyDescent="0.6">
      <c r="A1604" s="24">
        <v>31883</v>
      </c>
      <c r="B1604" s="23">
        <v>1.0447379999999999</v>
      </c>
      <c r="C1604" s="32">
        <f t="shared" ref="C1604:C1667" si="25">B1604/B1603-1</f>
        <v>7.0423892843096692E-3</v>
      </c>
    </row>
    <row r="1605" spans="1:3" x14ac:dyDescent="0.6">
      <c r="A1605" s="24">
        <v>31887</v>
      </c>
      <c r="B1605" s="23">
        <v>1.039258</v>
      </c>
      <c r="C1605" s="32">
        <f t="shared" si="25"/>
        <v>-5.2453342369090938E-3</v>
      </c>
    </row>
    <row r="1606" spans="1:3" x14ac:dyDescent="0.6">
      <c r="A1606" s="24">
        <v>31888</v>
      </c>
      <c r="B1606" s="23">
        <v>1.0922259999999999</v>
      </c>
      <c r="C1606" s="32">
        <f t="shared" si="25"/>
        <v>5.0967132319404751E-2</v>
      </c>
    </row>
    <row r="1607" spans="1:3" x14ac:dyDescent="0.6">
      <c r="A1607" s="24">
        <v>31889</v>
      </c>
      <c r="B1607" s="23">
        <v>1.0849200000000001</v>
      </c>
      <c r="C1607" s="32">
        <f t="shared" si="25"/>
        <v>-6.6890918179934866E-3</v>
      </c>
    </row>
    <row r="1608" spans="1:3" x14ac:dyDescent="0.6">
      <c r="A1608" s="24">
        <v>31890</v>
      </c>
      <c r="B1608" s="23">
        <v>1.1104909999999999</v>
      </c>
      <c r="C1608" s="32">
        <f t="shared" si="25"/>
        <v>2.3569479777310498E-2</v>
      </c>
    </row>
    <row r="1609" spans="1:3" x14ac:dyDescent="0.6">
      <c r="A1609" s="24">
        <v>31891</v>
      </c>
      <c r="B1609" s="23">
        <v>1.0922259999999999</v>
      </c>
      <c r="C1609" s="32">
        <f t="shared" si="25"/>
        <v>-1.6447679449900998E-2</v>
      </c>
    </row>
    <row r="1610" spans="1:3" x14ac:dyDescent="0.6">
      <c r="A1610" s="24">
        <v>31894</v>
      </c>
      <c r="B1610" s="23">
        <v>1.095879</v>
      </c>
      <c r="C1610" s="32">
        <f t="shared" si="25"/>
        <v>3.3445459089969098E-3</v>
      </c>
    </row>
    <row r="1611" spans="1:3" x14ac:dyDescent="0.6">
      <c r="A1611" s="24">
        <v>31895</v>
      </c>
      <c r="B1611" s="23">
        <v>1.125102</v>
      </c>
      <c r="C1611" s="32">
        <f t="shared" si="25"/>
        <v>2.6666265162486047E-2</v>
      </c>
    </row>
    <row r="1612" spans="1:3" x14ac:dyDescent="0.6">
      <c r="A1612" s="24">
        <v>31896</v>
      </c>
      <c r="B1612" s="23">
        <v>1.136061</v>
      </c>
      <c r="C1612" s="32">
        <f t="shared" si="25"/>
        <v>9.7404501991817938E-3</v>
      </c>
    </row>
    <row r="1613" spans="1:3" x14ac:dyDescent="0.6">
      <c r="A1613" s="24">
        <v>31897</v>
      </c>
      <c r="B1613" s="23">
        <v>1.1579790000000001</v>
      </c>
      <c r="C1613" s="32">
        <f t="shared" si="25"/>
        <v>1.9292978105929226E-2</v>
      </c>
    </row>
    <row r="1614" spans="1:3" x14ac:dyDescent="0.6">
      <c r="A1614" s="24">
        <v>31898</v>
      </c>
      <c r="B1614" s="23">
        <v>1.168938</v>
      </c>
      <c r="C1614" s="32">
        <f t="shared" si="25"/>
        <v>9.4639021951175017E-3</v>
      </c>
    </row>
    <row r="1615" spans="1:3" x14ac:dyDescent="0.6">
      <c r="A1615" s="24">
        <v>31901</v>
      </c>
      <c r="B1615" s="23">
        <v>1.1652849999999999</v>
      </c>
      <c r="C1615" s="32">
        <f t="shared" si="25"/>
        <v>-3.1250588140689928E-3</v>
      </c>
    </row>
    <row r="1616" spans="1:3" x14ac:dyDescent="0.6">
      <c r="A1616" s="24">
        <v>31902</v>
      </c>
      <c r="B1616" s="23">
        <v>1.17259</v>
      </c>
      <c r="C1616" s="32">
        <f t="shared" si="25"/>
        <v>6.2688526841074843E-3</v>
      </c>
    </row>
    <row r="1617" spans="1:3" x14ac:dyDescent="0.6">
      <c r="A1617" s="24">
        <v>31903</v>
      </c>
      <c r="B1617" s="23">
        <v>1.168938</v>
      </c>
      <c r="C1617" s="32">
        <f t="shared" si="25"/>
        <v>-3.1144730894856476E-3</v>
      </c>
    </row>
    <row r="1618" spans="1:3" x14ac:dyDescent="0.6">
      <c r="A1618" s="24">
        <v>31904</v>
      </c>
      <c r="B1618" s="23">
        <v>1.17259</v>
      </c>
      <c r="C1618" s="32">
        <f t="shared" si="25"/>
        <v>3.1242033367038236E-3</v>
      </c>
    </row>
    <row r="1619" spans="1:3" x14ac:dyDescent="0.6">
      <c r="A1619" s="24">
        <v>31905</v>
      </c>
      <c r="B1619" s="23">
        <v>1.154325</v>
      </c>
      <c r="C1619" s="32">
        <f t="shared" si="25"/>
        <v>-1.557662951244676E-2</v>
      </c>
    </row>
    <row r="1620" spans="1:3" x14ac:dyDescent="0.6">
      <c r="A1620" s="24">
        <v>31908</v>
      </c>
      <c r="B1620" s="23">
        <v>1.1268119999999999</v>
      </c>
      <c r="C1620" s="32">
        <f t="shared" si="25"/>
        <v>-2.3834708595932841E-2</v>
      </c>
    </row>
    <row r="1621" spans="1:3" x14ac:dyDescent="0.6">
      <c r="A1621" s="24">
        <v>31909</v>
      </c>
      <c r="B1621" s="23">
        <v>1.1048610000000001</v>
      </c>
      <c r="C1621" s="32">
        <f t="shared" si="25"/>
        <v>-1.9480623209550352E-2</v>
      </c>
    </row>
    <row r="1622" spans="1:3" x14ac:dyDescent="0.6">
      <c r="A1622" s="24">
        <v>31910</v>
      </c>
      <c r="B1622" s="23">
        <v>1.1487620000000001</v>
      </c>
      <c r="C1622" s="32">
        <f t="shared" si="25"/>
        <v>3.9734410029858891E-2</v>
      </c>
    </row>
    <row r="1623" spans="1:3" x14ac:dyDescent="0.6">
      <c r="A1623" s="24">
        <v>31911</v>
      </c>
      <c r="B1623" s="23">
        <v>1.1597379999999999</v>
      </c>
      <c r="C1623" s="32">
        <f t="shared" si="25"/>
        <v>9.5546335968632601E-3</v>
      </c>
    </row>
    <row r="1624" spans="1:3" x14ac:dyDescent="0.6">
      <c r="A1624" s="24">
        <v>31912</v>
      </c>
      <c r="B1624" s="23">
        <v>1.1451039999999999</v>
      </c>
      <c r="C1624" s="32">
        <f t="shared" si="25"/>
        <v>-1.2618367251913787E-2</v>
      </c>
    </row>
    <row r="1625" spans="1:3" x14ac:dyDescent="0.6">
      <c r="A1625" s="24">
        <v>31915</v>
      </c>
      <c r="B1625" s="23">
        <v>1.108519</v>
      </c>
      <c r="C1625" s="32">
        <f t="shared" si="25"/>
        <v>-3.1949063141862966E-2</v>
      </c>
    </row>
    <row r="1626" spans="1:3" x14ac:dyDescent="0.6">
      <c r="A1626" s="24">
        <v>31916</v>
      </c>
      <c r="B1626" s="23">
        <v>1.0719339999999999</v>
      </c>
      <c r="C1626" s="32">
        <f t="shared" si="25"/>
        <v>-3.3003493850804588E-2</v>
      </c>
    </row>
    <row r="1627" spans="1:3" x14ac:dyDescent="0.6">
      <c r="A1627" s="24">
        <v>31917</v>
      </c>
      <c r="B1627" s="23">
        <v>1.0902270000000001</v>
      </c>
      <c r="C1627" s="32">
        <f t="shared" si="25"/>
        <v>1.7065416340931616E-2</v>
      </c>
    </row>
    <row r="1628" spans="1:3" x14ac:dyDescent="0.6">
      <c r="A1628" s="24">
        <v>31918</v>
      </c>
      <c r="B1628" s="23">
        <v>1.0902270000000001</v>
      </c>
      <c r="C1628" s="32">
        <f t="shared" si="25"/>
        <v>0</v>
      </c>
    </row>
    <row r="1629" spans="1:3" x14ac:dyDescent="0.6">
      <c r="A1629" s="24">
        <v>31919</v>
      </c>
      <c r="B1629" s="23">
        <v>1.0847389999999999</v>
      </c>
      <c r="C1629" s="32">
        <f t="shared" si="25"/>
        <v>-5.0338140589071267E-3</v>
      </c>
    </row>
    <row r="1630" spans="1:3" x14ac:dyDescent="0.6">
      <c r="A1630" s="24">
        <v>31923</v>
      </c>
      <c r="B1630" s="23">
        <v>1.141446</v>
      </c>
      <c r="C1630" s="32">
        <f t="shared" si="25"/>
        <v>5.2277091539992604E-2</v>
      </c>
    </row>
    <row r="1631" spans="1:3" x14ac:dyDescent="0.6">
      <c r="A1631" s="24">
        <v>31924</v>
      </c>
      <c r="B1631" s="23">
        <v>1.1633960000000001</v>
      </c>
      <c r="C1631" s="32">
        <f t="shared" si="25"/>
        <v>1.9229994235382186E-2</v>
      </c>
    </row>
    <row r="1632" spans="1:3" x14ac:dyDescent="0.6">
      <c r="A1632" s="24">
        <v>31925</v>
      </c>
      <c r="B1632" s="23">
        <v>1.170714</v>
      </c>
      <c r="C1632" s="32">
        <f t="shared" si="25"/>
        <v>6.2902055705880144E-3</v>
      </c>
    </row>
    <row r="1633" spans="1:3" x14ac:dyDescent="0.6">
      <c r="A1633" s="24">
        <v>31926</v>
      </c>
      <c r="B1633" s="23">
        <v>1.15608</v>
      </c>
      <c r="C1633" s="32">
        <f t="shared" si="25"/>
        <v>-1.2500064063469041E-2</v>
      </c>
    </row>
    <row r="1634" spans="1:3" x14ac:dyDescent="0.6">
      <c r="A1634" s="24">
        <v>31929</v>
      </c>
      <c r="B1634" s="23">
        <v>1.1377870000000001</v>
      </c>
      <c r="C1634" s="32">
        <f t="shared" si="25"/>
        <v>-1.5823299425645199E-2</v>
      </c>
    </row>
    <row r="1635" spans="1:3" x14ac:dyDescent="0.6">
      <c r="A1635" s="24">
        <v>31930</v>
      </c>
      <c r="B1635" s="23">
        <v>1.1304700000000001</v>
      </c>
      <c r="C1635" s="32">
        <f t="shared" si="25"/>
        <v>-6.4309049057512668E-3</v>
      </c>
    </row>
    <row r="1636" spans="1:3" x14ac:dyDescent="0.6">
      <c r="A1636" s="24">
        <v>31931</v>
      </c>
      <c r="B1636" s="23">
        <v>1.1377870000000001</v>
      </c>
      <c r="C1636" s="32">
        <f t="shared" si="25"/>
        <v>6.4725291250542494E-3</v>
      </c>
    </row>
    <row r="1637" spans="1:3" x14ac:dyDescent="0.6">
      <c r="A1637" s="24">
        <v>31932</v>
      </c>
      <c r="B1637" s="23">
        <v>1.1487620000000001</v>
      </c>
      <c r="C1637" s="32">
        <f t="shared" si="25"/>
        <v>9.6459179090637726E-3</v>
      </c>
    </row>
    <row r="1638" spans="1:3" x14ac:dyDescent="0.6">
      <c r="A1638" s="24">
        <v>31933</v>
      </c>
      <c r="B1638" s="23">
        <v>1.1377870000000001</v>
      </c>
      <c r="C1638" s="32">
        <f t="shared" si="25"/>
        <v>-9.5537630945312646E-3</v>
      </c>
    </row>
    <row r="1639" spans="1:3" x14ac:dyDescent="0.6">
      <c r="A1639" s="24">
        <v>31936</v>
      </c>
      <c r="B1639" s="23">
        <v>1.1377870000000001</v>
      </c>
      <c r="C1639" s="32">
        <f t="shared" si="25"/>
        <v>0</v>
      </c>
    </row>
    <row r="1640" spans="1:3" x14ac:dyDescent="0.6">
      <c r="A1640" s="24">
        <v>31937</v>
      </c>
      <c r="B1640" s="23">
        <v>1.1487620000000001</v>
      </c>
      <c r="C1640" s="32">
        <f t="shared" si="25"/>
        <v>9.6459179090637726E-3</v>
      </c>
    </row>
    <row r="1641" spans="1:3" x14ac:dyDescent="0.6">
      <c r="A1641" s="24">
        <v>31938</v>
      </c>
      <c r="B1641" s="23">
        <v>1.1487620000000001</v>
      </c>
      <c r="C1641" s="32">
        <f t="shared" si="25"/>
        <v>0</v>
      </c>
    </row>
    <row r="1642" spans="1:3" x14ac:dyDescent="0.6">
      <c r="A1642" s="24">
        <v>31939</v>
      </c>
      <c r="B1642" s="23">
        <v>1.15608</v>
      </c>
      <c r="C1642" s="32">
        <f t="shared" si="25"/>
        <v>6.3703360661302444E-3</v>
      </c>
    </row>
    <row r="1643" spans="1:3" x14ac:dyDescent="0.6">
      <c r="A1643" s="24">
        <v>31940</v>
      </c>
      <c r="B1643" s="23">
        <v>1.15608</v>
      </c>
      <c r="C1643" s="32">
        <f t="shared" si="25"/>
        <v>0</v>
      </c>
    </row>
    <row r="1644" spans="1:3" x14ac:dyDescent="0.6">
      <c r="A1644" s="24">
        <v>31943</v>
      </c>
      <c r="B1644" s="23">
        <v>1.1487620000000001</v>
      </c>
      <c r="C1644" s="32">
        <f t="shared" si="25"/>
        <v>-6.3300117638916964E-3</v>
      </c>
    </row>
    <row r="1645" spans="1:3" x14ac:dyDescent="0.6">
      <c r="A1645" s="24">
        <v>31944</v>
      </c>
      <c r="B1645" s="23">
        <v>1.214615</v>
      </c>
      <c r="C1645" s="32">
        <f t="shared" si="25"/>
        <v>5.732519007418424E-2</v>
      </c>
    </row>
    <row r="1646" spans="1:3" x14ac:dyDescent="0.6">
      <c r="A1646" s="24">
        <v>31945</v>
      </c>
      <c r="B1646" s="23">
        <v>1.1853469999999999</v>
      </c>
      <c r="C1646" s="32">
        <f t="shared" si="25"/>
        <v>-2.409652441308574E-2</v>
      </c>
    </row>
    <row r="1647" spans="1:3" x14ac:dyDescent="0.6">
      <c r="A1647" s="24">
        <v>31946</v>
      </c>
      <c r="B1647" s="23">
        <v>1.214615</v>
      </c>
      <c r="C1647" s="32">
        <f t="shared" si="25"/>
        <v>2.469150383811658E-2</v>
      </c>
    </row>
    <row r="1648" spans="1:3" x14ac:dyDescent="0.6">
      <c r="A1648" s="24">
        <v>31947</v>
      </c>
      <c r="B1648" s="23">
        <v>1.199981</v>
      </c>
      <c r="C1648" s="32">
        <f t="shared" si="25"/>
        <v>-1.204826220654287E-2</v>
      </c>
    </row>
    <row r="1649" spans="1:3" x14ac:dyDescent="0.6">
      <c r="A1649" s="24">
        <v>31950</v>
      </c>
      <c r="B1649" s="23">
        <v>1.229249</v>
      </c>
      <c r="C1649" s="32">
        <f t="shared" si="25"/>
        <v>2.4390386181114554E-2</v>
      </c>
    </row>
    <row r="1650" spans="1:3" x14ac:dyDescent="0.6">
      <c r="A1650" s="24">
        <v>31951</v>
      </c>
      <c r="B1650" s="23">
        <v>1.207298</v>
      </c>
      <c r="C1650" s="32">
        <f t="shared" si="25"/>
        <v>-1.7857244545246731E-2</v>
      </c>
    </row>
    <row r="1651" spans="1:3" x14ac:dyDescent="0.6">
      <c r="A1651" s="24">
        <v>31952</v>
      </c>
      <c r="B1651" s="23">
        <v>1.229249</v>
      </c>
      <c r="C1651" s="32">
        <f t="shared" si="25"/>
        <v>1.8181923601298111E-2</v>
      </c>
    </row>
    <row r="1652" spans="1:3" x14ac:dyDescent="0.6">
      <c r="A1652" s="24">
        <v>31953</v>
      </c>
      <c r="B1652" s="23">
        <v>1.1853469999999999</v>
      </c>
      <c r="C1652" s="32">
        <f t="shared" si="25"/>
        <v>-3.5714489090493573E-2</v>
      </c>
    </row>
    <row r="1653" spans="1:3" x14ac:dyDescent="0.6">
      <c r="A1653" s="24">
        <v>31954</v>
      </c>
      <c r="B1653" s="23">
        <v>1.1853469999999999</v>
      </c>
      <c r="C1653" s="32">
        <f t="shared" si="25"/>
        <v>0</v>
      </c>
    </row>
    <row r="1654" spans="1:3" x14ac:dyDescent="0.6">
      <c r="A1654" s="24">
        <v>31957</v>
      </c>
      <c r="B1654" s="23">
        <v>1.1926639999999999</v>
      </c>
      <c r="C1654" s="32">
        <f t="shared" si="25"/>
        <v>6.1728759595292004E-3</v>
      </c>
    </row>
    <row r="1655" spans="1:3" x14ac:dyDescent="0.6">
      <c r="A1655" s="24">
        <v>31958</v>
      </c>
      <c r="B1655" s="23">
        <v>1.1853469999999999</v>
      </c>
      <c r="C1655" s="32">
        <f t="shared" si="25"/>
        <v>-6.1350053326000298E-3</v>
      </c>
    </row>
    <row r="1656" spans="1:3" x14ac:dyDescent="0.6">
      <c r="A1656" s="24">
        <v>31959</v>
      </c>
      <c r="B1656" s="23">
        <v>1.170714</v>
      </c>
      <c r="C1656" s="32">
        <f t="shared" si="25"/>
        <v>-1.234490828424073E-2</v>
      </c>
    </row>
    <row r="1657" spans="1:3" x14ac:dyDescent="0.6">
      <c r="A1657" s="24">
        <v>31960</v>
      </c>
      <c r="B1657" s="23">
        <v>1.189006</v>
      </c>
      <c r="C1657" s="32">
        <f t="shared" si="25"/>
        <v>1.5624652989543186E-2</v>
      </c>
    </row>
    <row r="1658" spans="1:3" x14ac:dyDescent="0.6">
      <c r="A1658" s="24">
        <v>31964</v>
      </c>
      <c r="B1658" s="23">
        <v>1.1926639999999999</v>
      </c>
      <c r="C1658" s="32">
        <f t="shared" si="25"/>
        <v>3.0765193783715006E-3</v>
      </c>
    </row>
    <row r="1659" spans="1:3" x14ac:dyDescent="0.6">
      <c r="A1659" s="24">
        <v>31965</v>
      </c>
      <c r="B1659" s="23">
        <v>1.1487620000000001</v>
      </c>
      <c r="C1659" s="32">
        <f t="shared" si="25"/>
        <v>-3.6810031995599624E-2</v>
      </c>
    </row>
    <row r="1660" spans="1:3" x14ac:dyDescent="0.6">
      <c r="A1660" s="24">
        <v>31966</v>
      </c>
      <c r="B1660" s="23">
        <v>1.0902270000000001</v>
      </c>
      <c r="C1660" s="32">
        <f t="shared" si="25"/>
        <v>-5.0954854008053885E-2</v>
      </c>
    </row>
    <row r="1661" spans="1:3" x14ac:dyDescent="0.6">
      <c r="A1661" s="24">
        <v>31967</v>
      </c>
      <c r="B1661" s="23">
        <v>1.1048610000000001</v>
      </c>
      <c r="C1661" s="32">
        <f t="shared" si="25"/>
        <v>1.3422892663637942E-2</v>
      </c>
    </row>
    <row r="1662" spans="1:3" x14ac:dyDescent="0.6">
      <c r="A1662" s="24">
        <v>31968</v>
      </c>
      <c r="B1662" s="23">
        <v>1.1121780000000001</v>
      </c>
      <c r="C1662" s="32">
        <f t="shared" si="25"/>
        <v>6.6225525201812907E-3</v>
      </c>
    </row>
    <row r="1663" spans="1:3" x14ac:dyDescent="0.6">
      <c r="A1663" s="24">
        <v>31971</v>
      </c>
      <c r="B1663" s="23">
        <v>1.1853469999999999</v>
      </c>
      <c r="C1663" s="32">
        <f t="shared" si="25"/>
        <v>6.5788929469922763E-2</v>
      </c>
    </row>
    <row r="1664" spans="1:3" x14ac:dyDescent="0.6">
      <c r="A1664" s="24">
        <v>31972</v>
      </c>
      <c r="B1664" s="23">
        <v>1.258516</v>
      </c>
      <c r="C1664" s="32">
        <f t="shared" si="25"/>
        <v>6.1727915960474E-2</v>
      </c>
    </row>
    <row r="1665" spans="1:3" x14ac:dyDescent="0.6">
      <c r="A1665" s="24">
        <v>31973</v>
      </c>
      <c r="B1665" s="23">
        <v>1.287785</v>
      </c>
      <c r="C1665" s="32">
        <f t="shared" si="25"/>
        <v>2.3256756370201082E-2</v>
      </c>
    </row>
    <row r="1666" spans="1:3" x14ac:dyDescent="0.6">
      <c r="A1666" s="24">
        <v>31974</v>
      </c>
      <c r="B1666" s="23">
        <v>1.287785</v>
      </c>
      <c r="C1666" s="32">
        <f t="shared" si="25"/>
        <v>0</v>
      </c>
    </row>
    <row r="1667" spans="1:3" x14ac:dyDescent="0.6">
      <c r="A1667" s="24">
        <v>31975</v>
      </c>
      <c r="B1667" s="23">
        <v>1.2658339999999999</v>
      </c>
      <c r="C1667" s="32">
        <f t="shared" si="25"/>
        <v>-1.7045547199260769E-2</v>
      </c>
    </row>
    <row r="1668" spans="1:3" x14ac:dyDescent="0.6">
      <c r="A1668" s="24">
        <v>31978</v>
      </c>
      <c r="B1668" s="23">
        <v>1.221932</v>
      </c>
      <c r="C1668" s="32">
        <f t="shared" ref="C1668:C1731" si="26">B1668/B1667-1</f>
        <v>-3.4682272715063633E-2</v>
      </c>
    </row>
    <row r="1669" spans="1:3" x14ac:dyDescent="0.6">
      <c r="A1669" s="24">
        <v>31979</v>
      </c>
      <c r="B1669" s="23">
        <v>1.2109570000000001</v>
      </c>
      <c r="C1669" s="32">
        <f t="shared" si="26"/>
        <v>-8.9816781948586222E-3</v>
      </c>
    </row>
    <row r="1670" spans="1:3" x14ac:dyDescent="0.6">
      <c r="A1670" s="24">
        <v>31980</v>
      </c>
      <c r="B1670" s="23">
        <v>1.2438830000000001</v>
      </c>
      <c r="C1670" s="32">
        <f t="shared" si="26"/>
        <v>2.7190065378043915E-2</v>
      </c>
    </row>
    <row r="1671" spans="1:3" x14ac:dyDescent="0.6">
      <c r="A1671" s="24">
        <v>31981</v>
      </c>
      <c r="B1671" s="23">
        <v>1.221932</v>
      </c>
      <c r="C1671" s="32">
        <f t="shared" si="26"/>
        <v>-1.7647158133039853E-2</v>
      </c>
    </row>
    <row r="1672" spans="1:3" x14ac:dyDescent="0.6">
      <c r="A1672" s="24">
        <v>31982</v>
      </c>
      <c r="B1672" s="23">
        <v>1.2438830000000001</v>
      </c>
      <c r="C1672" s="32">
        <f t="shared" si="26"/>
        <v>1.7964174765862539E-2</v>
      </c>
    </row>
    <row r="1673" spans="1:3" x14ac:dyDescent="0.6">
      <c r="A1673" s="24">
        <v>31985</v>
      </c>
      <c r="B1673" s="23">
        <v>1.2365660000000001</v>
      </c>
      <c r="C1673" s="32">
        <f t="shared" si="26"/>
        <v>-5.8823860443466547E-3</v>
      </c>
    </row>
    <row r="1674" spans="1:3" x14ac:dyDescent="0.6">
      <c r="A1674" s="24">
        <v>31986</v>
      </c>
      <c r="B1674" s="23">
        <v>1.22559</v>
      </c>
      <c r="C1674" s="32">
        <f t="shared" si="26"/>
        <v>-8.8761942346790024E-3</v>
      </c>
    </row>
    <row r="1675" spans="1:3" x14ac:dyDescent="0.6">
      <c r="A1675" s="24">
        <v>31987</v>
      </c>
      <c r="B1675" s="23">
        <v>1.199981</v>
      </c>
      <c r="C1675" s="32">
        <f t="shared" si="26"/>
        <v>-2.0895242291467775E-2</v>
      </c>
    </row>
    <row r="1676" spans="1:3" x14ac:dyDescent="0.6">
      <c r="A1676" s="24">
        <v>31988</v>
      </c>
      <c r="B1676" s="23">
        <v>1.214615</v>
      </c>
      <c r="C1676" s="32">
        <f t="shared" si="26"/>
        <v>1.2195193090557277E-2</v>
      </c>
    </row>
    <row r="1677" spans="1:3" x14ac:dyDescent="0.6">
      <c r="A1677" s="24">
        <v>31989</v>
      </c>
      <c r="B1677" s="23">
        <v>1.207298</v>
      </c>
      <c r="C1677" s="32">
        <f t="shared" si="26"/>
        <v>-6.0241311032713796E-3</v>
      </c>
    </row>
    <row r="1678" spans="1:3" x14ac:dyDescent="0.6">
      <c r="A1678" s="24">
        <v>31992</v>
      </c>
      <c r="B1678" s="23">
        <v>1.1780299999999999</v>
      </c>
      <c r="C1678" s="32">
        <f t="shared" si="26"/>
        <v>-2.4242564801730815E-2</v>
      </c>
    </row>
    <row r="1679" spans="1:3" x14ac:dyDescent="0.6">
      <c r="A1679" s="24">
        <v>31993</v>
      </c>
      <c r="B1679" s="23">
        <v>1.2365660000000001</v>
      </c>
      <c r="C1679" s="32">
        <f t="shared" si="26"/>
        <v>4.9689736254594719E-2</v>
      </c>
    </row>
    <row r="1680" spans="1:3" x14ac:dyDescent="0.6">
      <c r="A1680" s="24">
        <v>31994</v>
      </c>
      <c r="B1680" s="23">
        <v>1.2658339999999999</v>
      </c>
      <c r="C1680" s="32">
        <f t="shared" si="26"/>
        <v>2.3668773037589519E-2</v>
      </c>
    </row>
    <row r="1681" spans="1:3" x14ac:dyDescent="0.6">
      <c r="A1681" s="24">
        <v>31995</v>
      </c>
      <c r="B1681" s="23">
        <v>1.3536379999999999</v>
      </c>
      <c r="C1681" s="32">
        <f t="shared" si="26"/>
        <v>6.9364545430127489E-2</v>
      </c>
    </row>
    <row r="1682" spans="1:3" x14ac:dyDescent="0.6">
      <c r="A1682" s="24">
        <v>31996</v>
      </c>
      <c r="B1682" s="23">
        <v>1.360954</v>
      </c>
      <c r="C1682" s="32">
        <f t="shared" si="26"/>
        <v>5.4046946081596214E-3</v>
      </c>
    </row>
    <row r="1683" spans="1:3" x14ac:dyDescent="0.6">
      <c r="A1683" s="24">
        <v>31999</v>
      </c>
      <c r="B1683" s="23">
        <v>1.4139949999999999</v>
      </c>
      <c r="C1683" s="32">
        <f t="shared" si="26"/>
        <v>3.8973396602677068E-2</v>
      </c>
    </row>
    <row r="1684" spans="1:3" x14ac:dyDescent="0.6">
      <c r="A1684" s="24">
        <v>32000</v>
      </c>
      <c r="B1684" s="23">
        <v>1.4506270000000001</v>
      </c>
      <c r="C1684" s="32">
        <f t="shared" si="26"/>
        <v>2.59067394156276E-2</v>
      </c>
    </row>
    <row r="1685" spans="1:3" x14ac:dyDescent="0.6">
      <c r="A1685" s="24">
        <v>32001</v>
      </c>
      <c r="B1685" s="23">
        <v>1.4286479999999999</v>
      </c>
      <c r="C1685" s="32">
        <f t="shared" si="26"/>
        <v>-1.5151379369059192E-2</v>
      </c>
    </row>
    <row r="1686" spans="1:3" x14ac:dyDescent="0.6">
      <c r="A1686" s="24">
        <v>32002</v>
      </c>
      <c r="B1686" s="23">
        <v>1.4359740000000001</v>
      </c>
      <c r="C1686" s="32">
        <f t="shared" si="26"/>
        <v>5.127925143212364E-3</v>
      </c>
    </row>
    <row r="1687" spans="1:3" x14ac:dyDescent="0.6">
      <c r="A1687" s="24">
        <v>32003</v>
      </c>
      <c r="B1687" s="23">
        <v>1.4359740000000001</v>
      </c>
      <c r="C1687" s="32">
        <f t="shared" si="26"/>
        <v>0</v>
      </c>
    </row>
    <row r="1688" spans="1:3" x14ac:dyDescent="0.6">
      <c r="A1688" s="24">
        <v>32006</v>
      </c>
      <c r="B1688" s="23">
        <v>1.4506270000000001</v>
      </c>
      <c r="C1688" s="32">
        <f t="shared" si="26"/>
        <v>1.0204223753354835E-2</v>
      </c>
    </row>
    <row r="1689" spans="1:3" x14ac:dyDescent="0.6">
      <c r="A1689" s="24">
        <v>32007</v>
      </c>
      <c r="B1689" s="23">
        <v>1.4286479999999999</v>
      </c>
      <c r="C1689" s="32">
        <f t="shared" si="26"/>
        <v>-1.5151379369059192E-2</v>
      </c>
    </row>
    <row r="1690" spans="1:3" x14ac:dyDescent="0.6">
      <c r="A1690" s="24">
        <v>32008</v>
      </c>
      <c r="B1690" s="23">
        <v>1.4652799999999999</v>
      </c>
      <c r="C1690" s="32">
        <f t="shared" si="26"/>
        <v>2.564102564102555E-2</v>
      </c>
    </row>
    <row r="1691" spans="1:3" x14ac:dyDescent="0.6">
      <c r="A1691" s="24">
        <v>32009</v>
      </c>
      <c r="B1691" s="23">
        <v>1.516564</v>
      </c>
      <c r="C1691" s="32">
        <f t="shared" si="26"/>
        <v>3.4999454029264188E-2</v>
      </c>
    </row>
    <row r="1692" spans="1:3" x14ac:dyDescent="0.6">
      <c r="A1692" s="24">
        <v>32010</v>
      </c>
      <c r="B1692" s="23">
        <v>1.5531969999999999</v>
      </c>
      <c r="C1692" s="32">
        <f t="shared" si="26"/>
        <v>2.4155261499020142E-2</v>
      </c>
    </row>
    <row r="1693" spans="1:3" x14ac:dyDescent="0.6">
      <c r="A1693" s="24">
        <v>32013</v>
      </c>
      <c r="B1693" s="23">
        <v>1.531218</v>
      </c>
      <c r="C1693" s="32">
        <f t="shared" si="26"/>
        <v>-1.4150812807390167E-2</v>
      </c>
    </row>
    <row r="1694" spans="1:3" x14ac:dyDescent="0.6">
      <c r="A1694" s="24">
        <v>32014</v>
      </c>
      <c r="B1694" s="23">
        <v>1.5238910000000001</v>
      </c>
      <c r="C1694" s="32">
        <f t="shared" si="26"/>
        <v>-4.7850795902346643E-3</v>
      </c>
    </row>
    <row r="1695" spans="1:3" x14ac:dyDescent="0.6">
      <c r="A1695" s="24">
        <v>32015</v>
      </c>
      <c r="B1695" s="23">
        <v>1.5238910000000001</v>
      </c>
      <c r="C1695" s="32">
        <f t="shared" si="26"/>
        <v>0</v>
      </c>
    </row>
    <row r="1696" spans="1:3" x14ac:dyDescent="0.6">
      <c r="A1696" s="24">
        <v>32016</v>
      </c>
      <c r="B1696" s="23">
        <v>1.5238910000000001</v>
      </c>
      <c r="C1696" s="32">
        <f t="shared" si="26"/>
        <v>0</v>
      </c>
    </row>
    <row r="1697" spans="1:3" x14ac:dyDescent="0.6">
      <c r="A1697" s="24">
        <v>32017</v>
      </c>
      <c r="B1697" s="23">
        <v>1.5238910000000001</v>
      </c>
      <c r="C1697" s="32">
        <f t="shared" si="26"/>
        <v>0</v>
      </c>
    </row>
    <row r="1698" spans="1:3" x14ac:dyDescent="0.6">
      <c r="A1698" s="24">
        <v>32020</v>
      </c>
      <c r="B1698" s="23">
        <v>1.5825020000000001</v>
      </c>
      <c r="C1698" s="32">
        <f t="shared" si="26"/>
        <v>3.8461412266362904E-2</v>
      </c>
    </row>
    <row r="1699" spans="1:3" x14ac:dyDescent="0.6">
      <c r="A1699" s="24">
        <v>32021</v>
      </c>
      <c r="B1699" s="23">
        <v>1.5385439999999999</v>
      </c>
      <c r="C1699" s="32">
        <f t="shared" si="26"/>
        <v>-2.777753203471478E-2</v>
      </c>
    </row>
    <row r="1700" spans="1:3" x14ac:dyDescent="0.6">
      <c r="A1700" s="24">
        <v>32022</v>
      </c>
      <c r="B1700" s="23">
        <v>1.5238910000000001</v>
      </c>
      <c r="C1700" s="32">
        <f t="shared" si="26"/>
        <v>-9.5239395168417174E-3</v>
      </c>
    </row>
    <row r="1701" spans="1:3" x14ac:dyDescent="0.6">
      <c r="A1701" s="24">
        <v>32023</v>
      </c>
      <c r="B1701" s="23">
        <v>1.5019119999999999</v>
      </c>
      <c r="C1701" s="32">
        <f t="shared" si="26"/>
        <v>-1.4422947573022094E-2</v>
      </c>
    </row>
    <row r="1702" spans="1:3" x14ac:dyDescent="0.6">
      <c r="A1702" s="24">
        <v>32024</v>
      </c>
      <c r="B1702" s="23">
        <v>1.4799329999999999</v>
      </c>
      <c r="C1702" s="32">
        <f t="shared" si="26"/>
        <v>-1.4634013177869276E-2</v>
      </c>
    </row>
    <row r="1703" spans="1:3" x14ac:dyDescent="0.6">
      <c r="A1703" s="24">
        <v>32028</v>
      </c>
      <c r="B1703" s="23">
        <v>1.461616</v>
      </c>
      <c r="C1703" s="32">
        <f t="shared" si="26"/>
        <v>-1.2376911657487111E-2</v>
      </c>
    </row>
    <row r="1704" spans="1:3" x14ac:dyDescent="0.6">
      <c r="A1704" s="24">
        <v>32029</v>
      </c>
      <c r="B1704" s="23">
        <v>1.5458700000000001</v>
      </c>
      <c r="C1704" s="32">
        <f t="shared" si="26"/>
        <v>5.764441549627275E-2</v>
      </c>
    </row>
    <row r="1705" spans="1:3" x14ac:dyDescent="0.6">
      <c r="A1705" s="24">
        <v>32030</v>
      </c>
      <c r="B1705" s="23">
        <v>1.5751759999999999</v>
      </c>
      <c r="C1705" s="32">
        <f t="shared" si="26"/>
        <v>1.8957609630822603E-2</v>
      </c>
    </row>
    <row r="1706" spans="1:3" x14ac:dyDescent="0.6">
      <c r="A1706" s="24">
        <v>32031</v>
      </c>
      <c r="B1706" s="23">
        <v>1.5971550000000001</v>
      </c>
      <c r="C1706" s="32">
        <f t="shared" si="26"/>
        <v>1.3953361402154529E-2</v>
      </c>
    </row>
    <row r="1707" spans="1:3" x14ac:dyDescent="0.6">
      <c r="A1707" s="24">
        <v>32034</v>
      </c>
      <c r="B1707" s="23">
        <v>1.5531969999999999</v>
      </c>
      <c r="C1707" s="32">
        <f t="shared" si="26"/>
        <v>-2.7522688780988847E-2</v>
      </c>
    </row>
    <row r="1708" spans="1:3" x14ac:dyDescent="0.6">
      <c r="A1708" s="24">
        <v>32035</v>
      </c>
      <c r="B1708" s="23">
        <v>1.516564</v>
      </c>
      <c r="C1708" s="32">
        <f t="shared" si="26"/>
        <v>-2.3585546456759809E-2</v>
      </c>
    </row>
    <row r="1709" spans="1:3" x14ac:dyDescent="0.6">
      <c r="A1709" s="24">
        <v>32036</v>
      </c>
      <c r="B1709" s="23">
        <v>1.516564</v>
      </c>
      <c r="C1709" s="32">
        <f t="shared" si="26"/>
        <v>0</v>
      </c>
    </row>
    <row r="1710" spans="1:3" x14ac:dyDescent="0.6">
      <c r="A1710" s="24">
        <v>32037</v>
      </c>
      <c r="B1710" s="23">
        <v>1.5238910000000001</v>
      </c>
      <c r="C1710" s="32">
        <f t="shared" si="26"/>
        <v>4.8313160539219524E-3</v>
      </c>
    </row>
    <row r="1711" spans="1:3" x14ac:dyDescent="0.6">
      <c r="A1711" s="24">
        <v>32038</v>
      </c>
      <c r="B1711" s="23">
        <v>1.516564</v>
      </c>
      <c r="C1711" s="32">
        <f t="shared" si="26"/>
        <v>-4.8080866676160072E-3</v>
      </c>
    </row>
    <row r="1712" spans="1:3" x14ac:dyDescent="0.6">
      <c r="A1712" s="24">
        <v>32041</v>
      </c>
      <c r="B1712" s="23">
        <v>1.4726060000000001</v>
      </c>
      <c r="C1712" s="32">
        <f t="shared" si="26"/>
        <v>-2.8985258782352696E-2</v>
      </c>
    </row>
    <row r="1713" spans="1:3" x14ac:dyDescent="0.6">
      <c r="A1713" s="24">
        <v>32042</v>
      </c>
      <c r="B1713" s="23">
        <v>1.586165</v>
      </c>
      <c r="C1713" s="32">
        <f t="shared" si="26"/>
        <v>7.7114312993427969E-2</v>
      </c>
    </row>
    <row r="1714" spans="1:3" x14ac:dyDescent="0.6">
      <c r="A1714" s="24">
        <v>32043</v>
      </c>
      <c r="B1714" s="23">
        <v>1.6191340000000001</v>
      </c>
      <c r="C1714" s="32">
        <f t="shared" si="26"/>
        <v>2.0785353352267943E-2</v>
      </c>
    </row>
    <row r="1715" spans="1:3" x14ac:dyDescent="0.6">
      <c r="A1715" s="24">
        <v>32044</v>
      </c>
      <c r="B1715" s="23">
        <v>1.6557660000000001</v>
      </c>
      <c r="C1715" s="32">
        <f t="shared" si="26"/>
        <v>2.2624439978408128E-2</v>
      </c>
    </row>
    <row r="1716" spans="1:3" x14ac:dyDescent="0.6">
      <c r="A1716" s="24">
        <v>32045</v>
      </c>
      <c r="B1716" s="23">
        <v>1.6850719999999999</v>
      </c>
      <c r="C1716" s="32">
        <f t="shared" si="26"/>
        <v>1.7699360900030436E-2</v>
      </c>
    </row>
    <row r="1717" spans="1:3" x14ac:dyDescent="0.6">
      <c r="A1717" s="24">
        <v>32048</v>
      </c>
      <c r="B1717" s="23">
        <v>1.6337870000000001</v>
      </c>
      <c r="C1717" s="32">
        <f t="shared" si="26"/>
        <v>-3.0434901297985983E-2</v>
      </c>
    </row>
    <row r="1718" spans="1:3" x14ac:dyDescent="0.6">
      <c r="A1718" s="24">
        <v>32049</v>
      </c>
      <c r="B1718" s="23">
        <v>1.5971550000000001</v>
      </c>
      <c r="C1718" s="32">
        <f t="shared" si="26"/>
        <v>-2.2421527408407527E-2</v>
      </c>
    </row>
    <row r="1719" spans="1:3" x14ac:dyDescent="0.6">
      <c r="A1719" s="24">
        <v>32050</v>
      </c>
      <c r="B1719" s="23">
        <v>1.6557660000000001</v>
      </c>
      <c r="C1719" s="32">
        <f t="shared" si="26"/>
        <v>3.6697127079087455E-2</v>
      </c>
    </row>
    <row r="1720" spans="1:3" x14ac:dyDescent="0.6">
      <c r="A1720" s="24">
        <v>32051</v>
      </c>
      <c r="B1720" s="23">
        <v>1.7070510000000001</v>
      </c>
      <c r="C1720" s="32">
        <f t="shared" si="26"/>
        <v>3.0973579600015899E-2</v>
      </c>
    </row>
    <row r="1721" spans="1:3" x14ac:dyDescent="0.6">
      <c r="A1721" s="24">
        <v>32052</v>
      </c>
      <c r="B1721" s="23">
        <v>1.714378</v>
      </c>
      <c r="C1721" s="32">
        <f t="shared" si="26"/>
        <v>4.292197479747184E-3</v>
      </c>
    </row>
    <row r="1722" spans="1:3" x14ac:dyDescent="0.6">
      <c r="A1722" s="24">
        <v>32055</v>
      </c>
      <c r="B1722" s="23">
        <v>1.7363569999999999</v>
      </c>
      <c r="C1722" s="32">
        <f t="shared" si="26"/>
        <v>1.2820393168834432E-2</v>
      </c>
    </row>
    <row r="1723" spans="1:3" x14ac:dyDescent="0.6">
      <c r="A1723" s="24">
        <v>32056</v>
      </c>
      <c r="B1723" s="23">
        <v>1.6337870000000001</v>
      </c>
      <c r="C1723" s="32">
        <f t="shared" si="26"/>
        <v>-5.9071953521078857E-2</v>
      </c>
    </row>
    <row r="1724" spans="1:3" x14ac:dyDescent="0.6">
      <c r="A1724" s="24">
        <v>32057</v>
      </c>
      <c r="B1724" s="23">
        <v>1.62646</v>
      </c>
      <c r="C1724" s="32">
        <f t="shared" si="26"/>
        <v>-4.4846727266162345E-3</v>
      </c>
    </row>
    <row r="1725" spans="1:3" x14ac:dyDescent="0.6">
      <c r="A1725" s="24">
        <v>32058</v>
      </c>
      <c r="B1725" s="23">
        <v>1.5898289999999999</v>
      </c>
      <c r="C1725" s="32">
        <f t="shared" si="26"/>
        <v>-2.2521918768368177E-2</v>
      </c>
    </row>
    <row r="1726" spans="1:3" x14ac:dyDescent="0.6">
      <c r="A1726" s="24">
        <v>32059</v>
      </c>
      <c r="B1726" s="23">
        <v>1.586165</v>
      </c>
      <c r="C1726" s="32">
        <f t="shared" si="26"/>
        <v>-2.3046503743483493E-3</v>
      </c>
    </row>
    <row r="1727" spans="1:3" x14ac:dyDescent="0.6">
      <c r="A1727" s="24">
        <v>32062</v>
      </c>
      <c r="B1727" s="23">
        <v>1.5605230000000001</v>
      </c>
      <c r="C1727" s="32">
        <f t="shared" si="26"/>
        <v>-1.616603568985564E-2</v>
      </c>
    </row>
    <row r="1728" spans="1:3" x14ac:dyDescent="0.6">
      <c r="A1728" s="24">
        <v>32063</v>
      </c>
      <c r="B1728" s="23">
        <v>1.5971550000000001</v>
      </c>
      <c r="C1728" s="32">
        <f t="shared" si="26"/>
        <v>2.3474181412257211E-2</v>
      </c>
    </row>
    <row r="1729" spans="1:3" x14ac:dyDescent="0.6">
      <c r="A1729" s="24">
        <v>32064</v>
      </c>
      <c r="B1729" s="23">
        <v>1.5605230000000001</v>
      </c>
      <c r="C1729" s="32">
        <f t="shared" si="26"/>
        <v>-2.2935782688593198E-2</v>
      </c>
    </row>
    <row r="1730" spans="1:3" x14ac:dyDescent="0.6">
      <c r="A1730" s="24">
        <v>32065</v>
      </c>
      <c r="B1730" s="23">
        <v>1.5238910000000001</v>
      </c>
      <c r="C1730" s="32">
        <f t="shared" si="26"/>
        <v>-2.3474181412257322E-2</v>
      </c>
    </row>
    <row r="1731" spans="1:3" x14ac:dyDescent="0.6">
      <c r="A1731" s="24">
        <v>32066</v>
      </c>
      <c r="B1731" s="23">
        <v>1.4139949999999999</v>
      </c>
      <c r="C1731" s="32">
        <f t="shared" si="26"/>
        <v>-7.2115394080022877E-2</v>
      </c>
    </row>
    <row r="1732" spans="1:3" x14ac:dyDescent="0.6">
      <c r="A1732" s="24">
        <v>32069</v>
      </c>
      <c r="B1732" s="23">
        <v>1.0696540000000001</v>
      </c>
      <c r="C1732" s="32">
        <f t="shared" ref="C1732:C1795" si="27">B1732/B1731-1</f>
        <v>-0.2435234919501128</v>
      </c>
    </row>
    <row r="1733" spans="1:3" x14ac:dyDescent="0.6">
      <c r="A1733" s="24">
        <v>32070</v>
      </c>
      <c r="B1733" s="23">
        <v>1.0110429999999999</v>
      </c>
      <c r="C1733" s="32">
        <f t="shared" si="27"/>
        <v>-5.4794354062154826E-2</v>
      </c>
    </row>
    <row r="1734" spans="1:3" x14ac:dyDescent="0.6">
      <c r="A1734" s="24">
        <v>32071</v>
      </c>
      <c r="B1734" s="23">
        <v>1.186877</v>
      </c>
      <c r="C1734" s="32">
        <f t="shared" si="27"/>
        <v>0.17391347351200692</v>
      </c>
    </row>
    <row r="1735" spans="1:3" x14ac:dyDescent="0.6">
      <c r="A1735" s="24">
        <v>32072</v>
      </c>
      <c r="B1735" s="23">
        <v>1.076981</v>
      </c>
      <c r="C1735" s="32">
        <f t="shared" si="27"/>
        <v>-9.2592576989865005E-2</v>
      </c>
    </row>
    <row r="1736" spans="1:3" x14ac:dyDescent="0.6">
      <c r="A1736" s="24">
        <v>32073</v>
      </c>
      <c r="B1736" s="23">
        <v>1.040349</v>
      </c>
      <c r="C1736" s="32">
        <f t="shared" si="27"/>
        <v>-3.4013599125704119E-2</v>
      </c>
    </row>
    <row r="1737" spans="1:3" x14ac:dyDescent="0.6">
      <c r="A1737" s="24">
        <v>32076</v>
      </c>
      <c r="B1737" s="23">
        <v>0.82055699999999998</v>
      </c>
      <c r="C1737" s="32">
        <f t="shared" si="27"/>
        <v>-0.21126756501904653</v>
      </c>
    </row>
    <row r="1738" spans="1:3" x14ac:dyDescent="0.6">
      <c r="A1738" s="24">
        <v>32077</v>
      </c>
      <c r="B1738" s="23">
        <v>0.886494</v>
      </c>
      <c r="C1738" s="32">
        <f t="shared" si="27"/>
        <v>8.0356392060515036E-2</v>
      </c>
    </row>
    <row r="1739" spans="1:3" x14ac:dyDescent="0.6">
      <c r="A1739" s="24">
        <v>32078</v>
      </c>
      <c r="B1739" s="23">
        <v>0.981738</v>
      </c>
      <c r="C1739" s="32">
        <f t="shared" si="27"/>
        <v>0.10743896743801984</v>
      </c>
    </row>
    <row r="1740" spans="1:3" x14ac:dyDescent="0.6">
      <c r="A1740" s="24">
        <v>32079</v>
      </c>
      <c r="B1740" s="23">
        <v>1.1575709999999999</v>
      </c>
      <c r="C1740" s="32">
        <f t="shared" si="27"/>
        <v>0.17910379347646721</v>
      </c>
    </row>
    <row r="1741" spans="1:3" x14ac:dyDescent="0.6">
      <c r="A1741" s="24">
        <v>32080</v>
      </c>
      <c r="B1741" s="23">
        <v>1.131929</v>
      </c>
      <c r="C1741" s="32">
        <f t="shared" si="27"/>
        <v>-2.2151557010325895E-2</v>
      </c>
    </row>
    <row r="1742" spans="1:3" x14ac:dyDescent="0.6">
      <c r="A1742" s="24">
        <v>32083</v>
      </c>
      <c r="B1742" s="23">
        <v>1.1355919999999999</v>
      </c>
      <c r="C1742" s="32">
        <f t="shared" si="27"/>
        <v>3.2360686933543548E-3</v>
      </c>
    </row>
    <row r="1743" spans="1:3" x14ac:dyDescent="0.6">
      <c r="A1743" s="24">
        <v>32084</v>
      </c>
      <c r="B1743" s="23">
        <v>1.0623279999999999</v>
      </c>
      <c r="C1743" s="32">
        <f t="shared" si="27"/>
        <v>-6.4516129032258118E-2</v>
      </c>
    </row>
    <row r="1744" spans="1:3" x14ac:dyDescent="0.6">
      <c r="A1744" s="24">
        <v>32085</v>
      </c>
      <c r="B1744" s="23">
        <v>1.0550010000000001</v>
      </c>
      <c r="C1744" s="32">
        <f t="shared" si="27"/>
        <v>-6.8971165214508634E-3</v>
      </c>
    </row>
    <row r="1745" spans="1:3" x14ac:dyDescent="0.6">
      <c r="A1745" s="24">
        <v>32086</v>
      </c>
      <c r="B1745" s="23">
        <v>1.113613</v>
      </c>
      <c r="C1745" s="32">
        <f t="shared" si="27"/>
        <v>5.5556345444222277E-2</v>
      </c>
    </row>
    <row r="1746" spans="1:3" x14ac:dyDescent="0.6">
      <c r="A1746" s="24">
        <v>32087</v>
      </c>
      <c r="B1746" s="23">
        <v>1.1062860000000001</v>
      </c>
      <c r="C1746" s="32">
        <f t="shared" si="27"/>
        <v>-6.5794849736846572E-3</v>
      </c>
    </row>
    <row r="1747" spans="1:3" x14ac:dyDescent="0.6">
      <c r="A1747" s="24">
        <v>32090</v>
      </c>
      <c r="B1747" s="23">
        <v>1.091634</v>
      </c>
      <c r="C1747" s="32">
        <f t="shared" si="27"/>
        <v>-1.3244314761282405E-2</v>
      </c>
    </row>
    <row r="1748" spans="1:3" x14ac:dyDescent="0.6">
      <c r="A1748" s="24">
        <v>32091</v>
      </c>
      <c r="B1748" s="23">
        <v>1.0623279999999999</v>
      </c>
      <c r="C1748" s="32">
        <f t="shared" si="27"/>
        <v>-2.6845994170207277E-2</v>
      </c>
    </row>
    <row r="1749" spans="1:3" x14ac:dyDescent="0.6">
      <c r="A1749" s="24">
        <v>32092</v>
      </c>
      <c r="B1749" s="23">
        <v>1.091634</v>
      </c>
      <c r="C1749" s="32">
        <f t="shared" si="27"/>
        <v>2.7586583428093725E-2</v>
      </c>
    </row>
    <row r="1750" spans="1:3" x14ac:dyDescent="0.6">
      <c r="A1750" s="24">
        <v>32093</v>
      </c>
      <c r="B1750" s="23">
        <v>1.1355919999999999</v>
      </c>
      <c r="C1750" s="32">
        <f t="shared" si="27"/>
        <v>4.0268075197364528E-2</v>
      </c>
    </row>
    <row r="1751" spans="1:3" x14ac:dyDescent="0.6">
      <c r="A1751" s="24">
        <v>32094</v>
      </c>
      <c r="B1751" s="23">
        <v>1.091634</v>
      </c>
      <c r="C1751" s="32">
        <f t="shared" si="27"/>
        <v>-3.870932518017034E-2</v>
      </c>
    </row>
    <row r="1752" spans="1:3" x14ac:dyDescent="0.6">
      <c r="A1752" s="24">
        <v>32097</v>
      </c>
      <c r="B1752" s="23">
        <v>1.076981</v>
      </c>
      <c r="C1752" s="32">
        <f t="shared" si="27"/>
        <v>-1.3422997085103638E-2</v>
      </c>
    </row>
    <row r="1753" spans="1:3" x14ac:dyDescent="0.6">
      <c r="A1753" s="24">
        <v>32098</v>
      </c>
      <c r="B1753" s="23">
        <v>1.027936</v>
      </c>
      <c r="C1753" s="32">
        <f t="shared" si="27"/>
        <v>-4.5539336348552117E-2</v>
      </c>
    </row>
    <row r="1754" spans="1:3" x14ac:dyDescent="0.6">
      <c r="A1754" s="24">
        <v>32099</v>
      </c>
      <c r="B1754" s="23">
        <v>1.064648</v>
      </c>
      <c r="C1754" s="32">
        <f t="shared" si="27"/>
        <v>3.5714285714285809E-2</v>
      </c>
    </row>
    <row r="1755" spans="1:3" x14ac:dyDescent="0.6">
      <c r="A1755" s="24">
        <v>32100</v>
      </c>
      <c r="B1755" s="23">
        <v>1.0132509999999999</v>
      </c>
      <c r="C1755" s="32">
        <f t="shared" si="27"/>
        <v>-4.8276049924482201E-2</v>
      </c>
    </row>
    <row r="1756" spans="1:3" x14ac:dyDescent="0.6">
      <c r="A1756" s="24">
        <v>32101</v>
      </c>
      <c r="B1756" s="23">
        <v>1.042621</v>
      </c>
      <c r="C1756" s="32">
        <f t="shared" si="27"/>
        <v>2.8985907736582606E-2</v>
      </c>
    </row>
    <row r="1757" spans="1:3" x14ac:dyDescent="0.6">
      <c r="A1757" s="24">
        <v>32104</v>
      </c>
      <c r="B1757" s="23">
        <v>1.064648</v>
      </c>
      <c r="C1757" s="32">
        <f t="shared" si="27"/>
        <v>2.1126564686496874E-2</v>
      </c>
    </row>
    <row r="1758" spans="1:3" x14ac:dyDescent="0.6">
      <c r="A1758" s="24">
        <v>32105</v>
      </c>
      <c r="B1758" s="23">
        <v>1.0866750000000001</v>
      </c>
      <c r="C1758" s="32">
        <f t="shared" si="27"/>
        <v>2.0689467316897137E-2</v>
      </c>
    </row>
    <row r="1759" spans="1:3" x14ac:dyDescent="0.6">
      <c r="A1759" s="24">
        <v>32106</v>
      </c>
      <c r="B1759" s="23">
        <v>1.07199</v>
      </c>
      <c r="C1759" s="32">
        <f t="shared" si="27"/>
        <v>-1.3513700048312538E-2</v>
      </c>
    </row>
    <row r="1760" spans="1:3" x14ac:dyDescent="0.6">
      <c r="A1760" s="24">
        <v>32108</v>
      </c>
      <c r="B1760" s="23">
        <v>1.027936</v>
      </c>
      <c r="C1760" s="32">
        <f t="shared" si="27"/>
        <v>-4.1095532607580365E-2</v>
      </c>
    </row>
    <row r="1761" spans="1:3" x14ac:dyDescent="0.6">
      <c r="A1761" s="24">
        <v>32111</v>
      </c>
      <c r="B1761" s="23">
        <v>0.96919699999999998</v>
      </c>
      <c r="C1761" s="32">
        <f t="shared" si="27"/>
        <v>-5.7142662578214987E-2</v>
      </c>
    </row>
    <row r="1762" spans="1:3" x14ac:dyDescent="0.6">
      <c r="A1762" s="24">
        <v>32112</v>
      </c>
      <c r="B1762" s="23">
        <v>0.97653900000000005</v>
      </c>
      <c r="C1762" s="32">
        <f t="shared" si="27"/>
        <v>7.5753432996594761E-3</v>
      </c>
    </row>
    <row r="1763" spans="1:3" x14ac:dyDescent="0.6">
      <c r="A1763" s="24">
        <v>32113</v>
      </c>
      <c r="B1763" s="23">
        <v>0.95451200000000003</v>
      </c>
      <c r="C1763" s="32">
        <f t="shared" si="27"/>
        <v>-2.255619079217519E-2</v>
      </c>
    </row>
    <row r="1764" spans="1:3" x14ac:dyDescent="0.6">
      <c r="A1764" s="24">
        <v>32114</v>
      </c>
      <c r="B1764" s="23">
        <v>0.89577300000000004</v>
      </c>
      <c r="C1764" s="32">
        <f t="shared" si="27"/>
        <v>-6.1538252007308447E-2</v>
      </c>
    </row>
    <row r="1765" spans="1:3" x14ac:dyDescent="0.6">
      <c r="A1765" s="24">
        <v>32115</v>
      </c>
      <c r="B1765" s="23">
        <v>0.903115</v>
      </c>
      <c r="C1765" s="32">
        <f t="shared" si="27"/>
        <v>8.1962729396845013E-3</v>
      </c>
    </row>
    <row r="1766" spans="1:3" x14ac:dyDescent="0.6">
      <c r="A1766" s="24">
        <v>32118</v>
      </c>
      <c r="B1766" s="23">
        <v>0.96919699999999998</v>
      </c>
      <c r="C1766" s="32">
        <f t="shared" si="27"/>
        <v>7.3171190822874044E-2</v>
      </c>
    </row>
    <row r="1767" spans="1:3" x14ac:dyDescent="0.6">
      <c r="A1767" s="24">
        <v>32119</v>
      </c>
      <c r="B1767" s="23">
        <v>1.0132509999999999</v>
      </c>
      <c r="C1767" s="32">
        <f t="shared" si="27"/>
        <v>4.5454123361917009E-2</v>
      </c>
    </row>
    <row r="1768" spans="1:3" x14ac:dyDescent="0.6">
      <c r="A1768" s="24">
        <v>32120</v>
      </c>
      <c r="B1768" s="23">
        <v>1.027936</v>
      </c>
      <c r="C1768" s="32">
        <f t="shared" si="27"/>
        <v>1.4492953868291414E-2</v>
      </c>
    </row>
    <row r="1769" spans="1:3" x14ac:dyDescent="0.6">
      <c r="A1769" s="24">
        <v>32121</v>
      </c>
      <c r="B1769" s="23">
        <v>1.020594</v>
      </c>
      <c r="C1769" s="32">
        <f t="shared" si="27"/>
        <v>-7.1424680135727669E-3</v>
      </c>
    </row>
    <row r="1770" spans="1:3" x14ac:dyDescent="0.6">
      <c r="A1770" s="24">
        <v>32122</v>
      </c>
      <c r="B1770" s="23">
        <v>0.99856599999999995</v>
      </c>
      <c r="C1770" s="32">
        <f t="shared" si="27"/>
        <v>-2.1583509211302476E-2</v>
      </c>
    </row>
    <row r="1771" spans="1:3" x14ac:dyDescent="0.6">
      <c r="A1771" s="24">
        <v>32125</v>
      </c>
      <c r="B1771" s="23">
        <v>1.094017</v>
      </c>
      <c r="C1771" s="32">
        <f t="shared" si="27"/>
        <v>9.5588073297108167E-2</v>
      </c>
    </row>
    <row r="1772" spans="1:3" x14ac:dyDescent="0.6">
      <c r="A1772" s="24">
        <v>32126</v>
      </c>
      <c r="B1772" s="23">
        <v>1.1013599999999999</v>
      </c>
      <c r="C1772" s="32">
        <f t="shared" si="27"/>
        <v>6.7119615143089728E-3</v>
      </c>
    </row>
    <row r="1773" spans="1:3" x14ac:dyDescent="0.6">
      <c r="A1773" s="24">
        <v>32127</v>
      </c>
      <c r="B1773" s="23">
        <v>1.152757</v>
      </c>
      <c r="C1773" s="32">
        <f t="shared" si="27"/>
        <v>4.6666848260332738E-2</v>
      </c>
    </row>
    <row r="1774" spans="1:3" x14ac:dyDescent="0.6">
      <c r="A1774" s="24">
        <v>32128</v>
      </c>
      <c r="B1774" s="23">
        <v>1.152757</v>
      </c>
      <c r="C1774" s="32">
        <f t="shared" si="27"/>
        <v>0</v>
      </c>
    </row>
    <row r="1775" spans="1:3" x14ac:dyDescent="0.6">
      <c r="A1775" s="24">
        <v>32129</v>
      </c>
      <c r="B1775" s="23">
        <v>1.189468</v>
      </c>
      <c r="C1775" s="32">
        <f t="shared" si="27"/>
        <v>3.1846260747061095E-2</v>
      </c>
    </row>
    <row r="1776" spans="1:3" x14ac:dyDescent="0.6">
      <c r="A1776" s="24">
        <v>32132</v>
      </c>
      <c r="B1776" s="23">
        <v>1.226181</v>
      </c>
      <c r="C1776" s="32">
        <f t="shared" si="27"/>
        <v>3.0865059001166983E-2</v>
      </c>
    </row>
    <row r="1777" spans="1:3" x14ac:dyDescent="0.6">
      <c r="A1777" s="24">
        <v>32133</v>
      </c>
      <c r="B1777" s="23">
        <v>1.2188380000000001</v>
      </c>
      <c r="C1777" s="32">
        <f t="shared" si="27"/>
        <v>-5.9885122995706475E-3</v>
      </c>
    </row>
    <row r="1778" spans="1:3" x14ac:dyDescent="0.6">
      <c r="A1778" s="24">
        <v>32134</v>
      </c>
      <c r="B1778" s="23">
        <v>1.2408650000000001</v>
      </c>
      <c r="C1778" s="32">
        <f t="shared" si="27"/>
        <v>1.8072130996900304E-2</v>
      </c>
    </row>
    <row r="1779" spans="1:3" x14ac:dyDescent="0.6">
      <c r="A1779" s="24">
        <v>32135</v>
      </c>
      <c r="B1779" s="23">
        <v>1.251879</v>
      </c>
      <c r="C1779" s="32">
        <f t="shared" si="27"/>
        <v>8.876066292465179E-3</v>
      </c>
    </row>
    <row r="1780" spans="1:3" x14ac:dyDescent="0.6">
      <c r="A1780" s="24">
        <v>32139</v>
      </c>
      <c r="B1780" s="23">
        <v>1.182126</v>
      </c>
      <c r="C1780" s="32">
        <f t="shared" si="27"/>
        <v>-5.5718643734737894E-2</v>
      </c>
    </row>
    <row r="1781" spans="1:3" x14ac:dyDescent="0.6">
      <c r="A1781" s="24">
        <v>32140</v>
      </c>
      <c r="B1781" s="23">
        <v>1.2371939999999999</v>
      </c>
      <c r="C1781" s="32">
        <f t="shared" si="27"/>
        <v>4.6583866694413167E-2</v>
      </c>
    </row>
    <row r="1782" spans="1:3" x14ac:dyDescent="0.6">
      <c r="A1782" s="24">
        <v>32141</v>
      </c>
      <c r="B1782" s="23">
        <v>1.273906</v>
      </c>
      <c r="C1782" s="32">
        <f t="shared" si="27"/>
        <v>2.9673600098286901E-2</v>
      </c>
    </row>
    <row r="1783" spans="1:3" x14ac:dyDescent="0.6">
      <c r="A1783" s="24">
        <v>32142</v>
      </c>
      <c r="B1783" s="23">
        <v>1.2335229999999999</v>
      </c>
      <c r="C1783" s="32">
        <f t="shared" si="27"/>
        <v>-3.1700141140712179E-2</v>
      </c>
    </row>
    <row r="1784" spans="1:3" x14ac:dyDescent="0.6">
      <c r="A1784" s="24">
        <v>32146</v>
      </c>
      <c r="B1784" s="23">
        <v>1.314289</v>
      </c>
      <c r="C1784" s="32">
        <f t="shared" si="27"/>
        <v>6.5475876817862488E-2</v>
      </c>
    </row>
    <row r="1785" spans="1:3" x14ac:dyDescent="0.6">
      <c r="A1785" s="24">
        <v>32147</v>
      </c>
      <c r="B1785" s="23">
        <v>1.3106180000000001</v>
      </c>
      <c r="C1785" s="32">
        <f t="shared" si="27"/>
        <v>-2.793145191050006E-3</v>
      </c>
    </row>
    <row r="1786" spans="1:3" x14ac:dyDescent="0.6">
      <c r="A1786" s="24">
        <v>32148</v>
      </c>
      <c r="B1786" s="23">
        <v>1.2849200000000001</v>
      </c>
      <c r="C1786" s="32">
        <f t="shared" si="27"/>
        <v>-1.960754392202757E-2</v>
      </c>
    </row>
    <row r="1787" spans="1:3" x14ac:dyDescent="0.6">
      <c r="A1787" s="24">
        <v>32149</v>
      </c>
      <c r="B1787" s="23">
        <v>1.3069470000000001</v>
      </c>
      <c r="C1787" s="32">
        <f t="shared" si="27"/>
        <v>1.7142701491143386E-2</v>
      </c>
    </row>
    <row r="1788" spans="1:3" x14ac:dyDescent="0.6">
      <c r="A1788" s="24">
        <v>32150</v>
      </c>
      <c r="B1788" s="23">
        <v>1.1747840000000001</v>
      </c>
      <c r="C1788" s="32">
        <f t="shared" si="27"/>
        <v>-0.10112345795200572</v>
      </c>
    </row>
    <row r="1789" spans="1:3" x14ac:dyDescent="0.6">
      <c r="A1789" s="24">
        <v>32153</v>
      </c>
      <c r="B1789" s="23">
        <v>1.248208</v>
      </c>
      <c r="C1789" s="32">
        <f t="shared" si="27"/>
        <v>6.25E-2</v>
      </c>
    </row>
    <row r="1790" spans="1:3" x14ac:dyDescent="0.6">
      <c r="A1790" s="24">
        <v>32154</v>
      </c>
      <c r="B1790" s="23">
        <v>1.2335229999999999</v>
      </c>
      <c r="C1790" s="32">
        <f t="shared" si="27"/>
        <v>-1.1764866112058292E-2</v>
      </c>
    </row>
    <row r="1791" spans="1:3" x14ac:dyDescent="0.6">
      <c r="A1791" s="24">
        <v>32155</v>
      </c>
      <c r="B1791" s="23">
        <v>1.2408650000000001</v>
      </c>
      <c r="C1791" s="32">
        <f t="shared" si="27"/>
        <v>5.9520576430274197E-3</v>
      </c>
    </row>
    <row r="1792" spans="1:3" x14ac:dyDescent="0.6">
      <c r="A1792" s="24">
        <v>32156</v>
      </c>
      <c r="B1792" s="23">
        <v>1.2408650000000001</v>
      </c>
      <c r="C1792" s="32">
        <f t="shared" si="27"/>
        <v>0</v>
      </c>
    </row>
    <row r="1793" spans="1:3" x14ac:dyDescent="0.6">
      <c r="A1793" s="24">
        <v>32157</v>
      </c>
      <c r="B1793" s="23">
        <v>1.2592220000000001</v>
      </c>
      <c r="C1793" s="32">
        <f t="shared" si="27"/>
        <v>1.4793712450588803E-2</v>
      </c>
    </row>
    <row r="1794" spans="1:3" x14ac:dyDescent="0.6">
      <c r="A1794" s="24">
        <v>32160</v>
      </c>
      <c r="B1794" s="23">
        <v>1.2555499999999999</v>
      </c>
      <c r="C1794" s="32">
        <f t="shared" si="27"/>
        <v>-2.9160862818471411E-3</v>
      </c>
    </row>
    <row r="1795" spans="1:3" x14ac:dyDescent="0.6">
      <c r="A1795" s="24">
        <v>32161</v>
      </c>
      <c r="B1795" s="23">
        <v>1.2555499999999999</v>
      </c>
      <c r="C1795" s="32">
        <f t="shared" si="27"/>
        <v>0</v>
      </c>
    </row>
    <row r="1796" spans="1:3" x14ac:dyDescent="0.6">
      <c r="A1796" s="24">
        <v>32162</v>
      </c>
      <c r="B1796" s="23">
        <v>1.167441</v>
      </c>
      <c r="C1796" s="32">
        <f t="shared" ref="C1796:C1859" si="28">B1796/B1795-1</f>
        <v>-7.017562024610724E-2</v>
      </c>
    </row>
    <row r="1797" spans="1:3" x14ac:dyDescent="0.6">
      <c r="A1797" s="24">
        <v>32163</v>
      </c>
      <c r="B1797" s="23">
        <v>1.178455</v>
      </c>
      <c r="C1797" s="32">
        <f t="shared" si="28"/>
        <v>9.4343097424196554E-3</v>
      </c>
    </row>
    <row r="1798" spans="1:3" x14ac:dyDescent="0.6">
      <c r="A1798" s="24">
        <v>32164</v>
      </c>
      <c r="B1798" s="23">
        <v>1.152757</v>
      </c>
      <c r="C1798" s="32">
        <f t="shared" si="28"/>
        <v>-2.1806517856006402E-2</v>
      </c>
    </row>
    <row r="1799" spans="1:3" x14ac:dyDescent="0.6">
      <c r="A1799" s="24">
        <v>32167</v>
      </c>
      <c r="B1799" s="23">
        <v>1.200482</v>
      </c>
      <c r="C1799" s="32">
        <f t="shared" si="28"/>
        <v>4.1400746211040174E-2</v>
      </c>
    </row>
    <row r="1800" spans="1:3" x14ac:dyDescent="0.6">
      <c r="A1800" s="24">
        <v>32168</v>
      </c>
      <c r="B1800" s="23">
        <v>1.167441</v>
      </c>
      <c r="C1800" s="32">
        <f t="shared" si="28"/>
        <v>-2.7523111550194046E-2</v>
      </c>
    </row>
    <row r="1801" spans="1:3" x14ac:dyDescent="0.6">
      <c r="A1801" s="24">
        <v>32169</v>
      </c>
      <c r="B1801" s="23">
        <v>1.167441</v>
      </c>
      <c r="C1801" s="32">
        <f t="shared" si="28"/>
        <v>0</v>
      </c>
    </row>
    <row r="1802" spans="1:3" x14ac:dyDescent="0.6">
      <c r="A1802" s="24">
        <v>32170</v>
      </c>
      <c r="B1802" s="23">
        <v>1.2114959999999999</v>
      </c>
      <c r="C1802" s="32">
        <f t="shared" si="28"/>
        <v>3.7736382395341606E-2</v>
      </c>
    </row>
    <row r="1803" spans="1:3" x14ac:dyDescent="0.6">
      <c r="A1803" s="24">
        <v>32171</v>
      </c>
      <c r="B1803" s="23">
        <v>1.2188380000000001</v>
      </c>
      <c r="C1803" s="32">
        <f t="shared" si="28"/>
        <v>6.0602758903043341E-3</v>
      </c>
    </row>
    <row r="1804" spans="1:3" x14ac:dyDescent="0.6">
      <c r="A1804" s="24">
        <v>32174</v>
      </c>
      <c r="B1804" s="23">
        <v>1.226181</v>
      </c>
      <c r="C1804" s="32">
        <f t="shared" si="28"/>
        <v>6.0245906346862999E-3</v>
      </c>
    </row>
    <row r="1805" spans="1:3" x14ac:dyDescent="0.6">
      <c r="A1805" s="24">
        <v>32175</v>
      </c>
      <c r="B1805" s="23">
        <v>1.2114959999999999</v>
      </c>
      <c r="C1805" s="32">
        <f t="shared" si="28"/>
        <v>-1.1976209058858434E-2</v>
      </c>
    </row>
    <row r="1806" spans="1:3" x14ac:dyDescent="0.6">
      <c r="A1806" s="24">
        <v>32176</v>
      </c>
      <c r="B1806" s="23">
        <v>1.160099</v>
      </c>
      <c r="C1806" s="32">
        <f t="shared" si="28"/>
        <v>-4.2424407509393247E-2</v>
      </c>
    </row>
    <row r="1807" spans="1:3" x14ac:dyDescent="0.6">
      <c r="A1807" s="24">
        <v>32177</v>
      </c>
      <c r="B1807" s="23">
        <v>1.167441</v>
      </c>
      <c r="C1807" s="32">
        <f t="shared" si="28"/>
        <v>6.328770217024493E-3</v>
      </c>
    </row>
    <row r="1808" spans="1:3" x14ac:dyDescent="0.6">
      <c r="A1808" s="24">
        <v>32178</v>
      </c>
      <c r="B1808" s="23">
        <v>1.134401</v>
      </c>
      <c r="C1808" s="32">
        <f t="shared" si="28"/>
        <v>-2.8301216078585489E-2</v>
      </c>
    </row>
    <row r="1809" spans="1:3" x14ac:dyDescent="0.6">
      <c r="A1809" s="24">
        <v>32181</v>
      </c>
      <c r="B1809" s="23">
        <v>1.138072</v>
      </c>
      <c r="C1809" s="32">
        <f t="shared" si="28"/>
        <v>3.2360690796287006E-3</v>
      </c>
    </row>
    <row r="1810" spans="1:3" x14ac:dyDescent="0.6">
      <c r="A1810" s="24">
        <v>32182</v>
      </c>
      <c r="B1810" s="23">
        <v>1.167441</v>
      </c>
      <c r="C1810" s="32">
        <f t="shared" si="28"/>
        <v>2.5805924405485792E-2</v>
      </c>
    </row>
    <row r="1811" spans="1:3" x14ac:dyDescent="0.6">
      <c r="A1811" s="24">
        <v>32183</v>
      </c>
      <c r="B1811" s="23">
        <v>1.204153</v>
      </c>
      <c r="C1811" s="32">
        <f t="shared" si="28"/>
        <v>3.1446557042283052E-2</v>
      </c>
    </row>
    <row r="1812" spans="1:3" x14ac:dyDescent="0.6">
      <c r="A1812" s="24">
        <v>32184</v>
      </c>
      <c r="B1812" s="23">
        <v>1.1931400000000001</v>
      </c>
      <c r="C1812" s="32">
        <f t="shared" si="28"/>
        <v>-9.1458477452615039E-3</v>
      </c>
    </row>
    <row r="1813" spans="1:3" x14ac:dyDescent="0.6">
      <c r="A1813" s="24">
        <v>32185</v>
      </c>
      <c r="B1813" s="23">
        <v>1.2065319999999999</v>
      </c>
      <c r="C1813" s="32">
        <f t="shared" si="28"/>
        <v>1.12241648088236E-2</v>
      </c>
    </row>
    <row r="1814" spans="1:3" x14ac:dyDescent="0.6">
      <c r="A1814" s="24">
        <v>32189</v>
      </c>
      <c r="B1814" s="23">
        <v>1.213889</v>
      </c>
      <c r="C1814" s="32">
        <f t="shared" si="28"/>
        <v>6.0976418362712614E-3</v>
      </c>
    </row>
    <row r="1815" spans="1:3" x14ac:dyDescent="0.6">
      <c r="A1815" s="24">
        <v>32190</v>
      </c>
      <c r="B1815" s="23">
        <v>1.232281</v>
      </c>
      <c r="C1815" s="32">
        <f t="shared" si="28"/>
        <v>1.5151302960979107E-2</v>
      </c>
    </row>
    <row r="1816" spans="1:3" x14ac:dyDescent="0.6">
      <c r="A1816" s="24">
        <v>32191</v>
      </c>
      <c r="B1816" s="23">
        <v>1.2286029999999999</v>
      </c>
      <c r="C1816" s="32">
        <f t="shared" si="28"/>
        <v>-2.9847088448170522E-3</v>
      </c>
    </row>
    <row r="1817" spans="1:3" x14ac:dyDescent="0.6">
      <c r="A1817" s="24">
        <v>32192</v>
      </c>
      <c r="B1817" s="23">
        <v>1.2286029999999999</v>
      </c>
      <c r="C1817" s="32">
        <f t="shared" si="28"/>
        <v>0</v>
      </c>
    </row>
    <row r="1818" spans="1:3" x14ac:dyDescent="0.6">
      <c r="A1818" s="24">
        <v>32195</v>
      </c>
      <c r="B1818" s="23">
        <v>1.2727440000000001</v>
      </c>
      <c r="C1818" s="32">
        <f t="shared" si="28"/>
        <v>3.5927797669385697E-2</v>
      </c>
    </row>
    <row r="1819" spans="1:3" x14ac:dyDescent="0.6">
      <c r="A1819" s="24">
        <v>32196</v>
      </c>
      <c r="B1819" s="23">
        <v>1.25803</v>
      </c>
      <c r="C1819" s="32">
        <f t="shared" si="28"/>
        <v>-1.1560848057425632E-2</v>
      </c>
    </row>
    <row r="1820" spans="1:3" x14ac:dyDescent="0.6">
      <c r="A1820" s="24">
        <v>32197</v>
      </c>
      <c r="B1820" s="23">
        <v>1.2433160000000001</v>
      </c>
      <c r="C1820" s="32">
        <f t="shared" si="28"/>
        <v>-1.1696064481769075E-2</v>
      </c>
    </row>
    <row r="1821" spans="1:3" x14ac:dyDescent="0.6">
      <c r="A1821" s="24">
        <v>32198</v>
      </c>
      <c r="B1821" s="23">
        <v>1.2286029999999999</v>
      </c>
      <c r="C1821" s="32">
        <f t="shared" si="28"/>
        <v>-1.1833677037856982E-2</v>
      </c>
    </row>
    <row r="1822" spans="1:3" x14ac:dyDescent="0.6">
      <c r="A1822" s="24">
        <v>32199</v>
      </c>
      <c r="B1822" s="23">
        <v>1.2286029999999999</v>
      </c>
      <c r="C1822" s="32">
        <f t="shared" si="28"/>
        <v>0</v>
      </c>
    </row>
    <row r="1823" spans="1:3" x14ac:dyDescent="0.6">
      <c r="A1823" s="24">
        <v>32202</v>
      </c>
      <c r="B1823" s="23">
        <v>1.265387</v>
      </c>
      <c r="C1823" s="32">
        <f t="shared" si="28"/>
        <v>2.993969573572608E-2</v>
      </c>
    </row>
    <row r="1824" spans="1:3" x14ac:dyDescent="0.6">
      <c r="A1824" s="24">
        <v>32203</v>
      </c>
      <c r="B1824" s="23">
        <v>1.2727440000000001</v>
      </c>
      <c r="C1824" s="32">
        <f t="shared" si="28"/>
        <v>5.8140315966577205E-3</v>
      </c>
    </row>
    <row r="1825" spans="1:3" x14ac:dyDescent="0.6">
      <c r="A1825" s="24">
        <v>32204</v>
      </c>
      <c r="B1825" s="23">
        <v>1.3168850000000001</v>
      </c>
      <c r="C1825" s="32">
        <f t="shared" si="28"/>
        <v>3.4681758468317225E-2</v>
      </c>
    </row>
    <row r="1826" spans="1:3" x14ac:dyDescent="0.6">
      <c r="A1826" s="24">
        <v>32205</v>
      </c>
      <c r="B1826" s="23">
        <v>1.368384</v>
      </c>
      <c r="C1826" s="32">
        <f t="shared" si="28"/>
        <v>3.9106679778416531E-2</v>
      </c>
    </row>
    <row r="1827" spans="1:3" x14ac:dyDescent="0.6">
      <c r="A1827" s="24">
        <v>32206</v>
      </c>
      <c r="B1827" s="23">
        <v>1.379419</v>
      </c>
      <c r="C1827" s="32">
        <f t="shared" si="28"/>
        <v>8.0642568167998974E-3</v>
      </c>
    </row>
    <row r="1828" spans="1:3" x14ac:dyDescent="0.6">
      <c r="A1828" s="24">
        <v>32209</v>
      </c>
      <c r="B1828" s="23">
        <v>1.379419</v>
      </c>
      <c r="C1828" s="32">
        <f t="shared" si="28"/>
        <v>0</v>
      </c>
    </row>
    <row r="1829" spans="1:3" x14ac:dyDescent="0.6">
      <c r="A1829" s="24">
        <v>32210</v>
      </c>
      <c r="B1829" s="23">
        <v>1.361027</v>
      </c>
      <c r="C1829" s="32">
        <f t="shared" si="28"/>
        <v>-1.333314968113386E-2</v>
      </c>
    </row>
    <row r="1830" spans="1:3" x14ac:dyDescent="0.6">
      <c r="A1830" s="24">
        <v>32211</v>
      </c>
      <c r="B1830" s="23">
        <v>1.37574</v>
      </c>
      <c r="C1830" s="32">
        <f t="shared" si="28"/>
        <v>1.0810219047821867E-2</v>
      </c>
    </row>
    <row r="1831" spans="1:3" x14ac:dyDescent="0.6">
      <c r="A1831" s="24">
        <v>32212</v>
      </c>
      <c r="B1831" s="23">
        <v>1.331599</v>
      </c>
      <c r="C1831" s="32">
        <f t="shared" si="28"/>
        <v>-3.208527774143366E-2</v>
      </c>
    </row>
    <row r="1832" spans="1:3" x14ac:dyDescent="0.6">
      <c r="A1832" s="24">
        <v>32213</v>
      </c>
      <c r="B1832" s="23">
        <v>1.3463130000000001</v>
      </c>
      <c r="C1832" s="32">
        <f t="shared" si="28"/>
        <v>1.1049873122464193E-2</v>
      </c>
    </row>
    <row r="1833" spans="1:3" x14ac:dyDescent="0.6">
      <c r="A1833" s="24">
        <v>32216</v>
      </c>
      <c r="B1833" s="23">
        <v>1.361027</v>
      </c>
      <c r="C1833" s="32">
        <f t="shared" si="28"/>
        <v>1.0929107867189813E-2</v>
      </c>
    </row>
    <row r="1834" spans="1:3" x14ac:dyDescent="0.6">
      <c r="A1834" s="24">
        <v>32217</v>
      </c>
      <c r="B1834" s="23">
        <v>1.3242419999999999</v>
      </c>
      <c r="C1834" s="32">
        <f t="shared" si="28"/>
        <v>-2.7027384467758542E-2</v>
      </c>
    </row>
    <row r="1835" spans="1:3" x14ac:dyDescent="0.6">
      <c r="A1835" s="24">
        <v>32218</v>
      </c>
      <c r="B1835" s="23">
        <v>1.357348</v>
      </c>
      <c r="C1835" s="32">
        <f t="shared" si="28"/>
        <v>2.4999962242550966E-2</v>
      </c>
    </row>
    <row r="1836" spans="1:3" x14ac:dyDescent="0.6">
      <c r="A1836" s="24">
        <v>32219</v>
      </c>
      <c r="B1836" s="23">
        <v>1.3242419999999999</v>
      </c>
      <c r="C1836" s="32">
        <f t="shared" si="28"/>
        <v>-2.4390207964354094E-2</v>
      </c>
    </row>
    <row r="1837" spans="1:3" x14ac:dyDescent="0.6">
      <c r="A1837" s="24">
        <v>32220</v>
      </c>
      <c r="B1837" s="23">
        <v>1.3168850000000001</v>
      </c>
      <c r="C1837" s="32">
        <f t="shared" si="28"/>
        <v>-5.5556310704537593E-3</v>
      </c>
    </row>
    <row r="1838" spans="1:3" x14ac:dyDescent="0.6">
      <c r="A1838" s="24">
        <v>32223</v>
      </c>
      <c r="B1838" s="23">
        <v>1.2911360000000001</v>
      </c>
      <c r="C1838" s="32">
        <f t="shared" si="28"/>
        <v>-1.9552960205333036E-2</v>
      </c>
    </row>
    <row r="1839" spans="1:3" x14ac:dyDescent="0.6">
      <c r="A1839" s="24">
        <v>32224</v>
      </c>
      <c r="B1839" s="23">
        <v>1.294815</v>
      </c>
      <c r="C1839" s="32">
        <f t="shared" si="28"/>
        <v>2.8494287201348278E-3</v>
      </c>
    </row>
    <row r="1840" spans="1:3" x14ac:dyDescent="0.6">
      <c r="A1840" s="24">
        <v>32225</v>
      </c>
      <c r="B1840" s="23">
        <v>1.2506729999999999</v>
      </c>
      <c r="C1840" s="32">
        <f t="shared" si="28"/>
        <v>-3.4091356680298057E-2</v>
      </c>
    </row>
    <row r="1841" spans="1:3" x14ac:dyDescent="0.6">
      <c r="A1841" s="24">
        <v>32226</v>
      </c>
      <c r="B1841" s="23">
        <v>1.202853</v>
      </c>
      <c r="C1841" s="32">
        <f t="shared" si="28"/>
        <v>-3.8235414053073846E-2</v>
      </c>
    </row>
    <row r="1842" spans="1:3" x14ac:dyDescent="0.6">
      <c r="A1842" s="24">
        <v>32227</v>
      </c>
      <c r="B1842" s="23">
        <v>1.180782</v>
      </c>
      <c r="C1842" s="32">
        <f t="shared" si="28"/>
        <v>-1.8348875548383714E-2</v>
      </c>
    </row>
    <row r="1843" spans="1:3" x14ac:dyDescent="0.6">
      <c r="A1843" s="24">
        <v>32230</v>
      </c>
      <c r="B1843" s="23">
        <v>1.2212449999999999</v>
      </c>
      <c r="C1843" s="32">
        <f t="shared" si="28"/>
        <v>3.4267968177021491E-2</v>
      </c>
    </row>
    <row r="1844" spans="1:3" x14ac:dyDescent="0.6">
      <c r="A1844" s="24">
        <v>32231</v>
      </c>
      <c r="B1844" s="23">
        <v>1.2065319999999999</v>
      </c>
      <c r="C1844" s="32">
        <f t="shared" si="28"/>
        <v>-1.2047541648072202E-2</v>
      </c>
    </row>
    <row r="1845" spans="1:3" x14ac:dyDescent="0.6">
      <c r="A1845" s="24">
        <v>32232</v>
      </c>
      <c r="B1845" s="23">
        <v>1.162391</v>
      </c>
      <c r="C1845" s="32">
        <f t="shared" si="28"/>
        <v>-3.658502219584725E-2</v>
      </c>
    </row>
    <row r="1846" spans="1:3" x14ac:dyDescent="0.6">
      <c r="A1846" s="24">
        <v>32233</v>
      </c>
      <c r="B1846" s="23">
        <v>1.1771039999999999</v>
      </c>
      <c r="C1846" s="32">
        <f t="shared" si="28"/>
        <v>1.2657530899671476E-2</v>
      </c>
    </row>
    <row r="1847" spans="1:3" x14ac:dyDescent="0.6">
      <c r="A1847" s="24">
        <v>32237</v>
      </c>
      <c r="B1847" s="23">
        <v>1.14032</v>
      </c>
      <c r="C1847" s="32">
        <f t="shared" si="28"/>
        <v>-3.1249575228696758E-2</v>
      </c>
    </row>
    <row r="1848" spans="1:3" x14ac:dyDescent="0.6">
      <c r="A1848" s="24">
        <v>32238</v>
      </c>
      <c r="B1848" s="23">
        <v>1.155033</v>
      </c>
      <c r="C1848" s="32">
        <f t="shared" si="28"/>
        <v>1.290251859127256E-2</v>
      </c>
    </row>
    <row r="1849" spans="1:3" x14ac:dyDescent="0.6">
      <c r="A1849" s="24">
        <v>32239</v>
      </c>
      <c r="B1849" s="23">
        <v>1.2286029999999999</v>
      </c>
      <c r="C1849" s="32">
        <f t="shared" si="28"/>
        <v>6.3695149835545806E-2</v>
      </c>
    </row>
    <row r="1850" spans="1:3" x14ac:dyDescent="0.6">
      <c r="A1850" s="24">
        <v>32240</v>
      </c>
      <c r="B1850" s="23">
        <v>1.1991750000000001</v>
      </c>
      <c r="C1850" s="32">
        <f t="shared" si="28"/>
        <v>-2.3952407734638248E-2</v>
      </c>
    </row>
    <row r="1851" spans="1:3" x14ac:dyDescent="0.6">
      <c r="A1851" s="24">
        <v>32241</v>
      </c>
      <c r="B1851" s="23">
        <v>1.2065319999999999</v>
      </c>
      <c r="C1851" s="32">
        <f t="shared" si="28"/>
        <v>6.1350511810200903E-3</v>
      </c>
    </row>
    <row r="1852" spans="1:3" x14ac:dyDescent="0.6">
      <c r="A1852" s="24">
        <v>32244</v>
      </c>
      <c r="B1852" s="23">
        <v>1.2212449999999999</v>
      </c>
      <c r="C1852" s="32">
        <f t="shared" si="28"/>
        <v>1.2194454850762426E-2</v>
      </c>
    </row>
    <row r="1853" spans="1:3" x14ac:dyDescent="0.6">
      <c r="A1853" s="24">
        <v>32245</v>
      </c>
      <c r="B1853" s="23">
        <v>1.2286029999999999</v>
      </c>
      <c r="C1853" s="32">
        <f t="shared" si="28"/>
        <v>6.0249990788088237E-3</v>
      </c>
    </row>
    <row r="1854" spans="1:3" x14ac:dyDescent="0.6">
      <c r="A1854" s="24">
        <v>32246</v>
      </c>
      <c r="B1854" s="23">
        <v>1.213889</v>
      </c>
      <c r="C1854" s="32">
        <f t="shared" si="28"/>
        <v>-1.1976203867319124E-2</v>
      </c>
    </row>
    <row r="1855" spans="1:3" x14ac:dyDescent="0.6">
      <c r="A1855" s="24">
        <v>32247</v>
      </c>
      <c r="B1855" s="23">
        <v>1.162391</v>
      </c>
      <c r="C1855" s="32">
        <f t="shared" si="28"/>
        <v>-4.2423977810162272E-2</v>
      </c>
    </row>
    <row r="1856" spans="1:3" x14ac:dyDescent="0.6">
      <c r="A1856" s="24">
        <v>32248</v>
      </c>
      <c r="B1856" s="23">
        <v>1.162391</v>
      </c>
      <c r="C1856" s="32">
        <f t="shared" si="28"/>
        <v>0</v>
      </c>
    </row>
    <row r="1857" spans="1:3" x14ac:dyDescent="0.6">
      <c r="A1857" s="24">
        <v>32251</v>
      </c>
      <c r="B1857" s="23">
        <v>1.1771039999999999</v>
      </c>
      <c r="C1857" s="32">
        <f t="shared" si="28"/>
        <v>1.2657530899671476E-2</v>
      </c>
    </row>
    <row r="1858" spans="1:3" x14ac:dyDescent="0.6">
      <c r="A1858" s="24">
        <v>32252</v>
      </c>
      <c r="B1858" s="23">
        <v>1.184461</v>
      </c>
      <c r="C1858" s="32">
        <f t="shared" si="28"/>
        <v>6.2500849542606041E-3</v>
      </c>
    </row>
    <row r="1859" spans="1:3" x14ac:dyDescent="0.6">
      <c r="A1859" s="24">
        <v>32253</v>
      </c>
      <c r="B1859" s="23">
        <v>1.1697470000000001</v>
      </c>
      <c r="C1859" s="32">
        <f t="shared" si="28"/>
        <v>-1.2422528052844162E-2</v>
      </c>
    </row>
    <row r="1860" spans="1:3" x14ac:dyDescent="0.6">
      <c r="A1860" s="24">
        <v>32254</v>
      </c>
      <c r="B1860" s="23">
        <v>1.162391</v>
      </c>
      <c r="C1860" s="32">
        <f t="shared" ref="C1860:C1923" si="29">B1860/B1859-1</f>
        <v>-6.2885393166215442E-3</v>
      </c>
    </row>
    <row r="1861" spans="1:3" x14ac:dyDescent="0.6">
      <c r="A1861" s="24">
        <v>32255</v>
      </c>
      <c r="B1861" s="23">
        <v>1.180782</v>
      </c>
      <c r="C1861" s="32">
        <f t="shared" si="29"/>
        <v>1.5821698550659846E-2</v>
      </c>
    </row>
    <row r="1862" spans="1:3" x14ac:dyDescent="0.6">
      <c r="A1862" s="24">
        <v>32258</v>
      </c>
      <c r="B1862" s="23">
        <v>1.202853</v>
      </c>
      <c r="C1862" s="32">
        <f t="shared" si="29"/>
        <v>1.869184997738782E-2</v>
      </c>
    </row>
    <row r="1863" spans="1:3" x14ac:dyDescent="0.6">
      <c r="A1863" s="24">
        <v>32259</v>
      </c>
      <c r="B1863" s="23">
        <v>1.2212449999999999</v>
      </c>
      <c r="C1863" s="32">
        <f t="shared" si="29"/>
        <v>1.5290313945261813E-2</v>
      </c>
    </row>
    <row r="1864" spans="1:3" x14ac:dyDescent="0.6">
      <c r="A1864" s="24">
        <v>32260</v>
      </c>
      <c r="B1864" s="23">
        <v>1.2286029999999999</v>
      </c>
      <c r="C1864" s="32">
        <f t="shared" si="29"/>
        <v>6.0249990788088237E-3</v>
      </c>
    </row>
    <row r="1865" spans="1:3" x14ac:dyDescent="0.6">
      <c r="A1865" s="24">
        <v>32261</v>
      </c>
      <c r="B1865" s="23">
        <v>1.2175670000000001</v>
      </c>
      <c r="C1865" s="32">
        <f t="shared" si="29"/>
        <v>-8.9825598667753193E-3</v>
      </c>
    </row>
    <row r="1866" spans="1:3" x14ac:dyDescent="0.6">
      <c r="A1866" s="24">
        <v>32262</v>
      </c>
      <c r="B1866" s="23">
        <v>1.2065319999999999</v>
      </c>
      <c r="C1866" s="32">
        <f t="shared" si="29"/>
        <v>-9.0631562780529862E-3</v>
      </c>
    </row>
    <row r="1867" spans="1:3" x14ac:dyDescent="0.6">
      <c r="A1867" s="24">
        <v>32265</v>
      </c>
      <c r="B1867" s="23">
        <v>1.2065319999999999</v>
      </c>
      <c r="C1867" s="32">
        <f t="shared" si="29"/>
        <v>0</v>
      </c>
    </row>
    <row r="1868" spans="1:3" x14ac:dyDescent="0.6">
      <c r="A1868" s="24">
        <v>32266</v>
      </c>
      <c r="B1868" s="23">
        <v>1.2286029999999999</v>
      </c>
      <c r="C1868" s="32">
        <f t="shared" si="29"/>
        <v>1.8292925508813562E-2</v>
      </c>
    </row>
    <row r="1869" spans="1:3" x14ac:dyDescent="0.6">
      <c r="A1869" s="24">
        <v>32267</v>
      </c>
      <c r="B1869" s="23">
        <v>1.2359599999999999</v>
      </c>
      <c r="C1869" s="32">
        <f t="shared" si="29"/>
        <v>5.9881019336596175E-3</v>
      </c>
    </row>
    <row r="1870" spans="1:3" x14ac:dyDescent="0.6">
      <c r="A1870" s="24">
        <v>32268</v>
      </c>
      <c r="B1870" s="23">
        <v>1.2286029999999999</v>
      </c>
      <c r="C1870" s="32">
        <f t="shared" si="29"/>
        <v>-5.9524580083498702E-3</v>
      </c>
    </row>
    <row r="1871" spans="1:3" x14ac:dyDescent="0.6">
      <c r="A1871" s="24">
        <v>32269</v>
      </c>
      <c r="B1871" s="23">
        <v>1.213889</v>
      </c>
      <c r="C1871" s="32">
        <f t="shared" si="29"/>
        <v>-1.1976203867319124E-2</v>
      </c>
    </row>
    <row r="1872" spans="1:3" x14ac:dyDescent="0.6">
      <c r="A1872" s="24">
        <v>32272</v>
      </c>
      <c r="B1872" s="23">
        <v>1.1991750000000001</v>
      </c>
      <c r="C1872" s="32">
        <f t="shared" si="29"/>
        <v>-1.2121371888203836E-2</v>
      </c>
    </row>
    <row r="1873" spans="1:3" x14ac:dyDescent="0.6">
      <c r="A1873" s="24">
        <v>32273</v>
      </c>
      <c r="B1873" s="23">
        <v>1.202853</v>
      </c>
      <c r="C1873" s="32">
        <f t="shared" si="29"/>
        <v>3.0671086371878431E-3</v>
      </c>
    </row>
    <row r="1874" spans="1:3" x14ac:dyDescent="0.6">
      <c r="A1874" s="24">
        <v>32274</v>
      </c>
      <c r="B1874" s="23">
        <v>1.162391</v>
      </c>
      <c r="C1874" s="32">
        <f t="shared" si="29"/>
        <v>-3.3638358136862889E-2</v>
      </c>
    </row>
    <row r="1875" spans="1:3" x14ac:dyDescent="0.6">
      <c r="A1875" s="24">
        <v>32275</v>
      </c>
      <c r="B1875" s="23">
        <v>1.1697470000000001</v>
      </c>
      <c r="C1875" s="32">
        <f t="shared" si="29"/>
        <v>6.3283353019767397E-3</v>
      </c>
    </row>
    <row r="1876" spans="1:3" x14ac:dyDescent="0.6">
      <c r="A1876" s="24">
        <v>32276</v>
      </c>
      <c r="B1876" s="23">
        <v>1.191818</v>
      </c>
      <c r="C1876" s="32">
        <f t="shared" si="29"/>
        <v>1.8868182607008066E-2</v>
      </c>
    </row>
    <row r="1877" spans="1:3" x14ac:dyDescent="0.6">
      <c r="A1877" s="24">
        <v>32279</v>
      </c>
      <c r="B1877" s="23">
        <v>1.216294</v>
      </c>
      <c r="C1877" s="32">
        <f t="shared" si="29"/>
        <v>2.0536692682943114E-2</v>
      </c>
    </row>
    <row r="1878" spans="1:3" x14ac:dyDescent="0.6">
      <c r="A1878" s="24">
        <v>32280</v>
      </c>
      <c r="B1878" s="23">
        <v>1.1941790000000001</v>
      </c>
      <c r="C1878" s="32">
        <f t="shared" si="29"/>
        <v>-1.818228158652424E-2</v>
      </c>
    </row>
    <row r="1879" spans="1:3" x14ac:dyDescent="0.6">
      <c r="A1879" s="24">
        <v>32281</v>
      </c>
      <c r="B1879" s="23">
        <v>1.1720649999999999</v>
      </c>
      <c r="C1879" s="32">
        <f t="shared" si="29"/>
        <v>-1.8518161850108017E-2</v>
      </c>
    </row>
    <row r="1880" spans="1:3" x14ac:dyDescent="0.6">
      <c r="A1880" s="24">
        <v>32282</v>
      </c>
      <c r="B1880" s="23">
        <v>1.14995</v>
      </c>
      <c r="C1880" s="32">
        <f t="shared" si="29"/>
        <v>-1.8868407468868975E-2</v>
      </c>
    </row>
    <row r="1881" spans="1:3" x14ac:dyDescent="0.6">
      <c r="A1881" s="24">
        <v>32283</v>
      </c>
      <c r="B1881" s="23">
        <v>1.142579</v>
      </c>
      <c r="C1881" s="32">
        <f t="shared" si="29"/>
        <v>-6.4098439062567625E-3</v>
      </c>
    </row>
    <row r="1882" spans="1:3" x14ac:dyDescent="0.6">
      <c r="A1882" s="24">
        <v>32286</v>
      </c>
      <c r="B1882" s="23">
        <v>1.120465</v>
      </c>
      <c r="C1882" s="32">
        <f t="shared" si="29"/>
        <v>-1.9354460391797779E-2</v>
      </c>
    </row>
    <row r="1883" spans="1:3" x14ac:dyDescent="0.6">
      <c r="A1883" s="24">
        <v>32287</v>
      </c>
      <c r="B1883" s="23">
        <v>1.1462639999999999</v>
      </c>
      <c r="C1883" s="32">
        <f t="shared" si="29"/>
        <v>2.3025261833256705E-2</v>
      </c>
    </row>
    <row r="1884" spans="1:3" x14ac:dyDescent="0.6">
      <c r="A1884" s="24">
        <v>32288</v>
      </c>
      <c r="B1884" s="23">
        <v>1.1352070000000001</v>
      </c>
      <c r="C1884" s="32">
        <f t="shared" si="29"/>
        <v>-9.6461199165287503E-3</v>
      </c>
    </row>
    <row r="1885" spans="1:3" x14ac:dyDescent="0.6">
      <c r="A1885" s="24">
        <v>32289</v>
      </c>
      <c r="B1885" s="23">
        <v>1.1610069999999999</v>
      </c>
      <c r="C1885" s="32">
        <f t="shared" si="29"/>
        <v>2.2727132584629883E-2</v>
      </c>
    </row>
    <row r="1886" spans="1:3" x14ac:dyDescent="0.6">
      <c r="A1886" s="24">
        <v>32290</v>
      </c>
      <c r="B1886" s="23">
        <v>1.1720649999999999</v>
      </c>
      <c r="C1886" s="32">
        <f t="shared" si="29"/>
        <v>9.5244903777496059E-3</v>
      </c>
    </row>
    <row r="1887" spans="1:3" x14ac:dyDescent="0.6">
      <c r="A1887" s="24">
        <v>32294</v>
      </c>
      <c r="B1887" s="23">
        <v>1.223665</v>
      </c>
      <c r="C1887" s="32">
        <f t="shared" si="29"/>
        <v>4.4024862102357787E-2</v>
      </c>
    </row>
    <row r="1888" spans="1:3" x14ac:dyDescent="0.6">
      <c r="A1888" s="24">
        <v>32295</v>
      </c>
      <c r="B1888" s="23">
        <v>1.2531509999999999</v>
      </c>
      <c r="C1888" s="32">
        <f t="shared" si="29"/>
        <v>2.409646431008472E-2</v>
      </c>
    </row>
    <row r="1889" spans="1:3" x14ac:dyDescent="0.6">
      <c r="A1889" s="24">
        <v>32296</v>
      </c>
      <c r="B1889" s="23">
        <v>1.2310369999999999</v>
      </c>
      <c r="C1889" s="32">
        <f t="shared" si="29"/>
        <v>-1.7646716157909137E-2</v>
      </c>
    </row>
    <row r="1890" spans="1:3" x14ac:dyDescent="0.6">
      <c r="A1890" s="24">
        <v>32297</v>
      </c>
      <c r="B1890" s="23">
        <v>1.2678940000000001</v>
      </c>
      <c r="C1890" s="32">
        <f t="shared" si="29"/>
        <v>2.9939798722540489E-2</v>
      </c>
    </row>
    <row r="1891" spans="1:3" x14ac:dyDescent="0.6">
      <c r="A1891" s="24">
        <v>32300</v>
      </c>
      <c r="B1891" s="23">
        <v>1.29738</v>
      </c>
      <c r="C1891" s="32">
        <f t="shared" si="29"/>
        <v>2.325588732181072E-2</v>
      </c>
    </row>
    <row r="1892" spans="1:3" x14ac:dyDescent="0.6">
      <c r="A1892" s="24">
        <v>32301</v>
      </c>
      <c r="B1892" s="23">
        <v>1.29738</v>
      </c>
      <c r="C1892" s="32">
        <f t="shared" si="29"/>
        <v>0</v>
      </c>
    </row>
    <row r="1893" spans="1:3" x14ac:dyDescent="0.6">
      <c r="A1893" s="24">
        <v>32302</v>
      </c>
      <c r="B1893" s="23">
        <v>1.326865</v>
      </c>
      <c r="C1893" s="32">
        <f t="shared" si="29"/>
        <v>2.2726572014367452E-2</v>
      </c>
    </row>
    <row r="1894" spans="1:3" x14ac:dyDescent="0.6">
      <c r="A1894" s="24">
        <v>32303</v>
      </c>
      <c r="B1894" s="23">
        <v>1.282637</v>
      </c>
      <c r="C1894" s="32">
        <f t="shared" si="29"/>
        <v>-3.3332705286521214E-2</v>
      </c>
    </row>
    <row r="1895" spans="1:3" x14ac:dyDescent="0.6">
      <c r="A1895" s="24">
        <v>32304</v>
      </c>
      <c r="B1895" s="23">
        <v>1.3121229999999999</v>
      </c>
      <c r="C1895" s="32">
        <f t="shared" si="29"/>
        <v>2.2988577438511459E-2</v>
      </c>
    </row>
    <row r="1896" spans="1:3" x14ac:dyDescent="0.6">
      <c r="A1896" s="24">
        <v>32307</v>
      </c>
      <c r="B1896" s="23">
        <v>1.326865</v>
      </c>
      <c r="C1896" s="32">
        <f t="shared" si="29"/>
        <v>1.1235227185256269E-2</v>
      </c>
    </row>
    <row r="1897" spans="1:3" x14ac:dyDescent="0.6">
      <c r="A1897" s="24">
        <v>32308</v>
      </c>
      <c r="B1897" s="23">
        <v>1.3342369999999999</v>
      </c>
      <c r="C1897" s="32">
        <f t="shared" si="29"/>
        <v>5.5559533185365328E-3</v>
      </c>
    </row>
    <row r="1898" spans="1:3" x14ac:dyDescent="0.6">
      <c r="A1898" s="24">
        <v>32309</v>
      </c>
      <c r="B1898" s="23">
        <v>1.3489800000000001</v>
      </c>
      <c r="C1898" s="32">
        <f t="shared" si="29"/>
        <v>1.1049761024465754E-2</v>
      </c>
    </row>
    <row r="1899" spans="1:3" x14ac:dyDescent="0.6">
      <c r="A1899" s="24">
        <v>32310</v>
      </c>
      <c r="B1899" s="23">
        <v>1.3121229999999999</v>
      </c>
      <c r="C1899" s="32">
        <f t="shared" si="29"/>
        <v>-2.7322124864712749E-2</v>
      </c>
    </row>
    <row r="1900" spans="1:3" x14ac:dyDescent="0.6">
      <c r="A1900" s="24">
        <v>32311</v>
      </c>
      <c r="B1900" s="23">
        <v>1.3194939999999999</v>
      </c>
      <c r="C1900" s="32">
        <f t="shared" si="29"/>
        <v>5.6176135926282456E-3</v>
      </c>
    </row>
    <row r="1901" spans="1:3" x14ac:dyDescent="0.6">
      <c r="A1901" s="24">
        <v>32314</v>
      </c>
      <c r="B1901" s="23">
        <v>1.3010660000000001</v>
      </c>
      <c r="C1901" s="32">
        <f t="shared" si="29"/>
        <v>-1.3965959678482687E-2</v>
      </c>
    </row>
    <row r="1902" spans="1:3" x14ac:dyDescent="0.6">
      <c r="A1902" s="24">
        <v>32315</v>
      </c>
      <c r="B1902" s="23">
        <v>1.32318</v>
      </c>
      <c r="C1902" s="32">
        <f t="shared" si="29"/>
        <v>1.6996831828669734E-2</v>
      </c>
    </row>
    <row r="1903" spans="1:3" x14ac:dyDescent="0.6">
      <c r="A1903" s="24">
        <v>32316</v>
      </c>
      <c r="B1903" s="23">
        <v>1.345294</v>
      </c>
      <c r="C1903" s="32">
        <f t="shared" si="29"/>
        <v>1.6712767726235311E-2</v>
      </c>
    </row>
    <row r="1904" spans="1:3" x14ac:dyDescent="0.6">
      <c r="A1904" s="24">
        <v>32317</v>
      </c>
      <c r="B1904" s="23">
        <v>1.326865</v>
      </c>
      <c r="C1904" s="32">
        <f t="shared" si="29"/>
        <v>-1.3698864337460814E-2</v>
      </c>
    </row>
    <row r="1905" spans="1:3" x14ac:dyDescent="0.6">
      <c r="A1905" s="24">
        <v>32318</v>
      </c>
      <c r="B1905" s="23">
        <v>1.326865</v>
      </c>
      <c r="C1905" s="32">
        <f t="shared" si="29"/>
        <v>0</v>
      </c>
    </row>
    <row r="1906" spans="1:3" x14ac:dyDescent="0.6">
      <c r="A1906" s="24">
        <v>32321</v>
      </c>
      <c r="B1906" s="23">
        <v>1.3121229999999999</v>
      </c>
      <c r="C1906" s="32">
        <f t="shared" si="29"/>
        <v>-1.1110399324724129E-2</v>
      </c>
    </row>
    <row r="1907" spans="1:3" x14ac:dyDescent="0.6">
      <c r="A1907" s="24">
        <v>32322</v>
      </c>
      <c r="B1907" s="23">
        <v>1.363723</v>
      </c>
      <c r="C1907" s="32">
        <f t="shared" si="29"/>
        <v>3.9325581519415564E-2</v>
      </c>
    </row>
    <row r="1908" spans="1:3" x14ac:dyDescent="0.6">
      <c r="A1908" s="24">
        <v>32323</v>
      </c>
      <c r="B1908" s="23">
        <v>1.367408</v>
      </c>
      <c r="C1908" s="32">
        <f t="shared" si="29"/>
        <v>2.702161655996127E-3</v>
      </c>
    </row>
    <row r="1909" spans="1:3" x14ac:dyDescent="0.6">
      <c r="A1909" s="24">
        <v>32324</v>
      </c>
      <c r="B1909" s="23">
        <v>1.363723</v>
      </c>
      <c r="C1909" s="32">
        <f t="shared" si="29"/>
        <v>-2.6948796555233967E-3</v>
      </c>
    </row>
    <row r="1910" spans="1:3" x14ac:dyDescent="0.6">
      <c r="A1910" s="24">
        <v>32325</v>
      </c>
      <c r="B1910" s="23">
        <v>1.371095</v>
      </c>
      <c r="C1910" s="32">
        <f t="shared" si="29"/>
        <v>5.4057898854824593E-3</v>
      </c>
    </row>
    <row r="1911" spans="1:3" x14ac:dyDescent="0.6">
      <c r="A1911" s="24">
        <v>32329</v>
      </c>
      <c r="B1911" s="23">
        <v>1.3932089999999999</v>
      </c>
      <c r="C1911" s="32">
        <f t="shared" si="29"/>
        <v>1.612871464048804E-2</v>
      </c>
    </row>
    <row r="1912" spans="1:3" x14ac:dyDescent="0.6">
      <c r="A1912" s="24">
        <v>32330</v>
      </c>
      <c r="B1912" s="23">
        <v>1.371095</v>
      </c>
      <c r="C1912" s="32">
        <f t="shared" si="29"/>
        <v>-1.5872708258416357E-2</v>
      </c>
    </row>
    <row r="1913" spans="1:3" x14ac:dyDescent="0.6">
      <c r="A1913" s="24">
        <v>32331</v>
      </c>
      <c r="B1913" s="23">
        <v>1.3526659999999999</v>
      </c>
      <c r="C1913" s="32">
        <f t="shared" si="29"/>
        <v>-1.3441081763116314E-2</v>
      </c>
    </row>
    <row r="1914" spans="1:3" x14ac:dyDescent="0.6">
      <c r="A1914" s="24">
        <v>32332</v>
      </c>
      <c r="B1914" s="23">
        <v>1.3342369999999999</v>
      </c>
      <c r="C1914" s="32">
        <f t="shared" si="29"/>
        <v>-1.3624205827602709E-2</v>
      </c>
    </row>
    <row r="1915" spans="1:3" x14ac:dyDescent="0.6">
      <c r="A1915" s="24">
        <v>32335</v>
      </c>
      <c r="B1915" s="23">
        <v>1.330551</v>
      </c>
      <c r="C1915" s="32">
        <f t="shared" si="29"/>
        <v>-2.7626276291242702E-3</v>
      </c>
    </row>
    <row r="1916" spans="1:3" x14ac:dyDescent="0.6">
      <c r="A1916" s="24">
        <v>32336</v>
      </c>
      <c r="B1916" s="23">
        <v>1.3194939999999999</v>
      </c>
      <c r="C1916" s="32">
        <f t="shared" si="29"/>
        <v>-8.3100910825666396E-3</v>
      </c>
    </row>
    <row r="1917" spans="1:3" x14ac:dyDescent="0.6">
      <c r="A1917" s="24">
        <v>32337</v>
      </c>
      <c r="B1917" s="23">
        <v>1.3194939999999999</v>
      </c>
      <c r="C1917" s="32">
        <f t="shared" si="29"/>
        <v>0</v>
      </c>
    </row>
    <row r="1918" spans="1:3" x14ac:dyDescent="0.6">
      <c r="A1918" s="24">
        <v>32338</v>
      </c>
      <c r="B1918" s="23">
        <v>1.326865</v>
      </c>
      <c r="C1918" s="32">
        <f t="shared" si="29"/>
        <v>5.5862322981385937E-3</v>
      </c>
    </row>
    <row r="1919" spans="1:3" x14ac:dyDescent="0.6">
      <c r="A1919" s="24">
        <v>32339</v>
      </c>
      <c r="B1919" s="23">
        <v>1.326865</v>
      </c>
      <c r="C1919" s="32">
        <f t="shared" si="29"/>
        <v>0</v>
      </c>
    </row>
    <row r="1920" spans="1:3" x14ac:dyDescent="0.6">
      <c r="A1920" s="24">
        <v>32342</v>
      </c>
      <c r="B1920" s="23">
        <v>1.3416079999999999</v>
      </c>
      <c r="C1920" s="32">
        <f t="shared" si="29"/>
        <v>1.1111152980898487E-2</v>
      </c>
    </row>
    <row r="1921" spans="1:3" x14ac:dyDescent="0.6">
      <c r="A1921" s="24">
        <v>32343</v>
      </c>
      <c r="B1921" s="23">
        <v>1.3194939999999999</v>
      </c>
      <c r="C1921" s="32">
        <f t="shared" si="29"/>
        <v>-1.6483205228352782E-2</v>
      </c>
    </row>
    <row r="1922" spans="1:3" x14ac:dyDescent="0.6">
      <c r="A1922" s="24">
        <v>32344</v>
      </c>
      <c r="B1922" s="23">
        <v>1.3047519999999999</v>
      </c>
      <c r="C1922" s="32">
        <f t="shared" si="29"/>
        <v>-1.1172464596277076E-2</v>
      </c>
    </row>
    <row r="1923" spans="1:3" x14ac:dyDescent="0.6">
      <c r="A1923" s="24">
        <v>32345</v>
      </c>
      <c r="B1923" s="23">
        <v>1.2678940000000001</v>
      </c>
      <c r="C1923" s="32">
        <f t="shared" si="29"/>
        <v>-2.824904656210514E-2</v>
      </c>
    </row>
    <row r="1924" spans="1:3" x14ac:dyDescent="0.6">
      <c r="A1924" s="24">
        <v>32346</v>
      </c>
      <c r="B1924" s="23">
        <v>1.2531509999999999</v>
      </c>
      <c r="C1924" s="32">
        <f t="shared" ref="C1924:C1987" si="30">B1924/B1923-1</f>
        <v>-1.1627943660905582E-2</v>
      </c>
    </row>
    <row r="1925" spans="1:3" x14ac:dyDescent="0.6">
      <c r="A1925" s="24">
        <v>32349</v>
      </c>
      <c r="B1925" s="23">
        <v>1.2605230000000001</v>
      </c>
      <c r="C1925" s="32">
        <f t="shared" si="30"/>
        <v>5.8827707115902683E-3</v>
      </c>
    </row>
    <row r="1926" spans="1:3" x14ac:dyDescent="0.6">
      <c r="A1926" s="24">
        <v>32350</v>
      </c>
      <c r="B1926" s="23">
        <v>1.2605230000000001</v>
      </c>
      <c r="C1926" s="32">
        <f t="shared" si="30"/>
        <v>0</v>
      </c>
    </row>
    <row r="1927" spans="1:3" x14ac:dyDescent="0.6">
      <c r="A1927" s="24">
        <v>32351</v>
      </c>
      <c r="B1927" s="23">
        <v>1.2605230000000001</v>
      </c>
      <c r="C1927" s="32">
        <f t="shared" si="30"/>
        <v>0</v>
      </c>
    </row>
    <row r="1928" spans="1:3" x14ac:dyDescent="0.6">
      <c r="A1928" s="24">
        <v>32352</v>
      </c>
      <c r="B1928" s="23">
        <v>1.256837</v>
      </c>
      <c r="C1928" s="32">
        <f t="shared" si="30"/>
        <v>-2.9241830573500938E-3</v>
      </c>
    </row>
    <row r="1929" spans="1:3" x14ac:dyDescent="0.6">
      <c r="A1929" s="24">
        <v>32353</v>
      </c>
      <c r="B1929" s="23">
        <v>1.3084370000000001</v>
      </c>
      <c r="C1929" s="32">
        <f t="shared" si="30"/>
        <v>4.10554431481569E-2</v>
      </c>
    </row>
    <row r="1930" spans="1:3" x14ac:dyDescent="0.6">
      <c r="A1930" s="24">
        <v>32356</v>
      </c>
      <c r="B1930" s="23">
        <v>1.326865</v>
      </c>
      <c r="C1930" s="32">
        <f t="shared" si="30"/>
        <v>1.4083979587859341E-2</v>
      </c>
    </row>
    <row r="1931" spans="1:3" x14ac:dyDescent="0.6">
      <c r="A1931" s="24">
        <v>32357</v>
      </c>
      <c r="B1931" s="23">
        <v>1.315809</v>
      </c>
      <c r="C1931" s="32">
        <f t="shared" si="30"/>
        <v>-8.3324226654557521E-3</v>
      </c>
    </row>
    <row r="1932" spans="1:3" x14ac:dyDescent="0.6">
      <c r="A1932" s="24">
        <v>32358</v>
      </c>
      <c r="B1932" s="23">
        <v>1.3194939999999999</v>
      </c>
      <c r="C1932" s="32">
        <f t="shared" si="30"/>
        <v>2.8005584397126082E-3</v>
      </c>
    </row>
    <row r="1933" spans="1:3" x14ac:dyDescent="0.6">
      <c r="A1933" s="24">
        <v>32359</v>
      </c>
      <c r="B1933" s="23">
        <v>1.315809</v>
      </c>
      <c r="C1933" s="32">
        <f t="shared" si="30"/>
        <v>-2.7927372159327613E-3</v>
      </c>
    </row>
    <row r="1934" spans="1:3" x14ac:dyDescent="0.6">
      <c r="A1934" s="24">
        <v>32360</v>
      </c>
      <c r="B1934" s="23">
        <v>1.3047519999999999</v>
      </c>
      <c r="C1934" s="32">
        <f t="shared" si="30"/>
        <v>-8.4031952965818446E-3</v>
      </c>
    </row>
    <row r="1935" spans="1:3" x14ac:dyDescent="0.6">
      <c r="A1935" s="24">
        <v>32363</v>
      </c>
      <c r="B1935" s="23">
        <v>1.29738</v>
      </c>
      <c r="C1935" s="32">
        <f t="shared" si="30"/>
        <v>-5.6501158840913668E-3</v>
      </c>
    </row>
    <row r="1936" spans="1:3" x14ac:dyDescent="0.6">
      <c r="A1936" s="24">
        <v>32364</v>
      </c>
      <c r="B1936" s="23">
        <v>1.282637</v>
      </c>
      <c r="C1936" s="32">
        <f t="shared" si="30"/>
        <v>-1.1363671399281627E-2</v>
      </c>
    </row>
    <row r="1937" spans="1:3" x14ac:dyDescent="0.6">
      <c r="A1937" s="24">
        <v>32365</v>
      </c>
      <c r="B1937" s="23">
        <v>1.2347220000000001</v>
      </c>
      <c r="C1937" s="32">
        <f t="shared" si="30"/>
        <v>-3.7356633248533999E-2</v>
      </c>
    </row>
    <row r="1938" spans="1:3" x14ac:dyDescent="0.6">
      <c r="A1938" s="24">
        <v>32366</v>
      </c>
      <c r="B1938" s="23">
        <v>1.2752650000000001</v>
      </c>
      <c r="C1938" s="32">
        <f t="shared" si="30"/>
        <v>3.2835731444001093E-2</v>
      </c>
    </row>
    <row r="1939" spans="1:3" x14ac:dyDescent="0.6">
      <c r="A1939" s="24">
        <v>32367</v>
      </c>
      <c r="B1939" s="23">
        <v>1.2531509999999999</v>
      </c>
      <c r="C1939" s="32">
        <f t="shared" si="30"/>
        <v>-1.7340709578009372E-2</v>
      </c>
    </row>
    <row r="1940" spans="1:3" x14ac:dyDescent="0.6">
      <c r="A1940" s="24">
        <v>32370</v>
      </c>
      <c r="B1940" s="23">
        <v>1.2185900000000001</v>
      </c>
      <c r="C1940" s="32">
        <f t="shared" si="30"/>
        <v>-2.757927815562522E-2</v>
      </c>
    </row>
    <row r="1941" spans="1:3" x14ac:dyDescent="0.6">
      <c r="A1941" s="24">
        <v>32371</v>
      </c>
      <c r="B1941" s="23">
        <v>1.2555160000000001</v>
      </c>
      <c r="C1941" s="32">
        <f t="shared" si="30"/>
        <v>3.0302234549766549E-2</v>
      </c>
    </row>
    <row r="1942" spans="1:3" x14ac:dyDescent="0.6">
      <c r="A1942" s="24">
        <v>32372</v>
      </c>
      <c r="B1942" s="23">
        <v>1.2407459999999999</v>
      </c>
      <c r="C1942" s="32">
        <f t="shared" si="30"/>
        <v>-1.1764087434967152E-2</v>
      </c>
    </row>
    <row r="1943" spans="1:3" x14ac:dyDescent="0.6">
      <c r="A1943" s="24">
        <v>32373</v>
      </c>
      <c r="B1943" s="23">
        <v>1.2555160000000001</v>
      </c>
      <c r="C1943" s="32">
        <f t="shared" si="30"/>
        <v>1.1904128645186196E-2</v>
      </c>
    </row>
    <row r="1944" spans="1:3" x14ac:dyDescent="0.6">
      <c r="A1944" s="24">
        <v>32374</v>
      </c>
      <c r="B1944" s="23">
        <v>1.203819</v>
      </c>
      <c r="C1944" s="32">
        <f t="shared" si="30"/>
        <v>-4.1175898992924065E-2</v>
      </c>
    </row>
    <row r="1945" spans="1:3" x14ac:dyDescent="0.6">
      <c r="A1945" s="24">
        <v>32377</v>
      </c>
      <c r="B1945" s="23">
        <v>1.174277</v>
      </c>
      <c r="C1945" s="32">
        <f t="shared" si="30"/>
        <v>-2.4540234038505804E-2</v>
      </c>
    </row>
    <row r="1946" spans="1:3" x14ac:dyDescent="0.6">
      <c r="A1946" s="24">
        <v>32378</v>
      </c>
      <c r="B1946" s="23">
        <v>1.166892</v>
      </c>
      <c r="C1946" s="32">
        <f t="shared" si="30"/>
        <v>-6.2889761104066855E-3</v>
      </c>
    </row>
    <row r="1947" spans="1:3" x14ac:dyDescent="0.6">
      <c r="A1947" s="24">
        <v>32379</v>
      </c>
      <c r="B1947" s="23">
        <v>1.203819</v>
      </c>
      <c r="C1947" s="32">
        <f t="shared" si="30"/>
        <v>3.1645602163696385E-2</v>
      </c>
    </row>
    <row r="1948" spans="1:3" x14ac:dyDescent="0.6">
      <c r="A1948" s="24">
        <v>32380</v>
      </c>
      <c r="B1948" s="23">
        <v>1.1853549999999999</v>
      </c>
      <c r="C1948" s="32">
        <f t="shared" si="30"/>
        <v>-1.5337853946482016E-2</v>
      </c>
    </row>
    <row r="1949" spans="1:3" x14ac:dyDescent="0.6">
      <c r="A1949" s="24">
        <v>32381</v>
      </c>
      <c r="B1949" s="23">
        <v>1.1890480000000001</v>
      </c>
      <c r="C1949" s="32">
        <f t="shared" si="30"/>
        <v>3.1155223540628718E-3</v>
      </c>
    </row>
    <row r="1950" spans="1:3" x14ac:dyDescent="0.6">
      <c r="A1950" s="24">
        <v>32384</v>
      </c>
      <c r="B1950" s="23">
        <v>1.207511</v>
      </c>
      <c r="C1950" s="32">
        <f t="shared" si="30"/>
        <v>1.552754808889123E-2</v>
      </c>
    </row>
    <row r="1951" spans="1:3" x14ac:dyDescent="0.6">
      <c r="A1951" s="24">
        <v>32385</v>
      </c>
      <c r="B1951" s="23">
        <v>1.207511</v>
      </c>
      <c r="C1951" s="32">
        <f t="shared" si="30"/>
        <v>0</v>
      </c>
    </row>
    <row r="1952" spans="1:3" x14ac:dyDescent="0.6">
      <c r="A1952" s="24">
        <v>32386</v>
      </c>
      <c r="B1952" s="23">
        <v>1.17797</v>
      </c>
      <c r="C1952" s="32">
        <f t="shared" si="30"/>
        <v>-2.4464373409434859E-2</v>
      </c>
    </row>
    <row r="1953" spans="1:3" x14ac:dyDescent="0.6">
      <c r="A1953" s="24">
        <v>32387</v>
      </c>
      <c r="B1953" s="23">
        <v>1.148428</v>
      </c>
      <c r="C1953" s="32">
        <f t="shared" si="30"/>
        <v>-2.5078737149502928E-2</v>
      </c>
    </row>
    <row r="1954" spans="1:3" x14ac:dyDescent="0.6">
      <c r="A1954" s="24">
        <v>32388</v>
      </c>
      <c r="B1954" s="23">
        <v>1.174277</v>
      </c>
      <c r="C1954" s="32">
        <f t="shared" si="30"/>
        <v>2.2508158979056558E-2</v>
      </c>
    </row>
    <row r="1955" spans="1:3" x14ac:dyDescent="0.6">
      <c r="A1955" s="24">
        <v>32392</v>
      </c>
      <c r="B1955" s="23">
        <v>1.148428</v>
      </c>
      <c r="C1955" s="32">
        <f t="shared" si="30"/>
        <v>-2.2012693768165392E-2</v>
      </c>
    </row>
    <row r="1956" spans="1:3" x14ac:dyDescent="0.6">
      <c r="A1956" s="24">
        <v>32393</v>
      </c>
      <c r="B1956" s="23">
        <v>1.1299650000000001</v>
      </c>
      <c r="C1956" s="32">
        <f t="shared" si="30"/>
        <v>-1.6076758839039029E-2</v>
      </c>
    </row>
    <row r="1957" spans="1:3" x14ac:dyDescent="0.6">
      <c r="A1957" s="24">
        <v>32394</v>
      </c>
      <c r="B1957" s="23">
        <v>1.144736</v>
      </c>
      <c r="C1957" s="32">
        <f t="shared" si="30"/>
        <v>1.307208630355805E-2</v>
      </c>
    </row>
    <row r="1958" spans="1:3" x14ac:dyDescent="0.6">
      <c r="A1958" s="24">
        <v>32395</v>
      </c>
      <c r="B1958" s="23">
        <v>1.1964330000000001</v>
      </c>
      <c r="C1958" s="32">
        <f t="shared" si="30"/>
        <v>4.5160630922763012E-2</v>
      </c>
    </row>
    <row r="1959" spans="1:3" x14ac:dyDescent="0.6">
      <c r="A1959" s="24">
        <v>32398</v>
      </c>
      <c r="B1959" s="23">
        <v>1.2112050000000001</v>
      </c>
      <c r="C1959" s="32">
        <f t="shared" si="30"/>
        <v>1.2346700567436697E-2</v>
      </c>
    </row>
    <row r="1960" spans="1:3" x14ac:dyDescent="0.6">
      <c r="A1960" s="24">
        <v>32399</v>
      </c>
      <c r="B1960" s="23">
        <v>1.2112050000000001</v>
      </c>
      <c r="C1960" s="32">
        <f t="shared" si="30"/>
        <v>0</v>
      </c>
    </row>
    <row r="1961" spans="1:3" x14ac:dyDescent="0.6">
      <c r="A1961" s="24">
        <v>32400</v>
      </c>
      <c r="B1961" s="23">
        <v>1.2407459999999999</v>
      </c>
      <c r="C1961" s="32">
        <f t="shared" si="30"/>
        <v>2.4389760610301181E-2</v>
      </c>
    </row>
    <row r="1962" spans="1:3" x14ac:dyDescent="0.6">
      <c r="A1962" s="24">
        <v>32401</v>
      </c>
      <c r="B1962" s="23">
        <v>1.2296670000000001</v>
      </c>
      <c r="C1962" s="32">
        <f t="shared" si="30"/>
        <v>-8.9293054339887323E-3</v>
      </c>
    </row>
    <row r="1963" spans="1:3" x14ac:dyDescent="0.6">
      <c r="A1963" s="24">
        <v>32402</v>
      </c>
      <c r="B1963" s="23">
        <v>1.2481310000000001</v>
      </c>
      <c r="C1963" s="32">
        <f t="shared" si="30"/>
        <v>1.5015447271497173E-2</v>
      </c>
    </row>
    <row r="1964" spans="1:3" x14ac:dyDescent="0.6">
      <c r="A1964" s="24">
        <v>32405</v>
      </c>
      <c r="B1964" s="23">
        <v>1.23336</v>
      </c>
      <c r="C1964" s="32">
        <f t="shared" si="30"/>
        <v>-1.1834494936829643E-2</v>
      </c>
    </row>
    <row r="1965" spans="1:3" x14ac:dyDescent="0.6">
      <c r="A1965" s="24">
        <v>32406</v>
      </c>
      <c r="B1965" s="23">
        <v>1.225975</v>
      </c>
      <c r="C1965" s="32">
        <f t="shared" si="30"/>
        <v>-5.9877083738729686E-3</v>
      </c>
    </row>
    <row r="1966" spans="1:3" x14ac:dyDescent="0.6">
      <c r="A1966" s="24">
        <v>32407</v>
      </c>
      <c r="B1966" s="23">
        <v>1.262902</v>
      </c>
      <c r="C1966" s="32">
        <f t="shared" si="30"/>
        <v>3.0120516323742352E-2</v>
      </c>
    </row>
    <row r="1967" spans="1:3" x14ac:dyDescent="0.6">
      <c r="A1967" s="24">
        <v>32408</v>
      </c>
      <c r="B1967" s="23">
        <v>1.2998289999999999</v>
      </c>
      <c r="C1967" s="32">
        <f t="shared" si="30"/>
        <v>2.9239798495845237E-2</v>
      </c>
    </row>
    <row r="1968" spans="1:3" x14ac:dyDescent="0.6">
      <c r="A1968" s="24">
        <v>32409</v>
      </c>
      <c r="B1968" s="23">
        <v>1.2924439999999999</v>
      </c>
      <c r="C1968" s="32">
        <f t="shared" si="30"/>
        <v>-5.6815165687178482E-3</v>
      </c>
    </row>
    <row r="1969" spans="1:3" x14ac:dyDescent="0.6">
      <c r="A1969" s="24">
        <v>32412</v>
      </c>
      <c r="B1969" s="23">
        <v>1.262902</v>
      </c>
      <c r="C1969" s="32">
        <f t="shared" si="30"/>
        <v>-2.2857470033517902E-2</v>
      </c>
    </row>
    <row r="1970" spans="1:3" x14ac:dyDescent="0.6">
      <c r="A1970" s="24">
        <v>32413</v>
      </c>
      <c r="B1970" s="23">
        <v>1.2813650000000001</v>
      </c>
      <c r="C1970" s="32">
        <f t="shared" si="30"/>
        <v>1.4619503334383888E-2</v>
      </c>
    </row>
    <row r="1971" spans="1:3" x14ac:dyDescent="0.6">
      <c r="A1971" s="24">
        <v>32414</v>
      </c>
      <c r="B1971" s="23">
        <v>1.285058</v>
      </c>
      <c r="C1971" s="32">
        <f t="shared" si="30"/>
        <v>2.8820827789115544E-3</v>
      </c>
    </row>
    <row r="1972" spans="1:3" x14ac:dyDescent="0.6">
      <c r="A1972" s="24">
        <v>32415</v>
      </c>
      <c r="B1972" s="23">
        <v>1.2998289999999999</v>
      </c>
      <c r="C1972" s="32">
        <f t="shared" si="30"/>
        <v>1.1494422819825934E-2</v>
      </c>
    </row>
    <row r="1973" spans="1:3" x14ac:dyDescent="0.6">
      <c r="A1973" s="24">
        <v>32416</v>
      </c>
      <c r="B1973" s="23">
        <v>1.2776730000000001</v>
      </c>
      <c r="C1973" s="32">
        <f t="shared" si="30"/>
        <v>-1.7045319038119455E-2</v>
      </c>
    </row>
    <row r="1974" spans="1:3" x14ac:dyDescent="0.6">
      <c r="A1974" s="24">
        <v>32419</v>
      </c>
      <c r="B1974" s="23">
        <v>1.2555160000000001</v>
      </c>
      <c r="C1974" s="32">
        <f t="shared" si="30"/>
        <v>-1.7341682887561993E-2</v>
      </c>
    </row>
    <row r="1975" spans="1:3" x14ac:dyDescent="0.6">
      <c r="A1975" s="24">
        <v>32420</v>
      </c>
      <c r="B1975" s="23">
        <v>1.225975</v>
      </c>
      <c r="C1975" s="32">
        <f t="shared" si="30"/>
        <v>-2.352897135520382E-2</v>
      </c>
    </row>
    <row r="1976" spans="1:3" x14ac:dyDescent="0.6">
      <c r="A1976" s="24">
        <v>32421</v>
      </c>
      <c r="B1976" s="23">
        <v>1.207511</v>
      </c>
      <c r="C1976" s="32">
        <f t="shared" si="30"/>
        <v>-1.5060666000530243E-2</v>
      </c>
    </row>
    <row r="1977" spans="1:3" x14ac:dyDescent="0.6">
      <c r="A1977" s="24">
        <v>32422</v>
      </c>
      <c r="B1977" s="23">
        <v>1.174277</v>
      </c>
      <c r="C1977" s="32">
        <f t="shared" si="30"/>
        <v>-2.7522730641791227E-2</v>
      </c>
    </row>
    <row r="1978" spans="1:3" x14ac:dyDescent="0.6">
      <c r="A1978" s="24">
        <v>32423</v>
      </c>
      <c r="B1978" s="23">
        <v>1.174277</v>
      </c>
      <c r="C1978" s="32">
        <f t="shared" si="30"/>
        <v>0</v>
      </c>
    </row>
    <row r="1979" spans="1:3" x14ac:dyDescent="0.6">
      <c r="A1979" s="24">
        <v>32426</v>
      </c>
      <c r="B1979" s="23">
        <v>1.1373500000000001</v>
      </c>
      <c r="C1979" s="32">
        <f t="shared" si="30"/>
        <v>-3.1446583727689381E-2</v>
      </c>
    </row>
    <row r="1980" spans="1:3" x14ac:dyDescent="0.6">
      <c r="A1980" s="24">
        <v>32427</v>
      </c>
      <c r="B1980" s="23">
        <v>1.152121</v>
      </c>
      <c r="C1980" s="32">
        <f t="shared" si="30"/>
        <v>1.29872071042334E-2</v>
      </c>
    </row>
    <row r="1981" spans="1:3" x14ac:dyDescent="0.6">
      <c r="A1981" s="24">
        <v>32428</v>
      </c>
      <c r="B1981" s="23">
        <v>1.144736</v>
      </c>
      <c r="C1981" s="32">
        <f t="shared" si="30"/>
        <v>-6.4099170139246819E-3</v>
      </c>
    </row>
    <row r="1982" spans="1:3" x14ac:dyDescent="0.6">
      <c r="A1982" s="24">
        <v>32429</v>
      </c>
      <c r="B1982" s="23">
        <v>1.152121</v>
      </c>
      <c r="C1982" s="32">
        <f t="shared" si="30"/>
        <v>6.4512691135771849E-3</v>
      </c>
    </row>
    <row r="1983" spans="1:3" x14ac:dyDescent="0.6">
      <c r="A1983" s="24">
        <v>32430</v>
      </c>
      <c r="B1983" s="23">
        <v>1.144736</v>
      </c>
      <c r="C1983" s="32">
        <f t="shared" si="30"/>
        <v>-6.4099170139246819E-3</v>
      </c>
    </row>
    <row r="1984" spans="1:3" x14ac:dyDescent="0.6">
      <c r="A1984" s="24">
        <v>32433</v>
      </c>
      <c r="B1984" s="23">
        <v>1.1373500000000001</v>
      </c>
      <c r="C1984" s="32">
        <f t="shared" si="30"/>
        <v>-6.4521426774382107E-3</v>
      </c>
    </row>
    <row r="1985" spans="1:3" x14ac:dyDescent="0.6">
      <c r="A1985" s="24">
        <v>32434</v>
      </c>
      <c r="B1985" s="23">
        <v>1.1631990000000001</v>
      </c>
      <c r="C1985" s="32">
        <f t="shared" si="30"/>
        <v>2.2727392623203002E-2</v>
      </c>
    </row>
    <row r="1986" spans="1:3" x14ac:dyDescent="0.6">
      <c r="A1986" s="24">
        <v>32435</v>
      </c>
      <c r="B1986" s="23">
        <v>1.1816629999999999</v>
      </c>
      <c r="C1986" s="32">
        <f t="shared" si="30"/>
        <v>1.5873466191081542E-2</v>
      </c>
    </row>
    <row r="1987" spans="1:3" x14ac:dyDescent="0.6">
      <c r="A1987" s="24">
        <v>32436</v>
      </c>
      <c r="B1987" s="23">
        <v>1.225975</v>
      </c>
      <c r="C1987" s="32">
        <f t="shared" si="30"/>
        <v>3.7499693228949527E-2</v>
      </c>
    </row>
    <row r="1988" spans="1:3" x14ac:dyDescent="0.6">
      <c r="A1988" s="24">
        <v>32437</v>
      </c>
      <c r="B1988" s="23">
        <v>1.2112050000000001</v>
      </c>
      <c r="C1988" s="32">
        <f t="shared" ref="C1988:C2051" si="31">B1988/B1987-1</f>
        <v>-1.2047553987642456E-2</v>
      </c>
    </row>
    <row r="1989" spans="1:3" x14ac:dyDescent="0.6">
      <c r="A1989" s="24">
        <v>32440</v>
      </c>
      <c r="B1989" s="23">
        <v>1.1816629999999999</v>
      </c>
      <c r="C1989" s="32">
        <f t="shared" si="31"/>
        <v>-2.4390586234370071E-2</v>
      </c>
    </row>
    <row r="1990" spans="1:3" x14ac:dyDescent="0.6">
      <c r="A1990" s="24">
        <v>32441</v>
      </c>
      <c r="B1990" s="23">
        <v>1.17797</v>
      </c>
      <c r="C1990" s="32">
        <f t="shared" si="31"/>
        <v>-3.1252565240681429E-3</v>
      </c>
    </row>
    <row r="1991" spans="1:3" x14ac:dyDescent="0.6">
      <c r="A1991" s="24">
        <v>32442</v>
      </c>
      <c r="B1991" s="23">
        <v>1.1595059999999999</v>
      </c>
      <c r="C1991" s="32">
        <f t="shared" si="31"/>
        <v>-1.5674422947952849E-2</v>
      </c>
    </row>
    <row r="1992" spans="1:3" x14ac:dyDescent="0.6">
      <c r="A1992" s="24">
        <v>32443</v>
      </c>
      <c r="B1992" s="23">
        <v>1.152121</v>
      </c>
      <c r="C1992" s="32">
        <f t="shared" si="31"/>
        <v>-6.3690916648986295E-3</v>
      </c>
    </row>
    <row r="1993" spans="1:3" x14ac:dyDescent="0.6">
      <c r="A1993" s="24">
        <v>32444</v>
      </c>
      <c r="B1993" s="23">
        <v>1.1373500000000001</v>
      </c>
      <c r="C1993" s="32">
        <f t="shared" si="31"/>
        <v>-1.2820701992238503E-2</v>
      </c>
    </row>
    <row r="1994" spans="1:3" x14ac:dyDescent="0.6">
      <c r="A1994" s="24">
        <v>32447</v>
      </c>
      <c r="B1994" s="23">
        <v>1.141043</v>
      </c>
      <c r="C1994" s="32">
        <f t="shared" si="31"/>
        <v>3.2470215852640205E-3</v>
      </c>
    </row>
    <row r="1995" spans="1:3" x14ac:dyDescent="0.6">
      <c r="A1995" s="24">
        <v>32448</v>
      </c>
      <c r="B1995" s="23">
        <v>1.122579</v>
      </c>
      <c r="C1995" s="32">
        <f t="shared" si="31"/>
        <v>-1.6181686404456275E-2</v>
      </c>
    </row>
    <row r="1996" spans="1:3" x14ac:dyDescent="0.6">
      <c r="A1996" s="24">
        <v>32449</v>
      </c>
      <c r="B1996" s="23">
        <v>1.1004240000000001</v>
      </c>
      <c r="C1996" s="32">
        <f t="shared" si="31"/>
        <v>-1.973580478523107E-2</v>
      </c>
    </row>
    <row r="1997" spans="1:3" x14ac:dyDescent="0.6">
      <c r="A1997" s="24">
        <v>32450</v>
      </c>
      <c r="B1997" s="23">
        <v>1.0967309999999999</v>
      </c>
      <c r="C1997" s="32">
        <f t="shared" si="31"/>
        <v>-3.3559791498550817E-3</v>
      </c>
    </row>
    <row r="1998" spans="1:3" x14ac:dyDescent="0.6">
      <c r="A1998" s="24">
        <v>32451</v>
      </c>
      <c r="B1998" s="23">
        <v>1.115194</v>
      </c>
      <c r="C1998" s="32">
        <f t="shared" si="31"/>
        <v>1.6834574749870379E-2</v>
      </c>
    </row>
    <row r="1999" spans="1:3" x14ac:dyDescent="0.6">
      <c r="A1999" s="24">
        <v>32454</v>
      </c>
      <c r="B1999" s="23">
        <v>1.107809</v>
      </c>
      <c r="C1999" s="32">
        <f t="shared" si="31"/>
        <v>-6.622166188125056E-3</v>
      </c>
    </row>
    <row r="2000" spans="1:3" x14ac:dyDescent="0.6">
      <c r="A2000" s="24">
        <v>32455</v>
      </c>
      <c r="B2000" s="23">
        <v>1.1373500000000001</v>
      </c>
      <c r="C2000" s="32">
        <f t="shared" si="31"/>
        <v>2.6666149128595329E-2</v>
      </c>
    </row>
    <row r="2001" spans="1:3" x14ac:dyDescent="0.6">
      <c r="A2001" s="24">
        <v>32456</v>
      </c>
      <c r="B2001" s="23">
        <v>1.1595059999999999</v>
      </c>
      <c r="C2001" s="32">
        <f t="shared" si="31"/>
        <v>1.9480371037938982E-2</v>
      </c>
    </row>
    <row r="2002" spans="1:3" x14ac:dyDescent="0.6">
      <c r="A2002" s="24">
        <v>32457</v>
      </c>
      <c r="B2002" s="23">
        <v>1.166892</v>
      </c>
      <c r="C2002" s="32">
        <f t="shared" si="31"/>
        <v>6.3699541011432714E-3</v>
      </c>
    </row>
    <row r="2003" spans="1:3" x14ac:dyDescent="0.6">
      <c r="A2003" s="24">
        <v>32458</v>
      </c>
      <c r="B2003" s="23">
        <v>1.1373500000000001</v>
      </c>
      <c r="C2003" s="32">
        <f t="shared" si="31"/>
        <v>-2.5316824521892323E-2</v>
      </c>
    </row>
    <row r="2004" spans="1:3" x14ac:dyDescent="0.6">
      <c r="A2004" s="24">
        <v>32461</v>
      </c>
      <c r="B2004" s="23">
        <v>1.148428</v>
      </c>
      <c r="C2004" s="32">
        <f t="shared" si="31"/>
        <v>9.7401855189693798E-3</v>
      </c>
    </row>
    <row r="2005" spans="1:3" x14ac:dyDescent="0.6">
      <c r="A2005" s="24">
        <v>32462</v>
      </c>
      <c r="B2005" s="23">
        <v>1.152121</v>
      </c>
      <c r="C2005" s="32">
        <f t="shared" si="31"/>
        <v>3.215700070008598E-3</v>
      </c>
    </row>
    <row r="2006" spans="1:3" x14ac:dyDescent="0.6">
      <c r="A2006" s="24">
        <v>32463</v>
      </c>
      <c r="B2006" s="23">
        <v>1.122579</v>
      </c>
      <c r="C2006" s="32">
        <f t="shared" si="31"/>
        <v>-2.564140398447734E-2</v>
      </c>
    </row>
    <row r="2007" spans="1:3" x14ac:dyDescent="0.6">
      <c r="A2007" s="24">
        <v>32464</v>
      </c>
      <c r="B2007" s="23">
        <v>1.1299650000000001</v>
      </c>
      <c r="C2007" s="32">
        <f t="shared" si="31"/>
        <v>6.5794924009803246E-3</v>
      </c>
    </row>
    <row r="2008" spans="1:3" x14ac:dyDescent="0.6">
      <c r="A2008" s="24">
        <v>32465</v>
      </c>
      <c r="B2008" s="23">
        <v>1.122579</v>
      </c>
      <c r="C2008" s="32">
        <f t="shared" si="31"/>
        <v>-6.5364856433607343E-3</v>
      </c>
    </row>
    <row r="2009" spans="1:3" x14ac:dyDescent="0.6">
      <c r="A2009" s="24">
        <v>32468</v>
      </c>
      <c r="B2009" s="23">
        <v>1.084813</v>
      </c>
      <c r="C2009" s="32">
        <f t="shared" si="31"/>
        <v>-3.3642175739970193E-2</v>
      </c>
    </row>
    <row r="2010" spans="1:3" x14ac:dyDescent="0.6">
      <c r="A2010" s="24">
        <v>32469</v>
      </c>
      <c r="B2010" s="23">
        <v>1.070004</v>
      </c>
      <c r="C2010" s="32">
        <f t="shared" si="31"/>
        <v>-1.3651200713855838E-2</v>
      </c>
    </row>
    <row r="2011" spans="1:3" x14ac:dyDescent="0.6">
      <c r="A2011" s="24">
        <v>32470</v>
      </c>
      <c r="B2011" s="23">
        <v>1.0922179999999999</v>
      </c>
      <c r="C2011" s="32">
        <f t="shared" si="31"/>
        <v>2.0760670053569852E-2</v>
      </c>
    </row>
    <row r="2012" spans="1:3" x14ac:dyDescent="0.6">
      <c r="A2012" s="24">
        <v>32472</v>
      </c>
      <c r="B2012" s="23">
        <v>1.0811109999999999</v>
      </c>
      <c r="C2012" s="32">
        <f t="shared" si="31"/>
        <v>-1.0169215303172052E-2</v>
      </c>
    </row>
    <row r="2013" spans="1:3" x14ac:dyDescent="0.6">
      <c r="A2013" s="24">
        <v>32475</v>
      </c>
      <c r="B2013" s="23">
        <v>1.0811109999999999</v>
      </c>
      <c r="C2013" s="32">
        <f t="shared" si="31"/>
        <v>0</v>
      </c>
    </row>
    <row r="2014" spans="1:3" x14ac:dyDescent="0.6">
      <c r="A2014" s="24">
        <v>32476</v>
      </c>
      <c r="B2014" s="23">
        <v>1.088516</v>
      </c>
      <c r="C2014" s="32">
        <f t="shared" si="31"/>
        <v>6.8494354418742187E-3</v>
      </c>
    </row>
    <row r="2015" spans="1:3" x14ac:dyDescent="0.6">
      <c r="A2015" s="24">
        <v>32477</v>
      </c>
      <c r="B2015" s="23">
        <v>1.114433</v>
      </c>
      <c r="C2015" s="32">
        <f t="shared" si="31"/>
        <v>2.3809480062764399E-2</v>
      </c>
    </row>
    <row r="2016" spans="1:3" x14ac:dyDescent="0.6">
      <c r="A2016" s="24">
        <v>32478</v>
      </c>
      <c r="B2016" s="23">
        <v>1.1477550000000001</v>
      </c>
      <c r="C2016" s="32">
        <f t="shared" si="31"/>
        <v>2.9900406753927911E-2</v>
      </c>
    </row>
    <row r="2017" spans="1:3" x14ac:dyDescent="0.6">
      <c r="A2017" s="24">
        <v>32479</v>
      </c>
      <c r="B2017" s="23">
        <v>1.1625650000000001</v>
      </c>
      <c r="C2017" s="32">
        <f t="shared" si="31"/>
        <v>1.2903450649311088E-2</v>
      </c>
    </row>
    <row r="2018" spans="1:3" x14ac:dyDescent="0.6">
      <c r="A2018" s="24">
        <v>32482</v>
      </c>
      <c r="B2018" s="23">
        <v>1.169969</v>
      </c>
      <c r="C2018" s="32">
        <f t="shared" si="31"/>
        <v>6.3686761600425523E-3</v>
      </c>
    </row>
    <row r="2019" spans="1:3" x14ac:dyDescent="0.6">
      <c r="A2019" s="24">
        <v>32483</v>
      </c>
      <c r="B2019" s="23">
        <v>1.169969</v>
      </c>
      <c r="C2019" s="32">
        <f t="shared" si="31"/>
        <v>0</v>
      </c>
    </row>
    <row r="2020" spans="1:3" x14ac:dyDescent="0.6">
      <c r="A2020" s="24">
        <v>32484</v>
      </c>
      <c r="B2020" s="23">
        <v>1.1662669999999999</v>
      </c>
      <c r="C2020" s="32">
        <f t="shared" si="31"/>
        <v>-3.1641864015201637E-3</v>
      </c>
    </row>
    <row r="2021" spans="1:3" x14ac:dyDescent="0.6">
      <c r="A2021" s="24">
        <v>32485</v>
      </c>
      <c r="B2021" s="23">
        <v>1.1588620000000001</v>
      </c>
      <c r="C2021" s="32">
        <f t="shared" si="31"/>
        <v>-6.3493179520640597E-3</v>
      </c>
    </row>
    <row r="2022" spans="1:3" x14ac:dyDescent="0.6">
      <c r="A2022" s="24">
        <v>32486</v>
      </c>
      <c r="B2022" s="23">
        <v>1.1588620000000001</v>
      </c>
      <c r="C2022" s="32">
        <f t="shared" si="31"/>
        <v>0</v>
      </c>
    </row>
    <row r="2023" spans="1:3" x14ac:dyDescent="0.6">
      <c r="A2023" s="24">
        <v>32489</v>
      </c>
      <c r="B2023" s="23">
        <v>1.14035</v>
      </c>
      <c r="C2023" s="32">
        <f t="shared" si="31"/>
        <v>-1.5974292020965453E-2</v>
      </c>
    </row>
    <row r="2024" spans="1:3" x14ac:dyDescent="0.6">
      <c r="A2024" s="24">
        <v>32490</v>
      </c>
      <c r="B2024" s="23">
        <v>1.1477550000000001</v>
      </c>
      <c r="C2024" s="32">
        <f t="shared" si="31"/>
        <v>6.4936203797081316E-3</v>
      </c>
    </row>
    <row r="2025" spans="1:3" x14ac:dyDescent="0.6">
      <c r="A2025" s="24">
        <v>32491</v>
      </c>
      <c r="B2025" s="23">
        <v>1.1773739999999999</v>
      </c>
      <c r="C2025" s="32">
        <f t="shared" si="31"/>
        <v>2.580603003254156E-2</v>
      </c>
    </row>
    <row r="2026" spans="1:3" x14ac:dyDescent="0.6">
      <c r="A2026" s="24">
        <v>32492</v>
      </c>
      <c r="B2026" s="23">
        <v>1.169969</v>
      </c>
      <c r="C2026" s="32">
        <f t="shared" si="31"/>
        <v>-6.2894203541099536E-3</v>
      </c>
    </row>
    <row r="2027" spans="1:3" x14ac:dyDescent="0.6">
      <c r="A2027" s="24">
        <v>32493</v>
      </c>
      <c r="B2027" s="23">
        <v>1.188482</v>
      </c>
      <c r="C2027" s="32">
        <f t="shared" si="31"/>
        <v>1.5823496178103857E-2</v>
      </c>
    </row>
    <row r="2028" spans="1:3" x14ac:dyDescent="0.6">
      <c r="A2028" s="24">
        <v>32496</v>
      </c>
      <c r="B2028" s="23">
        <v>1.2069939999999999</v>
      </c>
      <c r="C2028" s="32">
        <f t="shared" si="31"/>
        <v>1.5576171957168761E-2</v>
      </c>
    </row>
    <row r="2029" spans="1:3" x14ac:dyDescent="0.6">
      <c r="A2029" s="24">
        <v>32497</v>
      </c>
      <c r="B2029" s="23">
        <v>1.214399</v>
      </c>
      <c r="C2029" s="32">
        <f t="shared" si="31"/>
        <v>6.1350760650011882E-3</v>
      </c>
    </row>
    <row r="2030" spans="1:3" x14ac:dyDescent="0.6">
      <c r="A2030" s="24">
        <v>32498</v>
      </c>
      <c r="B2030" s="23">
        <v>1.236613</v>
      </c>
      <c r="C2030" s="32">
        <f t="shared" si="31"/>
        <v>1.8292175800539878E-2</v>
      </c>
    </row>
    <row r="2031" spans="1:3" x14ac:dyDescent="0.6">
      <c r="A2031" s="24">
        <v>32499</v>
      </c>
      <c r="B2031" s="23">
        <v>1.214399</v>
      </c>
      <c r="C2031" s="32">
        <f t="shared" si="31"/>
        <v>-1.7963582786207133E-2</v>
      </c>
    </row>
    <row r="2032" spans="1:3" x14ac:dyDescent="0.6">
      <c r="A2032" s="24">
        <v>32500</v>
      </c>
      <c r="B2032" s="23">
        <v>1.2181010000000001</v>
      </c>
      <c r="C2032" s="32">
        <f t="shared" si="31"/>
        <v>3.0484214825605704E-3</v>
      </c>
    </row>
    <row r="2033" spans="1:3" x14ac:dyDescent="0.6">
      <c r="A2033" s="24">
        <v>32504</v>
      </c>
      <c r="B2033" s="23">
        <v>1.199589</v>
      </c>
      <c r="C2033" s="32">
        <f t="shared" si="31"/>
        <v>-1.5197426157601113E-2</v>
      </c>
    </row>
    <row r="2034" spans="1:3" x14ac:dyDescent="0.6">
      <c r="A2034" s="24">
        <v>32505</v>
      </c>
      <c r="B2034" s="23">
        <v>1.1921839999999999</v>
      </c>
      <c r="C2034" s="32">
        <f t="shared" si="31"/>
        <v>-6.1729475678754531E-3</v>
      </c>
    </row>
    <row r="2035" spans="1:3" x14ac:dyDescent="0.6">
      <c r="A2035" s="24">
        <v>32506</v>
      </c>
      <c r="B2035" s="23">
        <v>1.199589</v>
      </c>
      <c r="C2035" s="32">
        <f t="shared" si="31"/>
        <v>6.2112895324883954E-3</v>
      </c>
    </row>
    <row r="2036" spans="1:3" x14ac:dyDescent="0.6">
      <c r="A2036" s="24">
        <v>32507</v>
      </c>
      <c r="B2036" s="23">
        <v>1.1921839999999999</v>
      </c>
      <c r="C2036" s="32">
        <f t="shared" si="31"/>
        <v>-6.1729475678754531E-3</v>
      </c>
    </row>
    <row r="2037" spans="1:3" x14ac:dyDescent="0.6">
      <c r="A2037" s="24">
        <v>32511</v>
      </c>
      <c r="B2037" s="23">
        <v>1.1958869999999999</v>
      </c>
      <c r="C2037" s="32">
        <f t="shared" si="31"/>
        <v>3.1060641645921372E-3</v>
      </c>
    </row>
    <row r="2038" spans="1:3" x14ac:dyDescent="0.6">
      <c r="A2038" s="24">
        <v>32512</v>
      </c>
      <c r="B2038" s="23">
        <v>1.2440180000000001</v>
      </c>
      <c r="C2038" s="32">
        <f t="shared" si="31"/>
        <v>4.0247113648697708E-2</v>
      </c>
    </row>
    <row r="2039" spans="1:3" x14ac:dyDescent="0.6">
      <c r="A2039" s="24">
        <v>32513</v>
      </c>
      <c r="B2039" s="23">
        <v>1.251423</v>
      </c>
      <c r="C2039" s="32">
        <f t="shared" si="31"/>
        <v>5.9524862180448945E-3</v>
      </c>
    </row>
    <row r="2040" spans="1:3" x14ac:dyDescent="0.6">
      <c r="A2040" s="24">
        <v>32514</v>
      </c>
      <c r="B2040" s="23">
        <v>1.2625299999999999</v>
      </c>
      <c r="C2040" s="32">
        <f t="shared" si="31"/>
        <v>8.8754961351997785E-3</v>
      </c>
    </row>
    <row r="2041" spans="1:3" x14ac:dyDescent="0.6">
      <c r="A2041" s="24">
        <v>32517</v>
      </c>
      <c r="B2041" s="23">
        <v>1.273638</v>
      </c>
      <c r="C2041" s="32">
        <f t="shared" si="31"/>
        <v>8.7982067752845339E-3</v>
      </c>
    </row>
    <row r="2042" spans="1:3" x14ac:dyDescent="0.6">
      <c r="A2042" s="24">
        <v>32518</v>
      </c>
      <c r="B2042" s="23">
        <v>1.2625299999999999</v>
      </c>
      <c r="C2042" s="32">
        <f t="shared" si="31"/>
        <v>-8.7214734484996059E-3</v>
      </c>
    </row>
    <row r="2043" spans="1:3" x14ac:dyDescent="0.6">
      <c r="A2043" s="24">
        <v>32519</v>
      </c>
      <c r="B2043" s="23">
        <v>1.2477210000000001</v>
      </c>
      <c r="C2043" s="32">
        <f t="shared" si="31"/>
        <v>-1.1729622266401507E-2</v>
      </c>
    </row>
    <row r="2044" spans="1:3" x14ac:dyDescent="0.6">
      <c r="A2044" s="24">
        <v>32520</v>
      </c>
      <c r="B2044" s="23">
        <v>1.2662329999999999</v>
      </c>
      <c r="C2044" s="32">
        <f t="shared" si="31"/>
        <v>1.4836650180609201E-2</v>
      </c>
    </row>
    <row r="2045" spans="1:3" x14ac:dyDescent="0.6">
      <c r="A2045" s="24">
        <v>32521</v>
      </c>
      <c r="B2045" s="23">
        <v>1.2810429999999999</v>
      </c>
      <c r="C2045" s="32">
        <f t="shared" si="31"/>
        <v>1.1696109641748498E-2</v>
      </c>
    </row>
    <row r="2046" spans="1:3" x14ac:dyDescent="0.6">
      <c r="A2046" s="24">
        <v>32524</v>
      </c>
      <c r="B2046" s="23">
        <v>1.295852</v>
      </c>
      <c r="C2046" s="32">
        <f t="shared" si="31"/>
        <v>1.1560111565341646E-2</v>
      </c>
    </row>
    <row r="2047" spans="1:3" x14ac:dyDescent="0.6">
      <c r="A2047" s="24">
        <v>32525</v>
      </c>
      <c r="B2047" s="23">
        <v>1.1958869999999999</v>
      </c>
      <c r="C2047" s="32">
        <f t="shared" si="31"/>
        <v>-7.7142297114176639E-2</v>
      </c>
    </row>
    <row r="2048" spans="1:3" x14ac:dyDescent="0.6">
      <c r="A2048" s="24">
        <v>32526</v>
      </c>
      <c r="B2048" s="23">
        <v>1.1773739999999999</v>
      </c>
      <c r="C2048" s="32">
        <f t="shared" si="31"/>
        <v>-1.5480559618091028E-2</v>
      </c>
    </row>
    <row r="2049" spans="1:3" x14ac:dyDescent="0.6">
      <c r="A2049" s="24">
        <v>32527</v>
      </c>
      <c r="B2049" s="23">
        <v>1.199589</v>
      </c>
      <c r="C2049" s="32">
        <f t="shared" si="31"/>
        <v>1.8868261062330305E-2</v>
      </c>
    </row>
    <row r="2050" spans="1:3" x14ac:dyDescent="0.6">
      <c r="A2050" s="24">
        <v>32528</v>
      </c>
      <c r="B2050" s="23">
        <v>1.214399</v>
      </c>
      <c r="C2050" s="32">
        <f t="shared" si="31"/>
        <v>1.2345895135750684E-2</v>
      </c>
    </row>
    <row r="2051" spans="1:3" x14ac:dyDescent="0.6">
      <c r="A2051" s="24">
        <v>32531</v>
      </c>
      <c r="B2051" s="23">
        <v>1.214399</v>
      </c>
      <c r="C2051" s="32">
        <f t="shared" si="31"/>
        <v>0</v>
      </c>
    </row>
    <row r="2052" spans="1:3" x14ac:dyDescent="0.6">
      <c r="A2052" s="24">
        <v>32532</v>
      </c>
      <c r="B2052" s="23">
        <v>1.2329110000000001</v>
      </c>
      <c r="C2052" s="32">
        <f t="shared" ref="C2052:C2115" si="32">B2052/B2051-1</f>
        <v>1.524375431797953E-2</v>
      </c>
    </row>
    <row r="2053" spans="1:3" x14ac:dyDescent="0.6">
      <c r="A2053" s="24">
        <v>32533</v>
      </c>
      <c r="B2053" s="23">
        <v>1.2292080000000001</v>
      </c>
      <c r="C2053" s="32">
        <f t="shared" si="32"/>
        <v>-3.0034609148592573E-3</v>
      </c>
    </row>
    <row r="2054" spans="1:3" x14ac:dyDescent="0.6">
      <c r="A2054" s="24">
        <v>32534</v>
      </c>
      <c r="B2054" s="23">
        <v>1.236613</v>
      </c>
      <c r="C2054" s="32">
        <f t="shared" si="32"/>
        <v>6.0242042030314025E-3</v>
      </c>
    </row>
    <row r="2055" spans="1:3" x14ac:dyDescent="0.6">
      <c r="A2055" s="24">
        <v>32535</v>
      </c>
      <c r="B2055" s="23">
        <v>1.114433</v>
      </c>
      <c r="C2055" s="32">
        <f t="shared" si="32"/>
        <v>-9.8802131305428587E-2</v>
      </c>
    </row>
    <row r="2056" spans="1:3" x14ac:dyDescent="0.6">
      <c r="A2056" s="24">
        <v>32538</v>
      </c>
      <c r="B2056" s="23">
        <v>1.1070279999999999</v>
      </c>
      <c r="C2056" s="32">
        <f t="shared" si="32"/>
        <v>-6.6446345361274028E-3</v>
      </c>
    </row>
    <row r="2057" spans="1:3" x14ac:dyDescent="0.6">
      <c r="A2057" s="24">
        <v>32539</v>
      </c>
      <c r="B2057" s="23">
        <v>1.1181350000000001</v>
      </c>
      <c r="C2057" s="32">
        <f t="shared" si="32"/>
        <v>1.0033169892721849E-2</v>
      </c>
    </row>
    <row r="2058" spans="1:3" x14ac:dyDescent="0.6">
      <c r="A2058" s="24">
        <v>32540</v>
      </c>
      <c r="B2058" s="23">
        <v>1.1625650000000001</v>
      </c>
      <c r="C2058" s="32">
        <f t="shared" si="32"/>
        <v>3.9735810076600764E-2</v>
      </c>
    </row>
    <row r="2059" spans="1:3" x14ac:dyDescent="0.6">
      <c r="A2059" s="24">
        <v>32541</v>
      </c>
      <c r="B2059" s="23">
        <v>1.1773739999999999</v>
      </c>
      <c r="C2059" s="32">
        <f t="shared" si="32"/>
        <v>1.2738212487043654E-2</v>
      </c>
    </row>
    <row r="2060" spans="1:3" x14ac:dyDescent="0.6">
      <c r="A2060" s="24">
        <v>32542</v>
      </c>
      <c r="B2060" s="23">
        <v>1.1625650000000001</v>
      </c>
      <c r="C2060" s="32">
        <f t="shared" si="32"/>
        <v>-1.2577991360434249E-2</v>
      </c>
    </row>
    <row r="2061" spans="1:3" x14ac:dyDescent="0.6">
      <c r="A2061" s="24">
        <v>32545</v>
      </c>
      <c r="B2061" s="23">
        <v>1.14035</v>
      </c>
      <c r="C2061" s="32">
        <f t="shared" si="32"/>
        <v>-1.9108608981003306E-2</v>
      </c>
    </row>
    <row r="2062" spans="1:3" x14ac:dyDescent="0.6">
      <c r="A2062" s="24">
        <v>32546</v>
      </c>
      <c r="B2062" s="23">
        <v>1.155159</v>
      </c>
      <c r="C2062" s="32">
        <f t="shared" si="32"/>
        <v>1.2986363835664649E-2</v>
      </c>
    </row>
    <row r="2063" spans="1:3" x14ac:dyDescent="0.6">
      <c r="A2063" s="24">
        <v>32547</v>
      </c>
      <c r="B2063" s="23">
        <v>1.1329450000000001</v>
      </c>
      <c r="C2063" s="32">
        <f t="shared" si="32"/>
        <v>-1.9230253151297783E-2</v>
      </c>
    </row>
    <row r="2064" spans="1:3" x14ac:dyDescent="0.6">
      <c r="A2064" s="24">
        <v>32548</v>
      </c>
      <c r="B2064" s="23">
        <v>1.1329450000000001</v>
      </c>
      <c r="C2064" s="32">
        <f t="shared" si="32"/>
        <v>0</v>
      </c>
    </row>
    <row r="2065" spans="1:3" x14ac:dyDescent="0.6">
      <c r="A2065" s="24">
        <v>32549</v>
      </c>
      <c r="B2065" s="23">
        <v>1.103326</v>
      </c>
      <c r="C2065" s="32">
        <f t="shared" si="32"/>
        <v>-2.6143369713445996E-2</v>
      </c>
    </row>
    <row r="2066" spans="1:3" x14ac:dyDescent="0.6">
      <c r="A2066" s="24">
        <v>32552</v>
      </c>
      <c r="B2066" s="23">
        <v>1.0959209999999999</v>
      </c>
      <c r="C2066" s="32">
        <f t="shared" si="32"/>
        <v>-6.7115249708609159E-3</v>
      </c>
    </row>
    <row r="2067" spans="1:3" x14ac:dyDescent="0.6">
      <c r="A2067" s="24">
        <v>32553</v>
      </c>
      <c r="B2067" s="23">
        <v>1.058897</v>
      </c>
      <c r="C2067" s="32">
        <f t="shared" si="32"/>
        <v>-3.3783457019255891E-2</v>
      </c>
    </row>
    <row r="2068" spans="1:3" x14ac:dyDescent="0.6">
      <c r="A2068" s="24">
        <v>32554</v>
      </c>
      <c r="B2068" s="23">
        <v>1.073706</v>
      </c>
      <c r="C2068" s="32">
        <f t="shared" si="32"/>
        <v>1.398530735283976E-2</v>
      </c>
    </row>
    <row r="2069" spans="1:3" x14ac:dyDescent="0.6">
      <c r="A2069" s="24">
        <v>32555</v>
      </c>
      <c r="B2069" s="23">
        <v>1.0774090000000001</v>
      </c>
      <c r="C2069" s="32">
        <f t="shared" si="32"/>
        <v>3.4488025586147941E-3</v>
      </c>
    </row>
    <row r="2070" spans="1:3" x14ac:dyDescent="0.6">
      <c r="A2070" s="24">
        <v>32556</v>
      </c>
      <c r="B2070" s="23">
        <v>1.0915159999999999</v>
      </c>
      <c r="C2070" s="32">
        <f t="shared" si="32"/>
        <v>1.3093449191532436E-2</v>
      </c>
    </row>
    <row r="2071" spans="1:3" x14ac:dyDescent="0.6">
      <c r="A2071" s="24">
        <v>32560</v>
      </c>
      <c r="B2071" s="23">
        <v>1.113791</v>
      </c>
      <c r="C2071" s="32">
        <f t="shared" si="32"/>
        <v>2.0407396684977597E-2</v>
      </c>
    </row>
    <row r="2072" spans="1:3" x14ac:dyDescent="0.6">
      <c r="A2072" s="24">
        <v>32561</v>
      </c>
      <c r="B2072" s="23">
        <v>1.0915159999999999</v>
      </c>
      <c r="C2072" s="32">
        <f t="shared" si="32"/>
        <v>-1.9999263775699383E-2</v>
      </c>
    </row>
    <row r="2073" spans="1:3" x14ac:dyDescent="0.6">
      <c r="A2073" s="24">
        <v>32562</v>
      </c>
      <c r="B2073" s="23">
        <v>1.0915159999999999</v>
      </c>
      <c r="C2073" s="32">
        <f t="shared" si="32"/>
        <v>0</v>
      </c>
    </row>
    <row r="2074" spans="1:3" x14ac:dyDescent="0.6">
      <c r="A2074" s="24">
        <v>32563</v>
      </c>
      <c r="B2074" s="23">
        <v>1.06924</v>
      </c>
      <c r="C2074" s="32">
        <f t="shared" si="32"/>
        <v>-2.0408312841955545E-2</v>
      </c>
    </row>
    <row r="2075" spans="1:3" x14ac:dyDescent="0.6">
      <c r="A2075" s="24">
        <v>32566</v>
      </c>
      <c r="B2075" s="23">
        <v>1.08409</v>
      </c>
      <c r="C2075" s="32">
        <f t="shared" si="32"/>
        <v>1.3888369309041915E-2</v>
      </c>
    </row>
    <row r="2076" spans="1:3" x14ac:dyDescent="0.6">
      <c r="A2076" s="24">
        <v>32567</v>
      </c>
      <c r="B2076" s="23">
        <v>1.076665</v>
      </c>
      <c r="C2076" s="32">
        <f t="shared" si="32"/>
        <v>-6.8490623472221568E-3</v>
      </c>
    </row>
    <row r="2077" spans="1:3" x14ac:dyDescent="0.6">
      <c r="A2077" s="24">
        <v>32568</v>
      </c>
      <c r="B2077" s="23">
        <v>1.06924</v>
      </c>
      <c r="C2077" s="32">
        <f t="shared" si="32"/>
        <v>-6.8962955051014019E-3</v>
      </c>
    </row>
    <row r="2078" spans="1:3" x14ac:dyDescent="0.6">
      <c r="A2078" s="24">
        <v>32569</v>
      </c>
      <c r="B2078" s="23">
        <v>1.039539</v>
      </c>
      <c r="C2078" s="32">
        <f t="shared" si="32"/>
        <v>-2.7777673861808405E-2</v>
      </c>
    </row>
    <row r="2079" spans="1:3" x14ac:dyDescent="0.6">
      <c r="A2079" s="24">
        <v>32570</v>
      </c>
      <c r="B2079" s="23">
        <v>1.0321130000000001</v>
      </c>
      <c r="C2079" s="32">
        <f t="shared" si="32"/>
        <v>-7.1435511317996525E-3</v>
      </c>
    </row>
    <row r="2080" spans="1:3" x14ac:dyDescent="0.6">
      <c r="A2080" s="24">
        <v>32573</v>
      </c>
      <c r="B2080" s="23">
        <v>1.054389</v>
      </c>
      <c r="C2080" s="32">
        <f t="shared" si="32"/>
        <v>2.1582908073050078E-2</v>
      </c>
    </row>
    <row r="2081" spans="1:3" x14ac:dyDescent="0.6">
      <c r="A2081" s="24">
        <v>32574</v>
      </c>
      <c r="B2081" s="23">
        <v>1.061814</v>
      </c>
      <c r="C2081" s="32">
        <f t="shared" si="32"/>
        <v>7.0419930405192233E-3</v>
      </c>
    </row>
    <row r="2082" spans="1:3" x14ac:dyDescent="0.6">
      <c r="A2082" s="24">
        <v>32575</v>
      </c>
      <c r="B2082" s="23">
        <v>1.046964</v>
      </c>
      <c r="C2082" s="32">
        <f t="shared" si="32"/>
        <v>-1.3985500285360719E-2</v>
      </c>
    </row>
    <row r="2083" spans="1:3" x14ac:dyDescent="0.6">
      <c r="A2083" s="24">
        <v>32576</v>
      </c>
      <c r="B2083" s="23">
        <v>1.024688</v>
      </c>
      <c r="C2083" s="32">
        <f t="shared" si="32"/>
        <v>-2.127675832215814E-2</v>
      </c>
    </row>
    <row r="2084" spans="1:3" x14ac:dyDescent="0.6">
      <c r="A2084" s="24">
        <v>32577</v>
      </c>
      <c r="B2084" s="23">
        <v>1.039539</v>
      </c>
      <c r="C2084" s="32">
        <f t="shared" si="32"/>
        <v>1.4493192074075179E-2</v>
      </c>
    </row>
    <row r="2085" spans="1:3" x14ac:dyDescent="0.6">
      <c r="A2085" s="24">
        <v>32580</v>
      </c>
      <c r="B2085" s="23">
        <v>1.039539</v>
      </c>
      <c r="C2085" s="32">
        <f t="shared" si="32"/>
        <v>0</v>
      </c>
    </row>
    <row r="2086" spans="1:3" x14ac:dyDescent="0.6">
      <c r="A2086" s="24">
        <v>32581</v>
      </c>
      <c r="B2086" s="23">
        <v>1.046964</v>
      </c>
      <c r="C2086" s="32">
        <f t="shared" si="32"/>
        <v>7.1425891669287811E-3</v>
      </c>
    </row>
    <row r="2087" spans="1:3" x14ac:dyDescent="0.6">
      <c r="A2087" s="24">
        <v>32582</v>
      </c>
      <c r="B2087" s="23">
        <v>1.039539</v>
      </c>
      <c r="C2087" s="32">
        <f t="shared" si="32"/>
        <v>-7.0919343931596934E-3</v>
      </c>
    </row>
    <row r="2088" spans="1:3" x14ac:dyDescent="0.6">
      <c r="A2088" s="24">
        <v>32583</v>
      </c>
      <c r="B2088" s="23">
        <v>1.046964</v>
      </c>
      <c r="C2088" s="32">
        <f t="shared" si="32"/>
        <v>7.1425891669287811E-3</v>
      </c>
    </row>
    <row r="2089" spans="1:3" x14ac:dyDescent="0.6">
      <c r="A2089" s="24">
        <v>32584</v>
      </c>
      <c r="B2089" s="23">
        <v>1.0358259999999999</v>
      </c>
      <c r="C2089" s="32">
        <f t="shared" si="32"/>
        <v>-1.0638379161079126E-2</v>
      </c>
    </row>
    <row r="2090" spans="1:3" x14ac:dyDescent="0.6">
      <c r="A2090" s="24">
        <v>32587</v>
      </c>
      <c r="B2090" s="23">
        <v>1.0358259999999999</v>
      </c>
      <c r="C2090" s="32">
        <f t="shared" si="32"/>
        <v>0</v>
      </c>
    </row>
    <row r="2091" spans="1:3" x14ac:dyDescent="0.6">
      <c r="A2091" s="24">
        <v>32588</v>
      </c>
      <c r="B2091" s="23">
        <v>1.0358259999999999</v>
      </c>
      <c r="C2091" s="32">
        <f t="shared" si="32"/>
        <v>0</v>
      </c>
    </row>
    <row r="2092" spans="1:3" x14ac:dyDescent="0.6">
      <c r="A2092" s="24">
        <v>32589</v>
      </c>
      <c r="B2092" s="23">
        <v>1.0061249999999999</v>
      </c>
      <c r="C2092" s="32">
        <f t="shared" si="32"/>
        <v>-2.8673734777848736E-2</v>
      </c>
    </row>
    <row r="2093" spans="1:3" x14ac:dyDescent="0.6">
      <c r="A2093" s="24">
        <v>32590</v>
      </c>
      <c r="B2093" s="23">
        <v>1.020975</v>
      </c>
      <c r="C2093" s="32">
        <f t="shared" si="32"/>
        <v>1.4759597465523688E-2</v>
      </c>
    </row>
    <row r="2094" spans="1:3" x14ac:dyDescent="0.6">
      <c r="A2094" s="24">
        <v>32594</v>
      </c>
      <c r="B2094" s="23">
        <v>1.0024120000000001</v>
      </c>
      <c r="C2094" s="32">
        <f t="shared" si="32"/>
        <v>-1.8181640098924978E-2</v>
      </c>
    </row>
    <row r="2095" spans="1:3" x14ac:dyDescent="0.6">
      <c r="A2095" s="24">
        <v>32595</v>
      </c>
      <c r="B2095" s="23">
        <v>1.0098370000000001</v>
      </c>
      <c r="C2095" s="32">
        <f t="shared" si="32"/>
        <v>7.4071339928094559E-3</v>
      </c>
    </row>
    <row r="2096" spans="1:3" x14ac:dyDescent="0.6">
      <c r="A2096" s="24">
        <v>32596</v>
      </c>
      <c r="B2096" s="23">
        <v>1.017263</v>
      </c>
      <c r="C2096" s="32">
        <f t="shared" si="32"/>
        <v>7.3536620266438923E-3</v>
      </c>
    </row>
    <row r="2097" spans="1:3" x14ac:dyDescent="0.6">
      <c r="A2097" s="24">
        <v>32597</v>
      </c>
      <c r="B2097" s="23">
        <v>1.0321130000000001</v>
      </c>
      <c r="C2097" s="32">
        <f t="shared" si="32"/>
        <v>1.4597994815499948E-2</v>
      </c>
    </row>
    <row r="2098" spans="1:3" x14ac:dyDescent="0.6">
      <c r="A2098" s="24">
        <v>32598</v>
      </c>
      <c r="B2098" s="23">
        <v>1.0581020000000001</v>
      </c>
      <c r="C2098" s="32">
        <f t="shared" si="32"/>
        <v>2.5180382380611377E-2</v>
      </c>
    </row>
    <row r="2099" spans="1:3" x14ac:dyDescent="0.6">
      <c r="A2099" s="24">
        <v>32601</v>
      </c>
      <c r="B2099" s="23">
        <v>1.039539</v>
      </c>
      <c r="C2099" s="32">
        <f t="shared" si="32"/>
        <v>-1.754367726362871E-2</v>
      </c>
    </row>
    <row r="2100" spans="1:3" x14ac:dyDescent="0.6">
      <c r="A2100" s="24">
        <v>32602</v>
      </c>
      <c r="B2100" s="23">
        <v>1.024688</v>
      </c>
      <c r="C2100" s="32">
        <f t="shared" si="32"/>
        <v>-1.4286140298728545E-2</v>
      </c>
    </row>
    <row r="2101" spans="1:3" x14ac:dyDescent="0.6">
      <c r="A2101" s="24">
        <v>32603</v>
      </c>
      <c r="B2101" s="23">
        <v>1.039539</v>
      </c>
      <c r="C2101" s="32">
        <f t="shared" si="32"/>
        <v>1.4493192074075179E-2</v>
      </c>
    </row>
    <row r="2102" spans="1:3" x14ac:dyDescent="0.6">
      <c r="A2102" s="24">
        <v>32604</v>
      </c>
      <c r="B2102" s="23">
        <v>1.06924</v>
      </c>
      <c r="C2102" s="32">
        <f t="shared" si="32"/>
        <v>2.8571318632586218E-2</v>
      </c>
    </row>
    <row r="2103" spans="1:3" x14ac:dyDescent="0.6">
      <c r="A2103" s="24">
        <v>32605</v>
      </c>
      <c r="B2103" s="23">
        <v>1.110079</v>
      </c>
      <c r="C2103" s="32">
        <f t="shared" si="32"/>
        <v>3.8194418465452129E-2</v>
      </c>
    </row>
    <row r="2104" spans="1:3" x14ac:dyDescent="0.6">
      <c r="A2104" s="24">
        <v>32608</v>
      </c>
      <c r="B2104" s="23">
        <v>1.0989409999999999</v>
      </c>
      <c r="C2104" s="32">
        <f t="shared" si="32"/>
        <v>-1.0033520136855212E-2</v>
      </c>
    </row>
    <row r="2105" spans="1:3" x14ac:dyDescent="0.6">
      <c r="A2105" s="24">
        <v>32609</v>
      </c>
      <c r="B2105" s="23">
        <v>1.1212169999999999</v>
      </c>
      <c r="C2105" s="32">
        <f t="shared" si="32"/>
        <v>2.0270423980905283E-2</v>
      </c>
    </row>
    <row r="2106" spans="1:3" x14ac:dyDescent="0.6">
      <c r="A2106" s="24">
        <v>32610</v>
      </c>
      <c r="B2106" s="23">
        <v>1.143492</v>
      </c>
      <c r="C2106" s="32">
        <f t="shared" si="32"/>
        <v>1.9866805444441304E-2</v>
      </c>
    </row>
    <row r="2107" spans="1:3" x14ac:dyDescent="0.6">
      <c r="A2107" s="24">
        <v>32611</v>
      </c>
      <c r="B2107" s="23">
        <v>1.143492</v>
      </c>
      <c r="C2107" s="32">
        <f t="shared" si="32"/>
        <v>0</v>
      </c>
    </row>
    <row r="2108" spans="1:3" x14ac:dyDescent="0.6">
      <c r="A2108" s="24">
        <v>32612</v>
      </c>
      <c r="B2108" s="23">
        <v>1.1509180000000001</v>
      </c>
      <c r="C2108" s="32">
        <f t="shared" si="32"/>
        <v>6.4941425038391731E-3</v>
      </c>
    </row>
    <row r="2109" spans="1:3" x14ac:dyDescent="0.6">
      <c r="A2109" s="24">
        <v>32615</v>
      </c>
      <c r="B2109" s="23">
        <v>1.1657679999999999</v>
      </c>
      <c r="C2109" s="32">
        <f t="shared" si="32"/>
        <v>1.290274372283684E-2</v>
      </c>
    </row>
    <row r="2110" spans="1:3" x14ac:dyDescent="0.6">
      <c r="A2110" s="24">
        <v>32616</v>
      </c>
      <c r="B2110" s="23">
        <v>1.191756</v>
      </c>
      <c r="C2110" s="32">
        <f t="shared" si="32"/>
        <v>2.2292600242930005E-2</v>
      </c>
    </row>
    <row r="2111" spans="1:3" x14ac:dyDescent="0.6">
      <c r="A2111" s="24">
        <v>32617</v>
      </c>
      <c r="B2111" s="23">
        <v>1.2140329999999999</v>
      </c>
      <c r="C2111" s="32">
        <f t="shared" si="32"/>
        <v>1.8692584723718486E-2</v>
      </c>
    </row>
    <row r="2112" spans="1:3" x14ac:dyDescent="0.6">
      <c r="A2112" s="24">
        <v>32618</v>
      </c>
      <c r="B2112" s="23">
        <v>1.2103200000000001</v>
      </c>
      <c r="C2112" s="32">
        <f t="shared" si="32"/>
        <v>-3.0584012131464888E-3</v>
      </c>
    </row>
    <row r="2113" spans="1:3" x14ac:dyDescent="0.6">
      <c r="A2113" s="24">
        <v>32619</v>
      </c>
      <c r="B2113" s="23">
        <v>1.191756</v>
      </c>
      <c r="C2113" s="32">
        <f t="shared" si="32"/>
        <v>-1.5338092405314363E-2</v>
      </c>
    </row>
    <row r="2114" spans="1:3" x14ac:dyDescent="0.6">
      <c r="A2114" s="24">
        <v>32622</v>
      </c>
      <c r="B2114" s="23">
        <v>1.191756</v>
      </c>
      <c r="C2114" s="32">
        <f t="shared" si="32"/>
        <v>0</v>
      </c>
    </row>
    <row r="2115" spans="1:3" x14ac:dyDescent="0.6">
      <c r="A2115" s="24">
        <v>32623</v>
      </c>
      <c r="B2115" s="23">
        <v>1.1880440000000001</v>
      </c>
      <c r="C2115" s="32">
        <f t="shared" si="32"/>
        <v>-3.1147315390062102E-3</v>
      </c>
    </row>
    <row r="2116" spans="1:3" x14ac:dyDescent="0.6">
      <c r="A2116" s="24">
        <v>32624</v>
      </c>
      <c r="B2116" s="23">
        <v>1.1806190000000001</v>
      </c>
      <c r="C2116" s="32">
        <f t="shared" ref="C2116:C2179" si="33">B2116/B2115-1</f>
        <v>-6.2497685270915815E-3</v>
      </c>
    </row>
    <row r="2117" spans="1:3" x14ac:dyDescent="0.6">
      <c r="A2117" s="24">
        <v>32625</v>
      </c>
      <c r="B2117" s="23">
        <v>1.169481</v>
      </c>
      <c r="C2117" s="32">
        <f t="shared" si="33"/>
        <v>-9.4340341803749173E-3</v>
      </c>
    </row>
    <row r="2118" spans="1:3" x14ac:dyDescent="0.6">
      <c r="A2118" s="24">
        <v>32626</v>
      </c>
      <c r="B2118" s="23">
        <v>1.1583429999999999</v>
      </c>
      <c r="C2118" s="32">
        <f t="shared" si="33"/>
        <v>-9.5238828163947131E-3</v>
      </c>
    </row>
    <row r="2119" spans="1:3" x14ac:dyDescent="0.6">
      <c r="A2119" s="24">
        <v>32629</v>
      </c>
      <c r="B2119" s="23">
        <v>1.1583429999999999</v>
      </c>
      <c r="C2119" s="32">
        <f t="shared" si="33"/>
        <v>0</v>
      </c>
    </row>
    <row r="2120" spans="1:3" x14ac:dyDescent="0.6">
      <c r="A2120" s="24">
        <v>32630</v>
      </c>
      <c r="B2120" s="23">
        <v>1.184331</v>
      </c>
      <c r="C2120" s="32">
        <f t="shared" si="33"/>
        <v>2.2435496221758333E-2</v>
      </c>
    </row>
    <row r="2121" spans="1:3" x14ac:dyDescent="0.6">
      <c r="A2121" s="24">
        <v>32631</v>
      </c>
      <c r="B2121" s="23">
        <v>1.1954689999999999</v>
      </c>
      <c r="C2121" s="32">
        <f t="shared" si="33"/>
        <v>9.4044654746010536E-3</v>
      </c>
    </row>
    <row r="2122" spans="1:3" x14ac:dyDescent="0.6">
      <c r="A2122" s="24">
        <v>32632</v>
      </c>
      <c r="B2122" s="23">
        <v>1.2177450000000001</v>
      </c>
      <c r="C2122" s="32">
        <f t="shared" si="33"/>
        <v>1.8633691045104595E-2</v>
      </c>
    </row>
    <row r="2123" spans="1:3" x14ac:dyDescent="0.6">
      <c r="A2123" s="24">
        <v>32633</v>
      </c>
      <c r="B2123" s="23">
        <v>1.2325950000000001</v>
      </c>
      <c r="C2123" s="32">
        <f t="shared" si="33"/>
        <v>1.2194671298178195E-2</v>
      </c>
    </row>
    <row r="2124" spans="1:3" x14ac:dyDescent="0.6">
      <c r="A2124" s="24">
        <v>32636</v>
      </c>
      <c r="B2124" s="23">
        <v>1.254872</v>
      </c>
      <c r="C2124" s="32">
        <f t="shared" si="33"/>
        <v>1.8073251960295078E-2</v>
      </c>
    </row>
    <row r="2125" spans="1:3" x14ac:dyDescent="0.6">
      <c r="A2125" s="24">
        <v>32637</v>
      </c>
      <c r="B2125" s="23">
        <v>1.262297</v>
      </c>
      <c r="C2125" s="32">
        <f t="shared" si="33"/>
        <v>5.9169381418981981E-3</v>
      </c>
    </row>
    <row r="2126" spans="1:3" x14ac:dyDescent="0.6">
      <c r="A2126" s="24">
        <v>32638</v>
      </c>
      <c r="B2126" s="23">
        <v>1.284573</v>
      </c>
      <c r="C2126" s="32">
        <f t="shared" si="33"/>
        <v>1.7647193964653196E-2</v>
      </c>
    </row>
    <row r="2127" spans="1:3" x14ac:dyDescent="0.6">
      <c r="A2127" s="24">
        <v>32639</v>
      </c>
      <c r="B2127" s="23">
        <v>1.3031360000000001</v>
      </c>
      <c r="C2127" s="32">
        <f t="shared" si="33"/>
        <v>1.4450716308065159E-2</v>
      </c>
    </row>
    <row r="2128" spans="1:3" x14ac:dyDescent="0.6">
      <c r="A2128" s="24">
        <v>32640</v>
      </c>
      <c r="B2128" s="23">
        <v>1.336549</v>
      </c>
      <c r="C2128" s="32">
        <f t="shared" si="33"/>
        <v>2.5640455025415454E-2</v>
      </c>
    </row>
    <row r="2129" spans="1:3" x14ac:dyDescent="0.6">
      <c r="A2129" s="24">
        <v>32643</v>
      </c>
      <c r="B2129" s="23">
        <v>1.36625</v>
      </c>
      <c r="C2129" s="32">
        <f t="shared" si="33"/>
        <v>2.2222155715952097E-2</v>
      </c>
    </row>
    <row r="2130" spans="1:3" x14ac:dyDescent="0.6">
      <c r="A2130" s="24">
        <v>32644</v>
      </c>
      <c r="B2130" s="23">
        <v>1.3476870000000001</v>
      </c>
      <c r="C2130" s="32">
        <f t="shared" si="33"/>
        <v>-1.3586825251601042E-2</v>
      </c>
    </row>
    <row r="2131" spans="1:3" x14ac:dyDescent="0.6">
      <c r="A2131" s="24">
        <v>32645</v>
      </c>
      <c r="B2131" s="23">
        <v>1.3439749999999999</v>
      </c>
      <c r="C2131" s="32">
        <f t="shared" si="33"/>
        <v>-2.7543487471498596E-3</v>
      </c>
    </row>
    <row r="2132" spans="1:3" x14ac:dyDescent="0.6">
      <c r="A2132" s="24">
        <v>32646</v>
      </c>
      <c r="B2132" s="23">
        <v>1.329124</v>
      </c>
      <c r="C2132" s="32">
        <f t="shared" si="33"/>
        <v>-1.1050056734686287E-2</v>
      </c>
    </row>
    <row r="2133" spans="1:3" x14ac:dyDescent="0.6">
      <c r="A2133" s="24">
        <v>32647</v>
      </c>
      <c r="B2133" s="23">
        <v>1.3588249999999999</v>
      </c>
      <c r="C2133" s="32">
        <f t="shared" si="33"/>
        <v>2.234629726045112E-2</v>
      </c>
    </row>
    <row r="2134" spans="1:3" x14ac:dyDescent="0.6">
      <c r="A2134" s="24">
        <v>32650</v>
      </c>
      <c r="B2134" s="23">
        <v>1.3692420000000001</v>
      </c>
      <c r="C2134" s="32">
        <f t="shared" si="33"/>
        <v>7.6661821794565821E-3</v>
      </c>
    </row>
    <row r="2135" spans="1:3" x14ac:dyDescent="0.6">
      <c r="A2135" s="24">
        <v>32651</v>
      </c>
      <c r="B2135" s="23">
        <v>1.3543590000000001</v>
      </c>
      <c r="C2135" s="32">
        <f t="shared" si="33"/>
        <v>-1.0869517587102973E-2</v>
      </c>
    </row>
    <row r="2136" spans="1:3" x14ac:dyDescent="0.6">
      <c r="A2136" s="24">
        <v>32652</v>
      </c>
      <c r="B2136" s="23">
        <v>1.421333</v>
      </c>
      <c r="C2136" s="32">
        <f t="shared" si="33"/>
        <v>4.945069955602599E-2</v>
      </c>
    </row>
    <row r="2137" spans="1:3" x14ac:dyDescent="0.6">
      <c r="A2137" s="24">
        <v>32653</v>
      </c>
      <c r="B2137" s="23">
        <v>1.4362159999999999</v>
      </c>
      <c r="C2137" s="32">
        <f t="shared" si="33"/>
        <v>1.0471156301866014E-2</v>
      </c>
    </row>
    <row r="2138" spans="1:3" x14ac:dyDescent="0.6">
      <c r="A2138" s="24">
        <v>32654</v>
      </c>
      <c r="B2138" s="23">
        <v>1.4436580000000001</v>
      </c>
      <c r="C2138" s="32">
        <f t="shared" si="33"/>
        <v>5.1816718376624937E-3</v>
      </c>
    </row>
    <row r="2139" spans="1:3" x14ac:dyDescent="0.6">
      <c r="A2139" s="24">
        <v>32658</v>
      </c>
      <c r="B2139" s="23">
        <v>1.413891</v>
      </c>
      <c r="C2139" s="32">
        <f t="shared" si="33"/>
        <v>-2.0619149410733062E-2</v>
      </c>
    </row>
    <row r="2140" spans="1:3" x14ac:dyDescent="0.6">
      <c r="A2140" s="24">
        <v>32659</v>
      </c>
      <c r="B2140" s="23">
        <v>1.421333</v>
      </c>
      <c r="C2140" s="32">
        <f t="shared" si="33"/>
        <v>5.2634891940042117E-3</v>
      </c>
    </row>
    <row r="2141" spans="1:3" x14ac:dyDescent="0.6">
      <c r="A2141" s="24">
        <v>32660</v>
      </c>
      <c r="B2141" s="23">
        <v>1.4510989999999999</v>
      </c>
      <c r="C2141" s="32">
        <f t="shared" si="33"/>
        <v>2.0942312603731805E-2</v>
      </c>
    </row>
    <row r="2142" spans="1:3" x14ac:dyDescent="0.6">
      <c r="A2142" s="24">
        <v>32661</v>
      </c>
      <c r="B2142" s="23">
        <v>1.4585410000000001</v>
      </c>
      <c r="C2142" s="32">
        <f t="shared" si="33"/>
        <v>5.1285267235385845E-3</v>
      </c>
    </row>
    <row r="2143" spans="1:3" x14ac:dyDescent="0.6">
      <c r="A2143" s="24">
        <v>32664</v>
      </c>
      <c r="B2143" s="23">
        <v>1.3990089999999999</v>
      </c>
      <c r="C2143" s="32">
        <f t="shared" si="33"/>
        <v>-4.0816130640139781E-2</v>
      </c>
    </row>
    <row r="2144" spans="1:3" x14ac:dyDescent="0.6">
      <c r="A2144" s="24">
        <v>32665</v>
      </c>
      <c r="B2144" s="23">
        <v>1.391567</v>
      </c>
      <c r="C2144" s="32">
        <f t="shared" si="33"/>
        <v>-5.3194797174285213E-3</v>
      </c>
    </row>
    <row r="2145" spans="1:3" x14ac:dyDescent="0.6">
      <c r="A2145" s="24">
        <v>32666</v>
      </c>
      <c r="B2145" s="23">
        <v>1.4362159999999999</v>
      </c>
      <c r="C2145" s="32">
        <f t="shared" si="33"/>
        <v>3.2085411625886406E-2</v>
      </c>
    </row>
    <row r="2146" spans="1:3" x14ac:dyDescent="0.6">
      <c r="A2146" s="24">
        <v>32667</v>
      </c>
      <c r="B2146" s="23">
        <v>1.4176120000000001</v>
      </c>
      <c r="C2146" s="32">
        <f t="shared" si="33"/>
        <v>-1.2953483320057635E-2</v>
      </c>
    </row>
    <row r="2147" spans="1:3" x14ac:dyDescent="0.6">
      <c r="A2147" s="24">
        <v>32668</v>
      </c>
      <c r="B2147" s="23">
        <v>1.3990089999999999</v>
      </c>
      <c r="C2147" s="32">
        <f t="shared" si="33"/>
        <v>-1.3122772662759741E-2</v>
      </c>
    </row>
    <row r="2148" spans="1:3" x14ac:dyDescent="0.6">
      <c r="A2148" s="24">
        <v>32671</v>
      </c>
      <c r="B2148" s="23">
        <v>1.413891</v>
      </c>
      <c r="C2148" s="32">
        <f t="shared" si="33"/>
        <v>1.0637529851487804E-2</v>
      </c>
    </row>
    <row r="2149" spans="1:3" x14ac:dyDescent="0.6">
      <c r="A2149" s="24">
        <v>32672</v>
      </c>
      <c r="B2149" s="23">
        <v>1.4436580000000001</v>
      </c>
      <c r="C2149" s="32">
        <f t="shared" si="33"/>
        <v>2.1053249507918315E-2</v>
      </c>
    </row>
    <row r="2150" spans="1:3" x14ac:dyDescent="0.6">
      <c r="A2150" s="24">
        <v>32673</v>
      </c>
      <c r="B2150" s="23">
        <v>1.4771449999999999</v>
      </c>
      <c r="C2150" s="32">
        <f t="shared" si="33"/>
        <v>2.3195936987846055E-2</v>
      </c>
    </row>
    <row r="2151" spans="1:3" x14ac:dyDescent="0.6">
      <c r="A2151" s="24">
        <v>32674</v>
      </c>
      <c r="B2151" s="23">
        <v>1.413891</v>
      </c>
      <c r="C2151" s="32">
        <f t="shared" si="33"/>
        <v>-4.2821794745945718E-2</v>
      </c>
    </row>
    <row r="2152" spans="1:3" x14ac:dyDescent="0.6">
      <c r="A2152" s="24">
        <v>32675</v>
      </c>
      <c r="B2152" s="23">
        <v>1.3245929999999999</v>
      </c>
      <c r="C2152" s="32">
        <f t="shared" si="33"/>
        <v>-6.3157626719457238E-2</v>
      </c>
    </row>
    <row r="2153" spans="1:3" x14ac:dyDescent="0.6">
      <c r="A2153" s="24">
        <v>32678</v>
      </c>
      <c r="B2153" s="23">
        <v>1.3097099999999999</v>
      </c>
      <c r="C2153" s="32">
        <f t="shared" si="33"/>
        <v>-1.123590416074971E-2</v>
      </c>
    </row>
    <row r="2154" spans="1:3" x14ac:dyDescent="0.6">
      <c r="A2154" s="24">
        <v>32679</v>
      </c>
      <c r="B2154" s="23">
        <v>1.2799450000000001</v>
      </c>
      <c r="C2154" s="32">
        <f t="shared" si="33"/>
        <v>-2.2726405082040935E-2</v>
      </c>
    </row>
    <row r="2155" spans="1:3" x14ac:dyDescent="0.6">
      <c r="A2155" s="24">
        <v>32680</v>
      </c>
      <c r="B2155" s="23">
        <v>1.2650600000000001</v>
      </c>
      <c r="C2155" s="32">
        <f t="shared" si="33"/>
        <v>-1.1629405951037008E-2</v>
      </c>
    </row>
    <row r="2156" spans="1:3" x14ac:dyDescent="0.6">
      <c r="A2156" s="24">
        <v>32681</v>
      </c>
      <c r="B2156" s="23">
        <v>1.287385</v>
      </c>
      <c r="C2156" s="32">
        <f t="shared" si="33"/>
        <v>1.7647384313787429E-2</v>
      </c>
    </row>
    <row r="2157" spans="1:3" x14ac:dyDescent="0.6">
      <c r="A2157" s="24">
        <v>32682</v>
      </c>
      <c r="B2157" s="23">
        <v>1.30599</v>
      </c>
      <c r="C2157" s="32">
        <f t="shared" si="33"/>
        <v>1.4451776275162365E-2</v>
      </c>
    </row>
    <row r="2158" spans="1:3" x14ac:dyDescent="0.6">
      <c r="A2158" s="24">
        <v>32685</v>
      </c>
      <c r="B2158" s="23">
        <v>1.294827</v>
      </c>
      <c r="C2158" s="32">
        <f t="shared" si="33"/>
        <v>-8.5475386488411687E-3</v>
      </c>
    </row>
    <row r="2159" spans="1:3" x14ac:dyDescent="0.6">
      <c r="A2159" s="24">
        <v>32686</v>
      </c>
      <c r="B2159" s="23">
        <v>1.2687820000000001</v>
      </c>
      <c r="C2159" s="32">
        <f t="shared" si="33"/>
        <v>-2.0114656243652496E-2</v>
      </c>
    </row>
    <row r="2160" spans="1:3" x14ac:dyDescent="0.6">
      <c r="A2160" s="24">
        <v>32687</v>
      </c>
      <c r="B2160" s="23">
        <v>1.2427360000000001</v>
      </c>
      <c r="C2160" s="32">
        <f t="shared" si="33"/>
        <v>-2.0528349235723664E-2</v>
      </c>
    </row>
    <row r="2161" spans="1:3" x14ac:dyDescent="0.6">
      <c r="A2161" s="24">
        <v>32688</v>
      </c>
      <c r="B2161" s="23">
        <v>1.209249</v>
      </c>
      <c r="C2161" s="32">
        <f t="shared" si="33"/>
        <v>-2.6946189697570566E-2</v>
      </c>
    </row>
    <row r="2162" spans="1:3" x14ac:dyDescent="0.6">
      <c r="A2162" s="24">
        <v>32689</v>
      </c>
      <c r="B2162" s="23">
        <v>1.2278530000000001</v>
      </c>
      <c r="C2162" s="32">
        <f t="shared" si="33"/>
        <v>1.5384755331614874E-2</v>
      </c>
    </row>
    <row r="2163" spans="1:3" x14ac:dyDescent="0.6">
      <c r="A2163" s="24">
        <v>32692</v>
      </c>
      <c r="B2163" s="23">
        <v>1.2129700000000001</v>
      </c>
      <c r="C2163" s="32">
        <f t="shared" si="33"/>
        <v>-1.2121157825896067E-2</v>
      </c>
    </row>
    <row r="2164" spans="1:3" x14ac:dyDescent="0.6">
      <c r="A2164" s="24">
        <v>32694</v>
      </c>
      <c r="B2164" s="23">
        <v>1.2055279999999999</v>
      </c>
      <c r="C2164" s="32">
        <f t="shared" si="33"/>
        <v>-6.1353537185586671E-3</v>
      </c>
    </row>
    <row r="2165" spans="1:3" x14ac:dyDescent="0.6">
      <c r="A2165" s="24">
        <v>32695</v>
      </c>
      <c r="B2165" s="23">
        <v>1.2278530000000001</v>
      </c>
      <c r="C2165" s="32">
        <f t="shared" si="33"/>
        <v>1.8518856467871547E-2</v>
      </c>
    </row>
    <row r="2166" spans="1:3" x14ac:dyDescent="0.6">
      <c r="A2166" s="24">
        <v>32696</v>
      </c>
      <c r="B2166" s="23">
        <v>1.2278530000000001</v>
      </c>
      <c r="C2166" s="32">
        <f t="shared" si="33"/>
        <v>0</v>
      </c>
    </row>
    <row r="2167" spans="1:3" x14ac:dyDescent="0.6">
      <c r="A2167" s="24">
        <v>32699</v>
      </c>
      <c r="B2167" s="23">
        <v>1.2055279999999999</v>
      </c>
      <c r="C2167" s="32">
        <f t="shared" si="33"/>
        <v>-1.8182143953714425E-2</v>
      </c>
    </row>
    <row r="2168" spans="1:3" x14ac:dyDescent="0.6">
      <c r="A2168" s="24">
        <v>32700</v>
      </c>
      <c r="B2168" s="23">
        <v>1.1832039999999999</v>
      </c>
      <c r="C2168" s="32">
        <f t="shared" si="33"/>
        <v>-1.8518026955823497E-2</v>
      </c>
    </row>
    <row r="2169" spans="1:3" x14ac:dyDescent="0.6">
      <c r="A2169" s="24">
        <v>32701</v>
      </c>
      <c r="B2169" s="23">
        <v>1.190645</v>
      </c>
      <c r="C2169" s="32">
        <f t="shared" si="33"/>
        <v>6.2888563595120406E-3</v>
      </c>
    </row>
    <row r="2170" spans="1:3" x14ac:dyDescent="0.6">
      <c r="A2170" s="24">
        <v>32702</v>
      </c>
      <c r="B2170" s="23">
        <v>1.209249</v>
      </c>
      <c r="C2170" s="32">
        <f t="shared" si="33"/>
        <v>1.5625144354530551E-2</v>
      </c>
    </row>
    <row r="2171" spans="1:3" x14ac:dyDescent="0.6">
      <c r="A2171" s="24">
        <v>32703</v>
      </c>
      <c r="B2171" s="23">
        <v>1.2129700000000001</v>
      </c>
      <c r="C2171" s="32">
        <f t="shared" si="33"/>
        <v>3.0771164582314992E-3</v>
      </c>
    </row>
    <row r="2172" spans="1:3" x14ac:dyDescent="0.6">
      <c r="A2172" s="24">
        <v>32706</v>
      </c>
      <c r="B2172" s="23">
        <v>1.2129700000000001</v>
      </c>
      <c r="C2172" s="32">
        <f t="shared" si="33"/>
        <v>0</v>
      </c>
    </row>
    <row r="2173" spans="1:3" x14ac:dyDescent="0.6">
      <c r="A2173" s="24">
        <v>32707</v>
      </c>
      <c r="B2173" s="23">
        <v>1.1683209999999999</v>
      </c>
      <c r="C2173" s="32">
        <f t="shared" si="33"/>
        <v>-3.6809649043257564E-2</v>
      </c>
    </row>
    <row r="2174" spans="1:3" x14ac:dyDescent="0.6">
      <c r="A2174" s="24">
        <v>32708</v>
      </c>
      <c r="B2174" s="23">
        <v>1.2055279999999999</v>
      </c>
      <c r="C2174" s="32">
        <f t="shared" si="33"/>
        <v>3.1846555869491366E-2</v>
      </c>
    </row>
    <row r="2175" spans="1:3" x14ac:dyDescent="0.6">
      <c r="A2175" s="24">
        <v>32709</v>
      </c>
      <c r="B2175" s="23">
        <v>1.190645</v>
      </c>
      <c r="C2175" s="32">
        <f t="shared" si="33"/>
        <v>-1.2345627807898274E-2</v>
      </c>
    </row>
    <row r="2176" spans="1:3" x14ac:dyDescent="0.6">
      <c r="A2176" s="24">
        <v>32710</v>
      </c>
      <c r="B2176" s="23">
        <v>1.190645</v>
      </c>
      <c r="C2176" s="32">
        <f t="shared" si="33"/>
        <v>0</v>
      </c>
    </row>
    <row r="2177" spans="1:3" x14ac:dyDescent="0.6">
      <c r="A2177" s="24">
        <v>32713</v>
      </c>
      <c r="B2177" s="23">
        <v>1.1683209999999999</v>
      </c>
      <c r="C2177" s="32">
        <f t="shared" si="33"/>
        <v>-1.8749501320712736E-2</v>
      </c>
    </row>
    <row r="2178" spans="1:3" x14ac:dyDescent="0.6">
      <c r="A2178" s="24">
        <v>32714</v>
      </c>
      <c r="B2178" s="23">
        <v>1.153438</v>
      </c>
      <c r="C2178" s="32">
        <f t="shared" si="33"/>
        <v>-1.2738793533626391E-2</v>
      </c>
    </row>
    <row r="2179" spans="1:3" x14ac:dyDescent="0.6">
      <c r="A2179" s="24">
        <v>32715</v>
      </c>
      <c r="B2179" s="23">
        <v>1.138555</v>
      </c>
      <c r="C2179" s="32">
        <f t="shared" si="33"/>
        <v>-1.2903164279311041E-2</v>
      </c>
    </row>
    <row r="2180" spans="1:3" x14ac:dyDescent="0.6">
      <c r="A2180" s="24">
        <v>32716</v>
      </c>
      <c r="B2180" s="23">
        <v>1.1683209999999999</v>
      </c>
      <c r="C2180" s="32">
        <f t="shared" ref="C2180:C2243" si="34">B2180/B2179-1</f>
        <v>2.6143664557267687E-2</v>
      </c>
    </row>
    <row r="2181" spans="1:3" x14ac:dyDescent="0.6">
      <c r="A2181" s="24">
        <v>32717</v>
      </c>
      <c r="B2181" s="23">
        <v>1.172042</v>
      </c>
      <c r="C2181" s="32">
        <f t="shared" si="34"/>
        <v>3.1849123656941813E-3</v>
      </c>
    </row>
    <row r="2182" spans="1:3" x14ac:dyDescent="0.6">
      <c r="A2182" s="24">
        <v>32720</v>
      </c>
      <c r="B2182" s="23">
        <v>1.1832039999999999</v>
      </c>
      <c r="C2182" s="32">
        <f t="shared" si="34"/>
        <v>9.5235494973728851E-3</v>
      </c>
    </row>
    <row r="2183" spans="1:3" x14ac:dyDescent="0.6">
      <c r="A2183" s="24">
        <v>32721</v>
      </c>
      <c r="B2183" s="23">
        <v>1.1869240000000001</v>
      </c>
      <c r="C2183" s="32">
        <f t="shared" si="34"/>
        <v>3.1440055983584791E-3</v>
      </c>
    </row>
    <row r="2184" spans="1:3" x14ac:dyDescent="0.6">
      <c r="A2184" s="24">
        <v>32722</v>
      </c>
      <c r="B2184" s="23">
        <v>1.2055279999999999</v>
      </c>
      <c r="C2184" s="32">
        <f t="shared" si="34"/>
        <v>1.567412909335375E-2</v>
      </c>
    </row>
    <row r="2185" spans="1:3" x14ac:dyDescent="0.6">
      <c r="A2185" s="24">
        <v>32723</v>
      </c>
      <c r="B2185" s="23">
        <v>1.2278530000000001</v>
      </c>
      <c r="C2185" s="32">
        <f t="shared" si="34"/>
        <v>1.8518856467871547E-2</v>
      </c>
    </row>
    <row r="2186" spans="1:3" x14ac:dyDescent="0.6">
      <c r="A2186" s="24">
        <v>32724</v>
      </c>
      <c r="B2186" s="23">
        <v>1.272502</v>
      </c>
      <c r="C2186" s="32">
        <f t="shared" si="34"/>
        <v>3.6363473477688313E-2</v>
      </c>
    </row>
    <row r="2187" spans="1:3" x14ac:dyDescent="0.6">
      <c r="A2187" s="24">
        <v>32727</v>
      </c>
      <c r="B2187" s="23">
        <v>1.3022689999999999</v>
      </c>
      <c r="C2187" s="32">
        <f t="shared" si="34"/>
        <v>2.3392497614934893E-2</v>
      </c>
    </row>
    <row r="2188" spans="1:3" x14ac:dyDescent="0.6">
      <c r="A2188" s="24">
        <v>32728</v>
      </c>
      <c r="B2188" s="23">
        <v>1.313431</v>
      </c>
      <c r="C2188" s="32">
        <f t="shared" si="34"/>
        <v>8.5711938163315349E-3</v>
      </c>
    </row>
    <row r="2189" spans="1:3" x14ac:dyDescent="0.6">
      <c r="A2189" s="24">
        <v>32729</v>
      </c>
      <c r="B2189" s="23">
        <v>1.3097099999999999</v>
      </c>
      <c r="C2189" s="32">
        <f t="shared" si="34"/>
        <v>-2.8330380507236574E-3</v>
      </c>
    </row>
    <row r="2190" spans="1:3" x14ac:dyDescent="0.6">
      <c r="A2190" s="24">
        <v>32730</v>
      </c>
      <c r="B2190" s="23">
        <v>1.287385</v>
      </c>
      <c r="C2190" s="32">
        <f t="shared" si="34"/>
        <v>-1.7045758221285623E-2</v>
      </c>
    </row>
    <row r="2191" spans="1:3" x14ac:dyDescent="0.6">
      <c r="A2191" s="24">
        <v>32731</v>
      </c>
      <c r="B2191" s="23">
        <v>1.2464569999999999</v>
      </c>
      <c r="C2191" s="32">
        <f t="shared" si="34"/>
        <v>-3.1791577500126289E-2</v>
      </c>
    </row>
    <row r="2192" spans="1:3" x14ac:dyDescent="0.6">
      <c r="A2192" s="24">
        <v>32734</v>
      </c>
      <c r="B2192" s="23">
        <v>1.2129700000000001</v>
      </c>
      <c r="C2192" s="32">
        <f t="shared" si="34"/>
        <v>-2.6865748276915902E-2</v>
      </c>
    </row>
    <row r="2193" spans="1:3" x14ac:dyDescent="0.6">
      <c r="A2193" s="24">
        <v>32735</v>
      </c>
      <c r="B2193" s="23">
        <v>1.2315739999999999</v>
      </c>
      <c r="C2193" s="32">
        <f t="shared" si="34"/>
        <v>1.5337559873698225E-2</v>
      </c>
    </row>
    <row r="2194" spans="1:3" x14ac:dyDescent="0.6">
      <c r="A2194" s="24">
        <v>32736</v>
      </c>
      <c r="B2194" s="23">
        <v>1.2018070000000001</v>
      </c>
      <c r="C2194" s="32">
        <f t="shared" si="34"/>
        <v>-2.4169883417480276E-2</v>
      </c>
    </row>
    <row r="2195" spans="1:3" x14ac:dyDescent="0.6">
      <c r="A2195" s="24">
        <v>32737</v>
      </c>
      <c r="B2195" s="23">
        <v>1.2204120000000001</v>
      </c>
      <c r="C2195" s="32">
        <f t="shared" si="34"/>
        <v>1.5480855079060163E-2</v>
      </c>
    </row>
    <row r="2196" spans="1:3" x14ac:dyDescent="0.6">
      <c r="A2196" s="24">
        <v>32738</v>
      </c>
      <c r="B2196" s="23">
        <v>1.25762</v>
      </c>
      <c r="C2196" s="32">
        <f t="shared" si="34"/>
        <v>3.0488064686351679E-2</v>
      </c>
    </row>
    <row r="2197" spans="1:3" x14ac:dyDescent="0.6">
      <c r="A2197" s="24">
        <v>32741</v>
      </c>
      <c r="B2197" s="23">
        <v>1.260602</v>
      </c>
      <c r="C2197" s="32">
        <f t="shared" si="34"/>
        <v>2.3711454970500867E-3</v>
      </c>
    </row>
    <row r="2198" spans="1:3" x14ac:dyDescent="0.6">
      <c r="A2198" s="24">
        <v>32742</v>
      </c>
      <c r="B2198" s="23">
        <v>1.27925</v>
      </c>
      <c r="C2198" s="32">
        <f t="shared" si="34"/>
        <v>1.4792932265695224E-2</v>
      </c>
    </row>
    <row r="2199" spans="1:3" x14ac:dyDescent="0.6">
      <c r="A2199" s="24">
        <v>32743</v>
      </c>
      <c r="B2199" s="23">
        <v>1.3053570000000001</v>
      </c>
      <c r="C2199" s="32">
        <f t="shared" si="34"/>
        <v>2.0408051592730292E-2</v>
      </c>
    </row>
    <row r="2200" spans="1:3" x14ac:dyDescent="0.6">
      <c r="A2200" s="24">
        <v>32744</v>
      </c>
      <c r="B2200" s="23">
        <v>1.3165450000000001</v>
      </c>
      <c r="C2200" s="32">
        <f t="shared" si="34"/>
        <v>8.5708354113089857E-3</v>
      </c>
    </row>
    <row r="2201" spans="1:3" x14ac:dyDescent="0.6">
      <c r="A2201" s="24">
        <v>32745</v>
      </c>
      <c r="B2201" s="23">
        <v>1.335194</v>
      </c>
      <c r="C2201" s="32">
        <f t="shared" si="34"/>
        <v>1.4165106395907401E-2</v>
      </c>
    </row>
    <row r="2202" spans="1:3" x14ac:dyDescent="0.6">
      <c r="A2202" s="24">
        <v>32748</v>
      </c>
      <c r="B2202" s="23">
        <v>1.335194</v>
      </c>
      <c r="C2202" s="32">
        <f t="shared" si="34"/>
        <v>0</v>
      </c>
    </row>
    <row r="2203" spans="1:3" x14ac:dyDescent="0.6">
      <c r="A2203" s="24">
        <v>32749</v>
      </c>
      <c r="B2203" s="23">
        <v>1.3165450000000001</v>
      </c>
      <c r="C2203" s="32">
        <f t="shared" si="34"/>
        <v>-1.3967258690497308E-2</v>
      </c>
    </row>
    <row r="2204" spans="1:3" x14ac:dyDescent="0.6">
      <c r="A2204" s="24">
        <v>32750</v>
      </c>
      <c r="B2204" s="23">
        <v>1.3277350000000001</v>
      </c>
      <c r="C2204" s="32">
        <f t="shared" si="34"/>
        <v>8.4995195758594821E-3</v>
      </c>
    </row>
    <row r="2205" spans="1:3" x14ac:dyDescent="0.6">
      <c r="A2205" s="24">
        <v>32751</v>
      </c>
      <c r="B2205" s="23">
        <v>1.3277350000000001</v>
      </c>
      <c r="C2205" s="32">
        <f t="shared" si="34"/>
        <v>0</v>
      </c>
    </row>
    <row r="2206" spans="1:3" x14ac:dyDescent="0.6">
      <c r="A2206" s="24">
        <v>32752</v>
      </c>
      <c r="B2206" s="23">
        <v>1.331464</v>
      </c>
      <c r="C2206" s="32">
        <f t="shared" si="34"/>
        <v>2.808542367264355E-3</v>
      </c>
    </row>
    <row r="2207" spans="1:3" x14ac:dyDescent="0.6">
      <c r="A2207" s="24">
        <v>32756</v>
      </c>
      <c r="B2207" s="23">
        <v>1.335194</v>
      </c>
      <c r="C2207" s="32">
        <f t="shared" si="34"/>
        <v>2.8014276014973749E-3</v>
      </c>
    </row>
    <row r="2208" spans="1:3" x14ac:dyDescent="0.6">
      <c r="A2208" s="24">
        <v>32757</v>
      </c>
      <c r="B2208" s="23">
        <v>1.335194</v>
      </c>
      <c r="C2208" s="32">
        <f t="shared" si="34"/>
        <v>0</v>
      </c>
    </row>
    <row r="2209" spans="1:3" x14ac:dyDescent="0.6">
      <c r="A2209" s="24">
        <v>32758</v>
      </c>
      <c r="B2209" s="23">
        <v>1.335194</v>
      </c>
      <c r="C2209" s="32">
        <f t="shared" si="34"/>
        <v>0</v>
      </c>
    </row>
    <row r="2210" spans="1:3" x14ac:dyDescent="0.6">
      <c r="A2210" s="24">
        <v>32759</v>
      </c>
      <c r="B2210" s="23">
        <v>1.3426530000000001</v>
      </c>
      <c r="C2210" s="32">
        <f t="shared" si="34"/>
        <v>5.5864541032988324E-3</v>
      </c>
    </row>
    <row r="2211" spans="1:3" x14ac:dyDescent="0.6">
      <c r="A2211" s="24">
        <v>32762</v>
      </c>
      <c r="B2211" s="23">
        <v>1.36503</v>
      </c>
      <c r="C2211" s="32">
        <f t="shared" si="34"/>
        <v>1.6666257029924969E-2</v>
      </c>
    </row>
    <row r="2212" spans="1:3" x14ac:dyDescent="0.6">
      <c r="A2212" s="24">
        <v>32763</v>
      </c>
      <c r="B2212" s="23">
        <v>1.37249</v>
      </c>
      <c r="C2212" s="32">
        <f t="shared" si="34"/>
        <v>5.4650813535233045E-3</v>
      </c>
    </row>
    <row r="2213" spans="1:3" x14ac:dyDescent="0.6">
      <c r="A2213" s="24">
        <v>32764</v>
      </c>
      <c r="B2213" s="23">
        <v>1.3426530000000001</v>
      </c>
      <c r="C2213" s="32">
        <f t="shared" si="34"/>
        <v>-2.1739320505067328E-2</v>
      </c>
    </row>
    <row r="2214" spans="1:3" x14ac:dyDescent="0.6">
      <c r="A2214" s="24">
        <v>32765</v>
      </c>
      <c r="B2214" s="23">
        <v>1.335194</v>
      </c>
      <c r="C2214" s="32">
        <f t="shared" si="34"/>
        <v>-5.5554190099751377E-3</v>
      </c>
    </row>
    <row r="2215" spans="1:3" x14ac:dyDescent="0.6">
      <c r="A2215" s="24">
        <v>32766</v>
      </c>
      <c r="B2215" s="23">
        <v>1.3426530000000001</v>
      </c>
      <c r="C2215" s="32">
        <f t="shared" si="34"/>
        <v>5.5864541032988324E-3</v>
      </c>
    </row>
    <row r="2216" spans="1:3" x14ac:dyDescent="0.6">
      <c r="A2216" s="24">
        <v>32769</v>
      </c>
      <c r="B2216" s="23">
        <v>1.312816</v>
      </c>
      <c r="C2216" s="32">
        <f t="shared" si="34"/>
        <v>-2.2222420833975853E-2</v>
      </c>
    </row>
    <row r="2217" spans="1:3" x14ac:dyDescent="0.6">
      <c r="A2217" s="24">
        <v>32770</v>
      </c>
      <c r="B2217" s="23">
        <v>1.2904389999999999</v>
      </c>
      <c r="C2217" s="32">
        <f t="shared" si="34"/>
        <v>-1.7045039061071798E-2</v>
      </c>
    </row>
    <row r="2218" spans="1:3" x14ac:dyDescent="0.6">
      <c r="A2218" s="24">
        <v>32771</v>
      </c>
      <c r="B2218" s="23">
        <v>1.331464</v>
      </c>
      <c r="C2218" s="32">
        <f t="shared" si="34"/>
        <v>3.1791506611316134E-2</v>
      </c>
    </row>
    <row r="2219" spans="1:3" x14ac:dyDescent="0.6">
      <c r="A2219" s="24">
        <v>32772</v>
      </c>
      <c r="B2219" s="23">
        <v>1.335194</v>
      </c>
      <c r="C2219" s="32">
        <f t="shared" si="34"/>
        <v>2.8014276014973749E-3</v>
      </c>
    </row>
    <row r="2220" spans="1:3" x14ac:dyDescent="0.6">
      <c r="A2220" s="24">
        <v>32773</v>
      </c>
      <c r="B2220" s="23">
        <v>1.3389230000000001</v>
      </c>
      <c r="C2220" s="32">
        <f t="shared" si="34"/>
        <v>2.7928525742326737E-3</v>
      </c>
    </row>
    <row r="2221" spans="1:3" x14ac:dyDescent="0.6">
      <c r="A2221" s="24">
        <v>32776</v>
      </c>
      <c r="B2221" s="23">
        <v>1.350112</v>
      </c>
      <c r="C2221" s="32">
        <f t="shared" si="34"/>
        <v>8.3567165550222366E-3</v>
      </c>
    </row>
    <row r="2222" spans="1:3" x14ac:dyDescent="0.6">
      <c r="A2222" s="24">
        <v>32777</v>
      </c>
      <c r="B2222" s="23">
        <v>1.350112</v>
      </c>
      <c r="C2222" s="32">
        <f t="shared" si="34"/>
        <v>0</v>
      </c>
    </row>
    <row r="2223" spans="1:3" x14ac:dyDescent="0.6">
      <c r="A2223" s="24">
        <v>32778</v>
      </c>
      <c r="B2223" s="23">
        <v>1.335194</v>
      </c>
      <c r="C2223" s="32">
        <f t="shared" si="34"/>
        <v>-1.1049453674954357E-2</v>
      </c>
    </row>
    <row r="2224" spans="1:3" x14ac:dyDescent="0.6">
      <c r="A2224" s="24">
        <v>32779</v>
      </c>
      <c r="B2224" s="23">
        <v>1.3575710000000001</v>
      </c>
      <c r="C2224" s="32">
        <f t="shared" si="34"/>
        <v>1.6759362309896497E-2</v>
      </c>
    </row>
    <row r="2225" spans="1:3" x14ac:dyDescent="0.6">
      <c r="A2225" s="24">
        <v>32780</v>
      </c>
      <c r="B2225" s="23">
        <v>1.3277350000000001</v>
      </c>
      <c r="C2225" s="32">
        <f t="shared" si="34"/>
        <v>-2.1977487733606527E-2</v>
      </c>
    </row>
    <row r="2226" spans="1:3" x14ac:dyDescent="0.6">
      <c r="A2226" s="24">
        <v>32783</v>
      </c>
      <c r="B2226" s="23">
        <v>1.3240050000000001</v>
      </c>
      <c r="C2226" s="32">
        <f t="shared" si="34"/>
        <v>-2.8092955296049604E-3</v>
      </c>
    </row>
    <row r="2227" spans="1:3" x14ac:dyDescent="0.6">
      <c r="A2227" s="24">
        <v>32784</v>
      </c>
      <c r="B2227" s="23">
        <v>1.301628</v>
      </c>
      <c r="C2227" s="32">
        <f t="shared" si="34"/>
        <v>-1.6900993576308365E-2</v>
      </c>
    </row>
    <row r="2228" spans="1:3" x14ac:dyDescent="0.6">
      <c r="A2228" s="24">
        <v>32785</v>
      </c>
      <c r="B2228" s="23">
        <v>1.3202750000000001</v>
      </c>
      <c r="C2228" s="32">
        <f t="shared" si="34"/>
        <v>1.4325905711923825E-2</v>
      </c>
    </row>
    <row r="2229" spans="1:3" x14ac:dyDescent="0.6">
      <c r="A2229" s="24">
        <v>32786</v>
      </c>
      <c r="B2229" s="23">
        <v>1.3575710000000001</v>
      </c>
      <c r="C2229" s="32">
        <f t="shared" si="34"/>
        <v>2.8248660316979368E-2</v>
      </c>
    </row>
    <row r="2230" spans="1:3" x14ac:dyDescent="0.6">
      <c r="A2230" s="24">
        <v>32787</v>
      </c>
      <c r="B2230" s="23">
        <v>1.4358930000000001</v>
      </c>
      <c r="C2230" s="32">
        <f t="shared" si="34"/>
        <v>5.7692746825027896E-2</v>
      </c>
    </row>
    <row r="2231" spans="1:3" x14ac:dyDescent="0.6">
      <c r="A2231" s="24">
        <v>32790</v>
      </c>
      <c r="B2231" s="23">
        <v>1.4769190000000001</v>
      </c>
      <c r="C2231" s="32">
        <f t="shared" si="34"/>
        <v>2.8571766837779622E-2</v>
      </c>
    </row>
    <row r="2232" spans="1:3" x14ac:dyDescent="0.6">
      <c r="A2232" s="24">
        <v>32791</v>
      </c>
      <c r="B2232" s="23">
        <v>1.4769190000000001</v>
      </c>
      <c r="C2232" s="32">
        <f t="shared" si="34"/>
        <v>0</v>
      </c>
    </row>
    <row r="2233" spans="1:3" x14ac:dyDescent="0.6">
      <c r="A2233" s="24">
        <v>32792</v>
      </c>
      <c r="B2233" s="23">
        <v>1.45827</v>
      </c>
      <c r="C2233" s="32">
        <f t="shared" si="34"/>
        <v>-1.2626961939009584E-2</v>
      </c>
    </row>
    <row r="2234" spans="1:3" x14ac:dyDescent="0.6">
      <c r="A2234" s="24">
        <v>32793</v>
      </c>
      <c r="B2234" s="23">
        <v>1.4545399999999999</v>
      </c>
      <c r="C2234" s="32">
        <f t="shared" si="34"/>
        <v>-2.557825368415978E-3</v>
      </c>
    </row>
    <row r="2235" spans="1:3" x14ac:dyDescent="0.6">
      <c r="A2235" s="24">
        <v>32794</v>
      </c>
      <c r="B2235" s="23">
        <v>1.36503</v>
      </c>
      <c r="C2235" s="32">
        <f t="shared" si="34"/>
        <v>-6.1538355768834152E-2</v>
      </c>
    </row>
    <row r="2236" spans="1:3" x14ac:dyDescent="0.6">
      <c r="A2236" s="24">
        <v>32797</v>
      </c>
      <c r="B2236" s="23">
        <v>1.3948670000000001</v>
      </c>
      <c r="C2236" s="32">
        <f t="shared" si="34"/>
        <v>2.1858127660198123E-2</v>
      </c>
    </row>
    <row r="2237" spans="1:3" x14ac:dyDescent="0.6">
      <c r="A2237" s="24">
        <v>32798</v>
      </c>
      <c r="B2237" s="23">
        <v>1.409786</v>
      </c>
      <c r="C2237" s="32">
        <f t="shared" si="34"/>
        <v>1.069564338392115E-2</v>
      </c>
    </row>
    <row r="2238" spans="1:3" x14ac:dyDescent="0.6">
      <c r="A2238" s="24">
        <v>32799</v>
      </c>
      <c r="B2238" s="23">
        <v>1.439622</v>
      </c>
      <c r="C2238" s="32">
        <f t="shared" si="34"/>
        <v>2.1163495736232329E-2</v>
      </c>
    </row>
    <row r="2239" spans="1:3" x14ac:dyDescent="0.6">
      <c r="A2239" s="24">
        <v>32800</v>
      </c>
      <c r="B2239" s="23">
        <v>1.4545399999999999</v>
      </c>
      <c r="C2239" s="32">
        <f t="shared" si="34"/>
        <v>1.0362442363342605E-2</v>
      </c>
    </row>
    <row r="2240" spans="1:3" x14ac:dyDescent="0.6">
      <c r="A2240" s="24">
        <v>32801</v>
      </c>
      <c r="B2240" s="23">
        <v>1.4321630000000001</v>
      </c>
      <c r="C2240" s="32">
        <f t="shared" si="34"/>
        <v>-1.538424519091941E-2</v>
      </c>
    </row>
    <row r="2241" spans="1:3" x14ac:dyDescent="0.6">
      <c r="A2241" s="24">
        <v>32804</v>
      </c>
      <c r="B2241" s="23">
        <v>1.3948670000000001</v>
      </c>
      <c r="C2241" s="32">
        <f t="shared" si="34"/>
        <v>-2.6041728490402316E-2</v>
      </c>
    </row>
    <row r="2242" spans="1:3" x14ac:dyDescent="0.6">
      <c r="A2242" s="24">
        <v>32805</v>
      </c>
      <c r="B2242" s="23">
        <v>1.420974</v>
      </c>
      <c r="C2242" s="32">
        <f t="shared" si="34"/>
        <v>1.8716479779075534E-2</v>
      </c>
    </row>
    <row r="2243" spans="1:3" x14ac:dyDescent="0.6">
      <c r="A2243" s="24">
        <v>32806</v>
      </c>
      <c r="B2243" s="23">
        <v>1.387408</v>
      </c>
      <c r="C2243" s="32">
        <f t="shared" si="34"/>
        <v>-2.3621825592867962E-2</v>
      </c>
    </row>
    <row r="2244" spans="1:3" x14ac:dyDescent="0.6">
      <c r="A2244" s="24">
        <v>32807</v>
      </c>
      <c r="B2244" s="23">
        <v>1.350112</v>
      </c>
      <c r="C2244" s="32">
        <f t="shared" ref="C2244:C2307" si="35">B2244/B2243-1</f>
        <v>-2.6881782431699919E-2</v>
      </c>
    </row>
    <row r="2245" spans="1:3" x14ac:dyDescent="0.6">
      <c r="A2245" s="24">
        <v>32808</v>
      </c>
      <c r="B2245" s="23">
        <v>1.350112</v>
      </c>
      <c r="C2245" s="32">
        <f t="shared" si="35"/>
        <v>0</v>
      </c>
    </row>
    <row r="2246" spans="1:3" x14ac:dyDescent="0.6">
      <c r="A2246" s="24">
        <v>32811</v>
      </c>
      <c r="B2246" s="23">
        <v>1.36503</v>
      </c>
      <c r="C2246" s="32">
        <f t="shared" si="35"/>
        <v>1.1049453674954357E-2</v>
      </c>
    </row>
    <row r="2247" spans="1:3" x14ac:dyDescent="0.6">
      <c r="A2247" s="24">
        <v>32812</v>
      </c>
      <c r="B2247" s="23">
        <v>1.387408</v>
      </c>
      <c r="C2247" s="32">
        <f t="shared" si="35"/>
        <v>1.6393778891306443E-2</v>
      </c>
    </row>
    <row r="2248" spans="1:3" x14ac:dyDescent="0.6">
      <c r="A2248" s="24">
        <v>32813</v>
      </c>
      <c r="B2248" s="23">
        <v>1.3762190000000001</v>
      </c>
      <c r="C2248" s="32">
        <f t="shared" si="35"/>
        <v>-8.0646788832123839E-3</v>
      </c>
    </row>
    <row r="2249" spans="1:3" x14ac:dyDescent="0.6">
      <c r="A2249" s="24">
        <v>32814</v>
      </c>
      <c r="B2249" s="23">
        <v>1.312816</v>
      </c>
      <c r="C2249" s="32">
        <f t="shared" si="35"/>
        <v>-4.6070429197678675E-2</v>
      </c>
    </row>
    <row r="2250" spans="1:3" x14ac:dyDescent="0.6">
      <c r="A2250" s="24">
        <v>32815</v>
      </c>
      <c r="B2250" s="23">
        <v>1.2904389999999999</v>
      </c>
      <c r="C2250" s="32">
        <f t="shared" si="35"/>
        <v>-1.7045039061071798E-2</v>
      </c>
    </row>
    <row r="2251" spans="1:3" x14ac:dyDescent="0.6">
      <c r="A2251" s="24">
        <v>32818</v>
      </c>
      <c r="B2251" s="23">
        <v>1.2904389999999999</v>
      </c>
      <c r="C2251" s="32">
        <f t="shared" si="35"/>
        <v>0</v>
      </c>
    </row>
    <row r="2252" spans="1:3" x14ac:dyDescent="0.6">
      <c r="A2252" s="24">
        <v>32819</v>
      </c>
      <c r="B2252" s="23">
        <v>1.312816</v>
      </c>
      <c r="C2252" s="32">
        <f t="shared" si="35"/>
        <v>1.7340610443422833E-2</v>
      </c>
    </row>
    <row r="2253" spans="1:3" x14ac:dyDescent="0.6">
      <c r="A2253" s="24">
        <v>32820</v>
      </c>
      <c r="B2253" s="23">
        <v>1.3426530000000001</v>
      </c>
      <c r="C2253" s="32">
        <f t="shared" si="35"/>
        <v>2.2727480469464156E-2</v>
      </c>
    </row>
    <row r="2254" spans="1:3" x14ac:dyDescent="0.6">
      <c r="A2254" s="24">
        <v>32821</v>
      </c>
      <c r="B2254" s="23">
        <v>1.37249</v>
      </c>
      <c r="C2254" s="32">
        <f t="shared" si="35"/>
        <v>2.2222420833975631E-2</v>
      </c>
    </row>
    <row r="2255" spans="1:3" x14ac:dyDescent="0.6">
      <c r="A2255" s="24">
        <v>32822</v>
      </c>
      <c r="B2255" s="23">
        <v>1.3948670000000001</v>
      </c>
      <c r="C2255" s="32">
        <f t="shared" si="35"/>
        <v>1.6303943926731845E-2</v>
      </c>
    </row>
    <row r="2256" spans="1:3" x14ac:dyDescent="0.6">
      <c r="A2256" s="24">
        <v>32825</v>
      </c>
      <c r="B2256" s="23">
        <v>1.387408</v>
      </c>
      <c r="C2256" s="32">
        <f t="shared" si="35"/>
        <v>-5.3474632348461393E-3</v>
      </c>
    </row>
    <row r="2257" spans="1:3" x14ac:dyDescent="0.6">
      <c r="A2257" s="24">
        <v>32826</v>
      </c>
      <c r="B2257" s="23">
        <v>1.335194</v>
      </c>
      <c r="C2257" s="32">
        <f t="shared" si="35"/>
        <v>-3.763420709697507E-2</v>
      </c>
    </row>
    <row r="2258" spans="1:3" x14ac:dyDescent="0.6">
      <c r="A2258" s="24">
        <v>32827</v>
      </c>
      <c r="B2258" s="23">
        <v>1.3202750000000001</v>
      </c>
      <c r="C2258" s="32">
        <f t="shared" si="35"/>
        <v>-1.117365716143115E-2</v>
      </c>
    </row>
    <row r="2259" spans="1:3" x14ac:dyDescent="0.6">
      <c r="A2259" s="24">
        <v>32828</v>
      </c>
      <c r="B2259" s="23">
        <v>1.335194</v>
      </c>
      <c r="C2259" s="32">
        <f t="shared" si="35"/>
        <v>1.1299918577569068E-2</v>
      </c>
    </row>
    <row r="2260" spans="1:3" x14ac:dyDescent="0.6">
      <c r="A2260" s="24">
        <v>32829</v>
      </c>
      <c r="B2260" s="23">
        <v>1.3384849999999999</v>
      </c>
      <c r="C2260" s="32">
        <f t="shared" si="35"/>
        <v>2.4648103571465185E-3</v>
      </c>
    </row>
    <row r="2261" spans="1:3" x14ac:dyDescent="0.6">
      <c r="A2261" s="24">
        <v>32832</v>
      </c>
      <c r="B2261" s="23">
        <v>1.35344</v>
      </c>
      <c r="C2261" s="32">
        <f t="shared" si="35"/>
        <v>1.1173080012103265E-2</v>
      </c>
    </row>
    <row r="2262" spans="1:3" x14ac:dyDescent="0.6">
      <c r="A2262" s="24">
        <v>32833</v>
      </c>
      <c r="B2262" s="23">
        <v>1.35344</v>
      </c>
      <c r="C2262" s="32">
        <f t="shared" si="35"/>
        <v>0</v>
      </c>
    </row>
    <row r="2263" spans="1:3" x14ac:dyDescent="0.6">
      <c r="A2263" s="24">
        <v>32834</v>
      </c>
      <c r="B2263" s="23">
        <v>1.3384849999999999</v>
      </c>
      <c r="C2263" s="32">
        <f t="shared" si="35"/>
        <v>-1.1049621704693258E-2</v>
      </c>
    </row>
    <row r="2264" spans="1:3" x14ac:dyDescent="0.6">
      <c r="A2264" s="24">
        <v>32836</v>
      </c>
      <c r="B2264" s="23">
        <v>1.3384849999999999</v>
      </c>
      <c r="C2264" s="32">
        <f t="shared" si="35"/>
        <v>0</v>
      </c>
    </row>
    <row r="2265" spans="1:3" x14ac:dyDescent="0.6">
      <c r="A2265" s="24">
        <v>32839</v>
      </c>
      <c r="B2265" s="23">
        <v>1.316052</v>
      </c>
      <c r="C2265" s="32">
        <f t="shared" si="35"/>
        <v>-1.6759993574825161E-2</v>
      </c>
    </row>
    <row r="2266" spans="1:3" x14ac:dyDescent="0.6">
      <c r="A2266" s="24">
        <v>32840</v>
      </c>
      <c r="B2266" s="23">
        <v>1.3197909999999999</v>
      </c>
      <c r="C2266" s="32">
        <f t="shared" si="35"/>
        <v>2.8410731490853269E-3</v>
      </c>
    </row>
    <row r="2267" spans="1:3" x14ac:dyDescent="0.6">
      <c r="A2267" s="24">
        <v>32841</v>
      </c>
      <c r="B2267" s="23">
        <v>1.316052</v>
      </c>
      <c r="C2267" s="32">
        <f t="shared" si="35"/>
        <v>-2.833024319759625E-3</v>
      </c>
    </row>
    <row r="2268" spans="1:3" x14ac:dyDescent="0.6">
      <c r="A2268" s="24">
        <v>32842</v>
      </c>
      <c r="B2268" s="23">
        <v>1.3235300000000001</v>
      </c>
      <c r="C2268" s="32">
        <f t="shared" si="35"/>
        <v>5.6821462981706539E-3</v>
      </c>
    </row>
    <row r="2269" spans="1:3" x14ac:dyDescent="0.6">
      <c r="A2269" s="24">
        <v>32843</v>
      </c>
      <c r="B2269" s="23">
        <v>1.316052</v>
      </c>
      <c r="C2269" s="32">
        <f t="shared" si="35"/>
        <v>-5.6500419333147534E-3</v>
      </c>
    </row>
    <row r="2270" spans="1:3" x14ac:dyDescent="0.6">
      <c r="A2270" s="24">
        <v>32846</v>
      </c>
      <c r="B2270" s="23">
        <v>1.35344</v>
      </c>
      <c r="C2270" s="32">
        <f t="shared" si="35"/>
        <v>2.8409211794062861E-2</v>
      </c>
    </row>
    <row r="2271" spans="1:3" x14ac:dyDescent="0.6">
      <c r="A2271" s="24">
        <v>32847</v>
      </c>
      <c r="B2271" s="23">
        <v>1.345963</v>
      </c>
      <c r="C2271" s="32">
        <f t="shared" si="35"/>
        <v>-5.5244414233360795E-3</v>
      </c>
    </row>
    <row r="2272" spans="1:3" x14ac:dyDescent="0.6">
      <c r="A2272" s="24">
        <v>32848</v>
      </c>
      <c r="B2272" s="23">
        <v>1.2786649999999999</v>
      </c>
      <c r="C2272" s="32">
        <f t="shared" si="35"/>
        <v>-4.999988855562898E-2</v>
      </c>
    </row>
    <row r="2273" spans="1:3" x14ac:dyDescent="0.6">
      <c r="A2273" s="24">
        <v>32849</v>
      </c>
      <c r="B2273" s="23">
        <v>1.2786649999999999</v>
      </c>
      <c r="C2273" s="32">
        <f t="shared" si="35"/>
        <v>0</v>
      </c>
    </row>
    <row r="2274" spans="1:3" x14ac:dyDescent="0.6">
      <c r="A2274" s="24">
        <v>32850</v>
      </c>
      <c r="B2274" s="23">
        <v>1.2487539999999999</v>
      </c>
      <c r="C2274" s="32">
        <f t="shared" si="35"/>
        <v>-2.339236625699459E-2</v>
      </c>
    </row>
    <row r="2275" spans="1:3" x14ac:dyDescent="0.6">
      <c r="A2275" s="24">
        <v>32853</v>
      </c>
      <c r="B2275" s="23">
        <v>1.173978</v>
      </c>
      <c r="C2275" s="32">
        <f t="shared" si="35"/>
        <v>-5.9880488871306925E-2</v>
      </c>
    </row>
    <row r="2276" spans="1:3" x14ac:dyDescent="0.6">
      <c r="A2276" s="24">
        <v>32854</v>
      </c>
      <c r="B2276" s="23">
        <v>1.07677</v>
      </c>
      <c r="C2276" s="32">
        <f t="shared" si="35"/>
        <v>-8.2802233091250454E-2</v>
      </c>
    </row>
    <row r="2277" spans="1:3" x14ac:dyDescent="0.6">
      <c r="A2277" s="24">
        <v>32855</v>
      </c>
      <c r="B2277" s="23">
        <v>1.07677</v>
      </c>
      <c r="C2277" s="32">
        <f t="shared" si="35"/>
        <v>0</v>
      </c>
    </row>
    <row r="2278" spans="1:3" x14ac:dyDescent="0.6">
      <c r="A2278" s="24">
        <v>32856</v>
      </c>
      <c r="B2278" s="23">
        <v>1.043121</v>
      </c>
      <c r="C2278" s="32">
        <f t="shared" si="35"/>
        <v>-3.1249941956035254E-2</v>
      </c>
    </row>
    <row r="2279" spans="1:3" x14ac:dyDescent="0.6">
      <c r="A2279" s="24">
        <v>32857</v>
      </c>
      <c r="B2279" s="23">
        <v>1.0094719999999999</v>
      </c>
      <c r="C2279" s="32">
        <f t="shared" si="35"/>
        <v>-3.2258002666996521E-2</v>
      </c>
    </row>
    <row r="2280" spans="1:3" x14ac:dyDescent="0.6">
      <c r="A2280" s="24">
        <v>32860</v>
      </c>
      <c r="B2280" s="23">
        <v>1.039382</v>
      </c>
      <c r="C2280" s="32">
        <f t="shared" si="35"/>
        <v>2.9629350789323716E-2</v>
      </c>
    </row>
    <row r="2281" spans="1:3" x14ac:dyDescent="0.6">
      <c r="A2281" s="24">
        <v>32861</v>
      </c>
      <c r="B2281" s="23">
        <v>1.0468599999999999</v>
      </c>
      <c r="C2281" s="32">
        <f t="shared" si="35"/>
        <v>7.194659903673406E-3</v>
      </c>
    </row>
    <row r="2282" spans="1:3" x14ac:dyDescent="0.6">
      <c r="A2282" s="24">
        <v>32862</v>
      </c>
      <c r="B2282" s="23">
        <v>1.0692919999999999</v>
      </c>
      <c r="C2282" s="32">
        <f t="shared" si="35"/>
        <v>2.1427889116023113E-2</v>
      </c>
    </row>
    <row r="2283" spans="1:3" x14ac:dyDescent="0.6">
      <c r="A2283" s="24">
        <v>32863</v>
      </c>
      <c r="B2283" s="23">
        <v>1.084247</v>
      </c>
      <c r="C2283" s="32">
        <f t="shared" si="35"/>
        <v>1.3985889728904688E-2</v>
      </c>
    </row>
    <row r="2284" spans="1:3" x14ac:dyDescent="0.6">
      <c r="A2284" s="24">
        <v>32864</v>
      </c>
      <c r="B2284" s="23">
        <v>1.0917250000000001</v>
      </c>
      <c r="C2284" s="32">
        <f t="shared" si="35"/>
        <v>6.8969524471822474E-3</v>
      </c>
    </row>
    <row r="2285" spans="1:3" x14ac:dyDescent="0.6">
      <c r="A2285" s="24">
        <v>32868</v>
      </c>
      <c r="B2285" s="23">
        <v>1.061815</v>
      </c>
      <c r="C2285" s="32">
        <f t="shared" si="35"/>
        <v>-2.7397009320112797E-2</v>
      </c>
    </row>
    <row r="2286" spans="1:3" x14ac:dyDescent="0.6">
      <c r="A2286" s="24">
        <v>32869</v>
      </c>
      <c r="B2286" s="23">
        <v>1.0505979999999999</v>
      </c>
      <c r="C2286" s="32">
        <f t="shared" si="35"/>
        <v>-1.0563987135235431E-2</v>
      </c>
    </row>
    <row r="2287" spans="1:3" x14ac:dyDescent="0.6">
      <c r="A2287" s="24">
        <v>32870</v>
      </c>
      <c r="B2287" s="23">
        <v>1.0356430000000001</v>
      </c>
      <c r="C2287" s="32">
        <f t="shared" si="35"/>
        <v>-1.4234750113744532E-2</v>
      </c>
    </row>
    <row r="2288" spans="1:3" x14ac:dyDescent="0.6">
      <c r="A2288" s="24">
        <v>32871</v>
      </c>
      <c r="B2288" s="23">
        <v>1.0543370000000001</v>
      </c>
      <c r="C2288" s="32">
        <f t="shared" si="35"/>
        <v>1.8050621691065416E-2</v>
      </c>
    </row>
    <row r="2289" spans="1:3" x14ac:dyDescent="0.6">
      <c r="A2289" s="24">
        <v>32875</v>
      </c>
      <c r="B2289" s="23">
        <v>1.114158</v>
      </c>
      <c r="C2289" s="32">
        <f t="shared" si="35"/>
        <v>5.6738025887358434E-2</v>
      </c>
    </row>
    <row r="2290" spans="1:3" x14ac:dyDescent="0.6">
      <c r="A2290" s="24">
        <v>32876</v>
      </c>
      <c r="B2290" s="23">
        <v>1.1216349999999999</v>
      </c>
      <c r="C2290" s="32">
        <f t="shared" si="35"/>
        <v>6.7108973772120883E-3</v>
      </c>
    </row>
    <row r="2291" spans="1:3" x14ac:dyDescent="0.6">
      <c r="A2291" s="24">
        <v>32877</v>
      </c>
      <c r="B2291" s="23">
        <v>1.125375</v>
      </c>
      <c r="C2291" s="32">
        <f t="shared" si="35"/>
        <v>3.3344180593508632E-3</v>
      </c>
    </row>
    <row r="2292" spans="1:3" x14ac:dyDescent="0.6">
      <c r="A2292" s="24">
        <v>32878</v>
      </c>
      <c r="B2292" s="23">
        <v>1.1291119999999999</v>
      </c>
      <c r="C2292" s="32">
        <f t="shared" si="35"/>
        <v>3.3206708874817803E-3</v>
      </c>
    </row>
    <row r="2293" spans="1:3" x14ac:dyDescent="0.6">
      <c r="A2293" s="24">
        <v>32881</v>
      </c>
      <c r="B2293" s="23">
        <v>1.13659</v>
      </c>
      <c r="C2293" s="32">
        <f t="shared" si="35"/>
        <v>6.6229036623470794E-3</v>
      </c>
    </row>
    <row r="2294" spans="1:3" x14ac:dyDescent="0.6">
      <c r="A2294" s="24">
        <v>32882</v>
      </c>
      <c r="B2294" s="23">
        <v>1.125375</v>
      </c>
      <c r="C2294" s="32">
        <f t="shared" si="35"/>
        <v>-9.8672344468981876E-3</v>
      </c>
    </row>
    <row r="2295" spans="1:3" x14ac:dyDescent="0.6">
      <c r="A2295" s="24">
        <v>32883</v>
      </c>
      <c r="B2295" s="23">
        <v>1.07677</v>
      </c>
      <c r="C2295" s="32">
        <f t="shared" si="35"/>
        <v>-4.3190047761857198E-2</v>
      </c>
    </row>
    <row r="2296" spans="1:3" x14ac:dyDescent="0.6">
      <c r="A2296" s="24">
        <v>32884</v>
      </c>
      <c r="B2296" s="23">
        <v>1.0319050000000001</v>
      </c>
      <c r="C2296" s="32">
        <f t="shared" si="35"/>
        <v>-4.1666279706901177E-2</v>
      </c>
    </row>
    <row r="2297" spans="1:3" x14ac:dyDescent="0.6">
      <c r="A2297" s="24">
        <v>32885</v>
      </c>
      <c r="B2297" s="23">
        <v>1.0319050000000001</v>
      </c>
      <c r="C2297" s="32">
        <f t="shared" si="35"/>
        <v>0</v>
      </c>
    </row>
    <row r="2298" spans="1:3" x14ac:dyDescent="0.6">
      <c r="A2298" s="24">
        <v>32888</v>
      </c>
      <c r="B2298" s="23">
        <v>1.024427</v>
      </c>
      <c r="C2298" s="32">
        <f t="shared" si="35"/>
        <v>-7.2467911290284848E-3</v>
      </c>
    </row>
    <row r="2299" spans="1:3" x14ac:dyDescent="0.6">
      <c r="A2299" s="24">
        <v>32889</v>
      </c>
      <c r="B2299" s="23">
        <v>1.043121</v>
      </c>
      <c r="C2299" s="32">
        <f t="shared" si="35"/>
        <v>1.8248249997315558E-2</v>
      </c>
    </row>
    <row r="2300" spans="1:3" x14ac:dyDescent="0.6">
      <c r="A2300" s="24">
        <v>32890</v>
      </c>
      <c r="B2300" s="23">
        <v>0.99451699999999998</v>
      </c>
      <c r="C2300" s="32">
        <f t="shared" si="35"/>
        <v>-4.6594786223266516E-2</v>
      </c>
    </row>
    <row r="2301" spans="1:3" x14ac:dyDescent="0.6">
      <c r="A2301" s="24">
        <v>32891</v>
      </c>
      <c r="B2301" s="23">
        <v>0.96834500000000001</v>
      </c>
      <c r="C2301" s="32">
        <f t="shared" si="35"/>
        <v>-2.6316292230298743E-2</v>
      </c>
    </row>
    <row r="2302" spans="1:3" x14ac:dyDescent="0.6">
      <c r="A2302" s="24">
        <v>32892</v>
      </c>
      <c r="B2302" s="23">
        <v>1.024427</v>
      </c>
      <c r="C2302" s="32">
        <f t="shared" si="35"/>
        <v>5.791530910987297E-2</v>
      </c>
    </row>
    <row r="2303" spans="1:3" x14ac:dyDescent="0.6">
      <c r="A2303" s="24">
        <v>32895</v>
      </c>
      <c r="B2303" s="23">
        <v>0.99451699999999998</v>
      </c>
      <c r="C2303" s="32">
        <f t="shared" si="35"/>
        <v>-2.9196809533524548E-2</v>
      </c>
    </row>
    <row r="2304" spans="1:3" x14ac:dyDescent="0.6">
      <c r="A2304" s="24">
        <v>32896</v>
      </c>
      <c r="B2304" s="23">
        <v>1.0094719999999999</v>
      </c>
      <c r="C2304" s="32">
        <f t="shared" si="35"/>
        <v>1.5037450340215308E-2</v>
      </c>
    </row>
    <row r="2305" spans="1:3" x14ac:dyDescent="0.6">
      <c r="A2305" s="24">
        <v>32897</v>
      </c>
      <c r="B2305" s="23">
        <v>1.01695</v>
      </c>
      <c r="C2305" s="32">
        <f t="shared" si="35"/>
        <v>7.4078330057694153E-3</v>
      </c>
    </row>
    <row r="2306" spans="1:3" x14ac:dyDescent="0.6">
      <c r="A2306" s="24">
        <v>32898</v>
      </c>
      <c r="B2306" s="23">
        <v>1.020688</v>
      </c>
      <c r="C2306" s="32">
        <f t="shared" si="35"/>
        <v>3.6756969369191594E-3</v>
      </c>
    </row>
    <row r="2307" spans="1:3" x14ac:dyDescent="0.6">
      <c r="A2307" s="24">
        <v>32899</v>
      </c>
      <c r="B2307" s="23">
        <v>0.97956200000000004</v>
      </c>
      <c r="C2307" s="32">
        <f t="shared" si="35"/>
        <v>-4.029243020394091E-2</v>
      </c>
    </row>
    <row r="2308" spans="1:3" x14ac:dyDescent="0.6">
      <c r="A2308" s="24">
        <v>32902</v>
      </c>
      <c r="B2308" s="23">
        <v>0.99451699999999998</v>
      </c>
      <c r="C2308" s="32">
        <f t="shared" ref="C2308:C2371" si="36">B2308/B2307-1</f>
        <v>1.5267027508212738E-2</v>
      </c>
    </row>
    <row r="2309" spans="1:3" x14ac:dyDescent="0.6">
      <c r="A2309" s="24">
        <v>32903</v>
      </c>
      <c r="B2309" s="23">
        <v>1.01695</v>
      </c>
      <c r="C2309" s="32">
        <f t="shared" si="36"/>
        <v>2.2556678266937746E-2</v>
      </c>
    </row>
    <row r="2310" spans="1:3" x14ac:dyDescent="0.6">
      <c r="A2310" s="24">
        <v>32904</v>
      </c>
      <c r="B2310" s="23">
        <v>1.01695</v>
      </c>
      <c r="C2310" s="32">
        <f t="shared" si="36"/>
        <v>0</v>
      </c>
    </row>
    <row r="2311" spans="1:3" x14ac:dyDescent="0.6">
      <c r="A2311" s="24">
        <v>32905</v>
      </c>
      <c r="B2311" s="23">
        <v>1.005733</v>
      </c>
      <c r="C2311" s="32">
        <f t="shared" si="36"/>
        <v>-1.1030040808299391E-2</v>
      </c>
    </row>
    <row r="2312" spans="1:3" x14ac:dyDescent="0.6">
      <c r="A2312" s="24">
        <v>32906</v>
      </c>
      <c r="B2312" s="23">
        <v>1.024427</v>
      </c>
      <c r="C2312" s="32">
        <f t="shared" si="36"/>
        <v>1.8587438216703722E-2</v>
      </c>
    </row>
    <row r="2313" spans="1:3" x14ac:dyDescent="0.6">
      <c r="A2313" s="24">
        <v>32909</v>
      </c>
      <c r="B2313" s="23">
        <v>1.0468599999999999</v>
      </c>
      <c r="C2313" s="32">
        <f t="shared" si="36"/>
        <v>2.1898095227868675E-2</v>
      </c>
    </row>
    <row r="2314" spans="1:3" x14ac:dyDescent="0.6">
      <c r="A2314" s="24">
        <v>32910</v>
      </c>
      <c r="B2314" s="23">
        <v>1.039382</v>
      </c>
      <c r="C2314" s="32">
        <f t="shared" si="36"/>
        <v>-7.1432665303859944E-3</v>
      </c>
    </row>
    <row r="2315" spans="1:3" x14ac:dyDescent="0.6">
      <c r="A2315" s="24">
        <v>32911</v>
      </c>
      <c r="B2315" s="23">
        <v>0.99451699999999998</v>
      </c>
      <c r="C2315" s="32">
        <f t="shared" si="36"/>
        <v>-4.3165073091510187E-2</v>
      </c>
    </row>
    <row r="2316" spans="1:3" x14ac:dyDescent="0.6">
      <c r="A2316" s="24">
        <v>32912</v>
      </c>
      <c r="B2316" s="23">
        <v>0.987039</v>
      </c>
      <c r="C2316" s="32">
        <f t="shared" si="36"/>
        <v>-7.5192279267222162E-3</v>
      </c>
    </row>
    <row r="2317" spans="1:3" x14ac:dyDescent="0.6">
      <c r="A2317" s="24">
        <v>32913</v>
      </c>
      <c r="B2317" s="23">
        <v>1.024427</v>
      </c>
      <c r="C2317" s="32">
        <f t="shared" si="36"/>
        <v>3.7878949058750333E-2</v>
      </c>
    </row>
    <row r="2318" spans="1:3" x14ac:dyDescent="0.6">
      <c r="A2318" s="24">
        <v>32916</v>
      </c>
      <c r="B2318" s="23">
        <v>1.01695</v>
      </c>
      <c r="C2318" s="32">
        <f t="shared" si="36"/>
        <v>-7.2987143056556514E-3</v>
      </c>
    </row>
    <row r="2319" spans="1:3" x14ac:dyDescent="0.6">
      <c r="A2319" s="24">
        <v>32917</v>
      </c>
      <c r="B2319" s="23">
        <v>1.0319050000000001</v>
      </c>
      <c r="C2319" s="32">
        <f t="shared" si="36"/>
        <v>1.4705737745218661E-2</v>
      </c>
    </row>
    <row r="2320" spans="1:3" x14ac:dyDescent="0.6">
      <c r="A2320" s="24">
        <v>32918</v>
      </c>
      <c r="B2320" s="23">
        <v>1.024427</v>
      </c>
      <c r="C2320" s="32">
        <f t="shared" si="36"/>
        <v>-7.2467911290284848E-3</v>
      </c>
    </row>
    <row r="2321" spans="1:3" x14ac:dyDescent="0.6">
      <c r="A2321" s="24">
        <v>32919</v>
      </c>
      <c r="B2321" s="23">
        <v>1.024427</v>
      </c>
      <c r="C2321" s="32">
        <f t="shared" si="36"/>
        <v>0</v>
      </c>
    </row>
    <row r="2322" spans="1:3" x14ac:dyDescent="0.6">
      <c r="A2322" s="24">
        <v>32920</v>
      </c>
      <c r="B2322" s="23">
        <v>1.012726</v>
      </c>
      <c r="C2322" s="32">
        <f t="shared" si="36"/>
        <v>-1.1421994929848522E-2</v>
      </c>
    </row>
    <row r="2323" spans="1:3" x14ac:dyDescent="0.6">
      <c r="A2323" s="24">
        <v>32924</v>
      </c>
      <c r="B2323" s="23">
        <v>1.0052239999999999</v>
      </c>
      <c r="C2323" s="32">
        <f t="shared" si="36"/>
        <v>-7.4077292377209281E-3</v>
      </c>
    </row>
    <row r="2324" spans="1:3" x14ac:dyDescent="0.6">
      <c r="A2324" s="24">
        <v>32925</v>
      </c>
      <c r="B2324" s="23">
        <v>1.020227</v>
      </c>
      <c r="C2324" s="32">
        <f t="shared" si="36"/>
        <v>1.4925031634740238E-2</v>
      </c>
    </row>
    <row r="2325" spans="1:3" x14ac:dyDescent="0.6">
      <c r="A2325" s="24">
        <v>32926</v>
      </c>
      <c r="B2325" s="23">
        <v>0.99021999999999999</v>
      </c>
      <c r="C2325" s="32">
        <f t="shared" si="36"/>
        <v>-2.9412081821006519E-2</v>
      </c>
    </row>
    <row r="2326" spans="1:3" x14ac:dyDescent="0.6">
      <c r="A2326" s="24">
        <v>32927</v>
      </c>
      <c r="B2326" s="23">
        <v>0.997722</v>
      </c>
      <c r="C2326" s="32">
        <f t="shared" si="36"/>
        <v>7.5760942012885746E-3</v>
      </c>
    </row>
    <row r="2327" spans="1:3" x14ac:dyDescent="0.6">
      <c r="A2327" s="24">
        <v>32930</v>
      </c>
      <c r="B2327" s="23">
        <v>1.020227</v>
      </c>
      <c r="C2327" s="32">
        <f t="shared" si="36"/>
        <v>2.2556383441479699E-2</v>
      </c>
    </row>
    <row r="2328" spans="1:3" x14ac:dyDescent="0.6">
      <c r="A2328" s="24">
        <v>32931</v>
      </c>
      <c r="B2328" s="23">
        <v>1.0052239999999999</v>
      </c>
      <c r="C2328" s="32">
        <f t="shared" si="36"/>
        <v>-1.4705550823493341E-2</v>
      </c>
    </row>
    <row r="2329" spans="1:3" x14ac:dyDescent="0.6">
      <c r="A2329" s="24">
        <v>32932</v>
      </c>
      <c r="B2329" s="23">
        <v>1.020227</v>
      </c>
      <c r="C2329" s="32">
        <f t="shared" si="36"/>
        <v>1.4925031634740238E-2</v>
      </c>
    </row>
    <row r="2330" spans="1:3" x14ac:dyDescent="0.6">
      <c r="A2330" s="24">
        <v>32933</v>
      </c>
      <c r="B2330" s="23">
        <v>1.0277289999999999</v>
      </c>
      <c r="C2330" s="32">
        <f t="shared" si="36"/>
        <v>7.3532654987564783E-3</v>
      </c>
    </row>
    <row r="2331" spans="1:3" x14ac:dyDescent="0.6">
      <c r="A2331" s="24">
        <v>32934</v>
      </c>
      <c r="B2331" s="23">
        <v>1.012726</v>
      </c>
      <c r="C2331" s="32">
        <f t="shared" si="36"/>
        <v>-1.4598206336495223E-2</v>
      </c>
    </row>
    <row r="2332" spans="1:3" x14ac:dyDescent="0.6">
      <c r="A2332" s="24">
        <v>32937</v>
      </c>
      <c r="B2332" s="23">
        <v>1.035231</v>
      </c>
      <c r="C2332" s="32">
        <f t="shared" si="36"/>
        <v>2.2222200279246263E-2</v>
      </c>
    </row>
    <row r="2333" spans="1:3" x14ac:dyDescent="0.6">
      <c r="A2333" s="24">
        <v>32938</v>
      </c>
      <c r="B2333" s="23">
        <v>1.057736</v>
      </c>
      <c r="C2333" s="32">
        <f t="shared" si="36"/>
        <v>2.1739109435478632E-2</v>
      </c>
    </row>
    <row r="2334" spans="1:3" x14ac:dyDescent="0.6">
      <c r="A2334" s="24">
        <v>32939</v>
      </c>
      <c r="B2334" s="23">
        <v>1.0614870000000001</v>
      </c>
      <c r="C2334" s="32">
        <f t="shared" si="36"/>
        <v>3.5462535074914925E-3</v>
      </c>
    </row>
    <row r="2335" spans="1:3" x14ac:dyDescent="0.6">
      <c r="A2335" s="24">
        <v>32940</v>
      </c>
      <c r="B2335" s="23">
        <v>1.102746</v>
      </c>
      <c r="C2335" s="32">
        <f t="shared" si="36"/>
        <v>3.8869058217387398E-2</v>
      </c>
    </row>
    <row r="2336" spans="1:3" x14ac:dyDescent="0.6">
      <c r="A2336" s="24">
        <v>32941</v>
      </c>
      <c r="B2336" s="23">
        <v>1.1064959999999999</v>
      </c>
      <c r="C2336" s="32">
        <f t="shared" si="36"/>
        <v>3.4006017704892866E-3</v>
      </c>
    </row>
    <row r="2337" spans="1:3" x14ac:dyDescent="0.6">
      <c r="A2337" s="24">
        <v>32944</v>
      </c>
      <c r="B2337" s="23">
        <v>1.0989949999999999</v>
      </c>
      <c r="C2337" s="32">
        <f t="shared" si="36"/>
        <v>-6.7790574932037329E-3</v>
      </c>
    </row>
    <row r="2338" spans="1:3" x14ac:dyDescent="0.6">
      <c r="A2338" s="24">
        <v>32945</v>
      </c>
      <c r="B2338" s="23">
        <v>1.1064959999999999</v>
      </c>
      <c r="C2338" s="32">
        <f t="shared" si="36"/>
        <v>6.8253267758269232E-3</v>
      </c>
    </row>
    <row r="2339" spans="1:3" x14ac:dyDescent="0.6">
      <c r="A2339" s="24">
        <v>32946</v>
      </c>
      <c r="B2339" s="23">
        <v>1.110247</v>
      </c>
      <c r="C2339" s="32">
        <f t="shared" si="36"/>
        <v>3.3899806235178076E-3</v>
      </c>
    </row>
    <row r="2340" spans="1:3" x14ac:dyDescent="0.6">
      <c r="A2340" s="24">
        <v>32947</v>
      </c>
      <c r="B2340" s="23">
        <v>1.102746</v>
      </c>
      <c r="C2340" s="32">
        <f t="shared" si="36"/>
        <v>-6.756154261168934E-3</v>
      </c>
    </row>
    <row r="2341" spans="1:3" x14ac:dyDescent="0.6">
      <c r="A2341" s="24">
        <v>32948</v>
      </c>
      <c r="B2341" s="23">
        <v>1.2077690000000001</v>
      </c>
      <c r="C2341" s="32">
        <f t="shared" si="36"/>
        <v>9.5237706597892879E-2</v>
      </c>
    </row>
    <row r="2342" spans="1:3" x14ac:dyDescent="0.6">
      <c r="A2342" s="24">
        <v>32951</v>
      </c>
      <c r="B2342" s="23">
        <v>1.271533</v>
      </c>
      <c r="C2342" s="32">
        <f t="shared" si="36"/>
        <v>5.2794863918514068E-2</v>
      </c>
    </row>
    <row r="2343" spans="1:3" x14ac:dyDescent="0.6">
      <c r="A2343" s="24">
        <v>32952</v>
      </c>
      <c r="B2343" s="23">
        <v>1.2415259999999999</v>
      </c>
      <c r="C2343" s="32">
        <f t="shared" si="36"/>
        <v>-2.3599072930077458E-2</v>
      </c>
    </row>
    <row r="2344" spans="1:3" x14ac:dyDescent="0.6">
      <c r="A2344" s="24">
        <v>32953</v>
      </c>
      <c r="B2344" s="23">
        <v>1.249028</v>
      </c>
      <c r="C2344" s="32">
        <f t="shared" si="36"/>
        <v>6.042563748161589E-3</v>
      </c>
    </row>
    <row r="2345" spans="1:3" x14ac:dyDescent="0.6">
      <c r="A2345" s="24">
        <v>32954</v>
      </c>
      <c r="B2345" s="23">
        <v>1.2227730000000001</v>
      </c>
      <c r="C2345" s="32">
        <f t="shared" si="36"/>
        <v>-2.102034542059894E-2</v>
      </c>
    </row>
    <row r="2346" spans="1:3" x14ac:dyDescent="0.6">
      <c r="A2346" s="24">
        <v>32955</v>
      </c>
      <c r="B2346" s="23">
        <v>1.267782</v>
      </c>
      <c r="C2346" s="32">
        <f t="shared" si="36"/>
        <v>3.6808957999563185E-2</v>
      </c>
    </row>
    <row r="2347" spans="1:3" x14ac:dyDescent="0.6">
      <c r="A2347" s="24">
        <v>32958</v>
      </c>
      <c r="B2347" s="23">
        <v>1.267782</v>
      </c>
      <c r="C2347" s="32">
        <f t="shared" si="36"/>
        <v>0</v>
      </c>
    </row>
    <row r="2348" spans="1:3" x14ac:dyDescent="0.6">
      <c r="A2348" s="24">
        <v>32959</v>
      </c>
      <c r="B2348" s="23">
        <v>1.260281</v>
      </c>
      <c r="C2348" s="32">
        <f t="shared" si="36"/>
        <v>-5.9166323547739097E-3</v>
      </c>
    </row>
    <row r="2349" spans="1:3" x14ac:dyDescent="0.6">
      <c r="A2349" s="24">
        <v>32960</v>
      </c>
      <c r="B2349" s="23">
        <v>1.237776</v>
      </c>
      <c r="C2349" s="32">
        <f t="shared" si="36"/>
        <v>-1.7857128687967183E-2</v>
      </c>
    </row>
    <row r="2350" spans="1:3" x14ac:dyDescent="0.6">
      <c r="A2350" s="24">
        <v>32961</v>
      </c>
      <c r="B2350" s="23">
        <v>1.2340249999999999</v>
      </c>
      <c r="C2350" s="32">
        <f t="shared" si="36"/>
        <v>-3.0304352322230166E-3</v>
      </c>
    </row>
    <row r="2351" spans="1:3" x14ac:dyDescent="0.6">
      <c r="A2351" s="24">
        <v>32962</v>
      </c>
      <c r="B2351" s="23">
        <v>1.2077690000000001</v>
      </c>
      <c r="C2351" s="32">
        <f t="shared" si="36"/>
        <v>-2.1276716436052667E-2</v>
      </c>
    </row>
    <row r="2352" spans="1:3" x14ac:dyDescent="0.6">
      <c r="A2352" s="24">
        <v>32965</v>
      </c>
      <c r="B2352" s="23">
        <v>1.2077690000000001</v>
      </c>
      <c r="C2352" s="32">
        <f t="shared" si="36"/>
        <v>0</v>
      </c>
    </row>
    <row r="2353" spans="1:3" x14ac:dyDescent="0.6">
      <c r="A2353" s="24">
        <v>32966</v>
      </c>
      <c r="B2353" s="23">
        <v>1.2527790000000001</v>
      </c>
      <c r="C2353" s="32">
        <f t="shared" si="36"/>
        <v>3.7267060174586364E-2</v>
      </c>
    </row>
    <row r="2354" spans="1:3" x14ac:dyDescent="0.6">
      <c r="A2354" s="24">
        <v>32967</v>
      </c>
      <c r="B2354" s="23">
        <v>1.237776</v>
      </c>
      <c r="C2354" s="32">
        <f t="shared" si="36"/>
        <v>-1.1975775456006255E-2</v>
      </c>
    </row>
    <row r="2355" spans="1:3" x14ac:dyDescent="0.6">
      <c r="A2355" s="24">
        <v>32968</v>
      </c>
      <c r="B2355" s="23">
        <v>1.2077690000000001</v>
      </c>
      <c r="C2355" s="32">
        <f t="shared" si="36"/>
        <v>-2.4242673957161842E-2</v>
      </c>
    </row>
    <row r="2356" spans="1:3" x14ac:dyDescent="0.6">
      <c r="A2356" s="24">
        <v>32969</v>
      </c>
      <c r="B2356" s="23">
        <v>1.1965170000000001</v>
      </c>
      <c r="C2356" s="32">
        <f t="shared" si="36"/>
        <v>-9.3163510571971919E-3</v>
      </c>
    </row>
    <row r="2357" spans="1:3" x14ac:dyDescent="0.6">
      <c r="A2357" s="24">
        <v>32972</v>
      </c>
      <c r="B2357" s="23">
        <v>1.2340249999999999</v>
      </c>
      <c r="C2357" s="32">
        <f t="shared" si="36"/>
        <v>3.1347653230167083E-2</v>
      </c>
    </row>
    <row r="2358" spans="1:3" x14ac:dyDescent="0.6">
      <c r="A2358" s="24">
        <v>32973</v>
      </c>
      <c r="B2358" s="23">
        <v>1.237776</v>
      </c>
      <c r="C2358" s="32">
        <f t="shared" si="36"/>
        <v>3.0396466846296377E-3</v>
      </c>
    </row>
    <row r="2359" spans="1:3" x14ac:dyDescent="0.6">
      <c r="A2359" s="24">
        <v>32974</v>
      </c>
      <c r="B2359" s="23">
        <v>1.2752840000000001</v>
      </c>
      <c r="C2359" s="32">
        <f t="shared" si="36"/>
        <v>3.0302736520986029E-2</v>
      </c>
    </row>
    <row r="2360" spans="1:3" x14ac:dyDescent="0.6">
      <c r="A2360" s="24">
        <v>32975</v>
      </c>
      <c r="B2360" s="23">
        <v>1.2977890000000001</v>
      </c>
      <c r="C2360" s="32">
        <f t="shared" si="36"/>
        <v>1.7647049598364051E-2</v>
      </c>
    </row>
    <row r="2361" spans="1:3" x14ac:dyDescent="0.6">
      <c r="A2361" s="24">
        <v>32979</v>
      </c>
      <c r="B2361" s="23">
        <v>1.3127930000000001</v>
      </c>
      <c r="C2361" s="32">
        <f t="shared" si="36"/>
        <v>1.156120139714556E-2</v>
      </c>
    </row>
    <row r="2362" spans="1:3" x14ac:dyDescent="0.6">
      <c r="A2362" s="24">
        <v>32980</v>
      </c>
      <c r="B2362" s="23">
        <v>1.2977890000000001</v>
      </c>
      <c r="C2362" s="32">
        <f t="shared" si="36"/>
        <v>-1.1429067644327828E-2</v>
      </c>
    </row>
    <row r="2363" spans="1:3" x14ac:dyDescent="0.6">
      <c r="A2363" s="24">
        <v>32981</v>
      </c>
      <c r="B2363" s="23">
        <v>1.2977890000000001</v>
      </c>
      <c r="C2363" s="32">
        <f t="shared" si="36"/>
        <v>0</v>
      </c>
    </row>
    <row r="2364" spans="1:3" x14ac:dyDescent="0.6">
      <c r="A2364" s="24">
        <v>32982</v>
      </c>
      <c r="B2364" s="23">
        <v>1.2077690000000001</v>
      </c>
      <c r="C2364" s="32">
        <f t="shared" si="36"/>
        <v>-6.9364126217744126E-2</v>
      </c>
    </row>
    <row r="2365" spans="1:3" x14ac:dyDescent="0.6">
      <c r="A2365" s="24">
        <v>32983</v>
      </c>
      <c r="B2365" s="23">
        <v>1.2077690000000001</v>
      </c>
      <c r="C2365" s="32">
        <f t="shared" si="36"/>
        <v>0</v>
      </c>
    </row>
    <row r="2366" spans="1:3" x14ac:dyDescent="0.6">
      <c r="A2366" s="24">
        <v>32986</v>
      </c>
      <c r="B2366" s="23">
        <v>1.192766</v>
      </c>
      <c r="C2366" s="32">
        <f t="shared" si="36"/>
        <v>-1.2422077400562559E-2</v>
      </c>
    </row>
    <row r="2367" spans="1:3" x14ac:dyDescent="0.6">
      <c r="A2367" s="24">
        <v>32987</v>
      </c>
      <c r="B2367" s="23">
        <v>1.1627590000000001</v>
      </c>
      <c r="C2367" s="32">
        <f t="shared" si="36"/>
        <v>-2.5157491075365912E-2</v>
      </c>
    </row>
    <row r="2368" spans="1:3" x14ac:dyDescent="0.6">
      <c r="A2368" s="24">
        <v>32988</v>
      </c>
      <c r="B2368" s="23">
        <v>1.1627590000000001</v>
      </c>
      <c r="C2368" s="32">
        <f t="shared" si="36"/>
        <v>0</v>
      </c>
    </row>
    <row r="2369" spans="1:3" x14ac:dyDescent="0.6">
      <c r="A2369" s="24">
        <v>32989</v>
      </c>
      <c r="B2369" s="23">
        <v>1.1665099999999999</v>
      </c>
      <c r="C2369" s="32">
        <f t="shared" si="36"/>
        <v>3.2259479393406121E-3</v>
      </c>
    </row>
    <row r="2370" spans="1:3" x14ac:dyDescent="0.6">
      <c r="A2370" s="24">
        <v>32990</v>
      </c>
      <c r="B2370" s="23">
        <v>1.1740120000000001</v>
      </c>
      <c r="C2370" s="32">
        <f t="shared" si="36"/>
        <v>6.4311493257667163E-3</v>
      </c>
    </row>
    <row r="2371" spans="1:3" x14ac:dyDescent="0.6">
      <c r="A2371" s="24">
        <v>32993</v>
      </c>
      <c r="B2371" s="23">
        <v>1.181513</v>
      </c>
      <c r="C2371" s="32">
        <f t="shared" si="36"/>
        <v>6.3892021546627653E-3</v>
      </c>
    </row>
    <row r="2372" spans="1:3" x14ac:dyDescent="0.6">
      <c r="A2372" s="24">
        <v>32994</v>
      </c>
      <c r="B2372" s="23">
        <v>1.1890149999999999</v>
      </c>
      <c r="C2372" s="32">
        <f t="shared" ref="C2372:C2435" si="37">B2372/B2371-1</f>
        <v>6.3494857864450083E-3</v>
      </c>
    </row>
    <row r="2373" spans="1:3" x14ac:dyDescent="0.6">
      <c r="A2373" s="24">
        <v>32995</v>
      </c>
      <c r="B2373" s="23">
        <v>1.192766</v>
      </c>
      <c r="C2373" s="32">
        <f t="shared" si="37"/>
        <v>3.1547120936237238E-3</v>
      </c>
    </row>
    <row r="2374" spans="1:3" x14ac:dyDescent="0.6">
      <c r="A2374" s="24">
        <v>32996</v>
      </c>
      <c r="B2374" s="23">
        <v>1.2002679999999999</v>
      </c>
      <c r="C2374" s="32">
        <f t="shared" si="37"/>
        <v>6.289582365694546E-3</v>
      </c>
    </row>
    <row r="2375" spans="1:3" x14ac:dyDescent="0.6">
      <c r="A2375" s="24">
        <v>32997</v>
      </c>
      <c r="B2375" s="23">
        <v>1.2002679999999999</v>
      </c>
      <c r="C2375" s="32">
        <f t="shared" si="37"/>
        <v>0</v>
      </c>
    </row>
    <row r="2376" spans="1:3" x14ac:dyDescent="0.6">
      <c r="A2376" s="24">
        <v>33000</v>
      </c>
      <c r="B2376" s="23">
        <v>1.245277</v>
      </c>
      <c r="C2376" s="32">
        <f t="shared" si="37"/>
        <v>3.7499125195373129E-2</v>
      </c>
    </row>
    <row r="2377" spans="1:3" x14ac:dyDescent="0.6">
      <c r="A2377" s="24">
        <v>33001</v>
      </c>
      <c r="B2377" s="23">
        <v>1.2527790000000001</v>
      </c>
      <c r="C2377" s="32">
        <f t="shared" si="37"/>
        <v>6.0243624510851745E-3</v>
      </c>
    </row>
    <row r="2378" spans="1:3" x14ac:dyDescent="0.6">
      <c r="A2378" s="24">
        <v>33002</v>
      </c>
      <c r="B2378" s="23">
        <v>1.2565299999999999</v>
      </c>
      <c r="C2378" s="32">
        <f t="shared" si="37"/>
        <v>2.9941434203477613E-3</v>
      </c>
    </row>
    <row r="2379" spans="1:3" x14ac:dyDescent="0.6">
      <c r="A2379" s="24">
        <v>33003</v>
      </c>
      <c r="B2379" s="23">
        <v>1.2415259999999999</v>
      </c>
      <c r="C2379" s="32">
        <f t="shared" si="37"/>
        <v>-1.194082115031081E-2</v>
      </c>
    </row>
    <row r="2380" spans="1:3" x14ac:dyDescent="0.6">
      <c r="A2380" s="24">
        <v>33004</v>
      </c>
      <c r="B2380" s="23">
        <v>1.2790349999999999</v>
      </c>
      <c r="C2380" s="32">
        <f t="shared" si="37"/>
        <v>3.0212013280430661E-2</v>
      </c>
    </row>
    <row r="2381" spans="1:3" x14ac:dyDescent="0.6">
      <c r="A2381" s="24">
        <v>33007</v>
      </c>
      <c r="B2381" s="23">
        <v>1.2527790000000001</v>
      </c>
      <c r="C2381" s="32">
        <f t="shared" si="37"/>
        <v>-2.0527976169533946E-2</v>
      </c>
    </row>
    <row r="2382" spans="1:3" x14ac:dyDescent="0.6">
      <c r="A2382" s="24">
        <v>33008</v>
      </c>
      <c r="B2382" s="23">
        <v>1.2527790000000001</v>
      </c>
      <c r="C2382" s="32">
        <f t="shared" si="37"/>
        <v>0</v>
      </c>
    </row>
    <row r="2383" spans="1:3" x14ac:dyDescent="0.6">
      <c r="A2383" s="24">
        <v>33009</v>
      </c>
      <c r="B2383" s="23">
        <v>1.249028</v>
      </c>
      <c r="C2383" s="32">
        <f t="shared" si="37"/>
        <v>-2.9941434203479833E-3</v>
      </c>
    </row>
    <row r="2384" spans="1:3" x14ac:dyDescent="0.6">
      <c r="A2384" s="24">
        <v>33010</v>
      </c>
      <c r="B2384" s="23">
        <v>1.245277</v>
      </c>
      <c r="C2384" s="32">
        <f t="shared" si="37"/>
        <v>-3.0031352379611409E-3</v>
      </c>
    </row>
    <row r="2385" spans="1:3" x14ac:dyDescent="0.6">
      <c r="A2385" s="24">
        <v>33011</v>
      </c>
      <c r="B2385" s="23">
        <v>1.192766</v>
      </c>
      <c r="C2385" s="32">
        <f t="shared" si="37"/>
        <v>-4.2168128055043108E-2</v>
      </c>
    </row>
    <row r="2386" spans="1:3" x14ac:dyDescent="0.6">
      <c r="A2386" s="24">
        <v>33014</v>
      </c>
      <c r="B2386" s="23">
        <v>1.1885540000000001</v>
      </c>
      <c r="C2386" s="32">
        <f t="shared" si="37"/>
        <v>-3.5312877798326925E-3</v>
      </c>
    </row>
    <row r="2387" spans="1:3" x14ac:dyDescent="0.6">
      <c r="A2387" s="24">
        <v>33015</v>
      </c>
      <c r="B2387" s="23">
        <v>1.2449730000000001</v>
      </c>
      <c r="C2387" s="32">
        <f t="shared" si="37"/>
        <v>4.7468604707905593E-2</v>
      </c>
    </row>
    <row r="2388" spans="1:3" x14ac:dyDescent="0.6">
      <c r="A2388" s="24">
        <v>33016</v>
      </c>
      <c r="B2388" s="23">
        <v>1.263779</v>
      </c>
      <c r="C2388" s="32">
        <f t="shared" si="37"/>
        <v>1.5105548473741903E-2</v>
      </c>
    </row>
    <row r="2389" spans="1:3" x14ac:dyDescent="0.6">
      <c r="A2389" s="24">
        <v>33017</v>
      </c>
      <c r="B2389" s="23">
        <v>1.263779</v>
      </c>
      <c r="C2389" s="32">
        <f t="shared" si="37"/>
        <v>0</v>
      </c>
    </row>
    <row r="2390" spans="1:3" x14ac:dyDescent="0.6">
      <c r="A2390" s="24">
        <v>33018</v>
      </c>
      <c r="B2390" s="23">
        <v>1.2035990000000001</v>
      </c>
      <c r="C2390" s="32">
        <f t="shared" si="37"/>
        <v>-4.7619085298932773E-2</v>
      </c>
    </row>
    <row r="2391" spans="1:3" x14ac:dyDescent="0.6">
      <c r="A2391" s="24">
        <v>33022</v>
      </c>
      <c r="B2391" s="23">
        <v>1.233689</v>
      </c>
      <c r="C2391" s="32">
        <f t="shared" si="37"/>
        <v>2.5000020771037468E-2</v>
      </c>
    </row>
    <row r="2392" spans="1:3" x14ac:dyDescent="0.6">
      <c r="A2392" s="24">
        <v>33023</v>
      </c>
      <c r="B2392" s="23">
        <v>1.2449730000000001</v>
      </c>
      <c r="C2392" s="32">
        <f t="shared" si="37"/>
        <v>9.1465515214936843E-3</v>
      </c>
    </row>
    <row r="2393" spans="1:3" x14ac:dyDescent="0.6">
      <c r="A2393" s="24">
        <v>33024</v>
      </c>
      <c r="B2393" s="23">
        <v>1.241212</v>
      </c>
      <c r="C2393" s="32">
        <f t="shared" si="37"/>
        <v>-3.0209490486943213E-3</v>
      </c>
    </row>
    <row r="2394" spans="1:3" x14ac:dyDescent="0.6">
      <c r="A2394" s="24">
        <v>33025</v>
      </c>
      <c r="B2394" s="23">
        <v>1.2261660000000001</v>
      </c>
      <c r="C2394" s="32">
        <f t="shared" si="37"/>
        <v>-1.2122022668166199E-2</v>
      </c>
    </row>
    <row r="2395" spans="1:3" x14ac:dyDescent="0.6">
      <c r="A2395" s="24">
        <v>33028</v>
      </c>
      <c r="B2395" s="23">
        <v>1.2261660000000001</v>
      </c>
      <c r="C2395" s="32">
        <f t="shared" si="37"/>
        <v>0</v>
      </c>
    </row>
    <row r="2396" spans="1:3" x14ac:dyDescent="0.6">
      <c r="A2396" s="24">
        <v>33029</v>
      </c>
      <c r="B2396" s="23">
        <v>1.1885540000000001</v>
      </c>
      <c r="C2396" s="32">
        <f t="shared" si="37"/>
        <v>-3.0674476375955551E-2</v>
      </c>
    </row>
    <row r="2397" spans="1:3" x14ac:dyDescent="0.6">
      <c r="A2397" s="24">
        <v>33030</v>
      </c>
      <c r="B2397" s="23">
        <v>1.1885540000000001</v>
      </c>
      <c r="C2397" s="32">
        <f t="shared" si="37"/>
        <v>0</v>
      </c>
    </row>
    <row r="2398" spans="1:3" x14ac:dyDescent="0.6">
      <c r="A2398" s="24">
        <v>33031</v>
      </c>
      <c r="B2398" s="23">
        <v>1.1735089999999999</v>
      </c>
      <c r="C2398" s="32">
        <f t="shared" si="37"/>
        <v>-1.2658238498208907E-2</v>
      </c>
    </row>
    <row r="2399" spans="1:3" x14ac:dyDescent="0.6">
      <c r="A2399" s="24">
        <v>33032</v>
      </c>
      <c r="B2399" s="23">
        <v>1.1509419999999999</v>
      </c>
      <c r="C2399" s="32">
        <f t="shared" si="37"/>
        <v>-1.9230359545602149E-2</v>
      </c>
    </row>
    <row r="2400" spans="1:3" x14ac:dyDescent="0.6">
      <c r="A2400" s="24">
        <v>33035</v>
      </c>
      <c r="B2400" s="23">
        <v>1.1735089999999999</v>
      </c>
      <c r="C2400" s="32">
        <f t="shared" si="37"/>
        <v>1.9607417228669988E-2</v>
      </c>
    </row>
    <row r="2401" spans="1:3" x14ac:dyDescent="0.6">
      <c r="A2401" s="24">
        <v>33036</v>
      </c>
      <c r="B2401" s="23">
        <v>1.218645</v>
      </c>
      <c r="C2401" s="32">
        <f t="shared" si="37"/>
        <v>3.8462423381499411E-2</v>
      </c>
    </row>
    <row r="2402" spans="1:3" x14ac:dyDescent="0.6">
      <c r="A2402" s="24">
        <v>33037</v>
      </c>
      <c r="B2402" s="23">
        <v>1.1960770000000001</v>
      </c>
      <c r="C2402" s="32">
        <f t="shared" si="37"/>
        <v>-1.8518928810276947E-2</v>
      </c>
    </row>
    <row r="2403" spans="1:3" x14ac:dyDescent="0.6">
      <c r="A2403" s="24">
        <v>33038</v>
      </c>
      <c r="B2403" s="23">
        <v>1.1960770000000001</v>
      </c>
      <c r="C2403" s="32">
        <f t="shared" si="37"/>
        <v>0</v>
      </c>
    </row>
    <row r="2404" spans="1:3" x14ac:dyDescent="0.6">
      <c r="A2404" s="24">
        <v>33039</v>
      </c>
      <c r="B2404" s="23">
        <v>1.1885540000000001</v>
      </c>
      <c r="C2404" s="32">
        <f t="shared" si="37"/>
        <v>-6.2897288385279637E-3</v>
      </c>
    </row>
    <row r="2405" spans="1:3" x14ac:dyDescent="0.6">
      <c r="A2405" s="24">
        <v>33042</v>
      </c>
      <c r="B2405" s="23">
        <v>1.1810320000000001</v>
      </c>
      <c r="C2405" s="32">
        <f t="shared" si="37"/>
        <v>-6.3286985698588483E-3</v>
      </c>
    </row>
    <row r="2406" spans="1:3" x14ac:dyDescent="0.6">
      <c r="A2406" s="24">
        <v>33043</v>
      </c>
      <c r="B2406" s="23">
        <v>1.1923159999999999</v>
      </c>
      <c r="C2406" s="32">
        <f t="shared" si="37"/>
        <v>9.5543558514925575E-3</v>
      </c>
    </row>
    <row r="2407" spans="1:3" x14ac:dyDescent="0.6">
      <c r="A2407" s="24">
        <v>33044</v>
      </c>
      <c r="B2407" s="23">
        <v>1.2035990000000001</v>
      </c>
      <c r="C2407" s="32">
        <f t="shared" si="37"/>
        <v>9.4630953539163176E-3</v>
      </c>
    </row>
    <row r="2408" spans="1:3" x14ac:dyDescent="0.6">
      <c r="A2408" s="24">
        <v>33045</v>
      </c>
      <c r="B2408" s="23">
        <v>1.2600180000000001</v>
      </c>
      <c r="C2408" s="32">
        <f t="shared" si="37"/>
        <v>4.6875246656070679E-2</v>
      </c>
    </row>
    <row r="2409" spans="1:3" x14ac:dyDescent="0.6">
      <c r="A2409" s="24">
        <v>33046</v>
      </c>
      <c r="B2409" s="23">
        <v>1.248734</v>
      </c>
      <c r="C2409" s="32">
        <f t="shared" si="37"/>
        <v>-8.9554276208753114E-3</v>
      </c>
    </row>
    <row r="2410" spans="1:3" x14ac:dyDescent="0.6">
      <c r="A2410" s="24">
        <v>33049</v>
      </c>
      <c r="B2410" s="23">
        <v>1.241212</v>
      </c>
      <c r="C2410" s="32">
        <f t="shared" si="37"/>
        <v>-6.02370080417447E-3</v>
      </c>
    </row>
    <row r="2411" spans="1:3" x14ac:dyDescent="0.6">
      <c r="A2411" s="24">
        <v>33050</v>
      </c>
      <c r="B2411" s="23">
        <v>1.222405</v>
      </c>
      <c r="C2411" s="32">
        <f t="shared" si="37"/>
        <v>-1.515212550313727E-2</v>
      </c>
    </row>
    <row r="2412" spans="1:3" x14ac:dyDescent="0.6">
      <c r="A2412" s="24">
        <v>33051</v>
      </c>
      <c r="B2412" s="23">
        <v>1.248734</v>
      </c>
      <c r="C2412" s="32">
        <f t="shared" si="37"/>
        <v>2.1538688078010182E-2</v>
      </c>
    </row>
    <row r="2413" spans="1:3" x14ac:dyDescent="0.6">
      <c r="A2413" s="24">
        <v>33052</v>
      </c>
      <c r="B2413" s="23">
        <v>1.2938689999999999</v>
      </c>
      <c r="C2413" s="32">
        <f t="shared" si="37"/>
        <v>3.6144607258230987E-2</v>
      </c>
    </row>
    <row r="2414" spans="1:3" x14ac:dyDescent="0.6">
      <c r="A2414" s="24">
        <v>33053</v>
      </c>
      <c r="B2414" s="23">
        <v>1.346527</v>
      </c>
      <c r="C2414" s="32">
        <f t="shared" si="37"/>
        <v>4.0698092310736289E-2</v>
      </c>
    </row>
    <row r="2415" spans="1:3" x14ac:dyDescent="0.6">
      <c r="A2415" s="24">
        <v>33056</v>
      </c>
      <c r="B2415" s="23">
        <v>1.3239590000000001</v>
      </c>
      <c r="C2415" s="32">
        <f t="shared" si="37"/>
        <v>-1.6760154085287526E-2</v>
      </c>
    </row>
    <row r="2416" spans="1:3" x14ac:dyDescent="0.6">
      <c r="A2416" s="24">
        <v>33057</v>
      </c>
      <c r="B2416" s="23">
        <v>1.3239590000000001</v>
      </c>
      <c r="C2416" s="32">
        <f t="shared" si="37"/>
        <v>0</v>
      </c>
    </row>
    <row r="2417" spans="1:3" x14ac:dyDescent="0.6">
      <c r="A2417" s="24">
        <v>33059</v>
      </c>
      <c r="B2417" s="23">
        <v>1.3089139999999999</v>
      </c>
      <c r="C2417" s="32">
        <f t="shared" si="37"/>
        <v>-1.1363644946709273E-2</v>
      </c>
    </row>
    <row r="2418" spans="1:3" x14ac:dyDescent="0.6">
      <c r="A2418" s="24">
        <v>33060</v>
      </c>
      <c r="B2418" s="23">
        <v>1.346527</v>
      </c>
      <c r="C2418" s="32">
        <f t="shared" si="37"/>
        <v>2.8736036133772069E-2</v>
      </c>
    </row>
    <row r="2419" spans="1:3" x14ac:dyDescent="0.6">
      <c r="A2419" s="24">
        <v>33063</v>
      </c>
      <c r="B2419" s="23">
        <v>1.402946</v>
      </c>
      <c r="C2419" s="32">
        <f t="shared" si="37"/>
        <v>4.1899642561938899E-2</v>
      </c>
    </row>
    <row r="2420" spans="1:3" x14ac:dyDescent="0.6">
      <c r="A2420" s="24">
        <v>33064</v>
      </c>
      <c r="B2420" s="23">
        <v>1.414229</v>
      </c>
      <c r="C2420" s="32">
        <f t="shared" si="37"/>
        <v>8.0423622862175748E-3</v>
      </c>
    </row>
    <row r="2421" spans="1:3" x14ac:dyDescent="0.6">
      <c r="A2421" s="24">
        <v>33065</v>
      </c>
      <c r="B2421" s="23">
        <v>1.414229</v>
      </c>
      <c r="C2421" s="32">
        <f t="shared" si="37"/>
        <v>0</v>
      </c>
    </row>
    <row r="2422" spans="1:3" x14ac:dyDescent="0.6">
      <c r="A2422" s="24">
        <v>33066</v>
      </c>
      <c r="B2422" s="23">
        <v>1.425513</v>
      </c>
      <c r="C2422" s="32">
        <f t="shared" si="37"/>
        <v>7.9789058207688779E-3</v>
      </c>
    </row>
    <row r="2423" spans="1:3" x14ac:dyDescent="0.6">
      <c r="A2423" s="24">
        <v>33067</v>
      </c>
      <c r="B2423" s="23">
        <v>1.406706</v>
      </c>
      <c r="C2423" s="32">
        <f t="shared" si="37"/>
        <v>-1.319314520456849E-2</v>
      </c>
    </row>
    <row r="2424" spans="1:3" x14ac:dyDescent="0.6">
      <c r="A2424" s="24">
        <v>33070</v>
      </c>
      <c r="B2424" s="23">
        <v>1.3728549999999999</v>
      </c>
      <c r="C2424" s="32">
        <f t="shared" si="37"/>
        <v>-2.4064019062974173E-2</v>
      </c>
    </row>
    <row r="2425" spans="1:3" x14ac:dyDescent="0.6">
      <c r="A2425" s="24">
        <v>33071</v>
      </c>
      <c r="B2425" s="23">
        <v>1.3314820000000001</v>
      </c>
      <c r="C2425" s="32">
        <f t="shared" si="37"/>
        <v>-3.0136467434652481E-2</v>
      </c>
    </row>
    <row r="2426" spans="1:3" x14ac:dyDescent="0.6">
      <c r="A2426" s="24">
        <v>33072</v>
      </c>
      <c r="B2426" s="23">
        <v>1.3427659999999999</v>
      </c>
      <c r="C2426" s="32">
        <f t="shared" si="37"/>
        <v>8.4747672142768682E-3</v>
      </c>
    </row>
    <row r="2427" spans="1:3" x14ac:dyDescent="0.6">
      <c r="A2427" s="24">
        <v>33073</v>
      </c>
      <c r="B2427" s="23">
        <v>1.256257</v>
      </c>
      <c r="C2427" s="32">
        <f t="shared" si="37"/>
        <v>-6.4425968485946172E-2</v>
      </c>
    </row>
    <row r="2428" spans="1:3" x14ac:dyDescent="0.6">
      <c r="A2428" s="24">
        <v>33074</v>
      </c>
      <c r="B2428" s="23">
        <v>1.233689</v>
      </c>
      <c r="C2428" s="32">
        <f t="shared" si="37"/>
        <v>-1.7964477013859392E-2</v>
      </c>
    </row>
    <row r="2429" spans="1:3" x14ac:dyDescent="0.6">
      <c r="A2429" s="24">
        <v>33077</v>
      </c>
      <c r="B2429" s="23">
        <v>1.248734</v>
      </c>
      <c r="C2429" s="32">
        <f t="shared" si="37"/>
        <v>1.2195131836305606E-2</v>
      </c>
    </row>
    <row r="2430" spans="1:3" x14ac:dyDescent="0.6">
      <c r="A2430" s="24">
        <v>33078</v>
      </c>
      <c r="B2430" s="23">
        <v>1.267541</v>
      </c>
      <c r="C2430" s="32">
        <f t="shared" si="37"/>
        <v>1.5060853632559157E-2</v>
      </c>
    </row>
    <row r="2431" spans="1:3" x14ac:dyDescent="0.6">
      <c r="A2431" s="24">
        <v>33079</v>
      </c>
      <c r="B2431" s="23">
        <v>1.2713019999999999</v>
      </c>
      <c r="C2431" s="32">
        <f t="shared" si="37"/>
        <v>2.9671624034250943E-3</v>
      </c>
    </row>
    <row r="2432" spans="1:3" x14ac:dyDescent="0.6">
      <c r="A2432" s="24">
        <v>33080</v>
      </c>
      <c r="B2432" s="23">
        <v>1.2449730000000001</v>
      </c>
      <c r="C2432" s="32">
        <f t="shared" si="37"/>
        <v>-2.0710263965603604E-2</v>
      </c>
    </row>
    <row r="2433" spans="1:3" x14ac:dyDescent="0.6">
      <c r="A2433" s="24">
        <v>33081</v>
      </c>
      <c r="B2433" s="23">
        <v>1.2449730000000001</v>
      </c>
      <c r="C2433" s="32">
        <f t="shared" si="37"/>
        <v>0</v>
      </c>
    </row>
    <row r="2434" spans="1:3" x14ac:dyDescent="0.6">
      <c r="A2434" s="24">
        <v>33084</v>
      </c>
      <c r="B2434" s="23">
        <v>1.2750630000000001</v>
      </c>
      <c r="C2434" s="32">
        <f t="shared" si="37"/>
        <v>2.4169198850095608E-2</v>
      </c>
    </row>
    <row r="2435" spans="1:3" x14ac:dyDescent="0.6">
      <c r="A2435" s="24">
        <v>33085</v>
      </c>
      <c r="B2435" s="23">
        <v>1.263779</v>
      </c>
      <c r="C2435" s="32">
        <f t="shared" si="37"/>
        <v>-8.8497587962320656E-3</v>
      </c>
    </row>
    <row r="2436" spans="1:3" x14ac:dyDescent="0.6">
      <c r="A2436" s="24">
        <v>33086</v>
      </c>
      <c r="B2436" s="23">
        <v>1.2750630000000001</v>
      </c>
      <c r="C2436" s="32">
        <f t="shared" ref="C2436:C2499" si="38">B2436/B2435-1</f>
        <v>8.9287763129470843E-3</v>
      </c>
    </row>
    <row r="2437" spans="1:3" x14ac:dyDescent="0.6">
      <c r="A2437" s="24">
        <v>33087</v>
      </c>
      <c r="B2437" s="23">
        <v>1.3089139999999999</v>
      </c>
      <c r="C2437" s="32">
        <f t="shared" si="38"/>
        <v>2.6548492113722899E-2</v>
      </c>
    </row>
    <row r="2438" spans="1:3" x14ac:dyDescent="0.6">
      <c r="A2438" s="24">
        <v>33088</v>
      </c>
      <c r="B2438" s="23">
        <v>1.241212</v>
      </c>
      <c r="C2438" s="32">
        <f t="shared" si="38"/>
        <v>-5.1723795451801946E-2</v>
      </c>
    </row>
    <row r="2439" spans="1:3" x14ac:dyDescent="0.6">
      <c r="A2439" s="24">
        <v>33091</v>
      </c>
      <c r="B2439" s="23">
        <v>1.1885540000000001</v>
      </c>
      <c r="C2439" s="32">
        <f t="shared" si="38"/>
        <v>-4.2424662346158382E-2</v>
      </c>
    </row>
    <row r="2440" spans="1:3" x14ac:dyDescent="0.6">
      <c r="A2440" s="24">
        <v>33092</v>
      </c>
      <c r="B2440" s="23">
        <v>1.1885540000000001</v>
      </c>
      <c r="C2440" s="32">
        <f t="shared" si="38"/>
        <v>0</v>
      </c>
    </row>
    <row r="2441" spans="1:3" x14ac:dyDescent="0.6">
      <c r="A2441" s="24">
        <v>33093</v>
      </c>
      <c r="B2441" s="23">
        <v>1.2073609999999999</v>
      </c>
      <c r="C2441" s="32">
        <f t="shared" si="38"/>
        <v>1.5823429141629042E-2</v>
      </c>
    </row>
    <row r="2442" spans="1:3" x14ac:dyDescent="0.6">
      <c r="A2442" s="24">
        <v>33094</v>
      </c>
      <c r="B2442" s="23">
        <v>1.1885540000000001</v>
      </c>
      <c r="C2442" s="32">
        <f t="shared" si="38"/>
        <v>-1.5576948402341806E-2</v>
      </c>
    </row>
    <row r="2443" spans="1:3" x14ac:dyDescent="0.6">
      <c r="A2443" s="24">
        <v>33095</v>
      </c>
      <c r="B2443" s="23">
        <v>1.1659870000000001</v>
      </c>
      <c r="C2443" s="32">
        <f t="shared" si="38"/>
        <v>-1.8986937068067533E-2</v>
      </c>
    </row>
    <row r="2444" spans="1:3" x14ac:dyDescent="0.6">
      <c r="A2444" s="24">
        <v>33098</v>
      </c>
      <c r="B2444" s="23">
        <v>1.199838</v>
      </c>
      <c r="C2444" s="32">
        <f t="shared" si="38"/>
        <v>2.9032056103541315E-2</v>
      </c>
    </row>
    <row r="2445" spans="1:3" x14ac:dyDescent="0.6">
      <c r="A2445" s="24">
        <v>33099</v>
      </c>
      <c r="B2445" s="23">
        <v>1.1960770000000001</v>
      </c>
      <c r="C2445" s="32">
        <f t="shared" si="38"/>
        <v>-3.1345898362944435E-3</v>
      </c>
    </row>
    <row r="2446" spans="1:3" x14ac:dyDescent="0.6">
      <c r="A2446" s="24">
        <v>33100</v>
      </c>
      <c r="B2446" s="23">
        <v>1.1810320000000001</v>
      </c>
      <c r="C2446" s="32">
        <f t="shared" si="38"/>
        <v>-1.2578621610481622E-2</v>
      </c>
    </row>
    <row r="2447" spans="1:3" x14ac:dyDescent="0.6">
      <c r="A2447" s="24">
        <v>33101</v>
      </c>
      <c r="B2447" s="23">
        <v>1.1584639999999999</v>
      </c>
      <c r="C2447" s="32">
        <f t="shared" si="38"/>
        <v>-1.9108711702985337E-2</v>
      </c>
    </row>
    <row r="2448" spans="1:3" x14ac:dyDescent="0.6">
      <c r="A2448" s="24">
        <v>33102</v>
      </c>
      <c r="B2448" s="23">
        <v>1.098285</v>
      </c>
      <c r="C2448" s="32">
        <f t="shared" si="38"/>
        <v>-5.194723357825537E-2</v>
      </c>
    </row>
    <row r="2449" spans="1:3" x14ac:dyDescent="0.6">
      <c r="A2449" s="24">
        <v>33105</v>
      </c>
      <c r="B2449" s="23">
        <v>1.109151</v>
      </c>
      <c r="C2449" s="32">
        <f t="shared" si="38"/>
        <v>9.8936068506809693E-3</v>
      </c>
    </row>
    <row r="2450" spans="1:3" x14ac:dyDescent="0.6">
      <c r="A2450" s="24">
        <v>33106</v>
      </c>
      <c r="B2450" s="23">
        <v>1.09406</v>
      </c>
      <c r="C2450" s="32">
        <f t="shared" si="38"/>
        <v>-1.3605902172021622E-2</v>
      </c>
    </row>
    <row r="2451" spans="1:3" x14ac:dyDescent="0.6">
      <c r="A2451" s="24">
        <v>33107</v>
      </c>
      <c r="B2451" s="23">
        <v>1.0601069999999999</v>
      </c>
      <c r="C2451" s="32">
        <f t="shared" si="38"/>
        <v>-3.1033946949893143E-2</v>
      </c>
    </row>
    <row r="2452" spans="1:3" x14ac:dyDescent="0.6">
      <c r="A2452" s="24">
        <v>33108</v>
      </c>
      <c r="B2452" s="23">
        <v>1.0412440000000001</v>
      </c>
      <c r="C2452" s="32">
        <f t="shared" si="38"/>
        <v>-1.7793486883871057E-2</v>
      </c>
    </row>
    <row r="2453" spans="1:3" x14ac:dyDescent="0.6">
      <c r="A2453" s="24">
        <v>33109</v>
      </c>
      <c r="B2453" s="23">
        <v>1.0714250000000001</v>
      </c>
      <c r="C2453" s="32">
        <f t="shared" si="38"/>
        <v>2.8985521165068029E-2</v>
      </c>
    </row>
    <row r="2454" spans="1:3" x14ac:dyDescent="0.6">
      <c r="A2454" s="24">
        <v>33112</v>
      </c>
      <c r="B2454" s="23">
        <v>1.139332</v>
      </c>
      <c r="C2454" s="32">
        <f t="shared" si="38"/>
        <v>6.3380077933593126E-2</v>
      </c>
    </row>
    <row r="2455" spans="1:3" x14ac:dyDescent="0.6">
      <c r="A2455" s="24">
        <v>33113</v>
      </c>
      <c r="B2455" s="23">
        <v>1.15065</v>
      </c>
      <c r="C2455" s="32">
        <f t="shared" si="38"/>
        <v>9.9338910870578889E-3</v>
      </c>
    </row>
    <row r="2456" spans="1:3" x14ac:dyDescent="0.6">
      <c r="A2456" s="24">
        <v>33114</v>
      </c>
      <c r="B2456" s="23">
        <v>1.124241</v>
      </c>
      <c r="C2456" s="32">
        <f t="shared" si="38"/>
        <v>-2.2951375309607558E-2</v>
      </c>
    </row>
    <row r="2457" spans="1:3" x14ac:dyDescent="0.6">
      <c r="A2457" s="24">
        <v>33115</v>
      </c>
      <c r="B2457" s="23">
        <v>1.09406</v>
      </c>
      <c r="C2457" s="32">
        <f t="shared" si="38"/>
        <v>-2.6845667432516707E-2</v>
      </c>
    </row>
    <row r="2458" spans="1:3" x14ac:dyDescent="0.6">
      <c r="A2458" s="24">
        <v>33116</v>
      </c>
      <c r="B2458" s="23">
        <v>1.1166959999999999</v>
      </c>
      <c r="C2458" s="32">
        <f t="shared" si="38"/>
        <v>2.0689907317697376E-2</v>
      </c>
    </row>
    <row r="2459" spans="1:3" x14ac:dyDescent="0.6">
      <c r="A2459" s="24">
        <v>33120</v>
      </c>
      <c r="B2459" s="23">
        <v>1.1166959999999999</v>
      </c>
      <c r="C2459" s="32">
        <f t="shared" si="38"/>
        <v>0</v>
      </c>
    </row>
    <row r="2460" spans="1:3" x14ac:dyDescent="0.6">
      <c r="A2460" s="24">
        <v>33121</v>
      </c>
      <c r="B2460" s="23">
        <v>1.0865149999999999</v>
      </c>
      <c r="C2460" s="32">
        <f t="shared" si="38"/>
        <v>-2.7027051229699062E-2</v>
      </c>
    </row>
    <row r="2461" spans="1:3" x14ac:dyDescent="0.6">
      <c r="A2461" s="24">
        <v>33122</v>
      </c>
      <c r="B2461" s="23">
        <v>1.07897</v>
      </c>
      <c r="C2461" s="32">
        <f t="shared" si="38"/>
        <v>-6.9442207424654789E-3</v>
      </c>
    </row>
    <row r="2462" spans="1:3" x14ac:dyDescent="0.6">
      <c r="A2462" s="24">
        <v>33123</v>
      </c>
      <c r="B2462" s="23">
        <v>1.0978330000000001</v>
      </c>
      <c r="C2462" s="32">
        <f t="shared" si="38"/>
        <v>1.7482413783515893E-2</v>
      </c>
    </row>
    <row r="2463" spans="1:3" x14ac:dyDescent="0.6">
      <c r="A2463" s="24">
        <v>33126</v>
      </c>
      <c r="B2463" s="23">
        <v>1.07897</v>
      </c>
      <c r="C2463" s="32">
        <f t="shared" si="38"/>
        <v>-1.7182030418105509E-2</v>
      </c>
    </row>
    <row r="2464" spans="1:3" x14ac:dyDescent="0.6">
      <c r="A2464" s="24">
        <v>33127</v>
      </c>
      <c r="B2464" s="23">
        <v>1.0261530000000001</v>
      </c>
      <c r="C2464" s="32">
        <f t="shared" si="38"/>
        <v>-4.8951314679740787E-2</v>
      </c>
    </row>
    <row r="2465" spans="1:3" x14ac:dyDescent="0.6">
      <c r="A2465" s="24">
        <v>33128</v>
      </c>
      <c r="B2465" s="23">
        <v>1.0261530000000001</v>
      </c>
      <c r="C2465" s="32">
        <f t="shared" si="38"/>
        <v>0</v>
      </c>
    </row>
    <row r="2466" spans="1:3" x14ac:dyDescent="0.6">
      <c r="A2466" s="24">
        <v>33129</v>
      </c>
      <c r="B2466" s="23">
        <v>1.018608</v>
      </c>
      <c r="C2466" s="32">
        <f t="shared" si="38"/>
        <v>-7.3527047136247026E-3</v>
      </c>
    </row>
    <row r="2467" spans="1:3" x14ac:dyDescent="0.6">
      <c r="A2467" s="24">
        <v>33130</v>
      </c>
      <c r="B2467" s="23">
        <v>1.0261530000000001</v>
      </c>
      <c r="C2467" s="32">
        <f t="shared" si="38"/>
        <v>7.4071674284907907E-3</v>
      </c>
    </row>
    <row r="2468" spans="1:3" x14ac:dyDescent="0.6">
      <c r="A2468" s="24">
        <v>33133</v>
      </c>
      <c r="B2468" s="23">
        <v>1.018608</v>
      </c>
      <c r="C2468" s="32">
        <f t="shared" si="38"/>
        <v>-7.3527047136247026E-3</v>
      </c>
    </row>
    <row r="2469" spans="1:3" x14ac:dyDescent="0.6">
      <c r="A2469" s="24">
        <v>33134</v>
      </c>
      <c r="B2469" s="23">
        <v>1.00729</v>
      </c>
      <c r="C2469" s="32">
        <f t="shared" si="38"/>
        <v>-1.111124200870206E-2</v>
      </c>
    </row>
    <row r="2470" spans="1:3" x14ac:dyDescent="0.6">
      <c r="A2470" s="24">
        <v>33135</v>
      </c>
      <c r="B2470" s="23">
        <v>0.98088200000000003</v>
      </c>
      <c r="C2470" s="32">
        <f t="shared" si="38"/>
        <v>-2.621687895243674E-2</v>
      </c>
    </row>
    <row r="2471" spans="1:3" x14ac:dyDescent="0.6">
      <c r="A2471" s="24">
        <v>33136</v>
      </c>
      <c r="B2471" s="23">
        <v>0.95447300000000002</v>
      </c>
      <c r="C2471" s="32">
        <f t="shared" si="38"/>
        <v>-2.692372782862773E-2</v>
      </c>
    </row>
    <row r="2472" spans="1:3" x14ac:dyDescent="0.6">
      <c r="A2472" s="24">
        <v>33137</v>
      </c>
      <c r="B2472" s="23">
        <v>0.95070100000000002</v>
      </c>
      <c r="C2472" s="32">
        <f t="shared" si="38"/>
        <v>-3.9519190170911322E-3</v>
      </c>
    </row>
    <row r="2473" spans="1:3" x14ac:dyDescent="0.6">
      <c r="A2473" s="24">
        <v>33140</v>
      </c>
      <c r="B2473" s="23">
        <v>0.91297499999999998</v>
      </c>
      <c r="C2473" s="32">
        <f t="shared" si="38"/>
        <v>-3.9682297588831905E-2</v>
      </c>
    </row>
    <row r="2474" spans="1:3" x14ac:dyDescent="0.6">
      <c r="A2474" s="24">
        <v>33141</v>
      </c>
      <c r="B2474" s="23">
        <v>0.90542900000000004</v>
      </c>
      <c r="C2474" s="32">
        <f t="shared" si="38"/>
        <v>-8.2652865631588357E-3</v>
      </c>
    </row>
    <row r="2475" spans="1:3" x14ac:dyDescent="0.6">
      <c r="A2475" s="24">
        <v>33142</v>
      </c>
      <c r="B2475" s="23">
        <v>0.89788400000000002</v>
      </c>
      <c r="C2475" s="32">
        <f t="shared" si="38"/>
        <v>-8.3330664248659758E-3</v>
      </c>
    </row>
    <row r="2476" spans="1:3" x14ac:dyDescent="0.6">
      <c r="A2476" s="24">
        <v>33143</v>
      </c>
      <c r="B2476" s="23">
        <v>0.85261200000000004</v>
      </c>
      <c r="C2476" s="32">
        <f t="shared" si="38"/>
        <v>-5.0420767047859139E-2</v>
      </c>
    </row>
    <row r="2477" spans="1:3" x14ac:dyDescent="0.6">
      <c r="A2477" s="24">
        <v>33144</v>
      </c>
      <c r="B2477" s="23">
        <v>0.87524800000000003</v>
      </c>
      <c r="C2477" s="32">
        <f t="shared" si="38"/>
        <v>2.6549004705540113E-2</v>
      </c>
    </row>
    <row r="2478" spans="1:3" x14ac:dyDescent="0.6">
      <c r="A2478" s="24">
        <v>33147</v>
      </c>
      <c r="B2478" s="23">
        <v>0.92052</v>
      </c>
      <c r="C2478" s="32">
        <f t="shared" si="38"/>
        <v>5.1724768294243439E-2</v>
      </c>
    </row>
    <row r="2479" spans="1:3" x14ac:dyDescent="0.6">
      <c r="A2479" s="24">
        <v>33148</v>
      </c>
      <c r="B2479" s="23">
        <v>0.89411099999999999</v>
      </c>
      <c r="C2479" s="32">
        <f t="shared" si="38"/>
        <v>-2.8689219137009503E-2</v>
      </c>
    </row>
    <row r="2480" spans="1:3" x14ac:dyDescent="0.6">
      <c r="A2480" s="24">
        <v>33149</v>
      </c>
      <c r="B2480" s="23">
        <v>0.814886</v>
      </c>
      <c r="C2480" s="32">
        <f t="shared" si="38"/>
        <v>-8.8607566622041278E-2</v>
      </c>
    </row>
    <row r="2481" spans="1:3" x14ac:dyDescent="0.6">
      <c r="A2481" s="24">
        <v>33150</v>
      </c>
      <c r="B2481" s="23">
        <v>0.84506700000000001</v>
      </c>
      <c r="C2481" s="32">
        <f t="shared" si="38"/>
        <v>3.7037082487611839E-2</v>
      </c>
    </row>
    <row r="2482" spans="1:3" x14ac:dyDescent="0.6">
      <c r="A2482" s="24">
        <v>33151</v>
      </c>
      <c r="B2482" s="23">
        <v>0.84506700000000001</v>
      </c>
      <c r="C2482" s="32">
        <f t="shared" si="38"/>
        <v>0</v>
      </c>
    </row>
    <row r="2483" spans="1:3" x14ac:dyDescent="0.6">
      <c r="A2483" s="24">
        <v>33154</v>
      </c>
      <c r="B2483" s="23">
        <v>0.87902100000000005</v>
      </c>
      <c r="C2483" s="32">
        <f t="shared" si="38"/>
        <v>4.0179062725204107E-2</v>
      </c>
    </row>
    <row r="2484" spans="1:3" x14ac:dyDescent="0.6">
      <c r="A2484" s="24">
        <v>33155</v>
      </c>
      <c r="B2484" s="23">
        <v>0.84506700000000001</v>
      </c>
      <c r="C2484" s="32">
        <f t="shared" si="38"/>
        <v>-3.8627063517253868E-2</v>
      </c>
    </row>
    <row r="2485" spans="1:3" x14ac:dyDescent="0.6">
      <c r="A2485" s="24">
        <v>33156</v>
      </c>
      <c r="B2485" s="23">
        <v>0.79979599999999995</v>
      </c>
      <c r="C2485" s="32">
        <f t="shared" si="38"/>
        <v>-5.3570900295479618E-2</v>
      </c>
    </row>
    <row r="2486" spans="1:3" x14ac:dyDescent="0.6">
      <c r="A2486" s="24">
        <v>33157</v>
      </c>
      <c r="B2486" s="23">
        <v>0.83752199999999999</v>
      </c>
      <c r="C2486" s="32">
        <f t="shared" si="38"/>
        <v>4.7169528229698665E-2</v>
      </c>
    </row>
    <row r="2487" spans="1:3" x14ac:dyDescent="0.6">
      <c r="A2487" s="24">
        <v>33158</v>
      </c>
      <c r="B2487" s="23">
        <v>0.85261200000000004</v>
      </c>
      <c r="C2487" s="32">
        <f t="shared" si="38"/>
        <v>1.8017437153889704E-2</v>
      </c>
    </row>
    <row r="2488" spans="1:3" x14ac:dyDescent="0.6">
      <c r="A2488" s="24">
        <v>33161</v>
      </c>
      <c r="B2488" s="23">
        <v>0.83752199999999999</v>
      </c>
      <c r="C2488" s="32">
        <f t="shared" si="38"/>
        <v>-1.7698554559401058E-2</v>
      </c>
    </row>
    <row r="2489" spans="1:3" x14ac:dyDescent="0.6">
      <c r="A2489" s="24">
        <v>33162</v>
      </c>
      <c r="B2489" s="23">
        <v>0.75452399999999997</v>
      </c>
      <c r="C2489" s="32">
        <f t="shared" si="38"/>
        <v>-9.9099486341851284E-2</v>
      </c>
    </row>
    <row r="2490" spans="1:3" x14ac:dyDescent="0.6">
      <c r="A2490" s="24">
        <v>33163</v>
      </c>
      <c r="B2490" s="23">
        <v>0.79979599999999995</v>
      </c>
      <c r="C2490" s="32">
        <f t="shared" si="38"/>
        <v>6.0000742189777911E-2</v>
      </c>
    </row>
    <row r="2491" spans="1:3" x14ac:dyDescent="0.6">
      <c r="A2491" s="24">
        <v>33164</v>
      </c>
      <c r="B2491" s="23">
        <v>0.86015799999999998</v>
      </c>
      <c r="C2491" s="32">
        <f t="shared" si="38"/>
        <v>7.5471745295050185E-2</v>
      </c>
    </row>
    <row r="2492" spans="1:3" x14ac:dyDescent="0.6">
      <c r="A2492" s="24">
        <v>33165</v>
      </c>
      <c r="B2492" s="23">
        <v>0.94692799999999999</v>
      </c>
      <c r="C2492" s="32">
        <f t="shared" si="38"/>
        <v>0.10087681565479834</v>
      </c>
    </row>
    <row r="2493" spans="1:3" x14ac:dyDescent="0.6">
      <c r="A2493" s="24">
        <v>33168</v>
      </c>
      <c r="B2493" s="23">
        <v>0.93938299999999997</v>
      </c>
      <c r="C2493" s="32">
        <f t="shared" si="38"/>
        <v>-7.9678708412889154E-3</v>
      </c>
    </row>
    <row r="2494" spans="1:3" x14ac:dyDescent="0.6">
      <c r="A2494" s="24">
        <v>33169</v>
      </c>
      <c r="B2494" s="23">
        <v>0.93561000000000005</v>
      </c>
      <c r="C2494" s="32">
        <f t="shared" si="38"/>
        <v>-4.016466127234497E-3</v>
      </c>
    </row>
    <row r="2495" spans="1:3" x14ac:dyDescent="0.6">
      <c r="A2495" s="24">
        <v>33170</v>
      </c>
      <c r="B2495" s="23">
        <v>0.92052</v>
      </c>
      <c r="C2495" s="32">
        <f t="shared" si="38"/>
        <v>-1.6128515086414219E-2</v>
      </c>
    </row>
    <row r="2496" spans="1:3" x14ac:dyDescent="0.6">
      <c r="A2496" s="24">
        <v>33171</v>
      </c>
      <c r="B2496" s="23">
        <v>0.90542900000000004</v>
      </c>
      <c r="C2496" s="32">
        <f t="shared" si="38"/>
        <v>-1.6393994698648551E-2</v>
      </c>
    </row>
    <row r="2497" spans="1:3" x14ac:dyDescent="0.6">
      <c r="A2497" s="24">
        <v>33172</v>
      </c>
      <c r="B2497" s="23">
        <v>0.90542900000000004</v>
      </c>
      <c r="C2497" s="32">
        <f t="shared" si="38"/>
        <v>0</v>
      </c>
    </row>
    <row r="2498" spans="1:3" x14ac:dyDescent="0.6">
      <c r="A2498" s="24">
        <v>33175</v>
      </c>
      <c r="B2498" s="23">
        <v>0.90165600000000001</v>
      </c>
      <c r="C2498" s="32">
        <f t="shared" si="38"/>
        <v>-4.1670854368481836E-3</v>
      </c>
    </row>
    <row r="2499" spans="1:3" x14ac:dyDescent="0.6">
      <c r="A2499" s="24">
        <v>33176</v>
      </c>
      <c r="B2499" s="23">
        <v>0.91674699999999998</v>
      </c>
      <c r="C2499" s="32">
        <f t="shared" si="38"/>
        <v>1.6736981731392042E-2</v>
      </c>
    </row>
    <row r="2500" spans="1:3" x14ac:dyDescent="0.6">
      <c r="A2500" s="24">
        <v>33177</v>
      </c>
      <c r="B2500" s="23">
        <v>0.92806500000000003</v>
      </c>
      <c r="C2500" s="32">
        <f t="shared" ref="C2500:C2563" si="39">B2500/B2499-1</f>
        <v>1.2345827147511867E-2</v>
      </c>
    </row>
    <row r="2501" spans="1:3" x14ac:dyDescent="0.6">
      <c r="A2501" s="24">
        <v>33178</v>
      </c>
      <c r="B2501" s="23">
        <v>0.92052</v>
      </c>
      <c r="C2501" s="32">
        <f t="shared" si="39"/>
        <v>-8.1298184933167317E-3</v>
      </c>
    </row>
    <row r="2502" spans="1:3" x14ac:dyDescent="0.6">
      <c r="A2502" s="24">
        <v>33179</v>
      </c>
      <c r="B2502" s="23">
        <v>0.95824600000000004</v>
      </c>
      <c r="C2502" s="32">
        <f t="shared" si="39"/>
        <v>4.0983357232868389E-2</v>
      </c>
    </row>
    <row r="2503" spans="1:3" x14ac:dyDescent="0.6">
      <c r="A2503" s="24">
        <v>33182</v>
      </c>
      <c r="B2503" s="23">
        <v>1.0035179999999999</v>
      </c>
      <c r="C2503" s="32">
        <f t="shared" si="39"/>
        <v>4.7244653251878876E-2</v>
      </c>
    </row>
    <row r="2504" spans="1:3" x14ac:dyDescent="0.6">
      <c r="A2504" s="24">
        <v>33183</v>
      </c>
      <c r="B2504" s="23">
        <v>1.011063</v>
      </c>
      <c r="C2504" s="32">
        <f t="shared" si="39"/>
        <v>7.5185497420078296E-3</v>
      </c>
    </row>
    <row r="2505" spans="1:3" x14ac:dyDescent="0.6">
      <c r="A2505" s="24">
        <v>33184</v>
      </c>
      <c r="B2505" s="23">
        <v>1.0035179999999999</v>
      </c>
      <c r="C2505" s="32">
        <f t="shared" si="39"/>
        <v>-7.4624429931667846E-3</v>
      </c>
    </row>
    <row r="2506" spans="1:3" x14ac:dyDescent="0.6">
      <c r="A2506" s="24">
        <v>33185</v>
      </c>
      <c r="B2506" s="23">
        <v>1.0412440000000001</v>
      </c>
      <c r="C2506" s="32">
        <f t="shared" si="39"/>
        <v>3.7593745204371087E-2</v>
      </c>
    </row>
    <row r="2507" spans="1:3" x14ac:dyDescent="0.6">
      <c r="A2507" s="24">
        <v>33186</v>
      </c>
      <c r="B2507" s="23">
        <v>1.0714250000000001</v>
      </c>
      <c r="C2507" s="32">
        <f t="shared" si="39"/>
        <v>2.8985521165068029E-2</v>
      </c>
    </row>
    <row r="2508" spans="1:3" x14ac:dyDescent="0.6">
      <c r="A2508" s="24">
        <v>33189</v>
      </c>
      <c r="B2508" s="23">
        <v>1.09406</v>
      </c>
      <c r="C2508" s="32">
        <f t="shared" si="39"/>
        <v>2.1126070420234733E-2</v>
      </c>
    </row>
    <row r="2509" spans="1:3" x14ac:dyDescent="0.6">
      <c r="A2509" s="24">
        <v>33190</v>
      </c>
      <c r="B2509" s="23">
        <v>1.0865149999999999</v>
      </c>
      <c r="C2509" s="32">
        <f t="shared" si="39"/>
        <v>-6.8963310970149294E-3</v>
      </c>
    </row>
    <row r="2510" spans="1:3" x14ac:dyDescent="0.6">
      <c r="A2510" s="24">
        <v>33191</v>
      </c>
      <c r="B2510" s="23">
        <v>1.1166959999999999</v>
      </c>
      <c r="C2510" s="32">
        <f t="shared" si="39"/>
        <v>2.7777803343718155E-2</v>
      </c>
    </row>
    <row r="2511" spans="1:3" x14ac:dyDescent="0.6">
      <c r="A2511" s="24">
        <v>33192</v>
      </c>
      <c r="B2511" s="23">
        <v>1.0865149999999999</v>
      </c>
      <c r="C2511" s="32">
        <f t="shared" si="39"/>
        <v>-2.7027051229699062E-2</v>
      </c>
    </row>
    <row r="2512" spans="1:3" x14ac:dyDescent="0.6">
      <c r="A2512" s="24">
        <v>33193</v>
      </c>
      <c r="B2512" s="23">
        <v>1.0636559999999999</v>
      </c>
      <c r="C2512" s="32">
        <f t="shared" si="39"/>
        <v>-2.1038825971109398E-2</v>
      </c>
    </row>
    <row r="2513" spans="1:3" x14ac:dyDescent="0.6">
      <c r="A2513" s="24">
        <v>33196</v>
      </c>
      <c r="B2513" s="23">
        <v>1.1015079999999999</v>
      </c>
      <c r="C2513" s="32">
        <f t="shared" si="39"/>
        <v>3.5586693442240636E-2</v>
      </c>
    </row>
    <row r="2514" spans="1:3" x14ac:dyDescent="0.6">
      <c r="A2514" s="24">
        <v>33197</v>
      </c>
      <c r="B2514" s="23">
        <v>1.0750109999999999</v>
      </c>
      <c r="C2514" s="32">
        <f t="shared" si="39"/>
        <v>-2.405520431989594E-2</v>
      </c>
    </row>
    <row r="2515" spans="1:3" x14ac:dyDescent="0.6">
      <c r="A2515" s="24">
        <v>33198</v>
      </c>
      <c r="B2515" s="23">
        <v>1.0939380000000001</v>
      </c>
      <c r="C2515" s="32">
        <f t="shared" si="39"/>
        <v>1.7606331470096714E-2</v>
      </c>
    </row>
    <row r="2516" spans="1:3" x14ac:dyDescent="0.6">
      <c r="A2516" s="24">
        <v>33200</v>
      </c>
      <c r="B2516" s="23">
        <v>1.1015079999999999</v>
      </c>
      <c r="C2516" s="32">
        <f t="shared" si="39"/>
        <v>6.9199534160069298E-3</v>
      </c>
    </row>
    <row r="2517" spans="1:3" x14ac:dyDescent="0.6">
      <c r="A2517" s="24">
        <v>33203</v>
      </c>
      <c r="B2517" s="23">
        <v>1.1128640000000001</v>
      </c>
      <c r="C2517" s="32">
        <f t="shared" si="39"/>
        <v>1.0309502972289053E-2</v>
      </c>
    </row>
    <row r="2518" spans="1:3" x14ac:dyDescent="0.6">
      <c r="A2518" s="24">
        <v>33204</v>
      </c>
      <c r="B2518" s="23">
        <v>1.1355759999999999</v>
      </c>
      <c r="C2518" s="32">
        <f t="shared" si="39"/>
        <v>2.0408603387296109E-2</v>
      </c>
    </row>
    <row r="2519" spans="1:3" x14ac:dyDescent="0.6">
      <c r="A2519" s="24">
        <v>33205</v>
      </c>
      <c r="B2519" s="23">
        <v>1.1128640000000001</v>
      </c>
      <c r="C2519" s="32">
        <f t="shared" si="39"/>
        <v>-2.000042269297686E-2</v>
      </c>
    </row>
    <row r="2520" spans="1:3" x14ac:dyDescent="0.6">
      <c r="A2520" s="24">
        <v>33206</v>
      </c>
      <c r="B2520" s="23">
        <v>1.1128640000000001</v>
      </c>
      <c r="C2520" s="32">
        <f t="shared" si="39"/>
        <v>0</v>
      </c>
    </row>
    <row r="2521" spans="1:3" x14ac:dyDescent="0.6">
      <c r="A2521" s="24">
        <v>33207</v>
      </c>
      <c r="B2521" s="23">
        <v>1.1128640000000001</v>
      </c>
      <c r="C2521" s="32">
        <f t="shared" si="39"/>
        <v>0</v>
      </c>
    </row>
    <row r="2522" spans="1:3" x14ac:dyDescent="0.6">
      <c r="A2522" s="24">
        <v>33210</v>
      </c>
      <c r="B2522" s="23">
        <v>1.1545019999999999</v>
      </c>
      <c r="C2522" s="32">
        <f t="shared" si="39"/>
        <v>3.7415173821778724E-2</v>
      </c>
    </row>
    <row r="2523" spans="1:3" x14ac:dyDescent="0.6">
      <c r="A2523" s="24">
        <v>33211</v>
      </c>
      <c r="B2523" s="23">
        <v>1.1658569999999999</v>
      </c>
      <c r="C2523" s="32">
        <f t="shared" si="39"/>
        <v>9.8354095532100505E-3</v>
      </c>
    </row>
    <row r="2524" spans="1:3" x14ac:dyDescent="0.6">
      <c r="A2524" s="24">
        <v>33212</v>
      </c>
      <c r="B2524" s="23">
        <v>1.215066</v>
      </c>
      <c r="C2524" s="32">
        <f t="shared" si="39"/>
        <v>4.2208435511387865E-2</v>
      </c>
    </row>
    <row r="2525" spans="1:3" x14ac:dyDescent="0.6">
      <c r="A2525" s="24">
        <v>33213</v>
      </c>
      <c r="B2525" s="23">
        <v>1.249133</v>
      </c>
      <c r="C2525" s="32">
        <f t="shared" si="39"/>
        <v>2.8037160121343163E-2</v>
      </c>
    </row>
    <row r="2526" spans="1:3" x14ac:dyDescent="0.6">
      <c r="A2526" s="24">
        <v>33214</v>
      </c>
      <c r="B2526" s="23">
        <v>1.286986</v>
      </c>
      <c r="C2526" s="32">
        <f t="shared" si="39"/>
        <v>3.0303418451037567E-2</v>
      </c>
    </row>
    <row r="2527" spans="1:3" x14ac:dyDescent="0.6">
      <c r="A2527" s="24">
        <v>33217</v>
      </c>
      <c r="B2527" s="23">
        <v>1.2642739999999999</v>
      </c>
      <c r="C2527" s="32">
        <f t="shared" si="39"/>
        <v>-1.7647433616216568E-2</v>
      </c>
    </row>
    <row r="2528" spans="1:3" x14ac:dyDescent="0.6">
      <c r="A2528" s="24">
        <v>33218</v>
      </c>
      <c r="B2528" s="23">
        <v>1.2112810000000001</v>
      </c>
      <c r="C2528" s="32">
        <f t="shared" si="39"/>
        <v>-4.191575560361116E-2</v>
      </c>
    </row>
    <row r="2529" spans="1:3" x14ac:dyDescent="0.6">
      <c r="A2529" s="24">
        <v>33219</v>
      </c>
      <c r="B2529" s="23">
        <v>1.1999249999999999</v>
      </c>
      <c r="C2529" s="32">
        <f t="shared" si="39"/>
        <v>-9.3751986533265885E-3</v>
      </c>
    </row>
    <row r="2530" spans="1:3" x14ac:dyDescent="0.6">
      <c r="A2530" s="24">
        <v>33220</v>
      </c>
      <c r="B2530" s="23">
        <v>1.233992</v>
      </c>
      <c r="C2530" s="32">
        <f t="shared" si="39"/>
        <v>2.8390941100485456E-2</v>
      </c>
    </row>
    <row r="2531" spans="1:3" x14ac:dyDescent="0.6">
      <c r="A2531" s="24">
        <v>33221</v>
      </c>
      <c r="B2531" s="23">
        <v>1.207495</v>
      </c>
      <c r="C2531" s="32">
        <f t="shared" si="39"/>
        <v>-2.147258653216555E-2</v>
      </c>
    </row>
    <row r="2532" spans="1:3" x14ac:dyDescent="0.6">
      <c r="A2532" s="24">
        <v>33224</v>
      </c>
      <c r="B2532" s="23">
        <v>1.215066</v>
      </c>
      <c r="C2532" s="32">
        <f t="shared" si="39"/>
        <v>6.2700052588209321E-3</v>
      </c>
    </row>
    <row r="2533" spans="1:3" x14ac:dyDescent="0.6">
      <c r="A2533" s="24">
        <v>33225</v>
      </c>
      <c r="B2533" s="23">
        <v>1.279415</v>
      </c>
      <c r="C2533" s="32">
        <f t="shared" si="39"/>
        <v>5.2959263118217415E-2</v>
      </c>
    </row>
    <row r="2534" spans="1:3" x14ac:dyDescent="0.6">
      <c r="A2534" s="24">
        <v>33226</v>
      </c>
      <c r="B2534" s="23">
        <v>1.268059</v>
      </c>
      <c r="C2534" s="32">
        <f t="shared" si="39"/>
        <v>-8.8759315781039572E-3</v>
      </c>
    </row>
    <row r="2535" spans="1:3" x14ac:dyDescent="0.6">
      <c r="A2535" s="24">
        <v>33227</v>
      </c>
      <c r="B2535" s="23">
        <v>1.332408</v>
      </c>
      <c r="C2535" s="32">
        <f t="shared" si="39"/>
        <v>5.0746061500293038E-2</v>
      </c>
    </row>
    <row r="2536" spans="1:3" x14ac:dyDescent="0.6">
      <c r="A2536" s="24">
        <v>33228</v>
      </c>
      <c r="B2536" s="23">
        <v>1.3626910000000001</v>
      </c>
      <c r="C2536" s="32">
        <f t="shared" si="39"/>
        <v>2.2728023248134166E-2</v>
      </c>
    </row>
    <row r="2537" spans="1:3" x14ac:dyDescent="0.6">
      <c r="A2537" s="24">
        <v>33231</v>
      </c>
      <c r="B2537" s="23">
        <v>1.332408</v>
      </c>
      <c r="C2537" s="32">
        <f t="shared" si="39"/>
        <v>-2.2222939756702087E-2</v>
      </c>
    </row>
    <row r="2538" spans="1:3" x14ac:dyDescent="0.6">
      <c r="A2538" s="24">
        <v>33233</v>
      </c>
      <c r="B2538" s="23">
        <v>1.324838</v>
      </c>
      <c r="C2538" s="32">
        <f t="shared" si="39"/>
        <v>-5.6814429213875028E-3</v>
      </c>
    </row>
    <row r="2539" spans="1:3" x14ac:dyDescent="0.6">
      <c r="A2539" s="24">
        <v>33234</v>
      </c>
      <c r="B2539" s="23">
        <v>1.3172680000000001</v>
      </c>
      <c r="C2539" s="32">
        <f t="shared" si="39"/>
        <v>-5.7139061530541158E-3</v>
      </c>
    </row>
    <row r="2540" spans="1:3" x14ac:dyDescent="0.6">
      <c r="A2540" s="24">
        <v>33235</v>
      </c>
      <c r="B2540" s="23">
        <v>1.3021259999999999</v>
      </c>
      <c r="C2540" s="32">
        <f t="shared" si="39"/>
        <v>-1.1495003294697992E-2</v>
      </c>
    </row>
    <row r="2541" spans="1:3" x14ac:dyDescent="0.6">
      <c r="A2541" s="24">
        <v>33238</v>
      </c>
      <c r="B2541" s="23">
        <v>1.3021259999999999</v>
      </c>
      <c r="C2541" s="32">
        <f t="shared" si="39"/>
        <v>0</v>
      </c>
    </row>
    <row r="2542" spans="1:3" x14ac:dyDescent="0.6">
      <c r="A2542" s="24">
        <v>33240</v>
      </c>
      <c r="B2542" s="23">
        <v>1.3172680000000001</v>
      </c>
      <c r="C2542" s="32">
        <f t="shared" si="39"/>
        <v>1.1628674951579265E-2</v>
      </c>
    </row>
    <row r="2543" spans="1:3" x14ac:dyDescent="0.6">
      <c r="A2543" s="24">
        <v>33241</v>
      </c>
      <c r="B2543" s="23">
        <v>1.3021259999999999</v>
      </c>
      <c r="C2543" s="32">
        <f t="shared" si="39"/>
        <v>-1.1495003294697992E-2</v>
      </c>
    </row>
    <row r="2544" spans="1:3" x14ac:dyDescent="0.6">
      <c r="A2544" s="24">
        <v>33242</v>
      </c>
      <c r="B2544" s="23">
        <v>1.3096969999999999</v>
      </c>
      <c r="C2544" s="32">
        <f t="shared" si="39"/>
        <v>5.8143374757895216E-3</v>
      </c>
    </row>
    <row r="2545" spans="1:3" x14ac:dyDescent="0.6">
      <c r="A2545" s="24">
        <v>33245</v>
      </c>
      <c r="B2545" s="23">
        <v>1.3096969999999999</v>
      </c>
      <c r="C2545" s="32">
        <f t="shared" si="39"/>
        <v>0</v>
      </c>
    </row>
    <row r="2546" spans="1:3" x14ac:dyDescent="0.6">
      <c r="A2546" s="24">
        <v>33246</v>
      </c>
      <c r="B2546" s="23">
        <v>1.3096969999999999</v>
      </c>
      <c r="C2546" s="32">
        <f t="shared" si="39"/>
        <v>0</v>
      </c>
    </row>
    <row r="2547" spans="1:3" x14ac:dyDescent="0.6">
      <c r="A2547" s="24">
        <v>33247</v>
      </c>
      <c r="B2547" s="23">
        <v>1.370261</v>
      </c>
      <c r="C2547" s="32">
        <f t="shared" si="39"/>
        <v>4.6242756912476812E-2</v>
      </c>
    </row>
    <row r="2548" spans="1:3" x14ac:dyDescent="0.6">
      <c r="A2548" s="24">
        <v>33248</v>
      </c>
      <c r="B2548" s="23">
        <v>1.4270400000000001</v>
      </c>
      <c r="C2548" s="32">
        <f t="shared" si="39"/>
        <v>4.1436631415475045E-2</v>
      </c>
    </row>
    <row r="2549" spans="1:3" x14ac:dyDescent="0.6">
      <c r="A2549" s="24">
        <v>33249</v>
      </c>
      <c r="B2549" s="23">
        <v>1.4232549999999999</v>
      </c>
      <c r="C2549" s="32">
        <f t="shared" si="39"/>
        <v>-2.6523433120305695E-3</v>
      </c>
    </row>
    <row r="2550" spans="1:3" x14ac:dyDescent="0.6">
      <c r="A2550" s="24">
        <v>33252</v>
      </c>
      <c r="B2550" s="23">
        <v>1.4005430000000001</v>
      </c>
      <c r="C2550" s="32">
        <f t="shared" si="39"/>
        <v>-1.5957786903962989E-2</v>
      </c>
    </row>
    <row r="2551" spans="1:3" x14ac:dyDescent="0.6">
      <c r="A2551" s="24">
        <v>33253</v>
      </c>
      <c r="B2551" s="23">
        <v>1.4156839999999999</v>
      </c>
      <c r="C2551" s="32">
        <f t="shared" si="39"/>
        <v>1.0810806951303764E-2</v>
      </c>
    </row>
    <row r="2552" spans="1:3" x14ac:dyDescent="0.6">
      <c r="A2552" s="24">
        <v>33254</v>
      </c>
      <c r="B2552" s="23">
        <v>1.5065299999999999</v>
      </c>
      <c r="C2552" s="32">
        <f t="shared" si="39"/>
        <v>6.4171100330299602E-2</v>
      </c>
    </row>
    <row r="2553" spans="1:3" x14ac:dyDescent="0.6">
      <c r="A2553" s="24">
        <v>33255</v>
      </c>
      <c r="B2553" s="23">
        <v>1.5519529999999999</v>
      </c>
      <c r="C2553" s="32">
        <f t="shared" si="39"/>
        <v>3.0150743762155319E-2</v>
      </c>
    </row>
    <row r="2554" spans="1:3" x14ac:dyDescent="0.6">
      <c r="A2554" s="24">
        <v>33256</v>
      </c>
      <c r="B2554" s="23">
        <v>1.521671</v>
      </c>
      <c r="C2554" s="32">
        <f t="shared" si="39"/>
        <v>-1.9512188835615452E-2</v>
      </c>
    </row>
    <row r="2555" spans="1:3" x14ac:dyDescent="0.6">
      <c r="A2555" s="24">
        <v>33259</v>
      </c>
      <c r="B2555" s="23">
        <v>1.5368120000000001</v>
      </c>
      <c r="C2555" s="32">
        <f t="shared" si="39"/>
        <v>9.9502454867050893E-3</v>
      </c>
    </row>
    <row r="2556" spans="1:3" x14ac:dyDescent="0.6">
      <c r="A2556" s="24">
        <v>33260</v>
      </c>
      <c r="B2556" s="23">
        <v>1.5519529999999999</v>
      </c>
      <c r="C2556" s="32">
        <f t="shared" si="39"/>
        <v>9.8522135433611879E-3</v>
      </c>
    </row>
    <row r="2557" spans="1:3" x14ac:dyDescent="0.6">
      <c r="A2557" s="24">
        <v>33261</v>
      </c>
      <c r="B2557" s="23">
        <v>1.567094</v>
      </c>
      <c r="C2557" s="32">
        <f t="shared" si="39"/>
        <v>9.7560944178078923E-3</v>
      </c>
    </row>
    <row r="2558" spans="1:3" x14ac:dyDescent="0.6">
      <c r="A2558" s="24">
        <v>33262</v>
      </c>
      <c r="B2558" s="23">
        <v>1.5784499999999999</v>
      </c>
      <c r="C2558" s="32">
        <f t="shared" si="39"/>
        <v>7.2465340305047921E-3</v>
      </c>
    </row>
    <row r="2559" spans="1:3" x14ac:dyDescent="0.6">
      <c r="A2559" s="24">
        <v>33263</v>
      </c>
      <c r="B2559" s="23">
        <v>1.620088</v>
      </c>
      <c r="C2559" s="32">
        <f t="shared" si="39"/>
        <v>2.6379042731793811E-2</v>
      </c>
    </row>
    <row r="2560" spans="1:3" x14ac:dyDescent="0.6">
      <c r="A2560" s="24">
        <v>33266</v>
      </c>
      <c r="B2560" s="23">
        <v>1.6503699999999999</v>
      </c>
      <c r="C2560" s="32">
        <f t="shared" si="39"/>
        <v>1.8691577247655689E-2</v>
      </c>
    </row>
    <row r="2561" spans="1:3" x14ac:dyDescent="0.6">
      <c r="A2561" s="24">
        <v>33267</v>
      </c>
      <c r="B2561" s="23">
        <v>1.627658</v>
      </c>
      <c r="C2561" s="32">
        <f t="shared" si="39"/>
        <v>-1.3761762513860409E-2</v>
      </c>
    </row>
    <row r="2562" spans="1:3" x14ac:dyDescent="0.6">
      <c r="A2562" s="24">
        <v>33268</v>
      </c>
      <c r="B2562" s="23">
        <v>1.680652</v>
      </c>
      <c r="C2562" s="32">
        <f t="shared" si="39"/>
        <v>3.2558436723193696E-2</v>
      </c>
    </row>
    <row r="2563" spans="1:3" x14ac:dyDescent="0.6">
      <c r="A2563" s="24">
        <v>33269</v>
      </c>
      <c r="B2563" s="23">
        <v>1.680652</v>
      </c>
      <c r="C2563" s="32">
        <f t="shared" si="39"/>
        <v>0</v>
      </c>
    </row>
    <row r="2564" spans="1:3" x14ac:dyDescent="0.6">
      <c r="A2564" s="24">
        <v>33270</v>
      </c>
      <c r="B2564" s="23">
        <v>1.6882219999999999</v>
      </c>
      <c r="C2564" s="32">
        <f t="shared" ref="C2564:C2627" si="40">B2564/B2563-1</f>
        <v>4.504204320703975E-3</v>
      </c>
    </row>
    <row r="2565" spans="1:3" x14ac:dyDescent="0.6">
      <c r="A2565" s="24">
        <v>33273</v>
      </c>
      <c r="B2565" s="23">
        <v>1.673081</v>
      </c>
      <c r="C2565" s="32">
        <f t="shared" si="40"/>
        <v>-8.9686072092413083E-3</v>
      </c>
    </row>
    <row r="2566" spans="1:3" x14ac:dyDescent="0.6">
      <c r="A2566" s="24">
        <v>33274</v>
      </c>
      <c r="B2566" s="23">
        <v>1.748786</v>
      </c>
      <c r="C2566" s="32">
        <f t="shared" si="40"/>
        <v>4.5248855255662912E-2</v>
      </c>
    </row>
    <row r="2567" spans="1:3" x14ac:dyDescent="0.6">
      <c r="A2567" s="24">
        <v>33275</v>
      </c>
      <c r="B2567" s="23">
        <v>1.7222900000000001</v>
      </c>
      <c r="C2567" s="32">
        <f t="shared" si="40"/>
        <v>-1.5151081950564471E-2</v>
      </c>
    </row>
    <row r="2568" spans="1:3" x14ac:dyDescent="0.6">
      <c r="A2568" s="24">
        <v>33276</v>
      </c>
      <c r="B2568" s="23">
        <v>1.748786</v>
      </c>
      <c r="C2568" s="32">
        <f t="shared" si="40"/>
        <v>1.5384168752068383E-2</v>
      </c>
    </row>
    <row r="2569" spans="1:3" x14ac:dyDescent="0.6">
      <c r="A2569" s="24">
        <v>33277</v>
      </c>
      <c r="B2569" s="23">
        <v>1.8131349999999999</v>
      </c>
      <c r="C2569" s="32">
        <f t="shared" si="40"/>
        <v>3.6796383319628534E-2</v>
      </c>
    </row>
    <row r="2570" spans="1:3" x14ac:dyDescent="0.6">
      <c r="A2570" s="24">
        <v>33280</v>
      </c>
      <c r="B2570" s="23">
        <v>1.8585590000000001</v>
      </c>
      <c r="C2570" s="32">
        <f t="shared" si="40"/>
        <v>2.5052740143453267E-2</v>
      </c>
    </row>
    <row r="2571" spans="1:3" x14ac:dyDescent="0.6">
      <c r="A2571" s="24">
        <v>33281</v>
      </c>
      <c r="B2571" s="23">
        <v>1.816921</v>
      </c>
      <c r="C2571" s="32">
        <f t="shared" si="40"/>
        <v>-2.2403378100991134E-2</v>
      </c>
    </row>
    <row r="2572" spans="1:3" x14ac:dyDescent="0.6">
      <c r="A2572" s="24">
        <v>33282</v>
      </c>
      <c r="B2572" s="23">
        <v>1.816921</v>
      </c>
      <c r="C2572" s="32">
        <f t="shared" si="40"/>
        <v>0</v>
      </c>
    </row>
    <row r="2573" spans="1:3" x14ac:dyDescent="0.6">
      <c r="A2573" s="24">
        <v>33283</v>
      </c>
      <c r="B2573" s="23">
        <v>1.72986</v>
      </c>
      <c r="C2573" s="32">
        <f t="shared" si="40"/>
        <v>-4.791677788962756E-2</v>
      </c>
    </row>
    <row r="2574" spans="1:3" x14ac:dyDescent="0.6">
      <c r="A2574" s="24">
        <v>33284</v>
      </c>
      <c r="B2574" s="23">
        <v>1.748678</v>
      </c>
      <c r="C2574" s="32">
        <f t="shared" si="40"/>
        <v>1.0878336975246539E-2</v>
      </c>
    </row>
    <row r="2575" spans="1:3" x14ac:dyDescent="0.6">
      <c r="A2575" s="24">
        <v>33288</v>
      </c>
      <c r="B2575" s="23">
        <v>1.820749</v>
      </c>
      <c r="C2575" s="32">
        <f t="shared" si="40"/>
        <v>4.1214563230051571E-2</v>
      </c>
    </row>
    <row r="2576" spans="1:3" x14ac:dyDescent="0.6">
      <c r="A2576" s="24">
        <v>33289</v>
      </c>
      <c r="B2576" s="23">
        <v>1.851094</v>
      </c>
      <c r="C2576" s="32">
        <f t="shared" si="40"/>
        <v>1.666621813330682E-2</v>
      </c>
    </row>
    <row r="2577" spans="1:3" x14ac:dyDescent="0.6">
      <c r="A2577" s="24">
        <v>33290</v>
      </c>
      <c r="B2577" s="23">
        <v>1.790403</v>
      </c>
      <c r="C2577" s="32">
        <f t="shared" si="40"/>
        <v>-3.2786557570820274E-2</v>
      </c>
    </row>
    <row r="2578" spans="1:3" x14ac:dyDescent="0.6">
      <c r="A2578" s="24">
        <v>33291</v>
      </c>
      <c r="B2578" s="23">
        <v>1.8131630000000001</v>
      </c>
      <c r="C2578" s="32">
        <f t="shared" si="40"/>
        <v>1.2712221773533816E-2</v>
      </c>
    </row>
    <row r="2579" spans="1:3" x14ac:dyDescent="0.6">
      <c r="A2579" s="24">
        <v>33294</v>
      </c>
      <c r="B2579" s="23">
        <v>1.7600579999999999</v>
      </c>
      <c r="C2579" s="32">
        <f t="shared" si="40"/>
        <v>-2.9288596778116571E-2</v>
      </c>
    </row>
    <row r="2580" spans="1:3" x14ac:dyDescent="0.6">
      <c r="A2580" s="24">
        <v>33295</v>
      </c>
      <c r="B2580" s="23">
        <v>1.767644</v>
      </c>
      <c r="C2580" s="32">
        <f t="shared" si="40"/>
        <v>4.3100852358275432E-3</v>
      </c>
    </row>
    <row r="2581" spans="1:3" x14ac:dyDescent="0.6">
      <c r="A2581" s="24">
        <v>33296</v>
      </c>
      <c r="B2581" s="23">
        <v>1.767644</v>
      </c>
      <c r="C2581" s="32">
        <f t="shared" si="40"/>
        <v>0</v>
      </c>
    </row>
    <row r="2582" spans="1:3" x14ac:dyDescent="0.6">
      <c r="A2582" s="24">
        <v>33297</v>
      </c>
      <c r="B2582" s="23">
        <v>1.737298</v>
      </c>
      <c r="C2582" s="32">
        <f t="shared" si="40"/>
        <v>-1.716748395038814E-2</v>
      </c>
    </row>
    <row r="2583" spans="1:3" x14ac:dyDescent="0.6">
      <c r="A2583" s="24">
        <v>33298</v>
      </c>
      <c r="B2583" s="23">
        <v>1.7524709999999999</v>
      </c>
      <c r="C2583" s="32">
        <f t="shared" si="40"/>
        <v>8.7336772390227413E-3</v>
      </c>
    </row>
    <row r="2584" spans="1:3" x14ac:dyDescent="0.6">
      <c r="A2584" s="24">
        <v>33301</v>
      </c>
      <c r="B2584" s="23">
        <v>1.7714380000000001</v>
      </c>
      <c r="C2584" s="32">
        <f t="shared" si="40"/>
        <v>1.0823003633155803E-2</v>
      </c>
    </row>
    <row r="2585" spans="1:3" x14ac:dyDescent="0.6">
      <c r="A2585" s="24">
        <v>33302</v>
      </c>
      <c r="B2585" s="23">
        <v>1.9155800000000001</v>
      </c>
      <c r="C2585" s="32">
        <f t="shared" si="40"/>
        <v>8.1370050772310298E-2</v>
      </c>
    </row>
    <row r="2586" spans="1:3" x14ac:dyDescent="0.6">
      <c r="A2586" s="24">
        <v>33303</v>
      </c>
      <c r="B2586" s="23">
        <v>1.9117869999999999</v>
      </c>
      <c r="C2586" s="32">
        <f t="shared" si="40"/>
        <v>-1.9800791405214513E-3</v>
      </c>
    </row>
    <row r="2587" spans="1:3" x14ac:dyDescent="0.6">
      <c r="A2587" s="24">
        <v>33304</v>
      </c>
      <c r="B2587" s="23">
        <v>2.040756</v>
      </c>
      <c r="C2587" s="32">
        <f t="shared" si="40"/>
        <v>6.7459921005844414E-2</v>
      </c>
    </row>
    <row r="2588" spans="1:3" x14ac:dyDescent="0.6">
      <c r="A2588" s="24">
        <v>33305</v>
      </c>
      <c r="B2588" s="23">
        <v>1.9724790000000001</v>
      </c>
      <c r="C2588" s="32">
        <f t="shared" si="40"/>
        <v>-3.3456718980612976E-2</v>
      </c>
    </row>
    <row r="2589" spans="1:3" x14ac:dyDescent="0.6">
      <c r="A2589" s="24">
        <v>33308</v>
      </c>
      <c r="B2589" s="23">
        <v>1.9269590000000001</v>
      </c>
      <c r="C2589" s="32">
        <f t="shared" si="40"/>
        <v>-2.3077558747140015E-2</v>
      </c>
    </row>
    <row r="2590" spans="1:3" x14ac:dyDescent="0.6">
      <c r="A2590" s="24">
        <v>33309</v>
      </c>
      <c r="B2590" s="23">
        <v>1.907994</v>
      </c>
      <c r="C2590" s="32">
        <f t="shared" si="40"/>
        <v>-9.8419322881286853E-3</v>
      </c>
    </row>
    <row r="2591" spans="1:3" x14ac:dyDescent="0.6">
      <c r="A2591" s="24">
        <v>33310</v>
      </c>
      <c r="B2591" s="23">
        <v>2.0104109999999999</v>
      </c>
      <c r="C2591" s="32">
        <f t="shared" si="40"/>
        <v>5.3677841754219413E-2</v>
      </c>
    </row>
    <row r="2592" spans="1:3" x14ac:dyDescent="0.6">
      <c r="A2592" s="24">
        <v>33311</v>
      </c>
      <c r="B2592" s="23">
        <v>1.980064</v>
      </c>
      <c r="C2592" s="32">
        <f t="shared" si="40"/>
        <v>-1.5094923376364311E-2</v>
      </c>
    </row>
    <row r="2593" spans="1:3" x14ac:dyDescent="0.6">
      <c r="A2593" s="24">
        <v>33312</v>
      </c>
      <c r="B2593" s="23">
        <v>2.0104109999999999</v>
      </c>
      <c r="C2593" s="32">
        <f t="shared" si="40"/>
        <v>1.5326272282107922E-2</v>
      </c>
    </row>
    <row r="2594" spans="1:3" x14ac:dyDescent="0.6">
      <c r="A2594" s="24">
        <v>33315</v>
      </c>
      <c r="B2594" s="23">
        <v>2.05593</v>
      </c>
      <c r="C2594" s="32">
        <f t="shared" si="40"/>
        <v>2.2641638948453835E-2</v>
      </c>
    </row>
    <row r="2595" spans="1:3" x14ac:dyDescent="0.6">
      <c r="A2595" s="24">
        <v>33316</v>
      </c>
      <c r="B2595" s="23">
        <v>2.109035</v>
      </c>
      <c r="C2595" s="32">
        <f t="shared" si="40"/>
        <v>2.5830159587145518E-2</v>
      </c>
    </row>
    <row r="2596" spans="1:3" x14ac:dyDescent="0.6">
      <c r="A2596" s="24">
        <v>33317</v>
      </c>
      <c r="B2596" s="23">
        <v>2.05593</v>
      </c>
      <c r="C2596" s="32">
        <f t="shared" si="40"/>
        <v>-2.5179762308354281E-2</v>
      </c>
    </row>
    <row r="2597" spans="1:3" x14ac:dyDescent="0.6">
      <c r="A2597" s="24">
        <v>33318</v>
      </c>
      <c r="B2597" s="23">
        <v>1.9648920000000001</v>
      </c>
      <c r="C2597" s="32">
        <f t="shared" si="40"/>
        <v>-4.4280690490434926E-2</v>
      </c>
    </row>
    <row r="2598" spans="1:3" x14ac:dyDescent="0.6">
      <c r="A2598" s="24">
        <v>33319</v>
      </c>
      <c r="B2598" s="23">
        <v>1.919373</v>
      </c>
      <c r="C2598" s="32">
        <f t="shared" si="40"/>
        <v>-2.3166158750710042E-2</v>
      </c>
    </row>
    <row r="2599" spans="1:3" x14ac:dyDescent="0.6">
      <c r="A2599" s="24">
        <v>33322</v>
      </c>
      <c r="B2599" s="23">
        <v>1.957306</v>
      </c>
      <c r="C2599" s="32">
        <f t="shared" si="40"/>
        <v>1.9763224761419451E-2</v>
      </c>
    </row>
    <row r="2600" spans="1:3" x14ac:dyDescent="0.6">
      <c r="A2600" s="24">
        <v>33323</v>
      </c>
      <c r="B2600" s="23">
        <v>2.1242079999999999</v>
      </c>
      <c r="C2600" s="32">
        <f t="shared" si="40"/>
        <v>8.5271286145344627E-2</v>
      </c>
    </row>
    <row r="2601" spans="1:3" x14ac:dyDescent="0.6">
      <c r="A2601" s="24">
        <v>33324</v>
      </c>
      <c r="B2601" s="23">
        <v>2.101448</v>
      </c>
      <c r="C2601" s="32">
        <f t="shared" si="40"/>
        <v>-1.071458162289185E-2</v>
      </c>
    </row>
    <row r="2602" spans="1:3" x14ac:dyDescent="0.6">
      <c r="A2602" s="24">
        <v>33325</v>
      </c>
      <c r="B2602" s="23">
        <v>2.063517</v>
      </c>
      <c r="C2602" s="32">
        <f t="shared" si="40"/>
        <v>-1.8049935092374403E-2</v>
      </c>
    </row>
    <row r="2603" spans="1:3" x14ac:dyDescent="0.6">
      <c r="A2603" s="24">
        <v>33329</v>
      </c>
      <c r="B2603" s="23">
        <v>2.0786889999999998</v>
      </c>
      <c r="C2603" s="32">
        <f t="shared" si="40"/>
        <v>7.3524957633011034E-3</v>
      </c>
    </row>
    <row r="2604" spans="1:3" x14ac:dyDescent="0.6">
      <c r="A2604" s="24">
        <v>33330</v>
      </c>
      <c r="B2604" s="23">
        <v>2.207659</v>
      </c>
      <c r="C2604" s="32">
        <f t="shared" si="40"/>
        <v>6.2043913254941074E-2</v>
      </c>
    </row>
    <row r="2605" spans="1:3" x14ac:dyDescent="0.6">
      <c r="A2605" s="24">
        <v>33331</v>
      </c>
      <c r="B2605" s="23">
        <v>2.1242079999999999</v>
      </c>
      <c r="C2605" s="32">
        <f t="shared" si="40"/>
        <v>-3.7800674832480952E-2</v>
      </c>
    </row>
    <row r="2606" spans="1:3" x14ac:dyDescent="0.6">
      <c r="A2606" s="24">
        <v>33332</v>
      </c>
      <c r="B2606" s="23">
        <v>2.169727</v>
      </c>
      <c r="C2606" s="32">
        <f t="shared" si="40"/>
        <v>2.1428692482092115E-2</v>
      </c>
    </row>
    <row r="2607" spans="1:3" x14ac:dyDescent="0.6">
      <c r="A2607" s="24">
        <v>33333</v>
      </c>
      <c r="B2607" s="23">
        <v>2.1052420000000001</v>
      </c>
      <c r="C2607" s="32">
        <f t="shared" si="40"/>
        <v>-2.9720328870867174E-2</v>
      </c>
    </row>
    <row r="2608" spans="1:3" x14ac:dyDescent="0.6">
      <c r="A2608" s="24">
        <v>33336</v>
      </c>
      <c r="B2608" s="23">
        <v>2.1242079999999999</v>
      </c>
      <c r="C2608" s="32">
        <f t="shared" si="40"/>
        <v>9.0089405398523503E-3</v>
      </c>
    </row>
    <row r="2609" spans="1:3" x14ac:dyDescent="0.6">
      <c r="A2609" s="24">
        <v>33337</v>
      </c>
      <c r="B2609" s="23">
        <v>2.0862750000000001</v>
      </c>
      <c r="C2609" s="32">
        <f t="shared" si="40"/>
        <v>-1.7857479116922481E-2</v>
      </c>
    </row>
    <row r="2610" spans="1:3" x14ac:dyDescent="0.6">
      <c r="A2610" s="24">
        <v>33338</v>
      </c>
      <c r="B2610" s="23">
        <v>2.0293770000000002</v>
      </c>
      <c r="C2610" s="32">
        <f t="shared" si="40"/>
        <v>-2.7272531185965398E-2</v>
      </c>
    </row>
    <row r="2611" spans="1:3" x14ac:dyDescent="0.6">
      <c r="A2611" s="24">
        <v>33339</v>
      </c>
      <c r="B2611" s="23">
        <v>2.1545540000000001</v>
      </c>
      <c r="C2611" s="32">
        <f t="shared" si="40"/>
        <v>6.1682476937503505E-2</v>
      </c>
    </row>
    <row r="2612" spans="1:3" x14ac:dyDescent="0.6">
      <c r="A2612" s="24">
        <v>33340</v>
      </c>
      <c r="B2612" s="23">
        <v>2.1773129999999998</v>
      </c>
      <c r="C2612" s="32">
        <f t="shared" si="40"/>
        <v>1.056320704888325E-2</v>
      </c>
    </row>
    <row r="2613" spans="1:3" x14ac:dyDescent="0.6">
      <c r="A2613" s="24">
        <v>33343</v>
      </c>
      <c r="B2613" s="23">
        <v>1.889027</v>
      </c>
      <c r="C2613" s="32">
        <f t="shared" si="40"/>
        <v>-0.13240448203818189</v>
      </c>
    </row>
    <row r="2614" spans="1:3" x14ac:dyDescent="0.6">
      <c r="A2614" s="24">
        <v>33344</v>
      </c>
      <c r="B2614" s="23">
        <v>1.949719</v>
      </c>
      <c r="C2614" s="32">
        <f t="shared" si="40"/>
        <v>3.2128709647876841E-2</v>
      </c>
    </row>
    <row r="2615" spans="1:3" x14ac:dyDescent="0.6">
      <c r="A2615" s="24">
        <v>33345</v>
      </c>
      <c r="B2615" s="23">
        <v>1.919373</v>
      </c>
      <c r="C2615" s="32">
        <f t="shared" si="40"/>
        <v>-1.5564294136744872E-2</v>
      </c>
    </row>
    <row r="2616" spans="1:3" x14ac:dyDescent="0.6">
      <c r="A2616" s="24">
        <v>33346</v>
      </c>
      <c r="B2616" s="23">
        <v>1.851094</v>
      </c>
      <c r="C2616" s="32">
        <f t="shared" si="40"/>
        <v>-3.5573596169165667E-2</v>
      </c>
    </row>
    <row r="2617" spans="1:3" x14ac:dyDescent="0.6">
      <c r="A2617" s="24">
        <v>33347</v>
      </c>
      <c r="B2617" s="23">
        <v>1.8093699999999999</v>
      </c>
      <c r="C2617" s="32">
        <f t="shared" si="40"/>
        <v>-2.2540184345041459E-2</v>
      </c>
    </row>
    <row r="2618" spans="1:3" x14ac:dyDescent="0.6">
      <c r="A2618" s="24">
        <v>33350</v>
      </c>
      <c r="B2618" s="23">
        <v>1.866269</v>
      </c>
      <c r="C2618" s="32">
        <f t="shared" si="40"/>
        <v>3.1446857193387689E-2</v>
      </c>
    </row>
    <row r="2619" spans="1:3" x14ac:dyDescent="0.6">
      <c r="A2619" s="24">
        <v>33351</v>
      </c>
      <c r="B2619" s="23">
        <v>1.866269</v>
      </c>
      <c r="C2619" s="32">
        <f t="shared" si="40"/>
        <v>0</v>
      </c>
    </row>
    <row r="2620" spans="1:3" x14ac:dyDescent="0.6">
      <c r="A2620" s="24">
        <v>33352</v>
      </c>
      <c r="B2620" s="23">
        <v>1.8435090000000001</v>
      </c>
      <c r="C2620" s="32">
        <f t="shared" si="40"/>
        <v>-1.2195455210368911E-2</v>
      </c>
    </row>
    <row r="2621" spans="1:3" x14ac:dyDescent="0.6">
      <c r="A2621" s="24">
        <v>33353</v>
      </c>
      <c r="B2621" s="23">
        <v>1.775231</v>
      </c>
      <c r="C2621" s="32">
        <f t="shared" si="40"/>
        <v>-3.7036976765505325E-2</v>
      </c>
    </row>
    <row r="2622" spans="1:3" x14ac:dyDescent="0.6">
      <c r="A2622" s="24">
        <v>33354</v>
      </c>
      <c r="B2622" s="23">
        <v>1.7790239999999999</v>
      </c>
      <c r="C2622" s="32">
        <f t="shared" si="40"/>
        <v>2.1366233464827911E-3</v>
      </c>
    </row>
    <row r="2623" spans="1:3" x14ac:dyDescent="0.6">
      <c r="A2623" s="24">
        <v>33357</v>
      </c>
      <c r="B2623" s="23">
        <v>1.767644</v>
      </c>
      <c r="C2623" s="32">
        <f t="shared" si="40"/>
        <v>-6.3967658671271188E-3</v>
      </c>
    </row>
    <row r="2624" spans="1:3" x14ac:dyDescent="0.6">
      <c r="A2624" s="24">
        <v>33358</v>
      </c>
      <c r="B2624" s="23">
        <v>1.6690210000000001</v>
      </c>
      <c r="C2624" s="32">
        <f t="shared" si="40"/>
        <v>-5.5793474251602637E-2</v>
      </c>
    </row>
    <row r="2625" spans="1:3" x14ac:dyDescent="0.6">
      <c r="A2625" s="24">
        <v>33359</v>
      </c>
      <c r="B2625" s="23">
        <v>1.43384</v>
      </c>
      <c r="C2625" s="32">
        <f t="shared" si="40"/>
        <v>-0.14090955116802006</v>
      </c>
    </row>
    <row r="2626" spans="1:3" x14ac:dyDescent="0.6">
      <c r="A2626" s="24">
        <v>33360</v>
      </c>
      <c r="B2626" s="23">
        <v>1.486945</v>
      </c>
      <c r="C2626" s="32">
        <f t="shared" si="40"/>
        <v>3.7036907883724712E-2</v>
      </c>
    </row>
    <row r="2627" spans="1:3" x14ac:dyDescent="0.6">
      <c r="A2627" s="24">
        <v>33361</v>
      </c>
      <c r="B2627" s="23">
        <v>1.486945</v>
      </c>
      <c r="C2627" s="32">
        <f t="shared" si="40"/>
        <v>0</v>
      </c>
    </row>
    <row r="2628" spans="1:3" x14ac:dyDescent="0.6">
      <c r="A2628" s="24">
        <v>33364</v>
      </c>
      <c r="B2628" s="23">
        <v>1.524878</v>
      </c>
      <c r="C2628" s="32">
        <f t="shared" ref="C2628:C2691" si="41">B2628/B2627-1</f>
        <v>2.5510694746611273E-2</v>
      </c>
    </row>
    <row r="2629" spans="1:3" x14ac:dyDescent="0.6">
      <c r="A2629" s="24">
        <v>33365</v>
      </c>
      <c r="B2629" s="23">
        <v>1.5362579999999999</v>
      </c>
      <c r="C2629" s="32">
        <f t="shared" si="41"/>
        <v>7.4628921133361725E-3</v>
      </c>
    </row>
    <row r="2630" spans="1:3" x14ac:dyDescent="0.6">
      <c r="A2630" s="24">
        <v>33366</v>
      </c>
      <c r="B2630" s="23">
        <v>1.5097050000000001</v>
      </c>
      <c r="C2630" s="32">
        <f t="shared" si="41"/>
        <v>-1.728420616849502E-2</v>
      </c>
    </row>
    <row r="2631" spans="1:3" x14ac:dyDescent="0.6">
      <c r="A2631" s="24">
        <v>33367</v>
      </c>
      <c r="B2631" s="23">
        <v>1.5400510000000001</v>
      </c>
      <c r="C2631" s="32">
        <f t="shared" si="41"/>
        <v>2.0100615683196432E-2</v>
      </c>
    </row>
    <row r="2632" spans="1:3" x14ac:dyDescent="0.6">
      <c r="A2632" s="24">
        <v>33368</v>
      </c>
      <c r="B2632" s="23">
        <v>1.5552239999999999</v>
      </c>
      <c r="C2632" s="32">
        <f t="shared" si="41"/>
        <v>9.8522711260859985E-3</v>
      </c>
    </row>
    <row r="2633" spans="1:3" x14ac:dyDescent="0.6">
      <c r="A2633" s="24">
        <v>33371</v>
      </c>
      <c r="B2633" s="23">
        <v>1.6007420000000001</v>
      </c>
      <c r="C2633" s="32">
        <f t="shared" si="41"/>
        <v>2.9267809653143351E-2</v>
      </c>
    </row>
    <row r="2634" spans="1:3" x14ac:dyDescent="0.6">
      <c r="A2634" s="24">
        <v>33372</v>
      </c>
      <c r="B2634" s="23">
        <v>1.623502</v>
      </c>
      <c r="C2634" s="32">
        <f t="shared" si="41"/>
        <v>1.4218406214118184E-2</v>
      </c>
    </row>
    <row r="2635" spans="1:3" x14ac:dyDescent="0.6">
      <c r="A2635" s="24">
        <v>33373</v>
      </c>
      <c r="B2635" s="23">
        <v>1.532464</v>
      </c>
      <c r="C2635" s="32">
        <f t="shared" si="41"/>
        <v>-5.6075077209636892E-2</v>
      </c>
    </row>
    <row r="2636" spans="1:3" x14ac:dyDescent="0.6">
      <c r="A2636" s="24">
        <v>33374</v>
      </c>
      <c r="B2636" s="23">
        <v>1.486945</v>
      </c>
      <c r="C2636" s="32">
        <f t="shared" si="41"/>
        <v>-2.9703144739452347E-2</v>
      </c>
    </row>
    <row r="2637" spans="1:3" x14ac:dyDescent="0.6">
      <c r="A2637" s="24">
        <v>33375</v>
      </c>
      <c r="B2637" s="23">
        <v>1.4262539999999999</v>
      </c>
      <c r="C2637" s="32">
        <f t="shared" si="41"/>
        <v>-4.0815901058882553E-2</v>
      </c>
    </row>
    <row r="2638" spans="1:3" x14ac:dyDescent="0.6">
      <c r="A2638" s="24">
        <v>33378</v>
      </c>
      <c r="B2638" s="23">
        <v>1.346244</v>
      </c>
      <c r="C2638" s="32">
        <f t="shared" si="41"/>
        <v>-5.6098002179134965E-2</v>
      </c>
    </row>
    <row r="2639" spans="1:3" x14ac:dyDescent="0.6">
      <c r="A2639" s="24">
        <v>33379</v>
      </c>
      <c r="B2639" s="23">
        <v>1.3766670000000001</v>
      </c>
      <c r="C2639" s="32">
        <f t="shared" si="41"/>
        <v>2.2598429408041909E-2</v>
      </c>
    </row>
    <row r="2640" spans="1:3" x14ac:dyDescent="0.6">
      <c r="A2640" s="24">
        <v>33380</v>
      </c>
      <c r="B2640" s="23">
        <v>1.40709</v>
      </c>
      <c r="C2640" s="32">
        <f t="shared" si="41"/>
        <v>2.2099026126143784E-2</v>
      </c>
    </row>
    <row r="2641" spans="1:3" x14ac:dyDescent="0.6">
      <c r="A2641" s="24">
        <v>33381</v>
      </c>
      <c r="B2641" s="23">
        <v>1.3728640000000001</v>
      </c>
      <c r="C2641" s="32">
        <f t="shared" si="41"/>
        <v>-2.4323959377154147E-2</v>
      </c>
    </row>
    <row r="2642" spans="1:3" x14ac:dyDescent="0.6">
      <c r="A2642" s="24">
        <v>33382</v>
      </c>
      <c r="B2642" s="23">
        <v>1.3956820000000001</v>
      </c>
      <c r="C2642" s="32">
        <f t="shared" si="41"/>
        <v>1.6620728637359639E-2</v>
      </c>
    </row>
    <row r="2643" spans="1:3" x14ac:dyDescent="0.6">
      <c r="A2643" s="24">
        <v>33386</v>
      </c>
      <c r="B2643" s="23">
        <v>1.3994850000000001</v>
      </c>
      <c r="C2643" s="32">
        <f t="shared" si="41"/>
        <v>2.7248327341042877E-3</v>
      </c>
    </row>
    <row r="2644" spans="1:3" x14ac:dyDescent="0.6">
      <c r="A2644" s="24">
        <v>33387</v>
      </c>
      <c r="B2644" s="23">
        <v>1.429908</v>
      </c>
      <c r="C2644" s="32">
        <f t="shared" si="41"/>
        <v>2.1738711025841573E-2</v>
      </c>
    </row>
    <row r="2645" spans="1:3" x14ac:dyDescent="0.6">
      <c r="A2645" s="24">
        <v>33388</v>
      </c>
      <c r="B2645" s="23">
        <v>1.448923</v>
      </c>
      <c r="C2645" s="32">
        <f t="shared" si="41"/>
        <v>1.3298058336620233E-2</v>
      </c>
    </row>
    <row r="2646" spans="1:3" x14ac:dyDescent="0.6">
      <c r="A2646" s="24">
        <v>33389</v>
      </c>
      <c r="B2646" s="23">
        <v>1.429908</v>
      </c>
      <c r="C2646" s="32">
        <f t="shared" si="41"/>
        <v>-1.3123540726456828E-2</v>
      </c>
    </row>
    <row r="2647" spans="1:3" x14ac:dyDescent="0.6">
      <c r="A2647" s="24">
        <v>33392</v>
      </c>
      <c r="B2647" s="23">
        <v>1.4983610000000001</v>
      </c>
      <c r="C2647" s="32">
        <f t="shared" si="41"/>
        <v>4.7872310666140727E-2</v>
      </c>
    </row>
    <row r="2648" spans="1:3" x14ac:dyDescent="0.6">
      <c r="A2648" s="24">
        <v>33393</v>
      </c>
      <c r="B2648" s="23">
        <v>1.4945580000000001</v>
      </c>
      <c r="C2648" s="32">
        <f t="shared" si="41"/>
        <v>-2.5381066378529216E-3</v>
      </c>
    </row>
    <row r="2649" spans="1:3" x14ac:dyDescent="0.6">
      <c r="A2649" s="24">
        <v>33394</v>
      </c>
      <c r="B2649" s="23">
        <v>1.460332</v>
      </c>
      <c r="C2649" s="32">
        <f t="shared" si="41"/>
        <v>-2.2900416042736405E-2</v>
      </c>
    </row>
    <row r="2650" spans="1:3" x14ac:dyDescent="0.6">
      <c r="A2650" s="24">
        <v>33395</v>
      </c>
      <c r="B2650" s="23">
        <v>1.418499</v>
      </c>
      <c r="C2650" s="32">
        <f t="shared" si="41"/>
        <v>-2.8646225652796731E-2</v>
      </c>
    </row>
    <row r="2651" spans="1:3" x14ac:dyDescent="0.6">
      <c r="A2651" s="24">
        <v>33396</v>
      </c>
      <c r="B2651" s="23">
        <v>1.403287</v>
      </c>
      <c r="C2651" s="32">
        <f t="shared" si="41"/>
        <v>-1.0724011789927212E-2</v>
      </c>
    </row>
    <row r="2652" spans="1:3" x14ac:dyDescent="0.6">
      <c r="A2652" s="24">
        <v>33399</v>
      </c>
      <c r="B2652" s="23">
        <v>1.3994850000000001</v>
      </c>
      <c r="C2652" s="32">
        <f t="shared" si="41"/>
        <v>-2.7093531116584302E-3</v>
      </c>
    </row>
    <row r="2653" spans="1:3" x14ac:dyDescent="0.6">
      <c r="A2653" s="24">
        <v>33400</v>
      </c>
      <c r="B2653" s="23">
        <v>1.3576520000000001</v>
      </c>
      <c r="C2653" s="32">
        <f t="shared" si="41"/>
        <v>-2.9891710164810625E-2</v>
      </c>
    </row>
    <row r="2654" spans="1:3" x14ac:dyDescent="0.6">
      <c r="A2654" s="24">
        <v>33401</v>
      </c>
      <c r="B2654" s="23">
        <v>1.289199</v>
      </c>
      <c r="C2654" s="32">
        <f t="shared" si="41"/>
        <v>-5.0420137119085107E-2</v>
      </c>
    </row>
    <row r="2655" spans="1:3" x14ac:dyDescent="0.6">
      <c r="A2655" s="24">
        <v>33402</v>
      </c>
      <c r="B2655" s="23">
        <v>1.281593</v>
      </c>
      <c r="C2655" s="32">
        <f t="shared" si="41"/>
        <v>-5.8997873873621876E-3</v>
      </c>
    </row>
    <row r="2656" spans="1:3" x14ac:dyDescent="0.6">
      <c r="A2656" s="24">
        <v>33403</v>
      </c>
      <c r="B2656" s="23">
        <v>1.2511699999999999</v>
      </c>
      <c r="C2656" s="32">
        <f t="shared" si="41"/>
        <v>-2.3738425537592756E-2</v>
      </c>
    </row>
    <row r="2657" spans="1:3" x14ac:dyDescent="0.6">
      <c r="A2657" s="24">
        <v>33406</v>
      </c>
      <c r="B2657" s="23">
        <v>1.2777909999999999</v>
      </c>
      <c r="C2657" s="32">
        <f t="shared" si="41"/>
        <v>2.1276884835793597E-2</v>
      </c>
    </row>
    <row r="2658" spans="1:3" x14ac:dyDescent="0.6">
      <c r="A2658" s="24">
        <v>33407</v>
      </c>
      <c r="B2658" s="23">
        <v>1.281593</v>
      </c>
      <c r="C2658" s="32">
        <f t="shared" si="41"/>
        <v>2.9754474714567269E-3</v>
      </c>
    </row>
    <row r="2659" spans="1:3" x14ac:dyDescent="0.6">
      <c r="A2659" s="24">
        <v>33408</v>
      </c>
      <c r="B2659" s="23">
        <v>1.270184</v>
      </c>
      <c r="C2659" s="32">
        <f t="shared" si="41"/>
        <v>-8.902202181191643E-3</v>
      </c>
    </row>
    <row r="2660" spans="1:3" x14ac:dyDescent="0.6">
      <c r="A2660" s="24">
        <v>33409</v>
      </c>
      <c r="B2660" s="23">
        <v>1.2777909999999999</v>
      </c>
      <c r="C2660" s="32">
        <f t="shared" si="41"/>
        <v>5.9888960969434191E-3</v>
      </c>
    </row>
    <row r="2661" spans="1:3" x14ac:dyDescent="0.6">
      <c r="A2661" s="24">
        <v>33410</v>
      </c>
      <c r="B2661" s="23">
        <v>1.2777909999999999</v>
      </c>
      <c r="C2661" s="32">
        <f t="shared" si="41"/>
        <v>0</v>
      </c>
    </row>
    <row r="2662" spans="1:3" x14ac:dyDescent="0.6">
      <c r="A2662" s="24">
        <v>33413</v>
      </c>
      <c r="B2662" s="23">
        <v>1.270184</v>
      </c>
      <c r="C2662" s="32">
        <f t="shared" si="41"/>
        <v>-5.9532427447054337E-3</v>
      </c>
    </row>
    <row r="2663" spans="1:3" x14ac:dyDescent="0.6">
      <c r="A2663" s="24">
        <v>33414</v>
      </c>
      <c r="B2663" s="23">
        <v>1.289199</v>
      </c>
      <c r="C2663" s="32">
        <f t="shared" si="41"/>
        <v>1.4970272023580922E-2</v>
      </c>
    </row>
    <row r="2664" spans="1:3" x14ac:dyDescent="0.6">
      <c r="A2664" s="24">
        <v>33415</v>
      </c>
      <c r="B2664" s="23">
        <v>1.308214</v>
      </c>
      <c r="C2664" s="32">
        <f t="shared" si="41"/>
        <v>1.4749468468405524E-2</v>
      </c>
    </row>
    <row r="2665" spans="1:3" x14ac:dyDescent="0.6">
      <c r="A2665" s="24">
        <v>33416</v>
      </c>
      <c r="B2665" s="23">
        <v>1.293002</v>
      </c>
      <c r="C2665" s="32">
        <f t="shared" si="41"/>
        <v>-1.1628066967636741E-2</v>
      </c>
    </row>
    <row r="2666" spans="1:3" x14ac:dyDescent="0.6">
      <c r="A2666" s="24">
        <v>33417</v>
      </c>
      <c r="B2666" s="23">
        <v>1.2625789999999999</v>
      </c>
      <c r="C2666" s="32">
        <f t="shared" si="41"/>
        <v>-2.3528965925806888E-2</v>
      </c>
    </row>
    <row r="2667" spans="1:3" x14ac:dyDescent="0.6">
      <c r="A2667" s="24">
        <v>33420</v>
      </c>
      <c r="B2667" s="23">
        <v>1.293002</v>
      </c>
      <c r="C2667" s="32">
        <f t="shared" si="41"/>
        <v>2.4095917958401047E-2</v>
      </c>
    </row>
    <row r="2668" spans="1:3" x14ac:dyDescent="0.6">
      <c r="A2668" s="24">
        <v>33421</v>
      </c>
      <c r="B2668" s="23">
        <v>1.285396</v>
      </c>
      <c r="C2668" s="32">
        <f t="shared" si="41"/>
        <v>-5.8824348299538753E-3</v>
      </c>
    </row>
    <row r="2669" spans="1:3" x14ac:dyDescent="0.6">
      <c r="A2669" s="24">
        <v>33422</v>
      </c>
      <c r="B2669" s="23">
        <v>1.312017</v>
      </c>
      <c r="C2669" s="32">
        <f t="shared" si="41"/>
        <v>2.0710349184220211E-2</v>
      </c>
    </row>
    <row r="2670" spans="1:3" x14ac:dyDescent="0.6">
      <c r="A2670" s="24">
        <v>33424</v>
      </c>
      <c r="B2670" s="23">
        <v>1.3880760000000001</v>
      </c>
      <c r="C2670" s="32">
        <f t="shared" si="41"/>
        <v>5.7971047631242723E-2</v>
      </c>
    </row>
    <row r="2671" spans="1:3" x14ac:dyDescent="0.6">
      <c r="A2671" s="24">
        <v>33427</v>
      </c>
      <c r="B2671" s="23">
        <v>1.422302</v>
      </c>
      <c r="C2671" s="32">
        <f t="shared" si="41"/>
        <v>2.4657151337534655E-2</v>
      </c>
    </row>
    <row r="2672" spans="1:3" x14ac:dyDescent="0.6">
      <c r="A2672" s="24">
        <v>33428</v>
      </c>
      <c r="B2672" s="23">
        <v>1.426105</v>
      </c>
      <c r="C2672" s="32">
        <f t="shared" si="41"/>
        <v>2.6738343896022254E-3</v>
      </c>
    </row>
    <row r="2673" spans="1:3" x14ac:dyDescent="0.6">
      <c r="A2673" s="24">
        <v>33429</v>
      </c>
      <c r="B2673" s="23">
        <v>1.437514</v>
      </c>
      <c r="C2673" s="32">
        <f t="shared" si="41"/>
        <v>8.0001121937023356E-3</v>
      </c>
    </row>
    <row r="2674" spans="1:3" x14ac:dyDescent="0.6">
      <c r="A2674" s="24">
        <v>33430</v>
      </c>
      <c r="B2674" s="23">
        <v>1.422302</v>
      </c>
      <c r="C2674" s="32">
        <f t="shared" si="41"/>
        <v>-1.0582157808549986E-2</v>
      </c>
    </row>
    <row r="2675" spans="1:3" x14ac:dyDescent="0.6">
      <c r="A2675" s="24">
        <v>33431</v>
      </c>
      <c r="B2675" s="23">
        <v>1.422302</v>
      </c>
      <c r="C2675" s="32">
        <f t="shared" si="41"/>
        <v>0</v>
      </c>
    </row>
    <row r="2676" spans="1:3" x14ac:dyDescent="0.6">
      <c r="A2676" s="24">
        <v>33434</v>
      </c>
      <c r="B2676" s="23">
        <v>1.3842730000000001</v>
      </c>
      <c r="C2676" s="32">
        <f t="shared" si="41"/>
        <v>-2.6737640810460706E-2</v>
      </c>
    </row>
    <row r="2677" spans="1:3" x14ac:dyDescent="0.6">
      <c r="A2677" s="24">
        <v>33435</v>
      </c>
      <c r="B2677" s="23">
        <v>1.331032</v>
      </c>
      <c r="C2677" s="32">
        <f t="shared" si="41"/>
        <v>-3.8461343969000361E-2</v>
      </c>
    </row>
    <row r="2678" spans="1:3" x14ac:dyDescent="0.6">
      <c r="A2678" s="24">
        <v>33436</v>
      </c>
      <c r="B2678" s="23">
        <v>1.293002</v>
      </c>
      <c r="C2678" s="32">
        <f t="shared" si="41"/>
        <v>-2.8571814952608188E-2</v>
      </c>
    </row>
    <row r="2679" spans="1:3" x14ac:dyDescent="0.6">
      <c r="A2679" s="24">
        <v>33437</v>
      </c>
      <c r="B2679" s="23">
        <v>1.3652580000000001</v>
      </c>
      <c r="C2679" s="32">
        <f t="shared" si="41"/>
        <v>5.5882357490553147E-2</v>
      </c>
    </row>
    <row r="2680" spans="1:3" x14ac:dyDescent="0.6">
      <c r="A2680" s="24">
        <v>33438</v>
      </c>
      <c r="B2680" s="23">
        <v>1.3994850000000001</v>
      </c>
      <c r="C2680" s="32">
        <f t="shared" si="41"/>
        <v>2.5069986771731001E-2</v>
      </c>
    </row>
    <row r="2681" spans="1:3" x14ac:dyDescent="0.6">
      <c r="A2681" s="24">
        <v>33441</v>
      </c>
      <c r="B2681" s="23">
        <v>1.3994850000000001</v>
      </c>
      <c r="C2681" s="32">
        <f t="shared" si="41"/>
        <v>0</v>
      </c>
    </row>
    <row r="2682" spans="1:3" x14ac:dyDescent="0.6">
      <c r="A2682" s="24">
        <v>33442</v>
      </c>
      <c r="B2682" s="23">
        <v>1.3690610000000001</v>
      </c>
      <c r="C2682" s="32">
        <f t="shared" si="41"/>
        <v>-2.1739425574407778E-2</v>
      </c>
    </row>
    <row r="2683" spans="1:3" x14ac:dyDescent="0.6">
      <c r="A2683" s="24">
        <v>33443</v>
      </c>
      <c r="B2683" s="23">
        <v>1.3690610000000001</v>
      </c>
      <c r="C2683" s="32">
        <f t="shared" si="41"/>
        <v>0</v>
      </c>
    </row>
    <row r="2684" spans="1:3" x14ac:dyDescent="0.6">
      <c r="A2684" s="24">
        <v>33444</v>
      </c>
      <c r="B2684" s="23">
        <v>1.3766670000000001</v>
      </c>
      <c r="C2684" s="32">
        <f t="shared" si="41"/>
        <v>5.5556326562513636E-3</v>
      </c>
    </row>
    <row r="2685" spans="1:3" x14ac:dyDescent="0.6">
      <c r="A2685" s="24">
        <v>33445</v>
      </c>
      <c r="B2685" s="23">
        <v>1.3652580000000001</v>
      </c>
      <c r="C2685" s="32">
        <f t="shared" si="41"/>
        <v>-8.2874071943324079E-3</v>
      </c>
    </row>
    <row r="2686" spans="1:3" x14ac:dyDescent="0.6">
      <c r="A2686" s="24">
        <v>33448</v>
      </c>
      <c r="B2686" s="23">
        <v>1.3842730000000001</v>
      </c>
      <c r="C2686" s="32">
        <f t="shared" si="41"/>
        <v>1.3927770428739494E-2</v>
      </c>
    </row>
    <row r="2687" spans="1:3" x14ac:dyDescent="0.6">
      <c r="A2687" s="24">
        <v>33449</v>
      </c>
      <c r="B2687" s="23">
        <v>1.414696</v>
      </c>
      <c r="C2687" s="32">
        <f t="shared" si="41"/>
        <v>2.1977601239061784E-2</v>
      </c>
    </row>
    <row r="2688" spans="1:3" x14ac:dyDescent="0.6">
      <c r="A2688" s="24">
        <v>33450</v>
      </c>
      <c r="B2688" s="23">
        <v>1.40709</v>
      </c>
      <c r="C2688" s="32">
        <f t="shared" si="41"/>
        <v>-5.3764200930800365E-3</v>
      </c>
    </row>
    <row r="2689" spans="1:3" x14ac:dyDescent="0.6">
      <c r="A2689" s="24">
        <v>33451</v>
      </c>
      <c r="B2689" s="23">
        <v>1.4945580000000001</v>
      </c>
      <c r="C2689" s="32">
        <f t="shared" si="41"/>
        <v>6.2162335031874294E-2</v>
      </c>
    </row>
    <row r="2690" spans="1:3" x14ac:dyDescent="0.6">
      <c r="A2690" s="24">
        <v>33452</v>
      </c>
      <c r="B2690" s="23">
        <v>1.5211790000000001</v>
      </c>
      <c r="C2690" s="32">
        <f t="shared" si="41"/>
        <v>1.7811955106459498E-2</v>
      </c>
    </row>
    <row r="2691" spans="1:3" x14ac:dyDescent="0.6">
      <c r="A2691" s="24">
        <v>33455</v>
      </c>
      <c r="B2691" s="23">
        <v>1.475543</v>
      </c>
      <c r="C2691" s="32">
        <f t="shared" si="41"/>
        <v>-3.0000414152443589E-2</v>
      </c>
    </row>
    <row r="2692" spans="1:3" x14ac:dyDescent="0.6">
      <c r="A2692" s="24">
        <v>33456</v>
      </c>
      <c r="B2692" s="23">
        <v>1.5059670000000001</v>
      </c>
      <c r="C2692" s="32">
        <f t="shared" ref="C2692:C2755" si="42">B2692/B2691-1</f>
        <v>2.0618850145336376E-2</v>
      </c>
    </row>
    <row r="2693" spans="1:3" x14ac:dyDescent="0.6">
      <c r="A2693" s="24">
        <v>33457</v>
      </c>
      <c r="B2693" s="23">
        <v>1.5325880000000001</v>
      </c>
      <c r="C2693" s="32">
        <f t="shared" si="42"/>
        <v>1.7677014170961236E-2</v>
      </c>
    </row>
    <row r="2694" spans="1:3" x14ac:dyDescent="0.6">
      <c r="A2694" s="24">
        <v>33458</v>
      </c>
      <c r="B2694" s="23">
        <v>1.5363910000000001</v>
      </c>
      <c r="C2694" s="32">
        <f t="shared" si="42"/>
        <v>2.4814235789396566E-3</v>
      </c>
    </row>
    <row r="2695" spans="1:3" x14ac:dyDescent="0.6">
      <c r="A2695" s="24">
        <v>33459</v>
      </c>
      <c r="B2695" s="23">
        <v>1.5439970000000001</v>
      </c>
      <c r="C2695" s="32">
        <f t="shared" si="42"/>
        <v>4.9505627148298537E-3</v>
      </c>
    </row>
    <row r="2696" spans="1:3" x14ac:dyDescent="0.6">
      <c r="A2696" s="24">
        <v>33462</v>
      </c>
      <c r="B2696" s="23">
        <v>1.5744199999999999</v>
      </c>
      <c r="C2696" s="32">
        <f t="shared" si="42"/>
        <v>1.9704053829119994E-2</v>
      </c>
    </row>
    <row r="2697" spans="1:3" x14ac:dyDescent="0.6">
      <c r="A2697" s="24">
        <v>33463</v>
      </c>
      <c r="B2697" s="23">
        <v>1.627661</v>
      </c>
      <c r="C2697" s="32">
        <f t="shared" si="42"/>
        <v>3.3816262496665583E-2</v>
      </c>
    </row>
    <row r="2698" spans="1:3" x14ac:dyDescent="0.6">
      <c r="A2698" s="24">
        <v>33464</v>
      </c>
      <c r="B2698" s="23">
        <v>1.669494</v>
      </c>
      <c r="C2698" s="32">
        <f t="shared" si="42"/>
        <v>2.5701297751804519E-2</v>
      </c>
    </row>
    <row r="2699" spans="1:3" x14ac:dyDescent="0.6">
      <c r="A2699" s="24">
        <v>33465</v>
      </c>
      <c r="B2699" s="23">
        <v>1.620055</v>
      </c>
      <c r="C2699" s="32">
        <f t="shared" si="42"/>
        <v>-2.9613164228203259E-2</v>
      </c>
    </row>
    <row r="2700" spans="1:3" x14ac:dyDescent="0.6">
      <c r="A2700" s="24">
        <v>33466</v>
      </c>
      <c r="B2700" s="23">
        <v>1.620055</v>
      </c>
      <c r="C2700" s="32">
        <f t="shared" si="42"/>
        <v>0</v>
      </c>
    </row>
    <row r="2701" spans="1:3" x14ac:dyDescent="0.6">
      <c r="A2701" s="24">
        <v>33469</v>
      </c>
      <c r="B2701" s="23">
        <v>1.5398639999999999</v>
      </c>
      <c r="C2701" s="32">
        <f t="shared" si="42"/>
        <v>-4.9498936764492685E-2</v>
      </c>
    </row>
    <row r="2702" spans="1:3" x14ac:dyDescent="0.6">
      <c r="A2702" s="24">
        <v>33470</v>
      </c>
      <c r="B2702" s="23">
        <v>1.5551109999999999</v>
      </c>
      <c r="C2702" s="32">
        <f t="shared" si="42"/>
        <v>9.9015237709303427E-3</v>
      </c>
    </row>
    <row r="2703" spans="1:3" x14ac:dyDescent="0.6">
      <c r="A2703" s="24">
        <v>33471</v>
      </c>
      <c r="B2703" s="23">
        <v>1.6389640000000001</v>
      </c>
      <c r="C2703" s="32">
        <f t="shared" si="42"/>
        <v>5.3920909825729613E-2</v>
      </c>
    </row>
    <row r="2704" spans="1:3" x14ac:dyDescent="0.6">
      <c r="A2704" s="24">
        <v>33472</v>
      </c>
      <c r="B2704" s="23">
        <v>1.6542110000000001</v>
      </c>
      <c r="C2704" s="32">
        <f t="shared" si="42"/>
        <v>9.3028278839559775E-3</v>
      </c>
    </row>
    <row r="2705" spans="1:3" x14ac:dyDescent="0.6">
      <c r="A2705" s="24">
        <v>33473</v>
      </c>
      <c r="B2705" s="23">
        <v>1.6160950000000001</v>
      </c>
      <c r="C2705" s="32">
        <f t="shared" si="42"/>
        <v>-2.3041800592548345E-2</v>
      </c>
    </row>
    <row r="2706" spans="1:3" x14ac:dyDescent="0.6">
      <c r="A2706" s="24">
        <v>33476</v>
      </c>
      <c r="B2706" s="23">
        <v>1.6160950000000001</v>
      </c>
      <c r="C2706" s="32">
        <f t="shared" si="42"/>
        <v>0</v>
      </c>
    </row>
    <row r="2707" spans="1:3" x14ac:dyDescent="0.6">
      <c r="A2707" s="24">
        <v>33477</v>
      </c>
      <c r="B2707" s="23">
        <v>1.6465879999999999</v>
      </c>
      <c r="C2707" s="32">
        <f t="shared" si="42"/>
        <v>1.8868321478625827E-2</v>
      </c>
    </row>
    <row r="2708" spans="1:3" x14ac:dyDescent="0.6">
      <c r="A2708" s="24">
        <v>33478</v>
      </c>
      <c r="B2708" s="23">
        <v>1.623718</v>
      </c>
      <c r="C2708" s="32">
        <f t="shared" si="42"/>
        <v>-1.3889327506334315E-2</v>
      </c>
    </row>
    <row r="2709" spans="1:3" x14ac:dyDescent="0.6">
      <c r="A2709" s="24">
        <v>33479</v>
      </c>
      <c r="B2709" s="23">
        <v>1.6160950000000001</v>
      </c>
      <c r="C2709" s="32">
        <f t="shared" si="42"/>
        <v>-4.6947807439469136E-3</v>
      </c>
    </row>
    <row r="2710" spans="1:3" x14ac:dyDescent="0.6">
      <c r="A2710" s="24">
        <v>33480</v>
      </c>
      <c r="B2710" s="23">
        <v>1.6160950000000001</v>
      </c>
      <c r="C2710" s="32">
        <f t="shared" si="42"/>
        <v>0</v>
      </c>
    </row>
    <row r="2711" spans="1:3" x14ac:dyDescent="0.6">
      <c r="A2711" s="24">
        <v>33484</v>
      </c>
      <c r="B2711" s="23">
        <v>1.600849</v>
      </c>
      <c r="C2711" s="32">
        <f t="shared" si="42"/>
        <v>-9.433851351560496E-3</v>
      </c>
    </row>
    <row r="2712" spans="1:3" x14ac:dyDescent="0.6">
      <c r="A2712" s="24">
        <v>33485</v>
      </c>
      <c r="B2712" s="23">
        <v>1.570357</v>
      </c>
      <c r="C2712" s="32">
        <f t="shared" si="42"/>
        <v>-1.9047392977101452E-2</v>
      </c>
    </row>
    <row r="2713" spans="1:3" x14ac:dyDescent="0.6">
      <c r="A2713" s="24">
        <v>33486</v>
      </c>
      <c r="B2713" s="23">
        <v>1.5551109999999999</v>
      </c>
      <c r="C2713" s="32">
        <f t="shared" si="42"/>
        <v>-9.7086203965086604E-3</v>
      </c>
    </row>
    <row r="2714" spans="1:3" x14ac:dyDescent="0.6">
      <c r="A2714" s="24">
        <v>33487</v>
      </c>
      <c r="B2714" s="23">
        <v>1.570357</v>
      </c>
      <c r="C2714" s="32">
        <f t="shared" si="42"/>
        <v>9.8038017864963134E-3</v>
      </c>
    </row>
    <row r="2715" spans="1:3" x14ac:dyDescent="0.6">
      <c r="A2715" s="24">
        <v>33490</v>
      </c>
      <c r="B2715" s="23">
        <v>1.623718</v>
      </c>
      <c r="C2715" s="32">
        <f t="shared" si="42"/>
        <v>3.3980171387779867E-2</v>
      </c>
    </row>
    <row r="2716" spans="1:3" x14ac:dyDescent="0.6">
      <c r="A2716" s="24">
        <v>33491</v>
      </c>
      <c r="B2716" s="23">
        <v>1.52843</v>
      </c>
      <c r="C2716" s="32">
        <f t="shared" si="42"/>
        <v>-5.8685067234581445E-2</v>
      </c>
    </row>
    <row r="2717" spans="1:3" x14ac:dyDescent="0.6">
      <c r="A2717" s="24">
        <v>33492</v>
      </c>
      <c r="B2717" s="23">
        <v>1.5398639999999999</v>
      </c>
      <c r="C2717" s="32">
        <f t="shared" si="42"/>
        <v>7.4808790719889107E-3</v>
      </c>
    </row>
    <row r="2718" spans="1:3" x14ac:dyDescent="0.6">
      <c r="A2718" s="24">
        <v>33493</v>
      </c>
      <c r="B2718" s="23">
        <v>1.543676</v>
      </c>
      <c r="C2718" s="32">
        <f t="shared" si="42"/>
        <v>2.4755432947325406E-3</v>
      </c>
    </row>
    <row r="2719" spans="1:3" x14ac:dyDescent="0.6">
      <c r="A2719" s="24">
        <v>33494</v>
      </c>
      <c r="B2719" s="23">
        <v>1.482691</v>
      </c>
      <c r="C2719" s="32">
        <f t="shared" si="42"/>
        <v>-3.9506347186844981E-2</v>
      </c>
    </row>
    <row r="2720" spans="1:3" x14ac:dyDescent="0.6">
      <c r="A2720" s="24">
        <v>33497</v>
      </c>
      <c r="B2720" s="23">
        <v>1.4407650000000001</v>
      </c>
      <c r="C2720" s="32">
        <f t="shared" si="42"/>
        <v>-2.8276963979682823E-2</v>
      </c>
    </row>
    <row r="2721" spans="1:3" x14ac:dyDescent="0.6">
      <c r="A2721" s="24">
        <v>33498</v>
      </c>
      <c r="B2721" s="23">
        <v>1.4941260000000001</v>
      </c>
      <c r="C2721" s="32">
        <f t="shared" si="42"/>
        <v>3.7036574319892601E-2</v>
      </c>
    </row>
    <row r="2722" spans="1:3" x14ac:dyDescent="0.6">
      <c r="A2722" s="24">
        <v>33499</v>
      </c>
      <c r="B2722" s="23">
        <v>1.52843</v>
      </c>
      <c r="C2722" s="32">
        <f t="shared" si="42"/>
        <v>2.2959241723924162E-2</v>
      </c>
    </row>
    <row r="2723" spans="1:3" x14ac:dyDescent="0.6">
      <c r="A2723" s="24">
        <v>33500</v>
      </c>
      <c r="B2723" s="23">
        <v>1.5169950000000001</v>
      </c>
      <c r="C2723" s="32">
        <f t="shared" si="42"/>
        <v>-7.4815333381311744E-3</v>
      </c>
    </row>
    <row r="2724" spans="1:3" x14ac:dyDescent="0.6">
      <c r="A2724" s="24">
        <v>33501</v>
      </c>
      <c r="B2724" s="23">
        <v>1.543676</v>
      </c>
      <c r="C2724" s="32">
        <f t="shared" si="42"/>
        <v>1.758806060665985E-2</v>
      </c>
    </row>
    <row r="2725" spans="1:3" x14ac:dyDescent="0.6">
      <c r="A2725" s="24">
        <v>33504</v>
      </c>
      <c r="B2725" s="23">
        <v>1.5093719999999999</v>
      </c>
      <c r="C2725" s="32">
        <f t="shared" si="42"/>
        <v>-2.2222279804829603E-2</v>
      </c>
    </row>
    <row r="2726" spans="1:3" x14ac:dyDescent="0.6">
      <c r="A2726" s="24">
        <v>33505</v>
      </c>
      <c r="B2726" s="23">
        <v>1.532241</v>
      </c>
      <c r="C2726" s="32">
        <f t="shared" si="42"/>
        <v>1.5151334462279786E-2</v>
      </c>
    </row>
    <row r="2727" spans="1:3" x14ac:dyDescent="0.6">
      <c r="A2727" s="24">
        <v>33506</v>
      </c>
      <c r="B2727" s="23">
        <v>1.5398639999999999</v>
      </c>
      <c r="C2727" s="32">
        <f t="shared" si="42"/>
        <v>4.9750659328395841E-3</v>
      </c>
    </row>
    <row r="2728" spans="1:3" x14ac:dyDescent="0.6">
      <c r="A2728" s="24">
        <v>33507</v>
      </c>
      <c r="B2728" s="23">
        <v>1.524618</v>
      </c>
      <c r="C2728" s="32">
        <f t="shared" si="42"/>
        <v>-9.9008743629306339E-3</v>
      </c>
    </row>
    <row r="2729" spans="1:3" x14ac:dyDescent="0.6">
      <c r="A2729" s="24">
        <v>33508</v>
      </c>
      <c r="B2729" s="23">
        <v>1.4941260000000001</v>
      </c>
      <c r="C2729" s="32">
        <f t="shared" si="42"/>
        <v>-1.9999763875278909E-2</v>
      </c>
    </row>
    <row r="2730" spans="1:3" x14ac:dyDescent="0.6">
      <c r="A2730" s="24">
        <v>33511</v>
      </c>
      <c r="B2730" s="23">
        <v>1.5093719999999999</v>
      </c>
      <c r="C2730" s="32">
        <f t="shared" si="42"/>
        <v>1.0203958702277971E-2</v>
      </c>
    </row>
    <row r="2731" spans="1:3" x14ac:dyDescent="0.6">
      <c r="A2731" s="24">
        <v>33512</v>
      </c>
      <c r="B2731" s="23">
        <v>1.5474870000000001</v>
      </c>
      <c r="C2731" s="32">
        <f t="shared" si="42"/>
        <v>2.525222410379957E-2</v>
      </c>
    </row>
    <row r="2732" spans="1:3" x14ac:dyDescent="0.6">
      <c r="A2732" s="24">
        <v>33513</v>
      </c>
      <c r="B2732" s="23">
        <v>1.5169950000000001</v>
      </c>
      <c r="C2732" s="32">
        <f t="shared" si="42"/>
        <v>-1.9704204300262318E-2</v>
      </c>
    </row>
    <row r="2733" spans="1:3" x14ac:dyDescent="0.6">
      <c r="A2733" s="24">
        <v>33514</v>
      </c>
      <c r="B2733" s="23">
        <v>1.4560109999999999</v>
      </c>
      <c r="C2733" s="32">
        <f t="shared" si="42"/>
        <v>-4.0200528017561132E-2</v>
      </c>
    </row>
    <row r="2734" spans="1:3" x14ac:dyDescent="0.6">
      <c r="A2734" s="24">
        <v>33515</v>
      </c>
      <c r="B2734" s="23">
        <v>1.4712559999999999</v>
      </c>
      <c r="C2734" s="32">
        <f t="shared" si="42"/>
        <v>1.0470387929761404E-2</v>
      </c>
    </row>
    <row r="2735" spans="1:3" x14ac:dyDescent="0.6">
      <c r="A2735" s="24">
        <v>33518</v>
      </c>
      <c r="B2735" s="23">
        <v>1.4674450000000001</v>
      </c>
      <c r="C2735" s="32">
        <f t="shared" si="42"/>
        <v>-2.5903037948526997E-3</v>
      </c>
    </row>
    <row r="2736" spans="1:3" x14ac:dyDescent="0.6">
      <c r="A2736" s="24">
        <v>33519</v>
      </c>
      <c r="B2736" s="23">
        <v>1.4712559999999999</v>
      </c>
      <c r="C2736" s="32">
        <f t="shared" si="42"/>
        <v>2.5970308938323416E-3</v>
      </c>
    </row>
    <row r="2737" spans="1:3" x14ac:dyDescent="0.6">
      <c r="A2737" s="24">
        <v>33520</v>
      </c>
      <c r="B2737" s="23">
        <v>1.463633</v>
      </c>
      <c r="C2737" s="32">
        <f t="shared" si="42"/>
        <v>-5.1812872810713673E-3</v>
      </c>
    </row>
    <row r="2738" spans="1:3" x14ac:dyDescent="0.6">
      <c r="A2738" s="24">
        <v>33521</v>
      </c>
      <c r="B2738" s="23">
        <v>1.4560109999999999</v>
      </c>
      <c r="C2738" s="32">
        <f t="shared" si="42"/>
        <v>-5.207589607504115E-3</v>
      </c>
    </row>
    <row r="2739" spans="1:3" x14ac:dyDescent="0.6">
      <c r="A2739" s="24">
        <v>33522</v>
      </c>
      <c r="B2739" s="23">
        <v>1.47888</v>
      </c>
      <c r="C2739" s="32">
        <f t="shared" si="42"/>
        <v>1.5706612106639373E-2</v>
      </c>
    </row>
    <row r="2740" spans="1:3" x14ac:dyDescent="0.6">
      <c r="A2740" s="24">
        <v>33525</v>
      </c>
      <c r="B2740" s="23">
        <v>1.5208060000000001</v>
      </c>
      <c r="C2740" s="32">
        <f t="shared" si="42"/>
        <v>2.8349832305528677E-2</v>
      </c>
    </row>
    <row r="2741" spans="1:3" x14ac:dyDescent="0.6">
      <c r="A2741" s="24">
        <v>33526</v>
      </c>
      <c r="B2741" s="23">
        <v>1.600849</v>
      </c>
      <c r="C2741" s="32">
        <f t="shared" si="42"/>
        <v>5.2631959631932013E-2</v>
      </c>
    </row>
    <row r="2742" spans="1:3" x14ac:dyDescent="0.6">
      <c r="A2742" s="24">
        <v>33527</v>
      </c>
      <c r="B2742" s="23">
        <v>1.6313409999999999</v>
      </c>
      <c r="C2742" s="32">
        <f t="shared" si="42"/>
        <v>1.9047392977101563E-2</v>
      </c>
    </row>
    <row r="2743" spans="1:3" x14ac:dyDescent="0.6">
      <c r="A2743" s="24">
        <v>33528</v>
      </c>
      <c r="B2743" s="23">
        <v>1.597037</v>
      </c>
      <c r="C2743" s="32">
        <f t="shared" si="42"/>
        <v>-2.1028098968885023E-2</v>
      </c>
    </row>
    <row r="2744" spans="1:3" x14ac:dyDescent="0.6">
      <c r="A2744" s="24">
        <v>33529</v>
      </c>
      <c r="B2744" s="23">
        <v>1.6770799999999999</v>
      </c>
      <c r="C2744" s="32">
        <f t="shared" si="42"/>
        <v>5.0119690401662531E-2</v>
      </c>
    </row>
    <row r="2745" spans="1:3" x14ac:dyDescent="0.6">
      <c r="A2745" s="24">
        <v>33532</v>
      </c>
      <c r="B2745" s="23">
        <v>1.669457</v>
      </c>
      <c r="C2745" s="32">
        <f t="shared" si="42"/>
        <v>-4.5454003386838915E-3</v>
      </c>
    </row>
    <row r="2746" spans="1:3" x14ac:dyDescent="0.6">
      <c r="A2746" s="24">
        <v>33533</v>
      </c>
      <c r="B2746" s="23">
        <v>1.661834</v>
      </c>
      <c r="C2746" s="32">
        <f t="shared" si="42"/>
        <v>-4.5661553427251977E-3</v>
      </c>
    </row>
    <row r="2747" spans="1:3" x14ac:dyDescent="0.6">
      <c r="A2747" s="24">
        <v>33534</v>
      </c>
      <c r="B2747" s="23">
        <v>1.619907</v>
      </c>
      <c r="C2747" s="32">
        <f t="shared" si="42"/>
        <v>-2.5229355037867829E-2</v>
      </c>
    </row>
    <row r="2748" spans="1:3" x14ac:dyDescent="0.6">
      <c r="A2748" s="24">
        <v>33535</v>
      </c>
      <c r="B2748" s="23">
        <v>1.589415</v>
      </c>
      <c r="C2748" s="32">
        <f t="shared" si="42"/>
        <v>-1.8823302819235943E-2</v>
      </c>
    </row>
    <row r="2749" spans="1:3" x14ac:dyDescent="0.6">
      <c r="A2749" s="24">
        <v>33536</v>
      </c>
      <c r="B2749" s="23">
        <v>1.5627329999999999</v>
      </c>
      <c r="C2749" s="32">
        <f t="shared" si="42"/>
        <v>-1.6787308538047108E-2</v>
      </c>
    </row>
    <row r="2750" spans="1:3" x14ac:dyDescent="0.6">
      <c r="A2750" s="24">
        <v>33539</v>
      </c>
      <c r="B2750" s="23">
        <v>1.570357</v>
      </c>
      <c r="C2750" s="32">
        <f t="shared" si="42"/>
        <v>4.8786324983218776E-3</v>
      </c>
    </row>
    <row r="2751" spans="1:3" x14ac:dyDescent="0.6">
      <c r="A2751" s="24">
        <v>33540</v>
      </c>
      <c r="B2751" s="23">
        <v>1.5779799999999999</v>
      </c>
      <c r="C2751" s="32">
        <f t="shared" si="42"/>
        <v>4.8543101982543302E-3</v>
      </c>
    </row>
    <row r="2752" spans="1:3" x14ac:dyDescent="0.6">
      <c r="A2752" s="24">
        <v>33541</v>
      </c>
      <c r="B2752" s="23">
        <v>1.5169950000000001</v>
      </c>
      <c r="C2752" s="32">
        <f t="shared" si="42"/>
        <v>-3.8647511375302535E-2</v>
      </c>
    </row>
    <row r="2753" spans="1:3" x14ac:dyDescent="0.6">
      <c r="A2753" s="24">
        <v>33542</v>
      </c>
      <c r="B2753" s="23">
        <v>1.570357</v>
      </c>
      <c r="C2753" s="32">
        <f t="shared" si="42"/>
        <v>3.51761212133197E-2</v>
      </c>
    </row>
    <row r="2754" spans="1:3" x14ac:dyDescent="0.6">
      <c r="A2754" s="24">
        <v>33543</v>
      </c>
      <c r="B2754" s="23">
        <v>1.5551109999999999</v>
      </c>
      <c r="C2754" s="32">
        <f t="shared" si="42"/>
        <v>-9.7086203965086604E-3</v>
      </c>
    </row>
    <row r="2755" spans="1:3" x14ac:dyDescent="0.6">
      <c r="A2755" s="24">
        <v>33546</v>
      </c>
      <c r="B2755" s="23">
        <v>1.5169950000000001</v>
      </c>
      <c r="C2755" s="32">
        <f t="shared" si="42"/>
        <v>-2.45101475071553E-2</v>
      </c>
    </row>
    <row r="2756" spans="1:3" x14ac:dyDescent="0.6">
      <c r="A2756" s="24">
        <v>33547</v>
      </c>
      <c r="B2756" s="23">
        <v>1.486502</v>
      </c>
      <c r="C2756" s="32">
        <f t="shared" ref="C2756:C2819" si="43">B2756/B2755-1</f>
        <v>-2.01009232067344E-2</v>
      </c>
    </row>
    <row r="2757" spans="1:3" x14ac:dyDescent="0.6">
      <c r="A2757" s="24">
        <v>33548</v>
      </c>
      <c r="B2757" s="23">
        <v>1.463633</v>
      </c>
      <c r="C2757" s="32">
        <f t="shared" si="43"/>
        <v>-1.5384439442395648E-2</v>
      </c>
    </row>
    <row r="2758" spans="1:3" x14ac:dyDescent="0.6">
      <c r="A2758" s="24">
        <v>33549</v>
      </c>
      <c r="B2758" s="23">
        <v>1.5169950000000001</v>
      </c>
      <c r="C2758" s="32">
        <f t="shared" si="43"/>
        <v>3.6458593103599224E-2</v>
      </c>
    </row>
    <row r="2759" spans="1:3" x14ac:dyDescent="0.6">
      <c r="A2759" s="24">
        <v>33550</v>
      </c>
      <c r="B2759" s="23">
        <v>1.623718</v>
      </c>
      <c r="C2759" s="32">
        <f t="shared" si="43"/>
        <v>7.0351583228685621E-2</v>
      </c>
    </row>
    <row r="2760" spans="1:3" x14ac:dyDescent="0.6">
      <c r="A2760" s="24">
        <v>33553</v>
      </c>
      <c r="B2760" s="23">
        <v>1.6389640000000001</v>
      </c>
      <c r="C2760" s="32">
        <f t="shared" si="43"/>
        <v>9.3895614878938272E-3</v>
      </c>
    </row>
    <row r="2761" spans="1:3" x14ac:dyDescent="0.6">
      <c r="A2761" s="24">
        <v>33554</v>
      </c>
      <c r="B2761" s="23">
        <v>1.661834</v>
      </c>
      <c r="C2761" s="32">
        <f t="shared" si="43"/>
        <v>1.395393675516976E-2</v>
      </c>
    </row>
    <row r="2762" spans="1:3" x14ac:dyDescent="0.6">
      <c r="A2762" s="24">
        <v>33555</v>
      </c>
      <c r="B2762" s="23">
        <v>1.6503989999999999</v>
      </c>
      <c r="C2762" s="32">
        <f t="shared" si="43"/>
        <v>-6.8809520084437414E-3</v>
      </c>
    </row>
    <row r="2763" spans="1:3" x14ac:dyDescent="0.6">
      <c r="A2763" s="24">
        <v>33556</v>
      </c>
      <c r="B2763" s="23">
        <v>1.669457</v>
      </c>
      <c r="C2763" s="32">
        <f t="shared" si="43"/>
        <v>1.1547510632277325E-2</v>
      </c>
    </row>
    <row r="2764" spans="1:3" x14ac:dyDescent="0.6">
      <c r="A2764" s="24">
        <v>33557</v>
      </c>
      <c r="B2764" s="23">
        <v>1.524618</v>
      </c>
      <c r="C2764" s="32">
        <f t="shared" si="43"/>
        <v>-8.6758149506096838E-2</v>
      </c>
    </row>
    <row r="2765" spans="1:3" x14ac:dyDescent="0.6">
      <c r="A2765" s="24">
        <v>33560</v>
      </c>
      <c r="B2765" s="23">
        <v>1.593242</v>
      </c>
      <c r="C2765" s="32">
        <f t="shared" si="43"/>
        <v>4.5010619053428513E-2</v>
      </c>
    </row>
    <row r="2766" spans="1:3" x14ac:dyDescent="0.6">
      <c r="A2766" s="24">
        <v>33561</v>
      </c>
      <c r="B2766" s="23">
        <v>1.5664979999999999</v>
      </c>
      <c r="C2766" s="32">
        <f t="shared" si="43"/>
        <v>-1.6785899442771424E-2</v>
      </c>
    </row>
    <row r="2767" spans="1:3" x14ac:dyDescent="0.6">
      <c r="A2767" s="24">
        <v>33562</v>
      </c>
      <c r="B2767" s="23">
        <v>1.5435730000000001</v>
      </c>
      <c r="C2767" s="32">
        <f t="shared" si="43"/>
        <v>-1.4634554273289746E-2</v>
      </c>
    </row>
    <row r="2768" spans="1:3" x14ac:dyDescent="0.6">
      <c r="A2768" s="24">
        <v>33563</v>
      </c>
      <c r="B2768" s="23">
        <v>1.558856</v>
      </c>
      <c r="C2768" s="32">
        <f t="shared" si="43"/>
        <v>9.9010542423325631E-3</v>
      </c>
    </row>
    <row r="2769" spans="1:3" x14ac:dyDescent="0.6">
      <c r="A2769" s="24">
        <v>33564</v>
      </c>
      <c r="B2769" s="23">
        <v>1.5664979999999999</v>
      </c>
      <c r="C2769" s="32">
        <f t="shared" si="43"/>
        <v>4.9023129782352903E-3</v>
      </c>
    </row>
    <row r="2770" spans="1:3" x14ac:dyDescent="0.6">
      <c r="A2770" s="24">
        <v>33567</v>
      </c>
      <c r="B2770" s="23">
        <v>1.5664979999999999</v>
      </c>
      <c r="C2770" s="32">
        <f t="shared" si="43"/>
        <v>0</v>
      </c>
    </row>
    <row r="2771" spans="1:3" x14ac:dyDescent="0.6">
      <c r="A2771" s="24">
        <v>33568</v>
      </c>
      <c r="B2771" s="23">
        <v>1.574138</v>
      </c>
      <c r="C2771" s="32">
        <f t="shared" si="43"/>
        <v>4.8771208134323896E-3</v>
      </c>
    </row>
    <row r="2772" spans="1:3" x14ac:dyDescent="0.6">
      <c r="A2772" s="24">
        <v>33569</v>
      </c>
      <c r="B2772" s="23">
        <v>1.558856</v>
      </c>
      <c r="C2772" s="32">
        <f t="shared" si="43"/>
        <v>-9.7081704399487601E-3</v>
      </c>
    </row>
    <row r="2773" spans="1:3" x14ac:dyDescent="0.6">
      <c r="A2773" s="24">
        <v>33571</v>
      </c>
      <c r="B2773" s="23">
        <v>1.5512140000000001</v>
      </c>
      <c r="C2773" s="32">
        <f t="shared" si="43"/>
        <v>-4.9023129782352903E-3</v>
      </c>
    </row>
    <row r="2774" spans="1:3" x14ac:dyDescent="0.6">
      <c r="A2774" s="24">
        <v>33574</v>
      </c>
      <c r="B2774" s="23">
        <v>1.58178</v>
      </c>
      <c r="C2774" s="32">
        <f t="shared" si="43"/>
        <v>1.9704566874718665E-2</v>
      </c>
    </row>
    <row r="2775" spans="1:3" x14ac:dyDescent="0.6">
      <c r="A2775" s="24">
        <v>33575</v>
      </c>
      <c r="B2775" s="23">
        <v>1.5435730000000001</v>
      </c>
      <c r="C2775" s="32">
        <f t="shared" si="43"/>
        <v>-2.4154433612765258E-2</v>
      </c>
    </row>
    <row r="2776" spans="1:3" x14ac:dyDescent="0.6">
      <c r="A2776" s="24">
        <v>33576</v>
      </c>
      <c r="B2776" s="23">
        <v>1.5435730000000001</v>
      </c>
      <c r="C2776" s="32">
        <f t="shared" si="43"/>
        <v>0</v>
      </c>
    </row>
    <row r="2777" spans="1:3" x14ac:dyDescent="0.6">
      <c r="A2777" s="24">
        <v>33577</v>
      </c>
      <c r="B2777" s="23">
        <v>1.5282899999999999</v>
      </c>
      <c r="C2777" s="32">
        <f t="shared" si="43"/>
        <v>-9.9010542423326742E-3</v>
      </c>
    </row>
    <row r="2778" spans="1:3" x14ac:dyDescent="0.6">
      <c r="A2778" s="24">
        <v>33578</v>
      </c>
      <c r="B2778" s="23">
        <v>1.4900819999999999</v>
      </c>
      <c r="C2778" s="32">
        <f t="shared" si="43"/>
        <v>-2.500049074455768E-2</v>
      </c>
    </row>
    <row r="2779" spans="1:3" x14ac:dyDescent="0.6">
      <c r="A2779" s="24">
        <v>33581</v>
      </c>
      <c r="B2779" s="23">
        <v>1.501544</v>
      </c>
      <c r="C2779" s="32">
        <f t="shared" si="43"/>
        <v>7.6921941208605293E-3</v>
      </c>
    </row>
    <row r="2780" spans="1:3" x14ac:dyDescent="0.6">
      <c r="A2780" s="24">
        <v>33582</v>
      </c>
      <c r="B2780" s="23">
        <v>1.501544</v>
      </c>
      <c r="C2780" s="32">
        <f t="shared" si="43"/>
        <v>0</v>
      </c>
    </row>
    <row r="2781" spans="1:3" x14ac:dyDescent="0.6">
      <c r="A2781" s="24">
        <v>33583</v>
      </c>
      <c r="B2781" s="23">
        <v>1.4977240000000001</v>
      </c>
      <c r="C2781" s="32">
        <f t="shared" si="43"/>
        <v>-2.5440479932655746E-3</v>
      </c>
    </row>
    <row r="2782" spans="1:3" x14ac:dyDescent="0.6">
      <c r="A2782" s="24">
        <v>33584</v>
      </c>
      <c r="B2782" s="23">
        <v>1.5091859999999999</v>
      </c>
      <c r="C2782" s="32">
        <f t="shared" si="43"/>
        <v>7.6529454024907295E-3</v>
      </c>
    </row>
    <row r="2783" spans="1:3" x14ac:dyDescent="0.6">
      <c r="A2783" s="24">
        <v>33585</v>
      </c>
      <c r="B2783" s="23">
        <v>1.539752</v>
      </c>
      <c r="C2783" s="32">
        <f t="shared" si="43"/>
        <v>2.0253302111204352E-2</v>
      </c>
    </row>
    <row r="2784" spans="1:3" x14ac:dyDescent="0.6">
      <c r="A2784" s="24">
        <v>33588</v>
      </c>
      <c r="B2784" s="23">
        <v>1.5435730000000001</v>
      </c>
      <c r="C2784" s="32">
        <f t="shared" si="43"/>
        <v>2.481568460375394E-3</v>
      </c>
    </row>
    <row r="2785" spans="1:3" x14ac:dyDescent="0.6">
      <c r="A2785" s="24">
        <v>33589</v>
      </c>
      <c r="B2785" s="23">
        <v>1.5435730000000001</v>
      </c>
      <c r="C2785" s="32">
        <f t="shared" si="43"/>
        <v>0</v>
      </c>
    </row>
    <row r="2786" spans="1:3" x14ac:dyDescent="0.6">
      <c r="A2786" s="24">
        <v>33590</v>
      </c>
      <c r="B2786" s="23">
        <v>1.58178</v>
      </c>
      <c r="C2786" s="32">
        <f t="shared" si="43"/>
        <v>2.4752311682051831E-2</v>
      </c>
    </row>
    <row r="2787" spans="1:3" x14ac:dyDescent="0.6">
      <c r="A2787" s="24">
        <v>33591</v>
      </c>
      <c r="B2787" s="23">
        <v>1.5512140000000001</v>
      </c>
      <c r="C2787" s="32">
        <f t="shared" si="43"/>
        <v>-1.9323799769879413E-2</v>
      </c>
    </row>
    <row r="2788" spans="1:3" x14ac:dyDescent="0.6">
      <c r="A2788" s="24">
        <v>33592</v>
      </c>
      <c r="B2788" s="23">
        <v>1.5359309999999999</v>
      </c>
      <c r="C2788" s="32">
        <f t="shared" si="43"/>
        <v>-9.8522834373594437E-3</v>
      </c>
    </row>
    <row r="2789" spans="1:3" x14ac:dyDescent="0.6">
      <c r="A2789" s="24">
        <v>33595</v>
      </c>
      <c r="B2789" s="23">
        <v>1.574138</v>
      </c>
      <c r="C2789" s="32">
        <f t="shared" si="43"/>
        <v>2.4875466410926084E-2</v>
      </c>
    </row>
    <row r="2790" spans="1:3" x14ac:dyDescent="0.6">
      <c r="A2790" s="24">
        <v>33596</v>
      </c>
      <c r="B2790" s="23">
        <v>1.5970629999999999</v>
      </c>
      <c r="C2790" s="32">
        <f t="shared" si="43"/>
        <v>1.456352619655954E-2</v>
      </c>
    </row>
    <row r="2791" spans="1:3" x14ac:dyDescent="0.6">
      <c r="A2791" s="24">
        <v>33598</v>
      </c>
      <c r="B2791" s="23">
        <v>1.677298</v>
      </c>
      <c r="C2791" s="32">
        <f t="shared" si="43"/>
        <v>5.0239095139014589E-2</v>
      </c>
    </row>
    <row r="2792" spans="1:3" x14ac:dyDescent="0.6">
      <c r="A2792" s="24">
        <v>33599</v>
      </c>
      <c r="B2792" s="23">
        <v>1.681119</v>
      </c>
      <c r="C2792" s="32">
        <f t="shared" si="43"/>
        <v>2.2780686556593821E-3</v>
      </c>
    </row>
    <row r="2793" spans="1:3" x14ac:dyDescent="0.6">
      <c r="A2793" s="24">
        <v>33602</v>
      </c>
      <c r="B2793" s="23">
        <v>1.7346090000000001</v>
      </c>
      <c r="C2793" s="32">
        <f t="shared" si="43"/>
        <v>3.1818092591898717E-2</v>
      </c>
    </row>
    <row r="2794" spans="1:3" x14ac:dyDescent="0.6">
      <c r="A2794" s="24">
        <v>33603</v>
      </c>
      <c r="B2794" s="23">
        <v>1.7231460000000001</v>
      </c>
      <c r="C2794" s="32">
        <f t="shared" si="43"/>
        <v>-6.6084056983447548E-3</v>
      </c>
    </row>
    <row r="2795" spans="1:3" x14ac:dyDescent="0.6">
      <c r="A2795" s="24">
        <v>33605</v>
      </c>
      <c r="B2795" s="23">
        <v>1.818665</v>
      </c>
      <c r="C2795" s="32">
        <f t="shared" si="43"/>
        <v>5.5432911662737672E-2</v>
      </c>
    </row>
    <row r="2796" spans="1:3" x14ac:dyDescent="0.6">
      <c r="A2796" s="24">
        <v>33606</v>
      </c>
      <c r="B2796" s="23">
        <v>1.803382</v>
      </c>
      <c r="C2796" s="32">
        <f t="shared" si="43"/>
        <v>-8.403416791987528E-3</v>
      </c>
    </row>
    <row r="2797" spans="1:3" x14ac:dyDescent="0.6">
      <c r="A2797" s="24">
        <v>33609</v>
      </c>
      <c r="B2797" s="23">
        <v>1.7728159999999999</v>
      </c>
      <c r="C2797" s="32">
        <f t="shared" si="43"/>
        <v>-1.6949265324817553E-2</v>
      </c>
    </row>
    <row r="2798" spans="1:3" x14ac:dyDescent="0.6">
      <c r="A2798" s="24">
        <v>33610</v>
      </c>
      <c r="B2798" s="23">
        <v>1.8072029999999999</v>
      </c>
      <c r="C2798" s="32">
        <f t="shared" si="43"/>
        <v>1.9396824035884164E-2</v>
      </c>
    </row>
    <row r="2799" spans="1:3" x14ac:dyDescent="0.6">
      <c r="A2799" s="24">
        <v>33611</v>
      </c>
      <c r="B2799" s="23">
        <v>1.8492310000000001</v>
      </c>
      <c r="C2799" s="32">
        <f t="shared" si="43"/>
        <v>2.3255826821890091E-2</v>
      </c>
    </row>
    <row r="2800" spans="1:3" x14ac:dyDescent="0.6">
      <c r="A2800" s="24">
        <v>33612</v>
      </c>
      <c r="B2800" s="23">
        <v>1.9027210000000001</v>
      </c>
      <c r="C2800" s="32">
        <f t="shared" si="43"/>
        <v>2.8925537155715109E-2</v>
      </c>
    </row>
    <row r="2801" spans="1:3" x14ac:dyDescent="0.6">
      <c r="A2801" s="24">
        <v>33613</v>
      </c>
      <c r="B2801" s="23">
        <v>1.9027210000000001</v>
      </c>
      <c r="C2801" s="32">
        <f t="shared" si="43"/>
        <v>0</v>
      </c>
    </row>
    <row r="2802" spans="1:3" x14ac:dyDescent="0.6">
      <c r="A2802" s="24">
        <v>33616</v>
      </c>
      <c r="B2802" s="23">
        <v>1.895079</v>
      </c>
      <c r="C2802" s="32">
        <f t="shared" si="43"/>
        <v>-4.0163534222832364E-3</v>
      </c>
    </row>
    <row r="2803" spans="1:3" x14ac:dyDescent="0.6">
      <c r="A2803" s="24">
        <v>33617</v>
      </c>
      <c r="B2803" s="23">
        <v>1.9714940000000001</v>
      </c>
      <c r="C2803" s="32">
        <f t="shared" si="43"/>
        <v>4.0322857252916622E-2</v>
      </c>
    </row>
    <row r="2804" spans="1:3" x14ac:dyDescent="0.6">
      <c r="A2804" s="24">
        <v>33618</v>
      </c>
      <c r="B2804" s="23">
        <v>1.9409270000000001</v>
      </c>
      <c r="C2804" s="32">
        <f t="shared" si="43"/>
        <v>-1.5504485430845816E-2</v>
      </c>
    </row>
    <row r="2805" spans="1:3" x14ac:dyDescent="0.6">
      <c r="A2805" s="24">
        <v>33619</v>
      </c>
      <c r="B2805" s="23">
        <v>1.918004</v>
      </c>
      <c r="C2805" s="32">
        <f t="shared" si="43"/>
        <v>-1.1810335988937215E-2</v>
      </c>
    </row>
    <row r="2806" spans="1:3" x14ac:dyDescent="0.6">
      <c r="A2806" s="24">
        <v>33620</v>
      </c>
      <c r="B2806" s="23">
        <v>1.9791350000000001</v>
      </c>
      <c r="C2806" s="32">
        <f t="shared" si="43"/>
        <v>3.1872196304074452E-2</v>
      </c>
    </row>
    <row r="2807" spans="1:3" x14ac:dyDescent="0.6">
      <c r="A2807" s="24">
        <v>33623</v>
      </c>
      <c r="B2807" s="23">
        <v>1.9562109999999999</v>
      </c>
      <c r="C2807" s="32">
        <f t="shared" si="43"/>
        <v>-1.1582837956986336E-2</v>
      </c>
    </row>
    <row r="2808" spans="1:3" x14ac:dyDescent="0.6">
      <c r="A2808" s="24">
        <v>33624</v>
      </c>
      <c r="B2808" s="23">
        <v>1.8683339999999999</v>
      </c>
      <c r="C2808" s="32">
        <f t="shared" si="43"/>
        <v>-4.4922045730240723E-2</v>
      </c>
    </row>
    <row r="2809" spans="1:3" x14ac:dyDescent="0.6">
      <c r="A2809" s="24">
        <v>33625</v>
      </c>
      <c r="B2809" s="23">
        <v>1.9409270000000001</v>
      </c>
      <c r="C2809" s="32">
        <f t="shared" si="43"/>
        <v>3.8854401836074359E-2</v>
      </c>
    </row>
    <row r="2810" spans="1:3" x14ac:dyDescent="0.6">
      <c r="A2810" s="24">
        <v>33626</v>
      </c>
      <c r="B2810" s="23">
        <v>1.9714940000000001</v>
      </c>
      <c r="C2810" s="32">
        <f t="shared" si="43"/>
        <v>1.5748660305101581E-2</v>
      </c>
    </row>
    <row r="2811" spans="1:3" x14ac:dyDescent="0.6">
      <c r="A2811" s="24">
        <v>33627</v>
      </c>
      <c r="B2811" s="23">
        <v>1.9753149999999999</v>
      </c>
      <c r="C2811" s="32">
        <f t="shared" si="43"/>
        <v>1.9381240825484536E-3</v>
      </c>
    </row>
    <row r="2812" spans="1:3" x14ac:dyDescent="0.6">
      <c r="A2812" s="24">
        <v>33630</v>
      </c>
      <c r="B2812" s="23">
        <v>1.9714940000000001</v>
      </c>
      <c r="C2812" s="32">
        <f t="shared" si="43"/>
        <v>-1.9343750237302837E-3</v>
      </c>
    </row>
    <row r="2813" spans="1:3" x14ac:dyDescent="0.6">
      <c r="A2813" s="24">
        <v>33631</v>
      </c>
      <c r="B2813" s="23">
        <v>1.994418</v>
      </c>
      <c r="C2813" s="32">
        <f t="shared" si="43"/>
        <v>1.1627730036205985E-2</v>
      </c>
    </row>
    <row r="2814" spans="1:3" x14ac:dyDescent="0.6">
      <c r="A2814" s="24">
        <v>33632</v>
      </c>
      <c r="B2814" s="23">
        <v>1.9332860000000001</v>
      </c>
      <c r="C2814" s="32">
        <f t="shared" si="43"/>
        <v>-3.0651548471784751E-2</v>
      </c>
    </row>
    <row r="2815" spans="1:3" x14ac:dyDescent="0.6">
      <c r="A2815" s="24">
        <v>33633</v>
      </c>
      <c r="B2815" s="23">
        <v>1.9485699999999999</v>
      </c>
      <c r="C2815" s="32">
        <f t="shared" si="43"/>
        <v>7.9057107949882521E-3</v>
      </c>
    </row>
    <row r="2816" spans="1:3" x14ac:dyDescent="0.6">
      <c r="A2816" s="24">
        <v>33634</v>
      </c>
      <c r="B2816" s="23">
        <v>1.9791350000000001</v>
      </c>
      <c r="C2816" s="32">
        <f t="shared" si="43"/>
        <v>1.5685861939781498E-2</v>
      </c>
    </row>
    <row r="2817" spans="1:3" x14ac:dyDescent="0.6">
      <c r="A2817" s="24">
        <v>33637</v>
      </c>
      <c r="B2817" s="23">
        <v>2.0097010000000002</v>
      </c>
      <c r="C2817" s="32">
        <f t="shared" si="43"/>
        <v>1.5444120790143234E-2</v>
      </c>
    </row>
    <row r="2818" spans="1:3" x14ac:dyDescent="0.6">
      <c r="A2818" s="24">
        <v>33638</v>
      </c>
      <c r="B2818" s="23">
        <v>2.0097010000000002</v>
      </c>
      <c r="C2818" s="32">
        <f t="shared" si="43"/>
        <v>0</v>
      </c>
    </row>
    <row r="2819" spans="1:3" x14ac:dyDescent="0.6">
      <c r="A2819" s="24">
        <v>33639</v>
      </c>
      <c r="B2819" s="23">
        <v>2.021163</v>
      </c>
      <c r="C2819" s="32">
        <f t="shared" si="43"/>
        <v>5.7033359688829499E-3</v>
      </c>
    </row>
    <row r="2820" spans="1:3" x14ac:dyDescent="0.6">
      <c r="A2820" s="24">
        <v>33640</v>
      </c>
      <c r="B2820" s="23">
        <v>1.960032</v>
      </c>
      <c r="C2820" s="32">
        <f t="shared" ref="C2820:C2883" si="44">B2820/B2819-1</f>
        <v>-3.0245457689458966E-2</v>
      </c>
    </row>
    <row r="2821" spans="1:3" x14ac:dyDescent="0.6">
      <c r="A2821" s="24">
        <v>33641</v>
      </c>
      <c r="B2821" s="23">
        <v>1.9562109999999999</v>
      </c>
      <c r="C2821" s="32">
        <f t="shared" si="44"/>
        <v>-1.9494579680332524E-3</v>
      </c>
    </row>
    <row r="2822" spans="1:3" x14ac:dyDescent="0.6">
      <c r="A2822" s="24">
        <v>33644</v>
      </c>
      <c r="B2822" s="23">
        <v>1.9294659999999999</v>
      </c>
      <c r="C2822" s="32">
        <f t="shared" si="44"/>
        <v>-1.3671838058369024E-2</v>
      </c>
    </row>
    <row r="2823" spans="1:3" x14ac:dyDescent="0.6">
      <c r="A2823" s="24">
        <v>33645</v>
      </c>
      <c r="B2823" s="23">
        <v>1.9218249999999999</v>
      </c>
      <c r="C2823" s="32">
        <f t="shared" si="44"/>
        <v>-3.9601630710258684E-3</v>
      </c>
    </row>
    <row r="2824" spans="1:3" x14ac:dyDescent="0.6">
      <c r="A2824" s="24">
        <v>33646</v>
      </c>
      <c r="B2824" s="23">
        <v>1.994418</v>
      </c>
      <c r="C2824" s="32">
        <f t="shared" si="44"/>
        <v>3.7772950190574139E-2</v>
      </c>
    </row>
    <row r="2825" spans="1:3" x14ac:dyDescent="0.6">
      <c r="A2825" s="24">
        <v>33647</v>
      </c>
      <c r="B2825" s="23">
        <v>1.9638530000000001</v>
      </c>
      <c r="C2825" s="32">
        <f t="shared" si="44"/>
        <v>-1.5325272836486659E-2</v>
      </c>
    </row>
    <row r="2826" spans="1:3" x14ac:dyDescent="0.6">
      <c r="A2826" s="24">
        <v>33648</v>
      </c>
      <c r="B2826" s="23">
        <v>1.963703</v>
      </c>
      <c r="C2826" s="32">
        <f t="shared" si="44"/>
        <v>-7.6380462285197126E-5</v>
      </c>
    </row>
    <row r="2827" spans="1:3" x14ac:dyDescent="0.6">
      <c r="A2827" s="24">
        <v>33652</v>
      </c>
      <c r="B2827" s="23">
        <v>1.921597</v>
      </c>
      <c r="C2827" s="32">
        <f t="shared" si="44"/>
        <v>-2.1442142727286173E-2</v>
      </c>
    </row>
    <row r="2828" spans="1:3" x14ac:dyDescent="0.6">
      <c r="A2828" s="24">
        <v>33653</v>
      </c>
      <c r="B2828" s="23">
        <v>1.898628</v>
      </c>
      <c r="C2828" s="32">
        <f t="shared" si="44"/>
        <v>-1.1953078611176005E-2</v>
      </c>
    </row>
    <row r="2829" spans="1:3" x14ac:dyDescent="0.6">
      <c r="A2829" s="24">
        <v>33654</v>
      </c>
      <c r="B2829" s="23">
        <v>1.9790140000000001</v>
      </c>
      <c r="C2829" s="32">
        <f t="shared" si="44"/>
        <v>4.233899426322596E-2</v>
      </c>
    </row>
    <row r="2830" spans="1:3" x14ac:dyDescent="0.6">
      <c r="A2830" s="24">
        <v>33655</v>
      </c>
      <c r="B2830" s="23">
        <v>1.9904980000000001</v>
      </c>
      <c r="C2830" s="32">
        <f t="shared" si="44"/>
        <v>5.8028897218513897E-3</v>
      </c>
    </row>
    <row r="2831" spans="1:3" x14ac:dyDescent="0.6">
      <c r="A2831" s="24">
        <v>33658</v>
      </c>
      <c r="B2831" s="23">
        <v>2.0249489999999999</v>
      </c>
      <c r="C2831" s="32">
        <f t="shared" si="44"/>
        <v>1.7307729020576756E-2</v>
      </c>
    </row>
    <row r="2832" spans="1:3" x14ac:dyDescent="0.6">
      <c r="A2832" s="24">
        <v>33659</v>
      </c>
      <c r="B2832" s="23">
        <v>2.0976789999999998</v>
      </c>
      <c r="C2832" s="32">
        <f t="shared" si="44"/>
        <v>3.5916953957852771E-2</v>
      </c>
    </row>
    <row r="2833" spans="1:3" x14ac:dyDescent="0.6">
      <c r="A2833" s="24">
        <v>33660</v>
      </c>
      <c r="B2833" s="23">
        <v>2.1397849999999998</v>
      </c>
      <c r="C2833" s="32">
        <f t="shared" si="44"/>
        <v>2.0072661260373881E-2</v>
      </c>
    </row>
    <row r="2834" spans="1:3" x14ac:dyDescent="0.6">
      <c r="A2834" s="24">
        <v>33661</v>
      </c>
      <c r="B2834" s="23">
        <v>2.0976789999999998</v>
      </c>
      <c r="C2834" s="32">
        <f t="shared" si="44"/>
        <v>-1.967767789754582E-2</v>
      </c>
    </row>
    <row r="2835" spans="1:3" x14ac:dyDescent="0.6">
      <c r="A2835" s="24">
        <v>33662</v>
      </c>
      <c r="B2835" s="23">
        <v>2.067056</v>
      </c>
      <c r="C2835" s="32">
        <f t="shared" si="44"/>
        <v>-1.4598515788163846E-2</v>
      </c>
    </row>
    <row r="2836" spans="1:3" x14ac:dyDescent="0.6">
      <c r="A2836" s="24">
        <v>33665</v>
      </c>
      <c r="B2836" s="23">
        <v>2.059399</v>
      </c>
      <c r="C2836" s="32">
        <f t="shared" si="44"/>
        <v>-3.7043021572710222E-3</v>
      </c>
    </row>
    <row r="2837" spans="1:3" x14ac:dyDescent="0.6">
      <c r="A2837" s="24">
        <v>33666</v>
      </c>
      <c r="B2837" s="23">
        <v>2.0326050000000002</v>
      </c>
      <c r="C2837" s="32">
        <f t="shared" si="44"/>
        <v>-1.3010591925119774E-2</v>
      </c>
    </row>
    <row r="2838" spans="1:3" x14ac:dyDescent="0.6">
      <c r="A2838" s="24">
        <v>33667</v>
      </c>
      <c r="B2838" s="23">
        <v>1.9904980000000001</v>
      </c>
      <c r="C2838" s="32">
        <f t="shared" si="44"/>
        <v>-2.0715780980564369E-2</v>
      </c>
    </row>
    <row r="2839" spans="1:3" x14ac:dyDescent="0.6">
      <c r="A2839" s="24">
        <v>33668</v>
      </c>
      <c r="B2839" s="23">
        <v>1.944563</v>
      </c>
      <c r="C2839" s="32">
        <f t="shared" si="44"/>
        <v>-2.3077139489715681E-2</v>
      </c>
    </row>
    <row r="2840" spans="1:3" x14ac:dyDescent="0.6">
      <c r="A2840" s="24">
        <v>33669</v>
      </c>
      <c r="B2840" s="23">
        <v>1.959875</v>
      </c>
      <c r="C2840" s="32">
        <f t="shared" si="44"/>
        <v>7.8742627520940189E-3</v>
      </c>
    </row>
    <row r="2841" spans="1:3" x14ac:dyDescent="0.6">
      <c r="A2841" s="24">
        <v>33672</v>
      </c>
      <c r="B2841" s="23">
        <v>1.9522189999999999</v>
      </c>
      <c r="C2841" s="32">
        <f t="shared" si="44"/>
        <v>-3.9063715798202114E-3</v>
      </c>
    </row>
    <row r="2842" spans="1:3" x14ac:dyDescent="0.6">
      <c r="A2842" s="24">
        <v>33673</v>
      </c>
      <c r="B2842" s="23">
        <v>1.9522189999999999</v>
      </c>
      <c r="C2842" s="32">
        <f t="shared" si="44"/>
        <v>0</v>
      </c>
    </row>
    <row r="2843" spans="1:3" x14ac:dyDescent="0.6">
      <c r="A2843" s="24">
        <v>33674</v>
      </c>
      <c r="B2843" s="23">
        <v>1.9369069999999999</v>
      </c>
      <c r="C2843" s="32">
        <f t="shared" si="44"/>
        <v>-7.8433823254460133E-3</v>
      </c>
    </row>
    <row r="2844" spans="1:3" x14ac:dyDescent="0.6">
      <c r="A2844" s="24">
        <v>33675</v>
      </c>
      <c r="B2844" s="23">
        <v>1.921597</v>
      </c>
      <c r="C2844" s="32">
        <f t="shared" si="44"/>
        <v>-7.9043547263756286E-3</v>
      </c>
    </row>
    <row r="2845" spans="1:3" x14ac:dyDescent="0.6">
      <c r="A2845" s="24">
        <v>33676</v>
      </c>
      <c r="B2845" s="23">
        <v>1.9330799999999999</v>
      </c>
      <c r="C2845" s="32">
        <f t="shared" si="44"/>
        <v>5.9757587048687721E-3</v>
      </c>
    </row>
    <row r="2846" spans="1:3" x14ac:dyDescent="0.6">
      <c r="A2846" s="24">
        <v>33679</v>
      </c>
      <c r="B2846" s="23">
        <v>1.940734</v>
      </c>
      <c r="C2846" s="32">
        <f t="shared" si="44"/>
        <v>3.9594843462247287E-3</v>
      </c>
    </row>
    <row r="2847" spans="1:3" x14ac:dyDescent="0.6">
      <c r="A2847" s="24">
        <v>33680</v>
      </c>
      <c r="B2847" s="23">
        <v>1.925424</v>
      </c>
      <c r="C2847" s="32">
        <f t="shared" si="44"/>
        <v>-7.8887678579341314E-3</v>
      </c>
    </row>
    <row r="2848" spans="1:3" x14ac:dyDescent="0.6">
      <c r="A2848" s="24">
        <v>33681</v>
      </c>
      <c r="B2848" s="23">
        <v>1.9522189999999999</v>
      </c>
      <c r="C2848" s="32">
        <f t="shared" si="44"/>
        <v>1.3916415293462547E-2</v>
      </c>
    </row>
    <row r="2849" spans="1:3" x14ac:dyDescent="0.6">
      <c r="A2849" s="24">
        <v>33682</v>
      </c>
      <c r="B2849" s="23">
        <v>1.929252</v>
      </c>
      <c r="C2849" s="32">
        <f t="shared" si="44"/>
        <v>-1.176456125055636E-2</v>
      </c>
    </row>
    <row r="2850" spans="1:3" x14ac:dyDescent="0.6">
      <c r="A2850" s="24">
        <v>33683</v>
      </c>
      <c r="B2850" s="23">
        <v>1.9369069999999999</v>
      </c>
      <c r="C2850" s="32">
        <f t="shared" si="44"/>
        <v>3.9678590458893659E-3</v>
      </c>
    </row>
    <row r="2851" spans="1:3" x14ac:dyDescent="0.6">
      <c r="A2851" s="24">
        <v>33686</v>
      </c>
      <c r="B2851" s="23">
        <v>1.929252</v>
      </c>
      <c r="C2851" s="32">
        <f t="shared" si="44"/>
        <v>-3.9521773631877588E-3</v>
      </c>
    </row>
    <row r="2852" spans="1:3" x14ac:dyDescent="0.6">
      <c r="A2852" s="24">
        <v>33687</v>
      </c>
      <c r="B2852" s="23">
        <v>1.9904980000000001</v>
      </c>
      <c r="C2852" s="32">
        <f t="shared" si="44"/>
        <v>3.1745982380736226E-2</v>
      </c>
    </row>
    <row r="2853" spans="1:3" x14ac:dyDescent="0.6">
      <c r="A2853" s="24">
        <v>33688</v>
      </c>
      <c r="B2853" s="23">
        <v>1.9751860000000001</v>
      </c>
      <c r="C2853" s="32">
        <f t="shared" si="44"/>
        <v>-7.692547292185159E-3</v>
      </c>
    </row>
    <row r="2854" spans="1:3" x14ac:dyDescent="0.6">
      <c r="A2854" s="24">
        <v>33689</v>
      </c>
      <c r="B2854" s="23">
        <v>1.959875</v>
      </c>
      <c r="C2854" s="32">
        <f t="shared" si="44"/>
        <v>-7.751675032123595E-3</v>
      </c>
    </row>
    <row r="2855" spans="1:3" x14ac:dyDescent="0.6">
      <c r="A2855" s="24">
        <v>33690</v>
      </c>
      <c r="B2855" s="23">
        <v>1.8680049999999999</v>
      </c>
      <c r="C2855" s="32">
        <f t="shared" si="44"/>
        <v>-4.6875438484597298E-2</v>
      </c>
    </row>
    <row r="2856" spans="1:3" x14ac:dyDescent="0.6">
      <c r="A2856" s="24">
        <v>33693</v>
      </c>
      <c r="B2856" s="23">
        <v>1.779965</v>
      </c>
      <c r="C2856" s="32">
        <f t="shared" si="44"/>
        <v>-4.713049483272258E-2</v>
      </c>
    </row>
    <row r="2857" spans="1:3" x14ac:dyDescent="0.6">
      <c r="A2857" s="24">
        <v>33694</v>
      </c>
      <c r="B2857" s="23">
        <v>1.783793</v>
      </c>
      <c r="C2857" s="32">
        <f t="shared" si="44"/>
        <v>2.1506040849117447E-3</v>
      </c>
    </row>
    <row r="2858" spans="1:3" x14ac:dyDescent="0.6">
      <c r="A2858" s="24">
        <v>33695</v>
      </c>
      <c r="B2858" s="23">
        <v>1.806759</v>
      </c>
      <c r="C2858" s="32">
        <f t="shared" si="44"/>
        <v>1.2874812268015345E-2</v>
      </c>
    </row>
    <row r="2859" spans="1:3" x14ac:dyDescent="0.6">
      <c r="A2859" s="24">
        <v>33696</v>
      </c>
      <c r="B2859" s="23">
        <v>1.7991029999999999</v>
      </c>
      <c r="C2859" s="32">
        <f t="shared" si="44"/>
        <v>-4.2374218144202169E-3</v>
      </c>
    </row>
    <row r="2860" spans="1:3" x14ac:dyDescent="0.6">
      <c r="A2860" s="24">
        <v>33697</v>
      </c>
      <c r="B2860" s="23">
        <v>1.806759</v>
      </c>
      <c r="C2860" s="32">
        <f t="shared" si="44"/>
        <v>4.2554539678940628E-3</v>
      </c>
    </row>
    <row r="2861" spans="1:3" x14ac:dyDescent="0.6">
      <c r="A2861" s="24">
        <v>33700</v>
      </c>
      <c r="B2861" s="23">
        <v>1.8603499999999999</v>
      </c>
      <c r="C2861" s="32">
        <f t="shared" si="44"/>
        <v>2.9661399223692708E-2</v>
      </c>
    </row>
    <row r="2862" spans="1:3" x14ac:dyDescent="0.6">
      <c r="A2862" s="24">
        <v>33701</v>
      </c>
      <c r="B2862" s="23">
        <v>1.7531699999999999</v>
      </c>
      <c r="C2862" s="32">
        <f t="shared" si="44"/>
        <v>-5.7612814792915357E-2</v>
      </c>
    </row>
    <row r="2863" spans="1:3" x14ac:dyDescent="0.6">
      <c r="A2863" s="24">
        <v>33702</v>
      </c>
      <c r="B2863" s="23">
        <v>1.711063</v>
      </c>
      <c r="C2863" s="32">
        <f t="shared" si="44"/>
        <v>-2.4017636623943961E-2</v>
      </c>
    </row>
    <row r="2864" spans="1:3" x14ac:dyDescent="0.6">
      <c r="A2864" s="24">
        <v>33703</v>
      </c>
      <c r="B2864" s="23">
        <v>1.7531699999999999</v>
      </c>
      <c r="C2864" s="32">
        <f t="shared" si="44"/>
        <v>2.4608678932336092E-2</v>
      </c>
    </row>
    <row r="2865" spans="1:3" x14ac:dyDescent="0.6">
      <c r="A2865" s="24">
        <v>33704</v>
      </c>
      <c r="B2865" s="23">
        <v>1.699579</v>
      </c>
      <c r="C2865" s="32">
        <f t="shared" si="44"/>
        <v>-3.0568056720112646E-2</v>
      </c>
    </row>
    <row r="2866" spans="1:3" x14ac:dyDescent="0.6">
      <c r="A2866" s="24">
        <v>33707</v>
      </c>
      <c r="B2866" s="23">
        <v>1.730202</v>
      </c>
      <c r="C2866" s="32">
        <f t="shared" si="44"/>
        <v>1.8017991514369225E-2</v>
      </c>
    </row>
    <row r="2867" spans="1:3" x14ac:dyDescent="0.6">
      <c r="A2867" s="24">
        <v>33708</v>
      </c>
      <c r="B2867" s="23">
        <v>1.7991029999999999</v>
      </c>
      <c r="C2867" s="32">
        <f t="shared" si="44"/>
        <v>3.9822517833177695E-2</v>
      </c>
    </row>
    <row r="2868" spans="1:3" x14ac:dyDescent="0.6">
      <c r="A2868" s="24">
        <v>33709</v>
      </c>
      <c r="B2868" s="23">
        <v>1.8526940000000001</v>
      </c>
      <c r="C2868" s="32">
        <f t="shared" si="44"/>
        <v>2.9787621942712672E-2</v>
      </c>
    </row>
    <row r="2869" spans="1:3" x14ac:dyDescent="0.6">
      <c r="A2869" s="24">
        <v>33710</v>
      </c>
      <c r="B2869" s="23">
        <v>1.806759</v>
      </c>
      <c r="C2869" s="32">
        <f t="shared" si="44"/>
        <v>-2.4793624851162765E-2</v>
      </c>
    </row>
    <row r="2870" spans="1:3" x14ac:dyDescent="0.6">
      <c r="A2870" s="24">
        <v>33714</v>
      </c>
      <c r="B2870" s="23">
        <v>1.7378579999999999</v>
      </c>
      <c r="C2870" s="32">
        <f t="shared" si="44"/>
        <v>-3.8135135898036299E-2</v>
      </c>
    </row>
    <row r="2871" spans="1:3" x14ac:dyDescent="0.6">
      <c r="A2871" s="24">
        <v>33715</v>
      </c>
      <c r="B2871" s="23">
        <v>1.7225459999999999</v>
      </c>
      <c r="C2871" s="32">
        <f t="shared" si="44"/>
        <v>-8.810846455809429E-3</v>
      </c>
    </row>
    <row r="2872" spans="1:3" x14ac:dyDescent="0.6">
      <c r="A2872" s="24">
        <v>33716</v>
      </c>
      <c r="B2872" s="23">
        <v>1.7646520000000001</v>
      </c>
      <c r="C2872" s="32">
        <f t="shared" si="44"/>
        <v>2.4444049679950508E-2</v>
      </c>
    </row>
    <row r="2873" spans="1:3" x14ac:dyDescent="0.6">
      <c r="A2873" s="24">
        <v>33717</v>
      </c>
      <c r="B2873" s="23">
        <v>1.7455130000000001</v>
      </c>
      <c r="C2873" s="32">
        <f t="shared" si="44"/>
        <v>-1.0845764490675758E-2</v>
      </c>
    </row>
    <row r="2874" spans="1:3" x14ac:dyDescent="0.6">
      <c r="A2874" s="24">
        <v>33718</v>
      </c>
      <c r="B2874" s="23">
        <v>1.730202</v>
      </c>
      <c r="C2874" s="32">
        <f t="shared" si="44"/>
        <v>-8.7716333249882039E-3</v>
      </c>
    </row>
    <row r="2875" spans="1:3" x14ac:dyDescent="0.6">
      <c r="A2875" s="24">
        <v>33721</v>
      </c>
      <c r="B2875" s="23">
        <v>1.7072350000000001</v>
      </c>
      <c r="C2875" s="32">
        <f t="shared" si="44"/>
        <v>-1.3274172611059232E-2</v>
      </c>
    </row>
    <row r="2876" spans="1:3" x14ac:dyDescent="0.6">
      <c r="A2876" s="24">
        <v>33722</v>
      </c>
      <c r="B2876" s="23">
        <v>1.6613</v>
      </c>
      <c r="C2876" s="32">
        <f t="shared" si="44"/>
        <v>-2.6906079127946736E-2</v>
      </c>
    </row>
    <row r="2877" spans="1:3" x14ac:dyDescent="0.6">
      <c r="A2877" s="24">
        <v>33723</v>
      </c>
      <c r="B2877" s="23">
        <v>1.7455130000000001</v>
      </c>
      <c r="C2877" s="32">
        <f t="shared" si="44"/>
        <v>5.0691025100824794E-2</v>
      </c>
    </row>
    <row r="2878" spans="1:3" x14ac:dyDescent="0.6">
      <c r="A2878" s="24">
        <v>33724</v>
      </c>
      <c r="B2878" s="23">
        <v>1.8412109999999999</v>
      </c>
      <c r="C2878" s="32">
        <f t="shared" si="44"/>
        <v>5.4825143095468043E-2</v>
      </c>
    </row>
    <row r="2879" spans="1:3" x14ac:dyDescent="0.6">
      <c r="A2879" s="24">
        <v>33725</v>
      </c>
      <c r="B2879" s="23">
        <v>1.8144149999999999</v>
      </c>
      <c r="C2879" s="32">
        <f t="shared" si="44"/>
        <v>-1.4553465083578132E-2</v>
      </c>
    </row>
    <row r="2880" spans="1:3" x14ac:dyDescent="0.6">
      <c r="A2880" s="24">
        <v>33728</v>
      </c>
      <c r="B2880" s="23">
        <v>1.8526940000000001</v>
      </c>
      <c r="C2880" s="32">
        <f t="shared" si="44"/>
        <v>2.1097158037163499E-2</v>
      </c>
    </row>
    <row r="2881" spans="1:3" x14ac:dyDescent="0.6">
      <c r="A2881" s="24">
        <v>33729</v>
      </c>
      <c r="B2881" s="23">
        <v>1.8526940000000001</v>
      </c>
      <c r="C2881" s="32">
        <f t="shared" si="44"/>
        <v>0</v>
      </c>
    </row>
    <row r="2882" spans="1:3" x14ac:dyDescent="0.6">
      <c r="A2882" s="24">
        <v>33730</v>
      </c>
      <c r="B2882" s="23">
        <v>1.890973</v>
      </c>
      <c r="C2882" s="32">
        <f t="shared" si="44"/>
        <v>2.0661264083545294E-2</v>
      </c>
    </row>
    <row r="2883" spans="1:3" x14ac:dyDescent="0.6">
      <c r="A2883" s="24">
        <v>33731</v>
      </c>
      <c r="B2883" s="23">
        <v>1.8603499999999999</v>
      </c>
      <c r="C2883" s="32">
        <f t="shared" si="44"/>
        <v>-1.6194308432748716E-2</v>
      </c>
    </row>
    <row r="2884" spans="1:3" x14ac:dyDescent="0.6">
      <c r="A2884" s="24">
        <v>33732</v>
      </c>
      <c r="B2884" s="23">
        <v>1.898628</v>
      </c>
      <c r="C2884" s="32">
        <f t="shared" ref="C2884:C2947" si="45">B2884/B2883-1</f>
        <v>2.0575698121321206E-2</v>
      </c>
    </row>
    <row r="2885" spans="1:3" x14ac:dyDescent="0.6">
      <c r="A2885" s="24">
        <v>33735</v>
      </c>
      <c r="B2885" s="23">
        <v>1.906285</v>
      </c>
      <c r="C2885" s="32">
        <f t="shared" si="45"/>
        <v>4.0329121871161E-3</v>
      </c>
    </row>
    <row r="2886" spans="1:3" x14ac:dyDescent="0.6">
      <c r="A2886" s="24">
        <v>33736</v>
      </c>
      <c r="B2886" s="23">
        <v>1.906285</v>
      </c>
      <c r="C2886" s="32">
        <f t="shared" si="45"/>
        <v>0</v>
      </c>
    </row>
    <row r="2887" spans="1:3" x14ac:dyDescent="0.6">
      <c r="A2887" s="24">
        <v>33737</v>
      </c>
      <c r="B2887" s="23">
        <v>1.921597</v>
      </c>
      <c r="C2887" s="32">
        <f t="shared" si="45"/>
        <v>8.0323771104531261E-3</v>
      </c>
    </row>
    <row r="2888" spans="1:3" x14ac:dyDescent="0.6">
      <c r="A2888" s="24">
        <v>33738</v>
      </c>
      <c r="B2888" s="23">
        <v>1.8794900000000001</v>
      </c>
      <c r="C2888" s="32">
        <f t="shared" si="45"/>
        <v>-2.1912502985797722E-2</v>
      </c>
    </row>
    <row r="2889" spans="1:3" x14ac:dyDescent="0.6">
      <c r="A2889" s="24">
        <v>33739</v>
      </c>
      <c r="B2889" s="23">
        <v>1.856522</v>
      </c>
      <c r="C2889" s="32">
        <f t="shared" si="45"/>
        <v>-1.2220336367844475E-2</v>
      </c>
    </row>
    <row r="2890" spans="1:3" x14ac:dyDescent="0.6">
      <c r="A2890" s="24">
        <v>33742</v>
      </c>
      <c r="B2890" s="23">
        <v>1.8488659999999999</v>
      </c>
      <c r="C2890" s="32">
        <f t="shared" si="45"/>
        <v>-4.1238401699522642E-3</v>
      </c>
    </row>
    <row r="2891" spans="1:3" x14ac:dyDescent="0.6">
      <c r="A2891" s="24">
        <v>33743</v>
      </c>
      <c r="B2891" s="23">
        <v>1.8182430000000001</v>
      </c>
      <c r="C2891" s="32">
        <f t="shared" si="45"/>
        <v>-1.6563125721388072E-2</v>
      </c>
    </row>
    <row r="2892" spans="1:3" x14ac:dyDescent="0.6">
      <c r="A2892" s="24">
        <v>33744</v>
      </c>
      <c r="B2892" s="23">
        <v>1.837383</v>
      </c>
      <c r="C2892" s="32">
        <f t="shared" si="45"/>
        <v>1.0526645778369481E-2</v>
      </c>
    </row>
    <row r="2893" spans="1:3" x14ac:dyDescent="0.6">
      <c r="A2893" s="24">
        <v>33745</v>
      </c>
      <c r="B2893" s="23">
        <v>1.8105869999999999</v>
      </c>
      <c r="C2893" s="32">
        <f t="shared" si="45"/>
        <v>-1.458378574309227E-2</v>
      </c>
    </row>
    <row r="2894" spans="1:3" x14ac:dyDescent="0.6">
      <c r="A2894" s="24">
        <v>33746</v>
      </c>
      <c r="B2894" s="23">
        <v>1.822071</v>
      </c>
      <c r="C2894" s="32">
        <f t="shared" si="45"/>
        <v>6.3426943858539975E-3</v>
      </c>
    </row>
    <row r="2895" spans="1:3" x14ac:dyDescent="0.6">
      <c r="A2895" s="24">
        <v>33750</v>
      </c>
      <c r="B2895" s="23">
        <v>1.8144149999999999</v>
      </c>
      <c r="C2895" s="32">
        <f t="shared" si="45"/>
        <v>-4.201812113797998E-3</v>
      </c>
    </row>
    <row r="2896" spans="1:3" x14ac:dyDescent="0.6">
      <c r="A2896" s="24">
        <v>33751</v>
      </c>
      <c r="B2896" s="23">
        <v>1.845038</v>
      </c>
      <c r="C2896" s="32">
        <f t="shared" si="45"/>
        <v>1.6877616201365297E-2</v>
      </c>
    </row>
    <row r="2897" spans="1:3" x14ac:dyDescent="0.6">
      <c r="A2897" s="24">
        <v>33752</v>
      </c>
      <c r="B2897" s="23">
        <v>1.822071</v>
      </c>
      <c r="C2897" s="32">
        <f t="shared" si="45"/>
        <v>-1.2447982101181587E-2</v>
      </c>
    </row>
    <row r="2898" spans="1:3" x14ac:dyDescent="0.6">
      <c r="A2898" s="24">
        <v>33753</v>
      </c>
      <c r="B2898" s="23">
        <v>1.8297270000000001</v>
      </c>
      <c r="C2898" s="32">
        <f t="shared" si="45"/>
        <v>4.201812113798109E-3</v>
      </c>
    </row>
    <row r="2899" spans="1:3" x14ac:dyDescent="0.6">
      <c r="A2899" s="24">
        <v>33756</v>
      </c>
      <c r="B2899" s="23">
        <v>1.7643720000000001</v>
      </c>
      <c r="C2899" s="32">
        <f t="shared" si="45"/>
        <v>-3.5718443243172415E-2</v>
      </c>
    </row>
    <row r="2900" spans="1:3" x14ac:dyDescent="0.6">
      <c r="A2900" s="24">
        <v>33757</v>
      </c>
      <c r="B2900" s="23">
        <v>1.733687</v>
      </c>
      <c r="C2900" s="32">
        <f t="shared" si="45"/>
        <v>-1.7391457130355725E-2</v>
      </c>
    </row>
    <row r="2901" spans="1:3" x14ac:dyDescent="0.6">
      <c r="A2901" s="24">
        <v>33758</v>
      </c>
      <c r="B2901" s="23">
        <v>1.660811</v>
      </c>
      <c r="C2901" s="32">
        <f t="shared" si="45"/>
        <v>-4.2035269342159176E-2</v>
      </c>
    </row>
    <row r="2902" spans="1:3" x14ac:dyDescent="0.6">
      <c r="A2902" s="24">
        <v>33759</v>
      </c>
      <c r="B2902" s="23">
        <v>1.672318</v>
      </c>
      <c r="C2902" s="32">
        <f t="shared" si="45"/>
        <v>6.9285427420699985E-3</v>
      </c>
    </row>
    <row r="2903" spans="1:3" x14ac:dyDescent="0.6">
      <c r="A2903" s="24">
        <v>33760</v>
      </c>
      <c r="B2903" s="23">
        <v>1.6838249999999999</v>
      </c>
      <c r="C2903" s="32">
        <f t="shared" si="45"/>
        <v>6.8808683515932945E-3</v>
      </c>
    </row>
    <row r="2904" spans="1:3" x14ac:dyDescent="0.6">
      <c r="A2904" s="24">
        <v>33763</v>
      </c>
      <c r="B2904" s="23">
        <v>1.664647</v>
      </c>
      <c r="C2904" s="32">
        <f t="shared" si="45"/>
        <v>-1.1389544637952276E-2</v>
      </c>
    </row>
    <row r="2905" spans="1:3" x14ac:dyDescent="0.6">
      <c r="A2905" s="24">
        <v>33764</v>
      </c>
      <c r="B2905" s="23">
        <v>1.656976</v>
      </c>
      <c r="C2905" s="32">
        <f t="shared" si="45"/>
        <v>-4.6081841976106652E-3</v>
      </c>
    </row>
    <row r="2906" spans="1:3" x14ac:dyDescent="0.6">
      <c r="A2906" s="24">
        <v>33765</v>
      </c>
      <c r="B2906" s="23">
        <v>1.649305</v>
      </c>
      <c r="C2906" s="32">
        <f t="shared" si="45"/>
        <v>-4.6295178686956984E-3</v>
      </c>
    </row>
    <row r="2907" spans="1:3" x14ac:dyDescent="0.6">
      <c r="A2907" s="24">
        <v>33766</v>
      </c>
      <c r="B2907" s="23">
        <v>1.6531400000000001</v>
      </c>
      <c r="C2907" s="32">
        <f t="shared" si="45"/>
        <v>2.3252218358642551E-3</v>
      </c>
    </row>
    <row r="2908" spans="1:3" x14ac:dyDescent="0.6">
      <c r="A2908" s="24">
        <v>33767</v>
      </c>
      <c r="B2908" s="23">
        <v>1.6761539999999999</v>
      </c>
      <c r="C2908" s="32">
        <f t="shared" si="45"/>
        <v>1.3921385968520328E-2</v>
      </c>
    </row>
    <row r="2909" spans="1:3" x14ac:dyDescent="0.6">
      <c r="A2909" s="24">
        <v>33770</v>
      </c>
      <c r="B2909" s="23">
        <v>1.614784</v>
      </c>
      <c r="C2909" s="32">
        <f t="shared" si="45"/>
        <v>-3.6613580852355998E-2</v>
      </c>
    </row>
    <row r="2910" spans="1:3" x14ac:dyDescent="0.6">
      <c r="A2910" s="24">
        <v>33771</v>
      </c>
      <c r="B2910" s="23">
        <v>1.511223</v>
      </c>
      <c r="C2910" s="32">
        <f t="shared" si="45"/>
        <v>-6.4133035749672995E-2</v>
      </c>
    </row>
    <row r="2911" spans="1:3" x14ac:dyDescent="0.6">
      <c r="A2911" s="24">
        <v>33772</v>
      </c>
      <c r="B2911" s="23">
        <v>1.457525</v>
      </c>
      <c r="C2911" s="32">
        <f t="shared" si="45"/>
        <v>-3.5532810180893271E-2</v>
      </c>
    </row>
    <row r="2912" spans="1:3" x14ac:dyDescent="0.6">
      <c r="A2912" s="24">
        <v>33773</v>
      </c>
      <c r="B2912" s="23">
        <v>1.3884840000000001</v>
      </c>
      <c r="C2912" s="32">
        <f t="shared" si="45"/>
        <v>-4.7368655769197687E-2</v>
      </c>
    </row>
    <row r="2913" spans="1:3" x14ac:dyDescent="0.6">
      <c r="A2913" s="24">
        <v>33774</v>
      </c>
      <c r="B2913" s="23">
        <v>1.3731420000000001</v>
      </c>
      <c r="C2913" s="32">
        <f t="shared" si="45"/>
        <v>-1.1049461138911143E-2</v>
      </c>
    </row>
    <row r="2914" spans="1:3" x14ac:dyDescent="0.6">
      <c r="A2914" s="24">
        <v>33777</v>
      </c>
      <c r="B2914" s="23">
        <v>1.3577999999999999</v>
      </c>
      <c r="C2914" s="32">
        <f t="shared" si="45"/>
        <v>-1.1172915838274733E-2</v>
      </c>
    </row>
    <row r="2915" spans="1:3" x14ac:dyDescent="0.6">
      <c r="A2915" s="24">
        <v>33778</v>
      </c>
      <c r="B2915" s="23">
        <v>1.3884840000000001</v>
      </c>
      <c r="C2915" s="32">
        <f t="shared" si="45"/>
        <v>2.2598320813079997E-2</v>
      </c>
    </row>
    <row r="2916" spans="1:3" x14ac:dyDescent="0.6">
      <c r="A2916" s="24">
        <v>33779</v>
      </c>
      <c r="B2916" s="23">
        <v>1.4114979999999999</v>
      </c>
      <c r="C2916" s="32">
        <f t="shared" si="45"/>
        <v>1.6574911918322277E-2</v>
      </c>
    </row>
    <row r="2917" spans="1:3" x14ac:dyDescent="0.6">
      <c r="A2917" s="24">
        <v>33780</v>
      </c>
      <c r="B2917" s="23">
        <v>1.399991</v>
      </c>
      <c r="C2917" s="32">
        <f t="shared" si="45"/>
        <v>-8.1523317780116678E-3</v>
      </c>
    </row>
    <row r="2918" spans="1:3" x14ac:dyDescent="0.6">
      <c r="A2918" s="24">
        <v>33781</v>
      </c>
      <c r="B2918" s="23">
        <v>1.3884840000000001</v>
      </c>
      <c r="C2918" s="32">
        <f t="shared" si="45"/>
        <v>-8.2193385528906981E-3</v>
      </c>
    </row>
    <row r="2919" spans="1:3" x14ac:dyDescent="0.6">
      <c r="A2919" s="24">
        <v>33784</v>
      </c>
      <c r="B2919" s="23">
        <v>1.4345110000000001</v>
      </c>
      <c r="C2919" s="32">
        <f t="shared" si="45"/>
        <v>3.3149103626689325E-2</v>
      </c>
    </row>
    <row r="2920" spans="1:3" x14ac:dyDescent="0.6">
      <c r="A2920" s="24">
        <v>33785</v>
      </c>
      <c r="B2920" s="23">
        <v>1.4728669999999999</v>
      </c>
      <c r="C2920" s="32">
        <f t="shared" si="45"/>
        <v>2.6738031287316666E-2</v>
      </c>
    </row>
    <row r="2921" spans="1:3" x14ac:dyDescent="0.6">
      <c r="A2921" s="24">
        <v>33786</v>
      </c>
      <c r="B2921" s="23">
        <v>1.503552</v>
      </c>
      <c r="C2921" s="32">
        <f t="shared" si="45"/>
        <v>2.0833517215064212E-2</v>
      </c>
    </row>
    <row r="2922" spans="1:3" x14ac:dyDescent="0.6">
      <c r="A2922" s="24">
        <v>33787</v>
      </c>
      <c r="B2922" s="23">
        <v>1.4191689999999999</v>
      </c>
      <c r="C2922" s="32">
        <f t="shared" si="45"/>
        <v>-5.6122435406291249E-2</v>
      </c>
    </row>
    <row r="2923" spans="1:3" x14ac:dyDescent="0.6">
      <c r="A2923" s="24">
        <v>33791</v>
      </c>
      <c r="B2923" s="23">
        <v>1.4191689999999999</v>
      </c>
      <c r="C2923" s="32">
        <f t="shared" si="45"/>
        <v>0</v>
      </c>
    </row>
    <row r="2924" spans="1:3" x14ac:dyDescent="0.6">
      <c r="A2924" s="24">
        <v>33792</v>
      </c>
      <c r="B2924" s="23">
        <v>1.3577999999999999</v>
      </c>
      <c r="C2924" s="32">
        <f t="shared" si="45"/>
        <v>-4.3242911873075052E-2</v>
      </c>
    </row>
    <row r="2925" spans="1:3" x14ac:dyDescent="0.6">
      <c r="A2925" s="24">
        <v>33793</v>
      </c>
      <c r="B2925" s="23">
        <v>1.403826</v>
      </c>
      <c r="C2925" s="32">
        <f t="shared" si="45"/>
        <v>3.3897481219619996E-2</v>
      </c>
    </row>
    <row r="2926" spans="1:3" x14ac:dyDescent="0.6">
      <c r="A2926" s="24">
        <v>33794</v>
      </c>
      <c r="B2926" s="23">
        <v>1.407662</v>
      </c>
      <c r="C2926" s="32">
        <f t="shared" si="45"/>
        <v>2.7325323793689904E-3</v>
      </c>
    </row>
    <row r="2927" spans="1:3" x14ac:dyDescent="0.6">
      <c r="A2927" s="24">
        <v>33795</v>
      </c>
      <c r="B2927" s="23">
        <v>1.403826</v>
      </c>
      <c r="C2927" s="32">
        <f t="shared" si="45"/>
        <v>-2.72508599365473E-3</v>
      </c>
    </row>
    <row r="2928" spans="1:3" x14ac:dyDescent="0.6">
      <c r="A2928" s="24">
        <v>33798</v>
      </c>
      <c r="B2928" s="23">
        <v>1.4421820000000001</v>
      </c>
      <c r="C2928" s="32">
        <f t="shared" si="45"/>
        <v>2.7322474437715183E-2</v>
      </c>
    </row>
    <row r="2929" spans="1:3" x14ac:dyDescent="0.6">
      <c r="A2929" s="24">
        <v>33799</v>
      </c>
      <c r="B2929" s="23">
        <v>1.457525</v>
      </c>
      <c r="C2929" s="32">
        <f t="shared" si="45"/>
        <v>1.0638740464102181E-2</v>
      </c>
    </row>
    <row r="2930" spans="1:3" x14ac:dyDescent="0.6">
      <c r="A2930" s="24">
        <v>33800</v>
      </c>
      <c r="B2930" s="23">
        <v>1.4728669999999999</v>
      </c>
      <c r="C2930" s="32">
        <f t="shared" si="45"/>
        <v>1.0526063017787024E-2</v>
      </c>
    </row>
    <row r="2931" spans="1:3" x14ac:dyDescent="0.6">
      <c r="A2931" s="24">
        <v>33801</v>
      </c>
      <c r="B2931" s="23">
        <v>1.495881</v>
      </c>
      <c r="C2931" s="32">
        <f t="shared" si="45"/>
        <v>1.5625307648280629E-2</v>
      </c>
    </row>
    <row r="2932" spans="1:3" x14ac:dyDescent="0.6">
      <c r="A2932" s="24">
        <v>33802</v>
      </c>
      <c r="B2932" s="23">
        <v>1.3808130000000001</v>
      </c>
      <c r="C2932" s="32">
        <f t="shared" si="45"/>
        <v>-7.6923231192855601E-2</v>
      </c>
    </row>
    <row r="2933" spans="1:3" x14ac:dyDescent="0.6">
      <c r="A2933" s="24">
        <v>33805</v>
      </c>
      <c r="B2933" s="23">
        <v>1.3731420000000001</v>
      </c>
      <c r="C2933" s="32">
        <f t="shared" si="45"/>
        <v>-5.5554227835340475E-3</v>
      </c>
    </row>
    <row r="2934" spans="1:3" x14ac:dyDescent="0.6">
      <c r="A2934" s="24">
        <v>33806</v>
      </c>
      <c r="B2934" s="23">
        <v>1.403826</v>
      </c>
      <c r="C2934" s="32">
        <f t="shared" si="45"/>
        <v>2.2345831676549022E-2</v>
      </c>
    </row>
    <row r="2935" spans="1:3" x14ac:dyDescent="0.6">
      <c r="A2935" s="24">
        <v>33807</v>
      </c>
      <c r="B2935" s="23">
        <v>1.3577999999999999</v>
      </c>
      <c r="C2935" s="32">
        <f t="shared" si="45"/>
        <v>-3.2786114518466025E-2</v>
      </c>
    </row>
    <row r="2936" spans="1:3" x14ac:dyDescent="0.6">
      <c r="A2936" s="24">
        <v>33808</v>
      </c>
      <c r="B2936" s="23">
        <v>1.3731420000000001</v>
      </c>
      <c r="C2936" s="32">
        <f t="shared" si="45"/>
        <v>1.1299160406540221E-2</v>
      </c>
    </row>
    <row r="2937" spans="1:3" x14ac:dyDescent="0.6">
      <c r="A2937" s="24">
        <v>33809</v>
      </c>
      <c r="B2937" s="23">
        <v>1.407662</v>
      </c>
      <c r="C2937" s="32">
        <f t="shared" si="45"/>
        <v>2.5139424764518026E-2</v>
      </c>
    </row>
    <row r="2938" spans="1:3" x14ac:dyDescent="0.6">
      <c r="A2938" s="24">
        <v>33812</v>
      </c>
      <c r="B2938" s="23">
        <v>1.3884840000000001</v>
      </c>
      <c r="C2938" s="32">
        <f t="shared" si="45"/>
        <v>-1.3624009172656493E-2</v>
      </c>
    </row>
    <row r="2939" spans="1:3" x14ac:dyDescent="0.6">
      <c r="A2939" s="24">
        <v>33813</v>
      </c>
      <c r="B2939" s="23">
        <v>1.4268400000000001</v>
      </c>
      <c r="C2939" s="32">
        <f t="shared" si="45"/>
        <v>2.7624373057233642E-2</v>
      </c>
    </row>
    <row r="2940" spans="1:3" x14ac:dyDescent="0.6">
      <c r="A2940" s="24">
        <v>33814</v>
      </c>
      <c r="B2940" s="23">
        <v>1.449854</v>
      </c>
      <c r="C2940" s="32">
        <f t="shared" si="45"/>
        <v>1.6129348770709928E-2</v>
      </c>
    </row>
    <row r="2941" spans="1:3" x14ac:dyDescent="0.6">
      <c r="A2941" s="24">
        <v>33815</v>
      </c>
      <c r="B2941" s="23">
        <v>1.449854</v>
      </c>
      <c r="C2941" s="32">
        <f t="shared" si="45"/>
        <v>0</v>
      </c>
    </row>
    <row r="2942" spans="1:3" x14ac:dyDescent="0.6">
      <c r="A2942" s="24">
        <v>33816</v>
      </c>
      <c r="B2942" s="23">
        <v>1.4345110000000001</v>
      </c>
      <c r="C2942" s="32">
        <f t="shared" si="45"/>
        <v>-1.0582444853067918E-2</v>
      </c>
    </row>
    <row r="2943" spans="1:3" x14ac:dyDescent="0.6">
      <c r="A2943" s="24">
        <v>33819</v>
      </c>
      <c r="B2943" s="23">
        <v>1.403826</v>
      </c>
      <c r="C2943" s="32">
        <f t="shared" si="45"/>
        <v>-2.1390564450185501E-2</v>
      </c>
    </row>
    <row r="2944" spans="1:3" x14ac:dyDescent="0.6">
      <c r="A2944" s="24">
        <v>33820</v>
      </c>
      <c r="B2944" s="23">
        <v>1.396155</v>
      </c>
      <c r="C2944" s="32">
        <f t="shared" si="45"/>
        <v>-5.4643524197443005E-3</v>
      </c>
    </row>
    <row r="2945" spans="1:3" x14ac:dyDescent="0.6">
      <c r="A2945" s="24">
        <v>33821</v>
      </c>
      <c r="B2945" s="23">
        <v>1.3731420000000001</v>
      </c>
      <c r="C2945" s="32">
        <f t="shared" si="45"/>
        <v>-1.6483126873448883E-2</v>
      </c>
    </row>
    <row r="2946" spans="1:3" x14ac:dyDescent="0.6">
      <c r="A2946" s="24">
        <v>33822</v>
      </c>
      <c r="B2946" s="23">
        <v>1.3501289999999999</v>
      </c>
      <c r="C2946" s="32">
        <f t="shared" si="45"/>
        <v>-1.6759373757411988E-2</v>
      </c>
    </row>
    <row r="2947" spans="1:3" x14ac:dyDescent="0.6">
      <c r="A2947" s="24">
        <v>33823</v>
      </c>
      <c r="B2947" s="23">
        <v>1.330951</v>
      </c>
      <c r="C2947" s="32">
        <f t="shared" si="45"/>
        <v>-1.4204568600481804E-2</v>
      </c>
    </row>
    <row r="2948" spans="1:3" x14ac:dyDescent="0.6">
      <c r="A2948" s="24">
        <v>33826</v>
      </c>
      <c r="B2948" s="23">
        <v>1.3539639999999999</v>
      </c>
      <c r="C2948" s="32">
        <f t="shared" ref="C2948:C3011" si="46">B2948/B2947-1</f>
        <v>1.7290644058271187E-2</v>
      </c>
    </row>
    <row r="2949" spans="1:3" x14ac:dyDescent="0.6">
      <c r="A2949" s="24">
        <v>33827</v>
      </c>
      <c r="B2949" s="23">
        <v>1.334786</v>
      </c>
      <c r="C2949" s="32">
        <f t="shared" si="46"/>
        <v>-1.4164335240818726E-2</v>
      </c>
    </row>
    <row r="2950" spans="1:3" x14ac:dyDescent="0.6">
      <c r="A2950" s="24">
        <v>33828</v>
      </c>
      <c r="B2950" s="23">
        <v>1.3539639999999999</v>
      </c>
      <c r="C2950" s="32">
        <f t="shared" si="46"/>
        <v>1.4367846231530645E-2</v>
      </c>
    </row>
    <row r="2951" spans="1:3" x14ac:dyDescent="0.6">
      <c r="A2951" s="24">
        <v>33829</v>
      </c>
      <c r="B2951" s="23">
        <v>1.3731420000000001</v>
      </c>
      <c r="C2951" s="32">
        <f t="shared" si="46"/>
        <v>1.4164335240818948E-2</v>
      </c>
    </row>
    <row r="2952" spans="1:3" x14ac:dyDescent="0.6">
      <c r="A2952" s="24">
        <v>33830</v>
      </c>
      <c r="B2952" s="23">
        <v>1.3731420000000001</v>
      </c>
      <c r="C2952" s="32">
        <f t="shared" si="46"/>
        <v>0</v>
      </c>
    </row>
    <row r="2953" spans="1:3" x14ac:dyDescent="0.6">
      <c r="A2953" s="24">
        <v>33833</v>
      </c>
      <c r="B2953" s="23">
        <v>1.3768370000000001</v>
      </c>
      <c r="C2953" s="32">
        <f t="shared" si="46"/>
        <v>2.6909088790525448E-3</v>
      </c>
    </row>
    <row r="2954" spans="1:3" x14ac:dyDescent="0.6">
      <c r="A2954" s="24">
        <v>33834</v>
      </c>
      <c r="B2954" s="23">
        <v>1.3768370000000001</v>
      </c>
      <c r="C2954" s="32">
        <f t="shared" si="46"/>
        <v>0</v>
      </c>
    </row>
    <row r="2955" spans="1:3" x14ac:dyDescent="0.6">
      <c r="A2955" s="24">
        <v>33835</v>
      </c>
      <c r="B2955" s="23">
        <v>1.369146</v>
      </c>
      <c r="C2955" s="32">
        <f t="shared" si="46"/>
        <v>-5.5859916605960347E-3</v>
      </c>
    </row>
    <row r="2956" spans="1:3" x14ac:dyDescent="0.6">
      <c r="A2956" s="24">
        <v>33836</v>
      </c>
      <c r="B2956" s="23">
        <v>1.3768370000000001</v>
      </c>
      <c r="C2956" s="32">
        <f t="shared" si="46"/>
        <v>5.6173702439332729E-3</v>
      </c>
    </row>
    <row r="2957" spans="1:3" x14ac:dyDescent="0.6">
      <c r="A2957" s="24">
        <v>33837</v>
      </c>
      <c r="B2957" s="23">
        <v>1.372992</v>
      </c>
      <c r="C2957" s="32">
        <f t="shared" si="46"/>
        <v>-2.7926326791044565E-3</v>
      </c>
    </row>
    <row r="2958" spans="1:3" x14ac:dyDescent="0.6">
      <c r="A2958" s="24">
        <v>33840</v>
      </c>
      <c r="B2958" s="23">
        <v>1.330687</v>
      </c>
      <c r="C2958" s="32">
        <f t="shared" si="46"/>
        <v>-3.0812269845709284E-2</v>
      </c>
    </row>
    <row r="2959" spans="1:3" x14ac:dyDescent="0.6">
      <c r="A2959" s="24">
        <v>33841</v>
      </c>
      <c r="B2959" s="23">
        <v>1.3653</v>
      </c>
      <c r="C2959" s="32">
        <f t="shared" si="46"/>
        <v>2.601137607867221E-2</v>
      </c>
    </row>
    <row r="2960" spans="1:3" x14ac:dyDescent="0.6">
      <c r="A2960" s="24">
        <v>33842</v>
      </c>
      <c r="B2960" s="23">
        <v>1.3614539999999999</v>
      </c>
      <c r="C2960" s="32">
        <f t="shared" si="46"/>
        <v>-2.8169633047682163E-3</v>
      </c>
    </row>
    <row r="2961" spans="1:3" x14ac:dyDescent="0.6">
      <c r="A2961" s="24">
        <v>33843</v>
      </c>
      <c r="B2961" s="23">
        <v>1.369146</v>
      </c>
      <c r="C2961" s="32">
        <f t="shared" si="46"/>
        <v>5.6498420071482425E-3</v>
      </c>
    </row>
    <row r="2962" spans="1:3" x14ac:dyDescent="0.6">
      <c r="A2962" s="24">
        <v>33844</v>
      </c>
      <c r="B2962" s="23">
        <v>1.38453</v>
      </c>
      <c r="C2962" s="32">
        <f t="shared" si="46"/>
        <v>1.123620125245961E-2</v>
      </c>
    </row>
    <row r="2963" spans="1:3" x14ac:dyDescent="0.6">
      <c r="A2963" s="24">
        <v>33847</v>
      </c>
      <c r="B2963" s="23">
        <v>1.4152960000000001</v>
      </c>
      <c r="C2963" s="32">
        <f t="shared" si="46"/>
        <v>2.2221259199872945E-2</v>
      </c>
    </row>
    <row r="2964" spans="1:3" x14ac:dyDescent="0.6">
      <c r="A2964" s="24">
        <v>33848</v>
      </c>
      <c r="B2964" s="23">
        <v>1.43068</v>
      </c>
      <c r="C2964" s="32">
        <f t="shared" si="46"/>
        <v>1.0869810979469818E-2</v>
      </c>
    </row>
    <row r="2965" spans="1:3" x14ac:dyDescent="0.6">
      <c r="A2965" s="24">
        <v>33849</v>
      </c>
      <c r="B2965" s="23">
        <v>1.4922150000000001</v>
      </c>
      <c r="C2965" s="32">
        <f t="shared" si="46"/>
        <v>4.3011015740766823E-2</v>
      </c>
    </row>
    <row r="2966" spans="1:3" x14ac:dyDescent="0.6">
      <c r="A2966" s="24">
        <v>33850</v>
      </c>
      <c r="B2966" s="23">
        <v>1.469139</v>
      </c>
      <c r="C2966" s="32">
        <f t="shared" si="46"/>
        <v>-1.5464259506840605E-2</v>
      </c>
    </row>
    <row r="2967" spans="1:3" x14ac:dyDescent="0.6">
      <c r="A2967" s="24">
        <v>33851</v>
      </c>
      <c r="B2967" s="23">
        <v>1.453756</v>
      </c>
      <c r="C2967" s="32">
        <f t="shared" si="46"/>
        <v>-1.0470758723306606E-2</v>
      </c>
    </row>
    <row r="2968" spans="1:3" x14ac:dyDescent="0.6">
      <c r="A2968" s="24">
        <v>33855</v>
      </c>
      <c r="B2968" s="23">
        <v>1.469139</v>
      </c>
      <c r="C2968" s="32">
        <f t="shared" si="46"/>
        <v>1.058155563932317E-2</v>
      </c>
    </row>
    <row r="2969" spans="1:3" x14ac:dyDescent="0.6">
      <c r="A2969" s="24">
        <v>33856</v>
      </c>
      <c r="B2969" s="23">
        <v>1.5075989999999999</v>
      </c>
      <c r="C2969" s="32">
        <f t="shared" si="46"/>
        <v>2.6178598485235183E-2</v>
      </c>
    </row>
    <row r="2970" spans="1:3" x14ac:dyDescent="0.6">
      <c r="A2970" s="24">
        <v>33857</v>
      </c>
      <c r="B2970" s="23">
        <v>1.51529</v>
      </c>
      <c r="C2970" s="32">
        <f t="shared" si="46"/>
        <v>5.1014891891014713E-3</v>
      </c>
    </row>
    <row r="2971" spans="1:3" x14ac:dyDescent="0.6">
      <c r="A2971" s="24">
        <v>33858</v>
      </c>
      <c r="B2971" s="23">
        <v>1.465293</v>
      </c>
      <c r="C2971" s="32">
        <f t="shared" si="46"/>
        <v>-3.2995004256610949E-2</v>
      </c>
    </row>
    <row r="2972" spans="1:3" x14ac:dyDescent="0.6">
      <c r="A2972" s="24">
        <v>33861</v>
      </c>
      <c r="B2972" s="23">
        <v>1.5229820000000001</v>
      </c>
      <c r="C2972" s="32">
        <f t="shared" si="46"/>
        <v>3.9370282939999113E-2</v>
      </c>
    </row>
    <row r="2973" spans="1:3" x14ac:dyDescent="0.6">
      <c r="A2973" s="24">
        <v>33862</v>
      </c>
      <c r="B2973" s="23">
        <v>1.484523</v>
      </c>
      <c r="C2973" s="32">
        <f t="shared" si="46"/>
        <v>-2.5252432399069713E-2</v>
      </c>
    </row>
    <row r="2974" spans="1:3" x14ac:dyDescent="0.6">
      <c r="A2974" s="24">
        <v>33863</v>
      </c>
      <c r="B2974" s="23">
        <v>1.446064</v>
      </c>
      <c r="C2974" s="32">
        <f t="shared" si="46"/>
        <v>-2.5906638024469797E-2</v>
      </c>
    </row>
    <row r="2975" spans="1:3" x14ac:dyDescent="0.6">
      <c r="A2975" s="24">
        <v>33864</v>
      </c>
      <c r="B2975" s="23">
        <v>1.4152960000000001</v>
      </c>
      <c r="C2975" s="32">
        <f t="shared" si="46"/>
        <v>-2.1277066575199899E-2</v>
      </c>
    </row>
    <row r="2976" spans="1:3" x14ac:dyDescent="0.6">
      <c r="A2976" s="24">
        <v>33865</v>
      </c>
      <c r="B2976" s="23">
        <v>1.43068</v>
      </c>
      <c r="C2976" s="32">
        <f t="shared" si="46"/>
        <v>1.0869810979469818E-2</v>
      </c>
    </row>
    <row r="2977" spans="1:3" x14ac:dyDescent="0.6">
      <c r="A2977" s="24">
        <v>33868</v>
      </c>
      <c r="B2977" s="23">
        <v>1.43068</v>
      </c>
      <c r="C2977" s="32">
        <f t="shared" si="46"/>
        <v>0</v>
      </c>
    </row>
    <row r="2978" spans="1:3" x14ac:dyDescent="0.6">
      <c r="A2978" s="24">
        <v>33869</v>
      </c>
      <c r="B2978" s="23">
        <v>1.407605</v>
      </c>
      <c r="C2978" s="32">
        <f t="shared" si="46"/>
        <v>-1.6128694047585768E-2</v>
      </c>
    </row>
    <row r="2979" spans="1:3" x14ac:dyDescent="0.6">
      <c r="A2979" s="24">
        <v>33870</v>
      </c>
      <c r="B2979" s="23">
        <v>1.4614480000000001</v>
      </c>
      <c r="C2979" s="32">
        <f t="shared" si="46"/>
        <v>3.8251498112041427E-2</v>
      </c>
    </row>
    <row r="2980" spans="1:3" x14ac:dyDescent="0.6">
      <c r="A2980" s="24">
        <v>33871</v>
      </c>
      <c r="B2980" s="23">
        <v>1.4229890000000001</v>
      </c>
      <c r="C2980" s="32">
        <f t="shared" si="46"/>
        <v>-2.6315681433756177E-2</v>
      </c>
    </row>
    <row r="2981" spans="1:3" x14ac:dyDescent="0.6">
      <c r="A2981" s="24">
        <v>33872</v>
      </c>
      <c r="B2981" s="23">
        <v>1.399913</v>
      </c>
      <c r="C2981" s="32">
        <f t="shared" si="46"/>
        <v>-1.6216569488590626E-2</v>
      </c>
    </row>
    <row r="2982" spans="1:3" x14ac:dyDescent="0.6">
      <c r="A2982" s="24">
        <v>33875</v>
      </c>
      <c r="B2982" s="23">
        <v>1.3768370000000001</v>
      </c>
      <c r="C2982" s="32">
        <f t="shared" si="46"/>
        <v>-1.6483881498350117E-2</v>
      </c>
    </row>
    <row r="2983" spans="1:3" x14ac:dyDescent="0.6">
      <c r="A2983" s="24">
        <v>33876</v>
      </c>
      <c r="B2983" s="23">
        <v>1.380684</v>
      </c>
      <c r="C2983" s="32">
        <f t="shared" si="46"/>
        <v>2.7940852838788111E-3</v>
      </c>
    </row>
    <row r="2984" spans="1:3" x14ac:dyDescent="0.6">
      <c r="A2984" s="24">
        <v>33877</v>
      </c>
      <c r="B2984" s="23">
        <v>1.3883760000000001</v>
      </c>
      <c r="C2984" s="32">
        <f t="shared" si="46"/>
        <v>5.5711516900318614E-3</v>
      </c>
    </row>
    <row r="2985" spans="1:3" x14ac:dyDescent="0.6">
      <c r="A2985" s="24">
        <v>33878</v>
      </c>
      <c r="B2985" s="23">
        <v>1.3614539999999999</v>
      </c>
      <c r="C2985" s="32">
        <f t="shared" si="46"/>
        <v>-1.9391000708741779E-2</v>
      </c>
    </row>
    <row r="2986" spans="1:3" x14ac:dyDescent="0.6">
      <c r="A2986" s="24">
        <v>33879</v>
      </c>
      <c r="B2986" s="23">
        <v>1.3460700000000001</v>
      </c>
      <c r="C2986" s="32">
        <f t="shared" si="46"/>
        <v>-1.1299684014296374E-2</v>
      </c>
    </row>
    <row r="2987" spans="1:3" x14ac:dyDescent="0.6">
      <c r="A2987" s="24">
        <v>33882</v>
      </c>
      <c r="B2987" s="23">
        <v>1.338379</v>
      </c>
      <c r="C2987" s="32">
        <f t="shared" si="46"/>
        <v>-5.7136701657418687E-3</v>
      </c>
    </row>
    <row r="2988" spans="1:3" x14ac:dyDescent="0.6">
      <c r="A2988" s="24">
        <v>33883</v>
      </c>
      <c r="B2988" s="23">
        <v>1.3768370000000001</v>
      </c>
      <c r="C2988" s="32">
        <f t="shared" si="46"/>
        <v>2.8734760482643562E-2</v>
      </c>
    </row>
    <row r="2989" spans="1:3" x14ac:dyDescent="0.6">
      <c r="A2989" s="24">
        <v>33884</v>
      </c>
      <c r="B2989" s="23">
        <v>1.3460700000000001</v>
      </c>
      <c r="C2989" s="32">
        <f t="shared" si="46"/>
        <v>-2.2346145549545837E-2</v>
      </c>
    </row>
    <row r="2990" spans="1:3" x14ac:dyDescent="0.6">
      <c r="A2990" s="24">
        <v>33885</v>
      </c>
      <c r="B2990" s="23">
        <v>1.338379</v>
      </c>
      <c r="C2990" s="32">
        <f t="shared" si="46"/>
        <v>-5.7136701657418687E-3</v>
      </c>
    </row>
    <row r="2991" spans="1:3" x14ac:dyDescent="0.6">
      <c r="A2991" s="24">
        <v>33886</v>
      </c>
      <c r="B2991" s="23">
        <v>1.3345320000000001</v>
      </c>
      <c r="C2991" s="32">
        <f t="shared" si="46"/>
        <v>-2.8743726552792337E-3</v>
      </c>
    </row>
    <row r="2992" spans="1:3" x14ac:dyDescent="0.6">
      <c r="A2992" s="24">
        <v>33889</v>
      </c>
      <c r="B2992" s="23">
        <v>1.3537619999999999</v>
      </c>
      <c r="C2992" s="32">
        <f t="shared" si="46"/>
        <v>1.4409545818309333E-2</v>
      </c>
    </row>
    <row r="2993" spans="1:3" x14ac:dyDescent="0.6">
      <c r="A2993" s="24">
        <v>33890</v>
      </c>
      <c r="B2993" s="23">
        <v>1.3960669999999999</v>
      </c>
      <c r="C2993" s="32">
        <f t="shared" si="46"/>
        <v>3.1249953832357624E-2</v>
      </c>
    </row>
    <row r="2994" spans="1:3" x14ac:dyDescent="0.6">
      <c r="A2994" s="24">
        <v>33891</v>
      </c>
      <c r="B2994" s="23">
        <v>1.4152960000000001</v>
      </c>
      <c r="C2994" s="32">
        <f t="shared" si="46"/>
        <v>1.3773694242468437E-2</v>
      </c>
    </row>
    <row r="2995" spans="1:3" x14ac:dyDescent="0.6">
      <c r="A2995" s="24">
        <v>33892</v>
      </c>
      <c r="B2995" s="23">
        <v>1.399913</v>
      </c>
      <c r="C2995" s="32">
        <f t="shared" si="46"/>
        <v>-1.0869104413493869E-2</v>
      </c>
    </row>
    <row r="2996" spans="1:3" x14ac:dyDescent="0.6">
      <c r="A2996" s="24">
        <v>33893</v>
      </c>
      <c r="B2996" s="23">
        <v>1.5075989999999999</v>
      </c>
      <c r="C2996" s="32">
        <f t="shared" si="46"/>
        <v>7.6923351665424855E-2</v>
      </c>
    </row>
    <row r="2997" spans="1:3" x14ac:dyDescent="0.6">
      <c r="A2997" s="24">
        <v>33896</v>
      </c>
      <c r="B2997" s="23">
        <v>1.5075989999999999</v>
      </c>
      <c r="C2997" s="32">
        <f t="shared" si="46"/>
        <v>0</v>
      </c>
    </row>
    <row r="2998" spans="1:3" x14ac:dyDescent="0.6">
      <c r="A2998" s="24">
        <v>33897</v>
      </c>
      <c r="B2998" s="23">
        <v>1.511444</v>
      </c>
      <c r="C2998" s="32">
        <f t="shared" si="46"/>
        <v>2.5504129413724819E-3</v>
      </c>
    </row>
    <row r="2999" spans="1:3" x14ac:dyDescent="0.6">
      <c r="A2999" s="24">
        <v>33898</v>
      </c>
      <c r="B2999" s="23">
        <v>1.4922150000000001</v>
      </c>
      <c r="C2999" s="32">
        <f t="shared" si="46"/>
        <v>-1.2722270887971954E-2</v>
      </c>
    </row>
    <row r="3000" spans="1:3" x14ac:dyDescent="0.6">
      <c r="A3000" s="24">
        <v>33899</v>
      </c>
      <c r="B3000" s="23">
        <v>1.4999070000000001</v>
      </c>
      <c r="C3000" s="32">
        <f t="shared" si="46"/>
        <v>5.1547531689468684E-3</v>
      </c>
    </row>
    <row r="3001" spans="1:3" x14ac:dyDescent="0.6">
      <c r="A3001" s="24">
        <v>33900</v>
      </c>
      <c r="B3001" s="23">
        <v>1.4999070000000001</v>
      </c>
      <c r="C3001" s="32">
        <f t="shared" si="46"/>
        <v>0</v>
      </c>
    </row>
    <row r="3002" spans="1:3" x14ac:dyDescent="0.6">
      <c r="A3002" s="24">
        <v>33903</v>
      </c>
      <c r="B3002" s="23">
        <v>1.584517</v>
      </c>
      <c r="C3002" s="32">
        <f t="shared" si="46"/>
        <v>5.6410164096840631E-2</v>
      </c>
    </row>
    <row r="3003" spans="1:3" x14ac:dyDescent="0.6">
      <c r="A3003" s="24">
        <v>33904</v>
      </c>
      <c r="B3003" s="23">
        <v>1.584517</v>
      </c>
      <c r="C3003" s="32">
        <f t="shared" si="46"/>
        <v>0</v>
      </c>
    </row>
    <row r="3004" spans="1:3" x14ac:dyDescent="0.6">
      <c r="A3004" s="24">
        <v>33905</v>
      </c>
      <c r="B3004" s="23">
        <v>1.607593</v>
      </c>
      <c r="C3004" s="32">
        <f t="shared" si="46"/>
        <v>1.4563428476942919E-2</v>
      </c>
    </row>
    <row r="3005" spans="1:3" x14ac:dyDescent="0.6">
      <c r="A3005" s="24">
        <v>33906</v>
      </c>
      <c r="B3005" s="23">
        <v>1.63836</v>
      </c>
      <c r="C3005" s="32">
        <f t="shared" si="46"/>
        <v>1.9138550615734218E-2</v>
      </c>
    </row>
    <row r="3006" spans="1:3" x14ac:dyDescent="0.6">
      <c r="A3006" s="24">
        <v>33907</v>
      </c>
      <c r="B3006" s="23">
        <v>1.6152839999999999</v>
      </c>
      <c r="C3006" s="32">
        <f t="shared" si="46"/>
        <v>-1.4084816523840971E-2</v>
      </c>
    </row>
    <row r="3007" spans="1:3" x14ac:dyDescent="0.6">
      <c r="A3007" s="24">
        <v>33910</v>
      </c>
      <c r="B3007" s="23">
        <v>1.607593</v>
      </c>
      <c r="C3007" s="32">
        <f t="shared" si="46"/>
        <v>-4.7613918047847426E-3</v>
      </c>
    </row>
    <row r="3008" spans="1:3" x14ac:dyDescent="0.6">
      <c r="A3008" s="24">
        <v>33911</v>
      </c>
      <c r="B3008" s="23">
        <v>1.5999000000000001</v>
      </c>
      <c r="C3008" s="32">
        <f t="shared" si="46"/>
        <v>-4.7854152139253925E-3</v>
      </c>
    </row>
    <row r="3009" spans="1:3" x14ac:dyDescent="0.6">
      <c r="A3009" s="24">
        <v>33912</v>
      </c>
      <c r="B3009" s="23">
        <v>1.6152839999999999</v>
      </c>
      <c r="C3009" s="32">
        <f t="shared" si="46"/>
        <v>9.6156009750607563E-3</v>
      </c>
    </row>
    <row r="3010" spans="1:3" x14ac:dyDescent="0.6">
      <c r="A3010" s="24">
        <v>33913</v>
      </c>
      <c r="B3010" s="23">
        <v>1.6922029999999999</v>
      </c>
      <c r="C3010" s="32">
        <f t="shared" si="46"/>
        <v>4.7619489823461425E-2</v>
      </c>
    </row>
    <row r="3011" spans="1:3" x14ac:dyDescent="0.6">
      <c r="A3011" s="24">
        <v>33914</v>
      </c>
      <c r="B3011" s="23">
        <v>1.715279</v>
      </c>
      <c r="C3011" s="32">
        <f t="shared" si="46"/>
        <v>1.3636661795304761E-2</v>
      </c>
    </row>
    <row r="3012" spans="1:3" x14ac:dyDescent="0.6">
      <c r="A3012" s="24">
        <v>33917</v>
      </c>
      <c r="B3012" s="23">
        <v>1.6998949999999999</v>
      </c>
      <c r="C3012" s="32">
        <f t="shared" ref="C3012:C3075" si="47">B3012/B3011-1</f>
        <v>-8.9688033258730204E-3</v>
      </c>
    </row>
    <row r="3013" spans="1:3" x14ac:dyDescent="0.6">
      <c r="A3013" s="24">
        <v>33918</v>
      </c>
      <c r="B3013" s="23">
        <v>1.7306619999999999</v>
      </c>
      <c r="C3013" s="32">
        <f t="shared" si="47"/>
        <v>1.8099353195344392E-2</v>
      </c>
    </row>
    <row r="3014" spans="1:3" x14ac:dyDescent="0.6">
      <c r="A3014" s="24">
        <v>33919</v>
      </c>
      <c r="B3014" s="23">
        <v>1.7460450000000001</v>
      </c>
      <c r="C3014" s="32">
        <f t="shared" si="47"/>
        <v>8.8885062478982757E-3</v>
      </c>
    </row>
    <row r="3015" spans="1:3" x14ac:dyDescent="0.6">
      <c r="A3015" s="24">
        <v>33920</v>
      </c>
      <c r="B3015" s="23">
        <v>1.7498910000000001</v>
      </c>
      <c r="C3015" s="32">
        <f t="shared" si="47"/>
        <v>2.2026923704716594E-3</v>
      </c>
    </row>
    <row r="3016" spans="1:3" x14ac:dyDescent="0.6">
      <c r="A3016" s="24">
        <v>33921</v>
      </c>
      <c r="B3016" s="23">
        <v>1.7306619999999999</v>
      </c>
      <c r="C3016" s="32">
        <f t="shared" si="47"/>
        <v>-1.0988684438059337E-2</v>
      </c>
    </row>
    <row r="3017" spans="1:3" x14ac:dyDescent="0.6">
      <c r="A3017" s="24">
        <v>33924</v>
      </c>
      <c r="B3017" s="23">
        <v>1.7652749999999999</v>
      </c>
      <c r="C3017" s="32">
        <f t="shared" si="47"/>
        <v>1.999986132474163E-2</v>
      </c>
    </row>
    <row r="3018" spans="1:3" x14ac:dyDescent="0.6">
      <c r="A3018" s="24">
        <v>33925</v>
      </c>
      <c r="B3018" s="23">
        <v>1.6998949999999999</v>
      </c>
      <c r="C3018" s="32">
        <f t="shared" si="47"/>
        <v>-3.7036722323717242E-2</v>
      </c>
    </row>
    <row r="3019" spans="1:3" x14ac:dyDescent="0.6">
      <c r="A3019" s="24">
        <v>33926</v>
      </c>
      <c r="B3019" s="23">
        <v>1.776813</v>
      </c>
      <c r="C3019" s="32">
        <f t="shared" si="47"/>
        <v>4.5248677124175352E-2</v>
      </c>
    </row>
    <row r="3020" spans="1:3" x14ac:dyDescent="0.6">
      <c r="A3020" s="24">
        <v>33927</v>
      </c>
      <c r="B3020" s="23">
        <v>1.7921959999999999</v>
      </c>
      <c r="C3020" s="32">
        <f t="shared" si="47"/>
        <v>8.6576358907775042E-3</v>
      </c>
    </row>
    <row r="3021" spans="1:3" x14ac:dyDescent="0.6">
      <c r="A3021" s="24">
        <v>33928</v>
      </c>
      <c r="B3021" s="23">
        <v>1.7691209999999999</v>
      </c>
      <c r="C3021" s="32">
        <f t="shared" si="47"/>
        <v>-1.2875265874937813E-2</v>
      </c>
    </row>
    <row r="3022" spans="1:3" x14ac:dyDescent="0.6">
      <c r="A3022" s="24">
        <v>33931</v>
      </c>
      <c r="B3022" s="23">
        <v>1.7460450000000001</v>
      </c>
      <c r="C3022" s="32">
        <f t="shared" si="47"/>
        <v>-1.3043765802339014E-2</v>
      </c>
    </row>
    <row r="3023" spans="1:3" x14ac:dyDescent="0.6">
      <c r="A3023" s="24">
        <v>33932</v>
      </c>
      <c r="B3023" s="23">
        <v>1.7691209999999999</v>
      </c>
      <c r="C3023" s="32">
        <f t="shared" si="47"/>
        <v>1.3216154222829291E-2</v>
      </c>
    </row>
    <row r="3024" spans="1:3" x14ac:dyDescent="0.6">
      <c r="A3024" s="24">
        <v>33933</v>
      </c>
      <c r="B3024" s="23">
        <v>1.738354</v>
      </c>
      <c r="C3024" s="32">
        <f t="shared" si="47"/>
        <v>-1.7391122483990662E-2</v>
      </c>
    </row>
    <row r="3025" spans="1:3" x14ac:dyDescent="0.6">
      <c r="A3025" s="24">
        <v>33935</v>
      </c>
      <c r="B3025" s="23">
        <v>1.738354</v>
      </c>
      <c r="C3025" s="32">
        <f t="shared" si="47"/>
        <v>0</v>
      </c>
    </row>
    <row r="3026" spans="1:3" x14ac:dyDescent="0.6">
      <c r="A3026" s="24">
        <v>33938</v>
      </c>
      <c r="B3026" s="23">
        <v>1.7728900000000001</v>
      </c>
      <c r="C3026" s="32">
        <f t="shared" si="47"/>
        <v>1.9867069653246805E-2</v>
      </c>
    </row>
    <row r="3027" spans="1:3" x14ac:dyDescent="0.6">
      <c r="A3027" s="24">
        <v>33939</v>
      </c>
      <c r="B3027" s="23">
        <v>1.7960149999999999</v>
      </c>
      <c r="C3027" s="32">
        <f t="shared" si="47"/>
        <v>1.3043674452447584E-2</v>
      </c>
    </row>
    <row r="3028" spans="1:3" x14ac:dyDescent="0.6">
      <c r="A3028" s="24">
        <v>33940</v>
      </c>
      <c r="B3028" s="23">
        <v>1.765182</v>
      </c>
      <c r="C3028" s="32">
        <f t="shared" si="47"/>
        <v>-1.71674512740706E-2</v>
      </c>
    </row>
    <row r="3029" spans="1:3" x14ac:dyDescent="0.6">
      <c r="A3029" s="24">
        <v>33941</v>
      </c>
      <c r="B3029" s="23">
        <v>1.7728900000000001</v>
      </c>
      <c r="C3029" s="32">
        <f t="shared" si="47"/>
        <v>4.3666885341002715E-3</v>
      </c>
    </row>
    <row r="3030" spans="1:3" x14ac:dyDescent="0.6">
      <c r="A3030" s="24">
        <v>33942</v>
      </c>
      <c r="B3030" s="23">
        <v>1.75362</v>
      </c>
      <c r="C3030" s="32">
        <f t="shared" si="47"/>
        <v>-1.0869258668050552E-2</v>
      </c>
    </row>
    <row r="3031" spans="1:3" x14ac:dyDescent="0.6">
      <c r="A3031" s="24">
        <v>33945</v>
      </c>
      <c r="B3031" s="23">
        <v>1.7805979999999999</v>
      </c>
      <c r="C3031" s="32">
        <f t="shared" si="47"/>
        <v>1.5384176731561006E-2</v>
      </c>
    </row>
    <row r="3032" spans="1:3" x14ac:dyDescent="0.6">
      <c r="A3032" s="24">
        <v>33946</v>
      </c>
      <c r="B3032" s="23">
        <v>1.7921609999999999</v>
      </c>
      <c r="C3032" s="32">
        <f t="shared" si="47"/>
        <v>6.493885761974294E-3</v>
      </c>
    </row>
    <row r="3033" spans="1:3" x14ac:dyDescent="0.6">
      <c r="A3033" s="24">
        <v>33947</v>
      </c>
      <c r="B3033" s="23">
        <v>1.7767440000000001</v>
      </c>
      <c r="C3033" s="32">
        <f t="shared" si="47"/>
        <v>-8.602463729541987E-3</v>
      </c>
    </row>
    <row r="3034" spans="1:3" x14ac:dyDescent="0.6">
      <c r="A3034" s="24">
        <v>33948</v>
      </c>
      <c r="B3034" s="23">
        <v>1.765182</v>
      </c>
      <c r="C3034" s="32">
        <f t="shared" si="47"/>
        <v>-6.5074090583674415E-3</v>
      </c>
    </row>
    <row r="3035" spans="1:3" x14ac:dyDescent="0.6">
      <c r="A3035" s="24">
        <v>33949</v>
      </c>
      <c r="B3035" s="23">
        <v>1.7728900000000001</v>
      </c>
      <c r="C3035" s="32">
        <f t="shared" si="47"/>
        <v>4.3666885341002715E-3</v>
      </c>
    </row>
    <row r="3036" spans="1:3" x14ac:dyDescent="0.6">
      <c r="A3036" s="24">
        <v>33952</v>
      </c>
      <c r="B3036" s="23">
        <v>1.765182</v>
      </c>
      <c r="C3036" s="32">
        <f t="shared" si="47"/>
        <v>-4.347703467220243E-3</v>
      </c>
    </row>
    <row r="3037" spans="1:3" x14ac:dyDescent="0.6">
      <c r="A3037" s="24">
        <v>33953</v>
      </c>
      <c r="B3037" s="23">
        <v>1.7382040000000001</v>
      </c>
      <c r="C3037" s="32">
        <f t="shared" si="47"/>
        <v>-1.5283409869350506E-2</v>
      </c>
    </row>
    <row r="3038" spans="1:3" x14ac:dyDescent="0.6">
      <c r="A3038" s="24">
        <v>33954</v>
      </c>
      <c r="B3038" s="23">
        <v>1.695808</v>
      </c>
      <c r="C3038" s="32">
        <f t="shared" si="47"/>
        <v>-2.4390692922119706E-2</v>
      </c>
    </row>
    <row r="3039" spans="1:3" x14ac:dyDescent="0.6">
      <c r="A3039" s="24">
        <v>33955</v>
      </c>
      <c r="B3039" s="23">
        <v>1.75362</v>
      </c>
      <c r="C3039" s="32">
        <f t="shared" si="47"/>
        <v>3.409112352341781E-2</v>
      </c>
    </row>
    <row r="3040" spans="1:3" x14ac:dyDescent="0.6">
      <c r="A3040" s="24">
        <v>33956</v>
      </c>
      <c r="B3040" s="23">
        <v>1.7960149999999999</v>
      </c>
      <c r="C3040" s="32">
        <f t="shared" si="47"/>
        <v>2.4175705112852164E-2</v>
      </c>
    </row>
    <row r="3041" spans="1:3" x14ac:dyDescent="0.6">
      <c r="A3041" s="24">
        <v>33959</v>
      </c>
      <c r="B3041" s="23">
        <v>1.8384100000000001</v>
      </c>
      <c r="C3041" s="32">
        <f t="shared" si="47"/>
        <v>2.3605036706263682E-2</v>
      </c>
    </row>
    <row r="3042" spans="1:3" x14ac:dyDescent="0.6">
      <c r="A3042" s="24">
        <v>33960</v>
      </c>
      <c r="B3042" s="23">
        <v>1.8692439999999999</v>
      </c>
      <c r="C3042" s="32">
        <f t="shared" si="47"/>
        <v>1.67721019794278E-2</v>
      </c>
    </row>
    <row r="3043" spans="1:3" x14ac:dyDescent="0.6">
      <c r="A3043" s="24">
        <v>33961</v>
      </c>
      <c r="B3043" s="23">
        <v>1.8422639999999999</v>
      </c>
      <c r="C3043" s="32">
        <f t="shared" si="47"/>
        <v>-1.443364269191183E-2</v>
      </c>
    </row>
    <row r="3044" spans="1:3" x14ac:dyDescent="0.6">
      <c r="A3044" s="24">
        <v>33962</v>
      </c>
      <c r="B3044" s="23">
        <v>1.81914</v>
      </c>
      <c r="C3044" s="32">
        <f t="shared" si="47"/>
        <v>-1.2551946952228277E-2</v>
      </c>
    </row>
    <row r="3045" spans="1:3" x14ac:dyDescent="0.6">
      <c r="A3045" s="24">
        <v>33966</v>
      </c>
      <c r="B3045" s="23">
        <v>1.8345560000000001</v>
      </c>
      <c r="C3045" s="32">
        <f t="shared" si="47"/>
        <v>8.4743340259683109E-3</v>
      </c>
    </row>
    <row r="3046" spans="1:3" x14ac:dyDescent="0.6">
      <c r="A3046" s="24">
        <v>33967</v>
      </c>
      <c r="B3046" s="23">
        <v>1.8384100000000001</v>
      </c>
      <c r="C3046" s="32">
        <f t="shared" si="47"/>
        <v>2.1007807883761664E-3</v>
      </c>
    </row>
    <row r="3047" spans="1:3" x14ac:dyDescent="0.6">
      <c r="A3047" s="24">
        <v>33968</v>
      </c>
      <c r="B3047" s="23">
        <v>1.811431</v>
      </c>
      <c r="C3047" s="32">
        <f t="shared" si="47"/>
        <v>-1.4675181270772053E-2</v>
      </c>
    </row>
    <row r="3048" spans="1:3" x14ac:dyDescent="0.6">
      <c r="A3048" s="24">
        <v>33969</v>
      </c>
      <c r="B3048" s="23">
        <v>1.8422639999999999</v>
      </c>
      <c r="C3048" s="32">
        <f t="shared" si="47"/>
        <v>1.7021349419326537E-2</v>
      </c>
    </row>
    <row r="3049" spans="1:3" x14ac:dyDescent="0.6">
      <c r="A3049" s="24">
        <v>33973</v>
      </c>
      <c r="B3049" s="23">
        <v>1.7960149999999999</v>
      </c>
      <c r="C3049" s="32">
        <f t="shared" si="47"/>
        <v>-2.5104436714824763E-2</v>
      </c>
    </row>
    <row r="3050" spans="1:3" x14ac:dyDescent="0.6">
      <c r="A3050" s="24">
        <v>33974</v>
      </c>
      <c r="B3050" s="23">
        <v>1.826848</v>
      </c>
      <c r="C3050" s="32">
        <f t="shared" si="47"/>
        <v>1.7167451274070711E-2</v>
      </c>
    </row>
    <row r="3051" spans="1:3" x14ac:dyDescent="0.6">
      <c r="A3051" s="24">
        <v>33975</v>
      </c>
      <c r="B3051" s="23">
        <v>1.9039299999999999</v>
      </c>
      <c r="C3051" s="32">
        <f t="shared" si="47"/>
        <v>4.2193986582353737E-2</v>
      </c>
    </row>
    <row r="3052" spans="1:3" x14ac:dyDescent="0.6">
      <c r="A3052" s="24">
        <v>33976</v>
      </c>
      <c r="B3052" s="23">
        <v>1.8808050000000001</v>
      </c>
      <c r="C3052" s="32">
        <f t="shared" si="47"/>
        <v>-1.2145929734811545E-2</v>
      </c>
    </row>
    <row r="3053" spans="1:3" x14ac:dyDescent="0.6">
      <c r="A3053" s="24">
        <v>33977</v>
      </c>
      <c r="B3053" s="23">
        <v>1.9193469999999999</v>
      </c>
      <c r="C3053" s="32">
        <f t="shared" si="47"/>
        <v>2.0492289205951586E-2</v>
      </c>
    </row>
    <row r="3054" spans="1:3" x14ac:dyDescent="0.6">
      <c r="A3054" s="24">
        <v>33980</v>
      </c>
      <c r="B3054" s="23">
        <v>1.977158</v>
      </c>
      <c r="C3054" s="32">
        <f t="shared" si="47"/>
        <v>3.0120139818386127E-2</v>
      </c>
    </row>
    <row r="3055" spans="1:3" x14ac:dyDescent="0.6">
      <c r="A3055" s="24">
        <v>33981</v>
      </c>
      <c r="B3055" s="23">
        <v>1.8962209999999999</v>
      </c>
      <c r="C3055" s="32">
        <f t="shared" si="47"/>
        <v>-4.0936030403235346E-2</v>
      </c>
    </row>
    <row r="3056" spans="1:3" x14ac:dyDescent="0.6">
      <c r="A3056" s="24">
        <v>33982</v>
      </c>
      <c r="B3056" s="23">
        <v>1.9578880000000001</v>
      </c>
      <c r="C3056" s="32">
        <f t="shared" si="47"/>
        <v>3.2520998343547491E-2</v>
      </c>
    </row>
    <row r="3057" spans="1:3" x14ac:dyDescent="0.6">
      <c r="A3057" s="24">
        <v>33983</v>
      </c>
      <c r="B3057" s="23">
        <v>2.0041370000000001</v>
      </c>
      <c r="C3057" s="32">
        <f t="shared" si="47"/>
        <v>2.3621882354863954E-2</v>
      </c>
    </row>
    <row r="3058" spans="1:3" x14ac:dyDescent="0.6">
      <c r="A3058" s="24">
        <v>33984</v>
      </c>
      <c r="B3058" s="23">
        <v>1.8576809999999999</v>
      </c>
      <c r="C3058" s="32">
        <f t="shared" si="47"/>
        <v>-7.3076840555311384E-2</v>
      </c>
    </row>
    <row r="3059" spans="1:3" x14ac:dyDescent="0.6">
      <c r="A3059" s="24">
        <v>33987</v>
      </c>
      <c r="B3059" s="23">
        <v>1.8345560000000001</v>
      </c>
      <c r="C3059" s="32">
        <f t="shared" si="47"/>
        <v>-1.2448315937989229E-2</v>
      </c>
    </row>
    <row r="3060" spans="1:3" x14ac:dyDescent="0.6">
      <c r="A3060" s="24">
        <v>33988</v>
      </c>
      <c r="B3060" s="23">
        <v>1.8422639999999999</v>
      </c>
      <c r="C3060" s="32">
        <f t="shared" si="47"/>
        <v>4.2015615767518888E-3</v>
      </c>
    </row>
    <row r="3061" spans="1:3" x14ac:dyDescent="0.6">
      <c r="A3061" s="24">
        <v>33989</v>
      </c>
      <c r="B3061" s="23">
        <v>1.8499719999999999</v>
      </c>
      <c r="C3061" s="32">
        <f t="shared" si="47"/>
        <v>4.1839823174094626E-3</v>
      </c>
    </row>
    <row r="3062" spans="1:3" x14ac:dyDescent="0.6">
      <c r="A3062" s="24">
        <v>33990</v>
      </c>
      <c r="B3062" s="23">
        <v>1.8499719999999999</v>
      </c>
      <c r="C3062" s="32">
        <f t="shared" si="47"/>
        <v>0</v>
      </c>
    </row>
    <row r="3063" spans="1:3" x14ac:dyDescent="0.6">
      <c r="A3063" s="24">
        <v>33991</v>
      </c>
      <c r="B3063" s="23">
        <v>1.8345560000000001</v>
      </c>
      <c r="C3063" s="32">
        <f t="shared" si="47"/>
        <v>-8.3330990955537976E-3</v>
      </c>
    </row>
    <row r="3064" spans="1:3" x14ac:dyDescent="0.6">
      <c r="A3064" s="24">
        <v>33994</v>
      </c>
      <c r="B3064" s="23">
        <v>1.8499719999999999</v>
      </c>
      <c r="C3064" s="32">
        <f t="shared" si="47"/>
        <v>8.4031231535039996E-3</v>
      </c>
    </row>
    <row r="3065" spans="1:3" x14ac:dyDescent="0.6">
      <c r="A3065" s="24">
        <v>33995</v>
      </c>
      <c r="B3065" s="23">
        <v>1.873097</v>
      </c>
      <c r="C3065" s="32">
        <f t="shared" si="47"/>
        <v>1.2500189192052646E-2</v>
      </c>
    </row>
    <row r="3066" spans="1:3" x14ac:dyDescent="0.6">
      <c r="A3066" s="24">
        <v>33996</v>
      </c>
      <c r="B3066" s="23">
        <v>1.8576809999999999</v>
      </c>
      <c r="C3066" s="32">
        <f t="shared" si="47"/>
        <v>-8.230219791073301E-3</v>
      </c>
    </row>
    <row r="3067" spans="1:3" x14ac:dyDescent="0.6">
      <c r="A3067" s="24">
        <v>33997</v>
      </c>
      <c r="B3067" s="23">
        <v>1.8461179999999999</v>
      </c>
      <c r="C3067" s="32">
        <f t="shared" si="47"/>
        <v>-6.2244271217717362E-3</v>
      </c>
    </row>
    <row r="3068" spans="1:3" x14ac:dyDescent="0.6">
      <c r="A3068" s="24">
        <v>33998</v>
      </c>
      <c r="B3068" s="23">
        <v>1.8345560000000001</v>
      </c>
      <c r="C3068" s="32">
        <f t="shared" si="47"/>
        <v>-6.2628716040902255E-3</v>
      </c>
    </row>
    <row r="3069" spans="1:3" x14ac:dyDescent="0.6">
      <c r="A3069" s="24">
        <v>34001</v>
      </c>
      <c r="B3069" s="23">
        <v>1.888514</v>
      </c>
      <c r="C3069" s="32">
        <f t="shared" si="47"/>
        <v>2.9412021219303197E-2</v>
      </c>
    </row>
    <row r="3070" spans="1:3" x14ac:dyDescent="0.6">
      <c r="A3070" s="24">
        <v>34002</v>
      </c>
      <c r="B3070" s="23">
        <v>1.8576809999999999</v>
      </c>
      <c r="C3070" s="32">
        <f t="shared" si="47"/>
        <v>-1.6326593289750613E-2</v>
      </c>
    </row>
    <row r="3071" spans="1:3" x14ac:dyDescent="0.6">
      <c r="A3071" s="24">
        <v>34003</v>
      </c>
      <c r="B3071" s="23">
        <v>1.8499719999999999</v>
      </c>
      <c r="C3071" s="32">
        <f t="shared" si="47"/>
        <v>-4.1497975163657941E-3</v>
      </c>
    </row>
    <row r="3072" spans="1:3" x14ac:dyDescent="0.6">
      <c r="A3072" s="24">
        <v>34004</v>
      </c>
      <c r="B3072" s="23">
        <v>1.8345560000000001</v>
      </c>
      <c r="C3072" s="32">
        <f t="shared" si="47"/>
        <v>-8.3330990955537976E-3</v>
      </c>
    </row>
    <row r="3073" spans="1:3" x14ac:dyDescent="0.6">
      <c r="A3073" s="24">
        <v>34005</v>
      </c>
      <c r="B3073" s="23">
        <v>1.765182</v>
      </c>
      <c r="C3073" s="32">
        <f t="shared" si="47"/>
        <v>-3.7815144372807419E-2</v>
      </c>
    </row>
    <row r="3074" spans="1:3" x14ac:dyDescent="0.6">
      <c r="A3074" s="24">
        <v>34008</v>
      </c>
      <c r="B3074" s="23">
        <v>1.7420580000000001</v>
      </c>
      <c r="C3074" s="32">
        <f t="shared" si="47"/>
        <v>-1.3100065602300481E-2</v>
      </c>
    </row>
    <row r="3075" spans="1:3" x14ac:dyDescent="0.6">
      <c r="A3075" s="24">
        <v>34009</v>
      </c>
      <c r="B3075" s="23">
        <v>1.75362</v>
      </c>
      <c r="C3075" s="32">
        <f t="shared" si="47"/>
        <v>6.6369776436834282E-3</v>
      </c>
    </row>
    <row r="3076" spans="1:3" x14ac:dyDescent="0.6">
      <c r="A3076" s="24">
        <v>34010</v>
      </c>
      <c r="B3076" s="23">
        <v>1.718933</v>
      </c>
      <c r="C3076" s="32">
        <f t="shared" ref="C3076:C3139" si="48">B3076/B3075-1</f>
        <v>-1.978022604669194E-2</v>
      </c>
    </row>
    <row r="3077" spans="1:3" x14ac:dyDescent="0.6">
      <c r="A3077" s="24">
        <v>34011</v>
      </c>
      <c r="B3077" s="23">
        <v>1.699662</v>
      </c>
      <c r="C3077" s="32">
        <f t="shared" si="48"/>
        <v>-1.1211024513462786E-2</v>
      </c>
    </row>
    <row r="3078" spans="1:3" x14ac:dyDescent="0.6">
      <c r="A3078" s="24">
        <v>34012</v>
      </c>
      <c r="B3078" s="23">
        <v>1.6647479999999999</v>
      </c>
      <c r="C3078" s="32">
        <f t="shared" si="48"/>
        <v>-2.0541731238328587E-2</v>
      </c>
    </row>
    <row r="3079" spans="1:3" x14ac:dyDescent="0.6">
      <c r="A3079" s="24">
        <v>34016</v>
      </c>
      <c r="B3079" s="23">
        <v>1.6377109999999999</v>
      </c>
      <c r="C3079" s="32">
        <f t="shared" si="48"/>
        <v>-1.6240896520073878E-2</v>
      </c>
    </row>
    <row r="3080" spans="1:3" x14ac:dyDescent="0.6">
      <c r="A3080" s="24">
        <v>34017</v>
      </c>
      <c r="B3080" s="23">
        <v>1.6647479999999999</v>
      </c>
      <c r="C3080" s="32">
        <f t="shared" si="48"/>
        <v>1.6509017769313461E-2</v>
      </c>
    </row>
    <row r="3081" spans="1:3" x14ac:dyDescent="0.6">
      <c r="A3081" s="24">
        <v>34018</v>
      </c>
      <c r="B3081" s="23">
        <v>1.699511</v>
      </c>
      <c r="C3081" s="32">
        <f t="shared" si="48"/>
        <v>2.0881839173256367E-2</v>
      </c>
    </row>
    <row r="3082" spans="1:3" x14ac:dyDescent="0.6">
      <c r="A3082" s="24">
        <v>34019</v>
      </c>
      <c r="B3082" s="23">
        <v>1.699511</v>
      </c>
      <c r="C3082" s="32">
        <f t="shared" si="48"/>
        <v>0</v>
      </c>
    </row>
    <row r="3083" spans="1:3" x14ac:dyDescent="0.6">
      <c r="A3083" s="24">
        <v>34022</v>
      </c>
      <c r="B3083" s="23">
        <v>1.7033739999999999</v>
      </c>
      <c r="C3083" s="32">
        <f t="shared" si="48"/>
        <v>2.2730067648870644E-3</v>
      </c>
    </row>
    <row r="3084" spans="1:3" x14ac:dyDescent="0.6">
      <c r="A3084" s="24">
        <v>34023</v>
      </c>
      <c r="B3084" s="23">
        <v>1.676336</v>
      </c>
      <c r="C3084" s="32">
        <f t="shared" si="48"/>
        <v>-1.5873202244486517E-2</v>
      </c>
    </row>
    <row r="3085" spans="1:3" x14ac:dyDescent="0.6">
      <c r="A3085" s="24">
        <v>34024</v>
      </c>
      <c r="B3085" s="23">
        <v>1.6570229999999999</v>
      </c>
      <c r="C3085" s="32">
        <f t="shared" si="48"/>
        <v>-1.1520959998472913E-2</v>
      </c>
    </row>
    <row r="3086" spans="1:3" x14ac:dyDescent="0.6">
      <c r="A3086" s="24">
        <v>34025</v>
      </c>
      <c r="B3086" s="23">
        <v>1.691786</v>
      </c>
      <c r="C3086" s="32">
        <f t="shared" si="48"/>
        <v>2.0979189787951213E-2</v>
      </c>
    </row>
    <row r="3087" spans="1:3" x14ac:dyDescent="0.6">
      <c r="A3087" s="24">
        <v>34026</v>
      </c>
      <c r="B3087" s="23">
        <v>1.6377109999999999</v>
      </c>
      <c r="C3087" s="32">
        <f t="shared" si="48"/>
        <v>-3.1963262493010403E-2</v>
      </c>
    </row>
    <row r="3088" spans="1:3" x14ac:dyDescent="0.6">
      <c r="A3088" s="24">
        <v>34029</v>
      </c>
      <c r="B3088" s="23">
        <v>1.6454359999999999</v>
      </c>
      <c r="C3088" s="32">
        <f t="shared" si="48"/>
        <v>4.7169494495671316E-3</v>
      </c>
    </row>
    <row r="3089" spans="1:3" x14ac:dyDescent="0.6">
      <c r="A3089" s="24">
        <v>34030</v>
      </c>
      <c r="B3089" s="23">
        <v>1.676336</v>
      </c>
      <c r="C3089" s="32">
        <f t="shared" si="48"/>
        <v>1.8779217180127317E-2</v>
      </c>
    </row>
    <row r="3090" spans="1:3" x14ac:dyDescent="0.6">
      <c r="A3090" s="24">
        <v>34031</v>
      </c>
      <c r="B3090" s="23">
        <v>1.687924</v>
      </c>
      <c r="C3090" s="32">
        <f t="shared" si="48"/>
        <v>6.9126953069074126E-3</v>
      </c>
    </row>
    <row r="3091" spans="1:3" x14ac:dyDescent="0.6">
      <c r="A3091" s="24">
        <v>34032</v>
      </c>
      <c r="B3091" s="23">
        <v>1.699511</v>
      </c>
      <c r="C3091" s="32">
        <f t="shared" si="48"/>
        <v>6.8646455646106386E-3</v>
      </c>
    </row>
    <row r="3092" spans="1:3" x14ac:dyDescent="0.6">
      <c r="A3092" s="24">
        <v>34033</v>
      </c>
      <c r="B3092" s="23">
        <v>1.699511</v>
      </c>
      <c r="C3092" s="32">
        <f t="shared" si="48"/>
        <v>0</v>
      </c>
    </row>
    <row r="3093" spans="1:3" x14ac:dyDescent="0.6">
      <c r="A3093" s="24">
        <v>34036</v>
      </c>
      <c r="B3093" s="23">
        <v>1.7458610000000001</v>
      </c>
      <c r="C3093" s="32">
        <f t="shared" si="48"/>
        <v>2.7272550751363145E-2</v>
      </c>
    </row>
    <row r="3094" spans="1:3" x14ac:dyDescent="0.6">
      <c r="A3094" s="24">
        <v>34037</v>
      </c>
      <c r="B3094" s="23">
        <v>1.7535860000000001</v>
      </c>
      <c r="C3094" s="32">
        <f t="shared" si="48"/>
        <v>4.424750882229489E-3</v>
      </c>
    </row>
    <row r="3095" spans="1:3" x14ac:dyDescent="0.6">
      <c r="A3095" s="24">
        <v>34038</v>
      </c>
      <c r="B3095" s="23">
        <v>1.7535860000000001</v>
      </c>
      <c r="C3095" s="32">
        <f t="shared" si="48"/>
        <v>0</v>
      </c>
    </row>
    <row r="3096" spans="1:3" x14ac:dyDescent="0.6">
      <c r="A3096" s="24">
        <v>34039</v>
      </c>
      <c r="B3096" s="23">
        <v>1.757449</v>
      </c>
      <c r="C3096" s="32">
        <f t="shared" si="48"/>
        <v>2.2029144849469162E-3</v>
      </c>
    </row>
    <row r="3097" spans="1:3" x14ac:dyDescent="0.6">
      <c r="A3097" s="24">
        <v>34040</v>
      </c>
      <c r="B3097" s="23">
        <v>1.738137</v>
      </c>
      <c r="C3097" s="32">
        <f t="shared" si="48"/>
        <v>-1.0988654578312107E-2</v>
      </c>
    </row>
    <row r="3098" spans="1:3" x14ac:dyDescent="0.6">
      <c r="A3098" s="24">
        <v>34043</v>
      </c>
      <c r="B3098" s="23">
        <v>1.761312</v>
      </c>
      <c r="C3098" s="32">
        <f t="shared" si="48"/>
        <v>1.333324128075053E-2</v>
      </c>
    </row>
    <row r="3099" spans="1:3" x14ac:dyDescent="0.6">
      <c r="A3099" s="24">
        <v>34044</v>
      </c>
      <c r="B3099" s="23">
        <v>1.7458610000000001</v>
      </c>
      <c r="C3099" s="32">
        <f t="shared" si="48"/>
        <v>-8.7724378190802144E-3</v>
      </c>
    </row>
    <row r="3100" spans="1:3" x14ac:dyDescent="0.6">
      <c r="A3100" s="24">
        <v>34045</v>
      </c>
      <c r="B3100" s="23">
        <v>1.7033739999999999</v>
      </c>
      <c r="C3100" s="32">
        <f t="shared" si="48"/>
        <v>-2.4335843460619233E-2</v>
      </c>
    </row>
    <row r="3101" spans="1:3" x14ac:dyDescent="0.6">
      <c r="A3101" s="24">
        <v>34046</v>
      </c>
      <c r="B3101" s="23">
        <v>1.684061</v>
      </c>
      <c r="C3101" s="32">
        <f t="shared" si="48"/>
        <v>-1.133808547036641E-2</v>
      </c>
    </row>
    <row r="3102" spans="1:3" x14ac:dyDescent="0.6">
      <c r="A3102" s="24">
        <v>34047</v>
      </c>
      <c r="B3102" s="23">
        <v>1.6608860000000001</v>
      </c>
      <c r="C3102" s="32">
        <f t="shared" si="48"/>
        <v>-1.3761378002340785E-2</v>
      </c>
    </row>
    <row r="3103" spans="1:3" x14ac:dyDescent="0.6">
      <c r="A3103" s="24">
        <v>34050</v>
      </c>
      <c r="B3103" s="23">
        <v>1.6454359999999999</v>
      </c>
      <c r="C3103" s="32">
        <f t="shared" si="48"/>
        <v>-9.3022639723618905E-3</v>
      </c>
    </row>
    <row r="3104" spans="1:3" x14ac:dyDescent="0.6">
      <c r="A3104" s="24">
        <v>34051</v>
      </c>
      <c r="B3104" s="23">
        <v>1.6299859999999999</v>
      </c>
      <c r="C3104" s="32">
        <f t="shared" si="48"/>
        <v>-9.3896085900636583E-3</v>
      </c>
    </row>
    <row r="3105" spans="1:3" x14ac:dyDescent="0.6">
      <c r="A3105" s="24">
        <v>34052</v>
      </c>
      <c r="B3105" s="23">
        <v>1.6608860000000001</v>
      </c>
      <c r="C3105" s="32">
        <f t="shared" si="48"/>
        <v>1.8957218037455537E-2</v>
      </c>
    </row>
    <row r="3106" spans="1:3" x14ac:dyDescent="0.6">
      <c r="A3106" s="24">
        <v>34053</v>
      </c>
      <c r="B3106" s="23">
        <v>1.691786</v>
      </c>
      <c r="C3106" s="32">
        <f t="shared" si="48"/>
        <v>1.8604527944723337E-2</v>
      </c>
    </row>
    <row r="3107" spans="1:3" x14ac:dyDescent="0.6">
      <c r="A3107" s="24">
        <v>34054</v>
      </c>
      <c r="B3107" s="23">
        <v>1.6454359999999999</v>
      </c>
      <c r="C3107" s="32">
        <f t="shared" si="48"/>
        <v>-2.7397082136866091E-2</v>
      </c>
    </row>
    <row r="3108" spans="1:3" x14ac:dyDescent="0.6">
      <c r="A3108" s="24">
        <v>34057</v>
      </c>
      <c r="B3108" s="23">
        <v>1.5759110000000001</v>
      </c>
      <c r="C3108" s="32">
        <f t="shared" si="48"/>
        <v>-4.2253238655286407E-2</v>
      </c>
    </row>
    <row r="3109" spans="1:3" x14ac:dyDescent="0.6">
      <c r="A3109" s="24">
        <v>34058</v>
      </c>
      <c r="B3109" s="23">
        <v>1.614536</v>
      </c>
      <c r="C3109" s="32">
        <f t="shared" si="48"/>
        <v>2.4509632840940876E-2</v>
      </c>
    </row>
    <row r="3110" spans="1:3" x14ac:dyDescent="0.6">
      <c r="A3110" s="24">
        <v>34059</v>
      </c>
      <c r="B3110" s="23">
        <v>1.591361</v>
      </c>
      <c r="C3110" s="32">
        <f t="shared" si="48"/>
        <v>-1.435396918990961E-2</v>
      </c>
    </row>
    <row r="3111" spans="1:3" x14ac:dyDescent="0.6">
      <c r="A3111" s="24">
        <v>34060</v>
      </c>
      <c r="B3111" s="23">
        <v>1.5990850000000001</v>
      </c>
      <c r="C3111" s="32">
        <f t="shared" si="48"/>
        <v>4.8537069841476654E-3</v>
      </c>
    </row>
    <row r="3112" spans="1:3" x14ac:dyDescent="0.6">
      <c r="A3112" s="24">
        <v>34061</v>
      </c>
      <c r="B3112" s="23">
        <v>1.5488729999999999</v>
      </c>
      <c r="C3112" s="32">
        <f t="shared" si="48"/>
        <v>-3.1400457136425031E-2</v>
      </c>
    </row>
    <row r="3113" spans="1:3" x14ac:dyDescent="0.6">
      <c r="A3113" s="24">
        <v>34064</v>
      </c>
      <c r="B3113" s="23">
        <v>1.54501</v>
      </c>
      <c r="C3113" s="32">
        <f t="shared" si="48"/>
        <v>-2.4940714958553434E-3</v>
      </c>
    </row>
    <row r="3114" spans="1:3" x14ac:dyDescent="0.6">
      <c r="A3114" s="24">
        <v>34065</v>
      </c>
      <c r="B3114" s="23">
        <v>1.5063850000000001</v>
      </c>
      <c r="C3114" s="32">
        <f t="shared" si="48"/>
        <v>-2.4999838188749512E-2</v>
      </c>
    </row>
    <row r="3115" spans="1:3" x14ac:dyDescent="0.6">
      <c r="A3115" s="24">
        <v>34066</v>
      </c>
      <c r="B3115" s="23">
        <v>1.56046</v>
      </c>
      <c r="C3115" s="32">
        <f t="shared" si="48"/>
        <v>3.5897197595568198E-2</v>
      </c>
    </row>
    <row r="3116" spans="1:3" x14ac:dyDescent="0.6">
      <c r="A3116" s="24">
        <v>34067</v>
      </c>
      <c r="B3116" s="23">
        <v>1.5372859999999999</v>
      </c>
      <c r="C3116" s="32">
        <f t="shared" si="48"/>
        <v>-1.4850749138074715E-2</v>
      </c>
    </row>
    <row r="3117" spans="1:3" x14ac:dyDescent="0.6">
      <c r="A3117" s="24">
        <v>34071</v>
      </c>
      <c r="B3117" s="23">
        <v>1.54501</v>
      </c>
      <c r="C3117" s="32">
        <f t="shared" si="48"/>
        <v>5.0244391739728833E-3</v>
      </c>
    </row>
    <row r="3118" spans="1:3" x14ac:dyDescent="0.6">
      <c r="A3118" s="24">
        <v>34072</v>
      </c>
      <c r="B3118" s="23">
        <v>1.4986600000000001</v>
      </c>
      <c r="C3118" s="32">
        <f t="shared" si="48"/>
        <v>-2.9999805826499415E-2</v>
      </c>
    </row>
    <row r="3119" spans="1:3" x14ac:dyDescent="0.6">
      <c r="A3119" s="24">
        <v>34073</v>
      </c>
      <c r="B3119" s="23">
        <v>1.5063850000000001</v>
      </c>
      <c r="C3119" s="32">
        <f t="shared" si="48"/>
        <v>5.1546047802704109E-3</v>
      </c>
    </row>
    <row r="3120" spans="1:3" x14ac:dyDescent="0.6">
      <c r="A3120" s="24">
        <v>34074</v>
      </c>
      <c r="B3120" s="23">
        <v>1.4600340000000001</v>
      </c>
      <c r="C3120" s="32">
        <f t="shared" si="48"/>
        <v>-3.07696903514042E-2</v>
      </c>
    </row>
    <row r="3121" spans="1:3" x14ac:dyDescent="0.6">
      <c r="A3121" s="24">
        <v>34075</v>
      </c>
      <c r="B3121" s="23">
        <v>1.4870719999999999</v>
      </c>
      <c r="C3121" s="32">
        <f t="shared" si="48"/>
        <v>1.8518746823704024E-2</v>
      </c>
    </row>
    <row r="3122" spans="1:3" x14ac:dyDescent="0.6">
      <c r="A3122" s="24">
        <v>34078</v>
      </c>
      <c r="B3122" s="23">
        <v>1.4986600000000001</v>
      </c>
      <c r="C3122" s="32">
        <f t="shared" si="48"/>
        <v>7.7924942437219702E-3</v>
      </c>
    </row>
    <row r="3123" spans="1:3" x14ac:dyDescent="0.6">
      <c r="A3123" s="24">
        <v>34079</v>
      </c>
      <c r="B3123" s="23">
        <v>1.54501</v>
      </c>
      <c r="C3123" s="32">
        <f t="shared" si="48"/>
        <v>3.0927628681622243E-2</v>
      </c>
    </row>
    <row r="3124" spans="1:3" x14ac:dyDescent="0.6">
      <c r="A3124" s="24">
        <v>34080</v>
      </c>
      <c r="B3124" s="23">
        <v>1.533423</v>
      </c>
      <c r="C3124" s="32">
        <f t="shared" si="48"/>
        <v>-7.4996278341240563E-3</v>
      </c>
    </row>
    <row r="3125" spans="1:3" x14ac:dyDescent="0.6">
      <c r="A3125" s="24">
        <v>34081</v>
      </c>
      <c r="B3125" s="23">
        <v>1.54501</v>
      </c>
      <c r="C3125" s="32">
        <f t="shared" si="48"/>
        <v>7.5562972513130156E-3</v>
      </c>
    </row>
    <row r="3126" spans="1:3" x14ac:dyDescent="0.6">
      <c r="A3126" s="24">
        <v>34082</v>
      </c>
      <c r="B3126" s="23">
        <v>1.521835</v>
      </c>
      <c r="C3126" s="32">
        <f t="shared" si="48"/>
        <v>-1.4999902913249707E-2</v>
      </c>
    </row>
    <row r="3127" spans="1:3" x14ac:dyDescent="0.6">
      <c r="A3127" s="24">
        <v>34085</v>
      </c>
      <c r="B3127" s="23">
        <v>1.5141100000000001</v>
      </c>
      <c r="C3127" s="32">
        <f t="shared" si="48"/>
        <v>-5.0761087765756052E-3</v>
      </c>
    </row>
    <row r="3128" spans="1:3" x14ac:dyDescent="0.6">
      <c r="A3128" s="24">
        <v>34086</v>
      </c>
      <c r="B3128" s="23">
        <v>1.552735</v>
      </c>
      <c r="C3128" s="32">
        <f t="shared" si="48"/>
        <v>2.5510035598470315E-2</v>
      </c>
    </row>
    <row r="3129" spans="1:3" x14ac:dyDescent="0.6">
      <c r="A3129" s="24">
        <v>34087</v>
      </c>
      <c r="B3129" s="23">
        <v>1.5874980000000001</v>
      </c>
      <c r="C3129" s="32">
        <f t="shared" si="48"/>
        <v>2.2388237529263E-2</v>
      </c>
    </row>
    <row r="3130" spans="1:3" x14ac:dyDescent="0.6">
      <c r="A3130" s="24">
        <v>34088</v>
      </c>
      <c r="B3130" s="23">
        <v>1.5681860000000001</v>
      </c>
      <c r="C3130" s="32">
        <f t="shared" si="48"/>
        <v>-1.2165054696131938E-2</v>
      </c>
    </row>
    <row r="3131" spans="1:3" x14ac:dyDescent="0.6">
      <c r="A3131" s="24">
        <v>34089</v>
      </c>
      <c r="B3131" s="23">
        <v>1.583636</v>
      </c>
      <c r="C3131" s="32">
        <f t="shared" si="48"/>
        <v>9.8521476406496777E-3</v>
      </c>
    </row>
    <row r="3132" spans="1:3" x14ac:dyDescent="0.6">
      <c r="A3132" s="24">
        <v>34092</v>
      </c>
      <c r="B3132" s="23">
        <v>1.602948</v>
      </c>
      <c r="C3132" s="32">
        <f t="shared" si="48"/>
        <v>1.2194721514287465E-2</v>
      </c>
    </row>
    <row r="3133" spans="1:3" x14ac:dyDescent="0.6">
      <c r="A3133" s="24">
        <v>34093</v>
      </c>
      <c r="B3133" s="23">
        <v>1.6492990000000001</v>
      </c>
      <c r="C3133" s="32">
        <f t="shared" si="48"/>
        <v>2.8916097091109538E-2</v>
      </c>
    </row>
    <row r="3134" spans="1:3" x14ac:dyDescent="0.6">
      <c r="A3134" s="24">
        <v>34094</v>
      </c>
      <c r="B3134" s="23">
        <v>1.684061</v>
      </c>
      <c r="C3134" s="32">
        <f t="shared" si="48"/>
        <v>2.1076833248549809E-2</v>
      </c>
    </row>
    <row r="3135" spans="1:3" x14ac:dyDescent="0.6">
      <c r="A3135" s="24">
        <v>34095</v>
      </c>
      <c r="B3135" s="23">
        <v>1.6608860000000001</v>
      </c>
      <c r="C3135" s="32">
        <f t="shared" si="48"/>
        <v>-1.3761378002340785E-2</v>
      </c>
    </row>
    <row r="3136" spans="1:3" x14ac:dyDescent="0.6">
      <c r="A3136" s="24">
        <v>34096</v>
      </c>
      <c r="B3136" s="23">
        <v>1.691786</v>
      </c>
      <c r="C3136" s="32">
        <f t="shared" si="48"/>
        <v>1.8604527944723337E-2</v>
      </c>
    </row>
    <row r="3137" spans="1:3" x14ac:dyDescent="0.6">
      <c r="A3137" s="24">
        <v>34099</v>
      </c>
      <c r="B3137" s="23">
        <v>1.699511</v>
      </c>
      <c r="C3137" s="32">
        <f t="shared" si="48"/>
        <v>4.5661803561443115E-3</v>
      </c>
    </row>
    <row r="3138" spans="1:3" x14ac:dyDescent="0.6">
      <c r="A3138" s="24">
        <v>34100</v>
      </c>
      <c r="B3138" s="23">
        <v>1.684061</v>
      </c>
      <c r="C3138" s="32">
        <f t="shared" si="48"/>
        <v>-9.0908502504544186E-3</v>
      </c>
    </row>
    <row r="3139" spans="1:3" x14ac:dyDescent="0.6">
      <c r="A3139" s="24">
        <v>34101</v>
      </c>
      <c r="B3139" s="23">
        <v>1.6454359999999999</v>
      </c>
      <c r="C3139" s="32">
        <f t="shared" si="48"/>
        <v>-2.2935630003901308E-2</v>
      </c>
    </row>
    <row r="3140" spans="1:3" x14ac:dyDescent="0.6">
      <c r="A3140" s="24">
        <v>34102</v>
      </c>
      <c r="B3140" s="23">
        <v>1.7149620000000001</v>
      </c>
      <c r="C3140" s="32">
        <f t="shared" ref="C3140:C3203" si="49">B3140/B3139-1</f>
        <v>4.2253846396942851E-2</v>
      </c>
    </row>
    <row r="3141" spans="1:3" x14ac:dyDescent="0.6">
      <c r="A3141" s="24">
        <v>34103</v>
      </c>
      <c r="B3141" s="23">
        <v>1.7149620000000001</v>
      </c>
      <c r="C3141" s="32">
        <f t="shared" si="49"/>
        <v>0</v>
      </c>
    </row>
    <row r="3142" spans="1:3" x14ac:dyDescent="0.6">
      <c r="A3142" s="24">
        <v>34106</v>
      </c>
      <c r="B3142" s="23">
        <v>1.7226870000000001</v>
      </c>
      <c r="C3142" s="32">
        <f t="shared" si="49"/>
        <v>4.5044729854073484E-3</v>
      </c>
    </row>
    <row r="3143" spans="1:3" x14ac:dyDescent="0.6">
      <c r="A3143" s="24">
        <v>34107</v>
      </c>
      <c r="B3143" s="23">
        <v>1.7149620000000001</v>
      </c>
      <c r="C3143" s="32">
        <f t="shared" si="49"/>
        <v>-4.4842736956858253E-3</v>
      </c>
    </row>
    <row r="3144" spans="1:3" x14ac:dyDescent="0.6">
      <c r="A3144" s="24">
        <v>34108</v>
      </c>
      <c r="B3144" s="23">
        <v>1.769037</v>
      </c>
      <c r="C3144" s="32">
        <f t="shared" si="49"/>
        <v>3.1531310897850773E-2</v>
      </c>
    </row>
    <row r="3145" spans="1:3" x14ac:dyDescent="0.6">
      <c r="A3145" s="24">
        <v>34109</v>
      </c>
      <c r="B3145" s="23">
        <v>1.8153870000000001</v>
      </c>
      <c r="C3145" s="32">
        <f t="shared" si="49"/>
        <v>2.620069563270877E-2</v>
      </c>
    </row>
    <row r="3146" spans="1:3" x14ac:dyDescent="0.6">
      <c r="A3146" s="24">
        <v>34110</v>
      </c>
      <c r="B3146" s="23">
        <v>1.776762</v>
      </c>
      <c r="C3146" s="32">
        <f t="shared" si="49"/>
        <v>-2.1276455102961611E-2</v>
      </c>
    </row>
    <row r="3147" spans="1:3" x14ac:dyDescent="0.6">
      <c r="A3147" s="24">
        <v>34113</v>
      </c>
      <c r="B3147" s="23">
        <v>1.780624</v>
      </c>
      <c r="C3147" s="32">
        <f t="shared" si="49"/>
        <v>2.1736169503849823E-3</v>
      </c>
    </row>
    <row r="3148" spans="1:3" x14ac:dyDescent="0.6">
      <c r="A3148" s="24">
        <v>34114</v>
      </c>
      <c r="B3148" s="23">
        <v>1.7419990000000001</v>
      </c>
      <c r="C3148" s="32">
        <f t="shared" si="49"/>
        <v>-2.1691833873967781E-2</v>
      </c>
    </row>
    <row r="3149" spans="1:3" x14ac:dyDescent="0.6">
      <c r="A3149" s="24">
        <v>34115</v>
      </c>
      <c r="B3149" s="23">
        <v>1.7844869999999999</v>
      </c>
      <c r="C3149" s="32">
        <f t="shared" si="49"/>
        <v>2.4390369914104371E-2</v>
      </c>
    </row>
    <row r="3150" spans="1:3" x14ac:dyDescent="0.6">
      <c r="A3150" s="24">
        <v>34116</v>
      </c>
      <c r="B3150" s="23">
        <v>1.776762</v>
      </c>
      <c r="C3150" s="32">
        <f t="shared" si="49"/>
        <v>-4.3289752180878383E-3</v>
      </c>
    </row>
    <row r="3151" spans="1:3" x14ac:dyDescent="0.6">
      <c r="A3151" s="24">
        <v>34117</v>
      </c>
      <c r="B3151" s="23">
        <v>1.753387</v>
      </c>
      <c r="C3151" s="32">
        <f t="shared" si="49"/>
        <v>-1.3155954483492938E-2</v>
      </c>
    </row>
    <row r="3152" spans="1:3" x14ac:dyDescent="0.6">
      <c r="A3152" s="24">
        <v>34121</v>
      </c>
      <c r="B3152" s="23">
        <v>1.764999</v>
      </c>
      <c r="C3152" s="32">
        <f t="shared" si="49"/>
        <v>6.6226109809186529E-3</v>
      </c>
    </row>
    <row r="3153" spans="1:3" x14ac:dyDescent="0.6">
      <c r="A3153" s="24">
        <v>34122</v>
      </c>
      <c r="B3153" s="23">
        <v>1.764999</v>
      </c>
      <c r="C3153" s="32">
        <f t="shared" si="49"/>
        <v>0</v>
      </c>
    </row>
    <row r="3154" spans="1:3" x14ac:dyDescent="0.6">
      <c r="A3154" s="24">
        <v>34123</v>
      </c>
      <c r="B3154" s="23">
        <v>1.745646</v>
      </c>
      <c r="C3154" s="32">
        <f t="shared" si="49"/>
        <v>-1.0964878733642269E-2</v>
      </c>
    </row>
    <row r="3155" spans="1:3" x14ac:dyDescent="0.6">
      <c r="A3155" s="24">
        <v>34124</v>
      </c>
      <c r="B3155" s="23">
        <v>1.699198</v>
      </c>
      <c r="C3155" s="32">
        <f t="shared" si="49"/>
        <v>-2.6607914777681207E-2</v>
      </c>
    </row>
    <row r="3156" spans="1:3" x14ac:dyDescent="0.6">
      <c r="A3156" s="24">
        <v>34127</v>
      </c>
      <c r="B3156" s="23">
        <v>1.5714680000000001</v>
      </c>
      <c r="C3156" s="32">
        <f t="shared" si="49"/>
        <v>-7.5170757027727131E-2</v>
      </c>
    </row>
    <row r="3157" spans="1:3" x14ac:dyDescent="0.6">
      <c r="A3157" s="24">
        <v>34128</v>
      </c>
      <c r="B3157" s="23">
        <v>1.532762</v>
      </c>
      <c r="C3157" s="32">
        <f t="shared" si="49"/>
        <v>-2.463047290813436E-2</v>
      </c>
    </row>
    <row r="3158" spans="1:3" x14ac:dyDescent="0.6">
      <c r="A3158" s="24">
        <v>34129</v>
      </c>
      <c r="B3158" s="23">
        <v>1.370196</v>
      </c>
      <c r="C3158" s="32">
        <f t="shared" si="49"/>
        <v>-0.10606082353294244</v>
      </c>
    </row>
    <row r="3159" spans="1:3" x14ac:dyDescent="0.6">
      <c r="A3159" s="24">
        <v>34130</v>
      </c>
      <c r="B3159" s="23">
        <v>1.3779380000000001</v>
      </c>
      <c r="C3159" s="32">
        <f t="shared" si="49"/>
        <v>5.6502865283507564E-3</v>
      </c>
    </row>
    <row r="3160" spans="1:3" x14ac:dyDescent="0.6">
      <c r="A3160" s="24">
        <v>34131</v>
      </c>
      <c r="B3160" s="23">
        <v>1.3547149999999999</v>
      </c>
      <c r="C3160" s="32">
        <f t="shared" si="49"/>
        <v>-1.685344333344474E-2</v>
      </c>
    </row>
    <row r="3161" spans="1:3" x14ac:dyDescent="0.6">
      <c r="A3161" s="24">
        <v>34134</v>
      </c>
      <c r="B3161" s="23">
        <v>1.3818079999999999</v>
      </c>
      <c r="C3161" s="32">
        <f t="shared" si="49"/>
        <v>1.9999040388568812E-2</v>
      </c>
    </row>
    <row r="3162" spans="1:3" x14ac:dyDescent="0.6">
      <c r="A3162" s="24">
        <v>34135</v>
      </c>
      <c r="B3162" s="23">
        <v>1.3005249999999999</v>
      </c>
      <c r="C3162" s="32">
        <f t="shared" si="49"/>
        <v>-5.8823657121684025E-2</v>
      </c>
    </row>
    <row r="3163" spans="1:3" x14ac:dyDescent="0.6">
      <c r="A3163" s="24">
        <v>34136</v>
      </c>
      <c r="B3163" s="23">
        <v>1.3082670000000001</v>
      </c>
      <c r="C3163" s="32">
        <f t="shared" si="49"/>
        <v>5.9529805270950309E-3</v>
      </c>
    </row>
    <row r="3164" spans="1:3" x14ac:dyDescent="0.6">
      <c r="A3164" s="24">
        <v>34137</v>
      </c>
      <c r="B3164" s="23">
        <v>1.2773019999999999</v>
      </c>
      <c r="C3164" s="32">
        <f t="shared" si="49"/>
        <v>-2.366871594254083E-2</v>
      </c>
    </row>
    <row r="3165" spans="1:3" x14ac:dyDescent="0.6">
      <c r="A3165" s="24">
        <v>34138</v>
      </c>
      <c r="B3165" s="23">
        <v>1.2695609999999999</v>
      </c>
      <c r="C3165" s="32">
        <f t="shared" si="49"/>
        <v>-6.0604305011657811E-3</v>
      </c>
    </row>
    <row r="3166" spans="1:3" x14ac:dyDescent="0.6">
      <c r="A3166" s="24">
        <v>34141</v>
      </c>
      <c r="B3166" s="23">
        <v>1.2269840000000001</v>
      </c>
      <c r="C3166" s="32">
        <f t="shared" si="49"/>
        <v>-3.353678948864991E-2</v>
      </c>
    </row>
    <row r="3167" spans="1:3" x14ac:dyDescent="0.6">
      <c r="A3167" s="24">
        <v>34142</v>
      </c>
      <c r="B3167" s="23">
        <v>1.281172</v>
      </c>
      <c r="C3167" s="32">
        <f t="shared" si="49"/>
        <v>4.4163575075143457E-2</v>
      </c>
    </row>
    <row r="3168" spans="1:3" x14ac:dyDescent="0.6">
      <c r="A3168" s="24">
        <v>34143</v>
      </c>
      <c r="B3168" s="23">
        <v>1.254078</v>
      </c>
      <c r="C3168" s="32">
        <f t="shared" si="49"/>
        <v>-2.1147824023628359E-2</v>
      </c>
    </row>
    <row r="3169" spans="1:3" x14ac:dyDescent="0.6">
      <c r="A3169" s="24">
        <v>34144</v>
      </c>
      <c r="B3169" s="23">
        <v>1.2927839999999999</v>
      </c>
      <c r="C3169" s="32">
        <f t="shared" si="49"/>
        <v>3.0864108931023315E-2</v>
      </c>
    </row>
    <row r="3170" spans="1:3" x14ac:dyDescent="0.6">
      <c r="A3170" s="24">
        <v>34145</v>
      </c>
      <c r="B3170" s="23">
        <v>1.238596</v>
      </c>
      <c r="C3170" s="32">
        <f t="shared" si="49"/>
        <v>-4.1915741531454498E-2</v>
      </c>
    </row>
    <row r="3171" spans="1:3" x14ac:dyDescent="0.6">
      <c r="A3171" s="24">
        <v>34148</v>
      </c>
      <c r="B3171" s="23">
        <v>1.2424660000000001</v>
      </c>
      <c r="C3171" s="32">
        <f t="shared" si="49"/>
        <v>3.1245054884725398E-3</v>
      </c>
    </row>
    <row r="3172" spans="1:3" x14ac:dyDescent="0.6">
      <c r="A3172" s="24">
        <v>34149</v>
      </c>
      <c r="B3172" s="23">
        <v>1.2076309999999999</v>
      </c>
      <c r="C3172" s="32">
        <f t="shared" si="49"/>
        <v>-2.803698451305725E-2</v>
      </c>
    </row>
    <row r="3173" spans="1:3" x14ac:dyDescent="0.6">
      <c r="A3173" s="24">
        <v>34150</v>
      </c>
      <c r="B3173" s="23">
        <v>1.2231129999999999</v>
      </c>
      <c r="C3173" s="32">
        <f t="shared" si="49"/>
        <v>1.2820141251756567E-2</v>
      </c>
    </row>
    <row r="3174" spans="1:3" x14ac:dyDescent="0.6">
      <c r="A3174" s="24">
        <v>34151</v>
      </c>
      <c r="B3174" s="23">
        <v>1.176666</v>
      </c>
      <c r="C3174" s="32">
        <f t="shared" si="49"/>
        <v>-3.7974414465384521E-2</v>
      </c>
    </row>
    <row r="3175" spans="1:3" x14ac:dyDescent="0.6">
      <c r="A3175" s="24">
        <v>34152</v>
      </c>
      <c r="B3175" s="23">
        <v>1.192148</v>
      </c>
      <c r="C3175" s="32">
        <f t="shared" si="49"/>
        <v>1.3157514536835446E-2</v>
      </c>
    </row>
    <row r="3176" spans="1:3" x14ac:dyDescent="0.6">
      <c r="A3176" s="24">
        <v>34156</v>
      </c>
      <c r="B3176" s="23">
        <v>1.168925</v>
      </c>
      <c r="C3176" s="32">
        <f t="shared" si="49"/>
        <v>-1.947996389710005E-2</v>
      </c>
    </row>
    <row r="3177" spans="1:3" x14ac:dyDescent="0.6">
      <c r="A3177" s="24">
        <v>34157</v>
      </c>
      <c r="B3177" s="23">
        <v>1.1302190000000001</v>
      </c>
      <c r="C3177" s="32">
        <f t="shared" si="49"/>
        <v>-3.3112475137412556E-2</v>
      </c>
    </row>
    <row r="3178" spans="1:3" x14ac:dyDescent="0.6">
      <c r="A3178" s="24">
        <v>34158</v>
      </c>
      <c r="B3178" s="23">
        <v>1.1302190000000001</v>
      </c>
      <c r="C3178" s="32">
        <f t="shared" si="49"/>
        <v>0</v>
      </c>
    </row>
    <row r="3179" spans="1:3" x14ac:dyDescent="0.6">
      <c r="A3179" s="24">
        <v>34159</v>
      </c>
      <c r="B3179" s="23">
        <v>1.1379600000000001</v>
      </c>
      <c r="C3179" s="32">
        <f t="shared" si="49"/>
        <v>6.8491150830061187E-3</v>
      </c>
    </row>
    <row r="3180" spans="1:3" x14ac:dyDescent="0.6">
      <c r="A3180" s="24">
        <v>34162</v>
      </c>
      <c r="B3180" s="23">
        <v>1.176666</v>
      </c>
      <c r="C3180" s="32">
        <f t="shared" si="49"/>
        <v>3.4013497838236706E-2</v>
      </c>
    </row>
    <row r="3181" spans="1:3" x14ac:dyDescent="0.6">
      <c r="A3181" s="24">
        <v>34163</v>
      </c>
      <c r="B3181" s="23">
        <v>1.153443</v>
      </c>
      <c r="C3181" s="32">
        <f t="shared" si="49"/>
        <v>-1.9736271805253169E-2</v>
      </c>
    </row>
    <row r="3182" spans="1:3" x14ac:dyDescent="0.6">
      <c r="A3182" s="24">
        <v>34164</v>
      </c>
      <c r="B3182" s="23">
        <v>1.153443</v>
      </c>
      <c r="C3182" s="32">
        <f t="shared" si="49"/>
        <v>0</v>
      </c>
    </row>
    <row r="3183" spans="1:3" x14ac:dyDescent="0.6">
      <c r="A3183" s="24">
        <v>34165</v>
      </c>
      <c r="B3183" s="23">
        <v>1.106995</v>
      </c>
      <c r="C3183" s="32">
        <f t="shared" si="49"/>
        <v>-4.0269003323094466E-2</v>
      </c>
    </row>
    <row r="3184" spans="1:3" x14ac:dyDescent="0.6">
      <c r="A3184" s="24">
        <v>34166</v>
      </c>
      <c r="B3184" s="23">
        <v>0.85153500000000004</v>
      </c>
      <c r="C3184" s="32">
        <f t="shared" si="49"/>
        <v>-0.2307688833282896</v>
      </c>
    </row>
    <row r="3185" spans="1:3" x14ac:dyDescent="0.6">
      <c r="A3185" s="24">
        <v>34169</v>
      </c>
      <c r="B3185" s="23">
        <v>0.79347500000000004</v>
      </c>
      <c r="C3185" s="32">
        <f t="shared" si="49"/>
        <v>-6.8182752323744711E-2</v>
      </c>
    </row>
    <row r="3186" spans="1:3" x14ac:dyDescent="0.6">
      <c r="A3186" s="24">
        <v>34170</v>
      </c>
      <c r="B3186" s="23">
        <v>0.83218099999999995</v>
      </c>
      <c r="C3186" s="32">
        <f t="shared" si="49"/>
        <v>4.8780364850814273E-2</v>
      </c>
    </row>
    <row r="3187" spans="1:3" x14ac:dyDescent="0.6">
      <c r="A3187" s="24">
        <v>34171</v>
      </c>
      <c r="B3187" s="23">
        <v>0.81282799999999999</v>
      </c>
      <c r="C3187" s="32">
        <f t="shared" si="49"/>
        <v>-2.3255758062248444E-2</v>
      </c>
    </row>
    <row r="3188" spans="1:3" x14ac:dyDescent="0.6">
      <c r="A3188" s="24">
        <v>34172</v>
      </c>
      <c r="B3188" s="23">
        <v>0.82057000000000002</v>
      </c>
      <c r="C3188" s="32">
        <f t="shared" si="49"/>
        <v>9.5247703081093871E-3</v>
      </c>
    </row>
    <row r="3189" spans="1:3" x14ac:dyDescent="0.6">
      <c r="A3189" s="24">
        <v>34173</v>
      </c>
      <c r="B3189" s="23">
        <v>0.81282799999999999</v>
      </c>
      <c r="C3189" s="32">
        <f t="shared" si="49"/>
        <v>-9.4349050050575034E-3</v>
      </c>
    </row>
    <row r="3190" spans="1:3" x14ac:dyDescent="0.6">
      <c r="A3190" s="24">
        <v>34176</v>
      </c>
      <c r="B3190" s="23">
        <v>0.83218099999999995</v>
      </c>
      <c r="C3190" s="32">
        <f t="shared" si="49"/>
        <v>2.3809465225115289E-2</v>
      </c>
    </row>
    <row r="3191" spans="1:3" x14ac:dyDescent="0.6">
      <c r="A3191" s="24">
        <v>34177</v>
      </c>
      <c r="B3191" s="23">
        <v>0.82057000000000002</v>
      </c>
      <c r="C3191" s="32">
        <f t="shared" si="49"/>
        <v>-1.3952493508022856E-2</v>
      </c>
    </row>
    <row r="3192" spans="1:3" x14ac:dyDescent="0.6">
      <c r="A3192" s="24">
        <v>34178</v>
      </c>
      <c r="B3192" s="23">
        <v>0.83218099999999995</v>
      </c>
      <c r="C3192" s="32">
        <f t="shared" si="49"/>
        <v>1.4149920177437547E-2</v>
      </c>
    </row>
    <row r="3193" spans="1:3" x14ac:dyDescent="0.6">
      <c r="A3193" s="24">
        <v>34179</v>
      </c>
      <c r="B3193" s="23">
        <v>0.84379300000000002</v>
      </c>
      <c r="C3193" s="32">
        <f t="shared" si="49"/>
        <v>1.3953695169680813E-2</v>
      </c>
    </row>
    <row r="3194" spans="1:3" x14ac:dyDescent="0.6">
      <c r="A3194" s="24">
        <v>34180</v>
      </c>
      <c r="B3194" s="23">
        <v>0.85927600000000004</v>
      </c>
      <c r="C3194" s="32">
        <f t="shared" si="49"/>
        <v>1.8349287088184063E-2</v>
      </c>
    </row>
    <row r="3195" spans="1:3" x14ac:dyDescent="0.6">
      <c r="A3195" s="24">
        <v>34183</v>
      </c>
      <c r="B3195" s="23">
        <v>0.88249999999999995</v>
      </c>
      <c r="C3195" s="32">
        <f t="shared" si="49"/>
        <v>2.7027404466085203E-2</v>
      </c>
    </row>
    <row r="3196" spans="1:3" x14ac:dyDescent="0.6">
      <c r="A3196" s="24">
        <v>34184</v>
      </c>
      <c r="B3196" s="23">
        <v>0.89798199999999995</v>
      </c>
      <c r="C3196" s="32">
        <f t="shared" si="49"/>
        <v>1.7543342776203952E-2</v>
      </c>
    </row>
    <row r="3197" spans="1:3" x14ac:dyDescent="0.6">
      <c r="A3197" s="24">
        <v>34185</v>
      </c>
      <c r="B3197" s="23">
        <v>0.93668799999999997</v>
      </c>
      <c r="C3197" s="32">
        <f t="shared" si="49"/>
        <v>4.3103313874888416E-2</v>
      </c>
    </row>
    <row r="3198" spans="1:3" x14ac:dyDescent="0.6">
      <c r="A3198" s="24">
        <v>34186</v>
      </c>
      <c r="B3198" s="23">
        <v>0.91346400000000005</v>
      </c>
      <c r="C3198" s="32">
        <f t="shared" si="49"/>
        <v>-2.4793741352510001E-2</v>
      </c>
    </row>
    <row r="3199" spans="1:3" x14ac:dyDescent="0.6">
      <c r="A3199" s="24">
        <v>34187</v>
      </c>
      <c r="B3199" s="23">
        <v>0.90572299999999994</v>
      </c>
      <c r="C3199" s="32">
        <f t="shared" si="49"/>
        <v>-8.4743350586340416E-3</v>
      </c>
    </row>
    <row r="3200" spans="1:3" x14ac:dyDescent="0.6">
      <c r="A3200" s="24">
        <v>34190</v>
      </c>
      <c r="B3200" s="23">
        <v>0.92120500000000005</v>
      </c>
      <c r="C3200" s="32">
        <f t="shared" si="49"/>
        <v>1.7093526387206737E-2</v>
      </c>
    </row>
    <row r="3201" spans="1:3" x14ac:dyDescent="0.6">
      <c r="A3201" s="24">
        <v>34191</v>
      </c>
      <c r="B3201" s="23">
        <v>0.88249999999999995</v>
      </c>
      <c r="C3201" s="32">
        <f t="shared" si="49"/>
        <v>-4.2015620844437551E-2</v>
      </c>
    </row>
    <row r="3202" spans="1:3" x14ac:dyDescent="0.6">
      <c r="A3202" s="24">
        <v>34192</v>
      </c>
      <c r="B3202" s="23">
        <v>0.85153500000000004</v>
      </c>
      <c r="C3202" s="32">
        <f t="shared" si="49"/>
        <v>-3.508781869688371E-2</v>
      </c>
    </row>
    <row r="3203" spans="1:3" x14ac:dyDescent="0.6">
      <c r="A3203" s="24">
        <v>34193</v>
      </c>
      <c r="B3203" s="23">
        <v>0.82057000000000002</v>
      </c>
      <c r="C3203" s="32">
        <f t="shared" si="49"/>
        <v>-3.6363743122713732E-2</v>
      </c>
    </row>
    <row r="3204" spans="1:3" x14ac:dyDescent="0.6">
      <c r="A3204" s="24">
        <v>34194</v>
      </c>
      <c r="B3204" s="23">
        <v>0.84766399999999997</v>
      </c>
      <c r="C3204" s="32">
        <f t="shared" ref="C3204:C3267" si="50">B3204/B3203-1</f>
        <v>3.3018511522478144E-2</v>
      </c>
    </row>
    <row r="3205" spans="1:3" x14ac:dyDescent="0.6">
      <c r="A3205" s="24">
        <v>34197</v>
      </c>
      <c r="B3205" s="23">
        <v>0.85528800000000005</v>
      </c>
      <c r="C3205" s="32">
        <f t="shared" si="50"/>
        <v>8.9941297495235162E-3</v>
      </c>
    </row>
    <row r="3206" spans="1:3" x14ac:dyDescent="0.6">
      <c r="A3206" s="24">
        <v>34198</v>
      </c>
      <c r="B3206" s="23">
        <v>0.88250099999999998</v>
      </c>
      <c r="C3206" s="32">
        <f t="shared" si="50"/>
        <v>3.1817352751353889E-2</v>
      </c>
    </row>
    <row r="3207" spans="1:3" x14ac:dyDescent="0.6">
      <c r="A3207" s="24">
        <v>34199</v>
      </c>
      <c r="B3207" s="23">
        <v>0.88638899999999998</v>
      </c>
      <c r="C3207" s="32">
        <f t="shared" si="50"/>
        <v>4.4056607301294903E-3</v>
      </c>
    </row>
    <row r="3208" spans="1:3" x14ac:dyDescent="0.6">
      <c r="A3208" s="24">
        <v>34200</v>
      </c>
      <c r="B3208" s="23">
        <v>0.85528800000000005</v>
      </c>
      <c r="C3208" s="32">
        <f t="shared" si="50"/>
        <v>-3.5087303655618407E-2</v>
      </c>
    </row>
    <row r="3209" spans="1:3" x14ac:dyDescent="0.6">
      <c r="A3209" s="24">
        <v>34201</v>
      </c>
      <c r="B3209" s="23">
        <v>0.870838</v>
      </c>
      <c r="C3209" s="32">
        <f t="shared" si="50"/>
        <v>1.8181010373113926E-2</v>
      </c>
    </row>
    <row r="3210" spans="1:3" x14ac:dyDescent="0.6">
      <c r="A3210" s="24">
        <v>34204</v>
      </c>
      <c r="B3210" s="23">
        <v>0.88250099999999998</v>
      </c>
      <c r="C3210" s="32">
        <f t="shared" si="50"/>
        <v>1.3392846890007082E-2</v>
      </c>
    </row>
    <row r="3211" spans="1:3" x14ac:dyDescent="0.6">
      <c r="A3211" s="24">
        <v>34205</v>
      </c>
      <c r="B3211" s="23">
        <v>0.870838</v>
      </c>
      <c r="C3211" s="32">
        <f t="shared" si="50"/>
        <v>-1.3215849047196526E-2</v>
      </c>
    </row>
    <row r="3212" spans="1:3" x14ac:dyDescent="0.6">
      <c r="A3212" s="24">
        <v>34206</v>
      </c>
      <c r="B3212" s="23">
        <v>0.84751200000000004</v>
      </c>
      <c r="C3212" s="32">
        <f t="shared" si="50"/>
        <v>-2.6785693780014164E-2</v>
      </c>
    </row>
    <row r="3213" spans="1:3" x14ac:dyDescent="0.6">
      <c r="A3213" s="24">
        <v>34207</v>
      </c>
      <c r="B3213" s="23">
        <v>0.83584899999999995</v>
      </c>
      <c r="C3213" s="32">
        <f t="shared" si="50"/>
        <v>-1.3761457064914828E-2</v>
      </c>
    </row>
    <row r="3214" spans="1:3" x14ac:dyDescent="0.6">
      <c r="A3214" s="24">
        <v>34208</v>
      </c>
      <c r="B3214" s="23">
        <v>0.82418599999999997</v>
      </c>
      <c r="C3214" s="32">
        <f t="shared" si="50"/>
        <v>-1.3953477242899082E-2</v>
      </c>
    </row>
    <row r="3215" spans="1:3" x14ac:dyDescent="0.6">
      <c r="A3215" s="24">
        <v>34211</v>
      </c>
      <c r="B3215" s="23">
        <v>0.80863499999999999</v>
      </c>
      <c r="C3215" s="32">
        <f t="shared" si="50"/>
        <v>-1.8868313705886708E-2</v>
      </c>
    </row>
    <row r="3216" spans="1:3" x14ac:dyDescent="0.6">
      <c r="A3216" s="24">
        <v>34212</v>
      </c>
      <c r="B3216" s="23">
        <v>0.82418599999999997</v>
      </c>
      <c r="C3216" s="32">
        <f t="shared" si="50"/>
        <v>1.9231173520809719E-2</v>
      </c>
    </row>
    <row r="3217" spans="1:3" x14ac:dyDescent="0.6">
      <c r="A3217" s="24">
        <v>34213</v>
      </c>
      <c r="B3217" s="23">
        <v>0.812523</v>
      </c>
      <c r="C3217" s="32">
        <f t="shared" si="50"/>
        <v>-1.4150931949826862E-2</v>
      </c>
    </row>
    <row r="3218" spans="1:3" x14ac:dyDescent="0.6">
      <c r="A3218" s="24">
        <v>34214</v>
      </c>
      <c r="B3218" s="23">
        <v>0.80086000000000002</v>
      </c>
      <c r="C3218" s="32">
        <f t="shared" si="50"/>
        <v>-1.4354055208283256E-2</v>
      </c>
    </row>
    <row r="3219" spans="1:3" x14ac:dyDescent="0.6">
      <c r="A3219" s="24">
        <v>34215</v>
      </c>
      <c r="B3219" s="23">
        <v>0.80086000000000002</v>
      </c>
      <c r="C3219" s="32">
        <f t="shared" si="50"/>
        <v>0</v>
      </c>
    </row>
    <row r="3220" spans="1:3" x14ac:dyDescent="0.6">
      <c r="A3220" s="24">
        <v>34219</v>
      </c>
      <c r="B3220" s="23">
        <v>0.816411</v>
      </c>
      <c r="C3220" s="32">
        <f t="shared" si="50"/>
        <v>1.9417875783532601E-2</v>
      </c>
    </row>
    <row r="3221" spans="1:3" x14ac:dyDescent="0.6">
      <c r="A3221" s="24">
        <v>34220</v>
      </c>
      <c r="B3221" s="23">
        <v>0.83196099999999995</v>
      </c>
      <c r="C3221" s="32">
        <f t="shared" si="50"/>
        <v>1.9046779134529013E-2</v>
      </c>
    </row>
    <row r="3222" spans="1:3" x14ac:dyDescent="0.6">
      <c r="A3222" s="24">
        <v>34221</v>
      </c>
      <c r="B3222" s="23">
        <v>0.80863499999999999</v>
      </c>
      <c r="C3222" s="32">
        <f t="shared" si="50"/>
        <v>-2.8037371944117484E-2</v>
      </c>
    </row>
    <row r="3223" spans="1:3" x14ac:dyDescent="0.6">
      <c r="A3223" s="24">
        <v>34222</v>
      </c>
      <c r="B3223" s="23">
        <v>0.816411</v>
      </c>
      <c r="C3223" s="32">
        <f t="shared" si="50"/>
        <v>9.6162050863493054E-3</v>
      </c>
    </row>
    <row r="3224" spans="1:3" x14ac:dyDescent="0.6">
      <c r="A3224" s="24">
        <v>34225</v>
      </c>
      <c r="B3224" s="23">
        <v>0.78530900000000003</v>
      </c>
      <c r="C3224" s="32">
        <f t="shared" si="50"/>
        <v>-3.8096008015570559E-2</v>
      </c>
    </row>
    <row r="3225" spans="1:3" x14ac:dyDescent="0.6">
      <c r="A3225" s="24">
        <v>34226</v>
      </c>
      <c r="B3225" s="23">
        <v>0.75420799999999999</v>
      </c>
      <c r="C3225" s="32">
        <f t="shared" si="50"/>
        <v>-3.9603519124319253E-2</v>
      </c>
    </row>
    <row r="3226" spans="1:3" x14ac:dyDescent="0.6">
      <c r="A3226" s="24">
        <v>34227</v>
      </c>
      <c r="B3226" s="23">
        <v>0.76198299999999997</v>
      </c>
      <c r="C3226" s="32">
        <f t="shared" si="50"/>
        <v>1.0308827273112886E-2</v>
      </c>
    </row>
    <row r="3227" spans="1:3" x14ac:dyDescent="0.6">
      <c r="A3227" s="24">
        <v>34228</v>
      </c>
      <c r="B3227" s="23">
        <v>0.76975899999999997</v>
      </c>
      <c r="C3227" s="32">
        <f t="shared" si="50"/>
        <v>1.0204952078983309E-2</v>
      </c>
    </row>
    <row r="3228" spans="1:3" x14ac:dyDescent="0.6">
      <c r="A3228" s="24">
        <v>34229</v>
      </c>
      <c r="B3228" s="23">
        <v>0.78530900000000003</v>
      </c>
      <c r="C3228" s="32">
        <f t="shared" si="50"/>
        <v>2.0201127885481229E-2</v>
      </c>
    </row>
    <row r="3229" spans="1:3" x14ac:dyDescent="0.6">
      <c r="A3229" s="24">
        <v>34232</v>
      </c>
      <c r="B3229" s="23">
        <v>0.77364599999999994</v>
      </c>
      <c r="C3229" s="32">
        <f t="shared" si="50"/>
        <v>-1.4851478844633226E-2</v>
      </c>
    </row>
    <row r="3230" spans="1:3" x14ac:dyDescent="0.6">
      <c r="A3230" s="24">
        <v>34233</v>
      </c>
      <c r="B3230" s="23">
        <v>0.76198299999999997</v>
      </c>
      <c r="C3230" s="32">
        <f t="shared" si="50"/>
        <v>-1.5075370389040943E-2</v>
      </c>
    </row>
    <row r="3231" spans="1:3" x14ac:dyDescent="0.6">
      <c r="A3231" s="24">
        <v>34234</v>
      </c>
      <c r="B3231" s="23">
        <v>0.79308500000000004</v>
      </c>
      <c r="C3231" s="32">
        <f t="shared" si="50"/>
        <v>4.0817183585460715E-2</v>
      </c>
    </row>
    <row r="3232" spans="1:3" x14ac:dyDescent="0.6">
      <c r="A3232" s="24">
        <v>34235</v>
      </c>
      <c r="B3232" s="23">
        <v>0.76975899999999997</v>
      </c>
      <c r="C3232" s="32">
        <f t="shared" si="50"/>
        <v>-2.9411727620620831E-2</v>
      </c>
    </row>
    <row r="3233" spans="1:3" x14ac:dyDescent="0.6">
      <c r="A3233" s="24">
        <v>34236</v>
      </c>
      <c r="B3233" s="23">
        <v>0.77753399999999995</v>
      </c>
      <c r="C3233" s="32">
        <f t="shared" si="50"/>
        <v>1.0100563942740504E-2</v>
      </c>
    </row>
    <row r="3234" spans="1:3" x14ac:dyDescent="0.6">
      <c r="A3234" s="24">
        <v>34239</v>
      </c>
      <c r="B3234" s="23">
        <v>0.76975899999999997</v>
      </c>
      <c r="C3234" s="32">
        <f t="shared" si="50"/>
        <v>-9.9995627200868409E-3</v>
      </c>
    </row>
    <row r="3235" spans="1:3" x14ac:dyDescent="0.6">
      <c r="A3235" s="24">
        <v>34240</v>
      </c>
      <c r="B3235" s="23">
        <v>0.76975899999999997</v>
      </c>
      <c r="C3235" s="32">
        <f t="shared" si="50"/>
        <v>0</v>
      </c>
    </row>
    <row r="3236" spans="1:3" x14ac:dyDescent="0.6">
      <c r="A3236" s="24">
        <v>34241</v>
      </c>
      <c r="B3236" s="23">
        <v>0.74254500000000001</v>
      </c>
      <c r="C3236" s="32">
        <f t="shared" si="50"/>
        <v>-3.5353922461445642E-2</v>
      </c>
    </row>
    <row r="3237" spans="1:3" x14ac:dyDescent="0.6">
      <c r="A3237" s="24">
        <v>34242</v>
      </c>
      <c r="B3237" s="23">
        <v>0.72699400000000003</v>
      </c>
      <c r="C3237" s="32">
        <f t="shared" si="50"/>
        <v>-2.0942838481169512E-2</v>
      </c>
    </row>
    <row r="3238" spans="1:3" x14ac:dyDescent="0.6">
      <c r="A3238" s="24">
        <v>34243</v>
      </c>
      <c r="B3238" s="23">
        <v>0.70755599999999996</v>
      </c>
      <c r="C3238" s="32">
        <f t="shared" si="50"/>
        <v>-2.6737497145781219E-2</v>
      </c>
    </row>
    <row r="3239" spans="1:3" x14ac:dyDescent="0.6">
      <c r="A3239" s="24">
        <v>34246</v>
      </c>
      <c r="B3239" s="23">
        <v>0.70755599999999996</v>
      </c>
      <c r="C3239" s="32">
        <f t="shared" si="50"/>
        <v>0</v>
      </c>
    </row>
    <row r="3240" spans="1:3" x14ac:dyDescent="0.6">
      <c r="A3240" s="24">
        <v>34247</v>
      </c>
      <c r="B3240" s="23">
        <v>0.73088200000000003</v>
      </c>
      <c r="C3240" s="32">
        <f t="shared" si="50"/>
        <v>3.2967001905149562E-2</v>
      </c>
    </row>
    <row r="3241" spans="1:3" x14ac:dyDescent="0.6">
      <c r="A3241" s="24">
        <v>34248</v>
      </c>
      <c r="B3241" s="23">
        <v>0.73477000000000003</v>
      </c>
      <c r="C3241" s="32">
        <f t="shared" si="50"/>
        <v>5.319600154334081E-3</v>
      </c>
    </row>
    <row r="3242" spans="1:3" x14ac:dyDescent="0.6">
      <c r="A3242" s="24">
        <v>34249</v>
      </c>
      <c r="B3242" s="23">
        <v>0.71533100000000005</v>
      </c>
      <c r="C3242" s="32">
        <f t="shared" si="50"/>
        <v>-2.6455897763926095E-2</v>
      </c>
    </row>
    <row r="3243" spans="1:3" x14ac:dyDescent="0.6">
      <c r="A3243" s="24">
        <v>34250</v>
      </c>
      <c r="B3243" s="23">
        <v>0.70366799999999996</v>
      </c>
      <c r="C3243" s="32">
        <f t="shared" si="50"/>
        <v>-1.6304340228509684E-2</v>
      </c>
    </row>
    <row r="3244" spans="1:3" x14ac:dyDescent="0.6">
      <c r="A3244" s="24">
        <v>34253</v>
      </c>
      <c r="B3244" s="23">
        <v>0.73865700000000001</v>
      </c>
      <c r="C3244" s="32">
        <f t="shared" si="50"/>
        <v>4.9723733351523691E-2</v>
      </c>
    </row>
    <row r="3245" spans="1:3" x14ac:dyDescent="0.6">
      <c r="A3245" s="24">
        <v>34254</v>
      </c>
      <c r="B3245" s="23">
        <v>0.74643300000000001</v>
      </c>
      <c r="C3245" s="32">
        <f t="shared" si="50"/>
        <v>1.0527213578156003E-2</v>
      </c>
    </row>
    <row r="3246" spans="1:3" x14ac:dyDescent="0.6">
      <c r="A3246" s="24">
        <v>34255</v>
      </c>
      <c r="B3246" s="23">
        <v>0.74643300000000001</v>
      </c>
      <c r="C3246" s="32">
        <f t="shared" si="50"/>
        <v>0</v>
      </c>
    </row>
    <row r="3247" spans="1:3" x14ac:dyDescent="0.6">
      <c r="A3247" s="24">
        <v>34256</v>
      </c>
      <c r="B3247" s="23">
        <v>0.73865700000000001</v>
      </c>
      <c r="C3247" s="32">
        <f t="shared" si="50"/>
        <v>-1.0417545848053322E-2</v>
      </c>
    </row>
    <row r="3248" spans="1:3" x14ac:dyDescent="0.6">
      <c r="A3248" s="24">
        <v>34257</v>
      </c>
      <c r="B3248" s="23">
        <v>0.87861299999999998</v>
      </c>
      <c r="C3248" s="32">
        <f t="shared" si="50"/>
        <v>0.18947359870684233</v>
      </c>
    </row>
    <row r="3249" spans="1:3" x14ac:dyDescent="0.6">
      <c r="A3249" s="24">
        <v>34260</v>
      </c>
      <c r="B3249" s="23">
        <v>0.88250099999999998</v>
      </c>
      <c r="C3249" s="32">
        <f t="shared" si="50"/>
        <v>4.4251564682060707E-3</v>
      </c>
    </row>
    <row r="3250" spans="1:3" x14ac:dyDescent="0.6">
      <c r="A3250" s="24">
        <v>34261</v>
      </c>
      <c r="B3250" s="23">
        <v>0.86306300000000002</v>
      </c>
      <c r="C3250" s="32">
        <f t="shared" si="50"/>
        <v>-2.2026037364263562E-2</v>
      </c>
    </row>
    <row r="3251" spans="1:3" x14ac:dyDescent="0.6">
      <c r="A3251" s="24">
        <v>34262</v>
      </c>
      <c r="B3251" s="23">
        <v>0.86306300000000002</v>
      </c>
      <c r="C3251" s="32">
        <f t="shared" si="50"/>
        <v>0</v>
      </c>
    </row>
    <row r="3252" spans="1:3" x14ac:dyDescent="0.6">
      <c r="A3252" s="24">
        <v>34263</v>
      </c>
      <c r="B3252" s="23">
        <v>0.94081599999999999</v>
      </c>
      <c r="C3252" s="32">
        <f t="shared" si="50"/>
        <v>9.0089599484626248E-2</v>
      </c>
    </row>
    <row r="3253" spans="1:3" x14ac:dyDescent="0.6">
      <c r="A3253" s="24">
        <v>34264</v>
      </c>
      <c r="B3253" s="23">
        <v>0.94081599999999999</v>
      </c>
      <c r="C3253" s="32">
        <f t="shared" si="50"/>
        <v>0</v>
      </c>
    </row>
    <row r="3254" spans="1:3" x14ac:dyDescent="0.6">
      <c r="A3254" s="24">
        <v>34267</v>
      </c>
      <c r="B3254" s="23">
        <v>0.93304100000000001</v>
      </c>
      <c r="C3254" s="32">
        <f t="shared" si="50"/>
        <v>-8.2641026513153859E-3</v>
      </c>
    </row>
    <row r="3255" spans="1:3" x14ac:dyDescent="0.6">
      <c r="A3255" s="24">
        <v>34268</v>
      </c>
      <c r="B3255" s="23">
        <v>0.92526600000000003</v>
      </c>
      <c r="C3255" s="32">
        <f t="shared" si="50"/>
        <v>-8.3329671472099909E-3</v>
      </c>
    </row>
    <row r="3256" spans="1:3" x14ac:dyDescent="0.6">
      <c r="A3256" s="24">
        <v>34269</v>
      </c>
      <c r="B3256" s="23">
        <v>0.98746800000000001</v>
      </c>
      <c r="C3256" s="32">
        <f t="shared" si="50"/>
        <v>6.7226073367010031E-2</v>
      </c>
    </row>
    <row r="3257" spans="1:3" x14ac:dyDescent="0.6">
      <c r="A3257" s="24">
        <v>34270</v>
      </c>
      <c r="B3257" s="23">
        <v>0.96414200000000005</v>
      </c>
      <c r="C3257" s="32">
        <f t="shared" si="50"/>
        <v>-2.3622031296203994E-2</v>
      </c>
    </row>
    <row r="3258" spans="1:3" x14ac:dyDescent="0.6">
      <c r="A3258" s="24">
        <v>34271</v>
      </c>
      <c r="B3258" s="23">
        <v>0.95636699999999997</v>
      </c>
      <c r="C3258" s="32">
        <f t="shared" si="50"/>
        <v>-8.0641648221942974E-3</v>
      </c>
    </row>
    <row r="3259" spans="1:3" x14ac:dyDescent="0.6">
      <c r="A3259" s="24">
        <v>34274</v>
      </c>
      <c r="B3259" s="23">
        <v>0.97969300000000004</v>
      </c>
      <c r="C3259" s="32">
        <f t="shared" si="50"/>
        <v>2.4390218399422015E-2</v>
      </c>
    </row>
    <row r="3260" spans="1:3" x14ac:dyDescent="0.6">
      <c r="A3260" s="24">
        <v>34275</v>
      </c>
      <c r="B3260" s="23">
        <v>1.0185690000000001</v>
      </c>
      <c r="C3260" s="32">
        <f t="shared" si="50"/>
        <v>3.9681818692182125E-2</v>
      </c>
    </row>
    <row r="3261" spans="1:3" x14ac:dyDescent="0.6">
      <c r="A3261" s="24">
        <v>34276</v>
      </c>
      <c r="B3261" s="23">
        <v>0.98358100000000004</v>
      </c>
      <c r="C3261" s="32">
        <f t="shared" si="50"/>
        <v>-3.4350152027010417E-2</v>
      </c>
    </row>
    <row r="3262" spans="1:3" x14ac:dyDescent="0.6">
      <c r="A3262" s="24">
        <v>34277</v>
      </c>
      <c r="B3262" s="23">
        <v>1.0030190000000001</v>
      </c>
      <c r="C3262" s="32">
        <f t="shared" si="50"/>
        <v>1.9762480161776175E-2</v>
      </c>
    </row>
    <row r="3263" spans="1:3" x14ac:dyDescent="0.6">
      <c r="A3263" s="24">
        <v>34278</v>
      </c>
      <c r="B3263" s="23">
        <v>0.99135600000000001</v>
      </c>
      <c r="C3263" s="32">
        <f t="shared" si="50"/>
        <v>-1.162789538383624E-2</v>
      </c>
    </row>
    <row r="3264" spans="1:3" x14ac:dyDescent="0.6">
      <c r="A3264" s="24">
        <v>34281</v>
      </c>
      <c r="B3264" s="23">
        <v>0.95636699999999997</v>
      </c>
      <c r="C3264" s="32">
        <f t="shared" si="50"/>
        <v>-3.5294082045198794E-2</v>
      </c>
    </row>
    <row r="3265" spans="1:3" x14ac:dyDescent="0.6">
      <c r="A3265" s="24">
        <v>34282</v>
      </c>
      <c r="B3265" s="23">
        <v>0.93692900000000001</v>
      </c>
      <c r="C3265" s="32">
        <f t="shared" si="50"/>
        <v>-2.0324833458285285E-2</v>
      </c>
    </row>
    <row r="3266" spans="1:3" x14ac:dyDescent="0.6">
      <c r="A3266" s="24">
        <v>34283</v>
      </c>
      <c r="B3266" s="23">
        <v>0.95636699999999997</v>
      </c>
      <c r="C3266" s="32">
        <f t="shared" si="50"/>
        <v>2.0746502669892752E-2</v>
      </c>
    </row>
    <row r="3267" spans="1:3" x14ac:dyDescent="0.6">
      <c r="A3267" s="24">
        <v>34284</v>
      </c>
      <c r="B3267" s="23">
        <v>0.97580500000000003</v>
      </c>
      <c r="C3267" s="32">
        <f t="shared" si="50"/>
        <v>2.0324833458285507E-2</v>
      </c>
    </row>
    <row r="3268" spans="1:3" x14ac:dyDescent="0.6">
      <c r="A3268" s="24">
        <v>34285</v>
      </c>
      <c r="B3268" s="23">
        <v>0.98746800000000001</v>
      </c>
      <c r="C3268" s="32">
        <f t="shared" ref="C3268:C3331" si="51">B3268/B3267-1</f>
        <v>1.1952183069363187E-2</v>
      </c>
    </row>
    <row r="3269" spans="1:3" x14ac:dyDescent="0.6">
      <c r="A3269" s="24">
        <v>34288</v>
      </c>
      <c r="B3269" s="23">
        <v>0.99524400000000002</v>
      </c>
      <c r="C3269" s="32">
        <f t="shared" si="51"/>
        <v>7.8746855594307164E-3</v>
      </c>
    </row>
    <row r="3270" spans="1:3" x14ac:dyDescent="0.6">
      <c r="A3270" s="24">
        <v>34289</v>
      </c>
      <c r="B3270" s="23">
        <v>1.0574460000000001</v>
      </c>
      <c r="C3270" s="32">
        <f t="shared" si="51"/>
        <v>6.249924641595439E-2</v>
      </c>
    </row>
    <row r="3271" spans="1:3" x14ac:dyDescent="0.6">
      <c r="A3271" s="24">
        <v>34290</v>
      </c>
      <c r="B3271" s="23">
        <v>1.0418959999999999</v>
      </c>
      <c r="C3271" s="32">
        <f t="shared" si="51"/>
        <v>-1.4705242631775195E-2</v>
      </c>
    </row>
    <row r="3272" spans="1:3" x14ac:dyDescent="0.6">
      <c r="A3272" s="24">
        <v>34291</v>
      </c>
      <c r="B3272" s="23">
        <v>1.0418959999999999</v>
      </c>
      <c r="C3272" s="32">
        <f t="shared" si="51"/>
        <v>0</v>
      </c>
    </row>
    <row r="3273" spans="1:3" x14ac:dyDescent="0.6">
      <c r="A3273" s="24">
        <v>34292</v>
      </c>
      <c r="B3273" s="23">
        <v>1.0300389999999999</v>
      </c>
      <c r="C3273" s="32">
        <f t="shared" si="51"/>
        <v>-1.1380214531968691E-2</v>
      </c>
    </row>
    <row r="3274" spans="1:3" x14ac:dyDescent="0.6">
      <c r="A3274" s="24">
        <v>34295</v>
      </c>
      <c r="B3274" s="23">
        <v>1.014432</v>
      </c>
      <c r="C3274" s="32">
        <f t="shared" si="51"/>
        <v>-1.5151853473509225E-2</v>
      </c>
    </row>
    <row r="3275" spans="1:3" x14ac:dyDescent="0.6">
      <c r="A3275" s="24">
        <v>34296</v>
      </c>
      <c r="B3275" s="23">
        <v>1.0300389999999999</v>
      </c>
      <c r="C3275" s="32">
        <f t="shared" si="51"/>
        <v>1.538496419671298E-2</v>
      </c>
    </row>
    <row r="3276" spans="1:3" x14ac:dyDescent="0.6">
      <c r="A3276" s="24">
        <v>34297</v>
      </c>
      <c r="B3276" s="23">
        <v>1.0300389999999999</v>
      </c>
      <c r="C3276" s="32">
        <f t="shared" si="51"/>
        <v>0</v>
      </c>
    </row>
    <row r="3277" spans="1:3" x14ac:dyDescent="0.6">
      <c r="A3277" s="24">
        <v>34299</v>
      </c>
      <c r="B3277" s="23">
        <v>1.0183329999999999</v>
      </c>
      <c r="C3277" s="32">
        <f t="shared" si="51"/>
        <v>-1.1364618232901802E-2</v>
      </c>
    </row>
    <row r="3278" spans="1:3" x14ac:dyDescent="0.6">
      <c r="A3278" s="24">
        <v>34302</v>
      </c>
      <c r="B3278" s="23">
        <v>0.99102199999999996</v>
      </c>
      <c r="C3278" s="32">
        <f t="shared" si="51"/>
        <v>-2.6819321381119865E-2</v>
      </c>
    </row>
    <row r="3279" spans="1:3" x14ac:dyDescent="0.6">
      <c r="A3279" s="24">
        <v>34303</v>
      </c>
      <c r="B3279" s="23">
        <v>0.98321800000000004</v>
      </c>
      <c r="C3279" s="32">
        <f t="shared" si="51"/>
        <v>-7.8746990480533796E-3</v>
      </c>
    </row>
    <row r="3280" spans="1:3" x14ac:dyDescent="0.6">
      <c r="A3280" s="24">
        <v>34304</v>
      </c>
      <c r="B3280" s="23">
        <v>0.98321800000000004</v>
      </c>
      <c r="C3280" s="32">
        <f t="shared" si="51"/>
        <v>0</v>
      </c>
    </row>
    <row r="3281" spans="1:3" x14ac:dyDescent="0.6">
      <c r="A3281" s="24">
        <v>34305</v>
      </c>
      <c r="B3281" s="23">
        <v>0.99102199999999996</v>
      </c>
      <c r="C3281" s="32">
        <f t="shared" si="51"/>
        <v>7.9372021260797343E-3</v>
      </c>
    </row>
    <row r="3282" spans="1:3" x14ac:dyDescent="0.6">
      <c r="A3282" s="24">
        <v>34306</v>
      </c>
      <c r="B3282" s="23">
        <v>0.98321800000000004</v>
      </c>
      <c r="C3282" s="32">
        <f t="shared" si="51"/>
        <v>-7.8746990480533796E-3</v>
      </c>
    </row>
    <row r="3283" spans="1:3" x14ac:dyDescent="0.6">
      <c r="A3283" s="24">
        <v>34309</v>
      </c>
      <c r="B3283" s="23">
        <v>1.0066280000000001</v>
      </c>
      <c r="C3283" s="32">
        <f t="shared" si="51"/>
        <v>2.3809572241354493E-2</v>
      </c>
    </row>
    <row r="3284" spans="1:3" x14ac:dyDescent="0.6">
      <c r="A3284" s="24">
        <v>34310</v>
      </c>
      <c r="B3284" s="23">
        <v>1.0066280000000001</v>
      </c>
      <c r="C3284" s="32">
        <f t="shared" si="51"/>
        <v>0</v>
      </c>
    </row>
    <row r="3285" spans="1:3" x14ac:dyDescent="0.6">
      <c r="A3285" s="24">
        <v>34311</v>
      </c>
      <c r="B3285" s="23">
        <v>0.994923</v>
      </c>
      <c r="C3285" s="32">
        <f t="shared" si="51"/>
        <v>-1.1627930079433635E-2</v>
      </c>
    </row>
    <row r="3286" spans="1:3" x14ac:dyDescent="0.6">
      <c r="A3286" s="24">
        <v>34312</v>
      </c>
      <c r="B3286" s="23">
        <v>0.93639799999999995</v>
      </c>
      <c r="C3286" s="32">
        <f t="shared" si="51"/>
        <v>-5.882364765916559E-2</v>
      </c>
    </row>
    <row r="3287" spans="1:3" x14ac:dyDescent="0.6">
      <c r="A3287" s="24">
        <v>34313</v>
      </c>
      <c r="B3287" s="23">
        <v>0.88177499999999998</v>
      </c>
      <c r="C3287" s="32">
        <f t="shared" si="51"/>
        <v>-5.8333101950239108E-2</v>
      </c>
    </row>
    <row r="3288" spans="1:3" x14ac:dyDescent="0.6">
      <c r="A3288" s="24">
        <v>34316</v>
      </c>
      <c r="B3288" s="23">
        <v>0.92079200000000005</v>
      </c>
      <c r="C3288" s="32">
        <f t="shared" si="51"/>
        <v>4.4248249269938533E-2</v>
      </c>
    </row>
    <row r="3289" spans="1:3" x14ac:dyDescent="0.6">
      <c r="A3289" s="24">
        <v>34317</v>
      </c>
      <c r="B3289" s="23">
        <v>0.90908699999999998</v>
      </c>
      <c r="C3289" s="32">
        <f t="shared" si="51"/>
        <v>-1.2711882813925435E-2</v>
      </c>
    </row>
    <row r="3290" spans="1:3" x14ac:dyDescent="0.6">
      <c r="A3290" s="24">
        <v>34318</v>
      </c>
      <c r="B3290" s="23">
        <v>0.92859499999999995</v>
      </c>
      <c r="C3290" s="32">
        <f t="shared" si="51"/>
        <v>2.1458892273236829E-2</v>
      </c>
    </row>
    <row r="3291" spans="1:3" x14ac:dyDescent="0.6">
      <c r="A3291" s="24">
        <v>34319</v>
      </c>
      <c r="B3291" s="23">
        <v>0.91688999999999998</v>
      </c>
      <c r="C3291" s="32">
        <f t="shared" si="51"/>
        <v>-1.2605064640666797E-2</v>
      </c>
    </row>
    <row r="3292" spans="1:3" x14ac:dyDescent="0.6">
      <c r="A3292" s="24">
        <v>34320</v>
      </c>
      <c r="B3292" s="23">
        <v>0.92079200000000005</v>
      </c>
      <c r="C3292" s="32">
        <f t="shared" si="51"/>
        <v>4.2556904317858635E-3</v>
      </c>
    </row>
    <row r="3293" spans="1:3" x14ac:dyDescent="0.6">
      <c r="A3293" s="24">
        <v>34323</v>
      </c>
      <c r="B3293" s="23">
        <v>0.88957900000000001</v>
      </c>
      <c r="C3293" s="32">
        <f t="shared" si="51"/>
        <v>-3.3897992163268165E-2</v>
      </c>
    </row>
    <row r="3294" spans="1:3" x14ac:dyDescent="0.6">
      <c r="A3294" s="24">
        <v>34324</v>
      </c>
      <c r="B3294" s="23">
        <v>0.85836500000000004</v>
      </c>
      <c r="C3294" s="32">
        <f t="shared" si="51"/>
        <v>-3.5088508159477616E-2</v>
      </c>
    </row>
    <row r="3295" spans="1:3" x14ac:dyDescent="0.6">
      <c r="A3295" s="24">
        <v>34325</v>
      </c>
      <c r="B3295" s="23">
        <v>0.87397199999999997</v>
      </c>
      <c r="C3295" s="32">
        <f t="shared" si="51"/>
        <v>1.818224182020467E-2</v>
      </c>
    </row>
    <row r="3296" spans="1:3" x14ac:dyDescent="0.6">
      <c r="A3296" s="24">
        <v>34326</v>
      </c>
      <c r="B3296" s="23">
        <v>0.85056200000000004</v>
      </c>
      <c r="C3296" s="32">
        <f t="shared" si="51"/>
        <v>-2.678575515005055E-2</v>
      </c>
    </row>
    <row r="3297" spans="1:3" x14ac:dyDescent="0.6">
      <c r="A3297" s="24">
        <v>34330</v>
      </c>
      <c r="B3297" s="23">
        <v>0.88957900000000001</v>
      </c>
      <c r="C3297" s="32">
        <f t="shared" si="51"/>
        <v>4.5872023438620513E-2</v>
      </c>
    </row>
    <row r="3298" spans="1:3" x14ac:dyDescent="0.6">
      <c r="A3298" s="24">
        <v>34331</v>
      </c>
      <c r="B3298" s="23">
        <v>0.90908699999999998</v>
      </c>
      <c r="C3298" s="32">
        <f t="shared" si="51"/>
        <v>2.1929474504231772E-2</v>
      </c>
    </row>
    <row r="3299" spans="1:3" x14ac:dyDescent="0.6">
      <c r="A3299" s="24">
        <v>34332</v>
      </c>
      <c r="B3299" s="23">
        <v>0.88957900000000001</v>
      </c>
      <c r="C3299" s="32">
        <f t="shared" si="51"/>
        <v>-2.1458892273236718E-2</v>
      </c>
    </row>
    <row r="3300" spans="1:3" x14ac:dyDescent="0.6">
      <c r="A3300" s="24">
        <v>34333</v>
      </c>
      <c r="B3300" s="23">
        <v>0.92859499999999995</v>
      </c>
      <c r="C3300" s="32">
        <f t="shared" si="51"/>
        <v>4.3858949008463544E-2</v>
      </c>
    </row>
    <row r="3301" spans="1:3" x14ac:dyDescent="0.6">
      <c r="A3301" s="24">
        <v>34334</v>
      </c>
      <c r="B3301" s="23">
        <v>0.91298800000000002</v>
      </c>
      <c r="C3301" s="32">
        <f t="shared" si="51"/>
        <v>-1.6807111819469145E-2</v>
      </c>
    </row>
    <row r="3302" spans="1:3" x14ac:dyDescent="0.6">
      <c r="A3302" s="24">
        <v>34337</v>
      </c>
      <c r="B3302" s="23">
        <v>0.93249700000000002</v>
      </c>
      <c r="C3302" s="32">
        <f t="shared" si="51"/>
        <v>2.1368298378511064E-2</v>
      </c>
    </row>
    <row r="3303" spans="1:3" x14ac:dyDescent="0.6">
      <c r="A3303" s="24">
        <v>34338</v>
      </c>
      <c r="B3303" s="23">
        <v>0.98321800000000004</v>
      </c>
      <c r="C3303" s="32">
        <f t="shared" si="51"/>
        <v>5.4392668287404744E-2</v>
      </c>
    </row>
    <row r="3304" spans="1:3" x14ac:dyDescent="0.6">
      <c r="A3304" s="24">
        <v>34339</v>
      </c>
      <c r="B3304" s="23">
        <v>1.0534490000000001</v>
      </c>
      <c r="C3304" s="32">
        <f t="shared" si="51"/>
        <v>7.1429733792505834E-2</v>
      </c>
    </row>
    <row r="3305" spans="1:3" x14ac:dyDescent="0.6">
      <c r="A3305" s="24">
        <v>34340</v>
      </c>
      <c r="B3305" s="23">
        <v>1.022235</v>
      </c>
      <c r="C3305" s="32">
        <f t="shared" si="51"/>
        <v>-2.9630290597836284E-2</v>
      </c>
    </row>
    <row r="3306" spans="1:3" x14ac:dyDescent="0.6">
      <c r="A3306" s="24">
        <v>34341</v>
      </c>
      <c r="B3306" s="23">
        <v>1.0339400000000001</v>
      </c>
      <c r="C3306" s="32">
        <f t="shared" si="51"/>
        <v>1.1450400348256506E-2</v>
      </c>
    </row>
    <row r="3307" spans="1:3" x14ac:dyDescent="0.6">
      <c r="A3307" s="24">
        <v>34344</v>
      </c>
      <c r="B3307" s="23">
        <v>1.049547</v>
      </c>
      <c r="C3307" s="32">
        <f t="shared" si="51"/>
        <v>1.5094686345435759E-2</v>
      </c>
    </row>
    <row r="3308" spans="1:3" x14ac:dyDescent="0.6">
      <c r="A3308" s="24">
        <v>34345</v>
      </c>
      <c r="B3308" s="23">
        <v>0.994923</v>
      </c>
      <c r="C3308" s="32">
        <f t="shared" si="51"/>
        <v>-5.2045310977021475E-2</v>
      </c>
    </row>
    <row r="3309" spans="1:3" x14ac:dyDescent="0.6">
      <c r="A3309" s="24">
        <v>34346</v>
      </c>
      <c r="B3309" s="23">
        <v>0.95200499999999999</v>
      </c>
      <c r="C3309" s="32">
        <f t="shared" si="51"/>
        <v>-4.3137006582418924E-2</v>
      </c>
    </row>
    <row r="3310" spans="1:3" x14ac:dyDescent="0.6">
      <c r="A3310" s="24">
        <v>34347</v>
      </c>
      <c r="B3310" s="23">
        <v>0.95590699999999995</v>
      </c>
      <c r="C3310" s="32">
        <f t="shared" si="51"/>
        <v>4.0987179689182529E-3</v>
      </c>
    </row>
    <row r="3311" spans="1:3" x14ac:dyDescent="0.6">
      <c r="A3311" s="24">
        <v>34348</v>
      </c>
      <c r="B3311" s="23">
        <v>0.96761200000000003</v>
      </c>
      <c r="C3311" s="32">
        <f t="shared" si="51"/>
        <v>1.2244915038806203E-2</v>
      </c>
    </row>
    <row r="3312" spans="1:3" x14ac:dyDescent="0.6">
      <c r="A3312" s="24">
        <v>34351</v>
      </c>
      <c r="B3312" s="23">
        <v>0.94810399999999995</v>
      </c>
      <c r="C3312" s="32">
        <f t="shared" si="51"/>
        <v>-2.0160973613390532E-2</v>
      </c>
    </row>
    <row r="3313" spans="1:3" x14ac:dyDescent="0.6">
      <c r="A3313" s="24">
        <v>34352</v>
      </c>
      <c r="B3313" s="23">
        <v>0.91688999999999998</v>
      </c>
      <c r="C3313" s="32">
        <f t="shared" si="51"/>
        <v>-3.2922548581168276E-2</v>
      </c>
    </row>
    <row r="3314" spans="1:3" x14ac:dyDescent="0.6">
      <c r="A3314" s="24">
        <v>34353</v>
      </c>
      <c r="B3314" s="23">
        <v>0.91298800000000002</v>
      </c>
      <c r="C3314" s="32">
        <f t="shared" si="51"/>
        <v>-4.2556904317856414E-3</v>
      </c>
    </row>
    <row r="3315" spans="1:3" x14ac:dyDescent="0.6">
      <c r="A3315" s="24">
        <v>34354</v>
      </c>
      <c r="B3315" s="23">
        <v>0.93249700000000002</v>
      </c>
      <c r="C3315" s="32">
        <f t="shared" si="51"/>
        <v>2.1368298378511064E-2</v>
      </c>
    </row>
    <row r="3316" spans="1:3" x14ac:dyDescent="0.6">
      <c r="A3316" s="24">
        <v>34355</v>
      </c>
      <c r="B3316" s="23">
        <v>1.041744</v>
      </c>
      <c r="C3316" s="32">
        <f t="shared" si="51"/>
        <v>0.11715533669277223</v>
      </c>
    </row>
    <row r="3317" spans="1:3" x14ac:dyDescent="0.6">
      <c r="A3317" s="24">
        <v>34358</v>
      </c>
      <c r="B3317" s="23">
        <v>1.092465</v>
      </c>
      <c r="C3317" s="32">
        <f t="shared" si="51"/>
        <v>4.8688545362392421E-2</v>
      </c>
    </row>
    <row r="3318" spans="1:3" x14ac:dyDescent="0.6">
      <c r="A3318" s="24">
        <v>34359</v>
      </c>
      <c r="B3318" s="23">
        <v>1.05735</v>
      </c>
      <c r="C3318" s="32">
        <f t="shared" si="51"/>
        <v>-3.214290618006066E-2</v>
      </c>
    </row>
    <row r="3319" spans="1:3" x14ac:dyDescent="0.6">
      <c r="A3319" s="24">
        <v>34360</v>
      </c>
      <c r="B3319" s="23">
        <v>1.0456449999999999</v>
      </c>
      <c r="C3319" s="32">
        <f t="shared" si="51"/>
        <v>-1.1070128150565184E-2</v>
      </c>
    </row>
    <row r="3320" spans="1:3" x14ac:dyDescent="0.6">
      <c r="A3320" s="24">
        <v>34361</v>
      </c>
      <c r="B3320" s="23">
        <v>1.065153</v>
      </c>
      <c r="C3320" s="32">
        <f t="shared" si="51"/>
        <v>1.8656427372578666E-2</v>
      </c>
    </row>
    <row r="3321" spans="1:3" x14ac:dyDescent="0.6">
      <c r="A3321" s="24">
        <v>34362</v>
      </c>
      <c r="B3321" s="23">
        <v>1.0612520000000001</v>
      </c>
      <c r="C3321" s="32">
        <f t="shared" si="51"/>
        <v>-3.6623846527211734E-3</v>
      </c>
    </row>
    <row r="3322" spans="1:3" x14ac:dyDescent="0.6">
      <c r="A3322" s="24">
        <v>34365</v>
      </c>
      <c r="B3322" s="23">
        <v>1.022235</v>
      </c>
      <c r="C3322" s="32">
        <f t="shared" si="51"/>
        <v>-3.6765066167130933E-2</v>
      </c>
    </row>
    <row r="3323" spans="1:3" x14ac:dyDescent="0.6">
      <c r="A3323" s="24">
        <v>34366</v>
      </c>
      <c r="B3323" s="23">
        <v>1.0378419999999999</v>
      </c>
      <c r="C3323" s="32">
        <f t="shared" si="51"/>
        <v>1.526752654722241E-2</v>
      </c>
    </row>
    <row r="3324" spans="1:3" x14ac:dyDescent="0.6">
      <c r="A3324" s="24">
        <v>34367</v>
      </c>
      <c r="B3324" s="23">
        <v>1.0300389999999999</v>
      </c>
      <c r="C3324" s="32">
        <f t="shared" si="51"/>
        <v>-7.5184854727405881E-3</v>
      </c>
    </row>
    <row r="3325" spans="1:3" x14ac:dyDescent="0.6">
      <c r="A3325" s="24">
        <v>34368</v>
      </c>
      <c r="B3325" s="23">
        <v>1.0456449999999999</v>
      </c>
      <c r="C3325" s="32">
        <f t="shared" si="51"/>
        <v>1.5150882636482788E-2</v>
      </c>
    </row>
    <row r="3326" spans="1:3" x14ac:dyDescent="0.6">
      <c r="A3326" s="24">
        <v>34369</v>
      </c>
      <c r="B3326" s="23">
        <v>1.0456449999999999</v>
      </c>
      <c r="C3326" s="32">
        <f t="shared" si="51"/>
        <v>0</v>
      </c>
    </row>
    <row r="3327" spans="1:3" x14ac:dyDescent="0.6">
      <c r="A3327" s="24">
        <v>34372</v>
      </c>
      <c r="B3327" s="23">
        <v>1.143384</v>
      </c>
      <c r="C3327" s="32">
        <f t="shared" si="51"/>
        <v>9.3472450018887931E-2</v>
      </c>
    </row>
    <row r="3328" spans="1:3" x14ac:dyDescent="0.6">
      <c r="A3328" s="24">
        <v>34373</v>
      </c>
      <c r="B3328" s="23">
        <v>1.119891</v>
      </c>
      <c r="C3328" s="32">
        <f t="shared" si="51"/>
        <v>-2.0546902877773388E-2</v>
      </c>
    </row>
    <row r="3329" spans="1:3" x14ac:dyDescent="0.6">
      <c r="A3329" s="24">
        <v>34374</v>
      </c>
      <c r="B3329" s="23">
        <v>1.135553</v>
      </c>
      <c r="C3329" s="32">
        <f t="shared" si="51"/>
        <v>1.3985289639795395E-2</v>
      </c>
    </row>
    <row r="3330" spans="1:3" x14ac:dyDescent="0.6">
      <c r="A3330" s="24">
        <v>34375</v>
      </c>
      <c r="B3330" s="23">
        <v>1.143384</v>
      </c>
      <c r="C3330" s="32">
        <f t="shared" si="51"/>
        <v>6.8961994728558018E-3</v>
      </c>
    </row>
    <row r="3331" spans="1:3" x14ac:dyDescent="0.6">
      <c r="A3331" s="24">
        <v>34376</v>
      </c>
      <c r="B3331" s="23">
        <v>1.1590469999999999</v>
      </c>
      <c r="C3331" s="32">
        <f t="shared" si="51"/>
        <v>1.3698809848659677E-2</v>
      </c>
    </row>
    <row r="3332" spans="1:3" x14ac:dyDescent="0.6">
      <c r="A3332" s="24">
        <v>34379</v>
      </c>
      <c r="B3332" s="23">
        <v>1.1590469999999999</v>
      </c>
      <c r="C3332" s="32">
        <f t="shared" ref="C3332:C3395" si="52">B3332/B3331-1</f>
        <v>0</v>
      </c>
    </row>
    <row r="3333" spans="1:3" x14ac:dyDescent="0.6">
      <c r="A3333" s="24">
        <v>34380</v>
      </c>
      <c r="B3333" s="23">
        <v>1.162963</v>
      </c>
      <c r="C3333" s="32">
        <f t="shared" si="52"/>
        <v>3.3786377946709578E-3</v>
      </c>
    </row>
    <row r="3334" spans="1:3" x14ac:dyDescent="0.6">
      <c r="A3334" s="24">
        <v>34381</v>
      </c>
      <c r="B3334" s="23">
        <v>1.151216</v>
      </c>
      <c r="C3334" s="32">
        <f t="shared" si="52"/>
        <v>-1.0100923245193516E-2</v>
      </c>
    </row>
    <row r="3335" spans="1:3" x14ac:dyDescent="0.6">
      <c r="A3335" s="24">
        <v>34382</v>
      </c>
      <c r="B3335" s="23">
        <v>1.1590469999999999</v>
      </c>
      <c r="C3335" s="32">
        <f t="shared" si="52"/>
        <v>6.8023724479158165E-3</v>
      </c>
    </row>
    <row r="3336" spans="1:3" x14ac:dyDescent="0.6">
      <c r="A3336" s="24">
        <v>34383</v>
      </c>
      <c r="B3336" s="23">
        <v>1.135553</v>
      </c>
      <c r="C3336" s="32">
        <f t="shared" si="52"/>
        <v>-2.0270101212461533E-2</v>
      </c>
    </row>
    <row r="3337" spans="1:3" x14ac:dyDescent="0.6">
      <c r="A3337" s="24">
        <v>34387</v>
      </c>
      <c r="B3337" s="23">
        <v>1.166879</v>
      </c>
      <c r="C3337" s="32">
        <f t="shared" si="52"/>
        <v>2.75865591478337E-2</v>
      </c>
    </row>
    <row r="3338" spans="1:3" x14ac:dyDescent="0.6">
      <c r="A3338" s="24">
        <v>34388</v>
      </c>
      <c r="B3338" s="23">
        <v>1.166879</v>
      </c>
      <c r="C3338" s="32">
        <f t="shared" si="52"/>
        <v>0</v>
      </c>
    </row>
    <row r="3339" spans="1:3" x14ac:dyDescent="0.6">
      <c r="A3339" s="24">
        <v>34389</v>
      </c>
      <c r="B3339" s="23">
        <v>1.1473</v>
      </c>
      <c r="C3339" s="32">
        <f t="shared" si="52"/>
        <v>-1.6778946231785774E-2</v>
      </c>
    </row>
    <row r="3340" spans="1:3" x14ac:dyDescent="0.6">
      <c r="A3340" s="24">
        <v>34390</v>
      </c>
      <c r="B3340" s="23">
        <v>1.1277219999999999</v>
      </c>
      <c r="C3340" s="32">
        <f t="shared" si="52"/>
        <v>-1.7064412097969273E-2</v>
      </c>
    </row>
    <row r="3341" spans="1:3" x14ac:dyDescent="0.6">
      <c r="A3341" s="24">
        <v>34393</v>
      </c>
      <c r="B3341" s="23">
        <v>1.143384</v>
      </c>
      <c r="C3341" s="32">
        <f t="shared" si="52"/>
        <v>1.3888174567845635E-2</v>
      </c>
    </row>
    <row r="3342" spans="1:3" x14ac:dyDescent="0.6">
      <c r="A3342" s="24">
        <v>34394</v>
      </c>
      <c r="B3342" s="23">
        <v>1.135553</v>
      </c>
      <c r="C3342" s="32">
        <f t="shared" si="52"/>
        <v>-6.8489676259243515E-3</v>
      </c>
    </row>
    <row r="3343" spans="1:3" x14ac:dyDescent="0.6">
      <c r="A3343" s="24">
        <v>34395</v>
      </c>
      <c r="B3343" s="23">
        <v>1.1159749999999999</v>
      </c>
      <c r="C3343" s="32">
        <f t="shared" si="52"/>
        <v>-1.7240938996242461E-2</v>
      </c>
    </row>
    <row r="3344" spans="1:3" x14ac:dyDescent="0.6">
      <c r="A3344" s="24">
        <v>34396</v>
      </c>
      <c r="B3344" s="23">
        <v>1.119891</v>
      </c>
      <c r="C3344" s="32">
        <f t="shared" si="52"/>
        <v>3.5090391809853294E-3</v>
      </c>
    </row>
    <row r="3345" spans="1:3" x14ac:dyDescent="0.6">
      <c r="A3345" s="24">
        <v>34397</v>
      </c>
      <c r="B3345" s="23">
        <v>1.151216</v>
      </c>
      <c r="C3345" s="32">
        <f t="shared" si="52"/>
        <v>2.7971472223636162E-2</v>
      </c>
    </row>
    <row r="3346" spans="1:3" x14ac:dyDescent="0.6">
      <c r="A3346" s="24">
        <v>34400</v>
      </c>
      <c r="B3346" s="23">
        <v>1.1864570000000001</v>
      </c>
      <c r="C3346" s="32">
        <f t="shared" si="52"/>
        <v>3.0611978985698673E-2</v>
      </c>
    </row>
    <row r="3347" spans="1:3" x14ac:dyDescent="0.6">
      <c r="A3347" s="24">
        <v>34401</v>
      </c>
      <c r="B3347" s="23">
        <v>1.1590469999999999</v>
      </c>
      <c r="C3347" s="32">
        <f t="shared" si="52"/>
        <v>-2.3102396462745922E-2</v>
      </c>
    </row>
    <row r="3348" spans="1:3" x14ac:dyDescent="0.6">
      <c r="A3348" s="24">
        <v>34402</v>
      </c>
      <c r="B3348" s="23">
        <v>1.1747110000000001</v>
      </c>
      <c r="C3348" s="32">
        <f t="shared" si="52"/>
        <v>1.3514551178684053E-2</v>
      </c>
    </row>
    <row r="3349" spans="1:3" x14ac:dyDescent="0.6">
      <c r="A3349" s="24">
        <v>34403</v>
      </c>
      <c r="B3349" s="23">
        <v>1.166879</v>
      </c>
      <c r="C3349" s="32">
        <f t="shared" si="52"/>
        <v>-6.6671717554360743E-3</v>
      </c>
    </row>
    <row r="3350" spans="1:3" x14ac:dyDescent="0.6">
      <c r="A3350" s="24">
        <v>34404</v>
      </c>
      <c r="B3350" s="23">
        <v>1.166879</v>
      </c>
      <c r="C3350" s="32">
        <f t="shared" si="52"/>
        <v>0</v>
      </c>
    </row>
    <row r="3351" spans="1:3" x14ac:dyDescent="0.6">
      <c r="A3351" s="24">
        <v>34407</v>
      </c>
      <c r="B3351" s="23">
        <v>1.1942889999999999</v>
      </c>
      <c r="C3351" s="32">
        <f t="shared" si="52"/>
        <v>2.3490010532368766E-2</v>
      </c>
    </row>
    <row r="3352" spans="1:3" x14ac:dyDescent="0.6">
      <c r="A3352" s="24">
        <v>34408</v>
      </c>
      <c r="B3352" s="23">
        <v>1.178626</v>
      </c>
      <c r="C3352" s="32">
        <f t="shared" si="52"/>
        <v>-1.3114916071403138E-2</v>
      </c>
    </row>
    <row r="3353" spans="1:3" x14ac:dyDescent="0.6">
      <c r="A3353" s="24">
        <v>34409</v>
      </c>
      <c r="B3353" s="23">
        <v>1.151216</v>
      </c>
      <c r="C3353" s="32">
        <f t="shared" si="52"/>
        <v>-2.3255892878656925E-2</v>
      </c>
    </row>
    <row r="3354" spans="1:3" x14ac:dyDescent="0.6">
      <c r="A3354" s="24">
        <v>34410</v>
      </c>
      <c r="B3354" s="23">
        <v>1.143384</v>
      </c>
      <c r="C3354" s="32">
        <f t="shared" si="52"/>
        <v>-6.8032410946339272E-3</v>
      </c>
    </row>
    <row r="3355" spans="1:3" x14ac:dyDescent="0.6">
      <c r="A3355" s="24">
        <v>34411</v>
      </c>
      <c r="B3355" s="23">
        <v>1.1394690000000001</v>
      </c>
      <c r="C3355" s="32">
        <f t="shared" si="52"/>
        <v>-3.4240465145567445E-3</v>
      </c>
    </row>
    <row r="3356" spans="1:3" x14ac:dyDescent="0.6">
      <c r="A3356" s="24">
        <v>34414</v>
      </c>
      <c r="B3356" s="23">
        <v>1.1120589999999999</v>
      </c>
      <c r="C3356" s="32">
        <f t="shared" si="52"/>
        <v>-2.4055064244836943E-2</v>
      </c>
    </row>
    <row r="3357" spans="1:3" x14ac:dyDescent="0.6">
      <c r="A3357" s="24">
        <v>34415</v>
      </c>
      <c r="B3357" s="23">
        <v>1.0963959999999999</v>
      </c>
      <c r="C3357" s="32">
        <f t="shared" si="52"/>
        <v>-1.4084684355776034E-2</v>
      </c>
    </row>
    <row r="3358" spans="1:3" x14ac:dyDescent="0.6">
      <c r="A3358" s="24">
        <v>34416</v>
      </c>
      <c r="B3358" s="23">
        <v>1.100312</v>
      </c>
      <c r="C3358" s="32">
        <f t="shared" si="52"/>
        <v>3.5717021951922057E-3</v>
      </c>
    </row>
    <row r="3359" spans="1:3" x14ac:dyDescent="0.6">
      <c r="A3359" s="24">
        <v>34417</v>
      </c>
      <c r="B3359" s="23">
        <v>1.084649</v>
      </c>
      <c r="C3359" s="32">
        <f t="shared" si="52"/>
        <v>-1.4235053330328151E-2</v>
      </c>
    </row>
    <row r="3360" spans="1:3" x14ac:dyDescent="0.6">
      <c r="A3360" s="24">
        <v>34418</v>
      </c>
      <c r="B3360" s="23">
        <v>1.025914</v>
      </c>
      <c r="C3360" s="32">
        <f t="shared" si="52"/>
        <v>-5.4151158577567471E-2</v>
      </c>
    </row>
    <row r="3361" spans="1:3" x14ac:dyDescent="0.6">
      <c r="A3361" s="24">
        <v>34421</v>
      </c>
      <c r="B3361" s="23">
        <v>1.041577</v>
      </c>
      <c r="C3361" s="32">
        <f t="shared" si="52"/>
        <v>1.526736159171227E-2</v>
      </c>
    </row>
    <row r="3362" spans="1:3" x14ac:dyDescent="0.6">
      <c r="A3362" s="24">
        <v>34422</v>
      </c>
      <c r="B3362" s="23">
        <v>1.025914</v>
      </c>
      <c r="C3362" s="32">
        <f t="shared" si="52"/>
        <v>-1.5037774451624797E-2</v>
      </c>
    </row>
    <row r="3363" spans="1:3" x14ac:dyDescent="0.6">
      <c r="A3363" s="24">
        <v>34423</v>
      </c>
      <c r="B3363" s="23">
        <v>1.0180819999999999</v>
      </c>
      <c r="C3363" s="32">
        <f t="shared" si="52"/>
        <v>-7.6341681661425964E-3</v>
      </c>
    </row>
    <row r="3364" spans="1:3" x14ac:dyDescent="0.6">
      <c r="A3364" s="24">
        <v>34424</v>
      </c>
      <c r="B3364" s="23">
        <v>1.041577</v>
      </c>
      <c r="C3364" s="32">
        <f t="shared" si="52"/>
        <v>2.307770886824434E-2</v>
      </c>
    </row>
    <row r="3365" spans="1:3" x14ac:dyDescent="0.6">
      <c r="A3365" s="24">
        <v>34428</v>
      </c>
      <c r="B3365" s="23">
        <v>1.041577</v>
      </c>
      <c r="C3365" s="32">
        <f t="shared" si="52"/>
        <v>0</v>
      </c>
    </row>
    <row r="3366" spans="1:3" x14ac:dyDescent="0.6">
      <c r="A3366" s="24">
        <v>34429</v>
      </c>
      <c r="B3366" s="23">
        <v>1.0494079999999999</v>
      </c>
      <c r="C3366" s="32">
        <f t="shared" si="52"/>
        <v>7.5184071844902611E-3</v>
      </c>
    </row>
    <row r="3367" spans="1:3" x14ac:dyDescent="0.6">
      <c r="A3367" s="24">
        <v>34430</v>
      </c>
      <c r="B3367" s="23">
        <v>1.0494079999999999</v>
      </c>
      <c r="C3367" s="32">
        <f t="shared" si="52"/>
        <v>0</v>
      </c>
    </row>
    <row r="3368" spans="1:3" x14ac:dyDescent="0.6">
      <c r="A3368" s="24">
        <v>34431</v>
      </c>
      <c r="B3368" s="23">
        <v>1.0454920000000001</v>
      </c>
      <c r="C3368" s="32">
        <f t="shared" si="52"/>
        <v>-3.7316277367809292E-3</v>
      </c>
    </row>
    <row r="3369" spans="1:3" x14ac:dyDescent="0.6">
      <c r="A3369" s="24">
        <v>34432</v>
      </c>
      <c r="B3369" s="23">
        <v>1.0494079999999999</v>
      </c>
      <c r="C3369" s="32">
        <f t="shared" si="52"/>
        <v>3.7456049400663716E-3</v>
      </c>
    </row>
    <row r="3370" spans="1:3" x14ac:dyDescent="0.6">
      <c r="A3370" s="24">
        <v>34435</v>
      </c>
      <c r="B3370" s="23">
        <v>1.0494079999999999</v>
      </c>
      <c r="C3370" s="32">
        <f t="shared" si="52"/>
        <v>0</v>
      </c>
    </row>
    <row r="3371" spans="1:3" x14ac:dyDescent="0.6">
      <c r="A3371" s="24">
        <v>34436</v>
      </c>
      <c r="B3371" s="23">
        <v>1.0024200000000001</v>
      </c>
      <c r="C3371" s="32">
        <f t="shared" si="52"/>
        <v>-4.4775721168506255E-2</v>
      </c>
    </row>
    <row r="3372" spans="1:3" x14ac:dyDescent="0.6">
      <c r="A3372" s="24">
        <v>34437</v>
      </c>
      <c r="B3372" s="23">
        <v>0.99458800000000003</v>
      </c>
      <c r="C3372" s="32">
        <f t="shared" si="52"/>
        <v>-7.8130923165938837E-3</v>
      </c>
    </row>
    <row r="3373" spans="1:3" x14ac:dyDescent="0.6">
      <c r="A3373" s="24">
        <v>34438</v>
      </c>
      <c r="B3373" s="23">
        <v>0.986757</v>
      </c>
      <c r="C3373" s="32">
        <f t="shared" si="52"/>
        <v>-7.8736119880795652E-3</v>
      </c>
    </row>
    <row r="3374" spans="1:3" x14ac:dyDescent="0.6">
      <c r="A3374" s="24">
        <v>34439</v>
      </c>
      <c r="B3374" s="23">
        <v>0.9476</v>
      </c>
      <c r="C3374" s="32">
        <f t="shared" si="52"/>
        <v>-3.9682515553474684E-2</v>
      </c>
    </row>
    <row r="3375" spans="1:3" x14ac:dyDescent="0.6">
      <c r="A3375" s="24">
        <v>34442</v>
      </c>
      <c r="B3375" s="23">
        <v>0.92802099999999998</v>
      </c>
      <c r="C3375" s="32">
        <f t="shared" si="52"/>
        <v>-2.0661671591388764E-2</v>
      </c>
    </row>
    <row r="3376" spans="1:3" x14ac:dyDescent="0.6">
      <c r="A3376" s="24">
        <v>34443</v>
      </c>
      <c r="B3376" s="23">
        <v>0.908443</v>
      </c>
      <c r="C3376" s="32">
        <f t="shared" si="52"/>
        <v>-2.109650535925367E-2</v>
      </c>
    </row>
    <row r="3377" spans="1:3" x14ac:dyDescent="0.6">
      <c r="A3377" s="24">
        <v>34444</v>
      </c>
      <c r="B3377" s="23">
        <v>0.88494799999999996</v>
      </c>
      <c r="C3377" s="32">
        <f t="shared" si="52"/>
        <v>-2.5862932512001335E-2</v>
      </c>
    </row>
    <row r="3378" spans="1:3" x14ac:dyDescent="0.6">
      <c r="A3378" s="24">
        <v>34445</v>
      </c>
      <c r="B3378" s="23">
        <v>0.92802099999999998</v>
      </c>
      <c r="C3378" s="32">
        <f t="shared" si="52"/>
        <v>4.8672916374747466E-2</v>
      </c>
    </row>
    <row r="3379" spans="1:3" x14ac:dyDescent="0.6">
      <c r="A3379" s="24">
        <v>34446</v>
      </c>
      <c r="B3379" s="23">
        <v>0.93193700000000002</v>
      </c>
      <c r="C3379" s="32">
        <f t="shared" si="52"/>
        <v>4.2197320965797758E-3</v>
      </c>
    </row>
    <row r="3380" spans="1:3" x14ac:dyDescent="0.6">
      <c r="A3380" s="24">
        <v>34449</v>
      </c>
      <c r="B3380" s="23">
        <v>0.97109400000000001</v>
      </c>
      <c r="C3380" s="32">
        <f t="shared" si="52"/>
        <v>4.2016788688505669E-2</v>
      </c>
    </row>
    <row r="3381" spans="1:3" x14ac:dyDescent="0.6">
      <c r="A3381" s="24">
        <v>34450</v>
      </c>
      <c r="B3381" s="23">
        <v>0.97892500000000005</v>
      </c>
      <c r="C3381" s="32">
        <f t="shared" si="52"/>
        <v>8.0641009006336972E-3</v>
      </c>
    </row>
    <row r="3382" spans="1:3" x14ac:dyDescent="0.6">
      <c r="A3382" s="24">
        <v>34452</v>
      </c>
      <c r="B3382" s="23">
        <v>0.9476</v>
      </c>
      <c r="C3382" s="32">
        <f t="shared" si="52"/>
        <v>-3.1999387082769393E-2</v>
      </c>
    </row>
    <row r="3383" spans="1:3" x14ac:dyDescent="0.6">
      <c r="A3383" s="24">
        <v>34453</v>
      </c>
      <c r="B3383" s="23">
        <v>0.93976800000000005</v>
      </c>
      <c r="C3383" s="32">
        <f t="shared" si="52"/>
        <v>-8.2650907555930075E-3</v>
      </c>
    </row>
    <row r="3384" spans="1:3" x14ac:dyDescent="0.6">
      <c r="A3384" s="24">
        <v>34456</v>
      </c>
      <c r="B3384" s="23">
        <v>0.97109400000000001</v>
      </c>
      <c r="C3384" s="32">
        <f t="shared" si="52"/>
        <v>3.333375897029911E-2</v>
      </c>
    </row>
    <row r="3385" spans="1:3" x14ac:dyDescent="0.6">
      <c r="A3385" s="24">
        <v>34457</v>
      </c>
      <c r="B3385" s="23">
        <v>0.9476</v>
      </c>
      <c r="C3385" s="32">
        <f t="shared" si="52"/>
        <v>-2.4193332468329554E-2</v>
      </c>
    </row>
    <row r="3386" spans="1:3" x14ac:dyDescent="0.6">
      <c r="A3386" s="24">
        <v>34458</v>
      </c>
      <c r="B3386" s="23">
        <v>1.0337449999999999</v>
      </c>
      <c r="C3386" s="32">
        <f t="shared" si="52"/>
        <v>9.0908611228366354E-2</v>
      </c>
    </row>
    <row r="3387" spans="1:3" x14ac:dyDescent="0.6">
      <c r="A3387" s="24">
        <v>34459</v>
      </c>
      <c r="B3387" s="23">
        <v>1.0298290000000001</v>
      </c>
      <c r="C3387" s="32">
        <f t="shared" si="52"/>
        <v>-3.7881682619986812E-3</v>
      </c>
    </row>
    <row r="3388" spans="1:3" x14ac:dyDescent="0.6">
      <c r="A3388" s="24">
        <v>34460</v>
      </c>
      <c r="B3388" s="23">
        <v>1.0122089999999999</v>
      </c>
      <c r="C3388" s="32">
        <f t="shared" si="52"/>
        <v>-1.7109636648414583E-2</v>
      </c>
    </row>
    <row r="3389" spans="1:3" x14ac:dyDescent="0.6">
      <c r="A3389" s="24">
        <v>34463</v>
      </c>
      <c r="B3389" s="23">
        <v>0.97892500000000005</v>
      </c>
      <c r="C3389" s="32">
        <f t="shared" si="52"/>
        <v>-3.2882537104491183E-2</v>
      </c>
    </row>
    <row r="3390" spans="1:3" x14ac:dyDescent="0.6">
      <c r="A3390" s="24">
        <v>34464</v>
      </c>
      <c r="B3390" s="23">
        <v>0.97109400000000001</v>
      </c>
      <c r="C3390" s="32">
        <f t="shared" si="52"/>
        <v>-7.9995913885129166E-3</v>
      </c>
    </row>
    <row r="3391" spans="1:3" x14ac:dyDescent="0.6">
      <c r="A3391" s="24">
        <v>34465</v>
      </c>
      <c r="B3391" s="23">
        <v>0.9476</v>
      </c>
      <c r="C3391" s="32">
        <f t="shared" si="52"/>
        <v>-2.4193332468329554E-2</v>
      </c>
    </row>
    <row r="3392" spans="1:3" x14ac:dyDescent="0.6">
      <c r="A3392" s="24">
        <v>34466</v>
      </c>
      <c r="B3392" s="23">
        <v>0.929979</v>
      </c>
      <c r="C3392" s="32">
        <f t="shared" si="52"/>
        <v>-1.8595398902490512E-2</v>
      </c>
    </row>
    <row r="3393" spans="1:3" x14ac:dyDescent="0.6">
      <c r="A3393" s="24">
        <v>34467</v>
      </c>
      <c r="B3393" s="23">
        <v>0.93976800000000005</v>
      </c>
      <c r="C3393" s="32">
        <f t="shared" si="52"/>
        <v>1.0526044136480506E-2</v>
      </c>
    </row>
    <row r="3394" spans="1:3" x14ac:dyDescent="0.6">
      <c r="A3394" s="24">
        <v>34470</v>
      </c>
      <c r="B3394" s="23">
        <v>0.92410499999999995</v>
      </c>
      <c r="C3394" s="32">
        <f t="shared" si="52"/>
        <v>-1.6666879485149666E-2</v>
      </c>
    </row>
    <row r="3395" spans="1:3" x14ac:dyDescent="0.6">
      <c r="A3395" s="24">
        <v>34471</v>
      </c>
      <c r="B3395" s="23">
        <v>0.92018999999999995</v>
      </c>
      <c r="C3395" s="32">
        <f t="shared" si="52"/>
        <v>-4.2365315629717681E-3</v>
      </c>
    </row>
    <row r="3396" spans="1:3" x14ac:dyDescent="0.6">
      <c r="A3396" s="24">
        <v>34472</v>
      </c>
      <c r="B3396" s="23">
        <v>0.95934699999999995</v>
      </c>
      <c r="C3396" s="32">
        <f t="shared" ref="C3396:C3459" si="53">B3396/B3395-1</f>
        <v>4.2553168367402305E-2</v>
      </c>
    </row>
    <row r="3397" spans="1:3" x14ac:dyDescent="0.6">
      <c r="A3397" s="24">
        <v>34473</v>
      </c>
      <c r="B3397" s="23">
        <v>1.006335</v>
      </c>
      <c r="C3397" s="32">
        <f t="shared" si="53"/>
        <v>4.897914935888692E-2</v>
      </c>
    </row>
    <row r="3398" spans="1:3" x14ac:dyDescent="0.6">
      <c r="A3398" s="24">
        <v>34474</v>
      </c>
      <c r="B3398" s="23">
        <v>0.97305200000000003</v>
      </c>
      <c r="C3398" s="32">
        <f t="shared" si="53"/>
        <v>-3.3073479507321091E-2</v>
      </c>
    </row>
    <row r="3399" spans="1:3" x14ac:dyDescent="0.6">
      <c r="A3399" s="24">
        <v>34477</v>
      </c>
      <c r="B3399" s="23">
        <v>0.95543100000000003</v>
      </c>
      <c r="C3399" s="32">
        <f t="shared" si="53"/>
        <v>-1.8109001368888822E-2</v>
      </c>
    </row>
    <row r="3400" spans="1:3" x14ac:dyDescent="0.6">
      <c r="A3400" s="24">
        <v>34478</v>
      </c>
      <c r="B3400" s="23">
        <v>0.96326299999999998</v>
      </c>
      <c r="C3400" s="32">
        <f t="shared" si="53"/>
        <v>8.1973475844931976E-3</v>
      </c>
    </row>
    <row r="3401" spans="1:3" x14ac:dyDescent="0.6">
      <c r="A3401" s="24">
        <v>34479</v>
      </c>
      <c r="B3401" s="23">
        <v>0.97892500000000005</v>
      </c>
      <c r="C3401" s="32">
        <f t="shared" si="53"/>
        <v>1.6259318586927973E-2</v>
      </c>
    </row>
    <row r="3402" spans="1:3" x14ac:dyDescent="0.6">
      <c r="A3402" s="24">
        <v>34480</v>
      </c>
      <c r="B3402" s="23">
        <v>0.95543100000000003</v>
      </c>
      <c r="C3402" s="32">
        <f t="shared" si="53"/>
        <v>-2.3999795694256476E-2</v>
      </c>
    </row>
    <row r="3403" spans="1:3" x14ac:dyDescent="0.6">
      <c r="A3403" s="24">
        <v>34481</v>
      </c>
      <c r="B3403" s="23">
        <v>0.94151899999999999</v>
      </c>
      <c r="C3403" s="32">
        <f t="shared" si="53"/>
        <v>-1.4560967772659694E-2</v>
      </c>
    </row>
    <row r="3404" spans="1:3" x14ac:dyDescent="0.6">
      <c r="A3404" s="24">
        <v>34485</v>
      </c>
      <c r="B3404" s="23">
        <v>0.91989699999999996</v>
      </c>
      <c r="C3404" s="32">
        <f t="shared" si="53"/>
        <v>-2.2965017169064073E-2</v>
      </c>
    </row>
    <row r="3405" spans="1:3" x14ac:dyDescent="0.6">
      <c r="A3405" s="24">
        <v>34486</v>
      </c>
      <c r="B3405" s="23">
        <v>0.88844699999999999</v>
      </c>
      <c r="C3405" s="32">
        <f t="shared" si="53"/>
        <v>-3.418861024658193E-2</v>
      </c>
    </row>
    <row r="3406" spans="1:3" x14ac:dyDescent="0.6">
      <c r="A3406" s="24">
        <v>34487</v>
      </c>
      <c r="B3406" s="23">
        <v>0.86092900000000006</v>
      </c>
      <c r="C3406" s="32">
        <f t="shared" si="53"/>
        <v>-3.0973147525963807E-2</v>
      </c>
    </row>
    <row r="3407" spans="1:3" x14ac:dyDescent="0.6">
      <c r="A3407" s="24">
        <v>34488</v>
      </c>
      <c r="B3407" s="23">
        <v>0.86879200000000001</v>
      </c>
      <c r="C3407" s="32">
        <f t="shared" si="53"/>
        <v>9.1331573219162188E-3</v>
      </c>
    </row>
    <row r="3408" spans="1:3" x14ac:dyDescent="0.6">
      <c r="A3408" s="24">
        <v>34491</v>
      </c>
      <c r="B3408" s="23">
        <v>0.86092900000000006</v>
      </c>
      <c r="C3408" s="32">
        <f t="shared" si="53"/>
        <v>-9.0504977025570588E-3</v>
      </c>
    </row>
    <row r="3409" spans="1:3" x14ac:dyDescent="0.6">
      <c r="A3409" s="24">
        <v>34492</v>
      </c>
      <c r="B3409" s="23">
        <v>0.86485999999999996</v>
      </c>
      <c r="C3409" s="32">
        <f t="shared" si="53"/>
        <v>4.5659978929737388E-3</v>
      </c>
    </row>
    <row r="3410" spans="1:3" x14ac:dyDescent="0.6">
      <c r="A3410" s="24">
        <v>34493</v>
      </c>
      <c r="B3410" s="23">
        <v>0.82161700000000004</v>
      </c>
      <c r="C3410" s="32">
        <f t="shared" si="53"/>
        <v>-4.9999999999999933E-2</v>
      </c>
    </row>
    <row r="3411" spans="1:3" x14ac:dyDescent="0.6">
      <c r="A3411" s="24">
        <v>34494</v>
      </c>
      <c r="B3411" s="23">
        <v>0.849136</v>
      </c>
      <c r="C3411" s="32">
        <f t="shared" si="53"/>
        <v>3.3493708138950362E-2</v>
      </c>
    </row>
    <row r="3412" spans="1:3" x14ac:dyDescent="0.6">
      <c r="A3412" s="24">
        <v>34495</v>
      </c>
      <c r="B3412" s="23">
        <v>0.83341100000000001</v>
      </c>
      <c r="C3412" s="32">
        <f t="shared" si="53"/>
        <v>-1.8518823839761778E-2</v>
      </c>
    </row>
    <row r="3413" spans="1:3" x14ac:dyDescent="0.6">
      <c r="A3413" s="24">
        <v>34498</v>
      </c>
      <c r="B3413" s="23">
        <v>0.849136</v>
      </c>
      <c r="C3413" s="32">
        <f t="shared" si="53"/>
        <v>1.8868241479893966E-2</v>
      </c>
    </row>
    <row r="3414" spans="1:3" x14ac:dyDescent="0.6">
      <c r="A3414" s="24">
        <v>34499</v>
      </c>
      <c r="B3414" s="23">
        <v>0.851101</v>
      </c>
      <c r="C3414" s="32">
        <f t="shared" si="53"/>
        <v>2.3141169376872384E-3</v>
      </c>
    </row>
    <row r="3415" spans="1:3" x14ac:dyDescent="0.6">
      <c r="A3415" s="24">
        <v>34500</v>
      </c>
      <c r="B3415" s="23">
        <v>0.87468800000000002</v>
      </c>
      <c r="C3415" s="32">
        <f t="shared" si="53"/>
        <v>2.7713514612249357E-2</v>
      </c>
    </row>
    <row r="3416" spans="1:3" x14ac:dyDescent="0.6">
      <c r="A3416" s="24">
        <v>34501</v>
      </c>
      <c r="B3416" s="23">
        <v>0.82948</v>
      </c>
      <c r="C3416" s="32">
        <f t="shared" si="53"/>
        <v>-5.1684715006951043E-2</v>
      </c>
    </row>
    <row r="3417" spans="1:3" x14ac:dyDescent="0.6">
      <c r="A3417" s="24">
        <v>34502</v>
      </c>
      <c r="B3417" s="23">
        <v>0.83341100000000001</v>
      </c>
      <c r="C3417" s="32">
        <f t="shared" si="53"/>
        <v>4.7391136615710927E-3</v>
      </c>
    </row>
    <row r="3418" spans="1:3" x14ac:dyDescent="0.6">
      <c r="A3418" s="24">
        <v>34505</v>
      </c>
      <c r="B3418" s="23">
        <v>0.85306700000000002</v>
      </c>
      <c r="C3418" s="32">
        <f t="shared" si="53"/>
        <v>2.3585001877824974E-2</v>
      </c>
    </row>
    <row r="3419" spans="1:3" x14ac:dyDescent="0.6">
      <c r="A3419" s="24">
        <v>34506</v>
      </c>
      <c r="B3419" s="23">
        <v>0.81768600000000002</v>
      </c>
      <c r="C3419" s="32">
        <f t="shared" si="53"/>
        <v>-4.1475054128222055E-2</v>
      </c>
    </row>
    <row r="3420" spans="1:3" x14ac:dyDescent="0.6">
      <c r="A3420" s="24">
        <v>34507</v>
      </c>
      <c r="B3420" s="23">
        <v>0.82554899999999998</v>
      </c>
      <c r="C3420" s="32">
        <f t="shared" si="53"/>
        <v>9.616160726733769E-3</v>
      </c>
    </row>
    <row r="3421" spans="1:3" x14ac:dyDescent="0.6">
      <c r="A3421" s="24">
        <v>34508</v>
      </c>
      <c r="B3421" s="23">
        <v>0.79016799999999998</v>
      </c>
      <c r="C3421" s="32">
        <f t="shared" si="53"/>
        <v>-4.2857540860687826E-2</v>
      </c>
    </row>
    <row r="3422" spans="1:3" x14ac:dyDescent="0.6">
      <c r="A3422" s="24">
        <v>34509</v>
      </c>
      <c r="B3422" s="23">
        <v>0.80539899999999998</v>
      </c>
      <c r="C3422" s="32">
        <f t="shared" si="53"/>
        <v>1.9275647710360388E-2</v>
      </c>
    </row>
    <row r="3423" spans="1:3" x14ac:dyDescent="0.6">
      <c r="A3423" s="24">
        <v>34512</v>
      </c>
      <c r="B3423" s="23">
        <v>0.82554899999999998</v>
      </c>
      <c r="C3423" s="32">
        <f t="shared" si="53"/>
        <v>2.5018655349708707E-2</v>
      </c>
    </row>
    <row r="3424" spans="1:3" x14ac:dyDescent="0.6">
      <c r="A3424" s="24">
        <v>34513</v>
      </c>
      <c r="B3424" s="23">
        <v>0.84127300000000005</v>
      </c>
      <c r="C3424" s="32">
        <f t="shared" si="53"/>
        <v>1.9046719213517305E-2</v>
      </c>
    </row>
    <row r="3425" spans="1:3" x14ac:dyDescent="0.6">
      <c r="A3425" s="24">
        <v>34514</v>
      </c>
      <c r="B3425" s="23">
        <v>0.82161700000000004</v>
      </c>
      <c r="C3425" s="32">
        <f t="shared" si="53"/>
        <v>-2.3364591517854527E-2</v>
      </c>
    </row>
    <row r="3426" spans="1:3" x14ac:dyDescent="0.6">
      <c r="A3426" s="24">
        <v>34515</v>
      </c>
      <c r="B3426" s="23">
        <v>0.83341100000000001</v>
      </c>
      <c r="C3426" s="32">
        <f t="shared" si="53"/>
        <v>1.435462021842282E-2</v>
      </c>
    </row>
    <row r="3427" spans="1:3" x14ac:dyDescent="0.6">
      <c r="A3427" s="24">
        <v>34516</v>
      </c>
      <c r="B3427" s="23">
        <v>0.80982399999999999</v>
      </c>
      <c r="C3427" s="32">
        <f t="shared" si="53"/>
        <v>-2.8301762275755982E-2</v>
      </c>
    </row>
    <row r="3428" spans="1:3" x14ac:dyDescent="0.6">
      <c r="A3428" s="24">
        <v>34520</v>
      </c>
      <c r="B3428" s="23">
        <v>0.83341100000000001</v>
      </c>
      <c r="C3428" s="32">
        <f t="shared" si="53"/>
        <v>2.9126081716521091E-2</v>
      </c>
    </row>
    <row r="3429" spans="1:3" x14ac:dyDescent="0.6">
      <c r="A3429" s="24">
        <v>34521</v>
      </c>
      <c r="B3429" s="23">
        <v>0.82161700000000004</v>
      </c>
      <c r="C3429" s="32">
        <f t="shared" si="53"/>
        <v>-1.415148108196318E-2</v>
      </c>
    </row>
    <row r="3430" spans="1:3" x14ac:dyDescent="0.6">
      <c r="A3430" s="24">
        <v>34522</v>
      </c>
      <c r="B3430" s="23">
        <v>0.84323899999999996</v>
      </c>
      <c r="C3430" s="32">
        <f t="shared" si="53"/>
        <v>2.631639802973873E-2</v>
      </c>
    </row>
    <row r="3431" spans="1:3" x14ac:dyDescent="0.6">
      <c r="A3431" s="24">
        <v>34523</v>
      </c>
      <c r="B3431" s="23">
        <v>0.851101</v>
      </c>
      <c r="C3431" s="32">
        <f t="shared" si="53"/>
        <v>9.3235725577209827E-3</v>
      </c>
    </row>
    <row r="3432" spans="1:3" x14ac:dyDescent="0.6">
      <c r="A3432" s="24">
        <v>34526</v>
      </c>
      <c r="B3432" s="23">
        <v>0.849136</v>
      </c>
      <c r="C3432" s="32">
        <f t="shared" si="53"/>
        <v>-2.3087741642883186E-3</v>
      </c>
    </row>
    <row r="3433" spans="1:3" x14ac:dyDescent="0.6">
      <c r="A3433" s="24">
        <v>34527</v>
      </c>
      <c r="B3433" s="23">
        <v>0.89237900000000003</v>
      </c>
      <c r="C3433" s="32">
        <f t="shared" si="53"/>
        <v>5.0925882308605397E-2</v>
      </c>
    </row>
    <row r="3434" spans="1:3" x14ac:dyDescent="0.6">
      <c r="A3434" s="24">
        <v>34528</v>
      </c>
      <c r="B3434" s="23">
        <v>0.93365600000000004</v>
      </c>
      <c r="C3434" s="32">
        <f t="shared" si="53"/>
        <v>4.625501048321401E-2</v>
      </c>
    </row>
    <row r="3435" spans="1:3" x14ac:dyDescent="0.6">
      <c r="A3435" s="24">
        <v>34529</v>
      </c>
      <c r="B3435" s="23">
        <v>0.90024099999999996</v>
      </c>
      <c r="C3435" s="32">
        <f t="shared" si="53"/>
        <v>-3.5789412803002518E-2</v>
      </c>
    </row>
    <row r="3436" spans="1:3" x14ac:dyDescent="0.6">
      <c r="A3436" s="24">
        <v>34530</v>
      </c>
      <c r="B3436" s="23">
        <v>0.88844699999999999</v>
      </c>
      <c r="C3436" s="32">
        <f t="shared" si="53"/>
        <v>-1.3100936304833888E-2</v>
      </c>
    </row>
    <row r="3437" spans="1:3" x14ac:dyDescent="0.6">
      <c r="A3437" s="24">
        <v>34533</v>
      </c>
      <c r="B3437" s="23">
        <v>0.89237900000000003</v>
      </c>
      <c r="C3437" s="32">
        <f t="shared" si="53"/>
        <v>4.4257001261753803E-3</v>
      </c>
    </row>
    <row r="3438" spans="1:3" x14ac:dyDescent="0.6">
      <c r="A3438" s="24">
        <v>34534</v>
      </c>
      <c r="B3438" s="23">
        <v>0.870757</v>
      </c>
      <c r="C3438" s="32">
        <f t="shared" si="53"/>
        <v>-2.4229615443662422E-2</v>
      </c>
    </row>
    <row r="3439" spans="1:3" x14ac:dyDescent="0.6">
      <c r="A3439" s="24">
        <v>34535</v>
      </c>
      <c r="B3439" s="23">
        <v>0.83734200000000003</v>
      </c>
      <c r="C3439" s="32">
        <f t="shared" si="53"/>
        <v>-3.8374655615745823E-2</v>
      </c>
    </row>
    <row r="3440" spans="1:3" x14ac:dyDescent="0.6">
      <c r="A3440" s="24">
        <v>34536</v>
      </c>
      <c r="B3440" s="23">
        <v>0.88058499999999995</v>
      </c>
      <c r="C3440" s="32">
        <f t="shared" si="53"/>
        <v>5.1643175667767771E-2</v>
      </c>
    </row>
    <row r="3441" spans="1:3" x14ac:dyDescent="0.6">
      <c r="A3441" s="24">
        <v>34537</v>
      </c>
      <c r="B3441" s="23">
        <v>0.97493300000000005</v>
      </c>
      <c r="C3441" s="32">
        <f t="shared" si="53"/>
        <v>0.1071424110108623</v>
      </c>
    </row>
    <row r="3442" spans="1:3" x14ac:dyDescent="0.6">
      <c r="A3442" s="24">
        <v>34540</v>
      </c>
      <c r="B3442" s="23">
        <v>0.99655499999999997</v>
      </c>
      <c r="C3442" s="32">
        <f t="shared" si="53"/>
        <v>2.2177934278560629E-2</v>
      </c>
    </row>
    <row r="3443" spans="1:3" x14ac:dyDescent="0.6">
      <c r="A3443" s="24">
        <v>34541</v>
      </c>
      <c r="B3443" s="23">
        <v>0.98672700000000002</v>
      </c>
      <c r="C3443" s="32">
        <f t="shared" si="53"/>
        <v>-9.8619745021598648E-3</v>
      </c>
    </row>
    <row r="3444" spans="1:3" x14ac:dyDescent="0.6">
      <c r="A3444" s="24">
        <v>34542</v>
      </c>
      <c r="B3444" s="23">
        <v>0.97689899999999996</v>
      </c>
      <c r="C3444" s="32">
        <f t="shared" si="53"/>
        <v>-9.960201757933107E-3</v>
      </c>
    </row>
    <row r="3445" spans="1:3" x14ac:dyDescent="0.6">
      <c r="A3445" s="24">
        <v>34543</v>
      </c>
      <c r="B3445" s="23">
        <v>1.0024519999999999</v>
      </c>
      <c r="C3445" s="32">
        <f t="shared" si="53"/>
        <v>2.6157258836379205E-2</v>
      </c>
    </row>
    <row r="3446" spans="1:3" x14ac:dyDescent="0.6">
      <c r="A3446" s="24">
        <v>34544</v>
      </c>
      <c r="B3446" s="23">
        <v>1.0594539999999999</v>
      </c>
      <c r="C3446" s="32">
        <f t="shared" si="53"/>
        <v>5.6862572971074998E-2</v>
      </c>
    </row>
    <row r="3447" spans="1:3" x14ac:dyDescent="0.6">
      <c r="A3447" s="24">
        <v>34547</v>
      </c>
      <c r="B3447" s="23">
        <v>1.0496259999999999</v>
      </c>
      <c r="C3447" s="32">
        <f t="shared" si="53"/>
        <v>-9.2764763736792322E-3</v>
      </c>
    </row>
    <row r="3448" spans="1:3" x14ac:dyDescent="0.6">
      <c r="A3448" s="24">
        <v>34548</v>
      </c>
      <c r="B3448" s="23">
        <v>1.024073</v>
      </c>
      <c r="C3448" s="32">
        <f t="shared" si="53"/>
        <v>-2.4344861884137758E-2</v>
      </c>
    </row>
    <row r="3449" spans="1:3" x14ac:dyDescent="0.6">
      <c r="A3449" s="24">
        <v>34549</v>
      </c>
      <c r="B3449" s="23">
        <v>1.0417639999999999</v>
      </c>
      <c r="C3449" s="32">
        <f t="shared" si="53"/>
        <v>1.7275135659274188E-2</v>
      </c>
    </row>
    <row r="3450" spans="1:3" x14ac:dyDescent="0.6">
      <c r="A3450" s="24">
        <v>34550</v>
      </c>
      <c r="B3450" s="23">
        <v>1.045695</v>
      </c>
      <c r="C3450" s="32">
        <f t="shared" si="53"/>
        <v>3.7734074128115136E-3</v>
      </c>
    </row>
    <row r="3451" spans="1:3" x14ac:dyDescent="0.6">
      <c r="A3451" s="24">
        <v>34551</v>
      </c>
      <c r="B3451" s="23">
        <v>1.045695</v>
      </c>
      <c r="C3451" s="32">
        <f t="shared" si="53"/>
        <v>0</v>
      </c>
    </row>
    <row r="3452" spans="1:3" x14ac:dyDescent="0.6">
      <c r="A3452" s="24">
        <v>34554</v>
      </c>
      <c r="B3452" s="23">
        <v>1.06142</v>
      </c>
      <c r="C3452" s="32">
        <f t="shared" si="53"/>
        <v>1.5037845643328218E-2</v>
      </c>
    </row>
    <row r="3453" spans="1:3" x14ac:dyDescent="0.6">
      <c r="A3453" s="24">
        <v>34555</v>
      </c>
      <c r="B3453" s="23">
        <v>1.057488</v>
      </c>
      <c r="C3453" s="32">
        <f t="shared" si="53"/>
        <v>-3.7044713685440156E-3</v>
      </c>
    </row>
    <row r="3454" spans="1:3" x14ac:dyDescent="0.6">
      <c r="A3454" s="24">
        <v>34556</v>
      </c>
      <c r="B3454" s="23">
        <v>1.088938</v>
      </c>
      <c r="C3454" s="32">
        <f t="shared" si="53"/>
        <v>2.9740290197146413E-2</v>
      </c>
    </row>
    <row r="3455" spans="1:3" x14ac:dyDescent="0.6">
      <c r="A3455" s="24">
        <v>34557</v>
      </c>
      <c r="B3455" s="23">
        <v>1.07911</v>
      </c>
      <c r="C3455" s="32">
        <f t="shared" si="53"/>
        <v>-9.0253072259393052E-3</v>
      </c>
    </row>
    <row r="3456" spans="1:3" x14ac:dyDescent="0.6">
      <c r="A3456" s="24">
        <v>34558</v>
      </c>
      <c r="B3456" s="23">
        <v>1.0928690000000001</v>
      </c>
      <c r="C3456" s="32">
        <f t="shared" si="53"/>
        <v>1.2750322024631444E-2</v>
      </c>
    </row>
    <row r="3457" spans="1:3" x14ac:dyDescent="0.6">
      <c r="A3457" s="24">
        <v>34561</v>
      </c>
      <c r="B3457" s="23">
        <v>1.0927150000000001</v>
      </c>
      <c r="C3457" s="32">
        <f t="shared" si="53"/>
        <v>-1.4091350381428835E-4</v>
      </c>
    </row>
    <row r="3458" spans="1:3" x14ac:dyDescent="0.6">
      <c r="A3458" s="24">
        <v>34562</v>
      </c>
      <c r="B3458" s="23">
        <v>1.09666</v>
      </c>
      <c r="C3458" s="32">
        <f t="shared" si="53"/>
        <v>3.6102734930882896E-3</v>
      </c>
    </row>
    <row r="3459" spans="1:3" x14ac:dyDescent="0.6">
      <c r="A3459" s="24">
        <v>34563</v>
      </c>
      <c r="B3459" s="23">
        <v>1.104549</v>
      </c>
      <c r="C3459" s="32">
        <f t="shared" si="53"/>
        <v>7.1936607517371076E-3</v>
      </c>
    </row>
    <row r="3460" spans="1:3" x14ac:dyDescent="0.6">
      <c r="A3460" s="24">
        <v>34564</v>
      </c>
      <c r="B3460" s="23">
        <v>1.0927150000000001</v>
      </c>
      <c r="C3460" s="32">
        <f t="shared" ref="C3460:C3523" si="54">B3460/B3459-1</f>
        <v>-1.0713875074804147E-2</v>
      </c>
    </row>
    <row r="3461" spans="1:3" x14ac:dyDescent="0.6">
      <c r="A3461" s="24">
        <v>34565</v>
      </c>
      <c r="B3461" s="23">
        <v>1.1006050000000001</v>
      </c>
      <c r="C3461" s="32">
        <f t="shared" si="54"/>
        <v>7.2205469861765792E-3</v>
      </c>
    </row>
    <row r="3462" spans="1:3" x14ac:dyDescent="0.6">
      <c r="A3462" s="24">
        <v>34568</v>
      </c>
      <c r="B3462" s="23">
        <v>1.1006050000000001</v>
      </c>
      <c r="C3462" s="32">
        <f t="shared" si="54"/>
        <v>0</v>
      </c>
    </row>
    <row r="3463" spans="1:3" x14ac:dyDescent="0.6">
      <c r="A3463" s="24">
        <v>34569</v>
      </c>
      <c r="B3463" s="23">
        <v>1.104549</v>
      </c>
      <c r="C3463" s="32">
        <f t="shared" si="54"/>
        <v>3.5834836294583727E-3</v>
      </c>
    </row>
    <row r="3464" spans="1:3" x14ac:dyDescent="0.6">
      <c r="A3464" s="24">
        <v>34570</v>
      </c>
      <c r="B3464" s="23">
        <v>1.1006050000000001</v>
      </c>
      <c r="C3464" s="32">
        <f t="shared" si="54"/>
        <v>-3.570688127009225E-3</v>
      </c>
    </row>
    <row r="3465" spans="1:3" x14ac:dyDescent="0.6">
      <c r="A3465" s="24">
        <v>34571</v>
      </c>
      <c r="B3465" s="23">
        <v>1.106522</v>
      </c>
      <c r="C3465" s="32">
        <f t="shared" si="54"/>
        <v>5.3761340353715159E-3</v>
      </c>
    </row>
    <row r="3466" spans="1:3" x14ac:dyDescent="0.6">
      <c r="A3466" s="24">
        <v>34572</v>
      </c>
      <c r="B3466" s="23">
        <v>1.1282179999999999</v>
      </c>
      <c r="C3466" s="32">
        <f t="shared" si="54"/>
        <v>1.9607382410833152E-2</v>
      </c>
    </row>
    <row r="3467" spans="1:3" x14ac:dyDescent="0.6">
      <c r="A3467" s="24">
        <v>34575</v>
      </c>
      <c r="B3467" s="23">
        <v>1.116384</v>
      </c>
      <c r="C3467" s="32">
        <f t="shared" si="54"/>
        <v>-1.0489107601544978E-2</v>
      </c>
    </row>
    <row r="3468" spans="1:3" x14ac:dyDescent="0.6">
      <c r="A3468" s="24">
        <v>34576</v>
      </c>
      <c r="B3468" s="23">
        <v>1.1439980000000001</v>
      </c>
      <c r="C3468" s="32">
        <f t="shared" si="54"/>
        <v>2.4735216556310391E-2</v>
      </c>
    </row>
    <row r="3469" spans="1:3" x14ac:dyDescent="0.6">
      <c r="A3469" s="24">
        <v>34577</v>
      </c>
      <c r="B3469" s="23">
        <v>1.1420250000000001</v>
      </c>
      <c r="C3469" s="32">
        <f t="shared" si="54"/>
        <v>-1.7246533647785611E-3</v>
      </c>
    </row>
    <row r="3470" spans="1:3" x14ac:dyDescent="0.6">
      <c r="A3470" s="24">
        <v>34578</v>
      </c>
      <c r="B3470" s="23">
        <v>1.104549</v>
      </c>
      <c r="C3470" s="32">
        <f t="shared" si="54"/>
        <v>-3.2815393708544138E-2</v>
      </c>
    </row>
    <row r="3471" spans="1:3" x14ac:dyDescent="0.6">
      <c r="A3471" s="24">
        <v>34579</v>
      </c>
      <c r="B3471" s="23">
        <v>1.116384</v>
      </c>
      <c r="C3471" s="32">
        <f t="shared" si="54"/>
        <v>1.0714780421692494E-2</v>
      </c>
    </row>
    <row r="3472" spans="1:3" x14ac:dyDescent="0.6">
      <c r="A3472" s="24">
        <v>34583</v>
      </c>
      <c r="B3472" s="23">
        <v>1.122301</v>
      </c>
      <c r="C3472" s="32">
        <f t="shared" si="54"/>
        <v>5.300147619456963E-3</v>
      </c>
    </row>
    <row r="3473" spans="1:3" x14ac:dyDescent="0.6">
      <c r="A3473" s="24">
        <v>34584</v>
      </c>
      <c r="B3473" s="23">
        <v>1.140053</v>
      </c>
      <c r="C3473" s="32">
        <f t="shared" si="54"/>
        <v>1.5817503503962049E-2</v>
      </c>
    </row>
    <row r="3474" spans="1:3" x14ac:dyDescent="0.6">
      <c r="A3474" s="24">
        <v>34585</v>
      </c>
      <c r="B3474" s="23">
        <v>1.140053</v>
      </c>
      <c r="C3474" s="32">
        <f t="shared" si="54"/>
        <v>0</v>
      </c>
    </row>
    <row r="3475" spans="1:3" x14ac:dyDescent="0.6">
      <c r="A3475" s="24">
        <v>34586</v>
      </c>
      <c r="B3475" s="23">
        <v>1.1282179999999999</v>
      </c>
      <c r="C3475" s="32">
        <f t="shared" si="54"/>
        <v>-1.0381096317451988E-2</v>
      </c>
    </row>
    <row r="3476" spans="1:3" x14ac:dyDescent="0.6">
      <c r="A3476" s="24">
        <v>34589</v>
      </c>
      <c r="B3476" s="23">
        <v>1.1282179999999999</v>
      </c>
      <c r="C3476" s="32">
        <f t="shared" si="54"/>
        <v>0</v>
      </c>
    </row>
    <row r="3477" spans="1:3" x14ac:dyDescent="0.6">
      <c r="A3477" s="24">
        <v>34590</v>
      </c>
      <c r="B3477" s="23">
        <v>1.1301909999999999</v>
      </c>
      <c r="C3477" s="32">
        <f t="shared" si="54"/>
        <v>1.7487755026066587E-3</v>
      </c>
    </row>
    <row r="3478" spans="1:3" x14ac:dyDescent="0.6">
      <c r="A3478" s="24">
        <v>34591</v>
      </c>
      <c r="B3478" s="23">
        <v>1.108495</v>
      </c>
      <c r="C3478" s="32">
        <f t="shared" si="54"/>
        <v>-1.9196755238716223E-2</v>
      </c>
    </row>
    <row r="3479" spans="1:3" x14ac:dyDescent="0.6">
      <c r="A3479" s="24">
        <v>34592</v>
      </c>
      <c r="B3479" s="23">
        <v>1.1361079999999999</v>
      </c>
      <c r="C3479" s="32">
        <f t="shared" si="54"/>
        <v>2.4910351422424037E-2</v>
      </c>
    </row>
    <row r="3480" spans="1:3" x14ac:dyDescent="0.6">
      <c r="A3480" s="24">
        <v>34593</v>
      </c>
      <c r="B3480" s="23">
        <v>1.1479429999999999</v>
      </c>
      <c r="C3480" s="32">
        <f t="shared" si="54"/>
        <v>1.0417143440588417E-2</v>
      </c>
    </row>
    <row r="3481" spans="1:3" x14ac:dyDescent="0.6">
      <c r="A3481" s="24">
        <v>34596</v>
      </c>
      <c r="B3481" s="23">
        <v>1.1203289999999999</v>
      </c>
      <c r="C3481" s="32">
        <f t="shared" si="54"/>
        <v>-2.4055201347105259E-2</v>
      </c>
    </row>
    <row r="3482" spans="1:3" x14ac:dyDescent="0.6">
      <c r="A3482" s="24">
        <v>34597</v>
      </c>
      <c r="B3482" s="23">
        <v>1.090743</v>
      </c>
      <c r="C3482" s="32">
        <f t="shared" si="54"/>
        <v>-2.6408313986337806E-2</v>
      </c>
    </row>
    <row r="3483" spans="1:3" x14ac:dyDescent="0.6">
      <c r="A3483" s="24">
        <v>34598</v>
      </c>
      <c r="B3483" s="23">
        <v>1.0769359999999999</v>
      </c>
      <c r="C3483" s="32">
        <f t="shared" si="54"/>
        <v>-1.265834389952547E-2</v>
      </c>
    </row>
    <row r="3484" spans="1:3" x14ac:dyDescent="0.6">
      <c r="A3484" s="24">
        <v>34599</v>
      </c>
      <c r="B3484" s="23">
        <v>1.0690459999999999</v>
      </c>
      <c r="C3484" s="32">
        <f t="shared" si="54"/>
        <v>-7.3263406553406574E-3</v>
      </c>
    </row>
    <row r="3485" spans="1:3" x14ac:dyDescent="0.6">
      <c r="A3485" s="24">
        <v>34600</v>
      </c>
      <c r="B3485" s="23">
        <v>1.0710189999999999</v>
      </c>
      <c r="C3485" s="32">
        <f t="shared" si="54"/>
        <v>1.8455707238043129E-3</v>
      </c>
    </row>
    <row r="3486" spans="1:3" x14ac:dyDescent="0.6">
      <c r="A3486" s="24">
        <v>34603</v>
      </c>
      <c r="B3486" s="23">
        <v>1.0710189999999999</v>
      </c>
      <c r="C3486" s="32">
        <f t="shared" si="54"/>
        <v>0</v>
      </c>
    </row>
    <row r="3487" spans="1:3" x14ac:dyDescent="0.6">
      <c r="A3487" s="24">
        <v>34604</v>
      </c>
      <c r="B3487" s="23">
        <v>1.0690459999999999</v>
      </c>
      <c r="C3487" s="32">
        <f t="shared" si="54"/>
        <v>-1.8421708671835235E-3</v>
      </c>
    </row>
    <row r="3488" spans="1:3" x14ac:dyDescent="0.6">
      <c r="A3488" s="24">
        <v>34605</v>
      </c>
      <c r="B3488" s="23">
        <v>1.0690459999999999</v>
      </c>
      <c r="C3488" s="32">
        <f t="shared" si="54"/>
        <v>0</v>
      </c>
    </row>
    <row r="3489" spans="1:3" x14ac:dyDescent="0.6">
      <c r="A3489" s="24">
        <v>34606</v>
      </c>
      <c r="B3489" s="23">
        <v>1.0769359999999999</v>
      </c>
      <c r="C3489" s="32">
        <f t="shared" si="54"/>
        <v>7.3804120683300667E-3</v>
      </c>
    </row>
    <row r="3490" spans="1:3" x14ac:dyDescent="0.6">
      <c r="A3490" s="24">
        <v>34607</v>
      </c>
      <c r="B3490" s="23">
        <v>1.063129</v>
      </c>
      <c r="C3490" s="32">
        <f t="shared" si="54"/>
        <v>-1.2820631866703236E-2</v>
      </c>
    </row>
    <row r="3491" spans="1:3" x14ac:dyDescent="0.6">
      <c r="A3491" s="24">
        <v>34610</v>
      </c>
      <c r="B3491" s="23">
        <v>1.0453779999999999</v>
      </c>
      <c r="C3491" s="32">
        <f t="shared" si="54"/>
        <v>-1.6696938941558437E-2</v>
      </c>
    </row>
    <row r="3492" spans="1:3" x14ac:dyDescent="0.6">
      <c r="A3492" s="24">
        <v>34611</v>
      </c>
      <c r="B3492" s="23">
        <v>1.0651010000000001</v>
      </c>
      <c r="C3492" s="32">
        <f t="shared" si="54"/>
        <v>1.8866859643114964E-2</v>
      </c>
    </row>
    <row r="3493" spans="1:3" x14ac:dyDescent="0.6">
      <c r="A3493" s="24">
        <v>34612</v>
      </c>
      <c r="B3493" s="23">
        <v>1.1952799999999999</v>
      </c>
      <c r="C3493" s="32">
        <f t="shared" si="54"/>
        <v>0.12222221179024317</v>
      </c>
    </row>
    <row r="3494" spans="1:3" x14ac:dyDescent="0.6">
      <c r="A3494" s="24">
        <v>34613</v>
      </c>
      <c r="B3494" s="23">
        <v>1.1439980000000001</v>
      </c>
      <c r="C3494" s="32">
        <f t="shared" si="54"/>
        <v>-4.2903754768756963E-2</v>
      </c>
    </row>
    <row r="3495" spans="1:3" x14ac:dyDescent="0.6">
      <c r="A3495" s="24">
        <v>34614</v>
      </c>
      <c r="B3495" s="23">
        <v>1.167667</v>
      </c>
      <c r="C3495" s="32">
        <f t="shared" si="54"/>
        <v>2.0689721485527057E-2</v>
      </c>
    </row>
    <row r="3496" spans="1:3" x14ac:dyDescent="0.6">
      <c r="A3496" s="24">
        <v>34617</v>
      </c>
      <c r="B3496" s="23">
        <v>1.226839</v>
      </c>
      <c r="C3496" s="32">
        <f t="shared" si="54"/>
        <v>5.0675406601368378E-2</v>
      </c>
    </row>
    <row r="3497" spans="1:3" x14ac:dyDescent="0.6">
      <c r="A3497" s="24">
        <v>34618</v>
      </c>
      <c r="B3497" s="23">
        <v>1.250508</v>
      </c>
      <c r="C3497" s="32">
        <f t="shared" si="54"/>
        <v>1.9292670024346981E-2</v>
      </c>
    </row>
    <row r="3498" spans="1:3" x14ac:dyDescent="0.6">
      <c r="A3498" s="24">
        <v>34619</v>
      </c>
      <c r="B3498" s="23">
        <v>1.329404</v>
      </c>
      <c r="C3498" s="32">
        <f t="shared" si="54"/>
        <v>6.3091159752676651E-2</v>
      </c>
    </row>
    <row r="3499" spans="1:3" x14ac:dyDescent="0.6">
      <c r="A3499" s="24">
        <v>34620</v>
      </c>
      <c r="B3499" s="23">
        <v>1.2978460000000001</v>
      </c>
      <c r="C3499" s="32">
        <f t="shared" si="54"/>
        <v>-2.3738457233467014E-2</v>
      </c>
    </row>
    <row r="3500" spans="1:3" x14ac:dyDescent="0.6">
      <c r="A3500" s="24">
        <v>34621</v>
      </c>
      <c r="B3500" s="23">
        <v>1.2978460000000001</v>
      </c>
      <c r="C3500" s="32">
        <f t="shared" si="54"/>
        <v>0</v>
      </c>
    </row>
    <row r="3501" spans="1:3" x14ac:dyDescent="0.6">
      <c r="A3501" s="24">
        <v>34624</v>
      </c>
      <c r="B3501" s="23">
        <v>1.254453</v>
      </c>
      <c r="C3501" s="32">
        <f t="shared" si="54"/>
        <v>-3.3434629378215952E-2</v>
      </c>
    </row>
    <row r="3502" spans="1:3" x14ac:dyDescent="0.6">
      <c r="A3502" s="24">
        <v>34625</v>
      </c>
      <c r="B3502" s="23">
        <v>1.3017909999999999</v>
      </c>
      <c r="C3502" s="32">
        <f t="shared" si="54"/>
        <v>3.7735969382671097E-2</v>
      </c>
    </row>
    <row r="3503" spans="1:3" x14ac:dyDescent="0.6">
      <c r="A3503" s="24">
        <v>34626</v>
      </c>
      <c r="B3503" s="23">
        <v>1.3017909999999999</v>
      </c>
      <c r="C3503" s="32">
        <f t="shared" si="54"/>
        <v>0</v>
      </c>
    </row>
    <row r="3504" spans="1:3" x14ac:dyDescent="0.6">
      <c r="A3504" s="24">
        <v>34627</v>
      </c>
      <c r="B3504" s="23">
        <v>1.293901</v>
      </c>
      <c r="C3504" s="32">
        <f t="shared" si="54"/>
        <v>-6.0608807404567422E-3</v>
      </c>
    </row>
    <row r="3505" spans="1:3" x14ac:dyDescent="0.6">
      <c r="A3505" s="24">
        <v>34628</v>
      </c>
      <c r="B3505" s="23">
        <v>1.345183</v>
      </c>
      <c r="C3505" s="32">
        <f t="shared" si="54"/>
        <v>3.9633635030809966E-2</v>
      </c>
    </row>
    <row r="3506" spans="1:3" x14ac:dyDescent="0.6">
      <c r="A3506" s="24">
        <v>34631</v>
      </c>
      <c r="B3506" s="23">
        <v>1.3333489999999999</v>
      </c>
      <c r="C3506" s="32">
        <f t="shared" si="54"/>
        <v>-8.797316052908899E-3</v>
      </c>
    </row>
    <row r="3507" spans="1:3" x14ac:dyDescent="0.6">
      <c r="A3507" s="24">
        <v>34632</v>
      </c>
      <c r="B3507" s="23">
        <v>1.345183</v>
      </c>
      <c r="C3507" s="32">
        <f t="shared" si="54"/>
        <v>8.8753957141003426E-3</v>
      </c>
    </row>
    <row r="3508" spans="1:3" x14ac:dyDescent="0.6">
      <c r="A3508" s="24">
        <v>34633</v>
      </c>
      <c r="B3508" s="23">
        <v>1.3649070000000001</v>
      </c>
      <c r="C3508" s="32">
        <f t="shared" si="54"/>
        <v>1.4662689017033381E-2</v>
      </c>
    </row>
    <row r="3509" spans="1:3" x14ac:dyDescent="0.6">
      <c r="A3509" s="24">
        <v>34634</v>
      </c>
      <c r="B3509" s="23">
        <v>1.3491280000000001</v>
      </c>
      <c r="C3509" s="32">
        <f t="shared" si="54"/>
        <v>-1.1560494597800397E-2</v>
      </c>
    </row>
    <row r="3510" spans="1:3" x14ac:dyDescent="0.6">
      <c r="A3510" s="24">
        <v>34635</v>
      </c>
      <c r="B3510" s="23">
        <v>1.329404</v>
      </c>
      <c r="C3510" s="32">
        <f t="shared" si="54"/>
        <v>-1.461981368706311E-2</v>
      </c>
    </row>
    <row r="3511" spans="1:3" x14ac:dyDescent="0.6">
      <c r="A3511" s="24">
        <v>34638</v>
      </c>
      <c r="B3511" s="23">
        <v>1.362935</v>
      </c>
      <c r="C3511" s="32">
        <f t="shared" si="54"/>
        <v>2.5222580946048012E-2</v>
      </c>
    </row>
    <row r="3512" spans="1:3" x14ac:dyDescent="0.6">
      <c r="A3512" s="24">
        <v>34639</v>
      </c>
      <c r="B3512" s="23">
        <v>1.3609629999999999</v>
      </c>
      <c r="C3512" s="32">
        <f t="shared" si="54"/>
        <v>-1.4468775106664111E-3</v>
      </c>
    </row>
    <row r="3513" spans="1:3" x14ac:dyDescent="0.6">
      <c r="A3513" s="24">
        <v>34640</v>
      </c>
      <c r="B3513" s="23">
        <v>1.3057350000000001</v>
      </c>
      <c r="C3513" s="32">
        <f t="shared" si="54"/>
        <v>-4.0580089245629614E-2</v>
      </c>
    </row>
    <row r="3514" spans="1:3" x14ac:dyDescent="0.6">
      <c r="A3514" s="24">
        <v>34641</v>
      </c>
      <c r="B3514" s="23">
        <v>1.30968</v>
      </c>
      <c r="C3514" s="32">
        <f t="shared" si="54"/>
        <v>3.0212868614227784E-3</v>
      </c>
    </row>
    <row r="3515" spans="1:3" x14ac:dyDescent="0.6">
      <c r="A3515" s="24">
        <v>34642</v>
      </c>
      <c r="B3515" s="23">
        <v>1.2741769999999999</v>
      </c>
      <c r="C3515" s="32">
        <f t="shared" si="54"/>
        <v>-2.7108148555372358E-2</v>
      </c>
    </row>
    <row r="3516" spans="1:3" x14ac:dyDescent="0.6">
      <c r="A3516" s="24">
        <v>34645</v>
      </c>
      <c r="B3516" s="23">
        <v>1.286011</v>
      </c>
      <c r="C3516" s="32">
        <f t="shared" si="54"/>
        <v>9.2875636587381738E-3</v>
      </c>
    </row>
    <row r="3517" spans="1:3" x14ac:dyDescent="0.6">
      <c r="A3517" s="24">
        <v>34646</v>
      </c>
      <c r="B3517" s="23">
        <v>1.3333489999999999</v>
      </c>
      <c r="C3517" s="32">
        <f t="shared" si="54"/>
        <v>3.6809949526092511E-2</v>
      </c>
    </row>
    <row r="3518" spans="1:3" x14ac:dyDescent="0.6">
      <c r="A3518" s="24">
        <v>34647</v>
      </c>
      <c r="B3518" s="23">
        <v>1.313625</v>
      </c>
      <c r="C3518" s="32">
        <f t="shared" si="54"/>
        <v>-1.4792826184292229E-2</v>
      </c>
    </row>
    <row r="3519" spans="1:3" x14ac:dyDescent="0.6">
      <c r="A3519" s="24">
        <v>34648</v>
      </c>
      <c r="B3519" s="23">
        <v>1.303763</v>
      </c>
      <c r="C3519" s="32">
        <f t="shared" si="54"/>
        <v>-7.5074697878009244E-3</v>
      </c>
    </row>
    <row r="3520" spans="1:3" x14ac:dyDescent="0.6">
      <c r="A3520" s="24">
        <v>34649</v>
      </c>
      <c r="B3520" s="23">
        <v>1.2978460000000001</v>
      </c>
      <c r="C3520" s="32">
        <f t="shared" si="54"/>
        <v>-4.5384015346346951E-3</v>
      </c>
    </row>
    <row r="3521" spans="1:3" x14ac:dyDescent="0.6">
      <c r="A3521" s="24">
        <v>34652</v>
      </c>
      <c r="B3521" s="23">
        <v>1.3412390000000001</v>
      </c>
      <c r="C3521" s="32">
        <f t="shared" si="54"/>
        <v>3.3434629378215952E-2</v>
      </c>
    </row>
    <row r="3522" spans="1:3" x14ac:dyDescent="0.6">
      <c r="A3522" s="24">
        <v>34653</v>
      </c>
      <c r="B3522" s="23">
        <v>1.3057350000000001</v>
      </c>
      <c r="C3522" s="32">
        <f t="shared" si="54"/>
        <v>-2.6471046547259625E-2</v>
      </c>
    </row>
    <row r="3523" spans="1:3" x14ac:dyDescent="0.6">
      <c r="A3523" s="24">
        <v>34654</v>
      </c>
      <c r="B3523" s="23">
        <v>1.291928</v>
      </c>
      <c r="C3523" s="32">
        <f t="shared" si="54"/>
        <v>-1.0574121088888777E-2</v>
      </c>
    </row>
    <row r="3524" spans="1:3" x14ac:dyDescent="0.6">
      <c r="A3524" s="24">
        <v>34655</v>
      </c>
      <c r="B3524" s="23">
        <v>1.2623420000000001</v>
      </c>
      <c r="C3524" s="32">
        <f t="shared" ref="C3524:C3587" si="55">B3524/B3523-1</f>
        <v>-2.2900657002557279E-2</v>
      </c>
    </row>
    <row r="3525" spans="1:3" x14ac:dyDescent="0.6">
      <c r="A3525" s="24">
        <v>34656</v>
      </c>
      <c r="B3525" s="23">
        <v>1.2661450000000001</v>
      </c>
      <c r="C3525" s="32">
        <f t="shared" si="55"/>
        <v>3.0126542569288706E-3</v>
      </c>
    </row>
    <row r="3526" spans="1:3" x14ac:dyDescent="0.6">
      <c r="A3526" s="24">
        <v>34659</v>
      </c>
      <c r="B3526" s="23">
        <v>1.2067939999999999</v>
      </c>
      <c r="C3526" s="32">
        <f t="shared" si="55"/>
        <v>-4.6875357877652402E-2</v>
      </c>
    </row>
    <row r="3527" spans="1:3" x14ac:dyDescent="0.6">
      <c r="A3527" s="24">
        <v>34660</v>
      </c>
      <c r="B3527" s="23">
        <v>1.1830540000000001</v>
      </c>
      <c r="C3527" s="32">
        <f t="shared" si="55"/>
        <v>-1.9671957268597495E-2</v>
      </c>
    </row>
    <row r="3528" spans="1:3" x14ac:dyDescent="0.6">
      <c r="A3528" s="24">
        <v>34661</v>
      </c>
      <c r="B3528" s="23">
        <v>1.167227</v>
      </c>
      <c r="C3528" s="32">
        <f t="shared" si="55"/>
        <v>-1.3378087559824059E-2</v>
      </c>
    </row>
    <row r="3529" spans="1:3" x14ac:dyDescent="0.6">
      <c r="A3529" s="24">
        <v>34663</v>
      </c>
      <c r="B3529" s="23">
        <v>1.1949240000000001</v>
      </c>
      <c r="C3529" s="32">
        <f t="shared" si="55"/>
        <v>2.3728889067850645E-2</v>
      </c>
    </row>
    <row r="3530" spans="1:3" x14ac:dyDescent="0.6">
      <c r="A3530" s="24">
        <v>34666</v>
      </c>
      <c r="B3530" s="23">
        <v>1.1969019999999999</v>
      </c>
      <c r="C3530" s="32">
        <f t="shared" si="55"/>
        <v>1.6553354020840683E-3</v>
      </c>
    </row>
    <row r="3531" spans="1:3" x14ac:dyDescent="0.6">
      <c r="A3531" s="24">
        <v>34667</v>
      </c>
      <c r="B3531" s="23">
        <v>1.2107509999999999</v>
      </c>
      <c r="C3531" s="32">
        <f t="shared" si="55"/>
        <v>1.157070503683677E-2</v>
      </c>
    </row>
    <row r="3532" spans="1:3" x14ac:dyDescent="0.6">
      <c r="A3532" s="24">
        <v>34668</v>
      </c>
      <c r="B3532" s="23">
        <v>1.1790970000000001</v>
      </c>
      <c r="C3532" s="32">
        <f t="shared" si="55"/>
        <v>-2.6144103948706143E-2</v>
      </c>
    </row>
    <row r="3533" spans="1:3" x14ac:dyDescent="0.6">
      <c r="A3533" s="24">
        <v>34669</v>
      </c>
      <c r="B3533" s="23">
        <v>1.145465</v>
      </c>
      <c r="C3533" s="32">
        <f t="shared" si="55"/>
        <v>-2.8523522661833667E-2</v>
      </c>
    </row>
    <row r="3534" spans="1:3" x14ac:dyDescent="0.6">
      <c r="A3534" s="24">
        <v>34670</v>
      </c>
      <c r="B3534" s="23">
        <v>1.157335</v>
      </c>
      <c r="C3534" s="32">
        <f t="shared" si="55"/>
        <v>1.0362603833377726E-2</v>
      </c>
    </row>
    <row r="3535" spans="1:3" x14ac:dyDescent="0.6">
      <c r="A3535" s="24">
        <v>34673</v>
      </c>
      <c r="B3535" s="23">
        <v>1.177119</v>
      </c>
      <c r="C3535" s="32">
        <f t="shared" si="55"/>
        <v>1.7094445428506022E-2</v>
      </c>
    </row>
    <row r="3536" spans="1:3" x14ac:dyDescent="0.6">
      <c r="A3536" s="24">
        <v>34674</v>
      </c>
      <c r="B3536" s="23">
        <v>1.1889890000000001</v>
      </c>
      <c r="C3536" s="32">
        <f t="shared" si="55"/>
        <v>1.0083942235237009E-2</v>
      </c>
    </row>
    <row r="3537" spans="1:3" x14ac:dyDescent="0.6">
      <c r="A3537" s="24">
        <v>34675</v>
      </c>
      <c r="B3537" s="23">
        <v>1.159313</v>
      </c>
      <c r="C3537" s="32">
        <f t="shared" si="55"/>
        <v>-2.4959019805902316E-2</v>
      </c>
    </row>
    <row r="3538" spans="1:3" x14ac:dyDescent="0.6">
      <c r="A3538" s="24">
        <v>34676</v>
      </c>
      <c r="B3538" s="23">
        <v>1.1355740000000001</v>
      </c>
      <c r="C3538" s="32">
        <f t="shared" si="55"/>
        <v>-2.0476782370248525E-2</v>
      </c>
    </row>
    <row r="3539" spans="1:3" x14ac:dyDescent="0.6">
      <c r="A3539" s="24">
        <v>34677</v>
      </c>
      <c r="B3539" s="23">
        <v>1.1474439999999999</v>
      </c>
      <c r="C3539" s="32">
        <f t="shared" si="55"/>
        <v>1.0452863485778785E-2</v>
      </c>
    </row>
    <row r="3540" spans="1:3" x14ac:dyDescent="0.6">
      <c r="A3540" s="24">
        <v>34680</v>
      </c>
      <c r="B3540" s="23">
        <v>1.155357</v>
      </c>
      <c r="C3540" s="32">
        <f t="shared" si="55"/>
        <v>6.896197112887581E-3</v>
      </c>
    </row>
    <row r="3541" spans="1:3" x14ac:dyDescent="0.6">
      <c r="A3541" s="24">
        <v>34681</v>
      </c>
      <c r="B3541" s="23">
        <v>1.1514</v>
      </c>
      <c r="C3541" s="32">
        <f t="shared" si="55"/>
        <v>-3.4249154157546258E-3</v>
      </c>
    </row>
    <row r="3542" spans="1:3" x14ac:dyDescent="0.6">
      <c r="A3542" s="24">
        <v>34682</v>
      </c>
      <c r="B3542" s="23">
        <v>1.1988810000000001</v>
      </c>
      <c r="C3542" s="32">
        <f t="shared" si="55"/>
        <v>4.1237623762376385E-2</v>
      </c>
    </row>
    <row r="3543" spans="1:3" x14ac:dyDescent="0.6">
      <c r="A3543" s="24">
        <v>34683</v>
      </c>
      <c r="B3543" s="23">
        <v>1.175141</v>
      </c>
      <c r="C3543" s="32">
        <f t="shared" si="55"/>
        <v>-1.9801798510444391E-2</v>
      </c>
    </row>
    <row r="3544" spans="1:3" x14ac:dyDescent="0.6">
      <c r="A3544" s="24">
        <v>34684</v>
      </c>
      <c r="B3544" s="23">
        <v>1.1790970000000001</v>
      </c>
      <c r="C3544" s="32">
        <f t="shared" si="55"/>
        <v>3.3664045420933597E-3</v>
      </c>
    </row>
    <row r="3545" spans="1:3" x14ac:dyDescent="0.6">
      <c r="A3545" s="24">
        <v>34687</v>
      </c>
      <c r="B3545" s="23">
        <v>1.238448</v>
      </c>
      <c r="C3545" s="32">
        <f t="shared" si="55"/>
        <v>5.0335977447148128E-2</v>
      </c>
    </row>
    <row r="3546" spans="1:3" x14ac:dyDescent="0.6">
      <c r="A3546" s="24">
        <v>34688</v>
      </c>
      <c r="B3546" s="23">
        <v>1.218664</v>
      </c>
      <c r="C3546" s="32">
        <f t="shared" si="55"/>
        <v>-1.5974833016808132E-2</v>
      </c>
    </row>
    <row r="3547" spans="1:3" x14ac:dyDescent="0.6">
      <c r="A3547" s="24">
        <v>34689</v>
      </c>
      <c r="B3547" s="23">
        <v>1.214707</v>
      </c>
      <c r="C3547" s="32">
        <f t="shared" si="55"/>
        <v>-3.2469983522940282E-3</v>
      </c>
    </row>
    <row r="3548" spans="1:3" x14ac:dyDescent="0.6">
      <c r="A3548" s="24">
        <v>34690</v>
      </c>
      <c r="B3548" s="23">
        <v>1.222621</v>
      </c>
      <c r="C3548" s="32">
        <f t="shared" si="55"/>
        <v>6.515151390417584E-3</v>
      </c>
    </row>
    <row r="3549" spans="1:3" x14ac:dyDescent="0.6">
      <c r="A3549" s="24">
        <v>34691</v>
      </c>
      <c r="B3549" s="23">
        <v>1.230534</v>
      </c>
      <c r="C3549" s="32">
        <f t="shared" si="55"/>
        <v>6.472161037639701E-3</v>
      </c>
    </row>
    <row r="3550" spans="1:3" x14ac:dyDescent="0.6">
      <c r="A3550" s="24">
        <v>34695</v>
      </c>
      <c r="B3550" s="23">
        <v>1.238448</v>
      </c>
      <c r="C3550" s="32">
        <f t="shared" si="55"/>
        <v>6.4313541925700157E-3</v>
      </c>
    </row>
    <row r="3551" spans="1:3" x14ac:dyDescent="0.6">
      <c r="A3551" s="24">
        <v>34696</v>
      </c>
      <c r="B3551" s="23">
        <v>1.238448</v>
      </c>
      <c r="C3551" s="32">
        <f t="shared" si="55"/>
        <v>0</v>
      </c>
    </row>
    <row r="3552" spans="1:3" x14ac:dyDescent="0.6">
      <c r="A3552" s="24">
        <v>34697</v>
      </c>
      <c r="B3552" s="23">
        <v>1.250318</v>
      </c>
      <c r="C3552" s="32">
        <f t="shared" si="55"/>
        <v>9.5845768251876517E-3</v>
      </c>
    </row>
    <row r="3553" spans="1:3" x14ac:dyDescent="0.6">
      <c r="A3553" s="24">
        <v>34698</v>
      </c>
      <c r="B3553" s="23">
        <v>1.234491</v>
      </c>
      <c r="C3553" s="32">
        <f t="shared" si="55"/>
        <v>-1.2658379708202272E-2</v>
      </c>
    </row>
    <row r="3554" spans="1:3" x14ac:dyDescent="0.6">
      <c r="A3554" s="24">
        <v>34702</v>
      </c>
      <c r="B3554" s="23">
        <v>1.214707</v>
      </c>
      <c r="C3554" s="32">
        <f t="shared" si="55"/>
        <v>-1.6026038261923392E-2</v>
      </c>
    </row>
    <row r="3555" spans="1:3" x14ac:dyDescent="0.6">
      <c r="A3555" s="24">
        <v>34703</v>
      </c>
      <c r="B3555" s="23">
        <v>1.2463610000000001</v>
      </c>
      <c r="C3555" s="32">
        <f t="shared" si="55"/>
        <v>2.60589590740814E-2</v>
      </c>
    </row>
    <row r="3556" spans="1:3" x14ac:dyDescent="0.6">
      <c r="A3556" s="24">
        <v>34704</v>
      </c>
      <c r="B3556" s="23">
        <v>1.230534</v>
      </c>
      <c r="C3556" s="32">
        <f t="shared" si="55"/>
        <v>-1.2698568071369376E-2</v>
      </c>
    </row>
    <row r="3557" spans="1:3" x14ac:dyDescent="0.6">
      <c r="A3557" s="24">
        <v>34705</v>
      </c>
      <c r="B3557" s="23">
        <v>1.3294520000000001</v>
      </c>
      <c r="C3557" s="32">
        <f t="shared" si="55"/>
        <v>8.0386238819894595E-2</v>
      </c>
    </row>
    <row r="3558" spans="1:3" x14ac:dyDescent="0.6">
      <c r="A3558" s="24">
        <v>34708</v>
      </c>
      <c r="B3558" s="23">
        <v>1.304227</v>
      </c>
      <c r="C3558" s="32">
        <f t="shared" si="55"/>
        <v>-1.8973983265285321E-2</v>
      </c>
    </row>
    <row r="3559" spans="1:3" x14ac:dyDescent="0.6">
      <c r="A3559" s="24">
        <v>34709</v>
      </c>
      <c r="B3559" s="23">
        <v>1.382868</v>
      </c>
      <c r="C3559" s="32">
        <f t="shared" si="55"/>
        <v>6.0297018847179196E-2</v>
      </c>
    </row>
    <row r="3560" spans="1:3" x14ac:dyDescent="0.6">
      <c r="A3560" s="24">
        <v>34710</v>
      </c>
      <c r="B3560" s="23">
        <v>1.4798070000000001</v>
      </c>
      <c r="C3560" s="32">
        <f t="shared" si="55"/>
        <v>7.0099966157290527E-2</v>
      </c>
    </row>
    <row r="3561" spans="1:3" x14ac:dyDescent="0.6">
      <c r="A3561" s="24">
        <v>34711</v>
      </c>
      <c r="B3561" s="23">
        <v>1.436283</v>
      </c>
      <c r="C3561" s="32">
        <f t="shared" si="55"/>
        <v>-2.9411943584535138E-2</v>
      </c>
    </row>
    <row r="3562" spans="1:3" x14ac:dyDescent="0.6">
      <c r="A3562" s="24">
        <v>34712</v>
      </c>
      <c r="B3562" s="23">
        <v>1.4204559999999999</v>
      </c>
      <c r="C3562" s="32">
        <f t="shared" si="55"/>
        <v>-1.1019416090004563E-2</v>
      </c>
    </row>
    <row r="3563" spans="1:3" x14ac:dyDescent="0.6">
      <c r="A3563" s="24">
        <v>34715</v>
      </c>
      <c r="B3563" s="23">
        <v>1.4085859999999999</v>
      </c>
      <c r="C3563" s="32">
        <f t="shared" si="55"/>
        <v>-8.3564714429732456E-3</v>
      </c>
    </row>
    <row r="3564" spans="1:3" x14ac:dyDescent="0.6">
      <c r="A3564" s="24">
        <v>34716</v>
      </c>
      <c r="B3564" s="23">
        <v>1.424412</v>
      </c>
      <c r="C3564" s="32">
        <f t="shared" si="55"/>
        <v>1.1235380729327282E-2</v>
      </c>
    </row>
    <row r="3565" spans="1:3" x14ac:dyDescent="0.6">
      <c r="A3565" s="24">
        <v>34717</v>
      </c>
      <c r="B3565" s="23">
        <v>1.444196</v>
      </c>
      <c r="C3565" s="32">
        <f t="shared" si="55"/>
        <v>1.3889239910924722E-2</v>
      </c>
    </row>
    <row r="3566" spans="1:3" x14ac:dyDescent="0.6">
      <c r="A3566" s="24">
        <v>34718</v>
      </c>
      <c r="B3566" s="23">
        <v>1.4521090000000001</v>
      </c>
      <c r="C3566" s="32">
        <f t="shared" si="55"/>
        <v>5.4791731870189597E-3</v>
      </c>
    </row>
    <row r="3567" spans="1:3" x14ac:dyDescent="0.6">
      <c r="A3567" s="24">
        <v>34719</v>
      </c>
      <c r="B3567" s="23">
        <v>1.349235</v>
      </c>
      <c r="C3567" s="32">
        <f t="shared" si="55"/>
        <v>-7.0844544039049495E-2</v>
      </c>
    </row>
    <row r="3568" spans="1:3" x14ac:dyDescent="0.6">
      <c r="A3568" s="24">
        <v>34722</v>
      </c>
      <c r="B3568" s="23">
        <v>1.3373649999999999</v>
      </c>
      <c r="C3568" s="32">
        <f t="shared" si="55"/>
        <v>-8.7975778867284138E-3</v>
      </c>
    </row>
    <row r="3569" spans="1:3" x14ac:dyDescent="0.6">
      <c r="A3569" s="24">
        <v>34723</v>
      </c>
      <c r="B3569" s="23">
        <v>1.317582</v>
      </c>
      <c r="C3569" s="32">
        <f t="shared" si="55"/>
        <v>-1.4792521114280643E-2</v>
      </c>
    </row>
    <row r="3570" spans="1:3" x14ac:dyDescent="0.6">
      <c r="A3570" s="24">
        <v>34724</v>
      </c>
      <c r="B3570" s="23">
        <v>1.297301</v>
      </c>
      <c r="C3570" s="32">
        <f t="shared" si="55"/>
        <v>-1.5392590366292147E-2</v>
      </c>
    </row>
    <row r="3571" spans="1:3" x14ac:dyDescent="0.6">
      <c r="A3571" s="24">
        <v>34725</v>
      </c>
      <c r="B3571" s="23">
        <v>1.250318</v>
      </c>
      <c r="C3571" s="32">
        <f t="shared" si="55"/>
        <v>-3.6215959133616638E-2</v>
      </c>
    </row>
    <row r="3572" spans="1:3" x14ac:dyDescent="0.6">
      <c r="A3572" s="24">
        <v>34726</v>
      </c>
      <c r="B3572" s="23">
        <v>1.2621880000000001</v>
      </c>
      <c r="C3572" s="32">
        <f t="shared" si="55"/>
        <v>9.4935848320187866E-3</v>
      </c>
    </row>
    <row r="3573" spans="1:3" x14ac:dyDescent="0.6">
      <c r="A3573" s="24">
        <v>34729</v>
      </c>
      <c r="B3573" s="23">
        <v>1.2701009999999999</v>
      </c>
      <c r="C3573" s="32">
        <f t="shared" si="55"/>
        <v>6.2692720894192977E-3</v>
      </c>
    </row>
    <row r="3574" spans="1:3" x14ac:dyDescent="0.6">
      <c r="A3574" s="24">
        <v>34730</v>
      </c>
      <c r="B3574" s="23">
        <v>1.2780149999999999</v>
      </c>
      <c r="C3574" s="32">
        <f t="shared" si="55"/>
        <v>6.2310005267296464E-3</v>
      </c>
    </row>
    <row r="3575" spans="1:3" x14ac:dyDescent="0.6">
      <c r="A3575" s="24">
        <v>34731</v>
      </c>
      <c r="B3575" s="23">
        <v>1.2701009999999999</v>
      </c>
      <c r="C3575" s="32">
        <f t="shared" si="55"/>
        <v>-6.1924155819766957E-3</v>
      </c>
    </row>
    <row r="3576" spans="1:3" x14ac:dyDescent="0.6">
      <c r="A3576" s="24">
        <v>34732</v>
      </c>
      <c r="B3576" s="23">
        <v>1.317582</v>
      </c>
      <c r="C3576" s="32">
        <f t="shared" si="55"/>
        <v>3.7383641143499791E-2</v>
      </c>
    </row>
    <row r="3577" spans="1:3" x14ac:dyDescent="0.6">
      <c r="A3577" s="24">
        <v>34733</v>
      </c>
      <c r="B3577" s="23">
        <v>1.2819719999999999</v>
      </c>
      <c r="C3577" s="32">
        <f t="shared" si="55"/>
        <v>-2.7026780875877288E-2</v>
      </c>
    </row>
    <row r="3578" spans="1:3" x14ac:dyDescent="0.6">
      <c r="A3578" s="24">
        <v>34736</v>
      </c>
      <c r="B3578" s="23">
        <v>1.2819719999999999</v>
      </c>
      <c r="C3578" s="32">
        <f t="shared" si="55"/>
        <v>0</v>
      </c>
    </row>
    <row r="3579" spans="1:3" x14ac:dyDescent="0.6">
      <c r="A3579" s="24">
        <v>34737</v>
      </c>
      <c r="B3579" s="23">
        <v>1.291863</v>
      </c>
      <c r="C3579" s="32">
        <f t="shared" si="55"/>
        <v>7.7154571238686742E-3</v>
      </c>
    </row>
    <row r="3580" spans="1:3" x14ac:dyDescent="0.6">
      <c r="A3580" s="24">
        <v>34738</v>
      </c>
      <c r="B3580" s="23">
        <v>1.3393440000000001</v>
      </c>
      <c r="C3580" s="32">
        <f t="shared" si="55"/>
        <v>3.6753897278581471E-2</v>
      </c>
    </row>
    <row r="3581" spans="1:3" x14ac:dyDescent="0.6">
      <c r="A3581" s="24">
        <v>34739</v>
      </c>
      <c r="B3581" s="23">
        <v>1.380889</v>
      </c>
      <c r="C3581" s="32">
        <f t="shared" si="55"/>
        <v>3.1018916723410728E-2</v>
      </c>
    </row>
    <row r="3582" spans="1:3" x14ac:dyDescent="0.6">
      <c r="A3582" s="24">
        <v>34740</v>
      </c>
      <c r="B3582" s="23">
        <v>1.384846</v>
      </c>
      <c r="C3582" s="32">
        <f t="shared" si="55"/>
        <v>2.8655453117520935E-3</v>
      </c>
    </row>
    <row r="3583" spans="1:3" x14ac:dyDescent="0.6">
      <c r="A3583" s="24">
        <v>34743</v>
      </c>
      <c r="B3583" s="23">
        <v>1.3886590000000001</v>
      </c>
      <c r="C3583" s="32">
        <f t="shared" si="55"/>
        <v>2.7533747434733691E-3</v>
      </c>
    </row>
    <row r="3584" spans="1:3" x14ac:dyDescent="0.6">
      <c r="A3584" s="24">
        <v>34744</v>
      </c>
      <c r="B3584" s="23">
        <v>1.3628690000000001</v>
      </c>
      <c r="C3584" s="32">
        <f t="shared" si="55"/>
        <v>-1.857187401658722E-2</v>
      </c>
    </row>
    <row r="3585" spans="1:3" x14ac:dyDescent="0.6">
      <c r="A3585" s="24">
        <v>34745</v>
      </c>
      <c r="B3585" s="23">
        <v>1.3509659999999999</v>
      </c>
      <c r="C3585" s="32">
        <f t="shared" si="55"/>
        <v>-8.7337814566185168E-3</v>
      </c>
    </row>
    <row r="3586" spans="1:3" x14ac:dyDescent="0.6">
      <c r="A3586" s="24">
        <v>34746</v>
      </c>
      <c r="B3586" s="23">
        <v>1.3708039999999999</v>
      </c>
      <c r="C3586" s="32">
        <f t="shared" si="55"/>
        <v>1.4684307377091699E-2</v>
      </c>
    </row>
    <row r="3587" spans="1:3" x14ac:dyDescent="0.6">
      <c r="A3587" s="24">
        <v>34747</v>
      </c>
      <c r="B3587" s="23">
        <v>1.3489819999999999</v>
      </c>
      <c r="C3587" s="32">
        <f t="shared" si="55"/>
        <v>-1.5919124834768539E-2</v>
      </c>
    </row>
    <row r="3588" spans="1:3" x14ac:dyDescent="0.6">
      <c r="A3588" s="24">
        <v>34751</v>
      </c>
      <c r="B3588" s="23">
        <v>1.3013710000000001</v>
      </c>
      <c r="C3588" s="32">
        <f t="shared" ref="C3588:C3651" si="56">B3588/B3587-1</f>
        <v>-3.5294021714151746E-2</v>
      </c>
    </row>
    <row r="3589" spans="1:3" x14ac:dyDescent="0.6">
      <c r="A3589" s="24">
        <v>34752</v>
      </c>
      <c r="B3589" s="23">
        <v>1.29542</v>
      </c>
      <c r="C3589" s="32">
        <f t="shared" si="56"/>
        <v>-4.5728696889665299E-3</v>
      </c>
    </row>
    <row r="3590" spans="1:3" x14ac:dyDescent="0.6">
      <c r="A3590" s="24">
        <v>34753</v>
      </c>
      <c r="B3590" s="23">
        <v>1.275582</v>
      </c>
      <c r="C3590" s="32">
        <f t="shared" si="56"/>
        <v>-1.5313952231708616E-2</v>
      </c>
    </row>
    <row r="3591" spans="1:3" x14ac:dyDescent="0.6">
      <c r="A3591" s="24">
        <v>34754</v>
      </c>
      <c r="B3591" s="23">
        <v>1.2378899999999999</v>
      </c>
      <c r="C3591" s="32">
        <f t="shared" si="56"/>
        <v>-2.9548864753500825E-2</v>
      </c>
    </row>
    <row r="3592" spans="1:3" x14ac:dyDescent="0.6">
      <c r="A3592" s="24">
        <v>34757</v>
      </c>
      <c r="B3592" s="23">
        <v>1.2140850000000001</v>
      </c>
      <c r="C3592" s="32">
        <f t="shared" si="56"/>
        <v>-1.9230303177180441E-2</v>
      </c>
    </row>
    <row r="3593" spans="1:3" x14ac:dyDescent="0.6">
      <c r="A3593" s="24">
        <v>34758</v>
      </c>
      <c r="B3593" s="23">
        <v>1.25376</v>
      </c>
      <c r="C3593" s="32">
        <f t="shared" si="56"/>
        <v>3.2678931046837612E-2</v>
      </c>
    </row>
    <row r="3594" spans="1:3" x14ac:dyDescent="0.6">
      <c r="A3594" s="24">
        <v>34759</v>
      </c>
      <c r="B3594" s="23">
        <v>1.26963</v>
      </c>
      <c r="C3594" s="32">
        <f t="shared" si="56"/>
        <v>1.2657924961715139E-2</v>
      </c>
    </row>
    <row r="3595" spans="1:3" x14ac:dyDescent="0.6">
      <c r="A3595" s="24">
        <v>34760</v>
      </c>
      <c r="B3595" s="23">
        <v>1.26963</v>
      </c>
      <c r="C3595" s="32">
        <f t="shared" si="56"/>
        <v>0</v>
      </c>
    </row>
    <row r="3596" spans="1:3" x14ac:dyDescent="0.6">
      <c r="A3596" s="24">
        <v>34761</v>
      </c>
      <c r="B3596" s="23">
        <v>1.277566</v>
      </c>
      <c r="C3596" s="32">
        <f t="shared" si="56"/>
        <v>6.2506399502215704E-3</v>
      </c>
    </row>
    <row r="3597" spans="1:3" x14ac:dyDescent="0.6">
      <c r="A3597" s="24">
        <v>34764</v>
      </c>
      <c r="B3597" s="23">
        <v>1.2616959999999999</v>
      </c>
      <c r="C3597" s="32">
        <f t="shared" si="56"/>
        <v>-1.2422058821227266E-2</v>
      </c>
    </row>
    <row r="3598" spans="1:3" x14ac:dyDescent="0.6">
      <c r="A3598" s="24">
        <v>34765</v>
      </c>
      <c r="B3598" s="23">
        <v>1.2160679999999999</v>
      </c>
      <c r="C3598" s="32">
        <f t="shared" si="56"/>
        <v>-3.6164020493050675E-2</v>
      </c>
    </row>
    <row r="3599" spans="1:3" x14ac:dyDescent="0.6">
      <c r="A3599" s="24">
        <v>34766</v>
      </c>
      <c r="B3599" s="23">
        <v>1.255744</v>
      </c>
      <c r="C3599" s="32">
        <f t="shared" si="56"/>
        <v>3.2626464967419722E-2</v>
      </c>
    </row>
    <row r="3600" spans="1:3" x14ac:dyDescent="0.6">
      <c r="A3600" s="24">
        <v>34767</v>
      </c>
      <c r="B3600" s="23">
        <v>1.2616959999999999</v>
      </c>
      <c r="C3600" s="32">
        <f t="shared" si="56"/>
        <v>4.7398195810610666E-3</v>
      </c>
    </row>
    <row r="3601" spans="1:3" x14ac:dyDescent="0.6">
      <c r="A3601" s="24">
        <v>34768</v>
      </c>
      <c r="B3601" s="23">
        <v>1.25376</v>
      </c>
      <c r="C3601" s="32">
        <f t="shared" si="56"/>
        <v>-6.2899462311047927E-3</v>
      </c>
    </row>
    <row r="3602" spans="1:3" x14ac:dyDescent="0.6">
      <c r="A3602" s="24">
        <v>34771</v>
      </c>
      <c r="B3602" s="23">
        <v>1.2101170000000001</v>
      </c>
      <c r="C3602" s="32">
        <f t="shared" si="56"/>
        <v>-3.4809692445124996E-2</v>
      </c>
    </row>
    <row r="3603" spans="1:3" x14ac:dyDescent="0.6">
      <c r="A3603" s="24">
        <v>34772</v>
      </c>
      <c r="B3603" s="23">
        <v>1.110927</v>
      </c>
      <c r="C3603" s="32">
        <f t="shared" si="56"/>
        <v>-8.1967280849703061E-2</v>
      </c>
    </row>
    <row r="3604" spans="1:3" x14ac:dyDescent="0.6">
      <c r="A3604" s="24">
        <v>34773</v>
      </c>
      <c r="B3604" s="23">
        <v>1.110927</v>
      </c>
      <c r="C3604" s="32">
        <f t="shared" si="56"/>
        <v>0</v>
      </c>
    </row>
    <row r="3605" spans="1:3" x14ac:dyDescent="0.6">
      <c r="A3605" s="24">
        <v>34774</v>
      </c>
      <c r="B3605" s="23">
        <v>1.118862</v>
      </c>
      <c r="C3605" s="32">
        <f t="shared" si="56"/>
        <v>7.1426835426631197E-3</v>
      </c>
    </row>
    <row r="3606" spans="1:3" x14ac:dyDescent="0.6">
      <c r="A3606" s="24">
        <v>34775</v>
      </c>
      <c r="B3606" s="23">
        <v>1.1148940000000001</v>
      </c>
      <c r="C3606" s="32">
        <f t="shared" si="56"/>
        <v>-3.5464606001455179E-3</v>
      </c>
    </row>
    <row r="3607" spans="1:3" x14ac:dyDescent="0.6">
      <c r="A3607" s="24">
        <v>34778</v>
      </c>
      <c r="B3607" s="23">
        <v>1.118862</v>
      </c>
      <c r="C3607" s="32">
        <f t="shared" si="56"/>
        <v>3.5590827468798825E-3</v>
      </c>
    </row>
    <row r="3608" spans="1:3" x14ac:dyDescent="0.6">
      <c r="A3608" s="24">
        <v>34779</v>
      </c>
      <c r="B3608" s="23">
        <v>1.1506019999999999</v>
      </c>
      <c r="C3608" s="32">
        <f t="shared" si="56"/>
        <v>2.8368109740074976E-2</v>
      </c>
    </row>
    <row r="3609" spans="1:3" x14ac:dyDescent="0.6">
      <c r="A3609" s="24">
        <v>34780</v>
      </c>
      <c r="B3609" s="23">
        <v>1.2081329999999999</v>
      </c>
      <c r="C3609" s="32">
        <f t="shared" si="56"/>
        <v>5.0000782199231431E-2</v>
      </c>
    </row>
    <row r="3610" spans="1:3" x14ac:dyDescent="0.6">
      <c r="A3610" s="24">
        <v>34781</v>
      </c>
      <c r="B3610" s="23">
        <v>1.178375</v>
      </c>
      <c r="C3610" s="32">
        <f t="shared" si="56"/>
        <v>-2.4631394060091072E-2</v>
      </c>
    </row>
    <row r="3611" spans="1:3" x14ac:dyDescent="0.6">
      <c r="A3611" s="24">
        <v>34782</v>
      </c>
      <c r="B3611" s="23">
        <v>1.1982139999999999</v>
      </c>
      <c r="C3611" s="32">
        <f t="shared" si="56"/>
        <v>1.6835896891906232E-2</v>
      </c>
    </row>
    <row r="3612" spans="1:3" x14ac:dyDescent="0.6">
      <c r="A3612" s="24">
        <v>34785</v>
      </c>
      <c r="B3612" s="23">
        <v>1.1803589999999999</v>
      </c>
      <c r="C3612" s="32">
        <f t="shared" si="56"/>
        <v>-1.4901344834895913E-2</v>
      </c>
    </row>
    <row r="3613" spans="1:3" x14ac:dyDescent="0.6">
      <c r="A3613" s="24">
        <v>34786</v>
      </c>
      <c r="B3613" s="23">
        <v>1.091089</v>
      </c>
      <c r="C3613" s="32">
        <f t="shared" si="56"/>
        <v>-7.5629533048843567E-2</v>
      </c>
    </row>
    <row r="3614" spans="1:3" x14ac:dyDescent="0.6">
      <c r="A3614" s="24">
        <v>34787</v>
      </c>
      <c r="B3614" s="23">
        <v>1.091089</v>
      </c>
      <c r="C3614" s="32">
        <f t="shared" si="56"/>
        <v>0</v>
      </c>
    </row>
    <row r="3615" spans="1:3" x14ac:dyDescent="0.6">
      <c r="A3615" s="24">
        <v>34788</v>
      </c>
      <c r="B3615" s="23">
        <v>1.1228290000000001</v>
      </c>
      <c r="C3615" s="32">
        <f t="shared" si="56"/>
        <v>2.9090202540764443E-2</v>
      </c>
    </row>
    <row r="3616" spans="1:3" x14ac:dyDescent="0.6">
      <c r="A3616" s="24">
        <v>34789</v>
      </c>
      <c r="B3616" s="23">
        <v>1.118862</v>
      </c>
      <c r="C3616" s="32">
        <f t="shared" si="56"/>
        <v>-3.5330402046972464E-3</v>
      </c>
    </row>
    <row r="3617" spans="1:3" x14ac:dyDescent="0.6">
      <c r="A3617" s="24">
        <v>34792</v>
      </c>
      <c r="B3617" s="23">
        <v>1.126797</v>
      </c>
      <c r="C3617" s="32">
        <f t="shared" si="56"/>
        <v>7.0920274350187995E-3</v>
      </c>
    </row>
    <row r="3618" spans="1:3" x14ac:dyDescent="0.6">
      <c r="A3618" s="24">
        <v>34793</v>
      </c>
      <c r="B3618" s="23">
        <v>1.075218</v>
      </c>
      <c r="C3618" s="32">
        <f t="shared" si="56"/>
        <v>-4.5774882254745131E-2</v>
      </c>
    </row>
    <row r="3619" spans="1:3" x14ac:dyDescent="0.6">
      <c r="A3619" s="24">
        <v>34794</v>
      </c>
      <c r="B3619" s="23">
        <v>1.1029910000000001</v>
      </c>
      <c r="C3619" s="32">
        <f t="shared" si="56"/>
        <v>2.5830110731033251E-2</v>
      </c>
    </row>
    <row r="3620" spans="1:3" x14ac:dyDescent="0.6">
      <c r="A3620" s="24">
        <v>34795</v>
      </c>
      <c r="B3620" s="23">
        <v>1.1664730000000001</v>
      </c>
      <c r="C3620" s="32">
        <f t="shared" si="56"/>
        <v>5.7554413408631655E-2</v>
      </c>
    </row>
    <row r="3621" spans="1:3" x14ac:dyDescent="0.6">
      <c r="A3621" s="24">
        <v>34796</v>
      </c>
      <c r="B3621" s="23">
        <v>1.1664730000000001</v>
      </c>
      <c r="C3621" s="32">
        <f t="shared" si="56"/>
        <v>0</v>
      </c>
    </row>
    <row r="3622" spans="1:3" x14ac:dyDescent="0.6">
      <c r="A3622" s="24">
        <v>34799</v>
      </c>
      <c r="B3622" s="23">
        <v>1.162506</v>
      </c>
      <c r="C3622" s="32">
        <f t="shared" si="56"/>
        <v>-3.4008502554281339E-3</v>
      </c>
    </row>
    <row r="3623" spans="1:3" x14ac:dyDescent="0.6">
      <c r="A3623" s="24">
        <v>34800</v>
      </c>
      <c r="B3623" s="23">
        <v>1.1982139999999999</v>
      </c>
      <c r="C3623" s="32">
        <f t="shared" si="56"/>
        <v>3.0716400603523653E-2</v>
      </c>
    </row>
    <row r="3624" spans="1:3" x14ac:dyDescent="0.6">
      <c r="A3624" s="24">
        <v>34801</v>
      </c>
      <c r="B3624" s="23">
        <v>1.2378899999999999</v>
      </c>
      <c r="C3624" s="32">
        <f t="shared" si="56"/>
        <v>3.3112615943395873E-2</v>
      </c>
    </row>
    <row r="3625" spans="1:3" x14ac:dyDescent="0.6">
      <c r="A3625" s="24">
        <v>34802</v>
      </c>
      <c r="B3625" s="23">
        <v>1.2140850000000001</v>
      </c>
      <c r="C3625" s="32">
        <f t="shared" si="56"/>
        <v>-1.9230303177180441E-2</v>
      </c>
    </row>
    <row r="3626" spans="1:3" x14ac:dyDescent="0.6">
      <c r="A3626" s="24">
        <v>34806</v>
      </c>
      <c r="B3626" s="23">
        <v>1.2180519999999999</v>
      </c>
      <c r="C3626" s="32">
        <f t="shared" si="56"/>
        <v>3.2674812719042379E-3</v>
      </c>
    </row>
    <row r="3627" spans="1:3" x14ac:dyDescent="0.6">
      <c r="A3627" s="24">
        <v>34807</v>
      </c>
      <c r="B3627" s="23">
        <v>1.1902790000000001</v>
      </c>
      <c r="C3627" s="32">
        <f t="shared" si="56"/>
        <v>-2.2801161198372388E-2</v>
      </c>
    </row>
    <row r="3628" spans="1:3" x14ac:dyDescent="0.6">
      <c r="A3628" s="24">
        <v>34808</v>
      </c>
      <c r="B3628" s="23">
        <v>1.1545700000000001</v>
      </c>
      <c r="C3628" s="32">
        <f t="shared" si="56"/>
        <v>-3.0000529287671163E-2</v>
      </c>
    </row>
    <row r="3629" spans="1:3" x14ac:dyDescent="0.6">
      <c r="A3629" s="24">
        <v>34809</v>
      </c>
      <c r="B3629" s="23">
        <v>1.1942459999999999</v>
      </c>
      <c r="C3629" s="32">
        <f t="shared" si="56"/>
        <v>3.4364308790285403E-2</v>
      </c>
    </row>
    <row r="3630" spans="1:3" x14ac:dyDescent="0.6">
      <c r="A3630" s="24">
        <v>34810</v>
      </c>
      <c r="B3630" s="23">
        <v>1.2418579999999999</v>
      </c>
      <c r="C3630" s="32">
        <f t="shared" si="56"/>
        <v>3.9867832925544633E-2</v>
      </c>
    </row>
    <row r="3631" spans="1:3" x14ac:dyDescent="0.6">
      <c r="A3631" s="24">
        <v>34813</v>
      </c>
      <c r="B3631" s="23">
        <v>1.2378899999999999</v>
      </c>
      <c r="C3631" s="32">
        <f t="shared" si="56"/>
        <v>-3.1952123350657002E-3</v>
      </c>
    </row>
    <row r="3632" spans="1:3" x14ac:dyDescent="0.6">
      <c r="A3632" s="24">
        <v>34814</v>
      </c>
      <c r="B3632" s="23">
        <v>1.1982139999999999</v>
      </c>
      <c r="C3632" s="32">
        <f t="shared" si="56"/>
        <v>-3.2051313121521319E-2</v>
      </c>
    </row>
    <row r="3633" spans="1:3" x14ac:dyDescent="0.6">
      <c r="A3633" s="24">
        <v>34815</v>
      </c>
      <c r="B3633" s="23">
        <v>1.2140850000000001</v>
      </c>
      <c r="C3633" s="32">
        <f t="shared" si="56"/>
        <v>1.324554712263426E-2</v>
      </c>
    </row>
    <row r="3634" spans="1:3" x14ac:dyDescent="0.6">
      <c r="A3634" s="24">
        <v>34816</v>
      </c>
      <c r="B3634" s="23">
        <v>1.2021809999999999</v>
      </c>
      <c r="C3634" s="32">
        <f t="shared" si="56"/>
        <v>-9.8049148123896535E-3</v>
      </c>
    </row>
    <row r="3635" spans="1:3" x14ac:dyDescent="0.6">
      <c r="A3635" s="24">
        <v>34817</v>
      </c>
      <c r="B3635" s="23">
        <v>1.2140850000000001</v>
      </c>
      <c r="C3635" s="32">
        <f t="shared" si="56"/>
        <v>9.9020031093488559E-3</v>
      </c>
    </row>
    <row r="3636" spans="1:3" x14ac:dyDescent="0.6">
      <c r="A3636" s="24">
        <v>34820</v>
      </c>
      <c r="B3636" s="23">
        <v>1.2140850000000001</v>
      </c>
      <c r="C3636" s="32">
        <f t="shared" si="56"/>
        <v>0</v>
      </c>
    </row>
    <row r="3637" spans="1:3" x14ac:dyDescent="0.6">
      <c r="A3637" s="24">
        <v>34821</v>
      </c>
      <c r="B3637" s="23">
        <v>1.2101170000000001</v>
      </c>
      <c r="C3637" s="32">
        <f t="shared" si="56"/>
        <v>-3.2683049374632178E-3</v>
      </c>
    </row>
    <row r="3638" spans="1:3" x14ac:dyDescent="0.6">
      <c r="A3638" s="24">
        <v>34822</v>
      </c>
      <c r="B3638" s="23">
        <v>1.2101170000000001</v>
      </c>
      <c r="C3638" s="32">
        <f t="shared" si="56"/>
        <v>0</v>
      </c>
    </row>
    <row r="3639" spans="1:3" x14ac:dyDescent="0.6">
      <c r="A3639" s="24">
        <v>34823</v>
      </c>
      <c r="B3639" s="23">
        <v>1.222019</v>
      </c>
      <c r="C3639" s="32">
        <f t="shared" si="56"/>
        <v>9.8354126088633365E-3</v>
      </c>
    </row>
    <row r="3640" spans="1:3" x14ac:dyDescent="0.6">
      <c r="A3640" s="24">
        <v>34824</v>
      </c>
      <c r="B3640" s="23">
        <v>1.233922</v>
      </c>
      <c r="C3640" s="32">
        <f t="shared" si="56"/>
        <v>9.7404377509677786E-3</v>
      </c>
    </row>
    <row r="3641" spans="1:3" x14ac:dyDescent="0.6">
      <c r="A3641" s="24">
        <v>34827</v>
      </c>
      <c r="B3641" s="23">
        <v>1.285501</v>
      </c>
      <c r="C3641" s="32">
        <f t="shared" si="56"/>
        <v>4.1800859373607224E-2</v>
      </c>
    </row>
    <row r="3642" spans="1:3" x14ac:dyDescent="0.6">
      <c r="A3642" s="24">
        <v>34828</v>
      </c>
      <c r="B3642" s="23">
        <v>1.309307</v>
      </c>
      <c r="C3642" s="32">
        <f t="shared" si="56"/>
        <v>1.8518849849202823E-2</v>
      </c>
    </row>
    <row r="3643" spans="1:3" x14ac:dyDescent="0.6">
      <c r="A3643" s="24">
        <v>34829</v>
      </c>
      <c r="B3643" s="23">
        <v>1.315258</v>
      </c>
      <c r="C3643" s="32">
        <f t="shared" si="56"/>
        <v>4.5451525119777347E-3</v>
      </c>
    </row>
    <row r="3644" spans="1:3" x14ac:dyDescent="0.6">
      <c r="A3644" s="24">
        <v>34830</v>
      </c>
      <c r="B3644" s="23">
        <v>1.3013710000000001</v>
      </c>
      <c r="C3644" s="32">
        <f t="shared" si="56"/>
        <v>-1.055838474276527E-2</v>
      </c>
    </row>
    <row r="3645" spans="1:3" x14ac:dyDescent="0.6">
      <c r="A3645" s="24">
        <v>34831</v>
      </c>
      <c r="B3645" s="23">
        <v>1.3846909999999999</v>
      </c>
      <c r="C3645" s="32">
        <f t="shared" si="56"/>
        <v>6.4024786167818259E-2</v>
      </c>
    </row>
    <row r="3646" spans="1:3" x14ac:dyDescent="0.6">
      <c r="A3646" s="24">
        <v>34834</v>
      </c>
      <c r="B3646" s="23">
        <v>1.3846909999999999</v>
      </c>
      <c r="C3646" s="32">
        <f t="shared" si="56"/>
        <v>0</v>
      </c>
    </row>
    <row r="3647" spans="1:3" x14ac:dyDescent="0.6">
      <c r="A3647" s="24">
        <v>34835</v>
      </c>
      <c r="B3647" s="23">
        <v>1.3886590000000001</v>
      </c>
      <c r="C3647" s="32">
        <f t="shared" si="56"/>
        <v>2.8656212830155958E-3</v>
      </c>
    </row>
    <row r="3648" spans="1:3" x14ac:dyDescent="0.6">
      <c r="A3648" s="24">
        <v>34836</v>
      </c>
      <c r="B3648" s="23">
        <v>1.396593</v>
      </c>
      <c r="C3648" s="32">
        <f t="shared" si="56"/>
        <v>5.7134256862194643E-3</v>
      </c>
    </row>
    <row r="3649" spans="1:3" x14ac:dyDescent="0.6">
      <c r="A3649" s="24">
        <v>34837</v>
      </c>
      <c r="B3649" s="23">
        <v>1.3767560000000001</v>
      </c>
      <c r="C3649" s="32">
        <f t="shared" si="56"/>
        <v>-1.4203851802207179E-2</v>
      </c>
    </row>
    <row r="3650" spans="1:3" x14ac:dyDescent="0.6">
      <c r="A3650" s="24">
        <v>34838</v>
      </c>
      <c r="B3650" s="23">
        <v>1.3569180000000001</v>
      </c>
      <c r="C3650" s="32">
        <f t="shared" si="56"/>
        <v>-1.4409234461298936E-2</v>
      </c>
    </row>
    <row r="3651" spans="1:3" x14ac:dyDescent="0.6">
      <c r="A3651" s="24">
        <v>34841</v>
      </c>
      <c r="B3651" s="23">
        <v>1.4005609999999999</v>
      </c>
      <c r="C3651" s="32">
        <f t="shared" si="56"/>
        <v>3.2163328955765902E-2</v>
      </c>
    </row>
    <row r="3652" spans="1:3" x14ac:dyDescent="0.6">
      <c r="A3652" s="24">
        <v>34842</v>
      </c>
      <c r="B3652" s="23">
        <v>1.3926259999999999</v>
      </c>
      <c r="C3652" s="32">
        <f t="shared" ref="C3652:C3715" si="57">B3652/B3651-1</f>
        <v>-5.6655868612649485E-3</v>
      </c>
    </row>
    <row r="3653" spans="1:3" x14ac:dyDescent="0.6">
      <c r="A3653" s="24">
        <v>34843</v>
      </c>
      <c r="B3653" s="23">
        <v>1.3807229999999999</v>
      </c>
      <c r="C3653" s="32">
        <f t="shared" si="57"/>
        <v>-8.5471619803163534E-3</v>
      </c>
    </row>
    <row r="3654" spans="1:3" x14ac:dyDescent="0.6">
      <c r="A3654" s="24">
        <v>34844</v>
      </c>
      <c r="B3654" s="23">
        <v>1.3767560000000001</v>
      </c>
      <c r="C3654" s="32">
        <f t="shared" si="57"/>
        <v>-2.8731324096142874E-3</v>
      </c>
    </row>
    <row r="3655" spans="1:3" x14ac:dyDescent="0.6">
      <c r="A3655" s="24">
        <v>34845</v>
      </c>
      <c r="B3655" s="23">
        <v>1.3586959999999999</v>
      </c>
      <c r="C3655" s="32">
        <f t="shared" si="57"/>
        <v>-1.3117792840561582E-2</v>
      </c>
    </row>
    <row r="3656" spans="1:3" x14ac:dyDescent="0.6">
      <c r="A3656" s="24">
        <v>34849</v>
      </c>
      <c r="B3656" s="23">
        <v>1.3368139999999999</v>
      </c>
      <c r="C3656" s="32">
        <f t="shared" si="57"/>
        <v>-1.610514787708206E-2</v>
      </c>
    </row>
    <row r="3657" spans="1:3" x14ac:dyDescent="0.6">
      <c r="A3657" s="24">
        <v>34850</v>
      </c>
      <c r="B3657" s="23">
        <v>1.322889</v>
      </c>
      <c r="C3657" s="32">
        <f t="shared" si="57"/>
        <v>-1.0416557576446661E-2</v>
      </c>
    </row>
    <row r="3658" spans="1:3" x14ac:dyDescent="0.6">
      <c r="A3658" s="24">
        <v>34851</v>
      </c>
      <c r="B3658" s="23">
        <v>1.3427819999999999</v>
      </c>
      <c r="C3658" s="32">
        <f t="shared" si="57"/>
        <v>1.5037542832391892E-2</v>
      </c>
    </row>
    <row r="3659" spans="1:3" x14ac:dyDescent="0.6">
      <c r="A3659" s="24">
        <v>34852</v>
      </c>
      <c r="B3659" s="23">
        <v>1.3407929999999999</v>
      </c>
      <c r="C3659" s="32">
        <f t="shared" si="57"/>
        <v>-1.4812530999075424E-3</v>
      </c>
    </row>
    <row r="3660" spans="1:3" x14ac:dyDescent="0.6">
      <c r="A3660" s="24">
        <v>34855</v>
      </c>
      <c r="B3660" s="23">
        <v>1.384558</v>
      </c>
      <c r="C3660" s="32">
        <f t="shared" si="57"/>
        <v>3.2641131032157933E-2</v>
      </c>
    </row>
    <row r="3661" spans="1:3" x14ac:dyDescent="0.6">
      <c r="A3661" s="24">
        <v>34856</v>
      </c>
      <c r="B3661" s="23">
        <v>1.4004719999999999</v>
      </c>
      <c r="C3661" s="32">
        <f t="shared" si="57"/>
        <v>1.1493920803606672E-2</v>
      </c>
    </row>
    <row r="3662" spans="1:3" x14ac:dyDescent="0.6">
      <c r="A3662" s="24">
        <v>34857</v>
      </c>
      <c r="B3662" s="23">
        <v>1.372622</v>
      </c>
      <c r="C3662" s="32">
        <f t="shared" si="57"/>
        <v>-1.9886152668528889E-2</v>
      </c>
    </row>
    <row r="3663" spans="1:3" x14ac:dyDescent="0.6">
      <c r="A3663" s="24">
        <v>34858</v>
      </c>
      <c r="B3663" s="23">
        <v>1.366654</v>
      </c>
      <c r="C3663" s="32">
        <f t="shared" si="57"/>
        <v>-4.347883102558403E-3</v>
      </c>
    </row>
    <row r="3664" spans="1:3" x14ac:dyDescent="0.6">
      <c r="A3664" s="24">
        <v>34859</v>
      </c>
      <c r="B3664" s="23">
        <v>1.384558</v>
      </c>
      <c r="C3664" s="32">
        <f t="shared" si="57"/>
        <v>1.3100609225158655E-2</v>
      </c>
    </row>
    <row r="3665" spans="1:3" x14ac:dyDescent="0.6">
      <c r="A3665" s="24">
        <v>34862</v>
      </c>
      <c r="B3665" s="23">
        <v>1.40594</v>
      </c>
      <c r="C3665" s="32">
        <f t="shared" si="57"/>
        <v>1.5443195590217229E-2</v>
      </c>
    </row>
    <row r="3666" spans="1:3" x14ac:dyDescent="0.6">
      <c r="A3666" s="24">
        <v>34863</v>
      </c>
      <c r="B3666" s="23">
        <v>1.4004719999999999</v>
      </c>
      <c r="C3666" s="32">
        <f t="shared" si="57"/>
        <v>-3.8892129109350249E-3</v>
      </c>
    </row>
    <row r="3667" spans="1:3" x14ac:dyDescent="0.6">
      <c r="A3667" s="24">
        <v>34864</v>
      </c>
      <c r="B3667" s="23">
        <v>1.388536</v>
      </c>
      <c r="C3667" s="32">
        <f t="shared" si="57"/>
        <v>-8.5228408707921366E-3</v>
      </c>
    </row>
    <row r="3668" spans="1:3" x14ac:dyDescent="0.6">
      <c r="A3668" s="24">
        <v>34865</v>
      </c>
      <c r="B3668" s="23">
        <v>1.388536</v>
      </c>
      <c r="C3668" s="32">
        <f t="shared" si="57"/>
        <v>0</v>
      </c>
    </row>
    <row r="3669" spans="1:3" x14ac:dyDescent="0.6">
      <c r="A3669" s="24">
        <v>34866</v>
      </c>
      <c r="B3669" s="23">
        <v>1.396493</v>
      </c>
      <c r="C3669" s="32">
        <f t="shared" si="57"/>
        <v>5.7304960044248787E-3</v>
      </c>
    </row>
    <row r="3670" spans="1:3" x14ac:dyDescent="0.6">
      <c r="A3670" s="24">
        <v>34869</v>
      </c>
      <c r="B3670" s="23">
        <v>1.4124080000000001</v>
      </c>
      <c r="C3670" s="32">
        <f t="shared" si="57"/>
        <v>1.1396405137727328E-2</v>
      </c>
    </row>
    <row r="3671" spans="1:3" x14ac:dyDescent="0.6">
      <c r="A3671" s="24">
        <v>34870</v>
      </c>
      <c r="B3671" s="23">
        <v>1.5078940000000001</v>
      </c>
      <c r="C3671" s="32">
        <f t="shared" si="57"/>
        <v>6.7605111270964136E-2</v>
      </c>
    </row>
    <row r="3672" spans="1:3" x14ac:dyDescent="0.6">
      <c r="A3672" s="24">
        <v>34871</v>
      </c>
      <c r="B3672" s="23">
        <v>1.5715520000000001</v>
      </c>
      <c r="C3672" s="32">
        <f t="shared" si="57"/>
        <v>4.2216495323941894E-2</v>
      </c>
    </row>
    <row r="3673" spans="1:3" x14ac:dyDescent="0.6">
      <c r="A3673" s="24">
        <v>34872</v>
      </c>
      <c r="B3673" s="23">
        <v>1.5635950000000001</v>
      </c>
      <c r="C3673" s="32">
        <f t="shared" si="57"/>
        <v>-5.0631477673026559E-3</v>
      </c>
    </row>
    <row r="3674" spans="1:3" x14ac:dyDescent="0.6">
      <c r="A3674" s="24">
        <v>34873</v>
      </c>
      <c r="B3674" s="23">
        <v>1.5516589999999999</v>
      </c>
      <c r="C3674" s="32">
        <f t="shared" si="57"/>
        <v>-7.633690309830965E-3</v>
      </c>
    </row>
    <row r="3675" spans="1:3" x14ac:dyDescent="0.6">
      <c r="A3675" s="24">
        <v>34876</v>
      </c>
      <c r="B3675" s="23">
        <v>1.531766</v>
      </c>
      <c r="C3675" s="32">
        <f t="shared" si="57"/>
        <v>-1.2820471508237286E-2</v>
      </c>
    </row>
    <row r="3676" spans="1:3" x14ac:dyDescent="0.6">
      <c r="A3676" s="24">
        <v>34877</v>
      </c>
      <c r="B3676" s="23">
        <v>1.4760660000000001</v>
      </c>
      <c r="C3676" s="32">
        <f t="shared" si="57"/>
        <v>-3.6363256528738619E-2</v>
      </c>
    </row>
    <row r="3677" spans="1:3" x14ac:dyDescent="0.6">
      <c r="A3677" s="24">
        <v>34878</v>
      </c>
      <c r="B3677" s="23">
        <v>1.4840230000000001</v>
      </c>
      <c r="C3677" s="32">
        <f t="shared" si="57"/>
        <v>5.3906803625312083E-3</v>
      </c>
    </row>
    <row r="3678" spans="1:3" x14ac:dyDescent="0.6">
      <c r="A3678" s="24">
        <v>34879</v>
      </c>
      <c r="B3678" s="23">
        <v>1.503916</v>
      </c>
      <c r="C3678" s="32">
        <f t="shared" si="57"/>
        <v>1.3404778766905823E-2</v>
      </c>
    </row>
    <row r="3679" spans="1:3" x14ac:dyDescent="0.6">
      <c r="A3679" s="24">
        <v>34880</v>
      </c>
      <c r="B3679" s="23">
        <v>1.4780549999999999</v>
      </c>
      <c r="C3679" s="32">
        <f t="shared" si="57"/>
        <v>-1.7195774232071526E-2</v>
      </c>
    </row>
    <row r="3680" spans="1:3" x14ac:dyDescent="0.6">
      <c r="A3680" s="24">
        <v>34883</v>
      </c>
      <c r="B3680" s="23">
        <v>1.49397</v>
      </c>
      <c r="C3680" s="32">
        <f t="shared" si="57"/>
        <v>1.0767528948516958E-2</v>
      </c>
    </row>
    <row r="3681" spans="1:3" x14ac:dyDescent="0.6">
      <c r="A3681" s="24">
        <v>34885</v>
      </c>
      <c r="B3681" s="23">
        <v>1.4800439999999999</v>
      </c>
      <c r="C3681" s="32">
        <f t="shared" si="57"/>
        <v>-9.3214723187213799E-3</v>
      </c>
    </row>
    <row r="3682" spans="1:3" x14ac:dyDescent="0.6">
      <c r="A3682" s="24">
        <v>34886</v>
      </c>
      <c r="B3682" s="23">
        <v>1.4959579999999999</v>
      </c>
      <c r="C3682" s="32">
        <f t="shared" si="57"/>
        <v>1.0752383037261115E-2</v>
      </c>
    </row>
    <row r="3683" spans="1:3" x14ac:dyDescent="0.6">
      <c r="A3683" s="24">
        <v>34887</v>
      </c>
      <c r="B3683" s="23">
        <v>1.5476810000000001</v>
      </c>
      <c r="C3683" s="32">
        <f t="shared" si="57"/>
        <v>3.4575168554197511E-2</v>
      </c>
    </row>
    <row r="3684" spans="1:3" x14ac:dyDescent="0.6">
      <c r="A3684" s="24">
        <v>34890</v>
      </c>
      <c r="B3684" s="23">
        <v>1.5476810000000001</v>
      </c>
      <c r="C3684" s="32">
        <f t="shared" si="57"/>
        <v>0</v>
      </c>
    </row>
    <row r="3685" spans="1:3" x14ac:dyDescent="0.6">
      <c r="A3685" s="24">
        <v>34891</v>
      </c>
      <c r="B3685" s="23">
        <v>1.4999370000000001</v>
      </c>
      <c r="C3685" s="32">
        <f t="shared" si="57"/>
        <v>-3.0848734332204142E-2</v>
      </c>
    </row>
    <row r="3686" spans="1:3" x14ac:dyDescent="0.6">
      <c r="A3686" s="24">
        <v>34892</v>
      </c>
      <c r="B3686" s="23">
        <v>1.4959579999999999</v>
      </c>
      <c r="C3686" s="32">
        <f t="shared" si="57"/>
        <v>-2.6527780833462966E-3</v>
      </c>
    </row>
    <row r="3687" spans="1:3" x14ac:dyDescent="0.6">
      <c r="A3687" s="24">
        <v>34893</v>
      </c>
      <c r="B3687" s="23">
        <v>1.515852</v>
      </c>
      <c r="C3687" s="32">
        <f t="shared" si="57"/>
        <v>1.3298501695903298E-2</v>
      </c>
    </row>
    <row r="3688" spans="1:3" x14ac:dyDescent="0.6">
      <c r="A3688" s="24">
        <v>34894</v>
      </c>
      <c r="B3688" s="23">
        <v>1.5516589999999999</v>
      </c>
      <c r="C3688" s="32">
        <f t="shared" si="57"/>
        <v>2.362169921601831E-2</v>
      </c>
    </row>
    <row r="3689" spans="1:3" x14ac:dyDescent="0.6">
      <c r="A3689" s="24">
        <v>34897</v>
      </c>
      <c r="B3689" s="23">
        <v>1.5596159999999999</v>
      </c>
      <c r="C3689" s="32">
        <f t="shared" si="57"/>
        <v>5.128059708995325E-3</v>
      </c>
    </row>
    <row r="3690" spans="1:3" x14ac:dyDescent="0.6">
      <c r="A3690" s="24">
        <v>34898</v>
      </c>
      <c r="B3690" s="23">
        <v>1.531766</v>
      </c>
      <c r="C3690" s="32">
        <f t="shared" si="57"/>
        <v>-1.7856959661865401E-2</v>
      </c>
    </row>
    <row r="3691" spans="1:3" x14ac:dyDescent="0.6">
      <c r="A3691" s="24">
        <v>34899</v>
      </c>
      <c r="B3691" s="23">
        <v>1.448215</v>
      </c>
      <c r="C3691" s="32">
        <f t="shared" si="57"/>
        <v>-5.4545537634338337E-2</v>
      </c>
    </row>
    <row r="3692" spans="1:3" x14ac:dyDescent="0.6">
      <c r="A3692" s="24">
        <v>34900</v>
      </c>
      <c r="B3692" s="23">
        <v>1.4979480000000001</v>
      </c>
      <c r="C3692" s="32">
        <f t="shared" si="57"/>
        <v>3.4340895516204339E-2</v>
      </c>
    </row>
    <row r="3693" spans="1:3" x14ac:dyDescent="0.6">
      <c r="A3693" s="24">
        <v>34901</v>
      </c>
      <c r="B3693" s="23">
        <v>1.3925149999999999</v>
      </c>
      <c r="C3693" s="32">
        <f t="shared" si="57"/>
        <v>-7.0384953282757512E-2</v>
      </c>
    </row>
    <row r="3694" spans="1:3" x14ac:dyDescent="0.6">
      <c r="A3694" s="24">
        <v>34904</v>
      </c>
      <c r="B3694" s="23">
        <v>1.444237</v>
      </c>
      <c r="C3694" s="32">
        <f t="shared" si="57"/>
        <v>3.7142867401787516E-2</v>
      </c>
    </row>
    <row r="3695" spans="1:3" x14ac:dyDescent="0.6">
      <c r="A3695" s="24">
        <v>34905</v>
      </c>
      <c r="B3695" s="23">
        <v>1.4561729999999999</v>
      </c>
      <c r="C3695" s="32">
        <f t="shared" si="57"/>
        <v>8.2645715350042614E-3</v>
      </c>
    </row>
    <row r="3696" spans="1:3" x14ac:dyDescent="0.6">
      <c r="A3696" s="24">
        <v>34906</v>
      </c>
      <c r="B3696" s="23">
        <v>1.444237</v>
      </c>
      <c r="C3696" s="32">
        <f t="shared" si="57"/>
        <v>-8.1968282614771626E-3</v>
      </c>
    </row>
    <row r="3697" spans="1:3" x14ac:dyDescent="0.6">
      <c r="A3697" s="24">
        <v>34907</v>
      </c>
      <c r="B3697" s="23">
        <v>1.4899910000000001</v>
      </c>
      <c r="C3697" s="32">
        <f t="shared" si="57"/>
        <v>3.168039594609473E-2</v>
      </c>
    </row>
    <row r="3698" spans="1:3" x14ac:dyDescent="0.6">
      <c r="A3698" s="24">
        <v>34908</v>
      </c>
      <c r="B3698" s="23">
        <v>1.448215</v>
      </c>
      <c r="C3698" s="32">
        <f t="shared" si="57"/>
        <v>-2.8037753248174035E-2</v>
      </c>
    </row>
    <row r="3699" spans="1:3" x14ac:dyDescent="0.6">
      <c r="A3699" s="24">
        <v>34911</v>
      </c>
      <c r="B3699" s="23">
        <v>1.432301</v>
      </c>
      <c r="C3699" s="32">
        <f t="shared" si="57"/>
        <v>-1.0988699882268804E-2</v>
      </c>
    </row>
    <row r="3700" spans="1:3" x14ac:dyDescent="0.6">
      <c r="A3700" s="24">
        <v>34912</v>
      </c>
      <c r="B3700" s="23">
        <v>1.384558</v>
      </c>
      <c r="C3700" s="32">
        <f t="shared" si="57"/>
        <v>-3.3333077335001571E-2</v>
      </c>
    </row>
    <row r="3701" spans="1:3" x14ac:dyDescent="0.6">
      <c r="A3701" s="24">
        <v>34913</v>
      </c>
      <c r="B3701" s="23">
        <v>1.4124080000000001</v>
      </c>
      <c r="C3701" s="32">
        <f t="shared" si="57"/>
        <v>2.011472253238944E-2</v>
      </c>
    </row>
    <row r="3702" spans="1:3" x14ac:dyDescent="0.6">
      <c r="A3702" s="24">
        <v>34914</v>
      </c>
      <c r="B3702" s="23">
        <v>1.432301</v>
      </c>
      <c r="C3702" s="32">
        <f t="shared" si="57"/>
        <v>1.4084457182343968E-2</v>
      </c>
    </row>
    <row r="3703" spans="1:3" x14ac:dyDescent="0.6">
      <c r="A3703" s="24">
        <v>34915</v>
      </c>
      <c r="B3703" s="23">
        <v>1.4084289999999999</v>
      </c>
      <c r="C3703" s="32">
        <f t="shared" si="57"/>
        <v>-1.6666887756135118E-2</v>
      </c>
    </row>
    <row r="3704" spans="1:3" x14ac:dyDescent="0.6">
      <c r="A3704" s="24">
        <v>34918</v>
      </c>
      <c r="B3704" s="23">
        <v>1.380579</v>
      </c>
      <c r="C3704" s="32">
        <f t="shared" si="57"/>
        <v>-1.9773804714330545E-2</v>
      </c>
    </row>
    <row r="3705" spans="1:3" x14ac:dyDescent="0.6">
      <c r="A3705" s="24">
        <v>34919</v>
      </c>
      <c r="B3705" s="23">
        <v>1.3527290000000001</v>
      </c>
      <c r="C3705" s="32">
        <f t="shared" si="57"/>
        <v>-2.0172695658850381E-2</v>
      </c>
    </row>
    <row r="3706" spans="1:3" x14ac:dyDescent="0.6">
      <c r="A3706" s="24">
        <v>34920</v>
      </c>
      <c r="B3706" s="23">
        <v>1.372622</v>
      </c>
      <c r="C3706" s="32">
        <f t="shared" si="57"/>
        <v>1.4705827996590592E-2</v>
      </c>
    </row>
    <row r="3707" spans="1:3" x14ac:dyDescent="0.6">
      <c r="A3707" s="24">
        <v>34921</v>
      </c>
      <c r="B3707" s="23">
        <v>1.3606860000000001</v>
      </c>
      <c r="C3707" s="32">
        <f t="shared" si="57"/>
        <v>-8.6957662051169171E-3</v>
      </c>
    </row>
    <row r="3708" spans="1:3" x14ac:dyDescent="0.6">
      <c r="A3708" s="24">
        <v>34922</v>
      </c>
      <c r="B3708" s="23">
        <v>1.3706320000000001</v>
      </c>
      <c r="C3708" s="32">
        <f t="shared" si="57"/>
        <v>7.3095482719744975E-3</v>
      </c>
    </row>
    <row r="3709" spans="1:3" x14ac:dyDescent="0.6">
      <c r="A3709" s="24">
        <v>34925</v>
      </c>
      <c r="B3709" s="23">
        <v>1.380579</v>
      </c>
      <c r="C3709" s="32">
        <f t="shared" si="57"/>
        <v>7.2572360779552536E-3</v>
      </c>
    </row>
    <row r="3710" spans="1:3" x14ac:dyDescent="0.6">
      <c r="A3710" s="24">
        <v>34926</v>
      </c>
      <c r="B3710" s="23">
        <v>1.402461</v>
      </c>
      <c r="C3710" s="32">
        <f t="shared" si="57"/>
        <v>1.5849871684271655E-2</v>
      </c>
    </row>
    <row r="3711" spans="1:3" x14ac:dyDescent="0.6">
      <c r="A3711" s="24">
        <v>34927</v>
      </c>
      <c r="B3711" s="23">
        <v>1.420258</v>
      </c>
      <c r="C3711" s="32">
        <f t="shared" si="57"/>
        <v>1.2689835938396898E-2</v>
      </c>
    </row>
    <row r="3712" spans="1:3" x14ac:dyDescent="0.6">
      <c r="A3712" s="24">
        <v>34928</v>
      </c>
      <c r="B3712" s="23">
        <v>1.424248</v>
      </c>
      <c r="C3712" s="32">
        <f t="shared" si="57"/>
        <v>2.8093487239642112E-3</v>
      </c>
    </row>
    <row r="3713" spans="1:3" x14ac:dyDescent="0.6">
      <c r="A3713" s="24">
        <v>34929</v>
      </c>
      <c r="B3713" s="23">
        <v>1.432226</v>
      </c>
      <c r="C3713" s="32">
        <f t="shared" si="57"/>
        <v>5.6015525386028386E-3</v>
      </c>
    </row>
    <row r="3714" spans="1:3" x14ac:dyDescent="0.6">
      <c r="A3714" s="24">
        <v>34932</v>
      </c>
      <c r="B3714" s="23">
        <v>1.40829</v>
      </c>
      <c r="C3714" s="32">
        <f t="shared" si="57"/>
        <v>-1.6712446220079724E-2</v>
      </c>
    </row>
    <row r="3715" spans="1:3" x14ac:dyDescent="0.6">
      <c r="A3715" s="24">
        <v>34933</v>
      </c>
      <c r="B3715" s="23">
        <v>1.428237</v>
      </c>
      <c r="C3715" s="32">
        <f t="shared" si="57"/>
        <v>1.4163986110815152E-2</v>
      </c>
    </row>
    <row r="3716" spans="1:3" x14ac:dyDescent="0.6">
      <c r="A3716" s="24">
        <v>34934</v>
      </c>
      <c r="B3716" s="23">
        <v>1.4521740000000001</v>
      </c>
      <c r="C3716" s="32">
        <f t="shared" ref="C3716:C3779" si="58">B3716/B3715-1</f>
        <v>1.6759823474675528E-2</v>
      </c>
    </row>
    <row r="3717" spans="1:3" x14ac:dyDescent="0.6">
      <c r="A3717" s="24">
        <v>34935</v>
      </c>
      <c r="B3717" s="23">
        <v>1.460153</v>
      </c>
      <c r="C3717" s="32">
        <f t="shared" si="58"/>
        <v>5.4945206290706317E-3</v>
      </c>
    </row>
    <row r="3718" spans="1:3" x14ac:dyDescent="0.6">
      <c r="A3718" s="24">
        <v>34936</v>
      </c>
      <c r="B3718" s="23">
        <v>1.428237</v>
      </c>
      <c r="C3718" s="32">
        <f t="shared" si="58"/>
        <v>-2.1857983375714762E-2</v>
      </c>
    </row>
    <row r="3719" spans="1:3" x14ac:dyDescent="0.6">
      <c r="A3719" s="24">
        <v>34939</v>
      </c>
      <c r="B3719" s="23">
        <v>1.372384</v>
      </c>
      <c r="C3719" s="32">
        <f t="shared" si="58"/>
        <v>-3.9106254774242566E-2</v>
      </c>
    </row>
    <row r="3720" spans="1:3" x14ac:dyDescent="0.6">
      <c r="A3720" s="24">
        <v>34940</v>
      </c>
      <c r="B3720" s="23">
        <v>1.376374</v>
      </c>
      <c r="C3720" s="32">
        <f t="shared" si="58"/>
        <v>2.9073495464826404E-3</v>
      </c>
    </row>
    <row r="3721" spans="1:3" x14ac:dyDescent="0.6">
      <c r="A3721" s="24">
        <v>34941</v>
      </c>
      <c r="B3721" s="23">
        <v>1.3843529999999999</v>
      </c>
      <c r="C3721" s="32">
        <f t="shared" si="58"/>
        <v>5.797116190802809E-3</v>
      </c>
    </row>
    <row r="3722" spans="1:3" x14ac:dyDescent="0.6">
      <c r="A3722" s="24">
        <v>34942</v>
      </c>
      <c r="B3722" s="23">
        <v>1.372384</v>
      </c>
      <c r="C3722" s="32">
        <f t="shared" si="58"/>
        <v>-8.6459161788936534E-3</v>
      </c>
    </row>
    <row r="3723" spans="1:3" x14ac:dyDescent="0.6">
      <c r="A3723" s="24">
        <v>34943</v>
      </c>
      <c r="B3723" s="23">
        <v>1.37039</v>
      </c>
      <c r="C3723" s="32">
        <f t="shared" si="58"/>
        <v>-1.4529461142070987E-3</v>
      </c>
    </row>
    <row r="3724" spans="1:3" x14ac:dyDescent="0.6">
      <c r="A3724" s="24">
        <v>34947</v>
      </c>
      <c r="B3724" s="23">
        <v>1.388342</v>
      </c>
      <c r="C3724" s="32">
        <f t="shared" si="58"/>
        <v>1.3099920460598824E-2</v>
      </c>
    </row>
    <row r="3725" spans="1:3" x14ac:dyDescent="0.6">
      <c r="A3725" s="24">
        <v>34948</v>
      </c>
      <c r="B3725" s="23">
        <v>1.3963220000000001</v>
      </c>
      <c r="C3725" s="32">
        <f t="shared" si="58"/>
        <v>5.7478632786447381E-3</v>
      </c>
    </row>
    <row r="3726" spans="1:3" x14ac:dyDescent="0.6">
      <c r="A3726" s="24">
        <v>34949</v>
      </c>
      <c r="B3726" s="23">
        <v>1.428237</v>
      </c>
      <c r="C3726" s="32">
        <f t="shared" si="58"/>
        <v>2.2856475798562093E-2</v>
      </c>
    </row>
    <row r="3727" spans="1:3" x14ac:dyDescent="0.6">
      <c r="A3727" s="24">
        <v>34950</v>
      </c>
      <c r="B3727" s="23">
        <v>1.428237</v>
      </c>
      <c r="C3727" s="32">
        <f t="shared" si="58"/>
        <v>0</v>
      </c>
    </row>
    <row r="3728" spans="1:3" x14ac:dyDescent="0.6">
      <c r="A3728" s="24">
        <v>34953</v>
      </c>
      <c r="B3728" s="23">
        <v>1.4122790000000001</v>
      </c>
      <c r="C3728" s="32">
        <f t="shared" si="58"/>
        <v>-1.1173215649783574E-2</v>
      </c>
    </row>
    <row r="3729" spans="1:3" x14ac:dyDescent="0.6">
      <c r="A3729" s="24">
        <v>34954</v>
      </c>
      <c r="B3729" s="23">
        <v>1.37039</v>
      </c>
      <c r="C3729" s="32">
        <f t="shared" si="58"/>
        <v>-2.96605699015563E-2</v>
      </c>
    </row>
    <row r="3730" spans="1:3" x14ac:dyDescent="0.6">
      <c r="A3730" s="24">
        <v>34955</v>
      </c>
      <c r="B3730" s="23">
        <v>1.3524369999999999</v>
      </c>
      <c r="C3730" s="32">
        <f t="shared" si="58"/>
        <v>-1.3100650179875828E-2</v>
      </c>
    </row>
    <row r="3731" spans="1:3" x14ac:dyDescent="0.6">
      <c r="A3731" s="24">
        <v>34956</v>
      </c>
      <c r="B3731" s="23">
        <v>1.2766360000000001</v>
      </c>
      <c r="C3731" s="32">
        <f t="shared" si="58"/>
        <v>-5.6047712388820892E-2</v>
      </c>
    </row>
    <row r="3732" spans="1:3" x14ac:dyDescent="0.6">
      <c r="A3732" s="24">
        <v>34957</v>
      </c>
      <c r="B3732" s="23">
        <v>1.144984</v>
      </c>
      <c r="C3732" s="32">
        <f t="shared" si="58"/>
        <v>-0.10312414815186166</v>
      </c>
    </row>
    <row r="3733" spans="1:3" x14ac:dyDescent="0.6">
      <c r="A3733" s="24">
        <v>34960</v>
      </c>
      <c r="B3733" s="23">
        <v>1.1709149999999999</v>
      </c>
      <c r="C3733" s="32">
        <f t="shared" si="58"/>
        <v>2.2647478043361202E-2</v>
      </c>
    </row>
    <row r="3734" spans="1:3" x14ac:dyDescent="0.6">
      <c r="A3734" s="24">
        <v>34961</v>
      </c>
      <c r="B3734" s="23">
        <v>1.1729099999999999</v>
      </c>
      <c r="C3734" s="32">
        <f t="shared" si="58"/>
        <v>1.7037957494778766E-3</v>
      </c>
    </row>
    <row r="3735" spans="1:3" x14ac:dyDescent="0.6">
      <c r="A3735" s="24">
        <v>34962</v>
      </c>
      <c r="B3735" s="23">
        <v>1.1689210000000001</v>
      </c>
      <c r="C3735" s="32">
        <f t="shared" si="58"/>
        <v>-3.4009429538496283E-3</v>
      </c>
    </row>
    <row r="3736" spans="1:3" x14ac:dyDescent="0.6">
      <c r="A3736" s="24">
        <v>34963</v>
      </c>
      <c r="B3736" s="23">
        <v>1.1808890000000001</v>
      </c>
      <c r="C3736" s="32">
        <f t="shared" si="58"/>
        <v>1.0238502003129257E-2</v>
      </c>
    </row>
    <row r="3737" spans="1:3" x14ac:dyDescent="0.6">
      <c r="A3737" s="24">
        <v>34964</v>
      </c>
      <c r="B3737" s="23">
        <v>1.182884</v>
      </c>
      <c r="C3737" s="32">
        <f t="shared" si="58"/>
        <v>1.6894051854152714E-3</v>
      </c>
    </row>
    <row r="3738" spans="1:3" x14ac:dyDescent="0.6">
      <c r="A3738" s="24">
        <v>34967</v>
      </c>
      <c r="B3738" s="23">
        <v>1.1973450000000001</v>
      </c>
      <c r="C3738" s="32">
        <f t="shared" si="58"/>
        <v>1.2225205514657445E-2</v>
      </c>
    </row>
    <row r="3739" spans="1:3" x14ac:dyDescent="0.6">
      <c r="A3739" s="24">
        <v>34968</v>
      </c>
      <c r="B3739" s="23">
        <v>1.1928570000000001</v>
      </c>
      <c r="C3739" s="32">
        <f t="shared" si="58"/>
        <v>-3.7482930984804597E-3</v>
      </c>
    </row>
    <row r="3740" spans="1:3" x14ac:dyDescent="0.6">
      <c r="A3740" s="24">
        <v>34969</v>
      </c>
      <c r="B3740" s="23">
        <v>1.156952</v>
      </c>
      <c r="C3740" s="32">
        <f t="shared" si="58"/>
        <v>-3.0100003604790926E-2</v>
      </c>
    </row>
    <row r="3741" spans="1:3" x14ac:dyDescent="0.6">
      <c r="A3741" s="24">
        <v>34970</v>
      </c>
      <c r="B3741" s="23">
        <v>1.204826</v>
      </c>
      <c r="C3741" s="32">
        <f t="shared" si="58"/>
        <v>4.1379417642218419E-2</v>
      </c>
    </row>
    <row r="3742" spans="1:3" x14ac:dyDescent="0.6">
      <c r="A3742" s="24">
        <v>34971</v>
      </c>
      <c r="B3742" s="23">
        <v>1.188868</v>
      </c>
      <c r="C3742" s="32">
        <f t="shared" si="58"/>
        <v>-1.3245066092531177E-2</v>
      </c>
    </row>
    <row r="3743" spans="1:3" x14ac:dyDescent="0.6">
      <c r="A3743" s="24">
        <v>34974</v>
      </c>
      <c r="B3743" s="23">
        <v>1.200836</v>
      </c>
      <c r="C3743" s="32">
        <f t="shared" si="58"/>
        <v>1.0066718929267138E-2</v>
      </c>
    </row>
    <row r="3744" spans="1:3" x14ac:dyDescent="0.6">
      <c r="A3744" s="24">
        <v>34975</v>
      </c>
      <c r="B3744" s="23">
        <v>1.200836</v>
      </c>
      <c r="C3744" s="32">
        <f t="shared" si="58"/>
        <v>0</v>
      </c>
    </row>
    <row r="3745" spans="1:3" x14ac:dyDescent="0.6">
      <c r="A3745" s="24">
        <v>34976</v>
      </c>
      <c r="B3745" s="23">
        <v>1.160941</v>
      </c>
      <c r="C3745" s="32">
        <f t="shared" si="58"/>
        <v>-3.3222688193891625E-2</v>
      </c>
    </row>
    <row r="3746" spans="1:3" x14ac:dyDescent="0.6">
      <c r="A3746" s="24">
        <v>34977</v>
      </c>
      <c r="B3746" s="23">
        <v>1.1649309999999999</v>
      </c>
      <c r="C3746" s="32">
        <f t="shared" si="58"/>
        <v>3.436867162069257E-3</v>
      </c>
    </row>
    <row r="3747" spans="1:3" x14ac:dyDescent="0.6">
      <c r="A3747" s="24">
        <v>34978</v>
      </c>
      <c r="B3747" s="23">
        <v>1.1389990000000001</v>
      </c>
      <c r="C3747" s="32">
        <f t="shared" si="58"/>
        <v>-2.2260545903576956E-2</v>
      </c>
    </row>
    <row r="3748" spans="1:3" x14ac:dyDescent="0.6">
      <c r="A3748" s="24">
        <v>34981</v>
      </c>
      <c r="B3748" s="23">
        <v>1.111073</v>
      </c>
      <c r="C3748" s="32">
        <f t="shared" si="58"/>
        <v>-2.4518019769991128E-2</v>
      </c>
    </row>
    <row r="3749" spans="1:3" x14ac:dyDescent="0.6">
      <c r="A3749" s="24">
        <v>34982</v>
      </c>
      <c r="B3749" s="23">
        <v>1.107083</v>
      </c>
      <c r="C3749" s="32">
        <f t="shared" si="58"/>
        <v>-3.5911231755249018E-3</v>
      </c>
    </row>
    <row r="3750" spans="1:3" x14ac:dyDescent="0.6">
      <c r="A3750" s="24">
        <v>34983</v>
      </c>
      <c r="B3750" s="23">
        <v>1.1130679999999999</v>
      </c>
      <c r="C3750" s="32">
        <f t="shared" si="58"/>
        <v>5.4060987297248619E-3</v>
      </c>
    </row>
    <row r="3751" spans="1:3" x14ac:dyDescent="0.6">
      <c r="A3751" s="24">
        <v>34984</v>
      </c>
      <c r="B3751" s="23">
        <v>1.1270309999999999</v>
      </c>
      <c r="C3751" s="32">
        <f t="shared" si="58"/>
        <v>1.2544606439139239E-2</v>
      </c>
    </row>
    <row r="3752" spans="1:3" x14ac:dyDescent="0.6">
      <c r="A3752" s="24">
        <v>34985</v>
      </c>
      <c r="B3752" s="23">
        <v>1.148973</v>
      </c>
      <c r="C3752" s="32">
        <f t="shared" si="58"/>
        <v>1.9468852232103817E-2</v>
      </c>
    </row>
    <row r="3753" spans="1:3" x14ac:dyDescent="0.6">
      <c r="A3753" s="24">
        <v>34988</v>
      </c>
      <c r="B3753" s="23">
        <v>1.152963</v>
      </c>
      <c r="C3753" s="32">
        <f t="shared" si="58"/>
        <v>3.4726664595250423E-3</v>
      </c>
    </row>
    <row r="3754" spans="1:3" x14ac:dyDescent="0.6">
      <c r="A3754" s="24">
        <v>34989</v>
      </c>
      <c r="B3754" s="23">
        <v>1.1689210000000001</v>
      </c>
      <c r="C3754" s="32">
        <f t="shared" si="58"/>
        <v>1.3840860461263871E-2</v>
      </c>
    </row>
    <row r="3755" spans="1:3" x14ac:dyDescent="0.6">
      <c r="A3755" s="24">
        <v>34990</v>
      </c>
      <c r="B3755" s="23">
        <v>1.1928570000000001</v>
      </c>
      <c r="C3755" s="32">
        <f t="shared" si="58"/>
        <v>2.0477004006258737E-2</v>
      </c>
    </row>
    <row r="3756" spans="1:3" x14ac:dyDescent="0.6">
      <c r="A3756" s="24">
        <v>34991</v>
      </c>
      <c r="B3756" s="23">
        <v>1.109078</v>
      </c>
      <c r="C3756" s="32">
        <f t="shared" si="58"/>
        <v>-7.0233900626814449E-2</v>
      </c>
    </row>
    <row r="3757" spans="1:3" x14ac:dyDescent="0.6">
      <c r="A3757" s="24">
        <v>34992</v>
      </c>
      <c r="B3757" s="23">
        <v>1.121046</v>
      </c>
      <c r="C3757" s="32">
        <f t="shared" si="58"/>
        <v>1.0790945271658137E-2</v>
      </c>
    </row>
    <row r="3758" spans="1:3" x14ac:dyDescent="0.6">
      <c r="A3758" s="24">
        <v>34995</v>
      </c>
      <c r="B3758" s="23">
        <v>1.121046</v>
      </c>
      <c r="C3758" s="32">
        <f t="shared" si="58"/>
        <v>0</v>
      </c>
    </row>
    <row r="3759" spans="1:3" x14ac:dyDescent="0.6">
      <c r="A3759" s="24">
        <v>34996</v>
      </c>
      <c r="B3759" s="23">
        <v>1.121046</v>
      </c>
      <c r="C3759" s="32">
        <f t="shared" si="58"/>
        <v>0</v>
      </c>
    </row>
    <row r="3760" spans="1:3" x14ac:dyDescent="0.6">
      <c r="A3760" s="24">
        <v>34997</v>
      </c>
      <c r="B3760" s="23">
        <v>1.109078</v>
      </c>
      <c r="C3760" s="32">
        <f t="shared" si="58"/>
        <v>-1.0675743903461599E-2</v>
      </c>
    </row>
    <row r="3761" spans="1:3" x14ac:dyDescent="0.6">
      <c r="A3761" s="24">
        <v>34998</v>
      </c>
      <c r="B3761" s="23">
        <v>1.1130679999999999</v>
      </c>
      <c r="C3761" s="32">
        <f t="shared" si="58"/>
        <v>3.5975828571119806E-3</v>
      </c>
    </row>
    <row r="3762" spans="1:3" x14ac:dyDescent="0.6">
      <c r="A3762" s="24">
        <v>34999</v>
      </c>
      <c r="B3762" s="23">
        <v>1.109078</v>
      </c>
      <c r="C3762" s="32">
        <f t="shared" si="58"/>
        <v>-3.5846866498722152E-3</v>
      </c>
    </row>
    <row r="3763" spans="1:3" x14ac:dyDescent="0.6">
      <c r="A3763" s="24">
        <v>35002</v>
      </c>
      <c r="B3763" s="23">
        <v>1.1250359999999999</v>
      </c>
      <c r="C3763" s="32">
        <f t="shared" si="58"/>
        <v>1.4388528128769895E-2</v>
      </c>
    </row>
    <row r="3764" spans="1:3" x14ac:dyDescent="0.6">
      <c r="A3764" s="24">
        <v>35003</v>
      </c>
      <c r="B3764" s="23">
        <v>1.1589469999999999</v>
      </c>
      <c r="C3764" s="32">
        <f t="shared" si="58"/>
        <v>3.0142146562421201E-2</v>
      </c>
    </row>
    <row r="3765" spans="1:3" x14ac:dyDescent="0.6">
      <c r="A3765" s="24">
        <v>35004</v>
      </c>
      <c r="B3765" s="23">
        <v>1.1689210000000001</v>
      </c>
      <c r="C3765" s="32">
        <f t="shared" si="58"/>
        <v>8.6060881127438815E-3</v>
      </c>
    </row>
    <row r="3766" spans="1:3" x14ac:dyDescent="0.6">
      <c r="A3766" s="24">
        <v>35005</v>
      </c>
      <c r="B3766" s="23">
        <v>1.1689210000000001</v>
      </c>
      <c r="C3766" s="32">
        <f t="shared" si="58"/>
        <v>0</v>
      </c>
    </row>
    <row r="3767" spans="1:3" x14ac:dyDescent="0.6">
      <c r="A3767" s="24">
        <v>35006</v>
      </c>
      <c r="B3767" s="23">
        <v>1.1649309999999999</v>
      </c>
      <c r="C3767" s="32">
        <f t="shared" si="58"/>
        <v>-3.4134043275808601E-3</v>
      </c>
    </row>
    <row r="3768" spans="1:3" x14ac:dyDescent="0.6">
      <c r="A3768" s="24">
        <v>35009</v>
      </c>
      <c r="B3768" s="23">
        <v>1.2167939999999999</v>
      </c>
      <c r="C3768" s="32">
        <f t="shared" si="58"/>
        <v>4.4520233387213448E-2</v>
      </c>
    </row>
    <row r="3769" spans="1:3" x14ac:dyDescent="0.6">
      <c r="A3769" s="24">
        <v>35010</v>
      </c>
      <c r="B3769" s="23">
        <v>1.2646679999999999</v>
      </c>
      <c r="C3769" s="32">
        <f t="shared" si="58"/>
        <v>3.934437546536218E-2</v>
      </c>
    </row>
    <row r="3770" spans="1:3" x14ac:dyDescent="0.6">
      <c r="A3770" s="24">
        <v>35011</v>
      </c>
      <c r="B3770" s="23">
        <v>1.240731</v>
      </c>
      <c r="C3770" s="32">
        <f t="shared" si="58"/>
        <v>-1.8927497177124608E-2</v>
      </c>
    </row>
    <row r="3771" spans="1:3" x14ac:dyDescent="0.6">
      <c r="A3771" s="24">
        <v>35012</v>
      </c>
      <c r="B3771" s="23">
        <v>1.2566889999999999</v>
      </c>
      <c r="C3771" s="32">
        <f t="shared" si="58"/>
        <v>1.2861772616304279E-2</v>
      </c>
    </row>
    <row r="3772" spans="1:3" x14ac:dyDescent="0.6">
      <c r="A3772" s="24">
        <v>35013</v>
      </c>
      <c r="B3772" s="23">
        <v>1.2686580000000001</v>
      </c>
      <c r="C3772" s="32">
        <f t="shared" si="58"/>
        <v>9.5242339194503423E-3</v>
      </c>
    </row>
    <row r="3773" spans="1:3" x14ac:dyDescent="0.6">
      <c r="A3773" s="24">
        <v>35016</v>
      </c>
      <c r="B3773" s="23">
        <v>1.3045629999999999</v>
      </c>
      <c r="C3773" s="32">
        <f t="shared" si="58"/>
        <v>2.8301559600774961E-2</v>
      </c>
    </row>
    <row r="3774" spans="1:3" x14ac:dyDescent="0.6">
      <c r="A3774" s="24">
        <v>35017</v>
      </c>
      <c r="B3774" s="23">
        <v>1.3245100000000001</v>
      </c>
      <c r="C3774" s="32">
        <f t="shared" si="58"/>
        <v>1.5290177630363777E-2</v>
      </c>
    </row>
    <row r="3775" spans="1:3" x14ac:dyDescent="0.6">
      <c r="A3775" s="24">
        <v>35018</v>
      </c>
      <c r="B3775" s="23">
        <v>1.3085519999999999</v>
      </c>
      <c r="C3775" s="32">
        <f t="shared" si="58"/>
        <v>-1.204822915644288E-2</v>
      </c>
    </row>
    <row r="3776" spans="1:3" x14ac:dyDescent="0.6">
      <c r="A3776" s="24">
        <v>35019</v>
      </c>
      <c r="B3776" s="23">
        <v>1.2746420000000001</v>
      </c>
      <c r="C3776" s="32">
        <f t="shared" si="58"/>
        <v>-2.5914140209941872E-2</v>
      </c>
    </row>
    <row r="3777" spans="1:3" x14ac:dyDescent="0.6">
      <c r="A3777" s="24">
        <v>35020</v>
      </c>
      <c r="B3777" s="23">
        <v>1.280626</v>
      </c>
      <c r="C3777" s="32">
        <f t="shared" si="58"/>
        <v>4.6946515178378778E-3</v>
      </c>
    </row>
    <row r="3778" spans="1:3" x14ac:dyDescent="0.6">
      <c r="A3778" s="24">
        <v>35023</v>
      </c>
      <c r="B3778" s="23">
        <v>1.2327520000000001</v>
      </c>
      <c r="C3778" s="32">
        <f t="shared" si="58"/>
        <v>-3.7383279739752306E-2</v>
      </c>
    </row>
    <row r="3779" spans="1:3" x14ac:dyDescent="0.6">
      <c r="A3779" s="24">
        <v>35024</v>
      </c>
      <c r="B3779" s="23">
        <v>1.2365980000000001</v>
      </c>
      <c r="C3779" s="32">
        <f t="shared" si="58"/>
        <v>3.1198489233843496E-3</v>
      </c>
    </row>
    <row r="3780" spans="1:3" x14ac:dyDescent="0.6">
      <c r="A3780" s="24">
        <v>35025</v>
      </c>
      <c r="B3780" s="23">
        <v>1.2365980000000001</v>
      </c>
      <c r="C3780" s="32">
        <f t="shared" ref="C3780:C3843" si="59">B3780/B3779-1</f>
        <v>0</v>
      </c>
    </row>
    <row r="3781" spans="1:3" x14ac:dyDescent="0.6">
      <c r="A3781" s="24">
        <v>35027</v>
      </c>
      <c r="B3781" s="23">
        <v>1.2866219999999999</v>
      </c>
      <c r="C3781" s="32">
        <f t="shared" si="59"/>
        <v>4.0452920027365336E-2</v>
      </c>
    </row>
    <row r="3782" spans="1:3" x14ac:dyDescent="0.6">
      <c r="A3782" s="24">
        <v>35030</v>
      </c>
      <c r="B3782" s="23">
        <v>1.26061</v>
      </c>
      <c r="C3782" s="32">
        <f t="shared" si="59"/>
        <v>-2.0217282154354477E-2</v>
      </c>
    </row>
    <row r="3783" spans="1:3" x14ac:dyDescent="0.6">
      <c r="A3783" s="24">
        <v>35031</v>
      </c>
      <c r="B3783" s="23">
        <v>1.280619</v>
      </c>
      <c r="C3783" s="32">
        <f t="shared" si="59"/>
        <v>1.5872474436978923E-2</v>
      </c>
    </row>
    <row r="3784" spans="1:3" x14ac:dyDescent="0.6">
      <c r="A3784" s="24">
        <v>35032</v>
      </c>
      <c r="B3784" s="23">
        <v>1.2566079999999999</v>
      </c>
      <c r="C3784" s="32">
        <f t="shared" si="59"/>
        <v>-1.8749526596122612E-2</v>
      </c>
    </row>
    <row r="3785" spans="1:3" x14ac:dyDescent="0.6">
      <c r="A3785" s="24">
        <v>35033</v>
      </c>
      <c r="B3785" s="23">
        <v>1.2205900000000001</v>
      </c>
      <c r="C3785" s="32">
        <f t="shared" si="59"/>
        <v>-2.8662876569303886E-2</v>
      </c>
    </row>
    <row r="3786" spans="1:3" x14ac:dyDescent="0.6">
      <c r="A3786" s="24">
        <v>35034</v>
      </c>
      <c r="B3786" s="23">
        <v>1.204583</v>
      </c>
      <c r="C3786" s="32">
        <f t="shared" si="59"/>
        <v>-1.3114149714482437E-2</v>
      </c>
    </row>
    <row r="3787" spans="1:3" x14ac:dyDescent="0.6">
      <c r="A3787" s="24">
        <v>35037</v>
      </c>
      <c r="B3787" s="23">
        <v>1.2646120000000001</v>
      </c>
      <c r="C3787" s="32">
        <f t="shared" si="59"/>
        <v>4.983384291493409E-2</v>
      </c>
    </row>
    <row r="3788" spans="1:3" x14ac:dyDescent="0.6">
      <c r="A3788" s="24">
        <v>35038</v>
      </c>
      <c r="B3788" s="23">
        <v>1.2646120000000001</v>
      </c>
      <c r="C3788" s="32">
        <f t="shared" si="59"/>
        <v>0</v>
      </c>
    </row>
    <row r="3789" spans="1:3" x14ac:dyDescent="0.6">
      <c r="A3789" s="24">
        <v>35039</v>
      </c>
      <c r="B3789" s="23">
        <v>1.2405999999999999</v>
      </c>
      <c r="C3789" s="32">
        <f t="shared" si="59"/>
        <v>-1.8987642059382748E-2</v>
      </c>
    </row>
    <row r="3790" spans="1:3" x14ac:dyDescent="0.6">
      <c r="A3790" s="24">
        <v>35040</v>
      </c>
      <c r="B3790" s="23">
        <v>1.2345969999999999</v>
      </c>
      <c r="C3790" s="32">
        <f t="shared" si="59"/>
        <v>-4.8387876833789756E-3</v>
      </c>
    </row>
    <row r="3791" spans="1:3" x14ac:dyDescent="0.6">
      <c r="A3791" s="24">
        <v>35041</v>
      </c>
      <c r="B3791" s="23">
        <v>1.26061</v>
      </c>
      <c r="C3791" s="32">
        <f t="shared" si="59"/>
        <v>2.1070033379313235E-2</v>
      </c>
    </row>
    <row r="3792" spans="1:3" x14ac:dyDescent="0.6">
      <c r="A3792" s="24">
        <v>35044</v>
      </c>
      <c r="B3792" s="23">
        <v>1.2365980000000001</v>
      </c>
      <c r="C3792" s="32">
        <f t="shared" si="59"/>
        <v>-1.9047921244476851E-2</v>
      </c>
    </row>
    <row r="3793" spans="1:3" x14ac:dyDescent="0.6">
      <c r="A3793" s="24">
        <v>35045</v>
      </c>
      <c r="B3793" s="23">
        <v>1.216588</v>
      </c>
      <c r="C3793" s="32">
        <f t="shared" si="59"/>
        <v>-1.6181491479041799E-2</v>
      </c>
    </row>
    <row r="3794" spans="1:3" x14ac:dyDescent="0.6">
      <c r="A3794" s="24">
        <v>35046</v>
      </c>
      <c r="B3794" s="23">
        <v>1.228594</v>
      </c>
      <c r="C3794" s="32">
        <f t="shared" si="59"/>
        <v>9.8685832837410725E-3</v>
      </c>
    </row>
    <row r="3795" spans="1:3" x14ac:dyDescent="0.6">
      <c r="A3795" s="24">
        <v>35047</v>
      </c>
      <c r="B3795" s="23">
        <v>1.2245919999999999</v>
      </c>
      <c r="C3795" s="32">
        <f t="shared" si="59"/>
        <v>-3.2573820155397115E-3</v>
      </c>
    </row>
    <row r="3796" spans="1:3" x14ac:dyDescent="0.6">
      <c r="A3796" s="24">
        <v>35048</v>
      </c>
      <c r="B3796" s="23">
        <v>1.128546</v>
      </c>
      <c r="C3796" s="32">
        <f t="shared" si="59"/>
        <v>-7.8431020290839593E-2</v>
      </c>
    </row>
    <row r="3797" spans="1:3" x14ac:dyDescent="0.6">
      <c r="A3797" s="24">
        <v>35051</v>
      </c>
      <c r="B3797" s="23">
        <v>1.0324990000000001</v>
      </c>
      <c r="C3797" s="32">
        <f t="shared" si="59"/>
        <v>-8.5106854306337576E-2</v>
      </c>
    </row>
    <row r="3798" spans="1:3" x14ac:dyDescent="0.6">
      <c r="A3798" s="24">
        <v>35052</v>
      </c>
      <c r="B3798" s="23">
        <v>1.0485070000000001</v>
      </c>
      <c r="C3798" s="32">
        <f t="shared" si="59"/>
        <v>1.5504131238867958E-2</v>
      </c>
    </row>
    <row r="3799" spans="1:3" x14ac:dyDescent="0.6">
      <c r="A3799" s="24">
        <v>35053</v>
      </c>
      <c r="B3799" s="23">
        <v>1.044505</v>
      </c>
      <c r="C3799" s="32">
        <f t="shared" si="59"/>
        <v>-3.8168557768332168E-3</v>
      </c>
    </row>
    <row r="3800" spans="1:3" x14ac:dyDescent="0.6">
      <c r="A3800" s="24">
        <v>35054</v>
      </c>
      <c r="B3800" s="23">
        <v>1.040503</v>
      </c>
      <c r="C3800" s="32">
        <f t="shared" si="59"/>
        <v>-3.8314799833414348E-3</v>
      </c>
    </row>
    <row r="3801" spans="1:3" x14ac:dyDescent="0.6">
      <c r="A3801" s="24">
        <v>35055</v>
      </c>
      <c r="B3801" s="23">
        <v>1.0324990000000001</v>
      </c>
      <c r="C3801" s="32">
        <f t="shared" si="59"/>
        <v>-7.6924333711675397E-3</v>
      </c>
    </row>
    <row r="3802" spans="1:3" x14ac:dyDescent="0.6">
      <c r="A3802" s="24">
        <v>35059</v>
      </c>
      <c r="B3802" s="23">
        <v>1.026497</v>
      </c>
      <c r="C3802" s="32">
        <f t="shared" si="59"/>
        <v>-5.8130806906351307E-3</v>
      </c>
    </row>
    <row r="3803" spans="1:3" x14ac:dyDescent="0.6">
      <c r="A3803" s="24">
        <v>35060</v>
      </c>
      <c r="B3803" s="23">
        <v>1.0365009999999999</v>
      </c>
      <c r="C3803" s="32">
        <f t="shared" si="59"/>
        <v>9.7457664269842148E-3</v>
      </c>
    </row>
    <row r="3804" spans="1:3" x14ac:dyDescent="0.6">
      <c r="A3804" s="24">
        <v>35061</v>
      </c>
      <c r="B3804" s="23">
        <v>1.0244949999999999</v>
      </c>
      <c r="C3804" s="32">
        <f t="shared" si="59"/>
        <v>-1.1583201559863365E-2</v>
      </c>
    </row>
    <row r="3805" spans="1:3" x14ac:dyDescent="0.6">
      <c r="A3805" s="24">
        <v>35062</v>
      </c>
      <c r="B3805" s="23">
        <v>1.0204930000000001</v>
      </c>
      <c r="C3805" s="32">
        <f t="shared" si="59"/>
        <v>-3.9063148185202179E-3</v>
      </c>
    </row>
    <row r="3806" spans="1:3" x14ac:dyDescent="0.6">
      <c r="A3806" s="24">
        <v>35066</v>
      </c>
      <c r="B3806" s="23">
        <v>1.028497</v>
      </c>
      <c r="C3806" s="32">
        <f t="shared" si="59"/>
        <v>7.8432679107058867E-3</v>
      </c>
    </row>
    <row r="3807" spans="1:3" x14ac:dyDescent="0.6">
      <c r="A3807" s="24">
        <v>35067</v>
      </c>
      <c r="B3807" s="23">
        <v>1.028497</v>
      </c>
      <c r="C3807" s="32">
        <f t="shared" si="59"/>
        <v>0</v>
      </c>
    </row>
    <row r="3808" spans="1:3" x14ac:dyDescent="0.6">
      <c r="A3808" s="24">
        <v>35068</v>
      </c>
      <c r="B3808" s="23">
        <v>1.010489</v>
      </c>
      <c r="C3808" s="32">
        <f t="shared" si="59"/>
        <v>-1.7509044751710556E-2</v>
      </c>
    </row>
    <row r="3809" spans="1:3" x14ac:dyDescent="0.6">
      <c r="A3809" s="24">
        <v>35069</v>
      </c>
      <c r="B3809" s="23">
        <v>1.09653</v>
      </c>
      <c r="C3809" s="32">
        <f t="shared" si="59"/>
        <v>8.5147883846335759E-2</v>
      </c>
    </row>
    <row r="3810" spans="1:3" x14ac:dyDescent="0.6">
      <c r="A3810" s="24">
        <v>35072</v>
      </c>
      <c r="B3810" s="23">
        <v>1.108536</v>
      </c>
      <c r="C3810" s="32">
        <f t="shared" si="59"/>
        <v>1.0949084840359946E-2</v>
      </c>
    </row>
    <row r="3811" spans="1:3" x14ac:dyDescent="0.6">
      <c r="A3811" s="24">
        <v>35073</v>
      </c>
      <c r="B3811" s="23">
        <v>1.0485070000000001</v>
      </c>
      <c r="C3811" s="32">
        <f t="shared" si="59"/>
        <v>-5.415160175222089E-2</v>
      </c>
    </row>
    <row r="3812" spans="1:3" x14ac:dyDescent="0.6">
      <c r="A3812" s="24">
        <v>35074</v>
      </c>
      <c r="B3812" s="23">
        <v>1.09653</v>
      </c>
      <c r="C3812" s="32">
        <f t="shared" si="59"/>
        <v>4.5801315584922175E-2</v>
      </c>
    </row>
    <row r="3813" spans="1:3" x14ac:dyDescent="0.6">
      <c r="A3813" s="24">
        <v>35075</v>
      </c>
      <c r="B3813" s="23">
        <v>1.1205419999999999</v>
      </c>
      <c r="C3813" s="32">
        <f t="shared" si="59"/>
        <v>2.1898169680720114E-2</v>
      </c>
    </row>
    <row r="3814" spans="1:3" x14ac:dyDescent="0.6">
      <c r="A3814" s="24">
        <v>35076</v>
      </c>
      <c r="B3814" s="23">
        <v>1.084524</v>
      </c>
      <c r="C3814" s="32">
        <f t="shared" si="59"/>
        <v>-3.2143373474622039E-2</v>
      </c>
    </row>
    <row r="3815" spans="1:3" x14ac:dyDescent="0.6">
      <c r="A3815" s="24">
        <v>35079</v>
      </c>
      <c r="B3815" s="23">
        <v>1.0925279999999999</v>
      </c>
      <c r="C3815" s="32">
        <f t="shared" si="59"/>
        <v>7.3801962888786488E-3</v>
      </c>
    </row>
    <row r="3816" spans="1:3" x14ac:dyDescent="0.6">
      <c r="A3816" s="24">
        <v>35080</v>
      </c>
      <c r="B3816" s="23">
        <v>1.106535</v>
      </c>
      <c r="C3816" s="32">
        <f t="shared" si="59"/>
        <v>1.2820724045516485E-2</v>
      </c>
    </row>
    <row r="3817" spans="1:3" x14ac:dyDescent="0.6">
      <c r="A3817" s="24">
        <v>35081</v>
      </c>
      <c r="B3817" s="23">
        <v>1.0885260000000001</v>
      </c>
      <c r="C3817" s="32">
        <f t="shared" si="59"/>
        <v>-1.6275129119277643E-2</v>
      </c>
    </row>
    <row r="3818" spans="1:3" x14ac:dyDescent="0.6">
      <c r="A3818" s="24">
        <v>35082</v>
      </c>
      <c r="B3818" s="23">
        <v>1.022494</v>
      </c>
      <c r="C3818" s="32">
        <f t="shared" si="59"/>
        <v>-6.0661849142785829E-2</v>
      </c>
    </row>
    <row r="3819" spans="1:3" x14ac:dyDescent="0.6">
      <c r="A3819" s="24">
        <v>35083</v>
      </c>
      <c r="B3819" s="23">
        <v>0.95646200000000003</v>
      </c>
      <c r="C3819" s="32">
        <f t="shared" si="59"/>
        <v>-6.4579352054877526E-2</v>
      </c>
    </row>
    <row r="3820" spans="1:3" x14ac:dyDescent="0.6">
      <c r="A3820" s="24">
        <v>35086</v>
      </c>
      <c r="B3820" s="23">
        <v>0.97647200000000001</v>
      </c>
      <c r="C3820" s="32">
        <f t="shared" si="59"/>
        <v>2.0920852056851125E-2</v>
      </c>
    </row>
    <row r="3821" spans="1:3" x14ac:dyDescent="0.6">
      <c r="A3821" s="24">
        <v>35087</v>
      </c>
      <c r="B3821" s="23">
        <v>1.0124899999999999</v>
      </c>
      <c r="C3821" s="32">
        <f t="shared" si="59"/>
        <v>3.6885850285517607E-2</v>
      </c>
    </row>
    <row r="3822" spans="1:3" x14ac:dyDescent="0.6">
      <c r="A3822" s="24">
        <v>35088</v>
      </c>
      <c r="B3822" s="23">
        <v>1.0324990000000001</v>
      </c>
      <c r="C3822" s="32">
        <f t="shared" si="59"/>
        <v>1.9762170490572828E-2</v>
      </c>
    </row>
    <row r="3823" spans="1:3" x14ac:dyDescent="0.6">
      <c r="A3823" s="24">
        <v>35089</v>
      </c>
      <c r="B3823" s="23">
        <v>0.968468</v>
      </c>
      <c r="C3823" s="32">
        <f t="shared" si="59"/>
        <v>-6.2015556431531671E-2</v>
      </c>
    </row>
    <row r="3824" spans="1:3" x14ac:dyDescent="0.6">
      <c r="A3824" s="24">
        <v>35090</v>
      </c>
      <c r="B3824" s="23">
        <v>0.98047399999999996</v>
      </c>
      <c r="C3824" s="32">
        <f t="shared" si="59"/>
        <v>1.2396899019895269E-2</v>
      </c>
    </row>
    <row r="3825" spans="1:3" x14ac:dyDescent="0.6">
      <c r="A3825" s="24">
        <v>35093</v>
      </c>
      <c r="B3825" s="23">
        <v>0.93245100000000003</v>
      </c>
      <c r="C3825" s="32">
        <f t="shared" si="59"/>
        <v>-4.8979371202091948E-2</v>
      </c>
    </row>
    <row r="3826" spans="1:3" x14ac:dyDescent="0.6">
      <c r="A3826" s="24">
        <v>35094</v>
      </c>
      <c r="B3826" s="23">
        <v>0.87442299999999995</v>
      </c>
      <c r="C3826" s="32">
        <f t="shared" si="59"/>
        <v>-6.22316883139169E-2</v>
      </c>
    </row>
    <row r="3827" spans="1:3" x14ac:dyDescent="0.6">
      <c r="A3827" s="24">
        <v>35095</v>
      </c>
      <c r="B3827" s="23">
        <v>0.88442699999999996</v>
      </c>
      <c r="C3827" s="32">
        <f t="shared" si="59"/>
        <v>1.1440687173141617E-2</v>
      </c>
    </row>
    <row r="3828" spans="1:3" x14ac:dyDescent="0.6">
      <c r="A3828" s="24">
        <v>35096</v>
      </c>
      <c r="B3828" s="23">
        <v>0.908439</v>
      </c>
      <c r="C3828" s="32">
        <f t="shared" si="59"/>
        <v>2.714978172308169E-2</v>
      </c>
    </row>
    <row r="3829" spans="1:3" x14ac:dyDescent="0.6">
      <c r="A3829" s="24">
        <v>35097</v>
      </c>
      <c r="B3829" s="23">
        <v>0.93645299999999998</v>
      </c>
      <c r="C3829" s="32">
        <f t="shared" si="59"/>
        <v>3.0837513580988851E-2</v>
      </c>
    </row>
    <row r="3830" spans="1:3" x14ac:dyDescent="0.6">
      <c r="A3830" s="24">
        <v>35100</v>
      </c>
      <c r="B3830" s="23">
        <v>0.93645299999999998</v>
      </c>
      <c r="C3830" s="32">
        <f t="shared" si="59"/>
        <v>0</v>
      </c>
    </row>
    <row r="3831" spans="1:3" x14ac:dyDescent="0.6">
      <c r="A3831" s="24">
        <v>35101</v>
      </c>
      <c r="B3831" s="23">
        <v>0.94845900000000005</v>
      </c>
      <c r="C3831" s="32">
        <f t="shared" si="59"/>
        <v>1.2820718178061297E-2</v>
      </c>
    </row>
    <row r="3832" spans="1:3" x14ac:dyDescent="0.6">
      <c r="A3832" s="24">
        <v>35102</v>
      </c>
      <c r="B3832" s="23">
        <v>0.90443700000000005</v>
      </c>
      <c r="C3832" s="32">
        <f t="shared" si="59"/>
        <v>-4.6414236145157606E-2</v>
      </c>
    </row>
    <row r="3833" spans="1:3" x14ac:dyDescent="0.6">
      <c r="A3833" s="24">
        <v>35103</v>
      </c>
      <c r="B3833" s="23">
        <v>0.892432</v>
      </c>
      <c r="C3833" s="32">
        <f t="shared" si="59"/>
        <v>-1.3273450776560503E-2</v>
      </c>
    </row>
    <row r="3834" spans="1:3" x14ac:dyDescent="0.6">
      <c r="A3834" s="24">
        <v>35104</v>
      </c>
      <c r="B3834" s="23">
        <v>0.88843000000000005</v>
      </c>
      <c r="C3834" s="32">
        <f t="shared" si="59"/>
        <v>-4.4843752801333459E-3</v>
      </c>
    </row>
    <row r="3835" spans="1:3" x14ac:dyDescent="0.6">
      <c r="A3835" s="24">
        <v>35107</v>
      </c>
      <c r="B3835" s="23">
        <v>0.908439</v>
      </c>
      <c r="C3835" s="32">
        <f t="shared" si="59"/>
        <v>2.2521751854394756E-2</v>
      </c>
    </row>
    <row r="3836" spans="1:3" x14ac:dyDescent="0.6">
      <c r="A3836" s="24">
        <v>35108</v>
      </c>
      <c r="B3836" s="23">
        <v>0.90043499999999999</v>
      </c>
      <c r="C3836" s="32">
        <f t="shared" si="59"/>
        <v>-8.8107181659968781E-3</v>
      </c>
    </row>
    <row r="3837" spans="1:3" x14ac:dyDescent="0.6">
      <c r="A3837" s="24">
        <v>35109</v>
      </c>
      <c r="B3837" s="23">
        <v>0.88442699999999996</v>
      </c>
      <c r="C3837" s="32">
        <f t="shared" si="59"/>
        <v>-1.7778073930933447E-2</v>
      </c>
    </row>
    <row r="3838" spans="1:3" x14ac:dyDescent="0.6">
      <c r="A3838" s="24">
        <v>35110</v>
      </c>
      <c r="B3838" s="23">
        <v>0.89643300000000004</v>
      </c>
      <c r="C3838" s="32">
        <f t="shared" si="59"/>
        <v>1.3574890861540956E-2</v>
      </c>
    </row>
    <row r="3839" spans="1:3" x14ac:dyDescent="0.6">
      <c r="A3839" s="24">
        <v>35111</v>
      </c>
      <c r="B3839" s="23">
        <v>0.88042600000000004</v>
      </c>
      <c r="C3839" s="32">
        <f t="shared" si="59"/>
        <v>-1.7856326128109945E-2</v>
      </c>
    </row>
    <row r="3840" spans="1:3" x14ac:dyDescent="0.6">
      <c r="A3840" s="24">
        <v>35115</v>
      </c>
      <c r="B3840" s="23">
        <v>0.92844899999999997</v>
      </c>
      <c r="C3840" s="32">
        <f t="shared" si="59"/>
        <v>5.454518608037473E-2</v>
      </c>
    </row>
    <row r="3841" spans="1:3" x14ac:dyDescent="0.6">
      <c r="A3841" s="24">
        <v>35116</v>
      </c>
      <c r="B3841" s="23">
        <v>0.94845900000000005</v>
      </c>
      <c r="C3841" s="32">
        <f t="shared" si="59"/>
        <v>2.1552072327074567E-2</v>
      </c>
    </row>
    <row r="3842" spans="1:3" x14ac:dyDescent="0.6">
      <c r="A3842" s="24">
        <v>35117</v>
      </c>
      <c r="B3842" s="23">
        <v>0.95646200000000003</v>
      </c>
      <c r="C3842" s="32">
        <f t="shared" si="59"/>
        <v>8.4378976845598253E-3</v>
      </c>
    </row>
    <row r="3843" spans="1:3" x14ac:dyDescent="0.6">
      <c r="A3843" s="24">
        <v>35118</v>
      </c>
      <c r="B3843" s="23">
        <v>0.95646200000000003</v>
      </c>
      <c r="C3843" s="32">
        <f t="shared" si="59"/>
        <v>0</v>
      </c>
    </row>
    <row r="3844" spans="1:3" x14ac:dyDescent="0.6">
      <c r="A3844" s="24">
        <v>35121</v>
      </c>
      <c r="B3844" s="23">
        <v>0.94445699999999999</v>
      </c>
      <c r="C3844" s="32">
        <f t="shared" ref="C3844:C3907" si="60">B3844/B3843-1</f>
        <v>-1.2551465714267795E-2</v>
      </c>
    </row>
    <row r="3845" spans="1:3" x14ac:dyDescent="0.6">
      <c r="A3845" s="24">
        <v>35122</v>
      </c>
      <c r="B3845" s="23">
        <v>0.91644300000000001</v>
      </c>
      <c r="C3845" s="32">
        <f t="shared" si="60"/>
        <v>-2.9661488029629757E-2</v>
      </c>
    </row>
    <row r="3846" spans="1:3" x14ac:dyDescent="0.6">
      <c r="A3846" s="24">
        <v>35123</v>
      </c>
      <c r="B3846" s="23">
        <v>0.88843000000000005</v>
      </c>
      <c r="C3846" s="32">
        <f t="shared" si="60"/>
        <v>-3.056709473475161E-2</v>
      </c>
    </row>
    <row r="3847" spans="1:3" x14ac:dyDescent="0.6">
      <c r="A3847" s="24">
        <v>35124</v>
      </c>
      <c r="B3847" s="23">
        <v>0.88042600000000004</v>
      </c>
      <c r="C3847" s="32">
        <f t="shared" si="60"/>
        <v>-9.0091509741904163E-3</v>
      </c>
    </row>
    <row r="3848" spans="1:3" x14ac:dyDescent="0.6">
      <c r="A3848" s="24">
        <v>35125</v>
      </c>
      <c r="B3848" s="23">
        <v>0.86041599999999996</v>
      </c>
      <c r="C3848" s="32">
        <f t="shared" si="60"/>
        <v>-2.2727634122572615E-2</v>
      </c>
    </row>
    <row r="3849" spans="1:3" x14ac:dyDescent="0.6">
      <c r="A3849" s="24">
        <v>35128</v>
      </c>
      <c r="B3849" s="23">
        <v>0.84040599999999999</v>
      </c>
      <c r="C3849" s="32">
        <f t="shared" si="60"/>
        <v>-2.325619235346621E-2</v>
      </c>
    </row>
    <row r="3850" spans="1:3" x14ac:dyDescent="0.6">
      <c r="A3850" s="24">
        <v>35129</v>
      </c>
      <c r="B3850" s="23">
        <v>0.85241199999999995</v>
      </c>
      <c r="C3850" s="32">
        <f t="shared" si="60"/>
        <v>1.4285952265928659E-2</v>
      </c>
    </row>
    <row r="3851" spans="1:3" x14ac:dyDescent="0.6">
      <c r="A3851" s="24">
        <v>35130</v>
      </c>
      <c r="B3851" s="23">
        <v>0.83840499999999996</v>
      </c>
      <c r="C3851" s="32">
        <f t="shared" si="60"/>
        <v>-1.6432194760280239E-2</v>
      </c>
    </row>
    <row r="3852" spans="1:3" x14ac:dyDescent="0.6">
      <c r="A3852" s="24">
        <v>35131</v>
      </c>
      <c r="B3852" s="23">
        <v>0.82640000000000002</v>
      </c>
      <c r="C3852" s="32">
        <f t="shared" si="60"/>
        <v>-1.4318855445757062E-2</v>
      </c>
    </row>
    <row r="3853" spans="1:3" x14ac:dyDescent="0.6">
      <c r="A3853" s="24">
        <v>35132</v>
      </c>
      <c r="B3853" s="23">
        <v>0.83240199999999998</v>
      </c>
      <c r="C3853" s="32">
        <f t="shared" si="60"/>
        <v>7.2628267182961448E-3</v>
      </c>
    </row>
    <row r="3854" spans="1:3" x14ac:dyDescent="0.6">
      <c r="A3854" s="24">
        <v>35135</v>
      </c>
      <c r="B3854" s="23">
        <v>0.82840100000000005</v>
      </c>
      <c r="C3854" s="32">
        <f t="shared" si="60"/>
        <v>-4.8065718246711464E-3</v>
      </c>
    </row>
    <row r="3855" spans="1:3" x14ac:dyDescent="0.6">
      <c r="A3855" s="24">
        <v>35136</v>
      </c>
      <c r="B3855" s="23">
        <v>0.82640000000000002</v>
      </c>
      <c r="C3855" s="32">
        <f t="shared" si="60"/>
        <v>-2.4154968427126944E-3</v>
      </c>
    </row>
    <row r="3856" spans="1:3" x14ac:dyDescent="0.6">
      <c r="A3856" s="24">
        <v>35137</v>
      </c>
      <c r="B3856" s="23">
        <v>0.82439899999999999</v>
      </c>
      <c r="C3856" s="32">
        <f t="shared" si="60"/>
        <v>-2.4213455953533414E-3</v>
      </c>
    </row>
    <row r="3857" spans="1:3" x14ac:dyDescent="0.6">
      <c r="A3857" s="24">
        <v>35138</v>
      </c>
      <c r="B3857" s="23">
        <v>0.82039700000000004</v>
      </c>
      <c r="C3857" s="32">
        <f t="shared" si="60"/>
        <v>-4.8544454808896464E-3</v>
      </c>
    </row>
    <row r="3858" spans="1:3" x14ac:dyDescent="0.6">
      <c r="A3858" s="24">
        <v>35139</v>
      </c>
      <c r="B3858" s="23">
        <v>0.82840100000000005</v>
      </c>
      <c r="C3858" s="32">
        <f t="shared" si="60"/>
        <v>9.7562521559684257E-3</v>
      </c>
    </row>
    <row r="3859" spans="1:3" x14ac:dyDescent="0.6">
      <c r="A3859" s="24">
        <v>35142</v>
      </c>
      <c r="B3859" s="23">
        <v>0.83640400000000004</v>
      </c>
      <c r="C3859" s="32">
        <f t="shared" si="60"/>
        <v>9.6607802260015863E-3</v>
      </c>
    </row>
    <row r="3860" spans="1:3" x14ac:dyDescent="0.6">
      <c r="A3860" s="24">
        <v>35143</v>
      </c>
      <c r="B3860" s="23">
        <v>0.82439899999999999</v>
      </c>
      <c r="C3860" s="32">
        <f t="shared" si="60"/>
        <v>-1.4353111654176742E-2</v>
      </c>
    </row>
    <row r="3861" spans="1:3" x14ac:dyDescent="0.6">
      <c r="A3861" s="24">
        <v>35144</v>
      </c>
      <c r="B3861" s="23">
        <v>0.80839099999999997</v>
      </c>
      <c r="C3861" s="32">
        <f t="shared" si="60"/>
        <v>-1.9417781923558919E-2</v>
      </c>
    </row>
    <row r="3862" spans="1:3" x14ac:dyDescent="0.6">
      <c r="A3862" s="24">
        <v>35145</v>
      </c>
      <c r="B3862" s="23">
        <v>0.80438900000000002</v>
      </c>
      <c r="C3862" s="32">
        <f t="shared" si="60"/>
        <v>-4.9505746600344569E-3</v>
      </c>
    </row>
    <row r="3863" spans="1:3" x14ac:dyDescent="0.6">
      <c r="A3863" s="24">
        <v>35146</v>
      </c>
      <c r="B3863" s="23">
        <v>0.81239300000000003</v>
      </c>
      <c r="C3863" s="32">
        <f t="shared" si="60"/>
        <v>9.9504095655211788E-3</v>
      </c>
    </row>
    <row r="3864" spans="1:3" x14ac:dyDescent="0.6">
      <c r="A3864" s="24">
        <v>35149</v>
      </c>
      <c r="B3864" s="23">
        <v>0.76837200000000005</v>
      </c>
      <c r="C3864" s="32">
        <f t="shared" si="60"/>
        <v>-5.4186828296157175E-2</v>
      </c>
    </row>
    <row r="3865" spans="1:3" x14ac:dyDescent="0.6">
      <c r="A3865" s="24">
        <v>35150</v>
      </c>
      <c r="B3865" s="23">
        <v>0.76436999999999999</v>
      </c>
      <c r="C3865" s="32">
        <f t="shared" si="60"/>
        <v>-5.2084146741422366E-3</v>
      </c>
    </row>
    <row r="3866" spans="1:3" x14ac:dyDescent="0.6">
      <c r="A3866" s="24">
        <v>35151</v>
      </c>
      <c r="B3866" s="23">
        <v>0.80839099999999997</v>
      </c>
      <c r="C3866" s="32">
        <f t="shared" si="60"/>
        <v>5.7591218912306896E-2</v>
      </c>
    </row>
    <row r="3867" spans="1:3" x14ac:dyDescent="0.6">
      <c r="A3867" s="24">
        <v>35152</v>
      </c>
      <c r="B3867" s="23">
        <v>0.77437400000000001</v>
      </c>
      <c r="C3867" s="32">
        <f t="shared" si="60"/>
        <v>-4.2079884610293772E-2</v>
      </c>
    </row>
    <row r="3868" spans="1:3" x14ac:dyDescent="0.6">
      <c r="A3868" s="24">
        <v>35153</v>
      </c>
      <c r="B3868" s="23">
        <v>0.78637999999999997</v>
      </c>
      <c r="C3868" s="32">
        <f t="shared" si="60"/>
        <v>1.5504136244243627E-2</v>
      </c>
    </row>
    <row r="3869" spans="1:3" x14ac:dyDescent="0.6">
      <c r="A3869" s="24">
        <v>35156</v>
      </c>
      <c r="B3869" s="23">
        <v>0.81639499999999998</v>
      </c>
      <c r="C3869" s="32">
        <f t="shared" si="60"/>
        <v>3.8168569902591543E-2</v>
      </c>
    </row>
    <row r="3870" spans="1:3" x14ac:dyDescent="0.6">
      <c r="A3870" s="24">
        <v>35157</v>
      </c>
      <c r="B3870" s="23">
        <v>0.80038699999999996</v>
      </c>
      <c r="C3870" s="32">
        <f t="shared" si="60"/>
        <v>-1.9608155365968716E-2</v>
      </c>
    </row>
    <row r="3871" spans="1:3" x14ac:dyDescent="0.6">
      <c r="A3871" s="24">
        <v>35158</v>
      </c>
      <c r="B3871" s="23">
        <v>0.78637999999999997</v>
      </c>
      <c r="C3871" s="32">
        <f t="shared" si="60"/>
        <v>-1.7500284237500052E-2</v>
      </c>
    </row>
    <row r="3872" spans="1:3" x14ac:dyDescent="0.6">
      <c r="A3872" s="24">
        <v>35159</v>
      </c>
      <c r="B3872" s="23">
        <v>0.77237299999999998</v>
      </c>
      <c r="C3872" s="32">
        <f t="shared" si="60"/>
        <v>-1.7811999287876135E-2</v>
      </c>
    </row>
    <row r="3873" spans="1:3" x14ac:dyDescent="0.6">
      <c r="A3873" s="24">
        <v>35163</v>
      </c>
      <c r="B3873" s="23">
        <v>0.78037699999999999</v>
      </c>
      <c r="C3873" s="32">
        <f t="shared" si="60"/>
        <v>1.0362868717575635E-2</v>
      </c>
    </row>
    <row r="3874" spans="1:3" x14ac:dyDescent="0.6">
      <c r="A3874" s="24">
        <v>35164</v>
      </c>
      <c r="B3874" s="23">
        <v>0.83240199999999998</v>
      </c>
      <c r="C3874" s="32">
        <f t="shared" si="60"/>
        <v>6.6666495809076798E-2</v>
      </c>
    </row>
    <row r="3875" spans="1:3" x14ac:dyDescent="0.6">
      <c r="A3875" s="24">
        <v>35165</v>
      </c>
      <c r="B3875" s="23">
        <v>0.83240199999999998</v>
      </c>
      <c r="C3875" s="32">
        <f t="shared" si="60"/>
        <v>0</v>
      </c>
    </row>
    <row r="3876" spans="1:3" x14ac:dyDescent="0.6">
      <c r="A3876" s="24">
        <v>35166</v>
      </c>
      <c r="B3876" s="23">
        <v>0.82439899999999999</v>
      </c>
      <c r="C3876" s="32">
        <f t="shared" si="60"/>
        <v>-9.6143449919630086E-3</v>
      </c>
    </row>
    <row r="3877" spans="1:3" x14ac:dyDescent="0.6">
      <c r="A3877" s="24">
        <v>35167</v>
      </c>
      <c r="B3877" s="23">
        <v>0.81639499999999998</v>
      </c>
      <c r="C3877" s="32">
        <f t="shared" si="60"/>
        <v>-9.7088909617794039E-3</v>
      </c>
    </row>
    <row r="3878" spans="1:3" x14ac:dyDescent="0.6">
      <c r="A3878" s="24">
        <v>35170</v>
      </c>
      <c r="B3878" s="23">
        <v>0.82439899999999999</v>
      </c>
      <c r="C3878" s="32">
        <f t="shared" si="60"/>
        <v>9.8040776829844134E-3</v>
      </c>
    </row>
    <row r="3879" spans="1:3" x14ac:dyDescent="0.6">
      <c r="A3879" s="24">
        <v>35171</v>
      </c>
      <c r="B3879" s="23">
        <v>0.82840100000000005</v>
      </c>
      <c r="C3879" s="32">
        <f t="shared" si="60"/>
        <v>4.8544454808898685E-3</v>
      </c>
    </row>
    <row r="3880" spans="1:3" x14ac:dyDescent="0.6">
      <c r="A3880" s="24">
        <v>35172</v>
      </c>
      <c r="B3880" s="23">
        <v>0.80839099999999997</v>
      </c>
      <c r="C3880" s="32">
        <f t="shared" si="60"/>
        <v>-2.4154968427126611E-2</v>
      </c>
    </row>
    <row r="3881" spans="1:3" x14ac:dyDescent="0.6">
      <c r="A3881" s="24">
        <v>35173</v>
      </c>
      <c r="B3881" s="23">
        <v>0.79238299999999995</v>
      </c>
      <c r="C3881" s="32">
        <f t="shared" si="60"/>
        <v>-1.9802298640138272E-2</v>
      </c>
    </row>
    <row r="3882" spans="1:3" x14ac:dyDescent="0.6">
      <c r="A3882" s="24">
        <v>35174</v>
      </c>
      <c r="B3882" s="23">
        <v>0.80238799999999999</v>
      </c>
      <c r="C3882" s="32">
        <f t="shared" si="60"/>
        <v>1.2626469775348648E-2</v>
      </c>
    </row>
    <row r="3883" spans="1:3" x14ac:dyDescent="0.6">
      <c r="A3883" s="24">
        <v>35177</v>
      </c>
      <c r="B3883" s="23">
        <v>0.80438900000000002</v>
      </c>
      <c r="C3883" s="32">
        <f t="shared" si="60"/>
        <v>2.4938059891224107E-3</v>
      </c>
    </row>
    <row r="3884" spans="1:3" x14ac:dyDescent="0.6">
      <c r="A3884" s="24">
        <v>35178</v>
      </c>
      <c r="B3884" s="23">
        <v>0.79238299999999995</v>
      </c>
      <c r="C3884" s="32">
        <f t="shared" si="60"/>
        <v>-1.4925614348281879E-2</v>
      </c>
    </row>
    <row r="3885" spans="1:3" x14ac:dyDescent="0.6">
      <c r="A3885" s="24">
        <v>35179</v>
      </c>
      <c r="B3885" s="23">
        <v>0.77637500000000004</v>
      </c>
      <c r="C3885" s="32">
        <f t="shared" si="60"/>
        <v>-2.0202351640557503E-2</v>
      </c>
    </row>
    <row r="3886" spans="1:3" x14ac:dyDescent="0.6">
      <c r="A3886" s="24">
        <v>35180</v>
      </c>
      <c r="B3886" s="23">
        <v>0.79638500000000001</v>
      </c>
      <c r="C3886" s="32">
        <f t="shared" si="60"/>
        <v>2.5773627435195623E-2</v>
      </c>
    </row>
    <row r="3887" spans="1:3" x14ac:dyDescent="0.6">
      <c r="A3887" s="24">
        <v>35181</v>
      </c>
      <c r="B3887" s="23">
        <v>0.79238299999999995</v>
      </c>
      <c r="C3887" s="32">
        <f t="shared" si="60"/>
        <v>-5.0252076571005722E-3</v>
      </c>
    </row>
    <row r="3888" spans="1:3" x14ac:dyDescent="0.6">
      <c r="A3888" s="24">
        <v>35184</v>
      </c>
      <c r="B3888" s="23">
        <v>0.79238299999999995</v>
      </c>
      <c r="C3888" s="32">
        <f t="shared" si="60"/>
        <v>0</v>
      </c>
    </row>
    <row r="3889" spans="1:3" x14ac:dyDescent="0.6">
      <c r="A3889" s="24">
        <v>35185</v>
      </c>
      <c r="B3889" s="23">
        <v>0.78037699999999999</v>
      </c>
      <c r="C3889" s="32">
        <f t="shared" si="60"/>
        <v>-1.5151763730418155E-2</v>
      </c>
    </row>
    <row r="3890" spans="1:3" x14ac:dyDescent="0.6">
      <c r="A3890" s="24">
        <v>35186</v>
      </c>
      <c r="B3890" s="23">
        <v>0.78037699999999999</v>
      </c>
      <c r="C3890" s="32">
        <f t="shared" si="60"/>
        <v>0</v>
      </c>
    </row>
    <row r="3891" spans="1:3" x14ac:dyDescent="0.6">
      <c r="A3891" s="24">
        <v>35187</v>
      </c>
      <c r="B3891" s="23">
        <v>0.76036800000000004</v>
      </c>
      <c r="C3891" s="32">
        <f t="shared" si="60"/>
        <v>-2.5640171353076724E-2</v>
      </c>
    </row>
    <row r="3892" spans="1:3" x14ac:dyDescent="0.6">
      <c r="A3892" s="24">
        <v>35188</v>
      </c>
      <c r="B3892" s="23">
        <v>0.76436999999999999</v>
      </c>
      <c r="C3892" s="32">
        <f t="shared" si="60"/>
        <v>5.2632409570101402E-3</v>
      </c>
    </row>
    <row r="3893" spans="1:3" x14ac:dyDescent="0.6">
      <c r="A3893" s="24">
        <v>35191</v>
      </c>
      <c r="B3893" s="23">
        <v>0.82039700000000004</v>
      </c>
      <c r="C3893" s="32">
        <f t="shared" si="60"/>
        <v>7.329827177937398E-2</v>
      </c>
    </row>
    <row r="3894" spans="1:3" x14ac:dyDescent="0.6">
      <c r="A3894" s="24">
        <v>35192</v>
      </c>
      <c r="B3894" s="23">
        <v>0.86041599999999996</v>
      </c>
      <c r="C3894" s="32">
        <f t="shared" si="60"/>
        <v>4.8780041857783285E-2</v>
      </c>
    </row>
    <row r="3895" spans="1:3" x14ac:dyDescent="0.6">
      <c r="A3895" s="24">
        <v>35193</v>
      </c>
      <c r="B3895" s="23">
        <v>0.85641400000000001</v>
      </c>
      <c r="C3895" s="32">
        <f t="shared" si="60"/>
        <v>-4.6512384706931531E-3</v>
      </c>
    </row>
    <row r="3896" spans="1:3" x14ac:dyDescent="0.6">
      <c r="A3896" s="24">
        <v>35194</v>
      </c>
      <c r="B3896" s="23">
        <v>0.83640400000000004</v>
      </c>
      <c r="C3896" s="32">
        <f t="shared" si="60"/>
        <v>-2.3364867926026434E-2</v>
      </c>
    </row>
    <row r="3897" spans="1:3" x14ac:dyDescent="0.6">
      <c r="A3897" s="24">
        <v>35195</v>
      </c>
      <c r="B3897" s="23">
        <v>0.87242200000000003</v>
      </c>
      <c r="C3897" s="32">
        <f t="shared" si="60"/>
        <v>4.3062921745950611E-2</v>
      </c>
    </row>
    <row r="3898" spans="1:3" x14ac:dyDescent="0.6">
      <c r="A3898" s="24">
        <v>35198</v>
      </c>
      <c r="B3898" s="23">
        <v>0.86641900000000005</v>
      </c>
      <c r="C3898" s="32">
        <f t="shared" si="60"/>
        <v>-6.8808443620174131E-3</v>
      </c>
    </row>
    <row r="3899" spans="1:3" x14ac:dyDescent="0.6">
      <c r="A3899" s="24">
        <v>35199</v>
      </c>
      <c r="B3899" s="23">
        <v>0.88042600000000004</v>
      </c>
      <c r="C3899" s="32">
        <f t="shared" si="60"/>
        <v>1.6166542977473997E-2</v>
      </c>
    </row>
    <row r="3900" spans="1:3" x14ac:dyDescent="0.6">
      <c r="A3900" s="24">
        <v>35200</v>
      </c>
      <c r="B3900" s="23">
        <v>0.91244099999999995</v>
      </c>
      <c r="C3900" s="32">
        <f t="shared" si="60"/>
        <v>3.6363078782316594E-2</v>
      </c>
    </row>
    <row r="3901" spans="1:3" x14ac:dyDescent="0.6">
      <c r="A3901" s="24">
        <v>35201</v>
      </c>
      <c r="B3901" s="23">
        <v>0.908439</v>
      </c>
      <c r="C3901" s="32">
        <f t="shared" si="60"/>
        <v>-4.3860370149959582E-3</v>
      </c>
    </row>
    <row r="3902" spans="1:3" x14ac:dyDescent="0.6">
      <c r="A3902" s="24">
        <v>35202</v>
      </c>
      <c r="B3902" s="23">
        <v>0.88442699999999996</v>
      </c>
      <c r="C3902" s="32">
        <f t="shared" si="60"/>
        <v>-2.6432154497990523E-2</v>
      </c>
    </row>
    <row r="3903" spans="1:3" x14ac:dyDescent="0.6">
      <c r="A3903" s="24">
        <v>35205</v>
      </c>
      <c r="B3903" s="23">
        <v>0.894432</v>
      </c>
      <c r="C3903" s="32">
        <f t="shared" si="60"/>
        <v>1.1312409051284167E-2</v>
      </c>
    </row>
    <row r="3904" spans="1:3" x14ac:dyDescent="0.6">
      <c r="A3904" s="24">
        <v>35206</v>
      </c>
      <c r="B3904" s="23">
        <v>0.86841999999999997</v>
      </c>
      <c r="C3904" s="32">
        <f t="shared" si="60"/>
        <v>-2.9082143751565259E-2</v>
      </c>
    </row>
    <row r="3905" spans="1:3" x14ac:dyDescent="0.6">
      <c r="A3905" s="24">
        <v>35207</v>
      </c>
      <c r="B3905" s="23">
        <v>0.83440300000000001</v>
      </c>
      <c r="C3905" s="32">
        <f t="shared" si="60"/>
        <v>-3.9171138389258564E-2</v>
      </c>
    </row>
    <row r="3906" spans="1:3" x14ac:dyDescent="0.6">
      <c r="A3906" s="24">
        <v>35208</v>
      </c>
      <c r="B3906" s="23">
        <v>0.84040599999999999</v>
      </c>
      <c r="C3906" s="32">
        <f t="shared" si="60"/>
        <v>7.1943653126846918E-3</v>
      </c>
    </row>
    <row r="3907" spans="1:3" x14ac:dyDescent="0.6">
      <c r="A3907" s="24">
        <v>35209</v>
      </c>
      <c r="B3907" s="23">
        <v>0.85641400000000001</v>
      </c>
      <c r="C3907" s="32">
        <f t="shared" si="60"/>
        <v>1.9047936354571471E-2</v>
      </c>
    </row>
    <row r="3908" spans="1:3" x14ac:dyDescent="0.6">
      <c r="A3908" s="24">
        <v>35213</v>
      </c>
      <c r="B3908" s="23">
        <v>0.84440800000000005</v>
      </c>
      <c r="C3908" s="32">
        <f t="shared" ref="C3908:C3971" si="61">B3908/B3907-1</f>
        <v>-1.4018920755615838E-2</v>
      </c>
    </row>
    <row r="3909" spans="1:3" x14ac:dyDescent="0.6">
      <c r="A3909" s="24">
        <v>35214</v>
      </c>
      <c r="B3909" s="23">
        <v>0.79638500000000001</v>
      </c>
      <c r="C3909" s="32">
        <f t="shared" si="61"/>
        <v>-5.6871796572273148E-2</v>
      </c>
    </row>
    <row r="3910" spans="1:3" x14ac:dyDescent="0.6">
      <c r="A3910" s="24">
        <v>35215</v>
      </c>
      <c r="B3910" s="23">
        <v>0.81639499999999998</v>
      </c>
      <c r="C3910" s="32">
        <f t="shared" si="61"/>
        <v>2.5126038285502528E-2</v>
      </c>
    </row>
    <row r="3911" spans="1:3" x14ac:dyDescent="0.6">
      <c r="A3911" s="24">
        <v>35216</v>
      </c>
      <c r="B3911" s="23">
        <v>0.83640400000000004</v>
      </c>
      <c r="C3911" s="32">
        <f t="shared" si="61"/>
        <v>2.4508969310199191E-2</v>
      </c>
    </row>
    <row r="3912" spans="1:3" x14ac:dyDescent="0.6">
      <c r="A3912" s="24">
        <v>35219</v>
      </c>
      <c r="B3912" s="23">
        <v>0.79238299999999995</v>
      </c>
      <c r="C3912" s="32">
        <f t="shared" si="61"/>
        <v>-5.2631264317243964E-2</v>
      </c>
    </row>
    <row r="3913" spans="1:3" x14ac:dyDescent="0.6">
      <c r="A3913" s="24">
        <v>35220</v>
      </c>
      <c r="B3913" s="23">
        <v>0.77437400000000001</v>
      </c>
      <c r="C3913" s="32">
        <f t="shared" si="61"/>
        <v>-2.2727645595627344E-2</v>
      </c>
    </row>
    <row r="3914" spans="1:3" x14ac:dyDescent="0.6">
      <c r="A3914" s="24">
        <v>35221</v>
      </c>
      <c r="B3914" s="23">
        <v>0.80438900000000002</v>
      </c>
      <c r="C3914" s="32">
        <f t="shared" si="61"/>
        <v>3.8760340610609401E-2</v>
      </c>
    </row>
    <row r="3915" spans="1:3" x14ac:dyDescent="0.6">
      <c r="A3915" s="24">
        <v>35222</v>
      </c>
      <c r="B3915" s="23">
        <v>0.77637500000000004</v>
      </c>
      <c r="C3915" s="32">
        <f t="shared" si="61"/>
        <v>-3.4826433479324015E-2</v>
      </c>
    </row>
    <row r="3916" spans="1:3" x14ac:dyDescent="0.6">
      <c r="A3916" s="24">
        <v>35223</v>
      </c>
      <c r="B3916" s="23">
        <v>0.78037699999999999</v>
      </c>
      <c r="C3916" s="32">
        <f t="shared" si="61"/>
        <v>5.1547254870389914E-3</v>
      </c>
    </row>
    <row r="3917" spans="1:3" x14ac:dyDescent="0.6">
      <c r="A3917" s="24">
        <v>35226</v>
      </c>
      <c r="B3917" s="23">
        <v>0.77237299999999998</v>
      </c>
      <c r="C3917" s="32">
        <f t="shared" si="61"/>
        <v>-1.0256581114000074E-2</v>
      </c>
    </row>
    <row r="3918" spans="1:3" x14ac:dyDescent="0.6">
      <c r="A3918" s="24">
        <v>35227</v>
      </c>
      <c r="B3918" s="23">
        <v>0.76837200000000005</v>
      </c>
      <c r="C3918" s="32">
        <f t="shared" si="61"/>
        <v>-5.1801396475535944E-3</v>
      </c>
    </row>
    <row r="3919" spans="1:3" x14ac:dyDescent="0.6">
      <c r="A3919" s="24">
        <v>35228</v>
      </c>
      <c r="B3919" s="23">
        <v>0.77637500000000004</v>
      </c>
      <c r="C3919" s="32">
        <f t="shared" si="61"/>
        <v>1.0415527895342391E-2</v>
      </c>
    </row>
    <row r="3920" spans="1:3" x14ac:dyDescent="0.6">
      <c r="A3920" s="24">
        <v>35229</v>
      </c>
      <c r="B3920" s="23">
        <v>0.788381</v>
      </c>
      <c r="C3920" s="32">
        <f t="shared" si="61"/>
        <v>1.5464176461117418E-2</v>
      </c>
    </row>
    <row r="3921" spans="1:3" x14ac:dyDescent="0.6">
      <c r="A3921" s="24">
        <v>35230</v>
      </c>
      <c r="B3921" s="23">
        <v>0.76637100000000002</v>
      </c>
      <c r="C3921" s="32">
        <f t="shared" si="61"/>
        <v>-2.7917973670090968E-2</v>
      </c>
    </row>
    <row r="3922" spans="1:3" x14ac:dyDescent="0.6">
      <c r="A3922" s="24">
        <v>35233</v>
      </c>
      <c r="B3922" s="23">
        <v>0.75636599999999998</v>
      </c>
      <c r="C3922" s="32">
        <f t="shared" si="61"/>
        <v>-1.3055034702513568E-2</v>
      </c>
    </row>
    <row r="3923" spans="1:3" x14ac:dyDescent="0.6">
      <c r="A3923" s="24">
        <v>35234</v>
      </c>
      <c r="B3923" s="23">
        <v>0.728352</v>
      </c>
      <c r="C3923" s="32">
        <f t="shared" si="61"/>
        <v>-3.7037624642038303E-2</v>
      </c>
    </row>
    <row r="3924" spans="1:3" x14ac:dyDescent="0.6">
      <c r="A3924" s="24">
        <v>35235</v>
      </c>
      <c r="B3924" s="23">
        <v>0.74035799999999996</v>
      </c>
      <c r="C3924" s="32">
        <f t="shared" si="61"/>
        <v>1.6483788058521132E-2</v>
      </c>
    </row>
    <row r="3925" spans="1:3" x14ac:dyDescent="0.6">
      <c r="A3925" s="24">
        <v>35236</v>
      </c>
      <c r="B3925" s="23">
        <v>0.728352</v>
      </c>
      <c r="C3925" s="32">
        <f t="shared" si="61"/>
        <v>-1.6216479054727562E-2</v>
      </c>
    </row>
    <row r="3926" spans="1:3" x14ac:dyDescent="0.6">
      <c r="A3926" s="24">
        <v>35237</v>
      </c>
      <c r="B3926" s="23">
        <v>0.72435000000000005</v>
      </c>
      <c r="C3926" s="32">
        <f t="shared" si="61"/>
        <v>-5.4945960195069699E-3</v>
      </c>
    </row>
    <row r="3927" spans="1:3" x14ac:dyDescent="0.6">
      <c r="A3927" s="24">
        <v>35240</v>
      </c>
      <c r="B3927" s="23">
        <v>0.71234500000000001</v>
      </c>
      <c r="C3927" s="32">
        <f t="shared" si="61"/>
        <v>-1.6573479671429636E-2</v>
      </c>
    </row>
    <row r="3928" spans="1:3" x14ac:dyDescent="0.6">
      <c r="A3928" s="24">
        <v>35241</v>
      </c>
      <c r="B3928" s="23">
        <v>0.66031899999999999</v>
      </c>
      <c r="C3928" s="32">
        <f t="shared" si="61"/>
        <v>-7.3034835648456919E-2</v>
      </c>
    </row>
    <row r="3929" spans="1:3" x14ac:dyDescent="0.6">
      <c r="A3929" s="24">
        <v>35242</v>
      </c>
      <c r="B3929" s="23">
        <v>0.63630799999999998</v>
      </c>
      <c r="C3929" s="32">
        <f t="shared" si="61"/>
        <v>-3.636272771190896E-2</v>
      </c>
    </row>
    <row r="3930" spans="1:3" x14ac:dyDescent="0.6">
      <c r="A3930" s="24">
        <v>35243</v>
      </c>
      <c r="B3930" s="23">
        <v>0.66031899999999999</v>
      </c>
      <c r="C3930" s="32">
        <f t="shared" si="61"/>
        <v>3.7734870534395393E-2</v>
      </c>
    </row>
    <row r="3931" spans="1:3" x14ac:dyDescent="0.6">
      <c r="A3931" s="24">
        <v>35244</v>
      </c>
      <c r="B3931" s="23">
        <v>0.67232499999999995</v>
      </c>
      <c r="C3931" s="32">
        <f t="shared" si="61"/>
        <v>1.8182121065727364E-2</v>
      </c>
    </row>
    <row r="3932" spans="1:3" x14ac:dyDescent="0.6">
      <c r="A3932" s="24">
        <v>35247</v>
      </c>
      <c r="B3932" s="23">
        <v>0.68833299999999997</v>
      </c>
      <c r="C3932" s="32">
        <f t="shared" si="61"/>
        <v>2.3809913360353985E-2</v>
      </c>
    </row>
    <row r="3933" spans="1:3" x14ac:dyDescent="0.6">
      <c r="A3933" s="24">
        <v>35248</v>
      </c>
      <c r="B3933" s="23">
        <v>0.67232499999999995</v>
      </c>
      <c r="C3933" s="32">
        <f t="shared" si="61"/>
        <v>-2.3256185596215784E-2</v>
      </c>
    </row>
    <row r="3934" spans="1:3" x14ac:dyDescent="0.6">
      <c r="A3934" s="24">
        <v>35249</v>
      </c>
      <c r="B3934" s="23">
        <v>0.62029999999999996</v>
      </c>
      <c r="C3934" s="32">
        <f t="shared" si="61"/>
        <v>-7.7380731045253448E-2</v>
      </c>
    </row>
    <row r="3935" spans="1:3" x14ac:dyDescent="0.6">
      <c r="A3935" s="24">
        <v>35251</v>
      </c>
      <c r="B3935" s="23">
        <v>0.62430200000000002</v>
      </c>
      <c r="C3935" s="32">
        <f t="shared" si="61"/>
        <v>6.4517169111721895E-3</v>
      </c>
    </row>
    <row r="3936" spans="1:3" x14ac:dyDescent="0.6">
      <c r="A3936" s="24">
        <v>35254</v>
      </c>
      <c r="B3936" s="23">
        <v>0.61229599999999995</v>
      </c>
      <c r="C3936" s="32">
        <f t="shared" si="61"/>
        <v>-1.9231077267092056E-2</v>
      </c>
    </row>
    <row r="3937" spans="1:3" x14ac:dyDescent="0.6">
      <c r="A3937" s="24">
        <v>35255</v>
      </c>
      <c r="B3937" s="23">
        <v>0.608294</v>
      </c>
      <c r="C3937" s="32">
        <f t="shared" si="61"/>
        <v>-6.5360544573211943E-3</v>
      </c>
    </row>
    <row r="3938" spans="1:3" x14ac:dyDescent="0.6">
      <c r="A3938" s="24">
        <v>35256</v>
      </c>
      <c r="B3938" s="23">
        <v>0.60028999999999999</v>
      </c>
      <c r="C3938" s="32">
        <f t="shared" si="61"/>
        <v>-1.3158111044988097E-2</v>
      </c>
    </row>
    <row r="3939" spans="1:3" x14ac:dyDescent="0.6">
      <c r="A3939" s="24">
        <v>35257</v>
      </c>
      <c r="B3939" s="23">
        <v>0.57227700000000004</v>
      </c>
      <c r="C3939" s="32">
        <f t="shared" si="61"/>
        <v>-4.6665778207199748E-2</v>
      </c>
    </row>
    <row r="3940" spans="1:3" x14ac:dyDescent="0.6">
      <c r="A3940" s="24">
        <v>35258</v>
      </c>
      <c r="B3940" s="23">
        <v>0.57828000000000002</v>
      </c>
      <c r="C3940" s="32">
        <f t="shared" si="61"/>
        <v>1.0489675454369074E-2</v>
      </c>
    </row>
    <row r="3941" spans="1:3" x14ac:dyDescent="0.6">
      <c r="A3941" s="24">
        <v>35261</v>
      </c>
      <c r="B3941" s="23">
        <v>0.55026600000000003</v>
      </c>
      <c r="C3941" s="32">
        <f t="shared" si="61"/>
        <v>-4.8443660510479325E-2</v>
      </c>
    </row>
    <row r="3942" spans="1:3" x14ac:dyDescent="0.6">
      <c r="A3942" s="24">
        <v>35262</v>
      </c>
      <c r="B3942" s="23">
        <v>0.54026099999999999</v>
      </c>
      <c r="C3942" s="32">
        <f t="shared" si="61"/>
        <v>-1.8182115558657119E-2</v>
      </c>
    </row>
    <row r="3943" spans="1:3" x14ac:dyDescent="0.6">
      <c r="A3943" s="24">
        <v>35263</v>
      </c>
      <c r="B3943" s="23">
        <v>0.54026099999999999</v>
      </c>
      <c r="C3943" s="32">
        <f t="shared" si="61"/>
        <v>0</v>
      </c>
    </row>
    <row r="3944" spans="1:3" x14ac:dyDescent="0.6">
      <c r="A3944" s="24">
        <v>35264</v>
      </c>
      <c r="B3944" s="23">
        <v>0.668323</v>
      </c>
      <c r="C3944" s="32">
        <f t="shared" si="61"/>
        <v>0.23703728383133349</v>
      </c>
    </row>
    <row r="3945" spans="1:3" x14ac:dyDescent="0.6">
      <c r="A3945" s="24">
        <v>35265</v>
      </c>
      <c r="B3945" s="23">
        <v>0.66432100000000005</v>
      </c>
      <c r="C3945" s="32">
        <f t="shared" si="61"/>
        <v>-5.9881225096247714E-3</v>
      </c>
    </row>
    <row r="3946" spans="1:3" x14ac:dyDescent="0.6">
      <c r="A3946" s="24">
        <v>35268</v>
      </c>
      <c r="B3946" s="23">
        <v>0.64831300000000003</v>
      </c>
      <c r="C3946" s="32">
        <f t="shared" si="61"/>
        <v>-2.4096784536391302E-2</v>
      </c>
    </row>
    <row r="3947" spans="1:3" x14ac:dyDescent="0.6">
      <c r="A3947" s="24">
        <v>35269</v>
      </c>
      <c r="B3947" s="23">
        <v>0.65631700000000004</v>
      </c>
      <c r="C3947" s="32">
        <f t="shared" si="61"/>
        <v>1.2345888482877987E-2</v>
      </c>
    </row>
    <row r="3948" spans="1:3" x14ac:dyDescent="0.6">
      <c r="A3948" s="24">
        <v>35270</v>
      </c>
      <c r="B3948" s="23">
        <v>0.66632199999999997</v>
      </c>
      <c r="C3948" s="32">
        <f t="shared" si="61"/>
        <v>1.5244157929780844E-2</v>
      </c>
    </row>
    <row r="3949" spans="1:3" x14ac:dyDescent="0.6">
      <c r="A3949" s="24">
        <v>35271</v>
      </c>
      <c r="B3949" s="23">
        <v>0.67232499999999995</v>
      </c>
      <c r="C3949" s="32">
        <f t="shared" si="61"/>
        <v>9.0091577345488005E-3</v>
      </c>
    </row>
    <row r="3950" spans="1:3" x14ac:dyDescent="0.6">
      <c r="A3950" s="24">
        <v>35272</v>
      </c>
      <c r="B3950" s="23">
        <v>0.70434099999999999</v>
      </c>
      <c r="C3950" s="32">
        <f t="shared" si="61"/>
        <v>4.761982672070797E-2</v>
      </c>
    </row>
    <row r="3951" spans="1:3" x14ac:dyDescent="0.6">
      <c r="A3951" s="24">
        <v>35275</v>
      </c>
      <c r="B3951" s="23">
        <v>0.71234500000000001</v>
      </c>
      <c r="C3951" s="32">
        <f t="shared" si="61"/>
        <v>1.1363813834492031E-2</v>
      </c>
    </row>
    <row r="3952" spans="1:3" x14ac:dyDescent="0.6">
      <c r="A3952" s="24">
        <v>35276</v>
      </c>
      <c r="B3952" s="23">
        <v>0.68433100000000002</v>
      </c>
      <c r="C3952" s="32">
        <f t="shared" si="61"/>
        <v>-3.93264499645537E-2</v>
      </c>
    </row>
    <row r="3953" spans="1:3" x14ac:dyDescent="0.6">
      <c r="A3953" s="24">
        <v>35277</v>
      </c>
      <c r="B3953" s="23">
        <v>0.70434099999999999</v>
      </c>
      <c r="C3953" s="32">
        <f t="shared" si="61"/>
        <v>2.9240236084584703E-2</v>
      </c>
    </row>
    <row r="3954" spans="1:3" x14ac:dyDescent="0.6">
      <c r="A3954" s="24">
        <v>35278</v>
      </c>
      <c r="B3954" s="23">
        <v>0.68032899999999996</v>
      </c>
      <c r="C3954" s="32">
        <f t="shared" si="61"/>
        <v>-3.4091441503476316E-2</v>
      </c>
    </row>
    <row r="3955" spans="1:3" x14ac:dyDescent="0.6">
      <c r="A3955" s="24">
        <v>35279</v>
      </c>
      <c r="B3955" s="23">
        <v>0.69233500000000003</v>
      </c>
      <c r="C3955" s="32">
        <f t="shared" si="61"/>
        <v>1.7647344152608602E-2</v>
      </c>
    </row>
    <row r="3956" spans="1:3" x14ac:dyDescent="0.6">
      <c r="A3956" s="24">
        <v>35282</v>
      </c>
      <c r="B3956" s="23">
        <v>0.67232499999999995</v>
      </c>
      <c r="C3956" s="32">
        <f t="shared" si="61"/>
        <v>-2.8902193302375423E-2</v>
      </c>
    </row>
    <row r="3957" spans="1:3" x14ac:dyDescent="0.6">
      <c r="A3957" s="24">
        <v>35283</v>
      </c>
      <c r="B3957" s="23">
        <v>0.68833299999999997</v>
      </c>
      <c r="C3957" s="32">
        <f t="shared" si="61"/>
        <v>2.3809913360353985E-2</v>
      </c>
    </row>
    <row r="3958" spans="1:3" x14ac:dyDescent="0.6">
      <c r="A3958" s="24">
        <v>35284</v>
      </c>
      <c r="B3958" s="23">
        <v>0.71634600000000004</v>
      </c>
      <c r="C3958" s="32">
        <f t="shared" si="61"/>
        <v>4.0696872008170626E-2</v>
      </c>
    </row>
    <row r="3959" spans="1:3" x14ac:dyDescent="0.6">
      <c r="A3959" s="24">
        <v>35285</v>
      </c>
      <c r="B3959" s="23">
        <v>0.70834299999999994</v>
      </c>
      <c r="C3959" s="32">
        <f t="shared" si="61"/>
        <v>-1.1171975553712965E-2</v>
      </c>
    </row>
    <row r="3960" spans="1:3" x14ac:dyDescent="0.6">
      <c r="A3960" s="24">
        <v>35286</v>
      </c>
      <c r="B3960" s="23">
        <v>0.74035799999999996</v>
      </c>
      <c r="C3960" s="32">
        <f t="shared" si="61"/>
        <v>4.5197030252293047E-2</v>
      </c>
    </row>
    <row r="3961" spans="1:3" x14ac:dyDescent="0.6">
      <c r="A3961" s="24">
        <v>35289</v>
      </c>
      <c r="B3961" s="23">
        <v>0.73635600000000001</v>
      </c>
      <c r="C3961" s="32">
        <f t="shared" si="61"/>
        <v>-5.4054930182424465E-3</v>
      </c>
    </row>
    <row r="3962" spans="1:3" x14ac:dyDescent="0.6">
      <c r="A3962" s="24">
        <v>35290</v>
      </c>
      <c r="B3962" s="23">
        <v>0.72034799999999999</v>
      </c>
      <c r="C3962" s="32">
        <f t="shared" si="61"/>
        <v>-2.1739484705767365E-2</v>
      </c>
    </row>
    <row r="3963" spans="1:3" x14ac:dyDescent="0.6">
      <c r="A3963" s="24">
        <v>35291</v>
      </c>
      <c r="B3963" s="23">
        <v>0.728352</v>
      </c>
      <c r="C3963" s="32">
        <f t="shared" si="61"/>
        <v>1.1111296206833376E-2</v>
      </c>
    </row>
    <row r="3964" spans="1:3" x14ac:dyDescent="0.6">
      <c r="A3964" s="24">
        <v>35292</v>
      </c>
      <c r="B3964" s="23">
        <v>0.71234500000000001</v>
      </c>
      <c r="C3964" s="32">
        <f t="shared" si="61"/>
        <v>-2.1977011115504541E-2</v>
      </c>
    </row>
    <row r="3965" spans="1:3" x14ac:dyDescent="0.6">
      <c r="A3965" s="24">
        <v>35293</v>
      </c>
      <c r="B3965" s="23">
        <v>0.72034799999999999</v>
      </c>
      <c r="C3965" s="32">
        <f t="shared" si="61"/>
        <v>1.1234724747138047E-2</v>
      </c>
    </row>
    <row r="3966" spans="1:3" x14ac:dyDescent="0.6">
      <c r="A3966" s="24">
        <v>35296</v>
      </c>
      <c r="B3966" s="23">
        <v>0.75636599999999998</v>
      </c>
      <c r="C3966" s="32">
        <f t="shared" si="61"/>
        <v>5.0000832930750194E-2</v>
      </c>
    </row>
    <row r="3967" spans="1:3" x14ac:dyDescent="0.6">
      <c r="A3967" s="24">
        <v>35297</v>
      </c>
      <c r="B3967" s="23">
        <v>0.75236400000000003</v>
      </c>
      <c r="C3967" s="32">
        <f t="shared" si="61"/>
        <v>-5.2910892345768845E-3</v>
      </c>
    </row>
    <row r="3968" spans="1:3" x14ac:dyDescent="0.6">
      <c r="A3968" s="24">
        <v>35298</v>
      </c>
      <c r="B3968" s="23">
        <v>0.73635600000000001</v>
      </c>
      <c r="C3968" s="32">
        <f t="shared" si="61"/>
        <v>-2.1276935100563055E-2</v>
      </c>
    </row>
    <row r="3969" spans="1:3" x14ac:dyDescent="0.6">
      <c r="A3969" s="24">
        <v>35299</v>
      </c>
      <c r="B3969" s="23">
        <v>0.74436000000000002</v>
      </c>
      <c r="C3969" s="32">
        <f t="shared" si="61"/>
        <v>1.0869742352883627E-2</v>
      </c>
    </row>
    <row r="3970" spans="1:3" x14ac:dyDescent="0.6">
      <c r="A3970" s="24">
        <v>35300</v>
      </c>
      <c r="B3970" s="23">
        <v>0.76436999999999999</v>
      </c>
      <c r="C3970" s="32">
        <f t="shared" si="61"/>
        <v>2.6882153796550012E-2</v>
      </c>
    </row>
    <row r="3971" spans="1:3" x14ac:dyDescent="0.6">
      <c r="A3971" s="24">
        <v>35303</v>
      </c>
      <c r="B3971" s="23">
        <v>0.77237299999999998</v>
      </c>
      <c r="C3971" s="32">
        <f t="shared" si="61"/>
        <v>1.0470060311105867E-2</v>
      </c>
    </row>
    <row r="3972" spans="1:3" x14ac:dyDescent="0.6">
      <c r="A3972" s="24">
        <v>35304</v>
      </c>
      <c r="B3972" s="23">
        <v>0.79588300000000001</v>
      </c>
      <c r="C3972" s="32">
        <f t="shared" ref="C3972:C4035" si="62">B3972/B3971-1</f>
        <v>3.0438661113218579E-2</v>
      </c>
    </row>
    <row r="3973" spans="1:3" x14ac:dyDescent="0.6">
      <c r="A3973" s="24">
        <v>35305</v>
      </c>
      <c r="B3973" s="23">
        <v>0.79638500000000001</v>
      </c>
      <c r="C3973" s="32">
        <f t="shared" si="62"/>
        <v>6.3074597648138386E-4</v>
      </c>
    </row>
    <row r="3974" spans="1:3" x14ac:dyDescent="0.6">
      <c r="A3974" s="24">
        <v>35306</v>
      </c>
      <c r="B3974" s="23">
        <v>0.78437900000000005</v>
      </c>
      <c r="C3974" s="32">
        <f t="shared" si="62"/>
        <v>-1.5075622971301494E-2</v>
      </c>
    </row>
    <row r="3975" spans="1:3" x14ac:dyDescent="0.6">
      <c r="A3975" s="24">
        <v>35307</v>
      </c>
      <c r="B3975" s="23">
        <v>0.77637500000000004</v>
      </c>
      <c r="C3975" s="32">
        <f t="shared" si="62"/>
        <v>-1.0204250751231214E-2</v>
      </c>
    </row>
    <row r="3976" spans="1:3" x14ac:dyDescent="0.6">
      <c r="A3976" s="24">
        <v>35311</v>
      </c>
      <c r="B3976" s="23">
        <v>0.77237299999999998</v>
      </c>
      <c r="C3976" s="32">
        <f t="shared" si="62"/>
        <v>-5.1547254870392134E-3</v>
      </c>
    </row>
    <row r="3977" spans="1:3" x14ac:dyDescent="0.6">
      <c r="A3977" s="24">
        <v>35312</v>
      </c>
      <c r="B3977" s="23">
        <v>0.77237299999999998</v>
      </c>
      <c r="C3977" s="32">
        <f t="shared" si="62"/>
        <v>0</v>
      </c>
    </row>
    <row r="3978" spans="1:3" x14ac:dyDescent="0.6">
      <c r="A3978" s="24">
        <v>35313</v>
      </c>
      <c r="B3978" s="23">
        <v>0.73235399999999995</v>
      </c>
      <c r="C3978" s="32">
        <f t="shared" si="62"/>
        <v>-5.1813048876643841E-2</v>
      </c>
    </row>
    <row r="3979" spans="1:3" x14ac:dyDescent="0.6">
      <c r="A3979" s="24">
        <v>35314</v>
      </c>
      <c r="B3979" s="23">
        <v>0.73635600000000001</v>
      </c>
      <c r="C3979" s="32">
        <f t="shared" si="62"/>
        <v>5.4645704126694561E-3</v>
      </c>
    </row>
    <row r="3980" spans="1:3" x14ac:dyDescent="0.6">
      <c r="A3980" s="24">
        <v>35317</v>
      </c>
      <c r="B3980" s="23">
        <v>0.70434099999999999</v>
      </c>
      <c r="C3980" s="32">
        <f t="shared" si="62"/>
        <v>-4.3477611372759961E-2</v>
      </c>
    </row>
    <row r="3981" spans="1:3" x14ac:dyDescent="0.6">
      <c r="A3981" s="24">
        <v>35318</v>
      </c>
      <c r="B3981" s="23">
        <v>0.68833299999999997</v>
      </c>
      <c r="C3981" s="32">
        <f t="shared" si="62"/>
        <v>-2.2727627668984285E-2</v>
      </c>
    </row>
    <row r="3982" spans="1:3" x14ac:dyDescent="0.6">
      <c r="A3982" s="24">
        <v>35319</v>
      </c>
      <c r="B3982" s="23">
        <v>0.67632700000000001</v>
      </c>
      <c r="C3982" s="32">
        <f t="shared" si="62"/>
        <v>-1.7442139197161755E-2</v>
      </c>
    </row>
    <row r="3983" spans="1:3" x14ac:dyDescent="0.6">
      <c r="A3983" s="24">
        <v>35320</v>
      </c>
      <c r="B3983" s="23">
        <v>0.65231499999999998</v>
      </c>
      <c r="C3983" s="32">
        <f t="shared" si="62"/>
        <v>-3.5503536011426529E-2</v>
      </c>
    </row>
    <row r="3984" spans="1:3" x14ac:dyDescent="0.6">
      <c r="A3984" s="24">
        <v>35321</v>
      </c>
      <c r="B3984" s="23">
        <v>0.67232499999999995</v>
      </c>
      <c r="C3984" s="32">
        <f t="shared" si="62"/>
        <v>3.0675363896277119E-2</v>
      </c>
    </row>
    <row r="3985" spans="1:3" x14ac:dyDescent="0.6">
      <c r="A3985" s="24">
        <v>35324</v>
      </c>
      <c r="B3985" s="23">
        <v>0.71634600000000004</v>
      </c>
      <c r="C3985" s="32">
        <f t="shared" si="62"/>
        <v>6.5475774365076456E-2</v>
      </c>
    </row>
    <row r="3986" spans="1:3" x14ac:dyDescent="0.6">
      <c r="A3986" s="24">
        <v>35325</v>
      </c>
      <c r="B3986" s="23">
        <v>0.73635600000000001</v>
      </c>
      <c r="C3986" s="32">
        <f t="shared" si="62"/>
        <v>2.7933428817917605E-2</v>
      </c>
    </row>
    <row r="3987" spans="1:3" x14ac:dyDescent="0.6">
      <c r="A3987" s="24">
        <v>35326</v>
      </c>
      <c r="B3987" s="23">
        <v>0.75236400000000003</v>
      </c>
      <c r="C3987" s="32">
        <f t="shared" si="62"/>
        <v>2.1739484705767254E-2</v>
      </c>
    </row>
    <row r="3988" spans="1:3" x14ac:dyDescent="0.6">
      <c r="A3988" s="24">
        <v>35327</v>
      </c>
      <c r="B3988" s="23">
        <v>0.74836199999999997</v>
      </c>
      <c r="C3988" s="32">
        <f t="shared" si="62"/>
        <v>-5.3192337751408747E-3</v>
      </c>
    </row>
    <row r="3989" spans="1:3" x14ac:dyDescent="0.6">
      <c r="A3989" s="24">
        <v>35328</v>
      </c>
      <c r="B3989" s="23">
        <v>0.73235399999999995</v>
      </c>
      <c r="C3989" s="32">
        <f t="shared" si="62"/>
        <v>-2.139071732664144E-2</v>
      </c>
    </row>
    <row r="3990" spans="1:3" x14ac:dyDescent="0.6">
      <c r="A3990" s="24">
        <v>35331</v>
      </c>
      <c r="B3990" s="23">
        <v>0.71634600000000004</v>
      </c>
      <c r="C3990" s="32">
        <f t="shared" si="62"/>
        <v>-2.1858281650677047E-2</v>
      </c>
    </row>
    <row r="3991" spans="1:3" x14ac:dyDescent="0.6">
      <c r="A3991" s="24">
        <v>35332</v>
      </c>
      <c r="B3991" s="23">
        <v>0.72034799999999999</v>
      </c>
      <c r="C3991" s="32">
        <f t="shared" si="62"/>
        <v>5.5866857635833433E-3</v>
      </c>
    </row>
    <row r="3992" spans="1:3" x14ac:dyDescent="0.6">
      <c r="A3992" s="24">
        <v>35333</v>
      </c>
      <c r="B3992" s="23">
        <v>0.71634600000000004</v>
      </c>
      <c r="C3992" s="32">
        <f t="shared" si="62"/>
        <v>-5.5556481034165772E-3</v>
      </c>
    </row>
    <row r="3993" spans="1:3" x14ac:dyDescent="0.6">
      <c r="A3993" s="24">
        <v>35334</v>
      </c>
      <c r="B3993" s="23">
        <v>0.71634600000000004</v>
      </c>
      <c r="C3993" s="32">
        <f t="shared" si="62"/>
        <v>0</v>
      </c>
    </row>
    <row r="3994" spans="1:3" x14ac:dyDescent="0.6">
      <c r="A3994" s="24">
        <v>35335</v>
      </c>
      <c r="B3994" s="23">
        <v>0.71434500000000001</v>
      </c>
      <c r="C3994" s="32">
        <f t="shared" si="62"/>
        <v>-2.7933428817917827E-3</v>
      </c>
    </row>
    <row r="3995" spans="1:3" x14ac:dyDescent="0.6">
      <c r="A3995" s="24">
        <v>35338</v>
      </c>
      <c r="B3995" s="23">
        <v>0.71034299999999995</v>
      </c>
      <c r="C3995" s="32">
        <f t="shared" si="62"/>
        <v>-5.6023350061945587E-3</v>
      </c>
    </row>
    <row r="3996" spans="1:3" x14ac:dyDescent="0.6">
      <c r="A3996" s="24">
        <v>35339</v>
      </c>
      <c r="B3996" s="23">
        <v>0.788381</v>
      </c>
      <c r="C3996" s="32">
        <f t="shared" si="62"/>
        <v>0.10985960303684283</v>
      </c>
    </row>
    <row r="3997" spans="1:3" x14ac:dyDescent="0.6">
      <c r="A3997" s="24">
        <v>35340</v>
      </c>
      <c r="B3997" s="23">
        <v>0.75636599999999998</v>
      </c>
      <c r="C3997" s="32">
        <f t="shared" si="62"/>
        <v>-4.0608538257517646E-2</v>
      </c>
    </row>
    <row r="3998" spans="1:3" x14ac:dyDescent="0.6">
      <c r="A3998" s="24">
        <v>35341</v>
      </c>
      <c r="B3998" s="23">
        <v>0.71634600000000004</v>
      </c>
      <c r="C3998" s="32">
        <f t="shared" si="62"/>
        <v>-5.2910892345769067E-2</v>
      </c>
    </row>
    <row r="3999" spans="1:3" x14ac:dyDescent="0.6">
      <c r="A3999" s="24">
        <v>35342</v>
      </c>
      <c r="B3999" s="23">
        <v>0.73035300000000003</v>
      </c>
      <c r="C3999" s="32">
        <f t="shared" si="62"/>
        <v>1.9553400172542368E-2</v>
      </c>
    </row>
    <row r="4000" spans="1:3" x14ac:dyDescent="0.6">
      <c r="A4000" s="24">
        <v>35345</v>
      </c>
      <c r="B4000" s="23">
        <v>0.74035799999999996</v>
      </c>
      <c r="C4000" s="32">
        <f t="shared" si="62"/>
        <v>1.3698855211110139E-2</v>
      </c>
    </row>
    <row r="4001" spans="1:3" x14ac:dyDescent="0.6">
      <c r="A4001" s="24">
        <v>35346</v>
      </c>
      <c r="B4001" s="23">
        <v>0.74436000000000002</v>
      </c>
      <c r="C4001" s="32">
        <f t="shared" si="62"/>
        <v>5.4054930182425576E-3</v>
      </c>
    </row>
    <row r="4002" spans="1:3" x14ac:dyDescent="0.6">
      <c r="A4002" s="24">
        <v>35347</v>
      </c>
      <c r="B4002" s="23">
        <v>0.73635600000000001</v>
      </c>
      <c r="C4002" s="32">
        <f t="shared" si="62"/>
        <v>-1.0752861518619983E-2</v>
      </c>
    </row>
    <row r="4003" spans="1:3" x14ac:dyDescent="0.6">
      <c r="A4003" s="24">
        <v>35348</v>
      </c>
      <c r="B4003" s="23">
        <v>0.77437400000000001</v>
      </c>
      <c r="C4003" s="32">
        <f t="shared" si="62"/>
        <v>5.1629918137422681E-2</v>
      </c>
    </row>
    <row r="4004" spans="1:3" x14ac:dyDescent="0.6">
      <c r="A4004" s="24">
        <v>35349</v>
      </c>
      <c r="B4004" s="23">
        <v>0.77637500000000004</v>
      </c>
      <c r="C4004" s="32">
        <f t="shared" si="62"/>
        <v>2.5840227073739008E-3</v>
      </c>
    </row>
    <row r="4005" spans="1:3" x14ac:dyDescent="0.6">
      <c r="A4005" s="24">
        <v>35352</v>
      </c>
      <c r="B4005" s="23">
        <v>0.80839099999999997</v>
      </c>
      <c r="C4005" s="32">
        <f t="shared" si="62"/>
        <v>4.1237803896312819E-2</v>
      </c>
    </row>
    <row r="4006" spans="1:3" x14ac:dyDescent="0.6">
      <c r="A4006" s="24">
        <v>35353</v>
      </c>
      <c r="B4006" s="23">
        <v>0.80839099999999997</v>
      </c>
      <c r="C4006" s="32">
        <f t="shared" si="62"/>
        <v>0</v>
      </c>
    </row>
    <row r="4007" spans="1:3" x14ac:dyDescent="0.6">
      <c r="A4007" s="24">
        <v>35354</v>
      </c>
      <c r="B4007" s="23">
        <v>0.82439899999999999</v>
      </c>
      <c r="C4007" s="32">
        <f t="shared" si="62"/>
        <v>1.9802298640138272E-2</v>
      </c>
    </row>
    <row r="4008" spans="1:3" x14ac:dyDescent="0.6">
      <c r="A4008" s="24">
        <v>35355</v>
      </c>
      <c r="B4008" s="23">
        <v>0.84440800000000005</v>
      </c>
      <c r="C4008" s="32">
        <f t="shared" si="62"/>
        <v>2.4271014399580793E-2</v>
      </c>
    </row>
    <row r="4009" spans="1:3" x14ac:dyDescent="0.6">
      <c r="A4009" s="24">
        <v>35356</v>
      </c>
      <c r="B4009" s="23">
        <v>0.85041100000000003</v>
      </c>
      <c r="C4009" s="32">
        <f t="shared" si="62"/>
        <v>7.1091226042387934E-3</v>
      </c>
    </row>
    <row r="4010" spans="1:3" x14ac:dyDescent="0.6">
      <c r="A4010" s="24">
        <v>35359</v>
      </c>
      <c r="B4010" s="23">
        <v>0.82039700000000004</v>
      </c>
      <c r="C4010" s="32">
        <f t="shared" si="62"/>
        <v>-3.5293522778985675E-2</v>
      </c>
    </row>
    <row r="4011" spans="1:3" x14ac:dyDescent="0.6">
      <c r="A4011" s="24">
        <v>35360</v>
      </c>
      <c r="B4011" s="23">
        <v>0.79638500000000001</v>
      </c>
      <c r="C4011" s="32">
        <f t="shared" si="62"/>
        <v>-2.9268756467905166E-2</v>
      </c>
    </row>
    <row r="4012" spans="1:3" x14ac:dyDescent="0.6">
      <c r="A4012" s="24">
        <v>35361</v>
      </c>
      <c r="B4012" s="23">
        <v>0.79238299999999995</v>
      </c>
      <c r="C4012" s="32">
        <f t="shared" si="62"/>
        <v>-5.0252076571005722E-3</v>
      </c>
    </row>
    <row r="4013" spans="1:3" x14ac:dyDescent="0.6">
      <c r="A4013" s="24">
        <v>35362</v>
      </c>
      <c r="B4013" s="23">
        <v>0.79238299999999995</v>
      </c>
      <c r="C4013" s="32">
        <f t="shared" si="62"/>
        <v>0</v>
      </c>
    </row>
    <row r="4014" spans="1:3" x14ac:dyDescent="0.6">
      <c r="A4014" s="24">
        <v>35363</v>
      </c>
      <c r="B4014" s="23">
        <v>0.78437900000000005</v>
      </c>
      <c r="C4014" s="32">
        <f t="shared" si="62"/>
        <v>-1.0101175820278696E-2</v>
      </c>
    </row>
    <row r="4015" spans="1:3" x14ac:dyDescent="0.6">
      <c r="A4015" s="24">
        <v>35366</v>
      </c>
      <c r="B4015" s="23">
        <v>0.78437900000000005</v>
      </c>
      <c r="C4015" s="32">
        <f t="shared" si="62"/>
        <v>0</v>
      </c>
    </row>
    <row r="4016" spans="1:3" x14ac:dyDescent="0.6">
      <c r="A4016" s="24">
        <v>35367</v>
      </c>
      <c r="B4016" s="23">
        <v>0.74436000000000002</v>
      </c>
      <c r="C4016" s="32">
        <f t="shared" si="62"/>
        <v>-5.1019978862259174E-2</v>
      </c>
    </row>
    <row r="4017" spans="1:3" x14ac:dyDescent="0.6">
      <c r="A4017" s="24">
        <v>35368</v>
      </c>
      <c r="B4017" s="23">
        <v>0.73235399999999995</v>
      </c>
      <c r="C4017" s="32">
        <f t="shared" si="62"/>
        <v>-1.6129292277930141E-2</v>
      </c>
    </row>
    <row r="4018" spans="1:3" x14ac:dyDescent="0.6">
      <c r="A4018" s="24">
        <v>35369</v>
      </c>
      <c r="B4018" s="23">
        <v>0.73635600000000001</v>
      </c>
      <c r="C4018" s="32">
        <f t="shared" si="62"/>
        <v>5.4645704126694561E-3</v>
      </c>
    </row>
    <row r="4019" spans="1:3" x14ac:dyDescent="0.6">
      <c r="A4019" s="24">
        <v>35370</v>
      </c>
      <c r="B4019" s="23">
        <v>0.77637500000000004</v>
      </c>
      <c r="C4019" s="32">
        <f t="shared" si="62"/>
        <v>5.4347353725643588E-2</v>
      </c>
    </row>
    <row r="4020" spans="1:3" x14ac:dyDescent="0.6">
      <c r="A4020" s="24">
        <v>35373</v>
      </c>
      <c r="B4020" s="23">
        <v>0.78037699999999999</v>
      </c>
      <c r="C4020" s="32">
        <f t="shared" si="62"/>
        <v>5.1547254870389914E-3</v>
      </c>
    </row>
    <row r="4021" spans="1:3" x14ac:dyDescent="0.6">
      <c r="A4021" s="24">
        <v>35374</v>
      </c>
      <c r="B4021" s="23">
        <v>0.81639499999999998</v>
      </c>
      <c r="C4021" s="32">
        <f t="shared" si="62"/>
        <v>4.6154615013000111E-2</v>
      </c>
    </row>
    <row r="4022" spans="1:3" x14ac:dyDescent="0.6">
      <c r="A4022" s="24">
        <v>35375</v>
      </c>
      <c r="B4022" s="23">
        <v>0.81639499999999998</v>
      </c>
      <c r="C4022" s="32">
        <f t="shared" si="62"/>
        <v>0</v>
      </c>
    </row>
    <row r="4023" spans="1:3" x14ac:dyDescent="0.6">
      <c r="A4023" s="24">
        <v>35376</v>
      </c>
      <c r="B4023" s="23">
        <v>0.82840100000000005</v>
      </c>
      <c r="C4023" s="32">
        <f t="shared" si="62"/>
        <v>1.470611652447662E-2</v>
      </c>
    </row>
    <row r="4024" spans="1:3" x14ac:dyDescent="0.6">
      <c r="A4024" s="24">
        <v>35377</v>
      </c>
      <c r="B4024" s="23">
        <v>0.84040599999999999</v>
      </c>
      <c r="C4024" s="32">
        <f t="shared" si="62"/>
        <v>1.4491773911426975E-2</v>
      </c>
    </row>
    <row r="4025" spans="1:3" x14ac:dyDescent="0.6">
      <c r="A4025" s="24">
        <v>35380</v>
      </c>
      <c r="B4025" s="23">
        <v>0.83240199999999998</v>
      </c>
      <c r="C4025" s="32">
        <f t="shared" si="62"/>
        <v>-9.5239681772857354E-3</v>
      </c>
    </row>
    <row r="4026" spans="1:3" x14ac:dyDescent="0.6">
      <c r="A4026" s="24">
        <v>35381</v>
      </c>
      <c r="B4026" s="23">
        <v>0.80839099999999997</v>
      </c>
      <c r="C4026" s="32">
        <f t="shared" si="62"/>
        <v>-2.8845437661130124E-2</v>
      </c>
    </row>
    <row r="4027" spans="1:3" x14ac:dyDescent="0.6">
      <c r="A4027" s="24">
        <v>35382</v>
      </c>
      <c r="B4027" s="23">
        <v>0.81839600000000001</v>
      </c>
      <c r="C4027" s="32">
        <f t="shared" si="62"/>
        <v>1.2376436650086475E-2</v>
      </c>
    </row>
    <row r="4028" spans="1:3" x14ac:dyDescent="0.6">
      <c r="A4028" s="24">
        <v>35383</v>
      </c>
      <c r="B4028" s="23">
        <v>0.82039700000000004</v>
      </c>
      <c r="C4028" s="32">
        <f t="shared" si="62"/>
        <v>2.4450266130333631E-3</v>
      </c>
    </row>
    <row r="4029" spans="1:3" x14ac:dyDescent="0.6">
      <c r="A4029" s="24">
        <v>35384</v>
      </c>
      <c r="B4029" s="23">
        <v>0.80038699999999996</v>
      </c>
      <c r="C4029" s="32">
        <f t="shared" si="62"/>
        <v>-2.4390630389921064E-2</v>
      </c>
    </row>
    <row r="4030" spans="1:3" x14ac:dyDescent="0.6">
      <c r="A4030" s="24">
        <v>35387</v>
      </c>
      <c r="B4030" s="23">
        <v>0.79238299999999995</v>
      </c>
      <c r="C4030" s="32">
        <f t="shared" si="62"/>
        <v>-1.0000162421428649E-2</v>
      </c>
    </row>
    <row r="4031" spans="1:3" x14ac:dyDescent="0.6">
      <c r="A4031" s="24">
        <v>35388</v>
      </c>
      <c r="B4031" s="23">
        <v>0.79638500000000001</v>
      </c>
      <c r="C4031" s="32">
        <f t="shared" si="62"/>
        <v>5.0505879101394591E-3</v>
      </c>
    </row>
    <row r="4032" spans="1:3" x14ac:dyDescent="0.6">
      <c r="A4032" s="24">
        <v>35389</v>
      </c>
      <c r="B4032" s="23">
        <v>0.80038699999999996</v>
      </c>
      <c r="C4032" s="32">
        <f t="shared" si="62"/>
        <v>5.0252076571004611E-3</v>
      </c>
    </row>
    <row r="4033" spans="1:3" x14ac:dyDescent="0.6">
      <c r="A4033" s="24">
        <v>35390</v>
      </c>
      <c r="B4033" s="23">
        <v>0.78437900000000005</v>
      </c>
      <c r="C4033" s="32">
        <f t="shared" si="62"/>
        <v>-2.0000324842857187E-2</v>
      </c>
    </row>
    <row r="4034" spans="1:3" x14ac:dyDescent="0.6">
      <c r="A4034" s="24">
        <v>35391</v>
      </c>
      <c r="B4034" s="23">
        <v>0.80839099999999997</v>
      </c>
      <c r="C4034" s="32">
        <f t="shared" si="62"/>
        <v>3.0612752253693643E-2</v>
      </c>
    </row>
    <row r="4035" spans="1:3" x14ac:dyDescent="0.6">
      <c r="A4035" s="24">
        <v>35394</v>
      </c>
      <c r="B4035" s="23">
        <v>0.80038699999999996</v>
      </c>
      <c r="C4035" s="32">
        <f t="shared" si="62"/>
        <v>-9.9011493200691358E-3</v>
      </c>
    </row>
    <row r="4036" spans="1:3" x14ac:dyDescent="0.6">
      <c r="A4036" s="24">
        <v>35395</v>
      </c>
      <c r="B4036" s="23">
        <v>0.77637500000000004</v>
      </c>
      <c r="C4036" s="32">
        <f t="shared" ref="C4036:C4099" si="63">B4036/B4035-1</f>
        <v>-3.0000487264285836E-2</v>
      </c>
    </row>
    <row r="4037" spans="1:3" x14ac:dyDescent="0.6">
      <c r="A4037" s="24">
        <v>35396</v>
      </c>
      <c r="B4037" s="23">
        <v>0.78437900000000005</v>
      </c>
      <c r="C4037" s="32">
        <f t="shared" si="63"/>
        <v>1.0309450974078205E-2</v>
      </c>
    </row>
    <row r="4038" spans="1:3" x14ac:dyDescent="0.6">
      <c r="A4038" s="24">
        <v>35398</v>
      </c>
      <c r="B4038" s="23">
        <v>0.77237299999999998</v>
      </c>
      <c r="C4038" s="32">
        <f t="shared" si="63"/>
        <v>-1.5306376126846932E-2</v>
      </c>
    </row>
    <row r="4039" spans="1:3" x14ac:dyDescent="0.6">
      <c r="A4039" s="24">
        <v>35401</v>
      </c>
      <c r="B4039" s="23">
        <v>0.80438900000000002</v>
      </c>
      <c r="C4039" s="32">
        <f t="shared" si="63"/>
        <v>4.1451474870302318E-2</v>
      </c>
    </row>
    <row r="4040" spans="1:3" x14ac:dyDescent="0.6">
      <c r="A4040" s="24">
        <v>35402</v>
      </c>
      <c r="B4040" s="23">
        <v>0.80438900000000002</v>
      </c>
      <c r="C4040" s="32">
        <f t="shared" si="63"/>
        <v>0</v>
      </c>
    </row>
    <row r="4041" spans="1:3" x14ac:dyDescent="0.6">
      <c r="A4041" s="24">
        <v>35403</v>
      </c>
      <c r="B4041" s="23">
        <v>0.80038699999999996</v>
      </c>
      <c r="C4041" s="32">
        <f t="shared" si="63"/>
        <v>-4.9752047827607004E-3</v>
      </c>
    </row>
    <row r="4042" spans="1:3" x14ac:dyDescent="0.6">
      <c r="A4042" s="24">
        <v>35404</v>
      </c>
      <c r="B4042" s="23">
        <v>0.80038699999999996</v>
      </c>
      <c r="C4042" s="32">
        <f t="shared" si="63"/>
        <v>0</v>
      </c>
    </row>
    <row r="4043" spans="1:3" x14ac:dyDescent="0.6">
      <c r="A4043" s="24">
        <v>35405</v>
      </c>
      <c r="B4043" s="23">
        <v>0.80438900000000002</v>
      </c>
      <c r="C4043" s="32">
        <f t="shared" si="63"/>
        <v>5.000081210714491E-3</v>
      </c>
    </row>
    <row r="4044" spans="1:3" x14ac:dyDescent="0.6">
      <c r="A4044" s="24">
        <v>35408</v>
      </c>
      <c r="B4044" s="23">
        <v>0.80038699999999996</v>
      </c>
      <c r="C4044" s="32">
        <f t="shared" si="63"/>
        <v>-4.9752047827607004E-3</v>
      </c>
    </row>
    <row r="4045" spans="1:3" x14ac:dyDescent="0.6">
      <c r="A4045" s="24">
        <v>35409</v>
      </c>
      <c r="B4045" s="23">
        <v>0.78437900000000005</v>
      </c>
      <c r="C4045" s="32">
        <f t="shared" si="63"/>
        <v>-2.0000324842857187E-2</v>
      </c>
    </row>
    <row r="4046" spans="1:3" x14ac:dyDescent="0.6">
      <c r="A4046" s="24">
        <v>35410</v>
      </c>
      <c r="B4046" s="23">
        <v>0.76837200000000005</v>
      </c>
      <c r="C4046" s="32">
        <f t="shared" si="63"/>
        <v>-2.0407226608565532E-2</v>
      </c>
    </row>
    <row r="4047" spans="1:3" x14ac:dyDescent="0.6">
      <c r="A4047" s="24">
        <v>35411</v>
      </c>
      <c r="B4047" s="23">
        <v>0.76436999999999999</v>
      </c>
      <c r="C4047" s="32">
        <f t="shared" si="63"/>
        <v>-5.2084146741422366E-3</v>
      </c>
    </row>
    <row r="4048" spans="1:3" x14ac:dyDescent="0.6">
      <c r="A4048" s="24">
        <v>35412</v>
      </c>
      <c r="B4048" s="23">
        <v>0.74436000000000002</v>
      </c>
      <c r="C4048" s="32">
        <f t="shared" si="63"/>
        <v>-2.6178421445111622E-2</v>
      </c>
    </row>
    <row r="4049" spans="1:3" x14ac:dyDescent="0.6">
      <c r="A4049" s="24">
        <v>35415</v>
      </c>
      <c r="B4049" s="23">
        <v>0.72435000000000005</v>
      </c>
      <c r="C4049" s="32">
        <f t="shared" si="63"/>
        <v>-2.6882153796550012E-2</v>
      </c>
    </row>
    <row r="4050" spans="1:3" x14ac:dyDescent="0.6">
      <c r="A4050" s="24">
        <v>35416</v>
      </c>
      <c r="B4050" s="23">
        <v>0.72034799999999999</v>
      </c>
      <c r="C4050" s="32">
        <f t="shared" si="63"/>
        <v>-5.5249534065024974E-3</v>
      </c>
    </row>
    <row r="4051" spans="1:3" x14ac:dyDescent="0.6">
      <c r="A4051" s="24">
        <v>35417</v>
      </c>
      <c r="B4051" s="23">
        <v>0.74035799999999996</v>
      </c>
      <c r="C4051" s="32">
        <f t="shared" si="63"/>
        <v>2.7778240517083441E-2</v>
      </c>
    </row>
    <row r="4052" spans="1:3" x14ac:dyDescent="0.6">
      <c r="A4052" s="24">
        <v>35418</v>
      </c>
      <c r="B4052" s="23">
        <v>0.71234500000000001</v>
      </c>
      <c r="C4052" s="32">
        <f t="shared" si="63"/>
        <v>-3.7837100429792048E-2</v>
      </c>
    </row>
    <row r="4053" spans="1:3" x14ac:dyDescent="0.6">
      <c r="A4053" s="24">
        <v>35419</v>
      </c>
      <c r="B4053" s="23">
        <v>0.75236400000000003</v>
      </c>
      <c r="C4053" s="32">
        <f t="shared" si="63"/>
        <v>5.617923899234234E-2</v>
      </c>
    </row>
    <row r="4054" spans="1:3" x14ac:dyDescent="0.6">
      <c r="A4054" s="24">
        <v>35422</v>
      </c>
      <c r="B4054" s="23">
        <v>0.74436000000000002</v>
      </c>
      <c r="C4054" s="32">
        <f t="shared" si="63"/>
        <v>-1.0638467550281527E-2</v>
      </c>
    </row>
    <row r="4055" spans="1:3" x14ac:dyDescent="0.6">
      <c r="A4055" s="24">
        <v>35423</v>
      </c>
      <c r="B4055" s="23">
        <v>0.74035799999999996</v>
      </c>
      <c r="C4055" s="32">
        <f t="shared" si="63"/>
        <v>-5.3764307593100469E-3</v>
      </c>
    </row>
    <row r="4056" spans="1:3" x14ac:dyDescent="0.6">
      <c r="A4056" s="24">
        <v>35425</v>
      </c>
      <c r="B4056" s="23">
        <v>0.73635600000000001</v>
      </c>
      <c r="C4056" s="32">
        <f t="shared" si="63"/>
        <v>-5.4054930182424465E-3</v>
      </c>
    </row>
    <row r="4057" spans="1:3" x14ac:dyDescent="0.6">
      <c r="A4057" s="24">
        <v>35426</v>
      </c>
      <c r="B4057" s="23">
        <v>0.74035799999999996</v>
      </c>
      <c r="C4057" s="32">
        <f t="shared" si="63"/>
        <v>5.4348711764418134E-3</v>
      </c>
    </row>
    <row r="4058" spans="1:3" x14ac:dyDescent="0.6">
      <c r="A4058" s="24">
        <v>35429</v>
      </c>
      <c r="B4058" s="23">
        <v>0.69633699999999998</v>
      </c>
      <c r="C4058" s="32">
        <f t="shared" si="63"/>
        <v>-5.9459072502762167E-2</v>
      </c>
    </row>
    <row r="4059" spans="1:3" x14ac:dyDescent="0.6">
      <c r="A4059" s="24">
        <v>35430</v>
      </c>
      <c r="B4059" s="23">
        <v>0.668323</v>
      </c>
      <c r="C4059" s="32">
        <f t="shared" si="63"/>
        <v>-4.0230520566909345E-2</v>
      </c>
    </row>
    <row r="4060" spans="1:3" x14ac:dyDescent="0.6">
      <c r="A4060" s="24">
        <v>35432</v>
      </c>
      <c r="B4060" s="23">
        <v>0.67232499999999995</v>
      </c>
      <c r="C4060" s="32">
        <f t="shared" si="63"/>
        <v>5.9881225096247714E-3</v>
      </c>
    </row>
    <row r="4061" spans="1:3" x14ac:dyDescent="0.6">
      <c r="A4061" s="24">
        <v>35433</v>
      </c>
      <c r="B4061" s="23">
        <v>0.69633699999999998</v>
      </c>
      <c r="C4061" s="32">
        <f t="shared" si="63"/>
        <v>3.5714870040530977E-2</v>
      </c>
    </row>
    <row r="4062" spans="1:3" x14ac:dyDescent="0.6">
      <c r="A4062" s="24">
        <v>35436</v>
      </c>
      <c r="B4062" s="23">
        <v>0.57227700000000004</v>
      </c>
      <c r="C4062" s="32">
        <f t="shared" si="63"/>
        <v>-0.17816086176664447</v>
      </c>
    </row>
    <row r="4063" spans="1:3" x14ac:dyDescent="0.6">
      <c r="A4063" s="24">
        <v>35437</v>
      </c>
      <c r="B4063" s="23">
        <v>0.56027099999999996</v>
      </c>
      <c r="C4063" s="32">
        <f t="shared" si="63"/>
        <v>-2.097935090873837E-2</v>
      </c>
    </row>
    <row r="4064" spans="1:3" x14ac:dyDescent="0.6">
      <c r="A4064" s="24">
        <v>35438</v>
      </c>
      <c r="B4064" s="23">
        <v>0.56427300000000002</v>
      </c>
      <c r="C4064" s="32">
        <f t="shared" si="63"/>
        <v>7.142971883249416E-3</v>
      </c>
    </row>
    <row r="4065" spans="1:3" x14ac:dyDescent="0.6">
      <c r="A4065" s="24">
        <v>35439</v>
      </c>
      <c r="B4065" s="23">
        <v>0.56827499999999997</v>
      </c>
      <c r="C4065" s="32">
        <f t="shared" si="63"/>
        <v>7.0923117001875369E-3</v>
      </c>
    </row>
    <row r="4066" spans="1:3" x14ac:dyDescent="0.6">
      <c r="A4066" s="24">
        <v>35440</v>
      </c>
      <c r="B4066" s="23">
        <v>0.584283</v>
      </c>
      <c r="C4066" s="32">
        <f t="shared" si="63"/>
        <v>2.8169460208525843E-2</v>
      </c>
    </row>
    <row r="4067" spans="1:3" x14ac:dyDescent="0.6">
      <c r="A4067" s="24">
        <v>35443</v>
      </c>
      <c r="B4067" s="23">
        <v>0.58028100000000005</v>
      </c>
      <c r="C4067" s="32">
        <f t="shared" si="63"/>
        <v>-6.8494205718803158E-3</v>
      </c>
    </row>
    <row r="4068" spans="1:3" x14ac:dyDescent="0.6">
      <c r="A4068" s="24">
        <v>35444</v>
      </c>
      <c r="B4068" s="23">
        <v>0.57227700000000004</v>
      </c>
      <c r="C4068" s="32">
        <f t="shared" si="63"/>
        <v>-1.3793317375547343E-2</v>
      </c>
    </row>
    <row r="4069" spans="1:3" x14ac:dyDescent="0.6">
      <c r="A4069" s="24">
        <v>35445</v>
      </c>
      <c r="B4069" s="23">
        <v>0.55226699999999995</v>
      </c>
      <c r="C4069" s="32">
        <f t="shared" si="63"/>
        <v>-3.4965584847897246E-2</v>
      </c>
    </row>
    <row r="4070" spans="1:3" x14ac:dyDescent="0.6">
      <c r="A4070" s="24">
        <v>35446</v>
      </c>
      <c r="B4070" s="23">
        <v>0.53625900000000004</v>
      </c>
      <c r="C4070" s="32">
        <f t="shared" si="63"/>
        <v>-2.898597960768956E-2</v>
      </c>
    </row>
    <row r="4071" spans="1:3" x14ac:dyDescent="0.6">
      <c r="A4071" s="24">
        <v>35447</v>
      </c>
      <c r="B4071" s="23">
        <v>0.53625900000000004</v>
      </c>
      <c r="C4071" s="32">
        <f t="shared" si="63"/>
        <v>0</v>
      </c>
    </row>
    <row r="4072" spans="1:3" x14ac:dyDescent="0.6">
      <c r="A4072" s="24">
        <v>35450</v>
      </c>
      <c r="B4072" s="23">
        <v>0.54226200000000002</v>
      </c>
      <c r="C4072" s="32">
        <f t="shared" si="63"/>
        <v>1.1194217719422861E-2</v>
      </c>
    </row>
    <row r="4073" spans="1:3" x14ac:dyDescent="0.6">
      <c r="A4073" s="24">
        <v>35451</v>
      </c>
      <c r="B4073" s="23">
        <v>0.55226699999999995</v>
      </c>
      <c r="C4073" s="32">
        <f t="shared" si="63"/>
        <v>1.8450490722196955E-2</v>
      </c>
    </row>
    <row r="4074" spans="1:3" x14ac:dyDescent="0.6">
      <c r="A4074" s="24">
        <v>35452</v>
      </c>
      <c r="B4074" s="23">
        <v>0.55026600000000003</v>
      </c>
      <c r="C4074" s="32">
        <f t="shared" si="63"/>
        <v>-3.6232474509610979E-3</v>
      </c>
    </row>
    <row r="4075" spans="1:3" x14ac:dyDescent="0.6">
      <c r="A4075" s="24">
        <v>35453</v>
      </c>
      <c r="B4075" s="23">
        <v>0.55226699999999995</v>
      </c>
      <c r="C4075" s="32">
        <f t="shared" si="63"/>
        <v>3.6364231117311796E-3</v>
      </c>
    </row>
    <row r="4076" spans="1:3" x14ac:dyDescent="0.6">
      <c r="A4076" s="24">
        <v>35454</v>
      </c>
      <c r="B4076" s="23">
        <v>0.54026099999999999</v>
      </c>
      <c r="C4076" s="32">
        <f t="shared" si="63"/>
        <v>-2.1739484705767254E-2</v>
      </c>
    </row>
    <row r="4077" spans="1:3" x14ac:dyDescent="0.6">
      <c r="A4077" s="24">
        <v>35457</v>
      </c>
      <c r="B4077" s="23">
        <v>0.53225699999999998</v>
      </c>
      <c r="C4077" s="32">
        <f t="shared" si="63"/>
        <v>-1.4815061609111169E-2</v>
      </c>
    </row>
    <row r="4078" spans="1:3" x14ac:dyDescent="0.6">
      <c r="A4078" s="24">
        <v>35458</v>
      </c>
      <c r="B4078" s="23">
        <v>0.53225699999999998</v>
      </c>
      <c r="C4078" s="32">
        <f t="shared" si="63"/>
        <v>0</v>
      </c>
    </row>
    <row r="4079" spans="1:3" x14ac:dyDescent="0.6">
      <c r="A4079" s="24">
        <v>35459</v>
      </c>
      <c r="B4079" s="23">
        <v>0.53225699999999998</v>
      </c>
      <c r="C4079" s="32">
        <f t="shared" si="63"/>
        <v>0</v>
      </c>
    </row>
    <row r="4080" spans="1:3" x14ac:dyDescent="0.6">
      <c r="A4080" s="24">
        <v>35460</v>
      </c>
      <c r="B4080" s="23">
        <v>0.53625900000000004</v>
      </c>
      <c r="C4080" s="32">
        <f t="shared" si="63"/>
        <v>7.5189241287574315E-3</v>
      </c>
    </row>
    <row r="4081" spans="1:3" x14ac:dyDescent="0.6">
      <c r="A4081" s="24">
        <v>35461</v>
      </c>
      <c r="B4081" s="23">
        <v>0.53225699999999998</v>
      </c>
      <c r="C4081" s="32">
        <f t="shared" si="63"/>
        <v>-7.462811812948722E-3</v>
      </c>
    </row>
    <row r="4082" spans="1:3" x14ac:dyDescent="0.6">
      <c r="A4082" s="24">
        <v>35464</v>
      </c>
      <c r="B4082" s="23">
        <v>0.52225299999999997</v>
      </c>
      <c r="C4082" s="32">
        <f t="shared" si="63"/>
        <v>-1.8795431530256979E-2</v>
      </c>
    </row>
    <row r="4083" spans="1:3" x14ac:dyDescent="0.6">
      <c r="A4083" s="24">
        <v>35465</v>
      </c>
      <c r="B4083" s="23">
        <v>0.49223800000000001</v>
      </c>
      <c r="C4083" s="32">
        <f t="shared" si="63"/>
        <v>-5.7472144726789409E-2</v>
      </c>
    </row>
    <row r="4084" spans="1:3" x14ac:dyDescent="0.6">
      <c r="A4084" s="24">
        <v>35466</v>
      </c>
      <c r="B4084" s="23">
        <v>0.488236</v>
      </c>
      <c r="C4084" s="32">
        <f t="shared" si="63"/>
        <v>-8.1302134333391951E-3</v>
      </c>
    </row>
    <row r="4085" spans="1:3" x14ac:dyDescent="0.6">
      <c r="A4085" s="24">
        <v>35467</v>
      </c>
      <c r="B4085" s="23">
        <v>0.51224800000000004</v>
      </c>
      <c r="C4085" s="32">
        <f t="shared" si="63"/>
        <v>4.918113371402355E-2</v>
      </c>
    </row>
    <row r="4086" spans="1:3" x14ac:dyDescent="0.6">
      <c r="A4086" s="24">
        <v>35468</v>
      </c>
      <c r="B4086" s="23">
        <v>0.50624499999999995</v>
      </c>
      <c r="C4086" s="32">
        <f t="shared" si="63"/>
        <v>-1.1718933016820143E-2</v>
      </c>
    </row>
    <row r="4087" spans="1:3" x14ac:dyDescent="0.6">
      <c r="A4087" s="24">
        <v>35471</v>
      </c>
      <c r="B4087" s="23">
        <v>0.50024199999999996</v>
      </c>
      <c r="C4087" s="32">
        <f t="shared" si="63"/>
        <v>-1.1857894892788989E-2</v>
      </c>
    </row>
    <row r="4088" spans="1:3" x14ac:dyDescent="0.6">
      <c r="A4088" s="24">
        <v>35472</v>
      </c>
      <c r="B4088" s="23">
        <v>0.50224299999999999</v>
      </c>
      <c r="C4088" s="32">
        <f t="shared" si="63"/>
        <v>4.0000639690389583E-3</v>
      </c>
    </row>
    <row r="4089" spans="1:3" x14ac:dyDescent="0.6">
      <c r="A4089" s="24">
        <v>35473</v>
      </c>
      <c r="B4089" s="23">
        <v>0.50424400000000003</v>
      </c>
      <c r="C4089" s="32">
        <f t="shared" si="63"/>
        <v>3.9841272053569021E-3</v>
      </c>
    </row>
    <row r="4090" spans="1:3" x14ac:dyDescent="0.6">
      <c r="A4090" s="24">
        <v>35474</v>
      </c>
      <c r="B4090" s="23">
        <v>0.51624999999999999</v>
      </c>
      <c r="C4090" s="32">
        <f t="shared" si="63"/>
        <v>2.3809901555595925E-2</v>
      </c>
    </row>
    <row r="4091" spans="1:3" x14ac:dyDescent="0.6">
      <c r="A4091" s="24">
        <v>35475</v>
      </c>
      <c r="B4091" s="23">
        <v>0.52225299999999997</v>
      </c>
      <c r="C4091" s="32">
        <f t="shared" si="63"/>
        <v>1.16280871670702E-2</v>
      </c>
    </row>
    <row r="4092" spans="1:3" x14ac:dyDescent="0.6">
      <c r="A4092" s="24">
        <v>35479</v>
      </c>
      <c r="B4092" s="23">
        <v>0.57227700000000004</v>
      </c>
      <c r="C4092" s="32">
        <f t="shared" si="63"/>
        <v>9.5784993097215443E-2</v>
      </c>
    </row>
    <row r="4093" spans="1:3" x14ac:dyDescent="0.6">
      <c r="A4093" s="24">
        <v>35480</v>
      </c>
      <c r="B4093" s="23">
        <v>0.56427300000000002</v>
      </c>
      <c r="C4093" s="32">
        <f t="shared" si="63"/>
        <v>-1.3986233939158876E-2</v>
      </c>
    </row>
    <row r="4094" spans="1:3" x14ac:dyDescent="0.6">
      <c r="A4094" s="24">
        <v>35481</v>
      </c>
      <c r="B4094" s="23">
        <v>0.54426300000000005</v>
      </c>
      <c r="C4094" s="32">
        <f t="shared" si="63"/>
        <v>-3.546155850093835E-2</v>
      </c>
    </row>
    <row r="4095" spans="1:3" x14ac:dyDescent="0.6">
      <c r="A4095" s="24">
        <v>35482</v>
      </c>
      <c r="B4095" s="23">
        <v>0.52425299999999997</v>
      </c>
      <c r="C4095" s="32">
        <f t="shared" si="63"/>
        <v>-3.6765313828057589E-2</v>
      </c>
    </row>
    <row r="4096" spans="1:3" x14ac:dyDescent="0.6">
      <c r="A4096" s="24">
        <v>35485</v>
      </c>
      <c r="B4096" s="23">
        <v>0.53225699999999998</v>
      </c>
      <c r="C4096" s="32">
        <f t="shared" si="63"/>
        <v>1.5267437668454065E-2</v>
      </c>
    </row>
    <row r="4097" spans="1:3" x14ac:dyDescent="0.6">
      <c r="A4097" s="24">
        <v>35486</v>
      </c>
      <c r="B4097" s="23">
        <v>0.54026099999999999</v>
      </c>
      <c r="C4097" s="32">
        <f t="shared" si="63"/>
        <v>1.5037848257514641E-2</v>
      </c>
    </row>
    <row r="4098" spans="1:3" x14ac:dyDescent="0.6">
      <c r="A4098" s="24">
        <v>35487</v>
      </c>
      <c r="B4098" s="23">
        <v>0.548265</v>
      </c>
      <c r="C4098" s="32">
        <f t="shared" si="63"/>
        <v>1.4815061609111169E-2</v>
      </c>
    </row>
    <row r="4099" spans="1:3" x14ac:dyDescent="0.6">
      <c r="A4099" s="24">
        <v>35488</v>
      </c>
      <c r="B4099" s="23">
        <v>0.54426300000000005</v>
      </c>
      <c r="C4099" s="32">
        <f t="shared" si="63"/>
        <v>-7.2993898935732604E-3</v>
      </c>
    </row>
    <row r="4100" spans="1:3" x14ac:dyDescent="0.6">
      <c r="A4100" s="24">
        <v>35489</v>
      </c>
      <c r="B4100" s="23">
        <v>0.52025200000000005</v>
      </c>
      <c r="C4100" s="32">
        <f t="shared" ref="C4100:C4163" si="64">B4100/B4099-1</f>
        <v>-4.4116539246650932E-2</v>
      </c>
    </row>
    <row r="4101" spans="1:3" x14ac:dyDescent="0.6">
      <c r="A4101" s="24">
        <v>35492</v>
      </c>
      <c r="B4101" s="23">
        <v>0.51624999999999999</v>
      </c>
      <c r="C4101" s="32">
        <f t="shared" si="64"/>
        <v>-7.6924259781798732E-3</v>
      </c>
    </row>
    <row r="4102" spans="1:3" x14ac:dyDescent="0.6">
      <c r="A4102" s="24">
        <v>35493</v>
      </c>
      <c r="B4102" s="23">
        <v>0.52825500000000003</v>
      </c>
      <c r="C4102" s="32">
        <f t="shared" si="64"/>
        <v>2.3254237288135693E-2</v>
      </c>
    </row>
    <row r="4103" spans="1:3" x14ac:dyDescent="0.6">
      <c r="A4103" s="24">
        <v>35494</v>
      </c>
      <c r="B4103" s="23">
        <v>0.54426300000000005</v>
      </c>
      <c r="C4103" s="32">
        <f t="shared" si="64"/>
        <v>3.030354658261647E-2</v>
      </c>
    </row>
    <row r="4104" spans="1:3" x14ac:dyDescent="0.6">
      <c r="A4104" s="24">
        <v>35495</v>
      </c>
      <c r="B4104" s="23">
        <v>0.53225699999999998</v>
      </c>
      <c r="C4104" s="32">
        <f t="shared" si="64"/>
        <v>-2.205918829683462E-2</v>
      </c>
    </row>
    <row r="4105" spans="1:3" x14ac:dyDescent="0.6">
      <c r="A4105" s="24">
        <v>35496</v>
      </c>
      <c r="B4105" s="23">
        <v>0.52825500000000003</v>
      </c>
      <c r="C4105" s="32">
        <f t="shared" si="64"/>
        <v>-7.5189241287572095E-3</v>
      </c>
    </row>
    <row r="4106" spans="1:3" x14ac:dyDescent="0.6">
      <c r="A4106" s="24">
        <v>35499</v>
      </c>
      <c r="B4106" s="23">
        <v>0.53225699999999998</v>
      </c>
      <c r="C4106" s="32">
        <f t="shared" si="64"/>
        <v>7.5758866456538954E-3</v>
      </c>
    </row>
    <row r="4107" spans="1:3" x14ac:dyDescent="0.6">
      <c r="A4107" s="24">
        <v>35500</v>
      </c>
      <c r="B4107" s="23">
        <v>0.52425299999999997</v>
      </c>
      <c r="C4107" s="32">
        <f t="shared" si="64"/>
        <v>-1.5037848257514752E-2</v>
      </c>
    </row>
    <row r="4108" spans="1:3" x14ac:dyDescent="0.6">
      <c r="A4108" s="24">
        <v>35501</v>
      </c>
      <c r="B4108" s="23">
        <v>0.52025200000000005</v>
      </c>
      <c r="C4108" s="32">
        <f t="shared" si="64"/>
        <v>-7.6318113582563019E-3</v>
      </c>
    </row>
    <row r="4109" spans="1:3" x14ac:dyDescent="0.6">
      <c r="A4109" s="24">
        <v>35502</v>
      </c>
      <c r="B4109" s="23">
        <v>0.52425299999999997</v>
      </c>
      <c r="C4109" s="32">
        <f t="shared" si="64"/>
        <v>7.6905038327577113E-3</v>
      </c>
    </row>
    <row r="4110" spans="1:3" x14ac:dyDescent="0.6">
      <c r="A4110" s="24">
        <v>35503</v>
      </c>
      <c r="B4110" s="23">
        <v>0.53025599999999995</v>
      </c>
      <c r="C4110" s="32">
        <f t="shared" si="64"/>
        <v>1.1450578251340549E-2</v>
      </c>
    </row>
    <row r="4111" spans="1:3" x14ac:dyDescent="0.6">
      <c r="A4111" s="24">
        <v>35506</v>
      </c>
      <c r="B4111" s="23">
        <v>0.52825500000000003</v>
      </c>
      <c r="C4111" s="32">
        <f t="shared" si="64"/>
        <v>-3.7736489544670793E-3</v>
      </c>
    </row>
    <row r="4112" spans="1:3" x14ac:dyDescent="0.6">
      <c r="A4112" s="24">
        <v>35507</v>
      </c>
      <c r="B4112" s="23">
        <v>0.52025200000000005</v>
      </c>
      <c r="C4112" s="32">
        <f t="shared" si="64"/>
        <v>-1.5149880266159266E-2</v>
      </c>
    </row>
    <row r="4113" spans="1:3" x14ac:dyDescent="0.6">
      <c r="A4113" s="24">
        <v>35508</v>
      </c>
      <c r="B4113" s="23">
        <v>0.51624999999999999</v>
      </c>
      <c r="C4113" s="32">
        <f t="shared" si="64"/>
        <v>-7.6924259781798732E-3</v>
      </c>
    </row>
    <row r="4114" spans="1:3" x14ac:dyDescent="0.6">
      <c r="A4114" s="24">
        <v>35509</v>
      </c>
      <c r="B4114" s="23">
        <v>0.55226699999999995</v>
      </c>
      <c r="C4114" s="32">
        <f t="shared" si="64"/>
        <v>6.9766585956416494E-2</v>
      </c>
    </row>
    <row r="4115" spans="1:3" x14ac:dyDescent="0.6">
      <c r="A4115" s="24">
        <v>35510</v>
      </c>
      <c r="B4115" s="23">
        <v>0.53225699999999998</v>
      </c>
      <c r="C4115" s="32">
        <f t="shared" si="64"/>
        <v>-3.62324745096122E-2</v>
      </c>
    </row>
    <row r="4116" spans="1:3" x14ac:dyDescent="0.6">
      <c r="A4116" s="24">
        <v>35513</v>
      </c>
      <c r="B4116" s="23">
        <v>0.52825500000000003</v>
      </c>
      <c r="C4116" s="32">
        <f t="shared" si="64"/>
        <v>-7.5189241287572095E-3</v>
      </c>
    </row>
    <row r="4117" spans="1:3" x14ac:dyDescent="0.6">
      <c r="A4117" s="24">
        <v>35514</v>
      </c>
      <c r="B4117" s="23">
        <v>0.52825500000000003</v>
      </c>
      <c r="C4117" s="32">
        <f t="shared" si="64"/>
        <v>0</v>
      </c>
    </row>
    <row r="4118" spans="1:3" x14ac:dyDescent="0.6">
      <c r="A4118" s="24">
        <v>35515</v>
      </c>
      <c r="B4118" s="23">
        <v>0.53625900000000004</v>
      </c>
      <c r="C4118" s="32">
        <f t="shared" si="64"/>
        <v>1.5151773291308235E-2</v>
      </c>
    </row>
    <row r="4119" spans="1:3" x14ac:dyDescent="0.6">
      <c r="A4119" s="24">
        <v>35516</v>
      </c>
      <c r="B4119" s="23">
        <v>0.59628899999999996</v>
      </c>
      <c r="C4119" s="32">
        <f t="shared" si="64"/>
        <v>0.11194217719422883</v>
      </c>
    </row>
    <row r="4120" spans="1:3" x14ac:dyDescent="0.6">
      <c r="A4120" s="24">
        <v>35520</v>
      </c>
      <c r="B4120" s="23">
        <v>0.584283</v>
      </c>
      <c r="C4120" s="32">
        <f t="shared" si="64"/>
        <v>-2.013453208092042E-2</v>
      </c>
    </row>
    <row r="4121" spans="1:3" x14ac:dyDescent="0.6">
      <c r="A4121" s="24">
        <v>35521</v>
      </c>
      <c r="B4121" s="23">
        <v>0.56027099999999996</v>
      </c>
      <c r="C4121" s="32">
        <f t="shared" si="64"/>
        <v>-4.109652343128245E-2</v>
      </c>
    </row>
    <row r="4122" spans="1:3" x14ac:dyDescent="0.6">
      <c r="A4122" s="24">
        <v>35522</v>
      </c>
      <c r="B4122" s="23">
        <v>0.57627899999999999</v>
      </c>
      <c r="C4122" s="32">
        <f t="shared" si="64"/>
        <v>2.8571887532997442E-2</v>
      </c>
    </row>
    <row r="4123" spans="1:3" x14ac:dyDescent="0.6">
      <c r="A4123" s="24">
        <v>35523</v>
      </c>
      <c r="B4123" s="23">
        <v>0.60429200000000005</v>
      </c>
      <c r="C4123" s="32">
        <f t="shared" si="64"/>
        <v>4.8610135021404766E-2</v>
      </c>
    </row>
    <row r="4124" spans="1:3" x14ac:dyDescent="0.6">
      <c r="A4124" s="24">
        <v>35524</v>
      </c>
      <c r="B4124" s="23">
        <v>0.61629800000000001</v>
      </c>
      <c r="C4124" s="32">
        <f t="shared" si="64"/>
        <v>1.9867878442871856E-2</v>
      </c>
    </row>
    <row r="4125" spans="1:3" x14ac:dyDescent="0.6">
      <c r="A4125" s="24">
        <v>35527</v>
      </c>
      <c r="B4125" s="23">
        <v>0.62430200000000002</v>
      </c>
      <c r="C4125" s="32">
        <f t="shared" si="64"/>
        <v>1.2987223713203599E-2</v>
      </c>
    </row>
    <row r="4126" spans="1:3" x14ac:dyDescent="0.6">
      <c r="A4126" s="24">
        <v>35528</v>
      </c>
      <c r="B4126" s="23">
        <v>0.61229599999999995</v>
      </c>
      <c r="C4126" s="32">
        <f t="shared" si="64"/>
        <v>-1.9231077267092056E-2</v>
      </c>
    </row>
    <row r="4127" spans="1:3" x14ac:dyDescent="0.6">
      <c r="A4127" s="24">
        <v>35529</v>
      </c>
      <c r="B4127" s="23">
        <v>0.608294</v>
      </c>
      <c r="C4127" s="32">
        <f t="shared" si="64"/>
        <v>-6.5360544573211943E-3</v>
      </c>
    </row>
    <row r="4128" spans="1:3" x14ac:dyDescent="0.6">
      <c r="A4128" s="24">
        <v>35530</v>
      </c>
      <c r="B4128" s="23">
        <v>0.60429200000000005</v>
      </c>
      <c r="C4128" s="32">
        <f t="shared" si="64"/>
        <v>-6.5790555224939373E-3</v>
      </c>
    </row>
    <row r="4129" spans="1:3" x14ac:dyDescent="0.6">
      <c r="A4129" s="24">
        <v>35531</v>
      </c>
      <c r="B4129" s="23">
        <v>0.584283</v>
      </c>
      <c r="C4129" s="32">
        <f t="shared" si="64"/>
        <v>-3.3111475908997767E-2</v>
      </c>
    </row>
    <row r="4130" spans="1:3" x14ac:dyDescent="0.6">
      <c r="A4130" s="24">
        <v>35534</v>
      </c>
      <c r="B4130" s="23">
        <v>0.60028999999999999</v>
      </c>
      <c r="C4130" s="32">
        <f t="shared" si="64"/>
        <v>2.7395970788128388E-2</v>
      </c>
    </row>
    <row r="4131" spans="1:3" x14ac:dyDescent="0.6">
      <c r="A4131" s="24">
        <v>35535</v>
      </c>
      <c r="B4131" s="23">
        <v>0.59028499999999995</v>
      </c>
      <c r="C4131" s="32">
        <f t="shared" si="64"/>
        <v>-1.6666944310250065E-2</v>
      </c>
    </row>
    <row r="4132" spans="1:3" x14ac:dyDescent="0.6">
      <c r="A4132" s="24">
        <v>35536</v>
      </c>
      <c r="B4132" s="23">
        <v>0.59428700000000001</v>
      </c>
      <c r="C4132" s="32">
        <f t="shared" si="64"/>
        <v>6.7797758709777778E-3</v>
      </c>
    </row>
    <row r="4133" spans="1:3" x14ac:dyDescent="0.6">
      <c r="A4133" s="24">
        <v>35537</v>
      </c>
      <c r="B4133" s="23">
        <v>0.608294</v>
      </c>
      <c r="C4133" s="32">
        <f t="shared" si="64"/>
        <v>2.3569420162312227E-2</v>
      </c>
    </row>
    <row r="4134" spans="1:3" x14ac:dyDescent="0.6">
      <c r="A4134" s="24">
        <v>35538</v>
      </c>
      <c r="B4134" s="23">
        <v>0.58828400000000003</v>
      </c>
      <c r="C4134" s="32">
        <f t="shared" si="64"/>
        <v>-3.2895277612470242E-2</v>
      </c>
    </row>
    <row r="4135" spans="1:3" x14ac:dyDescent="0.6">
      <c r="A4135" s="24">
        <v>35541</v>
      </c>
      <c r="B4135" s="23">
        <v>0.57627899999999999</v>
      </c>
      <c r="C4135" s="32">
        <f t="shared" si="64"/>
        <v>-2.0406810316105917E-2</v>
      </c>
    </row>
    <row r="4136" spans="1:3" x14ac:dyDescent="0.6">
      <c r="A4136" s="24">
        <v>35542</v>
      </c>
      <c r="B4136" s="23">
        <v>0.59228599999999998</v>
      </c>
      <c r="C4136" s="32">
        <f t="shared" si="64"/>
        <v>2.7776476324835597E-2</v>
      </c>
    </row>
    <row r="4137" spans="1:3" x14ac:dyDescent="0.6">
      <c r="A4137" s="24">
        <v>35543</v>
      </c>
      <c r="B4137" s="23">
        <v>0.58028100000000005</v>
      </c>
      <c r="C4137" s="32">
        <f t="shared" si="64"/>
        <v>-2.0268924134624E-2</v>
      </c>
    </row>
    <row r="4138" spans="1:3" x14ac:dyDescent="0.6">
      <c r="A4138" s="24">
        <v>35544</v>
      </c>
      <c r="B4138" s="23">
        <v>0.57227700000000004</v>
      </c>
      <c r="C4138" s="32">
        <f t="shared" si="64"/>
        <v>-1.3793317375547343E-2</v>
      </c>
    </row>
    <row r="4139" spans="1:3" x14ac:dyDescent="0.6">
      <c r="A4139" s="24">
        <v>35545</v>
      </c>
      <c r="B4139" s="23">
        <v>0.56027099999999996</v>
      </c>
      <c r="C4139" s="32">
        <f t="shared" si="64"/>
        <v>-2.097935090873837E-2</v>
      </c>
    </row>
    <row r="4140" spans="1:3" x14ac:dyDescent="0.6">
      <c r="A4140" s="24">
        <v>35548</v>
      </c>
      <c r="B4140" s="23">
        <v>0.56427300000000002</v>
      </c>
      <c r="C4140" s="32">
        <f t="shared" si="64"/>
        <v>7.142971883249416E-3</v>
      </c>
    </row>
    <row r="4141" spans="1:3" x14ac:dyDescent="0.6">
      <c r="A4141" s="24">
        <v>35549</v>
      </c>
      <c r="B4141" s="23">
        <v>0.56627400000000006</v>
      </c>
      <c r="C4141" s="32">
        <f t="shared" si="64"/>
        <v>3.5461558500939905E-3</v>
      </c>
    </row>
    <row r="4142" spans="1:3" x14ac:dyDescent="0.6">
      <c r="A4142" s="24">
        <v>35550</v>
      </c>
      <c r="B4142" s="23">
        <v>0.54426300000000005</v>
      </c>
      <c r="C4142" s="32">
        <f t="shared" si="64"/>
        <v>-3.8869875713877011E-2</v>
      </c>
    </row>
    <row r="4143" spans="1:3" x14ac:dyDescent="0.6">
      <c r="A4143" s="24">
        <v>35551</v>
      </c>
      <c r="B4143" s="23">
        <v>0.54426300000000005</v>
      </c>
      <c r="C4143" s="32">
        <f t="shared" si="64"/>
        <v>0</v>
      </c>
    </row>
    <row r="4144" spans="1:3" x14ac:dyDescent="0.6">
      <c r="A4144" s="24">
        <v>35552</v>
      </c>
      <c r="B4144" s="23">
        <v>0.54426300000000005</v>
      </c>
      <c r="C4144" s="32">
        <f t="shared" si="64"/>
        <v>0</v>
      </c>
    </row>
    <row r="4145" spans="1:3" x14ac:dyDescent="0.6">
      <c r="A4145" s="24">
        <v>35555</v>
      </c>
      <c r="B4145" s="23">
        <v>0.54426300000000005</v>
      </c>
      <c r="C4145" s="32">
        <f t="shared" si="64"/>
        <v>0</v>
      </c>
    </row>
    <row r="4146" spans="1:3" x14ac:dyDescent="0.6">
      <c r="A4146" s="24">
        <v>35556</v>
      </c>
      <c r="B4146" s="23">
        <v>0.54026099999999999</v>
      </c>
      <c r="C4146" s="32">
        <f t="shared" si="64"/>
        <v>-7.3530627656115399E-3</v>
      </c>
    </row>
    <row r="4147" spans="1:3" x14ac:dyDescent="0.6">
      <c r="A4147" s="24">
        <v>35557</v>
      </c>
      <c r="B4147" s="23">
        <v>0.52825500000000003</v>
      </c>
      <c r="C4147" s="32">
        <f t="shared" si="64"/>
        <v>-2.2222592413666642E-2</v>
      </c>
    </row>
    <row r="4148" spans="1:3" x14ac:dyDescent="0.6">
      <c r="A4148" s="24">
        <v>35558</v>
      </c>
      <c r="B4148" s="23">
        <v>0.54426300000000005</v>
      </c>
      <c r="C4148" s="32">
        <f t="shared" si="64"/>
        <v>3.030354658261647E-2</v>
      </c>
    </row>
    <row r="4149" spans="1:3" x14ac:dyDescent="0.6">
      <c r="A4149" s="24">
        <v>35559</v>
      </c>
      <c r="B4149" s="23">
        <v>0.54626399999999997</v>
      </c>
      <c r="C4149" s="32">
        <f t="shared" si="64"/>
        <v>3.6765313828055479E-3</v>
      </c>
    </row>
    <row r="4150" spans="1:3" x14ac:dyDescent="0.6">
      <c r="A4150" s="24">
        <v>35562</v>
      </c>
      <c r="B4150" s="23">
        <v>0.56227199999999999</v>
      </c>
      <c r="C4150" s="32">
        <f t="shared" si="64"/>
        <v>2.9304512104037617E-2</v>
      </c>
    </row>
    <row r="4151" spans="1:3" x14ac:dyDescent="0.6">
      <c r="A4151" s="24">
        <v>35563</v>
      </c>
      <c r="B4151" s="23">
        <v>0.56227199999999999</v>
      </c>
      <c r="C4151" s="32">
        <f t="shared" si="64"/>
        <v>0</v>
      </c>
    </row>
    <row r="4152" spans="1:3" x14ac:dyDescent="0.6">
      <c r="A4152" s="24">
        <v>35564</v>
      </c>
      <c r="B4152" s="23">
        <v>0.56627400000000006</v>
      </c>
      <c r="C4152" s="32">
        <f t="shared" si="64"/>
        <v>7.1175516476011946E-3</v>
      </c>
    </row>
    <row r="4153" spans="1:3" x14ac:dyDescent="0.6">
      <c r="A4153" s="24">
        <v>35565</v>
      </c>
      <c r="B4153" s="23">
        <v>0.56827499999999997</v>
      </c>
      <c r="C4153" s="32">
        <f t="shared" si="64"/>
        <v>3.5336250648978496E-3</v>
      </c>
    </row>
    <row r="4154" spans="1:3" x14ac:dyDescent="0.6">
      <c r="A4154" s="24">
        <v>35566</v>
      </c>
      <c r="B4154" s="23">
        <v>0.55226699999999995</v>
      </c>
      <c r="C4154" s="32">
        <f t="shared" si="64"/>
        <v>-2.8169460208525843E-2</v>
      </c>
    </row>
    <row r="4155" spans="1:3" x14ac:dyDescent="0.6">
      <c r="A4155" s="24">
        <v>35569</v>
      </c>
      <c r="B4155" s="23">
        <v>0.54426300000000005</v>
      </c>
      <c r="C4155" s="32">
        <f t="shared" si="64"/>
        <v>-1.4492989803844725E-2</v>
      </c>
    </row>
    <row r="4156" spans="1:3" x14ac:dyDescent="0.6">
      <c r="A4156" s="24">
        <v>35570</v>
      </c>
      <c r="B4156" s="23">
        <v>0.55226699999999995</v>
      </c>
      <c r="C4156" s="32">
        <f t="shared" si="64"/>
        <v>1.4706125531222858E-2</v>
      </c>
    </row>
    <row r="4157" spans="1:3" x14ac:dyDescent="0.6">
      <c r="A4157" s="24">
        <v>35571</v>
      </c>
      <c r="B4157" s="23">
        <v>0.54026099999999999</v>
      </c>
      <c r="C4157" s="32">
        <f t="shared" si="64"/>
        <v>-2.1739484705767254E-2</v>
      </c>
    </row>
    <row r="4158" spans="1:3" x14ac:dyDescent="0.6">
      <c r="A4158" s="24">
        <v>35572</v>
      </c>
      <c r="B4158" s="23">
        <v>0.53225699999999998</v>
      </c>
      <c r="C4158" s="32">
        <f t="shared" si="64"/>
        <v>-1.4815061609111169E-2</v>
      </c>
    </row>
    <row r="4159" spans="1:3" x14ac:dyDescent="0.6">
      <c r="A4159" s="24">
        <v>35573</v>
      </c>
      <c r="B4159" s="23">
        <v>0.54026099999999999</v>
      </c>
      <c r="C4159" s="32">
        <f t="shared" si="64"/>
        <v>1.5037848257514641E-2</v>
      </c>
    </row>
    <row r="4160" spans="1:3" x14ac:dyDescent="0.6">
      <c r="A4160" s="24">
        <v>35577</v>
      </c>
      <c r="B4160" s="23">
        <v>0.55226699999999995</v>
      </c>
      <c r="C4160" s="32">
        <f t="shared" si="64"/>
        <v>2.2222592413666753E-2</v>
      </c>
    </row>
    <row r="4161" spans="1:3" x14ac:dyDescent="0.6">
      <c r="A4161" s="24">
        <v>35578</v>
      </c>
      <c r="B4161" s="23">
        <v>0.54426300000000005</v>
      </c>
      <c r="C4161" s="32">
        <f t="shared" si="64"/>
        <v>-1.4492989803844725E-2</v>
      </c>
    </row>
    <row r="4162" spans="1:3" x14ac:dyDescent="0.6">
      <c r="A4162" s="24">
        <v>35579</v>
      </c>
      <c r="B4162" s="23">
        <v>0.53225699999999998</v>
      </c>
      <c r="C4162" s="32">
        <f t="shared" si="64"/>
        <v>-2.205918829683462E-2</v>
      </c>
    </row>
    <row r="4163" spans="1:3" x14ac:dyDescent="0.6">
      <c r="A4163" s="24">
        <v>35580</v>
      </c>
      <c r="B4163" s="23">
        <v>0.53225699999999998</v>
      </c>
      <c r="C4163" s="32">
        <f t="shared" si="64"/>
        <v>0</v>
      </c>
    </row>
    <row r="4164" spans="1:3" x14ac:dyDescent="0.6">
      <c r="A4164" s="24">
        <v>35583</v>
      </c>
      <c r="B4164" s="23">
        <v>0.54226200000000002</v>
      </c>
      <c r="C4164" s="32">
        <f t="shared" ref="C4164:C4227" si="65">B4164/B4163-1</f>
        <v>1.8797310321893468E-2</v>
      </c>
    </row>
    <row r="4165" spans="1:3" x14ac:dyDescent="0.6">
      <c r="A4165" s="24">
        <v>35584</v>
      </c>
      <c r="B4165" s="23">
        <v>0.53425800000000001</v>
      </c>
      <c r="C4165" s="32">
        <f t="shared" si="65"/>
        <v>-1.4760392577757631E-2</v>
      </c>
    </row>
    <row r="4166" spans="1:3" x14ac:dyDescent="0.6">
      <c r="A4166" s="24">
        <v>35585</v>
      </c>
      <c r="B4166" s="23">
        <v>0.53225699999999998</v>
      </c>
      <c r="C4166" s="32">
        <f t="shared" si="65"/>
        <v>-3.7453814449199818E-3</v>
      </c>
    </row>
    <row r="4167" spans="1:3" x14ac:dyDescent="0.6">
      <c r="A4167" s="24">
        <v>35586</v>
      </c>
      <c r="B4167" s="23">
        <v>0.53425800000000001</v>
      </c>
      <c r="C4167" s="32">
        <f t="shared" si="65"/>
        <v>3.7594620643788268E-3</v>
      </c>
    </row>
    <row r="4168" spans="1:3" x14ac:dyDescent="0.6">
      <c r="A4168" s="24">
        <v>35587</v>
      </c>
      <c r="B4168" s="23">
        <v>0.53625900000000004</v>
      </c>
      <c r="C4168" s="32">
        <f t="shared" si="65"/>
        <v>3.7453814449199818E-3</v>
      </c>
    </row>
    <row r="4169" spans="1:3" x14ac:dyDescent="0.6">
      <c r="A4169" s="24">
        <v>35590</v>
      </c>
      <c r="B4169" s="23">
        <v>0.53225699999999998</v>
      </c>
      <c r="C4169" s="32">
        <f t="shared" si="65"/>
        <v>-7.462811812948722E-3</v>
      </c>
    </row>
    <row r="4170" spans="1:3" x14ac:dyDescent="0.6">
      <c r="A4170" s="24">
        <v>35591</v>
      </c>
      <c r="B4170" s="23">
        <v>0.52025200000000005</v>
      </c>
      <c r="C4170" s="32">
        <f t="shared" si="65"/>
        <v>-2.2554893594635583E-2</v>
      </c>
    </row>
    <row r="4171" spans="1:3" x14ac:dyDescent="0.6">
      <c r="A4171" s="24">
        <v>35592</v>
      </c>
      <c r="B4171" s="23">
        <v>0.52225299999999997</v>
      </c>
      <c r="C4171" s="32">
        <f t="shared" si="65"/>
        <v>3.8462129890897145E-3</v>
      </c>
    </row>
    <row r="4172" spans="1:3" x14ac:dyDescent="0.6">
      <c r="A4172" s="24">
        <v>35593</v>
      </c>
      <c r="B4172" s="23">
        <v>0.51424899999999996</v>
      </c>
      <c r="C4172" s="32">
        <f t="shared" si="65"/>
        <v>-1.5325905260477168E-2</v>
      </c>
    </row>
    <row r="4173" spans="1:3" x14ac:dyDescent="0.6">
      <c r="A4173" s="24">
        <v>35594</v>
      </c>
      <c r="B4173" s="23">
        <v>0.50624499999999995</v>
      </c>
      <c r="C4173" s="32">
        <f t="shared" si="65"/>
        <v>-1.5564444461729665E-2</v>
      </c>
    </row>
    <row r="4174" spans="1:3" x14ac:dyDescent="0.6">
      <c r="A4174" s="24">
        <v>35597</v>
      </c>
      <c r="B4174" s="23">
        <v>0.49624000000000001</v>
      </c>
      <c r="C4174" s="32">
        <f t="shared" si="65"/>
        <v>-1.9763158154648353E-2</v>
      </c>
    </row>
    <row r="4175" spans="1:3" x14ac:dyDescent="0.6">
      <c r="A4175" s="24">
        <v>35598</v>
      </c>
      <c r="B4175" s="23">
        <v>0.52325100000000002</v>
      </c>
      <c r="C4175" s="32">
        <f t="shared" si="65"/>
        <v>5.4431323553119526E-2</v>
      </c>
    </row>
    <row r="4176" spans="1:3" x14ac:dyDescent="0.6">
      <c r="A4176" s="24">
        <v>35599</v>
      </c>
      <c r="B4176" s="23">
        <v>0.51024700000000001</v>
      </c>
      <c r="C4176" s="32">
        <f t="shared" si="65"/>
        <v>-2.4852317530210222E-2</v>
      </c>
    </row>
    <row r="4177" spans="1:3" x14ac:dyDescent="0.6">
      <c r="A4177" s="24">
        <v>35600</v>
      </c>
      <c r="B4177" s="23">
        <v>0.50424400000000003</v>
      </c>
      <c r="C4177" s="32">
        <f t="shared" si="65"/>
        <v>-1.1764890337424783E-2</v>
      </c>
    </row>
    <row r="4178" spans="1:3" x14ac:dyDescent="0.6">
      <c r="A4178" s="24">
        <v>35601</v>
      </c>
      <c r="B4178" s="23">
        <v>0.49824099999999999</v>
      </c>
      <c r="C4178" s="32">
        <f t="shared" si="65"/>
        <v>-1.1904950777798073E-2</v>
      </c>
    </row>
    <row r="4179" spans="1:3" x14ac:dyDescent="0.6">
      <c r="A4179" s="24">
        <v>35604</v>
      </c>
      <c r="B4179" s="23">
        <v>0.49223800000000001</v>
      </c>
      <c r="C4179" s="32">
        <f t="shared" si="65"/>
        <v>-1.2048386222731522E-2</v>
      </c>
    </row>
    <row r="4180" spans="1:3" x14ac:dyDescent="0.6">
      <c r="A4180" s="24">
        <v>35605</v>
      </c>
      <c r="B4180" s="23">
        <v>0.49023699999999998</v>
      </c>
      <c r="C4180" s="32">
        <f t="shared" si="65"/>
        <v>-4.0651067166695976E-3</v>
      </c>
    </row>
    <row r="4181" spans="1:3" x14ac:dyDescent="0.6">
      <c r="A4181" s="24">
        <v>35606</v>
      </c>
      <c r="B4181" s="23">
        <v>0.484234</v>
      </c>
      <c r="C4181" s="32">
        <f t="shared" si="65"/>
        <v>-1.2245097779237324E-2</v>
      </c>
    </row>
    <row r="4182" spans="1:3" x14ac:dyDescent="0.6">
      <c r="A4182" s="24">
        <v>35607</v>
      </c>
      <c r="B4182" s="23">
        <v>0.47022700000000001</v>
      </c>
      <c r="C4182" s="32">
        <f t="shared" si="65"/>
        <v>-2.8926097713089072E-2</v>
      </c>
    </row>
    <row r="4183" spans="1:3" x14ac:dyDescent="0.6">
      <c r="A4183" s="24">
        <v>35608</v>
      </c>
      <c r="B4183" s="23">
        <v>0.47022700000000001</v>
      </c>
      <c r="C4183" s="32">
        <f t="shared" si="65"/>
        <v>0</v>
      </c>
    </row>
    <row r="4184" spans="1:3" x14ac:dyDescent="0.6">
      <c r="A4184" s="24">
        <v>35611</v>
      </c>
      <c r="B4184" s="23">
        <v>0.45622099999999999</v>
      </c>
      <c r="C4184" s="32">
        <f t="shared" si="65"/>
        <v>-2.9785614182086584E-2</v>
      </c>
    </row>
    <row r="4185" spans="1:3" x14ac:dyDescent="0.6">
      <c r="A4185" s="24">
        <v>35612</v>
      </c>
      <c r="B4185" s="23">
        <v>0.42220400000000002</v>
      </c>
      <c r="C4185" s="32">
        <f t="shared" si="65"/>
        <v>-7.4562547537268098E-2</v>
      </c>
    </row>
    <row r="4186" spans="1:3" x14ac:dyDescent="0.6">
      <c r="A4186" s="24">
        <v>35613</v>
      </c>
      <c r="B4186" s="23">
        <v>0.41820200000000002</v>
      </c>
      <c r="C4186" s="32">
        <f t="shared" si="65"/>
        <v>-9.4788301389849838E-3</v>
      </c>
    </row>
    <row r="4187" spans="1:3" x14ac:dyDescent="0.6">
      <c r="A4187" s="24">
        <v>35614</v>
      </c>
      <c r="B4187" s="23">
        <v>0.43821199999999999</v>
      </c>
      <c r="C4187" s="32">
        <f t="shared" si="65"/>
        <v>4.7847690828833889E-2</v>
      </c>
    </row>
    <row r="4188" spans="1:3" x14ac:dyDescent="0.6">
      <c r="A4188" s="24">
        <v>35618</v>
      </c>
      <c r="B4188" s="23">
        <v>0.442214</v>
      </c>
      <c r="C4188" s="32">
        <f t="shared" si="65"/>
        <v>9.1325659726342323E-3</v>
      </c>
    </row>
    <row r="4189" spans="1:3" x14ac:dyDescent="0.6">
      <c r="A4189" s="24">
        <v>35619</v>
      </c>
      <c r="B4189" s="23">
        <v>0.44021300000000002</v>
      </c>
      <c r="C4189" s="32">
        <f t="shared" si="65"/>
        <v>-4.5249585042534957E-3</v>
      </c>
    </row>
    <row r="4190" spans="1:3" x14ac:dyDescent="0.6">
      <c r="A4190" s="24">
        <v>35620</v>
      </c>
      <c r="B4190" s="23">
        <v>0.43821199999999999</v>
      </c>
      <c r="C4190" s="32">
        <f t="shared" si="65"/>
        <v>-4.5455268245145897E-3</v>
      </c>
    </row>
    <row r="4191" spans="1:3" x14ac:dyDescent="0.6">
      <c r="A4191" s="24">
        <v>35621</v>
      </c>
      <c r="B4191" s="23">
        <v>0.424205</v>
      </c>
      <c r="C4191" s="32">
        <f t="shared" si="65"/>
        <v>-3.1963980904219813E-2</v>
      </c>
    </row>
    <row r="4192" spans="1:3" x14ac:dyDescent="0.6">
      <c r="A4192" s="24">
        <v>35622</v>
      </c>
      <c r="B4192" s="23">
        <v>0.48623499999999997</v>
      </c>
      <c r="C4192" s="32">
        <f t="shared" si="65"/>
        <v>0.14622647069223604</v>
      </c>
    </row>
    <row r="4193" spans="1:3" x14ac:dyDescent="0.6">
      <c r="A4193" s="24">
        <v>35625</v>
      </c>
      <c r="B4193" s="23">
        <v>0.50024199999999996</v>
      </c>
      <c r="C4193" s="32">
        <f t="shared" si="65"/>
        <v>2.8807058315423628E-2</v>
      </c>
    </row>
    <row r="4194" spans="1:3" x14ac:dyDescent="0.6">
      <c r="A4194" s="24">
        <v>35626</v>
      </c>
      <c r="B4194" s="23">
        <v>0.51024700000000001</v>
      </c>
      <c r="C4194" s="32">
        <f t="shared" si="65"/>
        <v>2.0000319845195014E-2</v>
      </c>
    </row>
    <row r="4195" spans="1:3" x14ac:dyDescent="0.6">
      <c r="A4195" s="24">
        <v>35627</v>
      </c>
      <c r="B4195" s="23">
        <v>0.526254</v>
      </c>
      <c r="C4195" s="32">
        <f t="shared" si="65"/>
        <v>3.13710810646608E-2</v>
      </c>
    </row>
    <row r="4196" spans="1:3" x14ac:dyDescent="0.6">
      <c r="A4196" s="24">
        <v>35628</v>
      </c>
      <c r="B4196" s="23">
        <v>0.56027099999999996</v>
      </c>
      <c r="C4196" s="32">
        <f t="shared" si="65"/>
        <v>6.4639888722936023E-2</v>
      </c>
    </row>
    <row r="4197" spans="1:3" x14ac:dyDescent="0.6">
      <c r="A4197" s="24">
        <v>35629</v>
      </c>
      <c r="B4197" s="23">
        <v>0.55526699999999996</v>
      </c>
      <c r="C4197" s="32">
        <f t="shared" si="65"/>
        <v>-8.9313921298800336E-3</v>
      </c>
    </row>
    <row r="4198" spans="1:3" x14ac:dyDescent="0.6">
      <c r="A4198" s="24">
        <v>35632</v>
      </c>
      <c r="B4198" s="23">
        <v>0.51724899999999996</v>
      </c>
      <c r="C4198" s="32">
        <f t="shared" si="65"/>
        <v>-6.8467962259597615E-2</v>
      </c>
    </row>
    <row r="4199" spans="1:3" x14ac:dyDescent="0.6">
      <c r="A4199" s="24">
        <v>35633</v>
      </c>
      <c r="B4199" s="23">
        <v>0.53025599999999995</v>
      </c>
      <c r="C4199" s="32">
        <f t="shared" si="65"/>
        <v>2.5146496174956345E-2</v>
      </c>
    </row>
    <row r="4200" spans="1:3" x14ac:dyDescent="0.6">
      <c r="A4200" s="24">
        <v>35634</v>
      </c>
      <c r="B4200" s="23">
        <v>0.51624999999999999</v>
      </c>
      <c r="C4200" s="32">
        <f t="shared" si="65"/>
        <v>-2.6413656799734397E-2</v>
      </c>
    </row>
    <row r="4201" spans="1:3" x14ac:dyDescent="0.6">
      <c r="A4201" s="24">
        <v>35635</v>
      </c>
      <c r="B4201" s="23">
        <v>0.50624499999999995</v>
      </c>
      <c r="C4201" s="32">
        <f t="shared" si="65"/>
        <v>-1.9380145278450445E-2</v>
      </c>
    </row>
    <row r="4202" spans="1:3" x14ac:dyDescent="0.6">
      <c r="A4202" s="24">
        <v>35636</v>
      </c>
      <c r="B4202" s="23">
        <v>0.52025200000000005</v>
      </c>
      <c r="C4202" s="32">
        <f t="shared" si="65"/>
        <v>2.7668421416507938E-2</v>
      </c>
    </row>
    <row r="4203" spans="1:3" x14ac:dyDescent="0.6">
      <c r="A4203" s="24">
        <v>35639</v>
      </c>
      <c r="B4203" s="23">
        <v>0.526254</v>
      </c>
      <c r="C4203" s="32">
        <f t="shared" si="65"/>
        <v>1.153671682184787E-2</v>
      </c>
    </row>
    <row r="4204" spans="1:3" x14ac:dyDescent="0.6">
      <c r="A4204" s="24">
        <v>35640</v>
      </c>
      <c r="B4204" s="23">
        <v>0.52825500000000003</v>
      </c>
      <c r="C4204" s="32">
        <f t="shared" si="65"/>
        <v>3.8023463954668379E-3</v>
      </c>
    </row>
    <row r="4205" spans="1:3" x14ac:dyDescent="0.6">
      <c r="A4205" s="24">
        <v>35641</v>
      </c>
      <c r="B4205" s="23">
        <v>0.55626900000000001</v>
      </c>
      <c r="C4205" s="32">
        <f t="shared" si="65"/>
        <v>5.30312065195786E-2</v>
      </c>
    </row>
    <row r="4206" spans="1:3" x14ac:dyDescent="0.6">
      <c r="A4206" s="24">
        <v>35642</v>
      </c>
      <c r="B4206" s="23">
        <v>0.56027099999999996</v>
      </c>
      <c r="C4206" s="32">
        <f t="shared" si="65"/>
        <v>7.1943610016016457E-3</v>
      </c>
    </row>
    <row r="4207" spans="1:3" x14ac:dyDescent="0.6">
      <c r="A4207" s="24">
        <v>35643</v>
      </c>
      <c r="B4207" s="23">
        <v>0.61429699999999998</v>
      </c>
      <c r="C4207" s="32">
        <f t="shared" si="65"/>
        <v>9.6428335573320867E-2</v>
      </c>
    </row>
    <row r="4208" spans="1:3" x14ac:dyDescent="0.6">
      <c r="A4208" s="24">
        <v>35646</v>
      </c>
      <c r="B4208" s="23">
        <v>0.63230600000000003</v>
      </c>
      <c r="C4208" s="32">
        <f t="shared" si="65"/>
        <v>2.9316438139857626E-2</v>
      </c>
    </row>
    <row r="4209" spans="1:3" x14ac:dyDescent="0.6">
      <c r="A4209" s="24">
        <v>35647</v>
      </c>
      <c r="B4209" s="23">
        <v>0.63230600000000003</v>
      </c>
      <c r="C4209" s="32">
        <f t="shared" si="65"/>
        <v>0</v>
      </c>
    </row>
    <row r="4210" spans="1:3" x14ac:dyDescent="0.6">
      <c r="A4210" s="24">
        <v>35648</v>
      </c>
      <c r="B4210" s="23">
        <v>0.84240800000000005</v>
      </c>
      <c r="C4210" s="32">
        <f t="shared" si="65"/>
        <v>0.33227899150095053</v>
      </c>
    </row>
    <row r="4211" spans="1:3" x14ac:dyDescent="0.6">
      <c r="A4211" s="24">
        <v>35649</v>
      </c>
      <c r="B4211" s="23">
        <v>0.93445199999999995</v>
      </c>
      <c r="C4211" s="32">
        <f t="shared" si="65"/>
        <v>0.10926296996229845</v>
      </c>
    </row>
    <row r="4212" spans="1:3" x14ac:dyDescent="0.6">
      <c r="A4212" s="24">
        <v>35650</v>
      </c>
      <c r="B4212" s="23">
        <v>0.85841500000000004</v>
      </c>
      <c r="C4212" s="32">
        <f t="shared" si="65"/>
        <v>-8.1370685706702917E-2</v>
      </c>
    </row>
    <row r="4213" spans="1:3" x14ac:dyDescent="0.6">
      <c r="A4213" s="24">
        <v>35653</v>
      </c>
      <c r="B4213" s="23">
        <v>0.78637999999999997</v>
      </c>
      <c r="C4213" s="32">
        <f t="shared" si="65"/>
        <v>-8.391628757652192E-2</v>
      </c>
    </row>
    <row r="4214" spans="1:3" x14ac:dyDescent="0.6">
      <c r="A4214" s="24">
        <v>35654</v>
      </c>
      <c r="B4214" s="23">
        <v>0.706341</v>
      </c>
      <c r="C4214" s="32">
        <f t="shared" si="65"/>
        <v>-0.10178158142373916</v>
      </c>
    </row>
    <row r="4215" spans="1:3" x14ac:dyDescent="0.6">
      <c r="A4215" s="24">
        <v>35655</v>
      </c>
      <c r="B4215" s="23">
        <v>0.75636599999999998</v>
      </c>
      <c r="C4215" s="32">
        <f t="shared" si="65"/>
        <v>7.0822732929279208E-2</v>
      </c>
    </row>
    <row r="4216" spans="1:3" x14ac:dyDescent="0.6">
      <c r="A4216" s="24">
        <v>35656</v>
      </c>
      <c r="B4216" s="23">
        <v>0.73635600000000001</v>
      </c>
      <c r="C4216" s="32">
        <f t="shared" si="65"/>
        <v>-2.6455446172884534E-2</v>
      </c>
    </row>
    <row r="4217" spans="1:3" x14ac:dyDescent="0.6">
      <c r="A4217" s="24">
        <v>35657</v>
      </c>
      <c r="B4217" s="23">
        <v>0.74436000000000002</v>
      </c>
      <c r="C4217" s="32">
        <f t="shared" si="65"/>
        <v>1.0869742352883627E-2</v>
      </c>
    </row>
    <row r="4218" spans="1:3" x14ac:dyDescent="0.6">
      <c r="A4218" s="24">
        <v>35660</v>
      </c>
      <c r="B4218" s="23">
        <v>0.75636599999999998</v>
      </c>
      <c r="C4218" s="32">
        <f t="shared" si="65"/>
        <v>1.6129292277929919E-2</v>
      </c>
    </row>
    <row r="4219" spans="1:3" x14ac:dyDescent="0.6">
      <c r="A4219" s="24">
        <v>35661</v>
      </c>
      <c r="B4219" s="23">
        <v>0.78237800000000002</v>
      </c>
      <c r="C4219" s="32">
        <f t="shared" si="65"/>
        <v>3.4390757913496994E-2</v>
      </c>
    </row>
    <row r="4220" spans="1:3" x14ac:dyDescent="0.6">
      <c r="A4220" s="24">
        <v>35662</v>
      </c>
      <c r="B4220" s="23">
        <v>0.788381</v>
      </c>
      <c r="C4220" s="32">
        <f t="shared" si="65"/>
        <v>7.6727617596608066E-3</v>
      </c>
    </row>
    <row r="4221" spans="1:3" x14ac:dyDescent="0.6">
      <c r="A4221" s="24">
        <v>35663</v>
      </c>
      <c r="B4221" s="23">
        <v>0.76837200000000005</v>
      </c>
      <c r="C4221" s="32">
        <f t="shared" si="65"/>
        <v>-2.5379860752605565E-2</v>
      </c>
    </row>
    <row r="4222" spans="1:3" x14ac:dyDescent="0.6">
      <c r="A4222" s="24">
        <v>35664</v>
      </c>
      <c r="B4222" s="23">
        <v>0.75636599999999998</v>
      </c>
      <c r="C4222" s="32">
        <f t="shared" si="65"/>
        <v>-1.562524402242671E-2</v>
      </c>
    </row>
    <row r="4223" spans="1:3" x14ac:dyDescent="0.6">
      <c r="A4223" s="24">
        <v>35667</v>
      </c>
      <c r="B4223" s="23">
        <v>0.73835700000000004</v>
      </c>
      <c r="C4223" s="32">
        <f t="shared" si="65"/>
        <v>-2.3809901555596036E-2</v>
      </c>
    </row>
    <row r="4224" spans="1:3" x14ac:dyDescent="0.6">
      <c r="A4224" s="24">
        <v>35668</v>
      </c>
      <c r="B4224" s="23">
        <v>0.71234500000000001</v>
      </c>
      <c r="C4224" s="32">
        <f t="shared" si="65"/>
        <v>-3.5229570519410003E-2</v>
      </c>
    </row>
    <row r="4225" spans="1:3" x14ac:dyDescent="0.6">
      <c r="A4225" s="24">
        <v>35669</v>
      </c>
      <c r="B4225" s="23">
        <v>0.72635099999999997</v>
      </c>
      <c r="C4225" s="32">
        <f t="shared" si="65"/>
        <v>1.9661821168113658E-2</v>
      </c>
    </row>
    <row r="4226" spans="1:3" x14ac:dyDescent="0.6">
      <c r="A4226" s="24">
        <v>35670</v>
      </c>
      <c r="B4226" s="23">
        <v>0.70434099999999999</v>
      </c>
      <c r="C4226" s="32">
        <f t="shared" si="65"/>
        <v>-3.0302154192669906E-2</v>
      </c>
    </row>
    <row r="4227" spans="1:3" x14ac:dyDescent="0.6">
      <c r="A4227" s="24">
        <v>35671</v>
      </c>
      <c r="B4227" s="23">
        <v>0.69633699999999998</v>
      </c>
      <c r="C4227" s="32">
        <f t="shared" si="65"/>
        <v>-1.1363813834492142E-2</v>
      </c>
    </row>
    <row r="4228" spans="1:3" x14ac:dyDescent="0.6">
      <c r="A4228" s="24">
        <v>35675</v>
      </c>
      <c r="B4228" s="23">
        <v>0.71634600000000004</v>
      </c>
      <c r="C4228" s="32">
        <f t="shared" ref="C4228:C4291" si="66">B4228/B4227-1</f>
        <v>2.8734650032958164E-2</v>
      </c>
    </row>
    <row r="4229" spans="1:3" x14ac:dyDescent="0.6">
      <c r="A4229" s="24">
        <v>35676</v>
      </c>
      <c r="B4229" s="23">
        <v>0.72034799999999999</v>
      </c>
      <c r="C4229" s="32">
        <f t="shared" si="66"/>
        <v>5.5866857635833433E-3</v>
      </c>
    </row>
    <row r="4230" spans="1:3" x14ac:dyDescent="0.6">
      <c r="A4230" s="24">
        <v>35677</v>
      </c>
      <c r="B4230" s="23">
        <v>0.72034799999999999</v>
      </c>
      <c r="C4230" s="32">
        <f t="shared" si="66"/>
        <v>0</v>
      </c>
    </row>
    <row r="4231" spans="1:3" x14ac:dyDescent="0.6">
      <c r="A4231" s="24">
        <v>35678</v>
      </c>
      <c r="B4231" s="23">
        <v>0.71034299999999995</v>
      </c>
      <c r="C4231" s="32">
        <f t="shared" si="66"/>
        <v>-1.3889120258541721E-2</v>
      </c>
    </row>
    <row r="4232" spans="1:3" x14ac:dyDescent="0.6">
      <c r="A4232" s="24">
        <v>35681</v>
      </c>
      <c r="B4232" s="23">
        <v>0.68833299999999997</v>
      </c>
      <c r="C4232" s="32">
        <f t="shared" si="66"/>
        <v>-3.0985031175080224E-2</v>
      </c>
    </row>
    <row r="4233" spans="1:3" x14ac:dyDescent="0.6">
      <c r="A4233" s="24">
        <v>35682</v>
      </c>
      <c r="B4233" s="23">
        <v>0.69833800000000001</v>
      </c>
      <c r="C4233" s="32">
        <f t="shared" si="66"/>
        <v>1.4535115997635017E-2</v>
      </c>
    </row>
    <row r="4234" spans="1:3" x14ac:dyDescent="0.6">
      <c r="A4234" s="24">
        <v>35683</v>
      </c>
      <c r="B4234" s="23">
        <v>0.73435499999999998</v>
      </c>
      <c r="C4234" s="32">
        <f t="shared" si="66"/>
        <v>5.1575311668561552E-2</v>
      </c>
    </row>
    <row r="4235" spans="1:3" x14ac:dyDescent="0.6">
      <c r="A4235" s="24">
        <v>35684</v>
      </c>
      <c r="B4235" s="23">
        <v>0.71634600000000004</v>
      </c>
      <c r="C4235" s="32">
        <f t="shared" si="66"/>
        <v>-2.4523561492738488E-2</v>
      </c>
    </row>
    <row r="4236" spans="1:3" x14ac:dyDescent="0.6">
      <c r="A4236" s="24">
        <v>35685</v>
      </c>
      <c r="B4236" s="23">
        <v>0.706341</v>
      </c>
      <c r="C4236" s="32">
        <f t="shared" si="66"/>
        <v>-1.3966714408958802E-2</v>
      </c>
    </row>
    <row r="4237" spans="1:3" x14ac:dyDescent="0.6">
      <c r="A4237" s="24">
        <v>35688</v>
      </c>
      <c r="B4237" s="23">
        <v>0.68833299999999997</v>
      </c>
      <c r="C4237" s="32">
        <f t="shared" si="66"/>
        <v>-2.5494768107755306E-2</v>
      </c>
    </row>
    <row r="4238" spans="1:3" x14ac:dyDescent="0.6">
      <c r="A4238" s="24">
        <v>35689</v>
      </c>
      <c r="B4238" s="23">
        <v>0.70233999999999996</v>
      </c>
      <c r="C4238" s="32">
        <f t="shared" si="66"/>
        <v>2.0349162396688714E-2</v>
      </c>
    </row>
    <row r="4239" spans="1:3" x14ac:dyDescent="0.6">
      <c r="A4239" s="24">
        <v>35690</v>
      </c>
      <c r="B4239" s="23">
        <v>0.69833800000000001</v>
      </c>
      <c r="C4239" s="32">
        <f t="shared" si="66"/>
        <v>-5.698094939772691E-3</v>
      </c>
    </row>
    <row r="4240" spans="1:3" x14ac:dyDescent="0.6">
      <c r="A4240" s="24">
        <v>35691</v>
      </c>
      <c r="B4240" s="23">
        <v>0.71434500000000001</v>
      </c>
      <c r="C4240" s="32">
        <f t="shared" si="66"/>
        <v>2.2921565201950989E-2</v>
      </c>
    </row>
    <row r="4241" spans="1:3" x14ac:dyDescent="0.6">
      <c r="A4241" s="24">
        <v>35692</v>
      </c>
      <c r="B4241" s="23">
        <v>0.70233999999999996</v>
      </c>
      <c r="C4241" s="32">
        <f t="shared" si="66"/>
        <v>-1.6805605134773915E-2</v>
      </c>
    </row>
    <row r="4242" spans="1:3" x14ac:dyDescent="0.6">
      <c r="A4242" s="24">
        <v>35695</v>
      </c>
      <c r="B4242" s="23">
        <v>0.73035300000000003</v>
      </c>
      <c r="C4242" s="32">
        <f t="shared" si="66"/>
        <v>3.9885240766580399E-2</v>
      </c>
    </row>
    <row r="4243" spans="1:3" x14ac:dyDescent="0.6">
      <c r="A4243" s="24">
        <v>35696</v>
      </c>
      <c r="B4243" s="23">
        <v>0.69633699999999998</v>
      </c>
      <c r="C4243" s="32">
        <f t="shared" si="66"/>
        <v>-4.657473851685423E-2</v>
      </c>
    </row>
    <row r="4244" spans="1:3" x14ac:dyDescent="0.6">
      <c r="A4244" s="24">
        <v>35697</v>
      </c>
      <c r="B4244" s="23">
        <v>0.68833299999999997</v>
      </c>
      <c r="C4244" s="32">
        <f t="shared" si="66"/>
        <v>-1.1494434447688384E-2</v>
      </c>
    </row>
    <row r="4245" spans="1:3" x14ac:dyDescent="0.6">
      <c r="A4245" s="24">
        <v>35698</v>
      </c>
      <c r="B4245" s="23">
        <v>0.67632700000000001</v>
      </c>
      <c r="C4245" s="32">
        <f t="shared" si="66"/>
        <v>-1.7442139197161755E-2</v>
      </c>
    </row>
    <row r="4246" spans="1:3" x14ac:dyDescent="0.6">
      <c r="A4246" s="24">
        <v>35699</v>
      </c>
      <c r="B4246" s="23">
        <v>0.68232999999999999</v>
      </c>
      <c r="C4246" s="32">
        <f t="shared" si="66"/>
        <v>8.8758840028566599E-3</v>
      </c>
    </row>
    <row r="4247" spans="1:3" x14ac:dyDescent="0.6">
      <c r="A4247" s="24">
        <v>35702</v>
      </c>
      <c r="B4247" s="23">
        <v>0.706341</v>
      </c>
      <c r="C4247" s="32">
        <f t="shared" si="66"/>
        <v>3.5189717585332625E-2</v>
      </c>
    </row>
    <row r="4248" spans="1:3" x14ac:dyDescent="0.6">
      <c r="A4248" s="24">
        <v>35703</v>
      </c>
      <c r="B4248" s="23">
        <v>0.69433599999999995</v>
      </c>
      <c r="C4248" s="32">
        <f t="shared" si="66"/>
        <v>-1.6996040156241898E-2</v>
      </c>
    </row>
    <row r="4249" spans="1:3" x14ac:dyDescent="0.6">
      <c r="A4249" s="24">
        <v>35704</v>
      </c>
      <c r="B4249" s="23">
        <v>0.68933199999999994</v>
      </c>
      <c r="C4249" s="32">
        <f t="shared" si="66"/>
        <v>-7.20688542722836E-3</v>
      </c>
    </row>
    <row r="4250" spans="1:3" x14ac:dyDescent="0.6">
      <c r="A4250" s="24">
        <v>35705</v>
      </c>
      <c r="B4250" s="23">
        <v>0.70233999999999996</v>
      </c>
      <c r="C4250" s="32">
        <f t="shared" si="66"/>
        <v>1.8870442689444378E-2</v>
      </c>
    </row>
    <row r="4251" spans="1:3" x14ac:dyDescent="0.6">
      <c r="A4251" s="24">
        <v>35706</v>
      </c>
      <c r="B4251" s="23">
        <v>0.70834299999999994</v>
      </c>
      <c r="C4251" s="32">
        <f t="shared" si="66"/>
        <v>8.5471424096590365E-3</v>
      </c>
    </row>
    <row r="4252" spans="1:3" x14ac:dyDescent="0.6">
      <c r="A4252" s="24">
        <v>35709</v>
      </c>
      <c r="B4252" s="23">
        <v>0.70233999999999996</v>
      </c>
      <c r="C4252" s="32">
        <f t="shared" si="66"/>
        <v>-8.4747078745748272E-3</v>
      </c>
    </row>
    <row r="4253" spans="1:3" x14ac:dyDescent="0.6">
      <c r="A4253" s="24">
        <v>35710</v>
      </c>
      <c r="B4253" s="23">
        <v>0.69833800000000001</v>
      </c>
      <c r="C4253" s="32">
        <f t="shared" si="66"/>
        <v>-5.698094939772691E-3</v>
      </c>
    </row>
    <row r="4254" spans="1:3" x14ac:dyDescent="0.6">
      <c r="A4254" s="24">
        <v>35711</v>
      </c>
      <c r="B4254" s="23">
        <v>0.68833299999999997</v>
      </c>
      <c r="C4254" s="32">
        <f t="shared" si="66"/>
        <v>-1.4326873233305393E-2</v>
      </c>
    </row>
    <row r="4255" spans="1:3" x14ac:dyDescent="0.6">
      <c r="A4255" s="24">
        <v>35712</v>
      </c>
      <c r="B4255" s="23">
        <v>0.69633699999999998</v>
      </c>
      <c r="C4255" s="32">
        <f t="shared" si="66"/>
        <v>1.1628092798107836E-2</v>
      </c>
    </row>
    <row r="4256" spans="1:3" x14ac:dyDescent="0.6">
      <c r="A4256" s="24">
        <v>35713</v>
      </c>
      <c r="B4256" s="23">
        <v>0.72635099999999997</v>
      </c>
      <c r="C4256" s="32">
        <f t="shared" si="66"/>
        <v>4.3102693092568645E-2</v>
      </c>
    </row>
    <row r="4257" spans="1:3" x14ac:dyDescent="0.6">
      <c r="A4257" s="24">
        <v>35716</v>
      </c>
      <c r="B4257" s="23">
        <v>0.72635099999999997</v>
      </c>
      <c r="C4257" s="32">
        <f t="shared" si="66"/>
        <v>0</v>
      </c>
    </row>
    <row r="4258" spans="1:3" x14ac:dyDescent="0.6">
      <c r="A4258" s="24">
        <v>35717</v>
      </c>
      <c r="B4258" s="23">
        <v>0.72635099999999997</v>
      </c>
      <c r="C4258" s="32">
        <f t="shared" si="66"/>
        <v>0</v>
      </c>
    </row>
    <row r="4259" spans="1:3" x14ac:dyDescent="0.6">
      <c r="A4259" s="24">
        <v>35718</v>
      </c>
      <c r="B4259" s="23">
        <v>0.76236899999999996</v>
      </c>
      <c r="C4259" s="32">
        <f t="shared" si="66"/>
        <v>4.9587596079581298E-2</v>
      </c>
    </row>
    <row r="4260" spans="1:3" x14ac:dyDescent="0.6">
      <c r="A4260" s="24">
        <v>35719</v>
      </c>
      <c r="B4260" s="23">
        <v>0.68833299999999997</v>
      </c>
      <c r="C4260" s="32">
        <f t="shared" si="66"/>
        <v>-9.7113077787790436E-2</v>
      </c>
    </row>
    <row r="4261" spans="1:3" x14ac:dyDescent="0.6">
      <c r="A4261" s="24">
        <v>35720</v>
      </c>
      <c r="B4261" s="23">
        <v>0.644312</v>
      </c>
      <c r="C4261" s="32">
        <f t="shared" si="66"/>
        <v>-6.3953057604386188E-2</v>
      </c>
    </row>
    <row r="4262" spans="1:3" x14ac:dyDescent="0.6">
      <c r="A4262" s="24">
        <v>35723</v>
      </c>
      <c r="B4262" s="23">
        <v>0.59828899999999996</v>
      </c>
      <c r="C4262" s="32">
        <f t="shared" si="66"/>
        <v>-7.1429680030792642E-2</v>
      </c>
    </row>
    <row r="4263" spans="1:3" x14ac:dyDescent="0.6">
      <c r="A4263" s="24">
        <v>35724</v>
      </c>
      <c r="B4263" s="23">
        <v>0.61029500000000003</v>
      </c>
      <c r="C4263" s="32">
        <f t="shared" si="66"/>
        <v>2.0067225036729752E-2</v>
      </c>
    </row>
    <row r="4264" spans="1:3" x14ac:dyDescent="0.6">
      <c r="A4264" s="24">
        <v>35725</v>
      </c>
      <c r="B4264" s="23">
        <v>0.59428700000000001</v>
      </c>
      <c r="C4264" s="32">
        <f t="shared" si="66"/>
        <v>-2.6229937980812634E-2</v>
      </c>
    </row>
    <row r="4265" spans="1:3" x14ac:dyDescent="0.6">
      <c r="A4265" s="24">
        <v>35726</v>
      </c>
      <c r="B4265" s="23">
        <v>0.56827499999999997</v>
      </c>
      <c r="C4265" s="32">
        <f t="shared" si="66"/>
        <v>-4.3770097612769621E-2</v>
      </c>
    </row>
    <row r="4266" spans="1:3" x14ac:dyDescent="0.6">
      <c r="A4266" s="24">
        <v>35727</v>
      </c>
      <c r="B4266" s="23">
        <v>0.53025599999999995</v>
      </c>
      <c r="C4266" s="32">
        <f t="shared" si="66"/>
        <v>-6.6902467995248793E-2</v>
      </c>
    </row>
    <row r="4267" spans="1:3" x14ac:dyDescent="0.6">
      <c r="A4267" s="24">
        <v>35730</v>
      </c>
      <c r="B4267" s="23">
        <v>0.53625900000000004</v>
      </c>
      <c r="C4267" s="32">
        <f t="shared" si="66"/>
        <v>1.1320946863401904E-2</v>
      </c>
    </row>
    <row r="4268" spans="1:3" x14ac:dyDescent="0.6">
      <c r="A4268" s="24">
        <v>35731</v>
      </c>
      <c r="B4268" s="23">
        <v>0.58028100000000005</v>
      </c>
      <c r="C4268" s="32">
        <f t="shared" si="66"/>
        <v>8.209092994243461E-2</v>
      </c>
    </row>
    <row r="4269" spans="1:3" x14ac:dyDescent="0.6">
      <c r="A4269" s="24">
        <v>35732</v>
      </c>
      <c r="B4269" s="23">
        <v>0.56027099999999996</v>
      </c>
      <c r="C4269" s="32">
        <f t="shared" si="66"/>
        <v>-3.4483293438868579E-2</v>
      </c>
    </row>
    <row r="4270" spans="1:3" x14ac:dyDescent="0.6">
      <c r="A4270" s="24">
        <v>35733</v>
      </c>
      <c r="B4270" s="23">
        <v>0.52825500000000003</v>
      </c>
      <c r="C4270" s="32">
        <f t="shared" si="66"/>
        <v>-5.7143775065994773E-2</v>
      </c>
    </row>
    <row r="4271" spans="1:3" x14ac:dyDescent="0.6">
      <c r="A4271" s="24">
        <v>35734</v>
      </c>
      <c r="B4271" s="23">
        <v>0.54526200000000002</v>
      </c>
      <c r="C4271" s="32">
        <f t="shared" si="66"/>
        <v>3.2194678706306545E-2</v>
      </c>
    </row>
    <row r="4272" spans="1:3" x14ac:dyDescent="0.6">
      <c r="A4272" s="24">
        <v>35737</v>
      </c>
      <c r="B4272" s="23">
        <v>0.55626900000000001</v>
      </c>
      <c r="C4272" s="32">
        <f t="shared" si="66"/>
        <v>2.018662587893516E-2</v>
      </c>
    </row>
    <row r="4273" spans="1:3" x14ac:dyDescent="0.6">
      <c r="A4273" s="24">
        <v>35738</v>
      </c>
      <c r="B4273" s="23">
        <v>0.57427799999999996</v>
      </c>
      <c r="C4273" s="32">
        <f t="shared" si="66"/>
        <v>3.2374624507207628E-2</v>
      </c>
    </row>
    <row r="4274" spans="1:3" x14ac:dyDescent="0.6">
      <c r="A4274" s="24">
        <v>35739</v>
      </c>
      <c r="B4274" s="23">
        <v>0.58828400000000003</v>
      </c>
      <c r="C4274" s="32">
        <f t="shared" si="66"/>
        <v>2.4388884825816248E-2</v>
      </c>
    </row>
    <row r="4275" spans="1:3" x14ac:dyDescent="0.6">
      <c r="A4275" s="24">
        <v>35740</v>
      </c>
      <c r="B4275" s="23">
        <v>0.608294</v>
      </c>
      <c r="C4275" s="32">
        <f t="shared" si="66"/>
        <v>3.4014183625595829E-2</v>
      </c>
    </row>
    <row r="4276" spans="1:3" x14ac:dyDescent="0.6">
      <c r="A4276" s="24">
        <v>35741</v>
      </c>
      <c r="B4276" s="23">
        <v>0.63230600000000003</v>
      </c>
      <c r="C4276" s="32">
        <f t="shared" si="66"/>
        <v>3.947433313496429E-2</v>
      </c>
    </row>
    <row r="4277" spans="1:3" x14ac:dyDescent="0.6">
      <c r="A4277" s="24">
        <v>35744</v>
      </c>
      <c r="B4277" s="23">
        <v>0.59828899999999996</v>
      </c>
      <c r="C4277" s="32">
        <f t="shared" si="66"/>
        <v>-5.3798319168250952E-2</v>
      </c>
    </row>
    <row r="4278" spans="1:3" x14ac:dyDescent="0.6">
      <c r="A4278" s="24">
        <v>35745</v>
      </c>
      <c r="B4278" s="23">
        <v>0.58828400000000003</v>
      </c>
      <c r="C4278" s="32">
        <f t="shared" si="66"/>
        <v>-1.6722687530608016E-2</v>
      </c>
    </row>
    <row r="4279" spans="1:3" x14ac:dyDescent="0.6">
      <c r="A4279" s="24">
        <v>35746</v>
      </c>
      <c r="B4279" s="23">
        <v>0.56427300000000002</v>
      </c>
      <c r="C4279" s="32">
        <f t="shared" si="66"/>
        <v>-4.0815320491463303E-2</v>
      </c>
    </row>
    <row r="4280" spans="1:3" x14ac:dyDescent="0.6">
      <c r="A4280" s="24">
        <v>35747</v>
      </c>
      <c r="B4280" s="23">
        <v>0.57627899999999999</v>
      </c>
      <c r="C4280" s="32">
        <f t="shared" si="66"/>
        <v>2.1276935100563055E-2</v>
      </c>
    </row>
    <row r="4281" spans="1:3" x14ac:dyDescent="0.6">
      <c r="A4281" s="24">
        <v>35748</v>
      </c>
      <c r="B4281" s="23">
        <v>0.59028499999999995</v>
      </c>
      <c r="C4281" s="32">
        <f t="shared" si="66"/>
        <v>2.430419987540744E-2</v>
      </c>
    </row>
    <row r="4282" spans="1:3" x14ac:dyDescent="0.6">
      <c r="A4282" s="24">
        <v>35751</v>
      </c>
      <c r="B4282" s="23">
        <v>0.59228599999999998</v>
      </c>
      <c r="C4282" s="32">
        <f t="shared" si="66"/>
        <v>3.3898879354887779E-3</v>
      </c>
    </row>
    <row r="4283" spans="1:3" x14ac:dyDescent="0.6">
      <c r="A4283" s="24">
        <v>35752</v>
      </c>
      <c r="B4283" s="23">
        <v>0.57828000000000002</v>
      </c>
      <c r="C4283" s="32">
        <f t="shared" si="66"/>
        <v>-2.3647359552648517E-2</v>
      </c>
    </row>
    <row r="4284" spans="1:3" x14ac:dyDescent="0.6">
      <c r="A4284" s="24">
        <v>35753</v>
      </c>
      <c r="B4284" s="23">
        <v>0.584283</v>
      </c>
      <c r="C4284" s="32">
        <f t="shared" si="66"/>
        <v>1.0380784395102705E-2</v>
      </c>
    </row>
    <row r="4285" spans="1:3" x14ac:dyDescent="0.6">
      <c r="A4285" s="24">
        <v>35754</v>
      </c>
      <c r="B4285" s="23">
        <v>0.59228599999999998</v>
      </c>
      <c r="C4285" s="32">
        <f t="shared" si="66"/>
        <v>1.3697129644367534E-2</v>
      </c>
    </row>
    <row r="4286" spans="1:3" x14ac:dyDescent="0.6">
      <c r="A4286" s="24">
        <v>35755</v>
      </c>
      <c r="B4286" s="23">
        <v>0.58228199999999997</v>
      </c>
      <c r="C4286" s="32">
        <f t="shared" si="66"/>
        <v>-1.6890488716599816E-2</v>
      </c>
    </row>
    <row r="4287" spans="1:3" x14ac:dyDescent="0.6">
      <c r="A4287" s="24">
        <v>35758</v>
      </c>
      <c r="B4287" s="23">
        <v>0.56427300000000002</v>
      </c>
      <c r="C4287" s="32">
        <f t="shared" si="66"/>
        <v>-3.0928313085412107E-2</v>
      </c>
    </row>
    <row r="4288" spans="1:3" x14ac:dyDescent="0.6">
      <c r="A4288" s="24">
        <v>35759</v>
      </c>
      <c r="B4288" s="23">
        <v>0.55626900000000001</v>
      </c>
      <c r="C4288" s="32">
        <f t="shared" si="66"/>
        <v>-1.4184623400375407E-2</v>
      </c>
    </row>
    <row r="4289" spans="1:3" x14ac:dyDescent="0.6">
      <c r="A4289" s="24">
        <v>35760</v>
      </c>
      <c r="B4289" s="23">
        <v>0.56027099999999996</v>
      </c>
      <c r="C4289" s="32">
        <f t="shared" si="66"/>
        <v>7.1943610016016457E-3</v>
      </c>
    </row>
    <row r="4290" spans="1:3" x14ac:dyDescent="0.6">
      <c r="A4290" s="24">
        <v>35762</v>
      </c>
      <c r="B4290" s="23">
        <v>0.56827499999999997</v>
      </c>
      <c r="C4290" s="32">
        <f t="shared" si="66"/>
        <v>1.4285943766498832E-2</v>
      </c>
    </row>
    <row r="4291" spans="1:3" x14ac:dyDescent="0.6">
      <c r="A4291" s="24">
        <v>35765</v>
      </c>
      <c r="B4291" s="23">
        <v>0.56827499999999997</v>
      </c>
      <c r="C4291" s="32">
        <f t="shared" si="66"/>
        <v>0</v>
      </c>
    </row>
    <row r="4292" spans="1:3" x14ac:dyDescent="0.6">
      <c r="A4292" s="24">
        <v>35766</v>
      </c>
      <c r="B4292" s="23">
        <v>0.50824599999999998</v>
      </c>
      <c r="C4292" s="32">
        <f t="shared" ref="C4292:C4355" si="67">B4292/B4291-1</f>
        <v>-0.10563371607056438</v>
      </c>
    </row>
    <row r="4293" spans="1:3" x14ac:dyDescent="0.6">
      <c r="A4293" s="24">
        <v>35767</v>
      </c>
      <c r="B4293" s="23">
        <v>0.50424400000000003</v>
      </c>
      <c r="C4293" s="32">
        <f t="shared" si="67"/>
        <v>-7.874139688261117E-3</v>
      </c>
    </row>
    <row r="4294" spans="1:3" x14ac:dyDescent="0.6">
      <c r="A4294" s="24">
        <v>35768</v>
      </c>
      <c r="B4294" s="23">
        <v>0.50024199999999996</v>
      </c>
      <c r="C4294" s="32">
        <f t="shared" si="67"/>
        <v>-7.9366338518654933E-3</v>
      </c>
    </row>
    <row r="4295" spans="1:3" x14ac:dyDescent="0.6">
      <c r="A4295" s="24">
        <v>35769</v>
      </c>
      <c r="B4295" s="23">
        <v>0.50624499999999995</v>
      </c>
      <c r="C4295" s="32">
        <f t="shared" si="67"/>
        <v>1.2000191907116875E-2</v>
      </c>
    </row>
    <row r="4296" spans="1:3" x14ac:dyDescent="0.6">
      <c r="A4296" s="24">
        <v>35772</v>
      </c>
      <c r="B4296" s="23">
        <v>0.49824099999999999</v>
      </c>
      <c r="C4296" s="32">
        <f t="shared" si="67"/>
        <v>-1.5810526523718615E-2</v>
      </c>
    </row>
    <row r="4297" spans="1:3" x14ac:dyDescent="0.6">
      <c r="A4297" s="24">
        <v>35773</v>
      </c>
      <c r="B4297" s="23">
        <v>0.488236</v>
      </c>
      <c r="C4297" s="32">
        <f t="shared" si="67"/>
        <v>-2.0080643704552537E-2</v>
      </c>
    </row>
    <row r="4298" spans="1:3" x14ac:dyDescent="0.6">
      <c r="A4298" s="24">
        <v>35774</v>
      </c>
      <c r="B4298" s="23">
        <v>0.47222799999999998</v>
      </c>
      <c r="C4298" s="32">
        <f t="shared" si="67"/>
        <v>-3.2787422476015737E-2</v>
      </c>
    </row>
    <row r="4299" spans="1:3" x14ac:dyDescent="0.6">
      <c r="A4299" s="24">
        <v>35775</v>
      </c>
      <c r="B4299" s="23">
        <v>0.466225</v>
      </c>
      <c r="C4299" s="32">
        <f t="shared" si="67"/>
        <v>-1.2712079758082973E-2</v>
      </c>
    </row>
    <row r="4300" spans="1:3" x14ac:dyDescent="0.6">
      <c r="A4300" s="24">
        <v>35776</v>
      </c>
      <c r="B4300" s="23">
        <v>0.45221899999999998</v>
      </c>
      <c r="C4300" s="32">
        <f t="shared" si="67"/>
        <v>-3.0041289077162303E-2</v>
      </c>
    </row>
    <row r="4301" spans="1:3" x14ac:dyDescent="0.6">
      <c r="A4301" s="24">
        <v>35779</v>
      </c>
      <c r="B4301" s="23">
        <v>0.446216</v>
      </c>
      <c r="C4301" s="32">
        <f t="shared" si="67"/>
        <v>-1.3274541759634162E-2</v>
      </c>
    </row>
    <row r="4302" spans="1:3" x14ac:dyDescent="0.6">
      <c r="A4302" s="24">
        <v>35780</v>
      </c>
      <c r="B4302" s="23">
        <v>0.45822200000000002</v>
      </c>
      <c r="C4302" s="32">
        <f t="shared" si="67"/>
        <v>2.6906251680800297E-2</v>
      </c>
    </row>
    <row r="4303" spans="1:3" x14ac:dyDescent="0.6">
      <c r="A4303" s="24">
        <v>35781</v>
      </c>
      <c r="B4303" s="23">
        <v>0.446216</v>
      </c>
      <c r="C4303" s="32">
        <f t="shared" si="67"/>
        <v>-2.6201273618464471E-2</v>
      </c>
    </row>
    <row r="4304" spans="1:3" x14ac:dyDescent="0.6">
      <c r="A4304" s="24">
        <v>35782</v>
      </c>
      <c r="B4304" s="23">
        <v>0.442214</v>
      </c>
      <c r="C4304" s="32">
        <f t="shared" si="67"/>
        <v>-8.9687505602668027E-3</v>
      </c>
    </row>
    <row r="4305" spans="1:3" x14ac:dyDescent="0.6">
      <c r="A4305" s="24">
        <v>35783</v>
      </c>
      <c r="B4305" s="23">
        <v>0.43821199999999999</v>
      </c>
      <c r="C4305" s="32">
        <f t="shared" si="67"/>
        <v>-9.0499170085072134E-3</v>
      </c>
    </row>
    <row r="4306" spans="1:3" x14ac:dyDescent="0.6">
      <c r="A4306" s="24">
        <v>35786</v>
      </c>
      <c r="B4306" s="23">
        <v>0.42620599999999997</v>
      </c>
      <c r="C4306" s="32">
        <f t="shared" si="67"/>
        <v>-2.7397697917902808E-2</v>
      </c>
    </row>
    <row r="4307" spans="1:3" x14ac:dyDescent="0.6">
      <c r="A4307" s="24">
        <v>35787</v>
      </c>
      <c r="B4307" s="23">
        <v>0.41420000000000001</v>
      </c>
      <c r="C4307" s="32">
        <f t="shared" si="67"/>
        <v>-2.8169476731908949E-2</v>
      </c>
    </row>
    <row r="4308" spans="1:3" x14ac:dyDescent="0.6">
      <c r="A4308" s="24">
        <v>35788</v>
      </c>
      <c r="B4308" s="23">
        <v>0.42020299999999999</v>
      </c>
      <c r="C4308" s="32">
        <f t="shared" si="67"/>
        <v>1.4492998551424385E-2</v>
      </c>
    </row>
    <row r="4309" spans="1:3" x14ac:dyDescent="0.6">
      <c r="A4309" s="24">
        <v>35790</v>
      </c>
      <c r="B4309" s="23">
        <v>0.42620599999999997</v>
      </c>
      <c r="C4309" s="32">
        <f t="shared" si="67"/>
        <v>1.4285952265928659E-2</v>
      </c>
    </row>
    <row r="4310" spans="1:3" x14ac:dyDescent="0.6">
      <c r="A4310" s="24">
        <v>35793</v>
      </c>
      <c r="B4310" s="23">
        <v>0.42020299999999999</v>
      </c>
      <c r="C4310" s="32">
        <f t="shared" si="67"/>
        <v>-1.4084738365954474E-2</v>
      </c>
    </row>
    <row r="4311" spans="1:3" x14ac:dyDescent="0.6">
      <c r="A4311" s="24">
        <v>35794</v>
      </c>
      <c r="B4311" s="23">
        <v>0.42220400000000002</v>
      </c>
      <c r="C4311" s="32">
        <f t="shared" si="67"/>
        <v>4.7619840886430342E-3</v>
      </c>
    </row>
    <row r="4312" spans="1:3" x14ac:dyDescent="0.6">
      <c r="A4312" s="24">
        <v>35795</v>
      </c>
      <c r="B4312" s="23">
        <v>0.42020299999999999</v>
      </c>
      <c r="C4312" s="32">
        <f t="shared" si="67"/>
        <v>-4.7394150694924919E-3</v>
      </c>
    </row>
    <row r="4313" spans="1:3" x14ac:dyDescent="0.6">
      <c r="A4313" s="24">
        <v>35797</v>
      </c>
      <c r="B4313" s="23">
        <v>0.52025200000000005</v>
      </c>
      <c r="C4313" s="32">
        <f t="shared" si="67"/>
        <v>0.23809682463000037</v>
      </c>
    </row>
    <row r="4314" spans="1:3" x14ac:dyDescent="0.6">
      <c r="A4314" s="24">
        <v>35800</v>
      </c>
      <c r="B4314" s="23">
        <v>0.50824599999999998</v>
      </c>
      <c r="C4314" s="32">
        <f t="shared" si="67"/>
        <v>-2.3077277934539508E-2</v>
      </c>
    </row>
    <row r="4315" spans="1:3" x14ac:dyDescent="0.6">
      <c r="A4315" s="24">
        <v>35801</v>
      </c>
      <c r="B4315" s="23">
        <v>0.60629299999999997</v>
      </c>
      <c r="C4315" s="32">
        <f t="shared" si="67"/>
        <v>0.19291248726010624</v>
      </c>
    </row>
    <row r="4316" spans="1:3" x14ac:dyDescent="0.6">
      <c r="A4316" s="24">
        <v>35802</v>
      </c>
      <c r="B4316" s="23">
        <v>0.56027099999999996</v>
      </c>
      <c r="C4316" s="32">
        <f t="shared" si="67"/>
        <v>-7.5907193386695937E-2</v>
      </c>
    </row>
    <row r="4317" spans="1:3" x14ac:dyDescent="0.6">
      <c r="A4317" s="24">
        <v>35803</v>
      </c>
      <c r="B4317" s="23">
        <v>0.58228199999999997</v>
      </c>
      <c r="C4317" s="32">
        <f t="shared" si="67"/>
        <v>3.9286345357871566E-2</v>
      </c>
    </row>
    <row r="4318" spans="1:3" x14ac:dyDescent="0.6">
      <c r="A4318" s="24">
        <v>35804</v>
      </c>
      <c r="B4318" s="23">
        <v>0.58228199999999997</v>
      </c>
      <c r="C4318" s="32">
        <f t="shared" si="67"/>
        <v>0</v>
      </c>
    </row>
    <row r="4319" spans="1:3" x14ac:dyDescent="0.6">
      <c r="A4319" s="24">
        <v>35807</v>
      </c>
      <c r="B4319" s="23">
        <v>0.584283</v>
      </c>
      <c r="C4319" s="32">
        <f t="shared" si="67"/>
        <v>3.4364792317125303E-3</v>
      </c>
    </row>
    <row r="4320" spans="1:3" x14ac:dyDescent="0.6">
      <c r="A4320" s="24">
        <v>35808</v>
      </c>
      <c r="B4320" s="23">
        <v>0.62430200000000002</v>
      </c>
      <c r="C4320" s="32">
        <f t="shared" si="67"/>
        <v>6.8492494219410949E-2</v>
      </c>
    </row>
    <row r="4321" spans="1:3" x14ac:dyDescent="0.6">
      <c r="A4321" s="24">
        <v>35809</v>
      </c>
      <c r="B4321" s="23">
        <v>0.63230600000000003</v>
      </c>
      <c r="C4321" s="32">
        <f t="shared" si="67"/>
        <v>1.2820718178061297E-2</v>
      </c>
    </row>
    <row r="4322" spans="1:3" x14ac:dyDescent="0.6">
      <c r="A4322" s="24">
        <v>35810</v>
      </c>
      <c r="B4322" s="23">
        <v>0.61429699999999998</v>
      </c>
      <c r="C4322" s="32">
        <f t="shared" si="67"/>
        <v>-2.8481463089074066E-2</v>
      </c>
    </row>
    <row r="4323" spans="1:3" x14ac:dyDescent="0.6">
      <c r="A4323" s="24">
        <v>35811</v>
      </c>
      <c r="B4323" s="23">
        <v>0.60229100000000002</v>
      </c>
      <c r="C4323" s="32">
        <f t="shared" si="67"/>
        <v>-1.9544292093238269E-2</v>
      </c>
    </row>
    <row r="4324" spans="1:3" x14ac:dyDescent="0.6">
      <c r="A4324" s="24">
        <v>35815</v>
      </c>
      <c r="B4324" s="23">
        <v>0.61029500000000003</v>
      </c>
      <c r="C4324" s="32">
        <f t="shared" si="67"/>
        <v>1.3289257186310355E-2</v>
      </c>
    </row>
    <row r="4325" spans="1:3" x14ac:dyDescent="0.6">
      <c r="A4325" s="24">
        <v>35816</v>
      </c>
      <c r="B4325" s="23">
        <v>0.60529100000000002</v>
      </c>
      <c r="C4325" s="32">
        <f t="shared" si="67"/>
        <v>-8.1993134467757134E-3</v>
      </c>
    </row>
    <row r="4326" spans="1:3" x14ac:dyDescent="0.6">
      <c r="A4326" s="24">
        <v>35817</v>
      </c>
      <c r="B4326" s="23">
        <v>0.61629800000000001</v>
      </c>
      <c r="C4326" s="32">
        <f t="shared" si="67"/>
        <v>1.8184641767348353E-2</v>
      </c>
    </row>
    <row r="4327" spans="1:3" x14ac:dyDescent="0.6">
      <c r="A4327" s="24">
        <v>35818</v>
      </c>
      <c r="B4327" s="23">
        <v>0.62430200000000002</v>
      </c>
      <c r="C4327" s="32">
        <f t="shared" si="67"/>
        <v>1.2987223713203599E-2</v>
      </c>
    </row>
    <row r="4328" spans="1:3" x14ac:dyDescent="0.6">
      <c r="A4328" s="24">
        <v>35821</v>
      </c>
      <c r="B4328" s="23">
        <v>0.62230099999999999</v>
      </c>
      <c r="C4328" s="32">
        <f t="shared" si="67"/>
        <v>-3.2051795445153797E-3</v>
      </c>
    </row>
    <row r="4329" spans="1:3" x14ac:dyDescent="0.6">
      <c r="A4329" s="24">
        <v>35822</v>
      </c>
      <c r="B4329" s="23">
        <v>0.61229599999999995</v>
      </c>
      <c r="C4329" s="32">
        <f t="shared" si="67"/>
        <v>-1.6077428768393465E-2</v>
      </c>
    </row>
    <row r="4330" spans="1:3" x14ac:dyDescent="0.6">
      <c r="A4330" s="24">
        <v>35823</v>
      </c>
      <c r="B4330" s="23">
        <v>0.61429699999999998</v>
      </c>
      <c r="C4330" s="32">
        <f t="shared" si="67"/>
        <v>3.2680272286607082E-3</v>
      </c>
    </row>
    <row r="4331" spans="1:3" x14ac:dyDescent="0.6">
      <c r="A4331" s="24">
        <v>35824</v>
      </c>
      <c r="B4331" s="23">
        <v>0.59228599999999998</v>
      </c>
      <c r="C4331" s="32">
        <f t="shared" si="67"/>
        <v>-3.5831202170936827E-2</v>
      </c>
    </row>
    <row r="4332" spans="1:3" x14ac:dyDescent="0.6">
      <c r="A4332" s="24">
        <v>35825</v>
      </c>
      <c r="B4332" s="23">
        <v>0.58628400000000003</v>
      </c>
      <c r="C4332" s="32">
        <f t="shared" si="67"/>
        <v>-1.0133617880550894E-2</v>
      </c>
    </row>
    <row r="4333" spans="1:3" x14ac:dyDescent="0.6">
      <c r="A4333" s="24">
        <v>35828</v>
      </c>
      <c r="B4333" s="23">
        <v>0.56627400000000006</v>
      </c>
      <c r="C4333" s="32">
        <f t="shared" si="67"/>
        <v>-3.4130216755019704E-2</v>
      </c>
    </row>
    <row r="4334" spans="1:3" x14ac:dyDescent="0.6">
      <c r="A4334" s="24">
        <v>35829</v>
      </c>
      <c r="B4334" s="23">
        <v>0.58628400000000003</v>
      </c>
      <c r="C4334" s="32">
        <f t="shared" si="67"/>
        <v>3.5336250648979162E-2</v>
      </c>
    </row>
    <row r="4335" spans="1:3" x14ac:dyDescent="0.6">
      <c r="A4335" s="24">
        <v>35830</v>
      </c>
      <c r="B4335" s="23">
        <v>0.584283</v>
      </c>
      <c r="C4335" s="32">
        <f t="shared" si="67"/>
        <v>-3.4130216755020593E-3</v>
      </c>
    </row>
    <row r="4336" spans="1:3" x14ac:dyDescent="0.6">
      <c r="A4336" s="24">
        <v>35831</v>
      </c>
      <c r="B4336" s="23">
        <v>0.58628400000000003</v>
      </c>
      <c r="C4336" s="32">
        <f t="shared" si="67"/>
        <v>3.4247102859401579E-3</v>
      </c>
    </row>
    <row r="4337" spans="1:3" x14ac:dyDescent="0.6">
      <c r="A4337" s="24">
        <v>35832</v>
      </c>
      <c r="B4337" s="23">
        <v>0.59228599999999998</v>
      </c>
      <c r="C4337" s="32">
        <f t="shared" si="67"/>
        <v>1.0237359368497012E-2</v>
      </c>
    </row>
    <row r="4338" spans="1:3" x14ac:dyDescent="0.6">
      <c r="A4338" s="24">
        <v>35835</v>
      </c>
      <c r="B4338" s="23">
        <v>0.61429699999999998</v>
      </c>
      <c r="C4338" s="32">
        <f t="shared" si="67"/>
        <v>3.7162789598268464E-2</v>
      </c>
    </row>
    <row r="4339" spans="1:3" x14ac:dyDescent="0.6">
      <c r="A4339" s="24">
        <v>35836</v>
      </c>
      <c r="B4339" s="23">
        <v>0.62230099999999999</v>
      </c>
      <c r="C4339" s="32">
        <f t="shared" si="67"/>
        <v>1.3029528062158846E-2</v>
      </c>
    </row>
    <row r="4340" spans="1:3" x14ac:dyDescent="0.6">
      <c r="A4340" s="24">
        <v>35837</v>
      </c>
      <c r="B4340" s="23">
        <v>0.608294</v>
      </c>
      <c r="C4340" s="32">
        <f t="shared" si="67"/>
        <v>-2.250840027575074E-2</v>
      </c>
    </row>
    <row r="4341" spans="1:3" x14ac:dyDescent="0.6">
      <c r="A4341" s="24">
        <v>35838</v>
      </c>
      <c r="B4341" s="23">
        <v>0.62029999999999996</v>
      </c>
      <c r="C4341" s="32">
        <f t="shared" si="67"/>
        <v>1.9737166567482145E-2</v>
      </c>
    </row>
    <row r="4342" spans="1:3" x14ac:dyDescent="0.6">
      <c r="A4342" s="24">
        <v>35839</v>
      </c>
      <c r="B4342" s="23">
        <v>0.62430200000000002</v>
      </c>
      <c r="C4342" s="32">
        <f t="shared" si="67"/>
        <v>6.4517169111721895E-3</v>
      </c>
    </row>
    <row r="4343" spans="1:3" x14ac:dyDescent="0.6">
      <c r="A4343" s="24">
        <v>35843</v>
      </c>
      <c r="B4343" s="23">
        <v>0.62830399999999997</v>
      </c>
      <c r="C4343" s="32">
        <f t="shared" si="67"/>
        <v>6.4103590890305373E-3</v>
      </c>
    </row>
    <row r="4344" spans="1:3" x14ac:dyDescent="0.6">
      <c r="A4344" s="24">
        <v>35844</v>
      </c>
      <c r="B4344" s="23">
        <v>0.65831799999999996</v>
      </c>
      <c r="C4344" s="32">
        <f t="shared" si="67"/>
        <v>4.7769869362601414E-2</v>
      </c>
    </row>
    <row r="4345" spans="1:3" x14ac:dyDescent="0.6">
      <c r="A4345" s="24">
        <v>35845</v>
      </c>
      <c r="B4345" s="23">
        <v>0.65431600000000001</v>
      </c>
      <c r="C4345" s="32">
        <f t="shared" si="67"/>
        <v>-6.0791289316104447E-3</v>
      </c>
    </row>
    <row r="4346" spans="1:3" x14ac:dyDescent="0.6">
      <c r="A4346" s="24">
        <v>35846</v>
      </c>
      <c r="B4346" s="23">
        <v>0.64031000000000005</v>
      </c>
      <c r="C4346" s="32">
        <f t="shared" si="67"/>
        <v>-2.1405559393320561E-2</v>
      </c>
    </row>
    <row r="4347" spans="1:3" x14ac:dyDescent="0.6">
      <c r="A4347" s="24">
        <v>35849</v>
      </c>
      <c r="B4347" s="23">
        <v>0.68032899999999996</v>
      </c>
      <c r="C4347" s="32">
        <f t="shared" si="67"/>
        <v>6.2499414346175897E-2</v>
      </c>
    </row>
    <row r="4348" spans="1:3" x14ac:dyDescent="0.6">
      <c r="A4348" s="24">
        <v>35850</v>
      </c>
      <c r="B4348" s="23">
        <v>0.68232999999999999</v>
      </c>
      <c r="C4348" s="32">
        <f t="shared" si="67"/>
        <v>2.9412240254347299E-3</v>
      </c>
    </row>
    <row r="4349" spans="1:3" x14ac:dyDescent="0.6">
      <c r="A4349" s="24">
        <v>35851</v>
      </c>
      <c r="B4349" s="23">
        <v>0.71434500000000001</v>
      </c>
      <c r="C4349" s="32">
        <f t="shared" si="67"/>
        <v>4.6920111969281697E-2</v>
      </c>
    </row>
    <row r="4350" spans="1:3" x14ac:dyDescent="0.6">
      <c r="A4350" s="24">
        <v>35852</v>
      </c>
      <c r="B4350" s="23">
        <v>0.75236400000000003</v>
      </c>
      <c r="C4350" s="32">
        <f t="shared" si="67"/>
        <v>5.3222182558847697E-2</v>
      </c>
    </row>
    <row r="4351" spans="1:3" x14ac:dyDescent="0.6">
      <c r="A4351" s="24">
        <v>35853</v>
      </c>
      <c r="B4351" s="23">
        <v>0.75636599999999998</v>
      </c>
      <c r="C4351" s="32">
        <f t="shared" si="67"/>
        <v>5.3192337751406527E-3</v>
      </c>
    </row>
    <row r="4352" spans="1:3" x14ac:dyDescent="0.6">
      <c r="A4352" s="24">
        <v>35856</v>
      </c>
      <c r="B4352" s="23">
        <v>0.728352</v>
      </c>
      <c r="C4352" s="32">
        <f t="shared" si="67"/>
        <v>-3.7037624642038303E-2</v>
      </c>
    </row>
    <row r="4353" spans="1:3" x14ac:dyDescent="0.6">
      <c r="A4353" s="24">
        <v>35857</v>
      </c>
      <c r="B4353" s="23">
        <v>0.74035799999999996</v>
      </c>
      <c r="C4353" s="32">
        <f t="shared" si="67"/>
        <v>1.6483788058521132E-2</v>
      </c>
    </row>
    <row r="4354" spans="1:3" x14ac:dyDescent="0.6">
      <c r="A4354" s="24">
        <v>35858</v>
      </c>
      <c r="B4354" s="23">
        <v>0.78237800000000002</v>
      </c>
      <c r="C4354" s="32">
        <f t="shared" si="67"/>
        <v>5.6756325993640999E-2</v>
      </c>
    </row>
    <row r="4355" spans="1:3" x14ac:dyDescent="0.6">
      <c r="A4355" s="24">
        <v>35859</v>
      </c>
      <c r="B4355" s="23">
        <v>0.77037299999999997</v>
      </c>
      <c r="C4355" s="32">
        <f t="shared" si="67"/>
        <v>-1.5344245364772635E-2</v>
      </c>
    </row>
    <row r="4356" spans="1:3" x14ac:dyDescent="0.6">
      <c r="A4356" s="24">
        <v>35860</v>
      </c>
      <c r="B4356" s="23">
        <v>0.78237800000000002</v>
      </c>
      <c r="C4356" s="32">
        <f t="shared" ref="C4356:C4419" si="68">B4356/B4355-1</f>
        <v>1.5583360268337509E-2</v>
      </c>
    </row>
    <row r="4357" spans="1:3" x14ac:dyDescent="0.6">
      <c r="A4357" s="24">
        <v>35863</v>
      </c>
      <c r="B4357" s="23">
        <v>0.728352</v>
      </c>
      <c r="C4357" s="32">
        <f t="shared" si="68"/>
        <v>-6.9053577682399059E-2</v>
      </c>
    </row>
    <row r="4358" spans="1:3" x14ac:dyDescent="0.6">
      <c r="A4358" s="24">
        <v>35864</v>
      </c>
      <c r="B4358" s="23">
        <v>0.77037299999999997</v>
      </c>
      <c r="C4358" s="32">
        <f t="shared" si="68"/>
        <v>5.7693258204823961E-2</v>
      </c>
    </row>
    <row r="4359" spans="1:3" x14ac:dyDescent="0.6">
      <c r="A4359" s="24">
        <v>35865</v>
      </c>
      <c r="B4359" s="23">
        <v>0.83640400000000004</v>
      </c>
      <c r="C4359" s="32">
        <f t="shared" si="68"/>
        <v>8.5713024729579201E-2</v>
      </c>
    </row>
    <row r="4360" spans="1:3" x14ac:dyDescent="0.6">
      <c r="A4360" s="24">
        <v>35866</v>
      </c>
      <c r="B4360" s="23">
        <v>0.86441800000000002</v>
      </c>
      <c r="C4360" s="32">
        <f t="shared" si="68"/>
        <v>3.3493383580183611E-2</v>
      </c>
    </row>
    <row r="4361" spans="1:3" x14ac:dyDescent="0.6">
      <c r="A4361" s="24">
        <v>35867</v>
      </c>
      <c r="B4361" s="23">
        <v>0.86841999999999997</v>
      </c>
      <c r="C4361" s="32">
        <f t="shared" si="68"/>
        <v>4.6297046105008288E-3</v>
      </c>
    </row>
    <row r="4362" spans="1:3" x14ac:dyDescent="0.6">
      <c r="A4362" s="24">
        <v>35870</v>
      </c>
      <c r="B4362" s="23">
        <v>0.85441299999999998</v>
      </c>
      <c r="C4362" s="32">
        <f t="shared" si="68"/>
        <v>-1.612929227793003E-2</v>
      </c>
    </row>
    <row r="4363" spans="1:3" x14ac:dyDescent="0.6">
      <c r="A4363" s="24">
        <v>35871</v>
      </c>
      <c r="B4363" s="23">
        <v>0.84340599999999999</v>
      </c>
      <c r="C4363" s="32">
        <f t="shared" si="68"/>
        <v>-1.2882528706843144E-2</v>
      </c>
    </row>
    <row r="4364" spans="1:3" x14ac:dyDescent="0.6">
      <c r="A4364" s="24">
        <v>35872</v>
      </c>
      <c r="B4364" s="23">
        <v>0.86241699999999999</v>
      </c>
      <c r="C4364" s="32">
        <f t="shared" si="68"/>
        <v>2.2540745500980508E-2</v>
      </c>
    </row>
    <row r="4365" spans="1:3" x14ac:dyDescent="0.6">
      <c r="A4365" s="24">
        <v>35873</v>
      </c>
      <c r="B4365" s="23">
        <v>0.85641400000000001</v>
      </c>
      <c r="C4365" s="32">
        <f t="shared" si="68"/>
        <v>-6.960669838372846E-3</v>
      </c>
    </row>
    <row r="4366" spans="1:3" x14ac:dyDescent="0.6">
      <c r="A4366" s="24">
        <v>35874</v>
      </c>
      <c r="B4366" s="23">
        <v>0.84440800000000005</v>
      </c>
      <c r="C4366" s="32">
        <f t="shared" si="68"/>
        <v>-1.4018920755615838E-2</v>
      </c>
    </row>
    <row r="4367" spans="1:3" x14ac:dyDescent="0.6">
      <c r="A4367" s="24">
        <v>35877</v>
      </c>
      <c r="B4367" s="23">
        <v>0.83640400000000004</v>
      </c>
      <c r="C4367" s="32">
        <f t="shared" si="68"/>
        <v>-9.4788301389849838E-3</v>
      </c>
    </row>
    <row r="4368" spans="1:3" x14ac:dyDescent="0.6">
      <c r="A4368" s="24">
        <v>35878</v>
      </c>
      <c r="B4368" s="23">
        <v>0.89643300000000004</v>
      </c>
      <c r="C4368" s="32">
        <f t="shared" si="68"/>
        <v>7.1770340648777298E-2</v>
      </c>
    </row>
    <row r="4369" spans="1:3" x14ac:dyDescent="0.6">
      <c r="A4369" s="24">
        <v>35879</v>
      </c>
      <c r="B4369" s="23">
        <v>0.86941900000000005</v>
      </c>
      <c r="C4369" s="32">
        <f t="shared" si="68"/>
        <v>-3.0134990568174036E-2</v>
      </c>
    </row>
    <row r="4370" spans="1:3" x14ac:dyDescent="0.6">
      <c r="A4370" s="24">
        <v>35880</v>
      </c>
      <c r="B4370" s="23">
        <v>0.85041100000000003</v>
      </c>
      <c r="C4370" s="32">
        <f t="shared" si="68"/>
        <v>-2.1862876242640272E-2</v>
      </c>
    </row>
    <row r="4371" spans="1:3" x14ac:dyDescent="0.6">
      <c r="A4371" s="24">
        <v>35881</v>
      </c>
      <c r="B4371" s="23">
        <v>0.86241699999999999</v>
      </c>
      <c r="C4371" s="32">
        <f t="shared" si="68"/>
        <v>1.4117879472396178E-2</v>
      </c>
    </row>
    <row r="4372" spans="1:3" x14ac:dyDescent="0.6">
      <c r="A4372" s="24">
        <v>35884</v>
      </c>
      <c r="B4372" s="23">
        <v>0.87842500000000001</v>
      </c>
      <c r="C4372" s="32">
        <f t="shared" si="68"/>
        <v>1.8561786235661071E-2</v>
      </c>
    </row>
    <row r="4373" spans="1:3" x14ac:dyDescent="0.6">
      <c r="A4373" s="24">
        <v>35885</v>
      </c>
      <c r="B4373" s="23">
        <v>0.88042600000000004</v>
      </c>
      <c r="C4373" s="32">
        <f t="shared" si="68"/>
        <v>2.2779406323818474E-3</v>
      </c>
    </row>
    <row r="4374" spans="1:3" x14ac:dyDescent="0.6">
      <c r="A4374" s="24">
        <v>35886</v>
      </c>
      <c r="B4374" s="23">
        <v>0.88042600000000004</v>
      </c>
      <c r="C4374" s="32">
        <f t="shared" si="68"/>
        <v>0</v>
      </c>
    </row>
    <row r="4375" spans="1:3" x14ac:dyDescent="0.6">
      <c r="A4375" s="24">
        <v>35887</v>
      </c>
      <c r="B4375" s="23">
        <v>0.87442299999999995</v>
      </c>
      <c r="C4375" s="32">
        <f t="shared" si="68"/>
        <v>-6.818290236771829E-3</v>
      </c>
    </row>
    <row r="4376" spans="1:3" x14ac:dyDescent="0.6">
      <c r="A4376" s="24">
        <v>35888</v>
      </c>
      <c r="B4376" s="23">
        <v>0.86641900000000005</v>
      </c>
      <c r="C4376" s="32">
        <f t="shared" si="68"/>
        <v>-9.1534646275314158E-3</v>
      </c>
    </row>
    <row r="4377" spans="1:3" x14ac:dyDescent="0.6">
      <c r="A4377" s="24">
        <v>35891</v>
      </c>
      <c r="B4377" s="23">
        <v>0.84040599999999999</v>
      </c>
      <c r="C4377" s="32">
        <f t="shared" si="68"/>
        <v>-3.0023579815308787E-2</v>
      </c>
    </row>
    <row r="4378" spans="1:3" x14ac:dyDescent="0.6">
      <c r="A4378" s="24">
        <v>35892</v>
      </c>
      <c r="B4378" s="23">
        <v>0.81639499999999998</v>
      </c>
      <c r="C4378" s="32">
        <f t="shared" si="68"/>
        <v>-2.8570714630785643E-2</v>
      </c>
    </row>
    <row r="4379" spans="1:3" x14ac:dyDescent="0.6">
      <c r="A4379" s="24">
        <v>35893</v>
      </c>
      <c r="B4379" s="23">
        <v>0.80038699999999996</v>
      </c>
      <c r="C4379" s="32">
        <f t="shared" si="68"/>
        <v>-1.9608155365968716E-2</v>
      </c>
    </row>
    <row r="4380" spans="1:3" x14ac:dyDescent="0.6">
      <c r="A4380" s="24">
        <v>35894</v>
      </c>
      <c r="B4380" s="23">
        <v>0.82039700000000004</v>
      </c>
      <c r="C4380" s="32">
        <f t="shared" si="68"/>
        <v>2.5000406053571789E-2</v>
      </c>
    </row>
    <row r="4381" spans="1:3" x14ac:dyDescent="0.6">
      <c r="A4381" s="24">
        <v>35898</v>
      </c>
      <c r="B4381" s="23">
        <v>0.84640899999999997</v>
      </c>
      <c r="C4381" s="32">
        <f t="shared" si="68"/>
        <v>3.1706600584838762E-2</v>
      </c>
    </row>
    <row r="4382" spans="1:3" x14ac:dyDescent="0.6">
      <c r="A4382" s="24">
        <v>35899</v>
      </c>
      <c r="B4382" s="23">
        <v>0.86241699999999999</v>
      </c>
      <c r="C4382" s="32">
        <f t="shared" si="68"/>
        <v>1.8912842372895478E-2</v>
      </c>
    </row>
    <row r="4383" spans="1:3" x14ac:dyDescent="0.6">
      <c r="A4383" s="24">
        <v>35900</v>
      </c>
      <c r="B4383" s="23">
        <v>0.87842500000000001</v>
      </c>
      <c r="C4383" s="32">
        <f t="shared" si="68"/>
        <v>1.8561786235661071E-2</v>
      </c>
    </row>
    <row r="4384" spans="1:3" x14ac:dyDescent="0.6">
      <c r="A4384" s="24">
        <v>35901</v>
      </c>
      <c r="B4384" s="23">
        <v>0.91644300000000001</v>
      </c>
      <c r="C4384" s="32">
        <f t="shared" si="68"/>
        <v>4.3279733614138838E-2</v>
      </c>
    </row>
    <row r="4385" spans="1:3" x14ac:dyDescent="0.6">
      <c r="A4385" s="24">
        <v>35902</v>
      </c>
      <c r="B4385" s="23">
        <v>0.894432</v>
      </c>
      <c r="C4385" s="32">
        <f t="shared" si="68"/>
        <v>-2.4017860357927301E-2</v>
      </c>
    </row>
    <row r="4386" spans="1:3" x14ac:dyDescent="0.6">
      <c r="A4386" s="24">
        <v>35905</v>
      </c>
      <c r="B4386" s="23">
        <v>0.92844899999999997</v>
      </c>
      <c r="C4386" s="32">
        <f t="shared" si="68"/>
        <v>3.8031957711709641E-2</v>
      </c>
    </row>
    <row r="4387" spans="1:3" x14ac:dyDescent="0.6">
      <c r="A4387" s="24">
        <v>35906</v>
      </c>
      <c r="B4387" s="23">
        <v>0.92844899999999997</v>
      </c>
      <c r="C4387" s="32">
        <f t="shared" si="68"/>
        <v>0</v>
      </c>
    </row>
    <row r="4388" spans="1:3" x14ac:dyDescent="0.6">
      <c r="A4388" s="24">
        <v>35907</v>
      </c>
      <c r="B4388" s="23">
        <v>0.88042600000000004</v>
      </c>
      <c r="C4388" s="32">
        <f t="shared" si="68"/>
        <v>-5.1723896519894952E-2</v>
      </c>
    </row>
    <row r="4389" spans="1:3" x14ac:dyDescent="0.6">
      <c r="A4389" s="24">
        <v>35908</v>
      </c>
      <c r="B4389" s="23">
        <v>0.88642900000000002</v>
      </c>
      <c r="C4389" s="32">
        <f t="shared" si="68"/>
        <v>6.818290236771718E-3</v>
      </c>
    </row>
    <row r="4390" spans="1:3" x14ac:dyDescent="0.6">
      <c r="A4390" s="24">
        <v>35909</v>
      </c>
      <c r="B4390" s="23">
        <v>0.894432</v>
      </c>
      <c r="C4390" s="32">
        <f t="shared" si="68"/>
        <v>9.0283598573601687E-3</v>
      </c>
    </row>
    <row r="4391" spans="1:3" x14ac:dyDescent="0.6">
      <c r="A4391" s="24">
        <v>35912</v>
      </c>
      <c r="B4391" s="23">
        <v>0.88843000000000005</v>
      </c>
      <c r="C4391" s="32">
        <f t="shared" si="68"/>
        <v>-6.7104039211476341E-3</v>
      </c>
    </row>
    <row r="4392" spans="1:3" x14ac:dyDescent="0.6">
      <c r="A4392" s="24">
        <v>35913</v>
      </c>
      <c r="B4392" s="23">
        <v>0.86241699999999999</v>
      </c>
      <c r="C4392" s="32">
        <f t="shared" si="68"/>
        <v>-2.9279740666118936E-2</v>
      </c>
    </row>
    <row r="4393" spans="1:3" x14ac:dyDescent="0.6">
      <c r="A4393" s="24">
        <v>35914</v>
      </c>
      <c r="B4393" s="23">
        <v>0.86441800000000002</v>
      </c>
      <c r="C4393" s="32">
        <f t="shared" si="68"/>
        <v>2.3202232794576894E-3</v>
      </c>
    </row>
    <row r="4394" spans="1:3" x14ac:dyDescent="0.6">
      <c r="A4394" s="24">
        <v>35915</v>
      </c>
      <c r="B4394" s="23">
        <v>0.87642399999999998</v>
      </c>
      <c r="C4394" s="32">
        <f t="shared" si="68"/>
        <v>1.3889113831502709E-2</v>
      </c>
    </row>
    <row r="4395" spans="1:3" x14ac:dyDescent="0.6">
      <c r="A4395" s="24">
        <v>35916</v>
      </c>
      <c r="B4395" s="23">
        <v>0.89643300000000004</v>
      </c>
      <c r="C4395" s="32">
        <f t="shared" si="68"/>
        <v>2.2830273931339296E-2</v>
      </c>
    </row>
    <row r="4396" spans="1:3" x14ac:dyDescent="0.6">
      <c r="A4396" s="24">
        <v>35919</v>
      </c>
      <c r="B4396" s="23">
        <v>0.93045</v>
      </c>
      <c r="C4396" s="32">
        <f t="shared" si="68"/>
        <v>3.7947063528451119E-2</v>
      </c>
    </row>
    <row r="4397" spans="1:3" x14ac:dyDescent="0.6">
      <c r="A4397" s="24">
        <v>35920</v>
      </c>
      <c r="B4397" s="23">
        <v>0.95045999999999997</v>
      </c>
      <c r="C4397" s="32">
        <f t="shared" si="68"/>
        <v>2.1505723037239965E-2</v>
      </c>
    </row>
    <row r="4398" spans="1:3" x14ac:dyDescent="0.6">
      <c r="A4398" s="24">
        <v>35921</v>
      </c>
      <c r="B4398" s="23">
        <v>0.97046900000000003</v>
      </c>
      <c r="C4398" s="32">
        <f t="shared" si="68"/>
        <v>2.105191170591092E-2</v>
      </c>
    </row>
    <row r="4399" spans="1:3" x14ac:dyDescent="0.6">
      <c r="A4399" s="24">
        <v>35922</v>
      </c>
      <c r="B4399" s="23">
        <v>0.96646699999999996</v>
      </c>
      <c r="C4399" s="32">
        <f t="shared" si="68"/>
        <v>-4.1237793273150025E-3</v>
      </c>
    </row>
    <row r="4400" spans="1:3" x14ac:dyDescent="0.6">
      <c r="A4400" s="24">
        <v>35923</v>
      </c>
      <c r="B4400" s="23">
        <v>0.97447099999999998</v>
      </c>
      <c r="C4400" s="32">
        <f t="shared" si="68"/>
        <v>8.2817106016035424E-3</v>
      </c>
    </row>
    <row r="4401" spans="1:3" x14ac:dyDescent="0.6">
      <c r="A4401" s="24">
        <v>35926</v>
      </c>
      <c r="B4401" s="23">
        <v>0.990479</v>
      </c>
      <c r="C4401" s="32">
        <f t="shared" si="68"/>
        <v>1.6427374442133269E-2</v>
      </c>
    </row>
    <row r="4402" spans="1:3" x14ac:dyDescent="0.6">
      <c r="A4402" s="24">
        <v>35927</v>
      </c>
      <c r="B4402" s="23">
        <v>0.96446600000000005</v>
      </c>
      <c r="C4402" s="32">
        <f t="shared" si="68"/>
        <v>-2.626305050384703E-2</v>
      </c>
    </row>
    <row r="4403" spans="1:3" x14ac:dyDescent="0.6">
      <c r="A4403" s="24">
        <v>35928</v>
      </c>
      <c r="B4403" s="23">
        <v>0.97447099999999998</v>
      </c>
      <c r="C4403" s="32">
        <f t="shared" si="68"/>
        <v>1.037361607355769E-2</v>
      </c>
    </row>
    <row r="4404" spans="1:3" x14ac:dyDescent="0.6">
      <c r="A4404" s="24">
        <v>35929</v>
      </c>
      <c r="B4404" s="23">
        <v>0.96246500000000001</v>
      </c>
      <c r="C4404" s="32">
        <f t="shared" si="68"/>
        <v>-1.2320530831599896E-2</v>
      </c>
    </row>
    <row r="4405" spans="1:3" x14ac:dyDescent="0.6">
      <c r="A4405" s="24">
        <v>35930</v>
      </c>
      <c r="B4405" s="23">
        <v>0.94645800000000002</v>
      </c>
      <c r="C4405" s="32">
        <f t="shared" si="68"/>
        <v>-1.6631254123526618E-2</v>
      </c>
    </row>
    <row r="4406" spans="1:3" x14ac:dyDescent="0.6">
      <c r="A4406" s="24">
        <v>35933</v>
      </c>
      <c r="B4406" s="23">
        <v>0.91244099999999995</v>
      </c>
      <c r="C4406" s="32">
        <f t="shared" si="68"/>
        <v>-3.5941372992779441E-2</v>
      </c>
    </row>
    <row r="4407" spans="1:3" x14ac:dyDescent="0.6">
      <c r="A4407" s="24">
        <v>35934</v>
      </c>
      <c r="B4407" s="23">
        <v>0.94045500000000004</v>
      </c>
      <c r="C4407" s="32">
        <f t="shared" si="68"/>
        <v>3.0702259104972374E-2</v>
      </c>
    </row>
    <row r="4408" spans="1:3" x14ac:dyDescent="0.6">
      <c r="A4408" s="24">
        <v>35935</v>
      </c>
      <c r="B4408" s="23">
        <v>0.94645800000000002</v>
      </c>
      <c r="C4408" s="32">
        <f t="shared" si="68"/>
        <v>6.3830805301687832E-3</v>
      </c>
    </row>
    <row r="4409" spans="1:3" x14ac:dyDescent="0.6">
      <c r="A4409" s="24">
        <v>35936</v>
      </c>
      <c r="B4409" s="23">
        <v>0.92444700000000002</v>
      </c>
      <c r="C4409" s="32">
        <f t="shared" si="68"/>
        <v>-2.3256182524739599E-2</v>
      </c>
    </row>
    <row r="4410" spans="1:3" x14ac:dyDescent="0.6">
      <c r="A4410" s="24">
        <v>35937</v>
      </c>
      <c r="B4410" s="23">
        <v>0.892432</v>
      </c>
      <c r="C4410" s="32">
        <f t="shared" si="68"/>
        <v>-3.4631514840764321E-2</v>
      </c>
    </row>
    <row r="4411" spans="1:3" x14ac:dyDescent="0.6">
      <c r="A4411" s="24">
        <v>35941</v>
      </c>
      <c r="B4411" s="23">
        <v>0.85441299999999998</v>
      </c>
      <c r="C4411" s="32">
        <f t="shared" si="68"/>
        <v>-4.260156516126723E-2</v>
      </c>
    </row>
    <row r="4412" spans="1:3" x14ac:dyDescent="0.6">
      <c r="A4412" s="24">
        <v>35942</v>
      </c>
      <c r="B4412" s="23">
        <v>0.85641400000000001</v>
      </c>
      <c r="C4412" s="32">
        <f t="shared" si="68"/>
        <v>2.3419587482869098E-3</v>
      </c>
    </row>
    <row r="4413" spans="1:3" x14ac:dyDescent="0.6">
      <c r="A4413" s="24">
        <v>35943</v>
      </c>
      <c r="B4413" s="23">
        <v>0.87842500000000001</v>
      </c>
      <c r="C4413" s="32">
        <f t="shared" si="68"/>
        <v>2.570135471862911E-2</v>
      </c>
    </row>
    <row r="4414" spans="1:3" x14ac:dyDescent="0.6">
      <c r="A4414" s="24">
        <v>35944</v>
      </c>
      <c r="B4414" s="23">
        <v>0.85241199999999995</v>
      </c>
      <c r="C4414" s="32">
        <f t="shared" si="68"/>
        <v>-2.9613228220963683E-2</v>
      </c>
    </row>
    <row r="4415" spans="1:3" x14ac:dyDescent="0.6">
      <c r="A4415" s="24">
        <v>35947</v>
      </c>
      <c r="B4415" s="23">
        <v>0.84040599999999999</v>
      </c>
      <c r="C4415" s="32">
        <f t="shared" si="68"/>
        <v>-1.4084738365954474E-2</v>
      </c>
    </row>
    <row r="4416" spans="1:3" x14ac:dyDescent="0.6">
      <c r="A4416" s="24">
        <v>35948</v>
      </c>
      <c r="B4416" s="23">
        <v>0.86041599999999996</v>
      </c>
      <c r="C4416" s="32">
        <f t="shared" si="68"/>
        <v>2.3809920443214283E-2</v>
      </c>
    </row>
    <row r="4417" spans="1:3" x14ac:dyDescent="0.6">
      <c r="A4417" s="24">
        <v>35949</v>
      </c>
      <c r="B4417" s="23">
        <v>0.84240800000000005</v>
      </c>
      <c r="C4417" s="32">
        <f t="shared" si="68"/>
        <v>-2.0929410889616085E-2</v>
      </c>
    </row>
    <row r="4418" spans="1:3" x14ac:dyDescent="0.6">
      <c r="A4418" s="24">
        <v>35950</v>
      </c>
      <c r="B4418" s="23">
        <v>0.85841500000000004</v>
      </c>
      <c r="C4418" s="32">
        <f t="shared" si="68"/>
        <v>1.9001481467412429E-2</v>
      </c>
    </row>
    <row r="4419" spans="1:3" x14ac:dyDescent="0.6">
      <c r="A4419" s="24">
        <v>35951</v>
      </c>
      <c r="B4419" s="23">
        <v>0.86041599999999996</v>
      </c>
      <c r="C4419" s="32">
        <f t="shared" si="68"/>
        <v>2.3310403476173303E-3</v>
      </c>
    </row>
    <row r="4420" spans="1:3" x14ac:dyDescent="0.6">
      <c r="A4420" s="24">
        <v>35954</v>
      </c>
      <c r="B4420" s="23">
        <v>0.87242200000000003</v>
      </c>
      <c r="C4420" s="32">
        <f t="shared" ref="C4420:C4483" si="69">B4420/B4419-1</f>
        <v>1.3953715412079903E-2</v>
      </c>
    </row>
    <row r="4421" spans="1:3" x14ac:dyDescent="0.6">
      <c r="A4421" s="24">
        <v>35955</v>
      </c>
      <c r="B4421" s="23">
        <v>0.90443700000000005</v>
      </c>
      <c r="C4421" s="32">
        <f t="shared" si="69"/>
        <v>3.6696690363150042E-2</v>
      </c>
    </row>
    <row r="4422" spans="1:3" x14ac:dyDescent="0.6">
      <c r="A4422" s="24">
        <v>35956</v>
      </c>
      <c r="B4422" s="23">
        <v>0.89843499999999998</v>
      </c>
      <c r="C4422" s="32">
        <f t="shared" si="69"/>
        <v>-6.6361725581771669E-3</v>
      </c>
    </row>
    <row r="4423" spans="1:3" x14ac:dyDescent="0.6">
      <c r="A4423" s="24">
        <v>35957</v>
      </c>
      <c r="B4423" s="23">
        <v>0.89043099999999997</v>
      </c>
      <c r="C4423" s="32">
        <f t="shared" si="69"/>
        <v>-8.9088247897733952E-3</v>
      </c>
    </row>
    <row r="4424" spans="1:3" x14ac:dyDescent="0.6">
      <c r="A4424" s="24">
        <v>35958</v>
      </c>
      <c r="B4424" s="23">
        <v>0.90043499999999999</v>
      </c>
      <c r="C4424" s="32">
        <f t="shared" si="69"/>
        <v>1.1235008664343571E-2</v>
      </c>
    </row>
    <row r="4425" spans="1:3" x14ac:dyDescent="0.6">
      <c r="A4425" s="24">
        <v>35961</v>
      </c>
      <c r="B4425" s="23">
        <v>0.88042600000000004</v>
      </c>
      <c r="C4425" s="32">
        <f t="shared" si="69"/>
        <v>-2.2221481839333146E-2</v>
      </c>
    </row>
    <row r="4426" spans="1:3" x14ac:dyDescent="0.6">
      <c r="A4426" s="24">
        <v>35962</v>
      </c>
      <c r="B4426" s="23">
        <v>0.89643300000000004</v>
      </c>
      <c r="C4426" s="32">
        <f t="shared" si="69"/>
        <v>1.8180971484258679E-2</v>
      </c>
    </row>
    <row r="4427" spans="1:3" x14ac:dyDescent="0.6">
      <c r="A4427" s="24">
        <v>35963</v>
      </c>
      <c r="B4427" s="23">
        <v>0.90043499999999999</v>
      </c>
      <c r="C4427" s="32">
        <f t="shared" si="69"/>
        <v>4.4643604151117788E-3</v>
      </c>
    </row>
    <row r="4428" spans="1:3" x14ac:dyDescent="0.6">
      <c r="A4428" s="24">
        <v>35964</v>
      </c>
      <c r="B4428" s="23">
        <v>0.87442299999999995</v>
      </c>
      <c r="C4428" s="32">
        <f t="shared" si="69"/>
        <v>-2.8888259563433216E-2</v>
      </c>
    </row>
    <row r="4429" spans="1:3" x14ac:dyDescent="0.6">
      <c r="A4429" s="24">
        <v>35965</v>
      </c>
      <c r="B4429" s="23">
        <v>0.86641900000000005</v>
      </c>
      <c r="C4429" s="32">
        <f t="shared" si="69"/>
        <v>-9.1534646275314158E-3</v>
      </c>
    </row>
    <row r="4430" spans="1:3" x14ac:dyDescent="0.6">
      <c r="A4430" s="24">
        <v>35968</v>
      </c>
      <c r="B4430" s="23">
        <v>0.87642399999999998</v>
      </c>
      <c r="C4430" s="32">
        <f t="shared" si="69"/>
        <v>1.1547530698195585E-2</v>
      </c>
    </row>
    <row r="4431" spans="1:3" x14ac:dyDescent="0.6">
      <c r="A4431" s="24">
        <v>35969</v>
      </c>
      <c r="B4431" s="23">
        <v>0.89043099999999997</v>
      </c>
      <c r="C4431" s="32">
        <f t="shared" si="69"/>
        <v>1.5981990452109907E-2</v>
      </c>
    </row>
    <row r="4432" spans="1:3" x14ac:dyDescent="0.6">
      <c r="A4432" s="24">
        <v>35970</v>
      </c>
      <c r="B4432" s="23">
        <v>0.90443700000000005</v>
      </c>
      <c r="C4432" s="32">
        <f t="shared" si="69"/>
        <v>1.5729461350739271E-2</v>
      </c>
    </row>
    <row r="4433" spans="1:3" x14ac:dyDescent="0.6">
      <c r="A4433" s="24">
        <v>35971</v>
      </c>
      <c r="B4433" s="23">
        <v>0.91444199999999998</v>
      </c>
      <c r="C4433" s="32">
        <f t="shared" si="69"/>
        <v>1.1062130363972189E-2</v>
      </c>
    </row>
    <row r="4434" spans="1:3" x14ac:dyDescent="0.6">
      <c r="A4434" s="24">
        <v>35972</v>
      </c>
      <c r="B4434" s="23">
        <v>0.90243600000000002</v>
      </c>
      <c r="C4434" s="32">
        <f t="shared" si="69"/>
        <v>-1.3129318207168894E-2</v>
      </c>
    </row>
    <row r="4435" spans="1:3" x14ac:dyDescent="0.6">
      <c r="A4435" s="24">
        <v>35975</v>
      </c>
      <c r="B4435" s="23">
        <v>0.91844400000000004</v>
      </c>
      <c r="C4435" s="32">
        <f t="shared" si="69"/>
        <v>1.7738654043056856E-2</v>
      </c>
    </row>
    <row r="4436" spans="1:3" x14ac:dyDescent="0.6">
      <c r="A4436" s="24">
        <v>35976</v>
      </c>
      <c r="B4436" s="23">
        <v>0.91844400000000004</v>
      </c>
      <c r="C4436" s="32">
        <f t="shared" si="69"/>
        <v>0</v>
      </c>
    </row>
    <row r="4437" spans="1:3" x14ac:dyDescent="0.6">
      <c r="A4437" s="24">
        <v>35977</v>
      </c>
      <c r="B4437" s="23">
        <v>0.95846299999999995</v>
      </c>
      <c r="C4437" s="32">
        <f t="shared" si="69"/>
        <v>4.3572607584131395E-2</v>
      </c>
    </row>
    <row r="4438" spans="1:3" x14ac:dyDescent="0.6">
      <c r="A4438" s="24">
        <v>35978</v>
      </c>
      <c r="B4438" s="23">
        <v>0.92844899999999997</v>
      </c>
      <c r="C4438" s="32">
        <f t="shared" si="69"/>
        <v>-3.1314719504039301E-2</v>
      </c>
    </row>
    <row r="4439" spans="1:3" x14ac:dyDescent="0.6">
      <c r="A4439" s="24">
        <v>35982</v>
      </c>
      <c r="B4439" s="23">
        <v>0.97246999999999995</v>
      </c>
      <c r="C4439" s="32">
        <f t="shared" si="69"/>
        <v>4.7413482054480038E-2</v>
      </c>
    </row>
    <row r="4440" spans="1:3" x14ac:dyDescent="0.6">
      <c r="A4440" s="24">
        <v>35983</v>
      </c>
      <c r="B4440" s="23">
        <v>0.97647200000000001</v>
      </c>
      <c r="C4440" s="32">
        <f t="shared" si="69"/>
        <v>4.1152940450606135E-3</v>
      </c>
    </row>
    <row r="4441" spans="1:3" x14ac:dyDescent="0.6">
      <c r="A4441" s="24">
        <v>35984</v>
      </c>
      <c r="B4441" s="23">
        <v>1.0425040000000001</v>
      </c>
      <c r="C4441" s="32">
        <f t="shared" si="69"/>
        <v>6.7623034761877587E-2</v>
      </c>
    </row>
    <row r="4442" spans="1:3" x14ac:dyDescent="0.6">
      <c r="A4442" s="24">
        <v>35985</v>
      </c>
      <c r="B4442" s="23">
        <v>1.014491</v>
      </c>
      <c r="C4442" s="32">
        <f t="shared" si="69"/>
        <v>-2.6870880111730999E-2</v>
      </c>
    </row>
    <row r="4443" spans="1:3" x14ac:dyDescent="0.6">
      <c r="A4443" s="24">
        <v>35986</v>
      </c>
      <c r="B4443" s="23">
        <v>1.026497</v>
      </c>
      <c r="C4443" s="32">
        <f t="shared" si="69"/>
        <v>1.1834506171074954E-2</v>
      </c>
    </row>
    <row r="4444" spans="1:3" x14ac:dyDescent="0.6">
      <c r="A4444" s="24">
        <v>35989</v>
      </c>
      <c r="B4444" s="23">
        <v>1.086525</v>
      </c>
      <c r="C4444" s="32">
        <f t="shared" si="69"/>
        <v>5.8478495309776779E-2</v>
      </c>
    </row>
    <row r="4445" spans="1:3" x14ac:dyDescent="0.6">
      <c r="A4445" s="24">
        <v>35990</v>
      </c>
      <c r="B4445" s="23">
        <v>1.0705169999999999</v>
      </c>
      <c r="C4445" s="32">
        <f t="shared" si="69"/>
        <v>-1.4733209084006327E-2</v>
      </c>
    </row>
    <row r="4446" spans="1:3" x14ac:dyDescent="0.6">
      <c r="A4446" s="24">
        <v>35991</v>
      </c>
      <c r="B4446" s="23">
        <v>1.102533</v>
      </c>
      <c r="C4446" s="32">
        <f t="shared" si="69"/>
        <v>2.9907044913812797E-2</v>
      </c>
    </row>
    <row r="4447" spans="1:3" x14ac:dyDescent="0.6">
      <c r="A4447" s="24">
        <v>35992</v>
      </c>
      <c r="B4447" s="23">
        <v>1.2005809999999999</v>
      </c>
      <c r="C4447" s="32">
        <f t="shared" si="69"/>
        <v>8.8929764460564886E-2</v>
      </c>
    </row>
    <row r="4448" spans="1:3" x14ac:dyDescent="0.6">
      <c r="A4448" s="24">
        <v>35993</v>
      </c>
      <c r="B4448" s="23">
        <v>1.180571</v>
      </c>
      <c r="C4448" s="32">
        <f t="shared" si="69"/>
        <v>-1.6666930427851057E-2</v>
      </c>
    </row>
    <row r="4449" spans="1:3" x14ac:dyDescent="0.6">
      <c r="A4449" s="24">
        <v>35996</v>
      </c>
      <c r="B4449" s="23">
        <v>1.160561</v>
      </c>
      <c r="C4449" s="32">
        <f t="shared" si="69"/>
        <v>-1.6949425320459399E-2</v>
      </c>
    </row>
    <row r="4450" spans="1:3" x14ac:dyDescent="0.6">
      <c r="A4450" s="24">
        <v>35997</v>
      </c>
      <c r="B4450" s="23">
        <v>1.140552</v>
      </c>
      <c r="C4450" s="32">
        <f t="shared" si="69"/>
        <v>-1.7240799923485262E-2</v>
      </c>
    </row>
    <row r="4451" spans="1:3" x14ac:dyDescent="0.6">
      <c r="A4451" s="24">
        <v>35998</v>
      </c>
      <c r="B4451" s="23">
        <v>1.1205419999999999</v>
      </c>
      <c r="C4451" s="32">
        <f t="shared" si="69"/>
        <v>-1.7544136523367726E-2</v>
      </c>
    </row>
    <row r="4452" spans="1:3" x14ac:dyDescent="0.6">
      <c r="A4452" s="24">
        <v>35999</v>
      </c>
      <c r="B4452" s="23">
        <v>1.118541</v>
      </c>
      <c r="C4452" s="32">
        <f t="shared" si="69"/>
        <v>-1.785742970812243E-3</v>
      </c>
    </row>
    <row r="4453" spans="1:3" x14ac:dyDescent="0.6">
      <c r="A4453" s="24">
        <v>36000</v>
      </c>
      <c r="B4453" s="23">
        <v>1.1105370000000001</v>
      </c>
      <c r="C4453" s="32">
        <f t="shared" si="69"/>
        <v>-7.155750213894585E-3</v>
      </c>
    </row>
    <row r="4454" spans="1:3" x14ac:dyDescent="0.6">
      <c r="A4454" s="24">
        <v>36003</v>
      </c>
      <c r="B4454" s="23">
        <v>1.102533</v>
      </c>
      <c r="C4454" s="32">
        <f t="shared" si="69"/>
        <v>-7.2073240243234471E-3</v>
      </c>
    </row>
    <row r="4455" spans="1:3" x14ac:dyDescent="0.6">
      <c r="A4455" s="24">
        <v>36004</v>
      </c>
      <c r="B4455" s="23">
        <v>1.0765199999999999</v>
      </c>
      <c r="C4455" s="32">
        <f t="shared" si="69"/>
        <v>-2.3593851612604855E-2</v>
      </c>
    </row>
    <row r="4456" spans="1:3" x14ac:dyDescent="0.6">
      <c r="A4456" s="24">
        <v>36005</v>
      </c>
      <c r="B4456" s="23">
        <v>1.124544</v>
      </c>
      <c r="C4456" s="32">
        <f t="shared" si="69"/>
        <v>4.4610411325381794E-2</v>
      </c>
    </row>
    <row r="4457" spans="1:3" x14ac:dyDescent="0.6">
      <c r="A4457" s="24">
        <v>36006</v>
      </c>
      <c r="B4457" s="23">
        <v>1.1685650000000001</v>
      </c>
      <c r="C4457" s="32">
        <f t="shared" si="69"/>
        <v>3.9145644812475178E-2</v>
      </c>
    </row>
    <row r="4458" spans="1:3" x14ac:dyDescent="0.6">
      <c r="A4458" s="24">
        <v>36007</v>
      </c>
      <c r="B4458" s="23">
        <v>1.108536</v>
      </c>
      <c r="C4458" s="32">
        <f t="shared" si="69"/>
        <v>-5.1369842499133678E-2</v>
      </c>
    </row>
    <row r="4459" spans="1:3" x14ac:dyDescent="0.6">
      <c r="A4459" s="24">
        <v>36010</v>
      </c>
      <c r="B4459" s="23">
        <v>1.124544</v>
      </c>
      <c r="C4459" s="32">
        <f t="shared" si="69"/>
        <v>1.44406676914417E-2</v>
      </c>
    </row>
    <row r="4460" spans="1:3" x14ac:dyDescent="0.6">
      <c r="A4460" s="24">
        <v>36011</v>
      </c>
      <c r="B4460" s="23">
        <v>1.0945290000000001</v>
      </c>
      <c r="C4460" s="32">
        <f t="shared" si="69"/>
        <v>-2.6690818678504313E-2</v>
      </c>
    </row>
    <row r="4461" spans="1:3" x14ac:dyDescent="0.6">
      <c r="A4461" s="24">
        <v>36012</v>
      </c>
      <c r="B4461" s="23">
        <v>1.1525570000000001</v>
      </c>
      <c r="C4461" s="32">
        <f t="shared" si="69"/>
        <v>5.3016411625457227E-2</v>
      </c>
    </row>
    <row r="4462" spans="1:3" x14ac:dyDescent="0.6">
      <c r="A4462" s="24">
        <v>36013</v>
      </c>
      <c r="B4462" s="23">
        <v>1.180571</v>
      </c>
      <c r="C4462" s="32">
        <f t="shared" si="69"/>
        <v>2.4305956234702553E-2</v>
      </c>
    </row>
    <row r="4463" spans="1:3" x14ac:dyDescent="0.6">
      <c r="A4463" s="24">
        <v>36014</v>
      </c>
      <c r="B4463" s="23">
        <v>1.1685650000000001</v>
      </c>
      <c r="C4463" s="32">
        <f t="shared" si="69"/>
        <v>-1.0169655192275528E-2</v>
      </c>
    </row>
    <row r="4464" spans="1:3" x14ac:dyDescent="0.6">
      <c r="A4464" s="24">
        <v>36017</v>
      </c>
      <c r="B4464" s="23">
        <v>1.2145870000000001</v>
      </c>
      <c r="C4464" s="32">
        <f t="shared" si="69"/>
        <v>3.9383346240902339E-2</v>
      </c>
    </row>
    <row r="4465" spans="1:3" x14ac:dyDescent="0.6">
      <c r="A4465" s="24">
        <v>36018</v>
      </c>
      <c r="B4465" s="23">
        <v>1.248604</v>
      </c>
      <c r="C4465" s="32">
        <f t="shared" si="69"/>
        <v>2.8007050956415647E-2</v>
      </c>
    </row>
    <row r="4466" spans="1:3" x14ac:dyDescent="0.6">
      <c r="A4466" s="24">
        <v>36019</v>
      </c>
      <c r="B4466" s="23">
        <v>1.2826200000000001</v>
      </c>
      <c r="C4466" s="32">
        <f t="shared" si="69"/>
        <v>2.7243225233941404E-2</v>
      </c>
    </row>
    <row r="4467" spans="1:3" x14ac:dyDescent="0.6">
      <c r="A4467" s="24">
        <v>36020</v>
      </c>
      <c r="B4467" s="23">
        <v>1.2626109999999999</v>
      </c>
      <c r="C4467" s="32">
        <f t="shared" si="69"/>
        <v>-1.5600099795730737E-2</v>
      </c>
    </row>
    <row r="4468" spans="1:3" x14ac:dyDescent="0.6">
      <c r="A4468" s="24">
        <v>36021</v>
      </c>
      <c r="B4468" s="23">
        <v>1.296627</v>
      </c>
      <c r="C4468" s="32">
        <f t="shared" si="69"/>
        <v>2.6940997662779687E-2</v>
      </c>
    </row>
    <row r="4469" spans="1:3" x14ac:dyDescent="0.6">
      <c r="A4469" s="24">
        <v>36024</v>
      </c>
      <c r="B4469" s="23">
        <v>1.342649</v>
      </c>
      <c r="C4469" s="32">
        <f t="shared" si="69"/>
        <v>3.5493630782021279E-2</v>
      </c>
    </row>
    <row r="4470" spans="1:3" x14ac:dyDescent="0.6">
      <c r="A4470" s="24">
        <v>36025</v>
      </c>
      <c r="B4470" s="23">
        <v>1.3626590000000001</v>
      </c>
      <c r="C4470" s="32">
        <f t="shared" si="69"/>
        <v>1.4903373852734436E-2</v>
      </c>
    </row>
    <row r="4471" spans="1:3" x14ac:dyDescent="0.6">
      <c r="A4471" s="24">
        <v>36026</v>
      </c>
      <c r="B4471" s="23">
        <v>1.312635</v>
      </c>
      <c r="C4471" s="32">
        <f t="shared" si="69"/>
        <v>-3.6710578361864643E-2</v>
      </c>
    </row>
    <row r="4472" spans="1:3" x14ac:dyDescent="0.6">
      <c r="A4472" s="24">
        <v>36027</v>
      </c>
      <c r="B4472" s="23">
        <v>1.300629</v>
      </c>
      <c r="C4472" s="32">
        <f t="shared" si="69"/>
        <v>-9.1464877898272956E-3</v>
      </c>
    </row>
    <row r="4473" spans="1:3" x14ac:dyDescent="0.6">
      <c r="A4473" s="24">
        <v>36028</v>
      </c>
      <c r="B4473" s="23">
        <v>1.3766659999999999</v>
      </c>
      <c r="C4473" s="32">
        <f t="shared" si="69"/>
        <v>5.8461713524763814E-2</v>
      </c>
    </row>
    <row r="4474" spans="1:3" x14ac:dyDescent="0.6">
      <c r="A4474" s="24">
        <v>36031</v>
      </c>
      <c r="B4474" s="23">
        <v>1.318638</v>
      </c>
      <c r="C4474" s="32">
        <f t="shared" si="69"/>
        <v>-4.2151110000537506E-2</v>
      </c>
    </row>
    <row r="4475" spans="1:3" x14ac:dyDescent="0.6">
      <c r="A4475" s="24">
        <v>36032</v>
      </c>
      <c r="B4475" s="23">
        <v>1.306632</v>
      </c>
      <c r="C4475" s="32">
        <f t="shared" si="69"/>
        <v>-9.1048490942927662E-3</v>
      </c>
    </row>
    <row r="4476" spans="1:3" x14ac:dyDescent="0.6">
      <c r="A4476" s="24">
        <v>36033</v>
      </c>
      <c r="B4476" s="23">
        <v>1.2926249999999999</v>
      </c>
      <c r="C4476" s="32">
        <f t="shared" si="69"/>
        <v>-1.071992726337645E-2</v>
      </c>
    </row>
    <row r="4477" spans="1:3" x14ac:dyDescent="0.6">
      <c r="A4477" s="24">
        <v>36034</v>
      </c>
      <c r="B4477" s="23">
        <v>1.2005809999999999</v>
      </c>
      <c r="C4477" s="32">
        <f t="shared" si="69"/>
        <v>-7.1207039938110506E-2</v>
      </c>
    </row>
    <row r="4478" spans="1:3" x14ac:dyDescent="0.6">
      <c r="A4478" s="24">
        <v>36035</v>
      </c>
      <c r="B4478" s="23">
        <v>1.0945290000000001</v>
      </c>
      <c r="C4478" s="32">
        <f t="shared" si="69"/>
        <v>-8.8333898337554784E-2</v>
      </c>
    </row>
    <row r="4479" spans="1:3" x14ac:dyDescent="0.6">
      <c r="A4479" s="24">
        <v>36038</v>
      </c>
      <c r="B4479" s="23">
        <v>0.99848300000000001</v>
      </c>
      <c r="C4479" s="32">
        <f t="shared" si="69"/>
        <v>-8.7750986954205912E-2</v>
      </c>
    </row>
    <row r="4480" spans="1:3" x14ac:dyDescent="0.6">
      <c r="A4480" s="24">
        <v>36039</v>
      </c>
      <c r="B4480" s="23">
        <v>1.0925279999999999</v>
      </c>
      <c r="C4480" s="32">
        <f t="shared" si="69"/>
        <v>9.4187883018538976E-2</v>
      </c>
    </row>
    <row r="4481" spans="1:3" x14ac:dyDescent="0.6">
      <c r="A4481" s="24">
        <v>36040</v>
      </c>
      <c r="B4481" s="23">
        <v>1.1385510000000001</v>
      </c>
      <c r="C4481" s="32">
        <f t="shared" si="69"/>
        <v>4.2125236149554102E-2</v>
      </c>
    </row>
    <row r="4482" spans="1:3" x14ac:dyDescent="0.6">
      <c r="A4482" s="24">
        <v>36041</v>
      </c>
      <c r="B4482" s="23">
        <v>1.108536</v>
      </c>
      <c r="C4482" s="32">
        <f t="shared" si="69"/>
        <v>-2.6362455436778953E-2</v>
      </c>
    </row>
    <row r="4483" spans="1:3" x14ac:dyDescent="0.6">
      <c r="A4483" s="24">
        <v>36042</v>
      </c>
      <c r="B4483" s="23">
        <v>1.124544</v>
      </c>
      <c r="C4483" s="32">
        <f t="shared" si="69"/>
        <v>1.44406676914417E-2</v>
      </c>
    </row>
    <row r="4484" spans="1:3" x14ac:dyDescent="0.6">
      <c r="A4484" s="24">
        <v>36046</v>
      </c>
      <c r="B4484" s="23">
        <v>1.2245919999999999</v>
      </c>
      <c r="C4484" s="32">
        <f t="shared" ref="C4484:C4547" si="70">B4484/B4483-1</f>
        <v>8.8967617096351814E-2</v>
      </c>
    </row>
    <row r="4485" spans="1:3" x14ac:dyDescent="0.6">
      <c r="A4485" s="24">
        <v>36047</v>
      </c>
      <c r="B4485" s="23">
        <v>1.1965790000000001</v>
      </c>
      <c r="C4485" s="32">
        <f t="shared" si="70"/>
        <v>-2.2875374002116478E-2</v>
      </c>
    </row>
    <row r="4486" spans="1:3" x14ac:dyDescent="0.6">
      <c r="A4486" s="24">
        <v>36048</v>
      </c>
      <c r="B4486" s="23">
        <v>1.2205900000000001</v>
      </c>
      <c r="C4486" s="32">
        <f t="shared" si="70"/>
        <v>2.0066372550412437E-2</v>
      </c>
    </row>
    <row r="4487" spans="1:3" x14ac:dyDescent="0.6">
      <c r="A4487" s="24">
        <v>36049</v>
      </c>
      <c r="B4487" s="23">
        <v>1.204583</v>
      </c>
      <c r="C4487" s="32">
        <f t="shared" si="70"/>
        <v>-1.3114149714482437E-2</v>
      </c>
    </row>
    <row r="4488" spans="1:3" x14ac:dyDescent="0.6">
      <c r="A4488" s="24">
        <v>36052</v>
      </c>
      <c r="B4488" s="23">
        <v>1.1905760000000001</v>
      </c>
      <c r="C4488" s="32">
        <f t="shared" si="70"/>
        <v>-1.1628090384805279E-2</v>
      </c>
    </row>
    <row r="4489" spans="1:3" x14ac:dyDescent="0.6">
      <c r="A4489" s="24">
        <v>36053</v>
      </c>
      <c r="B4489" s="23">
        <v>1.222591</v>
      </c>
      <c r="C4489" s="32">
        <f t="shared" si="70"/>
        <v>2.6890345513432168E-2</v>
      </c>
    </row>
    <row r="4490" spans="1:3" x14ac:dyDescent="0.6">
      <c r="A4490" s="24">
        <v>36054</v>
      </c>
      <c r="B4490" s="23">
        <v>1.1945779999999999</v>
      </c>
      <c r="C4490" s="32">
        <f t="shared" si="70"/>
        <v>-2.2912813851893254E-2</v>
      </c>
    </row>
    <row r="4491" spans="1:3" x14ac:dyDescent="0.6">
      <c r="A4491" s="24">
        <v>36055</v>
      </c>
      <c r="B4491" s="23">
        <v>1.1525570000000001</v>
      </c>
      <c r="C4491" s="32">
        <f t="shared" si="70"/>
        <v>-3.5176438876322713E-2</v>
      </c>
    </row>
    <row r="4492" spans="1:3" x14ac:dyDescent="0.6">
      <c r="A4492" s="24">
        <v>36056</v>
      </c>
      <c r="B4492" s="23">
        <v>1.176569</v>
      </c>
      <c r="C4492" s="32">
        <f t="shared" si="70"/>
        <v>2.0833676772602061E-2</v>
      </c>
    </row>
    <row r="4493" spans="1:3" x14ac:dyDescent="0.6">
      <c r="A4493" s="24">
        <v>36059</v>
      </c>
      <c r="B4493" s="23">
        <v>1.182572</v>
      </c>
      <c r="C4493" s="32">
        <f t="shared" si="70"/>
        <v>5.1021232073937828E-3</v>
      </c>
    </row>
    <row r="4494" spans="1:3" x14ac:dyDescent="0.6">
      <c r="A4494" s="24">
        <v>36060</v>
      </c>
      <c r="B4494" s="23">
        <v>1.1845730000000001</v>
      </c>
      <c r="C4494" s="32">
        <f t="shared" si="70"/>
        <v>1.6920745629021017E-3</v>
      </c>
    </row>
    <row r="4495" spans="1:3" x14ac:dyDescent="0.6">
      <c r="A4495" s="24">
        <v>36061</v>
      </c>
      <c r="B4495" s="23">
        <v>1.226593</v>
      </c>
      <c r="C4495" s="32">
        <f t="shared" si="70"/>
        <v>3.5472697756913307E-2</v>
      </c>
    </row>
    <row r="4496" spans="1:3" x14ac:dyDescent="0.6">
      <c r="A4496" s="24">
        <v>36062</v>
      </c>
      <c r="B4496" s="23">
        <v>1.232596</v>
      </c>
      <c r="C4496" s="32">
        <f t="shared" si="70"/>
        <v>4.8940439086151422E-3</v>
      </c>
    </row>
    <row r="4497" spans="1:3" x14ac:dyDescent="0.6">
      <c r="A4497" s="24">
        <v>36063</v>
      </c>
      <c r="B4497" s="23">
        <v>1.2405999999999999</v>
      </c>
      <c r="C4497" s="32">
        <f t="shared" si="70"/>
        <v>6.4936118566016887E-3</v>
      </c>
    </row>
    <row r="4498" spans="1:3" x14ac:dyDescent="0.6">
      <c r="A4498" s="24">
        <v>36066</v>
      </c>
      <c r="B4498" s="23">
        <v>1.250605</v>
      </c>
      <c r="C4498" s="32">
        <f t="shared" si="70"/>
        <v>8.0646461389650703E-3</v>
      </c>
    </row>
    <row r="4499" spans="1:3" x14ac:dyDescent="0.6">
      <c r="A4499" s="24">
        <v>36067</v>
      </c>
      <c r="B4499" s="23">
        <v>1.2646120000000001</v>
      </c>
      <c r="C4499" s="32">
        <f t="shared" si="70"/>
        <v>1.1200179113309172E-2</v>
      </c>
    </row>
    <row r="4500" spans="1:3" x14ac:dyDescent="0.6">
      <c r="A4500" s="24">
        <v>36068</v>
      </c>
      <c r="B4500" s="23">
        <v>1.2205900000000001</v>
      </c>
      <c r="C4500" s="32">
        <f t="shared" si="70"/>
        <v>-3.4810677108868204E-2</v>
      </c>
    </row>
    <row r="4501" spans="1:3" x14ac:dyDescent="0.6">
      <c r="A4501" s="24">
        <v>36069</v>
      </c>
      <c r="B4501" s="23">
        <v>1.142552</v>
      </c>
      <c r="C4501" s="32">
        <f t="shared" si="70"/>
        <v>-6.3934654552306736E-2</v>
      </c>
    </row>
    <row r="4502" spans="1:3" x14ac:dyDescent="0.6">
      <c r="A4502" s="24">
        <v>36070</v>
      </c>
      <c r="B4502" s="23">
        <v>1.1225430000000001</v>
      </c>
      <c r="C4502" s="32">
        <f t="shared" si="70"/>
        <v>-1.7512550851077169E-2</v>
      </c>
    </row>
    <row r="4503" spans="1:3" x14ac:dyDescent="0.6">
      <c r="A4503" s="24">
        <v>36073</v>
      </c>
      <c r="B4503" s="23">
        <v>1.0304979999999999</v>
      </c>
      <c r="C4503" s="32">
        <f t="shared" si="70"/>
        <v>-8.199685891765407E-2</v>
      </c>
    </row>
    <row r="4504" spans="1:3" x14ac:dyDescent="0.6">
      <c r="A4504" s="24">
        <v>36074</v>
      </c>
      <c r="B4504" s="23">
        <v>1.0425040000000001</v>
      </c>
      <c r="C4504" s="32">
        <f t="shared" si="70"/>
        <v>1.165067763353278E-2</v>
      </c>
    </row>
    <row r="4505" spans="1:3" x14ac:dyDescent="0.6">
      <c r="A4505" s="24">
        <v>36075</v>
      </c>
      <c r="B4505" s="23">
        <v>1.022494</v>
      </c>
      <c r="C4505" s="32">
        <f t="shared" si="70"/>
        <v>-1.9194170957617551E-2</v>
      </c>
    </row>
    <row r="4506" spans="1:3" x14ac:dyDescent="0.6">
      <c r="A4506" s="24">
        <v>36076</v>
      </c>
      <c r="B4506" s="23">
        <v>0.98647700000000005</v>
      </c>
      <c r="C4506" s="32">
        <f t="shared" si="70"/>
        <v>-3.5224656575001845E-2</v>
      </c>
    </row>
    <row r="4507" spans="1:3" x14ac:dyDescent="0.6">
      <c r="A4507" s="24">
        <v>36077</v>
      </c>
      <c r="B4507" s="23">
        <v>1.124544</v>
      </c>
      <c r="C4507" s="32">
        <f t="shared" si="70"/>
        <v>0.13995967468070702</v>
      </c>
    </row>
    <row r="4508" spans="1:3" x14ac:dyDescent="0.6">
      <c r="A4508" s="24">
        <v>36080</v>
      </c>
      <c r="B4508" s="23">
        <v>1.19858</v>
      </c>
      <c r="C4508" s="32">
        <f t="shared" si="70"/>
        <v>6.583646349097938E-2</v>
      </c>
    </row>
    <row r="4509" spans="1:3" x14ac:dyDescent="0.6">
      <c r="A4509" s="24">
        <v>36081</v>
      </c>
      <c r="B4509" s="23">
        <v>1.2405999999999999</v>
      </c>
      <c r="C4509" s="32">
        <f t="shared" si="70"/>
        <v>3.5058152146706822E-2</v>
      </c>
    </row>
    <row r="4510" spans="1:3" x14ac:dyDescent="0.6">
      <c r="A4510" s="24">
        <v>36082</v>
      </c>
      <c r="B4510" s="23">
        <v>1.1965790000000001</v>
      </c>
      <c r="C4510" s="32">
        <f t="shared" si="70"/>
        <v>-3.5483636949862896E-2</v>
      </c>
    </row>
    <row r="4511" spans="1:3" x14ac:dyDescent="0.6">
      <c r="A4511" s="24">
        <v>36083</v>
      </c>
      <c r="B4511" s="23">
        <v>1.1725669999999999</v>
      </c>
      <c r="C4511" s="32">
        <f t="shared" si="70"/>
        <v>-2.0067208266232428E-2</v>
      </c>
    </row>
    <row r="4512" spans="1:3" x14ac:dyDescent="0.6">
      <c r="A4512" s="24">
        <v>36084</v>
      </c>
      <c r="B4512" s="23">
        <v>1.1745680000000001</v>
      </c>
      <c r="C4512" s="32">
        <f t="shared" si="70"/>
        <v>1.7065122931143595E-3</v>
      </c>
    </row>
    <row r="4513" spans="1:3" x14ac:dyDescent="0.6">
      <c r="A4513" s="24">
        <v>36087</v>
      </c>
      <c r="B4513" s="23">
        <v>1.2005809999999999</v>
      </c>
      <c r="C4513" s="32">
        <f t="shared" si="70"/>
        <v>2.2146865911552016E-2</v>
      </c>
    </row>
    <row r="4514" spans="1:3" x14ac:dyDescent="0.6">
      <c r="A4514" s="24">
        <v>36088</v>
      </c>
      <c r="B4514" s="23">
        <v>1.154558</v>
      </c>
      <c r="C4514" s="32">
        <f t="shared" si="70"/>
        <v>-3.8333939984057652E-2</v>
      </c>
    </row>
    <row r="4515" spans="1:3" x14ac:dyDescent="0.6">
      <c r="A4515" s="24">
        <v>36089</v>
      </c>
      <c r="B4515" s="23">
        <v>1.1885749999999999</v>
      </c>
      <c r="C4515" s="32">
        <f t="shared" si="70"/>
        <v>2.9463223155527851E-2</v>
      </c>
    </row>
    <row r="4516" spans="1:3" x14ac:dyDescent="0.6">
      <c r="A4516" s="24">
        <v>36090</v>
      </c>
      <c r="B4516" s="23">
        <v>1.176569</v>
      </c>
      <c r="C4516" s="32">
        <f t="shared" si="70"/>
        <v>-1.0101171570998879E-2</v>
      </c>
    </row>
    <row r="4517" spans="1:3" x14ac:dyDescent="0.6">
      <c r="A4517" s="24">
        <v>36091</v>
      </c>
      <c r="B4517" s="23">
        <v>1.136549</v>
      </c>
      <c r="C4517" s="32">
        <f t="shared" si="70"/>
        <v>-3.4014154715957923E-2</v>
      </c>
    </row>
    <row r="4518" spans="1:3" x14ac:dyDescent="0.6">
      <c r="A4518" s="24">
        <v>36094</v>
      </c>
      <c r="B4518" s="23">
        <v>1.19858</v>
      </c>
      <c r="C4518" s="32">
        <f t="shared" si="70"/>
        <v>5.4578377175115156E-2</v>
      </c>
    </row>
    <row r="4519" spans="1:3" x14ac:dyDescent="0.6">
      <c r="A4519" s="24">
        <v>36095</v>
      </c>
      <c r="B4519" s="23">
        <v>1.128546</v>
      </c>
      <c r="C4519" s="32">
        <f t="shared" si="70"/>
        <v>-5.8430809791586658E-2</v>
      </c>
    </row>
    <row r="4520" spans="1:3" x14ac:dyDescent="0.6">
      <c r="A4520" s="24">
        <v>36096</v>
      </c>
      <c r="B4520" s="23">
        <v>1.1785699999999999</v>
      </c>
      <c r="C4520" s="32">
        <f t="shared" si="70"/>
        <v>4.4326062030258351E-2</v>
      </c>
    </row>
    <row r="4521" spans="1:3" x14ac:dyDescent="0.6">
      <c r="A4521" s="24">
        <v>36097</v>
      </c>
      <c r="B4521" s="23">
        <v>1.1665639999999999</v>
      </c>
      <c r="C4521" s="32">
        <f t="shared" si="70"/>
        <v>-1.0186921438692598E-2</v>
      </c>
    </row>
    <row r="4522" spans="1:3" x14ac:dyDescent="0.6">
      <c r="A4522" s="24">
        <v>36098</v>
      </c>
      <c r="B4522" s="23">
        <v>1.1885749999999999</v>
      </c>
      <c r="C4522" s="32">
        <f t="shared" si="70"/>
        <v>1.8868231832972704E-2</v>
      </c>
    </row>
    <row r="4523" spans="1:3" x14ac:dyDescent="0.6">
      <c r="A4523" s="24">
        <v>36101</v>
      </c>
      <c r="B4523" s="23">
        <v>1.204583</v>
      </c>
      <c r="C4523" s="32">
        <f t="shared" si="70"/>
        <v>1.3468228761331913E-2</v>
      </c>
    </row>
    <row r="4524" spans="1:3" x14ac:dyDescent="0.6">
      <c r="A4524" s="24">
        <v>36102</v>
      </c>
      <c r="B4524" s="23">
        <v>1.2105859999999999</v>
      </c>
      <c r="C4524" s="32">
        <f t="shared" si="70"/>
        <v>4.9834673077737701E-3</v>
      </c>
    </row>
    <row r="4525" spans="1:3" x14ac:dyDescent="0.6">
      <c r="A4525" s="24">
        <v>36103</v>
      </c>
      <c r="B4525" s="23">
        <v>1.238599</v>
      </c>
      <c r="C4525" s="32">
        <f t="shared" si="70"/>
        <v>2.3140033008807404E-2</v>
      </c>
    </row>
    <row r="4526" spans="1:3" x14ac:dyDescent="0.6">
      <c r="A4526" s="24">
        <v>36104</v>
      </c>
      <c r="B4526" s="23">
        <v>1.222591</v>
      </c>
      <c r="C4526" s="32">
        <f t="shared" si="70"/>
        <v>-1.2924279770934799E-2</v>
      </c>
    </row>
    <row r="4527" spans="1:3" x14ac:dyDescent="0.6">
      <c r="A4527" s="24">
        <v>36105</v>
      </c>
      <c r="B4527" s="23">
        <v>1.2185889999999999</v>
      </c>
      <c r="C4527" s="32">
        <f t="shared" si="70"/>
        <v>-3.2733759695597886E-3</v>
      </c>
    </row>
    <row r="4528" spans="1:3" x14ac:dyDescent="0.6">
      <c r="A4528" s="24">
        <v>36108</v>
      </c>
      <c r="B4528" s="23">
        <v>1.1725669999999999</v>
      </c>
      <c r="C4528" s="32">
        <f t="shared" si="70"/>
        <v>-3.7766630094314024E-2</v>
      </c>
    </row>
    <row r="4529" spans="1:3" x14ac:dyDescent="0.6">
      <c r="A4529" s="24">
        <v>36109</v>
      </c>
      <c r="B4529" s="23">
        <v>1.124544</v>
      </c>
      <c r="C4529" s="32">
        <f t="shared" si="70"/>
        <v>-4.0955442205008241E-2</v>
      </c>
    </row>
    <row r="4530" spans="1:3" x14ac:dyDescent="0.6">
      <c r="A4530" s="24">
        <v>36110</v>
      </c>
      <c r="B4530" s="23">
        <v>1.0745199999999999</v>
      </c>
      <c r="C4530" s="32">
        <f t="shared" si="70"/>
        <v>-4.4483808548176018E-2</v>
      </c>
    </row>
    <row r="4531" spans="1:3" x14ac:dyDescent="0.6">
      <c r="A4531" s="24">
        <v>36111</v>
      </c>
      <c r="B4531" s="23">
        <v>1.0885260000000001</v>
      </c>
      <c r="C4531" s="32">
        <f t="shared" si="70"/>
        <v>1.3034657335368571E-2</v>
      </c>
    </row>
    <row r="4532" spans="1:3" x14ac:dyDescent="0.6">
      <c r="A4532" s="24">
        <v>36112</v>
      </c>
      <c r="B4532" s="23">
        <v>1.142552</v>
      </c>
      <c r="C4532" s="32">
        <f t="shared" si="70"/>
        <v>4.9632254994368408E-2</v>
      </c>
    </row>
    <row r="4533" spans="1:3" x14ac:dyDescent="0.6">
      <c r="A4533" s="24">
        <v>36115</v>
      </c>
      <c r="B4533" s="23">
        <v>1.1525570000000001</v>
      </c>
      <c r="C4533" s="32">
        <f t="shared" si="70"/>
        <v>8.756713042382458E-3</v>
      </c>
    </row>
    <row r="4534" spans="1:3" x14ac:dyDescent="0.6">
      <c r="A4534" s="24">
        <v>36116</v>
      </c>
      <c r="B4534" s="23">
        <v>1.1145389999999999</v>
      </c>
      <c r="C4534" s="32">
        <f t="shared" si="70"/>
        <v>-3.2985787253905996E-2</v>
      </c>
    </row>
    <row r="4535" spans="1:3" x14ac:dyDescent="0.6">
      <c r="A4535" s="24">
        <v>36117</v>
      </c>
      <c r="B4535" s="23">
        <v>1.1345479999999999</v>
      </c>
      <c r="C4535" s="32">
        <f t="shared" si="70"/>
        <v>1.7952714081786336E-2</v>
      </c>
    </row>
    <row r="4536" spans="1:3" x14ac:dyDescent="0.6">
      <c r="A4536" s="24">
        <v>36118</v>
      </c>
      <c r="B4536" s="23">
        <v>1.1445529999999999</v>
      </c>
      <c r="C4536" s="32">
        <f t="shared" si="70"/>
        <v>8.8184898303114156E-3</v>
      </c>
    </row>
    <row r="4537" spans="1:3" x14ac:dyDescent="0.6">
      <c r="A4537" s="24">
        <v>36119</v>
      </c>
      <c r="B4537" s="23">
        <v>1.130547</v>
      </c>
      <c r="C4537" s="32">
        <f t="shared" si="70"/>
        <v>-1.2237091685575074E-2</v>
      </c>
    </row>
    <row r="4538" spans="1:3" x14ac:dyDescent="0.6">
      <c r="A4538" s="24">
        <v>36122</v>
      </c>
      <c r="B4538" s="23">
        <v>1.160561</v>
      </c>
      <c r="C4538" s="32">
        <f t="shared" si="70"/>
        <v>2.6548210733388311E-2</v>
      </c>
    </row>
    <row r="4539" spans="1:3" x14ac:dyDescent="0.6">
      <c r="A4539" s="24">
        <v>36123</v>
      </c>
      <c r="B4539" s="23">
        <v>1.1505559999999999</v>
      </c>
      <c r="C4539" s="32">
        <f t="shared" si="70"/>
        <v>-8.620830787869016E-3</v>
      </c>
    </row>
    <row r="4540" spans="1:3" x14ac:dyDescent="0.6">
      <c r="A4540" s="24">
        <v>36124</v>
      </c>
      <c r="B4540" s="23">
        <v>1.124544</v>
      </c>
      <c r="C4540" s="32">
        <f t="shared" si="70"/>
        <v>-2.2608199861632094E-2</v>
      </c>
    </row>
    <row r="4541" spans="1:3" x14ac:dyDescent="0.6">
      <c r="A4541" s="24">
        <v>36126</v>
      </c>
      <c r="B4541" s="23">
        <v>1.1225430000000001</v>
      </c>
      <c r="C4541" s="32">
        <f t="shared" si="70"/>
        <v>-1.7793879119002431E-3</v>
      </c>
    </row>
    <row r="4542" spans="1:3" x14ac:dyDescent="0.6">
      <c r="A4542" s="24">
        <v>36129</v>
      </c>
      <c r="B4542" s="23">
        <v>1.022494</v>
      </c>
      <c r="C4542" s="32">
        <f t="shared" si="70"/>
        <v>-8.9127098026534401E-2</v>
      </c>
    </row>
    <row r="4543" spans="1:3" x14ac:dyDescent="0.6">
      <c r="A4543" s="24">
        <v>36130</v>
      </c>
      <c r="B4543" s="23">
        <v>1.0925279999999999</v>
      </c>
      <c r="C4543" s="32">
        <f t="shared" si="70"/>
        <v>6.8493311452194172E-2</v>
      </c>
    </row>
    <row r="4544" spans="1:3" x14ac:dyDescent="0.6">
      <c r="A4544" s="24">
        <v>36131</v>
      </c>
      <c r="B4544" s="23">
        <v>1.1525570000000001</v>
      </c>
      <c r="C4544" s="32">
        <f t="shared" si="70"/>
        <v>5.4945044886721472E-2</v>
      </c>
    </row>
    <row r="4545" spans="1:3" x14ac:dyDescent="0.6">
      <c r="A4545" s="24">
        <v>36132</v>
      </c>
      <c r="B4545" s="23">
        <v>1.0785210000000001</v>
      </c>
      <c r="C4545" s="32">
        <f t="shared" si="70"/>
        <v>-6.4236302412809088E-2</v>
      </c>
    </row>
    <row r="4546" spans="1:3" x14ac:dyDescent="0.6">
      <c r="A4546" s="24">
        <v>36133</v>
      </c>
      <c r="B4546" s="23">
        <v>1.0485070000000001</v>
      </c>
      <c r="C4546" s="32">
        <f t="shared" si="70"/>
        <v>-2.7828850805872052E-2</v>
      </c>
    </row>
    <row r="4547" spans="1:3" x14ac:dyDescent="0.6">
      <c r="A4547" s="24">
        <v>36136</v>
      </c>
      <c r="B4547" s="23">
        <v>1.0805229999999999</v>
      </c>
      <c r="C4547" s="32">
        <f t="shared" si="70"/>
        <v>3.0534846214665068E-2</v>
      </c>
    </row>
    <row r="4548" spans="1:3" x14ac:dyDescent="0.6">
      <c r="A4548" s="24">
        <v>36137</v>
      </c>
      <c r="B4548" s="23">
        <v>1.026497</v>
      </c>
      <c r="C4548" s="32">
        <f t="shared" ref="C4548:C4611" si="71">B4548/B4547-1</f>
        <v>-4.9999861178336658E-2</v>
      </c>
    </row>
    <row r="4549" spans="1:3" x14ac:dyDescent="0.6">
      <c r="A4549" s="24">
        <v>36138</v>
      </c>
      <c r="B4549" s="23">
        <v>1.0244949999999999</v>
      </c>
      <c r="C4549" s="32">
        <f t="shared" si="71"/>
        <v>-1.9503223097584454E-3</v>
      </c>
    </row>
    <row r="4550" spans="1:3" x14ac:dyDescent="0.6">
      <c r="A4550" s="24">
        <v>36139</v>
      </c>
      <c r="B4550" s="23">
        <v>1.0244949999999999</v>
      </c>
      <c r="C4550" s="32">
        <f t="shared" si="71"/>
        <v>0</v>
      </c>
    </row>
    <row r="4551" spans="1:3" x14ac:dyDescent="0.6">
      <c r="A4551" s="24">
        <v>36140</v>
      </c>
      <c r="B4551" s="23">
        <v>1.0805229999999999</v>
      </c>
      <c r="C4551" s="32">
        <f t="shared" si="71"/>
        <v>5.4688407459284827E-2</v>
      </c>
    </row>
    <row r="4552" spans="1:3" x14ac:dyDescent="0.6">
      <c r="A4552" s="24">
        <v>36143</v>
      </c>
      <c r="B4552" s="23">
        <v>1.040503</v>
      </c>
      <c r="C4552" s="32">
        <f t="shared" si="71"/>
        <v>-3.7037619745252992E-2</v>
      </c>
    </row>
    <row r="4553" spans="1:3" x14ac:dyDescent="0.6">
      <c r="A4553" s="24">
        <v>36144</v>
      </c>
      <c r="B4553" s="23">
        <v>1.0745199999999999</v>
      </c>
      <c r="C4553" s="32">
        <f t="shared" si="71"/>
        <v>3.2692841827462349E-2</v>
      </c>
    </row>
    <row r="4554" spans="1:3" x14ac:dyDescent="0.6">
      <c r="A4554" s="24">
        <v>36145</v>
      </c>
      <c r="B4554" s="23">
        <v>1.050508</v>
      </c>
      <c r="C4554" s="32">
        <f t="shared" si="71"/>
        <v>-2.2346722257379992E-2</v>
      </c>
    </row>
    <row r="4555" spans="1:3" x14ac:dyDescent="0.6">
      <c r="A4555" s="24">
        <v>36146</v>
      </c>
      <c r="B4555" s="23">
        <v>1.0705169999999999</v>
      </c>
      <c r="C4555" s="32">
        <f t="shared" si="71"/>
        <v>1.904697536810751E-2</v>
      </c>
    </row>
    <row r="4556" spans="1:3" x14ac:dyDescent="0.6">
      <c r="A4556" s="24">
        <v>36147</v>
      </c>
      <c r="B4556" s="23">
        <v>1.1265449999999999</v>
      </c>
      <c r="C4556" s="32">
        <f t="shared" si="71"/>
        <v>5.2337328599172173E-2</v>
      </c>
    </row>
    <row r="4557" spans="1:3" x14ac:dyDescent="0.6">
      <c r="A4557" s="24">
        <v>36150</v>
      </c>
      <c r="B4557" s="23">
        <v>1.1225430000000001</v>
      </c>
      <c r="C4557" s="32">
        <f t="shared" si="71"/>
        <v>-3.5524546289760206E-3</v>
      </c>
    </row>
    <row r="4558" spans="1:3" x14ac:dyDescent="0.6">
      <c r="A4558" s="24">
        <v>36151</v>
      </c>
      <c r="B4558" s="23">
        <v>1.216588</v>
      </c>
      <c r="C4558" s="32">
        <f t="shared" si="71"/>
        <v>8.377852786040263E-2</v>
      </c>
    </row>
    <row r="4559" spans="1:3" x14ac:dyDescent="0.6">
      <c r="A4559" s="24">
        <v>36152</v>
      </c>
      <c r="B4559" s="23">
        <v>1.274616</v>
      </c>
      <c r="C4559" s="32">
        <f t="shared" si="71"/>
        <v>4.7697330567127105E-2</v>
      </c>
    </row>
    <row r="4560" spans="1:3" x14ac:dyDescent="0.6">
      <c r="A4560" s="24">
        <v>36153</v>
      </c>
      <c r="B4560" s="23">
        <v>1.2566079999999999</v>
      </c>
      <c r="C4560" s="32">
        <f t="shared" si="71"/>
        <v>-1.4128176643004697E-2</v>
      </c>
    </row>
    <row r="4561" spans="1:3" x14ac:dyDescent="0.6">
      <c r="A4561" s="24">
        <v>36157</v>
      </c>
      <c r="B4561" s="23">
        <v>1.3086329999999999</v>
      </c>
      <c r="C4561" s="32">
        <f t="shared" si="71"/>
        <v>4.140113702920889E-2</v>
      </c>
    </row>
    <row r="4562" spans="1:3" x14ac:dyDescent="0.6">
      <c r="A4562" s="24">
        <v>36158</v>
      </c>
      <c r="B4562" s="23">
        <v>1.306632</v>
      </c>
      <c r="C4562" s="32">
        <f t="shared" si="71"/>
        <v>-1.5290765248927585E-3</v>
      </c>
    </row>
    <row r="4563" spans="1:3" x14ac:dyDescent="0.6">
      <c r="A4563" s="24">
        <v>36159</v>
      </c>
      <c r="B4563" s="23">
        <v>1.2826200000000001</v>
      </c>
      <c r="C4563" s="32">
        <f t="shared" si="71"/>
        <v>-1.8377018165787962E-2</v>
      </c>
    </row>
    <row r="4564" spans="1:3" x14ac:dyDescent="0.6">
      <c r="A4564" s="24">
        <v>36160</v>
      </c>
      <c r="B4564" s="23">
        <v>1.3106340000000001</v>
      </c>
      <c r="C4564" s="32">
        <f t="shared" si="71"/>
        <v>2.1841231229826397E-2</v>
      </c>
    </row>
    <row r="4565" spans="1:3" x14ac:dyDescent="0.6">
      <c r="A4565" s="24">
        <v>36164</v>
      </c>
      <c r="B4565" s="23">
        <v>1.3206389999999999</v>
      </c>
      <c r="C4565" s="32">
        <f t="shared" si="71"/>
        <v>7.633710097555646E-3</v>
      </c>
    </row>
    <row r="4566" spans="1:3" x14ac:dyDescent="0.6">
      <c r="A4566" s="24">
        <v>36165</v>
      </c>
      <c r="B4566" s="23">
        <v>1.3866700000000001</v>
      </c>
      <c r="C4566" s="32">
        <f t="shared" si="71"/>
        <v>4.999928065126058E-2</v>
      </c>
    </row>
    <row r="4567" spans="1:3" x14ac:dyDescent="0.6">
      <c r="A4567" s="24">
        <v>36166</v>
      </c>
      <c r="B4567" s="23">
        <v>1.336646</v>
      </c>
      <c r="C4567" s="32">
        <f t="shared" si="71"/>
        <v>-3.6074913281458509E-2</v>
      </c>
    </row>
    <row r="4568" spans="1:3" x14ac:dyDescent="0.6">
      <c r="A4568" s="24">
        <v>36167</v>
      </c>
      <c r="B4568" s="23">
        <v>1.440696</v>
      </c>
      <c r="C4568" s="32">
        <f t="shared" si="71"/>
        <v>7.7844096342636782E-2</v>
      </c>
    </row>
    <row r="4569" spans="1:3" x14ac:dyDescent="0.6">
      <c r="A4569" s="24">
        <v>36168</v>
      </c>
      <c r="B4569" s="23">
        <v>1.440696</v>
      </c>
      <c r="C4569" s="32">
        <f t="shared" si="71"/>
        <v>0</v>
      </c>
    </row>
    <row r="4570" spans="1:3" x14ac:dyDescent="0.6">
      <c r="A4570" s="24">
        <v>36171</v>
      </c>
      <c r="B4570" s="23">
        <v>1.46871</v>
      </c>
      <c r="C4570" s="32">
        <f t="shared" si="71"/>
        <v>1.9444768361958298E-2</v>
      </c>
    </row>
    <row r="4571" spans="1:3" x14ac:dyDescent="0.6">
      <c r="A4571" s="24">
        <v>36172</v>
      </c>
      <c r="B4571" s="23">
        <v>1.4767140000000001</v>
      </c>
      <c r="C4571" s="32">
        <f t="shared" si="71"/>
        <v>5.449680331719664E-3</v>
      </c>
    </row>
    <row r="4572" spans="1:3" x14ac:dyDescent="0.6">
      <c r="A4572" s="24">
        <v>36173</v>
      </c>
      <c r="B4572" s="23">
        <v>1.48872</v>
      </c>
      <c r="C4572" s="32">
        <f t="shared" si="71"/>
        <v>8.1302134333391951E-3</v>
      </c>
    </row>
    <row r="4573" spans="1:3" x14ac:dyDescent="0.6">
      <c r="A4573" s="24">
        <v>36174</v>
      </c>
      <c r="B4573" s="23">
        <v>1.324641</v>
      </c>
      <c r="C4573" s="32">
        <f t="shared" si="71"/>
        <v>-0.11021481541189748</v>
      </c>
    </row>
    <row r="4574" spans="1:3" x14ac:dyDescent="0.6">
      <c r="A4574" s="24">
        <v>36175</v>
      </c>
      <c r="B4574" s="23">
        <v>1.32264</v>
      </c>
      <c r="C4574" s="32">
        <f t="shared" si="71"/>
        <v>-1.5105979657884516E-3</v>
      </c>
    </row>
    <row r="4575" spans="1:3" x14ac:dyDescent="0.6">
      <c r="A4575" s="24">
        <v>36179</v>
      </c>
      <c r="B4575" s="23">
        <v>1.3086329999999999</v>
      </c>
      <c r="C4575" s="32">
        <f t="shared" si="71"/>
        <v>-1.0590183269824083E-2</v>
      </c>
    </row>
    <row r="4576" spans="1:3" x14ac:dyDescent="0.6">
      <c r="A4576" s="24">
        <v>36180</v>
      </c>
      <c r="B4576" s="23">
        <v>1.2986279999999999</v>
      </c>
      <c r="C4576" s="32">
        <f t="shared" si="71"/>
        <v>-7.6453826244639034E-3</v>
      </c>
    </row>
    <row r="4577" spans="1:3" x14ac:dyDescent="0.6">
      <c r="A4577" s="24">
        <v>36181</v>
      </c>
      <c r="B4577" s="23">
        <v>1.2426010000000001</v>
      </c>
      <c r="C4577" s="32">
        <f t="shared" si="71"/>
        <v>-4.3143225003619112E-2</v>
      </c>
    </row>
    <row r="4578" spans="1:3" x14ac:dyDescent="0.6">
      <c r="A4578" s="24">
        <v>36182</v>
      </c>
      <c r="B4578" s="23">
        <v>1.2405999999999999</v>
      </c>
      <c r="C4578" s="32">
        <f t="shared" si="71"/>
        <v>-1.6103318764431052E-3</v>
      </c>
    </row>
    <row r="4579" spans="1:3" x14ac:dyDescent="0.6">
      <c r="A4579" s="24">
        <v>36185</v>
      </c>
      <c r="B4579" s="23">
        <v>1.26061</v>
      </c>
      <c r="C4579" s="32">
        <f t="shared" si="71"/>
        <v>1.6129292277930141E-2</v>
      </c>
    </row>
    <row r="4580" spans="1:3" x14ac:dyDescent="0.6">
      <c r="A4580" s="24">
        <v>36186</v>
      </c>
      <c r="B4580" s="23">
        <v>1.296627</v>
      </c>
      <c r="C4580" s="32">
        <f t="shared" si="71"/>
        <v>2.857108859996349E-2</v>
      </c>
    </row>
    <row r="4581" spans="1:3" x14ac:dyDescent="0.6">
      <c r="A4581" s="24">
        <v>36187</v>
      </c>
      <c r="B4581" s="23">
        <v>1.284621</v>
      </c>
      <c r="C4581" s="32">
        <f t="shared" si="71"/>
        <v>-9.2594092210018797E-3</v>
      </c>
    </row>
    <row r="4582" spans="1:3" x14ac:dyDescent="0.6">
      <c r="A4582" s="24">
        <v>36188</v>
      </c>
      <c r="B4582" s="23">
        <v>1.3086329999999999</v>
      </c>
      <c r="C4582" s="32">
        <f t="shared" si="71"/>
        <v>1.8691894340821191E-2</v>
      </c>
    </row>
    <row r="4583" spans="1:3" x14ac:dyDescent="0.6">
      <c r="A4583" s="24">
        <v>36189</v>
      </c>
      <c r="B4583" s="23">
        <v>1.318638</v>
      </c>
      <c r="C4583" s="32">
        <f t="shared" si="71"/>
        <v>7.6453826244637924E-3</v>
      </c>
    </row>
    <row r="4584" spans="1:3" x14ac:dyDescent="0.6">
      <c r="A4584" s="24">
        <v>36192</v>
      </c>
      <c r="B4584" s="23">
        <v>1.3106340000000001</v>
      </c>
      <c r="C4584" s="32">
        <f t="shared" si="71"/>
        <v>-6.0698993961950665E-3</v>
      </c>
    </row>
    <row r="4585" spans="1:3" x14ac:dyDescent="0.6">
      <c r="A4585" s="24">
        <v>36193</v>
      </c>
      <c r="B4585" s="23">
        <v>1.254607</v>
      </c>
      <c r="C4585" s="32">
        <f t="shared" si="71"/>
        <v>-4.2748013556797693E-2</v>
      </c>
    </row>
    <row r="4586" spans="1:3" x14ac:dyDescent="0.6">
      <c r="A4586" s="24">
        <v>36194</v>
      </c>
      <c r="B4586" s="23">
        <v>1.2866219999999999</v>
      </c>
      <c r="C4586" s="32">
        <f t="shared" si="71"/>
        <v>2.5517951039648157E-2</v>
      </c>
    </row>
    <row r="4587" spans="1:3" x14ac:dyDescent="0.6">
      <c r="A4587" s="24">
        <v>36195</v>
      </c>
      <c r="B4587" s="23">
        <v>1.2125859999999999</v>
      </c>
      <c r="C4587" s="32">
        <f t="shared" si="71"/>
        <v>-5.7542930246801349E-2</v>
      </c>
    </row>
    <row r="4588" spans="1:3" x14ac:dyDescent="0.6">
      <c r="A4588" s="24">
        <v>36196</v>
      </c>
      <c r="B4588" s="23">
        <v>1.1625620000000001</v>
      </c>
      <c r="C4588" s="32">
        <f t="shared" si="71"/>
        <v>-4.1253981160923714E-2</v>
      </c>
    </row>
    <row r="4589" spans="1:3" x14ac:dyDescent="0.6">
      <c r="A4589" s="24">
        <v>36199</v>
      </c>
      <c r="B4589" s="23">
        <v>1.208585</v>
      </c>
      <c r="C4589" s="32">
        <f t="shared" si="71"/>
        <v>3.9587566082497139E-2</v>
      </c>
    </row>
    <row r="4590" spans="1:3" x14ac:dyDescent="0.6">
      <c r="A4590" s="24">
        <v>36200</v>
      </c>
      <c r="B4590" s="23">
        <v>1.1905760000000001</v>
      </c>
      <c r="C4590" s="32">
        <f t="shared" si="71"/>
        <v>-1.4900896502935246E-2</v>
      </c>
    </row>
    <row r="4591" spans="1:3" x14ac:dyDescent="0.6">
      <c r="A4591" s="24">
        <v>36201</v>
      </c>
      <c r="B4591" s="23">
        <v>1.226593</v>
      </c>
      <c r="C4591" s="32">
        <f t="shared" si="71"/>
        <v>3.0251743693808786E-2</v>
      </c>
    </row>
    <row r="4592" spans="1:3" x14ac:dyDescent="0.6">
      <c r="A4592" s="24">
        <v>36202</v>
      </c>
      <c r="B4592" s="23">
        <v>1.268613</v>
      </c>
      <c r="C4592" s="32">
        <f t="shared" si="71"/>
        <v>3.4257492093954456E-2</v>
      </c>
    </row>
    <row r="4593" spans="1:3" x14ac:dyDescent="0.6">
      <c r="A4593" s="24">
        <v>36203</v>
      </c>
      <c r="B4593" s="23">
        <v>1.206583</v>
      </c>
      <c r="C4593" s="32">
        <f t="shared" si="71"/>
        <v>-4.8895920190002773E-2</v>
      </c>
    </row>
    <row r="4594" spans="1:3" x14ac:dyDescent="0.6">
      <c r="A4594" s="24">
        <v>36207</v>
      </c>
      <c r="B4594" s="23">
        <v>1.226593</v>
      </c>
      <c r="C4594" s="32">
        <f t="shared" si="71"/>
        <v>1.6584022814841726E-2</v>
      </c>
    </row>
    <row r="4595" spans="1:3" x14ac:dyDescent="0.6">
      <c r="A4595" s="24">
        <v>36208</v>
      </c>
      <c r="B4595" s="23">
        <v>1.1845730000000001</v>
      </c>
      <c r="C4595" s="32">
        <f t="shared" si="71"/>
        <v>-3.4257492093954456E-2</v>
      </c>
    </row>
    <row r="4596" spans="1:3" x14ac:dyDescent="0.6">
      <c r="A4596" s="24">
        <v>36209</v>
      </c>
      <c r="B4596" s="23">
        <v>1.1525570000000001</v>
      </c>
      <c r="C4596" s="32">
        <f t="shared" si="71"/>
        <v>-2.7027460527970892E-2</v>
      </c>
    </row>
    <row r="4597" spans="1:3" x14ac:dyDescent="0.6">
      <c r="A4597" s="24">
        <v>36210</v>
      </c>
      <c r="B4597" s="23">
        <v>1.1905760000000001</v>
      </c>
      <c r="C4597" s="32">
        <f t="shared" si="71"/>
        <v>3.2986654889953337E-2</v>
      </c>
    </row>
    <row r="4598" spans="1:3" x14ac:dyDescent="0.6">
      <c r="A4598" s="24">
        <v>36213</v>
      </c>
      <c r="B4598" s="23">
        <v>1.2305950000000001</v>
      </c>
      <c r="C4598" s="32">
        <f t="shared" si="71"/>
        <v>3.3613141874185182E-2</v>
      </c>
    </row>
    <row r="4599" spans="1:3" x14ac:dyDescent="0.6">
      <c r="A4599" s="24">
        <v>36214</v>
      </c>
      <c r="B4599" s="23">
        <v>1.2305950000000001</v>
      </c>
      <c r="C4599" s="32">
        <f t="shared" si="71"/>
        <v>0</v>
      </c>
    </row>
    <row r="4600" spans="1:3" x14ac:dyDescent="0.6">
      <c r="A4600" s="24">
        <v>36215</v>
      </c>
      <c r="B4600" s="23">
        <v>1.19858</v>
      </c>
      <c r="C4600" s="32">
        <f t="shared" si="71"/>
        <v>-2.6015870371649541E-2</v>
      </c>
    </row>
    <row r="4601" spans="1:3" x14ac:dyDescent="0.6">
      <c r="A4601" s="24">
        <v>36216</v>
      </c>
      <c r="B4601" s="23">
        <v>1.182572</v>
      </c>
      <c r="C4601" s="32">
        <f t="shared" si="71"/>
        <v>-1.3355804368502699E-2</v>
      </c>
    </row>
    <row r="4602" spans="1:3" x14ac:dyDescent="0.6">
      <c r="A4602" s="24">
        <v>36217</v>
      </c>
      <c r="B4602" s="23">
        <v>1.1145389999999999</v>
      </c>
      <c r="C4602" s="32">
        <f t="shared" si="71"/>
        <v>-5.7529689524189687E-2</v>
      </c>
    </row>
    <row r="4603" spans="1:3" x14ac:dyDescent="0.6">
      <c r="A4603" s="24">
        <v>36220</v>
      </c>
      <c r="B4603" s="23">
        <v>1.0805229999999999</v>
      </c>
      <c r="C4603" s="32">
        <f t="shared" si="71"/>
        <v>-3.0520242001401465E-2</v>
      </c>
    </row>
    <row r="4604" spans="1:3" x14ac:dyDescent="0.6">
      <c r="A4604" s="24">
        <v>36221</v>
      </c>
      <c r="B4604" s="23">
        <v>1.108536</v>
      </c>
      <c r="C4604" s="32">
        <f t="shared" si="71"/>
        <v>2.5925408343922429E-2</v>
      </c>
    </row>
    <row r="4605" spans="1:3" x14ac:dyDescent="0.6">
      <c r="A4605" s="24">
        <v>36222</v>
      </c>
      <c r="B4605" s="23">
        <v>1.0945290000000001</v>
      </c>
      <c r="C4605" s="32">
        <f t="shared" si="71"/>
        <v>-1.2635584230011321E-2</v>
      </c>
    </row>
    <row r="4606" spans="1:3" x14ac:dyDescent="0.6">
      <c r="A4606" s="24">
        <v>36223</v>
      </c>
      <c r="B4606" s="23">
        <v>1.0705169999999999</v>
      </c>
      <c r="C4606" s="32">
        <f t="shared" si="71"/>
        <v>-2.1938203556050251E-2</v>
      </c>
    </row>
    <row r="4607" spans="1:3" x14ac:dyDescent="0.6">
      <c r="A4607" s="24">
        <v>36224</v>
      </c>
      <c r="B4607" s="23">
        <v>1.062514</v>
      </c>
      <c r="C4607" s="32">
        <f t="shared" si="71"/>
        <v>-7.4758271003636523E-3</v>
      </c>
    </row>
    <row r="4608" spans="1:3" x14ac:dyDescent="0.6">
      <c r="A4608" s="24">
        <v>36227</v>
      </c>
      <c r="B4608" s="23">
        <v>1.1005320000000001</v>
      </c>
      <c r="C4608" s="32">
        <f t="shared" si="71"/>
        <v>3.5781175589215897E-2</v>
      </c>
    </row>
    <row r="4609" spans="1:3" x14ac:dyDescent="0.6">
      <c r="A4609" s="24">
        <v>36228</v>
      </c>
      <c r="B4609" s="23">
        <v>1.0925279999999999</v>
      </c>
      <c r="C4609" s="32">
        <f t="shared" si="71"/>
        <v>-7.2728462234629143E-3</v>
      </c>
    </row>
    <row r="4610" spans="1:3" x14ac:dyDescent="0.6">
      <c r="A4610" s="24">
        <v>36229</v>
      </c>
      <c r="B4610" s="23">
        <v>1.0425040000000001</v>
      </c>
      <c r="C4610" s="32">
        <f t="shared" si="71"/>
        <v>-4.5787384854209523E-2</v>
      </c>
    </row>
    <row r="4611" spans="1:3" x14ac:dyDescent="0.6">
      <c r="A4611" s="24">
        <v>36230</v>
      </c>
      <c r="B4611" s="23">
        <v>1.0304979999999999</v>
      </c>
      <c r="C4611" s="32">
        <f t="shared" si="71"/>
        <v>-1.1516502574570597E-2</v>
      </c>
    </row>
    <row r="4612" spans="1:3" x14ac:dyDescent="0.6">
      <c r="A4612" s="24">
        <v>36231</v>
      </c>
      <c r="B4612" s="23">
        <v>1.062514</v>
      </c>
      <c r="C4612" s="32">
        <f t="shared" ref="C4612:C4675" si="72">B4612/B4611-1</f>
        <v>3.1068473689420006E-2</v>
      </c>
    </row>
    <row r="4613" spans="1:3" x14ac:dyDescent="0.6">
      <c r="A4613" s="24">
        <v>36234</v>
      </c>
      <c r="B4613" s="23">
        <v>1.090527</v>
      </c>
      <c r="C4613" s="32">
        <f t="shared" si="72"/>
        <v>2.6364829075193441E-2</v>
      </c>
    </row>
    <row r="4614" spans="1:3" x14ac:dyDescent="0.6">
      <c r="A4614" s="24">
        <v>36235</v>
      </c>
      <c r="B4614" s="23">
        <v>1.136549</v>
      </c>
      <c r="C4614" s="32">
        <f t="shared" si="72"/>
        <v>4.2201614448794E-2</v>
      </c>
    </row>
    <row r="4615" spans="1:3" x14ac:dyDescent="0.6">
      <c r="A4615" s="24">
        <v>36236</v>
      </c>
      <c r="B4615" s="23">
        <v>1.090527</v>
      </c>
      <c r="C4615" s="32">
        <f t="shared" si="72"/>
        <v>-4.0492754821833454E-2</v>
      </c>
    </row>
    <row r="4616" spans="1:3" x14ac:dyDescent="0.6">
      <c r="A4616" s="24">
        <v>36237</v>
      </c>
      <c r="B4616" s="23">
        <v>1.136549</v>
      </c>
      <c r="C4616" s="32">
        <f t="shared" si="72"/>
        <v>4.2201614448794E-2</v>
      </c>
    </row>
    <row r="4617" spans="1:3" x14ac:dyDescent="0.6">
      <c r="A4617" s="24">
        <v>36238</v>
      </c>
      <c r="B4617" s="23">
        <v>1.072519</v>
      </c>
      <c r="C4617" s="32">
        <f t="shared" si="72"/>
        <v>-5.6337210274260086E-2</v>
      </c>
    </row>
    <row r="4618" spans="1:3" x14ac:dyDescent="0.6">
      <c r="A4618" s="24">
        <v>36241</v>
      </c>
      <c r="B4618" s="23">
        <v>1.1225430000000001</v>
      </c>
      <c r="C4618" s="32">
        <f t="shared" si="72"/>
        <v>4.6641597957705283E-2</v>
      </c>
    </row>
    <row r="4619" spans="1:3" x14ac:dyDescent="0.6">
      <c r="A4619" s="24">
        <v>36242</v>
      </c>
      <c r="B4619" s="23">
        <v>1.056511</v>
      </c>
      <c r="C4619" s="32">
        <f t="shared" si="72"/>
        <v>-5.8823581813792547E-2</v>
      </c>
    </row>
    <row r="4620" spans="1:3" x14ac:dyDescent="0.6">
      <c r="A4620" s="24">
        <v>36243</v>
      </c>
      <c r="B4620" s="23">
        <v>1.0785210000000001</v>
      </c>
      <c r="C4620" s="32">
        <f t="shared" si="72"/>
        <v>2.0832722044541008E-2</v>
      </c>
    </row>
    <row r="4621" spans="1:3" x14ac:dyDescent="0.6">
      <c r="A4621" s="24">
        <v>36244</v>
      </c>
      <c r="B4621" s="23">
        <v>1.0825229999999999</v>
      </c>
      <c r="C4621" s="32">
        <f t="shared" si="72"/>
        <v>3.7106370668720245E-3</v>
      </c>
    </row>
    <row r="4622" spans="1:3" x14ac:dyDescent="0.6">
      <c r="A4622" s="24">
        <v>36245</v>
      </c>
      <c r="B4622" s="23">
        <v>1.0645150000000001</v>
      </c>
      <c r="C4622" s="32">
        <f t="shared" si="72"/>
        <v>-1.663521236962151E-2</v>
      </c>
    </row>
    <row r="4623" spans="1:3" x14ac:dyDescent="0.6">
      <c r="A4623" s="24">
        <v>36248</v>
      </c>
      <c r="B4623" s="23">
        <v>1.1325480000000001</v>
      </c>
      <c r="C4623" s="32">
        <f t="shared" si="72"/>
        <v>6.3909855661968162E-2</v>
      </c>
    </row>
    <row r="4624" spans="1:3" x14ac:dyDescent="0.6">
      <c r="A4624" s="24">
        <v>36249</v>
      </c>
      <c r="B4624" s="23">
        <v>1.148555</v>
      </c>
      <c r="C4624" s="32">
        <f t="shared" si="72"/>
        <v>1.4133617294807665E-2</v>
      </c>
    </row>
    <row r="4625" spans="1:3" x14ac:dyDescent="0.6">
      <c r="A4625" s="24">
        <v>36250</v>
      </c>
      <c r="B4625" s="23">
        <v>1.1505559999999999</v>
      </c>
      <c r="C4625" s="32">
        <f t="shared" si="72"/>
        <v>1.7421890984758992E-3</v>
      </c>
    </row>
    <row r="4626" spans="1:3" x14ac:dyDescent="0.6">
      <c r="A4626" s="24">
        <v>36251</v>
      </c>
      <c r="B4626" s="23">
        <v>1.154558</v>
      </c>
      <c r="C4626" s="32">
        <f t="shared" si="72"/>
        <v>3.4783183087134795E-3</v>
      </c>
    </row>
    <row r="4627" spans="1:3" x14ac:dyDescent="0.6">
      <c r="A4627" s="24">
        <v>36255</v>
      </c>
      <c r="B4627" s="23">
        <v>1.186574</v>
      </c>
      <c r="C4627" s="32">
        <f t="shared" si="72"/>
        <v>2.7730092381673455E-2</v>
      </c>
    </row>
    <row r="4628" spans="1:3" x14ac:dyDescent="0.6">
      <c r="A4628" s="24">
        <v>36256</v>
      </c>
      <c r="B4628" s="23">
        <v>1.216588</v>
      </c>
      <c r="C4628" s="32">
        <f t="shared" si="72"/>
        <v>2.5294671887299058E-2</v>
      </c>
    </row>
    <row r="4629" spans="1:3" x14ac:dyDescent="0.6">
      <c r="A4629" s="24">
        <v>36257</v>
      </c>
      <c r="B4629" s="23">
        <v>1.1885749999999999</v>
      </c>
      <c r="C4629" s="32">
        <f t="shared" si="72"/>
        <v>-2.3025872357774424E-2</v>
      </c>
    </row>
    <row r="4630" spans="1:3" x14ac:dyDescent="0.6">
      <c r="A4630" s="24">
        <v>36258</v>
      </c>
      <c r="B4630" s="23">
        <v>1.180571</v>
      </c>
      <c r="C4630" s="32">
        <f t="shared" si="72"/>
        <v>-6.7341143806658454E-3</v>
      </c>
    </row>
    <row r="4631" spans="1:3" x14ac:dyDescent="0.6">
      <c r="A4631" s="24">
        <v>36259</v>
      </c>
      <c r="B4631" s="23">
        <v>1.176569</v>
      </c>
      <c r="C4631" s="32">
        <f t="shared" si="72"/>
        <v>-3.3898850640918798E-3</v>
      </c>
    </row>
    <row r="4632" spans="1:3" x14ac:dyDescent="0.6">
      <c r="A4632" s="24">
        <v>36262</v>
      </c>
      <c r="B4632" s="23">
        <v>1.160561</v>
      </c>
      <c r="C4632" s="32">
        <f t="shared" si="72"/>
        <v>-1.3605661886383236E-2</v>
      </c>
    </row>
    <row r="4633" spans="1:3" x14ac:dyDescent="0.6">
      <c r="A4633" s="24">
        <v>36263</v>
      </c>
      <c r="B4633" s="23">
        <v>1.108536</v>
      </c>
      <c r="C4633" s="32">
        <f t="shared" si="72"/>
        <v>-4.4827458444665957E-2</v>
      </c>
    </row>
    <row r="4634" spans="1:3" x14ac:dyDescent="0.6">
      <c r="A4634" s="24">
        <v>36264</v>
      </c>
      <c r="B4634" s="23">
        <v>1.137548</v>
      </c>
      <c r="C4634" s="32">
        <f t="shared" si="72"/>
        <v>2.6171454964024621E-2</v>
      </c>
    </row>
    <row r="4635" spans="1:3" x14ac:dyDescent="0.6">
      <c r="A4635" s="24">
        <v>36265</v>
      </c>
      <c r="B4635" s="23">
        <v>1.1445529999999999</v>
      </c>
      <c r="C4635" s="32">
        <f t="shared" si="72"/>
        <v>6.1579819049393247E-3</v>
      </c>
    </row>
    <row r="4636" spans="1:3" x14ac:dyDescent="0.6">
      <c r="A4636" s="24">
        <v>36266</v>
      </c>
      <c r="B4636" s="23">
        <v>1.1345479999999999</v>
      </c>
      <c r="C4636" s="32">
        <f t="shared" si="72"/>
        <v>-8.7414038493630608E-3</v>
      </c>
    </row>
    <row r="4637" spans="1:3" x14ac:dyDescent="0.6">
      <c r="A4637" s="24">
        <v>36269</v>
      </c>
      <c r="B4637" s="23">
        <v>1.084524</v>
      </c>
      <c r="C4637" s="32">
        <f t="shared" si="72"/>
        <v>-4.4091567743277382E-2</v>
      </c>
    </row>
    <row r="4638" spans="1:3" x14ac:dyDescent="0.6">
      <c r="A4638" s="24">
        <v>36270</v>
      </c>
      <c r="B4638" s="23">
        <v>1.090527</v>
      </c>
      <c r="C4638" s="32">
        <f t="shared" si="72"/>
        <v>5.5351472166591531E-3</v>
      </c>
    </row>
    <row r="4639" spans="1:3" x14ac:dyDescent="0.6">
      <c r="A4639" s="24">
        <v>36271</v>
      </c>
      <c r="B4639" s="23">
        <v>1.1005320000000001</v>
      </c>
      <c r="C4639" s="32">
        <f t="shared" si="72"/>
        <v>9.1744633557904187E-3</v>
      </c>
    </row>
    <row r="4640" spans="1:3" x14ac:dyDescent="0.6">
      <c r="A4640" s="24">
        <v>36272</v>
      </c>
      <c r="B4640" s="23">
        <v>1.164563</v>
      </c>
      <c r="C4640" s="32">
        <f t="shared" si="72"/>
        <v>5.8181861136250346E-2</v>
      </c>
    </row>
    <row r="4641" spans="1:3" x14ac:dyDescent="0.6">
      <c r="A4641" s="24">
        <v>36273</v>
      </c>
      <c r="B4641" s="23">
        <v>1.254607</v>
      </c>
      <c r="C4641" s="32">
        <f t="shared" si="72"/>
        <v>7.7319990417006323E-2</v>
      </c>
    </row>
    <row r="4642" spans="1:3" x14ac:dyDescent="0.6">
      <c r="A4642" s="24">
        <v>36276</v>
      </c>
      <c r="B4642" s="23">
        <v>1.3106340000000001</v>
      </c>
      <c r="C4642" s="32">
        <f t="shared" si="72"/>
        <v>4.4657012116144701E-2</v>
      </c>
    </row>
    <row r="4643" spans="1:3" x14ac:dyDescent="0.6">
      <c r="A4643" s="24">
        <v>36277</v>
      </c>
      <c r="B4643" s="23">
        <v>1.4647079999999999</v>
      </c>
      <c r="C4643" s="32">
        <f t="shared" si="72"/>
        <v>0.11755684653381482</v>
      </c>
    </row>
    <row r="4644" spans="1:3" x14ac:dyDescent="0.6">
      <c r="A4644" s="24">
        <v>36278</v>
      </c>
      <c r="B4644" s="23">
        <v>1.410682</v>
      </c>
      <c r="C4644" s="32">
        <f t="shared" si="72"/>
        <v>-3.6885167555581022E-2</v>
      </c>
    </row>
    <row r="4645" spans="1:3" x14ac:dyDescent="0.6">
      <c r="A4645" s="24">
        <v>36279</v>
      </c>
      <c r="B4645" s="23">
        <v>1.3766659999999999</v>
      </c>
      <c r="C4645" s="32">
        <f t="shared" si="72"/>
        <v>-2.4113159450535271E-2</v>
      </c>
    </row>
    <row r="4646" spans="1:3" x14ac:dyDescent="0.6">
      <c r="A4646" s="24">
        <v>36280</v>
      </c>
      <c r="B4646" s="23">
        <v>1.472712</v>
      </c>
      <c r="C4646" s="32">
        <f t="shared" si="72"/>
        <v>6.9767104003440217E-2</v>
      </c>
    </row>
    <row r="4647" spans="1:3" x14ac:dyDescent="0.6">
      <c r="A4647" s="24">
        <v>36283</v>
      </c>
      <c r="B4647" s="23">
        <v>1.586767</v>
      </c>
      <c r="C4647" s="32">
        <f t="shared" si="72"/>
        <v>7.7445556225521406E-2</v>
      </c>
    </row>
    <row r="4648" spans="1:3" x14ac:dyDescent="0.6">
      <c r="A4648" s="24">
        <v>36284</v>
      </c>
      <c r="B4648" s="23">
        <v>1.48872</v>
      </c>
      <c r="C4648" s="32">
        <f t="shared" si="72"/>
        <v>-6.1790420395685053E-2</v>
      </c>
    </row>
    <row r="4649" spans="1:3" x14ac:dyDescent="0.6">
      <c r="A4649" s="24">
        <v>36285</v>
      </c>
      <c r="B4649" s="23">
        <v>1.5047269999999999</v>
      </c>
      <c r="C4649" s="32">
        <f t="shared" si="72"/>
        <v>1.0752189800633971E-2</v>
      </c>
    </row>
    <row r="4650" spans="1:3" x14ac:dyDescent="0.6">
      <c r="A4650" s="24">
        <v>36286</v>
      </c>
      <c r="B4650" s="23">
        <v>1.4246890000000001</v>
      </c>
      <c r="C4650" s="32">
        <f t="shared" si="72"/>
        <v>-5.3191043956810624E-2</v>
      </c>
    </row>
    <row r="4651" spans="1:3" x14ac:dyDescent="0.6">
      <c r="A4651" s="24">
        <v>36287</v>
      </c>
      <c r="B4651" s="23">
        <v>1.46871</v>
      </c>
      <c r="C4651" s="32">
        <f t="shared" si="72"/>
        <v>3.0898673324493808E-2</v>
      </c>
    </row>
    <row r="4652" spans="1:3" x14ac:dyDescent="0.6">
      <c r="A4652" s="24">
        <v>36290</v>
      </c>
      <c r="B4652" s="23">
        <v>1.448701</v>
      </c>
      <c r="C4652" s="32">
        <f t="shared" si="72"/>
        <v>-1.3623519959692465E-2</v>
      </c>
    </row>
    <row r="4653" spans="1:3" x14ac:dyDescent="0.6">
      <c r="A4653" s="24">
        <v>36291</v>
      </c>
      <c r="B4653" s="23">
        <v>1.432693</v>
      </c>
      <c r="C4653" s="32">
        <f t="shared" si="72"/>
        <v>-1.1049899185546219E-2</v>
      </c>
    </row>
    <row r="4654" spans="1:3" x14ac:dyDescent="0.6">
      <c r="A4654" s="24">
        <v>36292</v>
      </c>
      <c r="B4654" s="23">
        <v>1.48872</v>
      </c>
      <c r="C4654" s="32">
        <f t="shared" si="72"/>
        <v>3.9106075062836254E-2</v>
      </c>
    </row>
    <row r="4655" spans="1:3" x14ac:dyDescent="0.6">
      <c r="A4655" s="24">
        <v>36293</v>
      </c>
      <c r="B4655" s="23">
        <v>1.478715</v>
      </c>
      <c r="C4655" s="32">
        <f t="shared" si="72"/>
        <v>-6.7205384491375586E-3</v>
      </c>
    </row>
    <row r="4656" spans="1:3" x14ac:dyDescent="0.6">
      <c r="A4656" s="24">
        <v>36294</v>
      </c>
      <c r="B4656" s="23">
        <v>1.420687</v>
      </c>
      <c r="C4656" s="32">
        <f t="shared" si="72"/>
        <v>-3.9242179865626503E-2</v>
      </c>
    </row>
    <row r="4657" spans="1:3" x14ac:dyDescent="0.6">
      <c r="A4657" s="24">
        <v>36297</v>
      </c>
      <c r="B4657" s="23">
        <v>1.420687</v>
      </c>
      <c r="C4657" s="32">
        <f t="shared" si="72"/>
        <v>0</v>
      </c>
    </row>
    <row r="4658" spans="1:3" x14ac:dyDescent="0.6">
      <c r="A4658" s="24">
        <v>36298</v>
      </c>
      <c r="B4658" s="23">
        <v>1.448701</v>
      </c>
      <c r="C4658" s="32">
        <f t="shared" si="72"/>
        <v>1.9718629085787365E-2</v>
      </c>
    </row>
    <row r="4659" spans="1:3" x14ac:dyDescent="0.6">
      <c r="A4659" s="24">
        <v>36299</v>
      </c>
      <c r="B4659" s="23">
        <v>1.4467000000000001</v>
      </c>
      <c r="C4659" s="32">
        <f t="shared" si="72"/>
        <v>-1.3812373981931803E-3</v>
      </c>
    </row>
    <row r="4660" spans="1:3" x14ac:dyDescent="0.6">
      <c r="A4660" s="24">
        <v>36300</v>
      </c>
      <c r="B4660" s="23">
        <v>1.3606579999999999</v>
      </c>
      <c r="C4660" s="32">
        <f t="shared" si="72"/>
        <v>-5.9474666482339233E-2</v>
      </c>
    </row>
    <row r="4661" spans="1:3" x14ac:dyDescent="0.6">
      <c r="A4661" s="24">
        <v>36301</v>
      </c>
      <c r="B4661" s="23">
        <v>1.4066799999999999</v>
      </c>
      <c r="C4661" s="32">
        <f t="shared" si="72"/>
        <v>3.3823341353962588E-2</v>
      </c>
    </row>
    <row r="4662" spans="1:3" x14ac:dyDescent="0.6">
      <c r="A4662" s="24">
        <v>36304</v>
      </c>
      <c r="B4662" s="23">
        <v>1.342649</v>
      </c>
      <c r="C4662" s="32">
        <f t="shared" si="72"/>
        <v>-4.551923678448544E-2</v>
      </c>
    </row>
    <row r="4663" spans="1:3" x14ac:dyDescent="0.6">
      <c r="A4663" s="24">
        <v>36305</v>
      </c>
      <c r="B4663" s="23">
        <v>1.3286420000000001</v>
      </c>
      <c r="C4663" s="32">
        <f t="shared" si="72"/>
        <v>-1.0432361696913972E-2</v>
      </c>
    </row>
    <row r="4664" spans="1:3" x14ac:dyDescent="0.6">
      <c r="A4664" s="24">
        <v>36306</v>
      </c>
      <c r="B4664" s="23">
        <v>1.410682</v>
      </c>
      <c r="C4664" s="32">
        <f t="shared" si="72"/>
        <v>6.1747257726309845E-2</v>
      </c>
    </row>
    <row r="4665" spans="1:3" x14ac:dyDescent="0.6">
      <c r="A4665" s="24">
        <v>36307</v>
      </c>
      <c r="B4665" s="23">
        <v>1.392674</v>
      </c>
      <c r="C4665" s="32">
        <f t="shared" si="72"/>
        <v>-1.276545670817375E-2</v>
      </c>
    </row>
    <row r="4666" spans="1:3" x14ac:dyDescent="0.6">
      <c r="A4666" s="24">
        <v>36308</v>
      </c>
      <c r="B4666" s="23">
        <v>1.410682</v>
      </c>
      <c r="C4666" s="32">
        <f t="shared" si="72"/>
        <v>1.2930520710518145E-2</v>
      </c>
    </row>
    <row r="4667" spans="1:3" x14ac:dyDescent="0.6">
      <c r="A4667" s="24">
        <v>36312</v>
      </c>
      <c r="B4667" s="23">
        <v>1.4346939999999999</v>
      </c>
      <c r="C4667" s="32">
        <f t="shared" si="72"/>
        <v>1.7021554113542114E-2</v>
      </c>
    </row>
    <row r="4668" spans="1:3" x14ac:dyDescent="0.6">
      <c r="A4668" s="24">
        <v>36313</v>
      </c>
      <c r="B4668" s="23">
        <v>1.490721</v>
      </c>
      <c r="C4668" s="32">
        <f t="shared" si="72"/>
        <v>3.9051532940125311E-2</v>
      </c>
    </row>
    <row r="4669" spans="1:3" x14ac:dyDescent="0.6">
      <c r="A4669" s="24">
        <v>36314</v>
      </c>
      <c r="B4669" s="23">
        <v>1.5187349999999999</v>
      </c>
      <c r="C4669" s="32">
        <f t="shared" si="72"/>
        <v>1.8792248851394744E-2</v>
      </c>
    </row>
    <row r="4670" spans="1:3" x14ac:dyDescent="0.6">
      <c r="A4670" s="24">
        <v>36315</v>
      </c>
      <c r="B4670" s="23">
        <v>1.540745</v>
      </c>
      <c r="C4670" s="32">
        <f t="shared" si="72"/>
        <v>1.4492324204025131E-2</v>
      </c>
    </row>
    <row r="4671" spans="1:3" x14ac:dyDescent="0.6">
      <c r="A4671" s="24">
        <v>36318</v>
      </c>
      <c r="B4671" s="23">
        <v>1.5667580000000001</v>
      </c>
      <c r="C4671" s="32">
        <f t="shared" si="72"/>
        <v>1.6883390827164835E-2</v>
      </c>
    </row>
    <row r="4672" spans="1:3" x14ac:dyDescent="0.6">
      <c r="A4672" s="24">
        <v>36319</v>
      </c>
      <c r="B4672" s="23">
        <v>1.5267379999999999</v>
      </c>
      <c r="C4672" s="32">
        <f t="shared" si="72"/>
        <v>-2.5543191737332882E-2</v>
      </c>
    </row>
    <row r="4673" spans="1:3" x14ac:dyDescent="0.6">
      <c r="A4673" s="24">
        <v>36320</v>
      </c>
      <c r="B4673" s="23">
        <v>1.5507500000000001</v>
      </c>
      <c r="C4673" s="32">
        <f t="shared" si="72"/>
        <v>1.5727649406774624E-2</v>
      </c>
    </row>
    <row r="4674" spans="1:3" x14ac:dyDescent="0.6">
      <c r="A4674" s="24">
        <v>36321</v>
      </c>
      <c r="B4674" s="23">
        <v>1.540745</v>
      </c>
      <c r="C4674" s="32">
        <f t="shared" si="72"/>
        <v>-6.4517169111720785E-3</v>
      </c>
    </row>
    <row r="4675" spans="1:3" x14ac:dyDescent="0.6">
      <c r="A4675" s="24">
        <v>36322</v>
      </c>
      <c r="B4675" s="23">
        <v>1.4867189999999999</v>
      </c>
      <c r="C4675" s="32">
        <f t="shared" si="72"/>
        <v>-3.5064854988982708E-2</v>
      </c>
    </row>
    <row r="4676" spans="1:3" x14ac:dyDescent="0.6">
      <c r="A4676" s="24">
        <v>36325</v>
      </c>
      <c r="B4676" s="23">
        <v>1.4547030000000001</v>
      </c>
      <c r="C4676" s="32">
        <f t="shared" ref="C4676:C4739" si="73">B4676/B4675-1</f>
        <v>-2.1534667950029451E-2</v>
      </c>
    </row>
    <row r="4677" spans="1:3" x14ac:dyDescent="0.6">
      <c r="A4677" s="24">
        <v>36326</v>
      </c>
      <c r="B4677" s="23">
        <v>1.4747129999999999</v>
      </c>
      <c r="C4677" s="32">
        <f t="shared" si="73"/>
        <v>1.3755385119849084E-2</v>
      </c>
    </row>
    <row r="4678" spans="1:3" x14ac:dyDescent="0.6">
      <c r="A4678" s="24">
        <v>36327</v>
      </c>
      <c r="B4678" s="23">
        <v>1.5347420000000001</v>
      </c>
      <c r="C4678" s="32">
        <f t="shared" si="73"/>
        <v>4.0705547452283941E-2</v>
      </c>
    </row>
    <row r="4679" spans="1:3" x14ac:dyDescent="0.6">
      <c r="A4679" s="24">
        <v>36328</v>
      </c>
      <c r="B4679" s="23">
        <v>1.484718</v>
      </c>
      <c r="C4679" s="32">
        <f t="shared" si="73"/>
        <v>-3.2594403489316193E-2</v>
      </c>
    </row>
    <row r="4680" spans="1:3" x14ac:dyDescent="0.6">
      <c r="A4680" s="24">
        <v>36329</v>
      </c>
      <c r="B4680" s="23">
        <v>1.5087299999999999</v>
      </c>
      <c r="C4680" s="32">
        <f t="shared" si="73"/>
        <v>1.6172768162034723E-2</v>
      </c>
    </row>
    <row r="4681" spans="1:3" x14ac:dyDescent="0.6">
      <c r="A4681" s="24">
        <v>36332</v>
      </c>
      <c r="B4681" s="23">
        <v>1.48872</v>
      </c>
      <c r="C4681" s="32">
        <f t="shared" si="73"/>
        <v>-1.3262810443220419E-2</v>
      </c>
    </row>
    <row r="4682" spans="1:3" x14ac:dyDescent="0.6">
      <c r="A4682" s="24">
        <v>36333</v>
      </c>
      <c r="B4682" s="23">
        <v>1.4527019999999999</v>
      </c>
      <c r="C4682" s="32">
        <f t="shared" si="73"/>
        <v>-2.41939384168951E-2</v>
      </c>
    </row>
    <row r="4683" spans="1:3" x14ac:dyDescent="0.6">
      <c r="A4683" s="24">
        <v>36334</v>
      </c>
      <c r="B4683" s="23">
        <v>1.398676</v>
      </c>
      <c r="C4683" s="32">
        <f t="shared" si="73"/>
        <v>-3.7190008687259968E-2</v>
      </c>
    </row>
    <row r="4684" spans="1:3" x14ac:dyDescent="0.6">
      <c r="A4684" s="24">
        <v>36335</v>
      </c>
      <c r="B4684" s="23">
        <v>1.3546549999999999</v>
      </c>
      <c r="C4684" s="32">
        <f t="shared" si="73"/>
        <v>-3.1473336212246461E-2</v>
      </c>
    </row>
    <row r="4685" spans="1:3" x14ac:dyDescent="0.6">
      <c r="A4685" s="24">
        <v>36336</v>
      </c>
      <c r="B4685" s="23">
        <v>1.3506530000000001</v>
      </c>
      <c r="C4685" s="32">
        <f t="shared" si="73"/>
        <v>-2.9542577261367775E-3</v>
      </c>
    </row>
    <row r="4686" spans="1:3" x14ac:dyDescent="0.6">
      <c r="A4686" s="24">
        <v>36339</v>
      </c>
      <c r="B4686" s="23">
        <v>1.3626590000000001</v>
      </c>
      <c r="C4686" s="32">
        <f t="shared" si="73"/>
        <v>8.8890336748224108E-3</v>
      </c>
    </row>
    <row r="4687" spans="1:3" x14ac:dyDescent="0.6">
      <c r="A4687" s="24">
        <v>36340</v>
      </c>
      <c r="B4687" s="23">
        <v>1.4527019999999999</v>
      </c>
      <c r="C4687" s="32">
        <f t="shared" si="73"/>
        <v>6.6078894279493205E-2</v>
      </c>
    </row>
    <row r="4688" spans="1:3" x14ac:dyDescent="0.6">
      <c r="A4688" s="24">
        <v>36341</v>
      </c>
      <c r="B4688" s="23">
        <v>1.4827170000000001</v>
      </c>
      <c r="C4688" s="32">
        <f t="shared" si="73"/>
        <v>2.0661498366492337E-2</v>
      </c>
    </row>
    <row r="4689" spans="1:3" x14ac:dyDescent="0.6">
      <c r="A4689" s="24">
        <v>36342</v>
      </c>
      <c r="B4689" s="23">
        <v>1.4507019999999999</v>
      </c>
      <c r="C4689" s="32">
        <f t="shared" si="73"/>
        <v>-2.1592117713629899E-2</v>
      </c>
    </row>
    <row r="4690" spans="1:3" x14ac:dyDescent="0.6">
      <c r="A4690" s="24">
        <v>36343</v>
      </c>
      <c r="B4690" s="23">
        <v>1.4827170000000001</v>
      </c>
      <c r="C4690" s="32">
        <f t="shared" si="73"/>
        <v>2.2068626085853804E-2</v>
      </c>
    </row>
    <row r="4691" spans="1:3" x14ac:dyDescent="0.6">
      <c r="A4691" s="24">
        <v>36347</v>
      </c>
      <c r="B4691" s="23">
        <v>1.5167330000000001</v>
      </c>
      <c r="C4691" s="32">
        <f t="shared" si="73"/>
        <v>2.2941667223077555E-2</v>
      </c>
    </row>
    <row r="4692" spans="1:3" x14ac:dyDescent="0.6">
      <c r="A4692" s="24">
        <v>36348</v>
      </c>
      <c r="B4692" s="23">
        <v>1.5967720000000001</v>
      </c>
      <c r="C4692" s="32">
        <f t="shared" si="73"/>
        <v>5.2770659041505574E-2</v>
      </c>
    </row>
    <row r="4693" spans="1:3" x14ac:dyDescent="0.6">
      <c r="A4693" s="24">
        <v>36349</v>
      </c>
      <c r="B4693" s="23">
        <v>1.7448440000000001</v>
      </c>
      <c r="C4693" s="32">
        <f t="shared" si="73"/>
        <v>9.2732086985493289E-2</v>
      </c>
    </row>
    <row r="4694" spans="1:3" x14ac:dyDescent="0.6">
      <c r="A4694" s="24">
        <v>36350</v>
      </c>
      <c r="B4694" s="23">
        <v>1.780861</v>
      </c>
      <c r="C4694" s="32">
        <f t="shared" si="73"/>
        <v>2.0641959968914048E-2</v>
      </c>
    </row>
    <row r="4695" spans="1:3" x14ac:dyDescent="0.6">
      <c r="A4695" s="24">
        <v>36353</v>
      </c>
      <c r="B4695" s="23">
        <v>1.7448440000000001</v>
      </c>
      <c r="C4695" s="32">
        <f t="shared" si="73"/>
        <v>-2.0224486919529383E-2</v>
      </c>
    </row>
    <row r="4696" spans="1:3" x14ac:dyDescent="0.6">
      <c r="A4696" s="24">
        <v>36354</v>
      </c>
      <c r="B4696" s="23">
        <v>1.718831</v>
      </c>
      <c r="C4696" s="32">
        <f t="shared" si="73"/>
        <v>-1.4908496117704506E-2</v>
      </c>
    </row>
    <row r="4697" spans="1:3" x14ac:dyDescent="0.6">
      <c r="A4697" s="24">
        <v>36355</v>
      </c>
      <c r="B4697" s="23">
        <v>1.7908660000000001</v>
      </c>
      <c r="C4697" s="32">
        <f t="shared" si="73"/>
        <v>4.1909297656372413E-2</v>
      </c>
    </row>
    <row r="4698" spans="1:3" x14ac:dyDescent="0.6">
      <c r="A4698" s="24">
        <v>36356</v>
      </c>
      <c r="B4698" s="23">
        <v>1.7048239999999999</v>
      </c>
      <c r="C4698" s="32">
        <f t="shared" si="73"/>
        <v>-4.804491234966779E-2</v>
      </c>
    </row>
    <row r="4699" spans="1:3" x14ac:dyDescent="0.6">
      <c r="A4699" s="24">
        <v>36357</v>
      </c>
      <c r="B4699" s="23">
        <v>1.6988209999999999</v>
      </c>
      <c r="C4699" s="32">
        <f t="shared" si="73"/>
        <v>-3.5211845914886464E-3</v>
      </c>
    </row>
    <row r="4700" spans="1:3" x14ac:dyDescent="0.6">
      <c r="A4700" s="24">
        <v>36360</v>
      </c>
      <c r="B4700" s="23">
        <v>1.7428429999999999</v>
      </c>
      <c r="C4700" s="32">
        <f t="shared" si="73"/>
        <v>2.59132657295853E-2</v>
      </c>
    </row>
    <row r="4701" spans="1:3" x14ac:dyDescent="0.6">
      <c r="A4701" s="24">
        <v>36361</v>
      </c>
      <c r="B4701" s="23">
        <v>1.6928190000000001</v>
      </c>
      <c r="C4701" s="32">
        <f t="shared" si="73"/>
        <v>-2.8702527995923766E-2</v>
      </c>
    </row>
    <row r="4702" spans="1:3" x14ac:dyDescent="0.6">
      <c r="A4702" s="24">
        <v>36362</v>
      </c>
      <c r="B4702" s="23">
        <v>1.730837</v>
      </c>
      <c r="C4702" s="32">
        <f t="shared" si="73"/>
        <v>2.2458396319984475E-2</v>
      </c>
    </row>
    <row r="4703" spans="1:3" x14ac:dyDescent="0.6">
      <c r="A4703" s="24">
        <v>36363</v>
      </c>
      <c r="B4703" s="23">
        <v>1.6768110000000001</v>
      </c>
      <c r="C4703" s="32">
        <f t="shared" si="73"/>
        <v>-3.1213800028541017E-2</v>
      </c>
    </row>
    <row r="4704" spans="1:3" x14ac:dyDescent="0.6">
      <c r="A4704" s="24">
        <v>36364</v>
      </c>
      <c r="B4704" s="23">
        <v>1.706825</v>
      </c>
      <c r="C4704" s="32">
        <f t="shared" si="73"/>
        <v>1.7899453188224612E-2</v>
      </c>
    </row>
    <row r="4705" spans="1:3" x14ac:dyDescent="0.6">
      <c r="A4705" s="24">
        <v>36367</v>
      </c>
      <c r="B4705" s="23">
        <v>1.630789</v>
      </c>
      <c r="C4705" s="32">
        <f t="shared" si="73"/>
        <v>-4.4548210859344128E-2</v>
      </c>
    </row>
    <row r="4706" spans="1:3" x14ac:dyDescent="0.6">
      <c r="A4706" s="24">
        <v>36368</v>
      </c>
      <c r="B4706" s="23">
        <v>1.718831</v>
      </c>
      <c r="C4706" s="32">
        <f t="shared" si="73"/>
        <v>5.3987364398459858E-2</v>
      </c>
    </row>
    <row r="4707" spans="1:3" x14ac:dyDescent="0.6">
      <c r="A4707" s="24">
        <v>36369</v>
      </c>
      <c r="B4707" s="23">
        <v>1.7408410000000001</v>
      </c>
      <c r="C4707" s="32">
        <f t="shared" si="73"/>
        <v>1.2805214706972379E-2</v>
      </c>
    </row>
    <row r="4708" spans="1:3" x14ac:dyDescent="0.6">
      <c r="A4708" s="24">
        <v>36370</v>
      </c>
      <c r="B4708" s="23">
        <v>1.724834</v>
      </c>
      <c r="C4708" s="32">
        <f t="shared" si="73"/>
        <v>-9.194981046517281E-3</v>
      </c>
    </row>
    <row r="4709" spans="1:3" x14ac:dyDescent="0.6">
      <c r="A4709" s="24">
        <v>36371</v>
      </c>
      <c r="B4709" s="23">
        <v>1.7828619999999999</v>
      </c>
      <c r="C4709" s="32">
        <f t="shared" si="73"/>
        <v>3.3642657786198571E-2</v>
      </c>
    </row>
    <row r="4710" spans="1:3" x14ac:dyDescent="0.6">
      <c r="A4710" s="24">
        <v>36374</v>
      </c>
      <c r="B4710" s="23">
        <v>1.7848630000000001</v>
      </c>
      <c r="C4710" s="32">
        <f t="shared" si="73"/>
        <v>1.1223527115391541E-3</v>
      </c>
    </row>
    <row r="4711" spans="1:3" x14ac:dyDescent="0.6">
      <c r="A4711" s="24">
        <v>36375</v>
      </c>
      <c r="B4711" s="23">
        <v>1.7688550000000001</v>
      </c>
      <c r="C4711" s="32">
        <f t="shared" si="73"/>
        <v>-8.9687555851625245E-3</v>
      </c>
    </row>
    <row r="4712" spans="1:3" x14ac:dyDescent="0.6">
      <c r="A4712" s="24">
        <v>36376</v>
      </c>
      <c r="B4712" s="23">
        <v>1.7228330000000001</v>
      </c>
      <c r="C4712" s="32">
        <f t="shared" si="73"/>
        <v>-2.6017960771233417E-2</v>
      </c>
    </row>
    <row r="4713" spans="1:3" x14ac:dyDescent="0.6">
      <c r="A4713" s="24">
        <v>36377</v>
      </c>
      <c r="B4713" s="23">
        <v>1.752848</v>
      </c>
      <c r="C4713" s="32">
        <f t="shared" si="73"/>
        <v>1.7421885928583958E-2</v>
      </c>
    </row>
    <row r="4714" spans="1:3" x14ac:dyDescent="0.6">
      <c r="A4714" s="24">
        <v>36378</v>
      </c>
      <c r="B4714" s="23">
        <v>1.7328380000000001</v>
      </c>
      <c r="C4714" s="32">
        <f t="shared" si="73"/>
        <v>-1.1415707465792679E-2</v>
      </c>
    </row>
    <row r="4715" spans="1:3" x14ac:dyDescent="0.6">
      <c r="A4715" s="24">
        <v>36381</v>
      </c>
      <c r="B4715" s="23">
        <v>1.7428429999999999</v>
      </c>
      <c r="C4715" s="32">
        <f t="shared" si="73"/>
        <v>5.7737653490976815E-3</v>
      </c>
    </row>
    <row r="4716" spans="1:3" x14ac:dyDescent="0.6">
      <c r="A4716" s="24">
        <v>36382</v>
      </c>
      <c r="B4716" s="23">
        <v>1.7728569999999999</v>
      </c>
      <c r="C4716" s="32">
        <f t="shared" si="73"/>
        <v>1.7221287287495279E-2</v>
      </c>
    </row>
    <row r="4717" spans="1:3" x14ac:dyDescent="0.6">
      <c r="A4717" s="24">
        <v>36383</v>
      </c>
      <c r="B4717" s="23">
        <v>1.9109240000000001</v>
      </c>
      <c r="C4717" s="32">
        <f t="shared" si="73"/>
        <v>7.7878249627578722E-2</v>
      </c>
    </row>
    <row r="4718" spans="1:3" x14ac:dyDescent="0.6">
      <c r="A4718" s="24">
        <v>36384</v>
      </c>
      <c r="B4718" s="23">
        <v>1.9209290000000001</v>
      </c>
      <c r="C4718" s="32">
        <f t="shared" si="73"/>
        <v>5.2356870288927659E-3</v>
      </c>
    </row>
    <row r="4719" spans="1:3" x14ac:dyDescent="0.6">
      <c r="A4719" s="24">
        <v>36385</v>
      </c>
      <c r="B4719" s="23">
        <v>1.92293</v>
      </c>
      <c r="C4719" s="32">
        <f t="shared" si="73"/>
        <v>1.041683477109201E-3</v>
      </c>
    </row>
    <row r="4720" spans="1:3" x14ac:dyDescent="0.6">
      <c r="A4720" s="24">
        <v>36388</v>
      </c>
      <c r="B4720" s="23">
        <v>1.9369369999999999</v>
      </c>
      <c r="C4720" s="32">
        <f t="shared" si="73"/>
        <v>7.2841965126135833E-3</v>
      </c>
    </row>
    <row r="4721" spans="1:3" x14ac:dyDescent="0.6">
      <c r="A4721" s="24">
        <v>36389</v>
      </c>
      <c r="B4721" s="23">
        <v>1.930933</v>
      </c>
      <c r="C4721" s="32">
        <f t="shared" si="73"/>
        <v>-3.0997394339619122E-3</v>
      </c>
    </row>
    <row r="4722" spans="1:3" x14ac:dyDescent="0.6">
      <c r="A4722" s="24">
        <v>36390</v>
      </c>
      <c r="B4722" s="23">
        <v>1.9249309999999999</v>
      </c>
      <c r="C4722" s="32">
        <f t="shared" si="73"/>
        <v>-3.1083419258980394E-3</v>
      </c>
    </row>
    <row r="4723" spans="1:3" x14ac:dyDescent="0.6">
      <c r="A4723" s="24">
        <v>36391</v>
      </c>
      <c r="B4723" s="23">
        <v>1.8809089999999999</v>
      </c>
      <c r="C4723" s="32">
        <f t="shared" si="73"/>
        <v>-2.2869391162592345E-2</v>
      </c>
    </row>
    <row r="4724" spans="1:3" x14ac:dyDescent="0.6">
      <c r="A4724" s="24">
        <v>36392</v>
      </c>
      <c r="B4724" s="23">
        <v>1.894916</v>
      </c>
      <c r="C4724" s="32">
        <f t="shared" si="73"/>
        <v>7.4469312444143121E-3</v>
      </c>
    </row>
    <row r="4725" spans="1:3" x14ac:dyDescent="0.6">
      <c r="A4725" s="24">
        <v>36395</v>
      </c>
      <c r="B4725" s="23">
        <v>1.9449399999999999</v>
      </c>
      <c r="C4725" s="32">
        <f t="shared" si="73"/>
        <v>2.6399059377829825E-2</v>
      </c>
    </row>
    <row r="4726" spans="1:3" x14ac:dyDescent="0.6">
      <c r="A4726" s="24">
        <v>36396</v>
      </c>
      <c r="B4726" s="23">
        <v>1.9329350000000001</v>
      </c>
      <c r="C4726" s="32">
        <f t="shared" si="73"/>
        <v>-6.172426912912421E-3</v>
      </c>
    </row>
    <row r="4727" spans="1:3" x14ac:dyDescent="0.6">
      <c r="A4727" s="24">
        <v>36397</v>
      </c>
      <c r="B4727" s="23">
        <v>1.96495</v>
      </c>
      <c r="C4727" s="32">
        <f t="shared" si="73"/>
        <v>1.6562895286183821E-2</v>
      </c>
    </row>
    <row r="4728" spans="1:3" x14ac:dyDescent="0.6">
      <c r="A4728" s="24">
        <v>36398</v>
      </c>
      <c r="B4728" s="23">
        <v>1.9889619999999999</v>
      </c>
      <c r="C4728" s="32">
        <f t="shared" si="73"/>
        <v>1.2220158273747339E-2</v>
      </c>
    </row>
    <row r="4729" spans="1:3" x14ac:dyDescent="0.6">
      <c r="A4729" s="24">
        <v>36399</v>
      </c>
      <c r="B4729" s="23">
        <v>2.0730029999999999</v>
      </c>
      <c r="C4729" s="32">
        <f t="shared" si="73"/>
        <v>4.2253698160145792E-2</v>
      </c>
    </row>
    <row r="4730" spans="1:3" x14ac:dyDescent="0.6">
      <c r="A4730" s="24">
        <v>36402</v>
      </c>
      <c r="B4730" s="23">
        <v>1.986961</v>
      </c>
      <c r="C4730" s="32">
        <f t="shared" si="73"/>
        <v>-4.1505969841818868E-2</v>
      </c>
    </row>
    <row r="4731" spans="1:3" x14ac:dyDescent="0.6">
      <c r="A4731" s="24">
        <v>36403</v>
      </c>
      <c r="B4731" s="23">
        <v>2.08901</v>
      </c>
      <c r="C4731" s="32">
        <f t="shared" si="73"/>
        <v>5.1359337198868094E-2</v>
      </c>
    </row>
    <row r="4732" spans="1:3" x14ac:dyDescent="0.6">
      <c r="A4732" s="24">
        <v>36404</v>
      </c>
      <c r="B4732" s="23">
        <v>2.197063</v>
      </c>
      <c r="C4732" s="32">
        <f t="shared" si="73"/>
        <v>5.1724501079458696E-2</v>
      </c>
    </row>
    <row r="4733" spans="1:3" x14ac:dyDescent="0.6">
      <c r="A4733" s="24">
        <v>36405</v>
      </c>
      <c r="B4733" s="23">
        <v>2.259093</v>
      </c>
      <c r="C4733" s="32">
        <f t="shared" si="73"/>
        <v>2.8233145795091064E-2</v>
      </c>
    </row>
    <row r="4734" spans="1:3" x14ac:dyDescent="0.6">
      <c r="A4734" s="24">
        <v>36406</v>
      </c>
      <c r="B4734" s="23">
        <v>2.3531369999999998</v>
      </c>
      <c r="C4734" s="32">
        <f t="shared" si="73"/>
        <v>4.1629096278904765E-2</v>
      </c>
    </row>
    <row r="4735" spans="1:3" x14ac:dyDescent="0.6">
      <c r="A4735" s="24">
        <v>36410</v>
      </c>
      <c r="B4735" s="23">
        <v>2.445182</v>
      </c>
      <c r="C4735" s="32">
        <f t="shared" si="73"/>
        <v>3.911586958175417E-2</v>
      </c>
    </row>
    <row r="4736" spans="1:3" x14ac:dyDescent="0.6">
      <c r="A4736" s="24">
        <v>36411</v>
      </c>
      <c r="B4736" s="23">
        <v>2.385154</v>
      </c>
      <c r="C4736" s="32">
        <f t="shared" si="73"/>
        <v>-2.4549501836673038E-2</v>
      </c>
    </row>
    <row r="4737" spans="1:3" x14ac:dyDescent="0.6">
      <c r="A4737" s="24">
        <v>36412</v>
      </c>
      <c r="B4737" s="23">
        <v>2.4191699999999998</v>
      </c>
      <c r="C4737" s="32">
        <f t="shared" si="73"/>
        <v>1.4261552922788079E-2</v>
      </c>
    </row>
    <row r="4738" spans="1:3" x14ac:dyDescent="0.6">
      <c r="A4738" s="24">
        <v>36413</v>
      </c>
      <c r="B4738" s="23">
        <v>2.4791989999999999</v>
      </c>
      <c r="C4738" s="32">
        <f t="shared" si="73"/>
        <v>2.4813882447285662E-2</v>
      </c>
    </row>
    <row r="4739" spans="1:3" x14ac:dyDescent="0.6">
      <c r="A4739" s="24">
        <v>36416</v>
      </c>
      <c r="B4739" s="23">
        <v>2.4011610000000001</v>
      </c>
      <c r="C4739" s="32">
        <f t="shared" si="73"/>
        <v>-3.1477102080147645E-2</v>
      </c>
    </row>
    <row r="4740" spans="1:3" x14ac:dyDescent="0.6">
      <c r="A4740" s="24">
        <v>36417</v>
      </c>
      <c r="B4740" s="23">
        <v>2.4912049999999999</v>
      </c>
      <c r="C4740" s="32">
        <f t="shared" ref="C4740:C4803" si="74">B4740/B4739-1</f>
        <v>3.7500192615155692E-2</v>
      </c>
    </row>
    <row r="4741" spans="1:3" x14ac:dyDescent="0.6">
      <c r="A4741" s="24">
        <v>36418</v>
      </c>
      <c r="B4741" s="23">
        <v>2.4131670000000001</v>
      </c>
      <c r="C4741" s="32">
        <f t="shared" si="74"/>
        <v>-3.1325402766933963E-2</v>
      </c>
    </row>
    <row r="4742" spans="1:3" x14ac:dyDescent="0.6">
      <c r="A4742" s="24">
        <v>36419</v>
      </c>
      <c r="B4742" s="23">
        <v>2.4591889999999998</v>
      </c>
      <c r="C4742" s="32">
        <f t="shared" si="74"/>
        <v>1.9071203940713488E-2</v>
      </c>
    </row>
    <row r="4743" spans="1:3" x14ac:dyDescent="0.6">
      <c r="A4743" s="24">
        <v>36420</v>
      </c>
      <c r="B4743" s="23">
        <v>2.4631910000000001</v>
      </c>
      <c r="C4743" s="32">
        <f t="shared" si="74"/>
        <v>1.6273657697722932E-3</v>
      </c>
    </row>
    <row r="4744" spans="1:3" x14ac:dyDescent="0.6">
      <c r="A4744" s="24">
        <v>36423</v>
      </c>
      <c r="B4744" s="23">
        <v>2.5312239999999999</v>
      </c>
      <c r="C4744" s="32">
        <f t="shared" si="74"/>
        <v>2.7619863827043734E-2</v>
      </c>
    </row>
    <row r="4745" spans="1:3" x14ac:dyDescent="0.6">
      <c r="A4745" s="24">
        <v>36424</v>
      </c>
      <c r="B4745" s="23">
        <v>2.2170719999999999</v>
      </c>
      <c r="C4745" s="32">
        <f t="shared" si="74"/>
        <v>-0.12411070691491544</v>
      </c>
    </row>
    <row r="4746" spans="1:3" x14ac:dyDescent="0.6">
      <c r="A4746" s="24">
        <v>36425</v>
      </c>
      <c r="B4746" s="23">
        <v>2.2510889999999999</v>
      </c>
      <c r="C4746" s="32">
        <f t="shared" si="74"/>
        <v>1.5343209422156834E-2</v>
      </c>
    </row>
    <row r="4747" spans="1:3" x14ac:dyDescent="0.6">
      <c r="A4747" s="24">
        <v>36426</v>
      </c>
      <c r="B4747" s="23">
        <v>2.02698</v>
      </c>
      <c r="C4747" s="32">
        <f t="shared" si="74"/>
        <v>-9.9555814985546998E-2</v>
      </c>
    </row>
    <row r="4748" spans="1:3" x14ac:dyDescent="0.6">
      <c r="A4748" s="24">
        <v>36427</v>
      </c>
      <c r="B4748" s="23">
        <v>2.0790060000000001</v>
      </c>
      <c r="C4748" s="32">
        <f t="shared" si="74"/>
        <v>2.5666755468726876E-2</v>
      </c>
    </row>
    <row r="4749" spans="1:3" x14ac:dyDescent="0.6">
      <c r="A4749" s="24">
        <v>36430</v>
      </c>
      <c r="B4749" s="23">
        <v>1.9629490000000001</v>
      </c>
      <c r="C4749" s="32">
        <f t="shared" si="74"/>
        <v>-5.5823311717234092E-2</v>
      </c>
    </row>
    <row r="4750" spans="1:3" x14ac:dyDescent="0.6">
      <c r="A4750" s="24">
        <v>36431</v>
      </c>
      <c r="B4750" s="23">
        <v>1.9089229999999999</v>
      </c>
      <c r="C4750" s="32">
        <f t="shared" si="74"/>
        <v>-2.7522875021205429E-2</v>
      </c>
    </row>
    <row r="4751" spans="1:3" x14ac:dyDescent="0.6">
      <c r="A4751" s="24">
        <v>36432</v>
      </c>
      <c r="B4751" s="23">
        <v>1.890914</v>
      </c>
      <c r="C4751" s="32">
        <f t="shared" si="74"/>
        <v>-9.4341154672031857E-3</v>
      </c>
    </row>
    <row r="4752" spans="1:3" x14ac:dyDescent="0.6">
      <c r="A4752" s="24">
        <v>36433</v>
      </c>
      <c r="B4752" s="23">
        <v>2.02698</v>
      </c>
      <c r="C4752" s="32">
        <f t="shared" si="74"/>
        <v>7.1957793955727212E-2</v>
      </c>
    </row>
    <row r="4753" spans="1:3" x14ac:dyDescent="0.6">
      <c r="A4753" s="24">
        <v>36434</v>
      </c>
      <c r="B4753" s="23">
        <v>1.975954</v>
      </c>
      <c r="C4753" s="32">
        <f t="shared" si="74"/>
        <v>-2.5173410689794729E-2</v>
      </c>
    </row>
    <row r="4754" spans="1:3" x14ac:dyDescent="0.6">
      <c r="A4754" s="24">
        <v>36437</v>
      </c>
      <c r="B4754" s="23">
        <v>2.066999</v>
      </c>
      <c r="C4754" s="32">
        <f t="shared" si="74"/>
        <v>4.6076477488848466E-2</v>
      </c>
    </row>
    <row r="4755" spans="1:3" x14ac:dyDescent="0.6">
      <c r="A4755" s="24">
        <v>36438</v>
      </c>
      <c r="B4755" s="23">
        <v>2.175052</v>
      </c>
      <c r="C4755" s="32">
        <f t="shared" si="74"/>
        <v>5.2275303471361223E-2</v>
      </c>
    </row>
    <row r="4756" spans="1:3" x14ac:dyDescent="0.6">
      <c r="A4756" s="24">
        <v>36439</v>
      </c>
      <c r="B4756" s="23">
        <v>2.1510400000000001</v>
      </c>
      <c r="C4756" s="32">
        <f t="shared" si="74"/>
        <v>-1.1039736061482675E-2</v>
      </c>
    </row>
    <row r="4757" spans="1:3" x14ac:dyDescent="0.6">
      <c r="A4757" s="24">
        <v>36440</v>
      </c>
      <c r="B4757" s="23">
        <v>2.1250279999999999</v>
      </c>
      <c r="C4757" s="32">
        <f t="shared" si="74"/>
        <v>-1.2092755132401156E-2</v>
      </c>
    </row>
    <row r="4758" spans="1:3" x14ac:dyDescent="0.6">
      <c r="A4758" s="24">
        <v>36441</v>
      </c>
      <c r="B4758" s="23">
        <v>2.0990160000000002</v>
      </c>
      <c r="C4758" s="32">
        <f t="shared" si="74"/>
        <v>-1.224077988619432E-2</v>
      </c>
    </row>
    <row r="4759" spans="1:3" x14ac:dyDescent="0.6">
      <c r="A4759" s="24">
        <v>36444</v>
      </c>
      <c r="B4759" s="23">
        <v>2.1350319999999998</v>
      </c>
      <c r="C4759" s="32">
        <f t="shared" si="74"/>
        <v>1.7158516180915129E-2</v>
      </c>
    </row>
    <row r="4760" spans="1:3" x14ac:dyDescent="0.6">
      <c r="A4760" s="24">
        <v>36445</v>
      </c>
      <c r="B4760" s="23">
        <v>2.1670479999999999</v>
      </c>
      <c r="C4760" s="32">
        <f t="shared" si="74"/>
        <v>1.4995559785520696E-2</v>
      </c>
    </row>
    <row r="4761" spans="1:3" x14ac:dyDescent="0.6">
      <c r="A4761" s="24">
        <v>36446</v>
      </c>
      <c r="B4761" s="23">
        <v>2.0499890000000001</v>
      </c>
      <c r="C4761" s="32">
        <f t="shared" si="74"/>
        <v>-5.4017723649868343E-2</v>
      </c>
    </row>
    <row r="4762" spans="1:3" x14ac:dyDescent="0.6">
      <c r="A4762" s="24">
        <v>36447</v>
      </c>
      <c r="B4762" s="23">
        <v>2.3431329999999999</v>
      </c>
      <c r="C4762" s="32">
        <f t="shared" si="74"/>
        <v>0.14299784047621711</v>
      </c>
    </row>
    <row r="4763" spans="1:3" x14ac:dyDescent="0.6">
      <c r="A4763" s="24">
        <v>36448</v>
      </c>
      <c r="B4763" s="23">
        <v>2.3871540000000002</v>
      </c>
      <c r="C4763" s="32">
        <f t="shared" si="74"/>
        <v>1.8787239136660361E-2</v>
      </c>
    </row>
    <row r="4764" spans="1:3" x14ac:dyDescent="0.6">
      <c r="A4764" s="24">
        <v>36451</v>
      </c>
      <c r="B4764" s="23">
        <v>2.3451339999999998</v>
      </c>
      <c r="C4764" s="32">
        <f t="shared" si="74"/>
        <v>-1.7602550987494081E-2</v>
      </c>
    </row>
    <row r="4765" spans="1:3" x14ac:dyDescent="0.6">
      <c r="A4765" s="24">
        <v>36452</v>
      </c>
      <c r="B4765" s="23">
        <v>2.19306</v>
      </c>
      <c r="C4765" s="32">
        <f t="shared" si="74"/>
        <v>-6.4846614308606609E-2</v>
      </c>
    </row>
    <row r="4766" spans="1:3" x14ac:dyDescent="0.6">
      <c r="A4766" s="24">
        <v>36453</v>
      </c>
      <c r="B4766" s="23">
        <v>2.4051629999999999</v>
      </c>
      <c r="C4766" s="32">
        <f t="shared" si="74"/>
        <v>9.6715548138217811E-2</v>
      </c>
    </row>
    <row r="4767" spans="1:3" x14ac:dyDescent="0.6">
      <c r="A4767" s="24">
        <v>36454</v>
      </c>
      <c r="B4767" s="23">
        <v>2.4371779999999998</v>
      </c>
      <c r="C4767" s="32">
        <f t="shared" si="74"/>
        <v>1.3310948156112445E-2</v>
      </c>
    </row>
    <row r="4768" spans="1:3" x14ac:dyDescent="0.6">
      <c r="A4768" s="24">
        <v>36455</v>
      </c>
      <c r="B4768" s="23">
        <v>2.3671449999999998</v>
      </c>
      <c r="C4768" s="32">
        <f t="shared" si="74"/>
        <v>-2.8735283184076033E-2</v>
      </c>
    </row>
    <row r="4769" spans="1:3" x14ac:dyDescent="0.6">
      <c r="A4769" s="24">
        <v>36458</v>
      </c>
      <c r="B4769" s="23">
        <v>2.385154</v>
      </c>
      <c r="C4769" s="32">
        <f t="shared" si="74"/>
        <v>7.6078989668990626E-3</v>
      </c>
    </row>
    <row r="4770" spans="1:3" x14ac:dyDescent="0.6">
      <c r="A4770" s="24">
        <v>36459</v>
      </c>
      <c r="B4770" s="23">
        <v>2.403162</v>
      </c>
      <c r="C4770" s="32">
        <f t="shared" si="74"/>
        <v>7.5500366014102926E-3</v>
      </c>
    </row>
    <row r="4771" spans="1:3" x14ac:dyDescent="0.6">
      <c r="A4771" s="24">
        <v>36460</v>
      </c>
      <c r="B4771" s="23">
        <v>2.445182</v>
      </c>
      <c r="C4771" s="32">
        <f t="shared" si="74"/>
        <v>1.748529645525343E-2</v>
      </c>
    </row>
    <row r="4772" spans="1:3" x14ac:dyDescent="0.6">
      <c r="A4772" s="24">
        <v>36461</v>
      </c>
      <c r="B4772" s="23">
        <v>2.4932059999999998</v>
      </c>
      <c r="C4772" s="32">
        <f t="shared" si="74"/>
        <v>1.9640255817358288E-2</v>
      </c>
    </row>
    <row r="4773" spans="1:3" x14ac:dyDescent="0.6">
      <c r="A4773" s="24">
        <v>36462</v>
      </c>
      <c r="B4773" s="23">
        <v>2.5652400000000002</v>
      </c>
      <c r="C4773" s="32">
        <f t="shared" si="74"/>
        <v>2.8892117217751201E-2</v>
      </c>
    </row>
    <row r="4774" spans="1:3" x14ac:dyDescent="0.6">
      <c r="A4774" s="24">
        <v>36465</v>
      </c>
      <c r="B4774" s="23">
        <v>2.4852020000000001</v>
      </c>
      <c r="C4774" s="32">
        <f t="shared" si="74"/>
        <v>-3.1200979245606719E-2</v>
      </c>
    </row>
    <row r="4775" spans="1:3" x14ac:dyDescent="0.6">
      <c r="A4775" s="24">
        <v>36466</v>
      </c>
      <c r="B4775" s="23">
        <v>2.569242</v>
      </c>
      <c r="C4775" s="32">
        <f t="shared" si="74"/>
        <v>3.3816164641747415E-2</v>
      </c>
    </row>
    <row r="4776" spans="1:3" x14ac:dyDescent="0.6">
      <c r="A4776" s="24">
        <v>36467</v>
      </c>
      <c r="B4776" s="23">
        <v>2.6092620000000002</v>
      </c>
      <c r="C4776" s="32">
        <f t="shared" si="74"/>
        <v>1.5576578617350956E-2</v>
      </c>
    </row>
    <row r="4777" spans="1:3" x14ac:dyDescent="0.6">
      <c r="A4777" s="24">
        <v>36468</v>
      </c>
      <c r="B4777" s="23">
        <v>2.6772939999999998</v>
      </c>
      <c r="C4777" s="32">
        <f t="shared" si="74"/>
        <v>2.6073272825802629E-2</v>
      </c>
    </row>
    <row r="4778" spans="1:3" x14ac:dyDescent="0.6">
      <c r="A4778" s="24">
        <v>36469</v>
      </c>
      <c r="B4778" s="23">
        <v>2.8273670000000002</v>
      </c>
      <c r="C4778" s="32">
        <f t="shared" si="74"/>
        <v>5.6053985852879906E-2</v>
      </c>
    </row>
    <row r="4779" spans="1:3" x14ac:dyDescent="0.6">
      <c r="A4779" s="24">
        <v>36472</v>
      </c>
      <c r="B4779" s="23">
        <v>3.0854919999999999</v>
      </c>
      <c r="C4779" s="32">
        <f t="shared" si="74"/>
        <v>9.1295187359829777E-2</v>
      </c>
    </row>
    <row r="4780" spans="1:3" x14ac:dyDescent="0.6">
      <c r="A4780" s="24">
        <v>36473</v>
      </c>
      <c r="B4780" s="23">
        <v>2.8693879999999998</v>
      </c>
      <c r="C4780" s="32">
        <f t="shared" si="74"/>
        <v>-7.003874908766583E-2</v>
      </c>
    </row>
    <row r="4781" spans="1:3" x14ac:dyDescent="0.6">
      <c r="A4781" s="24">
        <v>36474</v>
      </c>
      <c r="B4781" s="23">
        <v>2.9274149999999999</v>
      </c>
      <c r="C4781" s="32">
        <f t="shared" si="74"/>
        <v>2.022277921284954E-2</v>
      </c>
    </row>
    <row r="4782" spans="1:3" x14ac:dyDescent="0.6">
      <c r="A4782" s="24">
        <v>36475</v>
      </c>
      <c r="B4782" s="23">
        <v>2.9534280000000002</v>
      </c>
      <c r="C4782" s="32">
        <f t="shared" si="74"/>
        <v>8.8859966899126341E-3</v>
      </c>
    </row>
    <row r="4783" spans="1:3" x14ac:dyDescent="0.6">
      <c r="A4783" s="24">
        <v>36476</v>
      </c>
      <c r="B4783" s="23">
        <v>2.9014030000000002</v>
      </c>
      <c r="C4783" s="32">
        <f t="shared" si="74"/>
        <v>-1.7615123849303194E-2</v>
      </c>
    </row>
    <row r="4784" spans="1:3" x14ac:dyDescent="0.6">
      <c r="A4784" s="24">
        <v>36479</v>
      </c>
      <c r="B4784" s="23">
        <v>2.8633839999999999</v>
      </c>
      <c r="C4784" s="32">
        <f t="shared" si="74"/>
        <v>-1.3103660539401152E-2</v>
      </c>
    </row>
    <row r="4785" spans="1:3" x14ac:dyDescent="0.6">
      <c r="A4785" s="24">
        <v>36480</v>
      </c>
      <c r="B4785" s="23">
        <v>2.9194119999999999</v>
      </c>
      <c r="C4785" s="32">
        <f t="shared" si="74"/>
        <v>1.9567057719118264E-2</v>
      </c>
    </row>
    <row r="4786" spans="1:3" x14ac:dyDescent="0.6">
      <c r="A4786" s="24">
        <v>36481</v>
      </c>
      <c r="B4786" s="23">
        <v>2.8893979999999999</v>
      </c>
      <c r="C4786" s="32">
        <f t="shared" si="74"/>
        <v>-1.0280837374101348E-2</v>
      </c>
    </row>
    <row r="4787" spans="1:3" x14ac:dyDescent="0.6">
      <c r="A4787" s="24">
        <v>36482</v>
      </c>
      <c r="B4787" s="23">
        <v>2.8693879999999998</v>
      </c>
      <c r="C4787" s="32">
        <f t="shared" si="74"/>
        <v>-6.9253180074189125E-3</v>
      </c>
    </row>
    <row r="4788" spans="1:3" x14ac:dyDescent="0.6">
      <c r="A4788" s="24">
        <v>36483</v>
      </c>
      <c r="B4788" s="23">
        <v>2.9594309999999999</v>
      </c>
      <c r="C4788" s="32">
        <f t="shared" si="74"/>
        <v>3.1380559199383429E-2</v>
      </c>
    </row>
    <row r="4789" spans="1:3" x14ac:dyDescent="0.6">
      <c r="A4789" s="24">
        <v>36486</v>
      </c>
      <c r="B4789" s="23">
        <v>2.9014030000000002</v>
      </c>
      <c r="C4789" s="32">
        <f t="shared" si="74"/>
        <v>-1.9607823260619939E-2</v>
      </c>
    </row>
    <row r="4790" spans="1:3" x14ac:dyDescent="0.6">
      <c r="A4790" s="24">
        <v>36487</v>
      </c>
      <c r="B4790" s="23">
        <v>2.9714369999999999</v>
      </c>
      <c r="C4790" s="32">
        <f t="shared" si="74"/>
        <v>2.4137977385423337E-2</v>
      </c>
    </row>
    <row r="4791" spans="1:3" x14ac:dyDescent="0.6">
      <c r="A4791" s="24">
        <v>36488</v>
      </c>
      <c r="B4791" s="23">
        <v>3.031466</v>
      </c>
      <c r="C4791" s="32">
        <f t="shared" si="74"/>
        <v>2.0202010003913973E-2</v>
      </c>
    </row>
    <row r="4792" spans="1:3" x14ac:dyDescent="0.6">
      <c r="A4792" s="24">
        <v>36490</v>
      </c>
      <c r="B4792" s="23">
        <v>3.0434709999999998</v>
      </c>
      <c r="C4792" s="32">
        <f t="shared" si="74"/>
        <v>3.9601301812390854E-3</v>
      </c>
    </row>
    <row r="4793" spans="1:3" x14ac:dyDescent="0.6">
      <c r="A4793" s="24">
        <v>36493</v>
      </c>
      <c r="B4793" s="23">
        <v>3.027463</v>
      </c>
      <c r="C4793" s="32">
        <f t="shared" si="74"/>
        <v>-5.2597839769131793E-3</v>
      </c>
    </row>
    <row r="4794" spans="1:3" x14ac:dyDescent="0.6">
      <c r="A4794" s="24">
        <v>36494</v>
      </c>
      <c r="B4794" s="23">
        <v>3.1335150000000001</v>
      </c>
      <c r="C4794" s="32">
        <f t="shared" si="74"/>
        <v>3.5029990457356552E-2</v>
      </c>
    </row>
    <row r="4795" spans="1:3" x14ac:dyDescent="0.6">
      <c r="A4795" s="24">
        <v>36495</v>
      </c>
      <c r="B4795" s="23">
        <v>3.2995960000000002</v>
      </c>
      <c r="C4795" s="32">
        <f t="shared" si="74"/>
        <v>5.3001501508689097E-2</v>
      </c>
    </row>
    <row r="4796" spans="1:3" x14ac:dyDescent="0.6">
      <c r="A4796" s="24">
        <v>36496</v>
      </c>
      <c r="B4796" s="23">
        <v>3.5277059999999998</v>
      </c>
      <c r="C4796" s="32">
        <f t="shared" si="74"/>
        <v>6.9132705943394157E-2</v>
      </c>
    </row>
    <row r="4797" spans="1:3" x14ac:dyDescent="0.6">
      <c r="A4797" s="24">
        <v>36497</v>
      </c>
      <c r="B4797" s="23">
        <v>3.681781</v>
      </c>
      <c r="C4797" s="32">
        <f t="shared" si="74"/>
        <v>4.367569179517794E-2</v>
      </c>
    </row>
    <row r="4798" spans="1:3" x14ac:dyDescent="0.6">
      <c r="A4798" s="24">
        <v>36500</v>
      </c>
      <c r="B4798" s="23">
        <v>3.7137959999999999</v>
      </c>
      <c r="C4798" s="32">
        <f t="shared" si="74"/>
        <v>8.6955199127813909E-3</v>
      </c>
    </row>
    <row r="4799" spans="1:3" x14ac:dyDescent="0.6">
      <c r="A4799" s="24">
        <v>36501</v>
      </c>
      <c r="B4799" s="23">
        <v>3.7718240000000001</v>
      </c>
      <c r="C4799" s="32">
        <f t="shared" si="74"/>
        <v>1.5624983170858142E-2</v>
      </c>
    </row>
    <row r="4800" spans="1:3" x14ac:dyDescent="0.6">
      <c r="A4800" s="24">
        <v>36502</v>
      </c>
      <c r="B4800" s="23">
        <v>3.5237039999999999</v>
      </c>
      <c r="C4800" s="32">
        <f t="shared" si="74"/>
        <v>-6.5782496744280827E-2</v>
      </c>
    </row>
    <row r="4801" spans="1:3" x14ac:dyDescent="0.6">
      <c r="A4801" s="24">
        <v>36503</v>
      </c>
      <c r="B4801" s="23">
        <v>3.3696299999999999</v>
      </c>
      <c r="C4801" s="32">
        <f t="shared" si="74"/>
        <v>-4.3725012089551263E-2</v>
      </c>
    </row>
    <row r="4802" spans="1:3" x14ac:dyDescent="0.6">
      <c r="A4802" s="24">
        <v>36504</v>
      </c>
      <c r="B4802" s="23">
        <v>3.2975949999999998</v>
      </c>
      <c r="C4802" s="32">
        <f t="shared" si="74"/>
        <v>-2.1377718028388948E-2</v>
      </c>
    </row>
    <row r="4803" spans="1:3" x14ac:dyDescent="0.6">
      <c r="A4803" s="24">
        <v>36507</v>
      </c>
      <c r="B4803" s="23">
        <v>3.1695329999999999</v>
      </c>
      <c r="C4803" s="32">
        <f t="shared" si="74"/>
        <v>-3.883496912143547E-2</v>
      </c>
    </row>
    <row r="4804" spans="1:3" x14ac:dyDescent="0.6">
      <c r="A4804" s="24">
        <v>36508</v>
      </c>
      <c r="B4804" s="23">
        <v>3.0374690000000002</v>
      </c>
      <c r="C4804" s="32">
        <f t="shared" ref="C4804:C4867" si="75">B4804/B4803-1</f>
        <v>-4.1666706104653173E-2</v>
      </c>
    </row>
    <row r="4805" spans="1:3" x14ac:dyDescent="0.6">
      <c r="A4805" s="24">
        <v>36509</v>
      </c>
      <c r="B4805" s="23">
        <v>3.1055009999999998</v>
      </c>
      <c r="C4805" s="32">
        <f t="shared" si="75"/>
        <v>2.239759483965087E-2</v>
      </c>
    </row>
    <row r="4806" spans="1:3" x14ac:dyDescent="0.6">
      <c r="A4806" s="24">
        <v>36510</v>
      </c>
      <c r="B4806" s="23">
        <v>3.1475219999999999</v>
      </c>
      <c r="C4806" s="32">
        <f t="shared" si="75"/>
        <v>1.3531150046321105E-2</v>
      </c>
    </row>
    <row r="4807" spans="1:3" x14ac:dyDescent="0.6">
      <c r="A4807" s="24">
        <v>36511</v>
      </c>
      <c r="B4807" s="23">
        <v>3.2015479999999998</v>
      </c>
      <c r="C4807" s="32">
        <f t="shared" si="75"/>
        <v>1.7164613940744422E-2</v>
      </c>
    </row>
    <row r="4808" spans="1:3" x14ac:dyDescent="0.6">
      <c r="A4808" s="24">
        <v>36514</v>
      </c>
      <c r="B4808" s="23">
        <v>3.137518</v>
      </c>
      <c r="C4808" s="32">
        <f t="shared" si="75"/>
        <v>-1.9999700145054811E-2</v>
      </c>
    </row>
    <row r="4809" spans="1:3" x14ac:dyDescent="0.6">
      <c r="A4809" s="24">
        <v>36515</v>
      </c>
      <c r="B4809" s="23">
        <v>3.281587</v>
      </c>
      <c r="C4809" s="32">
        <f t="shared" si="75"/>
        <v>4.5918142939737727E-2</v>
      </c>
    </row>
    <row r="4810" spans="1:3" x14ac:dyDescent="0.6">
      <c r="A4810" s="24">
        <v>36516</v>
      </c>
      <c r="B4810" s="23">
        <v>3.1995469999999999</v>
      </c>
      <c r="C4810" s="32">
        <f t="shared" si="75"/>
        <v>-2.5000099037447487E-2</v>
      </c>
    </row>
    <row r="4811" spans="1:3" x14ac:dyDescent="0.6">
      <c r="A4811" s="24">
        <v>36517</v>
      </c>
      <c r="B4811" s="23">
        <v>3.3136019999999999</v>
      </c>
      <c r="C4811" s="32">
        <f t="shared" si="75"/>
        <v>3.5647233811536561E-2</v>
      </c>
    </row>
    <row r="4812" spans="1:3" x14ac:dyDescent="0.6">
      <c r="A4812" s="24">
        <v>36521</v>
      </c>
      <c r="B4812" s="23">
        <v>3.179538</v>
      </c>
      <c r="C4812" s="32">
        <f t="shared" si="75"/>
        <v>-4.0458691176550432E-2</v>
      </c>
    </row>
    <row r="4813" spans="1:3" x14ac:dyDescent="0.6">
      <c r="A4813" s="24">
        <v>36522</v>
      </c>
      <c r="B4813" s="23">
        <v>3.1435200000000001</v>
      </c>
      <c r="C4813" s="32">
        <f t="shared" si="75"/>
        <v>-1.1328060869220558E-2</v>
      </c>
    </row>
    <row r="4814" spans="1:3" x14ac:dyDescent="0.6">
      <c r="A4814" s="24">
        <v>36523</v>
      </c>
      <c r="B4814" s="23">
        <v>3.2235589999999998</v>
      </c>
      <c r="C4814" s="32">
        <f t="shared" si="75"/>
        <v>2.5461584465821696E-2</v>
      </c>
    </row>
    <row r="4815" spans="1:3" x14ac:dyDescent="0.6">
      <c r="A4815" s="24">
        <v>36524</v>
      </c>
      <c r="B4815" s="23">
        <v>3.2115529999999999</v>
      </c>
      <c r="C4815" s="32">
        <f t="shared" si="75"/>
        <v>-3.7244548649489895E-3</v>
      </c>
    </row>
    <row r="4816" spans="1:3" x14ac:dyDescent="0.6">
      <c r="A4816" s="24">
        <v>36525</v>
      </c>
      <c r="B4816" s="23">
        <v>3.2915920000000001</v>
      </c>
      <c r="C4816" s="32">
        <f t="shared" si="75"/>
        <v>2.4922210531789446E-2</v>
      </c>
    </row>
    <row r="4817" spans="1:3" x14ac:dyDescent="0.6">
      <c r="A4817" s="24">
        <v>36528</v>
      </c>
      <c r="B4817" s="23">
        <v>3.5837330000000001</v>
      </c>
      <c r="C4817" s="32">
        <f t="shared" si="75"/>
        <v>8.8753709451232066E-2</v>
      </c>
    </row>
    <row r="4818" spans="1:3" x14ac:dyDescent="0.6">
      <c r="A4818" s="24">
        <v>36529</v>
      </c>
      <c r="B4818" s="23">
        <v>3.281587</v>
      </c>
      <c r="C4818" s="32">
        <f t="shared" si="75"/>
        <v>-8.4310410401667757E-2</v>
      </c>
    </row>
    <row r="4819" spans="1:3" x14ac:dyDescent="0.6">
      <c r="A4819" s="24">
        <v>36530</v>
      </c>
      <c r="B4819" s="23">
        <v>3.3296100000000002</v>
      </c>
      <c r="C4819" s="32">
        <f t="shared" si="75"/>
        <v>1.4634077962888181E-2</v>
      </c>
    </row>
    <row r="4820" spans="1:3" x14ac:dyDescent="0.6">
      <c r="A4820" s="24">
        <v>36531</v>
      </c>
      <c r="B4820" s="23">
        <v>3.041471</v>
      </c>
      <c r="C4820" s="32">
        <f t="shared" si="75"/>
        <v>-8.6538363351864045E-2</v>
      </c>
    </row>
    <row r="4821" spans="1:3" x14ac:dyDescent="0.6">
      <c r="A4821" s="24">
        <v>36532</v>
      </c>
      <c r="B4821" s="23">
        <v>3.18554</v>
      </c>
      <c r="C4821" s="32">
        <f t="shared" si="75"/>
        <v>4.7368197822698299E-2</v>
      </c>
    </row>
    <row r="4822" spans="1:3" x14ac:dyDescent="0.6">
      <c r="A4822" s="24">
        <v>36535</v>
      </c>
      <c r="B4822" s="23">
        <v>3.1295130000000002</v>
      </c>
      <c r="C4822" s="32">
        <f t="shared" si="75"/>
        <v>-1.7587912881332435E-2</v>
      </c>
    </row>
    <row r="4823" spans="1:3" x14ac:dyDescent="0.6">
      <c r="A4823" s="24">
        <v>36536</v>
      </c>
      <c r="B4823" s="23">
        <v>2.969436</v>
      </c>
      <c r="C4823" s="32">
        <f t="shared" si="75"/>
        <v>-5.1150770103846943E-2</v>
      </c>
    </row>
    <row r="4824" spans="1:3" x14ac:dyDescent="0.6">
      <c r="A4824" s="24">
        <v>36537</v>
      </c>
      <c r="B4824" s="23">
        <v>2.79135</v>
      </c>
      <c r="C4824" s="32">
        <f t="shared" si="75"/>
        <v>-5.9973004974682054E-2</v>
      </c>
    </row>
    <row r="4825" spans="1:3" x14ac:dyDescent="0.6">
      <c r="A4825" s="24">
        <v>36538</v>
      </c>
      <c r="B4825" s="23">
        <v>3.0974979999999999</v>
      </c>
      <c r="C4825" s="32">
        <f t="shared" si="75"/>
        <v>0.10967739624196171</v>
      </c>
    </row>
    <row r="4826" spans="1:3" x14ac:dyDescent="0.6">
      <c r="A4826" s="24">
        <v>36539</v>
      </c>
      <c r="B4826" s="23">
        <v>3.215554</v>
      </c>
      <c r="C4826" s="32">
        <f t="shared" si="75"/>
        <v>3.8113341800382061E-2</v>
      </c>
    </row>
    <row r="4827" spans="1:3" x14ac:dyDescent="0.6">
      <c r="A4827" s="24">
        <v>36543</v>
      </c>
      <c r="B4827" s="23">
        <v>3.3276089999999998</v>
      </c>
      <c r="C4827" s="32">
        <f t="shared" si="75"/>
        <v>3.4847805385945785E-2</v>
      </c>
    </row>
    <row r="4828" spans="1:3" x14ac:dyDescent="0.6">
      <c r="A4828" s="24">
        <v>36544</v>
      </c>
      <c r="B4828" s="23">
        <v>3.4116499999999998</v>
      </c>
      <c r="C4828" s="32">
        <f t="shared" si="75"/>
        <v>2.5255671564778259E-2</v>
      </c>
    </row>
    <row r="4829" spans="1:3" x14ac:dyDescent="0.6">
      <c r="A4829" s="24">
        <v>36545</v>
      </c>
      <c r="B4829" s="23">
        <v>3.633756</v>
      </c>
      <c r="C4829" s="32">
        <f t="shared" si="75"/>
        <v>6.5102223264402959E-2</v>
      </c>
    </row>
    <row r="4830" spans="1:3" x14ac:dyDescent="0.6">
      <c r="A4830" s="24">
        <v>36546</v>
      </c>
      <c r="B4830" s="23">
        <v>3.563723</v>
      </c>
      <c r="C4830" s="32">
        <f t="shared" si="75"/>
        <v>-1.9272895593430039E-2</v>
      </c>
    </row>
    <row r="4831" spans="1:3" x14ac:dyDescent="0.6">
      <c r="A4831" s="24">
        <v>36549</v>
      </c>
      <c r="B4831" s="23">
        <v>3.4016449999999998</v>
      </c>
      <c r="C4831" s="32">
        <f t="shared" si="75"/>
        <v>-4.5479965754914198E-2</v>
      </c>
    </row>
    <row r="4832" spans="1:3" x14ac:dyDescent="0.6">
      <c r="A4832" s="24">
        <v>36550</v>
      </c>
      <c r="B4832" s="23">
        <v>3.5937380000000001</v>
      </c>
      <c r="C4832" s="32">
        <f t="shared" si="75"/>
        <v>5.6470619362102736E-2</v>
      </c>
    </row>
    <row r="4833" spans="1:3" x14ac:dyDescent="0.6">
      <c r="A4833" s="24">
        <v>36551</v>
      </c>
      <c r="B4833" s="23">
        <v>3.5277059999999998</v>
      </c>
      <c r="C4833" s="32">
        <f t="shared" si="75"/>
        <v>-1.837418309292449E-2</v>
      </c>
    </row>
    <row r="4834" spans="1:3" x14ac:dyDescent="0.6">
      <c r="A4834" s="24">
        <v>36552</v>
      </c>
      <c r="B4834" s="23">
        <v>3.521703</v>
      </c>
      <c r="C4834" s="32">
        <f t="shared" si="75"/>
        <v>-1.7016724182796761E-3</v>
      </c>
    </row>
    <row r="4835" spans="1:3" x14ac:dyDescent="0.6">
      <c r="A4835" s="24">
        <v>36553</v>
      </c>
      <c r="B4835" s="23">
        <v>3.2535729999999998</v>
      </c>
      <c r="C4835" s="32">
        <f t="shared" si="75"/>
        <v>-7.6136460116029148E-2</v>
      </c>
    </row>
    <row r="4836" spans="1:3" x14ac:dyDescent="0.6">
      <c r="A4836" s="24">
        <v>36556</v>
      </c>
      <c r="B4836" s="23">
        <v>3.3216060000000001</v>
      </c>
      <c r="C4836" s="32">
        <f t="shared" si="75"/>
        <v>2.0910242370464793E-2</v>
      </c>
    </row>
    <row r="4837" spans="1:3" x14ac:dyDescent="0.6">
      <c r="A4837" s="24">
        <v>36557</v>
      </c>
      <c r="B4837" s="23">
        <v>3.209552</v>
      </c>
      <c r="C4837" s="32">
        <f t="shared" si="75"/>
        <v>-3.3734886076193238E-2</v>
      </c>
    </row>
    <row r="4838" spans="1:3" x14ac:dyDescent="0.6">
      <c r="A4838" s="24">
        <v>36558</v>
      </c>
      <c r="B4838" s="23">
        <v>3.163529</v>
      </c>
      <c r="C4838" s="32">
        <f t="shared" si="75"/>
        <v>-1.4339384437454195E-2</v>
      </c>
    </row>
    <row r="4839" spans="1:3" x14ac:dyDescent="0.6">
      <c r="A4839" s="24">
        <v>36559</v>
      </c>
      <c r="B4839" s="23">
        <v>3.3075990000000002</v>
      </c>
      <c r="C4839" s="32">
        <f t="shared" si="75"/>
        <v>4.5540913328121935E-2</v>
      </c>
    </row>
    <row r="4840" spans="1:3" x14ac:dyDescent="0.6">
      <c r="A4840" s="24">
        <v>36560</v>
      </c>
      <c r="B4840" s="23">
        <v>3.4576720000000001</v>
      </c>
      <c r="C4840" s="32">
        <f t="shared" si="75"/>
        <v>4.5372186894481414E-2</v>
      </c>
    </row>
    <row r="4841" spans="1:3" x14ac:dyDescent="0.6">
      <c r="A4841" s="24">
        <v>36563</v>
      </c>
      <c r="B4841" s="23">
        <v>3.6517659999999998</v>
      </c>
      <c r="C4841" s="32">
        <f t="shared" si="75"/>
        <v>5.6134300766527145E-2</v>
      </c>
    </row>
    <row r="4842" spans="1:3" x14ac:dyDescent="0.6">
      <c r="A4842" s="24">
        <v>36564</v>
      </c>
      <c r="B4842" s="23">
        <v>3.6777790000000001</v>
      </c>
      <c r="C4842" s="32">
        <f t="shared" si="75"/>
        <v>7.1234027591033922E-3</v>
      </c>
    </row>
    <row r="4843" spans="1:3" x14ac:dyDescent="0.6">
      <c r="A4843" s="24">
        <v>36565</v>
      </c>
      <c r="B4843" s="23">
        <v>3.6057429999999999</v>
      </c>
      <c r="C4843" s="32">
        <f t="shared" si="75"/>
        <v>-1.9586821285346501E-2</v>
      </c>
    </row>
    <row r="4844" spans="1:3" x14ac:dyDescent="0.6">
      <c r="A4844" s="24">
        <v>36566</v>
      </c>
      <c r="B4844" s="23">
        <v>3.633756</v>
      </c>
      <c r="C4844" s="32">
        <f t="shared" si="75"/>
        <v>7.7689951835169246E-3</v>
      </c>
    </row>
    <row r="4845" spans="1:3" x14ac:dyDescent="0.6">
      <c r="A4845" s="24">
        <v>36567</v>
      </c>
      <c r="B4845" s="23">
        <v>3.4816829999999999</v>
      </c>
      <c r="C4845" s="32">
        <f t="shared" si="75"/>
        <v>-4.1850085696452988E-2</v>
      </c>
    </row>
    <row r="4846" spans="1:3" x14ac:dyDescent="0.6">
      <c r="A4846" s="24">
        <v>36570</v>
      </c>
      <c r="B4846" s="23">
        <v>3.7077930000000001</v>
      </c>
      <c r="C4846" s="32">
        <f t="shared" si="75"/>
        <v>6.4942730283026995E-2</v>
      </c>
    </row>
    <row r="4847" spans="1:3" x14ac:dyDescent="0.6">
      <c r="A4847" s="24">
        <v>36571</v>
      </c>
      <c r="B4847" s="23">
        <v>3.8098420000000002</v>
      </c>
      <c r="C4847" s="32">
        <f t="shared" si="75"/>
        <v>2.7522841755189598E-2</v>
      </c>
    </row>
    <row r="4848" spans="1:3" x14ac:dyDescent="0.6">
      <c r="A4848" s="24">
        <v>36572</v>
      </c>
      <c r="B4848" s="23">
        <v>3.6537670000000002</v>
      </c>
      <c r="C4848" s="32">
        <f t="shared" si="75"/>
        <v>-4.0966265792649614E-2</v>
      </c>
    </row>
    <row r="4849" spans="1:3" x14ac:dyDescent="0.6">
      <c r="A4849" s="24">
        <v>36573</v>
      </c>
      <c r="B4849" s="23">
        <v>3.6777790000000001</v>
      </c>
      <c r="C4849" s="32">
        <f t="shared" si="75"/>
        <v>6.5718476301306339E-3</v>
      </c>
    </row>
    <row r="4850" spans="1:3" x14ac:dyDescent="0.6">
      <c r="A4850" s="24">
        <v>36574</v>
      </c>
      <c r="B4850" s="23">
        <v>3.5617230000000002</v>
      </c>
      <c r="C4850" s="32">
        <f t="shared" si="75"/>
        <v>-3.1556001597703331E-2</v>
      </c>
    </row>
    <row r="4851" spans="1:3" x14ac:dyDescent="0.6">
      <c r="A4851" s="24">
        <v>36578</v>
      </c>
      <c r="B4851" s="23">
        <v>3.643761</v>
      </c>
      <c r="C4851" s="32">
        <f t="shared" si="75"/>
        <v>2.3033234195921404E-2</v>
      </c>
    </row>
    <row r="4852" spans="1:3" x14ac:dyDescent="0.6">
      <c r="A4852" s="24">
        <v>36579</v>
      </c>
      <c r="B4852" s="23">
        <v>3.7218</v>
      </c>
      <c r="C4852" s="32">
        <f t="shared" si="75"/>
        <v>2.141715661372956E-2</v>
      </c>
    </row>
    <row r="4853" spans="1:3" x14ac:dyDescent="0.6">
      <c r="A4853" s="24">
        <v>36580</v>
      </c>
      <c r="B4853" s="23">
        <v>3.6882820000000001</v>
      </c>
      <c r="C4853" s="32">
        <f t="shared" si="75"/>
        <v>-9.0058573808372566E-3</v>
      </c>
    </row>
    <row r="4854" spans="1:3" x14ac:dyDescent="0.6">
      <c r="A4854" s="24">
        <v>36581</v>
      </c>
      <c r="B4854" s="23">
        <v>3.533709</v>
      </c>
      <c r="C4854" s="32">
        <f t="shared" si="75"/>
        <v>-4.1909214100223413E-2</v>
      </c>
    </row>
    <row r="4855" spans="1:3" x14ac:dyDescent="0.6">
      <c r="A4855" s="24">
        <v>36584</v>
      </c>
      <c r="B4855" s="23">
        <v>3.625753</v>
      </c>
      <c r="C4855" s="32">
        <f t="shared" si="75"/>
        <v>2.6047419297967167E-2</v>
      </c>
    </row>
    <row r="4856" spans="1:3" x14ac:dyDescent="0.6">
      <c r="A4856" s="24">
        <v>36585</v>
      </c>
      <c r="B4856" s="23">
        <v>3.6697739999999999</v>
      </c>
      <c r="C4856" s="32">
        <f t="shared" si="75"/>
        <v>1.2141202117187833E-2</v>
      </c>
    </row>
    <row r="4857" spans="1:3" x14ac:dyDescent="0.6">
      <c r="A4857" s="24">
        <v>36586</v>
      </c>
      <c r="B4857" s="23">
        <v>4.1720170000000003</v>
      </c>
      <c r="C4857" s="32">
        <f t="shared" si="75"/>
        <v>0.13685938153139698</v>
      </c>
    </row>
    <row r="4858" spans="1:3" x14ac:dyDescent="0.6">
      <c r="A4858" s="24">
        <v>36587</v>
      </c>
      <c r="B4858" s="23">
        <v>3.9058890000000002</v>
      </c>
      <c r="C4858" s="32">
        <f t="shared" si="75"/>
        <v>-6.3788810064772106E-2</v>
      </c>
    </row>
    <row r="4859" spans="1:3" x14ac:dyDescent="0.6">
      <c r="A4859" s="24">
        <v>36588</v>
      </c>
      <c r="B4859" s="23">
        <v>4.0979809999999999</v>
      </c>
      <c r="C4859" s="32">
        <f t="shared" si="75"/>
        <v>4.918009702784687E-2</v>
      </c>
    </row>
    <row r="4860" spans="1:3" x14ac:dyDescent="0.6">
      <c r="A4860" s="24">
        <v>36591</v>
      </c>
      <c r="B4860" s="23">
        <v>4.0239450000000003</v>
      </c>
      <c r="C4860" s="32">
        <f t="shared" si="75"/>
        <v>-1.8066457604366537E-2</v>
      </c>
    </row>
    <row r="4861" spans="1:3" x14ac:dyDescent="0.6">
      <c r="A4861" s="24">
        <v>36592</v>
      </c>
      <c r="B4861" s="23">
        <v>3.9339029999999999</v>
      </c>
      <c r="C4861" s="32">
        <f t="shared" si="75"/>
        <v>-2.2376548387217143E-2</v>
      </c>
    </row>
    <row r="4862" spans="1:3" x14ac:dyDescent="0.6">
      <c r="A4862" s="24">
        <v>36593</v>
      </c>
      <c r="B4862" s="23">
        <v>3.9058890000000002</v>
      </c>
      <c r="C4862" s="32">
        <f t="shared" si="75"/>
        <v>-7.1211720268649081E-3</v>
      </c>
    </row>
    <row r="4863" spans="1:3" x14ac:dyDescent="0.6">
      <c r="A4863" s="24">
        <v>36594</v>
      </c>
      <c r="B4863" s="23">
        <v>3.9138920000000001</v>
      </c>
      <c r="C4863" s="32">
        <f t="shared" si="75"/>
        <v>2.0489573564430597E-3</v>
      </c>
    </row>
    <row r="4864" spans="1:3" x14ac:dyDescent="0.6">
      <c r="A4864" s="24">
        <v>36595</v>
      </c>
      <c r="B4864" s="23">
        <v>4.0259460000000002</v>
      </c>
      <c r="C4864" s="32">
        <f t="shared" si="75"/>
        <v>2.8629814006109644E-2</v>
      </c>
    </row>
    <row r="4865" spans="1:3" x14ac:dyDescent="0.6">
      <c r="A4865" s="24">
        <v>36598</v>
      </c>
      <c r="B4865" s="23">
        <v>3.8838780000000002</v>
      </c>
      <c r="C4865" s="32">
        <f t="shared" si="75"/>
        <v>-3.528810371525104E-2</v>
      </c>
    </row>
    <row r="4866" spans="1:3" x14ac:dyDescent="0.6">
      <c r="A4866" s="24">
        <v>36599</v>
      </c>
      <c r="B4866" s="23">
        <v>3.657769</v>
      </c>
      <c r="C4866" s="32">
        <f t="shared" si="75"/>
        <v>-5.8217328144704927E-2</v>
      </c>
    </row>
    <row r="4867" spans="1:3" x14ac:dyDescent="0.6">
      <c r="A4867" s="24">
        <v>36600</v>
      </c>
      <c r="B4867" s="23">
        <v>3.7218</v>
      </c>
      <c r="C4867" s="32">
        <f t="shared" si="75"/>
        <v>1.7505479432954774E-2</v>
      </c>
    </row>
    <row r="4868" spans="1:3" x14ac:dyDescent="0.6">
      <c r="A4868" s="24">
        <v>36601</v>
      </c>
      <c r="B4868" s="23">
        <v>3.8918819999999998</v>
      </c>
      <c r="C4868" s="32">
        <f t="shared" ref="C4868:C4931" si="76">B4868/B4867-1</f>
        <v>4.5698855392551918E-2</v>
      </c>
    </row>
    <row r="4869" spans="1:3" x14ac:dyDescent="0.6">
      <c r="A4869" s="24">
        <v>36602</v>
      </c>
      <c r="B4869" s="23">
        <v>4.0019349999999996</v>
      </c>
      <c r="C4869" s="32">
        <f t="shared" si="76"/>
        <v>2.827757881662385E-2</v>
      </c>
    </row>
    <row r="4870" spans="1:3" x14ac:dyDescent="0.6">
      <c r="A4870" s="24">
        <v>36605</v>
      </c>
      <c r="B4870" s="23">
        <v>3.9379040000000001</v>
      </c>
      <c r="C4870" s="32">
        <f t="shared" si="76"/>
        <v>-1.600000999516471E-2</v>
      </c>
    </row>
    <row r="4871" spans="1:3" x14ac:dyDescent="0.6">
      <c r="A4871" s="24">
        <v>36606</v>
      </c>
      <c r="B4871" s="23">
        <v>4.3200890000000003</v>
      </c>
      <c r="C4871" s="32">
        <f t="shared" si="76"/>
        <v>9.7052899207294097E-2</v>
      </c>
    </row>
    <row r="4872" spans="1:3" x14ac:dyDescent="0.6">
      <c r="A4872" s="24">
        <v>36607</v>
      </c>
      <c r="B4872" s="23">
        <v>4.6162340000000004</v>
      </c>
      <c r="C4872" s="32">
        <f t="shared" si="76"/>
        <v>6.855067106256385E-2</v>
      </c>
    </row>
    <row r="4873" spans="1:3" x14ac:dyDescent="0.6">
      <c r="A4873" s="24">
        <v>36608</v>
      </c>
      <c r="B4873" s="23">
        <v>4.5241870000000004</v>
      </c>
      <c r="C4873" s="32">
        <f t="shared" si="76"/>
        <v>-1.9939847070144179E-2</v>
      </c>
    </row>
    <row r="4874" spans="1:3" x14ac:dyDescent="0.6">
      <c r="A4874" s="24">
        <v>36609</v>
      </c>
      <c r="B4874" s="23">
        <v>4.4401460000000004</v>
      </c>
      <c r="C4874" s="32">
        <f t="shared" si="76"/>
        <v>-1.8575934195469768E-2</v>
      </c>
    </row>
    <row r="4875" spans="1:3" x14ac:dyDescent="0.6">
      <c r="A4875" s="24">
        <v>36612</v>
      </c>
      <c r="B4875" s="23">
        <v>4.4681610000000003</v>
      </c>
      <c r="C4875" s="32">
        <f t="shared" si="76"/>
        <v>6.3094772108844843E-3</v>
      </c>
    </row>
    <row r="4876" spans="1:3" x14ac:dyDescent="0.6">
      <c r="A4876" s="24">
        <v>36613</v>
      </c>
      <c r="B4876" s="23">
        <v>4.4541539999999999</v>
      </c>
      <c r="C4876" s="32">
        <f t="shared" si="76"/>
        <v>-3.1348467523888424E-3</v>
      </c>
    </row>
    <row r="4877" spans="1:3" x14ac:dyDescent="0.6">
      <c r="A4877" s="24">
        <v>36614</v>
      </c>
      <c r="B4877" s="23">
        <v>4.3521049999999999</v>
      </c>
      <c r="C4877" s="32">
        <f t="shared" si="76"/>
        <v>-2.291097254383212E-2</v>
      </c>
    </row>
    <row r="4878" spans="1:3" x14ac:dyDescent="0.6">
      <c r="A4878" s="24">
        <v>36615</v>
      </c>
      <c r="B4878" s="23">
        <v>4.0259460000000002</v>
      </c>
      <c r="C4878" s="32">
        <f t="shared" si="76"/>
        <v>-7.4942815028589571E-2</v>
      </c>
    </row>
    <row r="4879" spans="1:3" x14ac:dyDescent="0.6">
      <c r="A4879" s="24">
        <v>36616</v>
      </c>
      <c r="B4879" s="23">
        <v>4.3481019999999999</v>
      </c>
      <c r="C4879" s="32">
        <f t="shared" si="76"/>
        <v>8.0019950590494604E-2</v>
      </c>
    </row>
    <row r="4880" spans="1:3" x14ac:dyDescent="0.6">
      <c r="A4880" s="24">
        <v>36619</v>
      </c>
      <c r="B4880" s="23">
        <v>4.2680639999999999</v>
      </c>
      <c r="C4880" s="32">
        <f t="shared" si="76"/>
        <v>-1.8407571855490024E-2</v>
      </c>
    </row>
    <row r="4881" spans="1:3" x14ac:dyDescent="0.6">
      <c r="A4881" s="24">
        <v>36620</v>
      </c>
      <c r="B4881" s="23">
        <v>4.0759699999999999</v>
      </c>
      <c r="C4881" s="32">
        <f t="shared" si="76"/>
        <v>-4.5007291362078927E-2</v>
      </c>
    </row>
    <row r="4882" spans="1:3" x14ac:dyDescent="0.6">
      <c r="A4882" s="24">
        <v>36621</v>
      </c>
      <c r="B4882" s="23">
        <v>4.1740190000000004</v>
      </c>
      <c r="C4882" s="32">
        <f t="shared" si="76"/>
        <v>2.4055378228986068E-2</v>
      </c>
    </row>
    <row r="4883" spans="1:3" x14ac:dyDescent="0.6">
      <c r="A4883" s="24">
        <v>36622</v>
      </c>
      <c r="B4883" s="23">
        <v>4.0079380000000002</v>
      </c>
      <c r="C4883" s="32">
        <f t="shared" si="76"/>
        <v>-3.9789229517163238E-2</v>
      </c>
    </row>
    <row r="4884" spans="1:3" x14ac:dyDescent="0.6">
      <c r="A4884" s="24">
        <v>36623</v>
      </c>
      <c r="B4884" s="23">
        <v>4.2180400000000002</v>
      </c>
      <c r="C4884" s="32">
        <f t="shared" si="76"/>
        <v>5.2421469593591619E-2</v>
      </c>
    </row>
    <row r="4885" spans="1:3" x14ac:dyDescent="0.6">
      <c r="A4885" s="24">
        <v>36626</v>
      </c>
      <c r="B4885" s="23">
        <v>4.0019349999999996</v>
      </c>
      <c r="C4885" s="32">
        <f t="shared" si="76"/>
        <v>-5.1233511299086931E-2</v>
      </c>
    </row>
    <row r="4886" spans="1:3" x14ac:dyDescent="0.6">
      <c r="A4886" s="24">
        <v>36627</v>
      </c>
      <c r="B4886" s="23">
        <v>3.8238490000000001</v>
      </c>
      <c r="C4886" s="32">
        <f t="shared" si="76"/>
        <v>-4.4499973137994364E-2</v>
      </c>
    </row>
    <row r="4887" spans="1:3" x14ac:dyDescent="0.6">
      <c r="A4887" s="24">
        <v>36628</v>
      </c>
      <c r="B4887" s="23">
        <v>3.4976910000000001</v>
      </c>
      <c r="C4887" s="32">
        <f t="shared" si="76"/>
        <v>-8.5295732127497748E-2</v>
      </c>
    </row>
    <row r="4888" spans="1:3" x14ac:dyDescent="0.6">
      <c r="A4888" s="24">
        <v>36629</v>
      </c>
      <c r="B4888" s="23">
        <v>3.643761</v>
      </c>
      <c r="C4888" s="32">
        <f t="shared" si="76"/>
        <v>4.1761836594484736E-2</v>
      </c>
    </row>
    <row r="4889" spans="1:3" x14ac:dyDescent="0.6">
      <c r="A4889" s="24">
        <v>36630</v>
      </c>
      <c r="B4889" s="23">
        <v>3.5817320000000001</v>
      </c>
      <c r="C4889" s="32">
        <f t="shared" si="76"/>
        <v>-1.7023344835185417E-2</v>
      </c>
    </row>
    <row r="4890" spans="1:3" x14ac:dyDescent="0.6">
      <c r="A4890" s="24">
        <v>36633</v>
      </c>
      <c r="B4890" s="23">
        <v>3.9659179999999998</v>
      </c>
      <c r="C4890" s="32">
        <f t="shared" si="76"/>
        <v>0.10726263159834404</v>
      </c>
    </row>
    <row r="4891" spans="1:3" x14ac:dyDescent="0.6">
      <c r="A4891" s="24">
        <v>36634</v>
      </c>
      <c r="B4891" s="23">
        <v>4.0619649999999998</v>
      </c>
      <c r="C4891" s="32">
        <f t="shared" si="76"/>
        <v>2.4218100323809111E-2</v>
      </c>
    </row>
    <row r="4892" spans="1:3" x14ac:dyDescent="0.6">
      <c r="A4892" s="24">
        <v>36635</v>
      </c>
      <c r="B4892" s="23">
        <v>3.877875</v>
      </c>
      <c r="C4892" s="32">
        <f t="shared" si="76"/>
        <v>-4.5320429890459368E-2</v>
      </c>
    </row>
    <row r="4893" spans="1:3" x14ac:dyDescent="0.6">
      <c r="A4893" s="24">
        <v>36636</v>
      </c>
      <c r="B4893" s="23">
        <v>3.8058399999999999</v>
      </c>
      <c r="C4893" s="32">
        <f t="shared" si="76"/>
        <v>-1.857589530348458E-2</v>
      </c>
    </row>
    <row r="4894" spans="1:3" x14ac:dyDescent="0.6">
      <c r="A4894" s="24">
        <v>36640</v>
      </c>
      <c r="B4894" s="23">
        <v>3.857866</v>
      </c>
      <c r="C4894" s="32">
        <f t="shared" si="76"/>
        <v>1.3670043932482834E-2</v>
      </c>
    </row>
    <row r="4895" spans="1:3" x14ac:dyDescent="0.6">
      <c r="A4895" s="24">
        <v>36641</v>
      </c>
      <c r="B4895" s="23">
        <v>4.1079850000000002</v>
      </c>
      <c r="C4895" s="32">
        <f t="shared" si="76"/>
        <v>6.4833511583865411E-2</v>
      </c>
    </row>
    <row r="4896" spans="1:3" x14ac:dyDescent="0.6">
      <c r="A4896" s="24">
        <v>36642</v>
      </c>
      <c r="B4896" s="23">
        <v>3.8838780000000002</v>
      </c>
      <c r="C4896" s="32">
        <f t="shared" si="76"/>
        <v>-5.4553996667465965E-2</v>
      </c>
    </row>
    <row r="4897" spans="1:3" x14ac:dyDescent="0.6">
      <c r="A4897" s="24">
        <v>36643</v>
      </c>
      <c r="B4897" s="23">
        <v>4.057963</v>
      </c>
      <c r="C4897" s="32">
        <f t="shared" si="76"/>
        <v>4.4822468676925409E-2</v>
      </c>
    </row>
    <row r="4898" spans="1:3" x14ac:dyDescent="0.6">
      <c r="A4898" s="24">
        <v>36644</v>
      </c>
      <c r="B4898" s="23">
        <v>3.971921</v>
      </c>
      <c r="C4898" s="32">
        <f t="shared" si="76"/>
        <v>-2.1203249019273951E-2</v>
      </c>
    </row>
    <row r="4899" spans="1:3" x14ac:dyDescent="0.6">
      <c r="A4899" s="24">
        <v>36647</v>
      </c>
      <c r="B4899" s="23">
        <v>3.979924</v>
      </c>
      <c r="C4899" s="32">
        <f t="shared" si="76"/>
        <v>2.0148940525253067E-3</v>
      </c>
    </row>
    <row r="4900" spans="1:3" x14ac:dyDescent="0.6">
      <c r="A4900" s="24">
        <v>36648</v>
      </c>
      <c r="B4900" s="23">
        <v>3.7738239999999998</v>
      </c>
      <c r="C4900" s="32">
        <f t="shared" si="76"/>
        <v>-5.1784908455538403E-2</v>
      </c>
    </row>
    <row r="4901" spans="1:3" x14ac:dyDescent="0.6">
      <c r="A4901" s="24">
        <v>36649</v>
      </c>
      <c r="B4901" s="23">
        <v>3.6837810000000002</v>
      </c>
      <c r="C4901" s="32">
        <f t="shared" si="76"/>
        <v>-2.3859883237797974E-2</v>
      </c>
    </row>
    <row r="4902" spans="1:3" x14ac:dyDescent="0.6">
      <c r="A4902" s="24">
        <v>36650</v>
      </c>
      <c r="B4902" s="23">
        <v>3.543714</v>
      </c>
      <c r="C4902" s="32">
        <f t="shared" si="76"/>
        <v>-3.8022618608435255E-2</v>
      </c>
    </row>
    <row r="4903" spans="1:3" x14ac:dyDescent="0.6">
      <c r="A4903" s="24">
        <v>36651</v>
      </c>
      <c r="B4903" s="23">
        <v>3.6217519999999999</v>
      </c>
      <c r="C4903" s="32">
        <f t="shared" si="76"/>
        <v>2.202152882540731E-2</v>
      </c>
    </row>
    <row r="4904" spans="1:3" x14ac:dyDescent="0.6">
      <c r="A4904" s="24">
        <v>36654</v>
      </c>
      <c r="B4904" s="23">
        <v>3.5257049999999999</v>
      </c>
      <c r="C4904" s="32">
        <f t="shared" si="76"/>
        <v>-2.6519485597025994E-2</v>
      </c>
    </row>
    <row r="4905" spans="1:3" x14ac:dyDescent="0.6">
      <c r="A4905" s="24">
        <v>36655</v>
      </c>
      <c r="B4905" s="23">
        <v>3.375632</v>
      </c>
      <c r="C4905" s="32">
        <f t="shared" si="76"/>
        <v>-4.2565387631693485E-2</v>
      </c>
    </row>
    <row r="4906" spans="1:3" x14ac:dyDescent="0.6">
      <c r="A4906" s="24">
        <v>36656</v>
      </c>
      <c r="B4906" s="23">
        <v>3.179538</v>
      </c>
      <c r="C4906" s="32">
        <f t="shared" si="76"/>
        <v>-5.8091047839337939E-2</v>
      </c>
    </row>
    <row r="4907" spans="1:3" x14ac:dyDescent="0.6">
      <c r="A4907" s="24">
        <v>36657</v>
      </c>
      <c r="B4907" s="23">
        <v>3.2915920000000001</v>
      </c>
      <c r="C4907" s="32">
        <f t="shared" si="76"/>
        <v>3.5242227015371386E-2</v>
      </c>
    </row>
    <row r="4908" spans="1:3" x14ac:dyDescent="0.6">
      <c r="A4908" s="24">
        <v>36658</v>
      </c>
      <c r="B4908" s="23">
        <v>3.4456660000000001</v>
      </c>
      <c r="C4908" s="32">
        <f t="shared" si="76"/>
        <v>4.6808352918587648E-2</v>
      </c>
    </row>
    <row r="4909" spans="1:3" x14ac:dyDescent="0.6">
      <c r="A4909" s="24">
        <v>36661</v>
      </c>
      <c r="B4909" s="23">
        <v>3.2335639999999999</v>
      </c>
      <c r="C4909" s="32">
        <f t="shared" si="76"/>
        <v>-6.1556169402373961E-2</v>
      </c>
    </row>
    <row r="4910" spans="1:3" x14ac:dyDescent="0.6">
      <c r="A4910" s="24">
        <v>36662</v>
      </c>
      <c r="B4910" s="23">
        <v>3.3836360000000001</v>
      </c>
      <c r="C4910" s="32">
        <f t="shared" si="76"/>
        <v>4.641070966895966E-2</v>
      </c>
    </row>
    <row r="4911" spans="1:3" x14ac:dyDescent="0.6">
      <c r="A4911" s="24">
        <v>36663</v>
      </c>
      <c r="B4911" s="23">
        <v>3.2455690000000001</v>
      </c>
      <c r="C4911" s="32">
        <f t="shared" si="76"/>
        <v>-4.0804330016585677E-2</v>
      </c>
    </row>
    <row r="4912" spans="1:3" x14ac:dyDescent="0.6">
      <c r="A4912" s="24">
        <v>36664</v>
      </c>
      <c r="B4912" s="23">
        <v>3.2255590000000001</v>
      </c>
      <c r="C4912" s="32">
        <f t="shared" si="76"/>
        <v>-6.1653287913460142E-3</v>
      </c>
    </row>
    <row r="4913" spans="1:3" x14ac:dyDescent="0.6">
      <c r="A4913" s="24">
        <v>36665</v>
      </c>
      <c r="B4913" s="23">
        <v>3.009455</v>
      </c>
      <c r="C4913" s="32">
        <f t="shared" si="76"/>
        <v>-6.6997379368971433E-2</v>
      </c>
    </row>
    <row r="4914" spans="1:3" x14ac:dyDescent="0.6">
      <c r="A4914" s="24">
        <v>36668</v>
      </c>
      <c r="B4914" s="23">
        <v>2.8793920000000002</v>
      </c>
      <c r="C4914" s="32">
        <f t="shared" si="76"/>
        <v>-4.3218124211858888E-2</v>
      </c>
    </row>
    <row r="4915" spans="1:3" x14ac:dyDescent="0.6">
      <c r="A4915" s="24">
        <v>36669</v>
      </c>
      <c r="B4915" s="23">
        <v>2.7473290000000001</v>
      </c>
      <c r="C4915" s="32">
        <f t="shared" si="76"/>
        <v>-4.5864890921416768E-2</v>
      </c>
    </row>
    <row r="4916" spans="1:3" x14ac:dyDescent="0.6">
      <c r="A4916" s="24">
        <v>36670</v>
      </c>
      <c r="B4916" s="23">
        <v>2.8073579999999998</v>
      </c>
      <c r="C4916" s="32">
        <f t="shared" si="76"/>
        <v>2.1849949532800617E-2</v>
      </c>
    </row>
    <row r="4917" spans="1:3" x14ac:dyDescent="0.6">
      <c r="A4917" s="24">
        <v>36671</v>
      </c>
      <c r="B4917" s="23">
        <v>2.7938499999999999</v>
      </c>
      <c r="C4917" s="32">
        <f t="shared" si="76"/>
        <v>-4.8116414080426884E-3</v>
      </c>
    </row>
    <row r="4918" spans="1:3" x14ac:dyDescent="0.6">
      <c r="A4918" s="24">
        <v>36672</v>
      </c>
      <c r="B4918" s="23">
        <v>2.7653370000000002</v>
      </c>
      <c r="C4918" s="32">
        <f t="shared" si="76"/>
        <v>-1.0205630223526607E-2</v>
      </c>
    </row>
    <row r="4919" spans="1:3" x14ac:dyDescent="0.6">
      <c r="A4919" s="24">
        <v>36676</v>
      </c>
      <c r="B4919" s="23">
        <v>2.8033549999999998</v>
      </c>
      <c r="C4919" s="32">
        <f t="shared" si="76"/>
        <v>1.3748053130594906E-2</v>
      </c>
    </row>
    <row r="4920" spans="1:3" x14ac:dyDescent="0.6">
      <c r="A4920" s="24">
        <v>36677</v>
      </c>
      <c r="B4920" s="23">
        <v>2.6892999999999998</v>
      </c>
      <c r="C4920" s="32">
        <f t="shared" si="76"/>
        <v>-4.0685179008723482E-2</v>
      </c>
    </row>
    <row r="4921" spans="1:3" x14ac:dyDescent="0.6">
      <c r="A4921" s="24">
        <v>36678</v>
      </c>
      <c r="B4921" s="23">
        <v>2.85338</v>
      </c>
      <c r="C4921" s="32">
        <f t="shared" si="76"/>
        <v>6.1012159297958668E-2</v>
      </c>
    </row>
    <row r="4922" spans="1:3" x14ac:dyDescent="0.6">
      <c r="A4922" s="24">
        <v>36679</v>
      </c>
      <c r="B4922" s="23">
        <v>2.9634330000000002</v>
      </c>
      <c r="C4922" s="32">
        <f t="shared" si="76"/>
        <v>3.856934582845617E-2</v>
      </c>
    </row>
    <row r="4923" spans="1:3" x14ac:dyDescent="0.6">
      <c r="A4923" s="24">
        <v>36682</v>
      </c>
      <c r="B4923" s="23">
        <v>2.923413</v>
      </c>
      <c r="C4923" s="32">
        <f t="shared" si="76"/>
        <v>-1.3504607662801926E-2</v>
      </c>
    </row>
    <row r="4924" spans="1:3" x14ac:dyDescent="0.6">
      <c r="A4924" s="24">
        <v>36683</v>
      </c>
      <c r="B4924" s="23">
        <v>2.9734379999999998</v>
      </c>
      <c r="C4924" s="32">
        <f t="shared" si="76"/>
        <v>1.7111848377222127E-2</v>
      </c>
    </row>
    <row r="4925" spans="1:3" x14ac:dyDescent="0.6">
      <c r="A4925" s="24">
        <v>36684</v>
      </c>
      <c r="B4925" s="23">
        <v>3.0914950000000001</v>
      </c>
      <c r="C4925" s="32">
        <f t="shared" si="76"/>
        <v>3.970387141080467E-2</v>
      </c>
    </row>
    <row r="4926" spans="1:3" x14ac:dyDescent="0.6">
      <c r="A4926" s="24">
        <v>36685</v>
      </c>
      <c r="B4926" s="23">
        <v>3.0354679999999998</v>
      </c>
      <c r="C4926" s="32">
        <f t="shared" si="76"/>
        <v>-1.8122946988431199E-2</v>
      </c>
    </row>
    <row r="4927" spans="1:3" x14ac:dyDescent="0.6">
      <c r="A4927" s="24">
        <v>36686</v>
      </c>
      <c r="B4927" s="23">
        <v>3.065483</v>
      </c>
      <c r="C4927" s="32">
        <f t="shared" si="76"/>
        <v>9.8880963330860716E-3</v>
      </c>
    </row>
    <row r="4928" spans="1:3" x14ac:dyDescent="0.6">
      <c r="A4928" s="24">
        <v>36689</v>
      </c>
      <c r="B4928" s="23">
        <v>2.9194119999999999</v>
      </c>
      <c r="C4928" s="32">
        <f t="shared" si="76"/>
        <v>-4.7650239782768389E-2</v>
      </c>
    </row>
    <row r="4929" spans="1:3" x14ac:dyDescent="0.6">
      <c r="A4929" s="24">
        <v>36690</v>
      </c>
      <c r="B4929" s="23">
        <v>3.0254629999999998</v>
      </c>
      <c r="C4929" s="32">
        <f t="shared" si="76"/>
        <v>3.6326150608410046E-2</v>
      </c>
    </row>
    <row r="4930" spans="1:3" x14ac:dyDescent="0.6">
      <c r="A4930" s="24">
        <v>36691</v>
      </c>
      <c r="B4930" s="23">
        <v>2.8954</v>
      </c>
      <c r="C4930" s="32">
        <f t="shared" si="76"/>
        <v>-4.2989453184520743E-2</v>
      </c>
    </row>
    <row r="4931" spans="1:3" x14ac:dyDescent="0.6">
      <c r="A4931" s="24">
        <v>36692</v>
      </c>
      <c r="B4931" s="23">
        <v>2.95743</v>
      </c>
      <c r="C4931" s="32">
        <f t="shared" si="76"/>
        <v>2.1423637493956038E-2</v>
      </c>
    </row>
    <row r="4932" spans="1:3" x14ac:dyDescent="0.6">
      <c r="A4932" s="24">
        <v>36693</v>
      </c>
      <c r="B4932" s="23">
        <v>2.9194119999999999</v>
      </c>
      <c r="C4932" s="32">
        <f t="shared" ref="C4932:C4995" si="77">B4932/B4931-1</f>
        <v>-1.2855080255492091E-2</v>
      </c>
    </row>
    <row r="4933" spans="1:3" x14ac:dyDescent="0.6">
      <c r="A4933" s="24">
        <v>36696</v>
      </c>
      <c r="B4933" s="23">
        <v>3.093496</v>
      </c>
      <c r="C4933" s="32">
        <f t="shared" si="77"/>
        <v>5.9629815867030755E-2</v>
      </c>
    </row>
    <row r="4934" spans="1:3" x14ac:dyDescent="0.6">
      <c r="A4934" s="24">
        <v>36697</v>
      </c>
      <c r="B4934" s="23">
        <v>3.2415669999999999</v>
      </c>
      <c r="C4934" s="32">
        <f t="shared" si="77"/>
        <v>4.7865263119784229E-2</v>
      </c>
    </row>
    <row r="4935" spans="1:3" x14ac:dyDescent="0.6">
      <c r="A4935" s="24">
        <v>36698</v>
      </c>
      <c r="B4935" s="23">
        <v>3.5617230000000002</v>
      </c>
      <c r="C4935" s="32">
        <f t="shared" si="77"/>
        <v>9.876581295404363E-2</v>
      </c>
    </row>
    <row r="4936" spans="1:3" x14ac:dyDescent="0.6">
      <c r="A4936" s="24">
        <v>36699</v>
      </c>
      <c r="B4936" s="23">
        <v>3.4416639999999998</v>
      </c>
      <c r="C4936" s="32">
        <f t="shared" si="77"/>
        <v>-3.3708123849047311E-2</v>
      </c>
    </row>
    <row r="4937" spans="1:3" x14ac:dyDescent="0.6">
      <c r="A4937" s="24">
        <v>36700</v>
      </c>
      <c r="B4937" s="23">
        <v>3.3096000000000001</v>
      </c>
      <c r="C4937" s="32">
        <f t="shared" si="77"/>
        <v>-3.8372136268967516E-2</v>
      </c>
    </row>
    <row r="4938" spans="1:3" x14ac:dyDescent="0.6">
      <c r="A4938" s="24">
        <v>36703</v>
      </c>
      <c r="B4938" s="23">
        <v>3.4656760000000002</v>
      </c>
      <c r="C4938" s="32">
        <f t="shared" si="77"/>
        <v>4.7158569011360951E-2</v>
      </c>
    </row>
    <row r="4939" spans="1:3" x14ac:dyDescent="0.6">
      <c r="A4939" s="24">
        <v>36704</v>
      </c>
      <c r="B4939" s="23">
        <v>3.3136019999999999</v>
      </c>
      <c r="C4939" s="32">
        <f t="shared" si="77"/>
        <v>-4.388003956515274E-2</v>
      </c>
    </row>
    <row r="4940" spans="1:3" x14ac:dyDescent="0.6">
      <c r="A4940" s="24">
        <v>36705</v>
      </c>
      <c r="B4940" s="23">
        <v>3.4856859999999998</v>
      </c>
      <c r="C4940" s="32">
        <f t="shared" si="77"/>
        <v>5.193260989098869E-2</v>
      </c>
    </row>
    <row r="4941" spans="1:3" x14ac:dyDescent="0.6">
      <c r="A4941" s="24">
        <v>36706</v>
      </c>
      <c r="B4941" s="23">
        <v>3.281587</v>
      </c>
      <c r="C4941" s="32">
        <f t="shared" si="77"/>
        <v>-5.8553466950264532E-2</v>
      </c>
    </row>
    <row r="4942" spans="1:3" x14ac:dyDescent="0.6">
      <c r="A4942" s="24">
        <v>36707</v>
      </c>
      <c r="B4942" s="23">
        <v>3.3536220000000001</v>
      </c>
      <c r="C4942" s="32">
        <f t="shared" si="77"/>
        <v>2.1951269309635979E-2</v>
      </c>
    </row>
    <row r="4943" spans="1:3" x14ac:dyDescent="0.6">
      <c r="A4943" s="24">
        <v>36710</v>
      </c>
      <c r="B4943" s="23">
        <v>3.4136500000000001</v>
      </c>
      <c r="C4943" s="32">
        <f t="shared" si="77"/>
        <v>1.7899453188224612E-2</v>
      </c>
    </row>
    <row r="4944" spans="1:3" x14ac:dyDescent="0.6">
      <c r="A4944" s="24">
        <v>36712</v>
      </c>
      <c r="B4944" s="23">
        <v>3.3055979999999998</v>
      </c>
      <c r="C4944" s="32">
        <f t="shared" si="77"/>
        <v>-3.1652922824542684E-2</v>
      </c>
    </row>
    <row r="4945" spans="1:3" x14ac:dyDescent="0.6">
      <c r="A4945" s="24">
        <v>36713</v>
      </c>
      <c r="B4945" s="23">
        <v>3.3176040000000002</v>
      </c>
      <c r="C4945" s="32">
        <f t="shared" si="77"/>
        <v>3.6320205905255865E-3</v>
      </c>
    </row>
    <row r="4946" spans="1:3" x14ac:dyDescent="0.6">
      <c r="A4946" s="24">
        <v>36714</v>
      </c>
      <c r="B4946" s="23">
        <v>3.4856859999999998</v>
      </c>
      <c r="C4946" s="32">
        <f t="shared" si="77"/>
        <v>5.0663671734179072E-2</v>
      </c>
    </row>
    <row r="4947" spans="1:3" x14ac:dyDescent="0.6">
      <c r="A4947" s="24">
        <v>36717</v>
      </c>
      <c r="B4947" s="23">
        <v>3.657769</v>
      </c>
      <c r="C4947" s="32">
        <f t="shared" si="77"/>
        <v>4.9368474383521654E-2</v>
      </c>
    </row>
    <row r="4948" spans="1:3" x14ac:dyDescent="0.6">
      <c r="A4948" s="24">
        <v>36718</v>
      </c>
      <c r="B4948" s="23">
        <v>3.6457630000000001</v>
      </c>
      <c r="C4948" s="32">
        <f t="shared" si="77"/>
        <v>-3.282328654433897E-3</v>
      </c>
    </row>
    <row r="4949" spans="1:3" x14ac:dyDescent="0.6">
      <c r="A4949" s="24">
        <v>36719</v>
      </c>
      <c r="B4949" s="23">
        <v>3.7698230000000001</v>
      </c>
      <c r="C4949" s="32">
        <f t="shared" si="77"/>
        <v>3.4028542173476506E-2</v>
      </c>
    </row>
    <row r="4950" spans="1:3" x14ac:dyDescent="0.6">
      <c r="A4950" s="24">
        <v>36720</v>
      </c>
      <c r="B4950" s="23">
        <v>3.6177489999999999</v>
      </c>
      <c r="C4950" s="32">
        <f t="shared" si="77"/>
        <v>-4.0339824973214977E-2</v>
      </c>
    </row>
    <row r="4951" spans="1:3" x14ac:dyDescent="0.6">
      <c r="A4951" s="24">
        <v>36721</v>
      </c>
      <c r="B4951" s="23">
        <v>3.6937859999999998</v>
      </c>
      <c r="C4951" s="32">
        <f t="shared" si="77"/>
        <v>2.1017765466869065E-2</v>
      </c>
    </row>
    <row r="4952" spans="1:3" x14ac:dyDescent="0.6">
      <c r="A4952" s="24">
        <v>36724</v>
      </c>
      <c r="B4952" s="23">
        <v>3.733806</v>
      </c>
      <c r="C4952" s="32">
        <f t="shared" si="77"/>
        <v>1.0834412172226582E-2</v>
      </c>
    </row>
    <row r="4953" spans="1:3" x14ac:dyDescent="0.6">
      <c r="A4953" s="24">
        <v>36725</v>
      </c>
      <c r="B4953" s="23">
        <v>3.665772</v>
      </c>
      <c r="C4953" s="32">
        <f t="shared" si="77"/>
        <v>-1.8221085937512482E-2</v>
      </c>
    </row>
    <row r="4954" spans="1:3" x14ac:dyDescent="0.6">
      <c r="A4954" s="24">
        <v>36726</v>
      </c>
      <c r="B4954" s="23">
        <v>3.373631</v>
      </c>
      <c r="C4954" s="32">
        <f t="shared" si="77"/>
        <v>-7.9694263582132163E-2</v>
      </c>
    </row>
    <row r="4955" spans="1:3" x14ac:dyDescent="0.6">
      <c r="A4955" s="24">
        <v>36727</v>
      </c>
      <c r="B4955" s="23">
        <v>3.5297070000000001</v>
      </c>
      <c r="C4955" s="32">
        <f t="shared" si="77"/>
        <v>4.6263506589784065E-2</v>
      </c>
    </row>
    <row r="4956" spans="1:3" x14ac:dyDescent="0.6">
      <c r="A4956" s="24">
        <v>36728</v>
      </c>
      <c r="B4956" s="23">
        <v>3.4296579999999999</v>
      </c>
      <c r="C4956" s="32">
        <f t="shared" si="77"/>
        <v>-2.8344845620330572E-2</v>
      </c>
    </row>
    <row r="4957" spans="1:3" x14ac:dyDescent="0.6">
      <c r="A4957" s="24">
        <v>36731</v>
      </c>
      <c r="B4957" s="23">
        <v>3.1175069999999998</v>
      </c>
      <c r="C4957" s="32">
        <f t="shared" si="77"/>
        <v>-9.1015197433680028E-2</v>
      </c>
    </row>
    <row r="4958" spans="1:3" x14ac:dyDescent="0.6">
      <c r="A4958" s="24">
        <v>36732</v>
      </c>
      <c r="B4958" s="23">
        <v>3.2055500000000001</v>
      </c>
      <c r="C4958" s="32">
        <f t="shared" si="77"/>
        <v>2.824147628217033E-2</v>
      </c>
    </row>
    <row r="4959" spans="1:3" x14ac:dyDescent="0.6">
      <c r="A4959" s="24">
        <v>36733</v>
      </c>
      <c r="B4959" s="23">
        <v>3.2055500000000001</v>
      </c>
      <c r="C4959" s="32">
        <f t="shared" si="77"/>
        <v>0</v>
      </c>
    </row>
    <row r="4960" spans="1:3" x14ac:dyDescent="0.6">
      <c r="A4960" s="24">
        <v>36734</v>
      </c>
      <c r="B4960" s="23">
        <v>3.3296100000000002</v>
      </c>
      <c r="C4960" s="32">
        <f t="shared" si="77"/>
        <v>3.8701626865904393E-2</v>
      </c>
    </row>
    <row r="4961" spans="1:3" x14ac:dyDescent="0.6">
      <c r="A4961" s="24">
        <v>36735</v>
      </c>
      <c r="B4961" s="23">
        <v>3.093496</v>
      </c>
      <c r="C4961" s="32">
        <f t="shared" si="77"/>
        <v>-7.0913410279281996E-2</v>
      </c>
    </row>
    <row r="4962" spans="1:3" x14ac:dyDescent="0.6">
      <c r="A4962" s="24">
        <v>36738</v>
      </c>
      <c r="B4962" s="23">
        <v>3.2535729999999998</v>
      </c>
      <c r="C4962" s="32">
        <f t="shared" si="77"/>
        <v>5.1746309030300974E-2</v>
      </c>
    </row>
    <row r="4963" spans="1:3" x14ac:dyDescent="0.6">
      <c r="A4963" s="24">
        <v>36739</v>
      </c>
      <c r="B4963" s="23">
        <v>3.157527</v>
      </c>
      <c r="C4963" s="32">
        <f t="shared" si="77"/>
        <v>-2.9520161373357778E-2</v>
      </c>
    </row>
    <row r="4964" spans="1:3" x14ac:dyDescent="0.6">
      <c r="A4964" s="24">
        <v>36740</v>
      </c>
      <c r="B4964" s="23">
        <v>3.0254629999999998</v>
      </c>
      <c r="C4964" s="32">
        <f t="shared" si="77"/>
        <v>-4.1825137203894136E-2</v>
      </c>
    </row>
    <row r="4965" spans="1:3" x14ac:dyDescent="0.6">
      <c r="A4965" s="24">
        <v>36741</v>
      </c>
      <c r="B4965" s="23">
        <v>3.0734859999999999</v>
      </c>
      <c r="C4965" s="32">
        <f t="shared" si="77"/>
        <v>1.5872942422366476E-2</v>
      </c>
    </row>
    <row r="4966" spans="1:3" x14ac:dyDescent="0.6">
      <c r="A4966" s="24">
        <v>36742</v>
      </c>
      <c r="B4966" s="23">
        <v>3.0334669999999999</v>
      </c>
      <c r="C4966" s="32">
        <f t="shared" si="77"/>
        <v>-1.3020719795047042E-2</v>
      </c>
    </row>
    <row r="4967" spans="1:3" x14ac:dyDescent="0.6">
      <c r="A4967" s="24">
        <v>36745</v>
      </c>
      <c r="B4967" s="23">
        <v>3.0694840000000001</v>
      </c>
      <c r="C4967" s="32">
        <f t="shared" si="77"/>
        <v>1.18732130595125E-2</v>
      </c>
    </row>
    <row r="4968" spans="1:3" x14ac:dyDescent="0.6">
      <c r="A4968" s="24">
        <v>36746</v>
      </c>
      <c r="B4968" s="23">
        <v>2.9934470000000002</v>
      </c>
      <c r="C4968" s="32">
        <f t="shared" si="77"/>
        <v>-2.4771916061461785E-2</v>
      </c>
    </row>
    <row r="4969" spans="1:3" x14ac:dyDescent="0.6">
      <c r="A4969" s="24">
        <v>36747</v>
      </c>
      <c r="B4969" s="23">
        <v>3.041471</v>
      </c>
      <c r="C4969" s="32">
        <f t="shared" si="77"/>
        <v>1.6043043354367015E-2</v>
      </c>
    </row>
    <row r="4970" spans="1:3" x14ac:dyDescent="0.6">
      <c r="A4970" s="24">
        <v>36748</v>
      </c>
      <c r="B4970" s="23">
        <v>3.0454720000000002</v>
      </c>
      <c r="C4970" s="32">
        <f t="shared" si="77"/>
        <v>1.3154818836018656E-3</v>
      </c>
    </row>
    <row r="4971" spans="1:3" x14ac:dyDescent="0.6">
      <c r="A4971" s="24">
        <v>36749</v>
      </c>
      <c r="B4971" s="23">
        <v>3.053477</v>
      </c>
      <c r="C4971" s="32">
        <f t="shared" si="77"/>
        <v>2.6284923978943109E-3</v>
      </c>
    </row>
    <row r="4972" spans="1:3" x14ac:dyDescent="0.6">
      <c r="A4972" s="24">
        <v>36752</v>
      </c>
      <c r="B4972" s="23">
        <v>3.0134569999999998</v>
      </c>
      <c r="C4972" s="32">
        <f t="shared" si="77"/>
        <v>-1.3106370213366692E-2</v>
      </c>
    </row>
    <row r="4973" spans="1:3" x14ac:dyDescent="0.6">
      <c r="A4973" s="24">
        <v>36753</v>
      </c>
      <c r="B4973" s="23">
        <v>2.9894449999999999</v>
      </c>
      <c r="C4973" s="32">
        <f t="shared" si="77"/>
        <v>-7.9682570549372E-3</v>
      </c>
    </row>
    <row r="4974" spans="1:3" x14ac:dyDescent="0.6">
      <c r="A4974" s="24">
        <v>36754</v>
      </c>
      <c r="B4974" s="23">
        <v>3.1055009999999998</v>
      </c>
      <c r="C4974" s="32">
        <f t="shared" si="77"/>
        <v>3.8821921794848224E-2</v>
      </c>
    </row>
    <row r="4975" spans="1:3" x14ac:dyDescent="0.6">
      <c r="A4975" s="24">
        <v>36755</v>
      </c>
      <c r="B4975" s="23">
        <v>3.2935919999999999</v>
      </c>
      <c r="C4975" s="32">
        <f t="shared" si="77"/>
        <v>6.0567038941542695E-2</v>
      </c>
    </row>
    <row r="4976" spans="1:3" x14ac:dyDescent="0.6">
      <c r="A4976" s="24">
        <v>36756</v>
      </c>
      <c r="B4976" s="23">
        <v>3.2015479999999998</v>
      </c>
      <c r="C4976" s="32">
        <f t="shared" si="77"/>
        <v>-2.7946388016487744E-2</v>
      </c>
    </row>
    <row r="4977" spans="1:3" x14ac:dyDescent="0.6">
      <c r="A4977" s="24">
        <v>36759</v>
      </c>
      <c r="B4977" s="23">
        <v>3.2335639999999999</v>
      </c>
      <c r="C4977" s="32">
        <f t="shared" si="77"/>
        <v>1.0000162421428538E-2</v>
      </c>
    </row>
    <row r="4978" spans="1:3" x14ac:dyDescent="0.6">
      <c r="A4978" s="24">
        <v>36760</v>
      </c>
      <c r="B4978" s="23">
        <v>3.3096000000000001</v>
      </c>
      <c r="C4978" s="32">
        <f t="shared" si="77"/>
        <v>2.3514611122588125E-2</v>
      </c>
    </row>
    <row r="4979" spans="1:3" x14ac:dyDescent="0.6">
      <c r="A4979" s="24">
        <v>36761</v>
      </c>
      <c r="B4979" s="23">
        <v>3.4776820000000002</v>
      </c>
      <c r="C4979" s="32">
        <f t="shared" si="77"/>
        <v>5.0786197727822113E-2</v>
      </c>
    </row>
    <row r="4980" spans="1:3" x14ac:dyDescent="0.6">
      <c r="A4980" s="24">
        <v>36762</v>
      </c>
      <c r="B4980" s="23">
        <v>3.592733</v>
      </c>
      <c r="C4980" s="32">
        <f t="shared" si="77"/>
        <v>3.3082668283068939E-2</v>
      </c>
    </row>
    <row r="4981" spans="1:3" x14ac:dyDescent="0.6">
      <c r="A4981" s="24">
        <v>36763</v>
      </c>
      <c r="B4981" s="23">
        <v>3.6377600000000001</v>
      </c>
      <c r="C4981" s="32">
        <f t="shared" si="77"/>
        <v>1.2532798847005866E-2</v>
      </c>
    </row>
    <row r="4982" spans="1:3" x14ac:dyDescent="0.6">
      <c r="A4982" s="24">
        <v>36766</v>
      </c>
      <c r="B4982" s="23">
        <v>3.7177980000000002</v>
      </c>
      <c r="C4982" s="32">
        <f t="shared" si="77"/>
        <v>2.200200123152718E-2</v>
      </c>
    </row>
    <row r="4983" spans="1:3" x14ac:dyDescent="0.6">
      <c r="A4983" s="24">
        <v>36767</v>
      </c>
      <c r="B4983" s="23">
        <v>3.7898320000000001</v>
      </c>
      <c r="C4983" s="32">
        <f t="shared" si="77"/>
        <v>1.9375447509520471E-2</v>
      </c>
    </row>
    <row r="4984" spans="1:3" x14ac:dyDescent="0.6">
      <c r="A4984" s="24">
        <v>36768</v>
      </c>
      <c r="B4984" s="23">
        <v>3.8098420000000002</v>
      </c>
      <c r="C4984" s="32">
        <f t="shared" si="77"/>
        <v>5.2799174211417554E-3</v>
      </c>
    </row>
    <row r="4985" spans="1:3" x14ac:dyDescent="0.6">
      <c r="A4985" s="24">
        <v>36769</v>
      </c>
      <c r="B4985" s="23">
        <v>3.9018869999999999</v>
      </c>
      <c r="C4985" s="32">
        <f t="shared" si="77"/>
        <v>2.4159794553159974E-2</v>
      </c>
    </row>
    <row r="4986" spans="1:3" x14ac:dyDescent="0.6">
      <c r="A4986" s="24">
        <v>36770</v>
      </c>
      <c r="B4986" s="23">
        <v>4.0619649999999998</v>
      </c>
      <c r="C4986" s="32">
        <f t="shared" si="77"/>
        <v>4.1025790854527511E-2</v>
      </c>
    </row>
    <row r="4987" spans="1:3" x14ac:dyDescent="0.6">
      <c r="A4987" s="24">
        <v>36774</v>
      </c>
      <c r="B4987" s="23">
        <v>3.9979330000000002</v>
      </c>
      <c r="C4987" s="32">
        <f t="shared" si="77"/>
        <v>-1.5763799047997629E-2</v>
      </c>
    </row>
    <row r="4988" spans="1:3" x14ac:dyDescent="0.6">
      <c r="A4988" s="24">
        <v>36775</v>
      </c>
      <c r="B4988" s="23">
        <v>3.7418089999999999</v>
      </c>
      <c r="C4988" s="32">
        <f t="shared" si="77"/>
        <v>-6.40641051263241E-2</v>
      </c>
    </row>
    <row r="4989" spans="1:3" x14ac:dyDescent="0.6">
      <c r="A4989" s="24">
        <v>36776</v>
      </c>
      <c r="B4989" s="23">
        <v>3.969919</v>
      </c>
      <c r="C4989" s="32">
        <f t="shared" si="77"/>
        <v>6.0962491671809005E-2</v>
      </c>
    </row>
    <row r="4990" spans="1:3" x14ac:dyDescent="0.6">
      <c r="A4990" s="24">
        <v>36777</v>
      </c>
      <c r="B4990" s="23">
        <v>3.7698230000000001</v>
      </c>
      <c r="C4990" s="32">
        <f t="shared" si="77"/>
        <v>-5.0403043487789012E-2</v>
      </c>
    </row>
    <row r="4991" spans="1:3" x14ac:dyDescent="0.6">
      <c r="A4991" s="24">
        <v>36780</v>
      </c>
      <c r="B4991" s="23">
        <v>3.7418089999999999</v>
      </c>
      <c r="C4991" s="32">
        <f t="shared" si="77"/>
        <v>-7.4311181188082553E-3</v>
      </c>
    </row>
    <row r="4992" spans="1:3" x14ac:dyDescent="0.6">
      <c r="A4992" s="24">
        <v>36781</v>
      </c>
      <c r="B4992" s="23">
        <v>3.6977890000000002</v>
      </c>
      <c r="C4992" s="32">
        <f t="shared" si="77"/>
        <v>-1.1764363172999892E-2</v>
      </c>
    </row>
    <row r="4993" spans="1:3" x14ac:dyDescent="0.6">
      <c r="A4993" s="24">
        <v>36782</v>
      </c>
      <c r="B4993" s="23">
        <v>3.7137959999999999</v>
      </c>
      <c r="C4993" s="32">
        <f t="shared" si="77"/>
        <v>4.3288029684764862E-3</v>
      </c>
    </row>
    <row r="4994" spans="1:3" x14ac:dyDescent="0.6">
      <c r="A4994" s="24">
        <v>36783</v>
      </c>
      <c r="B4994" s="23">
        <v>3.6407560000000001</v>
      </c>
      <c r="C4994" s="32">
        <f t="shared" si="77"/>
        <v>-1.9667208430403815E-2</v>
      </c>
    </row>
    <row r="4995" spans="1:3" x14ac:dyDescent="0.6">
      <c r="A4995" s="24">
        <v>36784</v>
      </c>
      <c r="B4995" s="23">
        <v>3.5367060000000001</v>
      </c>
      <c r="C4995" s="32">
        <f t="shared" si="77"/>
        <v>-2.8579229149110819E-2</v>
      </c>
    </row>
    <row r="4996" spans="1:3" x14ac:dyDescent="0.6">
      <c r="A4996" s="24">
        <v>36787</v>
      </c>
      <c r="B4996" s="23">
        <v>3.8838750000000002</v>
      </c>
      <c r="C4996" s="32">
        <f t="shared" ref="C4996:C5059" si="78">B4996/B4995-1</f>
        <v>9.8161679257478651E-2</v>
      </c>
    </row>
    <row r="4997" spans="1:3" x14ac:dyDescent="0.6">
      <c r="A4997" s="24">
        <v>36788</v>
      </c>
      <c r="B4997" s="23">
        <v>3.8378549999999998</v>
      </c>
      <c r="C4997" s="32">
        <f t="shared" si="78"/>
        <v>-1.1848991020565913E-2</v>
      </c>
    </row>
    <row r="4998" spans="1:3" x14ac:dyDescent="0.6">
      <c r="A4998" s="24">
        <v>36789</v>
      </c>
      <c r="B4998" s="23">
        <v>3.9088859999999999</v>
      </c>
      <c r="C4998" s="32">
        <f t="shared" si="78"/>
        <v>1.850799470016451E-2</v>
      </c>
    </row>
    <row r="4999" spans="1:3" x14ac:dyDescent="0.6">
      <c r="A4999" s="24">
        <v>36790</v>
      </c>
      <c r="B4999" s="23">
        <v>3.6297549999999998</v>
      </c>
      <c r="C4999" s="32">
        <f t="shared" si="78"/>
        <v>-7.1409347829535119E-2</v>
      </c>
    </row>
    <row r="5000" spans="1:3" x14ac:dyDescent="0.6">
      <c r="A5000" s="24">
        <v>36791</v>
      </c>
      <c r="B5000" s="23">
        <v>3.3416160000000001</v>
      </c>
      <c r="C5000" s="32">
        <f t="shared" si="78"/>
        <v>-7.9382492757775536E-2</v>
      </c>
    </row>
    <row r="5001" spans="1:3" x14ac:dyDescent="0.6">
      <c r="A5001" s="24">
        <v>36794</v>
      </c>
      <c r="B5001" s="23">
        <v>3.425656</v>
      </c>
      <c r="C5001" s="32">
        <f t="shared" si="78"/>
        <v>2.5149508501276063E-2</v>
      </c>
    </row>
    <row r="5002" spans="1:3" x14ac:dyDescent="0.6">
      <c r="A5002" s="24">
        <v>36795</v>
      </c>
      <c r="B5002" s="23">
        <v>3.2935919999999999</v>
      </c>
      <c r="C5002" s="32">
        <f t="shared" si="78"/>
        <v>-3.8551448248160369E-2</v>
      </c>
    </row>
    <row r="5003" spans="1:3" x14ac:dyDescent="0.6">
      <c r="A5003" s="24">
        <v>36796</v>
      </c>
      <c r="B5003" s="23">
        <v>3.1335150000000001</v>
      </c>
      <c r="C5003" s="32">
        <f t="shared" si="78"/>
        <v>-4.8602559151224467E-2</v>
      </c>
    </row>
    <row r="5004" spans="1:3" x14ac:dyDescent="0.6">
      <c r="A5004" s="24">
        <v>36797</v>
      </c>
      <c r="B5004" s="23">
        <v>3.425656</v>
      </c>
      <c r="C5004" s="32">
        <f t="shared" si="78"/>
        <v>9.3231083942473481E-2</v>
      </c>
    </row>
    <row r="5005" spans="1:3" x14ac:dyDescent="0.6">
      <c r="A5005" s="24">
        <v>36798</v>
      </c>
      <c r="B5005" s="23">
        <v>1.6487970000000001</v>
      </c>
      <c r="C5005" s="32">
        <f t="shared" si="78"/>
        <v>-0.51869160242592949</v>
      </c>
    </row>
    <row r="5006" spans="1:3" x14ac:dyDescent="0.6">
      <c r="A5006" s="24">
        <v>36801</v>
      </c>
      <c r="B5006" s="23">
        <v>1.552751</v>
      </c>
      <c r="C5006" s="32">
        <f t="shared" si="78"/>
        <v>-5.8252168095890511E-2</v>
      </c>
    </row>
    <row r="5007" spans="1:3" x14ac:dyDescent="0.6">
      <c r="A5007" s="24">
        <v>36802</v>
      </c>
      <c r="B5007" s="23">
        <v>1.4286909999999999</v>
      </c>
      <c r="C5007" s="32">
        <f t="shared" si="78"/>
        <v>-7.9896905556653963E-2</v>
      </c>
    </row>
    <row r="5008" spans="1:3" x14ac:dyDescent="0.6">
      <c r="A5008" s="24">
        <v>36803</v>
      </c>
      <c r="B5008" s="23">
        <v>1.512731</v>
      </c>
      <c r="C5008" s="32">
        <f t="shared" si="78"/>
        <v>5.8823076508496275E-2</v>
      </c>
    </row>
    <row r="5009" spans="1:3" x14ac:dyDescent="0.6">
      <c r="A5009" s="24">
        <v>36804</v>
      </c>
      <c r="B5009" s="23">
        <v>1.4126829999999999</v>
      </c>
      <c r="C5009" s="32">
        <f t="shared" si="78"/>
        <v>-6.6137337041417221E-2</v>
      </c>
    </row>
    <row r="5010" spans="1:3" x14ac:dyDescent="0.6">
      <c r="A5010" s="24">
        <v>36805</v>
      </c>
      <c r="B5010" s="23">
        <v>1.420687</v>
      </c>
      <c r="C5010" s="32">
        <f t="shared" si="78"/>
        <v>5.6658146236630014E-3</v>
      </c>
    </row>
    <row r="5011" spans="1:3" x14ac:dyDescent="0.6">
      <c r="A5011" s="24">
        <v>36808</v>
      </c>
      <c r="B5011" s="23">
        <v>1.392674</v>
      </c>
      <c r="C5011" s="32">
        <f t="shared" si="78"/>
        <v>-1.9717925200976705E-2</v>
      </c>
    </row>
    <row r="5012" spans="1:3" x14ac:dyDescent="0.6">
      <c r="A5012" s="24">
        <v>36809</v>
      </c>
      <c r="B5012" s="23">
        <v>1.336646</v>
      </c>
      <c r="C5012" s="32">
        <f t="shared" si="78"/>
        <v>-4.0230520566909345E-2</v>
      </c>
    </row>
    <row r="5013" spans="1:3" x14ac:dyDescent="0.6">
      <c r="A5013" s="24">
        <v>36810</v>
      </c>
      <c r="B5013" s="23">
        <v>1.2566079999999999</v>
      </c>
      <c r="C5013" s="32">
        <f t="shared" si="78"/>
        <v>-5.9879728813762245E-2</v>
      </c>
    </row>
    <row r="5014" spans="1:3" x14ac:dyDescent="0.6">
      <c r="A5014" s="24">
        <v>36811</v>
      </c>
      <c r="B5014" s="23">
        <v>1.280619</v>
      </c>
      <c r="C5014" s="32">
        <f t="shared" si="78"/>
        <v>1.9107788586416818E-2</v>
      </c>
    </row>
    <row r="5015" spans="1:3" x14ac:dyDescent="0.6">
      <c r="A5015" s="24">
        <v>36812</v>
      </c>
      <c r="B5015" s="23">
        <v>1.4126829999999999</v>
      </c>
      <c r="C5015" s="32">
        <f t="shared" si="78"/>
        <v>0.10312512933198703</v>
      </c>
    </row>
    <row r="5016" spans="1:3" x14ac:dyDescent="0.6">
      <c r="A5016" s="24">
        <v>36815</v>
      </c>
      <c r="B5016" s="23">
        <v>1.3766659999999999</v>
      </c>
      <c r="C5016" s="32">
        <f t="shared" si="78"/>
        <v>-2.5495457933591537E-2</v>
      </c>
    </row>
    <row r="5017" spans="1:3" x14ac:dyDescent="0.6">
      <c r="A5017" s="24">
        <v>36816</v>
      </c>
      <c r="B5017" s="23">
        <v>1.2886230000000001</v>
      </c>
      <c r="C5017" s="32">
        <f t="shared" si="78"/>
        <v>-6.3953783996989699E-2</v>
      </c>
    </row>
    <row r="5018" spans="1:3" x14ac:dyDescent="0.6">
      <c r="A5018" s="24">
        <v>36817</v>
      </c>
      <c r="B5018" s="23">
        <v>1.2886230000000001</v>
      </c>
      <c r="C5018" s="32">
        <f t="shared" si="78"/>
        <v>0</v>
      </c>
    </row>
    <row r="5019" spans="1:3" x14ac:dyDescent="0.6">
      <c r="A5019" s="24">
        <v>36818</v>
      </c>
      <c r="B5019" s="23">
        <v>1.2125859999999999</v>
      </c>
      <c r="C5019" s="32">
        <f t="shared" si="78"/>
        <v>-5.9006396750640122E-2</v>
      </c>
    </row>
    <row r="5020" spans="1:3" x14ac:dyDescent="0.6">
      <c r="A5020" s="24">
        <v>36819</v>
      </c>
      <c r="B5020" s="23">
        <v>1.248604</v>
      </c>
      <c r="C5020" s="32">
        <f t="shared" si="78"/>
        <v>2.9703460208183152E-2</v>
      </c>
    </row>
    <row r="5021" spans="1:3" x14ac:dyDescent="0.6">
      <c r="A5021" s="24">
        <v>36822</v>
      </c>
      <c r="B5021" s="23">
        <v>1.3046310000000001</v>
      </c>
      <c r="C5021" s="32">
        <f t="shared" si="78"/>
        <v>4.4871712728775437E-2</v>
      </c>
    </row>
    <row r="5022" spans="1:3" x14ac:dyDescent="0.6">
      <c r="A5022" s="24">
        <v>36823</v>
      </c>
      <c r="B5022" s="23">
        <v>1.208585</v>
      </c>
      <c r="C5022" s="32">
        <f t="shared" si="78"/>
        <v>-7.3619283920127621E-2</v>
      </c>
    </row>
    <row r="5023" spans="1:3" x14ac:dyDescent="0.6">
      <c r="A5023" s="24">
        <v>36824</v>
      </c>
      <c r="B5023" s="23">
        <v>1.1845730000000001</v>
      </c>
      <c r="C5023" s="32">
        <f t="shared" si="78"/>
        <v>-1.986786200391355E-2</v>
      </c>
    </row>
    <row r="5024" spans="1:3" x14ac:dyDescent="0.6">
      <c r="A5024" s="24">
        <v>36825</v>
      </c>
      <c r="B5024" s="23">
        <v>1.1845730000000001</v>
      </c>
      <c r="C5024" s="32">
        <f t="shared" si="78"/>
        <v>0</v>
      </c>
    </row>
    <row r="5025" spans="1:3" x14ac:dyDescent="0.6">
      <c r="A5025" s="24">
        <v>36826</v>
      </c>
      <c r="B5025" s="23">
        <v>1.1885749999999999</v>
      </c>
      <c r="C5025" s="32">
        <f t="shared" si="78"/>
        <v>3.3784325659962366E-3</v>
      </c>
    </row>
    <row r="5026" spans="1:3" x14ac:dyDescent="0.6">
      <c r="A5026" s="24">
        <v>36829</v>
      </c>
      <c r="B5026" s="23">
        <v>1.2365980000000001</v>
      </c>
      <c r="C5026" s="32">
        <f t="shared" si="78"/>
        <v>4.040384494036986E-2</v>
      </c>
    </row>
    <row r="5027" spans="1:3" x14ac:dyDescent="0.6">
      <c r="A5027" s="24">
        <v>36830</v>
      </c>
      <c r="B5027" s="23">
        <v>1.2526060000000001</v>
      </c>
      <c r="C5027" s="32">
        <f t="shared" si="78"/>
        <v>1.2945193183233394E-2</v>
      </c>
    </row>
    <row r="5028" spans="1:3" x14ac:dyDescent="0.6">
      <c r="A5028" s="24">
        <v>36831</v>
      </c>
      <c r="B5028" s="23">
        <v>1.312635</v>
      </c>
      <c r="C5028" s="32">
        <f t="shared" si="78"/>
        <v>4.7923289525996005E-2</v>
      </c>
    </row>
    <row r="5029" spans="1:3" x14ac:dyDescent="0.6">
      <c r="A5029" s="24">
        <v>36832</v>
      </c>
      <c r="B5029" s="23">
        <v>1.4286909999999999</v>
      </c>
      <c r="C5029" s="32">
        <f t="shared" si="78"/>
        <v>8.8414524982192155E-2</v>
      </c>
    </row>
    <row r="5030" spans="1:3" x14ac:dyDescent="0.6">
      <c r="A5030" s="24">
        <v>36833</v>
      </c>
      <c r="B5030" s="23">
        <v>1.4246890000000001</v>
      </c>
      <c r="C5030" s="32">
        <f t="shared" si="78"/>
        <v>-2.8011655424440285E-3</v>
      </c>
    </row>
    <row r="5031" spans="1:3" x14ac:dyDescent="0.6">
      <c r="A5031" s="24">
        <v>36836</v>
      </c>
      <c r="B5031" s="23">
        <v>1.3726640000000001</v>
      </c>
      <c r="C5031" s="32">
        <f t="shared" si="78"/>
        <v>-3.6516741548506371E-2</v>
      </c>
    </row>
    <row r="5032" spans="1:3" x14ac:dyDescent="0.6">
      <c r="A5032" s="24">
        <v>36837</v>
      </c>
      <c r="B5032" s="23">
        <v>1.36466</v>
      </c>
      <c r="C5032" s="32">
        <f t="shared" si="78"/>
        <v>-5.8309972433167045E-3</v>
      </c>
    </row>
    <row r="5033" spans="1:3" x14ac:dyDescent="0.6">
      <c r="A5033" s="24">
        <v>36838</v>
      </c>
      <c r="B5033" s="23">
        <v>1.284621</v>
      </c>
      <c r="C5033" s="32">
        <f t="shared" si="78"/>
        <v>-5.8651239136488176E-2</v>
      </c>
    </row>
    <row r="5034" spans="1:3" x14ac:dyDescent="0.6">
      <c r="A5034" s="24">
        <v>36839</v>
      </c>
      <c r="B5034" s="23">
        <v>1.2926249999999999</v>
      </c>
      <c r="C5034" s="32">
        <f t="shared" si="78"/>
        <v>6.2306314469402491E-3</v>
      </c>
    </row>
    <row r="5035" spans="1:3" x14ac:dyDescent="0.6">
      <c r="A5035" s="24">
        <v>36840</v>
      </c>
      <c r="B5035" s="23">
        <v>1.2205900000000001</v>
      </c>
      <c r="C5035" s="32">
        <f t="shared" si="78"/>
        <v>-5.5727685910453406E-2</v>
      </c>
    </row>
    <row r="5036" spans="1:3" x14ac:dyDescent="0.6">
      <c r="A5036" s="24">
        <v>36843</v>
      </c>
      <c r="B5036" s="23">
        <v>1.2405999999999999</v>
      </c>
      <c r="C5036" s="32">
        <f t="shared" si="78"/>
        <v>1.6393711238007702E-2</v>
      </c>
    </row>
    <row r="5037" spans="1:3" x14ac:dyDescent="0.6">
      <c r="A5037" s="24">
        <v>36844</v>
      </c>
      <c r="B5037" s="23">
        <v>1.296627</v>
      </c>
      <c r="C5037" s="32">
        <f t="shared" si="78"/>
        <v>4.5161212316620958E-2</v>
      </c>
    </row>
    <row r="5038" spans="1:3" x14ac:dyDescent="0.6">
      <c r="A5038" s="24">
        <v>36845</v>
      </c>
      <c r="B5038" s="23">
        <v>1.2726150000000001</v>
      </c>
      <c r="C5038" s="32">
        <f t="shared" si="78"/>
        <v>-1.8518818442003648E-2</v>
      </c>
    </row>
    <row r="5039" spans="1:3" x14ac:dyDescent="0.6">
      <c r="A5039" s="24">
        <v>36846</v>
      </c>
      <c r="B5039" s="23">
        <v>1.216588</v>
      </c>
      <c r="C5039" s="32">
        <f t="shared" si="78"/>
        <v>-4.4025097928281576E-2</v>
      </c>
    </row>
    <row r="5040" spans="1:3" x14ac:dyDescent="0.6">
      <c r="A5040" s="24">
        <v>36847</v>
      </c>
      <c r="B5040" s="23">
        <v>1.1845730000000001</v>
      </c>
      <c r="C5040" s="32">
        <f t="shared" si="78"/>
        <v>-2.6315400119021337E-2</v>
      </c>
    </row>
    <row r="5041" spans="1:3" x14ac:dyDescent="0.6">
      <c r="A5041" s="24">
        <v>36850</v>
      </c>
      <c r="B5041" s="23">
        <v>1.2125859999999999</v>
      </c>
      <c r="C5041" s="32">
        <f t="shared" si="78"/>
        <v>2.3648183775925924E-2</v>
      </c>
    </row>
    <row r="5042" spans="1:3" x14ac:dyDescent="0.6">
      <c r="A5042" s="24">
        <v>36851</v>
      </c>
      <c r="B5042" s="23">
        <v>1.204583</v>
      </c>
      <c r="C5042" s="32">
        <f t="shared" si="78"/>
        <v>-6.599944251376777E-3</v>
      </c>
    </row>
    <row r="5043" spans="1:3" x14ac:dyDescent="0.6">
      <c r="A5043" s="24">
        <v>36852</v>
      </c>
      <c r="B5043" s="23">
        <v>1.1845730000000001</v>
      </c>
      <c r="C5043" s="32">
        <f t="shared" si="78"/>
        <v>-1.6611557692578938E-2</v>
      </c>
    </row>
    <row r="5044" spans="1:3" x14ac:dyDescent="0.6">
      <c r="A5044" s="24">
        <v>36854</v>
      </c>
      <c r="B5044" s="23">
        <v>1.2365980000000001</v>
      </c>
      <c r="C5044" s="32">
        <f t="shared" si="78"/>
        <v>4.3918779171904232E-2</v>
      </c>
    </row>
    <row r="5045" spans="1:3" x14ac:dyDescent="0.6">
      <c r="A5045" s="24">
        <v>36857</v>
      </c>
      <c r="B5045" s="23">
        <v>1.1965790000000001</v>
      </c>
      <c r="C5045" s="32">
        <f t="shared" si="78"/>
        <v>-3.2362174287844603E-2</v>
      </c>
    </row>
    <row r="5046" spans="1:3" x14ac:dyDescent="0.6">
      <c r="A5046" s="24">
        <v>36858</v>
      </c>
      <c r="B5046" s="23">
        <v>1.154555</v>
      </c>
      <c r="C5046" s="32">
        <f t="shared" si="78"/>
        <v>-3.5120121613366195E-2</v>
      </c>
    </row>
    <row r="5047" spans="1:3" x14ac:dyDescent="0.6">
      <c r="A5047" s="24">
        <v>36859</v>
      </c>
      <c r="B5047" s="23">
        <v>1.124544</v>
      </c>
      <c r="C5047" s="32">
        <f t="shared" si="78"/>
        <v>-2.5993564620135023E-2</v>
      </c>
    </row>
    <row r="5048" spans="1:3" x14ac:dyDescent="0.6">
      <c r="A5048" s="24">
        <v>36860</v>
      </c>
      <c r="B5048" s="23">
        <v>1.056511</v>
      </c>
      <c r="C5048" s="32">
        <f t="shared" si="78"/>
        <v>-6.049829975527854E-2</v>
      </c>
    </row>
    <row r="5049" spans="1:3" x14ac:dyDescent="0.6">
      <c r="A5049" s="24">
        <v>36861</v>
      </c>
      <c r="B5049" s="23">
        <v>1.0925279999999999</v>
      </c>
      <c r="C5049" s="32">
        <f t="shared" si="78"/>
        <v>3.4090511125771439E-2</v>
      </c>
    </row>
    <row r="5050" spans="1:3" x14ac:dyDescent="0.6">
      <c r="A5050" s="24">
        <v>36864</v>
      </c>
      <c r="B5050" s="23">
        <v>1.0685169999999999</v>
      </c>
      <c r="C5050" s="32">
        <f t="shared" si="78"/>
        <v>-2.1977468769679098E-2</v>
      </c>
    </row>
    <row r="5051" spans="1:3" x14ac:dyDescent="0.6">
      <c r="A5051" s="24">
        <v>36865</v>
      </c>
      <c r="B5051" s="23">
        <v>1.0885260000000001</v>
      </c>
      <c r="C5051" s="32">
        <f t="shared" si="78"/>
        <v>1.8725953821979502E-2</v>
      </c>
    </row>
    <row r="5052" spans="1:3" x14ac:dyDescent="0.6">
      <c r="A5052" s="24">
        <v>36866</v>
      </c>
      <c r="B5052" s="23">
        <v>0.91644300000000001</v>
      </c>
      <c r="C5052" s="32">
        <f t="shared" si="78"/>
        <v>-0.15808809344011998</v>
      </c>
    </row>
    <row r="5053" spans="1:3" x14ac:dyDescent="0.6">
      <c r="A5053" s="24">
        <v>36867</v>
      </c>
      <c r="B5053" s="23">
        <v>0.91644300000000001</v>
      </c>
      <c r="C5053" s="32">
        <f t="shared" si="78"/>
        <v>0</v>
      </c>
    </row>
    <row r="5054" spans="1:3" x14ac:dyDescent="0.6">
      <c r="A5054" s="24">
        <v>36868</v>
      </c>
      <c r="B5054" s="23">
        <v>0.96446600000000005</v>
      </c>
      <c r="C5054" s="32">
        <f t="shared" si="78"/>
        <v>5.2401513241958408E-2</v>
      </c>
    </row>
    <row r="5055" spans="1:3" x14ac:dyDescent="0.6">
      <c r="A5055" s="24">
        <v>36871</v>
      </c>
      <c r="B5055" s="23">
        <v>0.97246999999999995</v>
      </c>
      <c r="C5055" s="32">
        <f t="shared" si="78"/>
        <v>8.2988928588461075E-3</v>
      </c>
    </row>
    <row r="5056" spans="1:3" x14ac:dyDescent="0.6">
      <c r="A5056" s="24">
        <v>36872</v>
      </c>
      <c r="B5056" s="23">
        <v>0.98447600000000002</v>
      </c>
      <c r="C5056" s="32">
        <f t="shared" si="78"/>
        <v>1.2345882135181618E-2</v>
      </c>
    </row>
    <row r="5057" spans="1:3" x14ac:dyDescent="0.6">
      <c r="A5057" s="24">
        <v>36873</v>
      </c>
      <c r="B5057" s="23">
        <v>0.96046399999999998</v>
      </c>
      <c r="C5057" s="32">
        <f t="shared" si="78"/>
        <v>-2.4390640300017474E-2</v>
      </c>
    </row>
    <row r="5058" spans="1:3" x14ac:dyDescent="0.6">
      <c r="A5058" s="24">
        <v>36874</v>
      </c>
      <c r="B5058" s="23">
        <v>0.92444700000000002</v>
      </c>
      <c r="C5058" s="32">
        <f t="shared" si="78"/>
        <v>-3.7499583534624903E-2</v>
      </c>
    </row>
    <row r="5059" spans="1:3" x14ac:dyDescent="0.6">
      <c r="A5059" s="24">
        <v>36875</v>
      </c>
      <c r="B5059" s="23">
        <v>0.90043499999999999</v>
      </c>
      <c r="C5059" s="32">
        <f t="shared" si="78"/>
        <v>-2.5974447426407421E-2</v>
      </c>
    </row>
    <row r="5060" spans="1:3" x14ac:dyDescent="0.6">
      <c r="A5060" s="24">
        <v>36878</v>
      </c>
      <c r="B5060" s="23">
        <v>0.91244099999999995</v>
      </c>
      <c r="C5060" s="32">
        <f t="shared" ref="C5060:C5123" si="79">B5060/B5059-1</f>
        <v>1.3333555448199919E-2</v>
      </c>
    </row>
    <row r="5061" spans="1:3" x14ac:dyDescent="0.6">
      <c r="A5061" s="24">
        <v>36879</v>
      </c>
      <c r="B5061" s="23">
        <v>0.89643300000000004</v>
      </c>
      <c r="C5061" s="32">
        <f t="shared" si="79"/>
        <v>-1.7544148059984055E-2</v>
      </c>
    </row>
    <row r="5062" spans="1:3" x14ac:dyDescent="0.6">
      <c r="A5062" s="24">
        <v>36880</v>
      </c>
      <c r="B5062" s="23">
        <v>0.92044499999999996</v>
      </c>
      <c r="C5062" s="32">
        <f t="shared" si="79"/>
        <v>2.6786162490671339E-2</v>
      </c>
    </row>
    <row r="5063" spans="1:3" x14ac:dyDescent="0.6">
      <c r="A5063" s="24">
        <v>36881</v>
      </c>
      <c r="B5063" s="23">
        <v>0.90043499999999999</v>
      </c>
      <c r="C5063" s="32">
        <f t="shared" si="79"/>
        <v>-2.1739484705767254E-2</v>
      </c>
    </row>
    <row r="5064" spans="1:3" x14ac:dyDescent="0.6">
      <c r="A5064" s="24">
        <v>36882</v>
      </c>
      <c r="B5064" s="23">
        <v>0.96046399999999998</v>
      </c>
      <c r="C5064" s="32">
        <f t="shared" si="79"/>
        <v>6.6666666666666652E-2</v>
      </c>
    </row>
    <row r="5065" spans="1:3" x14ac:dyDescent="0.6">
      <c r="A5065" s="24">
        <v>36886</v>
      </c>
      <c r="B5065" s="23">
        <v>0.94045500000000004</v>
      </c>
      <c r="C5065" s="32">
        <f t="shared" si="79"/>
        <v>-2.0832639224374838E-2</v>
      </c>
    </row>
    <row r="5066" spans="1:3" x14ac:dyDescent="0.6">
      <c r="A5066" s="24">
        <v>36887</v>
      </c>
      <c r="B5066" s="23">
        <v>0.94845900000000005</v>
      </c>
      <c r="C5066" s="32">
        <f t="shared" si="79"/>
        <v>8.5107740402252663E-3</v>
      </c>
    </row>
    <row r="5067" spans="1:3" x14ac:dyDescent="0.6">
      <c r="A5067" s="24">
        <v>36888</v>
      </c>
      <c r="B5067" s="23">
        <v>0.94845900000000005</v>
      </c>
      <c r="C5067" s="32">
        <f t="shared" si="79"/>
        <v>0</v>
      </c>
    </row>
    <row r="5068" spans="1:3" x14ac:dyDescent="0.6">
      <c r="A5068" s="24">
        <v>36889</v>
      </c>
      <c r="B5068" s="23">
        <v>0.95245999999999997</v>
      </c>
      <c r="C5068" s="32">
        <f t="shared" si="79"/>
        <v>4.2184216713636591E-3</v>
      </c>
    </row>
    <row r="5069" spans="1:3" x14ac:dyDescent="0.6">
      <c r="A5069" s="24">
        <v>36893</v>
      </c>
      <c r="B5069" s="23">
        <v>0.95245999999999997</v>
      </c>
      <c r="C5069" s="32">
        <f t="shared" si="79"/>
        <v>0</v>
      </c>
    </row>
    <row r="5070" spans="1:3" x14ac:dyDescent="0.6">
      <c r="A5070" s="24">
        <v>36894</v>
      </c>
      <c r="B5070" s="23">
        <v>1.0485070000000001</v>
      </c>
      <c r="C5070" s="32">
        <f t="shared" si="79"/>
        <v>0.10084098019864363</v>
      </c>
    </row>
    <row r="5071" spans="1:3" x14ac:dyDescent="0.6">
      <c r="A5071" s="24">
        <v>36895</v>
      </c>
      <c r="B5071" s="23">
        <v>1.0925279999999999</v>
      </c>
      <c r="C5071" s="32">
        <f t="shared" si="79"/>
        <v>4.1984459808088959E-2</v>
      </c>
    </row>
    <row r="5072" spans="1:3" x14ac:dyDescent="0.6">
      <c r="A5072" s="24">
        <v>36896</v>
      </c>
      <c r="B5072" s="23">
        <v>1.0485070000000001</v>
      </c>
      <c r="C5072" s="32">
        <f t="shared" si="79"/>
        <v>-4.0292788834702553E-2</v>
      </c>
    </row>
    <row r="5073" spans="1:3" x14ac:dyDescent="0.6">
      <c r="A5073" s="24">
        <v>36899</v>
      </c>
      <c r="B5073" s="23">
        <v>1.060513</v>
      </c>
      <c r="C5073" s="32">
        <f t="shared" si="79"/>
        <v>1.1450567330499428E-2</v>
      </c>
    </row>
    <row r="5074" spans="1:3" x14ac:dyDescent="0.6">
      <c r="A5074" s="24">
        <v>36900</v>
      </c>
      <c r="B5074" s="23">
        <v>1.1005320000000001</v>
      </c>
      <c r="C5074" s="32">
        <f t="shared" si="79"/>
        <v>3.7735511021552703E-2</v>
      </c>
    </row>
    <row r="5075" spans="1:3" x14ac:dyDescent="0.6">
      <c r="A5075" s="24">
        <v>36901</v>
      </c>
      <c r="B5075" s="23">
        <v>1.060513</v>
      </c>
      <c r="C5075" s="32">
        <f t="shared" si="79"/>
        <v>-3.6363322465861936E-2</v>
      </c>
    </row>
    <row r="5076" spans="1:3" x14ac:dyDescent="0.6">
      <c r="A5076" s="24">
        <v>36902</v>
      </c>
      <c r="B5076" s="23">
        <v>1.1525570000000001</v>
      </c>
      <c r="C5076" s="32">
        <f t="shared" si="79"/>
        <v>8.6791958231535071E-2</v>
      </c>
    </row>
    <row r="5077" spans="1:3" x14ac:dyDescent="0.6">
      <c r="A5077" s="24">
        <v>36903</v>
      </c>
      <c r="B5077" s="23">
        <v>1.1005320000000001</v>
      </c>
      <c r="C5077" s="32">
        <f t="shared" si="79"/>
        <v>-4.5138765371257161E-2</v>
      </c>
    </row>
    <row r="5078" spans="1:3" x14ac:dyDescent="0.6">
      <c r="A5078" s="24">
        <v>36907</v>
      </c>
      <c r="B5078" s="23">
        <v>1.09653</v>
      </c>
      <c r="C5078" s="32">
        <f t="shared" si="79"/>
        <v>-3.6364231117315127E-3</v>
      </c>
    </row>
    <row r="5079" spans="1:3" x14ac:dyDescent="0.6">
      <c r="A5079" s="24">
        <v>36908</v>
      </c>
      <c r="B5079" s="23">
        <v>1.0765199999999999</v>
      </c>
      <c r="C5079" s="32">
        <f t="shared" si="79"/>
        <v>-1.8248474733933429E-2</v>
      </c>
    </row>
    <row r="5080" spans="1:3" x14ac:dyDescent="0.6">
      <c r="A5080" s="24">
        <v>36909</v>
      </c>
      <c r="B5080" s="23">
        <v>1.1965790000000001</v>
      </c>
      <c r="C5080" s="32">
        <f t="shared" si="79"/>
        <v>0.11152509939434485</v>
      </c>
    </row>
    <row r="5081" spans="1:3" x14ac:dyDescent="0.6">
      <c r="A5081" s="24">
        <v>36910</v>
      </c>
      <c r="B5081" s="23">
        <v>1.248604</v>
      </c>
      <c r="C5081" s="32">
        <f t="shared" si="79"/>
        <v>4.3478115527683547E-2</v>
      </c>
    </row>
    <row r="5082" spans="1:3" x14ac:dyDescent="0.6">
      <c r="A5082" s="24">
        <v>36913</v>
      </c>
      <c r="B5082" s="23">
        <v>1.232596</v>
      </c>
      <c r="C5082" s="32">
        <f t="shared" si="79"/>
        <v>-1.2820718178061297E-2</v>
      </c>
    </row>
    <row r="5083" spans="1:3" x14ac:dyDescent="0.6">
      <c r="A5083" s="24">
        <v>36914</v>
      </c>
      <c r="B5083" s="23">
        <v>1.312635</v>
      </c>
      <c r="C5083" s="32">
        <f t="shared" si="79"/>
        <v>6.493530727018415E-2</v>
      </c>
    </row>
    <row r="5084" spans="1:3" x14ac:dyDescent="0.6">
      <c r="A5084" s="24">
        <v>36915</v>
      </c>
      <c r="B5084" s="23">
        <v>1.312635</v>
      </c>
      <c r="C5084" s="32">
        <f t="shared" si="79"/>
        <v>0</v>
      </c>
    </row>
    <row r="5085" spans="1:3" x14ac:dyDescent="0.6">
      <c r="A5085" s="24">
        <v>36916</v>
      </c>
      <c r="B5085" s="23">
        <v>1.2766169999999999</v>
      </c>
      <c r="C5085" s="32">
        <f t="shared" si="79"/>
        <v>-2.7439463369482109E-2</v>
      </c>
    </row>
    <row r="5086" spans="1:3" x14ac:dyDescent="0.6">
      <c r="A5086" s="24">
        <v>36917</v>
      </c>
      <c r="B5086" s="23">
        <v>1.2526060000000001</v>
      </c>
      <c r="C5086" s="32">
        <f t="shared" si="79"/>
        <v>-1.8808303508413116E-2</v>
      </c>
    </row>
    <row r="5087" spans="1:3" x14ac:dyDescent="0.6">
      <c r="A5087" s="24">
        <v>36920</v>
      </c>
      <c r="B5087" s="23">
        <v>1.3886719999999999</v>
      </c>
      <c r="C5087" s="32">
        <f t="shared" si="79"/>
        <v>0.10862633581509251</v>
      </c>
    </row>
    <row r="5088" spans="1:3" x14ac:dyDescent="0.6">
      <c r="A5088" s="24">
        <v>36921</v>
      </c>
      <c r="B5088" s="23">
        <v>1.392674</v>
      </c>
      <c r="C5088" s="32">
        <f t="shared" si="79"/>
        <v>2.8818900359479649E-3</v>
      </c>
    </row>
    <row r="5089" spans="1:3" x14ac:dyDescent="0.6">
      <c r="A5089" s="24">
        <v>36922</v>
      </c>
      <c r="B5089" s="23">
        <v>1.3846700000000001</v>
      </c>
      <c r="C5089" s="32">
        <f t="shared" si="79"/>
        <v>-5.7472172238440811E-3</v>
      </c>
    </row>
    <row r="5090" spans="1:3" x14ac:dyDescent="0.6">
      <c r="A5090" s="24">
        <v>36923</v>
      </c>
      <c r="B5090" s="23">
        <v>1.352654</v>
      </c>
      <c r="C5090" s="32">
        <f t="shared" si="79"/>
        <v>-2.312175464190025E-2</v>
      </c>
    </row>
    <row r="5091" spans="1:3" x14ac:dyDescent="0.6">
      <c r="A5091" s="24">
        <v>36924</v>
      </c>
      <c r="B5091" s="23">
        <v>1.3206389999999999</v>
      </c>
      <c r="C5091" s="32">
        <f t="shared" si="79"/>
        <v>-2.3668284720261168E-2</v>
      </c>
    </row>
    <row r="5092" spans="1:3" x14ac:dyDescent="0.6">
      <c r="A5092" s="24">
        <v>36927</v>
      </c>
      <c r="B5092" s="23">
        <v>1.2926249999999999</v>
      </c>
      <c r="C5092" s="32">
        <f t="shared" si="79"/>
        <v>-2.1212458514401011E-2</v>
      </c>
    </row>
    <row r="5093" spans="1:3" x14ac:dyDescent="0.6">
      <c r="A5093" s="24">
        <v>36928</v>
      </c>
      <c r="B5093" s="23">
        <v>1.352654</v>
      </c>
      <c r="C5093" s="32">
        <f t="shared" si="79"/>
        <v>4.6439609322115993E-2</v>
      </c>
    </row>
    <row r="5094" spans="1:3" x14ac:dyDescent="0.6">
      <c r="A5094" s="24">
        <v>36929</v>
      </c>
      <c r="B5094" s="23">
        <v>1.3286420000000001</v>
      </c>
      <c r="C5094" s="32">
        <f t="shared" si="79"/>
        <v>-1.7751768005713209E-2</v>
      </c>
    </row>
    <row r="5095" spans="1:3" x14ac:dyDescent="0.6">
      <c r="A5095" s="24">
        <v>36930</v>
      </c>
      <c r="B5095" s="23">
        <v>1.3286420000000001</v>
      </c>
      <c r="C5095" s="32">
        <f t="shared" si="79"/>
        <v>0</v>
      </c>
    </row>
    <row r="5096" spans="1:3" x14ac:dyDescent="0.6">
      <c r="A5096" s="24">
        <v>36931</v>
      </c>
      <c r="B5096" s="23">
        <v>1.2245919999999999</v>
      </c>
      <c r="C5096" s="32">
        <f t="shared" si="79"/>
        <v>-7.8313044446886471E-2</v>
      </c>
    </row>
    <row r="5097" spans="1:3" x14ac:dyDescent="0.6">
      <c r="A5097" s="24">
        <v>36934</v>
      </c>
      <c r="B5097" s="23">
        <v>1.26061</v>
      </c>
      <c r="C5097" s="32">
        <f t="shared" si="79"/>
        <v>2.9412245057945929E-2</v>
      </c>
    </row>
    <row r="5098" spans="1:3" x14ac:dyDescent="0.6">
      <c r="A5098" s="24">
        <v>36935</v>
      </c>
      <c r="B5098" s="23">
        <v>1.2245919999999999</v>
      </c>
      <c r="C5098" s="32">
        <f t="shared" si="79"/>
        <v>-2.8571881866715443E-2</v>
      </c>
    </row>
    <row r="5099" spans="1:3" x14ac:dyDescent="0.6">
      <c r="A5099" s="24">
        <v>36936</v>
      </c>
      <c r="B5099" s="23">
        <v>1.248604</v>
      </c>
      <c r="C5099" s="32">
        <f t="shared" si="79"/>
        <v>1.9608163371964027E-2</v>
      </c>
    </row>
    <row r="5100" spans="1:3" x14ac:dyDescent="0.6">
      <c r="A5100" s="24">
        <v>36937</v>
      </c>
      <c r="B5100" s="23">
        <v>1.284621</v>
      </c>
      <c r="C5100" s="32">
        <f t="shared" si="79"/>
        <v>2.8845815006198983E-2</v>
      </c>
    </row>
    <row r="5101" spans="1:3" x14ac:dyDescent="0.6">
      <c r="A5101" s="24">
        <v>36938</v>
      </c>
      <c r="B5101" s="23">
        <v>1.216588</v>
      </c>
      <c r="C5101" s="32">
        <f t="shared" si="79"/>
        <v>-5.2959588859282203E-2</v>
      </c>
    </row>
    <row r="5102" spans="1:3" x14ac:dyDescent="0.6">
      <c r="A5102" s="24">
        <v>36942</v>
      </c>
      <c r="B5102" s="23">
        <v>1.1725669999999999</v>
      </c>
      <c r="C5102" s="32">
        <f t="shared" si="79"/>
        <v>-3.6183983402762521E-2</v>
      </c>
    </row>
    <row r="5103" spans="1:3" x14ac:dyDescent="0.6">
      <c r="A5103" s="24">
        <v>36943</v>
      </c>
      <c r="B5103" s="23">
        <v>1.208585</v>
      </c>
      <c r="C5103" s="32">
        <f t="shared" si="79"/>
        <v>3.071722127605514E-2</v>
      </c>
    </row>
    <row r="5104" spans="1:3" x14ac:dyDescent="0.6">
      <c r="A5104" s="24">
        <v>36944</v>
      </c>
      <c r="B5104" s="23">
        <v>1.204583</v>
      </c>
      <c r="C5104" s="32">
        <f t="shared" si="79"/>
        <v>-3.3113103339856842E-3</v>
      </c>
    </row>
    <row r="5105" spans="1:3" x14ac:dyDescent="0.6">
      <c r="A5105" s="24">
        <v>36945</v>
      </c>
      <c r="B5105" s="23">
        <v>1.204583</v>
      </c>
      <c r="C5105" s="32">
        <f t="shared" si="79"/>
        <v>0</v>
      </c>
    </row>
    <row r="5106" spans="1:3" x14ac:dyDescent="0.6">
      <c r="A5106" s="24">
        <v>36948</v>
      </c>
      <c r="B5106" s="23">
        <v>1.248604</v>
      </c>
      <c r="C5106" s="32">
        <f t="shared" si="79"/>
        <v>3.6544596760870851E-2</v>
      </c>
    </row>
    <row r="5107" spans="1:3" x14ac:dyDescent="0.6">
      <c r="A5107" s="24">
        <v>36949</v>
      </c>
      <c r="B5107" s="23">
        <v>1.2405999999999999</v>
      </c>
      <c r="C5107" s="32">
        <f t="shared" si="79"/>
        <v>-6.4103590890307593E-3</v>
      </c>
    </row>
    <row r="5108" spans="1:3" x14ac:dyDescent="0.6">
      <c r="A5108" s="24">
        <v>36950</v>
      </c>
      <c r="B5108" s="23">
        <v>1.1685650000000001</v>
      </c>
      <c r="C5108" s="32">
        <f t="shared" si="79"/>
        <v>-5.8064646138964893E-2</v>
      </c>
    </row>
    <row r="5109" spans="1:3" x14ac:dyDescent="0.6">
      <c r="A5109" s="24">
        <v>36951</v>
      </c>
      <c r="B5109" s="23">
        <v>1.2005809999999999</v>
      </c>
      <c r="C5109" s="32">
        <f t="shared" si="79"/>
        <v>2.7397705733099853E-2</v>
      </c>
    </row>
    <row r="5110" spans="1:3" x14ac:dyDescent="0.6">
      <c r="A5110" s="24">
        <v>36952</v>
      </c>
      <c r="B5110" s="23">
        <v>1.232596</v>
      </c>
      <c r="C5110" s="32">
        <f t="shared" si="79"/>
        <v>2.6666255754505652E-2</v>
      </c>
    </row>
    <row r="5111" spans="1:3" x14ac:dyDescent="0.6">
      <c r="A5111" s="24">
        <v>36955</v>
      </c>
      <c r="B5111" s="23">
        <v>1.3046310000000001</v>
      </c>
      <c r="C5111" s="32">
        <f t="shared" si="79"/>
        <v>5.8441695413582462E-2</v>
      </c>
    </row>
    <row r="5112" spans="1:3" x14ac:dyDescent="0.6">
      <c r="A5112" s="24">
        <v>36956</v>
      </c>
      <c r="B5112" s="23">
        <v>1.3766659999999999</v>
      </c>
      <c r="C5112" s="32">
        <f t="shared" si="79"/>
        <v>5.521484619022532E-2</v>
      </c>
    </row>
    <row r="5113" spans="1:3" x14ac:dyDescent="0.6">
      <c r="A5113" s="24">
        <v>36957</v>
      </c>
      <c r="B5113" s="23">
        <v>1.3606579999999999</v>
      </c>
      <c r="C5113" s="32">
        <f t="shared" si="79"/>
        <v>-1.1628092798107947E-2</v>
      </c>
    </row>
    <row r="5114" spans="1:3" x14ac:dyDescent="0.6">
      <c r="A5114" s="24">
        <v>36958</v>
      </c>
      <c r="B5114" s="23">
        <v>1.3326450000000001</v>
      </c>
      <c r="C5114" s="32">
        <f t="shared" si="79"/>
        <v>-2.0587833239506081E-2</v>
      </c>
    </row>
    <row r="5115" spans="1:3" x14ac:dyDescent="0.6">
      <c r="A5115" s="24">
        <v>36959</v>
      </c>
      <c r="B5115" s="23">
        <v>1.296627</v>
      </c>
      <c r="C5115" s="32">
        <f t="shared" si="79"/>
        <v>-2.702745292257136E-2</v>
      </c>
    </row>
    <row r="5116" spans="1:3" x14ac:dyDescent="0.6">
      <c r="A5116" s="24">
        <v>36962</v>
      </c>
      <c r="B5116" s="23">
        <v>1.192577</v>
      </c>
      <c r="C5116" s="32">
        <f t="shared" si="79"/>
        <v>-8.0246670785044549E-2</v>
      </c>
    </row>
    <row r="5117" spans="1:3" x14ac:dyDescent="0.6">
      <c r="A5117" s="24">
        <v>36963</v>
      </c>
      <c r="B5117" s="23">
        <v>1.2526060000000001</v>
      </c>
      <c r="C5117" s="32">
        <f t="shared" si="79"/>
        <v>5.0335533890055073E-2</v>
      </c>
    </row>
    <row r="5118" spans="1:3" x14ac:dyDescent="0.6">
      <c r="A5118" s="24">
        <v>36964</v>
      </c>
      <c r="B5118" s="23">
        <v>1.3086329999999999</v>
      </c>
      <c r="C5118" s="32">
        <f t="shared" si="79"/>
        <v>4.4728350335220934E-2</v>
      </c>
    </row>
    <row r="5119" spans="1:3" x14ac:dyDescent="0.6">
      <c r="A5119" s="24">
        <v>36965</v>
      </c>
      <c r="B5119" s="23">
        <v>1.26061</v>
      </c>
      <c r="C5119" s="32">
        <f t="shared" si="79"/>
        <v>-3.6697072441242096E-2</v>
      </c>
    </row>
    <row r="5120" spans="1:3" x14ac:dyDescent="0.6">
      <c r="A5120" s="24">
        <v>36966</v>
      </c>
      <c r="B5120" s="23">
        <v>1.2566079999999999</v>
      </c>
      <c r="C5120" s="32">
        <f t="shared" si="79"/>
        <v>-3.1746535407461973E-3</v>
      </c>
    </row>
    <row r="5121" spans="1:3" x14ac:dyDescent="0.6">
      <c r="A5121" s="24">
        <v>36969</v>
      </c>
      <c r="B5121" s="23">
        <v>1.3166370000000001</v>
      </c>
      <c r="C5121" s="32">
        <f t="shared" si="79"/>
        <v>4.7770665155720815E-2</v>
      </c>
    </row>
    <row r="5122" spans="1:3" x14ac:dyDescent="0.6">
      <c r="A5122" s="24">
        <v>36970</v>
      </c>
      <c r="B5122" s="23">
        <v>1.26061</v>
      </c>
      <c r="C5122" s="32">
        <f t="shared" si="79"/>
        <v>-4.2553110690342177E-2</v>
      </c>
    </row>
    <row r="5123" spans="1:3" x14ac:dyDescent="0.6">
      <c r="A5123" s="24">
        <v>36971</v>
      </c>
      <c r="B5123" s="23">
        <v>1.2886230000000001</v>
      </c>
      <c r="C5123" s="32">
        <f t="shared" si="79"/>
        <v>2.2221781518471317E-2</v>
      </c>
    </row>
    <row r="5124" spans="1:3" x14ac:dyDescent="0.6">
      <c r="A5124" s="24">
        <v>36972</v>
      </c>
      <c r="B5124" s="23">
        <v>1.3846700000000001</v>
      </c>
      <c r="C5124" s="32">
        <f t="shared" ref="C5124:C5187" si="80">B5124/B5123-1</f>
        <v>7.4534600111902494E-2</v>
      </c>
    </row>
    <row r="5125" spans="1:3" x14ac:dyDescent="0.6">
      <c r="A5125" s="24">
        <v>36973</v>
      </c>
      <c r="B5125" s="23">
        <v>1.472712</v>
      </c>
      <c r="C5125" s="32">
        <f t="shared" si="80"/>
        <v>6.358338087775417E-2</v>
      </c>
    </row>
    <row r="5126" spans="1:3" x14ac:dyDescent="0.6">
      <c r="A5126" s="24">
        <v>36976</v>
      </c>
      <c r="B5126" s="23">
        <v>1.3945939999999999</v>
      </c>
      <c r="C5126" s="32">
        <f t="shared" si="80"/>
        <v>-5.3043636501909464E-2</v>
      </c>
    </row>
    <row r="5127" spans="1:3" x14ac:dyDescent="0.6">
      <c r="A5127" s="24">
        <v>36977</v>
      </c>
      <c r="B5127" s="23">
        <v>1.464388</v>
      </c>
      <c r="C5127" s="32">
        <f t="shared" si="80"/>
        <v>5.0046106608805152E-2</v>
      </c>
    </row>
    <row r="5128" spans="1:3" x14ac:dyDescent="0.6">
      <c r="A5128" s="24">
        <v>36978</v>
      </c>
      <c r="B5128" s="23">
        <v>1.419567</v>
      </c>
      <c r="C5128" s="32">
        <f t="shared" si="80"/>
        <v>-3.0607325380978212E-2</v>
      </c>
    </row>
    <row r="5129" spans="1:3" x14ac:dyDescent="0.6">
      <c r="A5129" s="24">
        <v>36979</v>
      </c>
      <c r="B5129" s="23">
        <v>1.442618</v>
      </c>
      <c r="C5129" s="32">
        <f t="shared" si="80"/>
        <v>1.623805005329082E-2</v>
      </c>
    </row>
    <row r="5130" spans="1:3" x14ac:dyDescent="0.6">
      <c r="A5130" s="24">
        <v>36980</v>
      </c>
      <c r="B5130" s="23">
        <v>1.4131629999999999</v>
      </c>
      <c r="C5130" s="32">
        <f t="shared" si="80"/>
        <v>-2.0417740524518613E-2</v>
      </c>
    </row>
    <row r="5131" spans="1:3" x14ac:dyDescent="0.6">
      <c r="A5131" s="24">
        <v>36983</v>
      </c>
      <c r="B5131" s="23">
        <v>1.3824289999999999</v>
      </c>
      <c r="C5131" s="32">
        <f t="shared" si="80"/>
        <v>-2.1748375806612597E-2</v>
      </c>
    </row>
    <row r="5132" spans="1:3" x14ac:dyDescent="0.6">
      <c r="A5132" s="24">
        <v>36984</v>
      </c>
      <c r="B5132" s="23">
        <v>1.295987</v>
      </c>
      <c r="C5132" s="32">
        <f t="shared" si="80"/>
        <v>-6.2529070209030535E-2</v>
      </c>
    </row>
    <row r="5133" spans="1:3" x14ac:dyDescent="0.6">
      <c r="A5133" s="24">
        <v>36985</v>
      </c>
      <c r="B5133" s="23">
        <v>1.248604</v>
      </c>
      <c r="C5133" s="32">
        <f t="shared" si="80"/>
        <v>-3.6561323531794643E-2</v>
      </c>
    </row>
    <row r="5134" spans="1:3" x14ac:dyDescent="0.6">
      <c r="A5134" s="24">
        <v>36986</v>
      </c>
      <c r="B5134" s="23">
        <v>1.3363259999999999</v>
      </c>
      <c r="C5134" s="32">
        <f t="shared" si="80"/>
        <v>7.0256061970007888E-2</v>
      </c>
    </row>
    <row r="5135" spans="1:3" x14ac:dyDescent="0.6">
      <c r="A5135" s="24">
        <v>36987</v>
      </c>
      <c r="B5135" s="23">
        <v>1.318397</v>
      </c>
      <c r="C5135" s="32">
        <f t="shared" si="80"/>
        <v>-1.3416636359690592E-2</v>
      </c>
    </row>
    <row r="5136" spans="1:3" x14ac:dyDescent="0.6">
      <c r="A5136" s="24">
        <v>36990</v>
      </c>
      <c r="B5136" s="23">
        <v>1.315196</v>
      </c>
      <c r="C5136" s="32">
        <f t="shared" si="80"/>
        <v>-2.4279484859264233E-3</v>
      </c>
    </row>
    <row r="5137" spans="1:3" x14ac:dyDescent="0.6">
      <c r="A5137" s="24">
        <v>36991</v>
      </c>
      <c r="B5137" s="23">
        <v>1.411243</v>
      </c>
      <c r="C5137" s="32">
        <f t="shared" si="80"/>
        <v>7.3028658846286065E-2</v>
      </c>
    </row>
    <row r="5138" spans="1:3" x14ac:dyDescent="0.6">
      <c r="A5138" s="24">
        <v>36992</v>
      </c>
      <c r="B5138" s="23">
        <v>1.395875</v>
      </c>
      <c r="C5138" s="32">
        <f t="shared" si="80"/>
        <v>-1.088969086117697E-2</v>
      </c>
    </row>
    <row r="5139" spans="1:3" x14ac:dyDescent="0.6">
      <c r="A5139" s="24">
        <v>36993</v>
      </c>
      <c r="B5139" s="23">
        <v>1.4355739999999999</v>
      </c>
      <c r="C5139" s="32">
        <f t="shared" si="80"/>
        <v>2.844022566490545E-2</v>
      </c>
    </row>
    <row r="5140" spans="1:3" x14ac:dyDescent="0.6">
      <c r="A5140" s="24">
        <v>36997</v>
      </c>
      <c r="B5140" s="23">
        <v>1.372824</v>
      </c>
      <c r="C5140" s="32">
        <f t="shared" si="80"/>
        <v>-4.3710738701035146E-2</v>
      </c>
    </row>
    <row r="5141" spans="1:3" x14ac:dyDescent="0.6">
      <c r="A5141" s="24">
        <v>36998</v>
      </c>
      <c r="B5141" s="23">
        <v>1.3062309999999999</v>
      </c>
      <c r="C5141" s="32">
        <f t="shared" si="80"/>
        <v>-4.8508038903748885E-2</v>
      </c>
    </row>
    <row r="5142" spans="1:3" x14ac:dyDescent="0.6">
      <c r="A5142" s="24">
        <v>36999</v>
      </c>
      <c r="B5142" s="23">
        <v>1.459266</v>
      </c>
      <c r="C5142" s="32">
        <f t="shared" si="80"/>
        <v>0.11715768497302537</v>
      </c>
    </row>
    <row r="5143" spans="1:3" x14ac:dyDescent="0.6">
      <c r="A5143" s="24">
        <v>37000</v>
      </c>
      <c r="B5143" s="23">
        <v>1.646876</v>
      </c>
      <c r="C5143" s="32">
        <f t="shared" si="80"/>
        <v>0.12856463454915001</v>
      </c>
    </row>
    <row r="5144" spans="1:3" x14ac:dyDescent="0.6">
      <c r="A5144" s="24">
        <v>37001</v>
      </c>
      <c r="B5144" s="23">
        <v>1.603335</v>
      </c>
      <c r="C5144" s="32">
        <f t="shared" si="80"/>
        <v>-2.6438541820999251E-2</v>
      </c>
    </row>
    <row r="5145" spans="1:3" x14ac:dyDescent="0.6">
      <c r="A5145" s="24">
        <v>37004</v>
      </c>
      <c r="B5145" s="23">
        <v>1.552751</v>
      </c>
      <c r="C5145" s="32">
        <f t="shared" si="80"/>
        <v>-3.1549239553805064E-2</v>
      </c>
    </row>
    <row r="5146" spans="1:3" x14ac:dyDescent="0.6">
      <c r="A5146" s="24">
        <v>37005</v>
      </c>
      <c r="B5146" s="23">
        <v>1.538664</v>
      </c>
      <c r="C5146" s="32">
        <f t="shared" si="80"/>
        <v>-9.0722852537206133E-3</v>
      </c>
    </row>
    <row r="5147" spans="1:3" x14ac:dyDescent="0.6">
      <c r="A5147" s="24">
        <v>37006</v>
      </c>
      <c r="B5147" s="23">
        <v>1.5828450000000001</v>
      </c>
      <c r="C5147" s="32">
        <f t="shared" si="80"/>
        <v>2.8713871254542944E-2</v>
      </c>
    </row>
    <row r="5148" spans="1:3" x14ac:dyDescent="0.6">
      <c r="A5148" s="24">
        <v>37007</v>
      </c>
      <c r="B5148" s="23">
        <v>1.580924</v>
      </c>
      <c r="C5148" s="32">
        <f t="shared" si="80"/>
        <v>-1.213637469240525E-3</v>
      </c>
    </row>
    <row r="5149" spans="1:3" x14ac:dyDescent="0.6">
      <c r="A5149" s="24">
        <v>37008</v>
      </c>
      <c r="B5149" s="23">
        <v>1.677611</v>
      </c>
      <c r="C5149" s="32">
        <f t="shared" si="80"/>
        <v>6.1158537665314761E-2</v>
      </c>
    </row>
    <row r="5150" spans="1:3" x14ac:dyDescent="0.6">
      <c r="A5150" s="24">
        <v>37011</v>
      </c>
      <c r="B5150" s="23">
        <v>1.6321490000000001</v>
      </c>
      <c r="C5150" s="32">
        <f t="shared" si="80"/>
        <v>-2.7099250064526181E-2</v>
      </c>
    </row>
    <row r="5151" spans="1:3" x14ac:dyDescent="0.6">
      <c r="A5151" s="24">
        <v>37012</v>
      </c>
      <c r="B5151" s="23">
        <v>1.660323</v>
      </c>
      <c r="C5151" s="32">
        <f t="shared" si="80"/>
        <v>1.7261904397208871E-2</v>
      </c>
    </row>
    <row r="5152" spans="1:3" x14ac:dyDescent="0.6">
      <c r="A5152" s="24">
        <v>37013</v>
      </c>
      <c r="B5152" s="23">
        <v>1.702583</v>
      </c>
      <c r="C5152" s="32">
        <f t="shared" si="80"/>
        <v>2.5452878747087126E-2</v>
      </c>
    </row>
    <row r="5153" spans="1:3" x14ac:dyDescent="0.6">
      <c r="A5153" s="24">
        <v>37014</v>
      </c>
      <c r="B5153" s="23">
        <v>1.5982130000000001</v>
      </c>
      <c r="C5153" s="32">
        <f t="shared" si="80"/>
        <v>-6.1300976222598114E-2</v>
      </c>
    </row>
    <row r="5154" spans="1:3" x14ac:dyDescent="0.6">
      <c r="A5154" s="24">
        <v>37015</v>
      </c>
      <c r="B5154" s="23">
        <v>1.6487970000000001</v>
      </c>
      <c r="C5154" s="32">
        <f t="shared" si="80"/>
        <v>3.1650349484080076E-2</v>
      </c>
    </row>
    <row r="5155" spans="1:3" x14ac:dyDescent="0.6">
      <c r="A5155" s="24">
        <v>37018</v>
      </c>
      <c r="B5155" s="23">
        <v>1.5982130000000001</v>
      </c>
      <c r="C5155" s="32">
        <f t="shared" si="80"/>
        <v>-3.0679337723200639E-2</v>
      </c>
    </row>
    <row r="5156" spans="1:3" x14ac:dyDescent="0.6">
      <c r="A5156" s="24">
        <v>37019</v>
      </c>
      <c r="B5156" s="23">
        <v>1.57324</v>
      </c>
      <c r="C5156" s="32">
        <f t="shared" si="80"/>
        <v>-1.5625576816106546E-2</v>
      </c>
    </row>
    <row r="5157" spans="1:3" x14ac:dyDescent="0.6">
      <c r="A5157" s="24">
        <v>37020</v>
      </c>
      <c r="B5157" s="23">
        <v>1.535463</v>
      </c>
      <c r="C5157" s="32">
        <f t="shared" si="80"/>
        <v>-2.4012229539040475E-2</v>
      </c>
    </row>
    <row r="5158" spans="1:3" x14ac:dyDescent="0.6">
      <c r="A5158" s="24">
        <v>37021</v>
      </c>
      <c r="B5158" s="23">
        <v>1.472712</v>
      </c>
      <c r="C5158" s="32">
        <f t="shared" si="80"/>
        <v>-4.0867803392201529E-2</v>
      </c>
    </row>
    <row r="5159" spans="1:3" x14ac:dyDescent="0.6">
      <c r="A5159" s="24">
        <v>37022</v>
      </c>
      <c r="B5159" s="23">
        <v>1.4631069999999999</v>
      </c>
      <c r="C5159" s="32">
        <f t="shared" si="80"/>
        <v>-6.5219812156077639E-3</v>
      </c>
    </row>
    <row r="5160" spans="1:3" x14ac:dyDescent="0.6">
      <c r="A5160" s="24">
        <v>37025</v>
      </c>
      <c r="B5160" s="23">
        <v>1.4912810000000001</v>
      </c>
      <c r="C5160" s="32">
        <f t="shared" si="80"/>
        <v>1.9256281324605995E-2</v>
      </c>
    </row>
    <row r="5161" spans="1:3" x14ac:dyDescent="0.6">
      <c r="A5161" s="24">
        <v>37026</v>
      </c>
      <c r="B5161" s="23">
        <v>1.4842379999999999</v>
      </c>
      <c r="C5161" s="32">
        <f t="shared" si="80"/>
        <v>-4.7227853100791917E-3</v>
      </c>
    </row>
    <row r="5162" spans="1:3" x14ac:dyDescent="0.6">
      <c r="A5162" s="24">
        <v>37027</v>
      </c>
      <c r="B5162" s="23">
        <v>1.5431459999999999</v>
      </c>
      <c r="C5162" s="32">
        <f t="shared" si="80"/>
        <v>3.9689052564346072E-2</v>
      </c>
    </row>
    <row r="5163" spans="1:3" x14ac:dyDescent="0.6">
      <c r="A5163" s="24">
        <v>37028</v>
      </c>
      <c r="B5163" s="23">
        <v>1.5079290000000001</v>
      </c>
      <c r="C5163" s="32">
        <f t="shared" si="80"/>
        <v>-2.2821560630037485E-2</v>
      </c>
    </row>
    <row r="5164" spans="1:3" x14ac:dyDescent="0.6">
      <c r="A5164" s="24">
        <v>37029</v>
      </c>
      <c r="B5164" s="23">
        <v>1.506648</v>
      </c>
      <c r="C5164" s="32">
        <f t="shared" si="80"/>
        <v>-8.4950949282103227E-4</v>
      </c>
    </row>
    <row r="5165" spans="1:3" x14ac:dyDescent="0.6">
      <c r="A5165" s="24">
        <v>37032</v>
      </c>
      <c r="B5165" s="23">
        <v>1.508569</v>
      </c>
      <c r="C5165" s="32">
        <f t="shared" si="80"/>
        <v>1.2750157966558984E-3</v>
      </c>
    </row>
    <row r="5166" spans="1:3" x14ac:dyDescent="0.6">
      <c r="A5166" s="24">
        <v>37033</v>
      </c>
      <c r="B5166" s="23">
        <v>1.5047269999999999</v>
      </c>
      <c r="C5166" s="32">
        <f t="shared" si="80"/>
        <v>-2.5467844029674058E-3</v>
      </c>
    </row>
    <row r="5167" spans="1:3" x14ac:dyDescent="0.6">
      <c r="A5167" s="24">
        <v>37034</v>
      </c>
      <c r="B5167" s="23">
        <v>1.487439</v>
      </c>
      <c r="C5167" s="32">
        <f t="shared" si="80"/>
        <v>-1.1489127263616616E-2</v>
      </c>
    </row>
    <row r="5168" spans="1:3" x14ac:dyDescent="0.6">
      <c r="A5168" s="24">
        <v>37035</v>
      </c>
      <c r="B5168" s="23">
        <v>1.485519</v>
      </c>
      <c r="C5168" s="32">
        <f t="shared" si="80"/>
        <v>-1.290809236546786E-3</v>
      </c>
    </row>
    <row r="5169" spans="1:3" x14ac:dyDescent="0.6">
      <c r="A5169" s="24">
        <v>37036</v>
      </c>
      <c r="B5169" s="23">
        <v>1.4573449999999999</v>
      </c>
      <c r="C5169" s="32">
        <f t="shared" si="80"/>
        <v>-1.8965762134311448E-2</v>
      </c>
    </row>
    <row r="5170" spans="1:3" x14ac:dyDescent="0.6">
      <c r="A5170" s="24">
        <v>37040</v>
      </c>
      <c r="B5170" s="23">
        <v>1.3747450000000001</v>
      </c>
      <c r="C5170" s="32">
        <f t="shared" si="80"/>
        <v>-5.6678411769347514E-2</v>
      </c>
    </row>
    <row r="5171" spans="1:3" x14ac:dyDescent="0.6">
      <c r="A5171" s="24">
        <v>37041</v>
      </c>
      <c r="B5171" s="23">
        <v>1.266532</v>
      </c>
      <c r="C5171" s="32">
        <f t="shared" si="80"/>
        <v>-7.8714961683803208E-2</v>
      </c>
    </row>
    <row r="5172" spans="1:3" x14ac:dyDescent="0.6">
      <c r="A5172" s="24">
        <v>37042</v>
      </c>
      <c r="B5172" s="23">
        <v>1.2774179999999999</v>
      </c>
      <c r="C5172" s="32">
        <f t="shared" si="80"/>
        <v>8.5951243237438746E-3</v>
      </c>
    </row>
    <row r="5173" spans="1:3" x14ac:dyDescent="0.6">
      <c r="A5173" s="24">
        <v>37043</v>
      </c>
      <c r="B5173" s="23">
        <v>1.337607</v>
      </c>
      <c r="C5173" s="32">
        <f t="shared" si="80"/>
        <v>4.7117701488471386E-2</v>
      </c>
    </row>
    <row r="5174" spans="1:3" x14ac:dyDescent="0.6">
      <c r="A5174" s="24">
        <v>37046</v>
      </c>
      <c r="B5174" s="23">
        <v>1.3228800000000001</v>
      </c>
      <c r="C5174" s="32">
        <f t="shared" si="80"/>
        <v>-1.1009960324669277E-2</v>
      </c>
    </row>
    <row r="5175" spans="1:3" x14ac:dyDescent="0.6">
      <c r="A5175" s="24">
        <v>37047</v>
      </c>
      <c r="B5175" s="23">
        <v>1.340808</v>
      </c>
      <c r="C5175" s="32">
        <f t="shared" si="80"/>
        <v>1.3552249637155178E-2</v>
      </c>
    </row>
    <row r="5176" spans="1:3" x14ac:dyDescent="0.6">
      <c r="A5176" s="24">
        <v>37048</v>
      </c>
      <c r="B5176" s="23">
        <v>1.3273619999999999</v>
      </c>
      <c r="C5176" s="32">
        <f t="shared" si="80"/>
        <v>-1.0028281454168009E-2</v>
      </c>
    </row>
    <row r="5177" spans="1:3" x14ac:dyDescent="0.6">
      <c r="A5177" s="24">
        <v>37049</v>
      </c>
      <c r="B5177" s="23">
        <v>1.386911</v>
      </c>
      <c r="C5177" s="32">
        <f t="shared" si="80"/>
        <v>4.4862667456202709E-2</v>
      </c>
    </row>
    <row r="5178" spans="1:3" x14ac:dyDescent="0.6">
      <c r="A5178" s="24">
        <v>37050</v>
      </c>
      <c r="B5178" s="23">
        <v>1.36514</v>
      </c>
      <c r="C5178" s="32">
        <f t="shared" si="80"/>
        <v>-1.5697474459428151E-2</v>
      </c>
    </row>
    <row r="5179" spans="1:3" x14ac:dyDescent="0.6">
      <c r="A5179" s="24">
        <v>37053</v>
      </c>
      <c r="B5179" s="23">
        <v>1.28318</v>
      </c>
      <c r="C5179" s="32">
        <f t="shared" si="80"/>
        <v>-6.0037798321051383E-2</v>
      </c>
    </row>
    <row r="5180" spans="1:3" x14ac:dyDescent="0.6">
      <c r="A5180" s="24">
        <v>37054</v>
      </c>
      <c r="B5180" s="23">
        <v>1.3004690000000001</v>
      </c>
      <c r="C5180" s="32">
        <f t="shared" si="80"/>
        <v>1.3473557879642772E-2</v>
      </c>
    </row>
    <row r="5181" spans="1:3" x14ac:dyDescent="0.6">
      <c r="A5181" s="24">
        <v>37055</v>
      </c>
      <c r="B5181" s="23">
        <v>1.3107139999999999</v>
      </c>
      <c r="C5181" s="32">
        <f t="shared" si="80"/>
        <v>7.8779271170630327E-3</v>
      </c>
    </row>
    <row r="5182" spans="1:3" x14ac:dyDescent="0.6">
      <c r="A5182" s="24">
        <v>37056</v>
      </c>
      <c r="B5182" s="23">
        <v>1.2729360000000001</v>
      </c>
      <c r="C5182" s="32">
        <f t="shared" si="80"/>
        <v>-2.882245859890098E-2</v>
      </c>
    </row>
    <row r="5183" spans="1:3" x14ac:dyDescent="0.6">
      <c r="A5183" s="24">
        <v>37057</v>
      </c>
      <c r="B5183" s="23">
        <v>1.3087930000000001</v>
      </c>
      <c r="C5183" s="32">
        <f t="shared" si="80"/>
        <v>2.8168737469911997E-2</v>
      </c>
    </row>
    <row r="5184" spans="1:3" x14ac:dyDescent="0.6">
      <c r="A5184" s="24">
        <v>37060</v>
      </c>
      <c r="B5184" s="23">
        <v>1.301749</v>
      </c>
      <c r="C5184" s="32">
        <f t="shared" si="80"/>
        <v>-5.3820581253108957E-3</v>
      </c>
    </row>
    <row r="5185" spans="1:3" x14ac:dyDescent="0.6">
      <c r="A5185" s="24">
        <v>37061</v>
      </c>
      <c r="B5185" s="23">
        <v>1.2927850000000001</v>
      </c>
      <c r="C5185" s="32">
        <f t="shared" si="80"/>
        <v>-6.886120135294882E-3</v>
      </c>
    </row>
    <row r="5186" spans="1:3" x14ac:dyDescent="0.6">
      <c r="A5186" s="24">
        <v>37062</v>
      </c>
      <c r="B5186" s="23">
        <v>1.387551</v>
      </c>
      <c r="C5186" s="32">
        <f t="shared" si="80"/>
        <v>7.3303758939034624E-2</v>
      </c>
    </row>
    <row r="5187" spans="1:3" x14ac:dyDescent="0.6">
      <c r="A5187" s="24">
        <v>37063</v>
      </c>
      <c r="B5187" s="23">
        <v>1.440056</v>
      </c>
      <c r="C5187" s="32">
        <f t="shared" si="80"/>
        <v>3.7840050563907157E-2</v>
      </c>
    </row>
    <row r="5188" spans="1:3" x14ac:dyDescent="0.6">
      <c r="A5188" s="24">
        <v>37064</v>
      </c>
      <c r="B5188" s="23">
        <v>1.4253290000000001</v>
      </c>
      <c r="C5188" s="32">
        <f t="shared" ref="C5188:C5251" si="81">B5188/B5187-1</f>
        <v>-1.0226685628892174E-2</v>
      </c>
    </row>
    <row r="5189" spans="1:3" x14ac:dyDescent="0.6">
      <c r="A5189" s="24">
        <v>37067</v>
      </c>
      <c r="B5189" s="23">
        <v>1.536103</v>
      </c>
      <c r="C5189" s="32">
        <f t="shared" si="81"/>
        <v>7.7718196991712007E-2</v>
      </c>
    </row>
    <row r="5190" spans="1:3" x14ac:dyDescent="0.6">
      <c r="A5190" s="24">
        <v>37068</v>
      </c>
      <c r="B5190" s="23">
        <v>1.5207360000000001</v>
      </c>
      <c r="C5190" s="32">
        <f t="shared" si="81"/>
        <v>-1.0003886458134548E-2</v>
      </c>
    </row>
    <row r="5191" spans="1:3" x14ac:dyDescent="0.6">
      <c r="A5191" s="24">
        <v>37069</v>
      </c>
      <c r="B5191" s="23">
        <v>1.494483</v>
      </c>
      <c r="C5191" s="32">
        <f t="shared" si="81"/>
        <v>-1.726335142983404E-2</v>
      </c>
    </row>
    <row r="5192" spans="1:3" x14ac:dyDescent="0.6">
      <c r="A5192" s="24">
        <v>37070</v>
      </c>
      <c r="B5192" s="23">
        <v>1.5072890000000001</v>
      </c>
      <c r="C5192" s="32">
        <f t="shared" si="81"/>
        <v>8.5688495620224181E-3</v>
      </c>
    </row>
    <row r="5193" spans="1:3" x14ac:dyDescent="0.6">
      <c r="A5193" s="24">
        <v>37071</v>
      </c>
      <c r="B5193" s="23">
        <v>1.48872</v>
      </c>
      <c r="C5193" s="32">
        <f t="shared" si="81"/>
        <v>-1.2319468927325827E-2</v>
      </c>
    </row>
    <row r="5194" spans="1:3" x14ac:dyDescent="0.6">
      <c r="A5194" s="24">
        <v>37074</v>
      </c>
      <c r="B5194" s="23">
        <v>1.53034</v>
      </c>
      <c r="C5194" s="32">
        <f t="shared" si="81"/>
        <v>2.795690257402339E-2</v>
      </c>
    </row>
    <row r="5195" spans="1:3" x14ac:dyDescent="0.6">
      <c r="A5195" s="24">
        <v>37075</v>
      </c>
      <c r="B5195" s="23">
        <v>1.5264979999999999</v>
      </c>
      <c r="C5195" s="32">
        <f t="shared" si="81"/>
        <v>-2.5105532103977257E-3</v>
      </c>
    </row>
    <row r="5196" spans="1:3" x14ac:dyDescent="0.6">
      <c r="A5196" s="24">
        <v>37077</v>
      </c>
      <c r="B5196" s="23">
        <v>1.4848779999999999</v>
      </c>
      <c r="C5196" s="32">
        <f t="shared" si="81"/>
        <v>-2.7265020982667476E-2</v>
      </c>
    </row>
    <row r="5197" spans="1:3" x14ac:dyDescent="0.6">
      <c r="A5197" s="24">
        <v>37078</v>
      </c>
      <c r="B5197" s="23">
        <v>1.4106019999999999</v>
      </c>
      <c r="C5197" s="32">
        <f t="shared" si="81"/>
        <v>-5.0021617937635265E-2</v>
      </c>
    </row>
    <row r="5198" spans="1:3" x14ac:dyDescent="0.6">
      <c r="A5198" s="24">
        <v>37081</v>
      </c>
      <c r="B5198" s="23">
        <v>1.453503</v>
      </c>
      <c r="C5198" s="32">
        <f t="shared" si="81"/>
        <v>3.0413256184239179E-2</v>
      </c>
    </row>
    <row r="5199" spans="1:3" x14ac:dyDescent="0.6">
      <c r="A5199" s="24">
        <v>37082</v>
      </c>
      <c r="B5199" s="23">
        <v>1.353615</v>
      </c>
      <c r="C5199" s="32">
        <f t="shared" si="81"/>
        <v>-6.8722252379252002E-2</v>
      </c>
    </row>
    <row r="5200" spans="1:3" x14ac:dyDescent="0.6">
      <c r="A5200" s="24">
        <v>37083</v>
      </c>
      <c r="B5200" s="23">
        <v>1.4432579999999999</v>
      </c>
      <c r="C5200" s="32">
        <f t="shared" si="81"/>
        <v>6.6224886692301643E-2</v>
      </c>
    </row>
    <row r="5201" spans="1:3" x14ac:dyDescent="0.6">
      <c r="A5201" s="24">
        <v>37084</v>
      </c>
      <c r="B5201" s="23">
        <v>1.5597939999999999</v>
      </c>
      <c r="C5201" s="32">
        <f t="shared" si="81"/>
        <v>8.0745092007111774E-2</v>
      </c>
    </row>
    <row r="5202" spans="1:3" x14ac:dyDescent="0.6">
      <c r="A5202" s="24">
        <v>37085</v>
      </c>
      <c r="B5202" s="23">
        <v>1.5911690000000001</v>
      </c>
      <c r="C5202" s="32">
        <f t="shared" si="81"/>
        <v>2.0114835677018883E-2</v>
      </c>
    </row>
    <row r="5203" spans="1:3" x14ac:dyDescent="0.6">
      <c r="A5203" s="24">
        <v>37088</v>
      </c>
      <c r="B5203" s="23">
        <v>1.5341819999999999</v>
      </c>
      <c r="C5203" s="32">
        <f t="shared" si="81"/>
        <v>-3.5814548925978351E-2</v>
      </c>
    </row>
    <row r="5204" spans="1:3" x14ac:dyDescent="0.6">
      <c r="A5204" s="24">
        <v>37089</v>
      </c>
      <c r="B5204" s="23">
        <v>1.6071770000000001</v>
      </c>
      <c r="C5204" s="32">
        <f t="shared" si="81"/>
        <v>4.7579100784652661E-2</v>
      </c>
    </row>
    <row r="5205" spans="1:3" x14ac:dyDescent="0.6">
      <c r="A5205" s="24">
        <v>37090</v>
      </c>
      <c r="B5205" s="23">
        <v>1.3312029999999999</v>
      </c>
      <c r="C5205" s="32">
        <f t="shared" si="81"/>
        <v>-0.17171350759748316</v>
      </c>
    </row>
    <row r="5206" spans="1:3" x14ac:dyDescent="0.6">
      <c r="A5206" s="24">
        <v>37091</v>
      </c>
      <c r="B5206" s="23">
        <v>1.2780579999999999</v>
      </c>
      <c r="C5206" s="32">
        <f t="shared" si="81"/>
        <v>-3.9922536232265049E-2</v>
      </c>
    </row>
    <row r="5207" spans="1:3" x14ac:dyDescent="0.6">
      <c r="A5207" s="24">
        <v>37092</v>
      </c>
      <c r="B5207" s="23">
        <v>1.2793380000000001</v>
      </c>
      <c r="C5207" s="32">
        <f t="shared" si="81"/>
        <v>1.0015194928556514E-3</v>
      </c>
    </row>
    <row r="5208" spans="1:3" x14ac:dyDescent="0.6">
      <c r="A5208" s="24">
        <v>37095</v>
      </c>
      <c r="B5208" s="23">
        <v>1.2511650000000001</v>
      </c>
      <c r="C5208" s="32">
        <f t="shared" si="81"/>
        <v>-2.2021545518072672E-2</v>
      </c>
    </row>
    <row r="5209" spans="1:3" x14ac:dyDescent="0.6">
      <c r="A5209" s="24">
        <v>37096</v>
      </c>
      <c r="B5209" s="23">
        <v>1.222351</v>
      </c>
      <c r="C5209" s="32">
        <f t="shared" si="81"/>
        <v>-2.3029736285781754E-2</v>
      </c>
    </row>
    <row r="5210" spans="1:3" x14ac:dyDescent="0.6">
      <c r="A5210" s="24">
        <v>37097</v>
      </c>
      <c r="B5210" s="23">
        <v>1.182652</v>
      </c>
      <c r="C5210" s="32">
        <f t="shared" si="81"/>
        <v>-3.2477578044276867E-2</v>
      </c>
    </row>
    <row r="5211" spans="1:3" x14ac:dyDescent="0.6">
      <c r="A5211" s="24">
        <v>37098</v>
      </c>
      <c r="B5211" s="23">
        <v>1.1903360000000001</v>
      </c>
      <c r="C5211" s="32">
        <f t="shared" si="81"/>
        <v>6.4972620855501262E-3</v>
      </c>
    </row>
    <row r="5212" spans="1:3" x14ac:dyDescent="0.6">
      <c r="A5212" s="24">
        <v>37099</v>
      </c>
      <c r="B5212" s="23">
        <v>1.214027</v>
      </c>
      <c r="C5212" s="32">
        <f t="shared" si="81"/>
        <v>1.9902783751814423E-2</v>
      </c>
    </row>
    <row r="5213" spans="1:3" x14ac:dyDescent="0.6">
      <c r="A5213" s="24">
        <v>37102</v>
      </c>
      <c r="B5213" s="23">
        <v>1.2121059999999999</v>
      </c>
      <c r="C5213" s="32">
        <f t="shared" si="81"/>
        <v>-1.5823371308876233E-3</v>
      </c>
    </row>
    <row r="5214" spans="1:3" x14ac:dyDescent="0.6">
      <c r="A5214" s="24">
        <v>37103</v>
      </c>
      <c r="B5214" s="23">
        <v>1.2031419999999999</v>
      </c>
      <c r="C5214" s="32">
        <f t="shared" si="81"/>
        <v>-7.395392812179824E-3</v>
      </c>
    </row>
    <row r="5215" spans="1:3" x14ac:dyDescent="0.6">
      <c r="A5215" s="24">
        <v>37104</v>
      </c>
      <c r="B5215" s="23">
        <v>1.2204299999999999</v>
      </c>
      <c r="C5215" s="32">
        <f t="shared" si="81"/>
        <v>1.4369043720525054E-2</v>
      </c>
    </row>
    <row r="5216" spans="1:3" x14ac:dyDescent="0.6">
      <c r="A5216" s="24">
        <v>37105</v>
      </c>
      <c r="B5216" s="23">
        <v>1.2690939999999999</v>
      </c>
      <c r="C5216" s="32">
        <f t="shared" si="81"/>
        <v>3.9874470473521662E-2</v>
      </c>
    </row>
    <row r="5217" spans="1:3" x14ac:dyDescent="0.6">
      <c r="A5217" s="24">
        <v>37106</v>
      </c>
      <c r="B5217" s="23">
        <v>1.248604</v>
      </c>
      <c r="C5217" s="32">
        <f t="shared" si="81"/>
        <v>-1.6145376150229929E-2</v>
      </c>
    </row>
    <row r="5218" spans="1:3" x14ac:dyDescent="0.6">
      <c r="A5218" s="24">
        <v>37109</v>
      </c>
      <c r="B5218" s="23">
        <v>1.224912</v>
      </c>
      <c r="C5218" s="32">
        <f t="shared" si="81"/>
        <v>-1.8974791046640904E-2</v>
      </c>
    </row>
    <row r="5219" spans="1:3" x14ac:dyDescent="0.6">
      <c r="A5219" s="24">
        <v>37110</v>
      </c>
      <c r="B5219" s="23">
        <v>1.232596</v>
      </c>
      <c r="C5219" s="32">
        <f t="shared" si="81"/>
        <v>6.2731037005108181E-3</v>
      </c>
    </row>
    <row r="5220" spans="1:3" x14ac:dyDescent="0.6">
      <c r="A5220" s="24">
        <v>37111</v>
      </c>
      <c r="B5220" s="23">
        <v>1.2101850000000001</v>
      </c>
      <c r="C5220" s="32">
        <f t="shared" si="81"/>
        <v>-1.8181950939318292E-2</v>
      </c>
    </row>
    <row r="5221" spans="1:3" x14ac:dyDescent="0.6">
      <c r="A5221" s="24">
        <v>37112</v>
      </c>
      <c r="B5221" s="23">
        <v>1.2197899999999999</v>
      </c>
      <c r="C5221" s="32">
        <f t="shared" si="81"/>
        <v>7.9368030507731557E-3</v>
      </c>
    </row>
    <row r="5222" spans="1:3" x14ac:dyDescent="0.6">
      <c r="A5222" s="24">
        <v>37113</v>
      </c>
      <c r="B5222" s="23">
        <v>1.2178690000000001</v>
      </c>
      <c r="C5222" s="32">
        <f t="shared" si="81"/>
        <v>-1.5748612466078837E-3</v>
      </c>
    </row>
    <row r="5223" spans="1:3" x14ac:dyDescent="0.6">
      <c r="A5223" s="24">
        <v>37116</v>
      </c>
      <c r="B5223" s="23">
        <v>1.222351</v>
      </c>
      <c r="C5223" s="32">
        <f t="shared" si="81"/>
        <v>3.6801987734311759E-3</v>
      </c>
    </row>
    <row r="5224" spans="1:3" x14ac:dyDescent="0.6">
      <c r="A5224" s="24">
        <v>37117</v>
      </c>
      <c r="B5224" s="23">
        <v>1.1993</v>
      </c>
      <c r="C5224" s="32">
        <f t="shared" si="81"/>
        <v>-1.8857922151656825E-2</v>
      </c>
    </row>
    <row r="5225" spans="1:3" x14ac:dyDescent="0.6">
      <c r="A5225" s="24">
        <v>37118</v>
      </c>
      <c r="B5225" s="23">
        <v>1.180731</v>
      </c>
      <c r="C5225" s="32">
        <f t="shared" si="81"/>
        <v>-1.5483198532477371E-2</v>
      </c>
    </row>
    <row r="5226" spans="1:3" x14ac:dyDescent="0.6">
      <c r="A5226" s="24">
        <v>37119</v>
      </c>
      <c r="B5226" s="23">
        <v>1.194177</v>
      </c>
      <c r="C5226" s="32">
        <f t="shared" si="81"/>
        <v>1.1387860571120845E-2</v>
      </c>
    </row>
    <row r="5227" spans="1:3" x14ac:dyDescent="0.6">
      <c r="A5227" s="24">
        <v>37120</v>
      </c>
      <c r="B5227" s="23">
        <v>1.1570389999999999</v>
      </c>
      <c r="C5227" s="32">
        <f t="shared" si="81"/>
        <v>-3.1099242407113925E-2</v>
      </c>
    </row>
    <row r="5228" spans="1:3" x14ac:dyDescent="0.6">
      <c r="A5228" s="24">
        <v>37123</v>
      </c>
      <c r="B5228" s="23">
        <v>1.1602410000000001</v>
      </c>
      <c r="C5228" s="32">
        <f t="shared" si="81"/>
        <v>2.7674088773155248E-3</v>
      </c>
    </row>
    <row r="5229" spans="1:3" x14ac:dyDescent="0.6">
      <c r="A5229" s="24">
        <v>37124</v>
      </c>
      <c r="B5229" s="23">
        <v>1.147435</v>
      </c>
      <c r="C5229" s="32">
        <f t="shared" si="81"/>
        <v>-1.1037362065295153E-2</v>
      </c>
    </row>
    <row r="5230" spans="1:3" x14ac:dyDescent="0.6">
      <c r="A5230" s="24">
        <v>37125</v>
      </c>
      <c r="B5230" s="23">
        <v>1.166004</v>
      </c>
      <c r="C5230" s="32">
        <f t="shared" si="81"/>
        <v>1.6183051763280831E-2</v>
      </c>
    </row>
    <row r="5231" spans="1:3" x14ac:dyDescent="0.6">
      <c r="A5231" s="24">
        <v>37126</v>
      </c>
      <c r="B5231" s="23">
        <v>1.1403920000000001</v>
      </c>
      <c r="C5231" s="32">
        <f t="shared" si="81"/>
        <v>-2.1965619328921604E-2</v>
      </c>
    </row>
    <row r="5232" spans="1:3" x14ac:dyDescent="0.6">
      <c r="A5232" s="24">
        <v>37127</v>
      </c>
      <c r="B5232" s="23">
        <v>1.189055</v>
      </c>
      <c r="C5232" s="32">
        <f t="shared" si="81"/>
        <v>4.2672168868248761E-2</v>
      </c>
    </row>
    <row r="5233" spans="1:3" x14ac:dyDescent="0.6">
      <c r="A5233" s="24">
        <v>37130</v>
      </c>
      <c r="B5233" s="23">
        <v>1.2114659999999999</v>
      </c>
      <c r="C5233" s="32">
        <f t="shared" si="81"/>
        <v>1.8847740432528237E-2</v>
      </c>
    </row>
    <row r="5234" spans="1:3" x14ac:dyDescent="0.6">
      <c r="A5234" s="24">
        <v>37131</v>
      </c>
      <c r="B5234" s="23">
        <v>1.178169</v>
      </c>
      <c r="C5234" s="32">
        <f t="shared" si="81"/>
        <v>-2.7484881952939633E-2</v>
      </c>
    </row>
    <row r="5235" spans="1:3" x14ac:dyDescent="0.6">
      <c r="A5235" s="24">
        <v>37132</v>
      </c>
      <c r="B5235" s="23">
        <v>1.141672</v>
      </c>
      <c r="C5235" s="32">
        <f t="shared" si="81"/>
        <v>-3.0977729001526955E-2</v>
      </c>
    </row>
    <row r="5236" spans="1:3" x14ac:dyDescent="0.6">
      <c r="A5236" s="24">
        <v>37133</v>
      </c>
      <c r="B5236" s="23">
        <v>1.141672</v>
      </c>
      <c r="C5236" s="32">
        <f t="shared" si="81"/>
        <v>0</v>
      </c>
    </row>
    <row r="5237" spans="1:3" x14ac:dyDescent="0.6">
      <c r="A5237" s="24">
        <v>37134</v>
      </c>
      <c r="B5237" s="23">
        <v>1.1877740000000001</v>
      </c>
      <c r="C5237" s="32">
        <f t="shared" si="81"/>
        <v>4.0381125226860437E-2</v>
      </c>
    </row>
    <row r="5238" spans="1:3" x14ac:dyDescent="0.6">
      <c r="A5238" s="24">
        <v>37138</v>
      </c>
      <c r="B5238" s="23">
        <v>1.1685650000000001</v>
      </c>
      <c r="C5238" s="32">
        <f t="shared" si="81"/>
        <v>-1.6172268461845496E-2</v>
      </c>
    </row>
    <row r="5239" spans="1:3" x14ac:dyDescent="0.6">
      <c r="A5239" s="24">
        <v>37139</v>
      </c>
      <c r="B5239" s="23">
        <v>1.1877740000000001</v>
      </c>
      <c r="C5239" s="32">
        <f t="shared" si="81"/>
        <v>1.6438109989602712E-2</v>
      </c>
    </row>
    <row r="5240" spans="1:3" x14ac:dyDescent="0.6">
      <c r="A5240" s="24">
        <v>37140</v>
      </c>
      <c r="B5240" s="23">
        <v>1.1346290000000001</v>
      </c>
      <c r="C5240" s="32">
        <f t="shared" si="81"/>
        <v>-4.4743360268872712E-2</v>
      </c>
    </row>
    <row r="5241" spans="1:3" x14ac:dyDescent="0.6">
      <c r="A5241" s="24">
        <v>37141</v>
      </c>
      <c r="B5241" s="23">
        <v>1.106455</v>
      </c>
      <c r="C5241" s="32">
        <f t="shared" si="81"/>
        <v>-2.4831024061609641E-2</v>
      </c>
    </row>
    <row r="5242" spans="1:3" x14ac:dyDescent="0.6">
      <c r="A5242" s="24">
        <v>37144</v>
      </c>
      <c r="B5242" s="23">
        <v>1.1122179999999999</v>
      </c>
      <c r="C5242" s="32">
        <f t="shared" si="81"/>
        <v>5.2085263295840178E-3</v>
      </c>
    </row>
    <row r="5243" spans="1:3" x14ac:dyDescent="0.6">
      <c r="A5243" s="24">
        <v>37151</v>
      </c>
      <c r="B5243" s="23">
        <v>1.0878859999999999</v>
      </c>
      <c r="C5243" s="32">
        <f t="shared" si="81"/>
        <v>-2.187700612649679E-2</v>
      </c>
    </row>
    <row r="5244" spans="1:3" x14ac:dyDescent="0.6">
      <c r="A5244" s="24">
        <v>37152</v>
      </c>
      <c r="B5244" s="23">
        <v>1.042424</v>
      </c>
      <c r="C5244" s="32">
        <f t="shared" si="81"/>
        <v>-4.1789305129397603E-2</v>
      </c>
    </row>
    <row r="5245" spans="1:3" x14ac:dyDescent="0.6">
      <c r="A5245" s="24">
        <v>37153</v>
      </c>
      <c r="B5245" s="23">
        <v>1.089807</v>
      </c>
      <c r="C5245" s="32">
        <f t="shared" si="81"/>
        <v>4.5454632663868066E-2</v>
      </c>
    </row>
    <row r="5246" spans="1:3" x14ac:dyDescent="0.6">
      <c r="A5246" s="24">
        <v>37154</v>
      </c>
      <c r="B5246" s="23">
        <v>1.004005</v>
      </c>
      <c r="C5246" s="32">
        <f t="shared" si="81"/>
        <v>-7.8731371701594832E-2</v>
      </c>
    </row>
    <row r="5247" spans="1:3" x14ac:dyDescent="0.6">
      <c r="A5247" s="24">
        <v>37155</v>
      </c>
      <c r="B5247" s="23">
        <v>1.007207</v>
      </c>
      <c r="C5247" s="32">
        <f t="shared" si="81"/>
        <v>3.1892271452831356E-3</v>
      </c>
    </row>
    <row r="5248" spans="1:3" x14ac:dyDescent="0.6">
      <c r="A5248" s="24">
        <v>37158</v>
      </c>
      <c r="B5248" s="23">
        <v>1.0533090000000001</v>
      </c>
      <c r="C5248" s="32">
        <f t="shared" si="81"/>
        <v>4.5772120328790411E-2</v>
      </c>
    </row>
    <row r="5249" spans="1:3" x14ac:dyDescent="0.6">
      <c r="A5249" s="24">
        <v>37159</v>
      </c>
      <c r="B5249" s="23">
        <v>0.99504099999999995</v>
      </c>
      <c r="C5249" s="32">
        <f t="shared" si="81"/>
        <v>-5.5318999457898976E-2</v>
      </c>
    </row>
    <row r="5250" spans="1:3" x14ac:dyDescent="0.6">
      <c r="A5250" s="24">
        <v>37160</v>
      </c>
      <c r="B5250" s="23">
        <v>0.97006899999999996</v>
      </c>
      <c r="C5250" s="32">
        <f t="shared" si="81"/>
        <v>-2.5096453311974076E-2</v>
      </c>
    </row>
    <row r="5251" spans="1:3" x14ac:dyDescent="0.6">
      <c r="A5251" s="24">
        <v>37161</v>
      </c>
      <c r="B5251" s="23">
        <v>0.99312</v>
      </c>
      <c r="C5251" s="32">
        <f t="shared" si="81"/>
        <v>2.3762227223012022E-2</v>
      </c>
    </row>
    <row r="5252" spans="1:3" x14ac:dyDescent="0.6">
      <c r="A5252" s="24">
        <v>37162</v>
      </c>
      <c r="B5252" s="23">
        <v>0.99312</v>
      </c>
      <c r="C5252" s="32">
        <f t="shared" ref="C5252:C5315" si="82">B5252/B5251-1</f>
        <v>0</v>
      </c>
    </row>
    <row r="5253" spans="1:3" x14ac:dyDescent="0.6">
      <c r="A5253" s="24">
        <v>37165</v>
      </c>
      <c r="B5253" s="23">
        <v>0.99504099999999995</v>
      </c>
      <c r="C5253" s="32">
        <f t="shared" si="82"/>
        <v>1.934308039310384E-3</v>
      </c>
    </row>
    <row r="5254" spans="1:3" x14ac:dyDescent="0.6">
      <c r="A5254" s="24">
        <v>37166</v>
      </c>
      <c r="B5254" s="23">
        <v>0.96366600000000002</v>
      </c>
      <c r="C5254" s="32">
        <f t="shared" si="82"/>
        <v>-3.1531364034245724E-2</v>
      </c>
    </row>
    <row r="5255" spans="1:3" x14ac:dyDescent="0.6">
      <c r="A5255" s="24">
        <v>37167</v>
      </c>
      <c r="B5255" s="23">
        <v>0.95918400000000004</v>
      </c>
      <c r="C5255" s="32">
        <f t="shared" si="82"/>
        <v>-4.6509890356202233E-3</v>
      </c>
    </row>
    <row r="5256" spans="1:3" x14ac:dyDescent="0.6">
      <c r="A5256" s="24">
        <v>37168</v>
      </c>
      <c r="B5256" s="23">
        <v>1.016812</v>
      </c>
      <c r="C5256" s="32">
        <f t="shared" si="82"/>
        <v>6.0080234866302984E-2</v>
      </c>
    </row>
    <row r="5257" spans="1:3" x14ac:dyDescent="0.6">
      <c r="A5257" s="24">
        <v>37169</v>
      </c>
      <c r="B5257" s="23">
        <v>1.03346</v>
      </c>
      <c r="C5257" s="32">
        <f t="shared" si="82"/>
        <v>1.6372741470399577E-2</v>
      </c>
    </row>
    <row r="5258" spans="1:3" x14ac:dyDescent="0.6">
      <c r="A5258" s="24">
        <v>37172</v>
      </c>
      <c r="B5258" s="23">
        <v>1.0373019999999999</v>
      </c>
      <c r="C5258" s="32">
        <f t="shared" si="82"/>
        <v>3.7176088092425452E-3</v>
      </c>
    </row>
    <row r="5259" spans="1:3" x14ac:dyDescent="0.6">
      <c r="A5259" s="24">
        <v>37173</v>
      </c>
      <c r="B5259" s="23">
        <v>1.0244949999999999</v>
      </c>
      <c r="C5259" s="32">
        <f t="shared" si="82"/>
        <v>-1.2346452624211635E-2</v>
      </c>
    </row>
    <row r="5260" spans="1:3" x14ac:dyDescent="0.6">
      <c r="A5260" s="24">
        <v>37174</v>
      </c>
      <c r="B5260" s="23">
        <v>1.0770010000000001</v>
      </c>
      <c r="C5260" s="32">
        <f t="shared" si="82"/>
        <v>5.1250616157228812E-2</v>
      </c>
    </row>
    <row r="5261" spans="1:3" x14ac:dyDescent="0.6">
      <c r="A5261" s="24">
        <v>37175</v>
      </c>
      <c r="B5261" s="23">
        <v>1.1359090000000001</v>
      </c>
      <c r="C5261" s="32">
        <f t="shared" si="82"/>
        <v>5.4696328044263609E-2</v>
      </c>
    </row>
    <row r="5262" spans="1:3" x14ac:dyDescent="0.6">
      <c r="A5262" s="24">
        <v>37176</v>
      </c>
      <c r="B5262" s="23">
        <v>1.153197</v>
      </c>
      <c r="C5262" s="32">
        <f t="shared" si="82"/>
        <v>1.5219529029173895E-2</v>
      </c>
    </row>
    <row r="5263" spans="1:3" x14ac:dyDescent="0.6">
      <c r="A5263" s="24">
        <v>37179</v>
      </c>
      <c r="B5263" s="23">
        <v>1.1519170000000001</v>
      </c>
      <c r="C5263" s="32">
        <f t="shared" si="82"/>
        <v>-1.1099577955890894E-3</v>
      </c>
    </row>
    <row r="5264" spans="1:3" x14ac:dyDescent="0.6">
      <c r="A5264" s="24">
        <v>37180</v>
      </c>
      <c r="B5264" s="23">
        <v>1.153197</v>
      </c>
      <c r="C5264" s="32">
        <f t="shared" si="82"/>
        <v>1.1111911708916455E-3</v>
      </c>
    </row>
    <row r="5265" spans="1:3" x14ac:dyDescent="0.6">
      <c r="A5265" s="24">
        <v>37181</v>
      </c>
      <c r="B5265" s="23">
        <v>1.0878859999999999</v>
      </c>
      <c r="C5265" s="32">
        <f t="shared" si="82"/>
        <v>-5.6634729365407699E-2</v>
      </c>
    </row>
    <row r="5266" spans="1:3" x14ac:dyDescent="0.6">
      <c r="A5266" s="24">
        <v>37182</v>
      </c>
      <c r="B5266" s="23">
        <v>1.1525570000000001</v>
      </c>
      <c r="C5266" s="32">
        <f t="shared" si="82"/>
        <v>5.9446486120788622E-2</v>
      </c>
    </row>
    <row r="5267" spans="1:3" x14ac:dyDescent="0.6">
      <c r="A5267" s="24">
        <v>37183</v>
      </c>
      <c r="B5267" s="23">
        <v>1.171767</v>
      </c>
      <c r="C5267" s="32">
        <f t="shared" si="82"/>
        <v>1.6667288472500763E-2</v>
      </c>
    </row>
    <row r="5268" spans="1:3" x14ac:dyDescent="0.6">
      <c r="A5268" s="24">
        <v>37186</v>
      </c>
      <c r="B5268" s="23">
        <v>1.2178690000000001</v>
      </c>
      <c r="C5268" s="32">
        <f t="shared" si="82"/>
        <v>3.9343999276306718E-2</v>
      </c>
    </row>
    <row r="5269" spans="1:3" x14ac:dyDescent="0.6">
      <c r="A5269" s="24">
        <v>37187</v>
      </c>
      <c r="B5269" s="23">
        <v>1.161521</v>
      </c>
      <c r="C5269" s="32">
        <f t="shared" si="82"/>
        <v>-4.6267702027065316E-2</v>
      </c>
    </row>
    <row r="5270" spans="1:3" x14ac:dyDescent="0.6">
      <c r="A5270" s="24">
        <v>37188</v>
      </c>
      <c r="B5270" s="23">
        <v>1.213387</v>
      </c>
      <c r="C5270" s="32">
        <f t="shared" si="82"/>
        <v>4.4653518963496897E-2</v>
      </c>
    </row>
    <row r="5271" spans="1:3" x14ac:dyDescent="0.6">
      <c r="A5271" s="24">
        <v>37189</v>
      </c>
      <c r="B5271" s="23">
        <v>1.2287539999999999</v>
      </c>
      <c r="C5271" s="32">
        <f t="shared" si="82"/>
        <v>1.2664549727333441E-2</v>
      </c>
    </row>
    <row r="5272" spans="1:3" x14ac:dyDescent="0.6">
      <c r="A5272" s="24">
        <v>37190</v>
      </c>
      <c r="B5272" s="23">
        <v>1.1954579999999999</v>
      </c>
      <c r="C5272" s="32">
        <f t="shared" si="82"/>
        <v>-2.7097368553835821E-2</v>
      </c>
    </row>
    <row r="5273" spans="1:3" x14ac:dyDescent="0.6">
      <c r="A5273" s="24">
        <v>37193</v>
      </c>
      <c r="B5273" s="23">
        <v>1.1288659999999999</v>
      </c>
      <c r="C5273" s="32">
        <f t="shared" si="82"/>
        <v>-5.5704173630524823E-2</v>
      </c>
    </row>
    <row r="5274" spans="1:3" x14ac:dyDescent="0.6">
      <c r="A5274" s="24">
        <v>37194</v>
      </c>
      <c r="B5274" s="23">
        <v>1.1269450000000001</v>
      </c>
      <c r="C5274" s="32">
        <f t="shared" si="82"/>
        <v>-1.701707731475488E-3</v>
      </c>
    </row>
    <row r="5275" spans="1:3" x14ac:dyDescent="0.6">
      <c r="A5275" s="24">
        <v>37195</v>
      </c>
      <c r="B5275" s="23">
        <v>1.1243829999999999</v>
      </c>
      <c r="C5275" s="32">
        <f t="shared" si="82"/>
        <v>-2.273402872367436E-3</v>
      </c>
    </row>
    <row r="5276" spans="1:3" x14ac:dyDescent="0.6">
      <c r="A5276" s="24">
        <v>37196</v>
      </c>
      <c r="B5276" s="23">
        <v>1.1903360000000001</v>
      </c>
      <c r="C5276" s="32">
        <f t="shared" si="82"/>
        <v>5.8657059027039882E-2</v>
      </c>
    </row>
    <row r="5277" spans="1:3" x14ac:dyDescent="0.6">
      <c r="A5277" s="24">
        <v>37197</v>
      </c>
      <c r="B5277" s="23">
        <v>1.189055</v>
      </c>
      <c r="C5277" s="32">
        <f t="shared" si="82"/>
        <v>-1.0761667293941457E-3</v>
      </c>
    </row>
    <row r="5278" spans="1:3" x14ac:dyDescent="0.6">
      <c r="A5278" s="24">
        <v>37200</v>
      </c>
      <c r="B5278" s="23">
        <v>1.2210700000000001</v>
      </c>
      <c r="C5278" s="32">
        <f t="shared" si="82"/>
        <v>2.6924742757904463E-2</v>
      </c>
    </row>
    <row r="5279" spans="1:3" x14ac:dyDescent="0.6">
      <c r="A5279" s="24">
        <v>37201</v>
      </c>
      <c r="B5279" s="23">
        <v>1.2530859999999999</v>
      </c>
      <c r="C5279" s="32">
        <f t="shared" si="82"/>
        <v>2.62196270484083E-2</v>
      </c>
    </row>
    <row r="5280" spans="1:3" x14ac:dyDescent="0.6">
      <c r="A5280" s="24">
        <v>37202</v>
      </c>
      <c r="B5280" s="23">
        <v>1.254367</v>
      </c>
      <c r="C5280" s="32">
        <f t="shared" si="82"/>
        <v>1.022276204506456E-3</v>
      </c>
    </row>
    <row r="5281" spans="1:3" x14ac:dyDescent="0.6">
      <c r="A5281" s="24">
        <v>37203</v>
      </c>
      <c r="B5281" s="23">
        <v>1.1980189999999999</v>
      </c>
      <c r="C5281" s="32">
        <f t="shared" si="82"/>
        <v>-4.4921462379032717E-2</v>
      </c>
    </row>
    <row r="5282" spans="1:3" x14ac:dyDescent="0.6">
      <c r="A5282" s="24">
        <v>37204</v>
      </c>
      <c r="B5282" s="23">
        <v>1.1980189999999999</v>
      </c>
      <c r="C5282" s="32">
        <f t="shared" si="82"/>
        <v>0</v>
      </c>
    </row>
    <row r="5283" spans="1:3" x14ac:dyDescent="0.6">
      <c r="A5283" s="24">
        <v>37207</v>
      </c>
      <c r="B5283" s="23">
        <v>1.2005809999999999</v>
      </c>
      <c r="C5283" s="32">
        <f t="shared" si="82"/>
        <v>2.1385303571979097E-3</v>
      </c>
    </row>
    <row r="5284" spans="1:3" x14ac:dyDescent="0.6">
      <c r="A5284" s="24">
        <v>37208</v>
      </c>
      <c r="B5284" s="23">
        <v>1.24028</v>
      </c>
      <c r="C5284" s="32">
        <f t="shared" si="82"/>
        <v>3.3066490307609442E-2</v>
      </c>
    </row>
    <row r="5285" spans="1:3" x14ac:dyDescent="0.6">
      <c r="A5285" s="24">
        <v>37209</v>
      </c>
      <c r="B5285" s="23">
        <v>1.255647</v>
      </c>
      <c r="C5285" s="32">
        <f t="shared" si="82"/>
        <v>1.238994420614703E-2</v>
      </c>
    </row>
    <row r="5286" spans="1:3" x14ac:dyDescent="0.6">
      <c r="A5286" s="24">
        <v>37210</v>
      </c>
      <c r="B5286" s="23">
        <v>1.2454019999999999</v>
      </c>
      <c r="C5286" s="32">
        <f t="shared" si="82"/>
        <v>-8.1591402679256353E-3</v>
      </c>
    </row>
    <row r="5287" spans="1:3" x14ac:dyDescent="0.6">
      <c r="A5287" s="24">
        <v>37211</v>
      </c>
      <c r="B5287" s="23">
        <v>1.2146669999999999</v>
      </c>
      <c r="C5287" s="32">
        <f t="shared" si="82"/>
        <v>-2.4678778418534719E-2</v>
      </c>
    </row>
    <row r="5288" spans="1:3" x14ac:dyDescent="0.6">
      <c r="A5288" s="24">
        <v>37214</v>
      </c>
      <c r="B5288" s="23">
        <v>1.280619</v>
      </c>
      <c r="C5288" s="32">
        <f t="shared" si="82"/>
        <v>5.4296362706816037E-2</v>
      </c>
    </row>
    <row r="5289" spans="1:3" x14ac:dyDescent="0.6">
      <c r="A5289" s="24">
        <v>37215</v>
      </c>
      <c r="B5289" s="23">
        <v>1.2505250000000001</v>
      </c>
      <c r="C5289" s="32">
        <f t="shared" si="82"/>
        <v>-2.3499573253246919E-2</v>
      </c>
    </row>
    <row r="5290" spans="1:3" x14ac:dyDescent="0.6">
      <c r="A5290" s="24">
        <v>37216</v>
      </c>
      <c r="B5290" s="23">
        <v>1.2601290000000001</v>
      </c>
      <c r="C5290" s="32">
        <f t="shared" si="82"/>
        <v>7.6799744107474144E-3</v>
      </c>
    </row>
    <row r="5291" spans="1:3" x14ac:dyDescent="0.6">
      <c r="A5291" s="24">
        <v>37218</v>
      </c>
      <c r="B5291" s="23">
        <v>1.2703739999999999</v>
      </c>
      <c r="C5291" s="32">
        <f t="shared" si="82"/>
        <v>8.1301200115224681E-3</v>
      </c>
    </row>
    <row r="5292" spans="1:3" x14ac:dyDescent="0.6">
      <c r="A5292" s="24">
        <v>37221</v>
      </c>
      <c r="B5292" s="23">
        <v>1.368341</v>
      </c>
      <c r="C5292" s="32">
        <f t="shared" si="82"/>
        <v>7.7116660133157655E-2</v>
      </c>
    </row>
    <row r="5293" spans="1:3" x14ac:dyDescent="0.6">
      <c r="A5293" s="24">
        <v>37222</v>
      </c>
      <c r="B5293" s="23">
        <v>1.3446499999999999</v>
      </c>
      <c r="C5293" s="32">
        <f t="shared" si="82"/>
        <v>-1.7313666695655594E-2</v>
      </c>
    </row>
    <row r="5294" spans="1:3" x14ac:dyDescent="0.6">
      <c r="A5294" s="24">
        <v>37223</v>
      </c>
      <c r="B5294" s="23">
        <v>1.3145560000000001</v>
      </c>
      <c r="C5294" s="32">
        <f t="shared" si="82"/>
        <v>-2.2380545123266149E-2</v>
      </c>
    </row>
    <row r="5295" spans="1:3" x14ac:dyDescent="0.6">
      <c r="A5295" s="24">
        <v>37224</v>
      </c>
      <c r="B5295" s="23">
        <v>1.307512</v>
      </c>
      <c r="C5295" s="32">
        <f t="shared" si="82"/>
        <v>-5.3584632377776664E-3</v>
      </c>
    </row>
    <row r="5296" spans="1:3" x14ac:dyDescent="0.6">
      <c r="A5296" s="24">
        <v>37225</v>
      </c>
      <c r="B5296" s="23">
        <v>1.3638600000000001</v>
      </c>
      <c r="C5296" s="32">
        <f t="shared" si="82"/>
        <v>4.3095589180061067E-2</v>
      </c>
    </row>
    <row r="5297" spans="1:3" x14ac:dyDescent="0.6">
      <c r="A5297" s="24">
        <v>37228</v>
      </c>
      <c r="B5297" s="23">
        <v>1.3478520000000001</v>
      </c>
      <c r="C5297" s="32">
        <f t="shared" si="82"/>
        <v>-1.1737275086885712E-2</v>
      </c>
    </row>
    <row r="5298" spans="1:3" x14ac:dyDescent="0.6">
      <c r="A5298" s="24">
        <v>37229</v>
      </c>
      <c r="B5298" s="23">
        <v>1.434294</v>
      </c>
      <c r="C5298" s="32">
        <f t="shared" si="82"/>
        <v>6.4133154085166622E-2</v>
      </c>
    </row>
    <row r="5299" spans="1:3" x14ac:dyDescent="0.6">
      <c r="A5299" s="24">
        <v>37230</v>
      </c>
      <c r="B5299" s="23">
        <v>1.5213760000000001</v>
      </c>
      <c r="C5299" s="32">
        <f t="shared" si="82"/>
        <v>6.0714191093318437E-2</v>
      </c>
    </row>
    <row r="5300" spans="1:3" x14ac:dyDescent="0.6">
      <c r="A5300" s="24">
        <v>37231</v>
      </c>
      <c r="B5300" s="23">
        <v>1.458626</v>
      </c>
      <c r="C5300" s="32">
        <f t="shared" si="82"/>
        <v>-4.1245556653976445E-2</v>
      </c>
    </row>
    <row r="5301" spans="1:3" x14ac:dyDescent="0.6">
      <c r="A5301" s="24">
        <v>37232</v>
      </c>
      <c r="B5301" s="23">
        <v>1.4432579999999999</v>
      </c>
      <c r="C5301" s="32">
        <f t="shared" si="82"/>
        <v>-1.0535942729664849E-2</v>
      </c>
    </row>
    <row r="5302" spans="1:3" x14ac:dyDescent="0.6">
      <c r="A5302" s="24">
        <v>37235</v>
      </c>
      <c r="B5302" s="23">
        <v>1.4432579999999999</v>
      </c>
      <c r="C5302" s="32">
        <f t="shared" si="82"/>
        <v>0</v>
      </c>
    </row>
    <row r="5303" spans="1:3" x14ac:dyDescent="0.6">
      <c r="A5303" s="24">
        <v>37236</v>
      </c>
      <c r="B5303" s="23">
        <v>1.3945939999999999</v>
      </c>
      <c r="C5303" s="32">
        <f t="shared" si="82"/>
        <v>-3.3718157113974079E-2</v>
      </c>
    </row>
    <row r="5304" spans="1:3" x14ac:dyDescent="0.6">
      <c r="A5304" s="24">
        <v>37237</v>
      </c>
      <c r="B5304" s="23">
        <v>1.3760250000000001</v>
      </c>
      <c r="C5304" s="32">
        <f t="shared" si="82"/>
        <v>-1.331498629708705E-2</v>
      </c>
    </row>
    <row r="5305" spans="1:3" x14ac:dyDescent="0.6">
      <c r="A5305" s="24">
        <v>37238</v>
      </c>
      <c r="B5305" s="23">
        <v>1.3446499999999999</v>
      </c>
      <c r="C5305" s="32">
        <f t="shared" si="82"/>
        <v>-2.2801184571501376E-2</v>
      </c>
    </row>
    <row r="5306" spans="1:3" x14ac:dyDescent="0.6">
      <c r="A5306" s="24">
        <v>37239</v>
      </c>
      <c r="B5306" s="23">
        <v>1.3055909999999999</v>
      </c>
      <c r="C5306" s="32">
        <f t="shared" si="82"/>
        <v>-2.9047707581898563E-2</v>
      </c>
    </row>
    <row r="5307" spans="1:3" x14ac:dyDescent="0.6">
      <c r="A5307" s="24">
        <v>37242</v>
      </c>
      <c r="B5307" s="23">
        <v>1.3203180000000001</v>
      </c>
      <c r="C5307" s="32">
        <f t="shared" si="82"/>
        <v>1.1279949080531537E-2</v>
      </c>
    </row>
    <row r="5308" spans="1:3" x14ac:dyDescent="0.6">
      <c r="A5308" s="24">
        <v>37243</v>
      </c>
      <c r="B5308" s="23">
        <v>1.3452900000000001</v>
      </c>
      <c r="C5308" s="32">
        <f t="shared" si="82"/>
        <v>1.8913625353891961E-2</v>
      </c>
    </row>
    <row r="5309" spans="1:3" x14ac:dyDescent="0.6">
      <c r="A5309" s="24">
        <v>37244</v>
      </c>
      <c r="B5309" s="23">
        <v>1.3843490000000001</v>
      </c>
      <c r="C5309" s="32">
        <f t="shared" si="82"/>
        <v>2.9033888603944069E-2</v>
      </c>
    </row>
    <row r="5310" spans="1:3" x14ac:dyDescent="0.6">
      <c r="A5310" s="24">
        <v>37245</v>
      </c>
      <c r="B5310" s="23">
        <v>1.32352</v>
      </c>
      <c r="C5310" s="32">
        <f t="shared" si="82"/>
        <v>-4.3940509221301882E-2</v>
      </c>
    </row>
    <row r="5311" spans="1:3" x14ac:dyDescent="0.6">
      <c r="A5311" s="24">
        <v>37246</v>
      </c>
      <c r="B5311" s="23">
        <v>1.3446499999999999</v>
      </c>
      <c r="C5311" s="32">
        <f t="shared" si="82"/>
        <v>1.596500241779486E-2</v>
      </c>
    </row>
    <row r="5312" spans="1:3" x14ac:dyDescent="0.6">
      <c r="A5312" s="24">
        <v>37249</v>
      </c>
      <c r="B5312" s="23">
        <v>1.3677010000000001</v>
      </c>
      <c r="C5312" s="32">
        <f t="shared" si="82"/>
        <v>1.7142750901721682E-2</v>
      </c>
    </row>
    <row r="5313" spans="1:3" x14ac:dyDescent="0.6">
      <c r="A5313" s="24">
        <v>37251</v>
      </c>
      <c r="B5313" s="23">
        <v>1.3760250000000001</v>
      </c>
      <c r="C5313" s="32">
        <f t="shared" si="82"/>
        <v>6.0861255493707134E-3</v>
      </c>
    </row>
    <row r="5314" spans="1:3" x14ac:dyDescent="0.6">
      <c r="A5314" s="24">
        <v>37252</v>
      </c>
      <c r="B5314" s="23">
        <v>1.4131629999999999</v>
      </c>
      <c r="C5314" s="32">
        <f t="shared" si="82"/>
        <v>2.6989335222833866E-2</v>
      </c>
    </row>
    <row r="5315" spans="1:3" x14ac:dyDescent="0.6">
      <c r="A5315" s="24">
        <v>37253</v>
      </c>
      <c r="B5315" s="23">
        <v>1.4362140000000001</v>
      </c>
      <c r="C5315" s="32">
        <f t="shared" si="82"/>
        <v>1.6311635671185876E-2</v>
      </c>
    </row>
    <row r="5316" spans="1:3" x14ac:dyDescent="0.6">
      <c r="A5316" s="24">
        <v>37256</v>
      </c>
      <c r="B5316" s="23">
        <v>1.4022779999999999</v>
      </c>
      <c r="C5316" s="32">
        <f t="shared" ref="C5316:C5379" si="83">B5316/B5315-1</f>
        <v>-2.3628790695537139E-2</v>
      </c>
    </row>
    <row r="5317" spans="1:3" x14ac:dyDescent="0.6">
      <c r="A5317" s="24">
        <v>37258</v>
      </c>
      <c r="B5317" s="23">
        <v>1.491922</v>
      </c>
      <c r="C5317" s="32">
        <f t="shared" si="83"/>
        <v>6.3927409543613978E-2</v>
      </c>
    </row>
    <row r="5318" spans="1:3" x14ac:dyDescent="0.6">
      <c r="A5318" s="24">
        <v>37259</v>
      </c>
      <c r="B5318" s="23">
        <v>1.5098499999999999</v>
      </c>
      <c r="C5318" s="32">
        <f t="shared" si="83"/>
        <v>1.2016714010517848E-2</v>
      </c>
    </row>
    <row r="5319" spans="1:3" x14ac:dyDescent="0.6">
      <c r="A5319" s="24">
        <v>37260</v>
      </c>
      <c r="B5319" s="23">
        <v>1.516894</v>
      </c>
      <c r="C5319" s="32">
        <f t="shared" si="83"/>
        <v>4.6653641090175224E-3</v>
      </c>
    </row>
    <row r="5320" spans="1:3" x14ac:dyDescent="0.6">
      <c r="A5320" s="24">
        <v>37263</v>
      </c>
      <c r="B5320" s="23">
        <v>1.4663090000000001</v>
      </c>
      <c r="C5320" s="32">
        <f t="shared" si="83"/>
        <v>-3.3347748755021667E-2</v>
      </c>
    </row>
    <row r="5321" spans="1:3" x14ac:dyDescent="0.6">
      <c r="A5321" s="24">
        <v>37264</v>
      </c>
      <c r="B5321" s="23">
        <v>1.44774</v>
      </c>
      <c r="C5321" s="32">
        <f t="shared" si="83"/>
        <v>-1.2663770051196566E-2</v>
      </c>
    </row>
    <row r="5322" spans="1:3" x14ac:dyDescent="0.6">
      <c r="A5322" s="24">
        <v>37265</v>
      </c>
      <c r="B5322" s="23">
        <v>1.3862699999999999</v>
      </c>
      <c r="C5322" s="32">
        <f t="shared" si="83"/>
        <v>-4.2459281362675738E-2</v>
      </c>
    </row>
    <row r="5323" spans="1:3" x14ac:dyDescent="0.6">
      <c r="A5323" s="24">
        <v>37266</v>
      </c>
      <c r="B5323" s="23">
        <v>1.3593770000000001</v>
      </c>
      <c r="C5323" s="32">
        <f t="shared" si="83"/>
        <v>-1.939953977219433E-2</v>
      </c>
    </row>
    <row r="5324" spans="1:3" x14ac:dyDescent="0.6">
      <c r="A5324" s="24">
        <v>37267</v>
      </c>
      <c r="B5324" s="23">
        <v>1.3478520000000001</v>
      </c>
      <c r="C5324" s="32">
        <f t="shared" si="83"/>
        <v>-8.4781484459425238E-3</v>
      </c>
    </row>
    <row r="5325" spans="1:3" x14ac:dyDescent="0.6">
      <c r="A5325" s="24">
        <v>37270</v>
      </c>
      <c r="B5325" s="23">
        <v>1.354255</v>
      </c>
      <c r="C5325" s="32">
        <f t="shared" si="83"/>
        <v>4.7505215706173942E-3</v>
      </c>
    </row>
    <row r="5326" spans="1:3" x14ac:dyDescent="0.6">
      <c r="A5326" s="24">
        <v>37271</v>
      </c>
      <c r="B5326" s="23">
        <v>1.389472</v>
      </c>
      <c r="C5326" s="32">
        <f t="shared" si="83"/>
        <v>2.6004703693174536E-2</v>
      </c>
    </row>
    <row r="5327" spans="1:3" x14ac:dyDescent="0.6">
      <c r="A5327" s="24">
        <v>37272</v>
      </c>
      <c r="B5327" s="23">
        <v>1.3305629999999999</v>
      </c>
      <c r="C5327" s="32">
        <f t="shared" si="83"/>
        <v>-4.2396680177794188E-2</v>
      </c>
    </row>
    <row r="5328" spans="1:3" x14ac:dyDescent="0.6">
      <c r="A5328" s="24">
        <v>37273</v>
      </c>
      <c r="B5328" s="23">
        <v>1.439416</v>
      </c>
      <c r="C5328" s="32">
        <f t="shared" si="83"/>
        <v>8.1809730166854333E-2</v>
      </c>
    </row>
    <row r="5329" spans="1:3" x14ac:dyDescent="0.6">
      <c r="A5329" s="24">
        <v>37274</v>
      </c>
      <c r="B5329" s="23">
        <v>1.419567</v>
      </c>
      <c r="C5329" s="32">
        <f t="shared" si="83"/>
        <v>-1.3789620234873068E-2</v>
      </c>
    </row>
    <row r="5330" spans="1:3" x14ac:dyDescent="0.6">
      <c r="A5330" s="24">
        <v>37278</v>
      </c>
      <c r="B5330" s="23">
        <v>1.3971560000000001</v>
      </c>
      <c r="C5330" s="32">
        <f t="shared" si="83"/>
        <v>-1.578720835296954E-2</v>
      </c>
    </row>
    <row r="5331" spans="1:3" x14ac:dyDescent="0.6">
      <c r="A5331" s="24">
        <v>37279</v>
      </c>
      <c r="B5331" s="23">
        <v>1.4739930000000001</v>
      </c>
      <c r="C5331" s="32">
        <f t="shared" si="83"/>
        <v>5.4995290432850785E-2</v>
      </c>
    </row>
    <row r="5332" spans="1:3" x14ac:dyDescent="0.6">
      <c r="A5332" s="24">
        <v>37280</v>
      </c>
      <c r="B5332" s="23">
        <v>1.4861580000000001</v>
      </c>
      <c r="C5332" s="32">
        <f t="shared" si="83"/>
        <v>8.2530921110208766E-3</v>
      </c>
    </row>
    <row r="5333" spans="1:3" x14ac:dyDescent="0.6">
      <c r="A5333" s="24">
        <v>37281</v>
      </c>
      <c r="B5333" s="23">
        <v>1.48872</v>
      </c>
      <c r="C5333" s="32">
        <f t="shared" si="83"/>
        <v>1.7239082251012672E-3</v>
      </c>
    </row>
    <row r="5334" spans="1:3" x14ac:dyDescent="0.6">
      <c r="A5334" s="24">
        <v>37284</v>
      </c>
      <c r="B5334" s="23">
        <v>1.49</v>
      </c>
      <c r="C5334" s="32">
        <f t="shared" si="83"/>
        <v>8.5979902197852454E-4</v>
      </c>
    </row>
    <row r="5335" spans="1:3" x14ac:dyDescent="0.6">
      <c r="A5335" s="24">
        <v>37285</v>
      </c>
      <c r="B5335" s="23">
        <v>1.477195</v>
      </c>
      <c r="C5335" s="32">
        <f t="shared" si="83"/>
        <v>-8.5939597315436433E-3</v>
      </c>
    </row>
    <row r="5336" spans="1:3" x14ac:dyDescent="0.6">
      <c r="A5336" s="24">
        <v>37286</v>
      </c>
      <c r="B5336" s="23">
        <v>1.5425059999999999</v>
      </c>
      <c r="C5336" s="32">
        <f t="shared" si="83"/>
        <v>4.4212849352996741E-2</v>
      </c>
    </row>
    <row r="5337" spans="1:3" x14ac:dyDescent="0.6">
      <c r="A5337" s="24">
        <v>37287</v>
      </c>
      <c r="B5337" s="23">
        <v>1.5828450000000001</v>
      </c>
      <c r="C5337" s="32">
        <f t="shared" si="83"/>
        <v>2.615160005860595E-2</v>
      </c>
    </row>
    <row r="5338" spans="1:3" x14ac:dyDescent="0.6">
      <c r="A5338" s="24">
        <v>37288</v>
      </c>
      <c r="B5338" s="23">
        <v>1.5629960000000001</v>
      </c>
      <c r="C5338" s="32">
        <f t="shared" si="83"/>
        <v>-1.2540078150419021E-2</v>
      </c>
    </row>
    <row r="5339" spans="1:3" x14ac:dyDescent="0.6">
      <c r="A5339" s="24">
        <v>37291</v>
      </c>
      <c r="B5339" s="23">
        <v>1.6231850000000001</v>
      </c>
      <c r="C5339" s="32">
        <f t="shared" si="83"/>
        <v>3.850873578691183E-2</v>
      </c>
    </row>
    <row r="5340" spans="1:3" x14ac:dyDescent="0.6">
      <c r="A5340" s="24">
        <v>37292</v>
      </c>
      <c r="B5340" s="23">
        <v>1.629588</v>
      </c>
      <c r="C5340" s="32">
        <f t="shared" si="83"/>
        <v>3.9447136339973987E-3</v>
      </c>
    </row>
    <row r="5341" spans="1:3" x14ac:dyDescent="0.6">
      <c r="A5341" s="24">
        <v>37293</v>
      </c>
      <c r="B5341" s="23">
        <v>1.579644</v>
      </c>
      <c r="C5341" s="32">
        <f t="shared" si="83"/>
        <v>-3.0648237468611672E-2</v>
      </c>
    </row>
    <row r="5342" spans="1:3" x14ac:dyDescent="0.6">
      <c r="A5342" s="24">
        <v>37294</v>
      </c>
      <c r="B5342" s="23">
        <v>1.555952</v>
      </c>
      <c r="C5342" s="32">
        <f t="shared" si="83"/>
        <v>-1.4998316076280549E-2</v>
      </c>
    </row>
    <row r="5343" spans="1:3" x14ac:dyDescent="0.6">
      <c r="A5343" s="24">
        <v>37295</v>
      </c>
      <c r="B5343" s="23">
        <v>1.538664</v>
      </c>
      <c r="C5343" s="32">
        <f t="shared" si="83"/>
        <v>-1.1110882597920702E-2</v>
      </c>
    </row>
    <row r="5344" spans="1:3" x14ac:dyDescent="0.6">
      <c r="A5344" s="24">
        <v>37298</v>
      </c>
      <c r="B5344" s="23">
        <v>1.5994930000000001</v>
      </c>
      <c r="C5344" s="32">
        <f t="shared" si="83"/>
        <v>3.953364737200582E-2</v>
      </c>
    </row>
    <row r="5345" spans="1:3" x14ac:dyDescent="0.6">
      <c r="A5345" s="24">
        <v>37299</v>
      </c>
      <c r="B5345" s="23">
        <v>1.5822050000000001</v>
      </c>
      <c r="C5345" s="32">
        <f t="shared" si="83"/>
        <v>-1.0808424919646398E-2</v>
      </c>
    </row>
    <row r="5346" spans="1:3" x14ac:dyDescent="0.6">
      <c r="A5346" s="24">
        <v>37300</v>
      </c>
      <c r="B5346" s="23">
        <v>1.6014139999999999</v>
      </c>
      <c r="C5346" s="32">
        <f t="shared" si="83"/>
        <v>1.2140651811870073E-2</v>
      </c>
    </row>
    <row r="5347" spans="1:3" x14ac:dyDescent="0.6">
      <c r="A5347" s="24">
        <v>37301</v>
      </c>
      <c r="B5347" s="23">
        <v>1.575162</v>
      </c>
      <c r="C5347" s="32">
        <f t="shared" si="83"/>
        <v>-1.6393012675048446E-2</v>
      </c>
    </row>
    <row r="5348" spans="1:3" x14ac:dyDescent="0.6">
      <c r="A5348" s="24">
        <v>37302</v>
      </c>
      <c r="B5348" s="23">
        <v>1.53034</v>
      </c>
      <c r="C5348" s="32">
        <f t="shared" si="83"/>
        <v>-2.845548584843971E-2</v>
      </c>
    </row>
    <row r="5349" spans="1:3" x14ac:dyDescent="0.6">
      <c r="A5349" s="24">
        <v>37306</v>
      </c>
      <c r="B5349" s="23">
        <v>1.44838</v>
      </c>
      <c r="C5349" s="32">
        <f t="shared" si="83"/>
        <v>-5.3556725956323437E-2</v>
      </c>
    </row>
    <row r="5350" spans="1:3" x14ac:dyDescent="0.6">
      <c r="A5350" s="24">
        <v>37307</v>
      </c>
      <c r="B5350" s="23">
        <v>1.481036</v>
      </c>
      <c r="C5350" s="32">
        <f t="shared" si="83"/>
        <v>2.2546569270495365E-2</v>
      </c>
    </row>
    <row r="5351" spans="1:3" x14ac:dyDescent="0.6">
      <c r="A5351" s="24">
        <v>37308</v>
      </c>
      <c r="B5351" s="23">
        <v>1.3766659999999999</v>
      </c>
      <c r="C5351" s="32">
        <f t="shared" si="83"/>
        <v>-7.0470940611842003E-2</v>
      </c>
    </row>
    <row r="5352" spans="1:3" x14ac:dyDescent="0.6">
      <c r="A5352" s="24">
        <v>37309</v>
      </c>
      <c r="B5352" s="23">
        <v>1.456064</v>
      </c>
      <c r="C5352" s="32">
        <f t="shared" si="83"/>
        <v>5.7674119939041146E-2</v>
      </c>
    </row>
    <row r="5353" spans="1:3" x14ac:dyDescent="0.6">
      <c r="A5353" s="24">
        <v>37312</v>
      </c>
      <c r="B5353" s="23">
        <v>1.5245770000000001</v>
      </c>
      <c r="C5353" s="32">
        <f t="shared" si="83"/>
        <v>4.7053563579622981E-2</v>
      </c>
    </row>
    <row r="5354" spans="1:3" x14ac:dyDescent="0.6">
      <c r="A5354" s="24">
        <v>37313</v>
      </c>
      <c r="B5354" s="23">
        <v>1.5156130000000001</v>
      </c>
      <c r="C5354" s="32">
        <f t="shared" si="83"/>
        <v>-5.8796636706444083E-3</v>
      </c>
    </row>
    <row r="5355" spans="1:3" x14ac:dyDescent="0.6">
      <c r="A5355" s="24">
        <v>37314</v>
      </c>
      <c r="B5355" s="23">
        <v>1.40612</v>
      </c>
      <c r="C5355" s="32">
        <f t="shared" si="83"/>
        <v>-7.2243376112503643E-2</v>
      </c>
    </row>
    <row r="5356" spans="1:3" x14ac:dyDescent="0.6">
      <c r="A5356" s="24">
        <v>37315</v>
      </c>
      <c r="B5356" s="23">
        <v>1.389472</v>
      </c>
      <c r="C5356" s="32">
        <f t="shared" si="83"/>
        <v>-1.183967228970495E-2</v>
      </c>
    </row>
    <row r="5357" spans="1:3" x14ac:dyDescent="0.6">
      <c r="A5357" s="24">
        <v>37316</v>
      </c>
      <c r="B5357" s="23">
        <v>1.5015259999999999</v>
      </c>
      <c r="C5357" s="32">
        <f t="shared" si="83"/>
        <v>8.064502199396606E-2</v>
      </c>
    </row>
    <row r="5358" spans="1:3" x14ac:dyDescent="0.6">
      <c r="A5358" s="24">
        <v>37319</v>
      </c>
      <c r="B5358" s="23">
        <v>1.555312</v>
      </c>
      <c r="C5358" s="32">
        <f t="shared" si="83"/>
        <v>3.5820891546333611E-2</v>
      </c>
    </row>
    <row r="5359" spans="1:3" x14ac:dyDescent="0.6">
      <c r="A5359" s="24">
        <v>37320</v>
      </c>
      <c r="B5359" s="23">
        <v>1.506648</v>
      </c>
      <c r="C5359" s="32">
        <f t="shared" si="83"/>
        <v>-3.1288898947606669E-2</v>
      </c>
    </row>
    <row r="5360" spans="1:3" x14ac:dyDescent="0.6">
      <c r="A5360" s="24">
        <v>37321</v>
      </c>
      <c r="B5360" s="23">
        <v>1.5412250000000001</v>
      </c>
      <c r="C5360" s="32">
        <f t="shared" si="83"/>
        <v>2.2949620614768795E-2</v>
      </c>
    </row>
    <row r="5361" spans="1:3" x14ac:dyDescent="0.6">
      <c r="A5361" s="24">
        <v>37322</v>
      </c>
      <c r="B5361" s="23">
        <v>1.561075</v>
      </c>
      <c r="C5361" s="32">
        <f t="shared" si="83"/>
        <v>1.2879365439828705E-2</v>
      </c>
    </row>
    <row r="5362" spans="1:3" x14ac:dyDescent="0.6">
      <c r="A5362" s="24">
        <v>37323</v>
      </c>
      <c r="B5362" s="23">
        <v>1.5790029999999999</v>
      </c>
      <c r="C5362" s="32">
        <f t="shared" si="83"/>
        <v>1.148439376711563E-2</v>
      </c>
    </row>
    <row r="5363" spans="1:3" x14ac:dyDescent="0.6">
      <c r="A5363" s="24">
        <v>37326</v>
      </c>
      <c r="B5363" s="23">
        <v>1.604616</v>
      </c>
      <c r="C5363" s="32">
        <f t="shared" si="83"/>
        <v>1.6220995146937645E-2</v>
      </c>
    </row>
    <row r="5364" spans="1:3" x14ac:dyDescent="0.6">
      <c r="A5364" s="24">
        <v>37327</v>
      </c>
      <c r="B5364" s="23">
        <v>1.5828450000000001</v>
      </c>
      <c r="C5364" s="32">
        <f t="shared" si="83"/>
        <v>-1.3567732092911955E-2</v>
      </c>
    </row>
    <row r="5365" spans="1:3" x14ac:dyDescent="0.6">
      <c r="A5365" s="24">
        <v>37328</v>
      </c>
      <c r="B5365" s="23">
        <v>1.5681179999999999</v>
      </c>
      <c r="C5365" s="32">
        <f t="shared" si="83"/>
        <v>-9.3041327483108782E-3</v>
      </c>
    </row>
    <row r="5366" spans="1:3" x14ac:dyDescent="0.6">
      <c r="A5366" s="24">
        <v>37329</v>
      </c>
      <c r="B5366" s="23">
        <v>1.5642769999999999</v>
      </c>
      <c r="C5366" s="32">
        <f t="shared" si="83"/>
        <v>-2.4494330146073162E-3</v>
      </c>
    </row>
    <row r="5367" spans="1:3" x14ac:dyDescent="0.6">
      <c r="A5367" s="24">
        <v>37330</v>
      </c>
      <c r="B5367" s="23">
        <v>1.5975729999999999</v>
      </c>
      <c r="C5367" s="32">
        <f t="shared" si="83"/>
        <v>2.1285232730520187E-2</v>
      </c>
    </row>
    <row r="5368" spans="1:3" x14ac:dyDescent="0.6">
      <c r="A5368" s="24">
        <v>37333</v>
      </c>
      <c r="B5368" s="23">
        <v>1.5841259999999999</v>
      </c>
      <c r="C5368" s="32">
        <f t="shared" si="83"/>
        <v>-8.4171427534140975E-3</v>
      </c>
    </row>
    <row r="5369" spans="1:3" x14ac:dyDescent="0.6">
      <c r="A5369" s="24">
        <v>37334</v>
      </c>
      <c r="B5369" s="23">
        <v>1.5911690000000001</v>
      </c>
      <c r="C5369" s="32">
        <f t="shared" si="83"/>
        <v>4.4459847259625818E-3</v>
      </c>
    </row>
    <row r="5370" spans="1:3" x14ac:dyDescent="0.6">
      <c r="A5370" s="24">
        <v>37335</v>
      </c>
      <c r="B5370" s="23">
        <v>1.5956520000000001</v>
      </c>
      <c r="C5370" s="32">
        <f t="shared" si="83"/>
        <v>2.8174254274686561E-3</v>
      </c>
    </row>
    <row r="5371" spans="1:3" x14ac:dyDescent="0.6">
      <c r="A5371" s="24">
        <v>37336</v>
      </c>
      <c r="B5371" s="23">
        <v>1.5540309999999999</v>
      </c>
      <c r="C5371" s="32">
        <f t="shared" si="83"/>
        <v>-2.6084008292535099E-2</v>
      </c>
    </row>
    <row r="5372" spans="1:3" x14ac:dyDescent="0.6">
      <c r="A5372" s="24">
        <v>37337</v>
      </c>
      <c r="B5372" s="23">
        <v>1.5425059999999999</v>
      </c>
      <c r="C5372" s="32">
        <f t="shared" si="83"/>
        <v>-7.4161969741916023E-3</v>
      </c>
    </row>
    <row r="5373" spans="1:3" x14ac:dyDescent="0.6">
      <c r="A5373" s="24">
        <v>37340</v>
      </c>
      <c r="B5373" s="23">
        <v>1.495123</v>
      </c>
      <c r="C5373" s="32">
        <f t="shared" si="83"/>
        <v>-3.0718194937329191E-2</v>
      </c>
    </row>
    <row r="5374" spans="1:3" x14ac:dyDescent="0.6">
      <c r="A5374" s="24">
        <v>37341</v>
      </c>
      <c r="B5374" s="23">
        <v>1.5021659999999999</v>
      </c>
      <c r="C5374" s="32">
        <f t="shared" si="83"/>
        <v>4.7106492241775211E-3</v>
      </c>
    </row>
    <row r="5375" spans="1:3" x14ac:dyDescent="0.6">
      <c r="A5375" s="24">
        <v>37342</v>
      </c>
      <c r="B5375" s="23">
        <v>1.502807</v>
      </c>
      <c r="C5375" s="32">
        <f t="shared" si="83"/>
        <v>4.2671715376330077E-4</v>
      </c>
    </row>
    <row r="5376" spans="1:3" x14ac:dyDescent="0.6">
      <c r="A5376" s="24">
        <v>37343</v>
      </c>
      <c r="B5376" s="23">
        <v>1.5156130000000001</v>
      </c>
      <c r="C5376" s="32">
        <f t="shared" si="83"/>
        <v>8.5213869778355544E-3</v>
      </c>
    </row>
    <row r="5377" spans="1:3" x14ac:dyDescent="0.6">
      <c r="A5377" s="24">
        <v>37347</v>
      </c>
      <c r="B5377" s="23">
        <v>1.566198</v>
      </c>
      <c r="C5377" s="32">
        <f t="shared" si="83"/>
        <v>3.3375934357913195E-2</v>
      </c>
    </row>
    <row r="5378" spans="1:3" x14ac:dyDescent="0.6">
      <c r="A5378" s="24">
        <v>37348</v>
      </c>
      <c r="B5378" s="23">
        <v>1.5412250000000001</v>
      </c>
      <c r="C5378" s="32">
        <f t="shared" si="83"/>
        <v>-1.5944982690566545E-2</v>
      </c>
    </row>
    <row r="5379" spans="1:3" x14ac:dyDescent="0.6">
      <c r="A5379" s="24">
        <v>37349</v>
      </c>
      <c r="B5379" s="23">
        <v>1.5207360000000001</v>
      </c>
      <c r="C5379" s="32">
        <f t="shared" si="83"/>
        <v>-1.329397070512095E-2</v>
      </c>
    </row>
    <row r="5380" spans="1:3" x14ac:dyDescent="0.6">
      <c r="A5380" s="24">
        <v>37350</v>
      </c>
      <c r="B5380" s="23">
        <v>1.594371</v>
      </c>
      <c r="C5380" s="32">
        <f t="shared" ref="C5380:C5443" si="84">B5380/B5379-1</f>
        <v>4.8420633167097993E-2</v>
      </c>
    </row>
    <row r="5381" spans="1:3" x14ac:dyDescent="0.6">
      <c r="A5381" s="24">
        <v>37351</v>
      </c>
      <c r="B5381" s="23">
        <v>1.5841259999999999</v>
      </c>
      <c r="C5381" s="32">
        <f t="shared" si="84"/>
        <v>-6.4257315267275406E-3</v>
      </c>
    </row>
    <row r="5382" spans="1:3" x14ac:dyDescent="0.6">
      <c r="A5382" s="24">
        <v>37354</v>
      </c>
      <c r="B5382" s="23">
        <v>1.5726009999999999</v>
      </c>
      <c r="C5382" s="32">
        <f t="shared" si="84"/>
        <v>-7.2753051209309971E-3</v>
      </c>
    </row>
    <row r="5383" spans="1:3" x14ac:dyDescent="0.6">
      <c r="A5383" s="24">
        <v>37355</v>
      </c>
      <c r="B5383" s="23">
        <v>1.5431459999999999</v>
      </c>
      <c r="C5383" s="32">
        <f t="shared" si="84"/>
        <v>-1.8730116539414698E-2</v>
      </c>
    </row>
    <row r="5384" spans="1:3" x14ac:dyDescent="0.6">
      <c r="A5384" s="24">
        <v>37356</v>
      </c>
      <c r="B5384" s="23">
        <v>1.5790029999999999</v>
      </c>
      <c r="C5384" s="32">
        <f t="shared" si="84"/>
        <v>2.3236297796838334E-2</v>
      </c>
    </row>
    <row r="5385" spans="1:3" x14ac:dyDescent="0.6">
      <c r="A5385" s="24">
        <v>37357</v>
      </c>
      <c r="B5385" s="23">
        <v>1.5918099999999999</v>
      </c>
      <c r="C5385" s="32">
        <f t="shared" si="84"/>
        <v>8.1108142289787466E-3</v>
      </c>
    </row>
    <row r="5386" spans="1:3" x14ac:dyDescent="0.6">
      <c r="A5386" s="24">
        <v>37358</v>
      </c>
      <c r="B5386" s="23">
        <v>1.604616</v>
      </c>
      <c r="C5386" s="32">
        <f t="shared" si="84"/>
        <v>8.0449299853626588E-3</v>
      </c>
    </row>
    <row r="5387" spans="1:3" x14ac:dyDescent="0.6">
      <c r="A5387" s="24">
        <v>37361</v>
      </c>
      <c r="B5387" s="23">
        <v>1.6007739999999999</v>
      </c>
      <c r="C5387" s="32">
        <f t="shared" si="84"/>
        <v>-2.3943423223999893E-3</v>
      </c>
    </row>
    <row r="5388" spans="1:3" x14ac:dyDescent="0.6">
      <c r="A5388" s="24">
        <v>37362</v>
      </c>
      <c r="B5388" s="23">
        <v>1.6481570000000001</v>
      </c>
      <c r="C5388" s="32">
        <f t="shared" si="84"/>
        <v>2.9600055972923256E-2</v>
      </c>
    </row>
    <row r="5389" spans="1:3" x14ac:dyDescent="0.6">
      <c r="A5389" s="24">
        <v>37363</v>
      </c>
      <c r="B5389" s="23">
        <v>1.6718489999999999</v>
      </c>
      <c r="C5389" s="32">
        <f t="shared" si="84"/>
        <v>1.43748441440954E-2</v>
      </c>
    </row>
    <row r="5390" spans="1:3" x14ac:dyDescent="0.6">
      <c r="A5390" s="24">
        <v>37364</v>
      </c>
      <c r="B5390" s="23">
        <v>1.627027</v>
      </c>
      <c r="C5390" s="32">
        <f t="shared" si="84"/>
        <v>-2.68098374913045E-2</v>
      </c>
    </row>
    <row r="5391" spans="1:3" x14ac:dyDescent="0.6">
      <c r="A5391" s="24">
        <v>37365</v>
      </c>
      <c r="B5391" s="23">
        <v>1.5994930000000001</v>
      </c>
      <c r="C5391" s="32">
        <f t="shared" si="84"/>
        <v>-1.6922890646559607E-2</v>
      </c>
    </row>
    <row r="5392" spans="1:3" x14ac:dyDescent="0.6">
      <c r="A5392" s="24">
        <v>37368</v>
      </c>
      <c r="B5392" s="23">
        <v>1.5706800000000001</v>
      </c>
      <c r="C5392" s="32">
        <f t="shared" si="84"/>
        <v>-1.8013833133374124E-2</v>
      </c>
    </row>
    <row r="5393" spans="1:3" x14ac:dyDescent="0.6">
      <c r="A5393" s="24">
        <v>37369</v>
      </c>
      <c r="B5393" s="23">
        <v>1.552751</v>
      </c>
      <c r="C5393" s="32">
        <f t="shared" si="84"/>
        <v>-1.1414801232587202E-2</v>
      </c>
    </row>
    <row r="5394" spans="1:3" x14ac:dyDescent="0.6">
      <c r="A5394" s="24">
        <v>37370</v>
      </c>
      <c r="B5394" s="23">
        <v>1.522016</v>
      </c>
      <c r="C5394" s="32">
        <f t="shared" si="84"/>
        <v>-1.9793901275864556E-2</v>
      </c>
    </row>
    <row r="5395" spans="1:3" x14ac:dyDescent="0.6">
      <c r="A5395" s="24">
        <v>37371</v>
      </c>
      <c r="B5395" s="23">
        <v>1.544427</v>
      </c>
      <c r="C5395" s="32">
        <f t="shared" si="84"/>
        <v>1.472454954481428E-2</v>
      </c>
    </row>
    <row r="5396" spans="1:3" x14ac:dyDescent="0.6">
      <c r="A5396" s="24">
        <v>37372</v>
      </c>
      <c r="B5396" s="23">
        <v>1.4733529999999999</v>
      </c>
      <c r="C5396" s="32">
        <f t="shared" si="84"/>
        <v>-4.6019656481012139E-2</v>
      </c>
    </row>
    <row r="5397" spans="1:3" x14ac:dyDescent="0.6">
      <c r="A5397" s="24">
        <v>37375</v>
      </c>
      <c r="B5397" s="23">
        <v>1.5341819999999999</v>
      </c>
      <c r="C5397" s="32">
        <f t="shared" si="84"/>
        <v>4.1286100479654309E-2</v>
      </c>
    </row>
    <row r="5398" spans="1:3" x14ac:dyDescent="0.6">
      <c r="A5398" s="24">
        <v>37376</v>
      </c>
      <c r="B5398" s="23">
        <v>1.5540309999999999</v>
      </c>
      <c r="C5398" s="32">
        <f t="shared" si="84"/>
        <v>1.2937839187267208E-2</v>
      </c>
    </row>
    <row r="5399" spans="1:3" x14ac:dyDescent="0.6">
      <c r="A5399" s="24">
        <v>37377</v>
      </c>
      <c r="B5399" s="23">
        <v>1.535463</v>
      </c>
      <c r="C5399" s="32">
        <f t="shared" si="84"/>
        <v>-1.194828159798611E-2</v>
      </c>
    </row>
    <row r="5400" spans="1:3" x14ac:dyDescent="0.6">
      <c r="A5400" s="24">
        <v>37378</v>
      </c>
      <c r="B5400" s="23">
        <v>1.516894</v>
      </c>
      <c r="C5400" s="32">
        <f t="shared" si="84"/>
        <v>-1.2093420681579481E-2</v>
      </c>
    </row>
    <row r="5401" spans="1:3" x14ac:dyDescent="0.6">
      <c r="A5401" s="24">
        <v>37379</v>
      </c>
      <c r="B5401" s="23">
        <v>1.505368</v>
      </c>
      <c r="C5401" s="32">
        <f t="shared" si="84"/>
        <v>-7.5984215113250597E-3</v>
      </c>
    </row>
    <row r="5402" spans="1:3" x14ac:dyDescent="0.6">
      <c r="A5402" s="24">
        <v>37382</v>
      </c>
      <c r="B5402" s="23">
        <v>1.4503010000000001</v>
      </c>
      <c r="C5402" s="32">
        <f t="shared" si="84"/>
        <v>-3.658042418863694E-2</v>
      </c>
    </row>
    <row r="5403" spans="1:3" x14ac:dyDescent="0.6">
      <c r="A5403" s="24">
        <v>37383</v>
      </c>
      <c r="B5403" s="23">
        <v>1.4387760000000001</v>
      </c>
      <c r="C5403" s="32">
        <f t="shared" si="84"/>
        <v>-7.9466262520676567E-3</v>
      </c>
    </row>
    <row r="5404" spans="1:3" x14ac:dyDescent="0.6">
      <c r="A5404" s="24">
        <v>37384</v>
      </c>
      <c r="B5404" s="23">
        <v>1.560435</v>
      </c>
      <c r="C5404" s="32">
        <f t="shared" si="84"/>
        <v>8.4557290363475701E-2</v>
      </c>
    </row>
    <row r="5405" spans="1:3" x14ac:dyDescent="0.6">
      <c r="A5405" s="24">
        <v>37385</v>
      </c>
      <c r="B5405" s="23">
        <v>1.5489090000000001</v>
      </c>
      <c r="C5405" s="32">
        <f t="shared" si="84"/>
        <v>-7.3864018687096467E-3</v>
      </c>
    </row>
    <row r="5406" spans="1:3" x14ac:dyDescent="0.6">
      <c r="A5406" s="24">
        <v>37386</v>
      </c>
      <c r="B5406" s="23">
        <v>1.4932019999999999</v>
      </c>
      <c r="C5406" s="32">
        <f t="shared" si="84"/>
        <v>-3.5965314941032833E-2</v>
      </c>
    </row>
    <row r="5407" spans="1:3" x14ac:dyDescent="0.6">
      <c r="A5407" s="24">
        <v>37389</v>
      </c>
      <c r="B5407" s="23">
        <v>1.5329010000000001</v>
      </c>
      <c r="C5407" s="32">
        <f t="shared" si="84"/>
        <v>2.6586489972555638E-2</v>
      </c>
    </row>
    <row r="5408" spans="1:3" x14ac:dyDescent="0.6">
      <c r="A5408" s="24">
        <v>37390</v>
      </c>
      <c r="B5408" s="23">
        <v>1.6398330000000001</v>
      </c>
      <c r="C5408" s="32">
        <f t="shared" si="84"/>
        <v>6.9757929572751287E-2</v>
      </c>
    </row>
    <row r="5409" spans="1:3" x14ac:dyDescent="0.6">
      <c r="A5409" s="24">
        <v>37391</v>
      </c>
      <c r="B5409" s="23">
        <v>1.618703</v>
      </c>
      <c r="C5409" s="32">
        <f t="shared" si="84"/>
        <v>-1.2885458458269938E-2</v>
      </c>
    </row>
    <row r="5410" spans="1:3" x14ac:dyDescent="0.6">
      <c r="A5410" s="24">
        <v>37392</v>
      </c>
      <c r="B5410" s="23">
        <v>1.61422</v>
      </c>
      <c r="C5410" s="32">
        <f t="shared" si="84"/>
        <v>-2.7695012611949066E-3</v>
      </c>
    </row>
    <row r="5411" spans="1:3" x14ac:dyDescent="0.6">
      <c r="A5411" s="24">
        <v>37393</v>
      </c>
      <c r="B5411" s="23">
        <v>1.6014139999999999</v>
      </c>
      <c r="C5411" s="32">
        <f t="shared" si="84"/>
        <v>-7.9332433001697567E-3</v>
      </c>
    </row>
    <row r="5412" spans="1:3" x14ac:dyDescent="0.6">
      <c r="A5412" s="24">
        <v>37396</v>
      </c>
      <c r="B5412" s="23">
        <v>1.5841259999999999</v>
      </c>
      <c r="C5412" s="32">
        <f t="shared" si="84"/>
        <v>-1.0795459512655703E-2</v>
      </c>
    </row>
    <row r="5413" spans="1:3" x14ac:dyDescent="0.6">
      <c r="A5413" s="24">
        <v>37397</v>
      </c>
      <c r="B5413" s="23">
        <v>1.5021659999999999</v>
      </c>
      <c r="C5413" s="32">
        <f t="shared" si="84"/>
        <v>-5.1738308695141733E-2</v>
      </c>
    </row>
    <row r="5414" spans="1:3" x14ac:dyDescent="0.6">
      <c r="A5414" s="24">
        <v>37398</v>
      </c>
      <c r="B5414" s="23">
        <v>1.5572330000000001</v>
      </c>
      <c r="C5414" s="32">
        <f t="shared" si="84"/>
        <v>3.6658398605746711E-2</v>
      </c>
    </row>
    <row r="5415" spans="1:3" x14ac:dyDescent="0.6">
      <c r="A5415" s="24">
        <v>37399</v>
      </c>
      <c r="B5415" s="23">
        <v>1.6123000000000001</v>
      </c>
      <c r="C5415" s="32">
        <f t="shared" si="84"/>
        <v>3.5362081332722894E-2</v>
      </c>
    </row>
    <row r="5416" spans="1:3" x14ac:dyDescent="0.6">
      <c r="A5416" s="24">
        <v>37400</v>
      </c>
      <c r="B5416" s="23">
        <v>1.5463469999999999</v>
      </c>
      <c r="C5416" s="32">
        <f t="shared" si="84"/>
        <v>-4.0906158903429968E-2</v>
      </c>
    </row>
    <row r="5417" spans="1:3" x14ac:dyDescent="0.6">
      <c r="A5417" s="24">
        <v>37404</v>
      </c>
      <c r="B5417" s="23">
        <v>1.535463</v>
      </c>
      <c r="C5417" s="32">
        <f t="shared" si="84"/>
        <v>-7.0385236948756758E-3</v>
      </c>
    </row>
    <row r="5418" spans="1:3" x14ac:dyDescent="0.6">
      <c r="A5418" s="24">
        <v>37405</v>
      </c>
      <c r="B5418" s="23">
        <v>1.535463</v>
      </c>
      <c r="C5418" s="32">
        <f t="shared" si="84"/>
        <v>0</v>
      </c>
    </row>
    <row r="5419" spans="1:3" x14ac:dyDescent="0.6">
      <c r="A5419" s="24">
        <v>37406</v>
      </c>
      <c r="B5419" s="23">
        <v>1.5495490000000001</v>
      </c>
      <c r="C5419" s="32">
        <f t="shared" si="84"/>
        <v>9.1737801562135068E-3</v>
      </c>
    </row>
    <row r="5420" spans="1:3" x14ac:dyDescent="0.6">
      <c r="A5420" s="24">
        <v>37407</v>
      </c>
      <c r="B5420" s="23">
        <v>1.491922</v>
      </c>
      <c r="C5420" s="32">
        <f t="shared" si="84"/>
        <v>-3.7189530631170808E-2</v>
      </c>
    </row>
    <row r="5421" spans="1:3" x14ac:dyDescent="0.6">
      <c r="A5421" s="24">
        <v>37410</v>
      </c>
      <c r="B5421" s="23">
        <v>1.4669490000000001</v>
      </c>
      <c r="C5421" s="32">
        <f t="shared" si="84"/>
        <v>-1.6738810742116472E-2</v>
      </c>
    </row>
    <row r="5422" spans="1:3" x14ac:dyDescent="0.6">
      <c r="A5422" s="24">
        <v>37411</v>
      </c>
      <c r="B5422" s="23">
        <v>1.458626</v>
      </c>
      <c r="C5422" s="32">
        <f t="shared" si="84"/>
        <v>-5.6736805437681559E-3</v>
      </c>
    </row>
    <row r="5423" spans="1:3" x14ac:dyDescent="0.6">
      <c r="A5423" s="24">
        <v>37412</v>
      </c>
      <c r="B5423" s="23">
        <v>1.4547829999999999</v>
      </c>
      <c r="C5423" s="32">
        <f t="shared" si="84"/>
        <v>-2.6346712591165389E-3</v>
      </c>
    </row>
    <row r="5424" spans="1:3" x14ac:dyDescent="0.6">
      <c r="A5424" s="24">
        <v>37413</v>
      </c>
      <c r="B5424" s="23">
        <v>1.4189259999999999</v>
      </c>
      <c r="C5424" s="32">
        <f t="shared" si="84"/>
        <v>-2.4647662228662326E-2</v>
      </c>
    </row>
    <row r="5425" spans="1:3" x14ac:dyDescent="0.6">
      <c r="A5425" s="24">
        <v>37414</v>
      </c>
      <c r="B5425" s="23">
        <v>1.370263</v>
      </c>
      <c r="C5425" s="32">
        <f t="shared" si="84"/>
        <v>-3.4295657419766701E-2</v>
      </c>
    </row>
    <row r="5426" spans="1:3" x14ac:dyDescent="0.6">
      <c r="A5426" s="24">
        <v>37417</v>
      </c>
      <c r="B5426" s="23">
        <v>1.3753850000000001</v>
      </c>
      <c r="C5426" s="32">
        <f t="shared" si="84"/>
        <v>3.7379685505629645E-3</v>
      </c>
    </row>
    <row r="5427" spans="1:3" x14ac:dyDescent="0.6">
      <c r="A5427" s="24">
        <v>37418</v>
      </c>
      <c r="B5427" s="23">
        <v>1.310074</v>
      </c>
      <c r="C5427" s="32">
        <f t="shared" si="84"/>
        <v>-4.7485613119235826E-2</v>
      </c>
    </row>
    <row r="5428" spans="1:3" x14ac:dyDescent="0.6">
      <c r="A5428" s="24">
        <v>37419</v>
      </c>
      <c r="B5428" s="23">
        <v>1.2863819999999999</v>
      </c>
      <c r="C5428" s="32">
        <f t="shared" si="84"/>
        <v>-1.808447461746443E-2</v>
      </c>
    </row>
    <row r="5429" spans="1:3" x14ac:dyDescent="0.6">
      <c r="A5429" s="24">
        <v>37420</v>
      </c>
      <c r="B5429" s="23">
        <v>1.2511650000000001</v>
      </c>
      <c r="C5429" s="32">
        <f t="shared" si="84"/>
        <v>-2.7376782324379456E-2</v>
      </c>
    </row>
    <row r="5430" spans="1:3" x14ac:dyDescent="0.6">
      <c r="A5430" s="24">
        <v>37421</v>
      </c>
      <c r="B5430" s="23">
        <v>1.2870220000000001</v>
      </c>
      <c r="C5430" s="32">
        <f t="shared" si="84"/>
        <v>2.8658889914599639E-2</v>
      </c>
    </row>
    <row r="5431" spans="1:3" x14ac:dyDescent="0.6">
      <c r="A5431" s="24">
        <v>37424</v>
      </c>
      <c r="B5431" s="23">
        <v>1.315196</v>
      </c>
      <c r="C5431" s="32">
        <f t="shared" si="84"/>
        <v>2.1890845688729454E-2</v>
      </c>
    </row>
    <row r="5432" spans="1:3" x14ac:dyDescent="0.6">
      <c r="A5432" s="24">
        <v>37425</v>
      </c>
      <c r="B5432" s="23">
        <v>1.290224</v>
      </c>
      <c r="C5432" s="32">
        <f t="shared" si="84"/>
        <v>-1.8987284024586493E-2</v>
      </c>
    </row>
    <row r="5433" spans="1:3" x14ac:dyDescent="0.6">
      <c r="A5433" s="24">
        <v>37426</v>
      </c>
      <c r="B5433" s="23">
        <v>1.0962099999999999</v>
      </c>
      <c r="C5433" s="32">
        <f t="shared" si="84"/>
        <v>-0.15037233844665743</v>
      </c>
    </row>
    <row r="5434" spans="1:3" x14ac:dyDescent="0.6">
      <c r="A5434" s="24">
        <v>37427</v>
      </c>
      <c r="B5434" s="23">
        <v>1.0955699999999999</v>
      </c>
      <c r="C5434" s="32">
        <f t="shared" si="84"/>
        <v>-5.8382974065185334E-4</v>
      </c>
    </row>
    <row r="5435" spans="1:3" x14ac:dyDescent="0.6">
      <c r="A5435" s="24">
        <v>37428</v>
      </c>
      <c r="B5435" s="23">
        <v>1.0789219999999999</v>
      </c>
      <c r="C5435" s="32">
        <f t="shared" si="84"/>
        <v>-1.5195742855317329E-2</v>
      </c>
    </row>
    <row r="5436" spans="1:3" x14ac:dyDescent="0.6">
      <c r="A5436" s="24">
        <v>37431</v>
      </c>
      <c r="B5436" s="23">
        <v>1.1058140000000001</v>
      </c>
      <c r="C5436" s="32">
        <f t="shared" si="84"/>
        <v>2.4924878721538812E-2</v>
      </c>
    </row>
    <row r="5437" spans="1:3" x14ac:dyDescent="0.6">
      <c r="A5437" s="24">
        <v>37432</v>
      </c>
      <c r="B5437" s="23">
        <v>1.097491</v>
      </c>
      <c r="C5437" s="32">
        <f t="shared" si="84"/>
        <v>-7.5265822281144201E-3</v>
      </c>
    </row>
    <row r="5438" spans="1:3" x14ac:dyDescent="0.6">
      <c r="A5438" s="24">
        <v>37433</v>
      </c>
      <c r="B5438" s="23">
        <v>1.059712</v>
      </c>
      <c r="C5438" s="32">
        <f t="shared" si="84"/>
        <v>-3.4423061328065607E-2</v>
      </c>
    </row>
    <row r="5439" spans="1:3" x14ac:dyDescent="0.6">
      <c r="A5439" s="24">
        <v>37434</v>
      </c>
      <c r="B5439" s="23">
        <v>1.092368</v>
      </c>
      <c r="C5439" s="32">
        <f t="shared" si="84"/>
        <v>3.0815919797076985E-2</v>
      </c>
    </row>
    <row r="5440" spans="1:3" x14ac:dyDescent="0.6">
      <c r="A5440" s="24">
        <v>37435</v>
      </c>
      <c r="B5440" s="23">
        <v>1.1346290000000001</v>
      </c>
      <c r="C5440" s="32">
        <f t="shared" si="84"/>
        <v>3.8687511900751481E-2</v>
      </c>
    </row>
    <row r="5441" spans="1:3" x14ac:dyDescent="0.6">
      <c r="A5441" s="24">
        <v>37438</v>
      </c>
      <c r="B5441" s="23">
        <v>1.092368</v>
      </c>
      <c r="C5441" s="32">
        <f t="shared" si="84"/>
        <v>-3.7246536092414462E-2</v>
      </c>
    </row>
    <row r="5442" spans="1:3" x14ac:dyDescent="0.6">
      <c r="A5442" s="24">
        <v>37439</v>
      </c>
      <c r="B5442" s="23">
        <v>1.084684</v>
      </c>
      <c r="C5442" s="32">
        <f t="shared" si="84"/>
        <v>-7.0342595169393674E-3</v>
      </c>
    </row>
    <row r="5443" spans="1:3" x14ac:dyDescent="0.6">
      <c r="A5443" s="24">
        <v>37440</v>
      </c>
      <c r="B5443" s="23">
        <v>1.1237429999999999</v>
      </c>
      <c r="C5443" s="32">
        <f t="shared" si="84"/>
        <v>3.6009565919659536E-2</v>
      </c>
    </row>
    <row r="5444" spans="1:3" x14ac:dyDescent="0.6">
      <c r="A5444" s="24">
        <v>37442</v>
      </c>
      <c r="B5444" s="23">
        <v>1.19994</v>
      </c>
      <c r="C5444" s="32">
        <f t="shared" ref="C5444:C5507" si="85">B5444/B5443-1</f>
        <v>6.7806429050058625E-2</v>
      </c>
    </row>
    <row r="5445" spans="1:3" x14ac:dyDescent="0.6">
      <c r="A5445" s="24">
        <v>37445</v>
      </c>
      <c r="B5445" s="23">
        <v>1.153197</v>
      </c>
      <c r="C5445" s="32">
        <f t="shared" si="85"/>
        <v>-3.8954447722386099E-2</v>
      </c>
    </row>
    <row r="5446" spans="1:3" x14ac:dyDescent="0.6">
      <c r="A5446" s="24">
        <v>37446</v>
      </c>
      <c r="B5446" s="23">
        <v>1.122463</v>
      </c>
      <c r="C5446" s="32">
        <f t="shared" si="85"/>
        <v>-2.6651127257528495E-2</v>
      </c>
    </row>
    <row r="5447" spans="1:3" x14ac:dyDescent="0.6">
      <c r="A5447" s="24">
        <v>37447</v>
      </c>
      <c r="B5447" s="23">
        <v>1.109016</v>
      </c>
      <c r="C5447" s="32">
        <f t="shared" si="85"/>
        <v>-1.1979904905551453E-2</v>
      </c>
    </row>
    <row r="5448" spans="1:3" x14ac:dyDescent="0.6">
      <c r="A5448" s="24">
        <v>37448</v>
      </c>
      <c r="B5448" s="23">
        <v>1.171767</v>
      </c>
      <c r="C5448" s="32">
        <f t="shared" si="85"/>
        <v>5.6582592135731025E-2</v>
      </c>
    </row>
    <row r="5449" spans="1:3" x14ac:dyDescent="0.6">
      <c r="A5449" s="24">
        <v>37449</v>
      </c>
      <c r="B5449" s="23">
        <v>1.1211819999999999</v>
      </c>
      <c r="C5449" s="32">
        <f t="shared" si="85"/>
        <v>-4.3169845199600321E-2</v>
      </c>
    </row>
    <row r="5450" spans="1:3" x14ac:dyDescent="0.6">
      <c r="A5450" s="24">
        <v>37452</v>
      </c>
      <c r="B5450" s="23">
        <v>1.167284</v>
      </c>
      <c r="C5450" s="32">
        <f t="shared" si="85"/>
        <v>4.1119104659190109E-2</v>
      </c>
    </row>
    <row r="5451" spans="1:3" x14ac:dyDescent="0.6">
      <c r="A5451" s="24">
        <v>37453</v>
      </c>
      <c r="B5451" s="23">
        <v>1.1435930000000001</v>
      </c>
      <c r="C5451" s="32">
        <f t="shared" si="85"/>
        <v>-2.0295832034020744E-2</v>
      </c>
    </row>
    <row r="5452" spans="1:3" x14ac:dyDescent="0.6">
      <c r="A5452" s="24">
        <v>37454</v>
      </c>
      <c r="B5452" s="23">
        <v>1.000804</v>
      </c>
      <c r="C5452" s="32">
        <f t="shared" si="85"/>
        <v>-0.12485998077987537</v>
      </c>
    </row>
    <row r="5453" spans="1:3" x14ac:dyDescent="0.6">
      <c r="A5453" s="24">
        <v>37455</v>
      </c>
      <c r="B5453" s="23">
        <v>0.95982400000000001</v>
      </c>
      <c r="C5453" s="32">
        <f t="shared" si="85"/>
        <v>-4.0947078548846716E-2</v>
      </c>
    </row>
    <row r="5454" spans="1:3" x14ac:dyDescent="0.6">
      <c r="A5454" s="24">
        <v>37456</v>
      </c>
      <c r="B5454" s="23">
        <v>0.95790299999999995</v>
      </c>
      <c r="C5454" s="32">
        <f t="shared" si="85"/>
        <v>-2.00140859157516E-3</v>
      </c>
    </row>
    <row r="5455" spans="1:3" x14ac:dyDescent="0.6">
      <c r="A5455" s="24">
        <v>37459</v>
      </c>
      <c r="B5455" s="23">
        <v>0.95534200000000002</v>
      </c>
      <c r="C5455" s="32">
        <f t="shared" si="85"/>
        <v>-2.6735483655442316E-3</v>
      </c>
    </row>
    <row r="5456" spans="1:3" x14ac:dyDescent="0.6">
      <c r="A5456" s="24">
        <v>37460</v>
      </c>
      <c r="B5456" s="23">
        <v>0.92652800000000002</v>
      </c>
      <c r="C5456" s="32">
        <f t="shared" si="85"/>
        <v>-3.0160926662912368E-2</v>
      </c>
    </row>
    <row r="5457" spans="1:3" x14ac:dyDescent="0.6">
      <c r="A5457" s="24">
        <v>37461</v>
      </c>
      <c r="B5457" s="23">
        <v>0.973271</v>
      </c>
      <c r="C5457" s="32">
        <f t="shared" si="85"/>
        <v>5.0449635628928569E-2</v>
      </c>
    </row>
    <row r="5458" spans="1:3" x14ac:dyDescent="0.6">
      <c r="A5458" s="24">
        <v>37462</v>
      </c>
      <c r="B5458" s="23">
        <v>0.91948399999999997</v>
      </c>
      <c r="C5458" s="32">
        <f t="shared" si="85"/>
        <v>-5.5264155615445287E-2</v>
      </c>
    </row>
    <row r="5459" spans="1:3" x14ac:dyDescent="0.6">
      <c r="A5459" s="24">
        <v>37463</v>
      </c>
      <c r="B5459" s="23">
        <v>0.91820400000000002</v>
      </c>
      <c r="C5459" s="32">
        <f t="shared" si="85"/>
        <v>-1.3920851260054157E-3</v>
      </c>
    </row>
    <row r="5460" spans="1:3" x14ac:dyDescent="0.6">
      <c r="A5460" s="24">
        <v>37466</v>
      </c>
      <c r="B5460" s="23">
        <v>0.96174499999999996</v>
      </c>
      <c r="C5460" s="32">
        <f t="shared" si="85"/>
        <v>4.7419745503177957E-2</v>
      </c>
    </row>
    <row r="5461" spans="1:3" x14ac:dyDescent="0.6">
      <c r="A5461" s="24">
        <v>37467</v>
      </c>
      <c r="B5461" s="23">
        <v>0.98799800000000004</v>
      </c>
      <c r="C5461" s="32">
        <f t="shared" si="85"/>
        <v>2.729725654929327E-2</v>
      </c>
    </row>
    <row r="5462" spans="1:3" x14ac:dyDescent="0.6">
      <c r="A5462" s="24">
        <v>37468</v>
      </c>
      <c r="B5462" s="23">
        <v>0.97711199999999998</v>
      </c>
      <c r="C5462" s="32">
        <f t="shared" si="85"/>
        <v>-1.1018240927613276E-2</v>
      </c>
    </row>
    <row r="5463" spans="1:3" x14ac:dyDescent="0.6">
      <c r="A5463" s="24">
        <v>37469</v>
      </c>
      <c r="B5463" s="23">
        <v>0.947658</v>
      </c>
      <c r="C5463" s="32">
        <f t="shared" si="85"/>
        <v>-3.0143934369857295E-2</v>
      </c>
    </row>
    <row r="5464" spans="1:3" x14ac:dyDescent="0.6">
      <c r="A5464" s="24">
        <v>37470</v>
      </c>
      <c r="B5464" s="23">
        <v>0.92524700000000004</v>
      </c>
      <c r="C5464" s="32">
        <f t="shared" si="85"/>
        <v>-2.3648826897467168E-2</v>
      </c>
    </row>
    <row r="5465" spans="1:3" x14ac:dyDescent="0.6">
      <c r="A5465" s="24">
        <v>37473</v>
      </c>
      <c r="B5465" s="23">
        <v>0.89579299999999995</v>
      </c>
      <c r="C5465" s="32">
        <f t="shared" si="85"/>
        <v>-3.1833661714115391E-2</v>
      </c>
    </row>
    <row r="5466" spans="1:3" x14ac:dyDescent="0.6">
      <c r="A5466" s="24">
        <v>37474</v>
      </c>
      <c r="B5466" s="23">
        <v>0.94381700000000002</v>
      </c>
      <c r="C5466" s="32">
        <f t="shared" si="85"/>
        <v>5.3610599770259393E-2</v>
      </c>
    </row>
    <row r="5467" spans="1:3" x14ac:dyDescent="0.6">
      <c r="A5467" s="24">
        <v>37475</v>
      </c>
      <c r="B5467" s="23">
        <v>0.96238500000000005</v>
      </c>
      <c r="C5467" s="32">
        <f t="shared" si="85"/>
        <v>1.9673305312364553E-2</v>
      </c>
    </row>
    <row r="5468" spans="1:3" x14ac:dyDescent="0.6">
      <c r="A5468" s="24">
        <v>37476</v>
      </c>
      <c r="B5468" s="23">
        <v>0.97967400000000004</v>
      </c>
      <c r="C5468" s="32">
        <f t="shared" si="85"/>
        <v>1.7964743839523623E-2</v>
      </c>
    </row>
    <row r="5469" spans="1:3" x14ac:dyDescent="0.6">
      <c r="A5469" s="24">
        <v>37477</v>
      </c>
      <c r="B5469" s="23">
        <v>0.96046399999999998</v>
      </c>
      <c r="C5469" s="32">
        <f t="shared" si="85"/>
        <v>-1.9608563665056034E-2</v>
      </c>
    </row>
    <row r="5470" spans="1:3" x14ac:dyDescent="0.6">
      <c r="A5470" s="24">
        <v>37480</v>
      </c>
      <c r="B5470" s="23">
        <v>0.95982400000000001</v>
      </c>
      <c r="C5470" s="32">
        <f t="shared" si="85"/>
        <v>-6.6634460010994712E-4</v>
      </c>
    </row>
    <row r="5471" spans="1:3" x14ac:dyDescent="0.6">
      <c r="A5471" s="24">
        <v>37481</v>
      </c>
      <c r="B5471" s="23">
        <v>0.93421200000000004</v>
      </c>
      <c r="C5471" s="32">
        <f t="shared" si="85"/>
        <v>-2.6684058744103067E-2</v>
      </c>
    </row>
    <row r="5472" spans="1:3" x14ac:dyDescent="0.6">
      <c r="A5472" s="24">
        <v>37482</v>
      </c>
      <c r="B5472" s="23">
        <v>0.97134900000000002</v>
      </c>
      <c r="C5472" s="32">
        <f t="shared" si="85"/>
        <v>3.97522189824151E-2</v>
      </c>
    </row>
    <row r="5473" spans="1:3" x14ac:dyDescent="0.6">
      <c r="A5473" s="24">
        <v>37483</v>
      </c>
      <c r="B5473" s="23">
        <v>0.99952300000000005</v>
      </c>
      <c r="C5473" s="32">
        <f t="shared" si="85"/>
        <v>2.9005022911435585E-2</v>
      </c>
    </row>
    <row r="5474" spans="1:3" x14ac:dyDescent="0.6">
      <c r="A5474" s="24">
        <v>37484</v>
      </c>
      <c r="B5474" s="23">
        <v>1.01233</v>
      </c>
      <c r="C5474" s="32">
        <f t="shared" si="85"/>
        <v>1.2813111854354409E-2</v>
      </c>
    </row>
    <row r="5475" spans="1:3" x14ac:dyDescent="0.6">
      <c r="A5475" s="24">
        <v>37487</v>
      </c>
      <c r="B5475" s="23">
        <v>1.023215</v>
      </c>
      <c r="C5475" s="32">
        <f t="shared" si="85"/>
        <v>1.075242262898457E-2</v>
      </c>
    </row>
    <row r="5476" spans="1:3" x14ac:dyDescent="0.6">
      <c r="A5476" s="24">
        <v>37488</v>
      </c>
      <c r="B5476" s="23">
        <v>1.0187330000000001</v>
      </c>
      <c r="C5476" s="32">
        <f t="shared" si="85"/>
        <v>-4.3803110783167121E-3</v>
      </c>
    </row>
    <row r="5477" spans="1:3" x14ac:dyDescent="0.6">
      <c r="A5477" s="24">
        <v>37489</v>
      </c>
      <c r="B5477" s="23">
        <v>1.032179</v>
      </c>
      <c r="C5477" s="32">
        <f t="shared" si="85"/>
        <v>1.3198747856405735E-2</v>
      </c>
    </row>
    <row r="5478" spans="1:3" x14ac:dyDescent="0.6">
      <c r="A5478" s="24">
        <v>37490</v>
      </c>
      <c r="B5478" s="23">
        <v>1.022575</v>
      </c>
      <c r="C5478" s="32">
        <f t="shared" si="85"/>
        <v>-9.3045876732620325E-3</v>
      </c>
    </row>
    <row r="5479" spans="1:3" x14ac:dyDescent="0.6">
      <c r="A5479" s="24">
        <v>37491</v>
      </c>
      <c r="B5479" s="23">
        <v>1.007207</v>
      </c>
      <c r="C5479" s="32">
        <f t="shared" si="85"/>
        <v>-1.5028726499278777E-2</v>
      </c>
    </row>
    <row r="5480" spans="1:3" x14ac:dyDescent="0.6">
      <c r="A5480" s="24">
        <v>37494</v>
      </c>
      <c r="B5480" s="23">
        <v>0.99440099999999998</v>
      </c>
      <c r="C5480" s="32">
        <f t="shared" si="85"/>
        <v>-1.2714367553045225E-2</v>
      </c>
    </row>
    <row r="5481" spans="1:3" x14ac:dyDescent="0.6">
      <c r="A5481" s="24">
        <v>37495</v>
      </c>
      <c r="B5481" s="23">
        <v>0.95086000000000004</v>
      </c>
      <c r="C5481" s="32">
        <f t="shared" si="85"/>
        <v>-4.3786158702575628E-2</v>
      </c>
    </row>
    <row r="5482" spans="1:3" x14ac:dyDescent="0.6">
      <c r="A5482" s="24">
        <v>37496</v>
      </c>
      <c r="B5482" s="23">
        <v>0.94125499999999995</v>
      </c>
      <c r="C5482" s="32">
        <f t="shared" si="85"/>
        <v>-1.010138190690546E-2</v>
      </c>
    </row>
    <row r="5483" spans="1:3" x14ac:dyDescent="0.6">
      <c r="A5483" s="24">
        <v>37497</v>
      </c>
      <c r="B5483" s="23">
        <v>0.94125499999999995</v>
      </c>
      <c r="C5483" s="32">
        <f t="shared" si="85"/>
        <v>0</v>
      </c>
    </row>
    <row r="5484" spans="1:3" x14ac:dyDescent="0.6">
      <c r="A5484" s="24">
        <v>37498</v>
      </c>
      <c r="B5484" s="23">
        <v>0.94445699999999999</v>
      </c>
      <c r="C5484" s="32">
        <f t="shared" si="85"/>
        <v>3.401841158878316E-3</v>
      </c>
    </row>
    <row r="5485" spans="1:3" x14ac:dyDescent="0.6">
      <c r="A5485" s="24">
        <v>37502</v>
      </c>
      <c r="B5485" s="23">
        <v>0.89963499999999996</v>
      </c>
      <c r="C5485" s="32">
        <f t="shared" si="85"/>
        <v>-4.7457957323626232E-2</v>
      </c>
    </row>
    <row r="5486" spans="1:3" x14ac:dyDescent="0.6">
      <c r="A5486" s="24">
        <v>37503</v>
      </c>
      <c r="B5486" s="23">
        <v>0.92716799999999999</v>
      </c>
      <c r="C5486" s="32">
        <f t="shared" si="85"/>
        <v>3.0604634101607964E-2</v>
      </c>
    </row>
    <row r="5487" spans="1:3" x14ac:dyDescent="0.6">
      <c r="A5487" s="24">
        <v>37504</v>
      </c>
      <c r="B5487" s="23">
        <v>0.90795899999999996</v>
      </c>
      <c r="C5487" s="32">
        <f t="shared" si="85"/>
        <v>-2.0717928142472641E-2</v>
      </c>
    </row>
    <row r="5488" spans="1:3" x14ac:dyDescent="0.6">
      <c r="A5488" s="24">
        <v>37505</v>
      </c>
      <c r="B5488" s="23">
        <v>0.92076499999999994</v>
      </c>
      <c r="C5488" s="32">
        <f t="shared" si="85"/>
        <v>1.4104161090974454E-2</v>
      </c>
    </row>
    <row r="5489" spans="1:3" x14ac:dyDescent="0.6">
      <c r="A5489" s="24">
        <v>37508</v>
      </c>
      <c r="B5489" s="23">
        <v>0.92012499999999997</v>
      </c>
      <c r="C5489" s="32">
        <f t="shared" si="85"/>
        <v>-6.9507420460157565E-4</v>
      </c>
    </row>
    <row r="5490" spans="1:3" x14ac:dyDescent="0.6">
      <c r="A5490" s="24">
        <v>37509</v>
      </c>
      <c r="B5490" s="23">
        <v>0.91756400000000005</v>
      </c>
      <c r="C5490" s="32">
        <f t="shared" si="85"/>
        <v>-2.7833174840373731E-3</v>
      </c>
    </row>
    <row r="5491" spans="1:3" x14ac:dyDescent="0.6">
      <c r="A5491" s="24">
        <v>37510</v>
      </c>
      <c r="B5491" s="23">
        <v>0.91500199999999998</v>
      </c>
      <c r="C5491" s="32">
        <f t="shared" si="85"/>
        <v>-2.7921758046305367E-3</v>
      </c>
    </row>
    <row r="5492" spans="1:3" x14ac:dyDescent="0.6">
      <c r="A5492" s="24">
        <v>37511</v>
      </c>
      <c r="B5492" s="23">
        <v>0.90539800000000004</v>
      </c>
      <c r="C5492" s="32">
        <f t="shared" si="85"/>
        <v>-1.0496151920979302E-2</v>
      </c>
    </row>
    <row r="5493" spans="1:3" x14ac:dyDescent="0.6">
      <c r="A5493" s="24">
        <v>37512</v>
      </c>
      <c r="B5493" s="23">
        <v>0.90731899999999999</v>
      </c>
      <c r="C5493" s="32">
        <f t="shared" si="85"/>
        <v>2.1217188462974157E-3</v>
      </c>
    </row>
    <row r="5494" spans="1:3" x14ac:dyDescent="0.6">
      <c r="A5494" s="24">
        <v>37515</v>
      </c>
      <c r="B5494" s="23">
        <v>0.92844899999999997</v>
      </c>
      <c r="C5494" s="32">
        <f t="shared" si="85"/>
        <v>2.3288391403684994E-2</v>
      </c>
    </row>
    <row r="5495" spans="1:3" x14ac:dyDescent="0.6">
      <c r="A5495" s="24">
        <v>37516</v>
      </c>
      <c r="B5495" s="23">
        <v>0.947658</v>
      </c>
      <c r="C5495" s="32">
        <f t="shared" si="85"/>
        <v>2.0689343194941312E-2</v>
      </c>
    </row>
    <row r="5496" spans="1:3" x14ac:dyDescent="0.6">
      <c r="A5496" s="24">
        <v>37517</v>
      </c>
      <c r="B5496" s="23">
        <v>0.96174499999999996</v>
      </c>
      <c r="C5496" s="32">
        <f t="shared" si="85"/>
        <v>1.4865067355522621E-2</v>
      </c>
    </row>
    <row r="5497" spans="1:3" x14ac:dyDescent="0.6">
      <c r="A5497" s="24">
        <v>37518</v>
      </c>
      <c r="B5497" s="23">
        <v>0.93357100000000004</v>
      </c>
      <c r="C5497" s="32">
        <f t="shared" si="85"/>
        <v>-2.9294667505419758E-2</v>
      </c>
    </row>
    <row r="5498" spans="1:3" x14ac:dyDescent="0.6">
      <c r="A5498" s="24">
        <v>37519</v>
      </c>
      <c r="B5498" s="23">
        <v>0.95213999999999999</v>
      </c>
      <c r="C5498" s="32">
        <f t="shared" si="85"/>
        <v>1.9890292222016326E-2</v>
      </c>
    </row>
    <row r="5499" spans="1:3" x14ac:dyDescent="0.6">
      <c r="A5499" s="24">
        <v>37522</v>
      </c>
      <c r="B5499" s="23">
        <v>0.95086000000000004</v>
      </c>
      <c r="C5499" s="32">
        <f t="shared" si="85"/>
        <v>-1.3443401180498471E-3</v>
      </c>
    </row>
    <row r="5500" spans="1:3" x14ac:dyDescent="0.6">
      <c r="A5500" s="24">
        <v>37523</v>
      </c>
      <c r="B5500" s="23">
        <v>0.93741300000000005</v>
      </c>
      <c r="C5500" s="32">
        <f t="shared" si="85"/>
        <v>-1.41419346696674E-2</v>
      </c>
    </row>
    <row r="5501" spans="1:3" x14ac:dyDescent="0.6">
      <c r="A5501" s="24">
        <v>37524</v>
      </c>
      <c r="B5501" s="23">
        <v>0.955982</v>
      </c>
      <c r="C5501" s="32">
        <f t="shared" si="85"/>
        <v>1.9808771587336516E-2</v>
      </c>
    </row>
    <row r="5502" spans="1:3" x14ac:dyDescent="0.6">
      <c r="A5502" s="24">
        <v>37525</v>
      </c>
      <c r="B5502" s="23">
        <v>0.94125499999999995</v>
      </c>
      <c r="C5502" s="32">
        <f t="shared" si="85"/>
        <v>-1.540510176969867E-2</v>
      </c>
    </row>
    <row r="5503" spans="1:3" x14ac:dyDescent="0.6">
      <c r="A5503" s="24">
        <v>37526</v>
      </c>
      <c r="B5503" s="23">
        <v>0.94253600000000004</v>
      </c>
      <c r="C5503" s="32">
        <f t="shared" si="85"/>
        <v>1.3609489458223933E-3</v>
      </c>
    </row>
    <row r="5504" spans="1:3" x14ac:dyDescent="0.6">
      <c r="A5504" s="24">
        <v>37529</v>
      </c>
      <c r="B5504" s="23">
        <v>0.92844899999999997</v>
      </c>
      <c r="C5504" s="32">
        <f t="shared" si="85"/>
        <v>-1.4945848222243097E-2</v>
      </c>
    </row>
    <row r="5505" spans="1:3" x14ac:dyDescent="0.6">
      <c r="A5505" s="24">
        <v>37530</v>
      </c>
      <c r="B5505" s="23">
        <v>0.92908900000000005</v>
      </c>
      <c r="C5505" s="32">
        <f t="shared" si="85"/>
        <v>6.8932165363966291E-4</v>
      </c>
    </row>
    <row r="5506" spans="1:3" x14ac:dyDescent="0.6">
      <c r="A5506" s="24">
        <v>37531</v>
      </c>
      <c r="B5506" s="23">
        <v>0.90731899999999999</v>
      </c>
      <c r="C5506" s="32">
        <f t="shared" si="85"/>
        <v>-2.3431554996345971E-2</v>
      </c>
    </row>
    <row r="5507" spans="1:3" x14ac:dyDescent="0.6">
      <c r="A5507" s="24">
        <v>37532</v>
      </c>
      <c r="B5507" s="23">
        <v>0.91564299999999998</v>
      </c>
      <c r="C5507" s="32">
        <f t="shared" si="85"/>
        <v>9.1742815922515319E-3</v>
      </c>
    </row>
    <row r="5508" spans="1:3" x14ac:dyDescent="0.6">
      <c r="A5508" s="24">
        <v>37533</v>
      </c>
      <c r="B5508" s="23">
        <v>0.89835399999999999</v>
      </c>
      <c r="C5508" s="32">
        <f t="shared" ref="C5508:C5571" si="86">B5508/B5507-1</f>
        <v>-1.8881813108383994E-2</v>
      </c>
    </row>
    <row r="5509" spans="1:3" x14ac:dyDescent="0.6">
      <c r="A5509" s="24">
        <v>37536</v>
      </c>
      <c r="B5509" s="23">
        <v>0.88170599999999999</v>
      </c>
      <c r="C5509" s="32">
        <f t="shared" si="86"/>
        <v>-1.8531670143395629E-2</v>
      </c>
    </row>
    <row r="5510" spans="1:3" x14ac:dyDescent="0.6">
      <c r="A5510" s="24">
        <v>37537</v>
      </c>
      <c r="B5510" s="23">
        <v>0.87594399999999994</v>
      </c>
      <c r="C5510" s="32">
        <f t="shared" si="86"/>
        <v>-6.5350581713179423E-3</v>
      </c>
    </row>
    <row r="5511" spans="1:3" x14ac:dyDescent="0.6">
      <c r="A5511" s="24">
        <v>37538</v>
      </c>
      <c r="B5511" s="23">
        <v>0.87018099999999998</v>
      </c>
      <c r="C5511" s="32">
        <f t="shared" si="86"/>
        <v>-6.5791877106298191E-3</v>
      </c>
    </row>
    <row r="5512" spans="1:3" x14ac:dyDescent="0.6">
      <c r="A5512" s="24">
        <v>37539</v>
      </c>
      <c r="B5512" s="23">
        <v>0.90347699999999997</v>
      </c>
      <c r="C5512" s="32">
        <f t="shared" si="86"/>
        <v>3.8263303841384655E-2</v>
      </c>
    </row>
    <row r="5513" spans="1:3" x14ac:dyDescent="0.6">
      <c r="A5513" s="24">
        <v>37540</v>
      </c>
      <c r="B5513" s="23">
        <v>0.92908900000000005</v>
      </c>
      <c r="C5513" s="32">
        <f t="shared" si="86"/>
        <v>2.8348259003826426E-2</v>
      </c>
    </row>
    <row r="5514" spans="1:3" x14ac:dyDescent="0.6">
      <c r="A5514" s="24">
        <v>37543</v>
      </c>
      <c r="B5514" s="23">
        <v>0.94573700000000005</v>
      </c>
      <c r="C5514" s="32">
        <f t="shared" si="86"/>
        <v>1.7918627817141264E-2</v>
      </c>
    </row>
    <row r="5515" spans="1:3" x14ac:dyDescent="0.6">
      <c r="A5515" s="24">
        <v>37544</v>
      </c>
      <c r="B5515" s="23">
        <v>0.97070900000000004</v>
      </c>
      <c r="C5515" s="32">
        <f t="shared" si="86"/>
        <v>2.6404803872535298E-2</v>
      </c>
    </row>
    <row r="5516" spans="1:3" x14ac:dyDescent="0.6">
      <c r="A5516" s="24">
        <v>37545</v>
      </c>
      <c r="B5516" s="23">
        <v>0.93229099999999998</v>
      </c>
      <c r="C5516" s="32">
        <f t="shared" si="86"/>
        <v>-3.9577257447906744E-2</v>
      </c>
    </row>
    <row r="5517" spans="1:3" x14ac:dyDescent="0.6">
      <c r="A5517" s="24">
        <v>37546</v>
      </c>
      <c r="B5517" s="23">
        <v>0.90347699999999997</v>
      </c>
      <c r="C5517" s="32">
        <f t="shared" si="86"/>
        <v>-3.0906658972359446E-2</v>
      </c>
    </row>
    <row r="5518" spans="1:3" x14ac:dyDescent="0.6">
      <c r="A5518" s="24">
        <v>37547</v>
      </c>
      <c r="B5518" s="23">
        <v>0.91820400000000002</v>
      </c>
      <c r="C5518" s="32">
        <f t="shared" si="86"/>
        <v>1.6300359610704085E-2</v>
      </c>
    </row>
    <row r="5519" spans="1:3" x14ac:dyDescent="0.6">
      <c r="A5519" s="24">
        <v>37550</v>
      </c>
      <c r="B5519" s="23">
        <v>0.93229099999999998</v>
      </c>
      <c r="C5519" s="32">
        <f t="shared" si="86"/>
        <v>1.5341906591563426E-2</v>
      </c>
    </row>
    <row r="5520" spans="1:3" x14ac:dyDescent="0.6">
      <c r="A5520" s="24">
        <v>37551</v>
      </c>
      <c r="B5520" s="23">
        <v>0.94125499999999995</v>
      </c>
      <c r="C5520" s="32">
        <f t="shared" si="86"/>
        <v>9.6150236353240714E-3</v>
      </c>
    </row>
    <row r="5521" spans="1:3" x14ac:dyDescent="0.6">
      <c r="A5521" s="24">
        <v>37552</v>
      </c>
      <c r="B5521" s="23">
        <v>0.95278099999999999</v>
      </c>
      <c r="C5521" s="32">
        <f t="shared" si="86"/>
        <v>1.224535327833598E-2</v>
      </c>
    </row>
    <row r="5522" spans="1:3" x14ac:dyDescent="0.6">
      <c r="A5522" s="24">
        <v>37553</v>
      </c>
      <c r="B5522" s="23">
        <v>0.94061499999999998</v>
      </c>
      <c r="C5522" s="32">
        <f t="shared" si="86"/>
        <v>-1.2768936408261711E-2</v>
      </c>
    </row>
    <row r="5523" spans="1:3" x14ac:dyDescent="0.6">
      <c r="A5523" s="24">
        <v>37554</v>
      </c>
      <c r="B5523" s="23">
        <v>0.98735799999999996</v>
      </c>
      <c r="C5523" s="32">
        <f t="shared" si="86"/>
        <v>4.9694083126465172E-2</v>
      </c>
    </row>
    <row r="5524" spans="1:3" x14ac:dyDescent="0.6">
      <c r="A5524" s="24">
        <v>37557</v>
      </c>
      <c r="B5524" s="23">
        <v>0.99952300000000005</v>
      </c>
      <c r="C5524" s="32">
        <f t="shared" si="86"/>
        <v>1.2320759035729711E-2</v>
      </c>
    </row>
    <row r="5525" spans="1:3" x14ac:dyDescent="0.6">
      <c r="A5525" s="24">
        <v>37558</v>
      </c>
      <c r="B5525" s="23">
        <v>0.98863800000000002</v>
      </c>
      <c r="C5525" s="32">
        <f t="shared" si="86"/>
        <v>-1.0890194622835137E-2</v>
      </c>
    </row>
    <row r="5526" spans="1:3" x14ac:dyDescent="0.6">
      <c r="A5526" s="24">
        <v>37559</v>
      </c>
      <c r="B5526" s="23">
        <v>1.023215</v>
      </c>
      <c r="C5526" s="32">
        <f t="shared" si="86"/>
        <v>3.4974378892981939E-2</v>
      </c>
    </row>
    <row r="5527" spans="1:3" x14ac:dyDescent="0.6">
      <c r="A5527" s="24">
        <v>37560</v>
      </c>
      <c r="B5527" s="23">
        <v>1.028977</v>
      </c>
      <c r="C5527" s="32">
        <f t="shared" si="86"/>
        <v>5.631270065431071E-3</v>
      </c>
    </row>
    <row r="5528" spans="1:3" x14ac:dyDescent="0.6">
      <c r="A5528" s="24">
        <v>37561</v>
      </c>
      <c r="B5528" s="23">
        <v>1.047547</v>
      </c>
      <c r="C5528" s="32">
        <f t="shared" si="86"/>
        <v>1.804705061434797E-2</v>
      </c>
    </row>
    <row r="5529" spans="1:3" x14ac:dyDescent="0.6">
      <c r="A5529" s="24">
        <v>37564</v>
      </c>
      <c r="B5529" s="23">
        <v>1.081483</v>
      </c>
      <c r="C5529" s="32">
        <f t="shared" si="86"/>
        <v>3.2395682484890775E-2</v>
      </c>
    </row>
    <row r="5530" spans="1:3" x14ac:dyDescent="0.6">
      <c r="A5530" s="24">
        <v>37565</v>
      </c>
      <c r="B5530" s="23">
        <v>1.0821229999999999</v>
      </c>
      <c r="C5530" s="32">
        <f t="shared" si="86"/>
        <v>5.9177999099380152E-4</v>
      </c>
    </row>
    <row r="5531" spans="1:3" x14ac:dyDescent="0.6">
      <c r="A5531" s="24">
        <v>37566</v>
      </c>
      <c r="B5531" s="23">
        <v>1.1026130000000001</v>
      </c>
      <c r="C5531" s="32">
        <f t="shared" si="86"/>
        <v>1.8935000919488854E-2</v>
      </c>
    </row>
    <row r="5532" spans="1:3" x14ac:dyDescent="0.6">
      <c r="A5532" s="24">
        <v>37567</v>
      </c>
      <c r="B5532" s="23">
        <v>1.0244949999999999</v>
      </c>
      <c r="C5532" s="32">
        <f t="shared" si="86"/>
        <v>-7.0848067272923587E-2</v>
      </c>
    </row>
    <row r="5533" spans="1:3" x14ac:dyDescent="0.6">
      <c r="A5533" s="24">
        <v>37568</v>
      </c>
      <c r="B5533" s="23">
        <v>1.0142500000000001</v>
      </c>
      <c r="C5533" s="32">
        <f t="shared" si="86"/>
        <v>-1.0000048804532757E-2</v>
      </c>
    </row>
    <row r="5534" spans="1:3" x14ac:dyDescent="0.6">
      <c r="A5534" s="24">
        <v>37571</v>
      </c>
      <c r="B5534" s="23">
        <v>0.97070900000000004</v>
      </c>
      <c r="C5534" s="32">
        <f t="shared" si="86"/>
        <v>-4.2929258072467391E-2</v>
      </c>
    </row>
    <row r="5535" spans="1:3" x14ac:dyDescent="0.6">
      <c r="A5535" s="24">
        <v>37572</v>
      </c>
      <c r="B5535" s="23">
        <v>1.001444</v>
      </c>
      <c r="C5535" s="32">
        <f t="shared" si="86"/>
        <v>3.1662424063236161E-2</v>
      </c>
    </row>
    <row r="5536" spans="1:3" x14ac:dyDescent="0.6">
      <c r="A5536" s="24">
        <v>37573</v>
      </c>
      <c r="B5536" s="23">
        <v>0.99824299999999999</v>
      </c>
      <c r="C5536" s="32">
        <f t="shared" si="86"/>
        <v>-3.1963844208962033E-3</v>
      </c>
    </row>
    <row r="5537" spans="1:3" x14ac:dyDescent="0.6">
      <c r="A5537" s="24">
        <v>37574</v>
      </c>
      <c r="B5537" s="23">
        <v>1.0437050000000001</v>
      </c>
      <c r="C5537" s="32">
        <f t="shared" si="86"/>
        <v>4.5542017324439188E-2</v>
      </c>
    </row>
    <row r="5538" spans="1:3" x14ac:dyDescent="0.6">
      <c r="A5538" s="24">
        <v>37575</v>
      </c>
      <c r="B5538" s="23">
        <v>1.0212939999999999</v>
      </c>
      <c r="C5538" s="32">
        <f t="shared" si="86"/>
        <v>-2.1472542528779837E-2</v>
      </c>
    </row>
    <row r="5539" spans="1:3" x14ac:dyDescent="0.6">
      <c r="A5539" s="24">
        <v>37578</v>
      </c>
      <c r="B5539" s="23">
        <v>1.002084</v>
      </c>
      <c r="C5539" s="32">
        <f t="shared" si="86"/>
        <v>-1.8809471121929544E-2</v>
      </c>
    </row>
    <row r="5540" spans="1:3" x14ac:dyDescent="0.6">
      <c r="A5540" s="24">
        <v>37579</v>
      </c>
      <c r="B5540" s="23">
        <v>0.97775299999999998</v>
      </c>
      <c r="C5540" s="32">
        <f t="shared" si="86"/>
        <v>-2.4280399647135353E-2</v>
      </c>
    </row>
    <row r="5541" spans="1:3" x14ac:dyDescent="0.6">
      <c r="A5541" s="24">
        <v>37580</v>
      </c>
      <c r="B5541" s="23">
        <v>0.99440099999999998</v>
      </c>
      <c r="C5541" s="32">
        <f t="shared" si="86"/>
        <v>1.7026795110830717E-2</v>
      </c>
    </row>
    <row r="5542" spans="1:3" x14ac:dyDescent="0.6">
      <c r="A5542" s="24">
        <v>37581</v>
      </c>
      <c r="B5542" s="23">
        <v>1.0469059999999999</v>
      </c>
      <c r="C5542" s="32">
        <f t="shared" si="86"/>
        <v>5.2800630731465459E-2</v>
      </c>
    </row>
    <row r="5543" spans="1:3" x14ac:dyDescent="0.6">
      <c r="A5543" s="24">
        <v>37582</v>
      </c>
      <c r="B5543" s="23">
        <v>1.025136</v>
      </c>
      <c r="C5543" s="32">
        <f t="shared" si="86"/>
        <v>-2.0794608111902924E-2</v>
      </c>
    </row>
    <row r="5544" spans="1:3" x14ac:dyDescent="0.6">
      <c r="A5544" s="24">
        <v>37585</v>
      </c>
      <c r="B5544" s="23">
        <v>1.022575</v>
      </c>
      <c r="C5544" s="32">
        <f t="shared" si="86"/>
        <v>-2.498205116199248E-3</v>
      </c>
    </row>
    <row r="5545" spans="1:3" x14ac:dyDescent="0.6">
      <c r="A5545" s="24">
        <v>37586</v>
      </c>
      <c r="B5545" s="23">
        <v>0.98671799999999998</v>
      </c>
      <c r="C5545" s="32">
        <f t="shared" si="86"/>
        <v>-3.5065398626017652E-2</v>
      </c>
    </row>
    <row r="5546" spans="1:3" x14ac:dyDescent="0.6">
      <c r="A5546" s="24">
        <v>37587</v>
      </c>
      <c r="B5546" s="23">
        <v>1.006567</v>
      </c>
      <c r="C5546" s="32">
        <f t="shared" si="86"/>
        <v>2.0116183144525568E-2</v>
      </c>
    </row>
    <row r="5547" spans="1:3" x14ac:dyDescent="0.6">
      <c r="A5547" s="24">
        <v>37589</v>
      </c>
      <c r="B5547" s="23">
        <v>0.99248000000000003</v>
      </c>
      <c r="C5547" s="32">
        <f t="shared" si="86"/>
        <v>-1.3995094216281645E-2</v>
      </c>
    </row>
    <row r="5548" spans="1:3" x14ac:dyDescent="0.6">
      <c r="A5548" s="24">
        <v>37592</v>
      </c>
      <c r="B5548" s="23">
        <v>0.97199000000000002</v>
      </c>
      <c r="C5548" s="32">
        <f t="shared" si="86"/>
        <v>-2.064525229727554E-2</v>
      </c>
    </row>
    <row r="5549" spans="1:3" x14ac:dyDescent="0.6">
      <c r="A5549" s="24">
        <v>37593</v>
      </c>
      <c r="B5549" s="23">
        <v>0.97070900000000004</v>
      </c>
      <c r="C5549" s="32">
        <f t="shared" si="86"/>
        <v>-1.3179147933620738E-3</v>
      </c>
    </row>
    <row r="5550" spans="1:3" x14ac:dyDescent="0.6">
      <c r="A5550" s="24">
        <v>37594</v>
      </c>
      <c r="B5550" s="23">
        <v>0.95854300000000003</v>
      </c>
      <c r="C5550" s="32">
        <f t="shared" si="86"/>
        <v>-1.2533107244292574E-2</v>
      </c>
    </row>
    <row r="5551" spans="1:3" x14ac:dyDescent="0.6">
      <c r="A5551" s="24">
        <v>37595</v>
      </c>
      <c r="B5551" s="23">
        <v>0.93677299999999997</v>
      </c>
      <c r="C5551" s="32">
        <f t="shared" si="86"/>
        <v>-2.2711552846351291E-2</v>
      </c>
    </row>
    <row r="5552" spans="1:3" x14ac:dyDescent="0.6">
      <c r="A5552" s="24">
        <v>37596</v>
      </c>
      <c r="B5552" s="23">
        <v>0.95726299999999998</v>
      </c>
      <c r="C5552" s="32">
        <f t="shared" si="86"/>
        <v>2.187296175274045E-2</v>
      </c>
    </row>
    <row r="5553" spans="1:3" x14ac:dyDescent="0.6">
      <c r="A5553" s="24">
        <v>37599</v>
      </c>
      <c r="B5553" s="23">
        <v>0.94445699999999999</v>
      </c>
      <c r="C5553" s="32">
        <f t="shared" si="86"/>
        <v>-1.3377723781238804E-2</v>
      </c>
    </row>
    <row r="5554" spans="1:3" x14ac:dyDescent="0.6">
      <c r="A5554" s="24">
        <v>37600</v>
      </c>
      <c r="B5554" s="23">
        <v>0.97839299999999996</v>
      </c>
      <c r="C5554" s="32">
        <f t="shared" si="86"/>
        <v>3.5931757613104631E-2</v>
      </c>
    </row>
    <row r="5555" spans="1:3" x14ac:dyDescent="0.6">
      <c r="A5555" s="24">
        <v>37601</v>
      </c>
      <c r="B5555" s="23">
        <v>0.99184000000000005</v>
      </c>
      <c r="C5555" s="32">
        <f t="shared" si="86"/>
        <v>1.3743965870565367E-2</v>
      </c>
    </row>
    <row r="5556" spans="1:3" x14ac:dyDescent="0.6">
      <c r="A5556" s="24">
        <v>37602</v>
      </c>
      <c r="B5556" s="23">
        <v>0.97262999999999999</v>
      </c>
      <c r="C5556" s="32">
        <f t="shared" si="86"/>
        <v>-1.9368043232779519E-2</v>
      </c>
    </row>
    <row r="5557" spans="1:3" x14ac:dyDescent="0.6">
      <c r="A5557" s="24">
        <v>37603</v>
      </c>
      <c r="B5557" s="23">
        <v>0.94701800000000003</v>
      </c>
      <c r="C5557" s="32">
        <f t="shared" si="86"/>
        <v>-2.6332726730616929E-2</v>
      </c>
    </row>
    <row r="5558" spans="1:3" x14ac:dyDescent="0.6">
      <c r="A5558" s="24">
        <v>37606</v>
      </c>
      <c r="B5558" s="23">
        <v>0.95086000000000004</v>
      </c>
      <c r="C5558" s="32">
        <f t="shared" si="86"/>
        <v>4.0569450633463067E-3</v>
      </c>
    </row>
    <row r="5559" spans="1:3" x14ac:dyDescent="0.6">
      <c r="A5559" s="24">
        <v>37607</v>
      </c>
      <c r="B5559" s="23">
        <v>0.96558699999999997</v>
      </c>
      <c r="C5559" s="32">
        <f t="shared" si="86"/>
        <v>1.5488084470899999E-2</v>
      </c>
    </row>
    <row r="5560" spans="1:3" x14ac:dyDescent="0.6">
      <c r="A5560" s="24">
        <v>37608</v>
      </c>
      <c r="B5560" s="23">
        <v>0.93293099999999995</v>
      </c>
      <c r="C5560" s="32">
        <f t="shared" si="86"/>
        <v>-3.3819842230684571E-2</v>
      </c>
    </row>
    <row r="5561" spans="1:3" x14ac:dyDescent="0.6">
      <c r="A5561" s="24">
        <v>37609</v>
      </c>
      <c r="B5561" s="23">
        <v>0.90924000000000005</v>
      </c>
      <c r="C5561" s="32">
        <f t="shared" si="86"/>
        <v>-2.539416098296654E-2</v>
      </c>
    </row>
    <row r="5562" spans="1:3" x14ac:dyDescent="0.6">
      <c r="A5562" s="24">
        <v>37610</v>
      </c>
      <c r="B5562" s="23">
        <v>0.90539800000000004</v>
      </c>
      <c r="C5562" s="32">
        <f t="shared" si="86"/>
        <v>-4.2255070168492059E-3</v>
      </c>
    </row>
    <row r="5563" spans="1:3" x14ac:dyDescent="0.6">
      <c r="A5563" s="24">
        <v>37613</v>
      </c>
      <c r="B5563" s="23">
        <v>0.92780899999999999</v>
      </c>
      <c r="C5563" s="32">
        <f t="shared" si="86"/>
        <v>2.4752650215706273E-2</v>
      </c>
    </row>
    <row r="5564" spans="1:3" x14ac:dyDescent="0.6">
      <c r="A5564" s="24">
        <v>37614</v>
      </c>
      <c r="B5564" s="23">
        <v>0.91948399999999997</v>
      </c>
      <c r="C5564" s="32">
        <f t="shared" si="86"/>
        <v>-8.9727519349349638E-3</v>
      </c>
    </row>
    <row r="5565" spans="1:3" x14ac:dyDescent="0.6">
      <c r="A5565" s="24">
        <v>37616</v>
      </c>
      <c r="B5565" s="23">
        <v>0.92204600000000003</v>
      </c>
      <c r="C5565" s="32">
        <f t="shared" si="86"/>
        <v>2.7863453850203168E-3</v>
      </c>
    </row>
    <row r="5566" spans="1:3" x14ac:dyDescent="0.6">
      <c r="A5566" s="24">
        <v>37617</v>
      </c>
      <c r="B5566" s="23">
        <v>0.90027500000000005</v>
      </c>
      <c r="C5566" s="32">
        <f t="shared" si="86"/>
        <v>-2.3611620244543108E-2</v>
      </c>
    </row>
    <row r="5567" spans="1:3" x14ac:dyDescent="0.6">
      <c r="A5567" s="24">
        <v>37620</v>
      </c>
      <c r="B5567" s="23">
        <v>0.90091600000000005</v>
      </c>
      <c r="C5567" s="32">
        <f t="shared" si="86"/>
        <v>7.1200466524112827E-4</v>
      </c>
    </row>
    <row r="5568" spans="1:3" x14ac:dyDescent="0.6">
      <c r="A5568" s="24">
        <v>37621</v>
      </c>
      <c r="B5568" s="23">
        <v>0.91756400000000005</v>
      </c>
      <c r="C5568" s="32">
        <f t="shared" si="86"/>
        <v>1.847897029245793E-2</v>
      </c>
    </row>
    <row r="5569" spans="1:3" x14ac:dyDescent="0.6">
      <c r="A5569" s="24">
        <v>37623</v>
      </c>
      <c r="B5569" s="23">
        <v>0.947658</v>
      </c>
      <c r="C5569" s="32">
        <f t="shared" si="86"/>
        <v>3.2797712203181506E-2</v>
      </c>
    </row>
    <row r="5570" spans="1:3" x14ac:dyDescent="0.6">
      <c r="A5570" s="24">
        <v>37624</v>
      </c>
      <c r="B5570" s="23">
        <v>0.95406100000000005</v>
      </c>
      <c r="C5570" s="32">
        <f t="shared" si="86"/>
        <v>6.7566569374184482E-3</v>
      </c>
    </row>
    <row r="5571" spans="1:3" x14ac:dyDescent="0.6">
      <c r="A5571" s="24">
        <v>37627</v>
      </c>
      <c r="B5571" s="23">
        <v>0.95406100000000005</v>
      </c>
      <c r="C5571" s="32">
        <f t="shared" si="86"/>
        <v>0</v>
      </c>
    </row>
    <row r="5572" spans="1:3" x14ac:dyDescent="0.6">
      <c r="A5572" s="24">
        <v>37628</v>
      </c>
      <c r="B5572" s="23">
        <v>0.95086000000000004</v>
      </c>
      <c r="C5572" s="32">
        <f t="shared" ref="C5572:C5635" si="87">B5572/B5571-1</f>
        <v>-3.3551313804882632E-3</v>
      </c>
    </row>
    <row r="5573" spans="1:3" x14ac:dyDescent="0.6">
      <c r="A5573" s="24">
        <v>37629</v>
      </c>
      <c r="B5573" s="23">
        <v>0.93165100000000001</v>
      </c>
      <c r="C5573" s="32">
        <f t="shared" si="87"/>
        <v>-2.020171213427846E-2</v>
      </c>
    </row>
    <row r="5574" spans="1:3" x14ac:dyDescent="0.6">
      <c r="A5574" s="24">
        <v>37630</v>
      </c>
      <c r="B5574" s="23">
        <v>0.939975</v>
      </c>
      <c r="C5574" s="32">
        <f t="shared" si="87"/>
        <v>8.9346761823900778E-3</v>
      </c>
    </row>
    <row r="5575" spans="1:3" x14ac:dyDescent="0.6">
      <c r="A5575" s="24">
        <v>37631</v>
      </c>
      <c r="B5575" s="23">
        <v>0.94253600000000004</v>
      </c>
      <c r="C5575" s="32">
        <f t="shared" si="87"/>
        <v>2.724540546291232E-3</v>
      </c>
    </row>
    <row r="5576" spans="1:3" x14ac:dyDescent="0.6">
      <c r="A5576" s="24">
        <v>37634</v>
      </c>
      <c r="B5576" s="23">
        <v>0.93677299999999997</v>
      </c>
      <c r="C5576" s="32">
        <f t="shared" si="87"/>
        <v>-6.1143553137493756E-3</v>
      </c>
    </row>
    <row r="5577" spans="1:3" x14ac:dyDescent="0.6">
      <c r="A5577" s="24">
        <v>37635</v>
      </c>
      <c r="B5577" s="23">
        <v>0.93549199999999999</v>
      </c>
      <c r="C5577" s="32">
        <f t="shared" si="87"/>
        <v>-1.3674604199735985E-3</v>
      </c>
    </row>
    <row r="5578" spans="1:3" x14ac:dyDescent="0.6">
      <c r="A5578" s="24">
        <v>37636</v>
      </c>
      <c r="B5578" s="23">
        <v>0.92396699999999998</v>
      </c>
      <c r="C5578" s="32">
        <f t="shared" si="87"/>
        <v>-1.2319720532083633E-2</v>
      </c>
    </row>
    <row r="5579" spans="1:3" x14ac:dyDescent="0.6">
      <c r="A5579" s="24">
        <v>37637</v>
      </c>
      <c r="B5579" s="23">
        <v>0.93613299999999999</v>
      </c>
      <c r="C5579" s="32">
        <f t="shared" si="87"/>
        <v>1.3167136921556688E-2</v>
      </c>
    </row>
    <row r="5580" spans="1:3" x14ac:dyDescent="0.6">
      <c r="A5580" s="24">
        <v>37638</v>
      </c>
      <c r="B5580" s="23">
        <v>0.902837</v>
      </c>
      <c r="C5580" s="32">
        <f t="shared" si="87"/>
        <v>-3.556759563010814E-2</v>
      </c>
    </row>
    <row r="5581" spans="1:3" x14ac:dyDescent="0.6">
      <c r="A5581" s="24">
        <v>37642</v>
      </c>
      <c r="B5581" s="23">
        <v>0.89771400000000001</v>
      </c>
      <c r="C5581" s="32">
        <f t="shared" si="87"/>
        <v>-5.6743354559017911E-3</v>
      </c>
    </row>
    <row r="5582" spans="1:3" x14ac:dyDescent="0.6">
      <c r="A5582" s="24">
        <v>37643</v>
      </c>
      <c r="B5582" s="23">
        <v>0.88875000000000004</v>
      </c>
      <c r="C5582" s="32">
        <f t="shared" si="87"/>
        <v>-9.9853628215667012E-3</v>
      </c>
    </row>
    <row r="5583" spans="1:3" x14ac:dyDescent="0.6">
      <c r="A5583" s="24">
        <v>37644</v>
      </c>
      <c r="B5583" s="23">
        <v>0.90731899999999999</v>
      </c>
      <c r="C5583" s="32">
        <f t="shared" si="87"/>
        <v>2.0893389592123723E-2</v>
      </c>
    </row>
    <row r="5584" spans="1:3" x14ac:dyDescent="0.6">
      <c r="A5584" s="24">
        <v>37645</v>
      </c>
      <c r="B5584" s="23">
        <v>0.88362700000000005</v>
      </c>
      <c r="C5584" s="32">
        <f t="shared" si="87"/>
        <v>-2.6112095084529163E-2</v>
      </c>
    </row>
    <row r="5585" spans="1:3" x14ac:dyDescent="0.6">
      <c r="A5585" s="24">
        <v>37648</v>
      </c>
      <c r="B5585" s="23">
        <v>0.90475700000000003</v>
      </c>
      <c r="C5585" s="32">
        <f t="shared" si="87"/>
        <v>2.3912804837335155E-2</v>
      </c>
    </row>
    <row r="5586" spans="1:3" x14ac:dyDescent="0.6">
      <c r="A5586" s="24">
        <v>37649</v>
      </c>
      <c r="B5586" s="23">
        <v>0.93357100000000004</v>
      </c>
      <c r="C5586" s="32">
        <f t="shared" si="87"/>
        <v>3.1847225277063407E-2</v>
      </c>
    </row>
    <row r="5587" spans="1:3" x14ac:dyDescent="0.6">
      <c r="A5587" s="24">
        <v>37650</v>
      </c>
      <c r="B5587" s="23">
        <v>0.955982</v>
      </c>
      <c r="C5587" s="32">
        <f t="shared" si="87"/>
        <v>2.4005672841165726E-2</v>
      </c>
    </row>
    <row r="5588" spans="1:3" x14ac:dyDescent="0.6">
      <c r="A5588" s="24">
        <v>37651</v>
      </c>
      <c r="B5588" s="23">
        <v>0.91692300000000004</v>
      </c>
      <c r="C5588" s="32">
        <f t="shared" si="87"/>
        <v>-4.085746384346145E-2</v>
      </c>
    </row>
    <row r="5589" spans="1:3" x14ac:dyDescent="0.6">
      <c r="A5589" s="24">
        <v>37652</v>
      </c>
      <c r="B5589" s="23">
        <v>0.91948399999999997</v>
      </c>
      <c r="C5589" s="32">
        <f t="shared" si="87"/>
        <v>2.7930371470668014E-3</v>
      </c>
    </row>
    <row r="5590" spans="1:3" x14ac:dyDescent="0.6">
      <c r="A5590" s="24">
        <v>37655</v>
      </c>
      <c r="B5590" s="23">
        <v>0.93869400000000003</v>
      </c>
      <c r="C5590" s="32">
        <f t="shared" si="87"/>
        <v>2.0892152555128884E-2</v>
      </c>
    </row>
    <row r="5591" spans="1:3" x14ac:dyDescent="0.6">
      <c r="A5591" s="24">
        <v>37656</v>
      </c>
      <c r="B5591" s="23">
        <v>0.93485200000000002</v>
      </c>
      <c r="C5591" s="32">
        <f t="shared" si="87"/>
        <v>-4.092920589670368E-3</v>
      </c>
    </row>
    <row r="5592" spans="1:3" x14ac:dyDescent="0.6">
      <c r="A5592" s="24">
        <v>37657</v>
      </c>
      <c r="B5592" s="23">
        <v>0.92524700000000004</v>
      </c>
      <c r="C5592" s="32">
        <f t="shared" si="87"/>
        <v>-1.0274353587519713E-2</v>
      </c>
    </row>
    <row r="5593" spans="1:3" x14ac:dyDescent="0.6">
      <c r="A5593" s="24">
        <v>37658</v>
      </c>
      <c r="B5593" s="23">
        <v>0.92396699999999998</v>
      </c>
      <c r="C5593" s="32">
        <f t="shared" si="87"/>
        <v>-1.3834143747561978E-3</v>
      </c>
    </row>
    <row r="5594" spans="1:3" x14ac:dyDescent="0.6">
      <c r="A5594" s="24">
        <v>37659</v>
      </c>
      <c r="B5594" s="23">
        <v>0.90603800000000001</v>
      </c>
      <c r="C5594" s="32">
        <f t="shared" si="87"/>
        <v>-1.9404372666989134E-2</v>
      </c>
    </row>
    <row r="5595" spans="1:3" x14ac:dyDescent="0.6">
      <c r="A5595" s="24">
        <v>37662</v>
      </c>
      <c r="B5595" s="23">
        <v>0.91884399999999999</v>
      </c>
      <c r="C5595" s="32">
        <f t="shared" si="87"/>
        <v>1.4134065017140651E-2</v>
      </c>
    </row>
    <row r="5596" spans="1:3" x14ac:dyDescent="0.6">
      <c r="A5596" s="24">
        <v>37663</v>
      </c>
      <c r="B5596" s="23">
        <v>0.91884399999999999</v>
      </c>
      <c r="C5596" s="32">
        <f t="shared" si="87"/>
        <v>0</v>
      </c>
    </row>
    <row r="5597" spans="1:3" x14ac:dyDescent="0.6">
      <c r="A5597" s="24">
        <v>37664</v>
      </c>
      <c r="B5597" s="23">
        <v>0.92140599999999995</v>
      </c>
      <c r="C5597" s="32">
        <f t="shared" si="87"/>
        <v>2.7882861508590207E-3</v>
      </c>
    </row>
    <row r="5598" spans="1:3" x14ac:dyDescent="0.6">
      <c r="A5598" s="24">
        <v>37665</v>
      </c>
      <c r="B5598" s="23">
        <v>0.93101</v>
      </c>
      <c r="C5598" s="32">
        <f t="shared" si="87"/>
        <v>1.0423201064460264E-2</v>
      </c>
    </row>
    <row r="5599" spans="1:3" x14ac:dyDescent="0.6">
      <c r="A5599" s="24">
        <v>37666</v>
      </c>
      <c r="B5599" s="23">
        <v>0.939334</v>
      </c>
      <c r="C5599" s="32">
        <f t="shared" si="87"/>
        <v>8.9408277032470007E-3</v>
      </c>
    </row>
    <row r="5600" spans="1:3" x14ac:dyDescent="0.6">
      <c r="A5600" s="24">
        <v>37670</v>
      </c>
      <c r="B5600" s="23">
        <v>0.97775299999999998</v>
      </c>
      <c r="C5600" s="32">
        <f t="shared" si="87"/>
        <v>4.0900254861423013E-2</v>
      </c>
    </row>
    <row r="5601" spans="1:3" x14ac:dyDescent="0.6">
      <c r="A5601" s="24">
        <v>37671</v>
      </c>
      <c r="B5601" s="23">
        <v>0.95086000000000004</v>
      </c>
      <c r="C5601" s="32">
        <f t="shared" si="87"/>
        <v>-2.7504901544664118E-2</v>
      </c>
    </row>
    <row r="5602" spans="1:3" x14ac:dyDescent="0.6">
      <c r="A5602" s="24">
        <v>37672</v>
      </c>
      <c r="B5602" s="23">
        <v>0.94573700000000005</v>
      </c>
      <c r="C5602" s="32">
        <f t="shared" si="87"/>
        <v>-5.3877542435268877E-3</v>
      </c>
    </row>
    <row r="5603" spans="1:3" x14ac:dyDescent="0.6">
      <c r="A5603" s="24">
        <v>37673</v>
      </c>
      <c r="B5603" s="23">
        <v>0.96046399999999998</v>
      </c>
      <c r="C5603" s="32">
        <f t="shared" si="87"/>
        <v>1.5571982485616864E-2</v>
      </c>
    </row>
    <row r="5604" spans="1:3" x14ac:dyDescent="0.6">
      <c r="A5604" s="24">
        <v>37676</v>
      </c>
      <c r="B5604" s="23">
        <v>0.94381700000000002</v>
      </c>
      <c r="C5604" s="32">
        <f t="shared" si="87"/>
        <v>-1.7332247746922325E-2</v>
      </c>
    </row>
    <row r="5605" spans="1:3" x14ac:dyDescent="0.6">
      <c r="A5605" s="24">
        <v>37677</v>
      </c>
      <c r="B5605" s="23">
        <v>0.96174499999999996</v>
      </c>
      <c r="C5605" s="32">
        <f t="shared" si="87"/>
        <v>1.8995207757436017E-2</v>
      </c>
    </row>
    <row r="5606" spans="1:3" x14ac:dyDescent="0.6">
      <c r="A5606" s="24">
        <v>37678</v>
      </c>
      <c r="B5606" s="23">
        <v>0.92844899999999997</v>
      </c>
      <c r="C5606" s="32">
        <f t="shared" si="87"/>
        <v>-3.462040353732021E-2</v>
      </c>
    </row>
    <row r="5607" spans="1:3" x14ac:dyDescent="0.6">
      <c r="A5607" s="24">
        <v>37679</v>
      </c>
      <c r="B5607" s="23">
        <v>0.95150000000000001</v>
      </c>
      <c r="C5607" s="32">
        <f t="shared" si="87"/>
        <v>2.4827427246946199E-2</v>
      </c>
    </row>
    <row r="5608" spans="1:3" x14ac:dyDescent="0.6">
      <c r="A5608" s="24">
        <v>37680</v>
      </c>
      <c r="B5608" s="23">
        <v>0.96110499999999999</v>
      </c>
      <c r="C5608" s="32">
        <f t="shared" si="87"/>
        <v>1.0094587493431506E-2</v>
      </c>
    </row>
    <row r="5609" spans="1:3" x14ac:dyDescent="0.6">
      <c r="A5609" s="24">
        <v>37683</v>
      </c>
      <c r="B5609" s="23">
        <v>0.93805400000000005</v>
      </c>
      <c r="C5609" s="32">
        <f t="shared" si="87"/>
        <v>-2.398385192044572E-2</v>
      </c>
    </row>
    <row r="5610" spans="1:3" x14ac:dyDescent="0.6">
      <c r="A5610" s="24">
        <v>37684</v>
      </c>
      <c r="B5610" s="23">
        <v>0.93229099999999998</v>
      </c>
      <c r="C5610" s="32">
        <f t="shared" si="87"/>
        <v>-6.143569559961426E-3</v>
      </c>
    </row>
    <row r="5611" spans="1:3" x14ac:dyDescent="0.6">
      <c r="A5611" s="24">
        <v>37685</v>
      </c>
      <c r="B5611" s="23">
        <v>0.93613299999999999</v>
      </c>
      <c r="C5611" s="32">
        <f t="shared" si="87"/>
        <v>4.1210308798433903E-3</v>
      </c>
    </row>
    <row r="5612" spans="1:3" x14ac:dyDescent="0.6">
      <c r="A5612" s="24">
        <v>37686</v>
      </c>
      <c r="B5612" s="23">
        <v>0.93229099999999998</v>
      </c>
      <c r="C5612" s="32">
        <f t="shared" si="87"/>
        <v>-4.1041176841325466E-3</v>
      </c>
    </row>
    <row r="5613" spans="1:3" x14ac:dyDescent="0.6">
      <c r="A5613" s="24">
        <v>37687</v>
      </c>
      <c r="B5613" s="23">
        <v>0.93037000000000003</v>
      </c>
      <c r="C5613" s="32">
        <f t="shared" si="87"/>
        <v>-2.0605154399215841E-3</v>
      </c>
    </row>
    <row r="5614" spans="1:3" x14ac:dyDescent="0.6">
      <c r="A5614" s="24">
        <v>37690</v>
      </c>
      <c r="B5614" s="23">
        <v>0.92012499999999997</v>
      </c>
      <c r="C5614" s="32">
        <f t="shared" si="87"/>
        <v>-1.1011748014230993E-2</v>
      </c>
    </row>
    <row r="5615" spans="1:3" x14ac:dyDescent="0.6">
      <c r="A5615" s="24">
        <v>37691</v>
      </c>
      <c r="B5615" s="23">
        <v>0.911161</v>
      </c>
      <c r="C5615" s="32">
        <f t="shared" si="87"/>
        <v>-9.7421545985599822E-3</v>
      </c>
    </row>
    <row r="5616" spans="1:3" x14ac:dyDescent="0.6">
      <c r="A5616" s="24">
        <v>37692</v>
      </c>
      <c r="B5616" s="23">
        <v>0.91052</v>
      </c>
      <c r="C5616" s="32">
        <f t="shared" si="87"/>
        <v>-7.0349806455716202E-4</v>
      </c>
    </row>
    <row r="5617" spans="1:3" x14ac:dyDescent="0.6">
      <c r="A5617" s="24">
        <v>37693</v>
      </c>
      <c r="B5617" s="23">
        <v>0.94253600000000004</v>
      </c>
      <c r="C5617" s="32">
        <f t="shared" si="87"/>
        <v>3.5162324825374514E-2</v>
      </c>
    </row>
    <row r="5618" spans="1:3" x14ac:dyDescent="0.6">
      <c r="A5618" s="24">
        <v>37694</v>
      </c>
      <c r="B5618" s="23">
        <v>0.94637800000000005</v>
      </c>
      <c r="C5618" s="32">
        <f t="shared" si="87"/>
        <v>4.0762368758329171E-3</v>
      </c>
    </row>
    <row r="5619" spans="1:3" x14ac:dyDescent="0.6">
      <c r="A5619" s="24">
        <v>37697</v>
      </c>
      <c r="B5619" s="23">
        <v>0.96110499999999999</v>
      </c>
      <c r="C5619" s="32">
        <f t="shared" si="87"/>
        <v>1.5561435282730463E-2</v>
      </c>
    </row>
    <row r="5620" spans="1:3" x14ac:dyDescent="0.6">
      <c r="A5620" s="24">
        <v>37698</v>
      </c>
      <c r="B5620" s="23">
        <v>0.96046399999999998</v>
      </c>
      <c r="C5620" s="32">
        <f t="shared" si="87"/>
        <v>-6.6694065684813619E-4</v>
      </c>
    </row>
    <row r="5621" spans="1:3" x14ac:dyDescent="0.6">
      <c r="A5621" s="24">
        <v>37699</v>
      </c>
      <c r="B5621" s="23">
        <v>0.95726299999999998</v>
      </c>
      <c r="C5621" s="32">
        <f t="shared" si="87"/>
        <v>-3.3327641639874228E-3</v>
      </c>
    </row>
    <row r="5622" spans="1:3" x14ac:dyDescent="0.6">
      <c r="A5622" s="24">
        <v>37700</v>
      </c>
      <c r="B5622" s="23">
        <v>0.95470200000000005</v>
      </c>
      <c r="C5622" s="32">
        <f t="shared" si="87"/>
        <v>-2.6753358272491035E-3</v>
      </c>
    </row>
    <row r="5623" spans="1:3" x14ac:dyDescent="0.6">
      <c r="A5623" s="24">
        <v>37701</v>
      </c>
      <c r="B5623" s="23">
        <v>0.96046399999999998</v>
      </c>
      <c r="C5623" s="32">
        <f t="shared" si="87"/>
        <v>6.0353911482324829E-3</v>
      </c>
    </row>
    <row r="5624" spans="1:3" x14ac:dyDescent="0.6">
      <c r="A5624" s="24">
        <v>37704</v>
      </c>
      <c r="B5624" s="23">
        <v>0.92012499999999997</v>
      </c>
      <c r="C5624" s="32">
        <f t="shared" si="87"/>
        <v>-4.1999491912242393E-2</v>
      </c>
    </row>
    <row r="5625" spans="1:3" x14ac:dyDescent="0.6">
      <c r="A5625" s="24">
        <v>37705</v>
      </c>
      <c r="B5625" s="23">
        <v>0.93165100000000001</v>
      </c>
      <c r="C5625" s="32">
        <f t="shared" si="87"/>
        <v>1.2526558891454931E-2</v>
      </c>
    </row>
    <row r="5626" spans="1:3" x14ac:dyDescent="0.6">
      <c r="A5626" s="24">
        <v>37706</v>
      </c>
      <c r="B5626" s="23">
        <v>0.92268600000000001</v>
      </c>
      <c r="C5626" s="32">
        <f t="shared" si="87"/>
        <v>-9.6227020633262716E-3</v>
      </c>
    </row>
    <row r="5627" spans="1:3" x14ac:dyDescent="0.6">
      <c r="A5627" s="24">
        <v>37707</v>
      </c>
      <c r="B5627" s="23">
        <v>0.92780899999999999</v>
      </c>
      <c r="C5627" s="32">
        <f t="shared" si="87"/>
        <v>5.5522680521866707E-3</v>
      </c>
    </row>
    <row r="5628" spans="1:3" x14ac:dyDescent="0.6">
      <c r="A5628" s="24">
        <v>37708</v>
      </c>
      <c r="B5628" s="23">
        <v>0.93293099999999995</v>
      </c>
      <c r="C5628" s="32">
        <f t="shared" si="87"/>
        <v>5.5205327820704309E-3</v>
      </c>
    </row>
    <row r="5629" spans="1:3" x14ac:dyDescent="0.6">
      <c r="A5629" s="24">
        <v>37711</v>
      </c>
      <c r="B5629" s="23">
        <v>0.90539800000000004</v>
      </c>
      <c r="C5629" s="32">
        <f t="shared" si="87"/>
        <v>-2.9512364794395229E-2</v>
      </c>
    </row>
    <row r="5630" spans="1:3" x14ac:dyDescent="0.6">
      <c r="A5630" s="24">
        <v>37712</v>
      </c>
      <c r="B5630" s="23">
        <v>0.90667900000000001</v>
      </c>
      <c r="C5630" s="32">
        <f t="shared" si="87"/>
        <v>1.4148473930801764E-3</v>
      </c>
    </row>
    <row r="5631" spans="1:3" x14ac:dyDescent="0.6">
      <c r="A5631" s="24">
        <v>37713</v>
      </c>
      <c r="B5631" s="23">
        <v>0.93485200000000002</v>
      </c>
      <c r="C5631" s="32">
        <f t="shared" si="87"/>
        <v>3.1072739084063938E-2</v>
      </c>
    </row>
    <row r="5632" spans="1:3" x14ac:dyDescent="0.6">
      <c r="A5632" s="24">
        <v>37714</v>
      </c>
      <c r="B5632" s="23">
        <v>0.92588800000000004</v>
      </c>
      <c r="C5632" s="32">
        <f t="shared" si="87"/>
        <v>-9.5886835563275818E-3</v>
      </c>
    </row>
    <row r="5633" spans="1:3" x14ac:dyDescent="0.6">
      <c r="A5633" s="24">
        <v>37715</v>
      </c>
      <c r="B5633" s="23">
        <v>0.92268600000000001</v>
      </c>
      <c r="C5633" s="32">
        <f t="shared" si="87"/>
        <v>-3.4583016520357557E-3</v>
      </c>
    </row>
    <row r="5634" spans="1:3" x14ac:dyDescent="0.6">
      <c r="A5634" s="24">
        <v>37718</v>
      </c>
      <c r="B5634" s="23">
        <v>0.92780899999999999</v>
      </c>
      <c r="C5634" s="32">
        <f t="shared" si="87"/>
        <v>5.5522680521866707E-3</v>
      </c>
    </row>
    <row r="5635" spans="1:3" x14ac:dyDescent="0.6">
      <c r="A5635" s="24">
        <v>37719</v>
      </c>
      <c r="B5635" s="23">
        <v>0.92524700000000004</v>
      </c>
      <c r="C5635" s="32">
        <f t="shared" si="87"/>
        <v>-2.7613441990753662E-3</v>
      </c>
    </row>
    <row r="5636" spans="1:3" x14ac:dyDescent="0.6">
      <c r="A5636" s="24">
        <v>37720</v>
      </c>
      <c r="B5636" s="23">
        <v>0.90859900000000005</v>
      </c>
      <c r="C5636" s="32">
        <f t="shared" ref="C5636:C5699" si="88">B5636/B5635-1</f>
        <v>-1.7993033211672116E-2</v>
      </c>
    </row>
    <row r="5637" spans="1:3" x14ac:dyDescent="0.6">
      <c r="A5637" s="24">
        <v>37721</v>
      </c>
      <c r="B5637" s="23">
        <v>0.92012499999999997</v>
      </c>
      <c r="C5637" s="32">
        <f t="shared" si="88"/>
        <v>1.2685464104627009E-2</v>
      </c>
    </row>
    <row r="5638" spans="1:3" x14ac:dyDescent="0.6">
      <c r="A5638" s="24">
        <v>37722</v>
      </c>
      <c r="B5638" s="23">
        <v>0.84520899999999999</v>
      </c>
      <c r="C5638" s="32">
        <f t="shared" si="88"/>
        <v>-8.1419372367884768E-2</v>
      </c>
    </row>
    <row r="5639" spans="1:3" x14ac:dyDescent="0.6">
      <c r="A5639" s="24">
        <v>37725</v>
      </c>
      <c r="B5639" s="23">
        <v>0.86954100000000001</v>
      </c>
      <c r="C5639" s="32">
        <f t="shared" si="88"/>
        <v>2.8788145890543015E-2</v>
      </c>
    </row>
    <row r="5640" spans="1:3" x14ac:dyDescent="0.6">
      <c r="A5640" s="24">
        <v>37726</v>
      </c>
      <c r="B5640" s="23">
        <v>0.85737399999999997</v>
      </c>
      <c r="C5640" s="32">
        <f t="shared" si="88"/>
        <v>-1.3992439689445413E-2</v>
      </c>
    </row>
    <row r="5641" spans="1:3" x14ac:dyDescent="0.6">
      <c r="A5641" s="24">
        <v>37727</v>
      </c>
      <c r="B5641" s="23">
        <v>0.84777000000000002</v>
      </c>
      <c r="C5641" s="32">
        <f t="shared" si="88"/>
        <v>-1.1201645956140482E-2</v>
      </c>
    </row>
    <row r="5642" spans="1:3" x14ac:dyDescent="0.6">
      <c r="A5642" s="24">
        <v>37728</v>
      </c>
      <c r="B5642" s="23">
        <v>0.840086</v>
      </c>
      <c r="C5642" s="32">
        <f t="shared" si="88"/>
        <v>-9.0637790910270688E-3</v>
      </c>
    </row>
    <row r="5643" spans="1:3" x14ac:dyDescent="0.6">
      <c r="A5643" s="24">
        <v>37732</v>
      </c>
      <c r="B5643" s="23">
        <v>0.84136699999999998</v>
      </c>
      <c r="C5643" s="32">
        <f t="shared" si="88"/>
        <v>1.5248438850308244E-3</v>
      </c>
    </row>
    <row r="5644" spans="1:3" x14ac:dyDescent="0.6">
      <c r="A5644" s="24">
        <v>37733</v>
      </c>
      <c r="B5644" s="23">
        <v>0.86505799999999999</v>
      </c>
      <c r="C5644" s="32">
        <f t="shared" si="88"/>
        <v>2.8157748045739783E-2</v>
      </c>
    </row>
    <row r="5645" spans="1:3" x14ac:dyDescent="0.6">
      <c r="A5645" s="24">
        <v>37734</v>
      </c>
      <c r="B5645" s="23">
        <v>0.86954100000000001</v>
      </c>
      <c r="C5645" s="32">
        <f t="shared" si="88"/>
        <v>5.1823114750686461E-3</v>
      </c>
    </row>
    <row r="5646" spans="1:3" x14ac:dyDescent="0.6">
      <c r="A5646" s="24">
        <v>37735</v>
      </c>
      <c r="B5646" s="23">
        <v>0.86057600000000001</v>
      </c>
      <c r="C5646" s="32">
        <f t="shared" si="88"/>
        <v>-1.0310037134534156E-2</v>
      </c>
    </row>
    <row r="5647" spans="1:3" x14ac:dyDescent="0.6">
      <c r="A5647" s="24">
        <v>37736</v>
      </c>
      <c r="B5647" s="23">
        <v>0.85481300000000005</v>
      </c>
      <c r="C5647" s="32">
        <f t="shared" si="88"/>
        <v>-6.696677574089871E-3</v>
      </c>
    </row>
    <row r="5648" spans="1:3" x14ac:dyDescent="0.6">
      <c r="A5648" s="24">
        <v>37739</v>
      </c>
      <c r="B5648" s="23">
        <v>0.88746899999999995</v>
      </c>
      <c r="C5648" s="32">
        <f t="shared" si="88"/>
        <v>3.8202507448997558E-2</v>
      </c>
    </row>
    <row r="5649" spans="1:3" x14ac:dyDescent="0.6">
      <c r="A5649" s="24">
        <v>37740</v>
      </c>
      <c r="B5649" s="23">
        <v>0.90027500000000005</v>
      </c>
      <c r="C5649" s="32">
        <f t="shared" si="88"/>
        <v>1.4429799801457976E-2</v>
      </c>
    </row>
    <row r="5650" spans="1:3" x14ac:dyDescent="0.6">
      <c r="A5650" s="24">
        <v>37741</v>
      </c>
      <c r="B5650" s="23">
        <v>0.91052</v>
      </c>
      <c r="C5650" s="32">
        <f t="shared" si="88"/>
        <v>1.1379856155063761E-2</v>
      </c>
    </row>
    <row r="5651" spans="1:3" x14ac:dyDescent="0.6">
      <c r="A5651" s="24">
        <v>37742</v>
      </c>
      <c r="B5651" s="23">
        <v>0.91948399999999997</v>
      </c>
      <c r="C5651" s="32">
        <f t="shared" si="88"/>
        <v>9.8449237798181599E-3</v>
      </c>
    </row>
    <row r="5652" spans="1:3" x14ac:dyDescent="0.6">
      <c r="A5652" s="24">
        <v>37743</v>
      </c>
      <c r="B5652" s="23">
        <v>0.92524700000000004</v>
      </c>
      <c r="C5652" s="32">
        <f t="shared" si="88"/>
        <v>6.2676457665387098E-3</v>
      </c>
    </row>
    <row r="5653" spans="1:3" x14ac:dyDescent="0.6">
      <c r="A5653" s="24">
        <v>37746</v>
      </c>
      <c r="B5653" s="23">
        <v>1.0302579999999999</v>
      </c>
      <c r="C5653" s="32">
        <f t="shared" si="88"/>
        <v>0.11349509914649802</v>
      </c>
    </row>
    <row r="5654" spans="1:3" x14ac:dyDescent="0.6">
      <c r="A5654" s="24">
        <v>37747</v>
      </c>
      <c r="B5654" s="23">
        <v>1.1205419999999999</v>
      </c>
      <c r="C5654" s="32">
        <f t="shared" si="88"/>
        <v>8.7632418287458158E-2</v>
      </c>
    </row>
    <row r="5655" spans="1:3" x14ac:dyDescent="0.6">
      <c r="A5655" s="24">
        <v>37748</v>
      </c>
      <c r="B5655" s="23">
        <v>1.130147</v>
      </c>
      <c r="C5655" s="32">
        <f t="shared" si="88"/>
        <v>8.5717447449538131E-3</v>
      </c>
    </row>
    <row r="5656" spans="1:3" x14ac:dyDescent="0.6">
      <c r="A5656" s="24">
        <v>37749</v>
      </c>
      <c r="B5656" s="23">
        <v>1.1525570000000001</v>
      </c>
      <c r="C5656" s="32">
        <f t="shared" si="88"/>
        <v>1.9829278846026366E-2</v>
      </c>
    </row>
    <row r="5657" spans="1:3" x14ac:dyDescent="0.6">
      <c r="A5657" s="24">
        <v>37750</v>
      </c>
      <c r="B5657" s="23">
        <v>1.171767</v>
      </c>
      <c r="C5657" s="32">
        <f t="shared" si="88"/>
        <v>1.6667288472500763E-2</v>
      </c>
    </row>
    <row r="5658" spans="1:3" x14ac:dyDescent="0.6">
      <c r="A5658" s="24">
        <v>37753</v>
      </c>
      <c r="B5658" s="23">
        <v>1.188415</v>
      </c>
      <c r="C5658" s="32">
        <f t="shared" si="88"/>
        <v>1.4207602705998745E-2</v>
      </c>
    </row>
    <row r="5659" spans="1:3" x14ac:dyDescent="0.6">
      <c r="A5659" s="24">
        <v>37754</v>
      </c>
      <c r="B5659" s="23">
        <v>1.1954579999999999</v>
      </c>
      <c r="C5659" s="32">
        <f t="shared" si="88"/>
        <v>5.9263809359524355E-3</v>
      </c>
    </row>
    <row r="5660" spans="1:3" x14ac:dyDescent="0.6">
      <c r="A5660" s="24">
        <v>37755</v>
      </c>
      <c r="B5660" s="23">
        <v>1.1877740000000001</v>
      </c>
      <c r="C5660" s="32">
        <f t="shared" si="88"/>
        <v>-6.4276620341323643E-3</v>
      </c>
    </row>
    <row r="5661" spans="1:3" x14ac:dyDescent="0.6">
      <c r="A5661" s="24">
        <v>37756</v>
      </c>
      <c r="B5661" s="23">
        <v>1.1993</v>
      </c>
      <c r="C5661" s="32">
        <f t="shared" si="88"/>
        <v>9.7038662237092232E-3</v>
      </c>
    </row>
    <row r="5662" spans="1:3" x14ac:dyDescent="0.6">
      <c r="A5662" s="24">
        <v>37757</v>
      </c>
      <c r="B5662" s="23">
        <v>1.2037819999999999</v>
      </c>
      <c r="C5662" s="32">
        <f t="shared" si="88"/>
        <v>3.7371800216792206E-3</v>
      </c>
    </row>
    <row r="5663" spans="1:3" x14ac:dyDescent="0.6">
      <c r="A5663" s="24">
        <v>37760</v>
      </c>
      <c r="B5663" s="23">
        <v>1.1589609999999999</v>
      </c>
      <c r="C5663" s="32">
        <f t="shared" si="88"/>
        <v>-3.7233485797262267E-2</v>
      </c>
    </row>
    <row r="5664" spans="1:3" x14ac:dyDescent="0.6">
      <c r="A5664" s="24">
        <v>37761</v>
      </c>
      <c r="B5664" s="23">
        <v>1.139111</v>
      </c>
      <c r="C5664" s="32">
        <f t="shared" si="88"/>
        <v>-1.7127409809303273E-2</v>
      </c>
    </row>
    <row r="5665" spans="1:3" x14ac:dyDescent="0.6">
      <c r="A5665" s="24">
        <v>37762</v>
      </c>
      <c r="B5665" s="23">
        <v>1.142952</v>
      </c>
      <c r="C5665" s="32">
        <f t="shared" si="88"/>
        <v>3.3719277576986784E-3</v>
      </c>
    </row>
    <row r="5666" spans="1:3" x14ac:dyDescent="0.6">
      <c r="A5666" s="24">
        <v>37763</v>
      </c>
      <c r="B5666" s="23">
        <v>1.1679250000000001</v>
      </c>
      <c r="C5666" s="32">
        <f t="shared" si="88"/>
        <v>2.1849561486396718E-2</v>
      </c>
    </row>
    <row r="5667" spans="1:3" x14ac:dyDescent="0.6">
      <c r="A5667" s="24">
        <v>37764</v>
      </c>
      <c r="B5667" s="23">
        <v>1.173047</v>
      </c>
      <c r="C5667" s="32">
        <f t="shared" si="88"/>
        <v>4.3855555793392842E-3</v>
      </c>
    </row>
    <row r="5668" spans="1:3" x14ac:dyDescent="0.6">
      <c r="A5668" s="24">
        <v>37768</v>
      </c>
      <c r="B5668" s="23">
        <v>1.208904</v>
      </c>
      <c r="C5668" s="32">
        <f t="shared" si="88"/>
        <v>3.0567402670140353E-2</v>
      </c>
    </row>
    <row r="5669" spans="1:3" x14ac:dyDescent="0.6">
      <c r="A5669" s="24">
        <v>37769</v>
      </c>
      <c r="B5669" s="23">
        <v>1.1704859999999999</v>
      </c>
      <c r="C5669" s="32">
        <f t="shared" si="88"/>
        <v>-3.1779198348256044E-2</v>
      </c>
    </row>
    <row r="5670" spans="1:3" x14ac:dyDescent="0.6">
      <c r="A5670" s="24">
        <v>37770</v>
      </c>
      <c r="B5670" s="23">
        <v>1.1589609999999999</v>
      </c>
      <c r="C5670" s="32">
        <f t="shared" si="88"/>
        <v>-9.8463373333811388E-3</v>
      </c>
    </row>
    <row r="5671" spans="1:3" x14ac:dyDescent="0.6">
      <c r="A5671" s="24">
        <v>37771</v>
      </c>
      <c r="B5671" s="23">
        <v>1.149356</v>
      </c>
      <c r="C5671" s="32">
        <f t="shared" si="88"/>
        <v>-8.2875955273731261E-3</v>
      </c>
    </row>
    <row r="5672" spans="1:3" x14ac:dyDescent="0.6">
      <c r="A5672" s="24">
        <v>37774</v>
      </c>
      <c r="B5672" s="23">
        <v>1.11734</v>
      </c>
      <c r="C5672" s="32">
        <f t="shared" si="88"/>
        <v>-2.785559913551594E-2</v>
      </c>
    </row>
    <row r="5673" spans="1:3" x14ac:dyDescent="0.6">
      <c r="A5673" s="24">
        <v>37775</v>
      </c>
      <c r="B5673" s="23">
        <v>1.108376</v>
      </c>
      <c r="C5673" s="32">
        <f t="shared" si="88"/>
        <v>-8.022625163334296E-3</v>
      </c>
    </row>
    <row r="5674" spans="1:3" x14ac:dyDescent="0.6">
      <c r="A5674" s="24">
        <v>37776</v>
      </c>
      <c r="B5674" s="23">
        <v>1.1269450000000001</v>
      </c>
      <c r="C5674" s="32">
        <f t="shared" si="88"/>
        <v>1.6753340021797625E-2</v>
      </c>
    </row>
    <row r="5675" spans="1:3" x14ac:dyDescent="0.6">
      <c r="A5675" s="24">
        <v>37777</v>
      </c>
      <c r="B5675" s="23">
        <v>1.1295059999999999</v>
      </c>
      <c r="C5675" s="32">
        <f t="shared" si="88"/>
        <v>2.2725155176159806E-3</v>
      </c>
    </row>
    <row r="5676" spans="1:3" x14ac:dyDescent="0.6">
      <c r="A5676" s="24">
        <v>37778</v>
      </c>
      <c r="B5676" s="23">
        <v>1.098131</v>
      </c>
      <c r="C5676" s="32">
        <f t="shared" si="88"/>
        <v>-2.7777630220645055E-2</v>
      </c>
    </row>
    <row r="5677" spans="1:3" x14ac:dyDescent="0.6">
      <c r="A5677" s="24">
        <v>37781</v>
      </c>
      <c r="B5677" s="23">
        <v>1.07508</v>
      </c>
      <c r="C5677" s="32">
        <f t="shared" si="88"/>
        <v>-2.0991120367242044E-2</v>
      </c>
    </row>
    <row r="5678" spans="1:3" x14ac:dyDescent="0.6">
      <c r="A5678" s="24">
        <v>37782</v>
      </c>
      <c r="B5678" s="23">
        <v>1.100052</v>
      </c>
      <c r="C5678" s="32">
        <f t="shared" si="88"/>
        <v>2.3228038843621013E-2</v>
      </c>
    </row>
    <row r="5679" spans="1:3" x14ac:dyDescent="0.6">
      <c r="A5679" s="24">
        <v>37783</v>
      </c>
      <c r="B5679" s="23">
        <v>1.11734</v>
      </c>
      <c r="C5679" s="32">
        <f t="shared" si="88"/>
        <v>1.5715620716111545E-2</v>
      </c>
    </row>
    <row r="5680" spans="1:3" x14ac:dyDescent="0.6">
      <c r="A5680" s="24">
        <v>37784</v>
      </c>
      <c r="B5680" s="23">
        <v>1.1378299999999999</v>
      </c>
      <c r="C5680" s="32">
        <f t="shared" si="88"/>
        <v>1.8338196072815727E-2</v>
      </c>
    </row>
    <row r="5681" spans="1:3" x14ac:dyDescent="0.6">
      <c r="A5681" s="24">
        <v>37785</v>
      </c>
      <c r="B5681" s="23">
        <v>1.1154189999999999</v>
      </c>
      <c r="C5681" s="32">
        <f t="shared" si="88"/>
        <v>-1.9696263941010539E-2</v>
      </c>
    </row>
    <row r="5682" spans="1:3" x14ac:dyDescent="0.6">
      <c r="A5682" s="24">
        <v>37788</v>
      </c>
      <c r="B5682" s="23">
        <v>1.1698459999999999</v>
      </c>
      <c r="C5682" s="32">
        <f t="shared" si="88"/>
        <v>4.8795116453996146E-2</v>
      </c>
    </row>
    <row r="5683" spans="1:3" x14ac:dyDescent="0.6">
      <c r="A5683" s="24">
        <v>37789</v>
      </c>
      <c r="B5683" s="23">
        <v>1.164723</v>
      </c>
      <c r="C5683" s="32">
        <f t="shared" si="88"/>
        <v>-4.3792088873235713E-3</v>
      </c>
    </row>
    <row r="5684" spans="1:3" x14ac:dyDescent="0.6">
      <c r="A5684" s="24">
        <v>37790</v>
      </c>
      <c r="B5684" s="23">
        <v>1.224272</v>
      </c>
      <c r="C5684" s="32">
        <f t="shared" si="88"/>
        <v>5.1127177878345309E-2</v>
      </c>
    </row>
    <row r="5685" spans="1:3" x14ac:dyDescent="0.6">
      <c r="A5685" s="24">
        <v>37791</v>
      </c>
      <c r="B5685" s="23">
        <v>1.2255529999999999</v>
      </c>
      <c r="C5685" s="32">
        <f t="shared" si="88"/>
        <v>1.0463361083157263E-3</v>
      </c>
    </row>
    <row r="5686" spans="1:3" x14ac:dyDescent="0.6">
      <c r="A5686" s="24">
        <v>37792</v>
      </c>
      <c r="B5686" s="23">
        <v>1.229395</v>
      </c>
      <c r="C5686" s="32">
        <f t="shared" si="88"/>
        <v>3.1349113420635621E-3</v>
      </c>
    </row>
    <row r="5687" spans="1:3" x14ac:dyDescent="0.6">
      <c r="A5687" s="24">
        <v>37795</v>
      </c>
      <c r="B5687" s="23">
        <v>1.2204299999999999</v>
      </c>
      <c r="C5687" s="32">
        <f t="shared" si="88"/>
        <v>-7.2922047023130654E-3</v>
      </c>
    </row>
    <row r="5688" spans="1:3" x14ac:dyDescent="0.6">
      <c r="A5688" s="24">
        <v>37796</v>
      </c>
      <c r="B5688" s="23">
        <v>1.202501</v>
      </c>
      <c r="C5688" s="32">
        <f t="shared" si="88"/>
        <v>-1.4690723761297098E-2</v>
      </c>
    </row>
    <row r="5689" spans="1:3" x14ac:dyDescent="0.6">
      <c r="A5689" s="24">
        <v>37797</v>
      </c>
      <c r="B5689" s="23">
        <v>1.222351</v>
      </c>
      <c r="C5689" s="32">
        <f t="shared" si="88"/>
        <v>1.6507262779823062E-2</v>
      </c>
    </row>
    <row r="5690" spans="1:3" x14ac:dyDescent="0.6">
      <c r="A5690" s="24">
        <v>37798</v>
      </c>
      <c r="B5690" s="23">
        <v>1.2351570000000001</v>
      </c>
      <c r="C5690" s="32">
        <f t="shared" si="88"/>
        <v>1.0476532518073789E-2</v>
      </c>
    </row>
    <row r="5691" spans="1:3" x14ac:dyDescent="0.6">
      <c r="A5691" s="24">
        <v>37799</v>
      </c>
      <c r="B5691" s="23">
        <v>1.1993</v>
      </c>
      <c r="C5691" s="32">
        <f t="shared" si="88"/>
        <v>-2.9030317603349176E-2</v>
      </c>
    </row>
    <row r="5692" spans="1:3" x14ac:dyDescent="0.6">
      <c r="A5692" s="24">
        <v>37802</v>
      </c>
      <c r="B5692" s="23">
        <v>1.2204299999999999</v>
      </c>
      <c r="C5692" s="32">
        <f t="shared" si="88"/>
        <v>1.7618610856332761E-2</v>
      </c>
    </row>
    <row r="5693" spans="1:3" x14ac:dyDescent="0.6">
      <c r="A5693" s="24">
        <v>37803</v>
      </c>
      <c r="B5693" s="23">
        <v>1.222351</v>
      </c>
      <c r="C5693" s="32">
        <f t="shared" si="88"/>
        <v>1.5740353809723384E-3</v>
      </c>
    </row>
    <row r="5694" spans="1:3" x14ac:dyDescent="0.6">
      <c r="A5694" s="24">
        <v>37804</v>
      </c>
      <c r="B5694" s="23">
        <v>1.2338769999999999</v>
      </c>
      <c r="C5694" s="32">
        <f t="shared" si="88"/>
        <v>9.4293701236387584E-3</v>
      </c>
    </row>
    <row r="5695" spans="1:3" x14ac:dyDescent="0.6">
      <c r="A5695" s="24">
        <v>37805</v>
      </c>
      <c r="B5695" s="23">
        <v>1.224912</v>
      </c>
      <c r="C5695" s="32">
        <f t="shared" si="88"/>
        <v>-7.2657161127080983E-3</v>
      </c>
    </row>
    <row r="5696" spans="1:3" x14ac:dyDescent="0.6">
      <c r="A5696" s="24">
        <v>37809</v>
      </c>
      <c r="B5696" s="23">
        <v>1.272295</v>
      </c>
      <c r="C5696" s="32">
        <f t="shared" si="88"/>
        <v>3.8682778844520982E-2</v>
      </c>
    </row>
    <row r="5697" spans="1:3" x14ac:dyDescent="0.6">
      <c r="A5697" s="24">
        <v>37810</v>
      </c>
      <c r="B5697" s="23">
        <v>1.3062309999999999</v>
      </c>
      <c r="C5697" s="32">
        <f t="shared" si="88"/>
        <v>2.6673059314074044E-2</v>
      </c>
    </row>
    <row r="5698" spans="1:3" x14ac:dyDescent="0.6">
      <c r="A5698" s="24">
        <v>37811</v>
      </c>
      <c r="B5698" s="23">
        <v>1.273576</v>
      </c>
      <c r="C5698" s="32">
        <f t="shared" si="88"/>
        <v>-2.49994066899345E-2</v>
      </c>
    </row>
    <row r="5699" spans="1:3" x14ac:dyDescent="0.6">
      <c r="A5699" s="24">
        <v>37812</v>
      </c>
      <c r="B5699" s="23">
        <v>1.2537259999999999</v>
      </c>
      <c r="C5699" s="32">
        <f t="shared" si="88"/>
        <v>-1.5586034912718372E-2</v>
      </c>
    </row>
    <row r="5700" spans="1:3" x14ac:dyDescent="0.6">
      <c r="A5700" s="24">
        <v>37813</v>
      </c>
      <c r="B5700" s="23">
        <v>1.2710140000000001</v>
      </c>
      <c r="C5700" s="32">
        <f t="shared" ref="C5700:C5763" si="89">B5700/B5699-1</f>
        <v>1.3789296863908174E-2</v>
      </c>
    </row>
    <row r="5701" spans="1:3" x14ac:dyDescent="0.6">
      <c r="A5701" s="24">
        <v>37816</v>
      </c>
      <c r="B5701" s="23">
        <v>1.274216</v>
      </c>
      <c r="C5701" s="32">
        <f t="shared" si="89"/>
        <v>2.5192484111111746E-3</v>
      </c>
    </row>
    <row r="5702" spans="1:3" x14ac:dyDescent="0.6">
      <c r="A5702" s="24">
        <v>37817</v>
      </c>
      <c r="B5702" s="23">
        <v>1.255647</v>
      </c>
      <c r="C5702" s="32">
        <f t="shared" si="89"/>
        <v>-1.4572882462628001E-2</v>
      </c>
    </row>
    <row r="5703" spans="1:3" x14ac:dyDescent="0.6">
      <c r="A5703" s="24">
        <v>37818</v>
      </c>
      <c r="B5703" s="23">
        <v>1.272295</v>
      </c>
      <c r="C5703" s="32">
        <f t="shared" si="89"/>
        <v>1.3258503385107367E-2</v>
      </c>
    </row>
    <row r="5704" spans="1:3" x14ac:dyDescent="0.6">
      <c r="A5704" s="24">
        <v>37819</v>
      </c>
      <c r="B5704" s="23">
        <v>1.338247</v>
      </c>
      <c r="C5704" s="32">
        <f t="shared" si="89"/>
        <v>5.1837034649983016E-2</v>
      </c>
    </row>
    <row r="5705" spans="1:3" x14ac:dyDescent="0.6">
      <c r="A5705" s="24">
        <v>37820</v>
      </c>
      <c r="B5705" s="23">
        <v>1.3356859999999999</v>
      </c>
      <c r="C5705" s="32">
        <f t="shared" si="89"/>
        <v>-1.9136975461181427E-3</v>
      </c>
    </row>
    <row r="5706" spans="1:3" x14ac:dyDescent="0.6">
      <c r="A5706" s="24">
        <v>37823</v>
      </c>
      <c r="B5706" s="23">
        <v>1.3196779999999999</v>
      </c>
      <c r="C5706" s="32">
        <f t="shared" si="89"/>
        <v>-1.1984852727362605E-2</v>
      </c>
    </row>
    <row r="5707" spans="1:3" x14ac:dyDescent="0.6">
      <c r="A5707" s="24">
        <v>37824</v>
      </c>
      <c r="B5707" s="23">
        <v>1.331844</v>
      </c>
      <c r="C5707" s="32">
        <f t="shared" si="89"/>
        <v>9.2189155233322051E-3</v>
      </c>
    </row>
    <row r="5708" spans="1:3" x14ac:dyDescent="0.6">
      <c r="A5708" s="24">
        <v>37825</v>
      </c>
      <c r="B5708" s="23">
        <v>1.3312029999999999</v>
      </c>
      <c r="C5708" s="32">
        <f t="shared" si="89"/>
        <v>-4.8128759824728196E-4</v>
      </c>
    </row>
    <row r="5709" spans="1:3" x14ac:dyDescent="0.6">
      <c r="A5709" s="24">
        <v>37826</v>
      </c>
      <c r="B5709" s="23">
        <v>1.313275</v>
      </c>
      <c r="C5709" s="32">
        <f t="shared" si="89"/>
        <v>-1.3467517726447387E-2</v>
      </c>
    </row>
    <row r="5710" spans="1:3" x14ac:dyDescent="0.6">
      <c r="A5710" s="24">
        <v>37827</v>
      </c>
      <c r="B5710" s="23">
        <v>1.379227</v>
      </c>
      <c r="C5710" s="32">
        <f t="shared" si="89"/>
        <v>5.0219489444328191E-2</v>
      </c>
    </row>
    <row r="5711" spans="1:3" x14ac:dyDescent="0.6">
      <c r="A5711" s="24">
        <v>37830</v>
      </c>
      <c r="B5711" s="23">
        <v>1.3440099999999999</v>
      </c>
      <c r="C5711" s="32">
        <f t="shared" si="89"/>
        <v>-2.5533867883966943E-2</v>
      </c>
    </row>
    <row r="5712" spans="1:3" x14ac:dyDescent="0.6">
      <c r="A5712" s="24">
        <v>37831</v>
      </c>
      <c r="B5712" s="23">
        <v>1.326722</v>
      </c>
      <c r="C5712" s="32">
        <f t="shared" si="89"/>
        <v>-1.2862999531253472E-2</v>
      </c>
    </row>
    <row r="5713" spans="1:3" x14ac:dyDescent="0.6">
      <c r="A5713" s="24">
        <v>37832</v>
      </c>
      <c r="B5713" s="23">
        <v>1.298548</v>
      </c>
      <c r="C5713" s="32">
        <f t="shared" si="89"/>
        <v>-2.1235797702909842E-2</v>
      </c>
    </row>
    <row r="5714" spans="1:3" x14ac:dyDescent="0.6">
      <c r="A5714" s="24">
        <v>37833</v>
      </c>
      <c r="B5714" s="23">
        <v>1.349772</v>
      </c>
      <c r="C5714" s="32">
        <f t="shared" si="89"/>
        <v>3.9447136339973543E-2</v>
      </c>
    </row>
    <row r="5715" spans="1:3" x14ac:dyDescent="0.6">
      <c r="A5715" s="24">
        <v>37834</v>
      </c>
      <c r="B5715" s="23">
        <v>1.3273619999999999</v>
      </c>
      <c r="C5715" s="32">
        <f t="shared" si="89"/>
        <v>-1.6602804029124951E-2</v>
      </c>
    </row>
    <row r="5716" spans="1:3" x14ac:dyDescent="0.6">
      <c r="A5716" s="24">
        <v>37837</v>
      </c>
      <c r="B5716" s="23">
        <v>1.3580970000000001</v>
      </c>
      <c r="C5716" s="32">
        <f t="shared" si="89"/>
        <v>2.3154949441071881E-2</v>
      </c>
    </row>
    <row r="5717" spans="1:3" x14ac:dyDescent="0.6">
      <c r="A5717" s="24">
        <v>37838</v>
      </c>
      <c r="B5717" s="23">
        <v>1.304951</v>
      </c>
      <c r="C5717" s="32">
        <f t="shared" si="89"/>
        <v>-3.9132698179879744E-2</v>
      </c>
    </row>
    <row r="5718" spans="1:3" x14ac:dyDescent="0.6">
      <c r="A5718" s="24">
        <v>37839</v>
      </c>
      <c r="B5718" s="23">
        <v>1.256928</v>
      </c>
      <c r="C5718" s="32">
        <f t="shared" si="89"/>
        <v>-3.6800615502037948E-2</v>
      </c>
    </row>
    <row r="5719" spans="1:3" x14ac:dyDescent="0.6">
      <c r="A5719" s="24">
        <v>37840</v>
      </c>
      <c r="B5719" s="23">
        <v>1.2761370000000001</v>
      </c>
      <c r="C5719" s="32">
        <f t="shared" si="89"/>
        <v>1.5282498281524504E-2</v>
      </c>
    </row>
    <row r="5720" spans="1:3" x14ac:dyDescent="0.6">
      <c r="A5720" s="24">
        <v>37841</v>
      </c>
      <c r="B5720" s="23">
        <v>1.257568</v>
      </c>
      <c r="C5720" s="32">
        <f t="shared" si="89"/>
        <v>-1.4550945548949756E-2</v>
      </c>
    </row>
    <row r="5721" spans="1:3" x14ac:dyDescent="0.6">
      <c r="A5721" s="24">
        <v>37844</v>
      </c>
      <c r="B5721" s="23">
        <v>1.2588490000000001</v>
      </c>
      <c r="C5721" s="32">
        <f t="shared" si="89"/>
        <v>1.0186327896384295E-3</v>
      </c>
    </row>
    <row r="5722" spans="1:3" x14ac:dyDescent="0.6">
      <c r="A5722" s="24">
        <v>37845</v>
      </c>
      <c r="B5722" s="23">
        <v>1.2614099999999999</v>
      </c>
      <c r="C5722" s="32">
        <f t="shared" si="89"/>
        <v>2.0343980890478175E-3</v>
      </c>
    </row>
    <row r="5723" spans="1:3" x14ac:dyDescent="0.6">
      <c r="A5723" s="24">
        <v>37846</v>
      </c>
      <c r="B5723" s="23">
        <v>1.2921450000000001</v>
      </c>
      <c r="C5723" s="32">
        <f t="shared" si="89"/>
        <v>2.4365590886389121E-2</v>
      </c>
    </row>
    <row r="5724" spans="1:3" x14ac:dyDescent="0.6">
      <c r="A5724" s="24">
        <v>37847</v>
      </c>
      <c r="B5724" s="23">
        <v>1.2786979999999999</v>
      </c>
      <c r="C5724" s="32">
        <f t="shared" si="89"/>
        <v>-1.0406726799237043E-2</v>
      </c>
    </row>
    <row r="5725" spans="1:3" x14ac:dyDescent="0.6">
      <c r="A5725" s="24">
        <v>37848</v>
      </c>
      <c r="B5725" s="23">
        <v>1.262051</v>
      </c>
      <c r="C5725" s="32">
        <f t="shared" si="89"/>
        <v>-1.3018711220319279E-2</v>
      </c>
    </row>
    <row r="5726" spans="1:3" x14ac:dyDescent="0.6">
      <c r="A5726" s="24">
        <v>37851</v>
      </c>
      <c r="B5726" s="23">
        <v>1.3023899999999999</v>
      </c>
      <c r="C5726" s="32">
        <f t="shared" si="89"/>
        <v>3.1963050621567568E-2</v>
      </c>
    </row>
    <row r="5727" spans="1:3" x14ac:dyDescent="0.6">
      <c r="A5727" s="24">
        <v>37852</v>
      </c>
      <c r="B5727" s="23">
        <v>1.3011090000000001</v>
      </c>
      <c r="C5727" s="32">
        <f t="shared" si="89"/>
        <v>-9.8357634809842498E-4</v>
      </c>
    </row>
    <row r="5728" spans="1:3" x14ac:dyDescent="0.6">
      <c r="A5728" s="24">
        <v>37853</v>
      </c>
      <c r="B5728" s="23">
        <v>1.3452900000000001</v>
      </c>
      <c r="C5728" s="32">
        <f t="shared" si="89"/>
        <v>3.3956417179498377E-2</v>
      </c>
    </row>
    <row r="5729" spans="1:3" x14ac:dyDescent="0.6">
      <c r="A5729" s="24">
        <v>37854</v>
      </c>
      <c r="B5729" s="23">
        <v>1.388191</v>
      </c>
      <c r="C5729" s="32">
        <f t="shared" si="89"/>
        <v>3.1889778412089509E-2</v>
      </c>
    </row>
    <row r="5730" spans="1:3" x14ac:dyDescent="0.6">
      <c r="A5730" s="24">
        <v>37855</v>
      </c>
      <c r="B5730" s="23">
        <v>1.336967</v>
      </c>
      <c r="C5730" s="32">
        <f t="shared" si="89"/>
        <v>-3.689982142226822E-2</v>
      </c>
    </row>
    <row r="5731" spans="1:3" x14ac:dyDescent="0.6">
      <c r="A5731" s="24">
        <v>37858</v>
      </c>
      <c r="B5731" s="23">
        <v>1.3356859999999999</v>
      </c>
      <c r="C5731" s="32">
        <f t="shared" si="89"/>
        <v>-9.5813883214779239E-4</v>
      </c>
    </row>
    <row r="5732" spans="1:3" x14ac:dyDescent="0.6">
      <c r="A5732" s="24">
        <v>37859</v>
      </c>
      <c r="B5732" s="23">
        <v>1.3478520000000001</v>
      </c>
      <c r="C5732" s="32">
        <f t="shared" si="89"/>
        <v>9.1084281784792331E-3</v>
      </c>
    </row>
    <row r="5733" spans="1:3" x14ac:dyDescent="0.6">
      <c r="A5733" s="24">
        <v>37860</v>
      </c>
      <c r="B5733" s="23">
        <v>1.3753850000000001</v>
      </c>
      <c r="C5733" s="32">
        <f t="shared" si="89"/>
        <v>2.0427316945777374E-2</v>
      </c>
    </row>
    <row r="5734" spans="1:3" x14ac:dyDescent="0.6">
      <c r="A5734" s="24">
        <v>37861</v>
      </c>
      <c r="B5734" s="23">
        <v>1.420847</v>
      </c>
      <c r="C5734" s="32">
        <f t="shared" si="89"/>
        <v>3.3054017602343944E-2</v>
      </c>
    </row>
    <row r="5735" spans="1:3" x14ac:dyDescent="0.6">
      <c r="A5735" s="24">
        <v>37862</v>
      </c>
      <c r="B5735" s="23">
        <v>1.44774</v>
      </c>
      <c r="C5735" s="32">
        <f t="shared" si="89"/>
        <v>1.8927442574745879E-2</v>
      </c>
    </row>
    <row r="5736" spans="1:3" x14ac:dyDescent="0.6">
      <c r="A5736" s="24">
        <v>37866</v>
      </c>
      <c r="B5736" s="23">
        <v>1.4631069999999999</v>
      </c>
      <c r="C5736" s="32">
        <f t="shared" si="89"/>
        <v>1.061447497478829E-2</v>
      </c>
    </row>
    <row r="5737" spans="1:3" x14ac:dyDescent="0.6">
      <c r="A5737" s="24">
        <v>37867</v>
      </c>
      <c r="B5737" s="23">
        <v>1.469511</v>
      </c>
      <c r="C5737" s="32">
        <f t="shared" si="89"/>
        <v>4.3769867822380792E-3</v>
      </c>
    </row>
    <row r="5738" spans="1:3" x14ac:dyDescent="0.6">
      <c r="A5738" s="24">
        <v>37868</v>
      </c>
      <c r="B5738" s="23">
        <v>1.461827</v>
      </c>
      <c r="C5738" s="32">
        <f t="shared" si="89"/>
        <v>-5.2289503106816015E-3</v>
      </c>
    </row>
    <row r="5739" spans="1:3" x14ac:dyDescent="0.6">
      <c r="A5739" s="24">
        <v>37869</v>
      </c>
      <c r="B5739" s="23">
        <v>1.440696</v>
      </c>
      <c r="C5739" s="32">
        <f t="shared" si="89"/>
        <v>-1.4455198871001884E-2</v>
      </c>
    </row>
    <row r="5740" spans="1:3" x14ac:dyDescent="0.6">
      <c r="A5740" s="24">
        <v>37872</v>
      </c>
      <c r="B5740" s="23">
        <v>1.456064</v>
      </c>
      <c r="C5740" s="32">
        <f t="shared" si="89"/>
        <v>1.0667066473426745E-2</v>
      </c>
    </row>
    <row r="5741" spans="1:3" x14ac:dyDescent="0.6">
      <c r="A5741" s="24">
        <v>37873</v>
      </c>
      <c r="B5741" s="23">
        <v>1.432372</v>
      </c>
      <c r="C5741" s="32">
        <f t="shared" si="89"/>
        <v>-1.6271262801635156E-2</v>
      </c>
    </row>
    <row r="5742" spans="1:3" x14ac:dyDescent="0.6">
      <c r="A5742" s="24">
        <v>37874</v>
      </c>
      <c r="B5742" s="23">
        <v>1.420207</v>
      </c>
      <c r="C5742" s="32">
        <f t="shared" si="89"/>
        <v>-8.4929054742761689E-3</v>
      </c>
    </row>
    <row r="5743" spans="1:3" x14ac:dyDescent="0.6">
      <c r="A5743" s="24">
        <v>37875</v>
      </c>
      <c r="B5743" s="23">
        <v>1.4445380000000001</v>
      </c>
      <c r="C5743" s="32">
        <f t="shared" si="89"/>
        <v>1.7132009629582168E-2</v>
      </c>
    </row>
    <row r="5744" spans="1:3" x14ac:dyDescent="0.6">
      <c r="A5744" s="24">
        <v>37876</v>
      </c>
      <c r="B5744" s="23">
        <v>1.479115</v>
      </c>
      <c r="C5744" s="32">
        <f t="shared" si="89"/>
        <v>2.3936372736473421E-2</v>
      </c>
    </row>
    <row r="5745" spans="1:3" x14ac:dyDescent="0.6">
      <c r="A5745" s="24">
        <v>37879</v>
      </c>
      <c r="B5745" s="23">
        <v>1.4221280000000001</v>
      </c>
      <c r="C5745" s="32">
        <f t="shared" si="89"/>
        <v>-3.8527768293878384E-2</v>
      </c>
    </row>
    <row r="5746" spans="1:3" x14ac:dyDescent="0.6">
      <c r="A5746" s="24">
        <v>37880</v>
      </c>
      <c r="B5746" s="23">
        <v>1.431732</v>
      </c>
      <c r="C5746" s="32">
        <f t="shared" si="89"/>
        <v>6.7532599034685337E-3</v>
      </c>
    </row>
    <row r="5747" spans="1:3" x14ac:dyDescent="0.6">
      <c r="A5747" s="24">
        <v>37881</v>
      </c>
      <c r="B5747" s="23">
        <v>1.4163650000000001</v>
      </c>
      <c r="C5747" s="32">
        <f t="shared" si="89"/>
        <v>-1.0733153970156395E-2</v>
      </c>
    </row>
    <row r="5748" spans="1:3" x14ac:dyDescent="0.6">
      <c r="A5748" s="24">
        <v>37882</v>
      </c>
      <c r="B5748" s="23">
        <v>1.465028</v>
      </c>
      <c r="C5748" s="32">
        <f t="shared" si="89"/>
        <v>3.4357669103656008E-2</v>
      </c>
    </row>
    <row r="5749" spans="1:3" x14ac:dyDescent="0.6">
      <c r="A5749" s="24">
        <v>37883</v>
      </c>
      <c r="B5749" s="23">
        <v>1.445819</v>
      </c>
      <c r="C5749" s="32">
        <f t="shared" si="89"/>
        <v>-1.311169479354668E-2</v>
      </c>
    </row>
    <row r="5750" spans="1:3" x14ac:dyDescent="0.6">
      <c r="A5750" s="24">
        <v>37886</v>
      </c>
      <c r="B5750" s="23">
        <v>1.4138040000000001</v>
      </c>
      <c r="C5750" s="32">
        <f t="shared" si="89"/>
        <v>-2.2143158998463752E-2</v>
      </c>
    </row>
    <row r="5751" spans="1:3" x14ac:dyDescent="0.6">
      <c r="A5751" s="24">
        <v>37887</v>
      </c>
      <c r="B5751" s="23">
        <v>1.4362140000000001</v>
      </c>
      <c r="C5751" s="32">
        <f t="shared" si="89"/>
        <v>1.5850853442202828E-2</v>
      </c>
    </row>
    <row r="5752" spans="1:3" x14ac:dyDescent="0.6">
      <c r="A5752" s="24">
        <v>37888</v>
      </c>
      <c r="B5752" s="23">
        <v>1.36514</v>
      </c>
      <c r="C5752" s="32">
        <f t="shared" si="89"/>
        <v>-4.9487054157667409E-2</v>
      </c>
    </row>
    <row r="5753" spans="1:3" x14ac:dyDescent="0.6">
      <c r="A5753" s="24">
        <v>37889</v>
      </c>
      <c r="B5753" s="23">
        <v>1.3081529999999999</v>
      </c>
      <c r="C5753" s="32">
        <f t="shared" si="89"/>
        <v>-4.1744436468054591E-2</v>
      </c>
    </row>
    <row r="5754" spans="1:3" x14ac:dyDescent="0.6">
      <c r="A5754" s="24">
        <v>37890</v>
      </c>
      <c r="B5754" s="23">
        <v>1.3248</v>
      </c>
      <c r="C5754" s="32">
        <f t="shared" si="89"/>
        <v>1.2725575678074419E-2</v>
      </c>
    </row>
    <row r="5755" spans="1:3" x14ac:dyDescent="0.6">
      <c r="A5755" s="24">
        <v>37893</v>
      </c>
      <c r="B5755" s="23">
        <v>1.3638600000000001</v>
      </c>
      <c r="C5755" s="32">
        <f t="shared" si="89"/>
        <v>2.9483695652174013E-2</v>
      </c>
    </row>
    <row r="5756" spans="1:3" x14ac:dyDescent="0.6">
      <c r="A5756" s="24">
        <v>37894</v>
      </c>
      <c r="B5756" s="23">
        <v>1.326722</v>
      </c>
      <c r="C5756" s="32">
        <f t="shared" si="89"/>
        <v>-2.7230067602246666E-2</v>
      </c>
    </row>
    <row r="5757" spans="1:3" x14ac:dyDescent="0.6">
      <c r="A5757" s="24">
        <v>37895</v>
      </c>
      <c r="B5757" s="23">
        <v>1.3312029999999999</v>
      </c>
      <c r="C5757" s="32">
        <f t="shared" si="89"/>
        <v>3.3774973204634406E-3</v>
      </c>
    </row>
    <row r="5758" spans="1:3" x14ac:dyDescent="0.6">
      <c r="A5758" s="24">
        <v>37896</v>
      </c>
      <c r="B5758" s="23">
        <v>1.3171170000000001</v>
      </c>
      <c r="C5758" s="32">
        <f t="shared" si="89"/>
        <v>-1.0581406442142782E-2</v>
      </c>
    </row>
    <row r="5759" spans="1:3" x14ac:dyDescent="0.6">
      <c r="A5759" s="24">
        <v>37897</v>
      </c>
      <c r="B5759" s="23">
        <v>1.3888309999999999</v>
      </c>
      <c r="C5759" s="32">
        <f t="shared" si="89"/>
        <v>5.4447706619837E-2</v>
      </c>
    </row>
    <row r="5760" spans="1:3" x14ac:dyDescent="0.6">
      <c r="A5760" s="24">
        <v>37900</v>
      </c>
      <c r="B5760" s="23">
        <v>1.4272499999999999</v>
      </c>
      <c r="C5760" s="32">
        <f t="shared" si="89"/>
        <v>2.7662832986878882E-2</v>
      </c>
    </row>
    <row r="5761" spans="1:3" x14ac:dyDescent="0.6">
      <c r="A5761" s="24">
        <v>37901</v>
      </c>
      <c r="B5761" s="23">
        <v>1.486799</v>
      </c>
      <c r="C5761" s="32">
        <f t="shared" si="89"/>
        <v>4.1722893676650941E-2</v>
      </c>
    </row>
    <row r="5762" spans="1:3" x14ac:dyDescent="0.6">
      <c r="A5762" s="24">
        <v>37902</v>
      </c>
      <c r="B5762" s="23">
        <v>1.4765539999999999</v>
      </c>
      <c r="C5762" s="32">
        <f t="shared" si="89"/>
        <v>-6.8906422455221605E-3</v>
      </c>
    </row>
    <row r="5763" spans="1:3" x14ac:dyDescent="0.6">
      <c r="A5763" s="24">
        <v>37903</v>
      </c>
      <c r="B5763" s="23">
        <v>1.5015259999999999</v>
      </c>
      <c r="C5763" s="32">
        <f t="shared" si="89"/>
        <v>1.6912351326128228E-2</v>
      </c>
    </row>
    <row r="5764" spans="1:3" x14ac:dyDescent="0.6">
      <c r="A5764" s="24">
        <v>37904</v>
      </c>
      <c r="B5764" s="23">
        <v>1.5162530000000001</v>
      </c>
      <c r="C5764" s="32">
        <f t="shared" ref="C5764:C5827" si="90">B5764/B5763-1</f>
        <v>9.8080219723135631E-3</v>
      </c>
    </row>
    <row r="5765" spans="1:3" x14ac:dyDescent="0.6">
      <c r="A5765" s="24">
        <v>37907</v>
      </c>
      <c r="B5765" s="23">
        <v>1.5591539999999999</v>
      </c>
      <c r="C5765" s="32">
        <f t="shared" si="90"/>
        <v>2.8294090761897817E-2</v>
      </c>
    </row>
    <row r="5766" spans="1:3" x14ac:dyDescent="0.6">
      <c r="A5766" s="24">
        <v>37908</v>
      </c>
      <c r="B5766" s="23">
        <v>1.57196</v>
      </c>
      <c r="C5766" s="32">
        <f t="shared" si="90"/>
        <v>8.2134285644650529E-3</v>
      </c>
    </row>
    <row r="5767" spans="1:3" x14ac:dyDescent="0.6">
      <c r="A5767" s="24">
        <v>37909</v>
      </c>
      <c r="B5767" s="23">
        <v>1.589248</v>
      </c>
      <c r="C5767" s="32">
        <f t="shared" si="90"/>
        <v>1.0997735311331081E-2</v>
      </c>
    </row>
    <row r="5768" spans="1:3" x14ac:dyDescent="0.6">
      <c r="A5768" s="24">
        <v>37910</v>
      </c>
      <c r="B5768" s="23">
        <v>1.48872</v>
      </c>
      <c r="C5768" s="32">
        <f t="shared" si="90"/>
        <v>-6.3255074097938069E-2</v>
      </c>
    </row>
    <row r="5769" spans="1:3" x14ac:dyDescent="0.6">
      <c r="A5769" s="24">
        <v>37911</v>
      </c>
      <c r="B5769" s="23">
        <v>1.456704</v>
      </c>
      <c r="C5769" s="32">
        <f t="shared" si="90"/>
        <v>-2.1505723037240077E-2</v>
      </c>
    </row>
    <row r="5770" spans="1:3" x14ac:dyDescent="0.6">
      <c r="A5770" s="24">
        <v>37914</v>
      </c>
      <c r="B5770" s="23">
        <v>1.486799</v>
      </c>
      <c r="C5770" s="32">
        <f t="shared" si="90"/>
        <v>2.0659653574095938E-2</v>
      </c>
    </row>
    <row r="5771" spans="1:3" x14ac:dyDescent="0.6">
      <c r="A5771" s="24">
        <v>37915</v>
      </c>
      <c r="B5771" s="23">
        <v>1.4842379999999999</v>
      </c>
      <c r="C5771" s="32">
        <f t="shared" si="90"/>
        <v>-1.7224924149128462E-3</v>
      </c>
    </row>
    <row r="5772" spans="1:3" x14ac:dyDescent="0.6">
      <c r="A5772" s="24">
        <v>37916</v>
      </c>
      <c r="B5772" s="23">
        <v>1.4573449999999999</v>
      </c>
      <c r="C5772" s="32">
        <f t="shared" si="90"/>
        <v>-1.8119061767721933E-2</v>
      </c>
    </row>
    <row r="5773" spans="1:3" x14ac:dyDescent="0.6">
      <c r="A5773" s="24">
        <v>37917</v>
      </c>
      <c r="B5773" s="23">
        <v>1.472072</v>
      </c>
      <c r="C5773" s="32">
        <f t="shared" si="90"/>
        <v>1.0105362834469611E-2</v>
      </c>
    </row>
    <row r="5774" spans="1:3" x14ac:dyDescent="0.6">
      <c r="A5774" s="24">
        <v>37918</v>
      </c>
      <c r="B5774" s="23">
        <v>1.4471000000000001</v>
      </c>
      <c r="C5774" s="32">
        <f t="shared" si="90"/>
        <v>-1.6963844159796571E-2</v>
      </c>
    </row>
    <row r="5775" spans="1:3" x14ac:dyDescent="0.6">
      <c r="A5775" s="24">
        <v>37921</v>
      </c>
      <c r="B5775" s="23">
        <v>1.4471000000000001</v>
      </c>
      <c r="C5775" s="32">
        <f t="shared" si="90"/>
        <v>0</v>
      </c>
    </row>
    <row r="5776" spans="1:3" x14ac:dyDescent="0.6">
      <c r="A5776" s="24">
        <v>37922</v>
      </c>
      <c r="B5776" s="23">
        <v>1.5188140000000001</v>
      </c>
      <c r="C5776" s="32">
        <f t="shared" si="90"/>
        <v>4.9557045124732246E-2</v>
      </c>
    </row>
    <row r="5777" spans="1:3" x14ac:dyDescent="0.6">
      <c r="A5777" s="24">
        <v>37923</v>
      </c>
      <c r="B5777" s="23">
        <v>1.516894</v>
      </c>
      <c r="C5777" s="32">
        <f t="shared" si="90"/>
        <v>-1.2641442599292674E-3</v>
      </c>
    </row>
    <row r="5778" spans="1:3" x14ac:dyDescent="0.6">
      <c r="A5778" s="24">
        <v>37924</v>
      </c>
      <c r="B5778" s="23">
        <v>1.478475</v>
      </c>
      <c r="C5778" s="32">
        <f t="shared" si="90"/>
        <v>-2.532741246257153E-2</v>
      </c>
    </row>
    <row r="5779" spans="1:3" x14ac:dyDescent="0.6">
      <c r="A5779" s="24">
        <v>37925</v>
      </c>
      <c r="B5779" s="23">
        <v>1.4656690000000001</v>
      </c>
      <c r="C5779" s="32">
        <f t="shared" si="90"/>
        <v>-8.6616276906946732E-3</v>
      </c>
    </row>
    <row r="5780" spans="1:3" x14ac:dyDescent="0.6">
      <c r="A5780" s="24">
        <v>37928</v>
      </c>
      <c r="B5780" s="23">
        <v>1.4823170000000001</v>
      </c>
      <c r="C5780" s="32">
        <f t="shared" si="90"/>
        <v>1.1358635544587381E-2</v>
      </c>
    </row>
    <row r="5781" spans="1:3" x14ac:dyDescent="0.6">
      <c r="A5781" s="24">
        <v>37929</v>
      </c>
      <c r="B5781" s="23">
        <v>1.4669490000000001</v>
      </c>
      <c r="C5781" s="32">
        <f t="shared" si="90"/>
        <v>-1.0367552959319792E-2</v>
      </c>
    </row>
    <row r="5782" spans="1:3" x14ac:dyDescent="0.6">
      <c r="A5782" s="24">
        <v>37930</v>
      </c>
      <c r="B5782" s="23">
        <v>1.4746330000000001</v>
      </c>
      <c r="C5782" s="32">
        <f t="shared" si="90"/>
        <v>5.2380825781945806E-3</v>
      </c>
    </row>
    <row r="5783" spans="1:3" x14ac:dyDescent="0.6">
      <c r="A5783" s="24">
        <v>37931</v>
      </c>
      <c r="B5783" s="23">
        <v>1.480396</v>
      </c>
      <c r="C5783" s="32">
        <f t="shared" si="90"/>
        <v>3.9080910301070304E-3</v>
      </c>
    </row>
    <row r="5784" spans="1:3" x14ac:dyDescent="0.6">
      <c r="A5784" s="24">
        <v>37932</v>
      </c>
      <c r="B5784" s="23">
        <v>1.440696</v>
      </c>
      <c r="C5784" s="32">
        <f t="shared" si="90"/>
        <v>-2.6817148925017409E-2</v>
      </c>
    </row>
    <row r="5785" spans="1:3" x14ac:dyDescent="0.6">
      <c r="A5785" s="24">
        <v>37935</v>
      </c>
      <c r="B5785" s="23">
        <v>1.4022779999999999</v>
      </c>
      <c r="C5785" s="32">
        <f t="shared" si="90"/>
        <v>-2.666627796565002E-2</v>
      </c>
    </row>
    <row r="5786" spans="1:3" x14ac:dyDescent="0.6">
      <c r="A5786" s="24">
        <v>37936</v>
      </c>
      <c r="B5786" s="23">
        <v>1.379227</v>
      </c>
      <c r="C5786" s="32">
        <f t="shared" si="90"/>
        <v>-1.6438252614674131E-2</v>
      </c>
    </row>
    <row r="5787" spans="1:3" x14ac:dyDescent="0.6">
      <c r="A5787" s="24">
        <v>37937</v>
      </c>
      <c r="B5787" s="23">
        <v>1.4298109999999999</v>
      </c>
      <c r="C5787" s="32">
        <f t="shared" si="90"/>
        <v>3.6675616124104193E-2</v>
      </c>
    </row>
    <row r="5788" spans="1:3" x14ac:dyDescent="0.6">
      <c r="A5788" s="24">
        <v>37938</v>
      </c>
      <c r="B5788" s="23">
        <v>1.4355739999999999</v>
      </c>
      <c r="C5788" s="32">
        <f t="shared" si="90"/>
        <v>4.0306026460839028E-3</v>
      </c>
    </row>
    <row r="5789" spans="1:3" x14ac:dyDescent="0.6">
      <c r="A5789" s="24">
        <v>37939</v>
      </c>
      <c r="B5789" s="23">
        <v>1.374104</v>
      </c>
      <c r="C5789" s="32">
        <f t="shared" si="90"/>
        <v>-4.2819109290081814E-2</v>
      </c>
    </row>
    <row r="5790" spans="1:3" x14ac:dyDescent="0.6">
      <c r="A5790" s="24">
        <v>37942</v>
      </c>
      <c r="B5790" s="23">
        <v>1.3529739999999999</v>
      </c>
      <c r="C5790" s="32">
        <f t="shared" si="90"/>
        <v>-1.537729313065106E-2</v>
      </c>
    </row>
    <row r="5791" spans="1:3" x14ac:dyDescent="0.6">
      <c r="A5791" s="24">
        <v>37943</v>
      </c>
      <c r="B5791" s="23">
        <v>1.306872</v>
      </c>
      <c r="C5791" s="32">
        <f t="shared" si="90"/>
        <v>-3.4074564625779846E-2</v>
      </c>
    </row>
    <row r="5792" spans="1:3" x14ac:dyDescent="0.6">
      <c r="A5792" s="24">
        <v>37944</v>
      </c>
      <c r="B5792" s="23">
        <v>1.307512</v>
      </c>
      <c r="C5792" s="32">
        <f t="shared" si="90"/>
        <v>4.8971896253036107E-4</v>
      </c>
    </row>
    <row r="5793" spans="1:3" x14ac:dyDescent="0.6">
      <c r="A5793" s="24">
        <v>37945</v>
      </c>
      <c r="B5793" s="23">
        <v>1.304951</v>
      </c>
      <c r="C5793" s="32">
        <f t="shared" si="90"/>
        <v>-1.958681832365583E-3</v>
      </c>
    </row>
    <row r="5794" spans="1:3" x14ac:dyDescent="0.6">
      <c r="A5794" s="24">
        <v>37946</v>
      </c>
      <c r="B5794" s="23">
        <v>1.298548</v>
      </c>
      <c r="C5794" s="32">
        <f t="shared" si="90"/>
        <v>-4.9066976461185074E-3</v>
      </c>
    </row>
    <row r="5795" spans="1:3" x14ac:dyDescent="0.6">
      <c r="A5795" s="24">
        <v>37949</v>
      </c>
      <c r="B5795" s="23">
        <v>1.354255</v>
      </c>
      <c r="C5795" s="32">
        <f t="shared" si="90"/>
        <v>4.2899453851532598E-2</v>
      </c>
    </row>
    <row r="5796" spans="1:3" x14ac:dyDescent="0.6">
      <c r="A5796" s="24">
        <v>37950</v>
      </c>
      <c r="B5796" s="23">
        <v>1.32416</v>
      </c>
      <c r="C5796" s="32">
        <f t="shared" si="90"/>
        <v>-2.2222550405942787E-2</v>
      </c>
    </row>
    <row r="5797" spans="1:3" x14ac:dyDescent="0.6">
      <c r="A5797" s="24">
        <v>37951</v>
      </c>
      <c r="B5797" s="23">
        <v>1.326722</v>
      </c>
      <c r="C5797" s="32">
        <f t="shared" si="90"/>
        <v>1.9348115031416757E-3</v>
      </c>
    </row>
    <row r="5798" spans="1:3" x14ac:dyDescent="0.6">
      <c r="A5798" s="24">
        <v>37953</v>
      </c>
      <c r="B5798" s="23">
        <v>1.3388869999999999</v>
      </c>
      <c r="C5798" s="32">
        <f t="shared" si="90"/>
        <v>9.1692155553311228E-3</v>
      </c>
    </row>
    <row r="5799" spans="1:3" x14ac:dyDescent="0.6">
      <c r="A5799" s="24">
        <v>37956</v>
      </c>
      <c r="B5799" s="23">
        <v>1.390112</v>
      </c>
      <c r="C5799" s="32">
        <f t="shared" si="90"/>
        <v>3.8259390075488175E-2</v>
      </c>
    </row>
    <row r="5800" spans="1:3" x14ac:dyDescent="0.6">
      <c r="A5800" s="24">
        <v>37957</v>
      </c>
      <c r="B5800" s="23">
        <v>1.379227</v>
      </c>
      <c r="C5800" s="32">
        <f t="shared" si="90"/>
        <v>-7.8303043208030054E-3</v>
      </c>
    </row>
    <row r="5801" spans="1:3" x14ac:dyDescent="0.6">
      <c r="A5801" s="24">
        <v>37958</v>
      </c>
      <c r="B5801" s="23">
        <v>1.346571</v>
      </c>
      <c r="C5801" s="32">
        <f t="shared" si="90"/>
        <v>-2.3677030684579159E-2</v>
      </c>
    </row>
    <row r="5802" spans="1:3" x14ac:dyDescent="0.6">
      <c r="A5802" s="24">
        <v>37959</v>
      </c>
      <c r="B5802" s="23">
        <v>1.354255</v>
      </c>
      <c r="C5802" s="32">
        <f t="shared" si="90"/>
        <v>5.7063459706172548E-3</v>
      </c>
    </row>
    <row r="5803" spans="1:3" x14ac:dyDescent="0.6">
      <c r="A5803" s="24">
        <v>37960</v>
      </c>
      <c r="B5803" s="23">
        <v>1.335045</v>
      </c>
      <c r="C5803" s="32">
        <f t="shared" si="90"/>
        <v>-1.4184920860546901E-2</v>
      </c>
    </row>
    <row r="5804" spans="1:3" x14ac:dyDescent="0.6">
      <c r="A5804" s="24">
        <v>37963</v>
      </c>
      <c r="B5804" s="23">
        <v>1.3478520000000001</v>
      </c>
      <c r="C5804" s="32">
        <f t="shared" si="90"/>
        <v>9.592935069604458E-3</v>
      </c>
    </row>
    <row r="5805" spans="1:3" x14ac:dyDescent="0.6">
      <c r="A5805" s="24">
        <v>37964</v>
      </c>
      <c r="B5805" s="23">
        <v>1.3094330000000001</v>
      </c>
      <c r="C5805" s="32">
        <f t="shared" si="90"/>
        <v>-2.8503871344925047E-2</v>
      </c>
    </row>
    <row r="5806" spans="1:3" x14ac:dyDescent="0.6">
      <c r="A5806" s="24">
        <v>37965</v>
      </c>
      <c r="B5806" s="23">
        <v>1.304951</v>
      </c>
      <c r="C5806" s="32">
        <f t="shared" si="90"/>
        <v>-3.4228555412916251E-3</v>
      </c>
    </row>
    <row r="5807" spans="1:3" x14ac:dyDescent="0.6">
      <c r="A5807" s="24">
        <v>37966</v>
      </c>
      <c r="B5807" s="23">
        <v>1.3580970000000001</v>
      </c>
      <c r="C5807" s="32">
        <f t="shared" si="90"/>
        <v>4.072643340631199E-2</v>
      </c>
    </row>
    <row r="5808" spans="1:3" x14ac:dyDescent="0.6">
      <c r="A5808" s="24">
        <v>37967</v>
      </c>
      <c r="B5808" s="23">
        <v>1.337607</v>
      </c>
      <c r="C5808" s="32">
        <f t="shared" si="90"/>
        <v>-1.5087287579605979E-2</v>
      </c>
    </row>
    <row r="5809" spans="1:3" x14ac:dyDescent="0.6">
      <c r="A5809" s="24">
        <v>37970</v>
      </c>
      <c r="B5809" s="23">
        <v>1.291504</v>
      </c>
      <c r="C5809" s="32">
        <f t="shared" si="90"/>
        <v>-3.4466775368250935E-2</v>
      </c>
    </row>
    <row r="5810" spans="1:3" x14ac:dyDescent="0.6">
      <c r="A5810" s="24">
        <v>37971</v>
      </c>
      <c r="B5810" s="23">
        <v>1.288303</v>
      </c>
      <c r="C5810" s="32">
        <f t="shared" si="90"/>
        <v>-2.47850568019925E-3</v>
      </c>
    </row>
    <row r="5811" spans="1:3" x14ac:dyDescent="0.6">
      <c r="A5811" s="24">
        <v>37972</v>
      </c>
      <c r="B5811" s="23">
        <v>1.2729360000000001</v>
      </c>
      <c r="C5811" s="32">
        <f t="shared" si="90"/>
        <v>-1.1928094555395674E-2</v>
      </c>
    </row>
    <row r="5812" spans="1:3" x14ac:dyDescent="0.6">
      <c r="A5812" s="24">
        <v>37973</v>
      </c>
      <c r="B5812" s="23">
        <v>1.28318</v>
      </c>
      <c r="C5812" s="32">
        <f t="shared" si="90"/>
        <v>8.0475373467321365E-3</v>
      </c>
    </row>
    <row r="5813" spans="1:3" x14ac:dyDescent="0.6">
      <c r="A5813" s="24">
        <v>37974</v>
      </c>
      <c r="B5813" s="23">
        <v>1.2614099999999999</v>
      </c>
      <c r="C5813" s="32">
        <f t="shared" si="90"/>
        <v>-1.6965663429916344E-2</v>
      </c>
    </row>
    <row r="5814" spans="1:3" x14ac:dyDescent="0.6">
      <c r="A5814" s="24">
        <v>37977</v>
      </c>
      <c r="B5814" s="23">
        <v>1.2710140000000001</v>
      </c>
      <c r="C5814" s="32">
        <f t="shared" si="90"/>
        <v>7.6137021269850891E-3</v>
      </c>
    </row>
    <row r="5815" spans="1:3" x14ac:dyDescent="0.6">
      <c r="A5815" s="24">
        <v>37978</v>
      </c>
      <c r="B5815" s="23">
        <v>1.2684530000000001</v>
      </c>
      <c r="C5815" s="32">
        <f t="shared" si="90"/>
        <v>-2.0149266648519237E-3</v>
      </c>
    </row>
    <row r="5816" spans="1:3" x14ac:dyDescent="0.6">
      <c r="A5816" s="24">
        <v>37979</v>
      </c>
      <c r="B5816" s="23">
        <v>1.306872</v>
      </c>
      <c r="C5816" s="32">
        <f t="shared" si="90"/>
        <v>3.0288075316941221E-2</v>
      </c>
    </row>
    <row r="5817" spans="1:3" x14ac:dyDescent="0.6">
      <c r="A5817" s="24">
        <v>37981</v>
      </c>
      <c r="B5817" s="23">
        <v>1.3305629999999999</v>
      </c>
      <c r="C5817" s="32">
        <f t="shared" si="90"/>
        <v>1.8128018658292389E-2</v>
      </c>
    </row>
    <row r="5818" spans="1:3" x14ac:dyDescent="0.6">
      <c r="A5818" s="24">
        <v>37984</v>
      </c>
      <c r="B5818" s="23">
        <v>1.354255</v>
      </c>
      <c r="C5818" s="32">
        <f t="shared" si="90"/>
        <v>1.7805996409038904E-2</v>
      </c>
    </row>
    <row r="5819" spans="1:3" x14ac:dyDescent="0.6">
      <c r="A5819" s="24">
        <v>37985</v>
      </c>
      <c r="B5819" s="23">
        <v>1.362579</v>
      </c>
      <c r="C5819" s="32">
        <f t="shared" si="90"/>
        <v>6.1465529017799003E-3</v>
      </c>
    </row>
    <row r="5820" spans="1:3" x14ac:dyDescent="0.6">
      <c r="A5820" s="24">
        <v>37986</v>
      </c>
      <c r="B5820" s="23">
        <v>1.368341</v>
      </c>
      <c r="C5820" s="32">
        <f t="shared" si="90"/>
        <v>4.2287456360328157E-3</v>
      </c>
    </row>
    <row r="5821" spans="1:3" x14ac:dyDescent="0.6">
      <c r="A5821" s="24">
        <v>37988</v>
      </c>
      <c r="B5821" s="23">
        <v>1.362579</v>
      </c>
      <c r="C5821" s="32">
        <f t="shared" si="90"/>
        <v>-4.2109386476032462E-3</v>
      </c>
    </row>
    <row r="5822" spans="1:3" x14ac:dyDescent="0.6">
      <c r="A5822" s="24">
        <v>37991</v>
      </c>
      <c r="B5822" s="23">
        <v>1.419567</v>
      </c>
      <c r="C5822" s="32">
        <f t="shared" si="90"/>
        <v>4.182363004273526E-2</v>
      </c>
    </row>
    <row r="5823" spans="1:3" x14ac:dyDescent="0.6">
      <c r="A5823" s="24">
        <v>37992</v>
      </c>
      <c r="B5823" s="23">
        <v>1.414444</v>
      </c>
      <c r="C5823" s="32">
        <f t="shared" si="90"/>
        <v>-3.6088469230406428E-3</v>
      </c>
    </row>
    <row r="5824" spans="1:3" x14ac:dyDescent="0.6">
      <c r="A5824" s="24">
        <v>37993</v>
      </c>
      <c r="B5824" s="23">
        <v>1.4464600000000001</v>
      </c>
      <c r="C5824" s="32">
        <f t="shared" si="90"/>
        <v>2.263504246191439E-2</v>
      </c>
    </row>
    <row r="5825" spans="1:3" x14ac:dyDescent="0.6">
      <c r="A5825" s="24">
        <v>37994</v>
      </c>
      <c r="B5825" s="23">
        <v>1.4957640000000001</v>
      </c>
      <c r="C5825" s="32">
        <f t="shared" si="90"/>
        <v>3.4085975415842906E-2</v>
      </c>
    </row>
    <row r="5826" spans="1:3" x14ac:dyDescent="0.6">
      <c r="A5826" s="24">
        <v>37995</v>
      </c>
      <c r="B5826" s="23">
        <v>1.472712</v>
      </c>
      <c r="C5826" s="32">
        <f t="shared" si="90"/>
        <v>-1.5411522138519262E-2</v>
      </c>
    </row>
    <row r="5827" spans="1:3" x14ac:dyDescent="0.6">
      <c r="A5827" s="24">
        <v>37998</v>
      </c>
      <c r="B5827" s="23">
        <v>1.519455</v>
      </c>
      <c r="C5827" s="32">
        <f t="shared" si="90"/>
        <v>3.1739403223440821E-2</v>
      </c>
    </row>
    <row r="5828" spans="1:3" x14ac:dyDescent="0.6">
      <c r="A5828" s="24">
        <v>37999</v>
      </c>
      <c r="B5828" s="23">
        <v>1.544427</v>
      </c>
      <c r="C5828" s="32">
        <f t="shared" ref="C5828:C5891" si="91">B5828/B5827-1</f>
        <v>1.6434840123596972E-2</v>
      </c>
    </row>
    <row r="5829" spans="1:3" x14ac:dyDescent="0.6">
      <c r="A5829" s="24">
        <v>38000</v>
      </c>
      <c r="B5829" s="23">
        <v>1.5495490000000001</v>
      </c>
      <c r="C5829" s="32">
        <f t="shared" si="91"/>
        <v>3.3164403367722528E-3</v>
      </c>
    </row>
    <row r="5830" spans="1:3" x14ac:dyDescent="0.6">
      <c r="A5830" s="24">
        <v>38001</v>
      </c>
      <c r="B5830" s="23">
        <v>1.4631069999999999</v>
      </c>
      <c r="C5830" s="32">
        <f t="shared" si="91"/>
        <v>-5.5785263970355325E-2</v>
      </c>
    </row>
    <row r="5831" spans="1:3" x14ac:dyDescent="0.6">
      <c r="A5831" s="24">
        <v>38002</v>
      </c>
      <c r="B5831" s="23">
        <v>1.4547829999999999</v>
      </c>
      <c r="C5831" s="32">
        <f t="shared" si="91"/>
        <v>-5.6892626444955408E-3</v>
      </c>
    </row>
    <row r="5832" spans="1:3" x14ac:dyDescent="0.6">
      <c r="A5832" s="24">
        <v>38006</v>
      </c>
      <c r="B5832" s="23">
        <v>1.4554240000000001</v>
      </c>
      <c r="C5832" s="32">
        <f t="shared" si="91"/>
        <v>4.4061554197427633E-4</v>
      </c>
    </row>
    <row r="5833" spans="1:3" x14ac:dyDescent="0.6">
      <c r="A5833" s="24">
        <v>38007</v>
      </c>
      <c r="B5833" s="23">
        <v>1.44774</v>
      </c>
      <c r="C5833" s="32">
        <f t="shared" si="91"/>
        <v>-5.2795611450684454E-3</v>
      </c>
    </row>
    <row r="5834" spans="1:3" x14ac:dyDescent="0.6">
      <c r="A5834" s="24">
        <v>38008</v>
      </c>
      <c r="B5834" s="23">
        <v>1.420207</v>
      </c>
      <c r="C5834" s="32">
        <f t="shared" si="91"/>
        <v>-1.9017917581886312E-2</v>
      </c>
    </row>
    <row r="5835" spans="1:3" x14ac:dyDescent="0.6">
      <c r="A5835" s="24">
        <v>38009</v>
      </c>
      <c r="B5835" s="23">
        <v>1.4445380000000001</v>
      </c>
      <c r="C5835" s="32">
        <f t="shared" si="91"/>
        <v>1.7132009629582168E-2</v>
      </c>
    </row>
    <row r="5836" spans="1:3" x14ac:dyDescent="0.6">
      <c r="A5836" s="24">
        <v>38012</v>
      </c>
      <c r="B5836" s="23">
        <v>1.4733529999999999</v>
      </c>
      <c r="C5836" s="32">
        <f t="shared" si="91"/>
        <v>1.994755416610694E-2</v>
      </c>
    </row>
    <row r="5837" spans="1:3" x14ac:dyDescent="0.6">
      <c r="A5837" s="24">
        <v>38013</v>
      </c>
      <c r="B5837" s="23">
        <v>1.477195</v>
      </c>
      <c r="C5837" s="32">
        <f t="shared" si="91"/>
        <v>2.6076574995945734E-3</v>
      </c>
    </row>
    <row r="5838" spans="1:3" x14ac:dyDescent="0.6">
      <c r="A5838" s="24">
        <v>38014</v>
      </c>
      <c r="B5838" s="23">
        <v>1.4419770000000001</v>
      </c>
      <c r="C5838" s="32">
        <f t="shared" si="91"/>
        <v>-2.3841131333371623E-2</v>
      </c>
    </row>
    <row r="5839" spans="1:3" x14ac:dyDescent="0.6">
      <c r="A5839" s="24">
        <v>38015</v>
      </c>
      <c r="B5839" s="23">
        <v>1.4522219999999999</v>
      </c>
      <c r="C5839" s="32">
        <f t="shared" si="91"/>
        <v>7.1048289951918253E-3</v>
      </c>
    </row>
    <row r="5840" spans="1:3" x14ac:dyDescent="0.6">
      <c r="A5840" s="24">
        <v>38016</v>
      </c>
      <c r="B5840" s="23">
        <v>1.4445380000000001</v>
      </c>
      <c r="C5840" s="32">
        <f t="shared" si="91"/>
        <v>-5.2912020338486965E-3</v>
      </c>
    </row>
    <row r="5841" spans="1:3" x14ac:dyDescent="0.6">
      <c r="A5841" s="24">
        <v>38019</v>
      </c>
      <c r="B5841" s="23">
        <v>1.429171</v>
      </c>
      <c r="C5841" s="32">
        <f t="shared" si="91"/>
        <v>-1.0638003292402276E-2</v>
      </c>
    </row>
    <row r="5842" spans="1:3" x14ac:dyDescent="0.6">
      <c r="A5842" s="24">
        <v>38020</v>
      </c>
      <c r="B5842" s="23">
        <v>1.4253290000000001</v>
      </c>
      <c r="C5842" s="32">
        <f t="shared" si="91"/>
        <v>-2.6882717323538641E-3</v>
      </c>
    </row>
    <row r="5843" spans="1:3" x14ac:dyDescent="0.6">
      <c r="A5843" s="24">
        <v>38021</v>
      </c>
      <c r="B5843" s="23">
        <v>1.395235</v>
      </c>
      <c r="C5843" s="32">
        <f t="shared" si="91"/>
        <v>-2.1113721814402187E-2</v>
      </c>
    </row>
    <row r="5844" spans="1:3" x14ac:dyDescent="0.6">
      <c r="A5844" s="24">
        <v>38022</v>
      </c>
      <c r="B5844" s="23">
        <v>1.4355739999999999</v>
      </c>
      <c r="C5844" s="32">
        <f t="shared" si="91"/>
        <v>2.8911975401993084E-2</v>
      </c>
    </row>
    <row r="5845" spans="1:3" x14ac:dyDescent="0.6">
      <c r="A5845" s="24">
        <v>38023</v>
      </c>
      <c r="B5845" s="23">
        <v>1.454143</v>
      </c>
      <c r="C5845" s="32">
        <f t="shared" si="91"/>
        <v>1.29348957281199E-2</v>
      </c>
    </row>
    <row r="5846" spans="1:3" x14ac:dyDescent="0.6">
      <c r="A5846" s="24">
        <v>38026</v>
      </c>
      <c r="B5846" s="23">
        <v>1.4515819999999999</v>
      </c>
      <c r="C5846" s="32">
        <f t="shared" si="91"/>
        <v>-1.7611747950511125E-3</v>
      </c>
    </row>
    <row r="5847" spans="1:3" x14ac:dyDescent="0.6">
      <c r="A5847" s="24">
        <v>38027</v>
      </c>
      <c r="B5847" s="23">
        <v>1.4714309999999999</v>
      </c>
      <c r="C5847" s="32">
        <f t="shared" si="91"/>
        <v>1.367404666081562E-2</v>
      </c>
    </row>
    <row r="5848" spans="1:3" x14ac:dyDescent="0.6">
      <c r="A5848" s="24">
        <v>38028</v>
      </c>
      <c r="B5848" s="23">
        <v>1.5239370000000001</v>
      </c>
      <c r="C5848" s="32">
        <f t="shared" si="91"/>
        <v>3.5683630425076052E-2</v>
      </c>
    </row>
    <row r="5849" spans="1:3" x14ac:dyDescent="0.6">
      <c r="A5849" s="24">
        <v>38029</v>
      </c>
      <c r="B5849" s="23">
        <v>1.519455</v>
      </c>
      <c r="C5849" s="32">
        <f t="shared" si="91"/>
        <v>-2.9410664614089033E-3</v>
      </c>
    </row>
    <row r="5850" spans="1:3" x14ac:dyDescent="0.6">
      <c r="A5850" s="24">
        <v>38030</v>
      </c>
      <c r="B5850" s="23">
        <v>1.472712</v>
      </c>
      <c r="C5850" s="32">
        <f t="shared" si="91"/>
        <v>-3.0763003840192704E-2</v>
      </c>
    </row>
    <row r="5851" spans="1:3" x14ac:dyDescent="0.6">
      <c r="A5851" s="24">
        <v>38034</v>
      </c>
      <c r="B5851" s="23">
        <v>1.4829570000000001</v>
      </c>
      <c r="C5851" s="32">
        <f t="shared" si="91"/>
        <v>6.9565536235189906E-3</v>
      </c>
    </row>
    <row r="5852" spans="1:3" x14ac:dyDescent="0.6">
      <c r="A5852" s="24">
        <v>38035</v>
      </c>
      <c r="B5852" s="23">
        <v>1.48936</v>
      </c>
      <c r="C5852" s="32">
        <f t="shared" si="91"/>
        <v>4.3177246541874492E-3</v>
      </c>
    </row>
    <row r="5853" spans="1:3" x14ac:dyDescent="0.6">
      <c r="A5853" s="24">
        <v>38036</v>
      </c>
      <c r="B5853" s="23">
        <v>1.4387760000000001</v>
      </c>
      <c r="C5853" s="32">
        <f t="shared" si="91"/>
        <v>-3.3963581672664778E-2</v>
      </c>
    </row>
    <row r="5854" spans="1:3" x14ac:dyDescent="0.6">
      <c r="A5854" s="24">
        <v>38037</v>
      </c>
      <c r="B5854" s="23">
        <v>1.434294</v>
      </c>
      <c r="C5854" s="32">
        <f t="shared" si="91"/>
        <v>-3.1151478756944462E-3</v>
      </c>
    </row>
    <row r="5855" spans="1:3" x14ac:dyDescent="0.6">
      <c r="A5855" s="24">
        <v>38040</v>
      </c>
      <c r="B5855" s="23">
        <v>1.420847</v>
      </c>
      <c r="C5855" s="32">
        <f t="shared" si="91"/>
        <v>-9.3753442460192682E-3</v>
      </c>
    </row>
    <row r="5856" spans="1:3" x14ac:dyDescent="0.6">
      <c r="A5856" s="24">
        <v>38041</v>
      </c>
      <c r="B5856" s="23">
        <v>1.431732</v>
      </c>
      <c r="C5856" s="32">
        <f t="shared" si="91"/>
        <v>7.6609233788016429E-3</v>
      </c>
    </row>
    <row r="5857" spans="1:3" x14ac:dyDescent="0.6">
      <c r="A5857" s="24">
        <v>38042</v>
      </c>
      <c r="B5857" s="23">
        <v>1.4605459999999999</v>
      </c>
      <c r="C5857" s="32">
        <f t="shared" si="91"/>
        <v>2.01252748419396E-2</v>
      </c>
    </row>
    <row r="5858" spans="1:3" x14ac:dyDescent="0.6">
      <c r="A5858" s="24">
        <v>38043</v>
      </c>
      <c r="B5858" s="23">
        <v>1.475274</v>
      </c>
      <c r="C5858" s="32">
        <f t="shared" si="91"/>
        <v>1.0083900130499091E-2</v>
      </c>
    </row>
    <row r="5859" spans="1:3" x14ac:dyDescent="0.6">
      <c r="A5859" s="24">
        <v>38044</v>
      </c>
      <c r="B5859" s="23">
        <v>1.5316209999999999</v>
      </c>
      <c r="C5859" s="32">
        <f t="shared" si="91"/>
        <v>3.8194260862727925E-2</v>
      </c>
    </row>
    <row r="5860" spans="1:3" x14ac:dyDescent="0.6">
      <c r="A5860" s="24">
        <v>38047</v>
      </c>
      <c r="B5860" s="23">
        <v>1.5380240000000001</v>
      </c>
      <c r="C5860" s="32">
        <f t="shared" si="91"/>
        <v>4.1805381357400417E-3</v>
      </c>
    </row>
    <row r="5861" spans="1:3" x14ac:dyDescent="0.6">
      <c r="A5861" s="24">
        <v>38048</v>
      </c>
      <c r="B5861" s="23">
        <v>1.5245770000000001</v>
      </c>
      <c r="C5861" s="32">
        <f t="shared" si="91"/>
        <v>-8.7430365195861892E-3</v>
      </c>
    </row>
    <row r="5862" spans="1:3" x14ac:dyDescent="0.6">
      <c r="A5862" s="24">
        <v>38049</v>
      </c>
      <c r="B5862" s="23">
        <v>1.5316209999999999</v>
      </c>
      <c r="C5862" s="32">
        <f t="shared" si="91"/>
        <v>4.6202979580565184E-3</v>
      </c>
    </row>
    <row r="5863" spans="1:3" x14ac:dyDescent="0.6">
      <c r="A5863" s="24">
        <v>38050</v>
      </c>
      <c r="B5863" s="23">
        <v>1.611019</v>
      </c>
      <c r="C5863" s="32">
        <f t="shared" si="91"/>
        <v>5.183919520560254E-2</v>
      </c>
    </row>
    <row r="5864" spans="1:3" x14ac:dyDescent="0.6">
      <c r="A5864" s="24">
        <v>38051</v>
      </c>
      <c r="B5864" s="23">
        <v>1.712188</v>
      </c>
      <c r="C5864" s="32">
        <f t="shared" si="91"/>
        <v>6.2798142045500382E-2</v>
      </c>
    </row>
    <row r="5865" spans="1:3" x14ac:dyDescent="0.6">
      <c r="A5865" s="24">
        <v>38054</v>
      </c>
      <c r="B5865" s="23">
        <v>1.6648050000000001</v>
      </c>
      <c r="C5865" s="32">
        <f t="shared" si="91"/>
        <v>-2.7673947019836609E-2</v>
      </c>
    </row>
    <row r="5866" spans="1:3" x14ac:dyDescent="0.6">
      <c r="A5866" s="24">
        <v>38055</v>
      </c>
      <c r="B5866" s="23">
        <v>1.735239</v>
      </c>
      <c r="C5866" s="32">
        <f t="shared" si="91"/>
        <v>4.2307657653599007E-2</v>
      </c>
    </row>
    <row r="5867" spans="1:3" x14ac:dyDescent="0.6">
      <c r="A5867" s="24">
        <v>38056</v>
      </c>
      <c r="B5867" s="23">
        <v>1.7723770000000001</v>
      </c>
      <c r="C5867" s="32">
        <f t="shared" si="91"/>
        <v>2.1402239115188237E-2</v>
      </c>
    </row>
    <row r="5868" spans="1:3" x14ac:dyDescent="0.6">
      <c r="A5868" s="24">
        <v>38057</v>
      </c>
      <c r="B5868" s="23">
        <v>1.7384409999999999</v>
      </c>
      <c r="C5868" s="32">
        <f t="shared" si="91"/>
        <v>-1.9147167899380424E-2</v>
      </c>
    </row>
    <row r="5869" spans="1:3" x14ac:dyDescent="0.6">
      <c r="A5869" s="24">
        <v>38058</v>
      </c>
      <c r="B5869" s="23">
        <v>1.7646930000000001</v>
      </c>
      <c r="C5869" s="32">
        <f t="shared" si="91"/>
        <v>1.5100886368878852E-2</v>
      </c>
    </row>
    <row r="5870" spans="1:3" x14ac:dyDescent="0.6">
      <c r="A5870" s="24">
        <v>38061</v>
      </c>
      <c r="B5870" s="23">
        <v>1.693619</v>
      </c>
      <c r="C5870" s="32">
        <f t="shared" si="91"/>
        <v>-4.0275560678259659E-2</v>
      </c>
    </row>
    <row r="5871" spans="1:3" x14ac:dyDescent="0.6">
      <c r="A5871" s="24">
        <v>38062</v>
      </c>
      <c r="B5871" s="23">
        <v>1.6532800000000001</v>
      </c>
      <c r="C5871" s="32">
        <f t="shared" si="91"/>
        <v>-2.3818225941017346E-2</v>
      </c>
    </row>
    <row r="5872" spans="1:3" x14ac:dyDescent="0.6">
      <c r="A5872" s="24">
        <v>38063</v>
      </c>
      <c r="B5872" s="23">
        <v>1.676971</v>
      </c>
      <c r="C5872" s="32">
        <f t="shared" si="91"/>
        <v>1.4329696119229629E-2</v>
      </c>
    </row>
    <row r="5873" spans="1:3" x14ac:dyDescent="0.6">
      <c r="A5873" s="24">
        <v>38064</v>
      </c>
      <c r="B5873" s="23">
        <v>1.643675</v>
      </c>
      <c r="C5873" s="32">
        <f t="shared" si="91"/>
        <v>-1.9854845432628276E-2</v>
      </c>
    </row>
    <row r="5874" spans="1:3" x14ac:dyDescent="0.6">
      <c r="A5874" s="24">
        <v>38065</v>
      </c>
      <c r="B5874" s="23">
        <v>1.6558409999999999</v>
      </c>
      <c r="C5874" s="32">
        <f t="shared" si="91"/>
        <v>7.4017065417433248E-3</v>
      </c>
    </row>
    <row r="5875" spans="1:3" x14ac:dyDescent="0.6">
      <c r="A5875" s="24">
        <v>38068</v>
      </c>
      <c r="B5875" s="23">
        <v>1.6558409999999999</v>
      </c>
      <c r="C5875" s="32">
        <f t="shared" si="91"/>
        <v>0</v>
      </c>
    </row>
    <row r="5876" spans="1:3" x14ac:dyDescent="0.6">
      <c r="A5876" s="24">
        <v>38069</v>
      </c>
      <c r="B5876" s="23">
        <v>1.619343</v>
      </c>
      <c r="C5876" s="32">
        <f t="shared" si="91"/>
        <v>-2.2041971421169038E-2</v>
      </c>
    </row>
    <row r="5877" spans="1:3" x14ac:dyDescent="0.6">
      <c r="A5877" s="24">
        <v>38070</v>
      </c>
      <c r="B5877" s="23">
        <v>1.63279</v>
      </c>
      <c r="C5877" s="32">
        <f t="shared" si="91"/>
        <v>8.3039850112052171E-3</v>
      </c>
    </row>
    <row r="5878" spans="1:3" x14ac:dyDescent="0.6">
      <c r="A5878" s="24">
        <v>38071</v>
      </c>
      <c r="B5878" s="23">
        <v>1.720512</v>
      </c>
      <c r="C5878" s="32">
        <f t="shared" si="91"/>
        <v>5.3725218797273433E-2</v>
      </c>
    </row>
    <row r="5879" spans="1:3" x14ac:dyDescent="0.6">
      <c r="A5879" s="24">
        <v>38072</v>
      </c>
      <c r="B5879" s="23">
        <v>1.7313970000000001</v>
      </c>
      <c r="C5879" s="32">
        <f t="shared" si="91"/>
        <v>6.3266051035970605E-3</v>
      </c>
    </row>
    <row r="5880" spans="1:3" x14ac:dyDescent="0.6">
      <c r="A5880" s="24">
        <v>38075</v>
      </c>
      <c r="B5880" s="23">
        <v>1.787104</v>
      </c>
      <c r="C5880" s="32">
        <f t="shared" si="91"/>
        <v>3.2174596582990489E-2</v>
      </c>
    </row>
    <row r="5881" spans="1:3" x14ac:dyDescent="0.6">
      <c r="A5881" s="24">
        <v>38076</v>
      </c>
      <c r="B5881" s="23">
        <v>1.787744</v>
      </c>
      <c r="C5881" s="32">
        <f t="shared" si="91"/>
        <v>3.5812129568291162E-4</v>
      </c>
    </row>
    <row r="5882" spans="1:3" x14ac:dyDescent="0.6">
      <c r="A5882" s="24">
        <v>38077</v>
      </c>
      <c r="B5882" s="23">
        <v>1.7313970000000001</v>
      </c>
      <c r="C5882" s="32">
        <f t="shared" si="91"/>
        <v>-3.1518494818050025E-2</v>
      </c>
    </row>
    <row r="5883" spans="1:3" x14ac:dyDescent="0.6">
      <c r="A5883" s="24">
        <v>38078</v>
      </c>
      <c r="B5883" s="23">
        <v>1.7358789999999999</v>
      </c>
      <c r="C5883" s="32">
        <f t="shared" si="91"/>
        <v>2.5886610638692353E-3</v>
      </c>
    </row>
    <row r="5884" spans="1:3" x14ac:dyDescent="0.6">
      <c r="A5884" s="24">
        <v>38079</v>
      </c>
      <c r="B5884" s="23">
        <v>1.7608509999999999</v>
      </c>
      <c r="C5884" s="32">
        <f t="shared" si="91"/>
        <v>1.4385795323291539E-2</v>
      </c>
    </row>
    <row r="5885" spans="1:3" x14ac:dyDescent="0.6">
      <c r="A5885" s="24">
        <v>38082</v>
      </c>
      <c r="B5885" s="23">
        <v>1.8133570000000001</v>
      </c>
      <c r="C5885" s="32">
        <f t="shared" si="91"/>
        <v>2.9818536605311863E-2</v>
      </c>
    </row>
    <row r="5886" spans="1:3" x14ac:dyDescent="0.6">
      <c r="A5886" s="24">
        <v>38083</v>
      </c>
      <c r="B5886" s="23">
        <v>1.781982</v>
      </c>
      <c r="C5886" s="32">
        <f t="shared" si="91"/>
        <v>-1.7302163887199296E-2</v>
      </c>
    </row>
    <row r="5887" spans="1:3" x14ac:dyDescent="0.6">
      <c r="A5887" s="24">
        <v>38084</v>
      </c>
      <c r="B5887" s="23">
        <v>1.748686</v>
      </c>
      <c r="C5887" s="32">
        <f t="shared" si="91"/>
        <v>-1.8684812753439695E-2</v>
      </c>
    </row>
    <row r="5888" spans="1:3" x14ac:dyDescent="0.6">
      <c r="A5888" s="24">
        <v>38085</v>
      </c>
      <c r="B5888" s="23">
        <v>1.762772</v>
      </c>
      <c r="C5888" s="32">
        <f t="shared" si="91"/>
        <v>8.0551911549586741E-3</v>
      </c>
    </row>
    <row r="5889" spans="1:3" x14ac:dyDescent="0.6">
      <c r="A5889" s="24">
        <v>38089</v>
      </c>
      <c r="B5889" s="23">
        <v>1.7954289999999999</v>
      </c>
      <c r="C5889" s="32">
        <f t="shared" si="91"/>
        <v>1.8525935288284501E-2</v>
      </c>
    </row>
    <row r="5890" spans="1:3" x14ac:dyDescent="0.6">
      <c r="A5890" s="24">
        <v>38090</v>
      </c>
      <c r="B5890" s="23">
        <v>1.7243539999999999</v>
      </c>
      <c r="C5890" s="32">
        <f t="shared" si="91"/>
        <v>-3.9586639182056182E-2</v>
      </c>
    </row>
    <row r="5891" spans="1:3" x14ac:dyDescent="0.6">
      <c r="A5891" s="24">
        <v>38091</v>
      </c>
      <c r="B5891" s="23">
        <v>1.7057850000000001</v>
      </c>
      <c r="C5891" s="32">
        <f t="shared" si="91"/>
        <v>-1.0768670470216568E-2</v>
      </c>
    </row>
    <row r="5892" spans="1:3" x14ac:dyDescent="0.6">
      <c r="A5892" s="24">
        <v>38092</v>
      </c>
      <c r="B5892" s="23">
        <v>1.876107</v>
      </c>
      <c r="C5892" s="32">
        <f t="shared" ref="C5892:C5955" si="92">B5892/B5891-1</f>
        <v>9.9849629349537006E-2</v>
      </c>
    </row>
    <row r="5893" spans="1:3" x14ac:dyDescent="0.6">
      <c r="A5893" s="24">
        <v>38093</v>
      </c>
      <c r="B5893" s="23">
        <v>1.8684240000000001</v>
      </c>
      <c r="C5893" s="32">
        <f t="shared" si="92"/>
        <v>-4.0951822044263952E-3</v>
      </c>
    </row>
    <row r="5894" spans="1:3" x14ac:dyDescent="0.6">
      <c r="A5894" s="24">
        <v>38096</v>
      </c>
      <c r="B5894" s="23">
        <v>1.8152779999999999</v>
      </c>
      <c r="C5894" s="32">
        <f t="shared" si="92"/>
        <v>-2.8444293158298217E-2</v>
      </c>
    </row>
    <row r="5895" spans="1:3" x14ac:dyDescent="0.6">
      <c r="A5895" s="24">
        <v>38097</v>
      </c>
      <c r="B5895" s="23">
        <v>1.775579</v>
      </c>
      <c r="C5895" s="32">
        <f t="shared" si="92"/>
        <v>-2.1869377582937721E-2</v>
      </c>
    </row>
    <row r="5896" spans="1:3" x14ac:dyDescent="0.6">
      <c r="A5896" s="24">
        <v>38098</v>
      </c>
      <c r="B5896" s="23">
        <v>1.775579</v>
      </c>
      <c r="C5896" s="32">
        <f t="shared" si="92"/>
        <v>0</v>
      </c>
    </row>
    <row r="5897" spans="1:3" x14ac:dyDescent="0.6">
      <c r="A5897" s="24">
        <v>38099</v>
      </c>
      <c r="B5897" s="23">
        <v>1.77878</v>
      </c>
      <c r="C5897" s="32">
        <f t="shared" si="92"/>
        <v>1.8027922159475906E-3</v>
      </c>
    </row>
    <row r="5898" spans="1:3" x14ac:dyDescent="0.6">
      <c r="A5898" s="24">
        <v>38100</v>
      </c>
      <c r="B5898" s="23">
        <v>1.773657</v>
      </c>
      <c r="C5898" s="32">
        <f t="shared" si="92"/>
        <v>-2.8800638639966403E-3</v>
      </c>
    </row>
    <row r="5899" spans="1:3" x14ac:dyDescent="0.6">
      <c r="A5899" s="24">
        <v>38103</v>
      </c>
      <c r="B5899" s="23">
        <v>1.73716</v>
      </c>
      <c r="C5899" s="32">
        <f t="shared" si="92"/>
        <v>-2.0577259300980977E-2</v>
      </c>
    </row>
    <row r="5900" spans="1:3" x14ac:dyDescent="0.6">
      <c r="A5900" s="24">
        <v>38104</v>
      </c>
      <c r="B5900" s="23">
        <v>1.7249939999999999</v>
      </c>
      <c r="C5900" s="32">
        <f t="shared" si="92"/>
        <v>-7.0033848350181671E-3</v>
      </c>
    </row>
    <row r="5901" spans="1:3" x14ac:dyDescent="0.6">
      <c r="A5901" s="24">
        <v>38105</v>
      </c>
      <c r="B5901" s="23">
        <v>1.693619</v>
      </c>
      <c r="C5901" s="32">
        <f t="shared" si="92"/>
        <v>-1.8188469061341639E-2</v>
      </c>
    </row>
    <row r="5902" spans="1:3" x14ac:dyDescent="0.6">
      <c r="A5902" s="24">
        <v>38106</v>
      </c>
      <c r="B5902" s="23">
        <v>1.7141090000000001</v>
      </c>
      <c r="C5902" s="32">
        <f t="shared" si="92"/>
        <v>1.209835269916093E-2</v>
      </c>
    </row>
    <row r="5903" spans="1:3" x14ac:dyDescent="0.6">
      <c r="A5903" s="24">
        <v>38107</v>
      </c>
      <c r="B5903" s="23">
        <v>1.6507179999999999</v>
      </c>
      <c r="C5903" s="32">
        <f t="shared" si="92"/>
        <v>-3.6981895550399768E-2</v>
      </c>
    </row>
    <row r="5904" spans="1:3" x14ac:dyDescent="0.6">
      <c r="A5904" s="24">
        <v>38110</v>
      </c>
      <c r="B5904" s="23">
        <v>1.669287</v>
      </c>
      <c r="C5904" s="32">
        <f t="shared" si="92"/>
        <v>1.1249044355244209E-2</v>
      </c>
    </row>
    <row r="5905" spans="1:3" x14ac:dyDescent="0.6">
      <c r="A5905" s="24">
        <v>38111</v>
      </c>
      <c r="B5905" s="23">
        <v>1.6737690000000001</v>
      </c>
      <c r="C5905" s="32">
        <f t="shared" si="92"/>
        <v>2.6849786765248407E-3</v>
      </c>
    </row>
    <row r="5906" spans="1:3" x14ac:dyDescent="0.6">
      <c r="A5906" s="24">
        <v>38112</v>
      </c>
      <c r="B5906" s="23">
        <v>1.7064250000000001</v>
      </c>
      <c r="C5906" s="32">
        <f t="shared" si="92"/>
        <v>1.9510458133709108E-2</v>
      </c>
    </row>
    <row r="5907" spans="1:3" x14ac:dyDescent="0.6">
      <c r="A5907" s="24">
        <v>38113</v>
      </c>
      <c r="B5907" s="23">
        <v>1.701943</v>
      </c>
      <c r="C5907" s="32">
        <f t="shared" si="92"/>
        <v>-2.6265437977057715E-3</v>
      </c>
    </row>
    <row r="5908" spans="1:3" x14ac:dyDescent="0.6">
      <c r="A5908" s="24">
        <v>38114</v>
      </c>
      <c r="B5908" s="23">
        <v>1.7077059999999999</v>
      </c>
      <c r="C5908" s="32">
        <f t="shared" si="92"/>
        <v>3.3861298527624317E-3</v>
      </c>
    </row>
    <row r="5909" spans="1:3" x14ac:dyDescent="0.6">
      <c r="A5909" s="24">
        <v>38117</v>
      </c>
      <c r="B5909" s="23">
        <v>1.682734</v>
      </c>
      <c r="C5909" s="32">
        <f t="shared" si="92"/>
        <v>-1.462312599475557E-2</v>
      </c>
    </row>
    <row r="5910" spans="1:3" x14ac:dyDescent="0.6">
      <c r="A5910" s="24">
        <v>38118</v>
      </c>
      <c r="B5910" s="23">
        <v>1.7378009999999999</v>
      </c>
      <c r="C5910" s="32">
        <f t="shared" si="92"/>
        <v>3.2724720603493962E-2</v>
      </c>
    </row>
    <row r="5911" spans="1:3" x14ac:dyDescent="0.6">
      <c r="A5911" s="24">
        <v>38119</v>
      </c>
      <c r="B5911" s="23">
        <v>1.7480450000000001</v>
      </c>
      <c r="C5911" s="32">
        <f t="shared" si="92"/>
        <v>5.8948061371815186E-3</v>
      </c>
    </row>
    <row r="5912" spans="1:3" x14ac:dyDescent="0.6">
      <c r="A5912" s="24">
        <v>38120</v>
      </c>
      <c r="B5912" s="23">
        <v>1.7410019999999999</v>
      </c>
      <c r="C5912" s="32">
        <f t="shared" si="92"/>
        <v>-4.0290724781113507E-3</v>
      </c>
    </row>
    <row r="5913" spans="1:3" x14ac:dyDescent="0.6">
      <c r="A5913" s="24">
        <v>38121</v>
      </c>
      <c r="B5913" s="23">
        <v>1.7326779999999999</v>
      </c>
      <c r="C5913" s="32">
        <f t="shared" si="92"/>
        <v>-4.7811547603047178E-3</v>
      </c>
    </row>
    <row r="5914" spans="1:3" x14ac:dyDescent="0.6">
      <c r="A5914" s="24">
        <v>38124</v>
      </c>
      <c r="B5914" s="23">
        <v>1.7057850000000001</v>
      </c>
      <c r="C5914" s="32">
        <f t="shared" si="92"/>
        <v>-1.5521060462474701E-2</v>
      </c>
    </row>
    <row r="5915" spans="1:3" x14ac:dyDescent="0.6">
      <c r="A5915" s="24">
        <v>38125</v>
      </c>
      <c r="B5915" s="23">
        <v>1.7326779999999999</v>
      </c>
      <c r="C5915" s="32">
        <f t="shared" si="92"/>
        <v>1.5765761804682255E-2</v>
      </c>
    </row>
    <row r="5916" spans="1:3" x14ac:dyDescent="0.6">
      <c r="A5916" s="24">
        <v>38126</v>
      </c>
      <c r="B5916" s="23">
        <v>1.6949000000000001</v>
      </c>
      <c r="C5916" s="32">
        <f t="shared" si="92"/>
        <v>-2.1803243303141095E-2</v>
      </c>
    </row>
    <row r="5917" spans="1:3" x14ac:dyDescent="0.6">
      <c r="A5917" s="24">
        <v>38127</v>
      </c>
      <c r="B5917" s="23">
        <v>1.710267</v>
      </c>
      <c r="C5917" s="32">
        <f t="shared" si="92"/>
        <v>9.0666115995043928E-3</v>
      </c>
    </row>
    <row r="5918" spans="1:3" x14ac:dyDescent="0.6">
      <c r="A5918" s="24">
        <v>38128</v>
      </c>
      <c r="B5918" s="23">
        <v>1.7358789999999999</v>
      </c>
      <c r="C5918" s="32">
        <f t="shared" si="92"/>
        <v>1.4975439507398436E-2</v>
      </c>
    </row>
    <row r="5919" spans="1:3" x14ac:dyDescent="0.6">
      <c r="A5919" s="24">
        <v>38131</v>
      </c>
      <c r="B5919" s="23">
        <v>1.750607</v>
      </c>
      <c r="C5919" s="32">
        <f t="shared" si="92"/>
        <v>8.4844623386768347E-3</v>
      </c>
    </row>
    <row r="5920" spans="1:3" x14ac:dyDescent="0.6">
      <c r="A5920" s="24">
        <v>38132</v>
      </c>
      <c r="B5920" s="23">
        <v>1.8191189999999999</v>
      </c>
      <c r="C5920" s="32">
        <f t="shared" si="92"/>
        <v>3.9136139636137601E-2</v>
      </c>
    </row>
    <row r="5921" spans="1:3" x14ac:dyDescent="0.6">
      <c r="A5921" s="24">
        <v>38133</v>
      </c>
      <c r="B5921" s="23">
        <v>1.825523</v>
      </c>
      <c r="C5921" s="32">
        <f t="shared" si="92"/>
        <v>3.52038541733668E-3</v>
      </c>
    </row>
    <row r="5922" spans="1:3" x14ac:dyDescent="0.6">
      <c r="A5922" s="24">
        <v>38134</v>
      </c>
      <c r="B5922" s="23">
        <v>1.803752</v>
      </c>
      <c r="C5922" s="32">
        <f t="shared" si="92"/>
        <v>-1.1925897400361429E-2</v>
      </c>
    </row>
    <row r="5923" spans="1:3" x14ac:dyDescent="0.6">
      <c r="A5923" s="24">
        <v>38135</v>
      </c>
      <c r="B5923" s="23">
        <v>1.7967089999999999</v>
      </c>
      <c r="C5923" s="32">
        <f t="shared" si="92"/>
        <v>-3.9046387751753286E-3</v>
      </c>
    </row>
    <row r="5924" spans="1:3" x14ac:dyDescent="0.6">
      <c r="A5924" s="24">
        <v>38139</v>
      </c>
      <c r="B5924" s="23">
        <v>1.7967089999999999</v>
      </c>
      <c r="C5924" s="32">
        <f t="shared" si="92"/>
        <v>0</v>
      </c>
    </row>
    <row r="5925" spans="1:3" x14ac:dyDescent="0.6">
      <c r="A5925" s="24">
        <v>38140</v>
      </c>
      <c r="B5925" s="23">
        <v>1.8517749999999999</v>
      </c>
      <c r="C5925" s="32">
        <f t="shared" si="92"/>
        <v>3.0648257452932093E-2</v>
      </c>
    </row>
    <row r="5926" spans="1:3" x14ac:dyDescent="0.6">
      <c r="A5926" s="24">
        <v>38141</v>
      </c>
      <c r="B5926" s="23">
        <v>1.818479</v>
      </c>
      <c r="C5926" s="32">
        <f t="shared" si="92"/>
        <v>-1.7980586194327075E-2</v>
      </c>
    </row>
    <row r="5927" spans="1:3" x14ac:dyDescent="0.6">
      <c r="A5927" s="24">
        <v>38142</v>
      </c>
      <c r="B5927" s="23">
        <v>1.842811</v>
      </c>
      <c r="C5927" s="32">
        <f t="shared" si="92"/>
        <v>1.3380412971499833E-2</v>
      </c>
    </row>
    <row r="5928" spans="1:3" x14ac:dyDescent="0.6">
      <c r="A5928" s="24">
        <v>38145</v>
      </c>
      <c r="B5928" s="23">
        <v>1.908763</v>
      </c>
      <c r="C5928" s="32">
        <f t="shared" si="92"/>
        <v>3.5788803083984133E-2</v>
      </c>
    </row>
    <row r="5929" spans="1:3" x14ac:dyDescent="0.6">
      <c r="A5929" s="24">
        <v>38146</v>
      </c>
      <c r="B5929" s="23">
        <v>1.9433400000000001</v>
      </c>
      <c r="C5929" s="32">
        <f t="shared" si="92"/>
        <v>1.8114873349913019E-2</v>
      </c>
    </row>
    <row r="5930" spans="1:3" x14ac:dyDescent="0.6">
      <c r="A5930" s="24">
        <v>38147</v>
      </c>
      <c r="B5930" s="23">
        <v>1.933735</v>
      </c>
      <c r="C5930" s="32">
        <f t="shared" si="92"/>
        <v>-4.9425216380046821E-3</v>
      </c>
    </row>
    <row r="5931" spans="1:3" x14ac:dyDescent="0.6">
      <c r="A5931" s="24">
        <v>38148</v>
      </c>
      <c r="B5931" s="23">
        <v>1.9683120000000001</v>
      </c>
      <c r="C5931" s="32">
        <f t="shared" si="92"/>
        <v>1.78809402529303E-2</v>
      </c>
    </row>
    <row r="5932" spans="1:3" x14ac:dyDescent="0.6">
      <c r="A5932" s="24">
        <v>38152</v>
      </c>
      <c r="B5932" s="23">
        <v>1.9286129999999999</v>
      </c>
      <c r="C5932" s="32">
        <f t="shared" si="92"/>
        <v>-2.0169058563886288E-2</v>
      </c>
    </row>
    <row r="5933" spans="1:3" x14ac:dyDescent="0.6">
      <c r="A5933" s="24">
        <v>38153</v>
      </c>
      <c r="B5933" s="23">
        <v>1.9651110000000001</v>
      </c>
      <c r="C5933" s="32">
        <f t="shared" si="92"/>
        <v>1.892448096118815E-2</v>
      </c>
    </row>
    <row r="5934" spans="1:3" x14ac:dyDescent="0.6">
      <c r="A5934" s="24">
        <v>38154</v>
      </c>
      <c r="B5934" s="23">
        <v>2.096374</v>
      </c>
      <c r="C5934" s="32">
        <f t="shared" si="92"/>
        <v>6.6796735655135997E-2</v>
      </c>
    </row>
    <row r="5935" spans="1:3" x14ac:dyDescent="0.6">
      <c r="A5935" s="24">
        <v>38155</v>
      </c>
      <c r="B5935" s="23">
        <v>2.1008559999999998</v>
      </c>
      <c r="C5935" s="32">
        <f t="shared" si="92"/>
        <v>2.1379772884035919E-3</v>
      </c>
    </row>
    <row r="5936" spans="1:3" x14ac:dyDescent="0.6">
      <c r="A5936" s="24">
        <v>38156</v>
      </c>
      <c r="B5936" s="23">
        <v>2.107259</v>
      </c>
      <c r="C5936" s="32">
        <f t="shared" si="92"/>
        <v>3.0478052755640306E-3</v>
      </c>
    </row>
    <row r="5937" spans="1:3" x14ac:dyDescent="0.6">
      <c r="A5937" s="24">
        <v>38159</v>
      </c>
      <c r="B5937" s="23">
        <v>2.0701209999999999</v>
      </c>
      <c r="C5937" s="32">
        <f t="shared" si="92"/>
        <v>-1.762384215703916E-2</v>
      </c>
    </row>
    <row r="5938" spans="1:3" x14ac:dyDescent="0.6">
      <c r="A5938" s="24">
        <v>38160</v>
      </c>
      <c r="B5938" s="23">
        <v>2.113022</v>
      </c>
      <c r="C5938" s="32">
        <f t="shared" si="92"/>
        <v>2.0723909375345739E-2</v>
      </c>
    </row>
    <row r="5939" spans="1:3" x14ac:dyDescent="0.6">
      <c r="A5939" s="24">
        <v>38161</v>
      </c>
      <c r="B5939" s="23">
        <v>2.1578439999999999</v>
      </c>
      <c r="C5939" s="32">
        <f t="shared" si="92"/>
        <v>2.1212273227633194E-2</v>
      </c>
    </row>
    <row r="5940" spans="1:3" x14ac:dyDescent="0.6">
      <c r="A5940" s="24">
        <v>38162</v>
      </c>
      <c r="B5940" s="23">
        <v>2.1245470000000002</v>
      </c>
      <c r="C5940" s="32">
        <f t="shared" si="92"/>
        <v>-1.5430679882326825E-2</v>
      </c>
    </row>
    <row r="5941" spans="1:3" x14ac:dyDescent="0.6">
      <c r="A5941" s="24">
        <v>38163</v>
      </c>
      <c r="B5941" s="23">
        <v>2.1578439999999999</v>
      </c>
      <c r="C5941" s="32">
        <f t="shared" si="92"/>
        <v>1.5672517482550274E-2</v>
      </c>
    </row>
    <row r="5942" spans="1:3" x14ac:dyDescent="0.6">
      <c r="A5942" s="24">
        <v>38166</v>
      </c>
      <c r="B5942" s="23">
        <v>2.0803660000000002</v>
      </c>
      <c r="C5942" s="32">
        <f t="shared" si="92"/>
        <v>-3.5905283236415508E-2</v>
      </c>
    </row>
    <row r="5943" spans="1:3" x14ac:dyDescent="0.6">
      <c r="A5943" s="24">
        <v>38167</v>
      </c>
      <c r="B5943" s="23">
        <v>2.0810070000000001</v>
      </c>
      <c r="C5943" s="32">
        <f t="shared" si="92"/>
        <v>3.0811885985437826E-4</v>
      </c>
    </row>
    <row r="5944" spans="1:3" x14ac:dyDescent="0.6">
      <c r="A5944" s="24">
        <v>38168</v>
      </c>
      <c r="B5944" s="23">
        <v>2.0835680000000001</v>
      </c>
      <c r="C5944" s="32">
        <f t="shared" si="92"/>
        <v>1.2306541977034069E-3</v>
      </c>
    </row>
    <row r="5945" spans="1:3" x14ac:dyDescent="0.6">
      <c r="A5945" s="24">
        <v>38169</v>
      </c>
      <c r="B5945" s="23">
        <v>2.0682</v>
      </c>
      <c r="C5945" s="32">
        <f t="shared" si="92"/>
        <v>-7.3758091888529442E-3</v>
      </c>
    </row>
    <row r="5946" spans="1:3" x14ac:dyDescent="0.6">
      <c r="A5946" s="24">
        <v>38170</v>
      </c>
      <c r="B5946" s="23">
        <v>1.9900819999999999</v>
      </c>
      <c r="C5946" s="32">
        <f t="shared" si="92"/>
        <v>-3.7771008606517831E-2</v>
      </c>
    </row>
    <row r="5947" spans="1:3" x14ac:dyDescent="0.6">
      <c r="A5947" s="24">
        <v>38174</v>
      </c>
      <c r="B5947" s="23">
        <v>1.9817579999999999</v>
      </c>
      <c r="C5947" s="32">
        <f t="shared" si="92"/>
        <v>-4.1827422186623275E-3</v>
      </c>
    </row>
    <row r="5948" spans="1:3" x14ac:dyDescent="0.6">
      <c r="A5948" s="24">
        <v>38175</v>
      </c>
      <c r="B5948" s="23">
        <v>1.9459010000000001</v>
      </c>
      <c r="C5948" s="32">
        <f t="shared" si="92"/>
        <v>-1.809353109713685E-2</v>
      </c>
    </row>
    <row r="5949" spans="1:3" x14ac:dyDescent="0.6">
      <c r="A5949" s="24">
        <v>38176</v>
      </c>
      <c r="B5949" s="23">
        <v>1.9298930000000001</v>
      </c>
      <c r="C5949" s="32">
        <f t="shared" si="92"/>
        <v>-8.2265233431710882E-3</v>
      </c>
    </row>
    <row r="5950" spans="1:3" x14ac:dyDescent="0.6">
      <c r="A5950" s="24">
        <v>38177</v>
      </c>
      <c r="B5950" s="23">
        <v>1.9228499999999999</v>
      </c>
      <c r="C5950" s="32">
        <f t="shared" si="92"/>
        <v>-3.6494251235691388E-3</v>
      </c>
    </row>
    <row r="5951" spans="1:3" x14ac:dyDescent="0.6">
      <c r="A5951" s="24">
        <v>38180</v>
      </c>
      <c r="B5951" s="23">
        <v>1.8658619999999999</v>
      </c>
      <c r="C5951" s="32">
        <f t="shared" si="92"/>
        <v>-2.9637257196349243E-2</v>
      </c>
    </row>
    <row r="5952" spans="1:3" x14ac:dyDescent="0.6">
      <c r="A5952" s="24">
        <v>38181</v>
      </c>
      <c r="B5952" s="23">
        <v>1.8709849999999999</v>
      </c>
      <c r="C5952" s="32">
        <f t="shared" si="92"/>
        <v>2.745647856057909E-3</v>
      </c>
    </row>
    <row r="5953" spans="1:3" x14ac:dyDescent="0.6">
      <c r="A5953" s="24">
        <v>38182</v>
      </c>
      <c r="B5953" s="23">
        <v>1.8940360000000001</v>
      </c>
      <c r="C5953" s="32">
        <f t="shared" si="92"/>
        <v>1.2320248425294889E-2</v>
      </c>
    </row>
    <row r="5954" spans="1:3" x14ac:dyDescent="0.6">
      <c r="A5954" s="24">
        <v>38183</v>
      </c>
      <c r="B5954" s="23">
        <v>2.1085389999999999</v>
      </c>
      <c r="C5954" s="32">
        <f t="shared" si="92"/>
        <v>0.11325180725181561</v>
      </c>
    </row>
    <row r="5955" spans="1:3" x14ac:dyDescent="0.6">
      <c r="A5955" s="24">
        <v>38184</v>
      </c>
      <c r="B5955" s="23">
        <v>2.0617969999999999</v>
      </c>
      <c r="C5955" s="32">
        <f t="shared" si="92"/>
        <v>-2.2167956106100006E-2</v>
      </c>
    </row>
    <row r="5956" spans="1:3" x14ac:dyDescent="0.6">
      <c r="A5956" s="24">
        <v>38187</v>
      </c>
      <c r="B5956" s="23">
        <v>2.047069</v>
      </c>
      <c r="C5956" s="32">
        <f t="shared" ref="C5956:C6019" si="93">B5956/B5955-1</f>
        <v>-7.1432832621250997E-3</v>
      </c>
    </row>
    <row r="5957" spans="1:3" x14ac:dyDescent="0.6">
      <c r="A5957" s="24">
        <v>38188</v>
      </c>
      <c r="B5957" s="23">
        <v>2.0617969999999999</v>
      </c>
      <c r="C5957" s="32">
        <f t="shared" si="93"/>
        <v>7.1946768770372316E-3</v>
      </c>
    </row>
    <row r="5958" spans="1:3" x14ac:dyDescent="0.6">
      <c r="A5958" s="24">
        <v>38189</v>
      </c>
      <c r="B5958" s="23">
        <v>2.0246590000000002</v>
      </c>
      <c r="C5958" s="32">
        <f t="shared" si="93"/>
        <v>-1.8012442544052432E-2</v>
      </c>
    </row>
    <row r="5959" spans="1:3" x14ac:dyDescent="0.6">
      <c r="A5959" s="24">
        <v>38190</v>
      </c>
      <c r="B5959" s="23">
        <v>2.0285009999999999</v>
      </c>
      <c r="C5959" s="32">
        <f t="shared" si="93"/>
        <v>1.8976034976752043E-3</v>
      </c>
    </row>
    <row r="5960" spans="1:3" x14ac:dyDescent="0.6">
      <c r="A5960" s="24">
        <v>38191</v>
      </c>
      <c r="B5960" s="23">
        <v>1.965751</v>
      </c>
      <c r="C5960" s="32">
        <f t="shared" si="93"/>
        <v>-3.0934172573737873E-2</v>
      </c>
    </row>
    <row r="5961" spans="1:3" x14ac:dyDescent="0.6">
      <c r="A5961" s="24">
        <v>38194</v>
      </c>
      <c r="B5961" s="23">
        <v>2.0016080000000001</v>
      </c>
      <c r="C5961" s="32">
        <f t="shared" si="93"/>
        <v>1.8240865704761244E-2</v>
      </c>
    </row>
    <row r="5962" spans="1:3" x14ac:dyDescent="0.6">
      <c r="A5962" s="24">
        <v>38195</v>
      </c>
      <c r="B5962" s="23">
        <v>2.076524</v>
      </c>
      <c r="C5962" s="32">
        <f t="shared" si="93"/>
        <v>3.7427907961998574E-2</v>
      </c>
    </row>
    <row r="5963" spans="1:3" x14ac:dyDescent="0.6">
      <c r="A5963" s="24">
        <v>38196</v>
      </c>
      <c r="B5963" s="23">
        <v>2.0662790000000002</v>
      </c>
      <c r="C5963" s="32">
        <f t="shared" si="93"/>
        <v>-4.9337257840506021E-3</v>
      </c>
    </row>
    <row r="5964" spans="1:3" x14ac:dyDescent="0.6">
      <c r="A5964" s="24">
        <v>38197</v>
      </c>
      <c r="B5964" s="23">
        <v>2.0899709999999998</v>
      </c>
      <c r="C5964" s="32">
        <f t="shared" si="93"/>
        <v>1.1466021771503021E-2</v>
      </c>
    </row>
    <row r="5965" spans="1:3" x14ac:dyDescent="0.6">
      <c r="A5965" s="24">
        <v>38198</v>
      </c>
      <c r="B5965" s="23">
        <v>2.0707610000000001</v>
      </c>
      <c r="C5965" s="32">
        <f t="shared" si="93"/>
        <v>-9.1915150975777626E-3</v>
      </c>
    </row>
    <row r="5966" spans="1:3" x14ac:dyDescent="0.6">
      <c r="A5966" s="24">
        <v>38201</v>
      </c>
      <c r="B5966" s="23">
        <v>2.0220980000000002</v>
      </c>
      <c r="C5966" s="32">
        <f t="shared" si="93"/>
        <v>-2.3500056259510349E-2</v>
      </c>
    </row>
    <row r="5967" spans="1:3" x14ac:dyDescent="0.6">
      <c r="A5967" s="24">
        <v>38202</v>
      </c>
      <c r="B5967" s="23">
        <v>2.0035289999999999</v>
      </c>
      <c r="C5967" s="32">
        <f t="shared" si="93"/>
        <v>-9.1830366282941167E-3</v>
      </c>
    </row>
    <row r="5968" spans="1:3" x14ac:dyDescent="0.6">
      <c r="A5968" s="24">
        <v>38203</v>
      </c>
      <c r="B5968" s="23">
        <v>2.0355439999999998</v>
      </c>
      <c r="C5968" s="32">
        <f t="shared" si="93"/>
        <v>1.5979304517179438E-2</v>
      </c>
    </row>
    <row r="5969" spans="1:3" x14ac:dyDescent="0.6">
      <c r="A5969" s="24">
        <v>38204</v>
      </c>
      <c r="B5969" s="23">
        <v>2.0099320000000001</v>
      </c>
      <c r="C5969" s="32">
        <f t="shared" si="93"/>
        <v>-1.2582385838871502E-2</v>
      </c>
    </row>
    <row r="5970" spans="1:3" x14ac:dyDescent="0.6">
      <c r="A5970" s="24">
        <v>38205</v>
      </c>
      <c r="B5970" s="23">
        <v>1.9068419999999999</v>
      </c>
      <c r="C5970" s="32">
        <f t="shared" si="93"/>
        <v>-5.1290292407902394E-2</v>
      </c>
    </row>
    <row r="5971" spans="1:3" x14ac:dyDescent="0.6">
      <c r="A5971" s="24">
        <v>38208</v>
      </c>
      <c r="B5971" s="23">
        <v>1.9401379999999999</v>
      </c>
      <c r="C5971" s="32">
        <f t="shared" si="93"/>
        <v>1.7461331353095799E-2</v>
      </c>
    </row>
    <row r="5972" spans="1:3" x14ac:dyDescent="0.6">
      <c r="A5972" s="24">
        <v>38209</v>
      </c>
      <c r="B5972" s="23">
        <v>2.018256</v>
      </c>
      <c r="C5972" s="32">
        <f t="shared" si="93"/>
        <v>4.0264146158675462E-2</v>
      </c>
    </row>
    <row r="5973" spans="1:3" x14ac:dyDescent="0.6">
      <c r="A5973" s="24">
        <v>38210</v>
      </c>
      <c r="B5973" s="23">
        <v>1.9856</v>
      </c>
      <c r="C5973" s="32">
        <f t="shared" si="93"/>
        <v>-1.6180306165322955E-2</v>
      </c>
    </row>
    <row r="5974" spans="1:3" x14ac:dyDescent="0.6">
      <c r="A5974" s="24">
        <v>38211</v>
      </c>
      <c r="B5974" s="23">
        <v>1.94462</v>
      </c>
      <c r="C5974" s="32">
        <f t="shared" si="93"/>
        <v>-2.0638597904915401E-2</v>
      </c>
    </row>
    <row r="5975" spans="1:3" x14ac:dyDescent="0.6">
      <c r="A5975" s="24">
        <v>38212</v>
      </c>
      <c r="B5975" s="23">
        <v>1.974715</v>
      </c>
      <c r="C5975" s="32">
        <f t="shared" si="93"/>
        <v>1.5476031306887794E-2</v>
      </c>
    </row>
    <row r="5976" spans="1:3" x14ac:dyDescent="0.6">
      <c r="A5976" s="24">
        <v>38215</v>
      </c>
      <c r="B5976" s="23">
        <v>1.9708730000000001</v>
      </c>
      <c r="C5976" s="32">
        <f t="shared" si="93"/>
        <v>-1.9455972127623289E-3</v>
      </c>
    </row>
    <row r="5977" spans="1:3" x14ac:dyDescent="0.6">
      <c r="A5977" s="24">
        <v>38216</v>
      </c>
      <c r="B5977" s="23">
        <v>1.9766360000000001</v>
      </c>
      <c r="C5977" s="32">
        <f t="shared" si="93"/>
        <v>2.9240849105953703E-3</v>
      </c>
    </row>
    <row r="5978" spans="1:3" x14ac:dyDescent="0.6">
      <c r="A5978" s="24">
        <v>38217</v>
      </c>
      <c r="B5978" s="23">
        <v>2.032343</v>
      </c>
      <c r="C5978" s="32">
        <f t="shared" si="93"/>
        <v>2.8182730659565003E-2</v>
      </c>
    </row>
    <row r="5979" spans="1:3" x14ac:dyDescent="0.6">
      <c r="A5979" s="24">
        <v>38218</v>
      </c>
      <c r="B5979" s="23">
        <v>1.966391</v>
      </c>
      <c r="C5979" s="32">
        <f t="shared" si="93"/>
        <v>-3.2451215173816661E-2</v>
      </c>
    </row>
    <row r="5980" spans="1:3" x14ac:dyDescent="0.6">
      <c r="A5980" s="24">
        <v>38219</v>
      </c>
      <c r="B5980" s="23">
        <v>1.972154</v>
      </c>
      <c r="C5980" s="32">
        <f t="shared" si="93"/>
        <v>2.9307497847579356E-3</v>
      </c>
    </row>
    <row r="5981" spans="1:3" x14ac:dyDescent="0.6">
      <c r="A5981" s="24">
        <v>38222</v>
      </c>
      <c r="B5981" s="23">
        <v>1.9900819999999999</v>
      </c>
      <c r="C5981" s="32">
        <f t="shared" si="93"/>
        <v>9.0905679779571535E-3</v>
      </c>
    </row>
    <row r="5982" spans="1:3" x14ac:dyDescent="0.6">
      <c r="A5982" s="24">
        <v>38223</v>
      </c>
      <c r="B5982" s="23">
        <v>2.0457890000000001</v>
      </c>
      <c r="C5982" s="32">
        <f t="shared" si="93"/>
        <v>2.7992313884553699E-2</v>
      </c>
    </row>
    <row r="5983" spans="1:3" x14ac:dyDescent="0.6">
      <c r="A5983" s="24">
        <v>38224</v>
      </c>
      <c r="B5983" s="23">
        <v>2.1162230000000002</v>
      </c>
      <c r="C5983" s="32">
        <f t="shared" si="93"/>
        <v>3.4428770513479146E-2</v>
      </c>
    </row>
    <row r="5984" spans="1:3" x14ac:dyDescent="0.6">
      <c r="A5984" s="24">
        <v>38225</v>
      </c>
      <c r="B5984" s="23">
        <v>2.219312</v>
      </c>
      <c r="C5984" s="32">
        <f t="shared" si="93"/>
        <v>4.8713675260121381E-2</v>
      </c>
    </row>
    <row r="5985" spans="1:3" x14ac:dyDescent="0.6">
      <c r="A5985" s="24">
        <v>38226</v>
      </c>
      <c r="B5985" s="23">
        <v>2.1994639999999999</v>
      </c>
      <c r="C5985" s="32">
        <f t="shared" si="93"/>
        <v>-8.9433121616069311E-3</v>
      </c>
    </row>
    <row r="5986" spans="1:3" x14ac:dyDescent="0.6">
      <c r="A5986" s="24">
        <v>38229</v>
      </c>
      <c r="B5986" s="23">
        <v>2.184736</v>
      </c>
      <c r="C5986" s="32">
        <f t="shared" si="93"/>
        <v>-6.6961768867322968E-3</v>
      </c>
    </row>
    <row r="5987" spans="1:3" x14ac:dyDescent="0.6">
      <c r="A5987" s="24">
        <v>38230</v>
      </c>
      <c r="B5987" s="23">
        <v>2.2084280000000001</v>
      </c>
      <c r="C5987" s="32">
        <f t="shared" si="93"/>
        <v>1.0844330848212236E-2</v>
      </c>
    </row>
    <row r="5988" spans="1:3" x14ac:dyDescent="0.6">
      <c r="A5988" s="24">
        <v>38231</v>
      </c>
      <c r="B5988" s="23">
        <v>2.2961510000000001</v>
      </c>
      <c r="C5988" s="32">
        <f t="shared" si="93"/>
        <v>3.9721919845247422E-2</v>
      </c>
    </row>
    <row r="5989" spans="1:3" x14ac:dyDescent="0.6">
      <c r="A5989" s="24">
        <v>38232</v>
      </c>
      <c r="B5989" s="23">
        <v>2.283344</v>
      </c>
      <c r="C5989" s="32">
        <f t="shared" si="93"/>
        <v>-5.5775948533001163E-3</v>
      </c>
    </row>
    <row r="5990" spans="1:3" x14ac:dyDescent="0.6">
      <c r="A5990" s="24">
        <v>38233</v>
      </c>
      <c r="B5990" s="23">
        <v>2.2558099999999999</v>
      </c>
      <c r="C5990" s="32">
        <f t="shared" si="93"/>
        <v>-1.2058629799101772E-2</v>
      </c>
    </row>
    <row r="5991" spans="1:3" x14ac:dyDescent="0.6">
      <c r="A5991" s="24">
        <v>38237</v>
      </c>
      <c r="B5991" s="23">
        <v>2.2897470000000002</v>
      </c>
      <c r="C5991" s="32">
        <f t="shared" si="93"/>
        <v>1.5044263479637277E-2</v>
      </c>
    </row>
    <row r="5992" spans="1:3" x14ac:dyDescent="0.6">
      <c r="A5992" s="24">
        <v>38238</v>
      </c>
      <c r="B5992" s="23">
        <v>2.3275260000000002</v>
      </c>
      <c r="C5992" s="32">
        <f t="shared" si="93"/>
        <v>1.6499202750347441E-2</v>
      </c>
    </row>
    <row r="5993" spans="1:3" x14ac:dyDescent="0.6">
      <c r="A5993" s="24">
        <v>38239</v>
      </c>
      <c r="B5993" s="23">
        <v>2.2859050000000001</v>
      </c>
      <c r="C5993" s="32">
        <f t="shared" si="93"/>
        <v>-1.7882077364549387E-2</v>
      </c>
    </row>
    <row r="5994" spans="1:3" x14ac:dyDescent="0.6">
      <c r="A5994" s="24">
        <v>38240</v>
      </c>
      <c r="B5994" s="23">
        <v>2.2967909999999998</v>
      </c>
      <c r="C5994" s="32">
        <f t="shared" si="93"/>
        <v>4.7622276516301465E-3</v>
      </c>
    </row>
    <row r="5995" spans="1:3" x14ac:dyDescent="0.6">
      <c r="A5995" s="24">
        <v>38243</v>
      </c>
      <c r="B5995" s="23">
        <v>2.2788620000000002</v>
      </c>
      <c r="C5995" s="32">
        <f t="shared" si="93"/>
        <v>-7.8061086097950261E-3</v>
      </c>
    </row>
    <row r="5996" spans="1:3" x14ac:dyDescent="0.6">
      <c r="A5996" s="24">
        <v>38244</v>
      </c>
      <c r="B5996" s="23">
        <v>2.272459</v>
      </c>
      <c r="C5996" s="32">
        <f t="shared" si="93"/>
        <v>-2.8097357365212128E-3</v>
      </c>
    </row>
    <row r="5997" spans="1:3" x14ac:dyDescent="0.6">
      <c r="A5997" s="24">
        <v>38245</v>
      </c>
      <c r="B5997" s="23">
        <v>2.2538900000000002</v>
      </c>
      <c r="C5997" s="32">
        <f t="shared" si="93"/>
        <v>-8.1713245431489501E-3</v>
      </c>
    </row>
    <row r="5998" spans="1:3" x14ac:dyDescent="0.6">
      <c r="A5998" s="24">
        <v>38246</v>
      </c>
      <c r="B5998" s="23">
        <v>2.3275260000000002</v>
      </c>
      <c r="C5998" s="32">
        <f t="shared" si="93"/>
        <v>3.2670627226705884E-2</v>
      </c>
    </row>
    <row r="5999" spans="1:3" x14ac:dyDescent="0.6">
      <c r="A5999" s="24">
        <v>38247</v>
      </c>
      <c r="B5999" s="23">
        <v>2.3781099999999999</v>
      </c>
      <c r="C5999" s="32">
        <f t="shared" si="93"/>
        <v>2.1732947344089704E-2</v>
      </c>
    </row>
    <row r="6000" spans="1:3" x14ac:dyDescent="0.6">
      <c r="A6000" s="24">
        <v>38250</v>
      </c>
      <c r="B6000" s="23">
        <v>2.4146070000000002</v>
      </c>
      <c r="C6000" s="32">
        <f t="shared" si="93"/>
        <v>1.5347061321806077E-2</v>
      </c>
    </row>
    <row r="6001" spans="1:3" x14ac:dyDescent="0.6">
      <c r="A6001" s="24">
        <v>38251</v>
      </c>
      <c r="B6001" s="23">
        <v>2.4338160000000002</v>
      </c>
      <c r="C6001" s="32">
        <f t="shared" si="93"/>
        <v>7.955331861458248E-3</v>
      </c>
    </row>
    <row r="6002" spans="1:3" x14ac:dyDescent="0.6">
      <c r="A6002" s="24">
        <v>38252</v>
      </c>
      <c r="B6002" s="23">
        <v>2.364023</v>
      </c>
      <c r="C6002" s="32">
        <f t="shared" si="93"/>
        <v>-2.8676366660421393E-2</v>
      </c>
    </row>
    <row r="6003" spans="1:3" x14ac:dyDescent="0.6">
      <c r="A6003" s="24">
        <v>38253</v>
      </c>
      <c r="B6003" s="23">
        <v>2.3864339999999999</v>
      </c>
      <c r="C6003" s="32">
        <f t="shared" si="93"/>
        <v>9.4800262095589005E-3</v>
      </c>
    </row>
    <row r="6004" spans="1:3" x14ac:dyDescent="0.6">
      <c r="A6004" s="24">
        <v>38254</v>
      </c>
      <c r="B6004" s="23">
        <v>2.387715</v>
      </c>
      <c r="C6004" s="32">
        <f t="shared" si="93"/>
        <v>5.367841725352207E-4</v>
      </c>
    </row>
    <row r="6005" spans="1:3" x14ac:dyDescent="0.6">
      <c r="A6005" s="24">
        <v>38257</v>
      </c>
      <c r="B6005" s="23">
        <v>2.4030819999999999</v>
      </c>
      <c r="C6005" s="32">
        <f t="shared" si="93"/>
        <v>6.4358602261995745E-3</v>
      </c>
    </row>
    <row r="6006" spans="1:3" x14ac:dyDescent="0.6">
      <c r="A6006" s="24">
        <v>38258</v>
      </c>
      <c r="B6006" s="23">
        <v>2.4357380000000002</v>
      </c>
      <c r="C6006" s="32">
        <f t="shared" si="93"/>
        <v>1.3589215848647695E-2</v>
      </c>
    </row>
    <row r="6007" spans="1:3" x14ac:dyDescent="0.6">
      <c r="A6007" s="24">
        <v>38259</v>
      </c>
      <c r="B6007" s="23">
        <v>2.476718</v>
      </c>
      <c r="C6007" s="32">
        <f t="shared" si="93"/>
        <v>1.6824469626864458E-2</v>
      </c>
    </row>
    <row r="6008" spans="1:3" x14ac:dyDescent="0.6">
      <c r="A6008" s="24">
        <v>38260</v>
      </c>
      <c r="B6008" s="23">
        <v>2.4811990000000002</v>
      </c>
      <c r="C6008" s="32">
        <f t="shared" si="93"/>
        <v>1.8092491757237816E-3</v>
      </c>
    </row>
    <row r="6009" spans="1:3" x14ac:dyDescent="0.6">
      <c r="A6009" s="24">
        <v>38261</v>
      </c>
      <c r="B6009" s="23">
        <v>2.4760770000000001</v>
      </c>
      <c r="C6009" s="32">
        <f t="shared" si="93"/>
        <v>-2.0643245463181081E-3</v>
      </c>
    </row>
    <row r="6010" spans="1:3" x14ac:dyDescent="0.6">
      <c r="A6010" s="24">
        <v>38264</v>
      </c>
      <c r="B6010" s="23">
        <v>2.4837609999999999</v>
      </c>
      <c r="C6010" s="32">
        <f t="shared" si="93"/>
        <v>3.1032960606636184E-3</v>
      </c>
    </row>
    <row r="6011" spans="1:3" x14ac:dyDescent="0.6">
      <c r="A6011" s="24">
        <v>38265</v>
      </c>
      <c r="B6011" s="23">
        <v>2.520899</v>
      </c>
      <c r="C6011" s="32">
        <f t="shared" si="93"/>
        <v>1.4952324317839105E-2</v>
      </c>
    </row>
    <row r="6012" spans="1:3" x14ac:dyDescent="0.6">
      <c r="A6012" s="24">
        <v>38266</v>
      </c>
      <c r="B6012" s="23">
        <v>2.6022189999999998</v>
      </c>
      <c r="C6012" s="32">
        <f t="shared" si="93"/>
        <v>3.2258333237467962E-2</v>
      </c>
    </row>
    <row r="6013" spans="1:3" x14ac:dyDescent="0.6">
      <c r="A6013" s="24">
        <v>38267</v>
      </c>
      <c r="B6013" s="23">
        <v>2.5369060000000001</v>
      </c>
      <c r="C6013" s="32">
        <f t="shared" si="93"/>
        <v>-2.5098963615283632E-2</v>
      </c>
    </row>
    <row r="6014" spans="1:3" x14ac:dyDescent="0.6">
      <c r="A6014" s="24">
        <v>38268</v>
      </c>
      <c r="B6014" s="23">
        <v>2.5010500000000002</v>
      </c>
      <c r="C6014" s="32">
        <f t="shared" si="93"/>
        <v>-1.4133751900937574E-2</v>
      </c>
    </row>
    <row r="6015" spans="1:3" x14ac:dyDescent="0.6">
      <c r="A6015" s="24">
        <v>38271</v>
      </c>
      <c r="B6015" s="23">
        <v>2.470955</v>
      </c>
      <c r="C6015" s="32">
        <f t="shared" si="93"/>
        <v>-1.2032946162611746E-2</v>
      </c>
    </row>
    <row r="6016" spans="1:3" x14ac:dyDescent="0.6">
      <c r="A6016" s="24">
        <v>38272</v>
      </c>
      <c r="B6016" s="23">
        <v>2.4517449999999998</v>
      </c>
      <c r="C6016" s="32">
        <f t="shared" si="93"/>
        <v>-7.7743220738540897E-3</v>
      </c>
    </row>
    <row r="6017" spans="1:3" x14ac:dyDescent="0.6">
      <c r="A6017" s="24">
        <v>38273</v>
      </c>
      <c r="B6017" s="23">
        <v>2.5452309999999998</v>
      </c>
      <c r="C6017" s="32">
        <f t="shared" si="93"/>
        <v>3.8130392842648853E-2</v>
      </c>
    </row>
    <row r="6018" spans="1:3" x14ac:dyDescent="0.6">
      <c r="A6018" s="24">
        <v>38274</v>
      </c>
      <c r="B6018" s="23">
        <v>2.8801130000000001</v>
      </c>
      <c r="C6018" s="32">
        <f t="shared" si="93"/>
        <v>0.13157234058519651</v>
      </c>
    </row>
    <row r="6019" spans="1:3" x14ac:dyDescent="0.6">
      <c r="A6019" s="24">
        <v>38275</v>
      </c>
      <c r="B6019" s="23">
        <v>2.913408</v>
      </c>
      <c r="C6019" s="32">
        <f t="shared" si="93"/>
        <v>1.1560310307269228E-2</v>
      </c>
    </row>
    <row r="6020" spans="1:3" x14ac:dyDescent="0.6">
      <c r="A6020" s="24">
        <v>38278</v>
      </c>
      <c r="B6020" s="23">
        <v>3.0574780000000001</v>
      </c>
      <c r="C6020" s="32">
        <f t="shared" ref="C6020:C6083" si="94">B6020/B6019-1</f>
        <v>4.9450677694301781E-2</v>
      </c>
    </row>
    <row r="6021" spans="1:3" x14ac:dyDescent="0.6">
      <c r="A6021" s="24">
        <v>38279</v>
      </c>
      <c r="B6021" s="23">
        <v>3.0363479999999998</v>
      </c>
      <c r="C6021" s="32">
        <f t="shared" si="94"/>
        <v>-6.9109246248052481E-3</v>
      </c>
    </row>
    <row r="6022" spans="1:3" x14ac:dyDescent="0.6">
      <c r="A6022" s="24">
        <v>38280</v>
      </c>
      <c r="B6022" s="23">
        <v>3.0395500000000002</v>
      </c>
      <c r="C6022" s="32">
        <f t="shared" si="94"/>
        <v>1.0545563288530957E-3</v>
      </c>
    </row>
    <row r="6023" spans="1:3" x14ac:dyDescent="0.6">
      <c r="A6023" s="24">
        <v>38281</v>
      </c>
      <c r="B6023" s="23">
        <v>3.0696439999999998</v>
      </c>
      <c r="C6023" s="32">
        <f t="shared" si="94"/>
        <v>9.9008076853479565E-3</v>
      </c>
    </row>
    <row r="6024" spans="1:3" x14ac:dyDescent="0.6">
      <c r="A6024" s="24">
        <v>38282</v>
      </c>
      <c r="B6024" s="23">
        <v>3.0357080000000001</v>
      </c>
      <c r="C6024" s="32">
        <f t="shared" si="94"/>
        <v>-1.1055353650129995E-2</v>
      </c>
    </row>
    <row r="6025" spans="1:3" x14ac:dyDescent="0.6">
      <c r="A6025" s="24">
        <v>38285</v>
      </c>
      <c r="B6025" s="23">
        <v>3.0446719999999998</v>
      </c>
      <c r="C6025" s="32">
        <f t="shared" si="94"/>
        <v>2.952853172966563E-3</v>
      </c>
    </row>
    <row r="6026" spans="1:3" x14ac:dyDescent="0.6">
      <c r="A6026" s="24">
        <v>38286</v>
      </c>
      <c r="B6026" s="23">
        <v>3.0715650000000001</v>
      </c>
      <c r="C6026" s="32">
        <f t="shared" si="94"/>
        <v>8.8328069493199823E-3</v>
      </c>
    </row>
    <row r="6027" spans="1:3" x14ac:dyDescent="0.6">
      <c r="A6027" s="24">
        <v>38287</v>
      </c>
      <c r="B6027" s="23">
        <v>3.2207569999999999</v>
      </c>
      <c r="C6027" s="32">
        <f t="shared" si="94"/>
        <v>4.8571982035216399E-2</v>
      </c>
    </row>
    <row r="6028" spans="1:3" x14ac:dyDescent="0.6">
      <c r="A6028" s="24">
        <v>38288</v>
      </c>
      <c r="B6028" s="23">
        <v>3.3417759999999999</v>
      </c>
      <c r="C6028" s="32">
        <f t="shared" si="94"/>
        <v>3.7574706815820091E-2</v>
      </c>
    </row>
    <row r="6029" spans="1:3" x14ac:dyDescent="0.6">
      <c r="A6029" s="24">
        <v>38289</v>
      </c>
      <c r="B6029" s="23">
        <v>3.3552230000000001</v>
      </c>
      <c r="C6029" s="32">
        <f t="shared" si="94"/>
        <v>4.0239082451967167E-3</v>
      </c>
    </row>
    <row r="6030" spans="1:3" x14ac:dyDescent="0.6">
      <c r="A6030" s="24">
        <v>38292</v>
      </c>
      <c r="B6030" s="23">
        <v>3.3584239999999999</v>
      </c>
      <c r="C6030" s="32">
        <f t="shared" si="94"/>
        <v>9.5403494790047283E-4</v>
      </c>
    </row>
    <row r="6031" spans="1:3" x14ac:dyDescent="0.6">
      <c r="A6031" s="24">
        <v>38293</v>
      </c>
      <c r="B6031" s="23">
        <v>3.425656</v>
      </c>
      <c r="C6031" s="32">
        <f t="shared" si="94"/>
        <v>2.0018913633299551E-2</v>
      </c>
    </row>
    <row r="6032" spans="1:3" x14ac:dyDescent="0.6">
      <c r="A6032" s="24">
        <v>38294</v>
      </c>
      <c r="B6032" s="23">
        <v>3.541553</v>
      </c>
      <c r="C6032" s="32">
        <f t="shared" si="94"/>
        <v>3.3832060195186031E-2</v>
      </c>
    </row>
    <row r="6033" spans="1:3" x14ac:dyDescent="0.6">
      <c r="A6033" s="24">
        <v>38295</v>
      </c>
      <c r="B6033" s="23">
        <v>3.4864869999999999</v>
      </c>
      <c r="C6033" s="32">
        <f t="shared" si="94"/>
        <v>-1.5548546075690561E-2</v>
      </c>
    </row>
    <row r="6034" spans="1:3" x14ac:dyDescent="0.6">
      <c r="A6034" s="24">
        <v>38296</v>
      </c>
      <c r="B6034" s="23">
        <v>3.5037739999999999</v>
      </c>
      <c r="C6034" s="32">
        <f t="shared" si="94"/>
        <v>4.9582860914152427E-3</v>
      </c>
    </row>
    <row r="6035" spans="1:3" x14ac:dyDescent="0.6">
      <c r="A6035" s="24">
        <v>38299</v>
      </c>
      <c r="B6035" s="23">
        <v>3.4820039999999999</v>
      </c>
      <c r="C6035" s="32">
        <f t="shared" si="94"/>
        <v>-6.213300287061907E-3</v>
      </c>
    </row>
    <row r="6036" spans="1:3" x14ac:dyDescent="0.6">
      <c r="A6036" s="24">
        <v>38300</v>
      </c>
      <c r="B6036" s="23">
        <v>3.4608729999999999</v>
      </c>
      <c r="C6036" s="32">
        <f t="shared" si="94"/>
        <v>-6.0686317419509361E-3</v>
      </c>
    </row>
    <row r="6037" spans="1:3" x14ac:dyDescent="0.6">
      <c r="A6037" s="24">
        <v>38301</v>
      </c>
      <c r="B6037" s="23">
        <v>3.5056949999999998</v>
      </c>
      <c r="C6037" s="32">
        <f t="shared" si="94"/>
        <v>1.2951067548563566E-2</v>
      </c>
    </row>
    <row r="6038" spans="1:3" x14ac:dyDescent="0.6">
      <c r="A6038" s="24">
        <v>38302</v>
      </c>
      <c r="B6038" s="23">
        <v>3.5409120000000001</v>
      </c>
      <c r="C6038" s="32">
        <f t="shared" si="94"/>
        <v>1.0045654285384398E-2</v>
      </c>
    </row>
    <row r="6039" spans="1:3" x14ac:dyDescent="0.6">
      <c r="A6039" s="24">
        <v>38303</v>
      </c>
      <c r="B6039" s="23">
        <v>3.5537190000000001</v>
      </c>
      <c r="C6039" s="32">
        <f t="shared" si="94"/>
        <v>3.616864807710618E-3</v>
      </c>
    </row>
    <row r="6040" spans="1:3" x14ac:dyDescent="0.6">
      <c r="A6040" s="24">
        <v>38306</v>
      </c>
      <c r="B6040" s="23">
        <v>3.5370699999999999</v>
      </c>
      <c r="C6040" s="32">
        <f t="shared" si="94"/>
        <v>-4.6849511736859473E-3</v>
      </c>
    </row>
    <row r="6041" spans="1:3" x14ac:dyDescent="0.6">
      <c r="A6041" s="24">
        <v>38307</v>
      </c>
      <c r="B6041" s="23">
        <v>3.5178609999999999</v>
      </c>
      <c r="C6041" s="32">
        <f t="shared" si="94"/>
        <v>-5.4307661425982978E-3</v>
      </c>
    </row>
    <row r="6042" spans="1:3" x14ac:dyDescent="0.6">
      <c r="A6042" s="24">
        <v>38308</v>
      </c>
      <c r="B6042" s="23">
        <v>3.5152990000000002</v>
      </c>
      <c r="C6042" s="32">
        <f t="shared" si="94"/>
        <v>-7.2828346543529765E-4</v>
      </c>
    </row>
    <row r="6043" spans="1:3" x14ac:dyDescent="0.6">
      <c r="A6043" s="24">
        <v>38309</v>
      </c>
      <c r="B6043" s="23">
        <v>3.5466739999999999</v>
      </c>
      <c r="C6043" s="32">
        <f t="shared" si="94"/>
        <v>8.9252720750068182E-3</v>
      </c>
    </row>
    <row r="6044" spans="1:3" x14ac:dyDescent="0.6">
      <c r="A6044" s="24">
        <v>38310</v>
      </c>
      <c r="B6044" s="23">
        <v>3.5325880000000001</v>
      </c>
      <c r="C6044" s="32">
        <f t="shared" si="94"/>
        <v>-3.9716083293812598E-3</v>
      </c>
    </row>
    <row r="6045" spans="1:3" x14ac:dyDescent="0.6">
      <c r="A6045" s="24">
        <v>38313</v>
      </c>
      <c r="B6045" s="23">
        <v>3.9283000000000001</v>
      </c>
      <c r="C6045" s="32">
        <f t="shared" si="94"/>
        <v>0.11201759163536762</v>
      </c>
    </row>
    <row r="6046" spans="1:3" x14ac:dyDescent="0.6">
      <c r="A6046" s="24">
        <v>38314</v>
      </c>
      <c r="B6046" s="23">
        <v>3.9231769999999999</v>
      </c>
      <c r="C6046" s="32">
        <f t="shared" si="94"/>
        <v>-1.3041264669195751E-3</v>
      </c>
    </row>
    <row r="6047" spans="1:3" x14ac:dyDescent="0.6">
      <c r="A6047" s="24">
        <v>38315</v>
      </c>
      <c r="B6047" s="23">
        <v>4.1011819999999997</v>
      </c>
      <c r="C6047" s="32">
        <f t="shared" si="94"/>
        <v>4.5372666081596513E-2</v>
      </c>
    </row>
    <row r="6048" spans="1:3" x14ac:dyDescent="0.6">
      <c r="A6048" s="24">
        <v>38317</v>
      </c>
      <c r="B6048" s="23">
        <v>4.1331990000000003</v>
      </c>
      <c r="C6048" s="32">
        <f t="shared" si="94"/>
        <v>7.8067737544933458E-3</v>
      </c>
    </row>
    <row r="6049" spans="1:3" x14ac:dyDescent="0.6">
      <c r="A6049" s="24">
        <v>38320</v>
      </c>
      <c r="B6049" s="23">
        <v>4.3822780000000003</v>
      </c>
      <c r="C6049" s="32">
        <f t="shared" si="94"/>
        <v>6.0263006934822227E-2</v>
      </c>
    </row>
    <row r="6050" spans="1:3" x14ac:dyDescent="0.6">
      <c r="A6050" s="24">
        <v>38321</v>
      </c>
      <c r="B6050" s="23">
        <v>4.2932769999999998</v>
      </c>
      <c r="C6050" s="32">
        <f t="shared" si="94"/>
        <v>-2.0309300322800317E-2</v>
      </c>
    </row>
    <row r="6051" spans="1:3" x14ac:dyDescent="0.6">
      <c r="A6051" s="24">
        <v>38322</v>
      </c>
      <c r="B6051" s="23">
        <v>4.3406580000000003</v>
      </c>
      <c r="C6051" s="32">
        <f t="shared" si="94"/>
        <v>1.1036092010834775E-2</v>
      </c>
    </row>
    <row r="6052" spans="1:3" x14ac:dyDescent="0.6">
      <c r="A6052" s="24">
        <v>38323</v>
      </c>
      <c r="B6052" s="23">
        <v>4.1754600000000002</v>
      </c>
      <c r="C6052" s="32">
        <f t="shared" si="94"/>
        <v>-3.8058285172432371E-2</v>
      </c>
    </row>
    <row r="6053" spans="1:3" x14ac:dyDescent="0.6">
      <c r="A6053" s="24">
        <v>38324</v>
      </c>
      <c r="B6053" s="23">
        <v>4.0134610000000004</v>
      </c>
      <c r="C6053" s="32">
        <f t="shared" si="94"/>
        <v>-3.8797880952038732E-2</v>
      </c>
    </row>
    <row r="6054" spans="1:3" x14ac:dyDescent="0.6">
      <c r="A6054" s="24">
        <v>38327</v>
      </c>
      <c r="B6054" s="23">
        <v>4.2119559999999998</v>
      </c>
      <c r="C6054" s="32">
        <f t="shared" si="94"/>
        <v>4.9457313774819101E-2</v>
      </c>
    </row>
    <row r="6055" spans="1:3" x14ac:dyDescent="0.6">
      <c r="A6055" s="24">
        <v>38328</v>
      </c>
      <c r="B6055" s="23">
        <v>4.0269069999999996</v>
      </c>
      <c r="C6055" s="32">
        <f t="shared" si="94"/>
        <v>-4.3934219635722749E-2</v>
      </c>
    </row>
    <row r="6056" spans="1:3" x14ac:dyDescent="0.6">
      <c r="A6056" s="24">
        <v>38329</v>
      </c>
      <c r="B6056" s="23">
        <v>4.0518789999999996</v>
      </c>
      <c r="C6056" s="32">
        <f t="shared" si="94"/>
        <v>6.201285502744458E-3</v>
      </c>
    </row>
    <row r="6057" spans="1:3" x14ac:dyDescent="0.6">
      <c r="A6057" s="24">
        <v>38330</v>
      </c>
      <c r="B6057" s="23">
        <v>4.0973410000000001</v>
      </c>
      <c r="C6057" s="32">
        <f t="shared" si="94"/>
        <v>1.1219979668692037E-2</v>
      </c>
    </row>
    <row r="6058" spans="1:3" x14ac:dyDescent="0.6">
      <c r="A6058" s="24">
        <v>38331</v>
      </c>
      <c r="B6058" s="23">
        <v>4.1716170000000004</v>
      </c>
      <c r="C6058" s="32">
        <f t="shared" si="94"/>
        <v>1.8127854137597987E-2</v>
      </c>
    </row>
    <row r="6059" spans="1:3" x14ac:dyDescent="0.6">
      <c r="A6059" s="24">
        <v>38334</v>
      </c>
      <c r="B6059" s="23">
        <v>4.1562489999999999</v>
      </c>
      <c r="C6059" s="32">
        <f t="shared" si="94"/>
        <v>-3.6839431807859091E-3</v>
      </c>
    </row>
    <row r="6060" spans="1:3" x14ac:dyDescent="0.6">
      <c r="A6060" s="24">
        <v>38335</v>
      </c>
      <c r="B6060" s="23">
        <v>4.1805820000000002</v>
      </c>
      <c r="C6060" s="32">
        <f t="shared" si="94"/>
        <v>5.8545577995929854E-3</v>
      </c>
    </row>
    <row r="6061" spans="1:3" x14ac:dyDescent="0.6">
      <c r="A6061" s="24">
        <v>38336</v>
      </c>
      <c r="B6061" s="23">
        <v>4.1786589999999997</v>
      </c>
      <c r="C6061" s="32">
        <f t="shared" si="94"/>
        <v>-4.599838012986357E-4</v>
      </c>
    </row>
    <row r="6062" spans="1:3" x14ac:dyDescent="0.6">
      <c r="A6062" s="24">
        <v>38337</v>
      </c>
      <c r="B6062" s="23">
        <v>4.264462</v>
      </c>
      <c r="C6062" s="32">
        <f t="shared" si="94"/>
        <v>2.0533620953516518E-2</v>
      </c>
    </row>
    <row r="6063" spans="1:3" x14ac:dyDescent="0.6">
      <c r="A6063" s="24">
        <v>38338</v>
      </c>
      <c r="B6063" s="23">
        <v>4.1613720000000001</v>
      </c>
      <c r="C6063" s="32">
        <f t="shared" si="94"/>
        <v>-2.4174210017582465E-2</v>
      </c>
    </row>
    <row r="6064" spans="1:3" x14ac:dyDescent="0.6">
      <c r="A6064" s="24">
        <v>38341</v>
      </c>
      <c r="B6064" s="23">
        <v>4.0160220000000004</v>
      </c>
      <c r="C6064" s="32">
        <f t="shared" si="94"/>
        <v>-3.4928384196365903E-2</v>
      </c>
    </row>
    <row r="6065" spans="1:3" x14ac:dyDescent="0.6">
      <c r="A6065" s="24">
        <v>38342</v>
      </c>
      <c r="B6065" s="23">
        <v>4.0781330000000002</v>
      </c>
      <c r="C6065" s="32">
        <f t="shared" si="94"/>
        <v>1.546580173116574E-2</v>
      </c>
    </row>
    <row r="6066" spans="1:3" x14ac:dyDescent="0.6">
      <c r="A6066" s="24">
        <v>38343</v>
      </c>
      <c r="B6066" s="23">
        <v>4.0819729999999996</v>
      </c>
      <c r="C6066" s="32">
        <f t="shared" si="94"/>
        <v>9.4160734826442827E-4</v>
      </c>
    </row>
    <row r="6067" spans="1:3" x14ac:dyDescent="0.6">
      <c r="A6067" s="24">
        <v>38344</v>
      </c>
      <c r="B6067" s="23">
        <v>4.0986209999999996</v>
      </c>
      <c r="C6067" s="32">
        <f t="shared" si="94"/>
        <v>4.0784199209549232E-3</v>
      </c>
    </row>
    <row r="6068" spans="1:3" x14ac:dyDescent="0.6">
      <c r="A6068" s="24">
        <v>38348</v>
      </c>
      <c r="B6068" s="23">
        <v>4.0441960000000003</v>
      </c>
      <c r="C6068" s="32">
        <f t="shared" si="94"/>
        <v>-1.327885647392113E-2</v>
      </c>
    </row>
    <row r="6069" spans="1:3" x14ac:dyDescent="0.6">
      <c r="A6069" s="24">
        <v>38349</v>
      </c>
      <c r="B6069" s="23">
        <v>4.1095059999999997</v>
      </c>
      <c r="C6069" s="32">
        <f t="shared" si="94"/>
        <v>1.6149068937311384E-2</v>
      </c>
    </row>
    <row r="6070" spans="1:3" x14ac:dyDescent="0.6">
      <c r="A6070" s="24">
        <v>38350</v>
      </c>
      <c r="B6070" s="23">
        <v>4.1261539999999997</v>
      </c>
      <c r="C6070" s="32">
        <f t="shared" si="94"/>
        <v>4.0510951924634941E-3</v>
      </c>
    </row>
    <row r="6071" spans="1:3" x14ac:dyDescent="0.6">
      <c r="A6071" s="24">
        <v>38351</v>
      </c>
      <c r="B6071" s="23">
        <v>4.1492069999999996</v>
      </c>
      <c r="C6071" s="32">
        <f t="shared" si="94"/>
        <v>5.5870430429887374E-3</v>
      </c>
    </row>
    <row r="6072" spans="1:3" x14ac:dyDescent="0.6">
      <c r="A6072" s="24">
        <v>38352</v>
      </c>
      <c r="B6072" s="23">
        <v>4.1235939999999998</v>
      </c>
      <c r="C6072" s="32">
        <f t="shared" si="94"/>
        <v>-6.1729867900058855E-3</v>
      </c>
    </row>
    <row r="6073" spans="1:3" x14ac:dyDescent="0.6">
      <c r="A6073" s="24">
        <v>38355</v>
      </c>
      <c r="B6073" s="23">
        <v>4.0525200000000003</v>
      </c>
      <c r="C6073" s="32">
        <f t="shared" si="94"/>
        <v>-1.7235935448543072E-2</v>
      </c>
    </row>
    <row r="6074" spans="1:3" x14ac:dyDescent="0.6">
      <c r="A6074" s="24">
        <v>38356</v>
      </c>
      <c r="B6074" s="23">
        <v>4.0941390000000002</v>
      </c>
      <c r="C6074" s="32">
        <f t="shared" si="94"/>
        <v>1.0269906132480466E-2</v>
      </c>
    </row>
    <row r="6075" spans="1:3" x14ac:dyDescent="0.6">
      <c r="A6075" s="24">
        <v>38357</v>
      </c>
      <c r="B6075" s="23">
        <v>4.1299960000000002</v>
      </c>
      <c r="C6075" s="32">
        <f t="shared" si="94"/>
        <v>8.7581296091803207E-3</v>
      </c>
    </row>
    <row r="6076" spans="1:3" x14ac:dyDescent="0.6">
      <c r="A6076" s="24">
        <v>38358</v>
      </c>
      <c r="B6076" s="23">
        <v>4.1331990000000003</v>
      </c>
      <c r="C6076" s="32">
        <f t="shared" si="94"/>
        <v>7.7554554532266451E-4</v>
      </c>
    </row>
    <row r="6077" spans="1:3" x14ac:dyDescent="0.6">
      <c r="A6077" s="24">
        <v>38359</v>
      </c>
      <c r="B6077" s="23">
        <v>4.4341439999999999</v>
      </c>
      <c r="C6077" s="32">
        <f t="shared" si="94"/>
        <v>7.2811640571866842E-2</v>
      </c>
    </row>
    <row r="6078" spans="1:3" x14ac:dyDescent="0.6">
      <c r="A6078" s="24">
        <v>38362</v>
      </c>
      <c r="B6078" s="23">
        <v>4.4155759999999997</v>
      </c>
      <c r="C6078" s="32">
        <f t="shared" si="94"/>
        <v>-4.187504961498778E-3</v>
      </c>
    </row>
    <row r="6079" spans="1:3" x14ac:dyDescent="0.6">
      <c r="A6079" s="24">
        <v>38363</v>
      </c>
      <c r="B6079" s="23">
        <v>4.133839</v>
      </c>
      <c r="C6079" s="32">
        <f t="shared" si="94"/>
        <v>-6.3805265722976956E-2</v>
      </c>
    </row>
    <row r="6080" spans="1:3" x14ac:dyDescent="0.6">
      <c r="A6080" s="24">
        <v>38364</v>
      </c>
      <c r="B6080" s="23">
        <v>4.1914680000000004</v>
      </c>
      <c r="C6080" s="32">
        <f t="shared" si="94"/>
        <v>1.3940794501188902E-2</v>
      </c>
    </row>
    <row r="6081" spans="1:3" x14ac:dyDescent="0.6">
      <c r="A6081" s="24">
        <v>38365</v>
      </c>
      <c r="B6081" s="23">
        <v>4.4693610000000001</v>
      </c>
      <c r="C6081" s="32">
        <f t="shared" si="94"/>
        <v>6.6299683070465854E-2</v>
      </c>
    </row>
    <row r="6082" spans="1:3" x14ac:dyDescent="0.6">
      <c r="A6082" s="24">
        <v>38366</v>
      </c>
      <c r="B6082" s="23">
        <v>4.494974</v>
      </c>
      <c r="C6082" s="32">
        <f t="shared" si="94"/>
        <v>5.730796863354648E-3</v>
      </c>
    </row>
    <row r="6083" spans="1:3" x14ac:dyDescent="0.6">
      <c r="A6083" s="24">
        <v>38370</v>
      </c>
      <c r="B6083" s="23">
        <v>4.5237869999999996</v>
      </c>
      <c r="C6083" s="32">
        <f t="shared" si="94"/>
        <v>6.4100482005011727E-3</v>
      </c>
    </row>
    <row r="6084" spans="1:3" x14ac:dyDescent="0.6">
      <c r="A6084" s="24">
        <v>38371</v>
      </c>
      <c r="B6084" s="23">
        <v>4.4744830000000002</v>
      </c>
      <c r="C6084" s="32">
        <f t="shared" ref="C6084:C6147" si="95">B6084/B6083-1</f>
        <v>-1.0898833212085179E-2</v>
      </c>
    </row>
    <row r="6085" spans="1:3" x14ac:dyDescent="0.6">
      <c r="A6085" s="24">
        <v>38372</v>
      </c>
      <c r="B6085" s="23">
        <v>4.5116209999999999</v>
      </c>
      <c r="C6085" s="32">
        <f t="shared" si="95"/>
        <v>8.2999533130418968E-3</v>
      </c>
    </row>
    <row r="6086" spans="1:3" x14ac:dyDescent="0.6">
      <c r="A6086" s="24">
        <v>38373</v>
      </c>
      <c r="B6086" s="23">
        <v>4.5135420000000002</v>
      </c>
      <c r="C6086" s="32">
        <f t="shared" si="95"/>
        <v>4.2578931164660716E-4</v>
      </c>
    </row>
    <row r="6087" spans="1:3" x14ac:dyDescent="0.6">
      <c r="A6087" s="24">
        <v>38376</v>
      </c>
      <c r="B6087" s="23">
        <v>4.5308289999999998</v>
      </c>
      <c r="C6087" s="32">
        <f t="shared" si="95"/>
        <v>3.8300297194531208E-3</v>
      </c>
    </row>
    <row r="6088" spans="1:3" x14ac:dyDescent="0.6">
      <c r="A6088" s="24">
        <v>38377</v>
      </c>
      <c r="B6088" s="23">
        <v>4.6134310000000003</v>
      </c>
      <c r="C6088" s="32">
        <f t="shared" si="95"/>
        <v>1.823110075440959E-2</v>
      </c>
    </row>
    <row r="6089" spans="1:3" x14ac:dyDescent="0.6">
      <c r="A6089" s="24">
        <v>38378</v>
      </c>
      <c r="B6089" s="23">
        <v>4.6262369999999997</v>
      </c>
      <c r="C6089" s="32">
        <f t="shared" si="95"/>
        <v>2.7758082867175293E-3</v>
      </c>
    </row>
    <row r="6090" spans="1:3" x14ac:dyDescent="0.6">
      <c r="A6090" s="24">
        <v>38379</v>
      </c>
      <c r="B6090" s="23">
        <v>4.6512099999999998</v>
      </c>
      <c r="C6090" s="32">
        <f t="shared" si="95"/>
        <v>5.3981237882971822E-3</v>
      </c>
    </row>
    <row r="6091" spans="1:3" x14ac:dyDescent="0.6">
      <c r="A6091" s="24">
        <v>38380</v>
      </c>
      <c r="B6091" s="23">
        <v>4.7370099999999997</v>
      </c>
      <c r="C6091" s="32">
        <f t="shared" si="95"/>
        <v>1.8446812764850495E-2</v>
      </c>
    </row>
    <row r="6092" spans="1:3" x14ac:dyDescent="0.6">
      <c r="A6092" s="24">
        <v>38383</v>
      </c>
      <c r="B6092" s="23">
        <v>4.9239810000000004</v>
      </c>
      <c r="C6092" s="32">
        <f t="shared" si="95"/>
        <v>3.9470256554239969E-2</v>
      </c>
    </row>
    <row r="6093" spans="1:3" x14ac:dyDescent="0.6">
      <c r="A6093" s="24">
        <v>38384</v>
      </c>
      <c r="B6093" s="23">
        <v>4.9643220000000001</v>
      </c>
      <c r="C6093" s="32">
        <f t="shared" si="95"/>
        <v>8.1927611012309054E-3</v>
      </c>
    </row>
    <row r="6094" spans="1:3" x14ac:dyDescent="0.6">
      <c r="A6094" s="24">
        <v>38385</v>
      </c>
      <c r="B6094" s="23">
        <v>5.0987850000000003</v>
      </c>
      <c r="C6094" s="32">
        <f t="shared" si="95"/>
        <v>2.7085873962245044E-2</v>
      </c>
    </row>
    <row r="6095" spans="1:3" x14ac:dyDescent="0.6">
      <c r="A6095" s="24">
        <v>38386</v>
      </c>
      <c r="B6095" s="23">
        <v>4.9822499999999996</v>
      </c>
      <c r="C6095" s="32">
        <f t="shared" si="95"/>
        <v>-2.2855444973655659E-2</v>
      </c>
    </row>
    <row r="6096" spans="1:3" x14ac:dyDescent="0.6">
      <c r="A6096" s="24">
        <v>38387</v>
      </c>
      <c r="B6096" s="23">
        <v>5.0482019999999999</v>
      </c>
      <c r="C6096" s="32">
        <f t="shared" si="95"/>
        <v>1.3237392744242182E-2</v>
      </c>
    </row>
    <row r="6097" spans="1:3" x14ac:dyDescent="0.6">
      <c r="A6097" s="24">
        <v>38390</v>
      </c>
      <c r="B6097" s="23">
        <v>5.0546049999999996</v>
      </c>
      <c r="C6097" s="32">
        <f t="shared" si="95"/>
        <v>1.2683723828801341E-3</v>
      </c>
    </row>
    <row r="6098" spans="1:3" x14ac:dyDescent="0.6">
      <c r="A6098" s="24">
        <v>38391</v>
      </c>
      <c r="B6098" s="23">
        <v>5.1801050000000002</v>
      </c>
      <c r="C6098" s="32">
        <f t="shared" si="95"/>
        <v>2.482884419257303E-2</v>
      </c>
    </row>
    <row r="6099" spans="1:3" x14ac:dyDescent="0.6">
      <c r="A6099" s="24">
        <v>38392</v>
      </c>
      <c r="B6099" s="23">
        <v>5.0417990000000001</v>
      </c>
      <c r="C6099" s="32">
        <f t="shared" si="95"/>
        <v>-2.6699458794754216E-2</v>
      </c>
    </row>
    <row r="6100" spans="1:3" x14ac:dyDescent="0.6">
      <c r="A6100" s="24">
        <v>38393</v>
      </c>
      <c r="B6100" s="23">
        <v>5.0174659999999998</v>
      </c>
      <c r="C6100" s="32">
        <f t="shared" si="95"/>
        <v>-4.8262534861068795E-3</v>
      </c>
    </row>
    <row r="6101" spans="1:3" x14ac:dyDescent="0.6">
      <c r="A6101" s="24">
        <v>38394</v>
      </c>
      <c r="B6101" s="23">
        <v>5.1999550000000001</v>
      </c>
      <c r="C6101" s="32">
        <f t="shared" si="95"/>
        <v>3.6370749697157922E-2</v>
      </c>
    </row>
    <row r="6102" spans="1:3" x14ac:dyDescent="0.6">
      <c r="A6102" s="24">
        <v>38397</v>
      </c>
      <c r="B6102" s="23">
        <v>5.4189410000000002</v>
      </c>
      <c r="C6102" s="32">
        <f t="shared" si="95"/>
        <v>4.2113056747606459E-2</v>
      </c>
    </row>
    <row r="6103" spans="1:3" x14ac:dyDescent="0.6">
      <c r="A6103" s="24">
        <v>38398</v>
      </c>
      <c r="B6103" s="23">
        <v>5.6609780000000001</v>
      </c>
      <c r="C6103" s="32">
        <f t="shared" si="95"/>
        <v>4.4665000043366376E-2</v>
      </c>
    </row>
    <row r="6104" spans="1:3" x14ac:dyDescent="0.6">
      <c r="A6104" s="24">
        <v>38399</v>
      </c>
      <c r="B6104" s="23">
        <v>5.7711110000000003</v>
      </c>
      <c r="C6104" s="32">
        <f t="shared" si="95"/>
        <v>1.9454765589974166E-2</v>
      </c>
    </row>
    <row r="6105" spans="1:3" x14ac:dyDescent="0.6">
      <c r="A6105" s="24">
        <v>38400</v>
      </c>
      <c r="B6105" s="23">
        <v>5.6225589999999999</v>
      </c>
      <c r="C6105" s="32">
        <f t="shared" si="95"/>
        <v>-2.5740624292272418E-2</v>
      </c>
    </row>
    <row r="6106" spans="1:3" x14ac:dyDescent="0.6">
      <c r="A6106" s="24">
        <v>38401</v>
      </c>
      <c r="B6106" s="23">
        <v>5.5585269999999998</v>
      </c>
      <c r="C6106" s="32">
        <f t="shared" si="95"/>
        <v>-1.1388408729903987E-2</v>
      </c>
    </row>
    <row r="6107" spans="1:3" x14ac:dyDescent="0.6">
      <c r="A6107" s="24">
        <v>38405</v>
      </c>
      <c r="B6107" s="23">
        <v>5.461201</v>
      </c>
      <c r="C6107" s="32">
        <f t="shared" si="95"/>
        <v>-1.7509314967796286E-2</v>
      </c>
    </row>
    <row r="6108" spans="1:3" x14ac:dyDescent="0.6">
      <c r="A6108" s="24">
        <v>38406</v>
      </c>
      <c r="B6108" s="23">
        <v>5.649451</v>
      </c>
      <c r="C6108" s="32">
        <f t="shared" si="95"/>
        <v>3.4470439743931713E-2</v>
      </c>
    </row>
    <row r="6109" spans="1:3" x14ac:dyDescent="0.6">
      <c r="A6109" s="24">
        <v>38407</v>
      </c>
      <c r="B6109" s="23">
        <v>5.6942729999999999</v>
      </c>
      <c r="C6109" s="32">
        <f t="shared" si="95"/>
        <v>7.933868264367705E-3</v>
      </c>
    </row>
    <row r="6110" spans="1:3" x14ac:dyDescent="0.6">
      <c r="A6110" s="24">
        <v>38408</v>
      </c>
      <c r="B6110" s="23">
        <v>5.6981159999999997</v>
      </c>
      <c r="C6110" s="32">
        <f t="shared" si="95"/>
        <v>6.7488861176823178E-4</v>
      </c>
    </row>
    <row r="6111" spans="1:3" x14ac:dyDescent="0.6">
      <c r="A6111" s="24">
        <v>38411</v>
      </c>
      <c r="B6111" s="23">
        <v>5.7448579999999998</v>
      </c>
      <c r="C6111" s="32">
        <f t="shared" si="95"/>
        <v>8.2030622051219027E-3</v>
      </c>
    </row>
    <row r="6112" spans="1:3" x14ac:dyDescent="0.6">
      <c r="A6112" s="24">
        <v>38412</v>
      </c>
      <c r="B6112" s="23">
        <v>5.6987560000000004</v>
      </c>
      <c r="C6112" s="32">
        <f t="shared" si="95"/>
        <v>-8.0249154983463855E-3</v>
      </c>
    </row>
    <row r="6113" spans="1:3" x14ac:dyDescent="0.6">
      <c r="A6113" s="24">
        <v>38413</v>
      </c>
      <c r="B6113" s="23">
        <v>5.650093</v>
      </c>
      <c r="C6113" s="32">
        <f t="shared" si="95"/>
        <v>-8.5392320709993808E-3</v>
      </c>
    </row>
    <row r="6114" spans="1:3" x14ac:dyDescent="0.6">
      <c r="A6114" s="24">
        <v>38414</v>
      </c>
      <c r="B6114" s="23">
        <v>5.3517070000000002</v>
      </c>
      <c r="C6114" s="32">
        <f t="shared" si="95"/>
        <v>-5.2810812140614338E-2</v>
      </c>
    </row>
    <row r="6115" spans="1:3" x14ac:dyDescent="0.6">
      <c r="A6115" s="24">
        <v>38415</v>
      </c>
      <c r="B6115" s="23">
        <v>5.4823310000000003</v>
      </c>
      <c r="C6115" s="32">
        <f t="shared" si="95"/>
        <v>2.44079132134849E-2</v>
      </c>
    </row>
    <row r="6116" spans="1:3" x14ac:dyDescent="0.6">
      <c r="A6116" s="24">
        <v>38418</v>
      </c>
      <c r="B6116" s="23">
        <v>5.4746459999999999</v>
      </c>
      <c r="C6116" s="32">
        <f t="shared" si="95"/>
        <v>-1.4017759963782517E-3</v>
      </c>
    </row>
    <row r="6117" spans="1:3" x14ac:dyDescent="0.6">
      <c r="A6117" s="24">
        <v>38419</v>
      </c>
      <c r="B6117" s="23">
        <v>5.1903499999999996</v>
      </c>
      <c r="C6117" s="32">
        <f t="shared" si="95"/>
        <v>-5.1929567683463018E-2</v>
      </c>
    </row>
    <row r="6118" spans="1:3" x14ac:dyDescent="0.6">
      <c r="A6118" s="24">
        <v>38420</v>
      </c>
      <c r="B6118" s="23">
        <v>5.0392359999999998</v>
      </c>
      <c r="C6118" s="32">
        <f t="shared" si="95"/>
        <v>-2.9114414249520659E-2</v>
      </c>
    </row>
    <row r="6119" spans="1:3" x14ac:dyDescent="0.6">
      <c r="A6119" s="24">
        <v>38421</v>
      </c>
      <c r="B6119" s="23">
        <v>5.1007059999999997</v>
      </c>
      <c r="C6119" s="32">
        <f t="shared" si="95"/>
        <v>1.2198277675425473E-2</v>
      </c>
    </row>
    <row r="6120" spans="1:3" x14ac:dyDescent="0.6">
      <c r="A6120" s="24">
        <v>38422</v>
      </c>
      <c r="B6120" s="23">
        <v>5.1570530000000003</v>
      </c>
      <c r="C6120" s="32">
        <f t="shared" si="95"/>
        <v>1.1046902134724146E-2</v>
      </c>
    </row>
    <row r="6121" spans="1:3" x14ac:dyDescent="0.6">
      <c r="A6121" s="24">
        <v>38425</v>
      </c>
      <c r="B6121" s="23">
        <v>5.1634570000000002</v>
      </c>
      <c r="C6121" s="32">
        <f t="shared" si="95"/>
        <v>1.2417944899925093E-3</v>
      </c>
    </row>
    <row r="6122" spans="1:3" x14ac:dyDescent="0.6">
      <c r="A6122" s="24">
        <v>38426</v>
      </c>
      <c r="B6122" s="23">
        <v>5.2454159999999996</v>
      </c>
      <c r="C6122" s="32">
        <f t="shared" si="95"/>
        <v>1.587289290876237E-2</v>
      </c>
    </row>
    <row r="6123" spans="1:3" x14ac:dyDescent="0.6">
      <c r="A6123" s="24">
        <v>38427</v>
      </c>
      <c r="B6123" s="23">
        <v>5.2735890000000003</v>
      </c>
      <c r="C6123" s="32">
        <f t="shared" si="95"/>
        <v>5.3709753430424279E-3</v>
      </c>
    </row>
    <row r="6124" spans="1:3" x14ac:dyDescent="0.6">
      <c r="A6124" s="24">
        <v>38428</v>
      </c>
      <c r="B6124" s="23">
        <v>5.4106160000000001</v>
      </c>
      <c r="C6124" s="32">
        <f t="shared" si="95"/>
        <v>2.5983632778360244E-2</v>
      </c>
    </row>
    <row r="6125" spans="1:3" x14ac:dyDescent="0.6">
      <c r="A6125" s="24">
        <v>38429</v>
      </c>
      <c r="B6125" s="23">
        <v>5.5015400000000003</v>
      </c>
      <c r="C6125" s="32">
        <f t="shared" si="95"/>
        <v>1.6804740901960269E-2</v>
      </c>
    </row>
    <row r="6126" spans="1:3" x14ac:dyDescent="0.6">
      <c r="A6126" s="24">
        <v>38432</v>
      </c>
      <c r="B6126" s="23">
        <v>5.5963060000000002</v>
      </c>
      <c r="C6126" s="32">
        <f t="shared" si="95"/>
        <v>1.7225358717740891E-2</v>
      </c>
    </row>
    <row r="6127" spans="1:3" x14ac:dyDescent="0.6">
      <c r="A6127" s="24">
        <v>38433</v>
      </c>
      <c r="B6127" s="23">
        <v>5.4848920000000003</v>
      </c>
      <c r="C6127" s="32">
        <f t="shared" si="95"/>
        <v>-1.9908489635841908E-2</v>
      </c>
    </row>
    <row r="6128" spans="1:3" x14ac:dyDescent="0.6">
      <c r="A6128" s="24">
        <v>38434</v>
      </c>
      <c r="B6128" s="23">
        <v>5.4490340000000002</v>
      </c>
      <c r="C6128" s="32">
        <f t="shared" si="95"/>
        <v>-6.537594541515146E-3</v>
      </c>
    </row>
    <row r="6129" spans="1:3" x14ac:dyDescent="0.6">
      <c r="A6129" s="24">
        <v>38435</v>
      </c>
      <c r="B6129" s="23">
        <v>5.4426310000000004</v>
      </c>
      <c r="C6129" s="32">
        <f t="shared" si="95"/>
        <v>-1.175070663901101E-3</v>
      </c>
    </row>
    <row r="6130" spans="1:3" x14ac:dyDescent="0.6">
      <c r="A6130" s="24">
        <v>38439</v>
      </c>
      <c r="B6130" s="23">
        <v>5.4464730000000001</v>
      </c>
      <c r="C6130" s="32">
        <f t="shared" si="95"/>
        <v>7.0590859457486665E-4</v>
      </c>
    </row>
    <row r="6131" spans="1:3" x14ac:dyDescent="0.6">
      <c r="A6131" s="24">
        <v>38440</v>
      </c>
      <c r="B6131" s="23">
        <v>5.3465850000000001</v>
      </c>
      <c r="C6131" s="32">
        <f t="shared" si="95"/>
        <v>-1.8339942197455161E-2</v>
      </c>
    </row>
    <row r="6132" spans="1:3" x14ac:dyDescent="0.6">
      <c r="A6132" s="24">
        <v>38441</v>
      </c>
      <c r="B6132" s="23">
        <v>5.4810499999999998</v>
      </c>
      <c r="C6132" s="32">
        <f t="shared" si="95"/>
        <v>2.514969835885883E-2</v>
      </c>
    </row>
    <row r="6133" spans="1:3" x14ac:dyDescent="0.6">
      <c r="A6133" s="24">
        <v>38442</v>
      </c>
      <c r="B6133" s="23">
        <v>5.3363399999999999</v>
      </c>
      <c r="C6133" s="32">
        <f t="shared" si="95"/>
        <v>-2.6401875553041854E-2</v>
      </c>
    </row>
    <row r="6134" spans="1:3" x14ac:dyDescent="0.6">
      <c r="A6134" s="24">
        <v>38443</v>
      </c>
      <c r="B6134" s="23">
        <v>5.2364519999999999</v>
      </c>
      <c r="C6134" s="32">
        <f t="shared" si="95"/>
        <v>-1.8718447475235878E-2</v>
      </c>
    </row>
    <row r="6135" spans="1:3" x14ac:dyDescent="0.6">
      <c r="A6135" s="24">
        <v>38446</v>
      </c>
      <c r="B6135" s="23">
        <v>5.2620649999999998</v>
      </c>
      <c r="C6135" s="32">
        <f t="shared" si="95"/>
        <v>4.8912889872760879E-3</v>
      </c>
    </row>
    <row r="6136" spans="1:3" x14ac:dyDescent="0.6">
      <c r="A6136" s="24">
        <v>38447</v>
      </c>
      <c r="B6136" s="23">
        <v>5.3645139999999998</v>
      </c>
      <c r="C6136" s="32">
        <f t="shared" si="95"/>
        <v>1.9469352811111174E-2</v>
      </c>
    </row>
    <row r="6137" spans="1:3" x14ac:dyDescent="0.6">
      <c r="A6137" s="24">
        <v>38448</v>
      </c>
      <c r="B6137" s="23">
        <v>5.4208610000000004</v>
      </c>
      <c r="C6137" s="32">
        <f t="shared" si="95"/>
        <v>1.0503654198684265E-2</v>
      </c>
    </row>
    <row r="6138" spans="1:3" x14ac:dyDescent="0.6">
      <c r="A6138" s="24">
        <v>38449</v>
      </c>
      <c r="B6138" s="23">
        <v>5.5783759999999996</v>
      </c>
      <c r="C6138" s="32">
        <f t="shared" si="95"/>
        <v>2.9057192206182636E-2</v>
      </c>
    </row>
    <row r="6139" spans="1:3" x14ac:dyDescent="0.6">
      <c r="A6139" s="24">
        <v>38450</v>
      </c>
      <c r="B6139" s="23">
        <v>5.6014290000000004</v>
      </c>
      <c r="C6139" s="32">
        <f t="shared" si="95"/>
        <v>4.1325647464425241E-3</v>
      </c>
    </row>
    <row r="6140" spans="1:3" x14ac:dyDescent="0.6">
      <c r="A6140" s="24">
        <v>38453</v>
      </c>
      <c r="B6140" s="23">
        <v>5.3683560000000003</v>
      </c>
      <c r="C6140" s="32">
        <f t="shared" si="95"/>
        <v>-4.1609560703170567E-2</v>
      </c>
    </row>
    <row r="6141" spans="1:3" x14ac:dyDescent="0.6">
      <c r="A6141" s="24">
        <v>38454</v>
      </c>
      <c r="B6141" s="23">
        <v>5.4631220000000003</v>
      </c>
      <c r="C6141" s="32">
        <f t="shared" si="95"/>
        <v>1.7652704105316497E-2</v>
      </c>
    </row>
    <row r="6142" spans="1:3" x14ac:dyDescent="0.6">
      <c r="A6142" s="24">
        <v>38455</v>
      </c>
      <c r="B6142" s="23">
        <v>5.2556620000000001</v>
      </c>
      <c r="C6142" s="32">
        <f t="shared" si="95"/>
        <v>-3.7974623301474941E-2</v>
      </c>
    </row>
    <row r="6143" spans="1:3" x14ac:dyDescent="0.6">
      <c r="A6143" s="24">
        <v>38456</v>
      </c>
      <c r="B6143" s="23">
        <v>4.7715870000000002</v>
      </c>
      <c r="C6143" s="32">
        <f t="shared" si="95"/>
        <v>-9.2105428393226219E-2</v>
      </c>
    </row>
    <row r="6144" spans="1:3" x14ac:dyDescent="0.6">
      <c r="A6144" s="24">
        <v>38457</v>
      </c>
      <c r="B6144" s="23">
        <v>4.5269899999999996</v>
      </c>
      <c r="C6144" s="32">
        <f t="shared" si="95"/>
        <v>-5.1261142257282621E-2</v>
      </c>
    </row>
    <row r="6145" spans="1:3" x14ac:dyDescent="0.6">
      <c r="A6145" s="24">
        <v>38460</v>
      </c>
      <c r="B6145" s="23">
        <v>4.5615670000000001</v>
      </c>
      <c r="C6145" s="32">
        <f t="shared" si="95"/>
        <v>7.6379669493418234E-3</v>
      </c>
    </row>
    <row r="6146" spans="1:3" x14ac:dyDescent="0.6">
      <c r="A6146" s="24">
        <v>38461</v>
      </c>
      <c r="B6146" s="23">
        <v>4.749816</v>
      </c>
      <c r="C6146" s="32">
        <f t="shared" si="95"/>
        <v>4.1268493918866112E-2</v>
      </c>
    </row>
    <row r="6147" spans="1:3" x14ac:dyDescent="0.6">
      <c r="A6147" s="24">
        <v>38462</v>
      </c>
      <c r="B6147" s="23">
        <v>4.547479</v>
      </c>
      <c r="C6147" s="32">
        <f t="shared" si="95"/>
        <v>-4.2598913305273323E-2</v>
      </c>
    </row>
    <row r="6148" spans="1:3" x14ac:dyDescent="0.6">
      <c r="A6148" s="24">
        <v>38463</v>
      </c>
      <c r="B6148" s="23">
        <v>4.7613430000000001</v>
      </c>
      <c r="C6148" s="32">
        <f t="shared" ref="C6148:C6211" si="96">B6148/B6147-1</f>
        <v>4.7029134164225939E-2</v>
      </c>
    </row>
    <row r="6149" spans="1:3" x14ac:dyDescent="0.6">
      <c r="A6149" s="24">
        <v>38464</v>
      </c>
      <c r="B6149" s="23">
        <v>4.5461980000000004</v>
      </c>
      <c r="C6149" s="32">
        <f t="shared" si="96"/>
        <v>-4.5185780566533329E-2</v>
      </c>
    </row>
    <row r="6150" spans="1:3" x14ac:dyDescent="0.6">
      <c r="A6150" s="24">
        <v>38467</v>
      </c>
      <c r="B6150" s="23">
        <v>4.7357290000000001</v>
      </c>
      <c r="C6150" s="32">
        <f t="shared" si="96"/>
        <v>4.1690001183406267E-2</v>
      </c>
    </row>
    <row r="6151" spans="1:3" x14ac:dyDescent="0.6">
      <c r="A6151" s="24">
        <v>38468</v>
      </c>
      <c r="B6151" s="23">
        <v>4.6345609999999997</v>
      </c>
      <c r="C6151" s="32">
        <f t="shared" si="96"/>
        <v>-2.1362708888114201E-2</v>
      </c>
    </row>
    <row r="6152" spans="1:3" x14ac:dyDescent="0.6">
      <c r="A6152" s="24">
        <v>38469</v>
      </c>
      <c r="B6152" s="23">
        <v>4.6038249999999996</v>
      </c>
      <c r="C6152" s="32">
        <f t="shared" si="96"/>
        <v>-6.6319118466667826E-3</v>
      </c>
    </row>
    <row r="6153" spans="1:3" x14ac:dyDescent="0.6">
      <c r="A6153" s="24">
        <v>38470</v>
      </c>
      <c r="B6153" s="23">
        <v>4.5513219999999999</v>
      </c>
      <c r="C6153" s="32">
        <f t="shared" si="96"/>
        <v>-1.1404212801311875E-2</v>
      </c>
    </row>
    <row r="6154" spans="1:3" x14ac:dyDescent="0.6">
      <c r="A6154" s="24">
        <v>38471</v>
      </c>
      <c r="B6154" s="23">
        <v>4.6179129999999997</v>
      </c>
      <c r="C6154" s="32">
        <f t="shared" si="96"/>
        <v>1.4631133547571507E-2</v>
      </c>
    </row>
    <row r="6155" spans="1:3" x14ac:dyDescent="0.6">
      <c r="A6155" s="24">
        <v>38474</v>
      </c>
      <c r="B6155" s="23">
        <v>4.6652959999999997</v>
      </c>
      <c r="C6155" s="32">
        <f t="shared" si="96"/>
        <v>1.0260695686558075E-2</v>
      </c>
    </row>
    <row r="6156" spans="1:3" x14ac:dyDescent="0.6">
      <c r="A6156" s="24">
        <v>38475</v>
      </c>
      <c r="B6156" s="23">
        <v>4.6371219999999997</v>
      </c>
      <c r="C6156" s="32">
        <f t="shared" si="96"/>
        <v>-6.0390594723249702E-3</v>
      </c>
    </row>
    <row r="6157" spans="1:3" x14ac:dyDescent="0.6">
      <c r="A6157" s="24">
        <v>38476</v>
      </c>
      <c r="B6157" s="23">
        <v>4.7575000000000003</v>
      </c>
      <c r="C6157" s="32">
        <f t="shared" si="96"/>
        <v>2.5959636170883593E-2</v>
      </c>
    </row>
    <row r="6158" spans="1:3" x14ac:dyDescent="0.6">
      <c r="A6158" s="24">
        <v>38477</v>
      </c>
      <c r="B6158" s="23">
        <v>4.6973120000000002</v>
      </c>
      <c r="C6158" s="32">
        <f t="shared" si="96"/>
        <v>-1.2651182343667911E-2</v>
      </c>
    </row>
    <row r="6159" spans="1:3" x14ac:dyDescent="0.6">
      <c r="A6159" s="24">
        <v>38478</v>
      </c>
      <c r="B6159" s="23">
        <v>4.7690270000000003</v>
      </c>
      <c r="C6159" s="32">
        <f t="shared" si="96"/>
        <v>1.5267242201497444E-2</v>
      </c>
    </row>
    <row r="6160" spans="1:3" x14ac:dyDescent="0.6">
      <c r="A6160" s="24">
        <v>38481</v>
      </c>
      <c r="B6160" s="23">
        <v>4.7344489999999997</v>
      </c>
      <c r="C6160" s="32">
        <f t="shared" si="96"/>
        <v>-7.2505355914320724E-3</v>
      </c>
    </row>
    <row r="6161" spans="1:3" x14ac:dyDescent="0.6">
      <c r="A6161" s="24">
        <v>38482</v>
      </c>
      <c r="B6161" s="23">
        <v>4.664015</v>
      </c>
      <c r="C6161" s="32">
        <f t="shared" si="96"/>
        <v>-1.4876915983253691E-2</v>
      </c>
    </row>
    <row r="6162" spans="1:3" x14ac:dyDescent="0.6">
      <c r="A6162" s="24">
        <v>38483</v>
      </c>
      <c r="B6162" s="23">
        <v>4.5602859999999996</v>
      </c>
      <c r="C6162" s="32">
        <f t="shared" si="96"/>
        <v>-2.2240280102015175E-2</v>
      </c>
    </row>
    <row r="6163" spans="1:3" x14ac:dyDescent="0.6">
      <c r="A6163" s="24">
        <v>38484</v>
      </c>
      <c r="B6163" s="23">
        <v>4.3707529999999997</v>
      </c>
      <c r="C6163" s="32">
        <f t="shared" si="96"/>
        <v>-4.1561647668589163E-2</v>
      </c>
    </row>
    <row r="6164" spans="1:3" x14ac:dyDescent="0.6">
      <c r="A6164" s="24">
        <v>38485</v>
      </c>
      <c r="B6164" s="23">
        <v>4.4527140000000003</v>
      </c>
      <c r="C6164" s="32">
        <f t="shared" si="96"/>
        <v>1.8752146369287015E-2</v>
      </c>
    </row>
    <row r="6165" spans="1:3" x14ac:dyDescent="0.6">
      <c r="A6165" s="24">
        <v>38488</v>
      </c>
      <c r="B6165" s="23">
        <v>4.5526010000000001</v>
      </c>
      <c r="C6165" s="32">
        <f t="shared" si="96"/>
        <v>2.2432835344915469E-2</v>
      </c>
    </row>
    <row r="6166" spans="1:3" x14ac:dyDescent="0.6">
      <c r="A6166" s="24">
        <v>38489</v>
      </c>
      <c r="B6166" s="23">
        <v>4.52827</v>
      </c>
      <c r="C6166" s="32">
        <f t="shared" si="96"/>
        <v>-5.3444174000752964E-3</v>
      </c>
    </row>
    <row r="6167" spans="1:3" x14ac:dyDescent="0.6">
      <c r="A6167" s="24">
        <v>38490</v>
      </c>
      <c r="B6167" s="23">
        <v>4.5897389999999998</v>
      </c>
      <c r="C6167" s="32">
        <f t="shared" si="96"/>
        <v>1.3574499753769009E-2</v>
      </c>
    </row>
    <row r="6168" spans="1:3" x14ac:dyDescent="0.6">
      <c r="A6168" s="24">
        <v>38491</v>
      </c>
      <c r="B6168" s="23">
        <v>4.8087260000000001</v>
      </c>
      <c r="C6168" s="32">
        <f t="shared" si="96"/>
        <v>4.7712299108947143E-2</v>
      </c>
    </row>
    <row r="6169" spans="1:3" x14ac:dyDescent="0.6">
      <c r="A6169" s="24">
        <v>38492</v>
      </c>
      <c r="B6169" s="23">
        <v>4.8087260000000001</v>
      </c>
      <c r="C6169" s="32">
        <f t="shared" si="96"/>
        <v>0</v>
      </c>
    </row>
    <row r="6170" spans="1:3" x14ac:dyDescent="0.6">
      <c r="A6170" s="24">
        <v>38495</v>
      </c>
      <c r="B6170" s="23">
        <v>5.091742</v>
      </c>
      <c r="C6170" s="32">
        <f t="shared" si="96"/>
        <v>5.8854673774301203E-2</v>
      </c>
    </row>
    <row r="6171" spans="1:3" x14ac:dyDescent="0.6">
      <c r="A6171" s="24">
        <v>38496</v>
      </c>
      <c r="B6171" s="23">
        <v>5.0840579999999997</v>
      </c>
      <c r="C6171" s="32">
        <f t="shared" si="96"/>
        <v>-1.509110241642353E-3</v>
      </c>
    </row>
    <row r="6172" spans="1:3" x14ac:dyDescent="0.6">
      <c r="A6172" s="24">
        <v>38497</v>
      </c>
      <c r="B6172" s="23">
        <v>5.0943040000000002</v>
      </c>
      <c r="C6172" s="32">
        <f t="shared" si="96"/>
        <v>2.0153192587497593E-3</v>
      </c>
    </row>
    <row r="6173" spans="1:3" x14ac:dyDescent="0.6">
      <c r="A6173" s="24">
        <v>38498</v>
      </c>
      <c r="B6173" s="23">
        <v>5.2172419999999997</v>
      </c>
      <c r="C6173" s="32">
        <f t="shared" si="96"/>
        <v>2.4132442822415001E-2</v>
      </c>
    </row>
    <row r="6174" spans="1:3" x14ac:dyDescent="0.6">
      <c r="A6174" s="24">
        <v>38499</v>
      </c>
      <c r="B6174" s="23">
        <v>5.194191</v>
      </c>
      <c r="C6174" s="32">
        <f t="shared" si="96"/>
        <v>-4.4182347684849077E-3</v>
      </c>
    </row>
    <row r="6175" spans="1:3" x14ac:dyDescent="0.6">
      <c r="A6175" s="24">
        <v>38503</v>
      </c>
      <c r="B6175" s="23">
        <v>5.091742</v>
      </c>
      <c r="C6175" s="32">
        <f t="shared" si="96"/>
        <v>-1.972376448998503E-2</v>
      </c>
    </row>
    <row r="6176" spans="1:3" x14ac:dyDescent="0.6">
      <c r="A6176" s="24">
        <v>38504</v>
      </c>
      <c r="B6176" s="23">
        <v>5.1608960000000002</v>
      </c>
      <c r="C6176" s="32">
        <f t="shared" si="96"/>
        <v>1.3581599381901066E-2</v>
      </c>
    </row>
    <row r="6177" spans="1:3" x14ac:dyDescent="0.6">
      <c r="A6177" s="24">
        <v>38505</v>
      </c>
      <c r="B6177" s="23">
        <v>5.127599</v>
      </c>
      <c r="C6177" s="32">
        <f t="shared" si="96"/>
        <v>-6.451786666501369E-3</v>
      </c>
    </row>
    <row r="6178" spans="1:3" x14ac:dyDescent="0.6">
      <c r="A6178" s="24">
        <v>38506</v>
      </c>
      <c r="B6178" s="23">
        <v>4.8970880000000001</v>
      </c>
      <c r="C6178" s="32">
        <f t="shared" si="96"/>
        <v>-4.4954958451314142E-2</v>
      </c>
    </row>
    <row r="6179" spans="1:3" x14ac:dyDescent="0.6">
      <c r="A6179" s="24">
        <v>38509</v>
      </c>
      <c r="B6179" s="23">
        <v>4.856109</v>
      </c>
      <c r="C6179" s="32">
        <f t="shared" si="96"/>
        <v>-8.3680342276879482E-3</v>
      </c>
    </row>
    <row r="6180" spans="1:3" x14ac:dyDescent="0.6">
      <c r="A6180" s="24">
        <v>38510</v>
      </c>
      <c r="B6180" s="23">
        <v>4.6793829999999996</v>
      </c>
      <c r="C6180" s="32">
        <f t="shared" si="96"/>
        <v>-3.6392510958876856E-2</v>
      </c>
    </row>
    <row r="6181" spans="1:3" x14ac:dyDescent="0.6">
      <c r="A6181" s="24">
        <v>38511</v>
      </c>
      <c r="B6181" s="23">
        <v>4.728046</v>
      </c>
      <c r="C6181" s="32">
        <f t="shared" si="96"/>
        <v>1.0399447961408681E-2</v>
      </c>
    </row>
    <row r="6182" spans="1:3" x14ac:dyDescent="0.6">
      <c r="A6182" s="24">
        <v>38512</v>
      </c>
      <c r="B6182" s="23">
        <v>4.8215310000000002</v>
      </c>
      <c r="C6182" s="32">
        <f t="shared" si="96"/>
        <v>1.9772438762228672E-2</v>
      </c>
    </row>
    <row r="6183" spans="1:3" x14ac:dyDescent="0.6">
      <c r="A6183" s="24">
        <v>38513</v>
      </c>
      <c r="B6183" s="23">
        <v>4.585896</v>
      </c>
      <c r="C6183" s="32">
        <f t="shared" si="96"/>
        <v>-4.8871406198570555E-2</v>
      </c>
    </row>
    <row r="6184" spans="1:3" x14ac:dyDescent="0.6">
      <c r="A6184" s="24">
        <v>38516</v>
      </c>
      <c r="B6184" s="23">
        <v>4.5974240000000002</v>
      </c>
      <c r="C6184" s="32">
        <f t="shared" si="96"/>
        <v>2.513794468954389E-3</v>
      </c>
    </row>
    <row r="6185" spans="1:3" x14ac:dyDescent="0.6">
      <c r="A6185" s="24">
        <v>38517</v>
      </c>
      <c r="B6185" s="23">
        <v>4.6102290000000004</v>
      </c>
      <c r="C6185" s="32">
        <f t="shared" si="96"/>
        <v>2.7852553951952519E-3</v>
      </c>
    </row>
    <row r="6186" spans="1:3" x14ac:dyDescent="0.6">
      <c r="A6186" s="24">
        <v>38518</v>
      </c>
      <c r="B6186" s="23">
        <v>4.7549380000000001</v>
      </c>
      <c r="C6186" s="32">
        <f t="shared" si="96"/>
        <v>3.1388679390980334E-2</v>
      </c>
    </row>
    <row r="6187" spans="1:3" x14ac:dyDescent="0.6">
      <c r="A6187" s="24">
        <v>38519</v>
      </c>
      <c r="B6187" s="23">
        <v>4.8637920000000001</v>
      </c>
      <c r="C6187" s="32">
        <f t="shared" si="96"/>
        <v>2.2892832672055885E-2</v>
      </c>
    </row>
    <row r="6188" spans="1:3" x14ac:dyDescent="0.6">
      <c r="A6188" s="24">
        <v>38520</v>
      </c>
      <c r="B6188" s="23">
        <v>4.9060519999999999</v>
      </c>
      <c r="C6188" s="32">
        <f t="shared" si="96"/>
        <v>8.6886939244112948E-3</v>
      </c>
    </row>
    <row r="6189" spans="1:3" x14ac:dyDescent="0.6">
      <c r="A6189" s="24">
        <v>38523</v>
      </c>
      <c r="B6189" s="23">
        <v>4.8164090000000002</v>
      </c>
      <c r="C6189" s="32">
        <f t="shared" si="96"/>
        <v>-1.8271922107633509E-2</v>
      </c>
    </row>
    <row r="6190" spans="1:3" x14ac:dyDescent="0.6">
      <c r="A6190" s="24">
        <v>38524</v>
      </c>
      <c r="B6190" s="23">
        <v>4.8484230000000004</v>
      </c>
      <c r="C6190" s="32">
        <f t="shared" si="96"/>
        <v>6.6468607628629162E-3</v>
      </c>
    </row>
    <row r="6191" spans="1:3" x14ac:dyDescent="0.6">
      <c r="A6191" s="24">
        <v>38525</v>
      </c>
      <c r="B6191" s="23">
        <v>4.9367869999999998</v>
      </c>
      <c r="C6191" s="32">
        <f t="shared" si="96"/>
        <v>1.8225307486578579E-2</v>
      </c>
    </row>
    <row r="6192" spans="1:3" x14ac:dyDescent="0.6">
      <c r="A6192" s="24">
        <v>38526</v>
      </c>
      <c r="B6192" s="23">
        <v>4.9803269999999999</v>
      </c>
      <c r="C6192" s="32">
        <f t="shared" si="96"/>
        <v>8.81950142876331E-3</v>
      </c>
    </row>
    <row r="6193" spans="1:3" x14ac:dyDescent="0.6">
      <c r="A6193" s="24">
        <v>38527</v>
      </c>
      <c r="B6193" s="23">
        <v>4.8356180000000002</v>
      </c>
      <c r="C6193" s="32">
        <f t="shared" si="96"/>
        <v>-2.9056124226381042E-2</v>
      </c>
    </row>
    <row r="6194" spans="1:3" x14ac:dyDescent="0.6">
      <c r="A6194" s="24">
        <v>38530</v>
      </c>
      <c r="B6194" s="23">
        <v>4.7510969999999997</v>
      </c>
      <c r="C6194" s="32">
        <f t="shared" si="96"/>
        <v>-1.7478841380770826E-2</v>
      </c>
    </row>
    <row r="6195" spans="1:3" x14ac:dyDescent="0.6">
      <c r="A6195" s="24">
        <v>38531</v>
      </c>
      <c r="B6195" s="23">
        <v>4.7779910000000001</v>
      </c>
      <c r="C6195" s="32">
        <f t="shared" si="96"/>
        <v>5.6605874390693867E-3</v>
      </c>
    </row>
    <row r="6196" spans="1:3" x14ac:dyDescent="0.6">
      <c r="A6196" s="24">
        <v>38532</v>
      </c>
      <c r="B6196" s="23">
        <v>4.6576129999999996</v>
      </c>
      <c r="C6196" s="32">
        <f t="shared" si="96"/>
        <v>-2.5194270981255595E-2</v>
      </c>
    </row>
    <row r="6197" spans="1:3" x14ac:dyDescent="0.6">
      <c r="A6197" s="24">
        <v>38533</v>
      </c>
      <c r="B6197" s="23">
        <v>4.713959</v>
      </c>
      <c r="C6197" s="32">
        <f t="shared" si="96"/>
        <v>1.2097613090654047E-2</v>
      </c>
    </row>
    <row r="6198" spans="1:3" x14ac:dyDescent="0.6">
      <c r="A6198" s="24">
        <v>38534</v>
      </c>
      <c r="B6198" s="23">
        <v>4.6742600000000003</v>
      </c>
      <c r="C6198" s="32">
        <f t="shared" si="96"/>
        <v>-8.4215836412662171E-3</v>
      </c>
    </row>
    <row r="6199" spans="1:3" x14ac:dyDescent="0.6">
      <c r="A6199" s="24">
        <v>38538</v>
      </c>
      <c r="B6199" s="23">
        <v>4.8637920000000001</v>
      </c>
      <c r="C6199" s="32">
        <f t="shared" si="96"/>
        <v>4.0548022574696363E-2</v>
      </c>
    </row>
    <row r="6200" spans="1:3" x14ac:dyDescent="0.6">
      <c r="A6200" s="24">
        <v>38539</v>
      </c>
      <c r="B6200" s="23">
        <v>4.7882360000000004</v>
      </c>
      <c r="C6200" s="32">
        <f t="shared" si="96"/>
        <v>-1.5534381404467945E-2</v>
      </c>
    </row>
    <row r="6201" spans="1:3" x14ac:dyDescent="0.6">
      <c r="A6201" s="24">
        <v>38540</v>
      </c>
      <c r="B6201" s="23">
        <v>4.8189710000000003</v>
      </c>
      <c r="C6201" s="32">
        <f t="shared" si="96"/>
        <v>6.4188565475886694E-3</v>
      </c>
    </row>
    <row r="6202" spans="1:3" x14ac:dyDescent="0.6">
      <c r="A6202" s="24">
        <v>38541</v>
      </c>
      <c r="B6202" s="23">
        <v>4.8983689999999998</v>
      </c>
      <c r="C6202" s="32">
        <f t="shared" si="96"/>
        <v>1.647613152268379E-2</v>
      </c>
    </row>
    <row r="6203" spans="1:3" x14ac:dyDescent="0.6">
      <c r="A6203" s="24">
        <v>38544</v>
      </c>
      <c r="B6203" s="23">
        <v>4.8791589999999996</v>
      </c>
      <c r="C6203" s="32">
        <f t="shared" si="96"/>
        <v>-3.9217135336272468E-3</v>
      </c>
    </row>
    <row r="6204" spans="1:3" x14ac:dyDescent="0.6">
      <c r="A6204" s="24">
        <v>38545</v>
      </c>
      <c r="B6204" s="23">
        <v>4.8970880000000001</v>
      </c>
      <c r="C6204" s="32">
        <f t="shared" si="96"/>
        <v>3.6746086774381848E-3</v>
      </c>
    </row>
    <row r="6205" spans="1:3" x14ac:dyDescent="0.6">
      <c r="A6205" s="24">
        <v>38546</v>
      </c>
      <c r="B6205" s="23">
        <v>4.9111750000000001</v>
      </c>
      <c r="C6205" s="32">
        <f t="shared" si="96"/>
        <v>2.8766074859181145E-3</v>
      </c>
    </row>
    <row r="6206" spans="1:3" x14ac:dyDescent="0.6">
      <c r="A6206" s="24">
        <v>38547</v>
      </c>
      <c r="B6206" s="23">
        <v>5.2185240000000004</v>
      </c>
      <c r="C6206" s="32">
        <f t="shared" si="96"/>
        <v>6.2581561438963318E-2</v>
      </c>
    </row>
    <row r="6207" spans="1:3" x14ac:dyDescent="0.6">
      <c r="A6207" s="24">
        <v>38548</v>
      </c>
      <c r="B6207" s="23">
        <v>5.3209730000000004</v>
      </c>
      <c r="C6207" s="32">
        <f t="shared" si="96"/>
        <v>1.9631796270362933E-2</v>
      </c>
    </row>
    <row r="6208" spans="1:3" x14ac:dyDescent="0.6">
      <c r="A6208" s="24">
        <v>38551</v>
      </c>
      <c r="B6208" s="23">
        <v>5.3132900000000003</v>
      </c>
      <c r="C6208" s="32">
        <f t="shared" si="96"/>
        <v>-1.4439088490019181E-3</v>
      </c>
    </row>
    <row r="6209" spans="1:3" x14ac:dyDescent="0.6">
      <c r="A6209" s="24">
        <v>38552</v>
      </c>
      <c r="B6209" s="23">
        <v>5.5309949999999999</v>
      </c>
      <c r="C6209" s="32">
        <f t="shared" si="96"/>
        <v>4.0973671679881862E-2</v>
      </c>
    </row>
    <row r="6210" spans="1:3" x14ac:dyDescent="0.6">
      <c r="A6210" s="24">
        <v>38553</v>
      </c>
      <c r="B6210" s="23">
        <v>5.5873429999999997</v>
      </c>
      <c r="C6210" s="32">
        <f t="shared" si="96"/>
        <v>1.0187678708803771E-2</v>
      </c>
    </row>
    <row r="6211" spans="1:3" x14ac:dyDescent="0.6">
      <c r="A6211" s="24">
        <v>38554</v>
      </c>
      <c r="B6211" s="23">
        <v>5.5438010000000002</v>
      </c>
      <c r="C6211" s="32">
        <f t="shared" si="96"/>
        <v>-7.792970648123676E-3</v>
      </c>
    </row>
    <row r="6212" spans="1:3" x14ac:dyDescent="0.6">
      <c r="A6212" s="24">
        <v>38555</v>
      </c>
      <c r="B6212" s="23">
        <v>5.6347250000000004</v>
      </c>
      <c r="C6212" s="32">
        <f t="shared" ref="C6212:C6275" si="97">B6212/B6211-1</f>
        <v>1.6401021609542044E-2</v>
      </c>
    </row>
    <row r="6213" spans="1:3" x14ac:dyDescent="0.6">
      <c r="A6213" s="24">
        <v>38558</v>
      </c>
      <c r="B6213" s="23">
        <v>5.610392</v>
      </c>
      <c r="C6213" s="32">
        <f t="shared" si="97"/>
        <v>-4.3184006317966706E-3</v>
      </c>
    </row>
    <row r="6214" spans="1:3" x14ac:dyDescent="0.6">
      <c r="A6214" s="24">
        <v>38559</v>
      </c>
      <c r="B6214" s="23">
        <v>5.5873429999999997</v>
      </c>
      <c r="C6214" s="32">
        <f t="shared" si="97"/>
        <v>-4.108269083515026E-3</v>
      </c>
    </row>
    <row r="6215" spans="1:3" x14ac:dyDescent="0.6">
      <c r="A6215" s="24">
        <v>38560</v>
      </c>
      <c r="B6215" s="23">
        <v>5.6334439999999999</v>
      </c>
      <c r="C6215" s="32">
        <f t="shared" si="97"/>
        <v>8.2509700943722564E-3</v>
      </c>
    </row>
    <row r="6216" spans="1:3" x14ac:dyDescent="0.6">
      <c r="A6216" s="24">
        <v>38561</v>
      </c>
      <c r="B6216" s="23">
        <v>5.6091119999999997</v>
      </c>
      <c r="C6216" s="32">
        <f t="shared" si="97"/>
        <v>-4.3192050901722512E-3</v>
      </c>
    </row>
    <row r="6217" spans="1:3" x14ac:dyDescent="0.6">
      <c r="A6217" s="24">
        <v>38562</v>
      </c>
      <c r="B6217" s="23">
        <v>5.4618419999999999</v>
      </c>
      <c r="C6217" s="32">
        <f t="shared" si="97"/>
        <v>-2.625549284806572E-2</v>
      </c>
    </row>
    <row r="6218" spans="1:3" x14ac:dyDescent="0.6">
      <c r="A6218" s="24">
        <v>38565</v>
      </c>
      <c r="B6218" s="23">
        <v>5.4746459999999999</v>
      </c>
      <c r="C6218" s="32">
        <f t="shared" si="97"/>
        <v>2.3442640779429702E-3</v>
      </c>
    </row>
    <row r="6219" spans="1:3" x14ac:dyDescent="0.6">
      <c r="A6219" s="24">
        <v>38566</v>
      </c>
      <c r="B6219" s="23">
        <v>5.5309949999999999</v>
      </c>
      <c r="C6219" s="32">
        <f t="shared" si="97"/>
        <v>1.0292720296435576E-2</v>
      </c>
    </row>
    <row r="6220" spans="1:3" x14ac:dyDescent="0.6">
      <c r="A6220" s="24">
        <v>38567</v>
      </c>
      <c r="B6220" s="23">
        <v>5.5348360000000003</v>
      </c>
      <c r="C6220" s="32">
        <f t="shared" si="97"/>
        <v>6.9445009442259398E-4</v>
      </c>
    </row>
    <row r="6221" spans="1:3" x14ac:dyDescent="0.6">
      <c r="A6221" s="24">
        <v>38568</v>
      </c>
      <c r="B6221" s="23">
        <v>5.4695239999999998</v>
      </c>
      <c r="C6221" s="32">
        <f t="shared" si="97"/>
        <v>-1.1800168966162761E-2</v>
      </c>
    </row>
    <row r="6222" spans="1:3" x14ac:dyDescent="0.6">
      <c r="A6222" s="24">
        <v>38569</v>
      </c>
      <c r="B6222" s="23">
        <v>5.5053830000000001</v>
      </c>
      <c r="C6222" s="32">
        <f t="shared" si="97"/>
        <v>6.5561463849506119E-3</v>
      </c>
    </row>
    <row r="6223" spans="1:3" x14ac:dyDescent="0.6">
      <c r="A6223" s="24">
        <v>38572</v>
      </c>
      <c r="B6223" s="23">
        <v>5.4618419999999999</v>
      </c>
      <c r="C6223" s="32">
        <f t="shared" si="97"/>
        <v>-7.9088048915034737E-3</v>
      </c>
    </row>
    <row r="6224" spans="1:3" x14ac:dyDescent="0.6">
      <c r="A6224" s="24">
        <v>38573</v>
      </c>
      <c r="B6224" s="23">
        <v>5.6116739999999998</v>
      </c>
      <c r="C6224" s="32">
        <f t="shared" si="97"/>
        <v>2.7432503540014475E-2</v>
      </c>
    </row>
    <row r="6225" spans="1:3" x14ac:dyDescent="0.6">
      <c r="A6225" s="24">
        <v>38574</v>
      </c>
      <c r="B6225" s="23">
        <v>5.555326</v>
      </c>
      <c r="C6225" s="32">
        <f t="shared" si="97"/>
        <v>-1.004121051935658E-2</v>
      </c>
    </row>
    <row r="6226" spans="1:3" x14ac:dyDescent="0.6">
      <c r="A6226" s="24">
        <v>38575</v>
      </c>
      <c r="B6226" s="23">
        <v>5.6347250000000004</v>
      </c>
      <c r="C6226" s="32">
        <f t="shared" si="97"/>
        <v>1.4292410562404489E-2</v>
      </c>
    </row>
    <row r="6227" spans="1:3" x14ac:dyDescent="0.6">
      <c r="A6227" s="24">
        <v>38576</v>
      </c>
      <c r="B6227" s="23">
        <v>5.9036540000000004</v>
      </c>
      <c r="C6227" s="32">
        <f t="shared" si="97"/>
        <v>4.772708517274582E-2</v>
      </c>
    </row>
    <row r="6228" spans="1:3" x14ac:dyDescent="0.6">
      <c r="A6228" s="24">
        <v>38579</v>
      </c>
      <c r="B6228" s="23">
        <v>6.1059919999999996</v>
      </c>
      <c r="C6228" s="32">
        <f t="shared" si="97"/>
        <v>3.4273350030336935E-2</v>
      </c>
    </row>
    <row r="6229" spans="1:3" x14ac:dyDescent="0.6">
      <c r="A6229" s="24">
        <v>38580</v>
      </c>
      <c r="B6229" s="23">
        <v>5.9228639999999997</v>
      </c>
      <c r="C6229" s="32">
        <f t="shared" si="97"/>
        <v>-2.9991523080934224E-2</v>
      </c>
    </row>
    <row r="6230" spans="1:3" x14ac:dyDescent="0.6">
      <c r="A6230" s="24">
        <v>38581</v>
      </c>
      <c r="B6230" s="23">
        <v>6.038119</v>
      </c>
      <c r="C6230" s="32">
        <f t="shared" si="97"/>
        <v>1.9459335888853735E-2</v>
      </c>
    </row>
    <row r="6231" spans="1:3" x14ac:dyDescent="0.6">
      <c r="A6231" s="24">
        <v>38582</v>
      </c>
      <c r="B6231" s="23">
        <v>5.9292670000000003</v>
      </c>
      <c r="C6231" s="32">
        <f t="shared" si="97"/>
        <v>-1.8027468488116871E-2</v>
      </c>
    </row>
    <row r="6232" spans="1:3" x14ac:dyDescent="0.6">
      <c r="A6232" s="24">
        <v>38583</v>
      </c>
      <c r="B6232" s="23">
        <v>5.8690790000000002</v>
      </c>
      <c r="C6232" s="32">
        <f t="shared" si="97"/>
        <v>-1.0151001801740445E-2</v>
      </c>
    </row>
    <row r="6233" spans="1:3" x14ac:dyDescent="0.6">
      <c r="A6233" s="24">
        <v>38586</v>
      </c>
      <c r="B6233" s="23">
        <v>5.8742010000000002</v>
      </c>
      <c r="C6233" s="32">
        <f t="shared" si="97"/>
        <v>8.7270932969207848E-4</v>
      </c>
    </row>
    <row r="6234" spans="1:3" x14ac:dyDescent="0.6">
      <c r="A6234" s="24">
        <v>38587</v>
      </c>
      <c r="B6234" s="23">
        <v>5.8575530000000002</v>
      </c>
      <c r="C6234" s="32">
        <f t="shared" si="97"/>
        <v>-2.8340875635681773E-3</v>
      </c>
    </row>
    <row r="6235" spans="1:3" x14ac:dyDescent="0.6">
      <c r="A6235" s="24">
        <v>38588</v>
      </c>
      <c r="B6235" s="23">
        <v>5.8613939999999998</v>
      </c>
      <c r="C6235" s="32">
        <f t="shared" si="97"/>
        <v>6.5573457039125316E-4</v>
      </c>
    </row>
    <row r="6236" spans="1:3" x14ac:dyDescent="0.6">
      <c r="A6236" s="24">
        <v>38589</v>
      </c>
      <c r="B6236" s="23">
        <v>5.8985310000000002</v>
      </c>
      <c r="C6236" s="32">
        <f t="shared" si="97"/>
        <v>6.3358648130462658E-3</v>
      </c>
    </row>
    <row r="6237" spans="1:3" x14ac:dyDescent="0.6">
      <c r="A6237" s="24">
        <v>38590</v>
      </c>
      <c r="B6237" s="23">
        <v>5.8575530000000002</v>
      </c>
      <c r="C6237" s="32">
        <f t="shared" si="97"/>
        <v>-6.9471534522748124E-3</v>
      </c>
    </row>
    <row r="6238" spans="1:3" x14ac:dyDescent="0.6">
      <c r="A6238" s="24">
        <v>38593</v>
      </c>
      <c r="B6238" s="23">
        <v>5.8703580000000004</v>
      </c>
      <c r="C6238" s="32">
        <f t="shared" si="97"/>
        <v>2.1860664342261416E-3</v>
      </c>
    </row>
    <row r="6239" spans="1:3" x14ac:dyDescent="0.6">
      <c r="A6239" s="24">
        <v>38594</v>
      </c>
      <c r="B6239" s="23">
        <v>5.9638429999999998</v>
      </c>
      <c r="C6239" s="32">
        <f t="shared" si="97"/>
        <v>1.5924923147787373E-2</v>
      </c>
    </row>
    <row r="6240" spans="1:3" x14ac:dyDescent="0.6">
      <c r="A6240" s="24">
        <v>38595</v>
      </c>
      <c r="B6240" s="23">
        <v>6.0048240000000002</v>
      </c>
      <c r="C6240" s="32">
        <f t="shared" si="97"/>
        <v>6.8715759284743161E-3</v>
      </c>
    </row>
    <row r="6241" spans="1:3" x14ac:dyDescent="0.6">
      <c r="A6241" s="24">
        <v>38596</v>
      </c>
      <c r="B6241" s="23">
        <v>5.9241450000000002</v>
      </c>
      <c r="C6241" s="32">
        <f t="shared" si="97"/>
        <v>-1.3435697699049953E-2</v>
      </c>
    </row>
    <row r="6242" spans="1:3" x14ac:dyDescent="0.6">
      <c r="A6242" s="24">
        <v>38597</v>
      </c>
      <c r="B6242" s="23">
        <v>5.919022</v>
      </c>
      <c r="C6242" s="32">
        <f t="shared" si="97"/>
        <v>-8.6476613924879597E-4</v>
      </c>
    </row>
    <row r="6243" spans="1:3" x14ac:dyDescent="0.6">
      <c r="A6243" s="24">
        <v>38601</v>
      </c>
      <c r="B6243" s="23">
        <v>6.249422</v>
      </c>
      <c r="C6243" s="32">
        <f t="shared" si="97"/>
        <v>5.5820032431033395E-2</v>
      </c>
    </row>
    <row r="6244" spans="1:3" x14ac:dyDescent="0.6">
      <c r="A6244" s="24">
        <v>38602</v>
      </c>
      <c r="B6244" s="23">
        <v>6.2340540000000004</v>
      </c>
      <c r="C6244" s="32">
        <f t="shared" si="97"/>
        <v>-2.4591074182539474E-3</v>
      </c>
    </row>
    <row r="6245" spans="1:3" x14ac:dyDescent="0.6">
      <c r="A6245" s="24">
        <v>38603</v>
      </c>
      <c r="B6245" s="23">
        <v>6.3749229999999999</v>
      </c>
      <c r="C6245" s="32">
        <f t="shared" si="97"/>
        <v>2.2596692296858345E-2</v>
      </c>
    </row>
    <row r="6246" spans="1:3" x14ac:dyDescent="0.6">
      <c r="A6246" s="24">
        <v>38604</v>
      </c>
      <c r="B6246" s="23">
        <v>6.5708580000000003</v>
      </c>
      <c r="C6246" s="32">
        <f t="shared" si="97"/>
        <v>3.0735273194672397E-2</v>
      </c>
    </row>
    <row r="6247" spans="1:3" x14ac:dyDescent="0.6">
      <c r="A6247" s="24">
        <v>38607</v>
      </c>
      <c r="B6247" s="23">
        <v>6.5823840000000002</v>
      </c>
      <c r="C6247" s="32">
        <f t="shared" si="97"/>
        <v>1.7541088241443958E-3</v>
      </c>
    </row>
    <row r="6248" spans="1:3" x14ac:dyDescent="0.6">
      <c r="A6248" s="24">
        <v>38608</v>
      </c>
      <c r="B6248" s="23">
        <v>6.5081090000000001</v>
      </c>
      <c r="C6248" s="32">
        <f t="shared" si="97"/>
        <v>-1.1283905648774128E-2</v>
      </c>
    </row>
    <row r="6249" spans="1:3" x14ac:dyDescent="0.6">
      <c r="A6249" s="24">
        <v>38609</v>
      </c>
      <c r="B6249" s="23">
        <v>6.3531519999999997</v>
      </c>
      <c r="C6249" s="32">
        <f t="shared" si="97"/>
        <v>-2.380983477689147E-2</v>
      </c>
    </row>
    <row r="6250" spans="1:3" x14ac:dyDescent="0.6">
      <c r="A6250" s="24">
        <v>38610</v>
      </c>
      <c r="B6250" s="23">
        <v>6.3864479999999997</v>
      </c>
      <c r="C6250" s="32">
        <f t="shared" si="97"/>
        <v>5.240863118023853E-3</v>
      </c>
    </row>
    <row r="6251" spans="1:3" x14ac:dyDescent="0.6">
      <c r="A6251" s="24">
        <v>38611</v>
      </c>
      <c r="B6251" s="23">
        <v>6.558052</v>
      </c>
      <c r="C6251" s="32">
        <f t="shared" si="97"/>
        <v>2.6870022272161398E-2</v>
      </c>
    </row>
    <row r="6252" spans="1:3" x14ac:dyDescent="0.6">
      <c r="A6252" s="24">
        <v>38614</v>
      </c>
      <c r="B6252" s="23">
        <v>6.7411799999999999</v>
      </c>
      <c r="C6252" s="32">
        <f t="shared" si="97"/>
        <v>2.7924145767676212E-2</v>
      </c>
    </row>
    <row r="6253" spans="1:3" x14ac:dyDescent="0.6">
      <c r="A6253" s="24">
        <v>38615</v>
      </c>
      <c r="B6253" s="23">
        <v>6.8116139999999996</v>
      </c>
      <c r="C6253" s="32">
        <f t="shared" si="97"/>
        <v>1.0448319137005724E-2</v>
      </c>
    </row>
    <row r="6254" spans="1:3" x14ac:dyDescent="0.6">
      <c r="A6254" s="24">
        <v>38616</v>
      </c>
      <c r="B6254" s="23">
        <v>6.6733060000000002</v>
      </c>
      <c r="C6254" s="32">
        <f t="shared" si="97"/>
        <v>-2.0304732476032816E-2</v>
      </c>
    </row>
    <row r="6255" spans="1:3" x14ac:dyDescent="0.6">
      <c r="A6255" s="24">
        <v>38617</v>
      </c>
      <c r="B6255" s="23">
        <v>6.6464150000000002</v>
      </c>
      <c r="C6255" s="32">
        <f t="shared" si="97"/>
        <v>-4.0296368846266528E-3</v>
      </c>
    </row>
    <row r="6256" spans="1:3" x14ac:dyDescent="0.6">
      <c r="A6256" s="24">
        <v>38618</v>
      </c>
      <c r="B6256" s="23">
        <v>6.812894</v>
      </c>
      <c r="C6256" s="32">
        <f t="shared" si="97"/>
        <v>2.5047939377845108E-2</v>
      </c>
    </row>
    <row r="6257" spans="1:3" x14ac:dyDescent="0.6">
      <c r="A6257" s="24">
        <v>38621</v>
      </c>
      <c r="B6257" s="23">
        <v>6.8948539999999996</v>
      </c>
      <c r="C6257" s="32">
        <f t="shared" si="97"/>
        <v>1.2030129927164568E-2</v>
      </c>
    </row>
    <row r="6258" spans="1:3" x14ac:dyDescent="0.6">
      <c r="A6258" s="24">
        <v>38622</v>
      </c>
      <c r="B6258" s="23">
        <v>6.8436279999999998</v>
      </c>
      <c r="C6258" s="32">
        <f t="shared" si="97"/>
        <v>-7.4295989443721178E-3</v>
      </c>
    </row>
    <row r="6259" spans="1:3" x14ac:dyDescent="0.6">
      <c r="A6259" s="24">
        <v>38623</v>
      </c>
      <c r="B6259" s="23">
        <v>6.5414029999999999</v>
      </c>
      <c r="C6259" s="32">
        <f t="shared" si="97"/>
        <v>-4.4161517838199216E-2</v>
      </c>
    </row>
    <row r="6260" spans="1:3" x14ac:dyDescent="0.6">
      <c r="A6260" s="24">
        <v>38624</v>
      </c>
      <c r="B6260" s="23">
        <v>6.7027609999999997</v>
      </c>
      <c r="C6260" s="32">
        <f t="shared" si="97"/>
        <v>2.4667185311774809E-2</v>
      </c>
    </row>
    <row r="6261" spans="1:3" x14ac:dyDescent="0.6">
      <c r="A6261" s="24">
        <v>38625</v>
      </c>
      <c r="B6261" s="23">
        <v>6.865399</v>
      </c>
      <c r="C6261" s="32">
        <f t="shared" si="97"/>
        <v>2.4264329281620034E-2</v>
      </c>
    </row>
    <row r="6262" spans="1:3" x14ac:dyDescent="0.6">
      <c r="A6262" s="24">
        <v>38628</v>
      </c>
      <c r="B6262" s="23">
        <v>6.9716909999999999</v>
      </c>
      <c r="C6262" s="32">
        <f t="shared" si="97"/>
        <v>1.5482275684195468E-2</v>
      </c>
    </row>
    <row r="6263" spans="1:3" x14ac:dyDescent="0.6">
      <c r="A6263" s="24">
        <v>38629</v>
      </c>
      <c r="B6263" s="23">
        <v>6.8833289999999998</v>
      </c>
      <c r="C6263" s="32">
        <f t="shared" si="97"/>
        <v>-1.2674399941133396E-2</v>
      </c>
    </row>
    <row r="6264" spans="1:3" x14ac:dyDescent="0.6">
      <c r="A6264" s="24">
        <v>38630</v>
      </c>
      <c r="B6264" s="23">
        <v>6.7591089999999996</v>
      </c>
      <c r="C6264" s="32">
        <f t="shared" si="97"/>
        <v>-1.804650046510925E-2</v>
      </c>
    </row>
    <row r="6265" spans="1:3" x14ac:dyDescent="0.6">
      <c r="A6265" s="24">
        <v>38631</v>
      </c>
      <c r="B6265" s="23">
        <v>6.6208</v>
      </c>
      <c r="C6265" s="32">
        <f t="shared" si="97"/>
        <v>-2.0462608311243358E-2</v>
      </c>
    </row>
    <row r="6266" spans="1:3" x14ac:dyDescent="0.6">
      <c r="A6266" s="24">
        <v>38632</v>
      </c>
      <c r="B6266" s="23">
        <v>6.5695759999999996</v>
      </c>
      <c r="C6266" s="32">
        <f t="shared" si="97"/>
        <v>-7.7368293861769244E-3</v>
      </c>
    </row>
    <row r="6267" spans="1:3" x14ac:dyDescent="0.6">
      <c r="A6267" s="24">
        <v>38635</v>
      </c>
      <c r="B6267" s="23">
        <v>6.4504789999999996</v>
      </c>
      <c r="C6267" s="32">
        <f t="shared" si="97"/>
        <v>-1.8128567201292745E-2</v>
      </c>
    </row>
    <row r="6268" spans="1:3" x14ac:dyDescent="0.6">
      <c r="A6268" s="24">
        <v>38636</v>
      </c>
      <c r="B6268" s="23">
        <v>6.6067150000000003</v>
      </c>
      <c r="C6268" s="32">
        <f t="shared" si="97"/>
        <v>2.4220836933195322E-2</v>
      </c>
    </row>
    <row r="6269" spans="1:3" x14ac:dyDescent="0.6">
      <c r="A6269" s="24">
        <v>38637</v>
      </c>
      <c r="B6269" s="23">
        <v>6.3070490000000001</v>
      </c>
      <c r="C6269" s="32">
        <f t="shared" si="97"/>
        <v>-4.5357791277510828E-2</v>
      </c>
    </row>
    <row r="6270" spans="1:3" x14ac:dyDescent="0.6">
      <c r="A6270" s="24">
        <v>38638</v>
      </c>
      <c r="B6270" s="23">
        <v>6.8820480000000002</v>
      </c>
      <c r="C6270" s="32">
        <f t="shared" si="97"/>
        <v>9.1167676039935586E-2</v>
      </c>
    </row>
    <row r="6271" spans="1:3" x14ac:dyDescent="0.6">
      <c r="A6271" s="24">
        <v>38639</v>
      </c>
      <c r="B6271" s="23">
        <v>6.9153440000000002</v>
      </c>
      <c r="C6271" s="32">
        <f t="shared" si="97"/>
        <v>4.8380947066919422E-3</v>
      </c>
    </row>
    <row r="6272" spans="1:3" x14ac:dyDescent="0.6">
      <c r="A6272" s="24">
        <v>38642</v>
      </c>
      <c r="B6272" s="23">
        <v>6.8436279999999998</v>
      </c>
      <c r="C6272" s="32">
        <f t="shared" si="97"/>
        <v>-1.037056146447668E-2</v>
      </c>
    </row>
    <row r="6273" spans="1:3" x14ac:dyDescent="0.6">
      <c r="A6273" s="24">
        <v>38643</v>
      </c>
      <c r="B6273" s="23">
        <v>6.6861119999999996</v>
      </c>
      <c r="C6273" s="32">
        <f t="shared" si="97"/>
        <v>-2.3016446832001991E-2</v>
      </c>
    </row>
    <row r="6274" spans="1:3" x14ac:dyDescent="0.6">
      <c r="A6274" s="24">
        <v>38644</v>
      </c>
      <c r="B6274" s="23">
        <v>7.0357219999999998</v>
      </c>
      <c r="C6274" s="32">
        <f t="shared" si="97"/>
        <v>5.228898349294786E-2</v>
      </c>
    </row>
    <row r="6275" spans="1:3" x14ac:dyDescent="0.6">
      <c r="A6275" s="24">
        <v>38645</v>
      </c>
      <c r="B6275" s="23">
        <v>7.1893969999999996</v>
      </c>
      <c r="C6275" s="32">
        <f t="shared" si="97"/>
        <v>2.1842108030988072E-2</v>
      </c>
    </row>
    <row r="6276" spans="1:3" x14ac:dyDescent="0.6">
      <c r="A6276" s="24">
        <v>38646</v>
      </c>
      <c r="B6276" s="23">
        <v>7.1279269999999997</v>
      </c>
      <c r="C6276" s="32">
        <f t="shared" ref="C6276:C6339" si="98">B6276/B6275-1</f>
        <v>-8.5500911967999471E-3</v>
      </c>
    </row>
    <row r="6277" spans="1:3" x14ac:dyDescent="0.6">
      <c r="A6277" s="24">
        <v>38649</v>
      </c>
      <c r="B6277" s="23">
        <v>7.2726369999999996</v>
      </c>
      <c r="C6277" s="32">
        <f t="shared" si="98"/>
        <v>2.0301835302185323E-2</v>
      </c>
    </row>
    <row r="6278" spans="1:3" x14ac:dyDescent="0.6">
      <c r="A6278" s="24">
        <v>38650</v>
      </c>
      <c r="B6278" s="23">
        <v>7.1842740000000003</v>
      </c>
      <c r="C6278" s="32">
        <f t="shared" si="98"/>
        <v>-1.2150063312660775E-2</v>
      </c>
    </row>
    <row r="6279" spans="1:3" x14ac:dyDescent="0.6">
      <c r="A6279" s="24">
        <v>38651</v>
      </c>
      <c r="B6279" s="23">
        <v>7.3033700000000001</v>
      </c>
      <c r="C6279" s="32">
        <f t="shared" si="98"/>
        <v>1.6577318738121516E-2</v>
      </c>
    </row>
    <row r="6280" spans="1:3" x14ac:dyDescent="0.6">
      <c r="A6280" s="24">
        <v>38652</v>
      </c>
      <c r="B6280" s="23">
        <v>7.0959120000000002</v>
      </c>
      <c r="C6280" s="32">
        <f t="shared" si="98"/>
        <v>-2.8405790751392823E-2</v>
      </c>
    </row>
    <row r="6281" spans="1:3" x14ac:dyDescent="0.6">
      <c r="A6281" s="24">
        <v>38653</v>
      </c>
      <c r="B6281" s="23">
        <v>6.9755330000000004</v>
      </c>
      <c r="C6281" s="32">
        <f t="shared" si="98"/>
        <v>-1.6964556493936245E-2</v>
      </c>
    </row>
    <row r="6282" spans="1:3" x14ac:dyDescent="0.6">
      <c r="A6282" s="24">
        <v>38656</v>
      </c>
      <c r="B6282" s="23">
        <v>7.3750850000000003</v>
      </c>
      <c r="C6282" s="32">
        <f t="shared" si="98"/>
        <v>5.7279063836412236E-2</v>
      </c>
    </row>
    <row r="6283" spans="1:3" x14ac:dyDescent="0.6">
      <c r="A6283" s="24">
        <v>38657</v>
      </c>
      <c r="B6283" s="23">
        <v>7.3635609999999998</v>
      </c>
      <c r="C6283" s="32">
        <f t="shared" si="98"/>
        <v>-1.5625582620404366E-3</v>
      </c>
    </row>
    <row r="6284" spans="1:3" x14ac:dyDescent="0.6">
      <c r="A6284" s="24">
        <v>38658</v>
      </c>
      <c r="B6284" s="23">
        <v>7.6773110000000004</v>
      </c>
      <c r="C6284" s="32">
        <f t="shared" si="98"/>
        <v>4.2608460770543033E-2</v>
      </c>
    </row>
    <row r="6285" spans="1:3" x14ac:dyDescent="0.6">
      <c r="A6285" s="24">
        <v>38659</v>
      </c>
      <c r="B6285" s="23">
        <v>7.9206300000000001</v>
      </c>
      <c r="C6285" s="32">
        <f t="shared" si="98"/>
        <v>3.1693258225438559E-2</v>
      </c>
    </row>
    <row r="6286" spans="1:3" x14ac:dyDescent="0.6">
      <c r="A6286" s="24">
        <v>38660</v>
      </c>
      <c r="B6286" s="23">
        <v>7.8309839999999999</v>
      </c>
      <c r="C6286" s="32">
        <f t="shared" si="98"/>
        <v>-1.1318039095374988E-2</v>
      </c>
    </row>
    <row r="6287" spans="1:3" x14ac:dyDescent="0.6">
      <c r="A6287" s="24">
        <v>38663</v>
      </c>
      <c r="B6287" s="23">
        <v>7.7131689999999997</v>
      </c>
      <c r="C6287" s="32">
        <f t="shared" si="98"/>
        <v>-1.5044724903026219E-2</v>
      </c>
    </row>
    <row r="6288" spans="1:3" x14ac:dyDescent="0.6">
      <c r="A6288" s="24">
        <v>38664</v>
      </c>
      <c r="B6288" s="23">
        <v>7.6709100000000001</v>
      </c>
      <c r="C6288" s="32">
        <f t="shared" si="98"/>
        <v>-5.4788116272312948E-3</v>
      </c>
    </row>
    <row r="6289" spans="1:3" x14ac:dyDescent="0.6">
      <c r="A6289" s="24">
        <v>38665</v>
      </c>
      <c r="B6289" s="23">
        <v>7.6978</v>
      </c>
      <c r="C6289" s="32">
        <f t="shared" si="98"/>
        <v>3.5054511133620903E-3</v>
      </c>
    </row>
    <row r="6290" spans="1:3" x14ac:dyDescent="0.6">
      <c r="A6290" s="24">
        <v>38666</v>
      </c>
      <c r="B6290" s="23">
        <v>7.8348279999999999</v>
      </c>
      <c r="C6290" s="32">
        <f t="shared" si="98"/>
        <v>1.780093013588302E-2</v>
      </c>
    </row>
    <row r="6291" spans="1:3" x14ac:dyDescent="0.6">
      <c r="A6291" s="24">
        <v>38667</v>
      </c>
      <c r="B6291" s="23">
        <v>7.8809319999999996</v>
      </c>
      <c r="C6291" s="32">
        <f t="shared" si="98"/>
        <v>5.8844942097004971E-3</v>
      </c>
    </row>
    <row r="6292" spans="1:3" x14ac:dyDescent="0.6">
      <c r="A6292" s="24">
        <v>38670</v>
      </c>
      <c r="B6292" s="23">
        <v>7.8694050000000004</v>
      </c>
      <c r="C6292" s="32">
        <f t="shared" si="98"/>
        <v>-1.4626442659319006E-3</v>
      </c>
    </row>
    <row r="6293" spans="1:3" x14ac:dyDescent="0.6">
      <c r="A6293" s="24">
        <v>38671</v>
      </c>
      <c r="B6293" s="23">
        <v>7.9756960000000001</v>
      </c>
      <c r="C6293" s="32">
        <f t="shared" si="98"/>
        <v>1.3506866148075947E-2</v>
      </c>
    </row>
    <row r="6294" spans="1:3" x14ac:dyDescent="0.6">
      <c r="A6294" s="24">
        <v>38672</v>
      </c>
      <c r="B6294" s="23">
        <v>8.3176229999999993</v>
      </c>
      <c r="C6294" s="32">
        <f t="shared" si="98"/>
        <v>4.2871117454827745E-2</v>
      </c>
    </row>
    <row r="6295" spans="1:3" x14ac:dyDescent="0.6">
      <c r="A6295" s="24">
        <v>38673</v>
      </c>
      <c r="B6295" s="23">
        <v>8.2625530000000005</v>
      </c>
      <c r="C6295" s="32">
        <f t="shared" si="98"/>
        <v>-6.6208819514901318E-3</v>
      </c>
    </row>
    <row r="6296" spans="1:3" x14ac:dyDescent="0.6">
      <c r="A6296" s="24">
        <v>38674</v>
      </c>
      <c r="B6296" s="23">
        <v>8.2676780000000001</v>
      </c>
      <c r="C6296" s="32">
        <f t="shared" si="98"/>
        <v>6.2026833594885922E-4</v>
      </c>
    </row>
    <row r="6297" spans="1:3" x14ac:dyDescent="0.6">
      <c r="A6297" s="24">
        <v>38677</v>
      </c>
      <c r="B6297" s="23">
        <v>8.3189039999999999</v>
      </c>
      <c r="C6297" s="32">
        <f t="shared" si="98"/>
        <v>6.1959355456271403E-3</v>
      </c>
    </row>
    <row r="6298" spans="1:3" x14ac:dyDescent="0.6">
      <c r="A6298" s="24">
        <v>38678</v>
      </c>
      <c r="B6298" s="23">
        <v>8.5186790000000006</v>
      </c>
      <c r="C6298" s="32">
        <f t="shared" si="98"/>
        <v>2.401458172855464E-2</v>
      </c>
    </row>
    <row r="6299" spans="1:3" x14ac:dyDescent="0.6">
      <c r="A6299" s="24">
        <v>38679</v>
      </c>
      <c r="B6299" s="23">
        <v>8.5942349999999994</v>
      </c>
      <c r="C6299" s="32">
        <f t="shared" si="98"/>
        <v>8.8694502985731116E-3</v>
      </c>
    </row>
    <row r="6300" spans="1:3" x14ac:dyDescent="0.6">
      <c r="A6300" s="24">
        <v>38681</v>
      </c>
      <c r="B6300" s="23">
        <v>8.8798150000000007</v>
      </c>
      <c r="C6300" s="32">
        <f t="shared" si="98"/>
        <v>3.3229251934581816E-2</v>
      </c>
    </row>
    <row r="6301" spans="1:3" x14ac:dyDescent="0.6">
      <c r="A6301" s="24">
        <v>38684</v>
      </c>
      <c r="B6301" s="23">
        <v>8.9207929999999998</v>
      </c>
      <c r="C6301" s="32">
        <f t="shared" si="98"/>
        <v>4.6147357799681821E-3</v>
      </c>
    </row>
    <row r="6302" spans="1:3" x14ac:dyDescent="0.6">
      <c r="A6302" s="24">
        <v>38685</v>
      </c>
      <c r="B6302" s="23">
        <v>8.7210169999999998</v>
      </c>
      <c r="C6302" s="32">
        <f t="shared" si="98"/>
        <v>-2.2394421661841024E-2</v>
      </c>
    </row>
    <row r="6303" spans="1:3" x14ac:dyDescent="0.6">
      <c r="A6303" s="24">
        <v>38686</v>
      </c>
      <c r="B6303" s="23">
        <v>8.6851579999999995</v>
      </c>
      <c r="C6303" s="32">
        <f t="shared" si="98"/>
        <v>-4.1117910904199251E-3</v>
      </c>
    </row>
    <row r="6304" spans="1:3" x14ac:dyDescent="0.6">
      <c r="A6304" s="24">
        <v>38687</v>
      </c>
      <c r="B6304" s="23">
        <v>9.1692330000000002</v>
      </c>
      <c r="C6304" s="32">
        <f t="shared" si="98"/>
        <v>5.5735888742611372E-2</v>
      </c>
    </row>
    <row r="6305" spans="1:3" x14ac:dyDescent="0.6">
      <c r="A6305" s="24">
        <v>38688</v>
      </c>
      <c r="B6305" s="23">
        <v>9.3011379999999999</v>
      </c>
      <c r="C6305" s="32">
        <f t="shared" si="98"/>
        <v>1.4385608916252846E-2</v>
      </c>
    </row>
    <row r="6306" spans="1:3" x14ac:dyDescent="0.6">
      <c r="A6306" s="24">
        <v>38691</v>
      </c>
      <c r="B6306" s="23">
        <v>9.1974079999999994</v>
      </c>
      <c r="C6306" s="32">
        <f t="shared" si="98"/>
        <v>-1.1152398770989169E-2</v>
      </c>
    </row>
    <row r="6307" spans="1:3" x14ac:dyDescent="0.6">
      <c r="A6307" s="24">
        <v>38692</v>
      </c>
      <c r="B6307" s="23">
        <v>9.4829810000000005</v>
      </c>
      <c r="C6307" s="32">
        <f t="shared" si="98"/>
        <v>3.1049291278586466E-2</v>
      </c>
    </row>
    <row r="6308" spans="1:3" x14ac:dyDescent="0.6">
      <c r="A6308" s="24">
        <v>38693</v>
      </c>
      <c r="B6308" s="23">
        <v>9.4701780000000007</v>
      </c>
      <c r="C6308" s="32">
        <f t="shared" si="98"/>
        <v>-1.3501028843145857E-3</v>
      </c>
    </row>
    <row r="6309" spans="1:3" x14ac:dyDescent="0.6">
      <c r="A6309" s="24">
        <v>38694</v>
      </c>
      <c r="B6309" s="23">
        <v>9.4868279999999992</v>
      </c>
      <c r="C6309" s="32">
        <f t="shared" si="98"/>
        <v>1.7581506915707035E-3</v>
      </c>
    </row>
    <row r="6310" spans="1:3" x14ac:dyDescent="0.6">
      <c r="A6310" s="24">
        <v>38695</v>
      </c>
      <c r="B6310" s="23">
        <v>9.5188430000000004</v>
      </c>
      <c r="C6310" s="32">
        <f t="shared" si="98"/>
        <v>3.3746790813538041E-3</v>
      </c>
    </row>
    <row r="6311" spans="1:3" x14ac:dyDescent="0.6">
      <c r="A6311" s="24">
        <v>38698</v>
      </c>
      <c r="B6311" s="23">
        <v>9.5931200000000008</v>
      </c>
      <c r="C6311" s="32">
        <f t="shared" si="98"/>
        <v>7.8031542278824695E-3</v>
      </c>
    </row>
    <row r="6312" spans="1:3" x14ac:dyDescent="0.6">
      <c r="A6312" s="24">
        <v>38699</v>
      </c>
      <c r="B6312" s="23">
        <v>9.6020850000000006</v>
      </c>
      <c r="C6312" s="32">
        <f t="shared" si="98"/>
        <v>9.3452390880122138E-4</v>
      </c>
    </row>
    <row r="6313" spans="1:3" x14ac:dyDescent="0.6">
      <c r="A6313" s="24">
        <v>38700</v>
      </c>
      <c r="B6313" s="23">
        <v>9.2217400000000005</v>
      </c>
      <c r="C6313" s="32">
        <f t="shared" si="98"/>
        <v>-3.9610667891400664E-2</v>
      </c>
    </row>
    <row r="6314" spans="1:3" x14ac:dyDescent="0.6">
      <c r="A6314" s="24">
        <v>38701</v>
      </c>
      <c r="B6314" s="23">
        <v>9.2435100000000006</v>
      </c>
      <c r="C6314" s="32">
        <f t="shared" si="98"/>
        <v>2.3607258500022432E-3</v>
      </c>
    </row>
    <row r="6315" spans="1:3" x14ac:dyDescent="0.6">
      <c r="A6315" s="24">
        <v>38702</v>
      </c>
      <c r="B6315" s="23">
        <v>9.1064830000000008</v>
      </c>
      <c r="C6315" s="32">
        <f t="shared" si="98"/>
        <v>-1.4824130660322732E-2</v>
      </c>
    </row>
    <row r="6316" spans="1:3" x14ac:dyDescent="0.6">
      <c r="A6316" s="24">
        <v>38705</v>
      </c>
      <c r="B6316" s="23">
        <v>9.1410610000000005</v>
      </c>
      <c r="C6316" s="32">
        <f t="shared" si="98"/>
        <v>3.7970751167053507E-3</v>
      </c>
    </row>
    <row r="6317" spans="1:3" x14ac:dyDescent="0.6">
      <c r="A6317" s="24">
        <v>38706</v>
      </c>
      <c r="B6317" s="23">
        <v>9.2345459999999999</v>
      </c>
      <c r="C6317" s="32">
        <f t="shared" si="98"/>
        <v>1.0226930987551563E-2</v>
      </c>
    </row>
    <row r="6318" spans="1:3" x14ac:dyDescent="0.6">
      <c r="A6318" s="24">
        <v>38707</v>
      </c>
      <c r="B6318" s="23">
        <v>9.4125490000000003</v>
      </c>
      <c r="C6318" s="32">
        <f t="shared" si="98"/>
        <v>1.9275771651362295E-2</v>
      </c>
    </row>
    <row r="6319" spans="1:3" x14ac:dyDescent="0.6">
      <c r="A6319" s="24">
        <v>38708</v>
      </c>
      <c r="B6319" s="23">
        <v>9.4791410000000003</v>
      </c>
      <c r="C6319" s="32">
        <f t="shared" si="98"/>
        <v>7.0748104472018181E-3</v>
      </c>
    </row>
    <row r="6320" spans="1:3" x14ac:dyDescent="0.6">
      <c r="A6320" s="24">
        <v>38709</v>
      </c>
      <c r="B6320" s="23">
        <v>9.3933429999999998</v>
      </c>
      <c r="C6320" s="32">
        <f t="shared" si="98"/>
        <v>-9.0512420903962054E-3</v>
      </c>
    </row>
    <row r="6321" spans="1:3" x14ac:dyDescent="0.6">
      <c r="A6321" s="24">
        <v>38713</v>
      </c>
      <c r="B6321" s="23">
        <v>9.5060350000000007</v>
      </c>
      <c r="C6321" s="32">
        <f t="shared" si="98"/>
        <v>1.1997006816423239E-2</v>
      </c>
    </row>
    <row r="6322" spans="1:3" x14ac:dyDescent="0.6">
      <c r="A6322" s="24">
        <v>38714</v>
      </c>
      <c r="B6322" s="23">
        <v>9.4215149999999994</v>
      </c>
      <c r="C6322" s="32">
        <f t="shared" si="98"/>
        <v>-8.891193857376023E-3</v>
      </c>
    </row>
    <row r="6323" spans="1:3" x14ac:dyDescent="0.6">
      <c r="A6323" s="24">
        <v>38715</v>
      </c>
      <c r="B6323" s="23">
        <v>9.1500249999999994</v>
      </c>
      <c r="C6323" s="32">
        <f t="shared" si="98"/>
        <v>-2.8815960065870505E-2</v>
      </c>
    </row>
    <row r="6324" spans="1:3" x14ac:dyDescent="0.6">
      <c r="A6324" s="24">
        <v>38716</v>
      </c>
      <c r="B6324" s="23">
        <v>9.2063749999999995</v>
      </c>
      <c r="C6324" s="32">
        <f t="shared" si="98"/>
        <v>6.1584531189806668E-3</v>
      </c>
    </row>
    <row r="6325" spans="1:3" x14ac:dyDescent="0.6">
      <c r="A6325" s="24">
        <v>38720</v>
      </c>
      <c r="B6325" s="23">
        <v>9.5726289999999992</v>
      </c>
      <c r="C6325" s="32">
        <f t="shared" si="98"/>
        <v>3.9782650608952919E-2</v>
      </c>
    </row>
    <row r="6326" spans="1:3" x14ac:dyDescent="0.6">
      <c r="A6326" s="24">
        <v>38721</v>
      </c>
      <c r="B6326" s="23">
        <v>9.6008019999999998</v>
      </c>
      <c r="C6326" s="32">
        <f t="shared" si="98"/>
        <v>2.943078646419961E-3</v>
      </c>
    </row>
    <row r="6327" spans="1:3" x14ac:dyDescent="0.6">
      <c r="A6327" s="24">
        <v>38722</v>
      </c>
      <c r="B6327" s="23">
        <v>9.525245</v>
      </c>
      <c r="C6327" s="32">
        <f t="shared" si="98"/>
        <v>-7.8698633718308209E-3</v>
      </c>
    </row>
    <row r="6328" spans="1:3" x14ac:dyDescent="0.6">
      <c r="A6328" s="24">
        <v>38723</v>
      </c>
      <c r="B6328" s="23">
        <v>9.7711249999999996</v>
      </c>
      <c r="C6328" s="32">
        <f t="shared" si="98"/>
        <v>2.581350925881698E-2</v>
      </c>
    </row>
    <row r="6329" spans="1:3" x14ac:dyDescent="0.6">
      <c r="A6329" s="24">
        <v>38726</v>
      </c>
      <c r="B6329" s="23">
        <v>9.7391070000000006</v>
      </c>
      <c r="C6329" s="32">
        <f t="shared" si="98"/>
        <v>-3.2767977075309762E-3</v>
      </c>
    </row>
    <row r="6330" spans="1:3" x14ac:dyDescent="0.6">
      <c r="A6330" s="24">
        <v>38727</v>
      </c>
      <c r="B6330" s="23">
        <v>10.355086999999999</v>
      </c>
      <c r="C6330" s="32">
        <f t="shared" si="98"/>
        <v>6.324809861930869E-2</v>
      </c>
    </row>
    <row r="6331" spans="1:3" x14ac:dyDescent="0.6">
      <c r="A6331" s="24">
        <v>38728</v>
      </c>
      <c r="B6331" s="23">
        <v>10.744396</v>
      </c>
      <c r="C6331" s="32">
        <f t="shared" si="98"/>
        <v>3.7595917832462522E-2</v>
      </c>
    </row>
    <row r="6332" spans="1:3" x14ac:dyDescent="0.6">
      <c r="A6332" s="24">
        <v>38729</v>
      </c>
      <c r="B6332" s="23">
        <v>10.79434</v>
      </c>
      <c r="C6332" s="32">
        <f t="shared" si="98"/>
        <v>4.6483766979548147E-3</v>
      </c>
    </row>
    <row r="6333" spans="1:3" x14ac:dyDescent="0.6">
      <c r="A6333" s="24">
        <v>38730</v>
      </c>
      <c r="B6333" s="23">
        <v>10.96082</v>
      </c>
      <c r="C6333" s="32">
        <f t="shared" si="98"/>
        <v>1.5422897555570803E-2</v>
      </c>
    </row>
    <row r="6334" spans="1:3" x14ac:dyDescent="0.6">
      <c r="A6334" s="24">
        <v>38734</v>
      </c>
      <c r="B6334" s="23">
        <v>10.848126000000001</v>
      </c>
      <c r="C6334" s="32">
        <f t="shared" si="98"/>
        <v>-1.028153003151222E-2</v>
      </c>
    </row>
    <row r="6335" spans="1:3" x14ac:dyDescent="0.6">
      <c r="A6335" s="24">
        <v>38735</v>
      </c>
      <c r="B6335" s="23">
        <v>10.563828000000001</v>
      </c>
      <c r="C6335" s="32">
        <f t="shared" si="98"/>
        <v>-2.6207107107716121E-2</v>
      </c>
    </row>
    <row r="6336" spans="1:3" x14ac:dyDescent="0.6">
      <c r="A6336" s="24">
        <v>38736</v>
      </c>
      <c r="B6336" s="23">
        <v>10.122014</v>
      </c>
      <c r="C6336" s="32">
        <f t="shared" si="98"/>
        <v>-4.1823286028511708E-2</v>
      </c>
    </row>
    <row r="6337" spans="1:3" x14ac:dyDescent="0.6">
      <c r="A6337" s="24">
        <v>38737</v>
      </c>
      <c r="B6337" s="23">
        <v>9.7442329999999995</v>
      </c>
      <c r="C6337" s="32">
        <f t="shared" si="98"/>
        <v>-3.7322710677934356E-2</v>
      </c>
    </row>
    <row r="6338" spans="1:3" x14ac:dyDescent="0.6">
      <c r="A6338" s="24">
        <v>38740</v>
      </c>
      <c r="B6338" s="23">
        <v>9.9465669999999999</v>
      </c>
      <c r="C6338" s="32">
        <f t="shared" si="98"/>
        <v>2.0764487056087466E-2</v>
      </c>
    </row>
    <row r="6339" spans="1:3" x14ac:dyDescent="0.6">
      <c r="A6339" s="24">
        <v>38741</v>
      </c>
      <c r="B6339" s="23">
        <v>9.7378269999999993</v>
      </c>
      <c r="C6339" s="32">
        <f t="shared" si="98"/>
        <v>-2.0986135216301327E-2</v>
      </c>
    </row>
    <row r="6340" spans="1:3" x14ac:dyDescent="0.6">
      <c r="A6340" s="24">
        <v>38742</v>
      </c>
      <c r="B6340" s="23">
        <v>9.5021939999999994</v>
      </c>
      <c r="C6340" s="32">
        <f t="shared" ref="C6340:C6403" si="99">B6340/B6339-1</f>
        <v>-2.4197698316061667E-2</v>
      </c>
    </row>
    <row r="6341" spans="1:3" x14ac:dyDescent="0.6">
      <c r="A6341" s="24">
        <v>38743</v>
      </c>
      <c r="B6341" s="23">
        <v>9.2627170000000003</v>
      </c>
      <c r="C6341" s="32">
        <f t="shared" si="99"/>
        <v>-2.5202284861790769E-2</v>
      </c>
    </row>
    <row r="6342" spans="1:3" x14ac:dyDescent="0.6">
      <c r="A6342" s="24">
        <v>38744</v>
      </c>
      <c r="B6342" s="23">
        <v>9.2242990000000002</v>
      </c>
      <c r="C6342" s="32">
        <f t="shared" si="99"/>
        <v>-4.1475951386618082E-3</v>
      </c>
    </row>
    <row r="6343" spans="1:3" x14ac:dyDescent="0.6">
      <c r="A6343" s="24">
        <v>38747</v>
      </c>
      <c r="B6343" s="23">
        <v>9.6046449999999997</v>
      </c>
      <c r="C6343" s="32">
        <f t="shared" si="99"/>
        <v>4.123305196416549E-2</v>
      </c>
    </row>
    <row r="6344" spans="1:3" x14ac:dyDescent="0.6">
      <c r="A6344" s="24">
        <v>38748</v>
      </c>
      <c r="B6344" s="23">
        <v>9.6699560000000009</v>
      </c>
      <c r="C6344" s="32">
        <f t="shared" si="99"/>
        <v>6.7999389878543592E-3</v>
      </c>
    </row>
    <row r="6345" spans="1:3" x14ac:dyDescent="0.6">
      <c r="A6345" s="24">
        <v>38749</v>
      </c>
      <c r="B6345" s="23">
        <v>9.6584289999999999</v>
      </c>
      <c r="C6345" s="32">
        <f t="shared" si="99"/>
        <v>-1.1920426525209304E-3</v>
      </c>
    </row>
    <row r="6346" spans="1:3" x14ac:dyDescent="0.6">
      <c r="A6346" s="24">
        <v>38750</v>
      </c>
      <c r="B6346" s="23">
        <v>9.2332640000000001</v>
      </c>
      <c r="C6346" s="32">
        <f t="shared" si="99"/>
        <v>-4.4020098920849349E-2</v>
      </c>
    </row>
    <row r="6347" spans="1:3" x14ac:dyDescent="0.6">
      <c r="A6347" s="24">
        <v>38751</v>
      </c>
      <c r="B6347" s="23">
        <v>9.2012479999999996</v>
      </c>
      <c r="C6347" s="32">
        <f t="shared" si="99"/>
        <v>-3.4674628603710289E-3</v>
      </c>
    </row>
    <row r="6348" spans="1:3" x14ac:dyDescent="0.6">
      <c r="A6348" s="24">
        <v>38754</v>
      </c>
      <c r="B6348" s="23">
        <v>8.6185659999999995</v>
      </c>
      <c r="C6348" s="32">
        <f t="shared" si="99"/>
        <v>-6.3326409634866909E-2</v>
      </c>
    </row>
    <row r="6349" spans="1:3" x14ac:dyDescent="0.6">
      <c r="A6349" s="24">
        <v>38755</v>
      </c>
      <c r="B6349" s="23">
        <v>8.6569859999999998</v>
      </c>
      <c r="C6349" s="32">
        <f t="shared" si="99"/>
        <v>4.4578181567560549E-3</v>
      </c>
    </row>
    <row r="6350" spans="1:3" x14ac:dyDescent="0.6">
      <c r="A6350" s="24">
        <v>38756</v>
      </c>
      <c r="B6350" s="23">
        <v>8.8119420000000002</v>
      </c>
      <c r="C6350" s="32">
        <f t="shared" si="99"/>
        <v>1.7899532239049609E-2</v>
      </c>
    </row>
    <row r="6351" spans="1:3" x14ac:dyDescent="0.6">
      <c r="A6351" s="24">
        <v>38757</v>
      </c>
      <c r="B6351" s="23">
        <v>8.3176229999999993</v>
      </c>
      <c r="C6351" s="32">
        <f t="shared" si="99"/>
        <v>-5.6096488152100998E-2</v>
      </c>
    </row>
    <row r="6352" spans="1:3" x14ac:dyDescent="0.6">
      <c r="A6352" s="24">
        <v>38758</v>
      </c>
      <c r="B6352" s="23">
        <v>8.6198479999999993</v>
      </c>
      <c r="C6352" s="32">
        <f t="shared" si="99"/>
        <v>3.633550114016959E-2</v>
      </c>
    </row>
    <row r="6353" spans="1:3" x14ac:dyDescent="0.6">
      <c r="A6353" s="24">
        <v>38761</v>
      </c>
      <c r="B6353" s="23">
        <v>8.2868879999999994</v>
      </c>
      <c r="C6353" s="32">
        <f t="shared" si="99"/>
        <v>-3.8627131244077573E-2</v>
      </c>
    </row>
    <row r="6354" spans="1:3" x14ac:dyDescent="0.6">
      <c r="A6354" s="24">
        <v>38762</v>
      </c>
      <c r="B6354" s="23">
        <v>8.6621079999999999</v>
      </c>
      <c r="C6354" s="32">
        <f t="shared" si="99"/>
        <v>4.5278758443459077E-2</v>
      </c>
    </row>
    <row r="6355" spans="1:3" x14ac:dyDescent="0.6">
      <c r="A6355" s="24">
        <v>38763</v>
      </c>
      <c r="B6355" s="23">
        <v>8.8644449999999999</v>
      </c>
      <c r="C6355" s="32">
        <f t="shared" si="99"/>
        <v>2.3358863685375431E-2</v>
      </c>
    </row>
    <row r="6356" spans="1:3" x14ac:dyDescent="0.6">
      <c r="A6356" s="24">
        <v>38764</v>
      </c>
      <c r="B6356" s="23">
        <v>9.0373300000000008</v>
      </c>
      <c r="C6356" s="32">
        <f t="shared" si="99"/>
        <v>1.950319506748599E-2</v>
      </c>
    </row>
    <row r="6357" spans="1:3" x14ac:dyDescent="0.6">
      <c r="A6357" s="24">
        <v>38765</v>
      </c>
      <c r="B6357" s="23">
        <v>9.0014710000000004</v>
      </c>
      <c r="C6357" s="32">
        <f t="shared" si="99"/>
        <v>-3.9678754676436556E-3</v>
      </c>
    </row>
    <row r="6358" spans="1:3" x14ac:dyDescent="0.6">
      <c r="A6358" s="24">
        <v>38769</v>
      </c>
      <c r="B6358" s="23">
        <v>8.8465159999999994</v>
      </c>
      <c r="C6358" s="32">
        <f t="shared" si="99"/>
        <v>-1.7214408622768573E-2</v>
      </c>
    </row>
    <row r="6359" spans="1:3" x14ac:dyDescent="0.6">
      <c r="A6359" s="24">
        <v>38770</v>
      </c>
      <c r="B6359" s="23">
        <v>9.1333760000000002</v>
      </c>
      <c r="C6359" s="32">
        <f t="shared" si="99"/>
        <v>3.2426324668378026E-2</v>
      </c>
    </row>
    <row r="6360" spans="1:3" x14ac:dyDescent="0.6">
      <c r="A6360" s="24">
        <v>38771</v>
      </c>
      <c r="B6360" s="23">
        <v>9.1884429999999995</v>
      </c>
      <c r="C6360" s="32">
        <f t="shared" si="99"/>
        <v>6.0292054110111515E-3</v>
      </c>
    </row>
    <row r="6361" spans="1:3" x14ac:dyDescent="0.6">
      <c r="A6361" s="24">
        <v>38772</v>
      </c>
      <c r="B6361" s="23">
        <v>9.1513069999999992</v>
      </c>
      <c r="C6361" s="32">
        <f t="shared" si="99"/>
        <v>-4.0415987779431894E-3</v>
      </c>
    </row>
    <row r="6362" spans="1:3" x14ac:dyDescent="0.6">
      <c r="A6362" s="24">
        <v>38775</v>
      </c>
      <c r="B6362" s="23">
        <v>9.0911159999999995</v>
      </c>
      <c r="C6362" s="32">
        <f t="shared" si="99"/>
        <v>-6.5773118528315022E-3</v>
      </c>
    </row>
    <row r="6363" spans="1:3" x14ac:dyDescent="0.6">
      <c r="A6363" s="24">
        <v>38776</v>
      </c>
      <c r="B6363" s="23">
        <v>8.7709620000000008</v>
      </c>
      <c r="C6363" s="32">
        <f t="shared" si="99"/>
        <v>-3.5216138480688053E-2</v>
      </c>
    </row>
    <row r="6364" spans="1:3" x14ac:dyDescent="0.6">
      <c r="A6364" s="24">
        <v>38777</v>
      </c>
      <c r="B6364" s="23">
        <v>8.8490800000000007</v>
      </c>
      <c r="C6364" s="32">
        <f t="shared" si="99"/>
        <v>8.9064346647493853E-3</v>
      </c>
    </row>
    <row r="6365" spans="1:3" x14ac:dyDescent="0.6">
      <c r="A6365" s="24">
        <v>38778</v>
      </c>
      <c r="B6365" s="23">
        <v>8.9143919999999994</v>
      </c>
      <c r="C6365" s="32">
        <f t="shared" si="99"/>
        <v>7.3806542601038139E-3</v>
      </c>
    </row>
    <row r="6366" spans="1:3" x14ac:dyDescent="0.6">
      <c r="A6366" s="24">
        <v>38779</v>
      </c>
      <c r="B6366" s="23">
        <v>8.6723540000000003</v>
      </c>
      <c r="C6366" s="32">
        <f t="shared" si="99"/>
        <v>-2.7151374990016075E-2</v>
      </c>
    </row>
    <row r="6367" spans="1:3" x14ac:dyDescent="0.6">
      <c r="A6367" s="24">
        <v>38782</v>
      </c>
      <c r="B6367" s="23">
        <v>8.3854950000000006</v>
      </c>
      <c r="C6367" s="32">
        <f t="shared" si="99"/>
        <v>-3.3077408971082134E-2</v>
      </c>
    </row>
    <row r="6368" spans="1:3" x14ac:dyDescent="0.6">
      <c r="A6368" s="24">
        <v>38783</v>
      </c>
      <c r="B6368" s="23">
        <v>8.4917859999999994</v>
      </c>
      <c r="C6368" s="32">
        <f t="shared" si="99"/>
        <v>1.2675578484036887E-2</v>
      </c>
    </row>
    <row r="6369" spans="1:3" x14ac:dyDescent="0.6">
      <c r="A6369" s="24">
        <v>38784</v>
      </c>
      <c r="B6369" s="23">
        <v>8.4085470000000004</v>
      </c>
      <c r="C6369" s="32">
        <f t="shared" si="99"/>
        <v>-9.8022960069882314E-3</v>
      </c>
    </row>
    <row r="6370" spans="1:3" x14ac:dyDescent="0.6">
      <c r="A6370" s="24">
        <v>38785</v>
      </c>
      <c r="B6370" s="23">
        <v>8.1869969999999999</v>
      </c>
      <c r="C6370" s="32">
        <f t="shared" si="99"/>
        <v>-2.6348190715946629E-2</v>
      </c>
    </row>
    <row r="6371" spans="1:3" x14ac:dyDescent="0.6">
      <c r="A6371" s="24">
        <v>38786</v>
      </c>
      <c r="B6371" s="23">
        <v>8.092231</v>
      </c>
      <c r="C6371" s="32">
        <f t="shared" si="99"/>
        <v>-1.1575184405222094E-2</v>
      </c>
    </row>
    <row r="6372" spans="1:3" x14ac:dyDescent="0.6">
      <c r="A6372" s="24">
        <v>38789</v>
      </c>
      <c r="B6372" s="23">
        <v>8.4111069999999994</v>
      </c>
      <c r="C6372" s="32">
        <f t="shared" si="99"/>
        <v>3.9405202347782664E-2</v>
      </c>
    </row>
    <row r="6373" spans="1:3" x14ac:dyDescent="0.6">
      <c r="A6373" s="24">
        <v>38790</v>
      </c>
      <c r="B6373" s="23">
        <v>8.6211280000000006</v>
      </c>
      <c r="C6373" s="32">
        <f t="shared" si="99"/>
        <v>2.4969483802786074E-2</v>
      </c>
    </row>
    <row r="6374" spans="1:3" x14ac:dyDescent="0.6">
      <c r="A6374" s="24">
        <v>38791</v>
      </c>
      <c r="B6374" s="23">
        <v>8.4815400000000007</v>
      </c>
      <c r="C6374" s="32">
        <f t="shared" si="99"/>
        <v>-1.6191384700470768E-2</v>
      </c>
    </row>
    <row r="6375" spans="1:3" x14ac:dyDescent="0.6">
      <c r="A6375" s="24">
        <v>38792</v>
      </c>
      <c r="B6375" s="23">
        <v>8.2356630000000006</v>
      </c>
      <c r="C6375" s="32">
        <f t="shared" si="99"/>
        <v>-2.8989664612794397E-2</v>
      </c>
    </row>
    <row r="6376" spans="1:3" x14ac:dyDescent="0.6">
      <c r="A6376" s="24">
        <v>38793</v>
      </c>
      <c r="B6376" s="23">
        <v>8.2804850000000005</v>
      </c>
      <c r="C6376" s="32">
        <f t="shared" si="99"/>
        <v>5.4424276466873422E-3</v>
      </c>
    </row>
    <row r="6377" spans="1:3" x14ac:dyDescent="0.6">
      <c r="A6377" s="24">
        <v>38796</v>
      </c>
      <c r="B6377" s="23">
        <v>8.1946809999999992</v>
      </c>
      <c r="C6377" s="32">
        <f t="shared" si="99"/>
        <v>-1.0362194968048577E-2</v>
      </c>
    </row>
    <row r="6378" spans="1:3" x14ac:dyDescent="0.6">
      <c r="A6378" s="24">
        <v>38797</v>
      </c>
      <c r="B6378" s="23">
        <v>7.9155069999999998</v>
      </c>
      <c r="C6378" s="32">
        <f t="shared" si="99"/>
        <v>-3.4067708065756208E-2</v>
      </c>
    </row>
    <row r="6379" spans="1:3" x14ac:dyDescent="0.6">
      <c r="A6379" s="24">
        <v>38798</v>
      </c>
      <c r="B6379" s="23">
        <v>7.8975790000000003</v>
      </c>
      <c r="C6379" s="32">
        <f t="shared" si="99"/>
        <v>-2.2649212488852211E-3</v>
      </c>
    </row>
    <row r="6380" spans="1:3" x14ac:dyDescent="0.6">
      <c r="A6380" s="24">
        <v>38799</v>
      </c>
      <c r="B6380" s="23">
        <v>7.7042020000000004</v>
      </c>
      <c r="C6380" s="32">
        <f t="shared" si="99"/>
        <v>-2.4485605018955803E-2</v>
      </c>
    </row>
    <row r="6381" spans="1:3" x14ac:dyDescent="0.6">
      <c r="A6381" s="24">
        <v>38800</v>
      </c>
      <c r="B6381" s="23">
        <v>7.6785930000000002</v>
      </c>
      <c r="C6381" s="32">
        <f t="shared" si="99"/>
        <v>-3.3240301850860909E-3</v>
      </c>
    </row>
    <row r="6382" spans="1:3" x14ac:dyDescent="0.6">
      <c r="A6382" s="24">
        <v>38803</v>
      </c>
      <c r="B6382" s="23">
        <v>7.6209660000000001</v>
      </c>
      <c r="C6382" s="32">
        <f t="shared" si="99"/>
        <v>-7.504890544400511E-3</v>
      </c>
    </row>
    <row r="6383" spans="1:3" x14ac:dyDescent="0.6">
      <c r="A6383" s="24">
        <v>38804</v>
      </c>
      <c r="B6383" s="23">
        <v>7.5185149999999998</v>
      </c>
      <c r="C6383" s="32">
        <f t="shared" si="99"/>
        <v>-1.344330889286216E-2</v>
      </c>
    </row>
    <row r="6384" spans="1:3" x14ac:dyDescent="0.6">
      <c r="A6384" s="24">
        <v>38805</v>
      </c>
      <c r="B6384" s="23">
        <v>7.9820989999999998</v>
      </c>
      <c r="C6384" s="32">
        <f t="shared" si="99"/>
        <v>6.1658984520214455E-2</v>
      </c>
    </row>
    <row r="6385" spans="1:3" x14ac:dyDescent="0.6">
      <c r="A6385" s="24">
        <v>38806</v>
      </c>
      <c r="B6385" s="23">
        <v>8.0358870000000007</v>
      </c>
      <c r="C6385" s="32">
        <f t="shared" si="99"/>
        <v>6.738578411518148E-3</v>
      </c>
    </row>
    <row r="6386" spans="1:3" x14ac:dyDescent="0.6">
      <c r="A6386" s="24">
        <v>38807</v>
      </c>
      <c r="B6386" s="23">
        <v>8.0320429999999998</v>
      </c>
      <c r="C6386" s="32">
        <f t="shared" si="99"/>
        <v>-4.7835416301911238E-4</v>
      </c>
    </row>
    <row r="6387" spans="1:3" x14ac:dyDescent="0.6">
      <c r="A6387" s="24">
        <v>38810</v>
      </c>
      <c r="B6387" s="23">
        <v>8.0230800000000002</v>
      </c>
      <c r="C6387" s="32">
        <f t="shared" si="99"/>
        <v>-1.1159053804865593E-3</v>
      </c>
    </row>
    <row r="6388" spans="1:3" x14ac:dyDescent="0.6">
      <c r="A6388" s="24">
        <v>38811</v>
      </c>
      <c r="B6388" s="23">
        <v>7.8335480000000004</v>
      </c>
      <c r="C6388" s="32">
        <f t="shared" si="99"/>
        <v>-2.3623346644929377E-2</v>
      </c>
    </row>
    <row r="6389" spans="1:3" x14ac:dyDescent="0.6">
      <c r="A6389" s="24">
        <v>38812</v>
      </c>
      <c r="B6389" s="23">
        <v>8.6070410000000006</v>
      </c>
      <c r="C6389" s="32">
        <f t="shared" si="99"/>
        <v>9.8741081308239886E-2</v>
      </c>
    </row>
    <row r="6390" spans="1:3" x14ac:dyDescent="0.6">
      <c r="A6390" s="24">
        <v>38813</v>
      </c>
      <c r="B6390" s="23">
        <v>9.1231340000000003</v>
      </c>
      <c r="C6390" s="32">
        <f t="shared" si="99"/>
        <v>5.9961722036644183E-2</v>
      </c>
    </row>
    <row r="6391" spans="1:3" x14ac:dyDescent="0.6">
      <c r="A6391" s="24">
        <v>38814</v>
      </c>
      <c r="B6391" s="23">
        <v>8.9374420000000008</v>
      </c>
      <c r="C6391" s="32">
        <f t="shared" si="99"/>
        <v>-2.0353970466727711E-2</v>
      </c>
    </row>
    <row r="6392" spans="1:3" x14ac:dyDescent="0.6">
      <c r="A6392" s="24">
        <v>38817</v>
      </c>
      <c r="B6392" s="23">
        <v>8.7940129999999996</v>
      </c>
      <c r="C6392" s="32">
        <f t="shared" si="99"/>
        <v>-1.6048104144340325E-2</v>
      </c>
    </row>
    <row r="6393" spans="1:3" x14ac:dyDescent="0.6">
      <c r="A6393" s="24">
        <v>38818</v>
      </c>
      <c r="B6393" s="23">
        <v>8.7069320000000001</v>
      </c>
      <c r="C6393" s="32">
        <f t="shared" si="99"/>
        <v>-9.9023051250890504E-3</v>
      </c>
    </row>
    <row r="6394" spans="1:3" x14ac:dyDescent="0.6">
      <c r="A6394" s="24">
        <v>38819</v>
      </c>
      <c r="B6394" s="23">
        <v>8.5430119999999992</v>
      </c>
      <c r="C6394" s="32">
        <f t="shared" si="99"/>
        <v>-1.8826378797951016E-2</v>
      </c>
    </row>
    <row r="6395" spans="1:3" x14ac:dyDescent="0.6">
      <c r="A6395" s="24">
        <v>38820</v>
      </c>
      <c r="B6395" s="23">
        <v>8.5122750000000007</v>
      </c>
      <c r="C6395" s="32">
        <f t="shared" si="99"/>
        <v>-3.5979113689642572E-3</v>
      </c>
    </row>
    <row r="6396" spans="1:3" x14ac:dyDescent="0.6">
      <c r="A6396" s="24">
        <v>38824</v>
      </c>
      <c r="B6396" s="23">
        <v>8.2996929999999995</v>
      </c>
      <c r="C6396" s="32">
        <f t="shared" si="99"/>
        <v>-2.4973582267960204E-2</v>
      </c>
    </row>
    <row r="6397" spans="1:3" x14ac:dyDescent="0.6">
      <c r="A6397" s="24">
        <v>38825</v>
      </c>
      <c r="B6397" s="23">
        <v>8.4802610000000005</v>
      </c>
      <c r="C6397" s="32">
        <f t="shared" si="99"/>
        <v>2.175598543223245E-2</v>
      </c>
    </row>
    <row r="6398" spans="1:3" x14ac:dyDescent="0.6">
      <c r="A6398" s="24">
        <v>38826</v>
      </c>
      <c r="B6398" s="23">
        <v>8.4072659999999999</v>
      </c>
      <c r="C6398" s="32">
        <f t="shared" si="99"/>
        <v>-8.6076360149764941E-3</v>
      </c>
    </row>
    <row r="6399" spans="1:3" x14ac:dyDescent="0.6">
      <c r="A6399" s="24">
        <v>38827</v>
      </c>
      <c r="B6399" s="23">
        <v>8.6608300000000007</v>
      </c>
      <c r="C6399" s="32">
        <f t="shared" si="99"/>
        <v>3.0160101987970922E-2</v>
      </c>
    </row>
    <row r="6400" spans="1:3" x14ac:dyDescent="0.6">
      <c r="A6400" s="24">
        <v>38828</v>
      </c>
      <c r="B6400" s="23">
        <v>8.5852690000000003</v>
      </c>
      <c r="C6400" s="32">
        <f t="shared" si="99"/>
        <v>-8.7244525062840639E-3</v>
      </c>
    </row>
    <row r="6401" spans="1:3" x14ac:dyDescent="0.6">
      <c r="A6401" s="24">
        <v>38831</v>
      </c>
      <c r="B6401" s="23">
        <v>8.4200719999999993</v>
      </c>
      <c r="C6401" s="32">
        <f t="shared" si="99"/>
        <v>-1.9241913095559449E-2</v>
      </c>
    </row>
    <row r="6402" spans="1:3" x14ac:dyDescent="0.6">
      <c r="A6402" s="24">
        <v>38832</v>
      </c>
      <c r="B6402" s="23">
        <v>8.4738570000000006</v>
      </c>
      <c r="C6402" s="32">
        <f t="shared" si="99"/>
        <v>6.3877125991322892E-3</v>
      </c>
    </row>
    <row r="6403" spans="1:3" x14ac:dyDescent="0.6">
      <c r="A6403" s="24">
        <v>38833</v>
      </c>
      <c r="B6403" s="23">
        <v>8.7274220000000007</v>
      </c>
      <c r="C6403" s="32">
        <f t="shared" si="99"/>
        <v>2.9923209702500397E-2</v>
      </c>
    </row>
    <row r="6404" spans="1:3" x14ac:dyDescent="0.6">
      <c r="A6404" s="24">
        <v>38834</v>
      </c>
      <c r="B6404" s="23">
        <v>8.8823760000000007</v>
      </c>
      <c r="C6404" s="32">
        <f t="shared" ref="C6404:C6467" si="100">B6404/B6403-1</f>
        <v>1.7754842151554096E-2</v>
      </c>
    </row>
    <row r="6405" spans="1:3" x14ac:dyDescent="0.6">
      <c r="A6405" s="24">
        <v>38835</v>
      </c>
      <c r="B6405" s="23">
        <v>9.0142769999999999</v>
      </c>
      <c r="C6405" s="32">
        <f t="shared" si="100"/>
        <v>1.4849742906627661E-2</v>
      </c>
    </row>
    <row r="6406" spans="1:3" x14ac:dyDescent="0.6">
      <c r="A6406" s="24">
        <v>38838</v>
      </c>
      <c r="B6406" s="23">
        <v>8.9131090000000004</v>
      </c>
      <c r="C6406" s="32">
        <f t="shared" si="100"/>
        <v>-1.1223085334519878E-2</v>
      </c>
    </row>
    <row r="6407" spans="1:3" x14ac:dyDescent="0.6">
      <c r="A6407" s="24">
        <v>38839</v>
      </c>
      <c r="B6407" s="23">
        <v>9.1717929999999992</v>
      </c>
      <c r="C6407" s="32">
        <f t="shared" si="100"/>
        <v>2.9022869573344101E-2</v>
      </c>
    </row>
    <row r="6408" spans="1:3" x14ac:dyDescent="0.6">
      <c r="A6408" s="24">
        <v>38840</v>
      </c>
      <c r="B6408" s="23">
        <v>9.1103229999999993</v>
      </c>
      <c r="C6408" s="32">
        <f t="shared" si="100"/>
        <v>-6.7020701404839622E-3</v>
      </c>
    </row>
    <row r="6409" spans="1:3" x14ac:dyDescent="0.6">
      <c r="A6409" s="24">
        <v>38841</v>
      </c>
      <c r="B6409" s="23">
        <v>9.1090450000000001</v>
      </c>
      <c r="C6409" s="32">
        <f t="shared" si="100"/>
        <v>-1.4028042693980947E-4</v>
      </c>
    </row>
    <row r="6410" spans="1:3" x14ac:dyDescent="0.6">
      <c r="A6410" s="24">
        <v>38842</v>
      </c>
      <c r="B6410" s="23">
        <v>9.2063749999999995</v>
      </c>
      <c r="C6410" s="32">
        <f t="shared" si="100"/>
        <v>1.068498399118667E-2</v>
      </c>
    </row>
    <row r="6411" spans="1:3" x14ac:dyDescent="0.6">
      <c r="A6411" s="24">
        <v>38845</v>
      </c>
      <c r="B6411" s="23">
        <v>9.2063749999999995</v>
      </c>
      <c r="C6411" s="32">
        <f t="shared" si="100"/>
        <v>0</v>
      </c>
    </row>
    <row r="6412" spans="1:3" x14ac:dyDescent="0.6">
      <c r="A6412" s="24">
        <v>38846</v>
      </c>
      <c r="B6412" s="23">
        <v>9.0962379999999996</v>
      </c>
      <c r="C6412" s="32">
        <f t="shared" si="100"/>
        <v>-1.1963123379180152E-2</v>
      </c>
    </row>
    <row r="6413" spans="1:3" x14ac:dyDescent="0.6">
      <c r="A6413" s="24">
        <v>38847</v>
      </c>
      <c r="B6413" s="23">
        <v>9.0411719999999995</v>
      </c>
      <c r="C6413" s="32">
        <f t="shared" si="100"/>
        <v>-6.0537114354307642E-3</v>
      </c>
    </row>
    <row r="6414" spans="1:3" x14ac:dyDescent="0.6">
      <c r="A6414" s="24">
        <v>38848</v>
      </c>
      <c r="B6414" s="23">
        <v>8.7274220000000007</v>
      </c>
      <c r="C6414" s="32">
        <f t="shared" si="100"/>
        <v>-3.4702359384380599E-2</v>
      </c>
    </row>
    <row r="6415" spans="1:3" x14ac:dyDescent="0.6">
      <c r="A6415" s="24">
        <v>38849</v>
      </c>
      <c r="B6415" s="23">
        <v>8.6697930000000003</v>
      </c>
      <c r="C6415" s="32">
        <f t="shared" si="100"/>
        <v>-6.6032099742627803E-3</v>
      </c>
    </row>
    <row r="6416" spans="1:3" x14ac:dyDescent="0.6">
      <c r="A6416" s="24">
        <v>38852</v>
      </c>
      <c r="B6416" s="23">
        <v>8.6813160000000007</v>
      </c>
      <c r="C6416" s="32">
        <f t="shared" si="100"/>
        <v>1.329097476721719E-3</v>
      </c>
    </row>
    <row r="6417" spans="1:3" x14ac:dyDescent="0.6">
      <c r="A6417" s="24">
        <v>38853</v>
      </c>
      <c r="B6417" s="23">
        <v>8.3214649999999999</v>
      </c>
      <c r="C6417" s="32">
        <f t="shared" si="100"/>
        <v>-4.1451203941890946E-2</v>
      </c>
    </row>
    <row r="6418" spans="1:3" x14ac:dyDescent="0.6">
      <c r="A6418" s="24">
        <v>38854</v>
      </c>
      <c r="B6418" s="23">
        <v>8.3573190000000004</v>
      </c>
      <c r="C6418" s="32">
        <f t="shared" si="100"/>
        <v>4.3086163313792447E-3</v>
      </c>
    </row>
    <row r="6419" spans="1:3" x14ac:dyDescent="0.6">
      <c r="A6419" s="24">
        <v>38855</v>
      </c>
      <c r="B6419" s="23">
        <v>8.0909510000000004</v>
      </c>
      <c r="C6419" s="32">
        <f t="shared" si="100"/>
        <v>-3.1872422244502041E-2</v>
      </c>
    </row>
    <row r="6420" spans="1:3" x14ac:dyDescent="0.6">
      <c r="A6420" s="24">
        <v>38856</v>
      </c>
      <c r="B6420" s="23">
        <v>8.2612740000000002</v>
      </c>
      <c r="C6420" s="32">
        <f t="shared" si="100"/>
        <v>2.1051048263671435E-2</v>
      </c>
    </row>
    <row r="6421" spans="1:3" x14ac:dyDescent="0.6">
      <c r="A6421" s="24">
        <v>38859</v>
      </c>
      <c r="B6421" s="23">
        <v>8.1165660000000006</v>
      </c>
      <c r="C6421" s="32">
        <f t="shared" si="100"/>
        <v>-1.7516426643154559E-2</v>
      </c>
    </row>
    <row r="6422" spans="1:3" x14ac:dyDescent="0.6">
      <c r="A6422" s="24">
        <v>38860</v>
      </c>
      <c r="B6422" s="23">
        <v>8.0871110000000002</v>
      </c>
      <c r="C6422" s="32">
        <f t="shared" si="100"/>
        <v>-3.6289977805885609E-3</v>
      </c>
    </row>
    <row r="6423" spans="1:3" x14ac:dyDescent="0.6">
      <c r="A6423" s="24">
        <v>38861</v>
      </c>
      <c r="B6423" s="23">
        <v>8.1114440000000005</v>
      </c>
      <c r="C6423" s="32">
        <f t="shared" si="100"/>
        <v>3.0088618791062061E-3</v>
      </c>
    </row>
    <row r="6424" spans="1:3" x14ac:dyDescent="0.6">
      <c r="A6424" s="24">
        <v>38862</v>
      </c>
      <c r="B6424" s="23">
        <v>8.2382209999999993</v>
      </c>
      <c r="C6424" s="32">
        <f t="shared" si="100"/>
        <v>1.5629399648200648E-2</v>
      </c>
    </row>
    <row r="6425" spans="1:3" x14ac:dyDescent="0.6">
      <c r="A6425" s="24">
        <v>38863</v>
      </c>
      <c r="B6425" s="23">
        <v>8.1383340000000004</v>
      </c>
      <c r="C6425" s="32">
        <f t="shared" si="100"/>
        <v>-1.2124826464354199E-2</v>
      </c>
    </row>
    <row r="6426" spans="1:3" x14ac:dyDescent="0.6">
      <c r="A6426" s="24">
        <v>38867</v>
      </c>
      <c r="B6426" s="23">
        <v>7.83995</v>
      </c>
      <c r="C6426" s="32">
        <f t="shared" si="100"/>
        <v>-3.6664015018307183E-2</v>
      </c>
    </row>
    <row r="6427" spans="1:3" x14ac:dyDescent="0.6">
      <c r="A6427" s="24">
        <v>38868</v>
      </c>
      <c r="B6427" s="23">
        <v>7.654261</v>
      </c>
      <c r="C6427" s="32">
        <f t="shared" si="100"/>
        <v>-2.3684972480691791E-2</v>
      </c>
    </row>
    <row r="6428" spans="1:3" x14ac:dyDescent="0.6">
      <c r="A6428" s="24">
        <v>38869</v>
      </c>
      <c r="B6428" s="23">
        <v>7.9616090000000002</v>
      </c>
      <c r="C6428" s="32">
        <f t="shared" si="100"/>
        <v>4.0153843721817184E-2</v>
      </c>
    </row>
    <row r="6429" spans="1:3" x14ac:dyDescent="0.6">
      <c r="A6429" s="24">
        <v>38870</v>
      </c>
      <c r="B6429" s="23">
        <v>7.896299</v>
      </c>
      <c r="C6429" s="32">
        <f t="shared" si="100"/>
        <v>-8.2031157269844002E-3</v>
      </c>
    </row>
    <row r="6430" spans="1:3" x14ac:dyDescent="0.6">
      <c r="A6430" s="24">
        <v>38873</v>
      </c>
      <c r="B6430" s="23">
        <v>7.6837150000000003</v>
      </c>
      <c r="C6430" s="32">
        <f t="shared" si="100"/>
        <v>-2.6921979524838102E-2</v>
      </c>
    </row>
    <row r="6431" spans="1:3" x14ac:dyDescent="0.6">
      <c r="A6431" s="24">
        <v>38874</v>
      </c>
      <c r="B6431" s="23">
        <v>7.6478590000000004</v>
      </c>
      <c r="C6431" s="32">
        <f t="shared" si="100"/>
        <v>-4.6664927056768724E-3</v>
      </c>
    </row>
    <row r="6432" spans="1:3" x14ac:dyDescent="0.6">
      <c r="A6432" s="24">
        <v>38875</v>
      </c>
      <c r="B6432" s="23">
        <v>7.4993049999999997</v>
      </c>
      <c r="C6432" s="32">
        <f t="shared" si="100"/>
        <v>-1.9424259783032194E-2</v>
      </c>
    </row>
    <row r="6433" spans="1:3" x14ac:dyDescent="0.6">
      <c r="A6433" s="24">
        <v>38876</v>
      </c>
      <c r="B6433" s="23">
        <v>7.7810430000000004</v>
      </c>
      <c r="C6433" s="32">
        <f t="shared" si="100"/>
        <v>3.7568548018783066E-2</v>
      </c>
    </row>
    <row r="6434" spans="1:3" x14ac:dyDescent="0.6">
      <c r="A6434" s="24">
        <v>38877</v>
      </c>
      <c r="B6434" s="23">
        <v>7.5863870000000002</v>
      </c>
      <c r="C6434" s="32">
        <f t="shared" si="100"/>
        <v>-2.5016697632952334E-2</v>
      </c>
    </row>
    <row r="6435" spans="1:3" x14ac:dyDescent="0.6">
      <c r="A6435" s="24">
        <v>38880</v>
      </c>
      <c r="B6435" s="23">
        <v>7.299531</v>
      </c>
      <c r="C6435" s="32">
        <f t="shared" si="100"/>
        <v>-3.7811938673837808E-2</v>
      </c>
    </row>
    <row r="6436" spans="1:3" x14ac:dyDescent="0.6">
      <c r="A6436" s="24">
        <v>38881</v>
      </c>
      <c r="B6436" s="23">
        <v>7.4698529999999996</v>
      </c>
      <c r="C6436" s="32">
        <f t="shared" si="100"/>
        <v>2.3333279905243254E-2</v>
      </c>
    </row>
    <row r="6437" spans="1:3" x14ac:dyDescent="0.6">
      <c r="A6437" s="24">
        <v>38882</v>
      </c>
      <c r="B6437" s="23">
        <v>7.3776460000000004</v>
      </c>
      <c r="C6437" s="32">
        <f t="shared" si="100"/>
        <v>-1.2343884143369288E-2</v>
      </c>
    </row>
    <row r="6438" spans="1:3" x14ac:dyDescent="0.6">
      <c r="A6438" s="24">
        <v>38883</v>
      </c>
      <c r="B6438" s="23">
        <v>7.604317</v>
      </c>
      <c r="C6438" s="32">
        <f t="shared" si="100"/>
        <v>3.0724027691217515E-2</v>
      </c>
    </row>
    <row r="6439" spans="1:3" x14ac:dyDescent="0.6">
      <c r="A6439" s="24">
        <v>38884</v>
      </c>
      <c r="B6439" s="23">
        <v>7.3712439999999999</v>
      </c>
      <c r="C6439" s="32">
        <f t="shared" si="100"/>
        <v>-3.0650089942331427E-2</v>
      </c>
    </row>
    <row r="6440" spans="1:3" x14ac:dyDescent="0.6">
      <c r="A6440" s="24">
        <v>38887</v>
      </c>
      <c r="B6440" s="23">
        <v>7.3251419999999996</v>
      </c>
      <c r="C6440" s="32">
        <f t="shared" si="100"/>
        <v>-6.2543038868337897E-3</v>
      </c>
    </row>
    <row r="6441" spans="1:3" x14ac:dyDescent="0.6">
      <c r="A6441" s="24">
        <v>38888</v>
      </c>
      <c r="B6441" s="23">
        <v>7.3597190000000001</v>
      </c>
      <c r="C6441" s="32">
        <f t="shared" si="100"/>
        <v>4.720318049807215E-3</v>
      </c>
    </row>
    <row r="6442" spans="1:3" x14ac:dyDescent="0.6">
      <c r="A6442" s="24">
        <v>38889</v>
      </c>
      <c r="B6442" s="23">
        <v>7.4096640000000003</v>
      </c>
      <c r="C6442" s="32">
        <f t="shared" si="100"/>
        <v>6.7862645299365809E-3</v>
      </c>
    </row>
    <row r="6443" spans="1:3" x14ac:dyDescent="0.6">
      <c r="A6443" s="24">
        <v>38890</v>
      </c>
      <c r="B6443" s="23">
        <v>7.6299299999999999</v>
      </c>
      <c r="C6443" s="32">
        <f t="shared" si="100"/>
        <v>2.9726854011193904E-2</v>
      </c>
    </row>
    <row r="6444" spans="1:3" x14ac:dyDescent="0.6">
      <c r="A6444" s="24">
        <v>38891</v>
      </c>
      <c r="B6444" s="23">
        <v>7.5338839999999996</v>
      </c>
      <c r="C6444" s="32">
        <f t="shared" si="100"/>
        <v>-1.2588057819665543E-2</v>
      </c>
    </row>
    <row r="6445" spans="1:3" x14ac:dyDescent="0.6">
      <c r="A6445" s="24">
        <v>38894</v>
      </c>
      <c r="B6445" s="23">
        <v>7.5543750000000003</v>
      </c>
      <c r="C6445" s="32">
        <f t="shared" si="100"/>
        <v>2.7198454343073664E-3</v>
      </c>
    </row>
    <row r="6446" spans="1:3" x14ac:dyDescent="0.6">
      <c r="A6446" s="24">
        <v>38895</v>
      </c>
      <c r="B6446" s="23">
        <v>7.3545959999999999</v>
      </c>
      <c r="C6446" s="32">
        <f t="shared" si="100"/>
        <v>-2.6445470340034749E-2</v>
      </c>
    </row>
    <row r="6447" spans="1:3" x14ac:dyDescent="0.6">
      <c r="A6447" s="24">
        <v>38896</v>
      </c>
      <c r="B6447" s="23">
        <v>7.1740279999999998</v>
      </c>
      <c r="C6447" s="32">
        <f t="shared" si="100"/>
        <v>-2.4551722487543892E-2</v>
      </c>
    </row>
    <row r="6448" spans="1:3" x14ac:dyDescent="0.6">
      <c r="A6448" s="24">
        <v>38897</v>
      </c>
      <c r="B6448" s="23">
        <v>7.5518109999999998</v>
      </c>
      <c r="C6448" s="32">
        <f t="shared" si="100"/>
        <v>5.2659816772390622E-2</v>
      </c>
    </row>
    <row r="6449" spans="1:3" x14ac:dyDescent="0.6">
      <c r="A6449" s="24">
        <v>38898</v>
      </c>
      <c r="B6449" s="23">
        <v>7.3341070000000004</v>
      </c>
      <c r="C6449" s="32">
        <f t="shared" si="100"/>
        <v>-2.8828051973228574E-2</v>
      </c>
    </row>
    <row r="6450" spans="1:3" x14ac:dyDescent="0.6">
      <c r="A6450" s="24">
        <v>38901</v>
      </c>
      <c r="B6450" s="23">
        <v>7.421189</v>
      </c>
      <c r="C6450" s="32">
        <f t="shared" si="100"/>
        <v>1.187356552065566E-2</v>
      </c>
    </row>
    <row r="6451" spans="1:3" x14ac:dyDescent="0.6">
      <c r="A6451" s="24">
        <v>38903</v>
      </c>
      <c r="B6451" s="23">
        <v>7.299531</v>
      </c>
      <c r="C6451" s="32">
        <f t="shared" si="100"/>
        <v>-1.6393329963702574E-2</v>
      </c>
    </row>
    <row r="6452" spans="1:3" x14ac:dyDescent="0.6">
      <c r="A6452" s="24">
        <v>38904</v>
      </c>
      <c r="B6452" s="23">
        <v>7.1420139999999996</v>
      </c>
      <c r="C6452" s="32">
        <f t="shared" si="100"/>
        <v>-2.1579057613427488E-2</v>
      </c>
    </row>
    <row r="6453" spans="1:3" x14ac:dyDescent="0.6">
      <c r="A6453" s="24">
        <v>38905</v>
      </c>
      <c r="B6453" s="23">
        <v>7.0946300000000004</v>
      </c>
      <c r="C6453" s="32">
        <f t="shared" si="100"/>
        <v>-6.6345431414722711E-3</v>
      </c>
    </row>
    <row r="6454" spans="1:3" x14ac:dyDescent="0.6">
      <c r="A6454" s="24">
        <v>38908</v>
      </c>
      <c r="B6454" s="23">
        <v>7.0434060000000001</v>
      </c>
      <c r="C6454" s="32">
        <f t="shared" si="100"/>
        <v>-7.2201087301241307E-3</v>
      </c>
    </row>
    <row r="6455" spans="1:3" x14ac:dyDescent="0.6">
      <c r="A6455" s="24">
        <v>38909</v>
      </c>
      <c r="B6455" s="23">
        <v>7.126646</v>
      </c>
      <c r="C6455" s="32">
        <f t="shared" si="100"/>
        <v>1.181814593678121E-2</v>
      </c>
    </row>
    <row r="6456" spans="1:3" x14ac:dyDescent="0.6">
      <c r="A6456" s="24">
        <v>38910</v>
      </c>
      <c r="B6456" s="23">
        <v>6.782159</v>
      </c>
      <c r="C6456" s="32">
        <f t="shared" si="100"/>
        <v>-4.8337885731941754E-2</v>
      </c>
    </row>
    <row r="6457" spans="1:3" x14ac:dyDescent="0.6">
      <c r="A6457" s="24">
        <v>38911</v>
      </c>
      <c r="B6457" s="23">
        <v>6.691236</v>
      </c>
      <c r="C6457" s="32">
        <f t="shared" si="100"/>
        <v>-1.3406202951007251E-2</v>
      </c>
    </row>
    <row r="6458" spans="1:3" x14ac:dyDescent="0.6">
      <c r="A6458" s="24">
        <v>38912</v>
      </c>
      <c r="B6458" s="23">
        <v>6.4888969999999997</v>
      </c>
      <c r="C6458" s="32">
        <f t="shared" si="100"/>
        <v>-3.0239405694254429E-2</v>
      </c>
    </row>
    <row r="6459" spans="1:3" x14ac:dyDescent="0.6">
      <c r="A6459" s="24">
        <v>38915</v>
      </c>
      <c r="B6459" s="23">
        <v>6.7066030000000003</v>
      </c>
      <c r="C6459" s="32">
        <f t="shared" si="100"/>
        <v>3.3550540253605599E-2</v>
      </c>
    </row>
    <row r="6460" spans="1:3" x14ac:dyDescent="0.6">
      <c r="A6460" s="24">
        <v>38916</v>
      </c>
      <c r="B6460" s="23">
        <v>6.7744770000000001</v>
      </c>
      <c r="C6460" s="32">
        <f t="shared" si="100"/>
        <v>1.0120473807678776E-2</v>
      </c>
    </row>
    <row r="6461" spans="1:3" x14ac:dyDescent="0.6">
      <c r="A6461" s="24">
        <v>38917</v>
      </c>
      <c r="B6461" s="23">
        <v>6.9281509999999997</v>
      </c>
      <c r="C6461" s="32">
        <f t="shared" si="100"/>
        <v>2.2684260349544294E-2</v>
      </c>
    </row>
    <row r="6462" spans="1:3" x14ac:dyDescent="0.6">
      <c r="A6462" s="24">
        <v>38918</v>
      </c>
      <c r="B6462" s="23">
        <v>7.7477460000000002</v>
      </c>
      <c r="C6462" s="32">
        <f t="shared" si="100"/>
        <v>0.11829924030235484</v>
      </c>
    </row>
    <row r="6463" spans="1:3" x14ac:dyDescent="0.6">
      <c r="A6463" s="24">
        <v>38919</v>
      </c>
      <c r="B6463" s="23">
        <v>7.7759229999999997</v>
      </c>
      <c r="C6463" s="32">
        <f t="shared" si="100"/>
        <v>3.6367996576036621E-3</v>
      </c>
    </row>
    <row r="6464" spans="1:3" x14ac:dyDescent="0.6">
      <c r="A6464" s="24">
        <v>38922</v>
      </c>
      <c r="B6464" s="23">
        <v>7.8655629999999999</v>
      </c>
      <c r="C6464" s="32">
        <f t="shared" si="100"/>
        <v>1.1527891929999923E-2</v>
      </c>
    </row>
    <row r="6465" spans="1:3" x14ac:dyDescent="0.6">
      <c r="A6465" s="24">
        <v>38923</v>
      </c>
      <c r="B6465" s="23">
        <v>7.9308750000000003</v>
      </c>
      <c r="C6465" s="32">
        <f t="shared" si="100"/>
        <v>8.3035378395672765E-3</v>
      </c>
    </row>
    <row r="6466" spans="1:3" x14ac:dyDescent="0.6">
      <c r="A6466" s="24">
        <v>38924</v>
      </c>
      <c r="B6466" s="23">
        <v>8.1793150000000008</v>
      </c>
      <c r="C6466" s="32">
        <f t="shared" si="100"/>
        <v>3.1325673396693343E-2</v>
      </c>
    </row>
    <row r="6467" spans="1:3" x14ac:dyDescent="0.6">
      <c r="A6467" s="24">
        <v>38925</v>
      </c>
      <c r="B6467" s="23">
        <v>8.1191239999999993</v>
      </c>
      <c r="C6467" s="32">
        <f t="shared" si="100"/>
        <v>-7.3589292012841145E-3</v>
      </c>
    </row>
    <row r="6468" spans="1:3" x14ac:dyDescent="0.6">
      <c r="A6468" s="24">
        <v>38926</v>
      </c>
      <c r="B6468" s="23">
        <v>8.3995800000000003</v>
      </c>
      <c r="C6468" s="32">
        <f t="shared" ref="C6468:C6531" si="101">B6468/B6467-1</f>
        <v>3.4542642777718457E-2</v>
      </c>
    </row>
    <row r="6469" spans="1:3" x14ac:dyDescent="0.6">
      <c r="A6469" s="24">
        <v>38929</v>
      </c>
      <c r="B6469" s="23">
        <v>8.703087</v>
      </c>
      <c r="C6469" s="32">
        <f t="shared" si="101"/>
        <v>3.6133592393905456E-2</v>
      </c>
    </row>
    <row r="6470" spans="1:3" x14ac:dyDescent="0.6">
      <c r="A6470" s="24">
        <v>38930</v>
      </c>
      <c r="B6470" s="23">
        <v>8.6032010000000003</v>
      </c>
      <c r="C6470" s="32">
        <f t="shared" si="101"/>
        <v>-1.1477077041743944E-2</v>
      </c>
    </row>
    <row r="6471" spans="1:3" x14ac:dyDescent="0.6">
      <c r="A6471" s="24">
        <v>38931</v>
      </c>
      <c r="B6471" s="23">
        <v>8.7286999999999999</v>
      </c>
      <c r="C6471" s="32">
        <f t="shared" si="101"/>
        <v>1.4587477381965197E-2</v>
      </c>
    </row>
    <row r="6472" spans="1:3" x14ac:dyDescent="0.6">
      <c r="A6472" s="24">
        <v>38932</v>
      </c>
      <c r="B6472" s="23">
        <v>8.9118300000000001</v>
      </c>
      <c r="C6472" s="32">
        <f t="shared" si="101"/>
        <v>2.0980214694055199E-2</v>
      </c>
    </row>
    <row r="6473" spans="1:3" x14ac:dyDescent="0.6">
      <c r="A6473" s="24">
        <v>38933</v>
      </c>
      <c r="B6473" s="23">
        <v>8.7466290000000004</v>
      </c>
      <c r="C6473" s="32">
        <f t="shared" si="101"/>
        <v>-1.853727012297135E-2</v>
      </c>
    </row>
    <row r="6474" spans="1:3" x14ac:dyDescent="0.6">
      <c r="A6474" s="24">
        <v>38936</v>
      </c>
      <c r="B6474" s="23">
        <v>8.6070410000000006</v>
      </c>
      <c r="C6474" s="32">
        <f t="shared" si="101"/>
        <v>-1.5959062628585263E-2</v>
      </c>
    </row>
    <row r="6475" spans="1:3" x14ac:dyDescent="0.6">
      <c r="A6475" s="24">
        <v>38937</v>
      </c>
      <c r="B6475" s="23">
        <v>8.2958510000000008</v>
      </c>
      <c r="C6475" s="32">
        <f t="shared" si="101"/>
        <v>-3.6155282634299013E-2</v>
      </c>
    </row>
    <row r="6476" spans="1:3" x14ac:dyDescent="0.6">
      <c r="A6476" s="24">
        <v>38938</v>
      </c>
      <c r="B6476" s="23">
        <v>8.1434569999999997</v>
      </c>
      <c r="C6476" s="32">
        <f t="shared" si="101"/>
        <v>-1.8369905631140271E-2</v>
      </c>
    </row>
    <row r="6477" spans="1:3" x14ac:dyDescent="0.6">
      <c r="A6477" s="24">
        <v>38939</v>
      </c>
      <c r="B6477" s="23">
        <v>8.2049280000000007</v>
      </c>
      <c r="C6477" s="32">
        <f t="shared" si="101"/>
        <v>7.5485141015665391E-3</v>
      </c>
    </row>
    <row r="6478" spans="1:3" x14ac:dyDescent="0.6">
      <c r="A6478" s="24">
        <v>38940</v>
      </c>
      <c r="B6478" s="23">
        <v>8.1511410000000009</v>
      </c>
      <c r="C6478" s="32">
        <f t="shared" si="101"/>
        <v>-6.5554505779941152E-3</v>
      </c>
    </row>
    <row r="6479" spans="1:3" x14ac:dyDescent="0.6">
      <c r="A6479" s="24">
        <v>38943</v>
      </c>
      <c r="B6479" s="23">
        <v>8.1882769999999994</v>
      </c>
      <c r="C6479" s="32">
        <f t="shared" si="101"/>
        <v>4.5559265874555166E-3</v>
      </c>
    </row>
    <row r="6480" spans="1:3" x14ac:dyDescent="0.6">
      <c r="A6480" s="24">
        <v>38944</v>
      </c>
      <c r="B6480" s="23">
        <v>8.5097149999999999</v>
      </c>
      <c r="C6480" s="32">
        <f t="shared" si="101"/>
        <v>3.9255877640680836E-2</v>
      </c>
    </row>
    <row r="6481" spans="1:3" x14ac:dyDescent="0.6">
      <c r="A6481" s="24">
        <v>38945</v>
      </c>
      <c r="B6481" s="23">
        <v>8.7056489999999993</v>
      </c>
      <c r="C6481" s="32">
        <f t="shared" si="101"/>
        <v>2.3024742896794903E-2</v>
      </c>
    </row>
    <row r="6482" spans="1:3" x14ac:dyDescent="0.6">
      <c r="A6482" s="24">
        <v>38946</v>
      </c>
      <c r="B6482" s="23">
        <v>8.6557030000000008</v>
      </c>
      <c r="C6482" s="32">
        <f t="shared" si="101"/>
        <v>-5.7371943206070419E-3</v>
      </c>
    </row>
    <row r="6483" spans="1:3" x14ac:dyDescent="0.6">
      <c r="A6483" s="24">
        <v>38947</v>
      </c>
      <c r="B6483" s="23">
        <v>8.6966859999999997</v>
      </c>
      <c r="C6483" s="32">
        <f t="shared" si="101"/>
        <v>4.7347973931175513E-3</v>
      </c>
    </row>
    <row r="6484" spans="1:3" x14ac:dyDescent="0.6">
      <c r="A6484" s="24">
        <v>38950</v>
      </c>
      <c r="B6484" s="23">
        <v>8.5238010000000006</v>
      </c>
      <c r="C6484" s="32">
        <f t="shared" si="101"/>
        <v>-1.9879411536762315E-2</v>
      </c>
    </row>
    <row r="6485" spans="1:3" x14ac:dyDescent="0.6">
      <c r="A6485" s="24">
        <v>38951</v>
      </c>
      <c r="B6485" s="23">
        <v>8.6595460000000006</v>
      </c>
      <c r="C6485" s="32">
        <f t="shared" si="101"/>
        <v>1.5925406986859514E-2</v>
      </c>
    </row>
    <row r="6486" spans="1:3" x14ac:dyDescent="0.6">
      <c r="A6486" s="24">
        <v>38952</v>
      </c>
      <c r="B6486" s="23">
        <v>8.6198479999999993</v>
      </c>
      <c r="C6486" s="32">
        <f t="shared" si="101"/>
        <v>-4.58430499705198E-3</v>
      </c>
    </row>
    <row r="6487" spans="1:3" x14ac:dyDescent="0.6">
      <c r="A6487" s="24">
        <v>38953</v>
      </c>
      <c r="B6487" s="23">
        <v>8.6838809999999995</v>
      </c>
      <c r="C6487" s="32">
        <f t="shared" si="101"/>
        <v>7.4285532645124164E-3</v>
      </c>
    </row>
    <row r="6488" spans="1:3" x14ac:dyDescent="0.6">
      <c r="A6488" s="24">
        <v>38954</v>
      </c>
      <c r="B6488" s="23">
        <v>8.8042560000000005</v>
      </c>
      <c r="C6488" s="32">
        <f t="shared" si="101"/>
        <v>1.3861889632066804E-2</v>
      </c>
    </row>
    <row r="6489" spans="1:3" x14ac:dyDescent="0.6">
      <c r="A6489" s="24">
        <v>38957</v>
      </c>
      <c r="B6489" s="23">
        <v>8.5775889999999997</v>
      </c>
      <c r="C6489" s="32">
        <f t="shared" si="101"/>
        <v>-2.5745162339668504E-2</v>
      </c>
    </row>
    <row r="6490" spans="1:3" x14ac:dyDescent="0.6">
      <c r="A6490" s="24">
        <v>38958</v>
      </c>
      <c r="B6490" s="23">
        <v>8.5135559999999995</v>
      </c>
      <c r="C6490" s="32">
        <f t="shared" si="101"/>
        <v>-7.4651513379808687E-3</v>
      </c>
    </row>
    <row r="6491" spans="1:3" x14ac:dyDescent="0.6">
      <c r="A6491" s="24">
        <v>38959</v>
      </c>
      <c r="B6491" s="23">
        <v>8.5750250000000001</v>
      </c>
      <c r="C6491" s="32">
        <f t="shared" si="101"/>
        <v>7.2201322220704078E-3</v>
      </c>
    </row>
    <row r="6492" spans="1:3" x14ac:dyDescent="0.6">
      <c r="A6492" s="24">
        <v>38960</v>
      </c>
      <c r="B6492" s="23">
        <v>8.6889979999999998</v>
      </c>
      <c r="C6492" s="32">
        <f t="shared" si="101"/>
        <v>1.3291273203285048E-2</v>
      </c>
    </row>
    <row r="6493" spans="1:3" x14ac:dyDescent="0.6">
      <c r="A6493" s="24">
        <v>38961</v>
      </c>
      <c r="B6493" s="23">
        <v>8.7568750000000009</v>
      </c>
      <c r="C6493" s="32">
        <f t="shared" si="101"/>
        <v>7.811832848851008E-3</v>
      </c>
    </row>
    <row r="6494" spans="1:3" x14ac:dyDescent="0.6">
      <c r="A6494" s="24">
        <v>38965</v>
      </c>
      <c r="B6494" s="23">
        <v>9.1538690000000003</v>
      </c>
      <c r="C6494" s="32">
        <f t="shared" si="101"/>
        <v>4.5335122403825423E-2</v>
      </c>
    </row>
    <row r="6495" spans="1:3" x14ac:dyDescent="0.6">
      <c r="A6495" s="24">
        <v>38966</v>
      </c>
      <c r="B6495" s="23">
        <v>8.9681759999999997</v>
      </c>
      <c r="C6495" s="32">
        <f t="shared" si="101"/>
        <v>-2.02857392868524E-2</v>
      </c>
    </row>
    <row r="6496" spans="1:3" x14ac:dyDescent="0.6">
      <c r="A6496" s="24">
        <v>38967</v>
      </c>
      <c r="B6496" s="23">
        <v>9.322908</v>
      </c>
      <c r="C6496" s="32">
        <f t="shared" si="101"/>
        <v>3.9554531490015421E-2</v>
      </c>
    </row>
    <row r="6497" spans="1:3" x14ac:dyDescent="0.6">
      <c r="A6497" s="24">
        <v>38968</v>
      </c>
      <c r="B6497" s="23">
        <v>9.2870519999999992</v>
      </c>
      <c r="C6497" s="32">
        <f t="shared" si="101"/>
        <v>-3.846010279196177E-3</v>
      </c>
    </row>
    <row r="6498" spans="1:3" x14ac:dyDescent="0.6">
      <c r="A6498" s="24">
        <v>38971</v>
      </c>
      <c r="B6498" s="23">
        <v>9.2844909999999992</v>
      </c>
      <c r="C6498" s="32">
        <f t="shared" si="101"/>
        <v>-2.7576027355069588E-4</v>
      </c>
    </row>
    <row r="6499" spans="1:3" x14ac:dyDescent="0.6">
      <c r="A6499" s="24">
        <v>38972</v>
      </c>
      <c r="B6499" s="23">
        <v>9.3011379999999999</v>
      </c>
      <c r="C6499" s="32">
        <f t="shared" si="101"/>
        <v>1.7929900519049191E-3</v>
      </c>
    </row>
    <row r="6500" spans="1:3" x14ac:dyDescent="0.6">
      <c r="A6500" s="24">
        <v>38973</v>
      </c>
      <c r="B6500" s="23">
        <v>9.5021939999999994</v>
      </c>
      <c r="C6500" s="32">
        <f t="shared" si="101"/>
        <v>2.1616279642340475E-2</v>
      </c>
    </row>
    <row r="6501" spans="1:3" x14ac:dyDescent="0.6">
      <c r="A6501" s="24">
        <v>38974</v>
      </c>
      <c r="B6501" s="23">
        <v>9.4983550000000001</v>
      </c>
      <c r="C6501" s="32">
        <f t="shared" si="101"/>
        <v>-4.0401195765937814E-4</v>
      </c>
    </row>
    <row r="6502" spans="1:3" x14ac:dyDescent="0.6">
      <c r="A6502" s="24">
        <v>38975</v>
      </c>
      <c r="B6502" s="23">
        <v>9.4893889999999992</v>
      </c>
      <c r="C6502" s="32">
        <f t="shared" si="101"/>
        <v>-9.4395292658577823E-4</v>
      </c>
    </row>
    <row r="6503" spans="1:3" x14ac:dyDescent="0.6">
      <c r="A6503" s="24">
        <v>38978</v>
      </c>
      <c r="B6503" s="23">
        <v>9.4624970000000008</v>
      </c>
      <c r="C6503" s="32">
        <f t="shared" si="101"/>
        <v>-2.8339021616669013E-3</v>
      </c>
    </row>
    <row r="6504" spans="1:3" x14ac:dyDescent="0.6">
      <c r="A6504" s="24">
        <v>38979</v>
      </c>
      <c r="B6504" s="23">
        <v>9.4471290000000003</v>
      </c>
      <c r="C6504" s="32">
        <f t="shared" si="101"/>
        <v>-1.6240956271902363E-3</v>
      </c>
    </row>
    <row r="6505" spans="1:3" x14ac:dyDescent="0.6">
      <c r="A6505" s="24">
        <v>38980</v>
      </c>
      <c r="B6505" s="23">
        <v>9.6379420000000007</v>
      </c>
      <c r="C6505" s="32">
        <f t="shared" si="101"/>
        <v>2.0197988193026761E-2</v>
      </c>
    </row>
    <row r="6506" spans="1:3" x14ac:dyDescent="0.6">
      <c r="A6506" s="24">
        <v>38981</v>
      </c>
      <c r="B6506" s="23">
        <v>9.5598220000000005</v>
      </c>
      <c r="C6506" s="32">
        <f t="shared" si="101"/>
        <v>-8.1054648388628747E-3</v>
      </c>
    </row>
    <row r="6507" spans="1:3" x14ac:dyDescent="0.6">
      <c r="A6507" s="24">
        <v>38982</v>
      </c>
      <c r="B6507" s="23">
        <v>9.3485200000000006</v>
      </c>
      <c r="C6507" s="32">
        <f t="shared" si="101"/>
        <v>-2.2103131208928373E-2</v>
      </c>
    </row>
    <row r="6508" spans="1:3" x14ac:dyDescent="0.6">
      <c r="A6508" s="24">
        <v>38985</v>
      </c>
      <c r="B6508" s="23">
        <v>9.7006899999999998</v>
      </c>
      <c r="C6508" s="32">
        <f t="shared" si="101"/>
        <v>3.7671203570190714E-2</v>
      </c>
    </row>
    <row r="6509" spans="1:3" x14ac:dyDescent="0.6">
      <c r="A6509" s="24">
        <v>38986</v>
      </c>
      <c r="B6509" s="23">
        <v>9.9388850000000009</v>
      </c>
      <c r="C6509" s="32">
        <f t="shared" si="101"/>
        <v>2.4554438911046583E-2</v>
      </c>
    </row>
    <row r="6510" spans="1:3" x14ac:dyDescent="0.6">
      <c r="A6510" s="24">
        <v>38987</v>
      </c>
      <c r="B6510" s="23">
        <v>9.7852099999999993</v>
      </c>
      <c r="C6510" s="32">
        <f t="shared" si="101"/>
        <v>-1.5461995988483745E-2</v>
      </c>
    </row>
    <row r="6511" spans="1:3" x14ac:dyDescent="0.6">
      <c r="A6511" s="24">
        <v>38988</v>
      </c>
      <c r="B6511" s="23">
        <v>9.8620479999999997</v>
      </c>
      <c r="C6511" s="32">
        <f t="shared" si="101"/>
        <v>7.8524630539356099E-3</v>
      </c>
    </row>
    <row r="6512" spans="1:3" x14ac:dyDescent="0.6">
      <c r="A6512" s="24">
        <v>38989</v>
      </c>
      <c r="B6512" s="23">
        <v>9.8582079999999994</v>
      </c>
      <c r="C6512" s="32">
        <f t="shared" si="101"/>
        <v>-3.8937145712536481E-4</v>
      </c>
    </row>
    <row r="6513" spans="1:3" x14ac:dyDescent="0.6">
      <c r="A6513" s="24">
        <v>38992</v>
      </c>
      <c r="B6513" s="23">
        <v>9.5867170000000002</v>
      </c>
      <c r="C6513" s="32">
        <f t="shared" si="101"/>
        <v>-2.7539589345244031E-2</v>
      </c>
    </row>
    <row r="6514" spans="1:3" x14ac:dyDescent="0.6">
      <c r="A6514" s="24">
        <v>38993</v>
      </c>
      <c r="B6514" s="23">
        <v>9.4868279999999992</v>
      </c>
      <c r="C6514" s="32">
        <f t="shared" si="101"/>
        <v>-1.0419521093613326E-2</v>
      </c>
    </row>
    <row r="6515" spans="1:3" x14ac:dyDescent="0.6">
      <c r="A6515" s="24">
        <v>38994</v>
      </c>
      <c r="B6515" s="23">
        <v>9.6533080000000009</v>
      </c>
      <c r="C6515" s="32">
        <f t="shared" si="101"/>
        <v>1.7548542041660564E-2</v>
      </c>
    </row>
    <row r="6516" spans="1:3" x14ac:dyDescent="0.6">
      <c r="A6516" s="24">
        <v>38995</v>
      </c>
      <c r="B6516" s="23">
        <v>9.5828760000000006</v>
      </c>
      <c r="C6516" s="32">
        <f t="shared" si="101"/>
        <v>-7.2961517440446322E-3</v>
      </c>
    </row>
    <row r="6517" spans="1:3" x14ac:dyDescent="0.6">
      <c r="A6517" s="24">
        <v>38996</v>
      </c>
      <c r="B6517" s="23">
        <v>9.5047560000000004</v>
      </c>
      <c r="C6517" s="32">
        <f t="shared" si="101"/>
        <v>-8.1520412034967737E-3</v>
      </c>
    </row>
    <row r="6518" spans="1:3" x14ac:dyDescent="0.6">
      <c r="A6518" s="24">
        <v>38999</v>
      </c>
      <c r="B6518" s="23">
        <v>9.5572610000000005</v>
      </c>
      <c r="C6518" s="32">
        <f t="shared" si="101"/>
        <v>5.5240765780837364E-3</v>
      </c>
    </row>
    <row r="6519" spans="1:3" x14ac:dyDescent="0.6">
      <c r="A6519" s="24">
        <v>39000</v>
      </c>
      <c r="B6519" s="23">
        <v>9.4522490000000001</v>
      </c>
      <c r="C6519" s="32">
        <f t="shared" si="101"/>
        <v>-1.0987666863968681E-2</v>
      </c>
    </row>
    <row r="6520" spans="1:3" x14ac:dyDescent="0.6">
      <c r="A6520" s="24">
        <v>39001</v>
      </c>
      <c r="B6520" s="23">
        <v>9.3779749999999993</v>
      </c>
      <c r="C6520" s="32">
        <f t="shared" si="101"/>
        <v>-7.8578124634677282E-3</v>
      </c>
    </row>
    <row r="6521" spans="1:3" x14ac:dyDescent="0.6">
      <c r="A6521" s="24">
        <v>39002</v>
      </c>
      <c r="B6521" s="23">
        <v>9.6379420000000007</v>
      </c>
      <c r="C6521" s="32">
        <f t="shared" si="101"/>
        <v>2.7721016530754428E-2</v>
      </c>
    </row>
    <row r="6522" spans="1:3" x14ac:dyDescent="0.6">
      <c r="A6522" s="24">
        <v>39003</v>
      </c>
      <c r="B6522" s="23">
        <v>9.6072050000000004</v>
      </c>
      <c r="C6522" s="32">
        <f t="shared" si="101"/>
        <v>-3.1891663178715834E-3</v>
      </c>
    </row>
    <row r="6523" spans="1:3" x14ac:dyDescent="0.6">
      <c r="A6523" s="24">
        <v>39006</v>
      </c>
      <c r="B6523" s="23">
        <v>9.6558689999999991</v>
      </c>
      <c r="C6523" s="32">
        <f t="shared" si="101"/>
        <v>5.0653650047021159E-3</v>
      </c>
    </row>
    <row r="6524" spans="1:3" x14ac:dyDescent="0.6">
      <c r="A6524" s="24">
        <v>39007</v>
      </c>
      <c r="B6524" s="23">
        <v>9.5137199999999993</v>
      </c>
      <c r="C6524" s="32">
        <f t="shared" si="101"/>
        <v>-1.4721512895421451E-2</v>
      </c>
    </row>
    <row r="6525" spans="1:3" x14ac:dyDescent="0.6">
      <c r="A6525" s="24">
        <v>39008</v>
      </c>
      <c r="B6525" s="23">
        <v>9.544454</v>
      </c>
      <c r="C6525" s="32">
        <f t="shared" si="101"/>
        <v>3.2304923836312671E-3</v>
      </c>
    </row>
    <row r="6526" spans="1:3" x14ac:dyDescent="0.6">
      <c r="A6526" s="24">
        <v>39009</v>
      </c>
      <c r="B6526" s="23">
        <v>10.115615</v>
      </c>
      <c r="C6526" s="32">
        <f t="shared" si="101"/>
        <v>5.9842186886751136E-2</v>
      </c>
    </row>
    <row r="6527" spans="1:3" x14ac:dyDescent="0.6">
      <c r="A6527" s="24">
        <v>39010</v>
      </c>
      <c r="B6527" s="23">
        <v>10.238549000000001</v>
      </c>
      <c r="C6527" s="32">
        <f t="shared" si="101"/>
        <v>1.2152894312407181E-2</v>
      </c>
    </row>
    <row r="6528" spans="1:3" x14ac:dyDescent="0.6">
      <c r="A6528" s="24">
        <v>39013</v>
      </c>
      <c r="B6528" s="23">
        <v>10.431924</v>
      </c>
      <c r="C6528" s="32">
        <f t="shared" si="101"/>
        <v>1.8886953610321111E-2</v>
      </c>
    </row>
    <row r="6529" spans="1:3" x14ac:dyDescent="0.6">
      <c r="A6529" s="24">
        <v>39014</v>
      </c>
      <c r="B6529" s="23">
        <v>10.379417999999999</v>
      </c>
      <c r="C6529" s="32">
        <f t="shared" si="101"/>
        <v>-5.0332038461937678E-3</v>
      </c>
    </row>
    <row r="6530" spans="1:3" x14ac:dyDescent="0.6">
      <c r="A6530" s="24">
        <v>39015</v>
      </c>
      <c r="B6530" s="23">
        <v>10.460096999999999</v>
      </c>
      <c r="C6530" s="32">
        <f t="shared" si="101"/>
        <v>7.7729791786014246E-3</v>
      </c>
    </row>
    <row r="6531" spans="1:3" x14ac:dyDescent="0.6">
      <c r="A6531" s="24">
        <v>39016</v>
      </c>
      <c r="B6531" s="23">
        <v>10.525410000000001</v>
      </c>
      <c r="C6531" s="32">
        <f t="shared" si="101"/>
        <v>6.2440147543565416E-3</v>
      </c>
    </row>
    <row r="6532" spans="1:3" x14ac:dyDescent="0.6">
      <c r="A6532" s="24">
        <v>39017</v>
      </c>
      <c r="B6532" s="23">
        <v>10.297459</v>
      </c>
      <c r="C6532" s="32">
        <f t="shared" ref="C6532:C6595" si="102">B6532/B6531-1</f>
        <v>-2.1657208602800404E-2</v>
      </c>
    </row>
    <row r="6533" spans="1:3" x14ac:dyDescent="0.6">
      <c r="A6533" s="24">
        <v>39020</v>
      </c>
      <c r="B6533" s="23">
        <v>10.298738</v>
      </c>
      <c r="C6533" s="32">
        <f t="shared" si="102"/>
        <v>1.2420539863278179E-4</v>
      </c>
    </row>
    <row r="6534" spans="1:3" x14ac:dyDescent="0.6">
      <c r="A6534" s="24">
        <v>39021</v>
      </c>
      <c r="B6534" s="23">
        <v>10.383262</v>
      </c>
      <c r="C6534" s="32">
        <f t="shared" si="102"/>
        <v>8.2072191757864843E-3</v>
      </c>
    </row>
    <row r="6535" spans="1:3" x14ac:dyDescent="0.6">
      <c r="A6535" s="24">
        <v>39022</v>
      </c>
      <c r="B6535" s="23">
        <v>10.137384000000001</v>
      </c>
      <c r="C6535" s="32">
        <f t="shared" si="102"/>
        <v>-2.3680226888236011E-2</v>
      </c>
    </row>
    <row r="6536" spans="1:3" x14ac:dyDescent="0.6">
      <c r="A6536" s="24">
        <v>39023</v>
      </c>
      <c r="B6536" s="23">
        <v>10.114330000000001</v>
      </c>
      <c r="C6536" s="32">
        <f t="shared" si="102"/>
        <v>-2.2741567252458905E-3</v>
      </c>
    </row>
    <row r="6537" spans="1:3" x14ac:dyDescent="0.6">
      <c r="A6537" s="24">
        <v>39024</v>
      </c>
      <c r="B6537" s="23">
        <v>10.025969999999999</v>
      </c>
      <c r="C6537" s="32">
        <f t="shared" si="102"/>
        <v>-8.7361199407178791E-3</v>
      </c>
    </row>
    <row r="6538" spans="1:3" x14ac:dyDescent="0.6">
      <c r="A6538" s="24">
        <v>39027</v>
      </c>
      <c r="B6538" s="23">
        <v>10.207817</v>
      </c>
      <c r="C6538" s="32">
        <f t="shared" si="102"/>
        <v>1.8137596661470301E-2</v>
      </c>
    </row>
    <row r="6539" spans="1:3" x14ac:dyDescent="0.6">
      <c r="A6539" s="24">
        <v>39028</v>
      </c>
      <c r="B6539" s="23">
        <v>10.310264999999999</v>
      </c>
      <c r="C6539" s="32">
        <f t="shared" si="102"/>
        <v>1.0036230077400399E-2</v>
      </c>
    </row>
    <row r="6540" spans="1:3" x14ac:dyDescent="0.6">
      <c r="A6540" s="24">
        <v>39029</v>
      </c>
      <c r="B6540" s="23">
        <v>10.558704000000001</v>
      </c>
      <c r="C6540" s="32">
        <f t="shared" si="102"/>
        <v>2.4096276865822608E-2</v>
      </c>
    </row>
    <row r="6541" spans="1:3" x14ac:dyDescent="0.6">
      <c r="A6541" s="24">
        <v>39030</v>
      </c>
      <c r="B6541" s="23">
        <v>10.67268</v>
      </c>
      <c r="C6541" s="32">
        <f t="shared" si="102"/>
        <v>1.079450659853709E-2</v>
      </c>
    </row>
    <row r="6542" spans="1:3" x14ac:dyDescent="0.6">
      <c r="A6542" s="24">
        <v>39031</v>
      </c>
      <c r="B6542" s="23">
        <v>10.644506</v>
      </c>
      <c r="C6542" s="32">
        <f t="shared" si="102"/>
        <v>-2.6398242990514076E-3</v>
      </c>
    </row>
    <row r="6543" spans="1:3" x14ac:dyDescent="0.6">
      <c r="A6543" s="24">
        <v>39034</v>
      </c>
      <c r="B6543" s="23">
        <v>10.802021999999999</v>
      </c>
      <c r="C6543" s="32">
        <f t="shared" si="102"/>
        <v>1.4797868496668531E-2</v>
      </c>
    </row>
    <row r="6544" spans="1:3" x14ac:dyDescent="0.6">
      <c r="A6544" s="24">
        <v>39035</v>
      </c>
      <c r="B6544" s="23">
        <v>10.885262000000001</v>
      </c>
      <c r="C6544" s="32">
        <f t="shared" si="102"/>
        <v>7.7059646795758496E-3</v>
      </c>
    </row>
    <row r="6545" spans="1:3" x14ac:dyDescent="0.6">
      <c r="A6545" s="24">
        <v>39036</v>
      </c>
      <c r="B6545" s="23">
        <v>10.763603</v>
      </c>
      <c r="C6545" s="32">
        <f t="shared" si="102"/>
        <v>-1.1176487988989292E-2</v>
      </c>
    </row>
    <row r="6546" spans="1:3" x14ac:dyDescent="0.6">
      <c r="A6546" s="24">
        <v>39037</v>
      </c>
      <c r="B6546" s="23">
        <v>10.963384</v>
      </c>
      <c r="C6546" s="32">
        <f t="shared" si="102"/>
        <v>1.8560792329483045E-2</v>
      </c>
    </row>
    <row r="6547" spans="1:3" x14ac:dyDescent="0.6">
      <c r="A6547" s="24">
        <v>39038</v>
      </c>
      <c r="B6547" s="23">
        <v>10.994116999999999</v>
      </c>
      <c r="C6547" s="32">
        <f t="shared" si="102"/>
        <v>2.8032403133921857E-3</v>
      </c>
    </row>
    <row r="6548" spans="1:3" x14ac:dyDescent="0.6">
      <c r="A6548" s="24">
        <v>39041</v>
      </c>
      <c r="B6548" s="23">
        <v>11.073513999999999</v>
      </c>
      <c r="C6548" s="32">
        <f t="shared" si="102"/>
        <v>7.2217714255724541E-3</v>
      </c>
    </row>
    <row r="6549" spans="1:3" x14ac:dyDescent="0.6">
      <c r="A6549" s="24">
        <v>39042</v>
      </c>
      <c r="B6549" s="23">
        <v>11.346287999999999</v>
      </c>
      <c r="C6549" s="32">
        <f t="shared" si="102"/>
        <v>2.463301170703347E-2</v>
      </c>
    </row>
    <row r="6550" spans="1:3" x14ac:dyDescent="0.6">
      <c r="A6550" s="24">
        <v>39043</v>
      </c>
      <c r="B6550" s="23">
        <v>11.565272</v>
      </c>
      <c r="C6550" s="32">
        <f t="shared" si="102"/>
        <v>1.9300056547128186E-2</v>
      </c>
    </row>
    <row r="6551" spans="1:3" x14ac:dyDescent="0.6">
      <c r="A6551" s="24">
        <v>39045</v>
      </c>
      <c r="B6551" s="23">
        <v>11.734313999999999</v>
      </c>
      <c r="C6551" s="32">
        <f t="shared" si="102"/>
        <v>1.4616344518312951E-2</v>
      </c>
    </row>
    <row r="6552" spans="1:3" x14ac:dyDescent="0.6">
      <c r="A6552" s="24">
        <v>39048</v>
      </c>
      <c r="B6552" s="23">
        <v>11.466663</v>
      </c>
      <c r="C6552" s="32">
        <f t="shared" si="102"/>
        <v>-2.2809258385279141E-2</v>
      </c>
    </row>
    <row r="6553" spans="1:3" x14ac:dyDescent="0.6">
      <c r="A6553" s="24">
        <v>39049</v>
      </c>
      <c r="B6553" s="23">
        <v>11.757365999999999</v>
      </c>
      <c r="C6553" s="32">
        <f t="shared" si="102"/>
        <v>2.5352013920701966E-2</v>
      </c>
    </row>
    <row r="6554" spans="1:3" x14ac:dyDescent="0.6">
      <c r="A6554" s="24">
        <v>39050</v>
      </c>
      <c r="B6554" s="23">
        <v>11.756085000000001</v>
      </c>
      <c r="C6554" s="32">
        <f t="shared" si="102"/>
        <v>-1.0895297467128362E-4</v>
      </c>
    </row>
    <row r="6555" spans="1:3" x14ac:dyDescent="0.6">
      <c r="A6555" s="24">
        <v>39051</v>
      </c>
      <c r="B6555" s="23">
        <v>11.738156999999999</v>
      </c>
      <c r="C6555" s="32">
        <f t="shared" si="102"/>
        <v>-1.5249974800285448E-3</v>
      </c>
    </row>
    <row r="6556" spans="1:3" x14ac:dyDescent="0.6">
      <c r="A6556" s="24">
        <v>39052</v>
      </c>
      <c r="B6556" s="23">
        <v>11.694616</v>
      </c>
      <c r="C6556" s="32">
        <f t="shared" si="102"/>
        <v>-3.7093557361687068E-3</v>
      </c>
    </row>
    <row r="6557" spans="1:3" x14ac:dyDescent="0.6">
      <c r="A6557" s="24">
        <v>39055</v>
      </c>
      <c r="B6557" s="23">
        <v>11.669003999999999</v>
      </c>
      <c r="C6557" s="32">
        <f t="shared" si="102"/>
        <v>-2.1900676345423253E-3</v>
      </c>
    </row>
    <row r="6558" spans="1:3" x14ac:dyDescent="0.6">
      <c r="A6558" s="24">
        <v>39056</v>
      </c>
      <c r="B6558" s="23">
        <v>11.688211000000001</v>
      </c>
      <c r="C6558" s="32">
        <f t="shared" si="102"/>
        <v>1.6459845244720661E-3</v>
      </c>
    </row>
    <row r="6559" spans="1:3" x14ac:dyDescent="0.6">
      <c r="A6559" s="24">
        <v>39057</v>
      </c>
      <c r="B6559" s="23">
        <v>11.503802</v>
      </c>
      <c r="C6559" s="32">
        <f t="shared" si="102"/>
        <v>-1.5777350357552566E-2</v>
      </c>
    </row>
    <row r="6560" spans="1:3" x14ac:dyDescent="0.6">
      <c r="A6560" s="24">
        <v>39058</v>
      </c>
      <c r="B6560" s="23">
        <v>11.146508000000001</v>
      </c>
      <c r="C6560" s="32">
        <f t="shared" si="102"/>
        <v>-3.1058775177110975E-2</v>
      </c>
    </row>
    <row r="6561" spans="1:3" x14ac:dyDescent="0.6">
      <c r="A6561" s="24">
        <v>39059</v>
      </c>
      <c r="B6561" s="23">
        <v>11.302747</v>
      </c>
      <c r="C6561" s="32">
        <f t="shared" si="102"/>
        <v>1.4016856220800289E-2</v>
      </c>
    </row>
    <row r="6562" spans="1:3" x14ac:dyDescent="0.6">
      <c r="A6562" s="24">
        <v>39062</v>
      </c>
      <c r="B6562" s="23">
        <v>11.365494999999999</v>
      </c>
      <c r="C6562" s="32">
        <f t="shared" si="102"/>
        <v>5.5515707818638571E-3</v>
      </c>
    </row>
    <row r="6563" spans="1:3" x14ac:dyDescent="0.6">
      <c r="A6563" s="24">
        <v>39063</v>
      </c>
      <c r="B6563" s="23">
        <v>11.031257</v>
      </c>
      <c r="C6563" s="32">
        <f t="shared" si="102"/>
        <v>-2.9408134005601938E-2</v>
      </c>
    </row>
    <row r="6564" spans="1:3" x14ac:dyDescent="0.6">
      <c r="A6564" s="24">
        <v>39064</v>
      </c>
      <c r="B6564" s="23">
        <v>11.403915</v>
      </c>
      <c r="C6564" s="32">
        <f t="shared" si="102"/>
        <v>3.3782006891870831E-2</v>
      </c>
    </row>
    <row r="6565" spans="1:3" x14ac:dyDescent="0.6">
      <c r="A6565" s="24">
        <v>39065</v>
      </c>
      <c r="B6565" s="23">
        <v>11.339885000000001</v>
      </c>
      <c r="C6565" s="32">
        <f t="shared" si="102"/>
        <v>-5.6147384472787776E-3</v>
      </c>
    </row>
    <row r="6566" spans="1:3" x14ac:dyDescent="0.6">
      <c r="A6566" s="24">
        <v>39066</v>
      </c>
      <c r="B6566" s="23">
        <v>11.233591000000001</v>
      </c>
      <c r="C6566" s="32">
        <f t="shared" si="102"/>
        <v>-9.3734636638731494E-3</v>
      </c>
    </row>
    <row r="6567" spans="1:3" x14ac:dyDescent="0.6">
      <c r="A6567" s="24">
        <v>39069</v>
      </c>
      <c r="B6567" s="23">
        <v>10.945451</v>
      </c>
      <c r="C6567" s="32">
        <f t="shared" si="102"/>
        <v>-2.5649856755511236E-2</v>
      </c>
    </row>
    <row r="6568" spans="1:3" x14ac:dyDescent="0.6">
      <c r="A6568" s="24">
        <v>39070</v>
      </c>
      <c r="B6568" s="23">
        <v>11.053025</v>
      </c>
      <c r="C6568" s="32">
        <f t="shared" si="102"/>
        <v>9.8281925523213687E-3</v>
      </c>
    </row>
    <row r="6569" spans="1:3" x14ac:dyDescent="0.6">
      <c r="A6569" s="24">
        <v>39071</v>
      </c>
      <c r="B6569" s="23">
        <v>10.854528</v>
      </c>
      <c r="C6569" s="32">
        <f t="shared" si="102"/>
        <v>-1.7958613139841817E-2</v>
      </c>
    </row>
    <row r="6570" spans="1:3" x14ac:dyDescent="0.6">
      <c r="A6570" s="24">
        <v>39072</v>
      </c>
      <c r="B6570" s="23">
        <v>10.616336</v>
      </c>
      <c r="C6570" s="32">
        <f t="shared" si="102"/>
        <v>-2.1944021886534326E-2</v>
      </c>
    </row>
    <row r="6571" spans="1:3" x14ac:dyDescent="0.6">
      <c r="A6571" s="24">
        <v>39073</v>
      </c>
      <c r="B6571" s="23">
        <v>10.52669</v>
      </c>
      <c r="C6571" s="32">
        <f t="shared" si="102"/>
        <v>-8.4441562512715951E-3</v>
      </c>
    </row>
    <row r="6572" spans="1:3" x14ac:dyDescent="0.6">
      <c r="A6572" s="24">
        <v>39077</v>
      </c>
      <c r="B6572" s="23">
        <v>10.438329</v>
      </c>
      <c r="C6572" s="32">
        <f t="shared" si="102"/>
        <v>-8.3939965934212157E-3</v>
      </c>
    </row>
    <row r="6573" spans="1:3" x14ac:dyDescent="0.6">
      <c r="A6573" s="24">
        <v>39078</v>
      </c>
      <c r="B6573" s="23">
        <v>10.43961</v>
      </c>
      <c r="C6573" s="32">
        <f t="shared" si="102"/>
        <v>1.227207918048645E-4</v>
      </c>
    </row>
    <row r="6574" spans="1:3" x14ac:dyDescent="0.6">
      <c r="A6574" s="24">
        <v>39079</v>
      </c>
      <c r="B6574" s="23">
        <v>10.356368</v>
      </c>
      <c r="C6574" s="32">
        <f t="shared" si="102"/>
        <v>-7.973669514474202E-3</v>
      </c>
    </row>
    <row r="6575" spans="1:3" x14ac:dyDescent="0.6">
      <c r="A6575" s="24">
        <v>39080</v>
      </c>
      <c r="B6575" s="23">
        <v>10.864773</v>
      </c>
      <c r="C6575" s="32">
        <f t="shared" si="102"/>
        <v>4.9091051998152224E-2</v>
      </c>
    </row>
    <row r="6576" spans="1:3" x14ac:dyDescent="0.6">
      <c r="A6576" s="24">
        <v>39085</v>
      </c>
      <c r="B6576" s="23">
        <v>10.731588</v>
      </c>
      <c r="C6576" s="32">
        <f t="shared" si="102"/>
        <v>-1.2258424543246216E-2</v>
      </c>
    </row>
    <row r="6577" spans="1:3" x14ac:dyDescent="0.6">
      <c r="A6577" s="24">
        <v>39086</v>
      </c>
      <c r="B6577" s="23">
        <v>10.969785</v>
      </c>
      <c r="C6577" s="32">
        <f t="shared" si="102"/>
        <v>2.2195876323243047E-2</v>
      </c>
    </row>
    <row r="6578" spans="1:3" x14ac:dyDescent="0.6">
      <c r="A6578" s="24">
        <v>39087</v>
      </c>
      <c r="B6578" s="23">
        <v>10.891665</v>
      </c>
      <c r="C6578" s="32">
        <f t="shared" si="102"/>
        <v>-7.1213793160029848E-3</v>
      </c>
    </row>
    <row r="6579" spans="1:3" x14ac:dyDescent="0.6">
      <c r="A6579" s="24">
        <v>39090</v>
      </c>
      <c r="B6579" s="23">
        <v>10.945451</v>
      </c>
      <c r="C6579" s="32">
        <f t="shared" si="102"/>
        <v>4.9382716049384268E-3</v>
      </c>
    </row>
    <row r="6580" spans="1:3" x14ac:dyDescent="0.6">
      <c r="A6580" s="24">
        <v>39091</v>
      </c>
      <c r="B6580" s="23">
        <v>11.854692</v>
      </c>
      <c r="C6580" s="32">
        <f t="shared" si="102"/>
        <v>8.307021793802738E-2</v>
      </c>
    </row>
    <row r="6581" spans="1:3" x14ac:dyDescent="0.6">
      <c r="A6581" s="24">
        <v>39092</v>
      </c>
      <c r="B6581" s="23">
        <v>12.422006</v>
      </c>
      <c r="C6581" s="32">
        <f t="shared" si="102"/>
        <v>4.7855650741495337E-2</v>
      </c>
    </row>
    <row r="6582" spans="1:3" x14ac:dyDescent="0.6">
      <c r="A6582" s="24">
        <v>39093</v>
      </c>
      <c r="B6582" s="23">
        <v>12.268333999999999</v>
      </c>
      <c r="C6582" s="32">
        <f t="shared" si="102"/>
        <v>-1.2370948782346458E-2</v>
      </c>
    </row>
    <row r="6583" spans="1:3" x14ac:dyDescent="0.6">
      <c r="A6583" s="24">
        <v>39094</v>
      </c>
      <c r="B6583" s="23">
        <v>12.11722</v>
      </c>
      <c r="C6583" s="32">
        <f t="shared" si="102"/>
        <v>-1.2317401857497523E-2</v>
      </c>
    </row>
    <row r="6584" spans="1:3" x14ac:dyDescent="0.6">
      <c r="A6584" s="24">
        <v>39098</v>
      </c>
      <c r="B6584" s="23">
        <v>12.434812000000001</v>
      </c>
      <c r="C6584" s="32">
        <f t="shared" si="102"/>
        <v>2.6209972254362057E-2</v>
      </c>
    </row>
    <row r="6585" spans="1:3" x14ac:dyDescent="0.6">
      <c r="A6585" s="24">
        <v>39099</v>
      </c>
      <c r="B6585" s="23">
        <v>12.15948</v>
      </c>
      <c r="C6585" s="32">
        <f t="shared" si="102"/>
        <v>-2.2142031580372978E-2</v>
      </c>
    </row>
    <row r="6586" spans="1:3" x14ac:dyDescent="0.6">
      <c r="A6586" s="24">
        <v>39100</v>
      </c>
      <c r="B6586" s="23">
        <v>11.406476</v>
      </c>
      <c r="C6586" s="32">
        <f t="shared" si="102"/>
        <v>-6.1927319260363212E-2</v>
      </c>
    </row>
    <row r="6587" spans="1:3" x14ac:dyDescent="0.6">
      <c r="A6587" s="24">
        <v>39101</v>
      </c>
      <c r="B6587" s="23">
        <v>11.333481000000001</v>
      </c>
      <c r="C6587" s="32">
        <f t="shared" si="102"/>
        <v>-6.399434847362051E-3</v>
      </c>
    </row>
    <row r="6588" spans="1:3" x14ac:dyDescent="0.6">
      <c r="A6588" s="24">
        <v>39104</v>
      </c>
      <c r="B6588" s="23">
        <v>11.114495</v>
      </c>
      <c r="C6588" s="32">
        <f t="shared" si="102"/>
        <v>-1.9322042362801106E-2</v>
      </c>
    </row>
    <row r="6589" spans="1:3" x14ac:dyDescent="0.6">
      <c r="A6589" s="24">
        <v>39105</v>
      </c>
      <c r="B6589" s="23">
        <v>10.974907999999999</v>
      </c>
      <c r="C6589" s="32">
        <f t="shared" si="102"/>
        <v>-1.2559005154980096E-2</v>
      </c>
    </row>
    <row r="6590" spans="1:3" x14ac:dyDescent="0.6">
      <c r="A6590" s="24">
        <v>39106</v>
      </c>
      <c r="B6590" s="23">
        <v>11.102969</v>
      </c>
      <c r="C6590" s="32">
        <f t="shared" si="102"/>
        <v>1.1668526059626316E-2</v>
      </c>
    </row>
    <row r="6591" spans="1:3" x14ac:dyDescent="0.6">
      <c r="A6591" s="24">
        <v>39107</v>
      </c>
      <c r="B6591" s="23">
        <v>11.045341000000001</v>
      </c>
      <c r="C6591" s="32">
        <f t="shared" si="102"/>
        <v>-5.1903234170967982E-3</v>
      </c>
    </row>
    <row r="6592" spans="1:3" x14ac:dyDescent="0.6">
      <c r="A6592" s="24">
        <v>39108</v>
      </c>
      <c r="B6592" s="23">
        <v>10.933926</v>
      </c>
      <c r="C6592" s="32">
        <f t="shared" si="102"/>
        <v>-1.0087058425810591E-2</v>
      </c>
    </row>
    <row r="6593" spans="1:3" x14ac:dyDescent="0.6">
      <c r="A6593" s="24">
        <v>39111</v>
      </c>
      <c r="B6593" s="23">
        <v>11.005641000000001</v>
      </c>
      <c r="C6593" s="32">
        <f t="shared" si="102"/>
        <v>6.5589432377721746E-3</v>
      </c>
    </row>
    <row r="6594" spans="1:3" x14ac:dyDescent="0.6">
      <c r="A6594" s="24">
        <v>39112</v>
      </c>
      <c r="B6594" s="23">
        <v>10.955698</v>
      </c>
      <c r="C6594" s="32">
        <f t="shared" si="102"/>
        <v>-4.5379455862680773E-3</v>
      </c>
    </row>
    <row r="6595" spans="1:3" x14ac:dyDescent="0.6">
      <c r="A6595" s="24">
        <v>39113</v>
      </c>
      <c r="B6595" s="23">
        <v>10.978748</v>
      </c>
      <c r="C6595" s="32">
        <f t="shared" si="102"/>
        <v>2.1039280199215415E-3</v>
      </c>
    </row>
    <row r="6596" spans="1:3" x14ac:dyDescent="0.6">
      <c r="A6596" s="24">
        <v>39114</v>
      </c>
      <c r="B6596" s="23">
        <v>10.851967</v>
      </c>
      <c r="C6596" s="32">
        <f t="shared" ref="C6596:C6659" si="103">B6596/B6595-1</f>
        <v>-1.154785591216767E-2</v>
      </c>
    </row>
    <row r="6597" spans="1:3" x14ac:dyDescent="0.6">
      <c r="A6597" s="24">
        <v>39115</v>
      </c>
      <c r="B6597" s="23">
        <v>10.853251</v>
      </c>
      <c r="C6597" s="32">
        <f t="shared" si="103"/>
        <v>1.1831956363295149E-4</v>
      </c>
    </row>
    <row r="6598" spans="1:3" x14ac:dyDescent="0.6">
      <c r="A6598" s="24">
        <v>39118</v>
      </c>
      <c r="B6598" s="23">
        <v>10.749517000000001</v>
      </c>
      <c r="C6598" s="32">
        <f t="shared" si="103"/>
        <v>-9.5578734887822314E-3</v>
      </c>
    </row>
    <row r="6599" spans="1:3" x14ac:dyDescent="0.6">
      <c r="A6599" s="24">
        <v>39119</v>
      </c>
      <c r="B6599" s="23">
        <v>10.776408</v>
      </c>
      <c r="C6599" s="32">
        <f t="shared" si="103"/>
        <v>2.5016007695972675E-3</v>
      </c>
    </row>
    <row r="6600" spans="1:3" x14ac:dyDescent="0.6">
      <c r="A6600" s="24">
        <v>39120</v>
      </c>
      <c r="B6600" s="23">
        <v>11.032534</v>
      </c>
      <c r="C6600" s="32">
        <f t="shared" si="103"/>
        <v>2.376728869211342E-2</v>
      </c>
    </row>
    <row r="6601" spans="1:3" x14ac:dyDescent="0.6">
      <c r="A6601" s="24">
        <v>39121</v>
      </c>
      <c r="B6601" s="23">
        <v>11.036374</v>
      </c>
      <c r="C6601" s="32">
        <f t="shared" si="103"/>
        <v>3.4806146983101804E-4</v>
      </c>
    </row>
    <row r="6602" spans="1:3" x14ac:dyDescent="0.6">
      <c r="A6602" s="24">
        <v>39122</v>
      </c>
      <c r="B6602" s="23">
        <v>10.663717999999999</v>
      </c>
      <c r="C6602" s="32">
        <f t="shared" si="103"/>
        <v>-3.3766162690753387E-2</v>
      </c>
    </row>
    <row r="6603" spans="1:3" x14ac:dyDescent="0.6">
      <c r="A6603" s="24">
        <v>39125</v>
      </c>
      <c r="B6603" s="23">
        <v>10.869897999999999</v>
      </c>
      <c r="C6603" s="32">
        <f t="shared" si="103"/>
        <v>1.9334719841616277E-2</v>
      </c>
    </row>
    <row r="6604" spans="1:3" x14ac:dyDescent="0.6">
      <c r="A6604" s="24">
        <v>39126</v>
      </c>
      <c r="B6604" s="23">
        <v>10.846849000000001</v>
      </c>
      <c r="C6604" s="32">
        <f t="shared" si="103"/>
        <v>-2.1204430805145114E-3</v>
      </c>
    </row>
    <row r="6605" spans="1:3" x14ac:dyDescent="0.6">
      <c r="A6605" s="24">
        <v>39127</v>
      </c>
      <c r="B6605" s="23">
        <v>10.923683</v>
      </c>
      <c r="C6605" s="32">
        <f t="shared" si="103"/>
        <v>7.0835318164750305E-3</v>
      </c>
    </row>
    <row r="6606" spans="1:3" x14ac:dyDescent="0.6">
      <c r="A6606" s="24">
        <v>39128</v>
      </c>
      <c r="B6606" s="23">
        <v>10.912156</v>
      </c>
      <c r="C6606" s="32">
        <f t="shared" si="103"/>
        <v>-1.0552301819817256E-3</v>
      </c>
    </row>
    <row r="6607" spans="1:3" x14ac:dyDescent="0.6">
      <c r="A6607" s="24">
        <v>39129</v>
      </c>
      <c r="B6607" s="23">
        <v>10.863493</v>
      </c>
      <c r="C6607" s="32">
        <f t="shared" si="103"/>
        <v>-4.4595220229621813E-3</v>
      </c>
    </row>
    <row r="6608" spans="1:3" x14ac:dyDescent="0.6">
      <c r="A6608" s="24">
        <v>39133</v>
      </c>
      <c r="B6608" s="23">
        <v>11.00052</v>
      </c>
      <c r="C6608" s="32">
        <f t="shared" si="103"/>
        <v>1.261353047311764E-2</v>
      </c>
    </row>
    <row r="6609" spans="1:3" x14ac:dyDescent="0.6">
      <c r="A6609" s="24">
        <v>39134</v>
      </c>
      <c r="B6609" s="23">
        <v>11.423125000000001</v>
      </c>
      <c r="C6609" s="32">
        <f t="shared" si="103"/>
        <v>3.8416820295767984E-2</v>
      </c>
    </row>
    <row r="6610" spans="1:3" x14ac:dyDescent="0.6">
      <c r="A6610" s="24">
        <v>39135</v>
      </c>
      <c r="B6610" s="23">
        <v>11.462823999999999</v>
      </c>
      <c r="C6610" s="32">
        <f t="shared" si="103"/>
        <v>3.4753187065710289E-3</v>
      </c>
    </row>
    <row r="6611" spans="1:3" x14ac:dyDescent="0.6">
      <c r="A6611" s="24">
        <v>39136</v>
      </c>
      <c r="B6611" s="23">
        <v>11.406476</v>
      </c>
      <c r="C6611" s="32">
        <f t="shared" si="103"/>
        <v>-4.915717104266748E-3</v>
      </c>
    </row>
    <row r="6612" spans="1:3" x14ac:dyDescent="0.6">
      <c r="A6612" s="24">
        <v>39139</v>
      </c>
      <c r="B6612" s="23">
        <v>11.334761</v>
      </c>
      <c r="C6612" s="32">
        <f t="shared" si="103"/>
        <v>-6.2872178927128042E-3</v>
      </c>
    </row>
    <row r="6613" spans="1:3" x14ac:dyDescent="0.6">
      <c r="A6613" s="24">
        <v>39140</v>
      </c>
      <c r="B6613" s="23">
        <v>10.748238000000001</v>
      </c>
      <c r="C6613" s="32">
        <f t="shared" si="103"/>
        <v>-5.1745510999305577E-2</v>
      </c>
    </row>
    <row r="6614" spans="1:3" x14ac:dyDescent="0.6">
      <c r="A6614" s="24">
        <v>39141</v>
      </c>
      <c r="B6614" s="23">
        <v>10.835322</v>
      </c>
      <c r="C6614" s="32">
        <f t="shared" si="103"/>
        <v>8.1021652107069464E-3</v>
      </c>
    </row>
    <row r="6615" spans="1:3" x14ac:dyDescent="0.6">
      <c r="A6615" s="24">
        <v>39142</v>
      </c>
      <c r="B6615" s="23">
        <v>11.149072</v>
      </c>
      <c r="C6615" s="32">
        <f t="shared" si="103"/>
        <v>2.8956222989958258E-2</v>
      </c>
    </row>
    <row r="6616" spans="1:3" x14ac:dyDescent="0.6">
      <c r="A6616" s="24">
        <v>39143</v>
      </c>
      <c r="B6616" s="23">
        <v>10.937766999999999</v>
      </c>
      <c r="C6616" s="32">
        <f t="shared" si="103"/>
        <v>-1.8952698484681174E-2</v>
      </c>
    </row>
    <row r="6617" spans="1:3" x14ac:dyDescent="0.6">
      <c r="A6617" s="24">
        <v>39146</v>
      </c>
      <c r="B6617" s="23">
        <v>11.054307</v>
      </c>
      <c r="C6617" s="32">
        <f t="shared" si="103"/>
        <v>1.0654825614771379E-2</v>
      </c>
    </row>
    <row r="6618" spans="1:3" x14ac:dyDescent="0.6">
      <c r="A6618" s="24">
        <v>39147</v>
      </c>
      <c r="B6618" s="23">
        <v>11.293780999999999</v>
      </c>
      <c r="C6618" s="32">
        <f t="shared" si="103"/>
        <v>2.1663411374408081E-2</v>
      </c>
    </row>
    <row r="6619" spans="1:3" x14ac:dyDescent="0.6">
      <c r="A6619" s="24">
        <v>39148</v>
      </c>
      <c r="B6619" s="23">
        <v>11.233591000000001</v>
      </c>
      <c r="C6619" s="32">
        <f t="shared" si="103"/>
        <v>-5.3294817740842104E-3</v>
      </c>
    </row>
    <row r="6620" spans="1:3" x14ac:dyDescent="0.6">
      <c r="A6620" s="24">
        <v>39149</v>
      </c>
      <c r="B6620" s="23">
        <v>11.269450000000001</v>
      </c>
      <c r="C6620" s="32">
        <f t="shared" si="103"/>
        <v>3.1921226257927149E-3</v>
      </c>
    </row>
    <row r="6621" spans="1:3" x14ac:dyDescent="0.6">
      <c r="A6621" s="24">
        <v>39150</v>
      </c>
      <c r="B6621" s="23">
        <v>11.265606</v>
      </c>
      <c r="C6621" s="32">
        <f t="shared" si="103"/>
        <v>-3.4109916633029425E-4</v>
      </c>
    </row>
    <row r="6622" spans="1:3" x14ac:dyDescent="0.6">
      <c r="A6622" s="24">
        <v>39153</v>
      </c>
      <c r="B6622" s="23">
        <v>11.508924</v>
      </c>
      <c r="C6622" s="32">
        <f t="shared" si="103"/>
        <v>2.1598305497280812E-2</v>
      </c>
    </row>
    <row r="6623" spans="1:3" x14ac:dyDescent="0.6">
      <c r="A6623" s="24">
        <v>39154</v>
      </c>
      <c r="B6623" s="23">
        <v>11.320674</v>
      </c>
      <c r="C6623" s="32">
        <f t="shared" si="103"/>
        <v>-1.6356872284498558E-2</v>
      </c>
    </row>
    <row r="6624" spans="1:3" x14ac:dyDescent="0.6">
      <c r="A6624" s="24">
        <v>39155</v>
      </c>
      <c r="B6624" s="23">
        <v>11.525572</v>
      </c>
      <c r="C6624" s="32">
        <f t="shared" si="103"/>
        <v>1.8099452382428716E-2</v>
      </c>
    </row>
    <row r="6625" spans="1:3" x14ac:dyDescent="0.6">
      <c r="A6625" s="24">
        <v>39156</v>
      </c>
      <c r="B6625" s="23">
        <v>11.470506</v>
      </c>
      <c r="C6625" s="32">
        <f t="shared" si="103"/>
        <v>-4.7777238301057734E-3</v>
      </c>
    </row>
    <row r="6626" spans="1:3" x14ac:dyDescent="0.6">
      <c r="A6626" s="24">
        <v>39157</v>
      </c>
      <c r="B6626" s="23">
        <v>11.473065999999999</v>
      </c>
      <c r="C6626" s="32">
        <f t="shared" si="103"/>
        <v>2.2318108721619545E-4</v>
      </c>
    </row>
    <row r="6627" spans="1:3" x14ac:dyDescent="0.6">
      <c r="A6627" s="24">
        <v>39160</v>
      </c>
      <c r="B6627" s="23">
        <v>11.670282</v>
      </c>
      <c r="C6627" s="32">
        <f t="shared" si="103"/>
        <v>1.7189476640333101E-2</v>
      </c>
    </row>
    <row r="6628" spans="1:3" x14ac:dyDescent="0.6">
      <c r="A6628" s="24">
        <v>39161</v>
      </c>
      <c r="B6628" s="23">
        <v>11.715104999999999</v>
      </c>
      <c r="C6628" s="32">
        <f t="shared" si="103"/>
        <v>3.8407812253378193E-3</v>
      </c>
    </row>
    <row r="6629" spans="1:3" x14ac:dyDescent="0.6">
      <c r="A6629" s="24">
        <v>39162</v>
      </c>
      <c r="B6629" s="23">
        <v>12.021172</v>
      </c>
      <c r="C6629" s="32">
        <f t="shared" si="103"/>
        <v>2.6125843515700575E-2</v>
      </c>
    </row>
    <row r="6630" spans="1:3" x14ac:dyDescent="0.6">
      <c r="A6630" s="24">
        <v>39163</v>
      </c>
      <c r="B6630" s="23">
        <v>12.032698</v>
      </c>
      <c r="C6630" s="32">
        <f t="shared" si="103"/>
        <v>9.5880834248096569E-4</v>
      </c>
    </row>
    <row r="6631" spans="1:3" x14ac:dyDescent="0.6">
      <c r="A6631" s="24">
        <v>39164</v>
      </c>
      <c r="B6631" s="23">
        <v>11.976349000000001</v>
      </c>
      <c r="C6631" s="32">
        <f t="shared" si="103"/>
        <v>-4.6829896337462484E-3</v>
      </c>
    </row>
    <row r="6632" spans="1:3" x14ac:dyDescent="0.6">
      <c r="A6632" s="24">
        <v>39167</v>
      </c>
      <c r="B6632" s="23">
        <v>12.274734</v>
      </c>
      <c r="C6632" s="32">
        <f t="shared" si="103"/>
        <v>2.4914521111567556E-2</v>
      </c>
    </row>
    <row r="6633" spans="1:3" x14ac:dyDescent="0.6">
      <c r="A6633" s="24">
        <v>39168</v>
      </c>
      <c r="B6633" s="23">
        <v>12.224792000000001</v>
      </c>
      <c r="C6633" s="32">
        <f t="shared" si="103"/>
        <v>-4.0686828732907632E-3</v>
      </c>
    </row>
    <row r="6634" spans="1:3" x14ac:dyDescent="0.6">
      <c r="A6634" s="24">
        <v>39169</v>
      </c>
      <c r="B6634" s="23">
        <v>11.940492000000001</v>
      </c>
      <c r="C6634" s="32">
        <f t="shared" si="103"/>
        <v>-2.3256019407119521E-2</v>
      </c>
    </row>
    <row r="6635" spans="1:3" x14ac:dyDescent="0.6">
      <c r="A6635" s="24">
        <v>39170</v>
      </c>
      <c r="B6635" s="23">
        <v>12.005805000000001</v>
      </c>
      <c r="C6635" s="32">
        <f t="shared" si="103"/>
        <v>5.4698751106738719E-3</v>
      </c>
    </row>
    <row r="6636" spans="1:3" x14ac:dyDescent="0.6">
      <c r="A6636" s="24">
        <v>39171</v>
      </c>
      <c r="B6636" s="23">
        <v>11.898230999999999</v>
      </c>
      <c r="C6636" s="32">
        <f t="shared" si="103"/>
        <v>-8.9601655199298413E-3</v>
      </c>
    </row>
    <row r="6637" spans="1:3" x14ac:dyDescent="0.6">
      <c r="A6637" s="24">
        <v>39174</v>
      </c>
      <c r="B6637" s="23">
        <v>11.992998999999999</v>
      </c>
      <c r="C6637" s="32">
        <f t="shared" si="103"/>
        <v>7.9648815021324815E-3</v>
      </c>
    </row>
    <row r="6638" spans="1:3" x14ac:dyDescent="0.6">
      <c r="A6638" s="24">
        <v>39175</v>
      </c>
      <c r="B6638" s="23">
        <v>12.101851</v>
      </c>
      <c r="C6638" s="32">
        <f t="shared" si="103"/>
        <v>9.0762952619274362E-3</v>
      </c>
    </row>
    <row r="6639" spans="1:3" x14ac:dyDescent="0.6">
      <c r="A6639" s="24">
        <v>39176</v>
      </c>
      <c r="B6639" s="23">
        <v>12.072398</v>
      </c>
      <c r="C6639" s="32">
        <f t="shared" si="103"/>
        <v>-2.4337599264774301E-3</v>
      </c>
    </row>
    <row r="6640" spans="1:3" x14ac:dyDescent="0.6">
      <c r="A6640" s="24">
        <v>39177</v>
      </c>
      <c r="B6640" s="23">
        <v>12.124902000000001</v>
      </c>
      <c r="C6640" s="32">
        <f t="shared" si="103"/>
        <v>4.3490945212376619E-3</v>
      </c>
    </row>
    <row r="6641" spans="1:3" x14ac:dyDescent="0.6">
      <c r="A6641" s="24">
        <v>39181</v>
      </c>
      <c r="B6641" s="23">
        <v>11.992998999999999</v>
      </c>
      <c r="C6641" s="32">
        <f t="shared" si="103"/>
        <v>-1.087868586484253E-2</v>
      </c>
    </row>
    <row r="6642" spans="1:3" x14ac:dyDescent="0.6">
      <c r="A6642" s="24">
        <v>39182</v>
      </c>
      <c r="B6642" s="23">
        <v>12.069839</v>
      </c>
      <c r="C6642" s="32">
        <f t="shared" si="103"/>
        <v>6.4070713255293121E-3</v>
      </c>
    </row>
    <row r="6643" spans="1:3" x14ac:dyDescent="0.6">
      <c r="A6643" s="24">
        <v>39183</v>
      </c>
      <c r="B6643" s="23">
        <v>11.857251</v>
      </c>
      <c r="C6643" s="32">
        <f t="shared" si="103"/>
        <v>-1.7613159545872947E-2</v>
      </c>
    </row>
    <row r="6644" spans="1:3" x14ac:dyDescent="0.6">
      <c r="A6644" s="24">
        <v>39184</v>
      </c>
      <c r="B6644" s="23">
        <v>11.806027</v>
      </c>
      <c r="C6644" s="32">
        <f t="shared" si="103"/>
        <v>-4.3200569845405212E-3</v>
      </c>
    </row>
    <row r="6645" spans="1:3" x14ac:dyDescent="0.6">
      <c r="A6645" s="24">
        <v>39185</v>
      </c>
      <c r="B6645" s="23">
        <v>11.556305999999999</v>
      </c>
      <c r="C6645" s="32">
        <f t="shared" si="103"/>
        <v>-2.1151992960883548E-2</v>
      </c>
    </row>
    <row r="6646" spans="1:3" x14ac:dyDescent="0.6">
      <c r="A6646" s="24">
        <v>39188</v>
      </c>
      <c r="B6646" s="23">
        <v>11.708703</v>
      </c>
      <c r="C6646" s="32">
        <f t="shared" si="103"/>
        <v>1.3187345506427528E-2</v>
      </c>
    </row>
    <row r="6647" spans="1:3" x14ac:dyDescent="0.6">
      <c r="A6647" s="24">
        <v>39189</v>
      </c>
      <c r="B6647" s="23">
        <v>11.570395</v>
      </c>
      <c r="C6647" s="32">
        <f t="shared" si="103"/>
        <v>-1.1812409965476167E-2</v>
      </c>
    </row>
    <row r="6648" spans="1:3" x14ac:dyDescent="0.6">
      <c r="A6648" s="24">
        <v>39190</v>
      </c>
      <c r="B6648" s="23">
        <v>11.576796999999999</v>
      </c>
      <c r="C6648" s="32">
        <f t="shared" si="103"/>
        <v>5.5330868133718347E-4</v>
      </c>
    </row>
    <row r="6649" spans="1:3" x14ac:dyDescent="0.6">
      <c r="A6649" s="24">
        <v>39191</v>
      </c>
      <c r="B6649" s="23">
        <v>11.56015</v>
      </c>
      <c r="C6649" s="32">
        <f t="shared" si="103"/>
        <v>-1.4379625037909127E-3</v>
      </c>
    </row>
    <row r="6650" spans="1:3" x14ac:dyDescent="0.6">
      <c r="A6650" s="24">
        <v>39192</v>
      </c>
      <c r="B6650" s="23">
        <v>11.649794</v>
      </c>
      <c r="C6650" s="32">
        <f t="shared" si="103"/>
        <v>7.7545706586852337E-3</v>
      </c>
    </row>
    <row r="6651" spans="1:3" x14ac:dyDescent="0.6">
      <c r="A6651" s="24">
        <v>39195</v>
      </c>
      <c r="B6651" s="23">
        <v>11.975071</v>
      </c>
      <c r="C6651" s="32">
        <f t="shared" si="103"/>
        <v>2.7921266247282972E-2</v>
      </c>
    </row>
    <row r="6652" spans="1:3" x14ac:dyDescent="0.6">
      <c r="A6652" s="24">
        <v>39196</v>
      </c>
      <c r="B6652" s="23">
        <v>11.940492000000001</v>
      </c>
      <c r="C6652" s="32">
        <f t="shared" si="103"/>
        <v>-2.8875820443986511E-3</v>
      </c>
    </row>
    <row r="6653" spans="1:3" x14ac:dyDescent="0.6">
      <c r="A6653" s="24">
        <v>39197</v>
      </c>
      <c r="B6653" s="23">
        <v>12.210709</v>
      </c>
      <c r="C6653" s="32">
        <f t="shared" si="103"/>
        <v>2.2630307025874652E-2</v>
      </c>
    </row>
    <row r="6654" spans="1:3" x14ac:dyDescent="0.6">
      <c r="A6654" s="24">
        <v>39198</v>
      </c>
      <c r="B6654" s="23">
        <v>12.657641</v>
      </c>
      <c r="C6654" s="32">
        <f t="shared" si="103"/>
        <v>3.6601642050432925E-2</v>
      </c>
    </row>
    <row r="6655" spans="1:3" x14ac:dyDescent="0.6">
      <c r="A6655" s="24">
        <v>39199</v>
      </c>
      <c r="B6655" s="23">
        <v>12.795946000000001</v>
      </c>
      <c r="C6655" s="32">
        <f t="shared" si="103"/>
        <v>1.0926601568175265E-2</v>
      </c>
    </row>
    <row r="6656" spans="1:3" x14ac:dyDescent="0.6">
      <c r="A6656" s="24">
        <v>39202</v>
      </c>
      <c r="B6656" s="23">
        <v>12.780581</v>
      </c>
      <c r="C6656" s="32">
        <f t="shared" si="103"/>
        <v>-1.2007709316685933E-3</v>
      </c>
    </row>
    <row r="6657" spans="1:3" x14ac:dyDescent="0.6">
      <c r="A6657" s="24">
        <v>39203</v>
      </c>
      <c r="B6657" s="23">
        <v>12.738319000000001</v>
      </c>
      <c r="C6657" s="32">
        <f t="shared" si="103"/>
        <v>-3.3067354293203621E-3</v>
      </c>
    </row>
    <row r="6658" spans="1:3" x14ac:dyDescent="0.6">
      <c r="A6658" s="24">
        <v>39204</v>
      </c>
      <c r="B6658" s="23">
        <v>12.856138</v>
      </c>
      <c r="C6658" s="32">
        <f t="shared" si="103"/>
        <v>9.24917958170135E-3</v>
      </c>
    </row>
    <row r="6659" spans="1:3" x14ac:dyDescent="0.6">
      <c r="A6659" s="24">
        <v>39205</v>
      </c>
      <c r="B6659" s="23">
        <v>12.857415</v>
      </c>
      <c r="C6659" s="32">
        <f t="shared" si="103"/>
        <v>9.9329985412399679E-5</v>
      </c>
    </row>
    <row r="6660" spans="1:3" x14ac:dyDescent="0.6">
      <c r="A6660" s="24">
        <v>39206</v>
      </c>
      <c r="B6660" s="23">
        <v>12.909922</v>
      </c>
      <c r="C6660" s="32">
        <f t="shared" ref="C6660:C6723" si="104">B6660/B6659-1</f>
        <v>4.0837913375277868E-3</v>
      </c>
    </row>
    <row r="6661" spans="1:3" x14ac:dyDescent="0.6">
      <c r="A6661" s="24">
        <v>39209</v>
      </c>
      <c r="B6661" s="23">
        <v>13.308197</v>
      </c>
      <c r="C6661" s="32">
        <f t="shared" si="104"/>
        <v>3.0850302581223898E-2</v>
      </c>
    </row>
    <row r="6662" spans="1:3" x14ac:dyDescent="0.6">
      <c r="A6662" s="24">
        <v>39210</v>
      </c>
      <c r="B6662" s="23">
        <v>13.454184</v>
      </c>
      <c r="C6662" s="32">
        <f t="shared" si="104"/>
        <v>1.0969705362792626E-2</v>
      </c>
    </row>
    <row r="6663" spans="1:3" x14ac:dyDescent="0.6">
      <c r="A6663" s="24">
        <v>39211</v>
      </c>
      <c r="B6663" s="23">
        <v>13.687257000000001</v>
      </c>
      <c r="C6663" s="32">
        <f t="shared" si="104"/>
        <v>1.7323458635618572E-2</v>
      </c>
    </row>
    <row r="6664" spans="1:3" x14ac:dyDescent="0.6">
      <c r="A6664" s="24">
        <v>39212</v>
      </c>
      <c r="B6664" s="23">
        <v>13.746166000000001</v>
      </c>
      <c r="C6664" s="32">
        <f t="shared" si="104"/>
        <v>4.3039302907805776E-3</v>
      </c>
    </row>
    <row r="6665" spans="1:3" x14ac:dyDescent="0.6">
      <c r="A6665" s="24">
        <v>39213</v>
      </c>
      <c r="B6665" s="23">
        <v>13.925454</v>
      </c>
      <c r="C6665" s="32">
        <f t="shared" si="104"/>
        <v>1.3042764069632229E-2</v>
      </c>
    </row>
    <row r="6666" spans="1:3" x14ac:dyDescent="0.6">
      <c r="A6666" s="24">
        <v>39216</v>
      </c>
      <c r="B6666" s="23">
        <v>14.004852</v>
      </c>
      <c r="C6666" s="32">
        <f t="shared" si="104"/>
        <v>5.7016453467153561E-3</v>
      </c>
    </row>
    <row r="6667" spans="1:3" x14ac:dyDescent="0.6">
      <c r="A6667" s="24">
        <v>39217</v>
      </c>
      <c r="B6667" s="23">
        <v>13.769216999999999</v>
      </c>
      <c r="C6667" s="32">
        <f t="shared" si="104"/>
        <v>-1.6825240281011178E-2</v>
      </c>
    </row>
    <row r="6668" spans="1:3" x14ac:dyDescent="0.6">
      <c r="A6668" s="24">
        <v>39218</v>
      </c>
      <c r="B6668" s="23">
        <v>13.746166000000001</v>
      </c>
      <c r="C6668" s="32">
        <f t="shared" si="104"/>
        <v>-1.6740966461635809E-3</v>
      </c>
    </row>
    <row r="6669" spans="1:3" x14ac:dyDescent="0.6">
      <c r="A6669" s="24">
        <v>39219</v>
      </c>
      <c r="B6669" s="23">
        <v>14.015098</v>
      </c>
      <c r="C6669" s="32">
        <f t="shared" si="104"/>
        <v>1.9564146104448232E-2</v>
      </c>
    </row>
    <row r="6670" spans="1:3" x14ac:dyDescent="0.6">
      <c r="A6670" s="24">
        <v>39220</v>
      </c>
      <c r="B6670" s="23">
        <v>14.089373</v>
      </c>
      <c r="C6670" s="32">
        <f t="shared" si="104"/>
        <v>5.2996418576594095E-3</v>
      </c>
    </row>
    <row r="6671" spans="1:3" x14ac:dyDescent="0.6">
      <c r="A6671" s="24">
        <v>39223</v>
      </c>
      <c r="B6671" s="23">
        <v>14.340375999999999</v>
      </c>
      <c r="C6671" s="32">
        <f t="shared" si="104"/>
        <v>1.7815058200247647E-2</v>
      </c>
    </row>
    <row r="6672" spans="1:3" x14ac:dyDescent="0.6">
      <c r="A6672" s="24">
        <v>39224</v>
      </c>
      <c r="B6672" s="23">
        <v>14.540149</v>
      </c>
      <c r="C6672" s="32">
        <f t="shared" si="104"/>
        <v>1.3930806277324903E-2</v>
      </c>
    </row>
    <row r="6673" spans="1:3" x14ac:dyDescent="0.6">
      <c r="A6673" s="24">
        <v>39225</v>
      </c>
      <c r="B6673" s="23">
        <v>14.456912000000001</v>
      </c>
      <c r="C6673" s="32">
        <f t="shared" si="104"/>
        <v>-5.72463184524441E-3</v>
      </c>
    </row>
    <row r="6674" spans="1:3" x14ac:dyDescent="0.6">
      <c r="A6674" s="24">
        <v>39226</v>
      </c>
      <c r="B6674" s="23">
        <v>14.175172999999999</v>
      </c>
      <c r="C6674" s="32">
        <f t="shared" si="104"/>
        <v>-1.9488186688831011E-2</v>
      </c>
    </row>
    <row r="6675" spans="1:3" x14ac:dyDescent="0.6">
      <c r="A6675" s="24">
        <v>39227</v>
      </c>
      <c r="B6675" s="23">
        <v>14.550395</v>
      </c>
      <c r="C6675" s="32">
        <f t="shared" si="104"/>
        <v>2.6470364770856847E-2</v>
      </c>
    </row>
    <row r="6676" spans="1:3" x14ac:dyDescent="0.6">
      <c r="A6676" s="24">
        <v>39231</v>
      </c>
      <c r="B6676" s="23">
        <v>14.643882</v>
      </c>
      <c r="C6676" s="32">
        <f t="shared" si="104"/>
        <v>6.4250489419703793E-3</v>
      </c>
    </row>
    <row r="6677" spans="1:3" x14ac:dyDescent="0.6">
      <c r="A6677" s="24">
        <v>39232</v>
      </c>
      <c r="B6677" s="23">
        <v>15.209913999999999</v>
      </c>
      <c r="C6677" s="32">
        <f t="shared" si="104"/>
        <v>3.8653138559843647E-2</v>
      </c>
    </row>
    <row r="6678" spans="1:3" x14ac:dyDescent="0.6">
      <c r="A6678" s="24">
        <v>39233</v>
      </c>
      <c r="B6678" s="23">
        <v>15.519823000000001</v>
      </c>
      <c r="C6678" s="32">
        <f t="shared" si="104"/>
        <v>2.0375460374069343E-2</v>
      </c>
    </row>
    <row r="6679" spans="1:3" x14ac:dyDescent="0.6">
      <c r="A6679" s="24">
        <v>39234</v>
      </c>
      <c r="B6679" s="23">
        <v>15.162531</v>
      </c>
      <c r="C6679" s="32">
        <f t="shared" si="104"/>
        <v>-2.3021654306237926E-2</v>
      </c>
    </row>
    <row r="6680" spans="1:3" x14ac:dyDescent="0.6">
      <c r="A6680" s="24">
        <v>39237</v>
      </c>
      <c r="B6680" s="23">
        <v>15.537753</v>
      </c>
      <c r="C6680" s="32">
        <f t="shared" si="104"/>
        <v>2.4746660039804746E-2</v>
      </c>
    </row>
    <row r="6681" spans="1:3" x14ac:dyDescent="0.6">
      <c r="A6681" s="24">
        <v>39238</v>
      </c>
      <c r="B6681" s="23">
        <v>15.709360999999999</v>
      </c>
      <c r="C6681" s="32">
        <f t="shared" si="104"/>
        <v>1.1044582829962568E-2</v>
      </c>
    </row>
    <row r="6682" spans="1:3" x14ac:dyDescent="0.6">
      <c r="A6682" s="24">
        <v>39239</v>
      </c>
      <c r="B6682" s="23">
        <v>15.833576000000001</v>
      </c>
      <c r="C6682" s="32">
        <f t="shared" si="104"/>
        <v>7.9070689126057303E-3</v>
      </c>
    </row>
    <row r="6683" spans="1:3" x14ac:dyDescent="0.6">
      <c r="A6683" s="24">
        <v>39240</v>
      </c>
      <c r="B6683" s="23">
        <v>15.888645</v>
      </c>
      <c r="C6683" s="32">
        <f t="shared" si="104"/>
        <v>3.4779888005085358E-3</v>
      </c>
    </row>
    <row r="6684" spans="1:3" x14ac:dyDescent="0.6">
      <c r="A6684" s="24">
        <v>39241</v>
      </c>
      <c r="B6684" s="23">
        <v>15.942432</v>
      </c>
      <c r="C6684" s="32">
        <f t="shared" si="104"/>
        <v>3.3852477665654579E-3</v>
      </c>
    </row>
    <row r="6685" spans="1:3" x14ac:dyDescent="0.6">
      <c r="A6685" s="24">
        <v>39244</v>
      </c>
      <c r="B6685" s="23">
        <v>15.391762</v>
      </c>
      <c r="C6685" s="32">
        <f t="shared" si="104"/>
        <v>-3.4541154072352365E-2</v>
      </c>
    </row>
    <row r="6686" spans="1:3" x14ac:dyDescent="0.6">
      <c r="A6686" s="24">
        <v>39245</v>
      </c>
      <c r="B6686" s="23">
        <v>15.416092000000001</v>
      </c>
      <c r="C6686" s="32">
        <f t="shared" si="104"/>
        <v>1.5807157101312974E-3</v>
      </c>
    </row>
    <row r="6687" spans="1:3" x14ac:dyDescent="0.6">
      <c r="A6687" s="24">
        <v>39246</v>
      </c>
      <c r="B6687" s="23">
        <v>15.047276</v>
      </c>
      <c r="C6687" s="32">
        <f t="shared" si="104"/>
        <v>-2.3924091786686308E-2</v>
      </c>
    </row>
    <row r="6688" spans="1:3" x14ac:dyDescent="0.6">
      <c r="A6688" s="24">
        <v>39247</v>
      </c>
      <c r="B6688" s="23">
        <v>15.207352999999999</v>
      </c>
      <c r="C6688" s="32">
        <f t="shared" si="104"/>
        <v>1.0638271006659261E-2</v>
      </c>
    </row>
    <row r="6689" spans="1:3" x14ac:dyDescent="0.6">
      <c r="A6689" s="24">
        <v>39248</v>
      </c>
      <c r="B6689" s="23">
        <v>15.431462</v>
      </c>
      <c r="C6689" s="32">
        <f t="shared" si="104"/>
        <v>1.4736884190167832E-2</v>
      </c>
    </row>
    <row r="6690" spans="1:3" x14ac:dyDescent="0.6">
      <c r="A6690" s="24">
        <v>39251</v>
      </c>
      <c r="B6690" s="23">
        <v>16.019264</v>
      </c>
      <c r="C6690" s="32">
        <f t="shared" si="104"/>
        <v>3.809114133191005E-2</v>
      </c>
    </row>
    <row r="6691" spans="1:3" x14ac:dyDescent="0.6">
      <c r="A6691" s="24">
        <v>39252</v>
      </c>
      <c r="B6691" s="23">
        <v>15.836138</v>
      </c>
      <c r="C6691" s="32">
        <f t="shared" si="104"/>
        <v>-1.1431611339946635E-2</v>
      </c>
    </row>
    <row r="6692" spans="1:3" x14ac:dyDescent="0.6">
      <c r="A6692" s="24">
        <v>39253</v>
      </c>
      <c r="B6692" s="23">
        <v>15.565925</v>
      </c>
      <c r="C6692" s="32">
        <f t="shared" si="104"/>
        <v>-1.7063061713657679E-2</v>
      </c>
    </row>
    <row r="6693" spans="1:3" x14ac:dyDescent="0.6">
      <c r="A6693" s="24">
        <v>39254</v>
      </c>
      <c r="B6693" s="23">
        <v>15.866873999999999</v>
      </c>
      <c r="C6693" s="32">
        <f t="shared" si="104"/>
        <v>1.933383335715666E-2</v>
      </c>
    </row>
    <row r="6694" spans="1:3" x14ac:dyDescent="0.6">
      <c r="A6694" s="24">
        <v>39255</v>
      </c>
      <c r="B6694" s="23">
        <v>15.751616</v>
      </c>
      <c r="C6694" s="32">
        <f t="shared" si="104"/>
        <v>-7.2640647426833738E-3</v>
      </c>
    </row>
    <row r="6695" spans="1:3" x14ac:dyDescent="0.6">
      <c r="A6695" s="24">
        <v>39258</v>
      </c>
      <c r="B6695" s="23">
        <v>15.667096000000001</v>
      </c>
      <c r="C6695" s="32">
        <f t="shared" si="104"/>
        <v>-5.3657986583725004E-3</v>
      </c>
    </row>
    <row r="6696" spans="1:3" x14ac:dyDescent="0.6">
      <c r="A6696" s="24">
        <v>39259</v>
      </c>
      <c r="B6696" s="23">
        <v>15.322611</v>
      </c>
      <c r="C6696" s="32">
        <f t="shared" si="104"/>
        <v>-2.1987801695987574E-2</v>
      </c>
    </row>
    <row r="6697" spans="1:3" x14ac:dyDescent="0.6">
      <c r="A6697" s="24">
        <v>39260</v>
      </c>
      <c r="B6697" s="23">
        <v>15.609463</v>
      </c>
      <c r="C6697" s="32">
        <f t="shared" si="104"/>
        <v>1.8720830281470979E-2</v>
      </c>
    </row>
    <row r="6698" spans="1:3" x14ac:dyDescent="0.6">
      <c r="A6698" s="24">
        <v>39261</v>
      </c>
      <c r="B6698" s="23">
        <v>15.439143</v>
      </c>
      <c r="C6698" s="32">
        <f t="shared" si="104"/>
        <v>-1.0911329877267395E-2</v>
      </c>
    </row>
    <row r="6699" spans="1:3" x14ac:dyDescent="0.6">
      <c r="A6699" s="24">
        <v>39262</v>
      </c>
      <c r="B6699" s="23">
        <v>15.628678000000001</v>
      </c>
      <c r="C6699" s="32">
        <f t="shared" si="104"/>
        <v>1.2276264297830686E-2</v>
      </c>
    </row>
    <row r="6700" spans="1:3" x14ac:dyDescent="0.6">
      <c r="A6700" s="24">
        <v>39265</v>
      </c>
      <c r="B6700" s="23">
        <v>15.528786999999999</v>
      </c>
      <c r="C6700" s="32">
        <f t="shared" si="104"/>
        <v>-6.3915194874448744E-3</v>
      </c>
    </row>
    <row r="6701" spans="1:3" x14ac:dyDescent="0.6">
      <c r="A6701" s="24">
        <v>39266</v>
      </c>
      <c r="B6701" s="23">
        <v>16.285633000000001</v>
      </c>
      <c r="C6701" s="32">
        <f t="shared" si="104"/>
        <v>4.873825624628636E-2</v>
      </c>
    </row>
    <row r="6702" spans="1:3" x14ac:dyDescent="0.6">
      <c r="A6702" s="24">
        <v>39268</v>
      </c>
      <c r="B6702" s="23">
        <v>17.000221</v>
      </c>
      <c r="C6702" s="32">
        <f t="shared" si="104"/>
        <v>4.38784295335648E-2</v>
      </c>
    </row>
    <row r="6703" spans="1:3" x14ac:dyDescent="0.6">
      <c r="A6703" s="24">
        <v>39269</v>
      </c>
      <c r="B6703" s="23">
        <v>16.942589000000002</v>
      </c>
      <c r="C6703" s="32">
        <f t="shared" si="104"/>
        <v>-3.3900735761022149E-3</v>
      </c>
    </row>
    <row r="6704" spans="1:3" x14ac:dyDescent="0.6">
      <c r="A6704" s="24">
        <v>39272</v>
      </c>
      <c r="B6704" s="23">
        <v>16.690311000000001</v>
      </c>
      <c r="C6704" s="32">
        <f t="shared" si="104"/>
        <v>-1.4890168202746357E-2</v>
      </c>
    </row>
    <row r="6705" spans="1:3" x14ac:dyDescent="0.6">
      <c r="A6705" s="24">
        <v>39273</v>
      </c>
      <c r="B6705" s="23">
        <v>16.948996000000001</v>
      </c>
      <c r="C6705" s="32">
        <f t="shared" si="104"/>
        <v>1.5499112029727868E-2</v>
      </c>
    </row>
    <row r="6706" spans="1:3" x14ac:dyDescent="0.6">
      <c r="A6706" s="24">
        <v>39274</v>
      </c>
      <c r="B6706" s="23">
        <v>16.954121000000001</v>
      </c>
      <c r="C6706" s="32">
        <f t="shared" si="104"/>
        <v>3.0237779276132137E-4</v>
      </c>
    </row>
    <row r="6707" spans="1:3" x14ac:dyDescent="0.6">
      <c r="A6707" s="24">
        <v>39275</v>
      </c>
      <c r="B6707" s="23">
        <v>17.169260000000001</v>
      </c>
      <c r="C6707" s="32">
        <f t="shared" si="104"/>
        <v>1.2689481218165266E-2</v>
      </c>
    </row>
    <row r="6708" spans="1:3" x14ac:dyDescent="0.6">
      <c r="A6708" s="24">
        <v>39276</v>
      </c>
      <c r="B6708" s="23">
        <v>17.637969999999999</v>
      </c>
      <c r="C6708" s="32">
        <f t="shared" si="104"/>
        <v>2.7299371085300006E-2</v>
      </c>
    </row>
    <row r="6709" spans="1:3" x14ac:dyDescent="0.6">
      <c r="A6709" s="24">
        <v>39279</v>
      </c>
      <c r="B6709" s="23">
        <v>17.685354</v>
      </c>
      <c r="C6709" s="32">
        <f t="shared" si="104"/>
        <v>2.686476958516204E-3</v>
      </c>
    </row>
    <row r="6710" spans="1:3" x14ac:dyDescent="0.6">
      <c r="A6710" s="24">
        <v>39280</v>
      </c>
      <c r="B6710" s="23">
        <v>17.789083000000002</v>
      </c>
      <c r="C6710" s="32">
        <f t="shared" si="104"/>
        <v>5.8652487250185903E-3</v>
      </c>
    </row>
    <row r="6711" spans="1:3" x14ac:dyDescent="0.6">
      <c r="A6711" s="24">
        <v>39281</v>
      </c>
      <c r="B6711" s="23">
        <v>17.687916000000001</v>
      </c>
      <c r="C6711" s="32">
        <f t="shared" si="104"/>
        <v>-5.6870272627318474E-3</v>
      </c>
    </row>
    <row r="6712" spans="1:3" x14ac:dyDescent="0.6">
      <c r="A6712" s="24">
        <v>39282</v>
      </c>
      <c r="B6712" s="23">
        <v>17.928667000000001</v>
      </c>
      <c r="C6712" s="32">
        <f t="shared" si="104"/>
        <v>1.3611043833541503E-2</v>
      </c>
    </row>
    <row r="6713" spans="1:3" x14ac:dyDescent="0.6">
      <c r="A6713" s="24">
        <v>39283</v>
      </c>
      <c r="B6713" s="23">
        <v>18.408902999999999</v>
      </c>
      <c r="C6713" s="32">
        <f t="shared" si="104"/>
        <v>2.6785928926004177E-2</v>
      </c>
    </row>
    <row r="6714" spans="1:3" x14ac:dyDescent="0.6">
      <c r="A6714" s="24">
        <v>39286</v>
      </c>
      <c r="B6714" s="23">
        <v>18.402495999999999</v>
      </c>
      <c r="C6714" s="32">
        <f t="shared" si="104"/>
        <v>-3.4803812046813043E-4</v>
      </c>
    </row>
    <row r="6715" spans="1:3" x14ac:dyDescent="0.6">
      <c r="A6715" s="24">
        <v>39287</v>
      </c>
      <c r="B6715" s="23">
        <v>17.274270999999999</v>
      </c>
      <c r="C6715" s="32">
        <f t="shared" si="104"/>
        <v>-6.1308259488278116E-2</v>
      </c>
    </row>
    <row r="6716" spans="1:3" x14ac:dyDescent="0.6">
      <c r="A6716" s="24">
        <v>39288</v>
      </c>
      <c r="B6716" s="23">
        <v>17.577784000000001</v>
      </c>
      <c r="C6716" s="32">
        <f t="shared" si="104"/>
        <v>1.7570234946528318E-2</v>
      </c>
    </row>
    <row r="6717" spans="1:3" x14ac:dyDescent="0.6">
      <c r="A6717" s="24">
        <v>39289</v>
      </c>
      <c r="B6717" s="23">
        <v>18.697040999999999</v>
      </c>
      <c r="C6717" s="32">
        <f t="shared" si="104"/>
        <v>6.3674522340244843E-2</v>
      </c>
    </row>
    <row r="6718" spans="1:3" x14ac:dyDescent="0.6">
      <c r="A6718" s="24">
        <v>39290</v>
      </c>
      <c r="B6718" s="23">
        <v>18.421707000000001</v>
      </c>
      <c r="C6718" s="32">
        <f t="shared" si="104"/>
        <v>-1.4726073500079373E-2</v>
      </c>
    </row>
    <row r="6719" spans="1:3" x14ac:dyDescent="0.6">
      <c r="A6719" s="24">
        <v>39293</v>
      </c>
      <c r="B6719" s="23">
        <v>18.111801</v>
      </c>
      <c r="C6719" s="32">
        <f t="shared" si="104"/>
        <v>-1.6822870974986248E-2</v>
      </c>
    </row>
    <row r="6720" spans="1:3" x14ac:dyDescent="0.6">
      <c r="A6720" s="24">
        <v>39294</v>
      </c>
      <c r="B6720" s="23">
        <v>16.873434</v>
      </c>
      <c r="C6720" s="32">
        <f t="shared" si="104"/>
        <v>-6.8373487539974631E-2</v>
      </c>
    </row>
    <row r="6721" spans="1:3" x14ac:dyDescent="0.6">
      <c r="A6721" s="24">
        <v>39295</v>
      </c>
      <c r="B6721" s="23">
        <v>17.288360999999998</v>
      </c>
      <c r="C6721" s="32">
        <f t="shared" si="104"/>
        <v>2.4590548669583212E-2</v>
      </c>
    </row>
    <row r="6722" spans="1:3" x14ac:dyDescent="0.6">
      <c r="A6722" s="24">
        <v>39296</v>
      </c>
      <c r="B6722" s="23">
        <v>17.479175999999999</v>
      </c>
      <c r="C6722" s="32">
        <f t="shared" si="104"/>
        <v>1.1037194329757583E-2</v>
      </c>
    </row>
    <row r="6723" spans="1:3" x14ac:dyDescent="0.6">
      <c r="A6723" s="24">
        <v>39297</v>
      </c>
      <c r="B6723" s="23">
        <v>16.884965999999999</v>
      </c>
      <c r="C6723" s="32">
        <f t="shared" si="104"/>
        <v>-3.3995309618714331E-2</v>
      </c>
    </row>
    <row r="6724" spans="1:3" x14ac:dyDescent="0.6">
      <c r="A6724" s="24">
        <v>39300</v>
      </c>
      <c r="B6724" s="23">
        <v>17.320367999999998</v>
      </c>
      <c r="C6724" s="32">
        <f t="shared" ref="C6724:C6787" si="105">B6724/B6723-1</f>
        <v>2.5786371142233921E-2</v>
      </c>
    </row>
    <row r="6725" spans="1:3" x14ac:dyDescent="0.6">
      <c r="A6725" s="24">
        <v>39301</v>
      </c>
      <c r="B6725" s="23">
        <v>17.292204000000002</v>
      </c>
      <c r="C6725" s="32">
        <f t="shared" si="105"/>
        <v>-1.6260624485574526E-3</v>
      </c>
    </row>
    <row r="6726" spans="1:3" x14ac:dyDescent="0.6">
      <c r="A6726" s="24">
        <v>39302</v>
      </c>
      <c r="B6726" s="23">
        <v>17.161584999999999</v>
      </c>
      <c r="C6726" s="32">
        <f t="shared" si="105"/>
        <v>-7.5536351525811174E-3</v>
      </c>
    </row>
    <row r="6727" spans="1:3" x14ac:dyDescent="0.6">
      <c r="A6727" s="24">
        <v>39303</v>
      </c>
      <c r="B6727" s="23">
        <v>16.185745000000001</v>
      </c>
      <c r="C6727" s="32">
        <f t="shared" si="105"/>
        <v>-5.6861880764509709E-2</v>
      </c>
    </row>
    <row r="6728" spans="1:3" x14ac:dyDescent="0.6">
      <c r="A6728" s="24">
        <v>39304</v>
      </c>
      <c r="B6728" s="23">
        <v>16.007738</v>
      </c>
      <c r="C6728" s="32">
        <f t="shared" si="105"/>
        <v>-1.0997763772999103E-2</v>
      </c>
    </row>
    <row r="6729" spans="1:3" x14ac:dyDescent="0.6">
      <c r="A6729" s="24">
        <v>39307</v>
      </c>
      <c r="B6729" s="23">
        <v>16.365036</v>
      </c>
      <c r="C6729" s="32">
        <f t="shared" si="105"/>
        <v>2.2320330330243943E-2</v>
      </c>
    </row>
    <row r="6730" spans="1:3" x14ac:dyDescent="0.6">
      <c r="A6730" s="24">
        <v>39308</v>
      </c>
      <c r="B6730" s="23">
        <v>15.883520000000001</v>
      </c>
      <c r="C6730" s="32">
        <f t="shared" si="105"/>
        <v>-2.9423461091072411E-2</v>
      </c>
    </row>
    <row r="6731" spans="1:3" x14ac:dyDescent="0.6">
      <c r="A6731" s="24">
        <v>39309</v>
      </c>
      <c r="B6731" s="23">
        <v>15.354622000000001</v>
      </c>
      <c r="C6731" s="32">
        <f t="shared" si="105"/>
        <v>-3.3298538359255336E-2</v>
      </c>
    </row>
    <row r="6732" spans="1:3" x14ac:dyDescent="0.6">
      <c r="A6732" s="24">
        <v>39310</v>
      </c>
      <c r="B6732" s="23">
        <v>14.989646</v>
      </c>
      <c r="C6732" s="32">
        <f t="shared" si="105"/>
        <v>-2.3769780851654931E-2</v>
      </c>
    </row>
    <row r="6733" spans="1:3" x14ac:dyDescent="0.6">
      <c r="A6733" s="24">
        <v>39311</v>
      </c>
      <c r="B6733" s="23">
        <v>15.631235</v>
      </c>
      <c r="C6733" s="32">
        <f t="shared" si="105"/>
        <v>4.280214489388201E-2</v>
      </c>
    </row>
    <row r="6734" spans="1:3" x14ac:dyDescent="0.6">
      <c r="A6734" s="24">
        <v>39314</v>
      </c>
      <c r="B6734" s="23">
        <v>15.651728</v>
      </c>
      <c r="C6734" s="32">
        <f t="shared" si="105"/>
        <v>1.3110288470488118E-3</v>
      </c>
    </row>
    <row r="6735" spans="1:3" x14ac:dyDescent="0.6">
      <c r="A6735" s="24">
        <v>39315</v>
      </c>
      <c r="B6735" s="23">
        <v>16.336860999999999</v>
      </c>
      <c r="C6735" s="32">
        <f t="shared" si="105"/>
        <v>4.3773633173282755E-2</v>
      </c>
    </row>
    <row r="6736" spans="1:3" x14ac:dyDescent="0.6">
      <c r="A6736" s="24">
        <v>39316</v>
      </c>
      <c r="B6736" s="23">
        <v>16.969484000000001</v>
      </c>
      <c r="C6736" s="32">
        <f t="shared" si="105"/>
        <v>3.8723656888554281E-2</v>
      </c>
    </row>
    <row r="6737" spans="1:3" x14ac:dyDescent="0.6">
      <c r="A6737" s="24">
        <v>39317</v>
      </c>
      <c r="B6737" s="23">
        <v>16.785072</v>
      </c>
      <c r="C6737" s="32">
        <f t="shared" si="105"/>
        <v>-1.0867272098550651E-2</v>
      </c>
    </row>
    <row r="6738" spans="1:3" x14ac:dyDescent="0.6">
      <c r="A6738" s="24">
        <v>39318</v>
      </c>
      <c r="B6738" s="23">
        <v>17.326777</v>
      </c>
      <c r="C6738" s="32">
        <f t="shared" si="105"/>
        <v>3.2273022123467721E-2</v>
      </c>
    </row>
    <row r="6739" spans="1:3" x14ac:dyDescent="0.6">
      <c r="A6739" s="24">
        <v>39321</v>
      </c>
      <c r="B6739" s="23">
        <v>16.936188000000001</v>
      </c>
      <c r="C6739" s="32">
        <f t="shared" si="105"/>
        <v>-2.2542507472682272E-2</v>
      </c>
    </row>
    <row r="6740" spans="1:3" x14ac:dyDescent="0.6">
      <c r="A6740" s="24">
        <v>39322</v>
      </c>
      <c r="B6740" s="23">
        <v>16.240811999999998</v>
      </c>
      <c r="C6740" s="32">
        <f t="shared" si="105"/>
        <v>-4.1058590043993592E-2</v>
      </c>
    </row>
    <row r="6741" spans="1:3" x14ac:dyDescent="0.6">
      <c r="A6741" s="24">
        <v>39323</v>
      </c>
      <c r="B6741" s="23">
        <v>17.170538000000001</v>
      </c>
      <c r="C6741" s="32">
        <f t="shared" si="105"/>
        <v>5.7246275617253817E-2</v>
      </c>
    </row>
    <row r="6742" spans="1:3" x14ac:dyDescent="0.6">
      <c r="A6742" s="24">
        <v>39324</v>
      </c>
      <c r="B6742" s="23">
        <v>17.448439</v>
      </c>
      <c r="C6742" s="32">
        <f t="shared" si="105"/>
        <v>1.6184757868390687E-2</v>
      </c>
    </row>
    <row r="6743" spans="1:3" x14ac:dyDescent="0.6">
      <c r="A6743" s="24">
        <v>39325</v>
      </c>
      <c r="B6743" s="23">
        <v>17.734016</v>
      </c>
      <c r="C6743" s="32">
        <f t="shared" si="105"/>
        <v>1.6366908237464672E-2</v>
      </c>
    </row>
    <row r="6744" spans="1:3" x14ac:dyDescent="0.6">
      <c r="A6744" s="24">
        <v>39329</v>
      </c>
      <c r="B6744" s="23">
        <v>18.461404999999999</v>
      </c>
      <c r="C6744" s="32">
        <f t="shared" si="105"/>
        <v>4.1016597706915237E-2</v>
      </c>
    </row>
    <row r="6745" spans="1:3" x14ac:dyDescent="0.6">
      <c r="A6745" s="24">
        <v>39330</v>
      </c>
      <c r="B6745" s="23">
        <v>17.513750000000002</v>
      </c>
      <c r="C6745" s="32">
        <f t="shared" si="105"/>
        <v>-5.1331683585295829E-2</v>
      </c>
    </row>
    <row r="6746" spans="1:3" x14ac:dyDescent="0.6">
      <c r="A6746" s="24">
        <v>39331</v>
      </c>
      <c r="B6746" s="23">
        <v>17.289636999999999</v>
      </c>
      <c r="C6746" s="32">
        <f t="shared" si="105"/>
        <v>-1.2796402826350861E-2</v>
      </c>
    </row>
    <row r="6747" spans="1:3" x14ac:dyDescent="0.6">
      <c r="A6747" s="24">
        <v>39332</v>
      </c>
      <c r="B6747" s="23">
        <v>16.874718000000001</v>
      </c>
      <c r="C6747" s="32">
        <f t="shared" si="105"/>
        <v>-2.399813252296723E-2</v>
      </c>
    </row>
    <row r="6748" spans="1:3" x14ac:dyDescent="0.6">
      <c r="A6748" s="24">
        <v>39335</v>
      </c>
      <c r="B6748" s="23">
        <v>17.507342999999999</v>
      </c>
      <c r="C6748" s="32">
        <f t="shared" si="105"/>
        <v>3.7489515380345839E-2</v>
      </c>
    </row>
    <row r="6749" spans="1:3" x14ac:dyDescent="0.6">
      <c r="A6749" s="24">
        <v>39336</v>
      </c>
      <c r="B6749" s="23">
        <v>17.351109999999998</v>
      </c>
      <c r="C6749" s="32">
        <f t="shared" si="105"/>
        <v>-8.923855550211135E-3</v>
      </c>
    </row>
    <row r="6750" spans="1:3" x14ac:dyDescent="0.6">
      <c r="A6750" s="24">
        <v>39337</v>
      </c>
      <c r="B6750" s="23">
        <v>17.525278</v>
      </c>
      <c r="C6750" s="32">
        <f t="shared" si="105"/>
        <v>1.0037859249350634E-2</v>
      </c>
    </row>
    <row r="6751" spans="1:3" x14ac:dyDescent="0.6">
      <c r="A6751" s="24">
        <v>39338</v>
      </c>
      <c r="B6751" s="23">
        <v>17.570094999999998</v>
      </c>
      <c r="C6751" s="32">
        <f t="shared" si="105"/>
        <v>2.5572775507469725E-3</v>
      </c>
    </row>
    <row r="6752" spans="1:3" x14ac:dyDescent="0.6">
      <c r="A6752" s="24">
        <v>39339</v>
      </c>
      <c r="B6752" s="23">
        <v>17.776274000000001</v>
      </c>
      <c r="C6752" s="32">
        <f t="shared" si="105"/>
        <v>1.1734654821160762E-2</v>
      </c>
    </row>
    <row r="6753" spans="1:3" x14ac:dyDescent="0.6">
      <c r="A6753" s="24">
        <v>39342</v>
      </c>
      <c r="B6753" s="23">
        <v>17.725054</v>
      </c>
      <c r="C6753" s="32">
        <f t="shared" si="105"/>
        <v>-2.8813687277773337E-3</v>
      </c>
    </row>
    <row r="6754" spans="1:3" x14ac:dyDescent="0.6">
      <c r="A6754" s="24">
        <v>39343</v>
      </c>
      <c r="B6754" s="23">
        <v>18.046482000000001</v>
      </c>
      <c r="C6754" s="32">
        <f t="shared" si="105"/>
        <v>1.8134105543486712E-2</v>
      </c>
    </row>
    <row r="6755" spans="1:3" x14ac:dyDescent="0.6">
      <c r="A6755" s="24">
        <v>39344</v>
      </c>
      <c r="B6755" s="23">
        <v>18.027277000000002</v>
      </c>
      <c r="C6755" s="32">
        <f t="shared" si="105"/>
        <v>-1.0641963347759464E-3</v>
      </c>
    </row>
    <row r="6756" spans="1:3" x14ac:dyDescent="0.6">
      <c r="A6756" s="24">
        <v>39345</v>
      </c>
      <c r="B6756" s="23">
        <v>17.968367000000001</v>
      </c>
      <c r="C6756" s="32">
        <f t="shared" si="105"/>
        <v>-3.2678257509439756E-3</v>
      </c>
    </row>
    <row r="6757" spans="1:3" x14ac:dyDescent="0.6">
      <c r="A6757" s="24">
        <v>39346</v>
      </c>
      <c r="B6757" s="23">
        <v>18.460122999999999</v>
      </c>
      <c r="C6757" s="32">
        <f t="shared" si="105"/>
        <v>2.7367873775062446E-2</v>
      </c>
    </row>
    <row r="6758" spans="1:3" x14ac:dyDescent="0.6">
      <c r="A6758" s="24">
        <v>39349</v>
      </c>
      <c r="B6758" s="23">
        <v>18.989023</v>
      </c>
      <c r="C6758" s="32">
        <f t="shared" si="105"/>
        <v>2.8650946691958668E-2</v>
      </c>
    </row>
    <row r="6759" spans="1:3" x14ac:dyDescent="0.6">
      <c r="A6759" s="24">
        <v>39350</v>
      </c>
      <c r="B6759" s="23">
        <v>19.616522</v>
      </c>
      <c r="C6759" s="32">
        <f t="shared" si="105"/>
        <v>3.3045354676751959E-2</v>
      </c>
    </row>
    <row r="6760" spans="1:3" x14ac:dyDescent="0.6">
      <c r="A6760" s="24">
        <v>39351</v>
      </c>
      <c r="B6760" s="23">
        <v>19.564019999999999</v>
      </c>
      <c r="C6760" s="32">
        <f t="shared" si="105"/>
        <v>-2.6764173587958684E-3</v>
      </c>
    </row>
    <row r="6761" spans="1:3" x14ac:dyDescent="0.6">
      <c r="A6761" s="24">
        <v>39352</v>
      </c>
      <c r="B6761" s="23">
        <v>19.785568000000001</v>
      </c>
      <c r="C6761" s="32">
        <f t="shared" si="105"/>
        <v>1.1324257489002898E-2</v>
      </c>
    </row>
    <row r="6762" spans="1:3" x14ac:dyDescent="0.6">
      <c r="A6762" s="24">
        <v>39353</v>
      </c>
      <c r="B6762" s="23">
        <v>19.653663999999999</v>
      </c>
      <c r="C6762" s="32">
        <f t="shared" si="105"/>
        <v>-6.6666774489366754E-3</v>
      </c>
    </row>
    <row r="6763" spans="1:3" x14ac:dyDescent="0.6">
      <c r="A6763" s="24">
        <v>39356</v>
      </c>
      <c r="B6763" s="23">
        <v>20.021204000000001</v>
      </c>
      <c r="C6763" s="32">
        <f t="shared" si="105"/>
        <v>1.8700838683311183E-2</v>
      </c>
    </row>
    <row r="6764" spans="1:3" x14ac:dyDescent="0.6">
      <c r="A6764" s="24">
        <v>39357</v>
      </c>
      <c r="B6764" s="23">
        <v>20.291412000000001</v>
      </c>
      <c r="C6764" s="32">
        <f t="shared" si="105"/>
        <v>1.3496091443851332E-2</v>
      </c>
    </row>
    <row r="6765" spans="1:3" x14ac:dyDescent="0.6">
      <c r="A6765" s="24">
        <v>39358</v>
      </c>
      <c r="B6765" s="23">
        <v>20.223535999999999</v>
      </c>
      <c r="C6765" s="32">
        <f t="shared" si="105"/>
        <v>-3.345060462031979E-3</v>
      </c>
    </row>
    <row r="6766" spans="1:3" x14ac:dyDescent="0.6">
      <c r="A6766" s="24">
        <v>39359</v>
      </c>
      <c r="B6766" s="23">
        <v>20.008396000000001</v>
      </c>
      <c r="C6766" s="32">
        <f t="shared" si="105"/>
        <v>-1.0638100082992263E-2</v>
      </c>
    </row>
    <row r="6767" spans="1:3" x14ac:dyDescent="0.6">
      <c r="A6767" s="24">
        <v>39360</v>
      </c>
      <c r="B6767" s="23">
        <v>20.675599999999999</v>
      </c>
      <c r="C6767" s="32">
        <f t="shared" si="105"/>
        <v>3.3346201264708997E-2</v>
      </c>
    </row>
    <row r="6768" spans="1:3" x14ac:dyDescent="0.6">
      <c r="A6768" s="24">
        <v>39363</v>
      </c>
      <c r="B6768" s="23">
        <v>21.502873999999998</v>
      </c>
      <c r="C6768" s="32">
        <f t="shared" si="105"/>
        <v>4.0012091547524609E-2</v>
      </c>
    </row>
    <row r="6769" spans="1:3" x14ac:dyDescent="0.6">
      <c r="A6769" s="24">
        <v>39364</v>
      </c>
      <c r="B6769" s="23">
        <v>21.496475</v>
      </c>
      <c r="C6769" s="32">
        <f t="shared" si="105"/>
        <v>-2.975881270568248E-4</v>
      </c>
    </row>
    <row r="6770" spans="1:3" x14ac:dyDescent="0.6">
      <c r="A6770" s="24">
        <v>39365</v>
      </c>
      <c r="B6770" s="23">
        <v>21.359446999999999</v>
      </c>
      <c r="C6770" s="32">
        <f t="shared" si="105"/>
        <v>-6.3744404605872163E-3</v>
      </c>
    </row>
    <row r="6771" spans="1:3" x14ac:dyDescent="0.6">
      <c r="A6771" s="24">
        <v>39366</v>
      </c>
      <c r="B6771" s="23">
        <v>20.775483999999999</v>
      </c>
      <c r="C6771" s="32">
        <f t="shared" si="105"/>
        <v>-2.7339799574399137E-2</v>
      </c>
    </row>
    <row r="6772" spans="1:3" x14ac:dyDescent="0.6">
      <c r="A6772" s="24">
        <v>39367</v>
      </c>
      <c r="B6772" s="23">
        <v>21.418355999999999</v>
      </c>
      <c r="C6772" s="32">
        <f t="shared" si="105"/>
        <v>3.0943779697262475E-2</v>
      </c>
    </row>
    <row r="6773" spans="1:3" x14ac:dyDescent="0.6">
      <c r="A6773" s="24">
        <v>39370</v>
      </c>
      <c r="B6773" s="23">
        <v>21.383780000000002</v>
      </c>
      <c r="C6773" s="32">
        <f t="shared" si="105"/>
        <v>-1.6143162435061642E-3</v>
      </c>
    </row>
    <row r="6774" spans="1:3" x14ac:dyDescent="0.6">
      <c r="A6774" s="24">
        <v>39371</v>
      </c>
      <c r="B6774" s="23">
        <v>21.716740000000001</v>
      </c>
      <c r="C6774" s="32">
        <f t="shared" si="105"/>
        <v>1.557068020714758E-2</v>
      </c>
    </row>
    <row r="6775" spans="1:3" x14ac:dyDescent="0.6">
      <c r="A6775" s="24">
        <v>39372</v>
      </c>
      <c r="B6775" s="23">
        <v>22.122698</v>
      </c>
      <c r="C6775" s="32">
        <f t="shared" si="105"/>
        <v>1.8693321373281613E-2</v>
      </c>
    </row>
    <row r="6776" spans="1:3" x14ac:dyDescent="0.6">
      <c r="A6776" s="24">
        <v>39373</v>
      </c>
      <c r="B6776" s="23">
        <v>22.218744000000001</v>
      </c>
      <c r="C6776" s="32">
        <f t="shared" si="105"/>
        <v>4.3415138605609194E-3</v>
      </c>
    </row>
    <row r="6777" spans="1:3" x14ac:dyDescent="0.6">
      <c r="A6777" s="24">
        <v>39374</v>
      </c>
      <c r="B6777" s="23">
        <v>21.824311999999999</v>
      </c>
      <c r="C6777" s="32">
        <f t="shared" si="105"/>
        <v>-1.7752218577251844E-2</v>
      </c>
    </row>
    <row r="6778" spans="1:3" x14ac:dyDescent="0.6">
      <c r="A6778" s="24">
        <v>39377</v>
      </c>
      <c r="B6778" s="23">
        <v>22.328878</v>
      </c>
      <c r="C6778" s="32">
        <f t="shared" si="105"/>
        <v>2.3119445873024613E-2</v>
      </c>
    </row>
    <row r="6779" spans="1:3" x14ac:dyDescent="0.6">
      <c r="A6779" s="24">
        <v>39378</v>
      </c>
      <c r="B6779" s="23">
        <v>23.840008000000001</v>
      </c>
      <c r="C6779" s="32">
        <f t="shared" si="105"/>
        <v>6.7676038178004383E-2</v>
      </c>
    </row>
    <row r="6780" spans="1:3" x14ac:dyDescent="0.6">
      <c r="A6780" s="24">
        <v>39379</v>
      </c>
      <c r="B6780" s="23">
        <v>23.810555000000001</v>
      </c>
      <c r="C6780" s="32">
        <f t="shared" si="105"/>
        <v>-1.2354442162938462E-3</v>
      </c>
    </row>
    <row r="6781" spans="1:3" x14ac:dyDescent="0.6">
      <c r="A6781" s="24">
        <v>39380</v>
      </c>
      <c r="B6781" s="23">
        <v>23.407162</v>
      </c>
      <c r="C6781" s="32">
        <f t="shared" si="105"/>
        <v>-1.694177225184379E-2</v>
      </c>
    </row>
    <row r="6782" spans="1:3" x14ac:dyDescent="0.6">
      <c r="A6782" s="24">
        <v>39381</v>
      </c>
      <c r="B6782" s="23">
        <v>23.653037999999999</v>
      </c>
      <c r="C6782" s="32">
        <f t="shared" si="105"/>
        <v>1.0504306331540647E-2</v>
      </c>
    </row>
    <row r="6783" spans="1:3" x14ac:dyDescent="0.6">
      <c r="A6783" s="24">
        <v>39384</v>
      </c>
      <c r="B6783" s="23">
        <v>23.702988000000001</v>
      </c>
      <c r="C6783" s="32">
        <f t="shared" si="105"/>
        <v>2.1117794678215951E-3</v>
      </c>
    </row>
    <row r="6784" spans="1:3" x14ac:dyDescent="0.6">
      <c r="A6784" s="24">
        <v>39385</v>
      </c>
      <c r="B6784" s="23">
        <v>23.947578</v>
      </c>
      <c r="C6784" s="32">
        <f t="shared" si="105"/>
        <v>1.0318952192862829E-2</v>
      </c>
    </row>
    <row r="6785" spans="1:3" x14ac:dyDescent="0.6">
      <c r="A6785" s="24">
        <v>39386</v>
      </c>
      <c r="B6785" s="23">
        <v>24.325365000000001</v>
      </c>
      <c r="C6785" s="32">
        <f t="shared" si="105"/>
        <v>1.5775582816767608E-2</v>
      </c>
    </row>
    <row r="6786" spans="1:3" x14ac:dyDescent="0.6">
      <c r="A6786" s="24">
        <v>39387</v>
      </c>
      <c r="B6786" s="23">
        <v>24.003931000000001</v>
      </c>
      <c r="C6786" s="32">
        <f t="shared" si="105"/>
        <v>-1.3213943552337293E-2</v>
      </c>
    </row>
    <row r="6787" spans="1:3" x14ac:dyDescent="0.6">
      <c r="A6787" s="24">
        <v>39388</v>
      </c>
      <c r="B6787" s="23">
        <v>24.058996</v>
      </c>
      <c r="C6787" s="32">
        <f t="shared" si="105"/>
        <v>2.2939992620374383E-3</v>
      </c>
    </row>
    <row r="6788" spans="1:3" x14ac:dyDescent="0.6">
      <c r="A6788" s="24">
        <v>39391</v>
      </c>
      <c r="B6788" s="23">
        <v>23.842573000000002</v>
      </c>
      <c r="C6788" s="32">
        <f t="shared" ref="C6788:C6851" si="106">B6788/B6787-1</f>
        <v>-8.9955125309467698E-3</v>
      </c>
    </row>
    <row r="6789" spans="1:3" x14ac:dyDescent="0.6">
      <c r="A6789" s="24">
        <v>39392</v>
      </c>
      <c r="B6789" s="23">
        <v>24.560997</v>
      </c>
      <c r="C6789" s="32">
        <f t="shared" si="106"/>
        <v>3.0131982819136205E-2</v>
      </c>
    </row>
    <row r="6790" spans="1:3" x14ac:dyDescent="0.6">
      <c r="A6790" s="24">
        <v>39393</v>
      </c>
      <c r="B6790" s="23">
        <v>23.857937</v>
      </c>
      <c r="C6790" s="32">
        <f t="shared" si="106"/>
        <v>-2.8625059479466586E-2</v>
      </c>
    </row>
    <row r="6791" spans="1:3" x14ac:dyDescent="0.6">
      <c r="A6791" s="24">
        <v>39394</v>
      </c>
      <c r="B6791" s="23">
        <v>22.471025000000001</v>
      </c>
      <c r="C6791" s="32">
        <f t="shared" si="106"/>
        <v>-5.8132100860187497E-2</v>
      </c>
    </row>
    <row r="6792" spans="1:3" x14ac:dyDescent="0.6">
      <c r="A6792" s="24">
        <v>39395</v>
      </c>
      <c r="B6792" s="23">
        <v>21.177595</v>
      </c>
      <c r="C6792" s="32">
        <f t="shared" si="106"/>
        <v>-5.7559902140645547E-2</v>
      </c>
    </row>
    <row r="6793" spans="1:3" x14ac:dyDescent="0.6">
      <c r="A6793" s="24">
        <v>39398</v>
      </c>
      <c r="B6793" s="23">
        <v>19.690805000000001</v>
      </c>
      <c r="C6793" s="32">
        <f t="shared" si="106"/>
        <v>-7.0205800044811473E-2</v>
      </c>
    </row>
    <row r="6794" spans="1:3" x14ac:dyDescent="0.6">
      <c r="A6794" s="24">
        <v>39399</v>
      </c>
      <c r="B6794" s="23">
        <v>21.765408999999998</v>
      </c>
      <c r="C6794" s="32">
        <f t="shared" si="106"/>
        <v>0.10535902417397347</v>
      </c>
    </row>
    <row r="6795" spans="1:3" x14ac:dyDescent="0.6">
      <c r="A6795" s="24">
        <v>39400</v>
      </c>
      <c r="B6795" s="23">
        <v>21.272366000000002</v>
      </c>
      <c r="C6795" s="32">
        <f t="shared" si="106"/>
        <v>-2.2652595225754579E-2</v>
      </c>
    </row>
    <row r="6796" spans="1:3" x14ac:dyDescent="0.6">
      <c r="A6796" s="24">
        <v>39401</v>
      </c>
      <c r="B6796" s="23">
        <v>21.040572999999998</v>
      </c>
      <c r="C6796" s="32">
        <f t="shared" si="106"/>
        <v>-1.0896437189920616E-2</v>
      </c>
    </row>
    <row r="6797" spans="1:3" x14ac:dyDescent="0.6">
      <c r="A6797" s="24">
        <v>39402</v>
      </c>
      <c r="B6797" s="23">
        <v>21.308223999999999</v>
      </c>
      <c r="C6797" s="32">
        <f t="shared" si="106"/>
        <v>1.2720708699330618E-2</v>
      </c>
    </row>
    <row r="6798" spans="1:3" x14ac:dyDescent="0.6">
      <c r="A6798" s="24">
        <v>39405</v>
      </c>
      <c r="B6798" s="23">
        <v>20.995754000000002</v>
      </c>
      <c r="C6798" s="32">
        <f t="shared" si="106"/>
        <v>-1.4664291120648931E-2</v>
      </c>
    </row>
    <row r="6799" spans="1:3" x14ac:dyDescent="0.6">
      <c r="A6799" s="24">
        <v>39406</v>
      </c>
      <c r="B6799" s="23">
        <v>21.623259000000001</v>
      </c>
      <c r="C6799" s="32">
        <f t="shared" si="106"/>
        <v>2.9887233390141654E-2</v>
      </c>
    </row>
    <row r="6800" spans="1:3" x14ac:dyDescent="0.6">
      <c r="A6800" s="24">
        <v>39407</v>
      </c>
      <c r="B6800" s="23">
        <v>21.573312999999999</v>
      </c>
      <c r="C6800" s="32">
        <f t="shared" si="106"/>
        <v>-2.3098275796448187E-3</v>
      </c>
    </row>
    <row r="6801" spans="1:3" x14ac:dyDescent="0.6">
      <c r="A6801" s="24">
        <v>39409</v>
      </c>
      <c r="B6801" s="23">
        <v>21.967742999999999</v>
      </c>
      <c r="C6801" s="32">
        <f t="shared" si="106"/>
        <v>1.8283237257068485E-2</v>
      </c>
    </row>
    <row r="6802" spans="1:3" x14ac:dyDescent="0.6">
      <c r="A6802" s="24">
        <v>39412</v>
      </c>
      <c r="B6802" s="23">
        <v>22.09581</v>
      </c>
      <c r="C6802" s="32">
        <f t="shared" si="106"/>
        <v>5.8297750478963906E-3</v>
      </c>
    </row>
    <row r="6803" spans="1:3" x14ac:dyDescent="0.6">
      <c r="A6803" s="24">
        <v>39413</v>
      </c>
      <c r="B6803" s="23">
        <v>22.386503000000001</v>
      </c>
      <c r="C6803" s="32">
        <f t="shared" si="106"/>
        <v>1.3156023698610797E-2</v>
      </c>
    </row>
    <row r="6804" spans="1:3" x14ac:dyDescent="0.6">
      <c r="A6804" s="24">
        <v>39414</v>
      </c>
      <c r="B6804" s="23">
        <v>23.079321</v>
      </c>
      <c r="C6804" s="32">
        <f t="shared" si="106"/>
        <v>3.0948022565203681E-2</v>
      </c>
    </row>
    <row r="6805" spans="1:3" x14ac:dyDescent="0.6">
      <c r="A6805" s="24">
        <v>39415</v>
      </c>
      <c r="B6805" s="23">
        <v>23.600532999999999</v>
      </c>
      <c r="C6805" s="32">
        <f t="shared" si="106"/>
        <v>2.2583506681153942E-2</v>
      </c>
    </row>
    <row r="6806" spans="1:3" x14ac:dyDescent="0.6">
      <c r="A6806" s="24">
        <v>39416</v>
      </c>
      <c r="B6806" s="23">
        <v>23.335445</v>
      </c>
      <c r="C6806" s="32">
        <f t="shared" si="106"/>
        <v>-1.1232288694496773E-2</v>
      </c>
    </row>
    <row r="6807" spans="1:3" x14ac:dyDescent="0.6">
      <c r="A6807" s="24">
        <v>39419</v>
      </c>
      <c r="B6807" s="23">
        <v>22.905156999999999</v>
      </c>
      <c r="C6807" s="32">
        <f t="shared" si="106"/>
        <v>-1.8439245533993454E-2</v>
      </c>
    </row>
    <row r="6808" spans="1:3" x14ac:dyDescent="0.6">
      <c r="A6808" s="24">
        <v>39420</v>
      </c>
      <c r="B6808" s="23">
        <v>23.026812</v>
      </c>
      <c r="C6808" s="32">
        <f t="shared" si="106"/>
        <v>5.3112493400504501E-3</v>
      </c>
    </row>
    <row r="6809" spans="1:3" x14ac:dyDescent="0.6">
      <c r="A6809" s="24">
        <v>39421</v>
      </c>
      <c r="B6809" s="23">
        <v>23.755489000000001</v>
      </c>
      <c r="C6809" s="32">
        <f t="shared" si="106"/>
        <v>3.1644719208199668E-2</v>
      </c>
    </row>
    <row r="6810" spans="1:3" x14ac:dyDescent="0.6">
      <c r="A6810" s="24">
        <v>39422</v>
      </c>
      <c r="B6810" s="23">
        <v>24.325365000000001</v>
      </c>
      <c r="C6810" s="32">
        <f t="shared" si="106"/>
        <v>2.3989234656461855E-2</v>
      </c>
    </row>
    <row r="6811" spans="1:3" x14ac:dyDescent="0.6">
      <c r="A6811" s="24">
        <v>39423</v>
      </c>
      <c r="B6811" s="23">
        <v>24.882427</v>
      </c>
      <c r="C6811" s="32">
        <f t="shared" si="106"/>
        <v>2.2900458019848857E-2</v>
      </c>
    </row>
    <row r="6812" spans="1:3" x14ac:dyDescent="0.6">
      <c r="A6812" s="24">
        <v>39426</v>
      </c>
      <c r="B6812" s="23">
        <v>24.870906999999999</v>
      </c>
      <c r="C6812" s="32">
        <f t="shared" si="106"/>
        <v>-4.6297734541733693E-4</v>
      </c>
    </row>
    <row r="6813" spans="1:3" x14ac:dyDescent="0.6">
      <c r="A6813" s="24">
        <v>39427</v>
      </c>
      <c r="B6813" s="23">
        <v>24.144795999999999</v>
      </c>
      <c r="C6813" s="32">
        <f t="shared" si="106"/>
        <v>-2.919519581654173E-2</v>
      </c>
    </row>
    <row r="6814" spans="1:3" x14ac:dyDescent="0.6">
      <c r="A6814" s="24">
        <v>39428</v>
      </c>
      <c r="B6814" s="23">
        <v>24.441897999999998</v>
      </c>
      <c r="C6814" s="32">
        <f t="shared" si="106"/>
        <v>1.2305011812897337E-2</v>
      </c>
    </row>
    <row r="6815" spans="1:3" x14ac:dyDescent="0.6">
      <c r="A6815" s="24">
        <v>39429</v>
      </c>
      <c r="B6815" s="23">
        <v>24.566122</v>
      </c>
      <c r="C6815" s="32">
        <f t="shared" si="106"/>
        <v>5.0824203586807837E-3</v>
      </c>
    </row>
    <row r="6816" spans="1:3" x14ac:dyDescent="0.6">
      <c r="A6816" s="24">
        <v>39430</v>
      </c>
      <c r="B6816" s="23">
        <v>24.381710000000002</v>
      </c>
      <c r="C6816" s="32">
        <f t="shared" si="106"/>
        <v>-7.5067607333383357E-3</v>
      </c>
    </row>
    <row r="6817" spans="1:3" x14ac:dyDescent="0.6">
      <c r="A6817" s="24">
        <v>39433</v>
      </c>
      <c r="B6817" s="23">
        <v>23.614616000000002</v>
      </c>
      <c r="C6817" s="32">
        <f t="shared" si="106"/>
        <v>-3.1461862190962031E-2</v>
      </c>
    </row>
    <row r="6818" spans="1:3" x14ac:dyDescent="0.6">
      <c r="A6818" s="24">
        <v>39434</v>
      </c>
      <c r="B6818" s="23">
        <v>23.432772</v>
      </c>
      <c r="C6818" s="32">
        <f t="shared" si="106"/>
        <v>-7.7004851571587096E-3</v>
      </c>
    </row>
    <row r="6819" spans="1:3" x14ac:dyDescent="0.6">
      <c r="A6819" s="24">
        <v>39435</v>
      </c>
      <c r="B6819" s="23">
        <v>23.450703000000001</v>
      </c>
      <c r="C6819" s="32">
        <f t="shared" si="106"/>
        <v>7.6521036435650558E-4</v>
      </c>
    </row>
    <row r="6820" spans="1:3" x14ac:dyDescent="0.6">
      <c r="A6820" s="24">
        <v>39436</v>
      </c>
      <c r="B6820" s="23">
        <v>23.97447</v>
      </c>
      <c r="C6820" s="32">
        <f t="shared" si="106"/>
        <v>2.233481017605321E-2</v>
      </c>
    </row>
    <row r="6821" spans="1:3" x14ac:dyDescent="0.6">
      <c r="A6821" s="24">
        <v>39437</v>
      </c>
      <c r="B6821" s="23">
        <v>24.832487</v>
      </c>
      <c r="C6821" s="32">
        <f t="shared" si="106"/>
        <v>3.5788778646618669E-2</v>
      </c>
    </row>
    <row r="6822" spans="1:3" x14ac:dyDescent="0.6">
      <c r="A6822" s="24">
        <v>39440</v>
      </c>
      <c r="B6822" s="23">
        <v>25.458711999999998</v>
      </c>
      <c r="C6822" s="32">
        <f t="shared" si="106"/>
        <v>2.5217973536037608E-2</v>
      </c>
    </row>
    <row r="6823" spans="1:3" x14ac:dyDescent="0.6">
      <c r="A6823" s="24">
        <v>39442</v>
      </c>
      <c r="B6823" s="23">
        <v>25.477920999999998</v>
      </c>
      <c r="C6823" s="32">
        <f t="shared" si="106"/>
        <v>7.5451578225949056E-4</v>
      </c>
    </row>
    <row r="6824" spans="1:3" x14ac:dyDescent="0.6">
      <c r="A6824" s="24">
        <v>39443</v>
      </c>
      <c r="B6824" s="23">
        <v>25.429255000000001</v>
      </c>
      <c r="C6824" s="32">
        <f t="shared" si="106"/>
        <v>-1.9101244563870523E-3</v>
      </c>
    </row>
    <row r="6825" spans="1:3" x14ac:dyDescent="0.6">
      <c r="A6825" s="24">
        <v>39444</v>
      </c>
      <c r="B6825" s="23">
        <v>25.590613999999999</v>
      </c>
      <c r="C6825" s="32">
        <f t="shared" si="106"/>
        <v>6.3454080742828545E-3</v>
      </c>
    </row>
    <row r="6826" spans="1:3" x14ac:dyDescent="0.6">
      <c r="A6826" s="24">
        <v>39447</v>
      </c>
      <c r="B6826" s="23">
        <v>25.366503000000002</v>
      </c>
      <c r="C6826" s="32">
        <f t="shared" si="106"/>
        <v>-8.75754680993579E-3</v>
      </c>
    </row>
    <row r="6827" spans="1:3" x14ac:dyDescent="0.6">
      <c r="A6827" s="24">
        <v>39449</v>
      </c>
      <c r="B6827" s="23">
        <v>24.951581999999998</v>
      </c>
      <c r="C6827" s="32">
        <f t="shared" si="106"/>
        <v>-1.6357043775407365E-2</v>
      </c>
    </row>
    <row r="6828" spans="1:3" x14ac:dyDescent="0.6">
      <c r="A6828" s="24">
        <v>39450</v>
      </c>
      <c r="B6828" s="23">
        <v>24.963107999999998</v>
      </c>
      <c r="C6828" s="32">
        <f t="shared" si="106"/>
        <v>4.6193463805210833E-4</v>
      </c>
    </row>
    <row r="6829" spans="1:3" x14ac:dyDescent="0.6">
      <c r="A6829" s="24">
        <v>39451</v>
      </c>
      <c r="B6829" s="23">
        <v>23.057547</v>
      </c>
      <c r="C6829" s="32">
        <f t="shared" si="106"/>
        <v>-7.6335086159944443E-2</v>
      </c>
    </row>
    <row r="6830" spans="1:3" x14ac:dyDescent="0.6">
      <c r="A6830" s="24">
        <v>39454</v>
      </c>
      <c r="B6830" s="23">
        <v>22.748916999999999</v>
      </c>
      <c r="C6830" s="32">
        <f t="shared" si="106"/>
        <v>-1.3385205286581492E-2</v>
      </c>
    </row>
    <row r="6831" spans="1:3" x14ac:dyDescent="0.6">
      <c r="A6831" s="24">
        <v>39455</v>
      </c>
      <c r="B6831" s="23">
        <v>21.930606999999998</v>
      </c>
      <c r="C6831" s="32">
        <f t="shared" si="106"/>
        <v>-3.5971382725604073E-2</v>
      </c>
    </row>
    <row r="6832" spans="1:3" x14ac:dyDescent="0.6">
      <c r="A6832" s="24">
        <v>39456</v>
      </c>
      <c r="B6832" s="23">
        <v>22.974308000000001</v>
      </c>
      <c r="C6832" s="32">
        <f t="shared" si="106"/>
        <v>4.7591067588781399E-2</v>
      </c>
    </row>
    <row r="6833" spans="1:3" x14ac:dyDescent="0.6">
      <c r="A6833" s="24">
        <v>39457</v>
      </c>
      <c r="B6833" s="23">
        <v>22.797581000000001</v>
      </c>
      <c r="C6833" s="32">
        <f t="shared" si="106"/>
        <v>-7.6923753263863359E-3</v>
      </c>
    </row>
    <row r="6834" spans="1:3" x14ac:dyDescent="0.6">
      <c r="A6834" s="24">
        <v>39458</v>
      </c>
      <c r="B6834" s="23">
        <v>22.115015</v>
      </c>
      <c r="C6834" s="32">
        <f t="shared" si="106"/>
        <v>-2.9940281822005699E-2</v>
      </c>
    </row>
    <row r="6835" spans="1:3" x14ac:dyDescent="0.6">
      <c r="A6835" s="24">
        <v>39461</v>
      </c>
      <c r="B6835" s="23">
        <v>22.894908999999998</v>
      </c>
      <c r="C6835" s="32">
        <f t="shared" si="106"/>
        <v>3.5265361565434139E-2</v>
      </c>
    </row>
    <row r="6836" spans="1:3" x14ac:dyDescent="0.6">
      <c r="A6836" s="24">
        <v>39462</v>
      </c>
      <c r="B6836" s="23">
        <v>21.647589</v>
      </c>
      <c r="C6836" s="32">
        <f t="shared" si="106"/>
        <v>-5.4480234011849427E-2</v>
      </c>
    </row>
    <row r="6837" spans="1:3" x14ac:dyDescent="0.6">
      <c r="A6837" s="24">
        <v>39463</v>
      </c>
      <c r="B6837" s="23">
        <v>20.443804</v>
      </c>
      <c r="C6837" s="32">
        <f t="shared" si="106"/>
        <v>-5.5608271202857718E-2</v>
      </c>
    </row>
    <row r="6838" spans="1:3" x14ac:dyDescent="0.6">
      <c r="A6838" s="24">
        <v>39464</v>
      </c>
      <c r="B6838" s="23">
        <v>20.603884000000001</v>
      </c>
      <c r="C6838" s="32">
        <f t="shared" si="106"/>
        <v>7.8302452909448927E-3</v>
      </c>
    </row>
    <row r="6839" spans="1:3" x14ac:dyDescent="0.6">
      <c r="A6839" s="24">
        <v>39465</v>
      </c>
      <c r="B6839" s="23">
        <v>20.664069999999999</v>
      </c>
      <c r="C6839" s="32">
        <f t="shared" si="106"/>
        <v>2.9210997305166853E-3</v>
      </c>
    </row>
    <row r="6840" spans="1:3" x14ac:dyDescent="0.6">
      <c r="A6840" s="24">
        <v>39469</v>
      </c>
      <c r="B6840" s="23">
        <v>19.931557000000002</v>
      </c>
      <c r="C6840" s="32">
        <f t="shared" si="106"/>
        <v>-3.5448631368360517E-2</v>
      </c>
    </row>
    <row r="6841" spans="1:3" x14ac:dyDescent="0.6">
      <c r="A6841" s="24">
        <v>39470</v>
      </c>
      <c r="B6841" s="23">
        <v>17.809571999999999</v>
      </c>
      <c r="C6841" s="32">
        <f t="shared" si="106"/>
        <v>-0.1064635843552012</v>
      </c>
    </row>
    <row r="6842" spans="1:3" x14ac:dyDescent="0.6">
      <c r="A6842" s="24">
        <v>39471</v>
      </c>
      <c r="B6842" s="23">
        <v>17.365197999999999</v>
      </c>
      <c r="C6842" s="32">
        <f t="shared" si="106"/>
        <v>-2.4951413767832276E-2</v>
      </c>
    </row>
    <row r="6843" spans="1:3" x14ac:dyDescent="0.6">
      <c r="A6843" s="24">
        <v>39472</v>
      </c>
      <c r="B6843" s="23">
        <v>16.649329999999999</v>
      </c>
      <c r="C6843" s="32">
        <f t="shared" si="106"/>
        <v>-4.1224292403691631E-2</v>
      </c>
    </row>
    <row r="6844" spans="1:3" x14ac:dyDescent="0.6">
      <c r="A6844" s="24">
        <v>39475</v>
      </c>
      <c r="B6844" s="23">
        <v>16.649329999999999</v>
      </c>
      <c r="C6844" s="32">
        <f t="shared" si="106"/>
        <v>0</v>
      </c>
    </row>
    <row r="6845" spans="1:3" x14ac:dyDescent="0.6">
      <c r="A6845" s="24">
        <v>39476</v>
      </c>
      <c r="B6845" s="23">
        <v>16.845265999999999</v>
      </c>
      <c r="C6845" s="32">
        <f t="shared" si="106"/>
        <v>1.1768401491231151E-2</v>
      </c>
    </row>
    <row r="6846" spans="1:3" x14ac:dyDescent="0.6">
      <c r="A6846" s="24">
        <v>39477</v>
      </c>
      <c r="B6846" s="23">
        <v>16.927225</v>
      </c>
      <c r="C6846" s="32">
        <f t="shared" si="106"/>
        <v>4.8654025409868851E-3</v>
      </c>
    </row>
    <row r="6847" spans="1:3" x14ac:dyDescent="0.6">
      <c r="A6847" s="24">
        <v>39478</v>
      </c>
      <c r="B6847" s="23">
        <v>17.334463</v>
      </c>
      <c r="C6847" s="32">
        <f t="shared" si="106"/>
        <v>2.405816665165128E-2</v>
      </c>
    </row>
    <row r="6848" spans="1:3" x14ac:dyDescent="0.6">
      <c r="A6848" s="24">
        <v>39479</v>
      </c>
      <c r="B6848" s="23">
        <v>17.128278999999999</v>
      </c>
      <c r="C6848" s="32">
        <f t="shared" si="106"/>
        <v>-1.1894455570962914E-2</v>
      </c>
    </row>
    <row r="6849" spans="1:3" x14ac:dyDescent="0.6">
      <c r="A6849" s="24">
        <v>39482</v>
      </c>
      <c r="B6849" s="23">
        <v>16.859354</v>
      </c>
      <c r="C6849" s="32">
        <f t="shared" si="106"/>
        <v>-1.5700643362943745E-2</v>
      </c>
    </row>
    <row r="6850" spans="1:3" x14ac:dyDescent="0.6">
      <c r="A6850" s="24">
        <v>39483</v>
      </c>
      <c r="B6850" s="23">
        <v>16.566089999999999</v>
      </c>
      <c r="C6850" s="32">
        <f t="shared" si="106"/>
        <v>-1.7394735290569341E-2</v>
      </c>
    </row>
    <row r="6851" spans="1:3" x14ac:dyDescent="0.6">
      <c r="A6851" s="24">
        <v>39484</v>
      </c>
      <c r="B6851" s="23">
        <v>15.623555</v>
      </c>
      <c r="C6851" s="32">
        <f t="shared" si="106"/>
        <v>-5.6895441229644406E-2</v>
      </c>
    </row>
    <row r="6852" spans="1:3" x14ac:dyDescent="0.6">
      <c r="A6852" s="24">
        <v>39485</v>
      </c>
      <c r="B6852" s="23">
        <v>15.526225</v>
      </c>
      <c r="C6852" s="32">
        <f t="shared" ref="C6852:C6915" si="107">B6852/B6851-1</f>
        <v>-6.2296961222974012E-3</v>
      </c>
    </row>
    <row r="6853" spans="1:3" x14ac:dyDescent="0.6">
      <c r="A6853" s="24">
        <v>39486</v>
      </c>
      <c r="B6853" s="23">
        <v>16.069210000000002</v>
      </c>
      <c r="C6853" s="32">
        <f t="shared" si="107"/>
        <v>3.4972119752225694E-2</v>
      </c>
    </row>
    <row r="6854" spans="1:3" x14ac:dyDescent="0.6">
      <c r="A6854" s="24">
        <v>39489</v>
      </c>
      <c r="B6854" s="23">
        <v>16.577615999999999</v>
      </c>
      <c r="C6854" s="32">
        <f t="shared" si="107"/>
        <v>3.163851863283873E-2</v>
      </c>
    </row>
    <row r="6855" spans="1:3" x14ac:dyDescent="0.6">
      <c r="A6855" s="24">
        <v>39490</v>
      </c>
      <c r="B6855" s="23">
        <v>15.989813</v>
      </c>
      <c r="C6855" s="32">
        <f t="shared" si="107"/>
        <v>-3.5457631543642898E-2</v>
      </c>
    </row>
    <row r="6856" spans="1:3" x14ac:dyDescent="0.6">
      <c r="A6856" s="24">
        <v>39491</v>
      </c>
      <c r="B6856" s="23">
        <v>16.571217000000001</v>
      </c>
      <c r="C6856" s="32">
        <f t="shared" si="107"/>
        <v>3.6360900530856721E-2</v>
      </c>
    </row>
    <row r="6857" spans="1:3" x14ac:dyDescent="0.6">
      <c r="A6857" s="24">
        <v>39492</v>
      </c>
      <c r="B6857" s="23">
        <v>16.322770999999999</v>
      </c>
      <c r="C6857" s="32">
        <f t="shared" si="107"/>
        <v>-1.4992622448912529E-2</v>
      </c>
    </row>
    <row r="6858" spans="1:3" x14ac:dyDescent="0.6">
      <c r="A6858" s="24">
        <v>39493</v>
      </c>
      <c r="B6858" s="23">
        <v>15.960355</v>
      </c>
      <c r="C6858" s="32">
        <f t="shared" si="107"/>
        <v>-2.2203092844958694E-2</v>
      </c>
    </row>
    <row r="6859" spans="1:3" x14ac:dyDescent="0.6">
      <c r="A6859" s="24">
        <v>39497</v>
      </c>
      <c r="B6859" s="23">
        <v>15.646604999999999</v>
      </c>
      <c r="C6859" s="32">
        <f t="shared" si="107"/>
        <v>-1.9658084046376256E-2</v>
      </c>
    </row>
    <row r="6860" spans="1:3" x14ac:dyDescent="0.6">
      <c r="A6860" s="24">
        <v>39498</v>
      </c>
      <c r="B6860" s="23">
        <v>15.856628000000001</v>
      </c>
      <c r="C6860" s="32">
        <f t="shared" si="107"/>
        <v>1.3422911871297405E-2</v>
      </c>
    </row>
    <row r="6861" spans="1:3" x14ac:dyDescent="0.6">
      <c r="A6861" s="24">
        <v>39499</v>
      </c>
      <c r="B6861" s="23">
        <v>15.564646</v>
      </c>
      <c r="C6861" s="32">
        <f t="shared" si="107"/>
        <v>-1.8413877149668911E-2</v>
      </c>
    </row>
    <row r="6862" spans="1:3" x14ac:dyDescent="0.6">
      <c r="A6862" s="24">
        <v>39500</v>
      </c>
      <c r="B6862" s="23">
        <v>15.298277000000001</v>
      </c>
      <c r="C6862" s="32">
        <f t="shared" si="107"/>
        <v>-1.7113720414842715E-2</v>
      </c>
    </row>
    <row r="6863" spans="1:3" x14ac:dyDescent="0.6">
      <c r="A6863" s="24">
        <v>39503</v>
      </c>
      <c r="B6863" s="23">
        <v>15.334135</v>
      </c>
      <c r="C6863" s="32">
        <f t="shared" si="107"/>
        <v>2.3439240902749514E-3</v>
      </c>
    </row>
    <row r="6864" spans="1:3" x14ac:dyDescent="0.6">
      <c r="A6864" s="24">
        <v>39504</v>
      </c>
      <c r="B6864" s="23">
        <v>15.258578999999999</v>
      </c>
      <c r="C6864" s="32">
        <f t="shared" si="107"/>
        <v>-4.927307604895903E-3</v>
      </c>
    </row>
    <row r="6865" spans="1:3" x14ac:dyDescent="0.6">
      <c r="A6865" s="24">
        <v>39505</v>
      </c>
      <c r="B6865" s="23">
        <v>15.746494999999999</v>
      </c>
      <c r="C6865" s="32">
        <f t="shared" si="107"/>
        <v>3.1976503185519478E-2</v>
      </c>
    </row>
    <row r="6866" spans="1:3" x14ac:dyDescent="0.6">
      <c r="A6866" s="24">
        <v>39506</v>
      </c>
      <c r="B6866" s="23">
        <v>16.636520000000001</v>
      </c>
      <c r="C6866" s="32">
        <f t="shared" si="107"/>
        <v>5.6522102220208481E-2</v>
      </c>
    </row>
    <row r="6867" spans="1:3" x14ac:dyDescent="0.6">
      <c r="A6867" s="24">
        <v>39507</v>
      </c>
      <c r="B6867" s="23">
        <v>16.010300000000001</v>
      </c>
      <c r="C6867" s="32">
        <f t="shared" si="107"/>
        <v>-3.7641285557316051E-2</v>
      </c>
    </row>
    <row r="6868" spans="1:3" x14ac:dyDescent="0.6">
      <c r="A6868" s="24">
        <v>39510</v>
      </c>
      <c r="B6868" s="23">
        <v>15.588975</v>
      </c>
      <c r="C6868" s="32">
        <f t="shared" si="107"/>
        <v>-2.6315871657620504E-2</v>
      </c>
    </row>
    <row r="6869" spans="1:3" x14ac:dyDescent="0.6">
      <c r="A6869" s="24">
        <v>39511</v>
      </c>
      <c r="B6869" s="23">
        <v>15.959073999999999</v>
      </c>
      <c r="C6869" s="32">
        <f t="shared" si="107"/>
        <v>2.3741073418874548E-2</v>
      </c>
    </row>
    <row r="6870" spans="1:3" x14ac:dyDescent="0.6">
      <c r="A6870" s="24">
        <v>39512</v>
      </c>
      <c r="B6870" s="23">
        <v>15.942432</v>
      </c>
      <c r="C6870" s="32">
        <f t="shared" si="107"/>
        <v>-1.0427923324373145E-3</v>
      </c>
    </row>
    <row r="6871" spans="1:3" x14ac:dyDescent="0.6">
      <c r="A6871" s="24">
        <v>39513</v>
      </c>
      <c r="B6871" s="23">
        <v>15.486528</v>
      </c>
      <c r="C6871" s="32">
        <f t="shared" si="107"/>
        <v>-2.8596891616034514E-2</v>
      </c>
    </row>
    <row r="6872" spans="1:3" x14ac:dyDescent="0.6">
      <c r="A6872" s="24">
        <v>39514</v>
      </c>
      <c r="B6872" s="23">
        <v>15.655568000000001</v>
      </c>
      <c r="C6872" s="32">
        <f t="shared" si="107"/>
        <v>1.0915293602284493E-2</v>
      </c>
    </row>
    <row r="6873" spans="1:3" x14ac:dyDescent="0.6">
      <c r="A6873" s="24">
        <v>39517</v>
      </c>
      <c r="B6873" s="23">
        <v>15.327730000000001</v>
      </c>
      <c r="C6873" s="32">
        <f t="shared" si="107"/>
        <v>-2.0940664688754773E-2</v>
      </c>
    </row>
    <row r="6874" spans="1:3" x14ac:dyDescent="0.6">
      <c r="A6874" s="24">
        <v>39518</v>
      </c>
      <c r="B6874" s="23">
        <v>16.308682999999998</v>
      </c>
      <c r="C6874" s="32">
        <f t="shared" si="107"/>
        <v>6.3998582960425265E-2</v>
      </c>
    </row>
    <row r="6875" spans="1:3" x14ac:dyDescent="0.6">
      <c r="A6875" s="24">
        <v>39519</v>
      </c>
      <c r="B6875" s="23">
        <v>16.139641000000001</v>
      </c>
      <c r="C6875" s="32">
        <f t="shared" si="107"/>
        <v>-1.0365153335802568E-2</v>
      </c>
    </row>
    <row r="6876" spans="1:3" x14ac:dyDescent="0.6">
      <c r="A6876" s="24">
        <v>39520</v>
      </c>
      <c r="B6876" s="23">
        <v>16.384245</v>
      </c>
      <c r="C6876" s="32">
        <f t="shared" si="107"/>
        <v>1.5155479604533895E-2</v>
      </c>
    </row>
    <row r="6877" spans="1:3" x14ac:dyDescent="0.6">
      <c r="A6877" s="24">
        <v>39521</v>
      </c>
      <c r="B6877" s="23">
        <v>16.213923000000001</v>
      </c>
      <c r="C6877" s="32">
        <f t="shared" si="107"/>
        <v>-1.0395474432907892E-2</v>
      </c>
    </row>
    <row r="6878" spans="1:3" x14ac:dyDescent="0.6">
      <c r="A6878" s="24">
        <v>39524</v>
      </c>
      <c r="B6878" s="23">
        <v>16.229288</v>
      </c>
      <c r="C6878" s="32">
        <f t="shared" si="107"/>
        <v>9.4764234417543669E-4</v>
      </c>
    </row>
    <row r="6879" spans="1:3" x14ac:dyDescent="0.6">
      <c r="A6879" s="24">
        <v>39525</v>
      </c>
      <c r="B6879" s="23">
        <v>17.009180000000001</v>
      </c>
      <c r="C6879" s="32">
        <f t="shared" si="107"/>
        <v>4.8054603504479099E-2</v>
      </c>
    </row>
    <row r="6880" spans="1:3" x14ac:dyDescent="0.6">
      <c r="A6880" s="24">
        <v>39526</v>
      </c>
      <c r="B6880" s="23">
        <v>16.605791</v>
      </c>
      <c r="C6880" s="32">
        <f t="shared" si="107"/>
        <v>-2.3715958088514566E-2</v>
      </c>
    </row>
    <row r="6881" spans="1:3" x14ac:dyDescent="0.6">
      <c r="A6881" s="24">
        <v>39527</v>
      </c>
      <c r="B6881" s="23">
        <v>17.066808999999999</v>
      </c>
      <c r="C6881" s="32">
        <f t="shared" si="107"/>
        <v>2.7762483581781794E-2</v>
      </c>
    </row>
    <row r="6882" spans="1:3" x14ac:dyDescent="0.6">
      <c r="A6882" s="24">
        <v>39531</v>
      </c>
      <c r="B6882" s="23">
        <v>17.868479000000001</v>
      </c>
      <c r="C6882" s="32">
        <f t="shared" si="107"/>
        <v>4.6972459819524692E-2</v>
      </c>
    </row>
    <row r="6883" spans="1:3" x14ac:dyDescent="0.6">
      <c r="A6883" s="24">
        <v>39532</v>
      </c>
      <c r="B6883" s="23">
        <v>18.054167</v>
      </c>
      <c r="C6883" s="32">
        <f t="shared" si="107"/>
        <v>1.0391930952824646E-2</v>
      </c>
    </row>
    <row r="6884" spans="1:3" x14ac:dyDescent="0.6">
      <c r="A6884" s="24">
        <v>39533</v>
      </c>
      <c r="B6884" s="23">
        <v>18.576661999999999</v>
      </c>
      <c r="C6884" s="32">
        <f t="shared" si="107"/>
        <v>2.8940410266505179E-2</v>
      </c>
    </row>
    <row r="6885" spans="1:3" x14ac:dyDescent="0.6">
      <c r="A6885" s="24">
        <v>39534</v>
      </c>
      <c r="B6885" s="23">
        <v>17.960685999999999</v>
      </c>
      <c r="C6885" s="32">
        <f t="shared" si="107"/>
        <v>-3.3158594369645078E-2</v>
      </c>
    </row>
    <row r="6886" spans="1:3" x14ac:dyDescent="0.6">
      <c r="A6886" s="24">
        <v>39535</v>
      </c>
      <c r="B6886" s="23">
        <v>18.314135</v>
      </c>
      <c r="C6886" s="32">
        <f t="shared" si="107"/>
        <v>1.9679036758395663E-2</v>
      </c>
    </row>
    <row r="6887" spans="1:3" x14ac:dyDescent="0.6">
      <c r="A6887" s="24">
        <v>39538</v>
      </c>
      <c r="B6887" s="23">
        <v>18.376885999999999</v>
      </c>
      <c r="C6887" s="32">
        <f t="shared" si="107"/>
        <v>3.4263698503913531E-3</v>
      </c>
    </row>
    <row r="6888" spans="1:3" x14ac:dyDescent="0.6">
      <c r="A6888" s="24">
        <v>39539</v>
      </c>
      <c r="B6888" s="23">
        <v>19.149104999999999</v>
      </c>
      <c r="C6888" s="32">
        <f t="shared" si="107"/>
        <v>4.2021210775318396E-2</v>
      </c>
    </row>
    <row r="6889" spans="1:3" x14ac:dyDescent="0.6">
      <c r="A6889" s="24">
        <v>39540</v>
      </c>
      <c r="B6889" s="23">
        <v>18.887855999999999</v>
      </c>
      <c r="C6889" s="32">
        <f t="shared" si="107"/>
        <v>-1.3642883048581078E-2</v>
      </c>
    </row>
    <row r="6890" spans="1:3" x14ac:dyDescent="0.6">
      <c r="A6890" s="24">
        <v>39541</v>
      </c>
      <c r="B6890" s="23">
        <v>19.415468000000001</v>
      </c>
      <c r="C6890" s="32">
        <f t="shared" si="107"/>
        <v>2.793392749288226E-2</v>
      </c>
    </row>
    <row r="6891" spans="1:3" x14ac:dyDescent="0.6">
      <c r="A6891" s="24">
        <v>39542</v>
      </c>
      <c r="B6891" s="23">
        <v>19.603719999999999</v>
      </c>
      <c r="C6891" s="32">
        <f t="shared" si="107"/>
        <v>9.6959805449963188E-3</v>
      </c>
    </row>
    <row r="6892" spans="1:3" x14ac:dyDescent="0.6">
      <c r="A6892" s="24">
        <v>39545</v>
      </c>
      <c r="B6892" s="23">
        <v>19.963577000000001</v>
      </c>
      <c r="C6892" s="32">
        <f t="shared" si="107"/>
        <v>1.8356567018912751E-2</v>
      </c>
    </row>
    <row r="6893" spans="1:3" x14ac:dyDescent="0.6">
      <c r="A6893" s="24">
        <v>39546</v>
      </c>
      <c r="B6893" s="23">
        <v>19.572987000000001</v>
      </c>
      <c r="C6893" s="32">
        <f t="shared" si="107"/>
        <v>-1.9565131038390526E-2</v>
      </c>
    </row>
    <row r="6894" spans="1:3" x14ac:dyDescent="0.6">
      <c r="A6894" s="24">
        <v>39547</v>
      </c>
      <c r="B6894" s="23">
        <v>19.393694</v>
      </c>
      <c r="C6894" s="32">
        <f t="shared" si="107"/>
        <v>-9.1602267962473949E-3</v>
      </c>
    </row>
    <row r="6895" spans="1:3" x14ac:dyDescent="0.6">
      <c r="A6895" s="24">
        <v>39548</v>
      </c>
      <c r="B6895" s="23">
        <v>19.791969000000002</v>
      </c>
      <c r="C6895" s="32">
        <f t="shared" si="107"/>
        <v>2.0536314536054867E-2</v>
      </c>
    </row>
    <row r="6896" spans="1:3" x14ac:dyDescent="0.6">
      <c r="A6896" s="24">
        <v>39549</v>
      </c>
      <c r="B6896" s="23">
        <v>18.843031</v>
      </c>
      <c r="C6896" s="32">
        <f t="shared" si="107"/>
        <v>-4.7945608645607818E-2</v>
      </c>
    </row>
    <row r="6897" spans="1:3" x14ac:dyDescent="0.6">
      <c r="A6897" s="24">
        <v>39552</v>
      </c>
      <c r="B6897" s="23">
        <v>18.924994000000002</v>
      </c>
      <c r="C6897" s="32">
        <f t="shared" si="107"/>
        <v>4.3497779099339606E-3</v>
      </c>
    </row>
    <row r="6898" spans="1:3" x14ac:dyDescent="0.6">
      <c r="A6898" s="24">
        <v>39553</v>
      </c>
      <c r="B6898" s="23">
        <v>19.001825</v>
      </c>
      <c r="C6898" s="32">
        <f t="shared" si="107"/>
        <v>4.0597635063979176E-3</v>
      </c>
    </row>
    <row r="6899" spans="1:3" x14ac:dyDescent="0.6">
      <c r="A6899" s="24">
        <v>39554</v>
      </c>
      <c r="B6899" s="23">
        <v>19.683119000000001</v>
      </c>
      <c r="C6899" s="32">
        <f t="shared" si="107"/>
        <v>3.5854135063342563E-2</v>
      </c>
    </row>
    <row r="6900" spans="1:3" x14ac:dyDescent="0.6">
      <c r="A6900" s="24">
        <v>39555</v>
      </c>
      <c r="B6900" s="23">
        <v>19.784285000000001</v>
      </c>
      <c r="C6900" s="32">
        <f t="shared" si="107"/>
        <v>5.13973420574243E-3</v>
      </c>
    </row>
    <row r="6901" spans="1:3" x14ac:dyDescent="0.6">
      <c r="A6901" s="24">
        <v>39556</v>
      </c>
      <c r="B6901" s="23">
        <v>20.623093000000001</v>
      </c>
      <c r="C6901" s="32">
        <f t="shared" si="107"/>
        <v>4.239769089456602E-2</v>
      </c>
    </row>
    <row r="6902" spans="1:3" x14ac:dyDescent="0.6">
      <c r="A6902" s="24">
        <v>39559</v>
      </c>
      <c r="B6902" s="23">
        <v>21.534890999999998</v>
      </c>
      <c r="C6902" s="32">
        <f t="shared" si="107"/>
        <v>4.4212475791094885E-2</v>
      </c>
    </row>
    <row r="6903" spans="1:3" x14ac:dyDescent="0.6">
      <c r="A6903" s="24">
        <v>39560</v>
      </c>
      <c r="B6903" s="23">
        <v>20.515516000000002</v>
      </c>
      <c r="C6903" s="32">
        <f t="shared" si="107"/>
        <v>-4.7335972120778114E-2</v>
      </c>
    </row>
    <row r="6904" spans="1:3" x14ac:dyDescent="0.6">
      <c r="A6904" s="24">
        <v>39561</v>
      </c>
      <c r="B6904" s="23">
        <v>20.860009999999999</v>
      </c>
      <c r="C6904" s="32">
        <f t="shared" si="107"/>
        <v>1.6791875963538816E-2</v>
      </c>
    </row>
    <row r="6905" spans="1:3" x14ac:dyDescent="0.6">
      <c r="A6905" s="24">
        <v>39562</v>
      </c>
      <c r="B6905" s="23">
        <v>21.634785000000001</v>
      </c>
      <c r="C6905" s="32">
        <f t="shared" si="107"/>
        <v>3.7141640871696691E-2</v>
      </c>
    </row>
    <row r="6906" spans="1:3" x14ac:dyDescent="0.6">
      <c r="A6906" s="24">
        <v>39563</v>
      </c>
      <c r="B6906" s="23">
        <v>21.735949999999999</v>
      </c>
      <c r="C6906" s="32">
        <f t="shared" si="107"/>
        <v>4.6760344510008434E-3</v>
      </c>
    </row>
    <row r="6907" spans="1:3" x14ac:dyDescent="0.6">
      <c r="A6907" s="24">
        <v>39566</v>
      </c>
      <c r="B6907" s="23">
        <v>22.057390000000002</v>
      </c>
      <c r="C6907" s="32">
        <f t="shared" si="107"/>
        <v>1.4788403543438466E-2</v>
      </c>
    </row>
    <row r="6908" spans="1:3" x14ac:dyDescent="0.6">
      <c r="A6908" s="24">
        <v>39567</v>
      </c>
      <c r="B6908" s="23">
        <v>22.41724</v>
      </c>
      <c r="C6908" s="32">
        <f t="shared" si="107"/>
        <v>1.6314260209389975E-2</v>
      </c>
    </row>
    <row r="6909" spans="1:3" x14ac:dyDescent="0.6">
      <c r="A6909" s="24">
        <v>39568</v>
      </c>
      <c r="B6909" s="23">
        <v>22.276373</v>
      </c>
      <c r="C6909" s="32">
        <f t="shared" si="107"/>
        <v>-6.283869022234656E-3</v>
      </c>
    </row>
    <row r="6910" spans="1:3" x14ac:dyDescent="0.6">
      <c r="A6910" s="24">
        <v>39569</v>
      </c>
      <c r="B6910" s="23">
        <v>23.051144000000001</v>
      </c>
      <c r="C6910" s="32">
        <f t="shared" si="107"/>
        <v>3.477994375475757E-2</v>
      </c>
    </row>
    <row r="6911" spans="1:3" x14ac:dyDescent="0.6">
      <c r="A6911" s="24">
        <v>39570</v>
      </c>
      <c r="B6911" s="23">
        <v>23.171522</v>
      </c>
      <c r="C6911" s="32">
        <f t="shared" si="107"/>
        <v>5.222213700109668E-3</v>
      </c>
    </row>
    <row r="6912" spans="1:3" x14ac:dyDescent="0.6">
      <c r="A6912" s="24">
        <v>39573</v>
      </c>
      <c r="B6912" s="23">
        <v>23.656879</v>
      </c>
      <c r="C6912" s="32">
        <f t="shared" si="107"/>
        <v>2.0946271893576895E-2</v>
      </c>
    </row>
    <row r="6913" spans="1:3" x14ac:dyDescent="0.6">
      <c r="A6913" s="24">
        <v>39574</v>
      </c>
      <c r="B6913" s="23">
        <v>23.904036999999999</v>
      </c>
      <c r="C6913" s="32">
        <f t="shared" si="107"/>
        <v>1.0447616526254366E-2</v>
      </c>
    </row>
    <row r="6914" spans="1:3" x14ac:dyDescent="0.6">
      <c r="A6914" s="24">
        <v>39575</v>
      </c>
      <c r="B6914" s="23">
        <v>23.382829999999998</v>
      </c>
      <c r="C6914" s="32">
        <f t="shared" si="107"/>
        <v>-2.1804141283750522E-2</v>
      </c>
    </row>
    <row r="6915" spans="1:3" x14ac:dyDescent="0.6">
      <c r="A6915" s="24">
        <v>39576</v>
      </c>
      <c r="B6915" s="23">
        <v>23.699138999999999</v>
      </c>
      <c r="C6915" s="32">
        <f t="shared" si="107"/>
        <v>1.3527404510061514E-2</v>
      </c>
    </row>
    <row r="6916" spans="1:3" x14ac:dyDescent="0.6">
      <c r="A6916" s="24">
        <v>39577</v>
      </c>
      <c r="B6916" s="23">
        <v>23.492965999999999</v>
      </c>
      <c r="C6916" s="32">
        <f t="shared" ref="C6916:C6979" si="108">B6916/B6915-1</f>
        <v>-8.6995987491359505E-3</v>
      </c>
    </row>
    <row r="6917" spans="1:3" x14ac:dyDescent="0.6">
      <c r="A6917" s="24">
        <v>39580</v>
      </c>
      <c r="B6917" s="23">
        <v>24.096132000000001</v>
      </c>
      <c r="C6917" s="32">
        <f t="shared" si="108"/>
        <v>2.5674323114416531E-2</v>
      </c>
    </row>
    <row r="6918" spans="1:3" x14ac:dyDescent="0.6">
      <c r="A6918" s="24">
        <v>39581</v>
      </c>
      <c r="B6918" s="23">
        <v>24.326643000000001</v>
      </c>
      <c r="C6918" s="32">
        <f t="shared" si="108"/>
        <v>9.5663071566838287E-3</v>
      </c>
    </row>
    <row r="6919" spans="1:3" x14ac:dyDescent="0.6">
      <c r="A6919" s="24">
        <v>39582</v>
      </c>
      <c r="B6919" s="23">
        <v>23.852816000000001</v>
      </c>
      <c r="C6919" s="32">
        <f t="shared" si="108"/>
        <v>-1.9477697765367785E-2</v>
      </c>
    </row>
    <row r="6920" spans="1:3" x14ac:dyDescent="0.6">
      <c r="A6920" s="24">
        <v>39583</v>
      </c>
      <c r="B6920" s="23">
        <v>24.297191999999999</v>
      </c>
      <c r="C6920" s="32">
        <f t="shared" si="108"/>
        <v>1.8629917742206903E-2</v>
      </c>
    </row>
    <row r="6921" spans="1:3" x14ac:dyDescent="0.6">
      <c r="A6921" s="24">
        <v>39584</v>
      </c>
      <c r="B6921" s="23">
        <v>24.026980999999999</v>
      </c>
      <c r="C6921" s="32">
        <f t="shared" si="108"/>
        <v>-1.1121079341184781E-2</v>
      </c>
    </row>
    <row r="6922" spans="1:3" x14ac:dyDescent="0.6">
      <c r="A6922" s="24">
        <v>39587</v>
      </c>
      <c r="B6922" s="23">
        <v>23.512170999999999</v>
      </c>
      <c r="C6922" s="32">
        <f t="shared" si="108"/>
        <v>-2.1426329009041956E-2</v>
      </c>
    </row>
    <row r="6923" spans="1:3" x14ac:dyDescent="0.6">
      <c r="A6923" s="24">
        <v>39588</v>
      </c>
      <c r="B6923" s="23">
        <v>23.806712999999998</v>
      </c>
      <c r="C6923" s="32">
        <f t="shared" si="108"/>
        <v>1.2527214096903272E-2</v>
      </c>
    </row>
    <row r="6924" spans="1:3" x14ac:dyDescent="0.6">
      <c r="A6924" s="24">
        <v>39589</v>
      </c>
      <c r="B6924" s="23">
        <v>22.819353</v>
      </c>
      <c r="C6924" s="32">
        <f t="shared" si="108"/>
        <v>-4.1474016173505324E-2</v>
      </c>
    </row>
    <row r="6925" spans="1:3" x14ac:dyDescent="0.6">
      <c r="A6925" s="24">
        <v>39590</v>
      </c>
      <c r="B6925" s="23">
        <v>22.673365</v>
      </c>
      <c r="C6925" s="32">
        <f t="shared" si="108"/>
        <v>-6.3975521128929458E-3</v>
      </c>
    </row>
    <row r="6926" spans="1:3" x14ac:dyDescent="0.6">
      <c r="A6926" s="24">
        <v>39591</v>
      </c>
      <c r="B6926" s="23">
        <v>23.200979</v>
      </c>
      <c r="C6926" s="32">
        <f t="shared" si="108"/>
        <v>2.3270211545573405E-2</v>
      </c>
    </row>
    <row r="6927" spans="1:3" x14ac:dyDescent="0.6">
      <c r="A6927" s="24">
        <v>39595</v>
      </c>
      <c r="B6927" s="23">
        <v>23.874583999999999</v>
      </c>
      <c r="C6927" s="32">
        <f t="shared" si="108"/>
        <v>2.9033473113354358E-2</v>
      </c>
    </row>
    <row r="6928" spans="1:3" x14ac:dyDescent="0.6">
      <c r="A6928" s="24">
        <v>39596</v>
      </c>
      <c r="B6928" s="23">
        <v>23.948858000000001</v>
      </c>
      <c r="C6928" s="32">
        <f t="shared" si="108"/>
        <v>3.1110070860294048E-3</v>
      </c>
    </row>
    <row r="6929" spans="1:3" x14ac:dyDescent="0.6">
      <c r="A6929" s="24">
        <v>39597</v>
      </c>
      <c r="B6929" s="23">
        <v>23.907881</v>
      </c>
      <c r="C6929" s="32">
        <f t="shared" si="108"/>
        <v>-1.7110210432581541E-3</v>
      </c>
    </row>
    <row r="6930" spans="1:3" x14ac:dyDescent="0.6">
      <c r="A6930" s="24">
        <v>39598</v>
      </c>
      <c r="B6930" s="23">
        <v>24.171686000000001</v>
      </c>
      <c r="C6930" s="32">
        <f t="shared" si="108"/>
        <v>1.1034227583782918E-2</v>
      </c>
    </row>
    <row r="6931" spans="1:3" x14ac:dyDescent="0.6">
      <c r="A6931" s="24">
        <v>39601</v>
      </c>
      <c r="B6931" s="23">
        <v>23.832322999999999</v>
      </c>
      <c r="C6931" s="32">
        <f t="shared" si="108"/>
        <v>-1.4039690901164414E-2</v>
      </c>
    </row>
    <row r="6932" spans="1:3" x14ac:dyDescent="0.6">
      <c r="A6932" s="24">
        <v>39602</v>
      </c>
      <c r="B6932" s="23">
        <v>23.73884</v>
      </c>
      <c r="C6932" s="32">
        <f t="shared" si="108"/>
        <v>-3.9225299187157781E-3</v>
      </c>
    </row>
    <row r="6933" spans="1:3" x14ac:dyDescent="0.6">
      <c r="A6933" s="24">
        <v>39603</v>
      </c>
      <c r="B6933" s="23">
        <v>23.715788</v>
      </c>
      <c r="C6933" s="32">
        <f t="shared" si="108"/>
        <v>-9.7106682550618384E-4</v>
      </c>
    </row>
    <row r="6934" spans="1:3" x14ac:dyDescent="0.6">
      <c r="A6934" s="24">
        <v>39604</v>
      </c>
      <c r="B6934" s="23">
        <v>24.258769999999998</v>
      </c>
      <c r="C6934" s="32">
        <f t="shared" si="108"/>
        <v>2.2895380916712504E-2</v>
      </c>
    </row>
    <row r="6935" spans="1:3" x14ac:dyDescent="0.6">
      <c r="A6935" s="24">
        <v>39605</v>
      </c>
      <c r="B6935" s="23">
        <v>23.773415</v>
      </c>
      <c r="C6935" s="32">
        <f t="shared" si="108"/>
        <v>-2.0007403508092048E-2</v>
      </c>
    </row>
    <row r="6936" spans="1:3" x14ac:dyDescent="0.6">
      <c r="A6936" s="24">
        <v>39608</v>
      </c>
      <c r="B6936" s="23">
        <v>23.257325999999999</v>
      </c>
      <c r="C6936" s="32">
        <f t="shared" si="108"/>
        <v>-2.1708660703563254E-2</v>
      </c>
    </row>
    <row r="6937" spans="1:3" x14ac:dyDescent="0.6">
      <c r="A6937" s="24">
        <v>39609</v>
      </c>
      <c r="B6937" s="23">
        <v>23.773415</v>
      </c>
      <c r="C6937" s="32">
        <f t="shared" si="108"/>
        <v>2.2190384225598381E-2</v>
      </c>
    </row>
    <row r="6938" spans="1:3" x14ac:dyDescent="0.6">
      <c r="A6938" s="24">
        <v>39610</v>
      </c>
      <c r="B6938" s="23">
        <v>23.154871</v>
      </c>
      <c r="C6938" s="32">
        <f t="shared" si="108"/>
        <v>-2.6018306583214912E-2</v>
      </c>
    </row>
    <row r="6939" spans="1:3" x14ac:dyDescent="0.6">
      <c r="A6939" s="24">
        <v>39611</v>
      </c>
      <c r="B6939" s="23">
        <v>22.188009000000001</v>
      </c>
      <c r="C6939" s="32">
        <f t="shared" si="108"/>
        <v>-4.175631123144663E-2</v>
      </c>
    </row>
    <row r="6940" spans="1:3" x14ac:dyDescent="0.6">
      <c r="A6940" s="24">
        <v>39612</v>
      </c>
      <c r="B6940" s="23">
        <v>22.074038000000002</v>
      </c>
      <c r="C6940" s="32">
        <f t="shared" si="108"/>
        <v>-5.1366032887403268E-3</v>
      </c>
    </row>
    <row r="6941" spans="1:3" x14ac:dyDescent="0.6">
      <c r="A6941" s="24">
        <v>39615</v>
      </c>
      <c r="B6941" s="23">
        <v>22.646473</v>
      </c>
      <c r="C6941" s="32">
        <f t="shared" si="108"/>
        <v>2.5932500433314409E-2</v>
      </c>
    </row>
    <row r="6942" spans="1:3" x14ac:dyDescent="0.6">
      <c r="A6942" s="24">
        <v>39616</v>
      </c>
      <c r="B6942" s="23">
        <v>23.234276000000001</v>
      </c>
      <c r="C6942" s="32">
        <f t="shared" si="108"/>
        <v>2.5955609069898022E-2</v>
      </c>
    </row>
    <row r="6943" spans="1:3" x14ac:dyDescent="0.6">
      <c r="A6943" s="24">
        <v>39617</v>
      </c>
      <c r="B6943" s="23">
        <v>22.891071</v>
      </c>
      <c r="C6943" s="32">
        <f t="shared" si="108"/>
        <v>-1.4771495354535702E-2</v>
      </c>
    </row>
    <row r="6944" spans="1:3" x14ac:dyDescent="0.6">
      <c r="A6944" s="24">
        <v>39618</v>
      </c>
      <c r="B6944" s="23">
        <v>23.166398999999998</v>
      </c>
      <c r="C6944" s="32">
        <f t="shared" si="108"/>
        <v>1.2027746539250872E-2</v>
      </c>
    </row>
    <row r="6945" spans="1:3" x14ac:dyDescent="0.6">
      <c r="A6945" s="24">
        <v>39619</v>
      </c>
      <c r="B6945" s="23">
        <v>22.445415000000001</v>
      </c>
      <c r="C6945" s="32">
        <f t="shared" si="108"/>
        <v>-3.1121971092701872E-2</v>
      </c>
    </row>
    <row r="6946" spans="1:3" x14ac:dyDescent="0.6">
      <c r="A6946" s="24">
        <v>39622</v>
      </c>
      <c r="B6946" s="23">
        <v>22.175204999999998</v>
      </c>
      <c r="C6946" s="32">
        <f t="shared" si="108"/>
        <v>-1.2038538828531453E-2</v>
      </c>
    </row>
    <row r="6947" spans="1:3" x14ac:dyDescent="0.6">
      <c r="A6947" s="24">
        <v>39623</v>
      </c>
      <c r="B6947" s="23">
        <v>22.186727999999999</v>
      </c>
      <c r="C6947" s="32">
        <f t="shared" si="108"/>
        <v>5.1963442953506522E-4</v>
      </c>
    </row>
    <row r="6948" spans="1:3" x14ac:dyDescent="0.6">
      <c r="A6948" s="24">
        <v>39624</v>
      </c>
      <c r="B6948" s="23">
        <v>22.716906000000002</v>
      </c>
      <c r="C6948" s="32">
        <f t="shared" si="108"/>
        <v>2.3896177931238993E-2</v>
      </c>
    </row>
    <row r="6949" spans="1:3" x14ac:dyDescent="0.6">
      <c r="A6949" s="24">
        <v>39625</v>
      </c>
      <c r="B6949" s="23">
        <v>21.547696999999999</v>
      </c>
      <c r="C6949" s="32">
        <f t="shared" si="108"/>
        <v>-5.1468672714497399E-2</v>
      </c>
    </row>
    <row r="6950" spans="1:3" x14ac:dyDescent="0.6">
      <c r="A6950" s="24">
        <v>39626</v>
      </c>
      <c r="B6950" s="23">
        <v>21.782050999999999</v>
      </c>
      <c r="C6950" s="32">
        <f t="shared" si="108"/>
        <v>1.0876057891476831E-2</v>
      </c>
    </row>
    <row r="6951" spans="1:3" x14ac:dyDescent="0.6">
      <c r="A6951" s="24">
        <v>39629</v>
      </c>
      <c r="B6951" s="23">
        <v>21.442688</v>
      </c>
      <c r="C6951" s="32">
        <f t="shared" si="108"/>
        <v>-1.557993781210032E-2</v>
      </c>
    </row>
    <row r="6952" spans="1:3" x14ac:dyDescent="0.6">
      <c r="A6952" s="24">
        <v>39630</v>
      </c>
      <c r="B6952" s="23">
        <v>22.369855999999999</v>
      </c>
      <c r="C6952" s="32">
        <f t="shared" si="108"/>
        <v>4.3239355065932017E-2</v>
      </c>
    </row>
    <row r="6953" spans="1:3" x14ac:dyDescent="0.6">
      <c r="A6953" s="24">
        <v>39631</v>
      </c>
      <c r="B6953" s="23">
        <v>21.537457</v>
      </c>
      <c r="C6953" s="32">
        <f t="shared" si="108"/>
        <v>-3.7210744673546348E-2</v>
      </c>
    </row>
    <row r="6954" spans="1:3" x14ac:dyDescent="0.6">
      <c r="A6954" s="24">
        <v>39632</v>
      </c>
      <c r="B6954" s="23">
        <v>21.785892</v>
      </c>
      <c r="C6954" s="32">
        <f t="shared" si="108"/>
        <v>1.1535020127956708E-2</v>
      </c>
    </row>
    <row r="6955" spans="1:3" x14ac:dyDescent="0.6">
      <c r="A6955" s="24">
        <v>39636</v>
      </c>
      <c r="B6955" s="23">
        <v>22.431334</v>
      </c>
      <c r="C6955" s="32">
        <f t="shared" si="108"/>
        <v>2.9626604226257847E-2</v>
      </c>
    </row>
    <row r="6956" spans="1:3" x14ac:dyDescent="0.6">
      <c r="A6956" s="24">
        <v>39637</v>
      </c>
      <c r="B6956" s="23">
        <v>22.993514999999999</v>
      </c>
      <c r="C6956" s="32">
        <f t="shared" si="108"/>
        <v>2.5062307930504568E-2</v>
      </c>
    </row>
    <row r="6957" spans="1:3" x14ac:dyDescent="0.6">
      <c r="A6957" s="24">
        <v>39638</v>
      </c>
      <c r="B6957" s="23">
        <v>22.314789000000001</v>
      </c>
      <c r="C6957" s="32">
        <f t="shared" si="108"/>
        <v>-2.9518148921554466E-2</v>
      </c>
    </row>
    <row r="6958" spans="1:3" x14ac:dyDescent="0.6">
      <c r="A6958" s="24">
        <v>39639</v>
      </c>
      <c r="B6958" s="23">
        <v>22.619579000000002</v>
      </c>
      <c r="C6958" s="32">
        <f t="shared" si="108"/>
        <v>1.3658654805116077E-2</v>
      </c>
    </row>
    <row r="6959" spans="1:3" x14ac:dyDescent="0.6">
      <c r="A6959" s="24">
        <v>39640</v>
      </c>
      <c r="B6959" s="23">
        <v>22.100929000000001</v>
      </c>
      <c r="C6959" s="32">
        <f t="shared" si="108"/>
        <v>-2.2929250805242662E-2</v>
      </c>
    </row>
    <row r="6960" spans="1:3" x14ac:dyDescent="0.6">
      <c r="A6960" s="24">
        <v>39643</v>
      </c>
      <c r="B6960" s="23">
        <v>22.267403000000002</v>
      </c>
      <c r="C6960" s="32">
        <f t="shared" si="108"/>
        <v>7.5324435456989303E-3</v>
      </c>
    </row>
    <row r="6961" spans="1:3" x14ac:dyDescent="0.6">
      <c r="A6961" s="24">
        <v>39644</v>
      </c>
      <c r="B6961" s="23">
        <v>21.724428</v>
      </c>
      <c r="C6961" s="32">
        <f t="shared" si="108"/>
        <v>-2.438429842941281E-2</v>
      </c>
    </row>
    <row r="6962" spans="1:3" x14ac:dyDescent="0.6">
      <c r="A6962" s="24">
        <v>39645</v>
      </c>
      <c r="B6962" s="23">
        <v>22.130381</v>
      </c>
      <c r="C6962" s="32">
        <f t="shared" si="108"/>
        <v>1.8686475887880638E-2</v>
      </c>
    </row>
    <row r="6963" spans="1:3" x14ac:dyDescent="0.6">
      <c r="A6963" s="24">
        <v>39646</v>
      </c>
      <c r="B6963" s="23">
        <v>22.002316</v>
      </c>
      <c r="C6963" s="32">
        <f t="shared" si="108"/>
        <v>-5.7868411754863347E-3</v>
      </c>
    </row>
    <row r="6964" spans="1:3" x14ac:dyDescent="0.6">
      <c r="A6964" s="24">
        <v>39647</v>
      </c>
      <c r="B6964" s="23">
        <v>21.149431</v>
      </c>
      <c r="C6964" s="32">
        <f t="shared" si="108"/>
        <v>-3.876341926913518E-2</v>
      </c>
    </row>
    <row r="6965" spans="1:3" x14ac:dyDescent="0.6">
      <c r="A6965" s="24">
        <v>39650</v>
      </c>
      <c r="B6965" s="23">
        <v>21.295415999999999</v>
      </c>
      <c r="C6965" s="32">
        <f t="shared" si="108"/>
        <v>6.9025497659960244E-3</v>
      </c>
    </row>
    <row r="6966" spans="1:3" x14ac:dyDescent="0.6">
      <c r="A6966" s="24">
        <v>39651</v>
      </c>
      <c r="B6966" s="23">
        <v>20.748588999999999</v>
      </c>
      <c r="C6966" s="32">
        <f t="shared" si="108"/>
        <v>-2.5678155336340991E-2</v>
      </c>
    </row>
    <row r="6967" spans="1:3" x14ac:dyDescent="0.6">
      <c r="A6967" s="24">
        <v>39652</v>
      </c>
      <c r="B6967" s="23">
        <v>21.291571000000001</v>
      </c>
      <c r="C6967" s="32">
        <f t="shared" si="108"/>
        <v>2.61695867608156E-2</v>
      </c>
    </row>
    <row r="6968" spans="1:3" x14ac:dyDescent="0.6">
      <c r="A6968" s="24">
        <v>39653</v>
      </c>
      <c r="B6968" s="23">
        <v>20.365686</v>
      </c>
      <c r="C6968" s="32">
        <f t="shared" si="108"/>
        <v>-4.3485987952697425E-2</v>
      </c>
    </row>
    <row r="6969" spans="1:3" x14ac:dyDescent="0.6">
      <c r="A6969" s="24">
        <v>39654</v>
      </c>
      <c r="B6969" s="23">
        <v>20.761399999999998</v>
      </c>
      <c r="C6969" s="32">
        <f t="shared" si="108"/>
        <v>1.943042822127361E-2</v>
      </c>
    </row>
    <row r="6970" spans="1:3" x14ac:dyDescent="0.6">
      <c r="A6970" s="24">
        <v>39657</v>
      </c>
      <c r="B6970" s="23">
        <v>19.772760000000002</v>
      </c>
      <c r="C6970" s="32">
        <f t="shared" si="108"/>
        <v>-4.7619139364397212E-2</v>
      </c>
    </row>
    <row r="6971" spans="1:3" x14ac:dyDescent="0.6">
      <c r="A6971" s="24">
        <v>39658</v>
      </c>
      <c r="B6971" s="23">
        <v>20.115970999999998</v>
      </c>
      <c r="C6971" s="32">
        <f t="shared" si="108"/>
        <v>1.7357768971048904E-2</v>
      </c>
    </row>
    <row r="6972" spans="1:3" x14ac:dyDescent="0.6">
      <c r="A6972" s="24">
        <v>39659</v>
      </c>
      <c r="B6972" s="23">
        <v>20.474540999999999</v>
      </c>
      <c r="C6972" s="32">
        <f t="shared" si="108"/>
        <v>1.7825140034254394E-2</v>
      </c>
    </row>
    <row r="6973" spans="1:3" x14ac:dyDescent="0.6">
      <c r="A6973" s="24">
        <v>39660</v>
      </c>
      <c r="B6973" s="23">
        <v>20.355446000000001</v>
      </c>
      <c r="C6973" s="32">
        <f t="shared" si="108"/>
        <v>-5.8167360137645341E-3</v>
      </c>
    </row>
    <row r="6974" spans="1:3" x14ac:dyDescent="0.6">
      <c r="A6974" s="24">
        <v>39661</v>
      </c>
      <c r="B6974" s="23">
        <v>20.062180999999999</v>
      </c>
      <c r="C6974" s="32">
        <f t="shared" si="108"/>
        <v>-1.4407200903384876E-2</v>
      </c>
    </row>
    <row r="6975" spans="1:3" x14ac:dyDescent="0.6">
      <c r="A6975" s="24">
        <v>39664</v>
      </c>
      <c r="B6975" s="23">
        <v>19.622931000000001</v>
      </c>
      <c r="C6975" s="32">
        <f t="shared" si="108"/>
        <v>-2.1894429125128401E-2</v>
      </c>
    </row>
    <row r="6976" spans="1:3" x14ac:dyDescent="0.6">
      <c r="A6976" s="24">
        <v>39665</v>
      </c>
      <c r="B6976" s="23">
        <v>20.571869</v>
      </c>
      <c r="C6976" s="32">
        <f t="shared" si="108"/>
        <v>4.8358626955371742E-2</v>
      </c>
    </row>
    <row r="6977" spans="1:3" x14ac:dyDescent="0.6">
      <c r="A6977" s="24">
        <v>39666</v>
      </c>
      <c r="B6977" s="23">
        <v>21.026485000000001</v>
      </c>
      <c r="C6977" s="32">
        <f t="shared" si="108"/>
        <v>2.20989157572411E-2</v>
      </c>
    </row>
    <row r="6978" spans="1:3" x14ac:dyDescent="0.6">
      <c r="A6978" s="24">
        <v>39667</v>
      </c>
      <c r="B6978" s="23">
        <v>20.947089999999999</v>
      </c>
      <c r="C6978" s="32">
        <f t="shared" si="108"/>
        <v>-3.7759520908987598E-3</v>
      </c>
    </row>
    <row r="6979" spans="1:3" x14ac:dyDescent="0.6">
      <c r="A6979" s="24">
        <v>39668</v>
      </c>
      <c r="B6979" s="23">
        <v>21.712897999999999</v>
      </c>
      <c r="C6979" s="32">
        <f t="shared" si="108"/>
        <v>3.655915929133835E-2</v>
      </c>
    </row>
    <row r="6980" spans="1:3" x14ac:dyDescent="0.6">
      <c r="A6980" s="24">
        <v>39671</v>
      </c>
      <c r="B6980" s="23">
        <v>22.226427000000001</v>
      </c>
      <c r="C6980" s="32">
        <f t="shared" ref="C6980:C7043" si="109">B6980/B6979-1</f>
        <v>2.3650873319627896E-2</v>
      </c>
    </row>
    <row r="6981" spans="1:3" x14ac:dyDescent="0.6">
      <c r="A6981" s="24">
        <v>39672</v>
      </c>
      <c r="B6981" s="23">
        <v>22.632383000000001</v>
      </c>
      <c r="C6981" s="32">
        <f t="shared" si="109"/>
        <v>1.826456407050947E-2</v>
      </c>
    </row>
    <row r="6982" spans="1:3" x14ac:dyDescent="0.6">
      <c r="A6982" s="24">
        <v>39673</v>
      </c>
      <c r="B6982" s="23">
        <v>22.961504000000001</v>
      </c>
      <c r="C6982" s="32">
        <f t="shared" si="109"/>
        <v>1.4542039165738707E-2</v>
      </c>
    </row>
    <row r="6983" spans="1:3" x14ac:dyDescent="0.6">
      <c r="A6983" s="24">
        <v>39674</v>
      </c>
      <c r="B6983" s="23">
        <v>22.964065999999999</v>
      </c>
      <c r="C6983" s="32">
        <f t="shared" si="109"/>
        <v>1.1157805690764633E-4</v>
      </c>
    </row>
    <row r="6984" spans="1:3" x14ac:dyDescent="0.6">
      <c r="A6984" s="24">
        <v>39675</v>
      </c>
      <c r="B6984" s="23">
        <v>22.505606</v>
      </c>
      <c r="C6984" s="32">
        <f t="shared" si="109"/>
        <v>-1.9964234556720029E-2</v>
      </c>
    </row>
    <row r="6985" spans="1:3" x14ac:dyDescent="0.6">
      <c r="A6985" s="24">
        <v>39678</v>
      </c>
      <c r="B6985" s="23">
        <v>22.460778999999999</v>
      </c>
      <c r="C6985" s="32">
        <f t="shared" si="109"/>
        <v>-1.9918148393782698E-3</v>
      </c>
    </row>
    <row r="6986" spans="1:3" x14ac:dyDescent="0.6">
      <c r="A6986" s="24">
        <v>39679</v>
      </c>
      <c r="B6986" s="23">
        <v>22.222586</v>
      </c>
      <c r="C6986" s="32">
        <f t="shared" si="109"/>
        <v>-1.0604841443834112E-2</v>
      </c>
    </row>
    <row r="6987" spans="1:3" x14ac:dyDescent="0.6">
      <c r="A6987" s="24">
        <v>39680</v>
      </c>
      <c r="B6987" s="23">
        <v>22.518414</v>
      </c>
      <c r="C6987" s="32">
        <f t="shared" si="109"/>
        <v>1.3312042081871089E-2</v>
      </c>
    </row>
    <row r="6988" spans="1:3" x14ac:dyDescent="0.6">
      <c r="A6988" s="24">
        <v>39681</v>
      </c>
      <c r="B6988" s="23">
        <v>22.319911999999999</v>
      </c>
      <c r="C6988" s="32">
        <f t="shared" si="109"/>
        <v>-8.8150968358606807E-3</v>
      </c>
    </row>
    <row r="6989" spans="1:3" x14ac:dyDescent="0.6">
      <c r="A6989" s="24">
        <v>39682</v>
      </c>
      <c r="B6989" s="23">
        <v>22.640070000000001</v>
      </c>
      <c r="C6989" s="32">
        <f t="shared" si="109"/>
        <v>1.4344052969384569E-2</v>
      </c>
    </row>
    <row r="6990" spans="1:3" x14ac:dyDescent="0.6">
      <c r="A6990" s="24">
        <v>39685</v>
      </c>
      <c r="B6990" s="23">
        <v>22.097083999999999</v>
      </c>
      <c r="C6990" s="32">
        <f t="shared" si="109"/>
        <v>-2.3983406411729358E-2</v>
      </c>
    </row>
    <row r="6991" spans="1:3" x14ac:dyDescent="0.6">
      <c r="A6991" s="24">
        <v>39686</v>
      </c>
      <c r="B6991" s="23">
        <v>22.236671000000001</v>
      </c>
      <c r="C6991" s="32">
        <f t="shared" si="109"/>
        <v>6.3169873454798076E-3</v>
      </c>
    </row>
    <row r="6992" spans="1:3" x14ac:dyDescent="0.6">
      <c r="A6992" s="24">
        <v>39687</v>
      </c>
      <c r="B6992" s="23">
        <v>22.368577999999999</v>
      </c>
      <c r="C6992" s="32">
        <f t="shared" si="109"/>
        <v>5.9319580705221586E-3</v>
      </c>
    </row>
    <row r="6993" spans="1:3" x14ac:dyDescent="0.6">
      <c r="A6993" s="24">
        <v>39688</v>
      </c>
      <c r="B6993" s="23">
        <v>22.249473999999999</v>
      </c>
      <c r="C6993" s="32">
        <f t="shared" si="109"/>
        <v>-5.3246120517808082E-3</v>
      </c>
    </row>
    <row r="6994" spans="1:3" x14ac:dyDescent="0.6">
      <c r="A6994" s="24">
        <v>39689</v>
      </c>
      <c r="B6994" s="23">
        <v>21.710335000000001</v>
      </c>
      <c r="C6994" s="32">
        <f t="shared" si="109"/>
        <v>-2.423153913661058E-2</v>
      </c>
    </row>
    <row r="6995" spans="1:3" x14ac:dyDescent="0.6">
      <c r="A6995" s="24">
        <v>39693</v>
      </c>
      <c r="B6995" s="23">
        <v>21.282612</v>
      </c>
      <c r="C6995" s="32">
        <f t="shared" si="109"/>
        <v>-1.9701354216781986E-2</v>
      </c>
    </row>
    <row r="6996" spans="1:3" x14ac:dyDescent="0.6">
      <c r="A6996" s="24">
        <v>39694</v>
      </c>
      <c r="B6996" s="23">
        <v>21.381219999999999</v>
      </c>
      <c r="C6996" s="32">
        <f t="shared" si="109"/>
        <v>4.6332658792067605E-3</v>
      </c>
    </row>
    <row r="6997" spans="1:3" x14ac:dyDescent="0.6">
      <c r="A6997" s="24">
        <v>39695</v>
      </c>
      <c r="B6997" s="23">
        <v>20.646141</v>
      </c>
      <c r="C6997" s="32">
        <f t="shared" si="109"/>
        <v>-3.4379656539710979E-2</v>
      </c>
    </row>
    <row r="6998" spans="1:3" x14ac:dyDescent="0.6">
      <c r="A6998" s="24">
        <v>39696</v>
      </c>
      <c r="B6998" s="23">
        <v>20.512957</v>
      </c>
      <c r="C6998" s="32">
        <f t="shared" si="109"/>
        <v>-6.4507938795923536E-3</v>
      </c>
    </row>
    <row r="6999" spans="1:3" x14ac:dyDescent="0.6">
      <c r="A6999" s="24">
        <v>39699</v>
      </c>
      <c r="B6999" s="23">
        <v>20.223535999999999</v>
      </c>
      <c r="C6999" s="32">
        <f t="shared" si="109"/>
        <v>-1.410917987104443E-2</v>
      </c>
    </row>
    <row r="7000" spans="1:3" x14ac:dyDescent="0.6">
      <c r="A7000" s="24">
        <v>39700</v>
      </c>
      <c r="B7000" s="23">
        <v>19.424434999999999</v>
      </c>
      <c r="C7000" s="32">
        <f t="shared" si="109"/>
        <v>-3.9513416447054528E-2</v>
      </c>
    </row>
    <row r="7001" spans="1:3" x14ac:dyDescent="0.6">
      <c r="A7001" s="24">
        <v>39701</v>
      </c>
      <c r="B7001" s="23">
        <v>19.415468000000001</v>
      </c>
      <c r="C7001" s="32">
        <f t="shared" si="109"/>
        <v>-4.6163504884433326E-4</v>
      </c>
    </row>
    <row r="7002" spans="1:3" x14ac:dyDescent="0.6">
      <c r="A7002" s="24">
        <v>39702</v>
      </c>
      <c r="B7002" s="23">
        <v>19.548651</v>
      </c>
      <c r="C7002" s="32">
        <f t="shared" si="109"/>
        <v>6.859633772412721E-3</v>
      </c>
    </row>
    <row r="7003" spans="1:3" x14ac:dyDescent="0.6">
      <c r="A7003" s="24">
        <v>39703</v>
      </c>
      <c r="B7003" s="23">
        <v>19.073540000000001</v>
      </c>
      <c r="C7003" s="32">
        <f t="shared" si="109"/>
        <v>-2.4304029981403796E-2</v>
      </c>
    </row>
    <row r="7004" spans="1:3" x14ac:dyDescent="0.6">
      <c r="A7004" s="24">
        <v>39706</v>
      </c>
      <c r="B7004" s="23">
        <v>17.974771</v>
      </c>
      <c r="C7004" s="32">
        <f t="shared" si="109"/>
        <v>-5.7606978043929002E-2</v>
      </c>
    </row>
    <row r="7005" spans="1:3" x14ac:dyDescent="0.6">
      <c r="A7005" s="24">
        <v>39707</v>
      </c>
      <c r="B7005" s="23">
        <v>17.913298000000001</v>
      </c>
      <c r="C7005" s="32">
        <f t="shared" si="109"/>
        <v>-3.4199601207715036E-3</v>
      </c>
    </row>
    <row r="7006" spans="1:3" x14ac:dyDescent="0.6">
      <c r="A7006" s="24">
        <v>39708</v>
      </c>
      <c r="B7006" s="23">
        <v>16.370152999999998</v>
      </c>
      <c r="C7006" s="32">
        <f t="shared" si="109"/>
        <v>-8.6145220159905889E-2</v>
      </c>
    </row>
    <row r="7007" spans="1:3" x14ac:dyDescent="0.6">
      <c r="A7007" s="24">
        <v>39709</v>
      </c>
      <c r="B7007" s="23">
        <v>17.171816</v>
      </c>
      <c r="C7007" s="32">
        <f t="shared" si="109"/>
        <v>4.8971014504262778E-2</v>
      </c>
    </row>
    <row r="7008" spans="1:3" x14ac:dyDescent="0.6">
      <c r="A7008" s="24">
        <v>39710</v>
      </c>
      <c r="B7008" s="23">
        <v>18.045203999999998</v>
      </c>
      <c r="C7008" s="32">
        <f t="shared" si="109"/>
        <v>5.0861714334698105E-2</v>
      </c>
    </row>
    <row r="7009" spans="1:3" x14ac:dyDescent="0.6">
      <c r="A7009" s="24">
        <v>39713</v>
      </c>
      <c r="B7009" s="23">
        <v>16.782516000000001</v>
      </c>
      <c r="C7009" s="32">
        <f t="shared" si="109"/>
        <v>-6.9973606283420087E-2</v>
      </c>
    </row>
    <row r="7010" spans="1:3" x14ac:dyDescent="0.6">
      <c r="A7010" s="24">
        <v>39714</v>
      </c>
      <c r="B7010" s="23">
        <v>16.243372000000001</v>
      </c>
      <c r="C7010" s="32">
        <f t="shared" si="109"/>
        <v>-3.2125338060157382E-2</v>
      </c>
    </row>
    <row r="7011" spans="1:3" x14ac:dyDescent="0.6">
      <c r="A7011" s="24">
        <v>39715</v>
      </c>
      <c r="B7011" s="23">
        <v>16.482847</v>
      </c>
      <c r="C7011" s="32">
        <f t="shared" si="109"/>
        <v>1.4742936380450988E-2</v>
      </c>
    </row>
    <row r="7012" spans="1:3" x14ac:dyDescent="0.6">
      <c r="A7012" s="24">
        <v>39716</v>
      </c>
      <c r="B7012" s="23">
        <v>16.895208</v>
      </c>
      <c r="C7012" s="32">
        <f t="shared" si="109"/>
        <v>2.501758343082372E-2</v>
      </c>
    </row>
    <row r="7013" spans="1:3" x14ac:dyDescent="0.6">
      <c r="A7013" s="24">
        <v>39717</v>
      </c>
      <c r="B7013" s="23">
        <v>16.422654999999999</v>
      </c>
      <c r="C7013" s="32">
        <f t="shared" si="109"/>
        <v>-2.796964677795033E-2</v>
      </c>
    </row>
    <row r="7014" spans="1:3" x14ac:dyDescent="0.6">
      <c r="A7014" s="24">
        <v>39720</v>
      </c>
      <c r="B7014" s="23">
        <v>13.479796</v>
      </c>
      <c r="C7014" s="32">
        <f t="shared" si="109"/>
        <v>-0.17919508142867269</v>
      </c>
    </row>
    <row r="7015" spans="1:3" x14ac:dyDescent="0.6">
      <c r="A7015" s="24">
        <v>39721</v>
      </c>
      <c r="B7015" s="23">
        <v>14.555517</v>
      </c>
      <c r="C7015" s="32">
        <f t="shared" si="109"/>
        <v>7.9802468820744821E-2</v>
      </c>
    </row>
    <row r="7016" spans="1:3" x14ac:dyDescent="0.6">
      <c r="A7016" s="24">
        <v>39722</v>
      </c>
      <c r="B7016" s="23">
        <v>13.974114999999999</v>
      </c>
      <c r="C7016" s="32">
        <f t="shared" si="109"/>
        <v>-3.9943754660174635E-2</v>
      </c>
    </row>
    <row r="7017" spans="1:3" x14ac:dyDescent="0.6">
      <c r="A7017" s="24">
        <v>39723</v>
      </c>
      <c r="B7017" s="23">
        <v>12.818999</v>
      </c>
      <c r="C7017" s="32">
        <f t="shared" si="109"/>
        <v>-8.2661120221208972E-2</v>
      </c>
    </row>
    <row r="7018" spans="1:3" x14ac:dyDescent="0.6">
      <c r="A7018" s="24">
        <v>39724</v>
      </c>
      <c r="B7018" s="23">
        <v>12.430972000000001</v>
      </c>
      <c r="C7018" s="32">
        <f t="shared" si="109"/>
        <v>-3.0269680183296677E-2</v>
      </c>
    </row>
    <row r="7019" spans="1:3" x14ac:dyDescent="0.6">
      <c r="A7019" s="24">
        <v>39727</v>
      </c>
      <c r="B7019" s="23">
        <v>12.567997</v>
      </c>
      <c r="C7019" s="32">
        <f t="shared" si="109"/>
        <v>1.1022870938813156E-2</v>
      </c>
    </row>
    <row r="7020" spans="1:3" x14ac:dyDescent="0.6">
      <c r="A7020" s="24">
        <v>39728</v>
      </c>
      <c r="B7020" s="23">
        <v>11.417999</v>
      </c>
      <c r="C7020" s="32">
        <f t="shared" si="109"/>
        <v>-9.1502090587704643E-2</v>
      </c>
    </row>
    <row r="7021" spans="1:3" x14ac:dyDescent="0.6">
      <c r="A7021" s="24">
        <v>39729</v>
      </c>
      <c r="B7021" s="23">
        <v>11.498678999999999</v>
      </c>
      <c r="C7021" s="32">
        <f t="shared" si="109"/>
        <v>7.0660367022277182E-3</v>
      </c>
    </row>
    <row r="7022" spans="1:3" x14ac:dyDescent="0.6">
      <c r="A7022" s="24">
        <v>39730</v>
      </c>
      <c r="B7022" s="23">
        <v>11.364215</v>
      </c>
      <c r="C7022" s="32">
        <f t="shared" si="109"/>
        <v>-1.1693865008319593E-2</v>
      </c>
    </row>
    <row r="7023" spans="1:3" x14ac:dyDescent="0.6">
      <c r="A7023" s="24">
        <v>39731</v>
      </c>
      <c r="B7023" s="23">
        <v>12.396394000000001</v>
      </c>
      <c r="C7023" s="32">
        <f t="shared" si="109"/>
        <v>9.082712708268903E-2</v>
      </c>
    </row>
    <row r="7024" spans="1:3" x14ac:dyDescent="0.6">
      <c r="A7024" s="24">
        <v>39734</v>
      </c>
      <c r="B7024" s="23">
        <v>14.120108999999999</v>
      </c>
      <c r="C7024" s="32">
        <f t="shared" si="109"/>
        <v>0.13904971074652828</v>
      </c>
    </row>
    <row r="7025" spans="1:3" x14ac:dyDescent="0.6">
      <c r="A7025" s="24">
        <v>39735</v>
      </c>
      <c r="B7025" s="23">
        <v>13.328683</v>
      </c>
      <c r="C7025" s="32">
        <f t="shared" si="109"/>
        <v>-5.6049567322745131E-2</v>
      </c>
    </row>
    <row r="7026" spans="1:3" x14ac:dyDescent="0.6">
      <c r="A7026" s="24">
        <v>39736</v>
      </c>
      <c r="B7026" s="23">
        <v>12.543666999999999</v>
      </c>
      <c r="C7026" s="32">
        <f t="shared" si="109"/>
        <v>-5.8896741711090383E-2</v>
      </c>
    </row>
    <row r="7027" spans="1:3" x14ac:dyDescent="0.6">
      <c r="A7027" s="24">
        <v>39737</v>
      </c>
      <c r="B7027" s="23">
        <v>13.04823</v>
      </c>
      <c r="C7027" s="32">
        <f t="shared" si="109"/>
        <v>4.022452126638898E-2</v>
      </c>
    </row>
    <row r="7028" spans="1:3" x14ac:dyDescent="0.6">
      <c r="A7028" s="24">
        <v>39738</v>
      </c>
      <c r="B7028" s="23">
        <v>12.473231</v>
      </c>
      <c r="C7028" s="32">
        <f t="shared" si="109"/>
        <v>-4.4067202984619414E-2</v>
      </c>
    </row>
    <row r="7029" spans="1:3" x14ac:dyDescent="0.6">
      <c r="A7029" s="24">
        <v>39741</v>
      </c>
      <c r="B7029" s="23">
        <v>12.606419000000001</v>
      </c>
      <c r="C7029" s="32">
        <f t="shared" si="109"/>
        <v>1.0677906951294336E-2</v>
      </c>
    </row>
    <row r="7030" spans="1:3" x14ac:dyDescent="0.6">
      <c r="A7030" s="24">
        <v>39742</v>
      </c>
      <c r="B7030" s="23">
        <v>11.716386</v>
      </c>
      <c r="C7030" s="32">
        <f t="shared" si="109"/>
        <v>-7.060157210386242E-2</v>
      </c>
    </row>
    <row r="7031" spans="1:3" x14ac:dyDescent="0.6">
      <c r="A7031" s="24">
        <v>39743</v>
      </c>
      <c r="B7031" s="23">
        <v>12.405358</v>
      </c>
      <c r="C7031" s="32">
        <f t="shared" si="109"/>
        <v>5.8804139774841779E-2</v>
      </c>
    </row>
    <row r="7032" spans="1:3" x14ac:dyDescent="0.6">
      <c r="A7032" s="24">
        <v>39744</v>
      </c>
      <c r="B7032" s="23">
        <v>12.579522000000001</v>
      </c>
      <c r="C7032" s="32">
        <f t="shared" si="109"/>
        <v>1.4039417483961536E-2</v>
      </c>
    </row>
    <row r="7033" spans="1:3" x14ac:dyDescent="0.6">
      <c r="A7033" s="24">
        <v>39745</v>
      </c>
      <c r="B7033" s="23">
        <v>12.342608</v>
      </c>
      <c r="C7033" s="32">
        <f t="shared" si="109"/>
        <v>-1.883330702072783E-2</v>
      </c>
    </row>
    <row r="7034" spans="1:3" x14ac:dyDescent="0.6">
      <c r="A7034" s="24">
        <v>39748</v>
      </c>
      <c r="B7034" s="23">
        <v>11.793222</v>
      </c>
      <c r="C7034" s="32">
        <f t="shared" si="109"/>
        <v>-4.4511338284420887E-2</v>
      </c>
    </row>
    <row r="7035" spans="1:3" x14ac:dyDescent="0.6">
      <c r="A7035" s="24">
        <v>39749</v>
      </c>
      <c r="B7035" s="23">
        <v>12.794667</v>
      </c>
      <c r="C7035" s="32">
        <f t="shared" si="109"/>
        <v>8.4916997237904912E-2</v>
      </c>
    </row>
    <row r="7036" spans="1:3" x14ac:dyDescent="0.6">
      <c r="A7036" s="24">
        <v>39750</v>
      </c>
      <c r="B7036" s="23">
        <v>13.388875000000001</v>
      </c>
      <c r="C7036" s="32">
        <f t="shared" si="109"/>
        <v>4.6441849561227322E-2</v>
      </c>
    </row>
    <row r="7037" spans="1:3" x14ac:dyDescent="0.6">
      <c r="A7037" s="24">
        <v>39751</v>
      </c>
      <c r="B7037" s="23">
        <v>14.219996</v>
      </c>
      <c r="C7037" s="32">
        <f t="shared" si="109"/>
        <v>6.2075491779555847E-2</v>
      </c>
    </row>
    <row r="7038" spans="1:3" x14ac:dyDescent="0.6">
      <c r="A7038" s="24">
        <v>39752</v>
      </c>
      <c r="B7038" s="23">
        <v>13.778181</v>
      </c>
      <c r="C7038" s="32">
        <f t="shared" si="109"/>
        <v>-3.1069980610402448E-2</v>
      </c>
    </row>
    <row r="7039" spans="1:3" x14ac:dyDescent="0.6">
      <c r="A7039" s="24">
        <v>39755</v>
      </c>
      <c r="B7039" s="23">
        <v>13.697502999999999</v>
      </c>
      <c r="C7039" s="32">
        <f t="shared" si="109"/>
        <v>-5.8554899227990509E-3</v>
      </c>
    </row>
    <row r="7040" spans="1:3" x14ac:dyDescent="0.6">
      <c r="A7040" s="24">
        <v>39756</v>
      </c>
      <c r="B7040" s="23">
        <v>14.213594000000001</v>
      </c>
      <c r="C7040" s="32">
        <f t="shared" si="109"/>
        <v>3.7677743162385147E-2</v>
      </c>
    </row>
    <row r="7041" spans="1:3" x14ac:dyDescent="0.6">
      <c r="A7041" s="24">
        <v>39757</v>
      </c>
      <c r="B7041" s="23">
        <v>13.228795</v>
      </c>
      <c r="C7041" s="32">
        <f t="shared" si="109"/>
        <v>-6.9285713381147751E-2</v>
      </c>
    </row>
    <row r="7042" spans="1:3" x14ac:dyDescent="0.6">
      <c r="A7042" s="24">
        <v>39758</v>
      </c>
      <c r="B7042" s="23">
        <v>12.690936000000001</v>
      </c>
      <c r="C7042" s="32">
        <f t="shared" si="109"/>
        <v>-4.0658200539051337E-2</v>
      </c>
    </row>
    <row r="7043" spans="1:3" x14ac:dyDescent="0.6">
      <c r="A7043" s="24">
        <v>39759</v>
      </c>
      <c r="B7043" s="23">
        <v>12.580805</v>
      </c>
      <c r="C7043" s="32">
        <f t="shared" si="109"/>
        <v>-8.6779257258882136E-3</v>
      </c>
    </row>
    <row r="7044" spans="1:3" x14ac:dyDescent="0.6">
      <c r="A7044" s="24">
        <v>39762</v>
      </c>
      <c r="B7044" s="23">
        <v>12.278578</v>
      </c>
      <c r="C7044" s="32">
        <f t="shared" ref="C7044:C7107" si="110">B7044/B7043-1</f>
        <v>-2.4022866581272062E-2</v>
      </c>
    </row>
    <row r="7045" spans="1:3" x14ac:dyDescent="0.6">
      <c r="A7045" s="24">
        <v>39763</v>
      </c>
      <c r="B7045" s="23">
        <v>12.136429</v>
      </c>
      <c r="C7045" s="32">
        <f t="shared" si="110"/>
        <v>-1.1576992058852431E-2</v>
      </c>
    </row>
    <row r="7046" spans="1:3" x14ac:dyDescent="0.6">
      <c r="A7046" s="24">
        <v>39764</v>
      </c>
      <c r="B7046" s="23">
        <v>11.540940000000001</v>
      </c>
      <c r="C7046" s="32">
        <f t="shared" si="110"/>
        <v>-4.9066245103893347E-2</v>
      </c>
    </row>
    <row r="7047" spans="1:3" x14ac:dyDescent="0.6">
      <c r="A7047" s="24">
        <v>39765</v>
      </c>
      <c r="B7047" s="23">
        <v>12.350292</v>
      </c>
      <c r="C7047" s="32">
        <f t="shared" si="110"/>
        <v>7.0128776338842291E-2</v>
      </c>
    </row>
    <row r="7048" spans="1:3" x14ac:dyDescent="0.6">
      <c r="A7048" s="24">
        <v>39766</v>
      </c>
      <c r="B7048" s="23">
        <v>11.556305999999999</v>
      </c>
      <c r="C7048" s="32">
        <f t="shared" si="110"/>
        <v>-6.4288844344732921E-2</v>
      </c>
    </row>
    <row r="7049" spans="1:3" x14ac:dyDescent="0.6">
      <c r="A7049" s="24">
        <v>39769</v>
      </c>
      <c r="B7049" s="23">
        <v>11.287378</v>
      </c>
      <c r="C7049" s="32">
        <f t="shared" si="110"/>
        <v>-2.327110410541211E-2</v>
      </c>
    </row>
    <row r="7050" spans="1:3" x14ac:dyDescent="0.6">
      <c r="A7050" s="24">
        <v>39770</v>
      </c>
      <c r="B7050" s="23">
        <v>11.514046</v>
      </c>
      <c r="C7050" s="32">
        <f t="shared" si="110"/>
        <v>2.0081545953364976E-2</v>
      </c>
    </row>
    <row r="7051" spans="1:3" x14ac:dyDescent="0.6">
      <c r="A7051" s="24">
        <v>39771</v>
      </c>
      <c r="B7051" s="23">
        <v>11.050465000000001</v>
      </c>
      <c r="C7051" s="32">
        <f t="shared" si="110"/>
        <v>-4.02622153845833E-2</v>
      </c>
    </row>
    <row r="7052" spans="1:3" x14ac:dyDescent="0.6">
      <c r="A7052" s="24">
        <v>39772</v>
      </c>
      <c r="B7052" s="23">
        <v>10.307706</v>
      </c>
      <c r="C7052" s="32">
        <f t="shared" si="110"/>
        <v>-6.7215180537651742E-2</v>
      </c>
    </row>
    <row r="7053" spans="1:3" x14ac:dyDescent="0.6">
      <c r="A7053" s="24">
        <v>39773</v>
      </c>
      <c r="B7053" s="23">
        <v>10.575354000000001</v>
      </c>
      <c r="C7053" s="32">
        <f t="shared" si="110"/>
        <v>2.5965816254363672E-2</v>
      </c>
    </row>
    <row r="7054" spans="1:3" x14ac:dyDescent="0.6">
      <c r="A7054" s="24">
        <v>39776</v>
      </c>
      <c r="B7054" s="23">
        <v>11.903357</v>
      </c>
      <c r="C7054" s="32">
        <f t="shared" si="110"/>
        <v>0.12557527625079956</v>
      </c>
    </row>
    <row r="7055" spans="1:3" x14ac:dyDescent="0.6">
      <c r="A7055" s="24">
        <v>39777</v>
      </c>
      <c r="B7055" s="23">
        <v>11.628022</v>
      </c>
      <c r="C7055" s="32">
        <f t="shared" si="110"/>
        <v>-2.31308697201974E-2</v>
      </c>
    </row>
    <row r="7056" spans="1:3" x14ac:dyDescent="0.6">
      <c r="A7056" s="24">
        <v>39778</v>
      </c>
      <c r="B7056" s="23">
        <v>12.165884</v>
      </c>
      <c r="C7056" s="32">
        <f t="shared" si="110"/>
        <v>4.6255674438868466E-2</v>
      </c>
    </row>
    <row r="7057" spans="1:3" x14ac:dyDescent="0.6">
      <c r="A7057" s="24">
        <v>39780</v>
      </c>
      <c r="B7057" s="23">
        <v>11.867497</v>
      </c>
      <c r="C7057" s="32">
        <f t="shared" si="110"/>
        <v>-2.4526536665975152E-2</v>
      </c>
    </row>
    <row r="7058" spans="1:3" x14ac:dyDescent="0.6">
      <c r="A7058" s="24">
        <v>39783</v>
      </c>
      <c r="B7058" s="23">
        <v>11.388547000000001</v>
      </c>
      <c r="C7058" s="32">
        <f t="shared" si="110"/>
        <v>-4.0358131120656671E-2</v>
      </c>
    </row>
    <row r="7059" spans="1:3" x14ac:dyDescent="0.6">
      <c r="A7059" s="24">
        <v>39784</v>
      </c>
      <c r="B7059" s="23">
        <v>11.841888000000001</v>
      </c>
      <c r="C7059" s="32">
        <f t="shared" si="110"/>
        <v>3.9806746198615128E-2</v>
      </c>
    </row>
    <row r="7060" spans="1:3" x14ac:dyDescent="0.6">
      <c r="A7060" s="24">
        <v>39785</v>
      </c>
      <c r="B7060" s="23">
        <v>12.281136999999999</v>
      </c>
      <c r="C7060" s="32">
        <f t="shared" si="110"/>
        <v>3.7092818307350894E-2</v>
      </c>
    </row>
    <row r="7061" spans="1:3" x14ac:dyDescent="0.6">
      <c r="A7061" s="24">
        <v>39786</v>
      </c>
      <c r="B7061" s="23">
        <v>11.706142</v>
      </c>
      <c r="C7061" s="32">
        <f t="shared" si="110"/>
        <v>-4.6819362083494354E-2</v>
      </c>
    </row>
    <row r="7062" spans="1:3" x14ac:dyDescent="0.6">
      <c r="A7062" s="24">
        <v>39787</v>
      </c>
      <c r="B7062" s="23">
        <v>12.03782</v>
      </c>
      <c r="C7062" s="32">
        <f t="shared" si="110"/>
        <v>2.8333673041041285E-2</v>
      </c>
    </row>
    <row r="7063" spans="1:3" x14ac:dyDescent="0.6">
      <c r="A7063" s="24">
        <v>39790</v>
      </c>
      <c r="B7063" s="23">
        <v>12.770334</v>
      </c>
      <c r="C7063" s="32">
        <f t="shared" si="110"/>
        <v>6.0851051103937515E-2</v>
      </c>
    </row>
    <row r="7064" spans="1:3" x14ac:dyDescent="0.6">
      <c r="A7064" s="24">
        <v>39791</v>
      </c>
      <c r="B7064" s="23">
        <v>12.813874</v>
      </c>
      <c r="C7064" s="32">
        <f t="shared" si="110"/>
        <v>3.4094644666302631E-3</v>
      </c>
    </row>
    <row r="7065" spans="1:3" x14ac:dyDescent="0.6">
      <c r="A7065" s="24">
        <v>39792</v>
      </c>
      <c r="B7065" s="23">
        <v>12.576962</v>
      </c>
      <c r="C7065" s="32">
        <f t="shared" si="110"/>
        <v>-1.8488709971707262E-2</v>
      </c>
    </row>
    <row r="7066" spans="1:3" x14ac:dyDescent="0.6">
      <c r="A7066" s="24">
        <v>39793</v>
      </c>
      <c r="B7066" s="23">
        <v>12.165884</v>
      </c>
      <c r="C7066" s="32">
        <f t="shared" si="110"/>
        <v>-3.2684999763853972E-2</v>
      </c>
    </row>
    <row r="7067" spans="1:3" x14ac:dyDescent="0.6">
      <c r="A7067" s="24">
        <v>39794</v>
      </c>
      <c r="B7067" s="23">
        <v>12.584647</v>
      </c>
      <c r="C7067" s="32">
        <f t="shared" si="110"/>
        <v>3.4421090978674407E-2</v>
      </c>
    </row>
    <row r="7068" spans="1:3" x14ac:dyDescent="0.6">
      <c r="A7068" s="24">
        <v>39797</v>
      </c>
      <c r="B7068" s="23">
        <v>12.133867</v>
      </c>
      <c r="C7068" s="32">
        <f t="shared" si="110"/>
        <v>-3.58198366628798E-2</v>
      </c>
    </row>
    <row r="7069" spans="1:3" x14ac:dyDescent="0.6">
      <c r="A7069" s="24">
        <v>39798</v>
      </c>
      <c r="B7069" s="23">
        <v>12.220948999999999</v>
      </c>
      <c r="C7069" s="32">
        <f t="shared" si="110"/>
        <v>7.1767722524072042E-3</v>
      </c>
    </row>
    <row r="7070" spans="1:3" x14ac:dyDescent="0.6">
      <c r="A7070" s="24">
        <v>39799</v>
      </c>
      <c r="B7070" s="23">
        <v>11.417999</v>
      </c>
      <c r="C7070" s="32">
        <f t="shared" si="110"/>
        <v>-6.5702753525933133E-2</v>
      </c>
    </row>
    <row r="7071" spans="1:3" x14ac:dyDescent="0.6">
      <c r="A7071" s="24">
        <v>39800</v>
      </c>
      <c r="B7071" s="23">
        <v>11.452579</v>
      </c>
      <c r="C7071" s="32">
        <f t="shared" si="110"/>
        <v>3.0285516752979191E-3</v>
      </c>
    </row>
    <row r="7072" spans="1:3" x14ac:dyDescent="0.6">
      <c r="A7072" s="24">
        <v>39801</v>
      </c>
      <c r="B7072" s="23">
        <v>11.525572</v>
      </c>
      <c r="C7072" s="32">
        <f t="shared" si="110"/>
        <v>6.3734989298043221E-3</v>
      </c>
    </row>
    <row r="7073" spans="1:3" x14ac:dyDescent="0.6">
      <c r="A7073" s="24">
        <v>39804</v>
      </c>
      <c r="B7073" s="23">
        <v>10.980031</v>
      </c>
      <c r="C7073" s="32">
        <f t="shared" si="110"/>
        <v>-4.7333095485412757E-2</v>
      </c>
    </row>
    <row r="7074" spans="1:3" x14ac:dyDescent="0.6">
      <c r="A7074" s="24">
        <v>39805</v>
      </c>
      <c r="B7074" s="23">
        <v>11.061991000000001</v>
      </c>
      <c r="C7074" s="32">
        <f t="shared" si="110"/>
        <v>7.4644597997948203E-3</v>
      </c>
    </row>
    <row r="7075" spans="1:3" x14ac:dyDescent="0.6">
      <c r="A7075" s="24">
        <v>39806</v>
      </c>
      <c r="B7075" s="23">
        <v>10.890385</v>
      </c>
      <c r="C7075" s="32">
        <f t="shared" si="110"/>
        <v>-1.5513120558496296E-2</v>
      </c>
    </row>
    <row r="7076" spans="1:3" x14ac:dyDescent="0.6">
      <c r="A7076" s="24">
        <v>39808</v>
      </c>
      <c r="B7076" s="23">
        <v>10.988994999999999</v>
      </c>
      <c r="C7076" s="32">
        <f t="shared" si="110"/>
        <v>9.054776300378542E-3</v>
      </c>
    </row>
    <row r="7077" spans="1:3" x14ac:dyDescent="0.6">
      <c r="A7077" s="24">
        <v>39811</v>
      </c>
      <c r="B7077" s="23">
        <v>11.091445</v>
      </c>
      <c r="C7077" s="32">
        <f t="shared" si="110"/>
        <v>9.3229635649121345E-3</v>
      </c>
    </row>
    <row r="7078" spans="1:3" x14ac:dyDescent="0.6">
      <c r="A7078" s="24">
        <v>39812</v>
      </c>
      <c r="B7078" s="23">
        <v>11.050465000000001</v>
      </c>
      <c r="C7078" s="32">
        <f t="shared" si="110"/>
        <v>-3.6947395041854181E-3</v>
      </c>
    </row>
    <row r="7079" spans="1:3" x14ac:dyDescent="0.6">
      <c r="A7079" s="24">
        <v>39813</v>
      </c>
      <c r="B7079" s="23">
        <v>10.930088</v>
      </c>
      <c r="C7079" s="32">
        <f t="shared" si="110"/>
        <v>-1.0893387744316807E-2</v>
      </c>
    </row>
    <row r="7080" spans="1:3" x14ac:dyDescent="0.6">
      <c r="A7080" s="24">
        <v>39815</v>
      </c>
      <c r="B7080" s="23">
        <v>11.621618</v>
      </c>
      <c r="C7080" s="32">
        <f t="shared" si="110"/>
        <v>6.326847505710842E-2</v>
      </c>
    </row>
    <row r="7081" spans="1:3" x14ac:dyDescent="0.6">
      <c r="A7081" s="24">
        <v>39818</v>
      </c>
      <c r="B7081" s="23">
        <v>12.112095</v>
      </c>
      <c r="C7081" s="32">
        <f t="shared" si="110"/>
        <v>4.2203848035617719E-2</v>
      </c>
    </row>
    <row r="7082" spans="1:3" x14ac:dyDescent="0.6">
      <c r="A7082" s="24">
        <v>39819</v>
      </c>
      <c r="B7082" s="23">
        <v>11.912321</v>
      </c>
      <c r="C7082" s="32">
        <f t="shared" si="110"/>
        <v>-1.6493760988499528E-2</v>
      </c>
    </row>
    <row r="7083" spans="1:3" x14ac:dyDescent="0.6">
      <c r="A7083" s="24">
        <v>39820</v>
      </c>
      <c r="B7083" s="23">
        <v>11.654916999999999</v>
      </c>
      <c r="C7083" s="32">
        <f t="shared" si="110"/>
        <v>-2.1608215561014554E-2</v>
      </c>
    </row>
    <row r="7084" spans="1:3" x14ac:dyDescent="0.6">
      <c r="A7084" s="24">
        <v>39821</v>
      </c>
      <c r="B7084" s="23">
        <v>11.871339000000001</v>
      </c>
      <c r="C7084" s="32">
        <f t="shared" si="110"/>
        <v>1.8569158407563124E-2</v>
      </c>
    </row>
    <row r="7085" spans="1:3" x14ac:dyDescent="0.6">
      <c r="A7085" s="24">
        <v>39822</v>
      </c>
      <c r="B7085" s="23">
        <v>11.599847</v>
      </c>
      <c r="C7085" s="32">
        <f t="shared" si="110"/>
        <v>-2.2869534767729238E-2</v>
      </c>
    </row>
    <row r="7086" spans="1:3" x14ac:dyDescent="0.6">
      <c r="A7086" s="24">
        <v>39825</v>
      </c>
      <c r="B7086" s="23">
        <v>11.353971</v>
      </c>
      <c r="C7086" s="32">
        <f t="shared" si="110"/>
        <v>-2.1196486470899223E-2</v>
      </c>
    </row>
    <row r="7087" spans="1:3" x14ac:dyDescent="0.6">
      <c r="A7087" s="24">
        <v>39826</v>
      </c>
      <c r="B7087" s="23">
        <v>11.232310999999999</v>
      </c>
      <c r="C7087" s="32">
        <f t="shared" si="110"/>
        <v>-1.0715193829542113E-2</v>
      </c>
    </row>
    <row r="7088" spans="1:3" x14ac:dyDescent="0.6">
      <c r="A7088" s="24">
        <v>39827</v>
      </c>
      <c r="B7088" s="23">
        <v>10.927524</v>
      </c>
      <c r="C7088" s="32">
        <f t="shared" si="110"/>
        <v>-2.7134843399546082E-2</v>
      </c>
    </row>
    <row r="7089" spans="1:3" x14ac:dyDescent="0.6">
      <c r="A7089" s="24">
        <v>39828</v>
      </c>
      <c r="B7089" s="23">
        <v>10.677803000000001</v>
      </c>
      <c r="C7089" s="32">
        <f t="shared" si="110"/>
        <v>-2.2852477834868989E-2</v>
      </c>
    </row>
    <row r="7090" spans="1:3" x14ac:dyDescent="0.6">
      <c r="A7090" s="24">
        <v>39829</v>
      </c>
      <c r="B7090" s="23">
        <v>10.543339</v>
      </c>
      <c r="C7090" s="32">
        <f t="shared" si="110"/>
        <v>-1.2592852668287802E-2</v>
      </c>
    </row>
    <row r="7091" spans="1:3" x14ac:dyDescent="0.6">
      <c r="A7091" s="24">
        <v>39833</v>
      </c>
      <c r="B7091" s="23">
        <v>10.014443</v>
      </c>
      <c r="C7091" s="32">
        <f t="shared" si="110"/>
        <v>-5.0163994537214429E-2</v>
      </c>
    </row>
    <row r="7092" spans="1:3" x14ac:dyDescent="0.6">
      <c r="A7092" s="24">
        <v>39834</v>
      </c>
      <c r="B7092" s="23">
        <v>10.607369</v>
      </c>
      <c r="C7092" s="32">
        <f t="shared" si="110"/>
        <v>5.9207087203951403E-2</v>
      </c>
    </row>
    <row r="7093" spans="1:3" x14ac:dyDescent="0.6">
      <c r="A7093" s="24">
        <v>39835</v>
      </c>
      <c r="B7093" s="23">
        <v>11.315552</v>
      </c>
      <c r="C7093" s="32">
        <f t="shared" si="110"/>
        <v>6.6763303888080161E-2</v>
      </c>
    </row>
    <row r="7094" spans="1:3" x14ac:dyDescent="0.6">
      <c r="A7094" s="24">
        <v>39836</v>
      </c>
      <c r="B7094" s="23">
        <v>11.315552</v>
      </c>
      <c r="C7094" s="32">
        <f t="shared" si="110"/>
        <v>0</v>
      </c>
    </row>
    <row r="7095" spans="1:3" x14ac:dyDescent="0.6">
      <c r="A7095" s="24">
        <v>39839</v>
      </c>
      <c r="B7095" s="23">
        <v>11.479469999999999</v>
      </c>
      <c r="C7095" s="32">
        <f t="shared" si="110"/>
        <v>1.4486080749750441E-2</v>
      </c>
    </row>
    <row r="7096" spans="1:3" x14ac:dyDescent="0.6">
      <c r="A7096" s="24">
        <v>39840</v>
      </c>
      <c r="B7096" s="23">
        <v>11.619056</v>
      </c>
      <c r="C7096" s="32">
        <f t="shared" si="110"/>
        <v>1.2159620609662358E-2</v>
      </c>
    </row>
    <row r="7097" spans="1:3" x14ac:dyDescent="0.6">
      <c r="A7097" s="24">
        <v>39841</v>
      </c>
      <c r="B7097" s="23">
        <v>12.063432000000001</v>
      </c>
      <c r="C7097" s="32">
        <f t="shared" si="110"/>
        <v>3.8245447822955692E-2</v>
      </c>
    </row>
    <row r="7098" spans="1:3" x14ac:dyDescent="0.6">
      <c r="A7098" s="24">
        <v>39842</v>
      </c>
      <c r="B7098" s="23">
        <v>11.90976</v>
      </c>
      <c r="C7098" s="32">
        <f t="shared" si="110"/>
        <v>-1.2738663425134744E-2</v>
      </c>
    </row>
    <row r="7099" spans="1:3" x14ac:dyDescent="0.6">
      <c r="A7099" s="24">
        <v>39843</v>
      </c>
      <c r="B7099" s="23">
        <v>11.542222000000001</v>
      </c>
      <c r="C7099" s="32">
        <f t="shared" si="110"/>
        <v>-3.0860235638669464E-2</v>
      </c>
    </row>
    <row r="7100" spans="1:3" x14ac:dyDescent="0.6">
      <c r="A7100" s="24">
        <v>39846</v>
      </c>
      <c r="B7100" s="23">
        <v>11.718946000000001</v>
      </c>
      <c r="C7100" s="32">
        <f t="shared" si="110"/>
        <v>1.5311090013690576E-2</v>
      </c>
    </row>
    <row r="7101" spans="1:3" x14ac:dyDescent="0.6">
      <c r="A7101" s="24">
        <v>39847</v>
      </c>
      <c r="B7101" s="23">
        <v>11.907197</v>
      </c>
      <c r="C7101" s="32">
        <f t="shared" si="110"/>
        <v>1.6063816660645047E-2</v>
      </c>
    </row>
    <row r="7102" spans="1:3" x14ac:dyDescent="0.6">
      <c r="A7102" s="24">
        <v>39848</v>
      </c>
      <c r="B7102" s="23">
        <v>11.980193</v>
      </c>
      <c r="C7102" s="32">
        <f t="shared" si="110"/>
        <v>6.1304100368877457E-3</v>
      </c>
    </row>
    <row r="7103" spans="1:3" x14ac:dyDescent="0.6">
      <c r="A7103" s="24">
        <v>39849</v>
      </c>
      <c r="B7103" s="23">
        <v>12.352854000000001</v>
      </c>
      <c r="C7103" s="32">
        <f t="shared" si="110"/>
        <v>3.1106427083436916E-2</v>
      </c>
    </row>
    <row r="7104" spans="1:3" x14ac:dyDescent="0.6">
      <c r="A7104" s="24">
        <v>39850</v>
      </c>
      <c r="B7104" s="23">
        <v>12.770334</v>
      </c>
      <c r="C7104" s="32">
        <f t="shared" si="110"/>
        <v>3.3796238504883114E-2</v>
      </c>
    </row>
    <row r="7105" spans="1:3" x14ac:dyDescent="0.6">
      <c r="A7105" s="24">
        <v>39853</v>
      </c>
      <c r="B7105" s="23">
        <v>13.127625999999999</v>
      </c>
      <c r="C7105" s="32">
        <f t="shared" si="110"/>
        <v>2.7978281539073224E-2</v>
      </c>
    </row>
    <row r="7106" spans="1:3" x14ac:dyDescent="0.6">
      <c r="A7106" s="24">
        <v>39854</v>
      </c>
      <c r="B7106" s="23">
        <v>12.528299000000001</v>
      </c>
      <c r="C7106" s="32">
        <f t="shared" si="110"/>
        <v>-4.5653875270364908E-2</v>
      </c>
    </row>
    <row r="7107" spans="1:3" x14ac:dyDescent="0.6">
      <c r="A7107" s="24">
        <v>39855</v>
      </c>
      <c r="B7107" s="23">
        <v>12.398954</v>
      </c>
      <c r="C7107" s="32">
        <f t="shared" si="110"/>
        <v>-1.0324226776516121E-2</v>
      </c>
    </row>
    <row r="7108" spans="1:3" x14ac:dyDescent="0.6">
      <c r="A7108" s="24">
        <v>39856</v>
      </c>
      <c r="B7108" s="23">
        <v>12.712706000000001</v>
      </c>
      <c r="C7108" s="32">
        <f t="shared" ref="C7108:C7171" si="111">B7108/B7107-1</f>
        <v>2.5304715220332286E-2</v>
      </c>
    </row>
    <row r="7109" spans="1:3" x14ac:dyDescent="0.6">
      <c r="A7109" s="24">
        <v>39857</v>
      </c>
      <c r="B7109" s="23">
        <v>12.698623</v>
      </c>
      <c r="C7109" s="32">
        <f t="shared" si="111"/>
        <v>-1.1077893251052462E-3</v>
      </c>
    </row>
    <row r="7110" spans="1:3" x14ac:dyDescent="0.6">
      <c r="A7110" s="24">
        <v>39861</v>
      </c>
      <c r="B7110" s="23">
        <v>12.105693</v>
      </c>
      <c r="C7110" s="32">
        <f t="shared" si="111"/>
        <v>-4.6692464214426965E-2</v>
      </c>
    </row>
    <row r="7111" spans="1:3" x14ac:dyDescent="0.6">
      <c r="A7111" s="24">
        <v>39862</v>
      </c>
      <c r="B7111" s="23">
        <v>12.085203</v>
      </c>
      <c r="C7111" s="32">
        <f t="shared" si="111"/>
        <v>-1.6925920721763132E-3</v>
      </c>
    </row>
    <row r="7112" spans="1:3" x14ac:dyDescent="0.6">
      <c r="A7112" s="24">
        <v>39863</v>
      </c>
      <c r="B7112" s="23">
        <v>11.607531</v>
      </c>
      <c r="C7112" s="32">
        <f t="shared" si="111"/>
        <v>-3.9525360062218295E-2</v>
      </c>
    </row>
    <row r="7113" spans="1:3" x14ac:dyDescent="0.6">
      <c r="A7113" s="24">
        <v>39864</v>
      </c>
      <c r="B7113" s="23">
        <v>11.679247</v>
      </c>
      <c r="C7113" s="32">
        <f t="shared" si="111"/>
        <v>6.1784026249855906E-3</v>
      </c>
    </row>
    <row r="7114" spans="1:3" x14ac:dyDescent="0.6">
      <c r="A7114" s="24">
        <v>39867</v>
      </c>
      <c r="B7114" s="23">
        <v>11.134986</v>
      </c>
      <c r="C7114" s="32">
        <f t="shared" si="111"/>
        <v>-4.6600692664518606E-2</v>
      </c>
    </row>
    <row r="7115" spans="1:3" x14ac:dyDescent="0.6">
      <c r="A7115" s="24">
        <v>39868</v>
      </c>
      <c r="B7115" s="23">
        <v>11.557591</v>
      </c>
      <c r="C7115" s="32">
        <f t="shared" si="111"/>
        <v>3.7952899087614567E-2</v>
      </c>
    </row>
    <row r="7116" spans="1:3" x14ac:dyDescent="0.6">
      <c r="A7116" s="24">
        <v>39869</v>
      </c>
      <c r="B7116" s="23">
        <v>11.674125</v>
      </c>
      <c r="C7116" s="32">
        <f t="shared" si="111"/>
        <v>1.0082897032781313E-2</v>
      </c>
    </row>
    <row r="7117" spans="1:3" x14ac:dyDescent="0.6">
      <c r="A7117" s="24">
        <v>39870</v>
      </c>
      <c r="B7117" s="23">
        <v>11.421844</v>
      </c>
      <c r="C7117" s="32">
        <f t="shared" si="111"/>
        <v>-2.1610270577024027E-2</v>
      </c>
    </row>
    <row r="7118" spans="1:3" x14ac:dyDescent="0.6">
      <c r="A7118" s="24">
        <v>39871</v>
      </c>
      <c r="B7118" s="23">
        <v>11.437211</v>
      </c>
      <c r="C7118" s="32">
        <f t="shared" si="111"/>
        <v>1.3454044723426595E-3</v>
      </c>
    </row>
    <row r="7119" spans="1:3" x14ac:dyDescent="0.6">
      <c r="A7119" s="24">
        <v>39874</v>
      </c>
      <c r="B7119" s="23">
        <v>11.261767000000001</v>
      </c>
      <c r="C7119" s="32">
        <f t="shared" si="111"/>
        <v>-1.5339753721427263E-2</v>
      </c>
    </row>
    <row r="7120" spans="1:3" x14ac:dyDescent="0.6">
      <c r="A7120" s="24">
        <v>39875</v>
      </c>
      <c r="B7120" s="23">
        <v>11.316833000000001</v>
      </c>
      <c r="C7120" s="32">
        <f t="shared" si="111"/>
        <v>4.8896412081691487E-3</v>
      </c>
    </row>
    <row r="7121" spans="1:3" x14ac:dyDescent="0.6">
      <c r="A7121" s="24">
        <v>39876</v>
      </c>
      <c r="B7121" s="23">
        <v>11.675406000000001</v>
      </c>
      <c r="C7121" s="32">
        <f t="shared" si="111"/>
        <v>3.1684924572095374E-2</v>
      </c>
    </row>
    <row r="7122" spans="1:3" x14ac:dyDescent="0.6">
      <c r="A7122" s="24">
        <v>39877</v>
      </c>
      <c r="B7122" s="23">
        <v>11.377020999999999</v>
      </c>
      <c r="C7122" s="32">
        <f t="shared" si="111"/>
        <v>-2.5556712974264095E-2</v>
      </c>
    </row>
    <row r="7123" spans="1:3" x14ac:dyDescent="0.6">
      <c r="A7123" s="24">
        <v>39878</v>
      </c>
      <c r="B7123" s="23">
        <v>10.923683</v>
      </c>
      <c r="C7123" s="32">
        <f t="shared" si="111"/>
        <v>-3.9846810513929687E-2</v>
      </c>
    </row>
    <row r="7124" spans="1:3" x14ac:dyDescent="0.6">
      <c r="A7124" s="24">
        <v>39881</v>
      </c>
      <c r="B7124" s="23">
        <v>10.643224999999999</v>
      </c>
      <c r="C7124" s="32">
        <f t="shared" si="111"/>
        <v>-2.5674307831891618E-2</v>
      </c>
    </row>
    <row r="7125" spans="1:3" x14ac:dyDescent="0.6">
      <c r="A7125" s="24">
        <v>39882</v>
      </c>
      <c r="B7125" s="23">
        <v>11.350128</v>
      </c>
      <c r="C7125" s="32">
        <f t="shared" si="111"/>
        <v>6.6418120447514717E-2</v>
      </c>
    </row>
    <row r="7126" spans="1:3" x14ac:dyDescent="0.6">
      <c r="A7126" s="24">
        <v>39883</v>
      </c>
      <c r="B7126" s="23">
        <v>11.868779999999999</v>
      </c>
      <c r="C7126" s="32">
        <f t="shared" si="111"/>
        <v>4.56956961190218E-2</v>
      </c>
    </row>
    <row r="7127" spans="1:3" x14ac:dyDescent="0.6">
      <c r="A7127" s="24">
        <v>39884</v>
      </c>
      <c r="B7127" s="23">
        <v>12.338767000000001</v>
      </c>
      <c r="C7127" s="32">
        <f t="shared" si="111"/>
        <v>3.9598593958267037E-2</v>
      </c>
    </row>
    <row r="7128" spans="1:3" x14ac:dyDescent="0.6">
      <c r="A7128" s="24">
        <v>39885</v>
      </c>
      <c r="B7128" s="23">
        <v>12.284981</v>
      </c>
      <c r="C7128" s="32">
        <f t="shared" si="111"/>
        <v>-4.3591065460593104E-3</v>
      </c>
    </row>
    <row r="7129" spans="1:3" x14ac:dyDescent="0.6">
      <c r="A7129" s="24">
        <v>39888</v>
      </c>
      <c r="B7129" s="23">
        <v>12.219669</v>
      </c>
      <c r="C7129" s="32">
        <f t="shared" si="111"/>
        <v>-5.3164103387706163E-3</v>
      </c>
    </row>
    <row r="7130" spans="1:3" x14ac:dyDescent="0.6">
      <c r="A7130" s="24">
        <v>39889</v>
      </c>
      <c r="B7130" s="23">
        <v>12.762651999999999</v>
      </c>
      <c r="C7130" s="32">
        <f t="shared" si="111"/>
        <v>4.4435164324009069E-2</v>
      </c>
    </row>
    <row r="7131" spans="1:3" x14ac:dyDescent="0.6">
      <c r="A7131" s="24">
        <v>39890</v>
      </c>
      <c r="B7131" s="23">
        <v>13.000848</v>
      </c>
      <c r="C7131" s="32">
        <f t="shared" si="111"/>
        <v>1.8663519149468399E-2</v>
      </c>
    </row>
    <row r="7132" spans="1:3" x14ac:dyDescent="0.6">
      <c r="A7132" s="24">
        <v>39891</v>
      </c>
      <c r="B7132" s="23">
        <v>13.013653</v>
      </c>
      <c r="C7132" s="32">
        <f t="shared" si="111"/>
        <v>9.8493575188318694E-4</v>
      </c>
    </row>
    <row r="7133" spans="1:3" x14ac:dyDescent="0.6">
      <c r="A7133" s="24">
        <v>39892</v>
      </c>
      <c r="B7133" s="23">
        <v>13.009810999999999</v>
      </c>
      <c r="C7133" s="32">
        <f t="shared" si="111"/>
        <v>-2.952284035850905E-4</v>
      </c>
    </row>
    <row r="7134" spans="1:3" x14ac:dyDescent="0.6">
      <c r="A7134" s="24">
        <v>39895</v>
      </c>
      <c r="B7134" s="23">
        <v>13.787146999999999</v>
      </c>
      <c r="C7134" s="32">
        <f t="shared" si="111"/>
        <v>5.9749984069714879E-2</v>
      </c>
    </row>
    <row r="7135" spans="1:3" x14ac:dyDescent="0.6">
      <c r="A7135" s="24">
        <v>39896</v>
      </c>
      <c r="B7135" s="23">
        <v>13.638593999999999</v>
      </c>
      <c r="C7135" s="32">
        <f t="shared" si="111"/>
        <v>-1.0774745493030591E-2</v>
      </c>
    </row>
    <row r="7136" spans="1:3" x14ac:dyDescent="0.6">
      <c r="A7136" s="24">
        <v>39897</v>
      </c>
      <c r="B7136" s="23">
        <v>13.637314</v>
      </c>
      <c r="C7136" s="32">
        <f t="shared" si="111"/>
        <v>-9.385131634531696E-5</v>
      </c>
    </row>
    <row r="7137" spans="1:3" x14ac:dyDescent="0.6">
      <c r="A7137" s="24">
        <v>39898</v>
      </c>
      <c r="B7137" s="23">
        <v>14.070163000000001</v>
      </c>
      <c r="C7137" s="32">
        <f t="shared" si="111"/>
        <v>3.1740047930259641E-2</v>
      </c>
    </row>
    <row r="7138" spans="1:3" x14ac:dyDescent="0.6">
      <c r="A7138" s="24">
        <v>39899</v>
      </c>
      <c r="B7138" s="23">
        <v>13.683418</v>
      </c>
      <c r="C7138" s="32">
        <f t="shared" si="111"/>
        <v>-2.7486888389281705E-2</v>
      </c>
    </row>
    <row r="7139" spans="1:3" x14ac:dyDescent="0.6">
      <c r="A7139" s="24">
        <v>39902</v>
      </c>
      <c r="B7139" s="23">
        <v>13.381192</v>
      </c>
      <c r="C7139" s="32">
        <f t="shared" si="111"/>
        <v>-2.2087025332413246E-2</v>
      </c>
    </row>
    <row r="7140" spans="1:3" x14ac:dyDescent="0.6">
      <c r="A7140" s="24">
        <v>39903</v>
      </c>
      <c r="B7140" s="23">
        <v>13.461871</v>
      </c>
      <c r="C7140" s="32">
        <f t="shared" si="111"/>
        <v>6.0292834898416636E-3</v>
      </c>
    </row>
    <row r="7141" spans="1:3" x14ac:dyDescent="0.6">
      <c r="A7141" s="24">
        <v>39904</v>
      </c>
      <c r="B7141" s="23">
        <v>13.919051</v>
      </c>
      <c r="C7141" s="32">
        <f t="shared" si="111"/>
        <v>3.3961103920844282E-2</v>
      </c>
    </row>
    <row r="7142" spans="1:3" x14ac:dyDescent="0.6">
      <c r="A7142" s="24">
        <v>39905</v>
      </c>
      <c r="B7142" s="23">
        <v>14.433861</v>
      </c>
      <c r="C7142" s="32">
        <f t="shared" si="111"/>
        <v>3.6985998542573117E-2</v>
      </c>
    </row>
    <row r="7143" spans="1:3" x14ac:dyDescent="0.6">
      <c r="A7143" s="24">
        <v>39906</v>
      </c>
      <c r="B7143" s="23">
        <v>14.853904999999999</v>
      </c>
      <c r="C7143" s="32">
        <f t="shared" si="111"/>
        <v>2.9101291747232416E-2</v>
      </c>
    </row>
    <row r="7144" spans="1:3" x14ac:dyDescent="0.6">
      <c r="A7144" s="24">
        <v>39909</v>
      </c>
      <c r="B7144" s="23">
        <v>15.168937</v>
      </c>
      <c r="C7144" s="32">
        <f t="shared" si="111"/>
        <v>2.120869899194866E-2</v>
      </c>
    </row>
    <row r="7145" spans="1:3" x14ac:dyDescent="0.6">
      <c r="A7145" s="24">
        <v>39910</v>
      </c>
      <c r="B7145" s="23">
        <v>14.727122</v>
      </c>
      <c r="C7145" s="32">
        <f t="shared" si="111"/>
        <v>-2.9126299357693952E-2</v>
      </c>
    </row>
    <row r="7146" spans="1:3" x14ac:dyDescent="0.6">
      <c r="A7146" s="24">
        <v>39911</v>
      </c>
      <c r="B7146" s="23">
        <v>14.896162</v>
      </c>
      <c r="C7146" s="32">
        <f t="shared" si="111"/>
        <v>1.1478142165183502E-2</v>
      </c>
    </row>
    <row r="7147" spans="1:3" x14ac:dyDescent="0.6">
      <c r="A7147" s="24">
        <v>39912</v>
      </c>
      <c r="B7147" s="23">
        <v>15.312363</v>
      </c>
      <c r="C7147" s="32">
        <f t="shared" si="111"/>
        <v>2.7940149952719207E-2</v>
      </c>
    </row>
    <row r="7148" spans="1:3" x14ac:dyDescent="0.6">
      <c r="A7148" s="24">
        <v>39916</v>
      </c>
      <c r="B7148" s="23">
        <v>15.3956</v>
      </c>
      <c r="C7148" s="32">
        <f t="shared" si="111"/>
        <v>5.4359343492575984E-3</v>
      </c>
    </row>
    <row r="7149" spans="1:3" x14ac:dyDescent="0.6">
      <c r="A7149" s="24">
        <v>39917</v>
      </c>
      <c r="B7149" s="23">
        <v>15.151007</v>
      </c>
      <c r="C7149" s="32">
        <f t="shared" si="111"/>
        <v>-1.5887201538101747E-2</v>
      </c>
    </row>
    <row r="7150" spans="1:3" x14ac:dyDescent="0.6">
      <c r="A7150" s="24">
        <v>39918</v>
      </c>
      <c r="B7150" s="23">
        <v>15.065204</v>
      </c>
      <c r="C7150" s="32">
        <f t="shared" si="111"/>
        <v>-5.663187931996938E-3</v>
      </c>
    </row>
    <row r="7151" spans="1:3" x14ac:dyDescent="0.6">
      <c r="A7151" s="24">
        <v>39919</v>
      </c>
      <c r="B7151" s="23">
        <v>15.553121000000001</v>
      </c>
      <c r="C7151" s="32">
        <f t="shared" si="111"/>
        <v>3.2387015801445651E-2</v>
      </c>
    </row>
    <row r="7152" spans="1:3" x14ac:dyDescent="0.6">
      <c r="A7152" s="24">
        <v>39920</v>
      </c>
      <c r="B7152" s="23">
        <v>15.805402000000001</v>
      </c>
      <c r="C7152" s="32">
        <f t="shared" si="111"/>
        <v>1.6220602925933747E-2</v>
      </c>
    </row>
    <row r="7153" spans="1:3" x14ac:dyDescent="0.6">
      <c r="A7153" s="24">
        <v>39923</v>
      </c>
      <c r="B7153" s="23">
        <v>15.431462</v>
      </c>
      <c r="C7153" s="32">
        <f t="shared" si="111"/>
        <v>-2.3658999625571164E-2</v>
      </c>
    </row>
    <row r="7154" spans="1:3" x14ac:dyDescent="0.6">
      <c r="A7154" s="24">
        <v>39924</v>
      </c>
      <c r="B7154" s="23">
        <v>15.592817999999999</v>
      </c>
      <c r="C7154" s="32">
        <f t="shared" si="111"/>
        <v>1.0456300252043471E-2</v>
      </c>
    </row>
    <row r="7155" spans="1:3" x14ac:dyDescent="0.6">
      <c r="A7155" s="24">
        <v>39925</v>
      </c>
      <c r="B7155" s="23">
        <v>15.560803</v>
      </c>
      <c r="C7155" s="32">
        <f t="shared" si="111"/>
        <v>-2.0531888463009018E-3</v>
      </c>
    </row>
    <row r="7156" spans="1:3" x14ac:dyDescent="0.6">
      <c r="A7156" s="24">
        <v>39926</v>
      </c>
      <c r="B7156" s="23">
        <v>16.058968</v>
      </c>
      <c r="C7156" s="32">
        <f t="shared" si="111"/>
        <v>3.2014093360092089E-2</v>
      </c>
    </row>
    <row r="7157" spans="1:3" x14ac:dyDescent="0.6">
      <c r="A7157" s="24">
        <v>39927</v>
      </c>
      <c r="B7157" s="23">
        <v>15.866873999999999</v>
      </c>
      <c r="C7157" s="32">
        <f t="shared" si="111"/>
        <v>-1.1961789823605185E-2</v>
      </c>
    </row>
    <row r="7158" spans="1:3" x14ac:dyDescent="0.6">
      <c r="A7158" s="24">
        <v>39930</v>
      </c>
      <c r="B7158" s="23">
        <v>15.973163</v>
      </c>
      <c r="C7158" s="32">
        <f t="shared" si="111"/>
        <v>6.6987990198952296E-3</v>
      </c>
    </row>
    <row r="7159" spans="1:3" x14ac:dyDescent="0.6">
      <c r="A7159" s="24">
        <v>39931</v>
      </c>
      <c r="B7159" s="23">
        <v>15.866873999999999</v>
      </c>
      <c r="C7159" s="32">
        <f t="shared" si="111"/>
        <v>-6.6542237126109294E-3</v>
      </c>
    </row>
    <row r="7160" spans="1:3" x14ac:dyDescent="0.6">
      <c r="A7160" s="24">
        <v>39932</v>
      </c>
      <c r="B7160" s="23">
        <v>16.025666999999999</v>
      </c>
      <c r="C7160" s="32">
        <f t="shared" si="111"/>
        <v>1.0007831410270285E-2</v>
      </c>
    </row>
    <row r="7161" spans="1:3" x14ac:dyDescent="0.6">
      <c r="A7161" s="24">
        <v>39933</v>
      </c>
      <c r="B7161" s="23">
        <v>16.114028999999999</v>
      </c>
      <c r="C7161" s="32">
        <f t="shared" si="111"/>
        <v>5.5137798632656221E-3</v>
      </c>
    </row>
    <row r="7162" spans="1:3" x14ac:dyDescent="0.6">
      <c r="A7162" s="24">
        <v>39934</v>
      </c>
      <c r="B7162" s="23">
        <v>16.294602999999999</v>
      </c>
      <c r="C7162" s="32">
        <f t="shared" si="111"/>
        <v>1.1206011854639319E-2</v>
      </c>
    </row>
    <row r="7163" spans="1:3" x14ac:dyDescent="0.6">
      <c r="A7163" s="24">
        <v>39937</v>
      </c>
      <c r="B7163" s="23">
        <v>16.913136999999999</v>
      </c>
      <c r="C7163" s="32">
        <f t="shared" si="111"/>
        <v>3.7959439699144504E-2</v>
      </c>
    </row>
    <row r="7164" spans="1:3" x14ac:dyDescent="0.6">
      <c r="A7164" s="24">
        <v>39938</v>
      </c>
      <c r="B7164" s="23">
        <v>16.995097999999999</v>
      </c>
      <c r="C7164" s="32">
        <f t="shared" si="111"/>
        <v>4.8459963400047101E-3</v>
      </c>
    </row>
    <row r="7165" spans="1:3" x14ac:dyDescent="0.6">
      <c r="A7165" s="24">
        <v>39939</v>
      </c>
      <c r="B7165" s="23">
        <v>16.968204</v>
      </c>
      <c r="C7165" s="32">
        <f t="shared" si="111"/>
        <v>-1.5824563059300134E-3</v>
      </c>
    </row>
    <row r="7166" spans="1:3" x14ac:dyDescent="0.6">
      <c r="A7166" s="24">
        <v>39940</v>
      </c>
      <c r="B7166" s="23">
        <v>16.527671999999999</v>
      </c>
      <c r="C7166" s="32">
        <f t="shared" si="111"/>
        <v>-2.5962205546326556E-2</v>
      </c>
    </row>
    <row r="7167" spans="1:3" x14ac:dyDescent="0.6">
      <c r="A7167" s="24">
        <v>39941</v>
      </c>
      <c r="B7167" s="23">
        <v>16.544319000000002</v>
      </c>
      <c r="C7167" s="32">
        <f t="shared" si="111"/>
        <v>1.0072198915855868E-3</v>
      </c>
    </row>
    <row r="7168" spans="1:3" x14ac:dyDescent="0.6">
      <c r="A7168" s="24">
        <v>39944</v>
      </c>
      <c r="B7168" s="23">
        <v>16.592981000000002</v>
      </c>
      <c r="C7168" s="32">
        <f t="shared" si="111"/>
        <v>2.9413117578305226E-3</v>
      </c>
    </row>
    <row r="7169" spans="1:3" x14ac:dyDescent="0.6">
      <c r="A7169" s="24">
        <v>39945</v>
      </c>
      <c r="B7169" s="23">
        <v>15.933463</v>
      </c>
      <c r="C7169" s="32">
        <f t="shared" si="111"/>
        <v>-3.9746806194739914E-2</v>
      </c>
    </row>
    <row r="7170" spans="1:3" x14ac:dyDescent="0.6">
      <c r="A7170" s="24">
        <v>39946</v>
      </c>
      <c r="B7170" s="23">
        <v>15.302117000000001</v>
      </c>
      <c r="C7170" s="32">
        <f t="shared" si="111"/>
        <v>-3.9623903479111822E-2</v>
      </c>
    </row>
    <row r="7171" spans="1:3" x14ac:dyDescent="0.6">
      <c r="A7171" s="24">
        <v>39947</v>
      </c>
      <c r="B7171" s="23">
        <v>15.74521</v>
      </c>
      <c r="C7171" s="32">
        <f t="shared" si="111"/>
        <v>2.8956320226802612E-2</v>
      </c>
    </row>
    <row r="7172" spans="1:3" x14ac:dyDescent="0.6">
      <c r="A7172" s="24">
        <v>39948</v>
      </c>
      <c r="B7172" s="23">
        <v>15.677337</v>
      </c>
      <c r="C7172" s="32">
        <f t="shared" ref="C7172:C7235" si="112">B7172/B7171-1</f>
        <v>-4.3107078279680522E-3</v>
      </c>
    </row>
    <row r="7173" spans="1:3" x14ac:dyDescent="0.6">
      <c r="A7173" s="24">
        <v>39951</v>
      </c>
      <c r="B7173" s="23">
        <v>16.219044</v>
      </c>
      <c r="C7173" s="32">
        <f t="shared" si="112"/>
        <v>3.4553508673061062E-2</v>
      </c>
    </row>
    <row r="7174" spans="1:3" x14ac:dyDescent="0.6">
      <c r="A7174" s="24">
        <v>39952</v>
      </c>
      <c r="B7174" s="23">
        <v>16.321489</v>
      </c>
      <c r="C7174" s="32">
        <f t="shared" si="112"/>
        <v>6.3163402232584431E-3</v>
      </c>
    </row>
    <row r="7175" spans="1:3" x14ac:dyDescent="0.6">
      <c r="A7175" s="24">
        <v>39953</v>
      </c>
      <c r="B7175" s="23">
        <v>16.119157999999999</v>
      </c>
      <c r="C7175" s="32">
        <f t="shared" si="112"/>
        <v>-1.2396601805141683E-2</v>
      </c>
    </row>
    <row r="7176" spans="1:3" x14ac:dyDescent="0.6">
      <c r="A7176" s="24">
        <v>39954</v>
      </c>
      <c r="B7176" s="23">
        <v>15.902727000000001</v>
      </c>
      <c r="C7176" s="32">
        <f t="shared" si="112"/>
        <v>-1.3426942027616962E-2</v>
      </c>
    </row>
    <row r="7177" spans="1:3" x14ac:dyDescent="0.6">
      <c r="A7177" s="24">
        <v>39955</v>
      </c>
      <c r="B7177" s="23">
        <v>15.687587000000001</v>
      </c>
      <c r="C7177" s="32">
        <f t="shared" si="112"/>
        <v>-1.3528497345140833E-2</v>
      </c>
    </row>
    <row r="7178" spans="1:3" x14ac:dyDescent="0.6">
      <c r="A7178" s="24">
        <v>39959</v>
      </c>
      <c r="B7178" s="23">
        <v>16.747938000000001</v>
      </c>
      <c r="C7178" s="32">
        <f t="shared" si="112"/>
        <v>6.7591720766233987E-2</v>
      </c>
    </row>
    <row r="7179" spans="1:3" x14ac:dyDescent="0.6">
      <c r="A7179" s="24">
        <v>39960</v>
      </c>
      <c r="B7179" s="23">
        <v>17.038643</v>
      </c>
      <c r="C7179" s="32">
        <f t="shared" si="112"/>
        <v>1.7357659193627306E-2</v>
      </c>
    </row>
    <row r="7180" spans="1:3" x14ac:dyDescent="0.6">
      <c r="A7180" s="24">
        <v>39961</v>
      </c>
      <c r="B7180" s="23">
        <v>17.297325000000001</v>
      </c>
      <c r="C7180" s="32">
        <f t="shared" si="112"/>
        <v>1.5182077586812559E-2</v>
      </c>
    </row>
    <row r="7181" spans="1:3" x14ac:dyDescent="0.6">
      <c r="A7181" s="24">
        <v>39962</v>
      </c>
      <c r="B7181" s="23">
        <v>17.392088000000001</v>
      </c>
      <c r="C7181" s="32">
        <f t="shared" si="112"/>
        <v>5.4784771633764606E-3</v>
      </c>
    </row>
    <row r="7182" spans="1:3" x14ac:dyDescent="0.6">
      <c r="A7182" s="24">
        <v>39965</v>
      </c>
      <c r="B7182" s="23">
        <v>17.84543</v>
      </c>
      <c r="C7182" s="32">
        <f t="shared" si="112"/>
        <v>2.6065990466469513E-2</v>
      </c>
    </row>
    <row r="7183" spans="1:3" x14ac:dyDescent="0.6">
      <c r="A7183" s="24">
        <v>39966</v>
      </c>
      <c r="B7183" s="23">
        <v>17.863356</v>
      </c>
      <c r="C7183" s="32">
        <f t="shared" si="112"/>
        <v>1.0045148814010751E-3</v>
      </c>
    </row>
    <row r="7184" spans="1:3" x14ac:dyDescent="0.6">
      <c r="A7184" s="24">
        <v>39967</v>
      </c>
      <c r="B7184" s="23">
        <v>18.050326999999999</v>
      </c>
      <c r="C7184" s="32">
        <f t="shared" si="112"/>
        <v>1.0466734246353138E-2</v>
      </c>
    </row>
    <row r="7185" spans="1:3" x14ac:dyDescent="0.6">
      <c r="A7185" s="24">
        <v>39968</v>
      </c>
      <c r="B7185" s="23">
        <v>18.407617999999999</v>
      </c>
      <c r="C7185" s="32">
        <f t="shared" si="112"/>
        <v>1.979415663771622E-2</v>
      </c>
    </row>
    <row r="7186" spans="1:3" x14ac:dyDescent="0.6">
      <c r="A7186" s="24">
        <v>39969</v>
      </c>
      <c r="B7186" s="23">
        <v>18.526721999999999</v>
      </c>
      <c r="C7186" s="32">
        <f t="shared" si="112"/>
        <v>6.4703646066535114E-3</v>
      </c>
    </row>
    <row r="7187" spans="1:3" x14ac:dyDescent="0.6">
      <c r="A7187" s="24">
        <v>39972</v>
      </c>
      <c r="B7187" s="23">
        <v>18.421707000000001</v>
      </c>
      <c r="C7187" s="32">
        <f t="shared" si="112"/>
        <v>-5.6682990115574095E-3</v>
      </c>
    </row>
    <row r="7188" spans="1:3" x14ac:dyDescent="0.6">
      <c r="A7188" s="24">
        <v>39973</v>
      </c>
      <c r="B7188" s="23">
        <v>18.277000000000001</v>
      </c>
      <c r="C7188" s="32">
        <f t="shared" si="112"/>
        <v>-7.8552438164389837E-3</v>
      </c>
    </row>
    <row r="7189" spans="1:3" x14ac:dyDescent="0.6">
      <c r="A7189" s="24">
        <v>39974</v>
      </c>
      <c r="B7189" s="23">
        <v>17.960685999999999</v>
      </c>
      <c r="C7189" s="32">
        <f t="shared" si="112"/>
        <v>-1.7306669584724044E-2</v>
      </c>
    </row>
    <row r="7190" spans="1:3" x14ac:dyDescent="0.6">
      <c r="A7190" s="24">
        <v>39975</v>
      </c>
      <c r="B7190" s="23">
        <v>17.922262</v>
      </c>
      <c r="C7190" s="32">
        <f t="shared" si="112"/>
        <v>-2.1393392212301077E-3</v>
      </c>
    </row>
    <row r="7191" spans="1:3" x14ac:dyDescent="0.6">
      <c r="A7191" s="24">
        <v>39976</v>
      </c>
      <c r="B7191" s="23">
        <v>17.540638000000001</v>
      </c>
      <c r="C7191" s="32">
        <f t="shared" si="112"/>
        <v>-2.1293294339743474E-2</v>
      </c>
    </row>
    <row r="7192" spans="1:3" x14ac:dyDescent="0.6">
      <c r="A7192" s="24">
        <v>39979</v>
      </c>
      <c r="B7192" s="23">
        <v>17.427952000000001</v>
      </c>
      <c r="C7192" s="32">
        <f t="shared" si="112"/>
        <v>-6.4242817165487409E-3</v>
      </c>
    </row>
    <row r="7193" spans="1:3" x14ac:dyDescent="0.6">
      <c r="A7193" s="24">
        <v>39980</v>
      </c>
      <c r="B7193" s="23">
        <v>17.461245999999999</v>
      </c>
      <c r="C7193" s="32">
        <f t="shared" si="112"/>
        <v>1.9103793721717555E-3</v>
      </c>
    </row>
    <row r="7194" spans="1:3" x14ac:dyDescent="0.6">
      <c r="A7194" s="24">
        <v>39981</v>
      </c>
      <c r="B7194" s="23">
        <v>17.362632999999999</v>
      </c>
      <c r="C7194" s="32">
        <f t="shared" si="112"/>
        <v>-5.6475351186278111E-3</v>
      </c>
    </row>
    <row r="7195" spans="1:3" x14ac:dyDescent="0.6">
      <c r="A7195" s="24">
        <v>39982</v>
      </c>
      <c r="B7195" s="23">
        <v>17.401052</v>
      </c>
      <c r="C7195" s="32">
        <f t="shared" si="112"/>
        <v>2.2127404294038922E-3</v>
      </c>
    </row>
    <row r="7196" spans="1:3" x14ac:dyDescent="0.6">
      <c r="A7196" s="24">
        <v>39983</v>
      </c>
      <c r="B7196" s="23">
        <v>17.862078</v>
      </c>
      <c r="C7196" s="32">
        <f t="shared" si="112"/>
        <v>2.6494145296502847E-2</v>
      </c>
    </row>
    <row r="7197" spans="1:3" x14ac:dyDescent="0.6">
      <c r="A7197" s="24">
        <v>39986</v>
      </c>
      <c r="B7197" s="23">
        <v>17.591866</v>
      </c>
      <c r="C7197" s="32">
        <f t="shared" si="112"/>
        <v>-1.5127691190241155E-2</v>
      </c>
    </row>
    <row r="7198" spans="1:3" x14ac:dyDescent="0.6">
      <c r="A7198" s="24">
        <v>39987</v>
      </c>
      <c r="B7198" s="23">
        <v>17.161584999999999</v>
      </c>
      <c r="C7198" s="32">
        <f t="shared" si="112"/>
        <v>-2.445908808082109E-2</v>
      </c>
    </row>
    <row r="7199" spans="1:3" x14ac:dyDescent="0.6">
      <c r="A7199" s="24">
        <v>39988</v>
      </c>
      <c r="B7199" s="23">
        <v>17.444593000000001</v>
      </c>
      <c r="C7199" s="32">
        <f t="shared" si="112"/>
        <v>1.6490784505044376E-2</v>
      </c>
    </row>
    <row r="7200" spans="1:3" x14ac:dyDescent="0.6">
      <c r="A7200" s="24">
        <v>39989</v>
      </c>
      <c r="B7200" s="23">
        <v>17.910740000000001</v>
      </c>
      <c r="C7200" s="32">
        <f t="shared" si="112"/>
        <v>2.6721574988880503E-2</v>
      </c>
    </row>
    <row r="7201" spans="1:3" x14ac:dyDescent="0.6">
      <c r="A7201" s="24">
        <v>39990</v>
      </c>
      <c r="B7201" s="23">
        <v>18.241143999999998</v>
      </c>
      <c r="C7201" s="32">
        <f t="shared" si="112"/>
        <v>1.8447255668944784E-2</v>
      </c>
    </row>
    <row r="7202" spans="1:3" x14ac:dyDescent="0.6">
      <c r="A7202" s="24">
        <v>39993</v>
      </c>
      <c r="B7202" s="23">
        <v>18.180952000000001</v>
      </c>
      <c r="C7202" s="32">
        <f t="shared" si="112"/>
        <v>-3.2997930392960617E-3</v>
      </c>
    </row>
    <row r="7203" spans="1:3" x14ac:dyDescent="0.6">
      <c r="A7203" s="24">
        <v>39994</v>
      </c>
      <c r="B7203" s="23">
        <v>18.239857000000001</v>
      </c>
      <c r="C7203" s="32">
        <f t="shared" si="112"/>
        <v>3.2399293502343163E-3</v>
      </c>
    </row>
    <row r="7204" spans="1:3" x14ac:dyDescent="0.6">
      <c r="A7204" s="24">
        <v>39995</v>
      </c>
      <c r="B7204" s="23">
        <v>18.291090000000001</v>
      </c>
      <c r="C7204" s="32">
        <f t="shared" si="112"/>
        <v>2.8088487755140168E-3</v>
      </c>
    </row>
    <row r="7205" spans="1:3" x14ac:dyDescent="0.6">
      <c r="A7205" s="24">
        <v>39996</v>
      </c>
      <c r="B7205" s="23">
        <v>17.931227</v>
      </c>
      <c r="C7205" s="32">
        <f t="shared" si="112"/>
        <v>-1.9674223898083709E-2</v>
      </c>
    </row>
    <row r="7206" spans="1:3" x14ac:dyDescent="0.6">
      <c r="A7206" s="24">
        <v>40000</v>
      </c>
      <c r="B7206" s="23">
        <v>17.75066</v>
      </c>
      <c r="C7206" s="32">
        <f t="shared" si="112"/>
        <v>-1.0069974575638296E-2</v>
      </c>
    </row>
    <row r="7207" spans="1:3" x14ac:dyDescent="0.6">
      <c r="A7207" s="24">
        <v>40001</v>
      </c>
      <c r="B7207" s="23">
        <v>17.339586000000001</v>
      </c>
      <c r="C7207" s="32">
        <f t="shared" si="112"/>
        <v>-2.3158237496521239E-2</v>
      </c>
    </row>
    <row r="7208" spans="1:3" x14ac:dyDescent="0.6">
      <c r="A7208" s="24">
        <v>40002</v>
      </c>
      <c r="B7208" s="23">
        <v>17.572655000000001</v>
      </c>
      <c r="C7208" s="32">
        <f t="shared" si="112"/>
        <v>1.3441439720648596E-2</v>
      </c>
    </row>
    <row r="7209" spans="1:3" x14ac:dyDescent="0.6">
      <c r="A7209" s="24">
        <v>40003</v>
      </c>
      <c r="B7209" s="23">
        <v>17.462523000000001</v>
      </c>
      <c r="C7209" s="32">
        <f t="shared" si="112"/>
        <v>-6.2672373639611756E-3</v>
      </c>
    </row>
    <row r="7210" spans="1:3" x14ac:dyDescent="0.6">
      <c r="A7210" s="24">
        <v>40004</v>
      </c>
      <c r="B7210" s="23">
        <v>17.739139999999999</v>
      </c>
      <c r="C7210" s="32">
        <f t="shared" si="112"/>
        <v>1.5840609057465427E-2</v>
      </c>
    </row>
    <row r="7211" spans="1:3" x14ac:dyDescent="0.6">
      <c r="A7211" s="24">
        <v>40007</v>
      </c>
      <c r="B7211" s="23">
        <v>18.228332999999999</v>
      </c>
      <c r="C7211" s="32">
        <f t="shared" si="112"/>
        <v>2.7577041502575783E-2</v>
      </c>
    </row>
    <row r="7212" spans="1:3" x14ac:dyDescent="0.6">
      <c r="A7212" s="24">
        <v>40008</v>
      </c>
      <c r="B7212" s="23">
        <v>18.219363999999999</v>
      </c>
      <c r="C7212" s="32">
        <f t="shared" si="112"/>
        <v>-4.9203621636717543E-4</v>
      </c>
    </row>
    <row r="7213" spans="1:3" x14ac:dyDescent="0.6">
      <c r="A7213" s="24">
        <v>40009</v>
      </c>
      <c r="B7213" s="23">
        <v>18.809737999999999</v>
      </c>
      <c r="C7213" s="32">
        <f t="shared" si="112"/>
        <v>3.2403655802694331E-2</v>
      </c>
    </row>
    <row r="7214" spans="1:3" x14ac:dyDescent="0.6">
      <c r="A7214" s="24">
        <v>40010</v>
      </c>
      <c r="B7214" s="23">
        <v>18.891694999999999</v>
      </c>
      <c r="C7214" s="32">
        <f t="shared" si="112"/>
        <v>4.3571579784895675E-3</v>
      </c>
    </row>
    <row r="7215" spans="1:3" x14ac:dyDescent="0.6">
      <c r="A7215" s="24">
        <v>40011</v>
      </c>
      <c r="B7215" s="23">
        <v>19.433396999999999</v>
      </c>
      <c r="C7215" s="32">
        <f t="shared" si="112"/>
        <v>2.8674081388673667E-2</v>
      </c>
    </row>
    <row r="7216" spans="1:3" x14ac:dyDescent="0.6">
      <c r="A7216" s="24">
        <v>40014</v>
      </c>
      <c r="B7216" s="23">
        <v>19.581947</v>
      </c>
      <c r="C7216" s="32">
        <f t="shared" si="112"/>
        <v>7.6440572896236958E-3</v>
      </c>
    </row>
    <row r="7217" spans="1:3" x14ac:dyDescent="0.6">
      <c r="A7217" s="24">
        <v>40015</v>
      </c>
      <c r="B7217" s="23">
        <v>19.402661999999999</v>
      </c>
      <c r="C7217" s="32">
        <f t="shared" si="112"/>
        <v>-9.155626863865951E-3</v>
      </c>
    </row>
    <row r="7218" spans="1:3" x14ac:dyDescent="0.6">
      <c r="A7218" s="24">
        <v>40016</v>
      </c>
      <c r="B7218" s="23">
        <v>20.072424000000002</v>
      </c>
      <c r="C7218" s="32">
        <f t="shared" si="112"/>
        <v>3.4519077846122403E-2</v>
      </c>
    </row>
    <row r="7219" spans="1:3" x14ac:dyDescent="0.6">
      <c r="A7219" s="24">
        <v>40017</v>
      </c>
      <c r="B7219" s="23">
        <v>20.210733000000001</v>
      </c>
      <c r="C7219" s="32">
        <f t="shared" si="112"/>
        <v>6.890498128178324E-3</v>
      </c>
    </row>
    <row r="7220" spans="1:3" x14ac:dyDescent="0.6">
      <c r="A7220" s="24">
        <v>40018</v>
      </c>
      <c r="B7220" s="23">
        <v>20.488626</v>
      </c>
      <c r="C7220" s="32">
        <f t="shared" si="112"/>
        <v>1.3749773449582392E-2</v>
      </c>
    </row>
    <row r="7221" spans="1:3" x14ac:dyDescent="0.6">
      <c r="A7221" s="24">
        <v>40021</v>
      </c>
      <c r="B7221" s="23">
        <v>20.502714000000001</v>
      </c>
      <c r="C7221" s="32">
        <f t="shared" si="112"/>
        <v>6.876010133622934E-4</v>
      </c>
    </row>
    <row r="7222" spans="1:3" x14ac:dyDescent="0.6">
      <c r="A7222" s="24">
        <v>40022</v>
      </c>
      <c r="B7222" s="23">
        <v>20.489909999999998</v>
      </c>
      <c r="C7222" s="32">
        <f t="shared" si="112"/>
        <v>-6.2450268779068452E-4</v>
      </c>
    </row>
    <row r="7223" spans="1:3" x14ac:dyDescent="0.6">
      <c r="A7223" s="24">
        <v>40023</v>
      </c>
      <c r="B7223" s="23">
        <v>20.493746000000002</v>
      </c>
      <c r="C7223" s="32">
        <f t="shared" si="112"/>
        <v>1.8721409708510883E-4</v>
      </c>
    </row>
    <row r="7224" spans="1:3" x14ac:dyDescent="0.6">
      <c r="A7224" s="24">
        <v>40024</v>
      </c>
      <c r="B7224" s="23">
        <v>20.847197999999999</v>
      </c>
      <c r="C7224" s="32">
        <f t="shared" si="112"/>
        <v>1.7246822518440341E-2</v>
      </c>
    </row>
    <row r="7225" spans="1:3" x14ac:dyDescent="0.6">
      <c r="A7225" s="24">
        <v>40025</v>
      </c>
      <c r="B7225" s="23">
        <v>20.924037999999999</v>
      </c>
      <c r="C7225" s="32">
        <f t="shared" si="112"/>
        <v>3.68586704074092E-3</v>
      </c>
    </row>
    <row r="7226" spans="1:3" x14ac:dyDescent="0.6">
      <c r="A7226" s="24">
        <v>40028</v>
      </c>
      <c r="B7226" s="23">
        <v>21.313345000000002</v>
      </c>
      <c r="C7226" s="32">
        <f t="shared" si="112"/>
        <v>1.8605729926508552E-2</v>
      </c>
    </row>
    <row r="7227" spans="1:3" x14ac:dyDescent="0.6">
      <c r="A7227" s="24">
        <v>40029</v>
      </c>
      <c r="B7227" s="23">
        <v>21.200651000000001</v>
      </c>
      <c r="C7227" s="32">
        <f t="shared" si="112"/>
        <v>-5.2874853759464768E-3</v>
      </c>
    </row>
    <row r="7228" spans="1:3" x14ac:dyDescent="0.6">
      <c r="A7228" s="24">
        <v>40030</v>
      </c>
      <c r="B7228" s="23">
        <v>21.144302</v>
      </c>
      <c r="C7228" s="32">
        <f t="shared" si="112"/>
        <v>-2.6578900808281736E-3</v>
      </c>
    </row>
    <row r="7229" spans="1:3" x14ac:dyDescent="0.6">
      <c r="A7229" s="24">
        <v>40031</v>
      </c>
      <c r="B7229" s="23">
        <v>20.990628999999998</v>
      </c>
      <c r="C7229" s="32">
        <f t="shared" si="112"/>
        <v>-7.267820900401456E-3</v>
      </c>
    </row>
    <row r="7230" spans="1:3" x14ac:dyDescent="0.6">
      <c r="A7230" s="24">
        <v>40032</v>
      </c>
      <c r="B7230" s="23">
        <v>21.195527999999999</v>
      </c>
      <c r="C7230" s="32">
        <f t="shared" si="112"/>
        <v>9.761451169471913E-3</v>
      </c>
    </row>
    <row r="7231" spans="1:3" x14ac:dyDescent="0.6">
      <c r="A7231" s="24">
        <v>40035</v>
      </c>
      <c r="B7231" s="23">
        <v>21.094356999999999</v>
      </c>
      <c r="C7231" s="32">
        <f t="shared" si="112"/>
        <v>-4.7732238611843947E-3</v>
      </c>
    </row>
    <row r="7232" spans="1:3" x14ac:dyDescent="0.6">
      <c r="A7232" s="24">
        <v>40036</v>
      </c>
      <c r="B7232" s="23">
        <v>20.852319999999999</v>
      </c>
      <c r="C7232" s="32">
        <f t="shared" si="112"/>
        <v>-1.1474016486968552E-2</v>
      </c>
    </row>
    <row r="7233" spans="1:3" x14ac:dyDescent="0.6">
      <c r="A7233" s="24">
        <v>40037</v>
      </c>
      <c r="B7233" s="23">
        <v>21.169916000000001</v>
      </c>
      <c r="C7233" s="32">
        <f t="shared" si="112"/>
        <v>1.5230727324345716E-2</v>
      </c>
    </row>
    <row r="7234" spans="1:3" x14ac:dyDescent="0.6">
      <c r="A7234" s="24">
        <v>40038</v>
      </c>
      <c r="B7234" s="23">
        <v>21.568187999999999</v>
      </c>
      <c r="C7234" s="32">
        <f t="shared" si="112"/>
        <v>1.8813111965111151E-2</v>
      </c>
    </row>
    <row r="7235" spans="1:3" x14ac:dyDescent="0.6">
      <c r="A7235" s="24">
        <v>40039</v>
      </c>
      <c r="B7235" s="23">
        <v>21.358163999999999</v>
      </c>
      <c r="C7235" s="32">
        <f t="shared" si="112"/>
        <v>-9.7376747643335149E-3</v>
      </c>
    </row>
    <row r="7236" spans="1:3" x14ac:dyDescent="0.6">
      <c r="A7236" s="24">
        <v>40042</v>
      </c>
      <c r="B7236" s="23">
        <v>20.437403</v>
      </c>
      <c r="C7236" s="32">
        <f t="shared" ref="C7236:C7299" si="113">B7236/B7235-1</f>
        <v>-4.3110493954442886E-2</v>
      </c>
    </row>
    <row r="7237" spans="1:3" x14ac:dyDescent="0.6">
      <c r="A7237" s="24">
        <v>40043</v>
      </c>
      <c r="B7237" s="23">
        <v>21.002157</v>
      </c>
      <c r="C7237" s="32">
        <f t="shared" si="113"/>
        <v>2.7633354394391629E-2</v>
      </c>
    </row>
    <row r="7238" spans="1:3" x14ac:dyDescent="0.6">
      <c r="A7238" s="24">
        <v>40044</v>
      </c>
      <c r="B7238" s="23">
        <v>21.078990999999998</v>
      </c>
      <c r="C7238" s="32">
        <f t="shared" si="113"/>
        <v>3.6583861362429193E-3</v>
      </c>
    </row>
    <row r="7239" spans="1:3" x14ac:dyDescent="0.6">
      <c r="A7239" s="24">
        <v>40045</v>
      </c>
      <c r="B7239" s="23">
        <v>21.300540999999999</v>
      </c>
      <c r="C7239" s="32">
        <f t="shared" si="113"/>
        <v>1.0510465135641578E-2</v>
      </c>
    </row>
    <row r="7240" spans="1:3" x14ac:dyDescent="0.6">
      <c r="A7240" s="24">
        <v>40046</v>
      </c>
      <c r="B7240" s="23">
        <v>21.670645</v>
      </c>
      <c r="C7240" s="32">
        <f t="shared" si="113"/>
        <v>1.7375333330735598E-2</v>
      </c>
    </row>
    <row r="7241" spans="1:3" x14ac:dyDescent="0.6">
      <c r="A7241" s="24">
        <v>40049</v>
      </c>
      <c r="B7241" s="23">
        <v>21.650151999999999</v>
      </c>
      <c r="C7241" s="32">
        <f t="shared" si="113"/>
        <v>-9.4565713203287327E-4</v>
      </c>
    </row>
    <row r="7242" spans="1:3" x14ac:dyDescent="0.6">
      <c r="A7242" s="24">
        <v>40050</v>
      </c>
      <c r="B7242" s="23">
        <v>21.693698999999999</v>
      </c>
      <c r="C7242" s="32">
        <f t="shared" si="113"/>
        <v>2.0113946544115802E-3</v>
      </c>
    </row>
    <row r="7243" spans="1:3" x14ac:dyDescent="0.6">
      <c r="A7243" s="24">
        <v>40051</v>
      </c>
      <c r="B7243" s="23">
        <v>21.438846999999999</v>
      </c>
      <c r="C7243" s="32">
        <f t="shared" si="113"/>
        <v>-1.1747742973662545E-2</v>
      </c>
    </row>
    <row r="7244" spans="1:3" x14ac:dyDescent="0.6">
      <c r="A7244" s="24">
        <v>40052</v>
      </c>
      <c r="B7244" s="23">
        <v>21.700095999999998</v>
      </c>
      <c r="C7244" s="32">
        <f t="shared" si="113"/>
        <v>1.2185776595168507E-2</v>
      </c>
    </row>
    <row r="7245" spans="1:3" x14ac:dyDescent="0.6">
      <c r="A7245" s="24">
        <v>40053</v>
      </c>
      <c r="B7245" s="23">
        <v>21.776931999999999</v>
      </c>
      <c r="C7245" s="32">
        <f t="shared" si="113"/>
        <v>3.540813828657674E-3</v>
      </c>
    </row>
    <row r="7246" spans="1:3" x14ac:dyDescent="0.6">
      <c r="A7246" s="24">
        <v>40056</v>
      </c>
      <c r="B7246" s="23">
        <v>21.541294000000001</v>
      </c>
      <c r="C7246" s="32">
        <f t="shared" si="113"/>
        <v>-1.0820532479047018E-2</v>
      </c>
    </row>
    <row r="7247" spans="1:3" x14ac:dyDescent="0.6">
      <c r="A7247" s="24">
        <v>40057</v>
      </c>
      <c r="B7247" s="23">
        <v>21.168638000000001</v>
      </c>
      <c r="C7247" s="32">
        <f t="shared" si="113"/>
        <v>-1.7299610691910994E-2</v>
      </c>
    </row>
    <row r="7248" spans="1:3" x14ac:dyDescent="0.6">
      <c r="A7248" s="24">
        <v>40058</v>
      </c>
      <c r="B7248" s="23">
        <v>21.153271</v>
      </c>
      <c r="C7248" s="32">
        <f t="shared" si="113"/>
        <v>-7.2593239111562458E-4</v>
      </c>
    </row>
    <row r="7249" spans="1:3" x14ac:dyDescent="0.6">
      <c r="A7249" s="24">
        <v>40059</v>
      </c>
      <c r="B7249" s="23">
        <v>21.328714000000002</v>
      </c>
      <c r="C7249" s="32">
        <f t="shared" si="113"/>
        <v>8.2938945943633602E-3</v>
      </c>
    </row>
    <row r="7250" spans="1:3" x14ac:dyDescent="0.6">
      <c r="A7250" s="24">
        <v>40060</v>
      </c>
      <c r="B7250" s="23">
        <v>21.810230000000001</v>
      </c>
      <c r="C7250" s="32">
        <f t="shared" si="113"/>
        <v>2.2575950898868102E-2</v>
      </c>
    </row>
    <row r="7251" spans="1:3" x14ac:dyDescent="0.6">
      <c r="A7251" s="24">
        <v>40064</v>
      </c>
      <c r="B7251" s="23">
        <v>22.14575</v>
      </c>
      <c r="C7251" s="32">
        <f t="shared" si="113"/>
        <v>1.5383606683652573E-2</v>
      </c>
    </row>
    <row r="7252" spans="1:3" x14ac:dyDescent="0.6">
      <c r="A7252" s="24">
        <v>40065</v>
      </c>
      <c r="B7252" s="23">
        <v>21.916519000000001</v>
      </c>
      <c r="C7252" s="32">
        <f t="shared" si="113"/>
        <v>-1.0351015431854793E-2</v>
      </c>
    </row>
    <row r="7253" spans="1:3" x14ac:dyDescent="0.6">
      <c r="A7253" s="24">
        <v>40066</v>
      </c>
      <c r="B7253" s="23">
        <v>22.098364</v>
      </c>
      <c r="C7253" s="32">
        <f t="shared" si="113"/>
        <v>8.2971661694997145E-3</v>
      </c>
    </row>
    <row r="7254" spans="1:3" x14ac:dyDescent="0.6">
      <c r="A7254" s="24">
        <v>40067</v>
      </c>
      <c r="B7254" s="23">
        <v>22.047143999999999</v>
      </c>
      <c r="C7254" s="32">
        <f t="shared" si="113"/>
        <v>-2.3178186403300938E-3</v>
      </c>
    </row>
    <row r="7255" spans="1:3" x14ac:dyDescent="0.6">
      <c r="A7255" s="24">
        <v>40070</v>
      </c>
      <c r="B7255" s="23">
        <v>22.246914</v>
      </c>
      <c r="C7255" s="32">
        <f t="shared" si="113"/>
        <v>9.0610375656821063E-3</v>
      </c>
    </row>
    <row r="7256" spans="1:3" x14ac:dyDescent="0.6">
      <c r="A7256" s="24">
        <v>40071</v>
      </c>
      <c r="B7256" s="23">
        <v>22.431334</v>
      </c>
      <c r="C7256" s="32">
        <f t="shared" si="113"/>
        <v>8.2896890777750531E-3</v>
      </c>
    </row>
    <row r="7257" spans="1:3" x14ac:dyDescent="0.6">
      <c r="A7257" s="24">
        <v>40072</v>
      </c>
      <c r="B7257" s="23">
        <v>23.290617000000001</v>
      </c>
      <c r="C7257" s="32">
        <f t="shared" si="113"/>
        <v>3.8307262510557827E-2</v>
      </c>
    </row>
    <row r="7258" spans="1:3" x14ac:dyDescent="0.6">
      <c r="A7258" s="24">
        <v>40073</v>
      </c>
      <c r="B7258" s="23">
        <v>23.633827</v>
      </c>
      <c r="C7258" s="32">
        <f t="shared" si="113"/>
        <v>1.4735977153374602E-2</v>
      </c>
    </row>
    <row r="7259" spans="1:3" x14ac:dyDescent="0.6">
      <c r="A7259" s="24">
        <v>40074</v>
      </c>
      <c r="B7259" s="23">
        <v>23.694019000000001</v>
      </c>
      <c r="C7259" s="32">
        <f t="shared" si="113"/>
        <v>2.5468579422198712E-3</v>
      </c>
    </row>
    <row r="7260" spans="1:3" x14ac:dyDescent="0.6">
      <c r="A7260" s="24">
        <v>40077</v>
      </c>
      <c r="B7260" s="23">
        <v>23.565956</v>
      </c>
      <c r="C7260" s="32">
        <f t="shared" si="113"/>
        <v>-5.4048660972205731E-3</v>
      </c>
    </row>
    <row r="7261" spans="1:3" x14ac:dyDescent="0.6">
      <c r="A7261" s="24">
        <v>40078</v>
      </c>
      <c r="B7261" s="23">
        <v>23.624865</v>
      </c>
      <c r="C7261" s="32">
        <f t="shared" si="113"/>
        <v>2.4997500631842584E-3</v>
      </c>
    </row>
    <row r="7262" spans="1:3" x14ac:dyDescent="0.6">
      <c r="A7262" s="24">
        <v>40079</v>
      </c>
      <c r="B7262" s="23">
        <v>23.755489000000001</v>
      </c>
      <c r="C7262" s="32">
        <f t="shared" si="113"/>
        <v>5.5290897958570895E-3</v>
      </c>
    </row>
    <row r="7263" spans="1:3" x14ac:dyDescent="0.6">
      <c r="A7263" s="24">
        <v>40080</v>
      </c>
      <c r="B7263" s="23">
        <v>23.540341999999999</v>
      </c>
      <c r="C7263" s="32">
        <f t="shared" si="113"/>
        <v>-9.056727899813044E-3</v>
      </c>
    </row>
    <row r="7264" spans="1:3" x14ac:dyDescent="0.6">
      <c r="A7264" s="24">
        <v>40081</v>
      </c>
      <c r="B7264" s="23">
        <v>23.354654</v>
      </c>
      <c r="C7264" s="32">
        <f t="shared" si="113"/>
        <v>-7.8880757127487433E-3</v>
      </c>
    </row>
    <row r="7265" spans="1:3" x14ac:dyDescent="0.6">
      <c r="A7265" s="24">
        <v>40084</v>
      </c>
      <c r="B7265" s="23">
        <v>23.838728</v>
      </c>
      <c r="C7265" s="32">
        <f t="shared" si="113"/>
        <v>2.0727089341593397E-2</v>
      </c>
    </row>
    <row r="7266" spans="1:3" x14ac:dyDescent="0.6">
      <c r="A7266" s="24">
        <v>40085</v>
      </c>
      <c r="B7266" s="23">
        <v>23.740117999999999</v>
      </c>
      <c r="C7266" s="32">
        <f t="shared" si="113"/>
        <v>-4.1365462116939034E-3</v>
      </c>
    </row>
    <row r="7267" spans="1:3" x14ac:dyDescent="0.6">
      <c r="A7267" s="24">
        <v>40086</v>
      </c>
      <c r="B7267" s="23">
        <v>23.736279</v>
      </c>
      <c r="C7267" s="32">
        <f t="shared" si="113"/>
        <v>-1.6170938998694151E-4</v>
      </c>
    </row>
    <row r="7268" spans="1:3" x14ac:dyDescent="0.6">
      <c r="A7268" s="24">
        <v>40087</v>
      </c>
      <c r="B7268" s="23">
        <v>23.161283000000001</v>
      </c>
      <c r="C7268" s="32">
        <f t="shared" si="113"/>
        <v>-2.422435294091374E-2</v>
      </c>
    </row>
    <row r="7269" spans="1:3" x14ac:dyDescent="0.6">
      <c r="A7269" s="24">
        <v>40088</v>
      </c>
      <c r="B7269" s="23">
        <v>23.678654000000002</v>
      </c>
      <c r="C7269" s="32">
        <f t="shared" si="113"/>
        <v>2.2337752187562288E-2</v>
      </c>
    </row>
    <row r="7270" spans="1:3" x14ac:dyDescent="0.6">
      <c r="A7270" s="24">
        <v>40091</v>
      </c>
      <c r="B7270" s="23">
        <v>23.822075000000002</v>
      </c>
      <c r="C7270" s="32">
        <f t="shared" si="113"/>
        <v>6.0569743533565035E-3</v>
      </c>
    </row>
    <row r="7271" spans="1:3" x14ac:dyDescent="0.6">
      <c r="A7271" s="24">
        <v>40092</v>
      </c>
      <c r="B7271" s="23">
        <v>24.333046</v>
      </c>
      <c r="C7271" s="32">
        <f t="shared" si="113"/>
        <v>2.1449474909301491E-2</v>
      </c>
    </row>
    <row r="7272" spans="1:3" x14ac:dyDescent="0.6">
      <c r="A7272" s="24">
        <v>40093</v>
      </c>
      <c r="B7272" s="23">
        <v>24.363779000000001</v>
      </c>
      <c r="C7272" s="32">
        <f t="shared" si="113"/>
        <v>1.2630149139569724E-3</v>
      </c>
    </row>
    <row r="7273" spans="1:3" x14ac:dyDescent="0.6">
      <c r="A7273" s="24">
        <v>40094</v>
      </c>
      <c r="B7273" s="23">
        <v>24.238278999999999</v>
      </c>
      <c r="C7273" s="32">
        <f t="shared" si="113"/>
        <v>-5.151089246048457E-3</v>
      </c>
    </row>
    <row r="7274" spans="1:3" x14ac:dyDescent="0.6">
      <c r="A7274" s="24">
        <v>40095</v>
      </c>
      <c r="B7274" s="23">
        <v>24.391953000000001</v>
      </c>
      <c r="C7274" s="32">
        <f t="shared" si="113"/>
        <v>6.3401366078839061E-3</v>
      </c>
    </row>
    <row r="7275" spans="1:3" x14ac:dyDescent="0.6">
      <c r="A7275" s="24">
        <v>40098</v>
      </c>
      <c r="B7275" s="23">
        <v>24.435497000000002</v>
      </c>
      <c r="C7275" s="32">
        <f t="shared" si="113"/>
        <v>1.7851789071585689E-3</v>
      </c>
    </row>
    <row r="7276" spans="1:3" x14ac:dyDescent="0.6">
      <c r="A7276" s="24">
        <v>40099</v>
      </c>
      <c r="B7276" s="23">
        <v>24.334327999999999</v>
      </c>
      <c r="C7276" s="32">
        <f t="shared" si="113"/>
        <v>-4.1402472804217272E-3</v>
      </c>
    </row>
    <row r="7277" spans="1:3" x14ac:dyDescent="0.6">
      <c r="A7277" s="24">
        <v>40100</v>
      </c>
      <c r="B7277" s="23">
        <v>24.496963999999998</v>
      </c>
      <c r="C7277" s="32">
        <f t="shared" si="113"/>
        <v>6.6833980375378133E-3</v>
      </c>
    </row>
    <row r="7278" spans="1:3" x14ac:dyDescent="0.6">
      <c r="A7278" s="24">
        <v>40101</v>
      </c>
      <c r="B7278" s="23">
        <v>24.403486000000001</v>
      </c>
      <c r="C7278" s="32">
        <f t="shared" si="113"/>
        <v>-3.8159014317038498E-3</v>
      </c>
    </row>
    <row r="7279" spans="1:3" x14ac:dyDescent="0.6">
      <c r="A7279" s="24">
        <v>40102</v>
      </c>
      <c r="B7279" s="23">
        <v>24.082042999999999</v>
      </c>
      <c r="C7279" s="32">
        <f t="shared" si="113"/>
        <v>-1.3172011572445075E-2</v>
      </c>
    </row>
    <row r="7280" spans="1:3" x14ac:dyDescent="0.6">
      <c r="A7280" s="24">
        <v>40105</v>
      </c>
      <c r="B7280" s="23">
        <v>24.313839000000002</v>
      </c>
      <c r="C7280" s="32">
        <f t="shared" si="113"/>
        <v>9.6252631057922589E-3</v>
      </c>
    </row>
    <row r="7281" spans="1:3" x14ac:dyDescent="0.6">
      <c r="A7281" s="24">
        <v>40106</v>
      </c>
      <c r="B7281" s="23">
        <v>25.453586999999999</v>
      </c>
      <c r="C7281" s="32">
        <f t="shared" si="113"/>
        <v>4.6876513412793308E-2</v>
      </c>
    </row>
    <row r="7282" spans="1:3" x14ac:dyDescent="0.6">
      <c r="A7282" s="24">
        <v>40107</v>
      </c>
      <c r="B7282" s="23">
        <v>26.242449000000001</v>
      </c>
      <c r="C7282" s="32">
        <f t="shared" si="113"/>
        <v>3.0992174108898762E-2</v>
      </c>
    </row>
    <row r="7283" spans="1:3" x14ac:dyDescent="0.6">
      <c r="A7283" s="24">
        <v>40108</v>
      </c>
      <c r="B7283" s="23">
        <v>26.278305</v>
      </c>
      <c r="C7283" s="32">
        <f t="shared" si="113"/>
        <v>1.3663358934221659E-3</v>
      </c>
    </row>
    <row r="7284" spans="1:3" x14ac:dyDescent="0.6">
      <c r="A7284" s="24">
        <v>40109</v>
      </c>
      <c r="B7284" s="23">
        <v>26.116945000000001</v>
      </c>
      <c r="C7284" s="32">
        <f t="shared" si="113"/>
        <v>-6.1404264848893275E-3</v>
      </c>
    </row>
    <row r="7285" spans="1:3" x14ac:dyDescent="0.6">
      <c r="A7285" s="24">
        <v>40112</v>
      </c>
      <c r="B7285" s="23">
        <v>25.929978999999999</v>
      </c>
      <c r="C7285" s="32">
        <f t="shared" si="113"/>
        <v>-7.1588005411812317E-3</v>
      </c>
    </row>
    <row r="7286" spans="1:3" x14ac:dyDescent="0.6">
      <c r="A7286" s="24">
        <v>40113</v>
      </c>
      <c r="B7286" s="23">
        <v>25.275583000000001</v>
      </c>
      <c r="C7286" s="32">
        <f t="shared" si="113"/>
        <v>-2.523704319236042E-2</v>
      </c>
    </row>
    <row r="7287" spans="1:3" x14ac:dyDescent="0.6">
      <c r="A7287" s="24">
        <v>40114</v>
      </c>
      <c r="B7287" s="23">
        <v>24.639113999999999</v>
      </c>
      <c r="C7287" s="32">
        <f t="shared" si="113"/>
        <v>-2.5181179797118869E-2</v>
      </c>
    </row>
    <row r="7288" spans="1:3" x14ac:dyDescent="0.6">
      <c r="A7288" s="24">
        <v>40115</v>
      </c>
      <c r="B7288" s="23">
        <v>25.144962</v>
      </c>
      <c r="C7288" s="32">
        <f t="shared" si="113"/>
        <v>2.0530283678219963E-2</v>
      </c>
    </row>
    <row r="7289" spans="1:3" x14ac:dyDescent="0.6">
      <c r="A7289" s="24">
        <v>40116</v>
      </c>
      <c r="B7289" s="23">
        <v>24.139676999999999</v>
      </c>
      <c r="C7289" s="32">
        <f t="shared" si="113"/>
        <v>-3.9979579209545091E-2</v>
      </c>
    </row>
    <row r="7290" spans="1:3" x14ac:dyDescent="0.6">
      <c r="A7290" s="24">
        <v>40119</v>
      </c>
      <c r="B7290" s="23">
        <v>24.243406</v>
      </c>
      <c r="C7290" s="32">
        <f t="shared" si="113"/>
        <v>4.2970334690062284E-3</v>
      </c>
    </row>
    <row r="7291" spans="1:3" x14ac:dyDescent="0.6">
      <c r="A7291" s="24">
        <v>40120</v>
      </c>
      <c r="B7291" s="23">
        <v>24.171686000000001</v>
      </c>
      <c r="C7291" s="32">
        <f t="shared" si="113"/>
        <v>-2.9583301950228957E-3</v>
      </c>
    </row>
    <row r="7292" spans="1:3" x14ac:dyDescent="0.6">
      <c r="A7292" s="24">
        <v>40121</v>
      </c>
      <c r="B7292" s="23">
        <v>24.435497000000002</v>
      </c>
      <c r="C7292" s="32">
        <f t="shared" si="113"/>
        <v>1.0914050430739453E-2</v>
      </c>
    </row>
    <row r="7293" spans="1:3" x14ac:dyDescent="0.6">
      <c r="A7293" s="24">
        <v>40122</v>
      </c>
      <c r="B7293" s="23">
        <v>24.847854999999999</v>
      </c>
      <c r="C7293" s="32">
        <f t="shared" si="113"/>
        <v>1.6875367830660348E-2</v>
      </c>
    </row>
    <row r="7294" spans="1:3" x14ac:dyDescent="0.6">
      <c r="A7294" s="24">
        <v>40123</v>
      </c>
      <c r="B7294" s="23">
        <v>24.887550000000001</v>
      </c>
      <c r="C7294" s="32">
        <f t="shared" si="113"/>
        <v>1.5975222006086032E-3</v>
      </c>
    </row>
    <row r="7295" spans="1:3" x14ac:dyDescent="0.6">
      <c r="A7295" s="24">
        <v>40126</v>
      </c>
      <c r="B7295" s="23">
        <v>25.799356</v>
      </c>
      <c r="C7295" s="32">
        <f t="shared" si="113"/>
        <v>3.6637033376125672E-2</v>
      </c>
    </row>
    <row r="7296" spans="1:3" x14ac:dyDescent="0.6">
      <c r="A7296" s="24">
        <v>40127</v>
      </c>
      <c r="B7296" s="23">
        <v>25.994008999999998</v>
      </c>
      <c r="C7296" s="32">
        <f t="shared" si="113"/>
        <v>7.544878251999787E-3</v>
      </c>
    </row>
    <row r="7297" spans="1:3" x14ac:dyDescent="0.6">
      <c r="A7297" s="24">
        <v>40128</v>
      </c>
      <c r="B7297" s="23">
        <v>26.028587000000002</v>
      </c>
      <c r="C7297" s="32">
        <f t="shared" si="113"/>
        <v>1.3302295925188279E-3</v>
      </c>
    </row>
    <row r="7298" spans="1:3" x14ac:dyDescent="0.6">
      <c r="A7298" s="24">
        <v>40129</v>
      </c>
      <c r="B7298" s="23">
        <v>25.867228999999998</v>
      </c>
      <c r="C7298" s="32">
        <f t="shared" si="113"/>
        <v>-6.1992608357881451E-3</v>
      </c>
    </row>
    <row r="7299" spans="1:3" x14ac:dyDescent="0.6">
      <c r="A7299" s="24">
        <v>40130</v>
      </c>
      <c r="B7299" s="23">
        <v>26.182258999999998</v>
      </c>
      <c r="C7299" s="32">
        <f t="shared" si="113"/>
        <v>1.2178730083535427E-2</v>
      </c>
    </row>
    <row r="7300" spans="1:3" x14ac:dyDescent="0.6">
      <c r="A7300" s="24">
        <v>40133</v>
      </c>
      <c r="B7300" s="23">
        <v>26.461437</v>
      </c>
      <c r="C7300" s="32">
        <f t="shared" ref="C7300:C7363" si="114">B7300/B7299-1</f>
        <v>1.0662869082457727E-2</v>
      </c>
    </row>
    <row r="7301" spans="1:3" x14ac:dyDescent="0.6">
      <c r="A7301" s="24">
        <v>40134</v>
      </c>
      <c r="B7301" s="23">
        <v>26.508818000000002</v>
      </c>
      <c r="C7301" s="32">
        <f t="shared" si="114"/>
        <v>1.7905679120904239E-3</v>
      </c>
    </row>
    <row r="7302" spans="1:3" x14ac:dyDescent="0.6">
      <c r="A7302" s="24">
        <v>40135</v>
      </c>
      <c r="B7302" s="23">
        <v>26.375630999999998</v>
      </c>
      <c r="C7302" s="32">
        <f t="shared" si="114"/>
        <v>-5.0242526845218904E-3</v>
      </c>
    </row>
    <row r="7303" spans="1:3" x14ac:dyDescent="0.6">
      <c r="A7303" s="24">
        <v>40136</v>
      </c>
      <c r="B7303" s="23">
        <v>25.677693999999999</v>
      </c>
      <c r="C7303" s="32">
        <f t="shared" si="114"/>
        <v>-2.646143328286632E-2</v>
      </c>
    </row>
    <row r="7304" spans="1:3" x14ac:dyDescent="0.6">
      <c r="A7304" s="24">
        <v>40137</v>
      </c>
      <c r="B7304" s="23">
        <v>25.602136999999999</v>
      </c>
      <c r="C7304" s="32">
        <f t="shared" si="114"/>
        <v>-2.9425150093306263E-3</v>
      </c>
    </row>
    <row r="7305" spans="1:3" x14ac:dyDescent="0.6">
      <c r="A7305" s="24">
        <v>40140</v>
      </c>
      <c r="B7305" s="23">
        <v>26.365386999999998</v>
      </c>
      <c r="C7305" s="32">
        <f t="shared" si="114"/>
        <v>2.9811964524680157E-2</v>
      </c>
    </row>
    <row r="7306" spans="1:3" x14ac:dyDescent="0.6">
      <c r="A7306" s="24">
        <v>40141</v>
      </c>
      <c r="B7306" s="23">
        <v>26.180979000000001</v>
      </c>
      <c r="C7306" s="32">
        <f t="shared" si="114"/>
        <v>-6.9943217598132934E-3</v>
      </c>
    </row>
    <row r="7307" spans="1:3" x14ac:dyDescent="0.6">
      <c r="A7307" s="24">
        <v>40142</v>
      </c>
      <c r="B7307" s="23">
        <v>26.148968</v>
      </c>
      <c r="C7307" s="32">
        <f t="shared" si="114"/>
        <v>-1.2226815506021227E-3</v>
      </c>
    </row>
    <row r="7308" spans="1:3" x14ac:dyDescent="0.6">
      <c r="A7308" s="24">
        <v>40144</v>
      </c>
      <c r="B7308" s="23">
        <v>25.687944000000002</v>
      </c>
      <c r="C7308" s="32">
        <f t="shared" si="114"/>
        <v>-1.7630676667622192E-2</v>
      </c>
    </row>
    <row r="7309" spans="1:3" x14ac:dyDescent="0.6">
      <c r="A7309" s="24">
        <v>40147</v>
      </c>
      <c r="B7309" s="23">
        <v>25.600854999999999</v>
      </c>
      <c r="C7309" s="32">
        <f t="shared" si="114"/>
        <v>-3.3902674344042927E-3</v>
      </c>
    </row>
    <row r="7310" spans="1:3" x14ac:dyDescent="0.6">
      <c r="A7310" s="24">
        <v>40148</v>
      </c>
      <c r="B7310" s="23">
        <v>25.224354000000002</v>
      </c>
      <c r="C7310" s="32">
        <f t="shared" si="114"/>
        <v>-1.4706579135735809E-2</v>
      </c>
    </row>
    <row r="7311" spans="1:3" x14ac:dyDescent="0.6">
      <c r="A7311" s="24">
        <v>40149</v>
      </c>
      <c r="B7311" s="23">
        <v>25.129593</v>
      </c>
      <c r="C7311" s="32">
        <f t="shared" si="114"/>
        <v>-3.7567265349987E-3</v>
      </c>
    </row>
    <row r="7312" spans="1:3" x14ac:dyDescent="0.6">
      <c r="A7312" s="24">
        <v>40150</v>
      </c>
      <c r="B7312" s="23">
        <v>25.16161</v>
      </c>
      <c r="C7312" s="32">
        <f t="shared" si="114"/>
        <v>1.2740755490945332E-3</v>
      </c>
    </row>
    <row r="7313" spans="1:3" x14ac:dyDescent="0.6">
      <c r="A7313" s="24">
        <v>40151</v>
      </c>
      <c r="B7313" s="23">
        <v>24.756933</v>
      </c>
      <c r="C7313" s="32">
        <f t="shared" si="114"/>
        <v>-1.6083112328662552E-2</v>
      </c>
    </row>
    <row r="7314" spans="1:3" x14ac:dyDescent="0.6">
      <c r="A7314" s="24">
        <v>40154</v>
      </c>
      <c r="B7314" s="23">
        <v>24.197299999999998</v>
      </c>
      <c r="C7314" s="32">
        <f t="shared" si="114"/>
        <v>-2.2605102174813041E-2</v>
      </c>
    </row>
    <row r="7315" spans="1:3" x14ac:dyDescent="0.6">
      <c r="A7315" s="24">
        <v>40155</v>
      </c>
      <c r="B7315" s="23">
        <v>24.315114999999999</v>
      </c>
      <c r="C7315" s="32">
        <f t="shared" si="114"/>
        <v>4.8689316576642216E-3</v>
      </c>
    </row>
    <row r="7316" spans="1:3" x14ac:dyDescent="0.6">
      <c r="A7316" s="24">
        <v>40156</v>
      </c>
      <c r="B7316" s="23">
        <v>25.330648</v>
      </c>
      <c r="C7316" s="32">
        <f t="shared" si="114"/>
        <v>4.1765502651334385E-2</v>
      </c>
    </row>
    <row r="7317" spans="1:3" x14ac:dyDescent="0.6">
      <c r="A7317" s="24">
        <v>40157</v>
      </c>
      <c r="B7317" s="23">
        <v>25.155204999999999</v>
      </c>
      <c r="C7317" s="32">
        <f t="shared" si="114"/>
        <v>-6.9261157472165769E-3</v>
      </c>
    </row>
    <row r="7318" spans="1:3" x14ac:dyDescent="0.6">
      <c r="A7318" s="24">
        <v>40158</v>
      </c>
      <c r="B7318" s="23">
        <v>24.929808000000001</v>
      </c>
      <c r="C7318" s="32">
        <f t="shared" si="114"/>
        <v>-8.9602529575886214E-3</v>
      </c>
    </row>
    <row r="7319" spans="1:3" x14ac:dyDescent="0.6">
      <c r="A7319" s="24">
        <v>40161</v>
      </c>
      <c r="B7319" s="23">
        <v>25.225636999999999</v>
      </c>
      <c r="C7319" s="32">
        <f t="shared" si="114"/>
        <v>1.1866477270903841E-2</v>
      </c>
    </row>
    <row r="7320" spans="1:3" x14ac:dyDescent="0.6">
      <c r="A7320" s="24">
        <v>40162</v>
      </c>
      <c r="B7320" s="23">
        <v>24.865784000000001</v>
      </c>
      <c r="C7320" s="32">
        <f t="shared" si="114"/>
        <v>-1.4265368204576911E-2</v>
      </c>
    </row>
    <row r="7321" spans="1:3" x14ac:dyDescent="0.6">
      <c r="A7321" s="24">
        <v>40163</v>
      </c>
      <c r="B7321" s="23">
        <v>24.975916000000002</v>
      </c>
      <c r="C7321" s="32">
        <f t="shared" si="114"/>
        <v>4.4290580180379457E-3</v>
      </c>
    </row>
    <row r="7322" spans="1:3" x14ac:dyDescent="0.6">
      <c r="A7322" s="24">
        <v>40164</v>
      </c>
      <c r="B7322" s="23">
        <v>24.569962</v>
      </c>
      <c r="C7322" s="32">
        <f t="shared" si="114"/>
        <v>-1.6253818278376686E-2</v>
      </c>
    </row>
    <row r="7323" spans="1:3" x14ac:dyDescent="0.6">
      <c r="A7323" s="24">
        <v>40165</v>
      </c>
      <c r="B7323" s="23">
        <v>25.027142000000001</v>
      </c>
      <c r="C7323" s="32">
        <f t="shared" si="114"/>
        <v>1.8607273385282452E-2</v>
      </c>
    </row>
    <row r="7324" spans="1:3" x14ac:dyDescent="0.6">
      <c r="A7324" s="24">
        <v>40168</v>
      </c>
      <c r="B7324" s="23">
        <v>25.385717</v>
      </c>
      <c r="C7324" s="32">
        <f t="shared" si="114"/>
        <v>1.4327444979534532E-2</v>
      </c>
    </row>
    <row r="7325" spans="1:3" x14ac:dyDescent="0.6">
      <c r="A7325" s="24">
        <v>40169</v>
      </c>
      <c r="B7325" s="23">
        <v>25.658488999999999</v>
      </c>
      <c r="C7325" s="32">
        <f t="shared" si="114"/>
        <v>1.074509733170026E-2</v>
      </c>
    </row>
    <row r="7326" spans="1:3" x14ac:dyDescent="0.6">
      <c r="A7326" s="24">
        <v>40170</v>
      </c>
      <c r="B7326" s="23">
        <v>25.881312999999999</v>
      </c>
      <c r="C7326" s="32">
        <f t="shared" si="114"/>
        <v>8.6842214286273478E-3</v>
      </c>
    </row>
    <row r="7327" spans="1:3" x14ac:dyDescent="0.6">
      <c r="A7327" s="24">
        <v>40171</v>
      </c>
      <c r="B7327" s="23">
        <v>26.770067000000001</v>
      </c>
      <c r="C7327" s="32">
        <f t="shared" si="114"/>
        <v>3.4339602476891384E-2</v>
      </c>
    </row>
    <row r="7328" spans="1:3" x14ac:dyDescent="0.6">
      <c r="A7328" s="24">
        <v>40175</v>
      </c>
      <c r="B7328" s="23">
        <v>27.099184000000001</v>
      </c>
      <c r="C7328" s="32">
        <f t="shared" si="114"/>
        <v>1.2294216521759216E-2</v>
      </c>
    </row>
    <row r="7329" spans="1:3" x14ac:dyDescent="0.6">
      <c r="A7329" s="24">
        <v>40176</v>
      </c>
      <c r="B7329" s="23">
        <v>26.777750000000001</v>
      </c>
      <c r="C7329" s="32">
        <f t="shared" si="114"/>
        <v>-1.1861390365112134E-2</v>
      </c>
    </row>
    <row r="7330" spans="1:3" x14ac:dyDescent="0.6">
      <c r="A7330" s="24">
        <v>40177</v>
      </c>
      <c r="B7330" s="23">
        <v>27.103024000000001</v>
      </c>
      <c r="C7330" s="32">
        <f t="shared" si="114"/>
        <v>1.2147174426529572E-2</v>
      </c>
    </row>
    <row r="7331" spans="1:3" x14ac:dyDescent="0.6">
      <c r="A7331" s="24">
        <v>40178</v>
      </c>
      <c r="B7331" s="23">
        <v>26.986491999999998</v>
      </c>
      <c r="C7331" s="32">
        <f t="shared" si="114"/>
        <v>-4.2995940231614904E-3</v>
      </c>
    </row>
    <row r="7332" spans="1:3" x14ac:dyDescent="0.6">
      <c r="A7332" s="24">
        <v>40182</v>
      </c>
      <c r="B7332" s="23">
        <v>27.406531999999999</v>
      </c>
      <c r="C7332" s="32">
        <f t="shared" si="114"/>
        <v>1.5564824060867233E-2</v>
      </c>
    </row>
    <row r="7333" spans="1:3" x14ac:dyDescent="0.6">
      <c r="A7333" s="24">
        <v>40183</v>
      </c>
      <c r="B7333" s="23">
        <v>27.453914999999999</v>
      </c>
      <c r="C7333" s="32">
        <f t="shared" si="114"/>
        <v>1.7288944110112059E-3</v>
      </c>
    </row>
    <row r="7334" spans="1:3" x14ac:dyDescent="0.6">
      <c r="A7334" s="24">
        <v>40184</v>
      </c>
      <c r="B7334" s="23">
        <v>27.017223000000001</v>
      </c>
      <c r="C7334" s="32">
        <f t="shared" si="114"/>
        <v>-1.5906365267030154E-2</v>
      </c>
    </row>
    <row r="7335" spans="1:3" x14ac:dyDescent="0.6">
      <c r="A7335" s="24">
        <v>40185</v>
      </c>
      <c r="B7335" s="23">
        <v>26.967278</v>
      </c>
      <c r="C7335" s="32">
        <f t="shared" si="114"/>
        <v>-1.8486355907119112E-3</v>
      </c>
    </row>
    <row r="7336" spans="1:3" x14ac:dyDescent="0.6">
      <c r="A7336" s="24">
        <v>40186</v>
      </c>
      <c r="B7336" s="23">
        <v>27.146566</v>
      </c>
      <c r="C7336" s="32">
        <f t="shared" si="114"/>
        <v>6.6483536083989936E-3</v>
      </c>
    </row>
    <row r="7337" spans="1:3" x14ac:dyDescent="0.6">
      <c r="A7337" s="24">
        <v>40189</v>
      </c>
      <c r="B7337" s="23">
        <v>26.907093</v>
      </c>
      <c r="C7337" s="32">
        <f t="shared" si="114"/>
        <v>-8.8214840875269207E-3</v>
      </c>
    </row>
    <row r="7338" spans="1:3" x14ac:dyDescent="0.6">
      <c r="A7338" s="24">
        <v>40190</v>
      </c>
      <c r="B7338" s="23">
        <v>26.601023000000001</v>
      </c>
      <c r="C7338" s="32">
        <f t="shared" si="114"/>
        <v>-1.137506753330797E-2</v>
      </c>
    </row>
    <row r="7339" spans="1:3" x14ac:dyDescent="0.6">
      <c r="A7339" s="24">
        <v>40191</v>
      </c>
      <c r="B7339" s="23">
        <v>26.976244000000001</v>
      </c>
      <c r="C7339" s="32">
        <f t="shared" si="114"/>
        <v>1.4105510152748524E-2</v>
      </c>
    </row>
    <row r="7340" spans="1:3" x14ac:dyDescent="0.6">
      <c r="A7340" s="24">
        <v>40192</v>
      </c>
      <c r="B7340" s="23">
        <v>26.820007</v>
      </c>
      <c r="C7340" s="32">
        <f t="shared" si="114"/>
        <v>-5.7916513507217937E-3</v>
      </c>
    </row>
    <row r="7341" spans="1:3" x14ac:dyDescent="0.6">
      <c r="A7341" s="24">
        <v>40193</v>
      </c>
      <c r="B7341" s="23">
        <v>26.371791999999999</v>
      </c>
      <c r="C7341" s="32">
        <f t="shared" si="114"/>
        <v>-1.671196431827926E-2</v>
      </c>
    </row>
    <row r="7342" spans="1:3" x14ac:dyDescent="0.6">
      <c r="A7342" s="24">
        <v>40197</v>
      </c>
      <c r="B7342" s="23">
        <v>27.538433000000001</v>
      </c>
      <c r="C7342" s="32">
        <f t="shared" si="114"/>
        <v>4.4238214831969103E-2</v>
      </c>
    </row>
    <row r="7343" spans="1:3" x14ac:dyDescent="0.6">
      <c r="A7343" s="24">
        <v>40198</v>
      </c>
      <c r="B7343" s="23">
        <v>27.114554999999999</v>
      </c>
      <c r="C7343" s="32">
        <f t="shared" si="114"/>
        <v>-1.5392233828264712E-2</v>
      </c>
    </row>
    <row r="7344" spans="1:3" x14ac:dyDescent="0.6">
      <c r="A7344" s="24">
        <v>40199</v>
      </c>
      <c r="B7344" s="23">
        <v>26.645841999999998</v>
      </c>
      <c r="C7344" s="32">
        <f t="shared" si="114"/>
        <v>-1.728639839377788E-2</v>
      </c>
    </row>
    <row r="7345" spans="1:3" x14ac:dyDescent="0.6">
      <c r="A7345" s="24">
        <v>40200</v>
      </c>
      <c r="B7345" s="23">
        <v>25.324244</v>
      </c>
      <c r="C7345" s="32">
        <f t="shared" si="114"/>
        <v>-4.9598657831867232E-2</v>
      </c>
    </row>
    <row r="7346" spans="1:3" x14ac:dyDescent="0.6">
      <c r="A7346" s="24">
        <v>40203</v>
      </c>
      <c r="B7346" s="23">
        <v>26.005541000000001</v>
      </c>
      <c r="C7346" s="32">
        <f t="shared" si="114"/>
        <v>2.690295512869012E-2</v>
      </c>
    </row>
    <row r="7347" spans="1:3" x14ac:dyDescent="0.6">
      <c r="A7347" s="24">
        <v>40204</v>
      </c>
      <c r="B7347" s="23">
        <v>26.373072000000001</v>
      </c>
      <c r="C7347" s="32">
        <f t="shared" si="114"/>
        <v>1.413279577610016E-2</v>
      </c>
    </row>
    <row r="7348" spans="1:3" x14ac:dyDescent="0.6">
      <c r="A7348" s="24">
        <v>40205</v>
      </c>
      <c r="B7348" s="23">
        <v>26.621517000000001</v>
      </c>
      <c r="C7348" s="32">
        <f t="shared" si="114"/>
        <v>9.4204042668977195E-3</v>
      </c>
    </row>
    <row r="7349" spans="1:3" x14ac:dyDescent="0.6">
      <c r="A7349" s="24">
        <v>40206</v>
      </c>
      <c r="B7349" s="23">
        <v>25.521460999999999</v>
      </c>
      <c r="C7349" s="32">
        <f t="shared" si="114"/>
        <v>-4.1322062901223977E-2</v>
      </c>
    </row>
    <row r="7350" spans="1:3" x14ac:dyDescent="0.6">
      <c r="A7350" s="24">
        <v>40207</v>
      </c>
      <c r="B7350" s="23">
        <v>24.595573000000002</v>
      </c>
      <c r="C7350" s="32">
        <f t="shared" si="114"/>
        <v>-3.6278800810031875E-2</v>
      </c>
    </row>
    <row r="7351" spans="1:3" x14ac:dyDescent="0.6">
      <c r="A7351" s="24">
        <v>40210</v>
      </c>
      <c r="B7351" s="23">
        <v>24.937495999999999</v>
      </c>
      <c r="C7351" s="32">
        <f t="shared" si="114"/>
        <v>1.3901810703901729E-2</v>
      </c>
    </row>
    <row r="7352" spans="1:3" x14ac:dyDescent="0.6">
      <c r="A7352" s="24">
        <v>40211</v>
      </c>
      <c r="B7352" s="23">
        <v>25.082211000000001</v>
      </c>
      <c r="C7352" s="32">
        <f t="shared" si="114"/>
        <v>5.8031087002481385E-3</v>
      </c>
    </row>
    <row r="7353" spans="1:3" x14ac:dyDescent="0.6">
      <c r="A7353" s="24">
        <v>40212</v>
      </c>
      <c r="B7353" s="23">
        <v>25.513774999999999</v>
      </c>
      <c r="C7353" s="32">
        <f t="shared" si="114"/>
        <v>1.7205979169858665E-2</v>
      </c>
    </row>
    <row r="7354" spans="1:3" x14ac:dyDescent="0.6">
      <c r="A7354" s="24">
        <v>40213</v>
      </c>
      <c r="B7354" s="23">
        <v>24.594294000000001</v>
      </c>
      <c r="C7354" s="32">
        <f t="shared" si="114"/>
        <v>-3.6038610515299996E-2</v>
      </c>
    </row>
    <row r="7355" spans="1:3" x14ac:dyDescent="0.6">
      <c r="A7355" s="24">
        <v>40214</v>
      </c>
      <c r="B7355" s="23">
        <v>25.030981000000001</v>
      </c>
      <c r="C7355" s="32">
        <f t="shared" si="114"/>
        <v>1.7755622503333512E-2</v>
      </c>
    </row>
    <row r="7356" spans="1:3" x14ac:dyDescent="0.6">
      <c r="A7356" s="24">
        <v>40217</v>
      </c>
      <c r="B7356" s="23">
        <v>24.859380999999999</v>
      </c>
      <c r="C7356" s="32">
        <f t="shared" si="114"/>
        <v>-6.8555043847463581E-3</v>
      </c>
    </row>
    <row r="7357" spans="1:3" x14ac:dyDescent="0.6">
      <c r="A7357" s="24">
        <v>40218</v>
      </c>
      <c r="B7357" s="23">
        <v>25.124472000000001</v>
      </c>
      <c r="C7357" s="32">
        <f t="shared" si="114"/>
        <v>1.0663620304946608E-2</v>
      </c>
    </row>
    <row r="7358" spans="1:3" x14ac:dyDescent="0.6">
      <c r="A7358" s="24">
        <v>40219</v>
      </c>
      <c r="B7358" s="23">
        <v>24.987444</v>
      </c>
      <c r="C7358" s="32">
        <f t="shared" si="114"/>
        <v>-5.4539653609437799E-3</v>
      </c>
    </row>
    <row r="7359" spans="1:3" x14ac:dyDescent="0.6">
      <c r="A7359" s="24">
        <v>40220</v>
      </c>
      <c r="B7359" s="23">
        <v>25.442059</v>
      </c>
      <c r="C7359" s="32">
        <f t="shared" si="114"/>
        <v>1.8193737622783646E-2</v>
      </c>
    </row>
    <row r="7360" spans="1:3" x14ac:dyDescent="0.6">
      <c r="A7360" s="24">
        <v>40221</v>
      </c>
      <c r="B7360" s="23">
        <v>25.661045000000001</v>
      </c>
      <c r="C7360" s="32">
        <f t="shared" si="114"/>
        <v>8.6072436197086599E-3</v>
      </c>
    </row>
    <row r="7361" spans="1:3" x14ac:dyDescent="0.6">
      <c r="A7361" s="24">
        <v>40225</v>
      </c>
      <c r="B7361" s="23">
        <v>26.047794</v>
      </c>
      <c r="C7361" s="32">
        <f t="shared" si="114"/>
        <v>1.5071443894821845E-2</v>
      </c>
    </row>
    <row r="7362" spans="1:3" x14ac:dyDescent="0.6">
      <c r="A7362" s="24">
        <v>40226</v>
      </c>
      <c r="B7362" s="23">
        <v>25.938943999999999</v>
      </c>
      <c r="C7362" s="32">
        <f t="shared" si="114"/>
        <v>-4.178856758464855E-3</v>
      </c>
    </row>
    <row r="7363" spans="1:3" x14ac:dyDescent="0.6">
      <c r="A7363" s="24">
        <v>40227</v>
      </c>
      <c r="B7363" s="23">
        <v>25.987611999999999</v>
      </c>
      <c r="C7363" s="32">
        <f t="shared" si="114"/>
        <v>1.8762521712525349E-3</v>
      </c>
    </row>
    <row r="7364" spans="1:3" x14ac:dyDescent="0.6">
      <c r="A7364" s="24">
        <v>40228</v>
      </c>
      <c r="B7364" s="23">
        <v>25.826248</v>
      </c>
      <c r="C7364" s="32">
        <f t="shared" ref="C7364:C7427" si="115">B7364/B7363-1</f>
        <v>-6.2092661688191164E-3</v>
      </c>
    </row>
    <row r="7365" spans="1:3" x14ac:dyDescent="0.6">
      <c r="A7365" s="24">
        <v>40231</v>
      </c>
      <c r="B7365" s="23">
        <v>25.666172</v>
      </c>
      <c r="C7365" s="32">
        <f t="shared" si="115"/>
        <v>-6.1981903062341415E-3</v>
      </c>
    </row>
    <row r="7366" spans="1:3" x14ac:dyDescent="0.6">
      <c r="A7366" s="24">
        <v>40232</v>
      </c>
      <c r="B7366" s="23">
        <v>25.235882</v>
      </c>
      <c r="C7366" s="32">
        <f t="shared" si="115"/>
        <v>-1.676486855928494E-2</v>
      </c>
    </row>
    <row r="7367" spans="1:3" x14ac:dyDescent="0.6">
      <c r="A7367" s="24">
        <v>40233</v>
      </c>
      <c r="B7367" s="23">
        <v>25.696901</v>
      </c>
      <c r="C7367" s="32">
        <f t="shared" si="115"/>
        <v>1.8268392600662819E-2</v>
      </c>
    </row>
    <row r="7368" spans="1:3" x14ac:dyDescent="0.6">
      <c r="A7368" s="24">
        <v>40234</v>
      </c>
      <c r="B7368" s="23">
        <v>25.868509</v>
      </c>
      <c r="C7368" s="32">
        <f t="shared" si="115"/>
        <v>6.6781593624849478E-3</v>
      </c>
    </row>
    <row r="7369" spans="1:3" x14ac:dyDescent="0.6">
      <c r="A7369" s="24">
        <v>40235</v>
      </c>
      <c r="B7369" s="23">
        <v>26.204027</v>
      </c>
      <c r="C7369" s="32">
        <f t="shared" si="115"/>
        <v>1.2970132913342702E-2</v>
      </c>
    </row>
    <row r="7370" spans="1:3" x14ac:dyDescent="0.6">
      <c r="A7370" s="24">
        <v>40238</v>
      </c>
      <c r="B7370" s="23">
        <v>26.763662</v>
      </c>
      <c r="C7370" s="32">
        <f t="shared" si="115"/>
        <v>2.1356831909843388E-2</v>
      </c>
    </row>
    <row r="7371" spans="1:3" x14ac:dyDescent="0.6">
      <c r="A7371" s="24">
        <v>40239</v>
      </c>
      <c r="B7371" s="23">
        <v>26.745730999999999</v>
      </c>
      <c r="C7371" s="32">
        <f t="shared" si="115"/>
        <v>-6.6997558106962618E-4</v>
      </c>
    </row>
    <row r="7372" spans="1:3" x14ac:dyDescent="0.6">
      <c r="A7372" s="24">
        <v>40240</v>
      </c>
      <c r="B7372" s="23">
        <v>26.807200999999999</v>
      </c>
      <c r="C7372" s="32">
        <f t="shared" si="115"/>
        <v>2.2983107098475397E-3</v>
      </c>
    </row>
    <row r="7373" spans="1:3" x14ac:dyDescent="0.6">
      <c r="A7373" s="24">
        <v>40241</v>
      </c>
      <c r="B7373" s="23">
        <v>26.983929</v>
      </c>
      <c r="C7373" s="32">
        <f t="shared" si="115"/>
        <v>6.5925569775076021E-3</v>
      </c>
    </row>
    <row r="7374" spans="1:3" x14ac:dyDescent="0.6">
      <c r="A7374" s="24">
        <v>40242</v>
      </c>
      <c r="B7374" s="23">
        <v>28.039159999999999</v>
      </c>
      <c r="C7374" s="32">
        <f t="shared" si="115"/>
        <v>3.9105906334099716E-2</v>
      </c>
    </row>
    <row r="7375" spans="1:3" x14ac:dyDescent="0.6">
      <c r="A7375" s="24">
        <v>40245</v>
      </c>
      <c r="B7375" s="23">
        <v>28.055800999999999</v>
      </c>
      <c r="C7375" s="32">
        <f t="shared" si="115"/>
        <v>5.9349138847242244E-4</v>
      </c>
    </row>
    <row r="7376" spans="1:3" x14ac:dyDescent="0.6">
      <c r="A7376" s="24">
        <v>40246</v>
      </c>
      <c r="B7376" s="23">
        <v>28.560369000000001</v>
      </c>
      <c r="C7376" s="32">
        <f t="shared" si="115"/>
        <v>1.7984444643017072E-2</v>
      </c>
    </row>
    <row r="7377" spans="1:3" x14ac:dyDescent="0.6">
      <c r="A7377" s="24">
        <v>40247</v>
      </c>
      <c r="B7377" s="23">
        <v>28.79344</v>
      </c>
      <c r="C7377" s="32">
        <f t="shared" si="115"/>
        <v>8.160643862829664E-3</v>
      </c>
    </row>
    <row r="7378" spans="1:3" x14ac:dyDescent="0.6">
      <c r="A7378" s="24">
        <v>40248</v>
      </c>
      <c r="B7378" s="23">
        <v>28.877962</v>
      </c>
      <c r="C7378" s="32">
        <f t="shared" si="115"/>
        <v>2.9354602992903711E-3</v>
      </c>
    </row>
    <row r="7379" spans="1:3" x14ac:dyDescent="0.6">
      <c r="A7379" s="24">
        <v>40249</v>
      </c>
      <c r="B7379" s="23">
        <v>29.018833000000001</v>
      </c>
      <c r="C7379" s="32">
        <f t="shared" si="115"/>
        <v>4.878148949707839E-3</v>
      </c>
    </row>
    <row r="7380" spans="1:3" x14ac:dyDescent="0.6">
      <c r="A7380" s="24">
        <v>40252</v>
      </c>
      <c r="B7380" s="23">
        <v>28.665379999999999</v>
      </c>
      <c r="C7380" s="32">
        <f t="shared" si="115"/>
        <v>-1.2180124541879445E-2</v>
      </c>
    </row>
    <row r="7381" spans="1:3" x14ac:dyDescent="0.6">
      <c r="A7381" s="24">
        <v>40253</v>
      </c>
      <c r="B7381" s="23">
        <v>28.743501999999999</v>
      </c>
      <c r="C7381" s="32">
        <f t="shared" si="115"/>
        <v>2.725308368491941E-3</v>
      </c>
    </row>
    <row r="7382" spans="1:3" x14ac:dyDescent="0.6">
      <c r="A7382" s="24">
        <v>40254</v>
      </c>
      <c r="B7382" s="23">
        <v>28.701235</v>
      </c>
      <c r="C7382" s="32">
        <f t="shared" si="115"/>
        <v>-1.4704888777992142E-3</v>
      </c>
    </row>
    <row r="7383" spans="1:3" x14ac:dyDescent="0.6">
      <c r="A7383" s="24">
        <v>40255</v>
      </c>
      <c r="B7383" s="23">
        <v>28.769110000000001</v>
      </c>
      <c r="C7383" s="32">
        <f t="shared" si="115"/>
        <v>2.3648808143621469E-3</v>
      </c>
    </row>
    <row r="7384" spans="1:3" x14ac:dyDescent="0.6">
      <c r="A7384" s="24">
        <v>40256</v>
      </c>
      <c r="B7384" s="23">
        <v>28.461760000000002</v>
      </c>
      <c r="C7384" s="32">
        <f t="shared" si="115"/>
        <v>-1.0683333617202639E-2</v>
      </c>
    </row>
    <row r="7385" spans="1:3" x14ac:dyDescent="0.6">
      <c r="A7385" s="24">
        <v>40259</v>
      </c>
      <c r="B7385" s="23">
        <v>28.781918999999998</v>
      </c>
      <c r="C7385" s="32">
        <f t="shared" si="115"/>
        <v>1.1248742171952708E-2</v>
      </c>
    </row>
    <row r="7386" spans="1:3" x14ac:dyDescent="0.6">
      <c r="A7386" s="24">
        <v>40260</v>
      </c>
      <c r="B7386" s="23">
        <v>29.244216999999999</v>
      </c>
      <c r="C7386" s="32">
        <f t="shared" si="115"/>
        <v>1.6062097874710801E-2</v>
      </c>
    </row>
    <row r="7387" spans="1:3" x14ac:dyDescent="0.6">
      <c r="A7387" s="24">
        <v>40261</v>
      </c>
      <c r="B7387" s="23">
        <v>29.373560000000001</v>
      </c>
      <c r="C7387" s="32">
        <f t="shared" si="115"/>
        <v>4.4228573464628607E-3</v>
      </c>
    </row>
    <row r="7388" spans="1:3" x14ac:dyDescent="0.6">
      <c r="A7388" s="24">
        <v>40262</v>
      </c>
      <c r="B7388" s="23">
        <v>29.025231999999999</v>
      </c>
      <c r="C7388" s="32">
        <f t="shared" si="115"/>
        <v>-1.1858555789628578E-2</v>
      </c>
    </row>
    <row r="7389" spans="1:3" x14ac:dyDescent="0.6">
      <c r="A7389" s="24">
        <v>40263</v>
      </c>
      <c r="B7389" s="23">
        <v>29.569500000000001</v>
      </c>
      <c r="C7389" s="32">
        <f t="shared" si="115"/>
        <v>1.8751546929926421E-2</v>
      </c>
    </row>
    <row r="7390" spans="1:3" x14ac:dyDescent="0.6">
      <c r="A7390" s="24">
        <v>40266</v>
      </c>
      <c r="B7390" s="23">
        <v>29.760304999999999</v>
      </c>
      <c r="C7390" s="32">
        <f t="shared" si="115"/>
        <v>6.4527638275926336E-3</v>
      </c>
    </row>
    <row r="7391" spans="1:3" x14ac:dyDescent="0.6">
      <c r="A7391" s="24">
        <v>40267</v>
      </c>
      <c r="B7391" s="23">
        <v>30.203410999999999</v>
      </c>
      <c r="C7391" s="32">
        <f t="shared" si="115"/>
        <v>1.4889161922231553E-2</v>
      </c>
    </row>
    <row r="7392" spans="1:3" x14ac:dyDescent="0.6">
      <c r="A7392" s="24">
        <v>40268</v>
      </c>
      <c r="B7392" s="23">
        <v>30.094550999999999</v>
      </c>
      <c r="C7392" s="32">
        <f t="shared" si="115"/>
        <v>-3.6042286747016705E-3</v>
      </c>
    </row>
    <row r="7393" spans="1:3" x14ac:dyDescent="0.6">
      <c r="A7393" s="24">
        <v>40269</v>
      </c>
      <c r="B7393" s="23">
        <v>30.218772999999999</v>
      </c>
      <c r="C7393" s="32">
        <f t="shared" si="115"/>
        <v>4.1277239856476466E-3</v>
      </c>
    </row>
    <row r="7394" spans="1:3" x14ac:dyDescent="0.6">
      <c r="A7394" s="24">
        <v>40273</v>
      </c>
      <c r="B7394" s="23">
        <v>30.541491000000001</v>
      </c>
      <c r="C7394" s="32">
        <f t="shared" si="115"/>
        <v>1.067938794205836E-2</v>
      </c>
    </row>
    <row r="7395" spans="1:3" x14ac:dyDescent="0.6">
      <c r="A7395" s="24">
        <v>40274</v>
      </c>
      <c r="B7395" s="23">
        <v>30.675951000000001</v>
      </c>
      <c r="C7395" s="32">
        <f t="shared" si="115"/>
        <v>4.4025355540107114E-3</v>
      </c>
    </row>
    <row r="7396" spans="1:3" x14ac:dyDescent="0.6">
      <c r="A7396" s="24">
        <v>40275</v>
      </c>
      <c r="B7396" s="23">
        <v>30.811699000000001</v>
      </c>
      <c r="C7396" s="32">
        <f t="shared" si="115"/>
        <v>4.4252254803771596E-3</v>
      </c>
    </row>
    <row r="7397" spans="1:3" x14ac:dyDescent="0.6">
      <c r="A7397" s="24">
        <v>40276</v>
      </c>
      <c r="B7397" s="23">
        <v>30.728455</v>
      </c>
      <c r="C7397" s="32">
        <f t="shared" si="115"/>
        <v>-2.7017010649104112E-3</v>
      </c>
    </row>
    <row r="7398" spans="1:3" x14ac:dyDescent="0.6">
      <c r="A7398" s="24">
        <v>40277</v>
      </c>
      <c r="B7398" s="23">
        <v>30.964089999999999</v>
      </c>
      <c r="C7398" s="32">
        <f t="shared" si="115"/>
        <v>7.6682996265187153E-3</v>
      </c>
    </row>
    <row r="7399" spans="1:3" x14ac:dyDescent="0.6">
      <c r="A7399" s="24">
        <v>40280</v>
      </c>
      <c r="B7399" s="23">
        <v>31.028130000000001</v>
      </c>
      <c r="C7399" s="32">
        <f t="shared" si="115"/>
        <v>2.0682022303901704E-3</v>
      </c>
    </row>
    <row r="7400" spans="1:3" x14ac:dyDescent="0.6">
      <c r="A7400" s="24">
        <v>40281</v>
      </c>
      <c r="B7400" s="23">
        <v>31.046050999999999</v>
      </c>
      <c r="C7400" s="32">
        <f t="shared" si="115"/>
        <v>5.7757267357061437E-4</v>
      </c>
    </row>
    <row r="7401" spans="1:3" x14ac:dyDescent="0.6">
      <c r="A7401" s="24">
        <v>40282</v>
      </c>
      <c r="B7401" s="23">
        <v>31.463540999999999</v>
      </c>
      <c r="C7401" s="32">
        <f t="shared" si="115"/>
        <v>1.3447442961425304E-2</v>
      </c>
    </row>
    <row r="7402" spans="1:3" x14ac:dyDescent="0.6">
      <c r="A7402" s="24">
        <v>40283</v>
      </c>
      <c r="B7402" s="23">
        <v>31.877174</v>
      </c>
      <c r="C7402" s="32">
        <f t="shared" si="115"/>
        <v>1.3146422394097357E-2</v>
      </c>
    </row>
    <row r="7403" spans="1:3" x14ac:dyDescent="0.6">
      <c r="A7403" s="24">
        <v>40284</v>
      </c>
      <c r="B7403" s="23">
        <v>31.682521999999999</v>
      </c>
      <c r="C7403" s="32">
        <f t="shared" si="115"/>
        <v>-6.1063129372761482E-3</v>
      </c>
    </row>
    <row r="7404" spans="1:3" x14ac:dyDescent="0.6">
      <c r="A7404" s="24">
        <v>40287</v>
      </c>
      <c r="B7404" s="23">
        <v>31.640259</v>
      </c>
      <c r="C7404" s="32">
        <f t="shared" si="115"/>
        <v>-1.3339531493105072E-3</v>
      </c>
    </row>
    <row r="7405" spans="1:3" x14ac:dyDescent="0.6">
      <c r="A7405" s="24">
        <v>40288</v>
      </c>
      <c r="B7405" s="23">
        <v>31.322668</v>
      </c>
      <c r="C7405" s="32">
        <f t="shared" si="115"/>
        <v>-1.0037560059163897E-2</v>
      </c>
    </row>
    <row r="7406" spans="1:3" x14ac:dyDescent="0.6">
      <c r="A7406" s="24">
        <v>40289</v>
      </c>
      <c r="B7406" s="23">
        <v>33.196216999999997</v>
      </c>
      <c r="C7406" s="32">
        <f t="shared" si="115"/>
        <v>5.9814476851077769E-2</v>
      </c>
    </row>
    <row r="7407" spans="1:3" x14ac:dyDescent="0.6">
      <c r="A7407" s="24">
        <v>40290</v>
      </c>
      <c r="B7407" s="23">
        <v>34.124656999999999</v>
      </c>
      <c r="C7407" s="32">
        <f t="shared" si="115"/>
        <v>2.7968247104783073E-2</v>
      </c>
    </row>
    <row r="7408" spans="1:3" x14ac:dyDescent="0.6">
      <c r="A7408" s="24">
        <v>40291</v>
      </c>
      <c r="B7408" s="23">
        <v>34.683005999999999</v>
      </c>
      <c r="C7408" s="32">
        <f t="shared" si="115"/>
        <v>1.6362039917353632E-2</v>
      </c>
    </row>
    <row r="7409" spans="1:3" x14ac:dyDescent="0.6">
      <c r="A7409" s="24">
        <v>40294</v>
      </c>
      <c r="B7409" s="23">
        <v>34.512687999999997</v>
      </c>
      <c r="C7409" s="32">
        <f t="shared" si="115"/>
        <v>-4.9107046834406809E-3</v>
      </c>
    </row>
    <row r="7410" spans="1:3" x14ac:dyDescent="0.6">
      <c r="A7410" s="24">
        <v>40295</v>
      </c>
      <c r="B7410" s="23">
        <v>33.557343000000003</v>
      </c>
      <c r="C7410" s="32">
        <f t="shared" si="115"/>
        <v>-2.7680979238707604E-2</v>
      </c>
    </row>
    <row r="7411" spans="1:3" x14ac:dyDescent="0.6">
      <c r="A7411" s="24">
        <v>40296</v>
      </c>
      <c r="B7411" s="23">
        <v>33.500999</v>
      </c>
      <c r="C7411" s="32">
        <f t="shared" si="115"/>
        <v>-1.6790363885484938E-3</v>
      </c>
    </row>
    <row r="7412" spans="1:3" x14ac:dyDescent="0.6">
      <c r="A7412" s="24">
        <v>40297</v>
      </c>
      <c r="B7412" s="23">
        <v>34.402565000000003</v>
      </c>
      <c r="C7412" s="32">
        <f t="shared" si="115"/>
        <v>2.6911615381977283E-2</v>
      </c>
    </row>
    <row r="7413" spans="1:3" x14ac:dyDescent="0.6">
      <c r="A7413" s="24">
        <v>40298</v>
      </c>
      <c r="B7413" s="23">
        <v>33.435684000000002</v>
      </c>
      <c r="C7413" s="32">
        <f t="shared" si="115"/>
        <v>-2.8104910200736466E-2</v>
      </c>
    </row>
    <row r="7414" spans="1:3" x14ac:dyDescent="0.6">
      <c r="A7414" s="24">
        <v>40301</v>
      </c>
      <c r="B7414" s="23">
        <v>34.109302999999997</v>
      </c>
      <c r="C7414" s="32">
        <f t="shared" si="115"/>
        <v>2.0146709126692253E-2</v>
      </c>
    </row>
    <row r="7415" spans="1:3" x14ac:dyDescent="0.6">
      <c r="A7415" s="24">
        <v>40302</v>
      </c>
      <c r="B7415" s="23">
        <v>33.127056000000003</v>
      </c>
      <c r="C7415" s="32">
        <f t="shared" si="115"/>
        <v>-2.8797041088760911E-2</v>
      </c>
    </row>
    <row r="7416" spans="1:3" x14ac:dyDescent="0.6">
      <c r="A7416" s="24">
        <v>40303</v>
      </c>
      <c r="B7416" s="23">
        <v>32.782566000000003</v>
      </c>
      <c r="C7416" s="32">
        <f t="shared" si="115"/>
        <v>-1.0399052665591491E-2</v>
      </c>
    </row>
    <row r="7417" spans="1:3" x14ac:dyDescent="0.6">
      <c r="A7417" s="24">
        <v>40304</v>
      </c>
      <c r="B7417" s="23">
        <v>31.535250000000001</v>
      </c>
      <c r="C7417" s="32">
        <f t="shared" si="115"/>
        <v>-3.804815034918263E-2</v>
      </c>
    </row>
    <row r="7418" spans="1:3" x14ac:dyDescent="0.6">
      <c r="A7418" s="24">
        <v>40305</v>
      </c>
      <c r="B7418" s="23">
        <v>30.204687</v>
      </c>
      <c r="C7418" s="32">
        <f t="shared" si="115"/>
        <v>-4.2192879396865446E-2</v>
      </c>
    </row>
    <row r="7419" spans="1:3" x14ac:dyDescent="0.6">
      <c r="A7419" s="24">
        <v>40308</v>
      </c>
      <c r="B7419" s="23">
        <v>32.526443</v>
      </c>
      <c r="C7419" s="32">
        <f t="shared" si="115"/>
        <v>7.6867408028429507E-2</v>
      </c>
    </row>
    <row r="7420" spans="1:3" x14ac:dyDescent="0.6">
      <c r="A7420" s="24">
        <v>40309</v>
      </c>
      <c r="B7420" s="23">
        <v>32.850441000000004</v>
      </c>
      <c r="C7420" s="32">
        <f t="shared" si="115"/>
        <v>9.9610646021146554E-3</v>
      </c>
    </row>
    <row r="7421" spans="1:3" x14ac:dyDescent="0.6">
      <c r="A7421" s="24">
        <v>40310</v>
      </c>
      <c r="B7421" s="23">
        <v>33.563744</v>
      </c>
      <c r="C7421" s="32">
        <f t="shared" si="115"/>
        <v>2.1713650663015338E-2</v>
      </c>
    </row>
    <row r="7422" spans="1:3" x14ac:dyDescent="0.6">
      <c r="A7422" s="24">
        <v>40311</v>
      </c>
      <c r="B7422" s="23">
        <v>33.086067</v>
      </c>
      <c r="C7422" s="32">
        <f t="shared" si="115"/>
        <v>-1.4231934315790284E-2</v>
      </c>
    </row>
    <row r="7423" spans="1:3" x14ac:dyDescent="0.6">
      <c r="A7423" s="24">
        <v>40312</v>
      </c>
      <c r="B7423" s="23">
        <v>32.504669</v>
      </c>
      <c r="C7423" s="32">
        <f t="shared" si="115"/>
        <v>-1.7572291079504865E-2</v>
      </c>
    </row>
    <row r="7424" spans="1:3" x14ac:dyDescent="0.6">
      <c r="A7424" s="24">
        <v>40315</v>
      </c>
      <c r="B7424" s="23">
        <v>32.555900999999999</v>
      </c>
      <c r="C7424" s="32">
        <f t="shared" si="115"/>
        <v>1.5761427996696664E-3</v>
      </c>
    </row>
    <row r="7425" spans="1:3" x14ac:dyDescent="0.6">
      <c r="A7425" s="24">
        <v>40316</v>
      </c>
      <c r="B7425" s="23">
        <v>32.317703000000002</v>
      </c>
      <c r="C7425" s="32">
        <f t="shared" si="115"/>
        <v>-7.3165844803372293E-3</v>
      </c>
    </row>
    <row r="7426" spans="1:3" x14ac:dyDescent="0.6">
      <c r="A7426" s="24">
        <v>40317</v>
      </c>
      <c r="B7426" s="23">
        <v>31.802902</v>
      </c>
      <c r="C7426" s="32">
        <f t="shared" si="115"/>
        <v>-1.5929380872149346E-2</v>
      </c>
    </row>
    <row r="7427" spans="1:3" x14ac:dyDescent="0.6">
      <c r="A7427" s="24">
        <v>40318</v>
      </c>
      <c r="B7427" s="23">
        <v>30.448001999999999</v>
      </c>
      <c r="C7427" s="32">
        <f t="shared" si="115"/>
        <v>-4.2603030377542317E-2</v>
      </c>
    </row>
    <row r="7428" spans="1:3" x14ac:dyDescent="0.6">
      <c r="A7428" s="24">
        <v>40319</v>
      </c>
      <c r="B7428" s="23">
        <v>31.031967000000002</v>
      </c>
      <c r="C7428" s="32">
        <f t="shared" ref="C7428:C7491" si="116">B7428/B7427-1</f>
        <v>1.9179090963012957E-2</v>
      </c>
    </row>
    <row r="7429" spans="1:3" x14ac:dyDescent="0.6">
      <c r="A7429" s="24">
        <v>40322</v>
      </c>
      <c r="B7429" s="23">
        <v>31.600563000000001</v>
      </c>
      <c r="C7429" s="32">
        <f t="shared" si="116"/>
        <v>1.832291198298841E-2</v>
      </c>
    </row>
    <row r="7430" spans="1:3" x14ac:dyDescent="0.6">
      <c r="A7430" s="24">
        <v>40323</v>
      </c>
      <c r="B7430" s="23">
        <v>31.403348999999999</v>
      </c>
      <c r="C7430" s="32">
        <f t="shared" si="116"/>
        <v>-6.2408381774717858E-3</v>
      </c>
    </row>
    <row r="7431" spans="1:3" x14ac:dyDescent="0.6">
      <c r="A7431" s="24">
        <v>40324</v>
      </c>
      <c r="B7431" s="23">
        <v>31.261192000000001</v>
      </c>
      <c r="C7431" s="32">
        <f t="shared" si="116"/>
        <v>-4.5268101819330164E-3</v>
      </c>
    </row>
    <row r="7432" spans="1:3" x14ac:dyDescent="0.6">
      <c r="A7432" s="24">
        <v>40325</v>
      </c>
      <c r="B7432" s="23">
        <v>32.444491999999997</v>
      </c>
      <c r="C7432" s="32">
        <f t="shared" si="116"/>
        <v>3.7852043517726308E-2</v>
      </c>
    </row>
    <row r="7433" spans="1:3" x14ac:dyDescent="0.6">
      <c r="A7433" s="24">
        <v>40326</v>
      </c>
      <c r="B7433" s="23">
        <v>32.896545000000003</v>
      </c>
      <c r="C7433" s="32">
        <f t="shared" si="116"/>
        <v>1.3933119988440712E-2</v>
      </c>
    </row>
    <row r="7434" spans="1:3" x14ac:dyDescent="0.6">
      <c r="A7434" s="24">
        <v>40330</v>
      </c>
      <c r="B7434" s="23">
        <v>33.402393000000004</v>
      </c>
      <c r="C7434" s="32">
        <f t="shared" si="116"/>
        <v>1.537693396069395E-2</v>
      </c>
    </row>
    <row r="7435" spans="1:3" x14ac:dyDescent="0.6">
      <c r="A7435" s="24">
        <v>40331</v>
      </c>
      <c r="B7435" s="23">
        <v>33.801940999999999</v>
      </c>
      <c r="C7435" s="32">
        <f t="shared" si="116"/>
        <v>1.1961657956661931E-2</v>
      </c>
    </row>
    <row r="7436" spans="1:3" x14ac:dyDescent="0.6">
      <c r="A7436" s="24">
        <v>40332</v>
      </c>
      <c r="B7436" s="23">
        <v>33.695647999999998</v>
      </c>
      <c r="C7436" s="32">
        <f t="shared" si="116"/>
        <v>-3.1445827326898046E-3</v>
      </c>
    </row>
    <row r="7437" spans="1:3" x14ac:dyDescent="0.6">
      <c r="A7437" s="24">
        <v>40333</v>
      </c>
      <c r="B7437" s="23">
        <v>32.778725000000001</v>
      </c>
      <c r="C7437" s="32">
        <f t="shared" si="116"/>
        <v>-2.7211911757862528E-2</v>
      </c>
    </row>
    <row r="7438" spans="1:3" x14ac:dyDescent="0.6">
      <c r="A7438" s="24">
        <v>40336</v>
      </c>
      <c r="B7438" s="23">
        <v>32.135852999999997</v>
      </c>
      <c r="C7438" s="32">
        <f t="shared" si="116"/>
        <v>-1.9612477300444242E-2</v>
      </c>
    </row>
    <row r="7439" spans="1:3" x14ac:dyDescent="0.6">
      <c r="A7439" s="24">
        <v>40337</v>
      </c>
      <c r="B7439" s="23">
        <v>31.929680000000001</v>
      </c>
      <c r="C7439" s="32">
        <f t="shared" si="116"/>
        <v>-6.4156691281851419E-3</v>
      </c>
    </row>
    <row r="7440" spans="1:3" x14ac:dyDescent="0.6">
      <c r="A7440" s="24">
        <v>40338</v>
      </c>
      <c r="B7440" s="23">
        <v>31.144659000000001</v>
      </c>
      <c r="C7440" s="32">
        <f t="shared" si="116"/>
        <v>-2.4585933839612606E-2</v>
      </c>
    </row>
    <row r="7441" spans="1:3" x14ac:dyDescent="0.6">
      <c r="A7441" s="24">
        <v>40339</v>
      </c>
      <c r="B7441" s="23">
        <v>32.080795000000002</v>
      </c>
      <c r="C7441" s="32">
        <f t="shared" si="116"/>
        <v>3.0057673773214333E-2</v>
      </c>
    </row>
    <row r="7442" spans="1:3" x14ac:dyDescent="0.6">
      <c r="A7442" s="24">
        <v>40340</v>
      </c>
      <c r="B7442" s="23">
        <v>32.464970000000001</v>
      </c>
      <c r="C7442" s="32">
        <f t="shared" si="116"/>
        <v>1.1975233157407672E-2</v>
      </c>
    </row>
    <row r="7443" spans="1:3" x14ac:dyDescent="0.6">
      <c r="A7443" s="24">
        <v>40343</v>
      </c>
      <c r="B7443" s="23">
        <v>32.563586999999998</v>
      </c>
      <c r="C7443" s="32">
        <f t="shared" si="116"/>
        <v>3.0376433429630811E-3</v>
      </c>
    </row>
    <row r="7444" spans="1:3" x14ac:dyDescent="0.6">
      <c r="A7444" s="24">
        <v>40344</v>
      </c>
      <c r="B7444" s="23">
        <v>33.256408999999998</v>
      </c>
      <c r="C7444" s="32">
        <f t="shared" si="116"/>
        <v>2.1275973067709009E-2</v>
      </c>
    </row>
    <row r="7445" spans="1:3" x14ac:dyDescent="0.6">
      <c r="A7445" s="24">
        <v>40345</v>
      </c>
      <c r="B7445" s="23">
        <v>34.224536999999998</v>
      </c>
      <c r="C7445" s="32">
        <f t="shared" si="116"/>
        <v>2.9111020375050201E-2</v>
      </c>
    </row>
    <row r="7446" spans="1:3" x14ac:dyDescent="0.6">
      <c r="A7446" s="24">
        <v>40346</v>
      </c>
      <c r="B7446" s="23">
        <v>34.816195999999998</v>
      </c>
      <c r="C7446" s="32">
        <f t="shared" si="116"/>
        <v>1.7287567688643923E-2</v>
      </c>
    </row>
    <row r="7447" spans="1:3" x14ac:dyDescent="0.6">
      <c r="A7447" s="24">
        <v>40347</v>
      </c>
      <c r="B7447" s="23">
        <v>35.097935</v>
      </c>
      <c r="C7447" s="32">
        <f t="shared" si="116"/>
        <v>8.0921821556840801E-3</v>
      </c>
    </row>
    <row r="7448" spans="1:3" x14ac:dyDescent="0.6">
      <c r="A7448" s="24">
        <v>40350</v>
      </c>
      <c r="B7448" s="23">
        <v>34.598488000000003</v>
      </c>
      <c r="C7448" s="32">
        <f t="shared" si="116"/>
        <v>-1.4230096442995777E-2</v>
      </c>
    </row>
    <row r="7449" spans="1:3" x14ac:dyDescent="0.6">
      <c r="A7449" s="24">
        <v>40351</v>
      </c>
      <c r="B7449" s="23">
        <v>35.069747999999997</v>
      </c>
      <c r="C7449" s="32">
        <f t="shared" si="116"/>
        <v>1.3620826436114619E-2</v>
      </c>
    </row>
    <row r="7450" spans="1:3" x14ac:dyDescent="0.6">
      <c r="A7450" s="24">
        <v>40352</v>
      </c>
      <c r="B7450" s="23">
        <v>34.700935000000001</v>
      </c>
      <c r="C7450" s="32">
        <f t="shared" si="116"/>
        <v>-1.0516556891141504E-2</v>
      </c>
    </row>
    <row r="7451" spans="1:3" x14ac:dyDescent="0.6">
      <c r="A7451" s="24">
        <v>40353</v>
      </c>
      <c r="B7451" s="23">
        <v>34.448650000000001</v>
      </c>
      <c r="C7451" s="32">
        <f t="shared" si="116"/>
        <v>-7.2702651960242504E-3</v>
      </c>
    </row>
    <row r="7452" spans="1:3" x14ac:dyDescent="0.6">
      <c r="A7452" s="24">
        <v>40354</v>
      </c>
      <c r="B7452" s="23">
        <v>34.154114</v>
      </c>
      <c r="C7452" s="32">
        <f t="shared" si="116"/>
        <v>-8.5500012337204057E-3</v>
      </c>
    </row>
    <row r="7453" spans="1:3" x14ac:dyDescent="0.6">
      <c r="A7453" s="24">
        <v>40357</v>
      </c>
      <c r="B7453" s="23">
        <v>34.359015999999997</v>
      </c>
      <c r="C7453" s="32">
        <f t="shared" si="116"/>
        <v>5.9993358340373337E-3</v>
      </c>
    </row>
    <row r="7454" spans="1:3" x14ac:dyDescent="0.6">
      <c r="A7454" s="24">
        <v>40358</v>
      </c>
      <c r="B7454" s="23">
        <v>32.805625999999997</v>
      </c>
      <c r="C7454" s="32">
        <f t="shared" si="116"/>
        <v>-4.5210549685124835E-2</v>
      </c>
    </row>
    <row r="7455" spans="1:3" x14ac:dyDescent="0.6">
      <c r="A7455" s="24">
        <v>40359</v>
      </c>
      <c r="B7455" s="23">
        <v>32.211421999999999</v>
      </c>
      <c r="C7455" s="32">
        <f t="shared" si="116"/>
        <v>-1.8112868810977623E-2</v>
      </c>
    </row>
    <row r="7456" spans="1:3" x14ac:dyDescent="0.6">
      <c r="A7456" s="24">
        <v>40360</v>
      </c>
      <c r="B7456" s="23">
        <v>31.820827000000001</v>
      </c>
      <c r="C7456" s="32">
        <f t="shared" si="116"/>
        <v>-1.2125978170103635E-2</v>
      </c>
    </row>
    <row r="7457" spans="1:3" x14ac:dyDescent="0.6">
      <c r="A7457" s="24">
        <v>40361</v>
      </c>
      <c r="B7457" s="23">
        <v>31.623602000000002</v>
      </c>
      <c r="C7457" s="32">
        <f t="shared" si="116"/>
        <v>-6.1979847349661332E-3</v>
      </c>
    </row>
    <row r="7458" spans="1:3" x14ac:dyDescent="0.6">
      <c r="A7458" s="24">
        <v>40365</v>
      </c>
      <c r="B7458" s="23">
        <v>31.840039999999998</v>
      </c>
      <c r="C7458" s="32">
        <f t="shared" si="116"/>
        <v>6.844191879217254E-3</v>
      </c>
    </row>
    <row r="7459" spans="1:3" x14ac:dyDescent="0.6">
      <c r="A7459" s="24">
        <v>40366</v>
      </c>
      <c r="B7459" s="23">
        <v>33.125790000000002</v>
      </c>
      <c r="C7459" s="32">
        <f t="shared" si="116"/>
        <v>4.0381544746803222E-2</v>
      </c>
    </row>
    <row r="7460" spans="1:3" x14ac:dyDescent="0.6">
      <c r="A7460" s="24">
        <v>40367</v>
      </c>
      <c r="B7460" s="23">
        <v>33.051495000000003</v>
      </c>
      <c r="C7460" s="32">
        <f t="shared" si="116"/>
        <v>-2.2428144355198798E-3</v>
      </c>
    </row>
    <row r="7461" spans="1:3" x14ac:dyDescent="0.6">
      <c r="A7461" s="24">
        <v>40368</v>
      </c>
      <c r="B7461" s="23">
        <v>33.247436999999998</v>
      </c>
      <c r="C7461" s="32">
        <f t="shared" si="116"/>
        <v>5.9283853877107884E-3</v>
      </c>
    </row>
    <row r="7462" spans="1:3" x14ac:dyDescent="0.6">
      <c r="A7462" s="24">
        <v>40371</v>
      </c>
      <c r="B7462" s="23">
        <v>32.949055000000001</v>
      </c>
      <c r="C7462" s="32">
        <f t="shared" si="116"/>
        <v>-8.9745865222632393E-3</v>
      </c>
    </row>
    <row r="7463" spans="1:3" x14ac:dyDescent="0.6">
      <c r="A7463" s="24">
        <v>40372</v>
      </c>
      <c r="B7463" s="23">
        <v>32.245990999999997</v>
      </c>
      <c r="C7463" s="32">
        <f t="shared" si="116"/>
        <v>-2.1337910905183888E-2</v>
      </c>
    </row>
    <row r="7464" spans="1:3" x14ac:dyDescent="0.6">
      <c r="A7464" s="24">
        <v>40373</v>
      </c>
      <c r="B7464" s="23">
        <v>32.365096999999999</v>
      </c>
      <c r="C7464" s="32">
        <f t="shared" si="116"/>
        <v>3.6936684625386018E-3</v>
      </c>
    </row>
    <row r="7465" spans="1:3" x14ac:dyDescent="0.6">
      <c r="A7465" s="24">
        <v>40374</v>
      </c>
      <c r="B7465" s="23">
        <v>32.201175999999997</v>
      </c>
      <c r="C7465" s="32">
        <f t="shared" si="116"/>
        <v>-5.0647461368646951E-3</v>
      </c>
    </row>
    <row r="7466" spans="1:3" x14ac:dyDescent="0.6">
      <c r="A7466" s="24">
        <v>40375</v>
      </c>
      <c r="B7466" s="23">
        <v>32.002673999999999</v>
      </c>
      <c r="C7466" s="32">
        <f t="shared" si="116"/>
        <v>-6.1644332492700737E-3</v>
      </c>
    </row>
    <row r="7467" spans="1:3" x14ac:dyDescent="0.6">
      <c r="A7467" s="24">
        <v>40378</v>
      </c>
      <c r="B7467" s="23">
        <v>31.449452999999998</v>
      </c>
      <c r="C7467" s="32">
        <f t="shared" si="116"/>
        <v>-1.7286711729151194E-2</v>
      </c>
    </row>
    <row r="7468" spans="1:3" x14ac:dyDescent="0.6">
      <c r="A7468" s="24">
        <v>40379</v>
      </c>
      <c r="B7468" s="23">
        <v>32.257514999999998</v>
      </c>
      <c r="C7468" s="32">
        <f t="shared" si="116"/>
        <v>2.5693992197574955E-2</v>
      </c>
    </row>
    <row r="7469" spans="1:3" x14ac:dyDescent="0.6">
      <c r="A7469" s="24">
        <v>40380</v>
      </c>
      <c r="B7469" s="23">
        <v>32.558459999999997</v>
      </c>
      <c r="C7469" s="32">
        <f t="shared" si="116"/>
        <v>9.3294539272477106E-3</v>
      </c>
    </row>
    <row r="7470" spans="1:3" x14ac:dyDescent="0.6">
      <c r="A7470" s="24">
        <v>40381</v>
      </c>
      <c r="B7470" s="23">
        <v>33.170600999999998</v>
      </c>
      <c r="C7470" s="32">
        <f t="shared" si="116"/>
        <v>1.8801288513031755E-2</v>
      </c>
    </row>
    <row r="7471" spans="1:3" x14ac:dyDescent="0.6">
      <c r="A7471" s="24">
        <v>40382</v>
      </c>
      <c r="B7471" s="23">
        <v>33.288418</v>
      </c>
      <c r="C7471" s="32">
        <f t="shared" si="116"/>
        <v>3.551850025268033E-3</v>
      </c>
    </row>
    <row r="7472" spans="1:3" x14ac:dyDescent="0.6">
      <c r="A7472" s="24">
        <v>40385</v>
      </c>
      <c r="B7472" s="23">
        <v>33.203896</v>
      </c>
      <c r="C7472" s="32">
        <f t="shared" si="116"/>
        <v>-2.5390813105026222E-3</v>
      </c>
    </row>
    <row r="7473" spans="1:3" x14ac:dyDescent="0.6">
      <c r="A7473" s="24">
        <v>40386</v>
      </c>
      <c r="B7473" s="23">
        <v>33.818600000000004</v>
      </c>
      <c r="C7473" s="32">
        <f t="shared" si="116"/>
        <v>1.8513008232527994E-2</v>
      </c>
    </row>
    <row r="7474" spans="1:3" x14ac:dyDescent="0.6">
      <c r="A7474" s="24">
        <v>40387</v>
      </c>
      <c r="B7474" s="23">
        <v>33.419032999999999</v>
      </c>
      <c r="C7474" s="32">
        <f t="shared" si="116"/>
        <v>-1.181500712625605E-2</v>
      </c>
    </row>
    <row r="7475" spans="1:3" x14ac:dyDescent="0.6">
      <c r="A7475" s="24">
        <v>40388</v>
      </c>
      <c r="B7475" s="23">
        <v>33.054070000000003</v>
      </c>
      <c r="C7475" s="32">
        <f t="shared" si="116"/>
        <v>-1.0920812699756977E-2</v>
      </c>
    </row>
    <row r="7476" spans="1:3" x14ac:dyDescent="0.6">
      <c r="A7476" s="24">
        <v>40389</v>
      </c>
      <c r="B7476" s="23">
        <v>32.943928</v>
      </c>
      <c r="C7476" s="32">
        <f t="shared" si="116"/>
        <v>-3.3321766426949173E-3</v>
      </c>
    </row>
    <row r="7477" spans="1:3" x14ac:dyDescent="0.6">
      <c r="A7477" s="24">
        <v>40392</v>
      </c>
      <c r="B7477" s="23">
        <v>33.533016000000003</v>
      </c>
      <c r="C7477" s="32">
        <f t="shared" si="116"/>
        <v>1.7881534952359113E-2</v>
      </c>
    </row>
    <row r="7478" spans="1:3" x14ac:dyDescent="0.6">
      <c r="A7478" s="24">
        <v>40393</v>
      </c>
      <c r="B7478" s="23">
        <v>33.543266000000003</v>
      </c>
      <c r="C7478" s="32">
        <f t="shared" si="116"/>
        <v>3.0566889658834029E-4</v>
      </c>
    </row>
    <row r="7479" spans="1:3" x14ac:dyDescent="0.6">
      <c r="A7479" s="24">
        <v>40394</v>
      </c>
      <c r="B7479" s="23">
        <v>33.677726999999997</v>
      </c>
      <c r="C7479" s="32">
        <f t="shared" si="116"/>
        <v>4.0085840180259513E-3</v>
      </c>
    </row>
    <row r="7480" spans="1:3" x14ac:dyDescent="0.6">
      <c r="A7480" s="24">
        <v>40395</v>
      </c>
      <c r="B7480" s="23">
        <v>33.513809000000002</v>
      </c>
      <c r="C7480" s="32">
        <f t="shared" si="116"/>
        <v>-4.8672524722347399E-3</v>
      </c>
    </row>
    <row r="7481" spans="1:3" x14ac:dyDescent="0.6">
      <c r="A7481" s="24">
        <v>40396</v>
      </c>
      <c r="B7481" s="23">
        <v>33.307631999999998</v>
      </c>
      <c r="C7481" s="32">
        <f t="shared" si="116"/>
        <v>-6.1520014033619175E-3</v>
      </c>
    </row>
    <row r="7482" spans="1:3" x14ac:dyDescent="0.6">
      <c r="A7482" s="24">
        <v>40399</v>
      </c>
      <c r="B7482" s="23">
        <v>33.520209999999999</v>
      </c>
      <c r="C7482" s="32">
        <f t="shared" si="116"/>
        <v>6.3822609785049167E-3</v>
      </c>
    </row>
    <row r="7483" spans="1:3" x14ac:dyDescent="0.6">
      <c r="A7483" s="24">
        <v>40400</v>
      </c>
      <c r="B7483" s="23">
        <v>33.220551</v>
      </c>
      <c r="C7483" s="32">
        <f t="shared" si="116"/>
        <v>-8.9396516310606966E-3</v>
      </c>
    </row>
    <row r="7484" spans="1:3" x14ac:dyDescent="0.6">
      <c r="A7484" s="24">
        <v>40401</v>
      </c>
      <c r="B7484" s="23">
        <v>32.039814</v>
      </c>
      <c r="C7484" s="32">
        <f t="shared" si="116"/>
        <v>-3.5542366530886271E-2</v>
      </c>
    </row>
    <row r="7485" spans="1:3" x14ac:dyDescent="0.6">
      <c r="A7485" s="24">
        <v>40402</v>
      </c>
      <c r="B7485" s="23">
        <v>32.244712999999997</v>
      </c>
      <c r="C7485" s="32">
        <f t="shared" si="116"/>
        <v>6.3951370004831087E-3</v>
      </c>
    </row>
    <row r="7486" spans="1:3" x14ac:dyDescent="0.6">
      <c r="A7486" s="24">
        <v>40403</v>
      </c>
      <c r="B7486" s="23">
        <v>31.900230000000001</v>
      </c>
      <c r="C7486" s="32">
        <f t="shared" si="116"/>
        <v>-1.068339482506786E-2</v>
      </c>
    </row>
    <row r="7487" spans="1:3" x14ac:dyDescent="0.6">
      <c r="A7487" s="24">
        <v>40406</v>
      </c>
      <c r="B7487" s="23">
        <v>31.713256999999999</v>
      </c>
      <c r="C7487" s="32">
        <f t="shared" si="116"/>
        <v>-5.8611803112391669E-3</v>
      </c>
    </row>
    <row r="7488" spans="1:3" x14ac:dyDescent="0.6">
      <c r="A7488" s="24">
        <v>40407</v>
      </c>
      <c r="B7488" s="23">
        <v>32.267764999999997</v>
      </c>
      <c r="C7488" s="32">
        <f t="shared" si="116"/>
        <v>1.7485053648068849E-2</v>
      </c>
    </row>
    <row r="7489" spans="1:3" x14ac:dyDescent="0.6">
      <c r="A7489" s="24">
        <v>40408</v>
      </c>
      <c r="B7489" s="23">
        <v>32.408633999999999</v>
      </c>
      <c r="C7489" s="32">
        <f t="shared" si="116"/>
        <v>4.3656261907201177E-3</v>
      </c>
    </row>
    <row r="7490" spans="1:3" x14ac:dyDescent="0.6">
      <c r="A7490" s="24">
        <v>40409</v>
      </c>
      <c r="B7490" s="23">
        <v>32.000107</v>
      </c>
      <c r="C7490" s="32">
        <f t="shared" si="116"/>
        <v>-1.2605498892671596E-2</v>
      </c>
    </row>
    <row r="7491" spans="1:3" x14ac:dyDescent="0.6">
      <c r="A7491" s="24">
        <v>40410</v>
      </c>
      <c r="B7491" s="23">
        <v>31.969376</v>
      </c>
      <c r="C7491" s="32">
        <f t="shared" si="116"/>
        <v>-9.6034053886129289E-4</v>
      </c>
    </row>
    <row r="7492" spans="1:3" x14ac:dyDescent="0.6">
      <c r="A7492" s="24">
        <v>40413</v>
      </c>
      <c r="B7492" s="23">
        <v>31.477620999999999</v>
      </c>
      <c r="C7492" s="32">
        <f t="shared" ref="C7492:C7555" si="117">B7492/B7491-1</f>
        <v>-1.5382064385617067E-2</v>
      </c>
    </row>
    <row r="7493" spans="1:3" x14ac:dyDescent="0.6">
      <c r="A7493" s="24">
        <v>40414</v>
      </c>
      <c r="B7493" s="23">
        <v>30.725895000000001</v>
      </c>
      <c r="C7493" s="32">
        <f t="shared" si="117"/>
        <v>-2.3881283785709195E-2</v>
      </c>
    </row>
    <row r="7494" spans="1:3" x14ac:dyDescent="0.6">
      <c r="A7494" s="24">
        <v>40415</v>
      </c>
      <c r="B7494" s="23">
        <v>31.104952000000001</v>
      </c>
      <c r="C7494" s="32">
        <f t="shared" si="117"/>
        <v>1.2336727701503847E-2</v>
      </c>
    </row>
    <row r="7495" spans="1:3" x14ac:dyDescent="0.6">
      <c r="A7495" s="24">
        <v>40416</v>
      </c>
      <c r="B7495" s="23">
        <v>30.770714000000002</v>
      </c>
      <c r="C7495" s="32">
        <f t="shared" si="117"/>
        <v>-1.0745491586034217E-2</v>
      </c>
    </row>
    <row r="7496" spans="1:3" x14ac:dyDescent="0.6">
      <c r="A7496" s="24">
        <v>40417</v>
      </c>
      <c r="B7496" s="23">
        <v>30.942330999999999</v>
      </c>
      <c r="C7496" s="32">
        <f t="shared" si="117"/>
        <v>5.5772836470417975E-3</v>
      </c>
    </row>
    <row r="7497" spans="1:3" x14ac:dyDescent="0.6">
      <c r="A7497" s="24">
        <v>40420</v>
      </c>
      <c r="B7497" s="23">
        <v>31.055015999999998</v>
      </c>
      <c r="C7497" s="32">
        <f t="shared" si="117"/>
        <v>3.6417747583399329E-3</v>
      </c>
    </row>
    <row r="7498" spans="1:3" x14ac:dyDescent="0.6">
      <c r="A7498" s="24">
        <v>40421</v>
      </c>
      <c r="B7498" s="23">
        <v>31.131848999999999</v>
      </c>
      <c r="C7498" s="32">
        <f t="shared" si="117"/>
        <v>2.4740930740463352E-3</v>
      </c>
    </row>
    <row r="7499" spans="1:3" x14ac:dyDescent="0.6">
      <c r="A7499" s="24">
        <v>40422</v>
      </c>
      <c r="B7499" s="23">
        <v>32.057743000000002</v>
      </c>
      <c r="C7499" s="32">
        <f t="shared" si="117"/>
        <v>2.9741053928406425E-2</v>
      </c>
    </row>
    <row r="7500" spans="1:3" x14ac:dyDescent="0.6">
      <c r="A7500" s="24">
        <v>40423</v>
      </c>
      <c r="B7500" s="23">
        <v>32.293373000000003</v>
      </c>
      <c r="C7500" s="32">
        <f t="shared" si="117"/>
        <v>7.3501743400963271E-3</v>
      </c>
    </row>
    <row r="7501" spans="1:3" x14ac:dyDescent="0.6">
      <c r="A7501" s="24">
        <v>40424</v>
      </c>
      <c r="B7501" s="23">
        <v>33.138579999999997</v>
      </c>
      <c r="C7501" s="32">
        <f t="shared" si="117"/>
        <v>2.6172769255165651E-2</v>
      </c>
    </row>
    <row r="7502" spans="1:3" x14ac:dyDescent="0.6">
      <c r="A7502" s="24">
        <v>40428</v>
      </c>
      <c r="B7502" s="23">
        <v>33.015639999999998</v>
      </c>
      <c r="C7502" s="32">
        <f t="shared" si="117"/>
        <v>-3.7098753175301979E-3</v>
      </c>
    </row>
    <row r="7503" spans="1:3" x14ac:dyDescent="0.6">
      <c r="A7503" s="24">
        <v>40429</v>
      </c>
      <c r="B7503" s="23">
        <v>33.670032999999997</v>
      </c>
      <c r="C7503" s="32">
        <f t="shared" si="117"/>
        <v>1.9820697099919959E-2</v>
      </c>
    </row>
    <row r="7504" spans="1:3" x14ac:dyDescent="0.6">
      <c r="A7504" s="24">
        <v>40430</v>
      </c>
      <c r="B7504" s="23">
        <v>33.689247000000002</v>
      </c>
      <c r="C7504" s="32">
        <f t="shared" si="117"/>
        <v>5.7065581135629095E-4</v>
      </c>
    </row>
    <row r="7505" spans="1:3" x14ac:dyDescent="0.6">
      <c r="A7505" s="24">
        <v>40431</v>
      </c>
      <c r="B7505" s="23">
        <v>33.732796</v>
      </c>
      <c r="C7505" s="32">
        <f t="shared" si="117"/>
        <v>1.2926676574278595E-3</v>
      </c>
    </row>
    <row r="7506" spans="1:3" x14ac:dyDescent="0.6">
      <c r="A7506" s="24">
        <v>40434</v>
      </c>
      <c r="B7506" s="23">
        <v>34.197654999999997</v>
      </c>
      <c r="C7506" s="32">
        <f t="shared" si="117"/>
        <v>1.3780624647894424E-2</v>
      </c>
    </row>
    <row r="7507" spans="1:3" x14ac:dyDescent="0.6">
      <c r="A7507" s="24">
        <v>40435</v>
      </c>
      <c r="B7507" s="23">
        <v>34.328277999999997</v>
      </c>
      <c r="C7507" s="32">
        <f t="shared" si="117"/>
        <v>3.8196478676681966E-3</v>
      </c>
    </row>
    <row r="7508" spans="1:3" x14ac:dyDescent="0.6">
      <c r="A7508" s="24">
        <v>40436</v>
      </c>
      <c r="B7508" s="23">
        <v>34.604892999999997</v>
      </c>
      <c r="C7508" s="32">
        <f t="shared" si="117"/>
        <v>8.0579340449293824E-3</v>
      </c>
    </row>
    <row r="7509" spans="1:3" x14ac:dyDescent="0.6">
      <c r="A7509" s="24">
        <v>40437</v>
      </c>
      <c r="B7509" s="23">
        <v>35.418083000000003</v>
      </c>
      <c r="C7509" s="32">
        <f t="shared" si="117"/>
        <v>2.3499277977828248E-2</v>
      </c>
    </row>
    <row r="7510" spans="1:3" x14ac:dyDescent="0.6">
      <c r="A7510" s="24">
        <v>40438</v>
      </c>
      <c r="B7510" s="23">
        <v>35.264415999999997</v>
      </c>
      <c r="C7510" s="32">
        <f t="shared" si="117"/>
        <v>-4.3386594356336072E-3</v>
      </c>
    </row>
    <row r="7511" spans="1:3" x14ac:dyDescent="0.6">
      <c r="A7511" s="24">
        <v>40441</v>
      </c>
      <c r="B7511" s="23">
        <v>36.270972999999998</v>
      </c>
      <c r="C7511" s="32">
        <f t="shared" si="117"/>
        <v>2.8543135380435736E-2</v>
      </c>
    </row>
    <row r="7512" spans="1:3" x14ac:dyDescent="0.6">
      <c r="A7512" s="24">
        <v>40442</v>
      </c>
      <c r="B7512" s="23">
        <v>36.340133999999999</v>
      </c>
      <c r="C7512" s="32">
        <f t="shared" si="117"/>
        <v>1.9067864542812174E-3</v>
      </c>
    </row>
    <row r="7513" spans="1:3" x14ac:dyDescent="0.6">
      <c r="A7513" s="24">
        <v>40443</v>
      </c>
      <c r="B7513" s="23">
        <v>36.849823000000001</v>
      </c>
      <c r="C7513" s="32">
        <f t="shared" si="117"/>
        <v>1.4025512399046258E-2</v>
      </c>
    </row>
    <row r="7514" spans="1:3" x14ac:dyDescent="0.6">
      <c r="A7514" s="24">
        <v>40444</v>
      </c>
      <c r="B7514" s="23">
        <v>36.999640999999997</v>
      </c>
      <c r="C7514" s="32">
        <f t="shared" si="117"/>
        <v>4.0656368960034772E-3</v>
      </c>
    </row>
    <row r="7515" spans="1:3" x14ac:dyDescent="0.6">
      <c r="A7515" s="24">
        <v>40445</v>
      </c>
      <c r="B7515" s="23">
        <v>37.435065999999999</v>
      </c>
      <c r="C7515" s="32">
        <f t="shared" si="117"/>
        <v>1.176835742811666E-2</v>
      </c>
    </row>
    <row r="7516" spans="1:3" x14ac:dyDescent="0.6">
      <c r="A7516" s="24">
        <v>40448</v>
      </c>
      <c r="B7516" s="23">
        <v>37.286507</v>
      </c>
      <c r="C7516" s="32">
        <f t="shared" si="117"/>
        <v>-3.9684449868473415E-3</v>
      </c>
    </row>
    <row r="7517" spans="1:3" x14ac:dyDescent="0.6">
      <c r="A7517" s="24">
        <v>40449</v>
      </c>
      <c r="B7517" s="23">
        <v>36.735847</v>
      </c>
      <c r="C7517" s="32">
        <f t="shared" si="117"/>
        <v>-1.4768345020894524E-2</v>
      </c>
    </row>
    <row r="7518" spans="1:3" x14ac:dyDescent="0.6">
      <c r="A7518" s="24">
        <v>40450</v>
      </c>
      <c r="B7518" s="23">
        <v>36.801158999999998</v>
      </c>
      <c r="C7518" s="32">
        <f t="shared" si="117"/>
        <v>1.7778819690750236E-3</v>
      </c>
    </row>
    <row r="7519" spans="1:3" x14ac:dyDescent="0.6">
      <c r="A7519" s="24">
        <v>40451</v>
      </c>
      <c r="B7519" s="23">
        <v>36.337563000000003</v>
      </c>
      <c r="C7519" s="32">
        <f t="shared" si="117"/>
        <v>-1.2597320644167631E-2</v>
      </c>
    </row>
    <row r="7520" spans="1:3" x14ac:dyDescent="0.6">
      <c r="A7520" s="24">
        <v>40452</v>
      </c>
      <c r="B7520" s="23">
        <v>36.180053999999998</v>
      </c>
      <c r="C7520" s="32">
        <f t="shared" si="117"/>
        <v>-4.3346054879905838E-3</v>
      </c>
    </row>
    <row r="7521" spans="1:3" x14ac:dyDescent="0.6">
      <c r="A7521" s="24">
        <v>40455</v>
      </c>
      <c r="B7521" s="23">
        <v>35.683169999999997</v>
      </c>
      <c r="C7521" s="32">
        <f t="shared" si="117"/>
        <v>-1.3733644510315002E-2</v>
      </c>
    </row>
    <row r="7522" spans="1:3" x14ac:dyDescent="0.6">
      <c r="A7522" s="24">
        <v>40456</v>
      </c>
      <c r="B7522" s="23">
        <v>37.002212999999998</v>
      </c>
      <c r="C7522" s="32">
        <f t="shared" si="117"/>
        <v>3.6965409743584976E-2</v>
      </c>
    </row>
    <row r="7523" spans="1:3" x14ac:dyDescent="0.6">
      <c r="A7523" s="24">
        <v>40457</v>
      </c>
      <c r="B7523" s="23">
        <v>37.034229000000003</v>
      </c>
      <c r="C7523" s="32">
        <f t="shared" si="117"/>
        <v>8.6524554625988515E-4</v>
      </c>
    </row>
    <row r="7524" spans="1:3" x14ac:dyDescent="0.6">
      <c r="A7524" s="24">
        <v>40458</v>
      </c>
      <c r="B7524" s="23">
        <v>37.038074000000002</v>
      </c>
      <c r="C7524" s="32">
        <f t="shared" si="117"/>
        <v>1.0382287153865022E-4</v>
      </c>
    </row>
    <row r="7525" spans="1:3" x14ac:dyDescent="0.6">
      <c r="A7525" s="24">
        <v>40459</v>
      </c>
      <c r="B7525" s="23">
        <v>37.659168000000001</v>
      </c>
      <c r="C7525" s="32">
        <f t="shared" si="117"/>
        <v>1.6769068499620232E-2</v>
      </c>
    </row>
    <row r="7526" spans="1:3" x14ac:dyDescent="0.6">
      <c r="A7526" s="24">
        <v>40462</v>
      </c>
      <c r="B7526" s="23">
        <v>37.824368</v>
      </c>
      <c r="C7526" s="32">
        <f t="shared" si="117"/>
        <v>4.3867140134374871E-3</v>
      </c>
    </row>
    <row r="7527" spans="1:3" x14ac:dyDescent="0.6">
      <c r="A7527" s="24">
        <v>40463</v>
      </c>
      <c r="B7527" s="23">
        <v>38.231605999999999</v>
      </c>
      <c r="C7527" s="32">
        <f t="shared" si="117"/>
        <v>1.0766551340659625E-2</v>
      </c>
    </row>
    <row r="7528" spans="1:3" x14ac:dyDescent="0.6">
      <c r="A7528" s="24">
        <v>40464</v>
      </c>
      <c r="B7528" s="23">
        <v>38.436497000000003</v>
      </c>
      <c r="C7528" s="32">
        <f t="shared" si="117"/>
        <v>5.3592046329418164E-3</v>
      </c>
    </row>
    <row r="7529" spans="1:3" x14ac:dyDescent="0.6">
      <c r="A7529" s="24">
        <v>40465</v>
      </c>
      <c r="B7529" s="23">
        <v>38.714401000000002</v>
      </c>
      <c r="C7529" s="32">
        <f t="shared" si="117"/>
        <v>7.2302114315985211E-3</v>
      </c>
    </row>
    <row r="7530" spans="1:3" x14ac:dyDescent="0.6">
      <c r="A7530" s="24">
        <v>40466</v>
      </c>
      <c r="B7530" s="23">
        <v>40.306206000000003</v>
      </c>
      <c r="C7530" s="32">
        <f t="shared" si="117"/>
        <v>4.1116611877838549E-2</v>
      </c>
    </row>
    <row r="7531" spans="1:3" x14ac:dyDescent="0.6">
      <c r="A7531" s="24">
        <v>40469</v>
      </c>
      <c r="B7531" s="23">
        <v>40.723689999999998</v>
      </c>
      <c r="C7531" s="32">
        <f t="shared" si="117"/>
        <v>1.0357809415254771E-2</v>
      </c>
    </row>
    <row r="7532" spans="1:3" x14ac:dyDescent="0.6">
      <c r="A7532" s="24">
        <v>40470</v>
      </c>
      <c r="B7532" s="23">
        <v>39.633887999999999</v>
      </c>
      <c r="C7532" s="32">
        <f t="shared" si="117"/>
        <v>-2.6760885371635013E-2</v>
      </c>
    </row>
    <row r="7533" spans="1:3" x14ac:dyDescent="0.6">
      <c r="A7533" s="24">
        <v>40471</v>
      </c>
      <c r="B7533" s="23">
        <v>39.767074999999998</v>
      </c>
      <c r="C7533" s="32">
        <f t="shared" si="117"/>
        <v>3.3604323653535495E-3</v>
      </c>
    </row>
    <row r="7534" spans="1:3" x14ac:dyDescent="0.6">
      <c r="A7534" s="24">
        <v>40472</v>
      </c>
      <c r="B7534" s="23">
        <v>39.637726000000001</v>
      </c>
      <c r="C7534" s="32">
        <f t="shared" si="117"/>
        <v>-3.2526656788309793E-3</v>
      </c>
    </row>
    <row r="7535" spans="1:3" x14ac:dyDescent="0.6">
      <c r="A7535" s="24">
        <v>40473</v>
      </c>
      <c r="B7535" s="23">
        <v>39.375197999999997</v>
      </c>
      <c r="C7535" s="32">
        <f t="shared" si="117"/>
        <v>-6.6231851948318488E-3</v>
      </c>
    </row>
    <row r="7536" spans="1:3" x14ac:dyDescent="0.6">
      <c r="A7536" s="24">
        <v>40476</v>
      </c>
      <c r="B7536" s="23">
        <v>39.550651999999999</v>
      </c>
      <c r="C7536" s="32">
        <f t="shared" si="117"/>
        <v>4.455952196100732E-3</v>
      </c>
    </row>
    <row r="7537" spans="1:3" x14ac:dyDescent="0.6">
      <c r="A7537" s="24">
        <v>40477</v>
      </c>
      <c r="B7537" s="23">
        <v>39.449466999999999</v>
      </c>
      <c r="C7537" s="32">
        <f t="shared" si="117"/>
        <v>-2.5583649038201095E-3</v>
      </c>
    </row>
    <row r="7538" spans="1:3" x14ac:dyDescent="0.6">
      <c r="A7538" s="24">
        <v>40478</v>
      </c>
      <c r="B7538" s="23">
        <v>39.421306999999999</v>
      </c>
      <c r="C7538" s="32">
        <f t="shared" si="117"/>
        <v>-7.138245999622761E-4</v>
      </c>
    </row>
    <row r="7539" spans="1:3" x14ac:dyDescent="0.6">
      <c r="A7539" s="24">
        <v>40479</v>
      </c>
      <c r="B7539" s="23">
        <v>39.089607000000001</v>
      </c>
      <c r="C7539" s="32">
        <f t="shared" si="117"/>
        <v>-8.4142314205868374E-3</v>
      </c>
    </row>
    <row r="7540" spans="1:3" x14ac:dyDescent="0.6">
      <c r="A7540" s="24">
        <v>40480</v>
      </c>
      <c r="B7540" s="23">
        <v>38.544083000000001</v>
      </c>
      <c r="C7540" s="32">
        <f t="shared" si="117"/>
        <v>-1.395572997190786E-2</v>
      </c>
    </row>
    <row r="7541" spans="1:3" x14ac:dyDescent="0.6">
      <c r="A7541" s="24">
        <v>40483</v>
      </c>
      <c r="B7541" s="23">
        <v>38.953876000000001</v>
      </c>
      <c r="C7541" s="32">
        <f t="shared" si="117"/>
        <v>1.0631800476353259E-2</v>
      </c>
    </row>
    <row r="7542" spans="1:3" x14ac:dyDescent="0.6">
      <c r="A7542" s="24">
        <v>40484</v>
      </c>
      <c r="B7542" s="23">
        <v>39.617237000000003</v>
      </c>
      <c r="C7542" s="32">
        <f t="shared" si="117"/>
        <v>1.7029396509862016E-2</v>
      </c>
    </row>
    <row r="7543" spans="1:3" x14ac:dyDescent="0.6">
      <c r="A7543" s="24">
        <v>40485</v>
      </c>
      <c r="B7543" s="23">
        <v>40.057774000000002</v>
      </c>
      <c r="C7543" s="32">
        <f t="shared" si="117"/>
        <v>1.1119831501626321E-2</v>
      </c>
    </row>
    <row r="7544" spans="1:3" x14ac:dyDescent="0.6">
      <c r="A7544" s="24">
        <v>40486</v>
      </c>
      <c r="B7544" s="23">
        <v>40.758265999999999</v>
      </c>
      <c r="C7544" s="32">
        <f t="shared" si="117"/>
        <v>1.7487042590035085E-2</v>
      </c>
    </row>
    <row r="7545" spans="1:3" x14ac:dyDescent="0.6">
      <c r="A7545" s="24">
        <v>40487</v>
      </c>
      <c r="B7545" s="23">
        <v>40.612285999999997</v>
      </c>
      <c r="C7545" s="32">
        <f t="shared" si="117"/>
        <v>-3.581604771900837E-3</v>
      </c>
    </row>
    <row r="7546" spans="1:3" x14ac:dyDescent="0.6">
      <c r="A7546" s="24">
        <v>40490</v>
      </c>
      <c r="B7546" s="23">
        <v>40.803092999999997</v>
      </c>
      <c r="C7546" s="32">
        <f t="shared" si="117"/>
        <v>4.6982580591499179E-3</v>
      </c>
    </row>
    <row r="7547" spans="1:3" x14ac:dyDescent="0.6">
      <c r="A7547" s="24">
        <v>40491</v>
      </c>
      <c r="B7547" s="23">
        <v>40.477817999999999</v>
      </c>
      <c r="C7547" s="32">
        <f t="shared" si="117"/>
        <v>-7.9718221361306796E-3</v>
      </c>
    </row>
    <row r="7548" spans="1:3" x14ac:dyDescent="0.6">
      <c r="A7548" s="24">
        <v>40492</v>
      </c>
      <c r="B7548" s="23">
        <v>40.727528</v>
      </c>
      <c r="C7548" s="32">
        <f t="shared" si="117"/>
        <v>6.1690578281665687E-3</v>
      </c>
    </row>
    <row r="7549" spans="1:3" x14ac:dyDescent="0.6">
      <c r="A7549" s="24">
        <v>40493</v>
      </c>
      <c r="B7549" s="23">
        <v>40.550812000000001</v>
      </c>
      <c r="C7549" s="32">
        <f t="shared" si="117"/>
        <v>-4.3389817324537283E-3</v>
      </c>
    </row>
    <row r="7550" spans="1:3" x14ac:dyDescent="0.6">
      <c r="A7550" s="24">
        <v>40494</v>
      </c>
      <c r="B7550" s="23">
        <v>39.446902999999999</v>
      </c>
      <c r="C7550" s="32">
        <f t="shared" si="117"/>
        <v>-2.7222858077416534E-2</v>
      </c>
    </row>
    <row r="7551" spans="1:3" x14ac:dyDescent="0.6">
      <c r="A7551" s="24">
        <v>40497</v>
      </c>
      <c r="B7551" s="23">
        <v>39.320132999999998</v>
      </c>
      <c r="C7551" s="32">
        <f t="shared" si="117"/>
        <v>-3.2136870161898479E-3</v>
      </c>
    </row>
    <row r="7552" spans="1:3" x14ac:dyDescent="0.6">
      <c r="A7552" s="24">
        <v>40498</v>
      </c>
      <c r="B7552" s="23">
        <v>38.622191999999998</v>
      </c>
      <c r="C7552" s="32">
        <f t="shared" si="117"/>
        <v>-1.7750219715686133E-2</v>
      </c>
    </row>
    <row r="7553" spans="1:3" x14ac:dyDescent="0.6">
      <c r="A7553" s="24">
        <v>40499</v>
      </c>
      <c r="B7553" s="23">
        <v>38.482605</v>
      </c>
      <c r="C7553" s="32">
        <f t="shared" si="117"/>
        <v>-3.6141656589557813E-3</v>
      </c>
    </row>
    <row r="7554" spans="1:3" x14ac:dyDescent="0.6">
      <c r="A7554" s="24">
        <v>40500</v>
      </c>
      <c r="B7554" s="23">
        <v>39.498137999999997</v>
      </c>
      <c r="C7554" s="32">
        <f t="shared" si="117"/>
        <v>2.6389403731893912E-2</v>
      </c>
    </row>
    <row r="7555" spans="1:3" x14ac:dyDescent="0.6">
      <c r="A7555" s="24">
        <v>40501</v>
      </c>
      <c r="B7555" s="23">
        <v>39.280430000000003</v>
      </c>
      <c r="C7555" s="32">
        <f t="shared" si="117"/>
        <v>-5.511854761355961E-3</v>
      </c>
    </row>
    <row r="7556" spans="1:3" x14ac:dyDescent="0.6">
      <c r="A7556" s="24">
        <v>40504</v>
      </c>
      <c r="B7556" s="23">
        <v>40.129494000000001</v>
      </c>
      <c r="C7556" s="32">
        <f t="shared" ref="C7556:C7619" si="118">B7556/B7555-1</f>
        <v>2.1615445655762899E-2</v>
      </c>
    </row>
    <row r="7557" spans="1:3" x14ac:dyDescent="0.6">
      <c r="A7557" s="24">
        <v>40505</v>
      </c>
      <c r="B7557" s="23">
        <v>39.536552</v>
      </c>
      <c r="C7557" s="32">
        <f t="shared" si="118"/>
        <v>-1.47757158363373E-2</v>
      </c>
    </row>
    <row r="7558" spans="1:3" x14ac:dyDescent="0.6">
      <c r="A7558" s="24">
        <v>40506</v>
      </c>
      <c r="B7558" s="23">
        <v>40.313889000000003</v>
      </c>
      <c r="C7558" s="32">
        <f t="shared" si="118"/>
        <v>1.9661223872026179E-2</v>
      </c>
    </row>
    <row r="7559" spans="1:3" x14ac:dyDescent="0.6">
      <c r="A7559" s="24">
        <v>40508</v>
      </c>
      <c r="B7559" s="23">
        <v>40.339508000000002</v>
      </c>
      <c r="C7559" s="32">
        <f t="shared" si="118"/>
        <v>6.3548818125691575E-4</v>
      </c>
    </row>
    <row r="7560" spans="1:3" x14ac:dyDescent="0.6">
      <c r="A7560" s="24">
        <v>40511</v>
      </c>
      <c r="B7560" s="23">
        <v>40.578986999999998</v>
      </c>
      <c r="C7560" s="32">
        <f t="shared" si="118"/>
        <v>5.9365870302632295E-3</v>
      </c>
    </row>
    <row r="7561" spans="1:3" x14ac:dyDescent="0.6">
      <c r="A7561" s="24">
        <v>40512</v>
      </c>
      <c r="B7561" s="23">
        <v>39.846462000000002</v>
      </c>
      <c r="C7561" s="32">
        <f t="shared" si="118"/>
        <v>-1.8051830618640019E-2</v>
      </c>
    </row>
    <row r="7562" spans="1:3" x14ac:dyDescent="0.6">
      <c r="A7562" s="24">
        <v>40513</v>
      </c>
      <c r="B7562" s="23">
        <v>40.518791</v>
      </c>
      <c r="C7562" s="32">
        <f t="shared" si="118"/>
        <v>1.6872991132813597E-2</v>
      </c>
    </row>
    <row r="7563" spans="1:3" x14ac:dyDescent="0.6">
      <c r="A7563" s="24">
        <v>40514</v>
      </c>
      <c r="B7563" s="23">
        <v>40.742908</v>
      </c>
      <c r="C7563" s="32">
        <f t="shared" si="118"/>
        <v>5.5311867523391012E-3</v>
      </c>
    </row>
    <row r="7564" spans="1:3" x14ac:dyDescent="0.6">
      <c r="A7564" s="24">
        <v>40515</v>
      </c>
      <c r="B7564" s="23">
        <v>40.651974000000003</v>
      </c>
      <c r="C7564" s="32">
        <f t="shared" si="118"/>
        <v>-2.2318976347981412E-3</v>
      </c>
    </row>
    <row r="7565" spans="1:3" x14ac:dyDescent="0.6">
      <c r="A7565" s="24">
        <v>40518</v>
      </c>
      <c r="B7565" s="23">
        <v>40.999034999999999</v>
      </c>
      <c r="C7565" s="32">
        <f t="shared" si="118"/>
        <v>8.5373713955438912E-3</v>
      </c>
    </row>
    <row r="7566" spans="1:3" x14ac:dyDescent="0.6">
      <c r="A7566" s="24">
        <v>40519</v>
      </c>
      <c r="B7566" s="23">
        <v>40.750579999999999</v>
      </c>
      <c r="C7566" s="32">
        <f t="shared" si="118"/>
        <v>-6.0600206809745538E-3</v>
      </c>
    </row>
    <row r="7567" spans="1:3" x14ac:dyDescent="0.6">
      <c r="A7567" s="24">
        <v>40520</v>
      </c>
      <c r="B7567" s="23">
        <v>41.109161</v>
      </c>
      <c r="C7567" s="32">
        <f t="shared" si="118"/>
        <v>8.7994084992164545E-3</v>
      </c>
    </row>
    <row r="7568" spans="1:3" x14ac:dyDescent="0.6">
      <c r="A7568" s="24">
        <v>40521</v>
      </c>
      <c r="B7568" s="23">
        <v>40.949081</v>
      </c>
      <c r="C7568" s="32">
        <f t="shared" si="118"/>
        <v>-3.8940225513237614E-3</v>
      </c>
    </row>
    <row r="7569" spans="1:3" x14ac:dyDescent="0.6">
      <c r="A7569" s="24">
        <v>40522</v>
      </c>
      <c r="B7569" s="23">
        <v>41.051524999999998</v>
      </c>
      <c r="C7569" s="32">
        <f t="shared" si="118"/>
        <v>2.5017411257652888E-3</v>
      </c>
    </row>
    <row r="7570" spans="1:3" x14ac:dyDescent="0.6">
      <c r="A7570" s="24">
        <v>40525</v>
      </c>
      <c r="B7570" s="23">
        <v>41.193680000000001</v>
      </c>
      <c r="C7570" s="32">
        <f t="shared" si="118"/>
        <v>3.4628433413863569E-3</v>
      </c>
    </row>
    <row r="7571" spans="1:3" x14ac:dyDescent="0.6">
      <c r="A7571" s="24">
        <v>40526</v>
      </c>
      <c r="B7571" s="23">
        <v>41.016948999999997</v>
      </c>
      <c r="C7571" s="32">
        <f t="shared" si="118"/>
        <v>-4.2902454939690582E-3</v>
      </c>
    </row>
    <row r="7572" spans="1:3" x14ac:dyDescent="0.6">
      <c r="A7572" s="24">
        <v>40527</v>
      </c>
      <c r="B7572" s="23">
        <v>41.025913000000003</v>
      </c>
      <c r="C7572" s="32">
        <f t="shared" si="118"/>
        <v>2.1854380246577598E-4</v>
      </c>
    </row>
    <row r="7573" spans="1:3" x14ac:dyDescent="0.6">
      <c r="A7573" s="24">
        <v>40528</v>
      </c>
      <c r="B7573" s="23">
        <v>41.139888999999997</v>
      </c>
      <c r="C7573" s="32">
        <f t="shared" si="118"/>
        <v>2.77814658262443E-3</v>
      </c>
    </row>
    <row r="7574" spans="1:3" x14ac:dyDescent="0.6">
      <c r="A7574" s="24">
        <v>40529</v>
      </c>
      <c r="B7574" s="23">
        <v>41.057934000000003</v>
      </c>
      <c r="C7574" s="32">
        <f t="shared" si="118"/>
        <v>-1.9921055207512417E-3</v>
      </c>
    </row>
    <row r="7575" spans="1:3" x14ac:dyDescent="0.6">
      <c r="A7575" s="24">
        <v>40532</v>
      </c>
      <c r="B7575" s="23">
        <v>41.262824999999999</v>
      </c>
      <c r="C7575" s="32">
        <f t="shared" si="118"/>
        <v>4.990290061842817E-3</v>
      </c>
    </row>
    <row r="7576" spans="1:3" x14ac:dyDescent="0.6">
      <c r="A7576" s="24">
        <v>40533</v>
      </c>
      <c r="B7576" s="23">
        <v>41.517673000000002</v>
      </c>
      <c r="C7576" s="32">
        <f t="shared" si="118"/>
        <v>6.1762130925355763E-3</v>
      </c>
    </row>
    <row r="7577" spans="1:3" x14ac:dyDescent="0.6">
      <c r="A7577" s="24">
        <v>40534</v>
      </c>
      <c r="B7577" s="23">
        <v>41.640613999999999</v>
      </c>
      <c r="C7577" s="32">
        <f t="shared" si="118"/>
        <v>2.9611727034892787E-3</v>
      </c>
    </row>
    <row r="7578" spans="1:3" x14ac:dyDescent="0.6">
      <c r="A7578" s="24">
        <v>40535</v>
      </c>
      <c r="B7578" s="23">
        <v>41.440842000000004</v>
      </c>
      <c r="C7578" s="32">
        <f t="shared" si="118"/>
        <v>-4.797527721373096E-3</v>
      </c>
    </row>
    <row r="7579" spans="1:3" x14ac:dyDescent="0.6">
      <c r="A7579" s="24">
        <v>40539</v>
      </c>
      <c r="B7579" s="23">
        <v>41.579151000000003</v>
      </c>
      <c r="C7579" s="32">
        <f t="shared" si="118"/>
        <v>3.3375045806260939E-3</v>
      </c>
    </row>
    <row r="7580" spans="1:3" x14ac:dyDescent="0.6">
      <c r="A7580" s="24">
        <v>40540</v>
      </c>
      <c r="B7580" s="23">
        <v>41.680317000000002</v>
      </c>
      <c r="C7580" s="32">
        <f t="shared" si="118"/>
        <v>2.4330944131110144E-3</v>
      </c>
    </row>
    <row r="7581" spans="1:3" x14ac:dyDescent="0.6">
      <c r="A7581" s="24">
        <v>40541</v>
      </c>
      <c r="B7581" s="23">
        <v>41.657268999999999</v>
      </c>
      <c r="C7581" s="32">
        <f t="shared" si="118"/>
        <v>-5.5297084232830418E-4</v>
      </c>
    </row>
    <row r="7582" spans="1:3" x14ac:dyDescent="0.6">
      <c r="A7582" s="24">
        <v>40542</v>
      </c>
      <c r="B7582" s="23">
        <v>41.448523999999999</v>
      </c>
      <c r="C7582" s="32">
        <f t="shared" si="118"/>
        <v>-5.0110102032853154E-3</v>
      </c>
    </row>
    <row r="7583" spans="1:3" x14ac:dyDescent="0.6">
      <c r="A7583" s="24">
        <v>40543</v>
      </c>
      <c r="B7583" s="23">
        <v>41.307659000000001</v>
      </c>
      <c r="C7583" s="32">
        <f t="shared" si="118"/>
        <v>-3.3985528652358266E-3</v>
      </c>
    </row>
    <row r="7584" spans="1:3" x14ac:dyDescent="0.6">
      <c r="A7584" s="24">
        <v>40546</v>
      </c>
      <c r="B7584" s="23">
        <v>42.205371999999997</v>
      </c>
      <c r="C7584" s="32">
        <f t="shared" si="118"/>
        <v>2.1732362030004948E-2</v>
      </c>
    </row>
    <row r="7585" spans="1:3" x14ac:dyDescent="0.6">
      <c r="A7585" s="24">
        <v>40547</v>
      </c>
      <c r="B7585" s="23">
        <v>42.425640000000001</v>
      </c>
      <c r="C7585" s="32">
        <f t="shared" si="118"/>
        <v>5.218956487340165E-3</v>
      </c>
    </row>
    <row r="7586" spans="1:3" x14ac:dyDescent="0.6">
      <c r="A7586" s="24">
        <v>40548</v>
      </c>
      <c r="B7586" s="23">
        <v>42.772677999999999</v>
      </c>
      <c r="C7586" s="32">
        <f t="shared" si="118"/>
        <v>8.1799119589003322E-3</v>
      </c>
    </row>
    <row r="7587" spans="1:3" x14ac:dyDescent="0.6">
      <c r="A7587" s="24">
        <v>40549</v>
      </c>
      <c r="B7587" s="23">
        <v>42.738106000000002</v>
      </c>
      <c r="C7587" s="32">
        <f t="shared" si="118"/>
        <v>-8.082729821125012E-4</v>
      </c>
    </row>
    <row r="7588" spans="1:3" x14ac:dyDescent="0.6">
      <c r="A7588" s="24">
        <v>40550</v>
      </c>
      <c r="B7588" s="23">
        <v>43.044173999999998</v>
      </c>
      <c r="C7588" s="32">
        <f t="shared" si="118"/>
        <v>7.1614778624020659E-3</v>
      </c>
    </row>
    <row r="7589" spans="1:3" x14ac:dyDescent="0.6">
      <c r="A7589" s="24">
        <v>40553</v>
      </c>
      <c r="B7589" s="23">
        <v>43.854801000000002</v>
      </c>
      <c r="C7589" s="32">
        <f t="shared" si="118"/>
        <v>1.8832444084070588E-2</v>
      </c>
    </row>
    <row r="7590" spans="1:3" x14ac:dyDescent="0.6">
      <c r="A7590" s="24">
        <v>40554</v>
      </c>
      <c r="B7590" s="23">
        <v>43.751067999999997</v>
      </c>
      <c r="C7590" s="32">
        <f t="shared" si="118"/>
        <v>-2.3653738618037989E-3</v>
      </c>
    </row>
    <row r="7591" spans="1:3" x14ac:dyDescent="0.6">
      <c r="A7591" s="24">
        <v>40555</v>
      </c>
      <c r="B7591" s="23">
        <v>44.107086000000002</v>
      </c>
      <c r="C7591" s="32">
        <f t="shared" si="118"/>
        <v>8.1373556412385195E-3</v>
      </c>
    </row>
    <row r="7592" spans="1:3" x14ac:dyDescent="0.6">
      <c r="A7592" s="24">
        <v>40556</v>
      </c>
      <c r="B7592" s="23">
        <v>44.268444000000002</v>
      </c>
      <c r="C7592" s="32">
        <f t="shared" si="118"/>
        <v>3.658323744171188E-3</v>
      </c>
    </row>
    <row r="7593" spans="1:3" x14ac:dyDescent="0.6">
      <c r="A7593" s="24">
        <v>40557</v>
      </c>
      <c r="B7593" s="23">
        <v>44.627009999999999</v>
      </c>
      <c r="C7593" s="32">
        <f t="shared" si="118"/>
        <v>8.0998103299043667E-3</v>
      </c>
    </row>
    <row r="7594" spans="1:3" x14ac:dyDescent="0.6">
      <c r="A7594" s="24">
        <v>40561</v>
      </c>
      <c r="B7594" s="23">
        <v>43.624293999999999</v>
      </c>
      <c r="C7594" s="32">
        <f t="shared" si="118"/>
        <v>-2.2468814289821282E-2</v>
      </c>
    </row>
    <row r="7595" spans="1:3" x14ac:dyDescent="0.6">
      <c r="A7595" s="24">
        <v>40562</v>
      </c>
      <c r="B7595" s="23">
        <v>43.392505999999997</v>
      </c>
      <c r="C7595" s="32">
        <f t="shared" si="118"/>
        <v>-5.3132779638794814E-3</v>
      </c>
    </row>
    <row r="7596" spans="1:3" x14ac:dyDescent="0.6">
      <c r="A7596" s="24">
        <v>40563</v>
      </c>
      <c r="B7596" s="23">
        <v>42.603642000000001</v>
      </c>
      <c r="C7596" s="32">
        <f t="shared" si="118"/>
        <v>-1.8179729006662981E-2</v>
      </c>
    </row>
    <row r="7597" spans="1:3" x14ac:dyDescent="0.6">
      <c r="A7597" s="24">
        <v>40564</v>
      </c>
      <c r="B7597" s="23">
        <v>41.840389000000002</v>
      </c>
      <c r="C7597" s="32">
        <f t="shared" si="118"/>
        <v>-1.7915205465298012E-2</v>
      </c>
    </row>
    <row r="7598" spans="1:3" x14ac:dyDescent="0.6">
      <c r="A7598" s="24">
        <v>40567</v>
      </c>
      <c r="B7598" s="23">
        <v>43.214500000000001</v>
      </c>
      <c r="C7598" s="32">
        <f t="shared" si="118"/>
        <v>3.2841735768756708E-2</v>
      </c>
    </row>
    <row r="7599" spans="1:3" x14ac:dyDescent="0.6">
      <c r="A7599" s="24">
        <v>40568</v>
      </c>
      <c r="B7599" s="23">
        <v>43.720351999999998</v>
      </c>
      <c r="C7599" s="32">
        <f t="shared" si="118"/>
        <v>1.1705608071364892E-2</v>
      </c>
    </row>
    <row r="7600" spans="1:3" x14ac:dyDescent="0.6">
      <c r="A7600" s="24">
        <v>40569</v>
      </c>
      <c r="B7600" s="23">
        <v>44.034092000000001</v>
      </c>
      <c r="C7600" s="32">
        <f t="shared" si="118"/>
        <v>7.1760629923565133E-3</v>
      </c>
    </row>
    <row r="7601" spans="1:3" x14ac:dyDescent="0.6">
      <c r="A7601" s="24">
        <v>40570</v>
      </c>
      <c r="B7601" s="23">
        <v>43.952140999999997</v>
      </c>
      <c r="C7601" s="32">
        <f t="shared" si="118"/>
        <v>-1.8610807280868835E-3</v>
      </c>
    </row>
    <row r="7602" spans="1:3" x14ac:dyDescent="0.6">
      <c r="A7602" s="24">
        <v>40571</v>
      </c>
      <c r="B7602" s="23">
        <v>43.041606999999999</v>
      </c>
      <c r="C7602" s="32">
        <f t="shared" si="118"/>
        <v>-2.0716487963578389E-2</v>
      </c>
    </row>
    <row r="7603" spans="1:3" x14ac:dyDescent="0.6">
      <c r="A7603" s="24">
        <v>40574</v>
      </c>
      <c r="B7603" s="23">
        <v>43.453972</v>
      </c>
      <c r="C7603" s="32">
        <f t="shared" si="118"/>
        <v>9.5806134747711269E-3</v>
      </c>
    </row>
    <row r="7604" spans="1:3" x14ac:dyDescent="0.6">
      <c r="A7604" s="24">
        <v>40575</v>
      </c>
      <c r="B7604" s="23">
        <v>44.185203999999999</v>
      </c>
      <c r="C7604" s="32">
        <f t="shared" si="118"/>
        <v>1.6827736714148944E-2</v>
      </c>
    </row>
    <row r="7605" spans="1:3" x14ac:dyDescent="0.6">
      <c r="A7605" s="24">
        <v>40576</v>
      </c>
      <c r="B7605" s="23">
        <v>44.094287999999999</v>
      </c>
      <c r="C7605" s="32">
        <f t="shared" si="118"/>
        <v>-2.0576118648224506E-3</v>
      </c>
    </row>
    <row r="7606" spans="1:3" x14ac:dyDescent="0.6">
      <c r="A7606" s="24">
        <v>40577</v>
      </c>
      <c r="B7606" s="23">
        <v>43.981586</v>
      </c>
      <c r="C7606" s="32">
        <f t="shared" si="118"/>
        <v>-2.5559319610739539E-3</v>
      </c>
    </row>
    <row r="7607" spans="1:3" x14ac:dyDescent="0.6">
      <c r="A7607" s="24">
        <v>40578</v>
      </c>
      <c r="B7607" s="23">
        <v>44.373455</v>
      </c>
      <c r="C7607" s="32">
        <f t="shared" si="118"/>
        <v>8.9098424054103731E-3</v>
      </c>
    </row>
    <row r="7608" spans="1:3" x14ac:dyDescent="0.6">
      <c r="A7608" s="24">
        <v>40581</v>
      </c>
      <c r="B7608" s="23">
        <v>45.062424</v>
      </c>
      <c r="C7608" s="32">
        <f t="shared" si="118"/>
        <v>1.5526602560021585E-2</v>
      </c>
    </row>
    <row r="7609" spans="1:3" x14ac:dyDescent="0.6">
      <c r="A7609" s="24">
        <v>40582</v>
      </c>
      <c r="B7609" s="23">
        <v>45.487594999999999</v>
      </c>
      <c r="C7609" s="32">
        <f t="shared" si="118"/>
        <v>9.4351559960466069E-3</v>
      </c>
    </row>
    <row r="7610" spans="1:3" x14ac:dyDescent="0.6">
      <c r="A7610" s="24">
        <v>40583</v>
      </c>
      <c r="B7610" s="23">
        <v>45.866652999999999</v>
      </c>
      <c r="C7610" s="32">
        <f t="shared" si="118"/>
        <v>8.3332170012506701E-3</v>
      </c>
    </row>
    <row r="7611" spans="1:3" x14ac:dyDescent="0.6">
      <c r="A7611" s="24">
        <v>40584</v>
      </c>
      <c r="B7611" s="23">
        <v>45.403075999999999</v>
      </c>
      <c r="C7611" s="32">
        <f t="shared" si="118"/>
        <v>-1.0107059697597731E-2</v>
      </c>
    </row>
    <row r="7612" spans="1:3" x14ac:dyDescent="0.6">
      <c r="A7612" s="24">
        <v>40585</v>
      </c>
      <c r="B7612" s="23">
        <v>45.698891000000003</v>
      </c>
      <c r="C7612" s="32">
        <f t="shared" si="118"/>
        <v>6.5153074650714515E-3</v>
      </c>
    </row>
    <row r="7613" spans="1:3" x14ac:dyDescent="0.6">
      <c r="A7613" s="24">
        <v>40588</v>
      </c>
      <c r="B7613" s="23">
        <v>45.997280000000003</v>
      </c>
      <c r="C7613" s="32">
        <f t="shared" si="118"/>
        <v>6.5294582312731553E-3</v>
      </c>
    </row>
    <row r="7614" spans="1:3" x14ac:dyDescent="0.6">
      <c r="A7614" s="24">
        <v>40589</v>
      </c>
      <c r="B7614" s="23">
        <v>46.089485000000003</v>
      </c>
      <c r="C7614" s="32">
        <f t="shared" si="118"/>
        <v>2.0045750531336726E-3</v>
      </c>
    </row>
    <row r="7615" spans="1:3" x14ac:dyDescent="0.6">
      <c r="A7615" s="24">
        <v>40590</v>
      </c>
      <c r="B7615" s="23">
        <v>46.503132000000001</v>
      </c>
      <c r="C7615" s="32">
        <f t="shared" si="118"/>
        <v>8.9748670439688816E-3</v>
      </c>
    </row>
    <row r="7616" spans="1:3" x14ac:dyDescent="0.6">
      <c r="A7616" s="24">
        <v>40591</v>
      </c>
      <c r="B7616" s="23">
        <v>45.884585999999999</v>
      </c>
      <c r="C7616" s="32">
        <f t="shared" si="118"/>
        <v>-1.3301168618062187E-2</v>
      </c>
    </row>
    <row r="7617" spans="1:3" x14ac:dyDescent="0.6">
      <c r="A7617" s="24">
        <v>40592</v>
      </c>
      <c r="B7617" s="23">
        <v>44.893391000000001</v>
      </c>
      <c r="C7617" s="32">
        <f t="shared" si="118"/>
        <v>-2.1601916600053839E-2</v>
      </c>
    </row>
    <row r="7618" spans="1:3" x14ac:dyDescent="0.6">
      <c r="A7618" s="24">
        <v>40596</v>
      </c>
      <c r="B7618" s="23">
        <v>43.363048999999997</v>
      </c>
      <c r="C7618" s="32">
        <f t="shared" si="118"/>
        <v>-3.4088358351009984E-2</v>
      </c>
    </row>
    <row r="7619" spans="1:3" x14ac:dyDescent="0.6">
      <c r="A7619" s="24">
        <v>40597</v>
      </c>
      <c r="B7619" s="23">
        <v>43.876579</v>
      </c>
      <c r="C7619" s="32">
        <f t="shared" si="118"/>
        <v>1.1842571309965022E-2</v>
      </c>
    </row>
    <row r="7620" spans="1:3" x14ac:dyDescent="0.6">
      <c r="A7620" s="24">
        <v>40598</v>
      </c>
      <c r="B7620" s="23">
        <v>43.909869999999998</v>
      </c>
      <c r="C7620" s="32">
        <f t="shared" ref="C7620:C7683" si="119">B7620/B7619-1</f>
        <v>7.5874192470659629E-4</v>
      </c>
    </row>
    <row r="7621" spans="1:3" x14ac:dyDescent="0.6">
      <c r="A7621" s="24">
        <v>40599</v>
      </c>
      <c r="B7621" s="23">
        <v>44.586033</v>
      </c>
      <c r="C7621" s="32">
        <f t="shared" si="119"/>
        <v>1.5398884123319023E-2</v>
      </c>
    </row>
    <row r="7622" spans="1:3" x14ac:dyDescent="0.6">
      <c r="A7622" s="24">
        <v>40602</v>
      </c>
      <c r="B7622" s="23">
        <v>45.232761000000004</v>
      </c>
      <c r="C7622" s="32">
        <f t="shared" si="119"/>
        <v>1.4505170262624656E-2</v>
      </c>
    </row>
    <row r="7623" spans="1:3" x14ac:dyDescent="0.6">
      <c r="A7623" s="24">
        <v>40603</v>
      </c>
      <c r="B7623" s="23">
        <v>44.733311</v>
      </c>
      <c r="C7623" s="32">
        <f t="shared" si="119"/>
        <v>-1.1041775672283261E-2</v>
      </c>
    </row>
    <row r="7624" spans="1:3" x14ac:dyDescent="0.6">
      <c r="A7624" s="24">
        <v>40604</v>
      </c>
      <c r="B7624" s="23">
        <v>45.093159</v>
      </c>
      <c r="C7624" s="32">
        <f t="shared" si="119"/>
        <v>8.0442961174951311E-3</v>
      </c>
    </row>
    <row r="7625" spans="1:3" x14ac:dyDescent="0.6">
      <c r="A7625" s="24">
        <v>40605</v>
      </c>
      <c r="B7625" s="23">
        <v>46.045943999999999</v>
      </c>
      <c r="C7625" s="32">
        <f t="shared" si="119"/>
        <v>2.1129258209654278E-2</v>
      </c>
    </row>
    <row r="7626" spans="1:3" x14ac:dyDescent="0.6">
      <c r="A7626" s="24">
        <v>40606</v>
      </c>
      <c r="B7626" s="23">
        <v>46.102286999999997</v>
      </c>
      <c r="C7626" s="32">
        <f t="shared" si="119"/>
        <v>1.2236256900282072E-3</v>
      </c>
    </row>
    <row r="7627" spans="1:3" x14ac:dyDescent="0.6">
      <c r="A7627" s="24">
        <v>40609</v>
      </c>
      <c r="B7627" s="23">
        <v>45.508082999999999</v>
      </c>
      <c r="C7627" s="32">
        <f t="shared" si="119"/>
        <v>-1.2888818292246529E-2</v>
      </c>
    </row>
    <row r="7628" spans="1:3" x14ac:dyDescent="0.6">
      <c r="A7628" s="24">
        <v>40610</v>
      </c>
      <c r="B7628" s="23">
        <v>45.559306999999997</v>
      </c>
      <c r="C7628" s="32">
        <f t="shared" si="119"/>
        <v>1.1256022364203311E-3</v>
      </c>
    </row>
    <row r="7629" spans="1:3" x14ac:dyDescent="0.6">
      <c r="A7629" s="24">
        <v>40611</v>
      </c>
      <c r="B7629" s="23">
        <v>45.137988999999997</v>
      </c>
      <c r="C7629" s="32">
        <f t="shared" si="119"/>
        <v>-9.2476823670737396E-3</v>
      </c>
    </row>
    <row r="7630" spans="1:3" x14ac:dyDescent="0.6">
      <c r="A7630" s="24">
        <v>40612</v>
      </c>
      <c r="B7630" s="23">
        <v>44.395221999999997</v>
      </c>
      <c r="C7630" s="32">
        <f t="shared" si="119"/>
        <v>-1.6455473902481588E-2</v>
      </c>
    </row>
    <row r="7631" spans="1:3" x14ac:dyDescent="0.6">
      <c r="A7631" s="24">
        <v>40613</v>
      </c>
      <c r="B7631" s="23">
        <v>45.076507999999997</v>
      </c>
      <c r="C7631" s="32">
        <f t="shared" si="119"/>
        <v>1.5345930694974363E-2</v>
      </c>
    </row>
    <row r="7632" spans="1:3" x14ac:dyDescent="0.6">
      <c r="A7632" s="24">
        <v>40616</v>
      </c>
      <c r="B7632" s="23">
        <v>45.27758</v>
      </c>
      <c r="C7632" s="32">
        <f t="shared" si="119"/>
        <v>4.4606827130442284E-3</v>
      </c>
    </row>
    <row r="7633" spans="1:3" x14ac:dyDescent="0.6">
      <c r="A7633" s="24">
        <v>40617</v>
      </c>
      <c r="B7633" s="23">
        <v>44.236426999999999</v>
      </c>
      <c r="C7633" s="32">
        <f t="shared" si="119"/>
        <v>-2.299489062798854E-2</v>
      </c>
    </row>
    <row r="7634" spans="1:3" x14ac:dyDescent="0.6">
      <c r="A7634" s="24">
        <v>40618</v>
      </c>
      <c r="B7634" s="23">
        <v>42.261718999999999</v>
      </c>
      <c r="C7634" s="32">
        <f t="shared" si="119"/>
        <v>-4.4639862075659953E-2</v>
      </c>
    </row>
    <row r="7635" spans="1:3" x14ac:dyDescent="0.6">
      <c r="A7635" s="24">
        <v>40619</v>
      </c>
      <c r="B7635" s="23">
        <v>42.854636999999997</v>
      </c>
      <c r="C7635" s="32">
        <f t="shared" si="119"/>
        <v>1.402967068140315E-2</v>
      </c>
    </row>
    <row r="7636" spans="1:3" x14ac:dyDescent="0.6">
      <c r="A7636" s="24">
        <v>40620</v>
      </c>
      <c r="B7636" s="23">
        <v>42.346232999999998</v>
      </c>
      <c r="C7636" s="32">
        <f t="shared" si="119"/>
        <v>-1.1863453656135281E-2</v>
      </c>
    </row>
    <row r="7637" spans="1:3" x14ac:dyDescent="0.6">
      <c r="A7637" s="24">
        <v>40623</v>
      </c>
      <c r="B7637" s="23">
        <v>43.451411999999998</v>
      </c>
      <c r="C7637" s="32">
        <f t="shared" si="119"/>
        <v>2.6098637864671481E-2</v>
      </c>
    </row>
    <row r="7638" spans="1:3" x14ac:dyDescent="0.6">
      <c r="A7638" s="24">
        <v>40624</v>
      </c>
      <c r="B7638" s="23">
        <v>43.694732999999999</v>
      </c>
      <c r="C7638" s="32">
        <f t="shared" si="119"/>
        <v>5.5998410362361195E-3</v>
      </c>
    </row>
    <row r="7639" spans="1:3" x14ac:dyDescent="0.6">
      <c r="A7639" s="24">
        <v>40625</v>
      </c>
      <c r="B7639" s="23">
        <v>43.437320999999997</v>
      </c>
      <c r="C7639" s="32">
        <f t="shared" si="119"/>
        <v>-5.8911448205897221E-3</v>
      </c>
    </row>
    <row r="7640" spans="1:3" x14ac:dyDescent="0.6">
      <c r="A7640" s="24">
        <v>40626</v>
      </c>
      <c r="B7640" s="23">
        <v>44.177520999999999</v>
      </c>
      <c r="C7640" s="32">
        <f t="shared" si="119"/>
        <v>1.7040645761740247E-2</v>
      </c>
    </row>
    <row r="7641" spans="1:3" x14ac:dyDescent="0.6">
      <c r="A7641" s="24">
        <v>40627</v>
      </c>
      <c r="B7641" s="23">
        <v>45.018883000000002</v>
      </c>
      <c r="C7641" s="32">
        <f t="shared" si="119"/>
        <v>1.904502518373552E-2</v>
      </c>
    </row>
    <row r="7642" spans="1:3" x14ac:dyDescent="0.6">
      <c r="A7642" s="24">
        <v>40630</v>
      </c>
      <c r="B7642" s="23">
        <v>44.878028999999998</v>
      </c>
      <c r="C7642" s="32">
        <f t="shared" si="119"/>
        <v>-3.1287759849573105E-3</v>
      </c>
    </row>
    <row r="7643" spans="1:3" x14ac:dyDescent="0.6">
      <c r="A7643" s="24">
        <v>40631</v>
      </c>
      <c r="B7643" s="23">
        <v>44.944611000000002</v>
      </c>
      <c r="C7643" s="32">
        <f t="shared" si="119"/>
        <v>1.48362130609625E-3</v>
      </c>
    </row>
    <row r="7644" spans="1:3" x14ac:dyDescent="0.6">
      <c r="A7644" s="24">
        <v>40632</v>
      </c>
      <c r="B7644" s="23">
        <v>44.646228999999998</v>
      </c>
      <c r="C7644" s="32">
        <f t="shared" si="119"/>
        <v>-6.6388826905188214E-3</v>
      </c>
    </row>
    <row r="7645" spans="1:3" x14ac:dyDescent="0.6">
      <c r="A7645" s="24">
        <v>40633</v>
      </c>
      <c r="B7645" s="23">
        <v>44.630859000000001</v>
      </c>
      <c r="C7645" s="32">
        <f t="shared" si="119"/>
        <v>-3.4426199802894963E-4</v>
      </c>
    </row>
    <row r="7646" spans="1:3" x14ac:dyDescent="0.6">
      <c r="A7646" s="24">
        <v>40634</v>
      </c>
      <c r="B7646" s="23">
        <v>44.125027000000003</v>
      </c>
      <c r="C7646" s="32">
        <f t="shared" si="119"/>
        <v>-1.1333682822461388E-2</v>
      </c>
    </row>
    <row r="7647" spans="1:3" x14ac:dyDescent="0.6">
      <c r="A7647" s="24">
        <v>40637</v>
      </c>
      <c r="B7647" s="23">
        <v>43.693443000000002</v>
      </c>
      <c r="C7647" s="32">
        <f t="shared" si="119"/>
        <v>-9.7809345249806334E-3</v>
      </c>
    </row>
    <row r="7648" spans="1:3" x14ac:dyDescent="0.6">
      <c r="A7648" s="24">
        <v>40638</v>
      </c>
      <c r="B7648" s="23">
        <v>43.398902999999997</v>
      </c>
      <c r="C7648" s="32">
        <f t="shared" si="119"/>
        <v>-6.7410572336907837E-3</v>
      </c>
    </row>
    <row r="7649" spans="1:3" x14ac:dyDescent="0.6">
      <c r="A7649" s="24">
        <v>40639</v>
      </c>
      <c r="B7649" s="23">
        <v>43.290058000000002</v>
      </c>
      <c r="C7649" s="32">
        <f t="shared" si="119"/>
        <v>-2.5080127025329801E-3</v>
      </c>
    </row>
    <row r="7650" spans="1:3" x14ac:dyDescent="0.6">
      <c r="A7650" s="24">
        <v>40640</v>
      </c>
      <c r="B7650" s="23">
        <v>43.295177000000002</v>
      </c>
      <c r="C7650" s="32">
        <f t="shared" si="119"/>
        <v>1.1824885981903677E-4</v>
      </c>
    </row>
    <row r="7651" spans="1:3" x14ac:dyDescent="0.6">
      <c r="A7651" s="24">
        <v>40641</v>
      </c>
      <c r="B7651" s="23">
        <v>42.908431999999998</v>
      </c>
      <c r="C7651" s="32">
        <f t="shared" si="119"/>
        <v>-8.9327501767691997E-3</v>
      </c>
    </row>
    <row r="7652" spans="1:3" x14ac:dyDescent="0.6">
      <c r="A7652" s="24">
        <v>40644</v>
      </c>
      <c r="B7652" s="23">
        <v>42.362887999999998</v>
      </c>
      <c r="C7652" s="32">
        <f t="shared" si="119"/>
        <v>-1.2714144390081672E-2</v>
      </c>
    </row>
    <row r="7653" spans="1:3" x14ac:dyDescent="0.6">
      <c r="A7653" s="24">
        <v>40645</v>
      </c>
      <c r="B7653" s="23">
        <v>42.567787000000003</v>
      </c>
      <c r="C7653" s="32">
        <f t="shared" si="119"/>
        <v>4.8367571162759582E-3</v>
      </c>
    </row>
    <row r="7654" spans="1:3" x14ac:dyDescent="0.6">
      <c r="A7654" s="24">
        <v>40646</v>
      </c>
      <c r="B7654" s="23">
        <v>43.045451999999997</v>
      </c>
      <c r="C7654" s="32">
        <f t="shared" si="119"/>
        <v>1.1221278663135381E-2</v>
      </c>
    </row>
    <row r="7655" spans="1:3" x14ac:dyDescent="0.6">
      <c r="A7655" s="24">
        <v>40647</v>
      </c>
      <c r="B7655" s="23">
        <v>42.570338999999997</v>
      </c>
      <c r="C7655" s="32">
        <f t="shared" si="119"/>
        <v>-1.1037472669586545E-2</v>
      </c>
    </row>
    <row r="7656" spans="1:3" x14ac:dyDescent="0.6">
      <c r="A7656" s="24">
        <v>40648</v>
      </c>
      <c r="B7656" s="23">
        <v>41.935153999999997</v>
      </c>
      <c r="C7656" s="32">
        <f t="shared" si="119"/>
        <v>-1.4920834903381919E-2</v>
      </c>
    </row>
    <row r="7657" spans="1:3" x14ac:dyDescent="0.6">
      <c r="A7657" s="24">
        <v>40651</v>
      </c>
      <c r="B7657" s="23">
        <v>42.497345000000003</v>
      </c>
      <c r="C7657" s="32">
        <f t="shared" si="119"/>
        <v>1.3406198532143421E-2</v>
      </c>
    </row>
    <row r="7658" spans="1:3" x14ac:dyDescent="0.6">
      <c r="A7658" s="24">
        <v>40652</v>
      </c>
      <c r="B7658" s="23">
        <v>43.266993999999997</v>
      </c>
      <c r="C7658" s="32">
        <f t="shared" si="119"/>
        <v>1.8110519610107234E-2</v>
      </c>
    </row>
    <row r="7659" spans="1:3" x14ac:dyDescent="0.6">
      <c r="A7659" s="24">
        <v>40653</v>
      </c>
      <c r="B7659" s="23">
        <v>43.849674</v>
      </c>
      <c r="C7659" s="32">
        <f t="shared" si="119"/>
        <v>1.3467078392365384E-2</v>
      </c>
    </row>
    <row r="7660" spans="1:3" x14ac:dyDescent="0.6">
      <c r="A7660" s="24">
        <v>40654</v>
      </c>
      <c r="B7660" s="23">
        <v>44.911324</v>
      </c>
      <c r="C7660" s="32">
        <f t="shared" si="119"/>
        <v>2.4211126404269256E-2</v>
      </c>
    </row>
    <row r="7661" spans="1:3" x14ac:dyDescent="0.6">
      <c r="A7661" s="24">
        <v>40658</v>
      </c>
      <c r="B7661" s="23">
        <v>45.207138</v>
      </c>
      <c r="C7661" s="32">
        <f t="shared" si="119"/>
        <v>6.5866238991305615E-3</v>
      </c>
    </row>
    <row r="7662" spans="1:3" x14ac:dyDescent="0.6">
      <c r="A7662" s="24">
        <v>40659</v>
      </c>
      <c r="B7662" s="23">
        <v>44.875469000000002</v>
      </c>
      <c r="C7662" s="32">
        <f t="shared" si="119"/>
        <v>-7.3366511279701063E-3</v>
      </c>
    </row>
    <row r="7663" spans="1:3" x14ac:dyDescent="0.6">
      <c r="A7663" s="24">
        <v>40660</v>
      </c>
      <c r="B7663" s="23">
        <v>44.840877999999996</v>
      </c>
      <c r="C7663" s="32">
        <f t="shared" si="119"/>
        <v>-7.7082202750922146E-4</v>
      </c>
    </row>
    <row r="7664" spans="1:3" x14ac:dyDescent="0.6">
      <c r="A7664" s="24">
        <v>40661</v>
      </c>
      <c r="B7664" s="23">
        <v>44.405459999999998</v>
      </c>
      <c r="C7664" s="32">
        <f t="shared" si="119"/>
        <v>-9.7102915781444032E-3</v>
      </c>
    </row>
    <row r="7665" spans="1:3" x14ac:dyDescent="0.6">
      <c r="A7665" s="24">
        <v>40662</v>
      </c>
      <c r="B7665" s="23">
        <v>44.83831</v>
      </c>
      <c r="C7665" s="32">
        <f t="shared" si="119"/>
        <v>9.7476751732783473E-3</v>
      </c>
    </row>
    <row r="7666" spans="1:3" x14ac:dyDescent="0.6">
      <c r="A7666" s="24">
        <v>40665</v>
      </c>
      <c r="B7666" s="23">
        <v>44.345280000000002</v>
      </c>
      <c r="C7666" s="32">
        <f t="shared" si="119"/>
        <v>-1.0995731105833295E-2</v>
      </c>
    </row>
    <row r="7667" spans="1:3" x14ac:dyDescent="0.6">
      <c r="A7667" s="24">
        <v>40666</v>
      </c>
      <c r="B7667" s="23">
        <v>44.591163999999999</v>
      </c>
      <c r="C7667" s="32">
        <f t="shared" si="119"/>
        <v>5.5447614717958338E-3</v>
      </c>
    </row>
    <row r="7668" spans="1:3" x14ac:dyDescent="0.6">
      <c r="A7668" s="24">
        <v>40667</v>
      </c>
      <c r="B7668" s="23">
        <v>44.766601999999999</v>
      </c>
      <c r="C7668" s="32">
        <f t="shared" si="119"/>
        <v>3.9343669073093057E-3</v>
      </c>
    </row>
    <row r="7669" spans="1:3" x14ac:dyDescent="0.6">
      <c r="A7669" s="24">
        <v>40668</v>
      </c>
      <c r="B7669" s="23">
        <v>44.405459999999998</v>
      </c>
      <c r="C7669" s="32">
        <f t="shared" si="119"/>
        <v>-8.0672193971746964E-3</v>
      </c>
    </row>
    <row r="7670" spans="1:3" x14ac:dyDescent="0.6">
      <c r="A7670" s="24">
        <v>40669</v>
      </c>
      <c r="B7670" s="23">
        <v>44.393951000000001</v>
      </c>
      <c r="C7670" s="32">
        <f t="shared" si="119"/>
        <v>-2.5917983959622415E-4</v>
      </c>
    </row>
    <row r="7671" spans="1:3" x14ac:dyDescent="0.6">
      <c r="A7671" s="24">
        <v>40672</v>
      </c>
      <c r="B7671" s="23">
        <v>44.514327999999999</v>
      </c>
      <c r="C7671" s="32">
        <f t="shared" si="119"/>
        <v>2.7115631136322982E-3</v>
      </c>
    </row>
    <row r="7672" spans="1:3" x14ac:dyDescent="0.6">
      <c r="A7672" s="24">
        <v>40673</v>
      </c>
      <c r="B7672" s="23">
        <v>44.751235999999999</v>
      </c>
      <c r="C7672" s="32">
        <f t="shared" si="119"/>
        <v>5.3220616966294099E-3</v>
      </c>
    </row>
    <row r="7673" spans="1:3" x14ac:dyDescent="0.6">
      <c r="A7673" s="24">
        <v>40674</v>
      </c>
      <c r="B7673" s="23">
        <v>44.466934000000002</v>
      </c>
      <c r="C7673" s="32">
        <f t="shared" si="119"/>
        <v>-6.3529418494719936E-3</v>
      </c>
    </row>
    <row r="7674" spans="1:3" x14ac:dyDescent="0.6">
      <c r="A7674" s="24">
        <v>40675</v>
      </c>
      <c r="B7674" s="23">
        <v>44.382415999999999</v>
      </c>
      <c r="C7674" s="32">
        <f t="shared" si="119"/>
        <v>-1.9006932207199512E-3</v>
      </c>
    </row>
    <row r="7675" spans="1:3" x14ac:dyDescent="0.6">
      <c r="A7675" s="24">
        <v>40676</v>
      </c>
      <c r="B7675" s="23">
        <v>43.605091000000002</v>
      </c>
      <c r="C7675" s="32">
        <f t="shared" si="119"/>
        <v>-1.7514256096378245E-2</v>
      </c>
    </row>
    <row r="7676" spans="1:3" x14ac:dyDescent="0.6">
      <c r="A7676" s="24">
        <v>40679</v>
      </c>
      <c r="B7676" s="23">
        <v>42.683044000000002</v>
      </c>
      <c r="C7676" s="32">
        <f t="shared" si="119"/>
        <v>-2.1145397907781027E-2</v>
      </c>
    </row>
    <row r="7677" spans="1:3" x14ac:dyDescent="0.6">
      <c r="A7677" s="24">
        <v>40680</v>
      </c>
      <c r="B7677" s="23">
        <v>43.046729999999997</v>
      </c>
      <c r="C7677" s="32">
        <f t="shared" si="119"/>
        <v>8.520620038252158E-3</v>
      </c>
    </row>
    <row r="7678" spans="1:3" x14ac:dyDescent="0.6">
      <c r="A7678" s="24">
        <v>40681</v>
      </c>
      <c r="B7678" s="23">
        <v>43.524403</v>
      </c>
      <c r="C7678" s="32">
        <f t="shared" si="119"/>
        <v>1.1096615236511731E-2</v>
      </c>
    </row>
    <row r="7679" spans="1:3" x14ac:dyDescent="0.6">
      <c r="A7679" s="24">
        <v>40682</v>
      </c>
      <c r="B7679" s="23">
        <v>43.608929000000003</v>
      </c>
      <c r="C7679" s="32">
        <f t="shared" si="119"/>
        <v>1.9420369763603063E-3</v>
      </c>
    </row>
    <row r="7680" spans="1:3" x14ac:dyDescent="0.6">
      <c r="A7680" s="24">
        <v>40683</v>
      </c>
      <c r="B7680" s="23">
        <v>42.928921000000003</v>
      </c>
      <c r="C7680" s="32">
        <f t="shared" si="119"/>
        <v>-1.5593320349600925E-2</v>
      </c>
    </row>
    <row r="7681" spans="1:3" x14ac:dyDescent="0.6">
      <c r="A7681" s="24">
        <v>40686</v>
      </c>
      <c r="B7681" s="23">
        <v>42.823906000000001</v>
      </c>
      <c r="C7681" s="32">
        <f t="shared" si="119"/>
        <v>-2.4462529584660109E-3</v>
      </c>
    </row>
    <row r="7682" spans="1:3" x14ac:dyDescent="0.6">
      <c r="A7682" s="24">
        <v>40687</v>
      </c>
      <c r="B7682" s="23">
        <v>42.540894000000002</v>
      </c>
      <c r="C7682" s="32">
        <f t="shared" si="119"/>
        <v>-6.608738586340035E-3</v>
      </c>
    </row>
    <row r="7683" spans="1:3" x14ac:dyDescent="0.6">
      <c r="A7683" s="24">
        <v>40688</v>
      </c>
      <c r="B7683" s="23">
        <v>43.128692999999998</v>
      </c>
      <c r="C7683" s="32">
        <f t="shared" si="119"/>
        <v>1.3817269566549273E-2</v>
      </c>
    </row>
    <row r="7684" spans="1:3" x14ac:dyDescent="0.6">
      <c r="A7684" s="24">
        <v>40689</v>
      </c>
      <c r="B7684" s="23">
        <v>42.900745000000001</v>
      </c>
      <c r="C7684" s="32">
        <f t="shared" ref="C7684:C7747" si="120">B7684/B7683-1</f>
        <v>-5.2852981192821336E-3</v>
      </c>
    </row>
    <row r="7685" spans="1:3" x14ac:dyDescent="0.6">
      <c r="A7685" s="24">
        <v>40690</v>
      </c>
      <c r="B7685" s="23">
        <v>43.209361999999999</v>
      </c>
      <c r="C7685" s="32">
        <f t="shared" si="120"/>
        <v>7.1937445375365172E-3</v>
      </c>
    </row>
    <row r="7686" spans="1:3" x14ac:dyDescent="0.6">
      <c r="A7686" s="24">
        <v>40694</v>
      </c>
      <c r="B7686" s="23">
        <v>44.543765999999998</v>
      </c>
      <c r="C7686" s="32">
        <f t="shared" si="120"/>
        <v>3.088228888915312E-2</v>
      </c>
    </row>
    <row r="7687" spans="1:3" x14ac:dyDescent="0.6">
      <c r="A7687" s="24">
        <v>40695</v>
      </c>
      <c r="B7687" s="23">
        <v>44.246665999999998</v>
      </c>
      <c r="C7687" s="32">
        <f t="shared" si="120"/>
        <v>-6.6698446646832332E-3</v>
      </c>
    </row>
    <row r="7688" spans="1:3" x14ac:dyDescent="0.6">
      <c r="A7688" s="24">
        <v>40696</v>
      </c>
      <c r="B7688" s="23">
        <v>44.322234999999999</v>
      </c>
      <c r="C7688" s="32">
        <f t="shared" si="120"/>
        <v>1.7079026926005714E-3</v>
      </c>
    </row>
    <row r="7689" spans="1:3" x14ac:dyDescent="0.6">
      <c r="A7689" s="24">
        <v>40697</v>
      </c>
      <c r="B7689" s="23">
        <v>43.981586</v>
      </c>
      <c r="C7689" s="32">
        <f t="shared" si="120"/>
        <v>-7.6857360645282702E-3</v>
      </c>
    </row>
    <row r="7690" spans="1:3" x14ac:dyDescent="0.6">
      <c r="A7690" s="24">
        <v>40700</v>
      </c>
      <c r="B7690" s="23">
        <v>43.290058000000002</v>
      </c>
      <c r="C7690" s="32">
        <f t="shared" si="120"/>
        <v>-1.5723125582601694E-2</v>
      </c>
    </row>
    <row r="7691" spans="1:3" x14ac:dyDescent="0.6">
      <c r="A7691" s="24">
        <v>40701</v>
      </c>
      <c r="B7691" s="23">
        <v>42.521678999999999</v>
      </c>
      <c r="C7691" s="32">
        <f t="shared" si="120"/>
        <v>-1.7749548868703391E-2</v>
      </c>
    </row>
    <row r="7692" spans="1:3" x14ac:dyDescent="0.6">
      <c r="A7692" s="24">
        <v>40702</v>
      </c>
      <c r="B7692" s="23">
        <v>42.547279000000003</v>
      </c>
      <c r="C7692" s="32">
        <f t="shared" si="120"/>
        <v>6.0204584113443538E-4</v>
      </c>
    </row>
    <row r="7693" spans="1:3" x14ac:dyDescent="0.6">
      <c r="A7693" s="24">
        <v>40703</v>
      </c>
      <c r="B7693" s="23">
        <v>42.451248</v>
      </c>
      <c r="C7693" s="32">
        <f t="shared" si="120"/>
        <v>-2.2570421013292652E-3</v>
      </c>
    </row>
    <row r="7694" spans="1:3" x14ac:dyDescent="0.6">
      <c r="A7694" s="24">
        <v>40704</v>
      </c>
      <c r="B7694" s="23">
        <v>41.735385999999998</v>
      </c>
      <c r="C7694" s="32">
        <f t="shared" si="120"/>
        <v>-1.6863155589677881E-2</v>
      </c>
    </row>
    <row r="7695" spans="1:3" x14ac:dyDescent="0.6">
      <c r="A7695" s="24">
        <v>40707</v>
      </c>
      <c r="B7695" s="23">
        <v>41.825023999999999</v>
      </c>
      <c r="C7695" s="32">
        <f t="shared" si="120"/>
        <v>2.1477697606535617E-3</v>
      </c>
    </row>
    <row r="7696" spans="1:3" x14ac:dyDescent="0.6">
      <c r="A7696" s="24">
        <v>40708</v>
      </c>
      <c r="B7696" s="23">
        <v>42.572899</v>
      </c>
      <c r="C7696" s="32">
        <f t="shared" si="120"/>
        <v>1.7881041741900638E-2</v>
      </c>
    </row>
    <row r="7697" spans="1:3" x14ac:dyDescent="0.6">
      <c r="A7697" s="24">
        <v>40709</v>
      </c>
      <c r="B7697" s="23">
        <v>41.844237999999997</v>
      </c>
      <c r="C7697" s="32">
        <f t="shared" si="120"/>
        <v>-1.7115606808923212E-2</v>
      </c>
    </row>
    <row r="7698" spans="1:3" x14ac:dyDescent="0.6">
      <c r="A7698" s="24">
        <v>40710</v>
      </c>
      <c r="B7698" s="23">
        <v>41.640613999999999</v>
      </c>
      <c r="C7698" s="32">
        <f t="shared" si="120"/>
        <v>-4.866237497263004E-3</v>
      </c>
    </row>
    <row r="7699" spans="1:3" x14ac:dyDescent="0.6">
      <c r="A7699" s="24">
        <v>40711</v>
      </c>
      <c r="B7699" s="23">
        <v>41.013111000000002</v>
      </c>
      <c r="C7699" s="32">
        <f t="shared" si="120"/>
        <v>-1.5069494412354167E-2</v>
      </c>
    </row>
    <row r="7700" spans="1:3" x14ac:dyDescent="0.6">
      <c r="A7700" s="24">
        <v>40714</v>
      </c>
      <c r="B7700" s="23">
        <v>40.380488999999997</v>
      </c>
      <c r="C7700" s="32">
        <f t="shared" si="120"/>
        <v>-1.5424872304858894E-2</v>
      </c>
    </row>
    <row r="7701" spans="1:3" x14ac:dyDescent="0.6">
      <c r="A7701" s="24">
        <v>40715</v>
      </c>
      <c r="B7701" s="23">
        <v>41.658538999999998</v>
      </c>
      <c r="C7701" s="32">
        <f t="shared" si="120"/>
        <v>3.1650186306560135E-2</v>
      </c>
    </row>
    <row r="7702" spans="1:3" x14ac:dyDescent="0.6">
      <c r="A7702" s="24">
        <v>40716</v>
      </c>
      <c r="B7702" s="23">
        <v>41.314056000000001</v>
      </c>
      <c r="C7702" s="32">
        <f t="shared" si="120"/>
        <v>-8.2692050242088033E-3</v>
      </c>
    </row>
    <row r="7703" spans="1:3" x14ac:dyDescent="0.6">
      <c r="A7703" s="24">
        <v>40717</v>
      </c>
      <c r="B7703" s="23">
        <v>42.417949999999998</v>
      </c>
      <c r="C7703" s="32">
        <f t="shared" si="120"/>
        <v>2.6719574568035531E-2</v>
      </c>
    </row>
    <row r="7704" spans="1:3" x14ac:dyDescent="0.6">
      <c r="A7704" s="24">
        <v>40718</v>
      </c>
      <c r="B7704" s="23">
        <v>41.793007000000003</v>
      </c>
      <c r="C7704" s="32">
        <f t="shared" si="120"/>
        <v>-1.4732984503022739E-2</v>
      </c>
    </row>
    <row r="7705" spans="1:3" x14ac:dyDescent="0.6">
      <c r="A7705" s="24">
        <v>40721</v>
      </c>
      <c r="B7705" s="23">
        <v>42.521678999999999</v>
      </c>
      <c r="C7705" s="32">
        <f t="shared" si="120"/>
        <v>1.7435261358437204E-2</v>
      </c>
    </row>
    <row r="7706" spans="1:3" x14ac:dyDescent="0.6">
      <c r="A7706" s="24">
        <v>40722</v>
      </c>
      <c r="B7706" s="23">
        <v>42.934047999999997</v>
      </c>
      <c r="C7706" s="32">
        <f t="shared" si="120"/>
        <v>9.6978531821378944E-3</v>
      </c>
    </row>
    <row r="7707" spans="1:3" x14ac:dyDescent="0.6">
      <c r="A7707" s="24">
        <v>40723</v>
      </c>
      <c r="B7707" s="23">
        <v>42.777797999999997</v>
      </c>
      <c r="C7707" s="32">
        <f t="shared" si="120"/>
        <v>-3.6393027743388817E-3</v>
      </c>
    </row>
    <row r="7708" spans="1:3" x14ac:dyDescent="0.6">
      <c r="A7708" s="24">
        <v>40724</v>
      </c>
      <c r="B7708" s="23">
        <v>42.986545999999997</v>
      </c>
      <c r="C7708" s="32">
        <f t="shared" si="120"/>
        <v>4.8798210697988953E-3</v>
      </c>
    </row>
    <row r="7709" spans="1:3" x14ac:dyDescent="0.6">
      <c r="A7709" s="24">
        <v>40725</v>
      </c>
      <c r="B7709" s="23">
        <v>43.958537999999997</v>
      </c>
      <c r="C7709" s="32">
        <f t="shared" si="120"/>
        <v>2.261153989901854E-2</v>
      </c>
    </row>
    <row r="7710" spans="1:3" x14ac:dyDescent="0.6">
      <c r="A7710" s="24">
        <v>40729</v>
      </c>
      <c r="B7710" s="23">
        <v>44.74868</v>
      </c>
      <c r="C7710" s="32">
        <f t="shared" si="120"/>
        <v>1.7974710623906542E-2</v>
      </c>
    </row>
    <row r="7711" spans="1:3" x14ac:dyDescent="0.6">
      <c r="A7711" s="24">
        <v>40730</v>
      </c>
      <c r="B7711" s="23">
        <v>45.047069999999998</v>
      </c>
      <c r="C7711" s="32">
        <f t="shared" si="120"/>
        <v>6.6681296520925137E-3</v>
      </c>
    </row>
    <row r="7712" spans="1:3" x14ac:dyDescent="0.6">
      <c r="A7712" s="24">
        <v>40731</v>
      </c>
      <c r="B7712" s="23">
        <v>45.743716999999997</v>
      </c>
      <c r="C7712" s="32">
        <f t="shared" si="120"/>
        <v>1.5464868192315295E-2</v>
      </c>
    </row>
    <row r="7713" spans="1:3" x14ac:dyDescent="0.6">
      <c r="A7713" s="24">
        <v>40732</v>
      </c>
      <c r="B7713" s="23">
        <v>46.065159000000001</v>
      </c>
      <c r="C7713" s="32">
        <f t="shared" si="120"/>
        <v>7.0270196888460035E-3</v>
      </c>
    </row>
    <row r="7714" spans="1:3" x14ac:dyDescent="0.6">
      <c r="A7714" s="24">
        <v>40735</v>
      </c>
      <c r="B7714" s="23">
        <v>45.333922999999999</v>
      </c>
      <c r="C7714" s="32">
        <f t="shared" si="120"/>
        <v>-1.5873949333378046E-2</v>
      </c>
    </row>
    <row r="7715" spans="1:3" x14ac:dyDescent="0.6">
      <c r="A7715" s="24">
        <v>40736</v>
      </c>
      <c r="B7715" s="23">
        <v>45.301909999999999</v>
      </c>
      <c r="C7715" s="32">
        <f t="shared" si="120"/>
        <v>-7.0615993237554964E-4</v>
      </c>
    </row>
    <row r="7716" spans="1:3" x14ac:dyDescent="0.6">
      <c r="A7716" s="24">
        <v>40737</v>
      </c>
      <c r="B7716" s="23">
        <v>45.848728000000001</v>
      </c>
      <c r="C7716" s="32">
        <f t="shared" si="120"/>
        <v>1.2070528593606689E-2</v>
      </c>
    </row>
    <row r="7717" spans="1:3" x14ac:dyDescent="0.6">
      <c r="A7717" s="24">
        <v>40738</v>
      </c>
      <c r="B7717" s="23">
        <v>45.816707999999998</v>
      </c>
      <c r="C7717" s="32">
        <f t="shared" si="120"/>
        <v>-6.9838360619300932E-4</v>
      </c>
    </row>
    <row r="7718" spans="1:3" x14ac:dyDescent="0.6">
      <c r="A7718" s="24">
        <v>40739</v>
      </c>
      <c r="B7718" s="23">
        <v>46.732353000000003</v>
      </c>
      <c r="C7718" s="32">
        <f t="shared" si="120"/>
        <v>1.9984958325683477E-2</v>
      </c>
    </row>
    <row r="7719" spans="1:3" x14ac:dyDescent="0.6">
      <c r="A7719" s="24">
        <v>40742</v>
      </c>
      <c r="B7719" s="23">
        <v>47.869545000000002</v>
      </c>
      <c r="C7719" s="32">
        <f t="shared" si="120"/>
        <v>2.4334148122179933E-2</v>
      </c>
    </row>
    <row r="7720" spans="1:3" x14ac:dyDescent="0.6">
      <c r="A7720" s="24">
        <v>40743</v>
      </c>
      <c r="B7720" s="23">
        <v>48.260139000000002</v>
      </c>
      <c r="C7720" s="32">
        <f t="shared" si="120"/>
        <v>8.15955113005562E-3</v>
      </c>
    </row>
    <row r="7721" spans="1:3" x14ac:dyDescent="0.6">
      <c r="A7721" s="24">
        <v>40744</v>
      </c>
      <c r="B7721" s="23">
        <v>49.547165</v>
      </c>
      <c r="C7721" s="32">
        <f t="shared" si="120"/>
        <v>2.6668510009886237E-2</v>
      </c>
    </row>
    <row r="7722" spans="1:3" x14ac:dyDescent="0.6">
      <c r="A7722" s="24">
        <v>40745</v>
      </c>
      <c r="B7722" s="23">
        <v>49.597107000000001</v>
      </c>
      <c r="C7722" s="32">
        <f t="shared" si="120"/>
        <v>1.0079688716801982E-3</v>
      </c>
    </row>
    <row r="7723" spans="1:3" x14ac:dyDescent="0.6">
      <c r="A7723" s="24">
        <v>40746</v>
      </c>
      <c r="B7723" s="23">
        <v>50.366748999999999</v>
      </c>
      <c r="C7723" s="32">
        <f t="shared" si="120"/>
        <v>1.5517880911884552E-2</v>
      </c>
    </row>
    <row r="7724" spans="1:3" x14ac:dyDescent="0.6">
      <c r="A7724" s="24">
        <v>40749</v>
      </c>
      <c r="B7724" s="23">
        <v>51.032668999999999</v>
      </c>
      <c r="C7724" s="32">
        <f t="shared" si="120"/>
        <v>1.3221421140363843E-2</v>
      </c>
    </row>
    <row r="7725" spans="1:3" x14ac:dyDescent="0.6">
      <c r="A7725" s="24">
        <v>40750</v>
      </c>
      <c r="B7725" s="23">
        <v>51.661461000000003</v>
      </c>
      <c r="C7725" s="32">
        <f t="shared" si="120"/>
        <v>1.2321362223872701E-2</v>
      </c>
    </row>
    <row r="7726" spans="1:3" x14ac:dyDescent="0.6">
      <c r="A7726" s="24">
        <v>40751</v>
      </c>
      <c r="B7726" s="23">
        <v>50.275829000000002</v>
      </c>
      <c r="C7726" s="32">
        <f t="shared" si="120"/>
        <v>-2.6821386255413859E-2</v>
      </c>
    </row>
    <row r="7727" spans="1:3" x14ac:dyDescent="0.6">
      <c r="A7727" s="24">
        <v>40752</v>
      </c>
      <c r="B7727" s="23">
        <v>50.177219000000001</v>
      </c>
      <c r="C7727" s="32">
        <f t="shared" si="120"/>
        <v>-1.9613798909213775E-3</v>
      </c>
    </row>
    <row r="7728" spans="1:3" x14ac:dyDescent="0.6">
      <c r="A7728" s="24">
        <v>40753</v>
      </c>
      <c r="B7728" s="23">
        <v>50.005619000000003</v>
      </c>
      <c r="C7728" s="32">
        <f t="shared" si="120"/>
        <v>-3.4198786505086343E-3</v>
      </c>
    </row>
    <row r="7729" spans="1:3" x14ac:dyDescent="0.6">
      <c r="A7729" s="24">
        <v>40756</v>
      </c>
      <c r="B7729" s="23">
        <v>50.808562999999999</v>
      </c>
      <c r="C7729" s="32">
        <f t="shared" si="120"/>
        <v>1.6057075505854668E-2</v>
      </c>
    </row>
    <row r="7730" spans="1:3" x14ac:dyDescent="0.6">
      <c r="A7730" s="24">
        <v>40757</v>
      </c>
      <c r="B7730" s="23">
        <v>49.804569000000001</v>
      </c>
      <c r="C7730" s="32">
        <f t="shared" si="120"/>
        <v>-1.9760330556878758E-2</v>
      </c>
    </row>
    <row r="7731" spans="1:3" x14ac:dyDescent="0.6">
      <c r="A7731" s="24">
        <v>40758</v>
      </c>
      <c r="B7731" s="23">
        <v>50.273273000000003</v>
      </c>
      <c r="C7731" s="32">
        <f t="shared" si="120"/>
        <v>9.4108634892513532E-3</v>
      </c>
    </row>
    <row r="7732" spans="1:3" x14ac:dyDescent="0.6">
      <c r="A7732" s="24">
        <v>40759</v>
      </c>
      <c r="B7732" s="23">
        <v>48.326725000000003</v>
      </c>
      <c r="C7732" s="32">
        <f t="shared" si="120"/>
        <v>-3.8719340990589601E-2</v>
      </c>
    </row>
    <row r="7733" spans="1:3" x14ac:dyDescent="0.6">
      <c r="A7733" s="24">
        <v>40760</v>
      </c>
      <c r="B7733" s="23">
        <v>47.846496999999999</v>
      </c>
      <c r="C7733" s="32">
        <f t="shared" si="120"/>
        <v>-9.9371103669864125E-3</v>
      </c>
    </row>
    <row r="7734" spans="1:3" x14ac:dyDescent="0.6">
      <c r="A7734" s="24">
        <v>40763</v>
      </c>
      <c r="B7734" s="23">
        <v>45.232761000000004</v>
      </c>
      <c r="C7734" s="32">
        <f t="shared" si="120"/>
        <v>-5.4627531039524113E-2</v>
      </c>
    </row>
    <row r="7735" spans="1:3" x14ac:dyDescent="0.6">
      <c r="A7735" s="24">
        <v>40764</v>
      </c>
      <c r="B7735" s="23">
        <v>47.896442</v>
      </c>
      <c r="C7735" s="32">
        <f t="shared" si="120"/>
        <v>5.8888313273646853E-2</v>
      </c>
    </row>
    <row r="7736" spans="1:3" x14ac:dyDescent="0.6">
      <c r="A7736" s="24">
        <v>40765</v>
      </c>
      <c r="B7736" s="23">
        <v>46.574848000000003</v>
      </c>
      <c r="C7736" s="32">
        <f t="shared" si="120"/>
        <v>-2.7592738516986293E-2</v>
      </c>
    </row>
    <row r="7737" spans="1:3" x14ac:dyDescent="0.6">
      <c r="A7737" s="24">
        <v>40766</v>
      </c>
      <c r="B7737" s="23">
        <v>47.856746999999999</v>
      </c>
      <c r="C7737" s="32">
        <f t="shared" si="120"/>
        <v>2.7523417789790727E-2</v>
      </c>
    </row>
    <row r="7738" spans="1:3" x14ac:dyDescent="0.6">
      <c r="A7738" s="24">
        <v>40767</v>
      </c>
      <c r="B7738" s="23">
        <v>48.278056999999997</v>
      </c>
      <c r="C7738" s="32">
        <f t="shared" si="120"/>
        <v>8.803565357252463E-3</v>
      </c>
    </row>
    <row r="7739" spans="1:3" x14ac:dyDescent="0.6">
      <c r="A7739" s="24">
        <v>40770</v>
      </c>
      <c r="B7739" s="23">
        <v>49.100226999999997</v>
      </c>
      <c r="C7739" s="32">
        <f t="shared" si="120"/>
        <v>1.7029889997437042E-2</v>
      </c>
    </row>
    <row r="7740" spans="1:3" x14ac:dyDescent="0.6">
      <c r="A7740" s="24">
        <v>40771</v>
      </c>
      <c r="B7740" s="23">
        <v>48.725002000000003</v>
      </c>
      <c r="C7740" s="32">
        <f t="shared" si="120"/>
        <v>-7.642021695744794E-3</v>
      </c>
    </row>
    <row r="7741" spans="1:3" x14ac:dyDescent="0.6">
      <c r="A7741" s="24">
        <v>40772</v>
      </c>
      <c r="B7741" s="23">
        <v>48.719872000000002</v>
      </c>
      <c r="C7741" s="32">
        <f t="shared" si="120"/>
        <v>-1.0528475709459251E-4</v>
      </c>
    </row>
    <row r="7742" spans="1:3" x14ac:dyDescent="0.6">
      <c r="A7742" s="24">
        <v>40773</v>
      </c>
      <c r="B7742" s="23">
        <v>46.877071000000001</v>
      </c>
      <c r="C7742" s="32">
        <f t="shared" si="120"/>
        <v>-3.7824422034606342E-2</v>
      </c>
    </row>
    <row r="7743" spans="1:3" x14ac:dyDescent="0.6">
      <c r="A7743" s="24">
        <v>40774</v>
      </c>
      <c r="B7743" s="23">
        <v>45.593879999999999</v>
      </c>
      <c r="C7743" s="32">
        <f t="shared" si="120"/>
        <v>-2.7373531934194451E-2</v>
      </c>
    </row>
    <row r="7744" spans="1:3" x14ac:dyDescent="0.6">
      <c r="A7744" s="24">
        <v>40777</v>
      </c>
      <c r="B7744" s="23">
        <v>45.646388999999999</v>
      </c>
      <c r="C7744" s="32">
        <f t="shared" si="120"/>
        <v>1.151667723826133E-3</v>
      </c>
    </row>
    <row r="7745" spans="1:3" x14ac:dyDescent="0.6">
      <c r="A7745" s="24">
        <v>40778</v>
      </c>
      <c r="B7745" s="23">
        <v>47.843933</v>
      </c>
      <c r="C7745" s="32">
        <f t="shared" si="120"/>
        <v>4.8142778610592796E-2</v>
      </c>
    </row>
    <row r="7746" spans="1:3" x14ac:dyDescent="0.6">
      <c r="A7746" s="24">
        <v>40779</v>
      </c>
      <c r="B7746" s="23">
        <v>48.174328000000003</v>
      </c>
      <c r="C7746" s="32">
        <f t="shared" si="120"/>
        <v>6.905682273236291E-3</v>
      </c>
    </row>
    <row r="7747" spans="1:3" x14ac:dyDescent="0.6">
      <c r="A7747" s="24">
        <v>40780</v>
      </c>
      <c r="B7747" s="23">
        <v>47.859313999999998</v>
      </c>
      <c r="C7747" s="32">
        <f t="shared" si="120"/>
        <v>-6.5390429525037375E-3</v>
      </c>
    </row>
    <row r="7748" spans="1:3" x14ac:dyDescent="0.6">
      <c r="A7748" s="24">
        <v>40781</v>
      </c>
      <c r="B7748" s="23">
        <v>49.121994000000001</v>
      </c>
      <c r="C7748" s="32">
        <f t="shared" ref="C7748:C7811" si="121">B7748/B7747-1</f>
        <v>2.6383161279746048E-2</v>
      </c>
    </row>
    <row r="7749" spans="1:3" x14ac:dyDescent="0.6">
      <c r="A7749" s="24">
        <v>40784</v>
      </c>
      <c r="B7749" s="23">
        <v>49.940308000000002</v>
      </c>
      <c r="C7749" s="32">
        <f t="shared" si="121"/>
        <v>1.6658810715216577E-2</v>
      </c>
    </row>
    <row r="7750" spans="1:3" x14ac:dyDescent="0.6">
      <c r="A7750" s="24">
        <v>40785</v>
      </c>
      <c r="B7750" s="23">
        <v>49.942867</v>
      </c>
      <c r="C7750" s="32">
        <f t="shared" si="121"/>
        <v>5.1241173762761605E-5</v>
      </c>
    </row>
    <row r="7751" spans="1:3" x14ac:dyDescent="0.6">
      <c r="A7751" s="24">
        <v>40786</v>
      </c>
      <c r="B7751" s="23">
        <v>49.282074000000001</v>
      </c>
      <c r="C7751" s="32">
        <f t="shared" si="121"/>
        <v>-1.3230978509904068E-2</v>
      </c>
    </row>
    <row r="7752" spans="1:3" x14ac:dyDescent="0.6">
      <c r="A7752" s="24">
        <v>40787</v>
      </c>
      <c r="B7752" s="23">
        <v>48.795440999999997</v>
      </c>
      <c r="C7752" s="32">
        <f t="shared" si="121"/>
        <v>-9.8744423783788671E-3</v>
      </c>
    </row>
    <row r="7753" spans="1:3" x14ac:dyDescent="0.6">
      <c r="A7753" s="24">
        <v>40788</v>
      </c>
      <c r="B7753" s="23">
        <v>47.901558000000001</v>
      </c>
      <c r="C7753" s="32">
        <f t="shared" si="121"/>
        <v>-1.831898598887538E-2</v>
      </c>
    </row>
    <row r="7754" spans="1:3" x14ac:dyDescent="0.6">
      <c r="A7754" s="24">
        <v>40792</v>
      </c>
      <c r="B7754" s="23">
        <v>48.630229999999997</v>
      </c>
      <c r="C7754" s="32">
        <f t="shared" si="121"/>
        <v>1.5211864298860567E-2</v>
      </c>
    </row>
    <row r="7755" spans="1:3" x14ac:dyDescent="0.6">
      <c r="A7755" s="24">
        <v>40793</v>
      </c>
      <c r="B7755" s="23">
        <v>49.166812999999998</v>
      </c>
      <c r="C7755" s="32">
        <f t="shared" si="121"/>
        <v>1.1033939177338858E-2</v>
      </c>
    </row>
    <row r="7756" spans="1:3" x14ac:dyDescent="0.6">
      <c r="A7756" s="24">
        <v>40794</v>
      </c>
      <c r="B7756" s="23">
        <v>49.193710000000003</v>
      </c>
      <c r="C7756" s="32">
        <f t="shared" si="121"/>
        <v>5.4705599893178913E-4</v>
      </c>
    </row>
    <row r="7757" spans="1:3" x14ac:dyDescent="0.6">
      <c r="A7757" s="24">
        <v>40795</v>
      </c>
      <c r="B7757" s="23">
        <v>48.340812999999997</v>
      </c>
      <c r="C7757" s="32">
        <f t="shared" si="121"/>
        <v>-1.733752140263467E-2</v>
      </c>
    </row>
    <row r="7758" spans="1:3" x14ac:dyDescent="0.6">
      <c r="A7758" s="24">
        <v>40798</v>
      </c>
      <c r="B7758" s="23">
        <v>48.655845999999997</v>
      </c>
      <c r="C7758" s="32">
        <f t="shared" si="121"/>
        <v>6.5169156340005863E-3</v>
      </c>
    </row>
    <row r="7759" spans="1:3" x14ac:dyDescent="0.6">
      <c r="A7759" s="24">
        <v>40799</v>
      </c>
      <c r="B7759" s="23">
        <v>49.255180000000003</v>
      </c>
      <c r="C7759" s="32">
        <f t="shared" si="121"/>
        <v>1.2317820966467385E-2</v>
      </c>
    </row>
    <row r="7760" spans="1:3" x14ac:dyDescent="0.6">
      <c r="A7760" s="24">
        <v>40800</v>
      </c>
      <c r="B7760" s="23">
        <v>49.854500000000002</v>
      </c>
      <c r="C7760" s="32">
        <f t="shared" si="121"/>
        <v>1.2167654244690684E-2</v>
      </c>
    </row>
    <row r="7761" spans="1:3" x14ac:dyDescent="0.6">
      <c r="A7761" s="24">
        <v>40801</v>
      </c>
      <c r="B7761" s="23">
        <v>50.323219000000002</v>
      </c>
      <c r="C7761" s="32">
        <f t="shared" si="121"/>
        <v>9.4017390606664364E-3</v>
      </c>
    </row>
    <row r="7762" spans="1:3" x14ac:dyDescent="0.6">
      <c r="A7762" s="24">
        <v>40802</v>
      </c>
      <c r="B7762" s="23">
        <v>51.288806999999998</v>
      </c>
      <c r="C7762" s="32">
        <f t="shared" si="121"/>
        <v>1.918772326547713E-2</v>
      </c>
    </row>
    <row r="7763" spans="1:3" x14ac:dyDescent="0.6">
      <c r="A7763" s="24">
        <v>40805</v>
      </c>
      <c r="B7763" s="23">
        <v>52.714118999999997</v>
      </c>
      <c r="C7763" s="32">
        <f t="shared" si="121"/>
        <v>2.7789923052801813E-2</v>
      </c>
    </row>
    <row r="7764" spans="1:3" x14ac:dyDescent="0.6">
      <c r="A7764" s="24">
        <v>40806</v>
      </c>
      <c r="B7764" s="23">
        <v>52.947201</v>
      </c>
      <c r="C7764" s="32">
        <f t="shared" si="121"/>
        <v>4.4216237399321567E-3</v>
      </c>
    </row>
    <row r="7765" spans="1:3" x14ac:dyDescent="0.6">
      <c r="A7765" s="24">
        <v>40807</v>
      </c>
      <c r="B7765" s="23">
        <v>52.779442000000003</v>
      </c>
      <c r="C7765" s="32">
        <f t="shared" si="121"/>
        <v>-3.1684205554132205E-3</v>
      </c>
    </row>
    <row r="7766" spans="1:3" x14ac:dyDescent="0.6">
      <c r="A7766" s="24">
        <v>40808</v>
      </c>
      <c r="B7766" s="23">
        <v>51.457844000000001</v>
      </c>
      <c r="C7766" s="32">
        <f t="shared" si="121"/>
        <v>-2.5040014632970231E-2</v>
      </c>
    </row>
    <row r="7767" spans="1:3" x14ac:dyDescent="0.6">
      <c r="A7767" s="24">
        <v>40809</v>
      </c>
      <c r="B7767" s="23">
        <v>51.775435999999999</v>
      </c>
      <c r="C7767" s="32">
        <f t="shared" si="121"/>
        <v>6.1718870304787732E-3</v>
      </c>
    </row>
    <row r="7768" spans="1:3" x14ac:dyDescent="0.6">
      <c r="A7768" s="24">
        <v>40812</v>
      </c>
      <c r="B7768" s="23">
        <v>51.630713999999998</v>
      </c>
      <c r="C7768" s="32">
        <f t="shared" si="121"/>
        <v>-2.7951865050446223E-3</v>
      </c>
    </row>
    <row r="7769" spans="1:3" x14ac:dyDescent="0.6">
      <c r="A7769" s="24">
        <v>40813</v>
      </c>
      <c r="B7769" s="23">
        <v>51.130004999999997</v>
      </c>
      <c r="C7769" s="32">
        <f t="shared" si="121"/>
        <v>-9.6978902906513786E-3</v>
      </c>
    </row>
    <row r="7770" spans="1:3" x14ac:dyDescent="0.6">
      <c r="A7770" s="24">
        <v>40814</v>
      </c>
      <c r="B7770" s="23">
        <v>50.841861999999999</v>
      </c>
      <c r="C7770" s="32">
        <f t="shared" si="121"/>
        <v>-5.6354971997362169E-3</v>
      </c>
    </row>
    <row r="7771" spans="1:3" x14ac:dyDescent="0.6">
      <c r="A7771" s="24">
        <v>40815</v>
      </c>
      <c r="B7771" s="23">
        <v>50.017147000000001</v>
      </c>
      <c r="C7771" s="32">
        <f t="shared" si="121"/>
        <v>-1.6221180097613197E-2</v>
      </c>
    </row>
    <row r="7772" spans="1:3" x14ac:dyDescent="0.6">
      <c r="A7772" s="24">
        <v>40816</v>
      </c>
      <c r="B7772" s="23">
        <v>48.832568999999999</v>
      </c>
      <c r="C7772" s="32">
        <f t="shared" si="121"/>
        <v>-2.3683438001771751E-2</v>
      </c>
    </row>
    <row r="7773" spans="1:3" x14ac:dyDescent="0.6">
      <c r="A7773" s="24">
        <v>40819</v>
      </c>
      <c r="B7773" s="23">
        <v>47.971995999999997</v>
      </c>
      <c r="C7773" s="32">
        <f t="shared" si="121"/>
        <v>-1.7622931122055041E-2</v>
      </c>
    </row>
    <row r="7774" spans="1:3" x14ac:dyDescent="0.6">
      <c r="A7774" s="24">
        <v>40820</v>
      </c>
      <c r="B7774" s="23">
        <v>47.703071999999999</v>
      </c>
      <c r="C7774" s="32">
        <f t="shared" si="121"/>
        <v>-5.6058538819189208E-3</v>
      </c>
    </row>
    <row r="7775" spans="1:3" x14ac:dyDescent="0.6">
      <c r="A7775" s="24">
        <v>40821</v>
      </c>
      <c r="B7775" s="23">
        <v>48.439414999999997</v>
      </c>
      <c r="C7775" s="32">
        <f t="shared" si="121"/>
        <v>1.5435966052668393E-2</v>
      </c>
    </row>
    <row r="7776" spans="1:3" x14ac:dyDescent="0.6">
      <c r="A7776" s="24">
        <v>40822</v>
      </c>
      <c r="B7776" s="23">
        <v>48.326725000000003</v>
      </c>
      <c r="C7776" s="32">
        <f t="shared" si="121"/>
        <v>-2.3264112500118728E-3</v>
      </c>
    </row>
    <row r="7777" spans="1:3" x14ac:dyDescent="0.6">
      <c r="A7777" s="24">
        <v>40823</v>
      </c>
      <c r="B7777" s="23">
        <v>47.357306999999999</v>
      </c>
      <c r="C7777" s="32">
        <f t="shared" si="121"/>
        <v>-2.0059666778578622E-2</v>
      </c>
    </row>
    <row r="7778" spans="1:3" x14ac:dyDescent="0.6">
      <c r="A7778" s="24">
        <v>40826</v>
      </c>
      <c r="B7778" s="23">
        <v>49.791752000000002</v>
      </c>
      <c r="C7778" s="32">
        <f t="shared" si="121"/>
        <v>5.1405900255265813E-2</v>
      </c>
    </row>
    <row r="7779" spans="1:3" x14ac:dyDescent="0.6">
      <c r="A7779" s="24">
        <v>40827</v>
      </c>
      <c r="B7779" s="23">
        <v>51.261901999999999</v>
      </c>
      <c r="C7779" s="32">
        <f t="shared" si="121"/>
        <v>2.9525974502764951E-2</v>
      </c>
    </row>
    <row r="7780" spans="1:3" x14ac:dyDescent="0.6">
      <c r="A7780" s="24">
        <v>40828</v>
      </c>
      <c r="B7780" s="23">
        <v>51.505218999999997</v>
      </c>
      <c r="C7780" s="32">
        <f t="shared" si="121"/>
        <v>4.7465464703202453E-3</v>
      </c>
    </row>
    <row r="7781" spans="1:3" x14ac:dyDescent="0.6">
      <c r="A7781" s="24">
        <v>40829</v>
      </c>
      <c r="B7781" s="23">
        <v>52.304329000000003</v>
      </c>
      <c r="C7781" s="32">
        <f t="shared" si="121"/>
        <v>1.5515126729196194E-2</v>
      </c>
    </row>
    <row r="7782" spans="1:3" x14ac:dyDescent="0.6">
      <c r="A7782" s="24">
        <v>40830</v>
      </c>
      <c r="B7782" s="23">
        <v>54.04213</v>
      </c>
      <c r="C7782" s="32">
        <f t="shared" si="121"/>
        <v>3.3224802482410221E-2</v>
      </c>
    </row>
    <row r="7783" spans="1:3" x14ac:dyDescent="0.6">
      <c r="A7783" s="24">
        <v>40833</v>
      </c>
      <c r="B7783" s="23">
        <v>53.784728999999999</v>
      </c>
      <c r="C7783" s="32">
        <f t="shared" si="121"/>
        <v>-4.7629691871878821E-3</v>
      </c>
    </row>
    <row r="7784" spans="1:3" x14ac:dyDescent="0.6">
      <c r="A7784" s="24">
        <v>40834</v>
      </c>
      <c r="B7784" s="23">
        <v>54.072868</v>
      </c>
      <c r="C7784" s="32">
        <f t="shared" si="121"/>
        <v>5.3572641409052046E-3</v>
      </c>
    </row>
    <row r="7785" spans="1:3" x14ac:dyDescent="0.6">
      <c r="A7785" s="24">
        <v>40835</v>
      </c>
      <c r="B7785" s="23">
        <v>51.048042000000002</v>
      </c>
      <c r="C7785" s="32">
        <f t="shared" si="121"/>
        <v>-5.5939810701366888E-2</v>
      </c>
    </row>
    <row r="7786" spans="1:3" x14ac:dyDescent="0.6">
      <c r="A7786" s="24">
        <v>40836</v>
      </c>
      <c r="B7786" s="23">
        <v>50.624161000000001</v>
      </c>
      <c r="C7786" s="32">
        <f t="shared" si="121"/>
        <v>-8.3035701937402839E-3</v>
      </c>
    </row>
    <row r="7787" spans="1:3" x14ac:dyDescent="0.6">
      <c r="A7787" s="24">
        <v>40837</v>
      </c>
      <c r="B7787" s="23">
        <v>50.311691000000003</v>
      </c>
      <c r="C7787" s="32">
        <f t="shared" si="121"/>
        <v>-6.1723492069329922E-3</v>
      </c>
    </row>
    <row r="7788" spans="1:3" x14ac:dyDescent="0.6">
      <c r="A7788" s="24">
        <v>40840</v>
      </c>
      <c r="B7788" s="23">
        <v>51.963687999999998</v>
      </c>
      <c r="C7788" s="32">
        <f t="shared" si="121"/>
        <v>3.2835250955886019E-2</v>
      </c>
    </row>
    <row r="7789" spans="1:3" x14ac:dyDescent="0.6">
      <c r="A7789" s="24">
        <v>40841</v>
      </c>
      <c r="B7789" s="23">
        <v>50.939190000000004</v>
      </c>
      <c r="C7789" s="32">
        <f t="shared" si="121"/>
        <v>-1.9715652206979462E-2</v>
      </c>
    </row>
    <row r="7790" spans="1:3" x14ac:dyDescent="0.6">
      <c r="A7790" s="24">
        <v>40842</v>
      </c>
      <c r="B7790" s="23">
        <v>51.301608999999999</v>
      </c>
      <c r="C7790" s="32">
        <f t="shared" si="121"/>
        <v>7.1147381809564259E-3</v>
      </c>
    </row>
    <row r="7791" spans="1:3" x14ac:dyDescent="0.6">
      <c r="A7791" s="24">
        <v>40843</v>
      </c>
      <c r="B7791" s="23">
        <v>51.825381999999998</v>
      </c>
      <c r="C7791" s="32">
        <f t="shared" si="121"/>
        <v>1.0209679778269587E-2</v>
      </c>
    </row>
    <row r="7792" spans="1:3" x14ac:dyDescent="0.6">
      <c r="A7792" s="24">
        <v>40844</v>
      </c>
      <c r="B7792" s="23">
        <v>51.858685000000001</v>
      </c>
      <c r="C7792" s="32">
        <f t="shared" si="121"/>
        <v>6.4260018382511497E-4</v>
      </c>
    </row>
    <row r="7793" spans="1:3" x14ac:dyDescent="0.6">
      <c r="A7793" s="24">
        <v>40847</v>
      </c>
      <c r="B7793" s="23">
        <v>51.836905999999999</v>
      </c>
      <c r="C7793" s="32">
        <f t="shared" si="121"/>
        <v>-4.1996822711576343E-4</v>
      </c>
    </row>
    <row r="7794" spans="1:3" x14ac:dyDescent="0.6">
      <c r="A7794" s="24">
        <v>40848</v>
      </c>
      <c r="B7794" s="23">
        <v>50.777836000000001</v>
      </c>
      <c r="C7794" s="32">
        <f t="shared" si="121"/>
        <v>-2.0430810434557967E-2</v>
      </c>
    </row>
    <row r="7795" spans="1:3" x14ac:dyDescent="0.6">
      <c r="A7795" s="24">
        <v>40849</v>
      </c>
      <c r="B7795" s="23">
        <v>50.893096999999997</v>
      </c>
      <c r="C7795" s="32">
        <f t="shared" si="121"/>
        <v>2.2699076817687125E-3</v>
      </c>
    </row>
    <row r="7796" spans="1:3" x14ac:dyDescent="0.6">
      <c r="A7796" s="24">
        <v>40850</v>
      </c>
      <c r="B7796" s="23">
        <v>51.617919999999998</v>
      </c>
      <c r="C7796" s="32">
        <f t="shared" si="121"/>
        <v>1.4242069017729397E-2</v>
      </c>
    </row>
    <row r="7797" spans="1:3" x14ac:dyDescent="0.6">
      <c r="A7797" s="24">
        <v>40851</v>
      </c>
      <c r="B7797" s="23">
        <v>51.255496999999998</v>
      </c>
      <c r="C7797" s="32">
        <f t="shared" si="121"/>
        <v>-7.0212631582210472E-3</v>
      </c>
    </row>
    <row r="7798" spans="1:3" x14ac:dyDescent="0.6">
      <c r="A7798" s="24">
        <v>40854</v>
      </c>
      <c r="B7798" s="23">
        <v>51.190201000000002</v>
      </c>
      <c r="C7798" s="32">
        <f t="shared" si="121"/>
        <v>-1.2739316526381161E-3</v>
      </c>
    </row>
    <row r="7799" spans="1:3" x14ac:dyDescent="0.6">
      <c r="A7799" s="24">
        <v>40855</v>
      </c>
      <c r="B7799" s="23">
        <v>52.022598000000002</v>
      </c>
      <c r="C7799" s="32">
        <f t="shared" si="121"/>
        <v>1.626086602004162E-2</v>
      </c>
    </row>
    <row r="7800" spans="1:3" x14ac:dyDescent="0.6">
      <c r="A7800" s="24">
        <v>40856</v>
      </c>
      <c r="B7800" s="23">
        <v>50.620322999999999</v>
      </c>
      <c r="C7800" s="32">
        <f t="shared" si="121"/>
        <v>-2.6955112853072061E-2</v>
      </c>
    </row>
    <row r="7801" spans="1:3" x14ac:dyDescent="0.6">
      <c r="A7801" s="24">
        <v>40857</v>
      </c>
      <c r="B7801" s="23">
        <v>49.332011999999999</v>
      </c>
      <c r="C7801" s="32">
        <f t="shared" si="121"/>
        <v>-2.5450469764880856E-2</v>
      </c>
    </row>
    <row r="7802" spans="1:3" x14ac:dyDescent="0.6">
      <c r="A7802" s="24">
        <v>40858</v>
      </c>
      <c r="B7802" s="23">
        <v>49.255180000000003</v>
      </c>
      <c r="C7802" s="32">
        <f t="shared" si="121"/>
        <v>-1.5574471197322692E-3</v>
      </c>
    </row>
    <row r="7803" spans="1:3" x14ac:dyDescent="0.6">
      <c r="A7803" s="24">
        <v>40861</v>
      </c>
      <c r="B7803" s="23">
        <v>48.568759999999997</v>
      </c>
      <c r="C7803" s="32">
        <f t="shared" si="121"/>
        <v>-1.3935996173397469E-2</v>
      </c>
    </row>
    <row r="7804" spans="1:3" x14ac:dyDescent="0.6">
      <c r="A7804" s="24">
        <v>40862</v>
      </c>
      <c r="B7804" s="23">
        <v>49.794319000000002</v>
      </c>
      <c r="C7804" s="32">
        <f t="shared" si="121"/>
        <v>2.5233483416088998E-2</v>
      </c>
    </row>
    <row r="7805" spans="1:3" x14ac:dyDescent="0.6">
      <c r="A7805" s="24">
        <v>40863</v>
      </c>
      <c r="B7805" s="23">
        <v>49.274383999999998</v>
      </c>
      <c r="C7805" s="32">
        <f t="shared" si="121"/>
        <v>-1.0441652992583372E-2</v>
      </c>
    </row>
    <row r="7806" spans="1:3" x14ac:dyDescent="0.6">
      <c r="A7806" s="24">
        <v>40864</v>
      </c>
      <c r="B7806" s="23">
        <v>48.331851999999998</v>
      </c>
      <c r="C7806" s="32">
        <f t="shared" si="121"/>
        <v>-1.9128235068347044E-2</v>
      </c>
    </row>
    <row r="7807" spans="1:3" x14ac:dyDescent="0.6">
      <c r="A7807" s="24">
        <v>40865</v>
      </c>
      <c r="B7807" s="23">
        <v>48.015529999999998</v>
      </c>
      <c r="C7807" s="32">
        <f t="shared" si="121"/>
        <v>-6.5447936900907555E-3</v>
      </c>
    </row>
    <row r="7808" spans="1:3" x14ac:dyDescent="0.6">
      <c r="A7808" s="24">
        <v>40868</v>
      </c>
      <c r="B7808" s="23">
        <v>47.256129999999999</v>
      </c>
      <c r="C7808" s="32">
        <f t="shared" si="121"/>
        <v>-1.5815716290125237E-2</v>
      </c>
    </row>
    <row r="7809" spans="1:3" x14ac:dyDescent="0.6">
      <c r="A7809" s="24">
        <v>40869</v>
      </c>
      <c r="B7809" s="23">
        <v>48.216594999999998</v>
      </c>
      <c r="C7809" s="32">
        <f t="shared" si="121"/>
        <v>2.032466475777861E-2</v>
      </c>
    </row>
    <row r="7810" spans="1:3" x14ac:dyDescent="0.6">
      <c r="A7810" s="24">
        <v>40870</v>
      </c>
      <c r="B7810" s="23">
        <v>46.997444000000002</v>
      </c>
      <c r="C7810" s="32">
        <f t="shared" si="121"/>
        <v>-2.5284883762530241E-2</v>
      </c>
    </row>
    <row r="7811" spans="1:3" x14ac:dyDescent="0.6">
      <c r="A7811" s="24">
        <v>40872</v>
      </c>
      <c r="B7811" s="23">
        <v>46.559466999999998</v>
      </c>
      <c r="C7811" s="32">
        <f t="shared" si="121"/>
        <v>-9.3191663784950585E-3</v>
      </c>
    </row>
    <row r="7812" spans="1:3" x14ac:dyDescent="0.6">
      <c r="A7812" s="24">
        <v>40875</v>
      </c>
      <c r="B7812" s="23">
        <v>48.166649</v>
      </c>
      <c r="C7812" s="32">
        <f t="shared" ref="C7812:C7875" si="122">B7812/B7811-1</f>
        <v>3.4518908904176193E-2</v>
      </c>
    </row>
    <row r="7813" spans="1:3" x14ac:dyDescent="0.6">
      <c r="A7813" s="24">
        <v>40876</v>
      </c>
      <c r="B7813" s="23">
        <v>47.792717000000003</v>
      </c>
      <c r="C7813" s="32">
        <f t="shared" si="122"/>
        <v>-7.7632969650845984E-3</v>
      </c>
    </row>
    <row r="7814" spans="1:3" x14ac:dyDescent="0.6">
      <c r="A7814" s="24">
        <v>40877</v>
      </c>
      <c r="B7814" s="23">
        <v>48.945262999999997</v>
      </c>
      <c r="C7814" s="32">
        <f t="shared" si="122"/>
        <v>2.4115515340966898E-2</v>
      </c>
    </row>
    <row r="7815" spans="1:3" x14ac:dyDescent="0.6">
      <c r="A7815" s="24">
        <v>40878</v>
      </c>
      <c r="B7815" s="23">
        <v>49.679054000000001</v>
      </c>
      <c r="C7815" s="32">
        <f t="shared" si="122"/>
        <v>1.4992073901002545E-2</v>
      </c>
    </row>
    <row r="7816" spans="1:3" x14ac:dyDescent="0.6">
      <c r="A7816" s="24">
        <v>40879</v>
      </c>
      <c r="B7816" s="23">
        <v>49.905735</v>
      </c>
      <c r="C7816" s="32">
        <f t="shared" si="122"/>
        <v>4.5629089475012208E-3</v>
      </c>
    </row>
    <row r="7817" spans="1:3" x14ac:dyDescent="0.6">
      <c r="A7817" s="24">
        <v>40882</v>
      </c>
      <c r="B7817" s="23">
        <v>50.329624000000003</v>
      </c>
      <c r="C7817" s="32">
        <f t="shared" si="122"/>
        <v>8.4937933486002315E-3</v>
      </c>
    </row>
    <row r="7818" spans="1:3" x14ac:dyDescent="0.6">
      <c r="A7818" s="24">
        <v>40883</v>
      </c>
      <c r="B7818" s="23">
        <v>50.065807</v>
      </c>
      <c r="C7818" s="32">
        <f t="shared" si="122"/>
        <v>-5.2417836461484679E-3</v>
      </c>
    </row>
    <row r="7819" spans="1:3" x14ac:dyDescent="0.6">
      <c r="A7819" s="24">
        <v>40884</v>
      </c>
      <c r="B7819" s="23">
        <v>49.827618000000001</v>
      </c>
      <c r="C7819" s="32">
        <f t="shared" si="122"/>
        <v>-4.7575184396807524E-3</v>
      </c>
    </row>
    <row r="7820" spans="1:3" x14ac:dyDescent="0.6">
      <c r="A7820" s="24">
        <v>40885</v>
      </c>
      <c r="B7820" s="23">
        <v>50.028663999999999</v>
      </c>
      <c r="C7820" s="32">
        <f t="shared" si="122"/>
        <v>4.0348306435198378E-3</v>
      </c>
    </row>
    <row r="7821" spans="1:3" x14ac:dyDescent="0.6">
      <c r="A7821" s="24">
        <v>40886</v>
      </c>
      <c r="B7821" s="23">
        <v>50.407733999999998</v>
      </c>
      <c r="C7821" s="32">
        <f t="shared" si="122"/>
        <v>7.5770562252071016E-3</v>
      </c>
    </row>
    <row r="7822" spans="1:3" x14ac:dyDescent="0.6">
      <c r="A7822" s="24">
        <v>40889</v>
      </c>
      <c r="B7822" s="23">
        <v>50.179783</v>
      </c>
      <c r="C7822" s="32">
        <f t="shared" si="122"/>
        <v>-4.5221433679204504E-3</v>
      </c>
    </row>
    <row r="7823" spans="1:3" x14ac:dyDescent="0.6">
      <c r="A7823" s="24">
        <v>40890</v>
      </c>
      <c r="B7823" s="23">
        <v>49.791752000000002</v>
      </c>
      <c r="C7823" s="32">
        <f t="shared" si="122"/>
        <v>-7.7328154248893499E-3</v>
      </c>
    </row>
    <row r="7824" spans="1:3" x14ac:dyDescent="0.6">
      <c r="A7824" s="24">
        <v>40891</v>
      </c>
      <c r="B7824" s="23">
        <v>48.687859000000003</v>
      </c>
      <c r="C7824" s="32">
        <f t="shared" si="122"/>
        <v>-2.217019798781128E-2</v>
      </c>
    </row>
    <row r="7825" spans="1:3" x14ac:dyDescent="0.6">
      <c r="A7825" s="24">
        <v>40892</v>
      </c>
      <c r="B7825" s="23">
        <v>48.527797999999997</v>
      </c>
      <c r="C7825" s="32">
        <f t="shared" si="122"/>
        <v>-3.2874930893963539E-3</v>
      </c>
    </row>
    <row r="7826" spans="1:3" x14ac:dyDescent="0.6">
      <c r="A7826" s="24">
        <v>40893</v>
      </c>
      <c r="B7826" s="23">
        <v>48.794159000000001</v>
      </c>
      <c r="C7826" s="32">
        <f t="shared" si="122"/>
        <v>5.4888334310987386E-3</v>
      </c>
    </row>
    <row r="7827" spans="1:3" x14ac:dyDescent="0.6">
      <c r="A7827" s="24">
        <v>40896</v>
      </c>
      <c r="B7827" s="23">
        <v>48.946545</v>
      </c>
      <c r="C7827" s="32">
        <f t="shared" si="122"/>
        <v>3.123037739004797E-3</v>
      </c>
    </row>
    <row r="7828" spans="1:3" x14ac:dyDescent="0.6">
      <c r="A7828" s="24">
        <v>40897</v>
      </c>
      <c r="B7828" s="23">
        <v>50.706122999999998</v>
      </c>
      <c r="C7828" s="32">
        <f t="shared" si="122"/>
        <v>3.594897249642437E-2</v>
      </c>
    </row>
    <row r="7829" spans="1:3" x14ac:dyDescent="0.6">
      <c r="A7829" s="24">
        <v>40898</v>
      </c>
      <c r="B7829" s="23">
        <v>50.770149000000004</v>
      </c>
      <c r="C7829" s="32">
        <f t="shared" si="122"/>
        <v>1.2626877428589811E-3</v>
      </c>
    </row>
    <row r="7830" spans="1:3" x14ac:dyDescent="0.6">
      <c r="A7830" s="24">
        <v>40899</v>
      </c>
      <c r="B7830" s="23">
        <v>51.039078000000003</v>
      </c>
      <c r="C7830" s="32">
        <f t="shared" si="122"/>
        <v>5.2969905603388323E-3</v>
      </c>
    </row>
    <row r="7831" spans="1:3" x14ac:dyDescent="0.6">
      <c r="A7831" s="24">
        <v>40900</v>
      </c>
      <c r="B7831" s="23">
        <v>51.651206999999999</v>
      </c>
      <c r="C7831" s="32">
        <f t="shared" si="122"/>
        <v>1.1993339691598548E-2</v>
      </c>
    </row>
    <row r="7832" spans="1:3" x14ac:dyDescent="0.6">
      <c r="A7832" s="24">
        <v>40904</v>
      </c>
      <c r="B7832" s="23">
        <v>52.061011999999998</v>
      </c>
      <c r="C7832" s="32">
        <f t="shared" si="122"/>
        <v>7.934083708827977E-3</v>
      </c>
    </row>
    <row r="7833" spans="1:3" x14ac:dyDescent="0.6">
      <c r="A7833" s="24">
        <v>40905</v>
      </c>
      <c r="B7833" s="23">
        <v>51.562846999999998</v>
      </c>
      <c r="C7833" s="32">
        <f t="shared" si="122"/>
        <v>-9.5688689263282445E-3</v>
      </c>
    </row>
    <row r="7834" spans="1:3" x14ac:dyDescent="0.6">
      <c r="A7834" s="24">
        <v>40906</v>
      </c>
      <c r="B7834" s="23">
        <v>51.880451000000001</v>
      </c>
      <c r="C7834" s="32">
        <f t="shared" si="122"/>
        <v>6.1595512753591652E-3</v>
      </c>
    </row>
    <row r="7835" spans="1:3" x14ac:dyDescent="0.6">
      <c r="A7835" s="24">
        <v>40907</v>
      </c>
      <c r="B7835" s="23">
        <v>51.865077999999997</v>
      </c>
      <c r="C7835" s="32">
        <f t="shared" si="122"/>
        <v>-2.9631585122502635E-4</v>
      </c>
    </row>
    <row r="7836" spans="1:3" x14ac:dyDescent="0.6">
      <c r="A7836" s="24">
        <v>40911</v>
      </c>
      <c r="B7836" s="23">
        <v>52.662899000000003</v>
      </c>
      <c r="C7836" s="32">
        <f t="shared" si="122"/>
        <v>1.5382624123307043E-2</v>
      </c>
    </row>
    <row r="7837" spans="1:3" x14ac:dyDescent="0.6">
      <c r="A7837" s="24">
        <v>40912</v>
      </c>
      <c r="B7837" s="23">
        <v>52.945919000000004</v>
      </c>
      <c r="C7837" s="32">
        <f t="shared" si="122"/>
        <v>5.3741819264450097E-3</v>
      </c>
    </row>
    <row r="7838" spans="1:3" x14ac:dyDescent="0.6">
      <c r="A7838" s="24">
        <v>40913</v>
      </c>
      <c r="B7838" s="23">
        <v>53.533729999999998</v>
      </c>
      <c r="C7838" s="32">
        <f t="shared" si="122"/>
        <v>1.1102102128022207E-2</v>
      </c>
    </row>
    <row r="7839" spans="1:3" x14ac:dyDescent="0.6">
      <c r="A7839" s="24">
        <v>40914</v>
      </c>
      <c r="B7839" s="23">
        <v>54.093361000000002</v>
      </c>
      <c r="C7839" s="32">
        <f t="shared" si="122"/>
        <v>1.045380174331223E-2</v>
      </c>
    </row>
    <row r="7840" spans="1:3" x14ac:dyDescent="0.6">
      <c r="A7840" s="24">
        <v>40917</v>
      </c>
      <c r="B7840" s="23">
        <v>54.007556999999998</v>
      </c>
      <c r="C7840" s="32">
        <f t="shared" si="122"/>
        <v>-1.5862205345310576E-3</v>
      </c>
    </row>
    <row r="7841" spans="1:3" x14ac:dyDescent="0.6">
      <c r="A7841" s="24">
        <v>40918</v>
      </c>
      <c r="B7841" s="23">
        <v>54.200932000000002</v>
      </c>
      <c r="C7841" s="32">
        <f t="shared" si="122"/>
        <v>3.5805174449938804E-3</v>
      </c>
    </row>
    <row r="7842" spans="1:3" x14ac:dyDescent="0.6">
      <c r="A7842" s="24">
        <v>40919</v>
      </c>
      <c r="B7842" s="23">
        <v>54.112568000000003</v>
      </c>
      <c r="C7842" s="32">
        <f t="shared" si="122"/>
        <v>-1.6303040693100845E-3</v>
      </c>
    </row>
    <row r="7843" spans="1:3" x14ac:dyDescent="0.6">
      <c r="A7843" s="24">
        <v>40920</v>
      </c>
      <c r="B7843" s="23">
        <v>53.964019999999998</v>
      </c>
      <c r="C7843" s="32">
        <f t="shared" si="122"/>
        <v>-2.7451663354806088E-3</v>
      </c>
    </row>
    <row r="7844" spans="1:3" x14ac:dyDescent="0.6">
      <c r="A7844" s="24">
        <v>40921</v>
      </c>
      <c r="B7844" s="23">
        <v>53.761676999999999</v>
      </c>
      <c r="C7844" s="32">
        <f t="shared" si="122"/>
        <v>-3.7495909311425768E-3</v>
      </c>
    </row>
    <row r="7845" spans="1:3" x14ac:dyDescent="0.6">
      <c r="A7845" s="24">
        <v>40925</v>
      </c>
      <c r="B7845" s="23">
        <v>54.387897000000002</v>
      </c>
      <c r="C7845" s="32">
        <f t="shared" si="122"/>
        <v>1.1648074147686982E-2</v>
      </c>
    </row>
    <row r="7846" spans="1:3" x14ac:dyDescent="0.6">
      <c r="A7846" s="24">
        <v>40926</v>
      </c>
      <c r="B7846" s="23">
        <v>54.952655999999998</v>
      </c>
      <c r="C7846" s="32">
        <f t="shared" si="122"/>
        <v>1.0383909493687504E-2</v>
      </c>
    </row>
    <row r="7847" spans="1:3" x14ac:dyDescent="0.6">
      <c r="A7847" s="24">
        <v>40927</v>
      </c>
      <c r="B7847" s="23">
        <v>54.778483999999999</v>
      </c>
      <c r="C7847" s="32">
        <f t="shared" si="122"/>
        <v>-3.1694919350212514E-3</v>
      </c>
    </row>
    <row r="7848" spans="1:3" x14ac:dyDescent="0.6">
      <c r="A7848" s="24">
        <v>40928</v>
      </c>
      <c r="B7848" s="23">
        <v>53.824424999999998</v>
      </c>
      <c r="C7848" s="32">
        <f t="shared" si="122"/>
        <v>-1.7416674035739987E-2</v>
      </c>
    </row>
    <row r="7849" spans="1:3" x14ac:dyDescent="0.6">
      <c r="A7849" s="24">
        <v>40931</v>
      </c>
      <c r="B7849" s="23">
        <v>54.734935999999998</v>
      </c>
      <c r="C7849" s="32">
        <f t="shared" si="122"/>
        <v>1.6916316337796555E-2</v>
      </c>
    </row>
    <row r="7850" spans="1:3" x14ac:dyDescent="0.6">
      <c r="A7850" s="24">
        <v>40932</v>
      </c>
      <c r="B7850" s="23">
        <v>53.838520000000003</v>
      </c>
      <c r="C7850" s="32">
        <f t="shared" si="122"/>
        <v>-1.6377401080728271E-2</v>
      </c>
    </row>
    <row r="7851" spans="1:3" x14ac:dyDescent="0.6">
      <c r="A7851" s="24">
        <v>40933</v>
      </c>
      <c r="B7851" s="23">
        <v>57.200142</v>
      </c>
      <c r="C7851" s="32">
        <f t="shared" si="122"/>
        <v>6.243897491981576E-2</v>
      </c>
    </row>
    <row r="7852" spans="1:3" x14ac:dyDescent="0.6">
      <c r="A7852" s="24">
        <v>40934</v>
      </c>
      <c r="B7852" s="23">
        <v>56.940165999999998</v>
      </c>
      <c r="C7852" s="32">
        <f t="shared" si="122"/>
        <v>-4.5450236819342127E-3</v>
      </c>
    </row>
    <row r="7853" spans="1:3" x14ac:dyDescent="0.6">
      <c r="A7853" s="24">
        <v>40935</v>
      </c>
      <c r="B7853" s="23">
        <v>57.279536999999998</v>
      </c>
      <c r="C7853" s="32">
        <f t="shared" si="122"/>
        <v>5.9601336603058996E-3</v>
      </c>
    </row>
    <row r="7854" spans="1:3" x14ac:dyDescent="0.6">
      <c r="A7854" s="24">
        <v>40938</v>
      </c>
      <c r="B7854" s="23">
        <v>58.013325000000002</v>
      </c>
      <c r="C7854" s="32">
        <f t="shared" si="122"/>
        <v>1.2810648242495448E-2</v>
      </c>
    </row>
    <row r="7855" spans="1:3" x14ac:dyDescent="0.6">
      <c r="A7855" s="24">
        <v>40939</v>
      </c>
      <c r="B7855" s="23">
        <v>58.457703000000002</v>
      </c>
      <c r="C7855" s="32">
        <f t="shared" si="122"/>
        <v>7.6599298523227777E-3</v>
      </c>
    </row>
    <row r="7856" spans="1:3" x14ac:dyDescent="0.6">
      <c r="A7856" s="24">
        <v>40940</v>
      </c>
      <c r="B7856" s="23">
        <v>58.420566999999998</v>
      </c>
      <c r="C7856" s="32">
        <f t="shared" si="122"/>
        <v>-6.3526273004610445E-4</v>
      </c>
    </row>
    <row r="7857" spans="1:3" x14ac:dyDescent="0.6">
      <c r="A7857" s="24">
        <v>40941</v>
      </c>
      <c r="B7857" s="23">
        <v>58.283543000000002</v>
      </c>
      <c r="C7857" s="32">
        <f t="shared" si="122"/>
        <v>-2.3454753528837635E-3</v>
      </c>
    </row>
    <row r="7858" spans="1:3" x14ac:dyDescent="0.6">
      <c r="A7858" s="24">
        <v>40942</v>
      </c>
      <c r="B7858" s="23">
        <v>58.867511999999998</v>
      </c>
      <c r="C7858" s="32">
        <f t="shared" si="122"/>
        <v>1.001944922943343E-2</v>
      </c>
    </row>
    <row r="7859" spans="1:3" x14ac:dyDescent="0.6">
      <c r="A7859" s="24">
        <v>40945</v>
      </c>
      <c r="B7859" s="23">
        <v>59.416888999999998</v>
      </c>
      <c r="C7859" s="32">
        <f t="shared" si="122"/>
        <v>9.3324311039337804E-3</v>
      </c>
    </row>
    <row r="7860" spans="1:3" x14ac:dyDescent="0.6">
      <c r="A7860" s="24">
        <v>40946</v>
      </c>
      <c r="B7860" s="23">
        <v>60.039268</v>
      </c>
      <c r="C7860" s="32">
        <f t="shared" si="122"/>
        <v>1.0474782683421946E-2</v>
      </c>
    </row>
    <row r="7861" spans="1:3" x14ac:dyDescent="0.6">
      <c r="A7861" s="24">
        <v>40947</v>
      </c>
      <c r="B7861" s="23">
        <v>61.044559</v>
      </c>
      <c r="C7861" s="32">
        <f t="shared" si="122"/>
        <v>1.6743891681024525E-2</v>
      </c>
    </row>
    <row r="7862" spans="1:3" x14ac:dyDescent="0.6">
      <c r="A7862" s="24">
        <v>40948</v>
      </c>
      <c r="B7862" s="23">
        <v>63.156295999999998</v>
      </c>
      <c r="C7862" s="32">
        <f t="shared" si="122"/>
        <v>3.4593369738324942E-2</v>
      </c>
    </row>
    <row r="7863" spans="1:3" x14ac:dyDescent="0.6">
      <c r="A7863" s="24">
        <v>40949</v>
      </c>
      <c r="B7863" s="23">
        <v>63.188316</v>
      </c>
      <c r="C7863" s="32">
        <f t="shared" si="122"/>
        <v>5.0699616709626305E-4</v>
      </c>
    </row>
    <row r="7864" spans="1:3" x14ac:dyDescent="0.6">
      <c r="A7864" s="24">
        <v>40952</v>
      </c>
      <c r="B7864" s="23">
        <v>64.363937000000007</v>
      </c>
      <c r="C7864" s="32">
        <f t="shared" si="122"/>
        <v>1.8605037678168346E-2</v>
      </c>
    </row>
    <row r="7865" spans="1:3" x14ac:dyDescent="0.6">
      <c r="A7865" s="24">
        <v>40953</v>
      </c>
      <c r="B7865" s="23">
        <v>65.242439000000005</v>
      </c>
      <c r="C7865" s="32">
        <f t="shared" si="122"/>
        <v>1.3648978619813068E-2</v>
      </c>
    </row>
    <row r="7866" spans="1:3" x14ac:dyDescent="0.6">
      <c r="A7866" s="24">
        <v>40954</v>
      </c>
      <c r="B7866" s="23">
        <v>63.732582000000001</v>
      </c>
      <c r="C7866" s="32">
        <f t="shared" si="122"/>
        <v>-2.3142252545157005E-2</v>
      </c>
    </row>
    <row r="7867" spans="1:3" x14ac:dyDescent="0.6">
      <c r="A7867" s="24">
        <v>40955</v>
      </c>
      <c r="B7867" s="23">
        <v>64.313987999999995</v>
      </c>
      <c r="C7867" s="32">
        <f t="shared" si="122"/>
        <v>9.1225866229613928E-3</v>
      </c>
    </row>
    <row r="7868" spans="1:3" x14ac:dyDescent="0.6">
      <c r="A7868" s="24">
        <v>40956</v>
      </c>
      <c r="B7868" s="23">
        <v>64.302436999999998</v>
      </c>
      <c r="C7868" s="32">
        <f t="shared" si="122"/>
        <v>-1.7960323032673031E-4</v>
      </c>
    </row>
    <row r="7869" spans="1:3" x14ac:dyDescent="0.6">
      <c r="A7869" s="24">
        <v>40960</v>
      </c>
      <c r="B7869" s="23">
        <v>65.932670999999999</v>
      </c>
      <c r="C7869" s="32">
        <f t="shared" si="122"/>
        <v>2.5352600555403448E-2</v>
      </c>
    </row>
    <row r="7870" spans="1:3" x14ac:dyDescent="0.6">
      <c r="A7870" s="24">
        <v>40961</v>
      </c>
      <c r="B7870" s="23">
        <v>65.700882000000007</v>
      </c>
      <c r="C7870" s="32">
        <f t="shared" si="122"/>
        <v>-3.5155408765403795E-3</v>
      </c>
    </row>
    <row r="7871" spans="1:3" x14ac:dyDescent="0.6">
      <c r="A7871" s="24">
        <v>40962</v>
      </c>
      <c r="B7871" s="23">
        <v>66.129883000000007</v>
      </c>
      <c r="C7871" s="32">
        <f t="shared" si="122"/>
        <v>6.529607928246639E-3</v>
      </c>
    </row>
    <row r="7872" spans="1:3" x14ac:dyDescent="0.6">
      <c r="A7872" s="24">
        <v>40963</v>
      </c>
      <c r="B7872" s="23">
        <v>66.900825999999995</v>
      </c>
      <c r="C7872" s="32">
        <f t="shared" si="122"/>
        <v>1.1658012460115552E-2</v>
      </c>
    </row>
    <row r="7873" spans="1:3" x14ac:dyDescent="0.6">
      <c r="A7873" s="24">
        <v>40966</v>
      </c>
      <c r="B7873" s="23">
        <v>67.329857000000004</v>
      </c>
      <c r="C7873" s="32">
        <f t="shared" si="122"/>
        <v>6.4129402527857149E-3</v>
      </c>
    </row>
    <row r="7874" spans="1:3" x14ac:dyDescent="0.6">
      <c r="A7874" s="24">
        <v>40967</v>
      </c>
      <c r="B7874" s="23">
        <v>68.565635999999998</v>
      </c>
      <c r="C7874" s="32">
        <f t="shared" si="122"/>
        <v>1.8354101063960293E-2</v>
      </c>
    </row>
    <row r="7875" spans="1:3" x14ac:dyDescent="0.6">
      <c r="A7875" s="24">
        <v>40968</v>
      </c>
      <c r="B7875" s="23">
        <v>69.465926999999994</v>
      </c>
      <c r="C7875" s="32">
        <f t="shared" si="122"/>
        <v>1.3130352936564282E-2</v>
      </c>
    </row>
    <row r="7876" spans="1:3" x14ac:dyDescent="0.6">
      <c r="A7876" s="24">
        <v>40969</v>
      </c>
      <c r="B7876" s="23">
        <v>69.725853000000001</v>
      </c>
      <c r="C7876" s="32">
        <f t="shared" ref="C7876:C7939" si="123">B7876/B7875-1</f>
        <v>3.741776885810566E-3</v>
      </c>
    </row>
    <row r="7877" spans="1:3" x14ac:dyDescent="0.6">
      <c r="A7877" s="24">
        <v>40970</v>
      </c>
      <c r="B7877" s="23">
        <v>69.816811000000001</v>
      </c>
      <c r="C7877" s="32">
        <f t="shared" si="123"/>
        <v>1.3045089602561344E-3</v>
      </c>
    </row>
    <row r="7878" spans="1:3" x14ac:dyDescent="0.6">
      <c r="A7878" s="24">
        <v>40973</v>
      </c>
      <c r="B7878" s="23">
        <v>68.277495999999999</v>
      </c>
      <c r="C7878" s="32">
        <f t="shared" si="123"/>
        <v>-2.2047913360007221E-2</v>
      </c>
    </row>
    <row r="7879" spans="1:3" x14ac:dyDescent="0.6">
      <c r="A7879" s="24">
        <v>40974</v>
      </c>
      <c r="B7879" s="23">
        <v>67.906104999999997</v>
      </c>
      <c r="C7879" s="32">
        <f t="shared" si="123"/>
        <v>-5.4394349786934804E-3</v>
      </c>
    </row>
    <row r="7880" spans="1:3" x14ac:dyDescent="0.6">
      <c r="A7880" s="24">
        <v>40975</v>
      </c>
      <c r="B7880" s="23">
        <v>67.961189000000005</v>
      </c>
      <c r="C7880" s="32">
        <f t="shared" si="123"/>
        <v>8.111789065210484E-4</v>
      </c>
    </row>
    <row r="7881" spans="1:3" x14ac:dyDescent="0.6">
      <c r="A7881" s="24">
        <v>40976</v>
      </c>
      <c r="B7881" s="23">
        <v>69.408278999999993</v>
      </c>
      <c r="C7881" s="32">
        <f t="shared" si="123"/>
        <v>2.1292888210063365E-2</v>
      </c>
    </row>
    <row r="7882" spans="1:3" x14ac:dyDescent="0.6">
      <c r="A7882" s="24">
        <v>40977</v>
      </c>
      <c r="B7882" s="23">
        <v>69.815528999999998</v>
      </c>
      <c r="C7882" s="32">
        <f t="shared" si="123"/>
        <v>5.8674556676445722E-3</v>
      </c>
    </row>
    <row r="7883" spans="1:3" x14ac:dyDescent="0.6">
      <c r="A7883" s="24">
        <v>40980</v>
      </c>
      <c r="B7883" s="23">
        <v>70.690185999999997</v>
      </c>
      <c r="C7883" s="32">
        <f t="shared" si="123"/>
        <v>1.2528115342361756E-2</v>
      </c>
    </row>
    <row r="7884" spans="1:3" x14ac:dyDescent="0.6">
      <c r="A7884" s="24">
        <v>40981</v>
      </c>
      <c r="B7884" s="23">
        <v>72.751968000000005</v>
      </c>
      <c r="C7884" s="32">
        <f t="shared" si="123"/>
        <v>2.9166453176399987E-2</v>
      </c>
    </row>
    <row r="7885" spans="1:3" x14ac:dyDescent="0.6">
      <c r="A7885" s="24">
        <v>40982</v>
      </c>
      <c r="B7885" s="23">
        <v>75.502739000000005</v>
      </c>
      <c r="C7885" s="32">
        <f t="shared" si="123"/>
        <v>3.7810262397300454E-2</v>
      </c>
    </row>
    <row r="7886" spans="1:3" x14ac:dyDescent="0.6">
      <c r="A7886" s="24">
        <v>40983</v>
      </c>
      <c r="B7886" s="23">
        <v>74.987938</v>
      </c>
      <c r="C7886" s="32">
        <f t="shared" si="123"/>
        <v>-6.8183089357858329E-3</v>
      </c>
    </row>
    <row r="7887" spans="1:3" x14ac:dyDescent="0.6">
      <c r="A7887" s="24">
        <v>40984</v>
      </c>
      <c r="B7887" s="23">
        <v>74.989220000000003</v>
      </c>
      <c r="C7887" s="32">
        <f t="shared" si="123"/>
        <v>1.7096082839396232E-5</v>
      </c>
    </row>
    <row r="7888" spans="1:3" x14ac:dyDescent="0.6">
      <c r="A7888" s="24">
        <v>40987</v>
      </c>
      <c r="B7888" s="23">
        <v>76.978020000000001</v>
      </c>
      <c r="C7888" s="32">
        <f t="shared" si="123"/>
        <v>2.6521145305951954E-2</v>
      </c>
    </row>
    <row r="7889" spans="1:3" x14ac:dyDescent="0.6">
      <c r="A7889" s="24">
        <v>40988</v>
      </c>
      <c r="B7889" s="23">
        <v>77.600395000000006</v>
      </c>
      <c r="C7889" s="32">
        <f t="shared" si="123"/>
        <v>8.0851001363766439E-3</v>
      </c>
    </row>
    <row r="7890" spans="1:3" x14ac:dyDescent="0.6">
      <c r="A7890" s="24">
        <v>40989</v>
      </c>
      <c r="B7890" s="23">
        <v>77.157318000000004</v>
      </c>
      <c r="C7890" s="32">
        <f t="shared" si="123"/>
        <v>-5.7097260909561021E-3</v>
      </c>
    </row>
    <row r="7891" spans="1:3" x14ac:dyDescent="0.6">
      <c r="A7891" s="24">
        <v>40990</v>
      </c>
      <c r="B7891" s="23">
        <v>76.75264</v>
      </c>
      <c r="C7891" s="32">
        <f t="shared" si="123"/>
        <v>-5.2448427510143336E-3</v>
      </c>
    </row>
    <row r="7892" spans="1:3" x14ac:dyDescent="0.6">
      <c r="A7892" s="24">
        <v>40991</v>
      </c>
      <c r="B7892" s="23">
        <v>76.331328999999997</v>
      </c>
      <c r="C7892" s="32">
        <f t="shared" si="123"/>
        <v>-5.4892053224488979E-3</v>
      </c>
    </row>
    <row r="7893" spans="1:3" x14ac:dyDescent="0.6">
      <c r="A7893" s="24">
        <v>40994</v>
      </c>
      <c r="B7893" s="23">
        <v>77.731018000000006</v>
      </c>
      <c r="C7893" s="32">
        <f t="shared" si="123"/>
        <v>1.8337018604772437E-2</v>
      </c>
    </row>
    <row r="7894" spans="1:3" x14ac:dyDescent="0.6">
      <c r="A7894" s="24">
        <v>40995</v>
      </c>
      <c r="B7894" s="23">
        <v>78.691490000000002</v>
      </c>
      <c r="C7894" s="32">
        <f t="shared" si="123"/>
        <v>1.2356354319198459E-2</v>
      </c>
    </row>
    <row r="7895" spans="1:3" x14ac:dyDescent="0.6">
      <c r="A7895" s="24">
        <v>40996</v>
      </c>
      <c r="B7895" s="23">
        <v>79.093597000000003</v>
      </c>
      <c r="C7895" s="32">
        <f t="shared" si="123"/>
        <v>5.1099172223070255E-3</v>
      </c>
    </row>
    <row r="7896" spans="1:3" x14ac:dyDescent="0.6">
      <c r="A7896" s="24">
        <v>40997</v>
      </c>
      <c r="B7896" s="23">
        <v>78.099845999999999</v>
      </c>
      <c r="C7896" s="32">
        <f t="shared" si="123"/>
        <v>-1.2564240819645689E-2</v>
      </c>
    </row>
    <row r="7897" spans="1:3" x14ac:dyDescent="0.6">
      <c r="A7897" s="24">
        <v>40998</v>
      </c>
      <c r="B7897" s="23">
        <v>76.779540999999995</v>
      </c>
      <c r="C7897" s="32">
        <f t="shared" si="123"/>
        <v>-1.6905347034871343E-2</v>
      </c>
    </row>
    <row r="7898" spans="1:3" x14ac:dyDescent="0.6">
      <c r="A7898" s="24">
        <v>41001</v>
      </c>
      <c r="B7898" s="23">
        <v>79.222938999999997</v>
      </c>
      <c r="C7898" s="32">
        <f t="shared" si="123"/>
        <v>3.1823555704767692E-2</v>
      </c>
    </row>
    <row r="7899" spans="1:3" x14ac:dyDescent="0.6">
      <c r="A7899" s="24">
        <v>41002</v>
      </c>
      <c r="B7899" s="23">
        <v>80.591919000000004</v>
      </c>
      <c r="C7899" s="32">
        <f t="shared" si="123"/>
        <v>1.728009610953718E-2</v>
      </c>
    </row>
    <row r="7900" spans="1:3" x14ac:dyDescent="0.6">
      <c r="A7900" s="24">
        <v>41003</v>
      </c>
      <c r="B7900" s="23">
        <v>79.950348000000005</v>
      </c>
      <c r="C7900" s="32">
        <f t="shared" si="123"/>
        <v>-7.9607361130090704E-3</v>
      </c>
    </row>
    <row r="7901" spans="1:3" x14ac:dyDescent="0.6">
      <c r="A7901" s="24">
        <v>41004</v>
      </c>
      <c r="B7901" s="23">
        <v>81.150276000000005</v>
      </c>
      <c r="C7901" s="32">
        <f t="shared" si="123"/>
        <v>1.5008414972752737E-2</v>
      </c>
    </row>
    <row r="7902" spans="1:3" x14ac:dyDescent="0.6">
      <c r="A7902" s="24">
        <v>41008</v>
      </c>
      <c r="B7902" s="23">
        <v>81.476821999999999</v>
      </c>
      <c r="C7902" s="32">
        <f t="shared" si="123"/>
        <v>4.0239665974763916E-3</v>
      </c>
    </row>
    <row r="7903" spans="1:3" x14ac:dyDescent="0.6">
      <c r="A7903" s="24">
        <v>41009</v>
      </c>
      <c r="B7903" s="23">
        <v>80.479232999999994</v>
      </c>
      <c r="C7903" s="32">
        <f t="shared" si="123"/>
        <v>-1.2243837885576925E-2</v>
      </c>
    </row>
    <row r="7904" spans="1:3" x14ac:dyDescent="0.6">
      <c r="A7904" s="24">
        <v>41010</v>
      </c>
      <c r="B7904" s="23">
        <v>80.192374999999998</v>
      </c>
      <c r="C7904" s="32">
        <f t="shared" si="123"/>
        <v>-3.564372935810578E-3</v>
      </c>
    </row>
    <row r="7905" spans="1:3" x14ac:dyDescent="0.6">
      <c r="A7905" s="24">
        <v>41011</v>
      </c>
      <c r="B7905" s="23">
        <v>79.753119999999996</v>
      </c>
      <c r="C7905" s="32">
        <f t="shared" si="123"/>
        <v>-5.4775157862577695E-3</v>
      </c>
    </row>
    <row r="7906" spans="1:3" x14ac:dyDescent="0.6">
      <c r="A7906" s="24">
        <v>41012</v>
      </c>
      <c r="B7906" s="23">
        <v>77.506919999999994</v>
      </c>
      <c r="C7906" s="32">
        <f t="shared" si="123"/>
        <v>-2.8164415385880881E-2</v>
      </c>
    </row>
    <row r="7907" spans="1:3" x14ac:dyDescent="0.6">
      <c r="A7907" s="24">
        <v>41015</v>
      </c>
      <c r="B7907" s="23">
        <v>74.292572000000007</v>
      </c>
      <c r="C7907" s="32">
        <f t="shared" si="123"/>
        <v>-4.1471755038130609E-2</v>
      </c>
    </row>
    <row r="7908" spans="1:3" x14ac:dyDescent="0.6">
      <c r="A7908" s="24">
        <v>41016</v>
      </c>
      <c r="B7908" s="23">
        <v>78.079346000000001</v>
      </c>
      <c r="C7908" s="32">
        <f t="shared" si="123"/>
        <v>5.0971098429597905E-2</v>
      </c>
    </row>
    <row r="7909" spans="1:3" x14ac:dyDescent="0.6">
      <c r="A7909" s="24">
        <v>41017</v>
      </c>
      <c r="B7909" s="23">
        <v>77.905197000000001</v>
      </c>
      <c r="C7909" s="32">
        <f t="shared" si="123"/>
        <v>-2.2304105877116731E-3</v>
      </c>
    </row>
    <row r="7910" spans="1:3" x14ac:dyDescent="0.6">
      <c r="A7910" s="24">
        <v>41018</v>
      </c>
      <c r="B7910" s="23">
        <v>75.228706000000003</v>
      </c>
      <c r="C7910" s="32">
        <f t="shared" si="123"/>
        <v>-3.4355743943500938E-2</v>
      </c>
    </row>
    <row r="7911" spans="1:3" x14ac:dyDescent="0.6">
      <c r="A7911" s="24">
        <v>41019</v>
      </c>
      <c r="B7911" s="23">
        <v>73.376923000000005</v>
      </c>
      <c r="C7911" s="32">
        <f t="shared" si="123"/>
        <v>-2.4615377539525918E-2</v>
      </c>
    </row>
    <row r="7912" spans="1:3" x14ac:dyDescent="0.6">
      <c r="A7912" s="24">
        <v>41022</v>
      </c>
      <c r="B7912" s="23">
        <v>73.212997000000001</v>
      </c>
      <c r="C7912" s="32">
        <f t="shared" si="123"/>
        <v>-2.2340266298711553E-3</v>
      </c>
    </row>
    <row r="7913" spans="1:3" x14ac:dyDescent="0.6">
      <c r="A7913" s="24">
        <v>41023</v>
      </c>
      <c r="B7913" s="23">
        <v>71.750534000000002</v>
      </c>
      <c r="C7913" s="32">
        <f t="shared" si="123"/>
        <v>-1.9975455997245928E-2</v>
      </c>
    </row>
    <row r="7914" spans="1:3" x14ac:dyDescent="0.6">
      <c r="A7914" s="24">
        <v>41024</v>
      </c>
      <c r="B7914" s="23">
        <v>78.117774999999995</v>
      </c>
      <c r="C7914" s="32">
        <f t="shared" si="123"/>
        <v>8.8741374384753602E-2</v>
      </c>
    </row>
    <row r="7915" spans="1:3" x14ac:dyDescent="0.6">
      <c r="A7915" s="24">
        <v>41025</v>
      </c>
      <c r="B7915" s="23">
        <v>77.823234999999997</v>
      </c>
      <c r="C7915" s="32">
        <f t="shared" si="123"/>
        <v>-3.770460692204769E-3</v>
      </c>
    </row>
    <row r="7916" spans="1:3" x14ac:dyDescent="0.6">
      <c r="A7916" s="24">
        <v>41026</v>
      </c>
      <c r="B7916" s="23">
        <v>77.221335999999994</v>
      </c>
      <c r="C7916" s="32">
        <f t="shared" si="123"/>
        <v>-7.7341811863771426E-3</v>
      </c>
    </row>
    <row r="7917" spans="1:3" x14ac:dyDescent="0.6">
      <c r="A7917" s="24">
        <v>41029</v>
      </c>
      <c r="B7917" s="23">
        <v>74.785599000000005</v>
      </c>
      <c r="C7917" s="32">
        <f t="shared" si="123"/>
        <v>-3.1542279972985532E-2</v>
      </c>
    </row>
    <row r="7918" spans="1:3" x14ac:dyDescent="0.6">
      <c r="A7918" s="24">
        <v>41030</v>
      </c>
      <c r="B7918" s="23">
        <v>74.548691000000005</v>
      </c>
      <c r="C7918" s="32">
        <f t="shared" si="123"/>
        <v>-3.1678291431482819E-3</v>
      </c>
    </row>
    <row r="7919" spans="1:3" x14ac:dyDescent="0.6">
      <c r="A7919" s="24">
        <v>41031</v>
      </c>
      <c r="B7919" s="23">
        <v>75.041718000000003</v>
      </c>
      <c r="C7919" s="32">
        <f t="shared" si="123"/>
        <v>6.6134896989673564E-3</v>
      </c>
    </row>
    <row r="7920" spans="1:3" x14ac:dyDescent="0.6">
      <c r="A7920" s="24">
        <v>41032</v>
      </c>
      <c r="B7920" s="23">
        <v>74.508994999999999</v>
      </c>
      <c r="C7920" s="32">
        <f t="shared" si="123"/>
        <v>-7.0990245719054768E-3</v>
      </c>
    </row>
    <row r="7921" spans="1:3" x14ac:dyDescent="0.6">
      <c r="A7921" s="24">
        <v>41033</v>
      </c>
      <c r="B7921" s="23">
        <v>72.386993000000004</v>
      </c>
      <c r="C7921" s="32">
        <f t="shared" si="123"/>
        <v>-2.8479809719618387E-2</v>
      </c>
    </row>
    <row r="7922" spans="1:3" x14ac:dyDescent="0.6">
      <c r="A7922" s="24">
        <v>41036</v>
      </c>
      <c r="B7922" s="23">
        <v>72.928711000000007</v>
      </c>
      <c r="C7922" s="32">
        <f t="shared" si="123"/>
        <v>7.4836372882625124E-3</v>
      </c>
    </row>
    <row r="7923" spans="1:3" x14ac:dyDescent="0.6">
      <c r="A7923" s="24">
        <v>41037</v>
      </c>
      <c r="B7923" s="23">
        <v>72.762230000000002</v>
      </c>
      <c r="C7923" s="32">
        <f t="shared" si="123"/>
        <v>-2.2827909298986926E-3</v>
      </c>
    </row>
    <row r="7924" spans="1:3" x14ac:dyDescent="0.6">
      <c r="A7924" s="24">
        <v>41038</v>
      </c>
      <c r="B7924" s="23">
        <v>72.890265999999997</v>
      </c>
      <c r="C7924" s="32">
        <f t="shared" si="123"/>
        <v>1.7596492026150656E-3</v>
      </c>
    </row>
    <row r="7925" spans="1:3" x14ac:dyDescent="0.6">
      <c r="A7925" s="24">
        <v>41039</v>
      </c>
      <c r="B7925" s="23">
        <v>73.061890000000005</v>
      </c>
      <c r="C7925" s="32">
        <f t="shared" si="123"/>
        <v>2.3545530757154154E-3</v>
      </c>
    </row>
    <row r="7926" spans="1:3" x14ac:dyDescent="0.6">
      <c r="A7926" s="24">
        <v>41040</v>
      </c>
      <c r="B7926" s="23">
        <v>72.573989999999995</v>
      </c>
      <c r="C7926" s="32">
        <f t="shared" si="123"/>
        <v>-6.6779000652735787E-3</v>
      </c>
    </row>
    <row r="7927" spans="1:3" x14ac:dyDescent="0.6">
      <c r="A7927" s="24">
        <v>41043</v>
      </c>
      <c r="B7927" s="23">
        <v>71.486694</v>
      </c>
      <c r="C7927" s="32">
        <f t="shared" si="123"/>
        <v>-1.4981896406687789E-2</v>
      </c>
    </row>
    <row r="7928" spans="1:3" x14ac:dyDescent="0.6">
      <c r="A7928" s="24">
        <v>41044</v>
      </c>
      <c r="B7928" s="23">
        <v>70.839995999999999</v>
      </c>
      <c r="C7928" s="32">
        <f t="shared" si="123"/>
        <v>-9.0464107907969327E-3</v>
      </c>
    </row>
    <row r="7929" spans="1:3" x14ac:dyDescent="0.6">
      <c r="A7929" s="24">
        <v>41045</v>
      </c>
      <c r="B7929" s="23">
        <v>69.932052999999996</v>
      </c>
      <c r="C7929" s="32">
        <f t="shared" si="123"/>
        <v>-1.2816813258995752E-2</v>
      </c>
    </row>
    <row r="7930" spans="1:3" x14ac:dyDescent="0.6">
      <c r="A7930" s="24">
        <v>41046</v>
      </c>
      <c r="B7930" s="23">
        <v>67.888199</v>
      </c>
      <c r="C7930" s="32">
        <f t="shared" si="123"/>
        <v>-2.9226283403977815E-2</v>
      </c>
    </row>
    <row r="7931" spans="1:3" x14ac:dyDescent="0.6">
      <c r="A7931" s="24">
        <v>41047</v>
      </c>
      <c r="B7931" s="23">
        <v>67.921493999999996</v>
      </c>
      <c r="C7931" s="32">
        <f t="shared" si="123"/>
        <v>4.9043869907339221E-4</v>
      </c>
    </row>
    <row r="7932" spans="1:3" x14ac:dyDescent="0.6">
      <c r="A7932" s="24">
        <v>41050</v>
      </c>
      <c r="B7932" s="23">
        <v>71.878601000000003</v>
      </c>
      <c r="C7932" s="32">
        <f t="shared" si="123"/>
        <v>5.8260011182910798E-2</v>
      </c>
    </row>
    <row r="7933" spans="1:3" x14ac:dyDescent="0.6">
      <c r="A7933" s="24">
        <v>41051</v>
      </c>
      <c r="B7933" s="23">
        <v>71.326652999999993</v>
      </c>
      <c r="C7933" s="32">
        <f t="shared" si="123"/>
        <v>-7.6788918025826325E-3</v>
      </c>
    </row>
    <row r="7934" spans="1:3" x14ac:dyDescent="0.6">
      <c r="A7934" s="24">
        <v>41052</v>
      </c>
      <c r="B7934" s="23">
        <v>73.067008999999999</v>
      </c>
      <c r="C7934" s="32">
        <f t="shared" si="123"/>
        <v>2.4399799048470783E-2</v>
      </c>
    </row>
    <row r="7935" spans="1:3" x14ac:dyDescent="0.6">
      <c r="A7935" s="24">
        <v>41053</v>
      </c>
      <c r="B7935" s="23">
        <v>72.395957999999993</v>
      </c>
      <c r="C7935" s="32">
        <f t="shared" si="123"/>
        <v>-9.1840491240035016E-3</v>
      </c>
    </row>
    <row r="7936" spans="1:3" x14ac:dyDescent="0.6">
      <c r="A7936" s="24">
        <v>41054</v>
      </c>
      <c r="B7936" s="23">
        <v>72.007942</v>
      </c>
      <c r="C7936" s="32">
        <f t="shared" si="123"/>
        <v>-5.3596362382550833E-3</v>
      </c>
    </row>
    <row r="7937" spans="1:3" x14ac:dyDescent="0.6">
      <c r="A7937" s="24">
        <v>41058</v>
      </c>
      <c r="B7937" s="23">
        <v>73.286002999999994</v>
      </c>
      <c r="C7937" s="32">
        <f t="shared" si="123"/>
        <v>1.7748889421113967E-2</v>
      </c>
    </row>
    <row r="7938" spans="1:3" x14ac:dyDescent="0.6">
      <c r="A7938" s="24">
        <v>41059</v>
      </c>
      <c r="B7938" s="23">
        <v>74.169617000000002</v>
      </c>
      <c r="C7938" s="32">
        <f t="shared" si="123"/>
        <v>1.2057063611451202E-2</v>
      </c>
    </row>
    <row r="7939" spans="1:3" x14ac:dyDescent="0.6">
      <c r="A7939" s="24">
        <v>41060</v>
      </c>
      <c r="B7939" s="23">
        <v>73.985207000000003</v>
      </c>
      <c r="C7939" s="32">
        <f t="shared" si="123"/>
        <v>-2.4863280607205773E-3</v>
      </c>
    </row>
    <row r="7940" spans="1:3" x14ac:dyDescent="0.6">
      <c r="A7940" s="24">
        <v>41061</v>
      </c>
      <c r="B7940" s="23">
        <v>71.841476</v>
      </c>
      <c r="C7940" s="32">
        <f t="shared" ref="C7940:C8003" si="124">B7940/B7939-1</f>
        <v>-2.8975130122971815E-2</v>
      </c>
    </row>
    <row r="7941" spans="1:3" x14ac:dyDescent="0.6">
      <c r="A7941" s="24">
        <v>41064</v>
      </c>
      <c r="B7941" s="23">
        <v>72.264060999999998</v>
      </c>
      <c r="C7941" s="32">
        <f t="shared" si="124"/>
        <v>5.8821870530609832E-3</v>
      </c>
    </row>
    <row r="7942" spans="1:3" x14ac:dyDescent="0.6">
      <c r="A7942" s="24">
        <v>41065</v>
      </c>
      <c r="B7942" s="23">
        <v>72.077095</v>
      </c>
      <c r="C7942" s="32">
        <f t="shared" si="124"/>
        <v>-2.5872611836746939E-3</v>
      </c>
    </row>
    <row r="7943" spans="1:3" x14ac:dyDescent="0.6">
      <c r="A7943" s="24">
        <v>41066</v>
      </c>
      <c r="B7943" s="23">
        <v>73.182274000000007</v>
      </c>
      <c r="C7943" s="32">
        <f t="shared" si="124"/>
        <v>1.5333290000103528E-2</v>
      </c>
    </row>
    <row r="7944" spans="1:3" x14ac:dyDescent="0.6">
      <c r="A7944" s="24">
        <v>41067</v>
      </c>
      <c r="B7944" s="23">
        <v>73.215569000000002</v>
      </c>
      <c r="C7944" s="32">
        <f t="shared" si="124"/>
        <v>4.5495989916899404E-4</v>
      </c>
    </row>
    <row r="7945" spans="1:3" x14ac:dyDescent="0.6">
      <c r="A7945" s="24">
        <v>41068</v>
      </c>
      <c r="B7945" s="23">
        <v>74.316901999999999</v>
      </c>
      <c r="C7945" s="32">
        <f t="shared" si="124"/>
        <v>1.5042333414085673E-2</v>
      </c>
    </row>
    <row r="7946" spans="1:3" x14ac:dyDescent="0.6">
      <c r="A7946" s="24">
        <v>41071</v>
      </c>
      <c r="B7946" s="23">
        <v>73.145133999999999</v>
      </c>
      <c r="C7946" s="32">
        <f t="shared" si="124"/>
        <v>-1.5767180391884517E-2</v>
      </c>
    </row>
    <row r="7947" spans="1:3" x14ac:dyDescent="0.6">
      <c r="A7947" s="24">
        <v>41072</v>
      </c>
      <c r="B7947" s="23">
        <v>73.784156999999993</v>
      </c>
      <c r="C7947" s="32">
        <f t="shared" si="124"/>
        <v>8.7363706244627526E-3</v>
      </c>
    </row>
    <row r="7948" spans="1:3" x14ac:dyDescent="0.6">
      <c r="A7948" s="24">
        <v>41073</v>
      </c>
      <c r="B7948" s="23">
        <v>73.271912</v>
      </c>
      <c r="C7948" s="32">
        <f t="shared" si="124"/>
        <v>-6.9424795352747148E-3</v>
      </c>
    </row>
    <row r="7949" spans="1:3" x14ac:dyDescent="0.6">
      <c r="A7949" s="24">
        <v>41074</v>
      </c>
      <c r="B7949" s="23">
        <v>73.191215999999997</v>
      </c>
      <c r="C7949" s="32">
        <f t="shared" si="124"/>
        <v>-1.1013224276172906E-3</v>
      </c>
    </row>
    <row r="7950" spans="1:3" x14ac:dyDescent="0.6">
      <c r="A7950" s="24">
        <v>41075</v>
      </c>
      <c r="B7950" s="23">
        <v>73.524208000000002</v>
      </c>
      <c r="C7950" s="32">
        <f t="shared" si="124"/>
        <v>4.5496169922905061E-3</v>
      </c>
    </row>
    <row r="7951" spans="1:3" x14ac:dyDescent="0.6">
      <c r="A7951" s="24">
        <v>41078</v>
      </c>
      <c r="B7951" s="23">
        <v>75.016098</v>
      </c>
      <c r="C7951" s="32">
        <f t="shared" si="124"/>
        <v>2.0291140028329213E-2</v>
      </c>
    </row>
    <row r="7952" spans="1:3" x14ac:dyDescent="0.6">
      <c r="A7952" s="24">
        <v>41079</v>
      </c>
      <c r="B7952" s="23">
        <v>75.224853999999993</v>
      </c>
      <c r="C7952" s="32">
        <f t="shared" si="124"/>
        <v>2.7828160297005411E-3</v>
      </c>
    </row>
    <row r="7953" spans="1:3" x14ac:dyDescent="0.6">
      <c r="A7953" s="24">
        <v>41080</v>
      </c>
      <c r="B7953" s="23">
        <v>75.010970999999998</v>
      </c>
      <c r="C7953" s="32">
        <f t="shared" si="124"/>
        <v>-2.8432491208291166E-3</v>
      </c>
    </row>
    <row r="7954" spans="1:3" x14ac:dyDescent="0.6">
      <c r="A7954" s="24">
        <v>41081</v>
      </c>
      <c r="B7954" s="23">
        <v>73.977530999999999</v>
      </c>
      <c r="C7954" s="32">
        <f t="shared" si="124"/>
        <v>-1.3777184673425924E-2</v>
      </c>
    </row>
    <row r="7955" spans="1:3" x14ac:dyDescent="0.6">
      <c r="A7955" s="24">
        <v>41082</v>
      </c>
      <c r="B7955" s="23">
        <v>74.544853000000003</v>
      </c>
      <c r="C7955" s="32">
        <f t="shared" si="124"/>
        <v>7.6688420434036786E-3</v>
      </c>
    </row>
    <row r="7956" spans="1:3" x14ac:dyDescent="0.6">
      <c r="A7956" s="24">
        <v>41085</v>
      </c>
      <c r="B7956" s="23">
        <v>73.093902999999997</v>
      </c>
      <c r="C7956" s="32">
        <f t="shared" si="124"/>
        <v>-1.9464120480591762E-2</v>
      </c>
    </row>
    <row r="7957" spans="1:3" x14ac:dyDescent="0.6">
      <c r="A7957" s="24">
        <v>41086</v>
      </c>
      <c r="B7957" s="23">
        <v>73.255286999999996</v>
      </c>
      <c r="C7957" s="32">
        <f t="shared" si="124"/>
        <v>2.2078996109975435E-3</v>
      </c>
    </row>
    <row r="7958" spans="1:3" x14ac:dyDescent="0.6">
      <c r="A7958" s="24">
        <v>41087</v>
      </c>
      <c r="B7958" s="23">
        <v>73.571571000000006</v>
      </c>
      <c r="C7958" s="32">
        <f t="shared" si="124"/>
        <v>4.3175586766865948E-3</v>
      </c>
    </row>
    <row r="7959" spans="1:3" x14ac:dyDescent="0.6">
      <c r="A7959" s="24">
        <v>41088</v>
      </c>
      <c r="B7959" s="23">
        <v>72.873642000000004</v>
      </c>
      <c r="C7959" s="32">
        <f t="shared" si="124"/>
        <v>-9.4863952273086527E-3</v>
      </c>
    </row>
    <row r="7960" spans="1:3" x14ac:dyDescent="0.6">
      <c r="A7960" s="24">
        <v>41089</v>
      </c>
      <c r="B7960" s="23">
        <v>74.788162</v>
      </c>
      <c r="C7960" s="32">
        <f t="shared" si="124"/>
        <v>2.6271776014707759E-2</v>
      </c>
    </row>
    <row r="7961" spans="1:3" x14ac:dyDescent="0.6">
      <c r="A7961" s="24">
        <v>41092</v>
      </c>
      <c r="B7961" s="23">
        <v>75.879256999999996</v>
      </c>
      <c r="C7961" s="32">
        <f t="shared" si="124"/>
        <v>1.458914045781734E-2</v>
      </c>
    </row>
    <row r="7962" spans="1:3" x14ac:dyDescent="0.6">
      <c r="A7962" s="24">
        <v>41093</v>
      </c>
      <c r="B7962" s="23">
        <v>76.761596999999995</v>
      </c>
      <c r="C7962" s="32">
        <f t="shared" si="124"/>
        <v>1.1628210856097221E-2</v>
      </c>
    </row>
    <row r="7963" spans="1:3" x14ac:dyDescent="0.6">
      <c r="A7963" s="24">
        <v>41095</v>
      </c>
      <c r="B7963" s="23">
        <v>78.110077000000004</v>
      </c>
      <c r="C7963" s="32">
        <f t="shared" si="124"/>
        <v>1.7567117578338065E-2</v>
      </c>
    </row>
    <row r="7964" spans="1:3" x14ac:dyDescent="0.6">
      <c r="A7964" s="24">
        <v>41096</v>
      </c>
      <c r="B7964" s="23">
        <v>77.590148999999997</v>
      </c>
      <c r="C7964" s="32">
        <f t="shared" si="124"/>
        <v>-6.6563498586745817E-3</v>
      </c>
    </row>
    <row r="7965" spans="1:3" x14ac:dyDescent="0.6">
      <c r="A7965" s="24">
        <v>41099</v>
      </c>
      <c r="B7965" s="23">
        <v>78.615921</v>
      </c>
      <c r="C7965" s="32">
        <f t="shared" si="124"/>
        <v>1.3220389614150729E-2</v>
      </c>
    </row>
    <row r="7966" spans="1:3" x14ac:dyDescent="0.6">
      <c r="A7966" s="24">
        <v>41100</v>
      </c>
      <c r="B7966" s="23">
        <v>77.888549999999995</v>
      </c>
      <c r="C7966" s="32">
        <f t="shared" si="124"/>
        <v>-9.252209867260941E-3</v>
      </c>
    </row>
    <row r="7967" spans="1:3" x14ac:dyDescent="0.6">
      <c r="A7967" s="24">
        <v>41101</v>
      </c>
      <c r="B7967" s="23">
        <v>77.404471999999998</v>
      </c>
      <c r="C7967" s="32">
        <f t="shared" si="124"/>
        <v>-6.2150084961140051E-3</v>
      </c>
    </row>
    <row r="7968" spans="1:3" x14ac:dyDescent="0.6">
      <c r="A7968" s="24">
        <v>41102</v>
      </c>
      <c r="B7968" s="23">
        <v>76.696297000000001</v>
      </c>
      <c r="C7968" s="32">
        <f t="shared" si="124"/>
        <v>-9.1490191936196563E-3</v>
      </c>
    </row>
    <row r="7969" spans="1:3" x14ac:dyDescent="0.6">
      <c r="A7969" s="24">
        <v>41103</v>
      </c>
      <c r="B7969" s="23">
        <v>77.473624999999998</v>
      </c>
      <c r="C7969" s="32">
        <f t="shared" si="124"/>
        <v>1.0135143812744829E-2</v>
      </c>
    </row>
    <row r="7970" spans="1:3" x14ac:dyDescent="0.6">
      <c r="A7970" s="24">
        <v>41106</v>
      </c>
      <c r="B7970" s="23">
        <v>77.722069000000005</v>
      </c>
      <c r="C7970" s="32">
        <f t="shared" si="124"/>
        <v>3.2068203856474575E-3</v>
      </c>
    </row>
    <row r="7971" spans="1:3" x14ac:dyDescent="0.6">
      <c r="A7971" s="24">
        <v>41107</v>
      </c>
      <c r="B7971" s="23">
        <v>77.725891000000004</v>
      </c>
      <c r="C7971" s="32">
        <f t="shared" si="124"/>
        <v>4.9175222033737143E-5</v>
      </c>
    </row>
    <row r="7972" spans="1:3" x14ac:dyDescent="0.6">
      <c r="A7972" s="24">
        <v>41108</v>
      </c>
      <c r="B7972" s="23">
        <v>77.638831999999994</v>
      </c>
      <c r="C7972" s="32">
        <f t="shared" si="124"/>
        <v>-1.1200772211155119E-3</v>
      </c>
    </row>
    <row r="7973" spans="1:3" x14ac:dyDescent="0.6">
      <c r="A7973" s="24">
        <v>41109</v>
      </c>
      <c r="B7973" s="23">
        <v>78.671013000000002</v>
      </c>
      <c r="C7973" s="32">
        <f t="shared" si="124"/>
        <v>1.3294648739692549E-2</v>
      </c>
    </row>
    <row r="7974" spans="1:3" x14ac:dyDescent="0.6">
      <c r="A7974" s="24">
        <v>41110</v>
      </c>
      <c r="B7974" s="23">
        <v>77.387825000000007</v>
      </c>
      <c r="C7974" s="32">
        <f t="shared" si="124"/>
        <v>-1.6310810692115929E-2</v>
      </c>
    </row>
    <row r="7975" spans="1:3" x14ac:dyDescent="0.6">
      <c r="A7975" s="24">
        <v>41113</v>
      </c>
      <c r="B7975" s="23">
        <v>77.327620999999994</v>
      </c>
      <c r="C7975" s="32">
        <f t="shared" si="124"/>
        <v>-7.7795182898621196E-4</v>
      </c>
    </row>
    <row r="7976" spans="1:3" x14ac:dyDescent="0.6">
      <c r="A7976" s="24">
        <v>41114</v>
      </c>
      <c r="B7976" s="23">
        <v>76.954978999999994</v>
      </c>
      <c r="C7976" s="32">
        <f t="shared" si="124"/>
        <v>-4.8190025139916992E-3</v>
      </c>
    </row>
    <row r="7977" spans="1:3" x14ac:dyDescent="0.6">
      <c r="A7977" s="24">
        <v>41115</v>
      </c>
      <c r="B7977" s="23">
        <v>73.631766999999996</v>
      </c>
      <c r="C7977" s="32">
        <f t="shared" si="124"/>
        <v>-4.3183846492895528E-2</v>
      </c>
    </row>
    <row r="7978" spans="1:3" x14ac:dyDescent="0.6">
      <c r="A7978" s="24">
        <v>41116</v>
      </c>
      <c r="B7978" s="23">
        <v>73.620232000000001</v>
      </c>
      <c r="C7978" s="32">
        <f t="shared" si="124"/>
        <v>-1.5665792727748151E-4</v>
      </c>
    </row>
    <row r="7979" spans="1:3" x14ac:dyDescent="0.6">
      <c r="A7979" s="24">
        <v>41117</v>
      </c>
      <c r="B7979" s="23">
        <v>74.936713999999995</v>
      </c>
      <c r="C7979" s="32">
        <f t="shared" si="124"/>
        <v>1.7882068070635748E-2</v>
      </c>
    </row>
    <row r="7980" spans="1:3" x14ac:dyDescent="0.6">
      <c r="A7980" s="24">
        <v>41120</v>
      </c>
      <c r="B7980" s="23">
        <v>76.200683999999995</v>
      </c>
      <c r="C7980" s="32">
        <f t="shared" si="124"/>
        <v>1.6867166072961348E-2</v>
      </c>
    </row>
    <row r="7981" spans="1:3" x14ac:dyDescent="0.6">
      <c r="A7981" s="24">
        <v>41121</v>
      </c>
      <c r="B7981" s="23">
        <v>78.215110999999993</v>
      </c>
      <c r="C7981" s="32">
        <f t="shared" si="124"/>
        <v>2.6435812570921202E-2</v>
      </c>
    </row>
    <row r="7982" spans="1:3" x14ac:dyDescent="0.6">
      <c r="A7982" s="24">
        <v>41122</v>
      </c>
      <c r="B7982" s="23">
        <v>77.709236000000004</v>
      </c>
      <c r="C7982" s="32">
        <f t="shared" si="124"/>
        <v>-6.4677399741845942E-3</v>
      </c>
    </row>
    <row r="7983" spans="1:3" x14ac:dyDescent="0.6">
      <c r="A7983" s="24">
        <v>41123</v>
      </c>
      <c r="B7983" s="23">
        <v>77.834755000000001</v>
      </c>
      <c r="C7983" s="32">
        <f t="shared" si="124"/>
        <v>1.6152391460906301E-3</v>
      </c>
    </row>
    <row r="7984" spans="1:3" x14ac:dyDescent="0.6">
      <c r="A7984" s="24">
        <v>41124</v>
      </c>
      <c r="B7984" s="23">
        <v>78.847724999999997</v>
      </c>
      <c r="C7984" s="32">
        <f t="shared" si="124"/>
        <v>1.3014366140164491E-2</v>
      </c>
    </row>
    <row r="7985" spans="1:3" x14ac:dyDescent="0.6">
      <c r="A7985" s="24">
        <v>41127</v>
      </c>
      <c r="B7985" s="23">
        <v>79.724959999999996</v>
      </c>
      <c r="C7985" s="32">
        <f t="shared" si="124"/>
        <v>1.1125685617435321E-2</v>
      </c>
    </row>
    <row r="7986" spans="1:3" x14ac:dyDescent="0.6">
      <c r="A7986" s="24">
        <v>41128</v>
      </c>
      <c r="B7986" s="23">
        <v>79.514938000000001</v>
      </c>
      <c r="C7986" s="32">
        <f t="shared" si="124"/>
        <v>-2.6343318328412302E-3</v>
      </c>
    </row>
    <row r="7987" spans="1:3" x14ac:dyDescent="0.6">
      <c r="A7987" s="24">
        <v>41129</v>
      </c>
      <c r="B7987" s="23">
        <v>79.380477999999997</v>
      </c>
      <c r="C7987" s="32">
        <f t="shared" si="124"/>
        <v>-1.6910030163137524E-3</v>
      </c>
    </row>
    <row r="7988" spans="1:3" x14ac:dyDescent="0.6">
      <c r="A7988" s="24">
        <v>41130</v>
      </c>
      <c r="B7988" s="23">
        <v>79.833183000000005</v>
      </c>
      <c r="C7988" s="32">
        <f t="shared" si="124"/>
        <v>5.7029764925327076E-3</v>
      </c>
    </row>
    <row r="7989" spans="1:3" x14ac:dyDescent="0.6">
      <c r="A7989" s="24">
        <v>41131</v>
      </c>
      <c r="B7989" s="23">
        <v>79.957932</v>
      </c>
      <c r="C7989" s="32">
        <f t="shared" si="124"/>
        <v>1.5626208966263988E-3</v>
      </c>
    </row>
    <row r="7990" spans="1:3" x14ac:dyDescent="0.6">
      <c r="A7990" s="24">
        <v>41134</v>
      </c>
      <c r="B7990" s="23">
        <v>81.025406000000004</v>
      </c>
      <c r="C7990" s="32">
        <f t="shared" si="124"/>
        <v>1.3350445331677729E-2</v>
      </c>
    </row>
    <row r="7991" spans="1:3" x14ac:dyDescent="0.6">
      <c r="A7991" s="24">
        <v>41135</v>
      </c>
      <c r="B7991" s="23">
        <v>81.242760000000004</v>
      </c>
      <c r="C7991" s="32">
        <f t="shared" si="124"/>
        <v>2.6825413253714903E-3</v>
      </c>
    </row>
    <row r="7992" spans="1:3" x14ac:dyDescent="0.6">
      <c r="A7992" s="24">
        <v>41136</v>
      </c>
      <c r="B7992" s="23">
        <v>81.132164000000003</v>
      </c>
      <c r="C7992" s="32">
        <f t="shared" si="124"/>
        <v>-1.3613028410162098E-3</v>
      </c>
    </row>
    <row r="7993" spans="1:3" x14ac:dyDescent="0.6">
      <c r="A7993" s="24">
        <v>41137</v>
      </c>
      <c r="B7993" s="23">
        <v>81.840812999999997</v>
      </c>
      <c r="C7993" s="32">
        <f t="shared" si="124"/>
        <v>8.7345013994695186E-3</v>
      </c>
    </row>
    <row r="7994" spans="1:3" x14ac:dyDescent="0.6">
      <c r="A7994" s="24">
        <v>41138</v>
      </c>
      <c r="B7994" s="23">
        <v>83.354561000000004</v>
      </c>
      <c r="C7994" s="32">
        <f t="shared" si="124"/>
        <v>1.8496248320504893E-2</v>
      </c>
    </row>
    <row r="7995" spans="1:3" x14ac:dyDescent="0.6">
      <c r="A7995" s="24">
        <v>41141</v>
      </c>
      <c r="B7995" s="23">
        <v>85.546120000000002</v>
      </c>
      <c r="C7995" s="32">
        <f t="shared" si="124"/>
        <v>2.629201058356001E-2</v>
      </c>
    </row>
    <row r="7996" spans="1:3" x14ac:dyDescent="0.6">
      <c r="A7996" s="24">
        <v>41142</v>
      </c>
      <c r="B7996" s="23">
        <v>84.377037000000001</v>
      </c>
      <c r="C7996" s="32">
        <f t="shared" si="124"/>
        <v>-1.3666113670614211E-2</v>
      </c>
    </row>
    <row r="7997" spans="1:3" x14ac:dyDescent="0.6">
      <c r="A7997" s="24">
        <v>41143</v>
      </c>
      <c r="B7997" s="23">
        <v>86.024544000000006</v>
      </c>
      <c r="C7997" s="32">
        <f t="shared" si="124"/>
        <v>1.9525537499023526E-2</v>
      </c>
    </row>
    <row r="7998" spans="1:3" x14ac:dyDescent="0.6">
      <c r="A7998" s="24">
        <v>41144</v>
      </c>
      <c r="B7998" s="23">
        <v>85.221999999999994</v>
      </c>
      <c r="C7998" s="32">
        <f t="shared" si="124"/>
        <v>-9.3292444537690367E-3</v>
      </c>
    </row>
    <row r="7999" spans="1:3" x14ac:dyDescent="0.6">
      <c r="A7999" s="24">
        <v>41145</v>
      </c>
      <c r="B7999" s="23">
        <v>85.297889999999995</v>
      </c>
      <c r="C7999" s="32">
        <f t="shared" si="124"/>
        <v>8.9049775879468385E-4</v>
      </c>
    </row>
    <row r="8000" spans="1:3" x14ac:dyDescent="0.6">
      <c r="A8000" s="24">
        <v>41148</v>
      </c>
      <c r="B8000" s="23">
        <v>86.900390999999999</v>
      </c>
      <c r="C8000" s="32">
        <f t="shared" si="124"/>
        <v>1.8787111850011806E-2</v>
      </c>
    </row>
    <row r="8001" spans="1:3" x14ac:dyDescent="0.6">
      <c r="A8001" s="24">
        <v>41149</v>
      </c>
      <c r="B8001" s="23">
        <v>86.787209000000004</v>
      </c>
      <c r="C8001" s="32">
        <f t="shared" si="124"/>
        <v>-1.3024337255282958E-3</v>
      </c>
    </row>
    <row r="8002" spans="1:3" x14ac:dyDescent="0.6">
      <c r="A8002" s="24">
        <v>41150</v>
      </c>
      <c r="B8002" s="23">
        <v>86.616164999999995</v>
      </c>
      <c r="C8002" s="32">
        <f t="shared" si="124"/>
        <v>-1.9708434223297822E-3</v>
      </c>
    </row>
    <row r="8003" spans="1:3" x14ac:dyDescent="0.6">
      <c r="A8003" s="24">
        <v>41151</v>
      </c>
      <c r="B8003" s="23">
        <v>85.381477000000004</v>
      </c>
      <c r="C8003" s="32">
        <f t="shared" si="124"/>
        <v>-1.4254706381885973E-2</v>
      </c>
    </row>
    <row r="8004" spans="1:3" x14ac:dyDescent="0.6">
      <c r="A8004" s="24">
        <v>41152</v>
      </c>
      <c r="B8004" s="23">
        <v>85.557686000000004</v>
      </c>
      <c r="C8004" s="32">
        <f t="shared" ref="C8004:C8067" si="125">B8004/B8003-1</f>
        <v>2.0637848651881008E-3</v>
      </c>
    </row>
    <row r="8005" spans="1:3" x14ac:dyDescent="0.6">
      <c r="A8005" s="24">
        <v>41156</v>
      </c>
      <c r="B8005" s="23">
        <v>86.809073999999995</v>
      </c>
      <c r="C8005" s="32">
        <f t="shared" si="125"/>
        <v>1.4626248774423312E-2</v>
      </c>
    </row>
    <row r="8006" spans="1:3" x14ac:dyDescent="0.6">
      <c r="A8006" s="24">
        <v>41157</v>
      </c>
      <c r="B8006" s="23">
        <v>86.199462999999994</v>
      </c>
      <c r="C8006" s="32">
        <f t="shared" si="125"/>
        <v>-7.0224340833310306E-3</v>
      </c>
    </row>
    <row r="8007" spans="1:3" x14ac:dyDescent="0.6">
      <c r="A8007" s="24">
        <v>41158</v>
      </c>
      <c r="B8007" s="23">
        <v>86.976287999999997</v>
      </c>
      <c r="C8007" s="32">
        <f t="shared" si="125"/>
        <v>9.0119470929883594E-3</v>
      </c>
    </row>
    <row r="8008" spans="1:3" x14ac:dyDescent="0.6">
      <c r="A8008" s="24">
        <v>41159</v>
      </c>
      <c r="B8008" s="23">
        <v>87.512573000000003</v>
      </c>
      <c r="C8008" s="32">
        <f t="shared" si="125"/>
        <v>6.165875922412356E-3</v>
      </c>
    </row>
    <row r="8009" spans="1:3" x14ac:dyDescent="0.6">
      <c r="A8009" s="24">
        <v>41162</v>
      </c>
      <c r="B8009" s="23">
        <v>85.236153000000002</v>
      </c>
      <c r="C8009" s="32">
        <f t="shared" si="125"/>
        <v>-2.6012490799464882E-2</v>
      </c>
    </row>
    <row r="8010" spans="1:3" x14ac:dyDescent="0.6">
      <c r="A8010" s="24">
        <v>41163</v>
      </c>
      <c r="B8010" s="23">
        <v>84.959648000000001</v>
      </c>
      <c r="C8010" s="32">
        <f t="shared" si="125"/>
        <v>-3.2439873254251905E-3</v>
      </c>
    </row>
    <row r="8011" spans="1:3" x14ac:dyDescent="0.6">
      <c r="A8011" s="24">
        <v>41164</v>
      </c>
      <c r="B8011" s="23">
        <v>86.142868000000007</v>
      </c>
      <c r="C8011" s="32">
        <f t="shared" si="125"/>
        <v>1.3926846777896351E-2</v>
      </c>
    </row>
    <row r="8012" spans="1:3" x14ac:dyDescent="0.6">
      <c r="A8012" s="24">
        <v>41165</v>
      </c>
      <c r="B8012" s="23">
        <v>87.839264</v>
      </c>
      <c r="C8012" s="32">
        <f t="shared" si="125"/>
        <v>1.9692820071883332E-2</v>
      </c>
    </row>
    <row r="8013" spans="1:3" x14ac:dyDescent="0.6">
      <c r="A8013" s="24">
        <v>41166</v>
      </c>
      <c r="B8013" s="23">
        <v>88.906730999999994</v>
      </c>
      <c r="C8013" s="32">
        <f t="shared" si="125"/>
        <v>1.2152503918976265E-2</v>
      </c>
    </row>
    <row r="8014" spans="1:3" x14ac:dyDescent="0.6">
      <c r="A8014" s="24">
        <v>41169</v>
      </c>
      <c r="B8014" s="23">
        <v>89.999938999999998</v>
      </c>
      <c r="C8014" s="32">
        <f t="shared" si="125"/>
        <v>1.2296121876306687E-2</v>
      </c>
    </row>
    <row r="8015" spans="1:3" x14ac:dyDescent="0.6">
      <c r="A8015" s="24">
        <v>41170</v>
      </c>
      <c r="B8015" s="23">
        <v>90.273880000000005</v>
      </c>
      <c r="C8015" s="32">
        <f t="shared" si="125"/>
        <v>3.0437909519027695E-3</v>
      </c>
    </row>
    <row r="8016" spans="1:3" x14ac:dyDescent="0.6">
      <c r="A8016" s="24">
        <v>41171</v>
      </c>
      <c r="B8016" s="23">
        <v>90.298325000000006</v>
      </c>
      <c r="C8016" s="32">
        <f t="shared" si="125"/>
        <v>2.7078707595151741E-4</v>
      </c>
    </row>
    <row r="8017" spans="1:3" x14ac:dyDescent="0.6">
      <c r="A8017" s="24">
        <v>41172</v>
      </c>
      <c r="B8017" s="23">
        <v>89.861052999999998</v>
      </c>
      <c r="C8017" s="32">
        <f t="shared" si="125"/>
        <v>-4.8425261487409221E-3</v>
      </c>
    </row>
    <row r="8018" spans="1:3" x14ac:dyDescent="0.6">
      <c r="A8018" s="24">
        <v>41173</v>
      </c>
      <c r="B8018" s="23">
        <v>90.039771999999999</v>
      </c>
      <c r="C8018" s="32">
        <f t="shared" si="125"/>
        <v>1.9888371439404917E-3</v>
      </c>
    </row>
    <row r="8019" spans="1:3" x14ac:dyDescent="0.6">
      <c r="A8019" s="24">
        <v>41176</v>
      </c>
      <c r="B8019" s="23">
        <v>88.843697000000006</v>
      </c>
      <c r="C8019" s="32">
        <f t="shared" si="125"/>
        <v>-1.3283851940451341E-2</v>
      </c>
    </row>
    <row r="8020" spans="1:3" x14ac:dyDescent="0.6">
      <c r="A8020" s="24">
        <v>41177</v>
      </c>
      <c r="B8020" s="23">
        <v>86.625145000000003</v>
      </c>
      <c r="C8020" s="32">
        <f t="shared" si="125"/>
        <v>-2.4971405681148084E-2</v>
      </c>
    </row>
    <row r="8021" spans="1:3" x14ac:dyDescent="0.6">
      <c r="A8021" s="24">
        <v>41178</v>
      </c>
      <c r="B8021" s="23">
        <v>85.549965</v>
      </c>
      <c r="C8021" s="32">
        <f t="shared" si="125"/>
        <v>-1.2411869555889354E-2</v>
      </c>
    </row>
    <row r="8022" spans="1:3" x14ac:dyDescent="0.6">
      <c r="A8022" s="24">
        <v>41179</v>
      </c>
      <c r="B8022" s="23">
        <v>87.625748000000002</v>
      </c>
      <c r="C8022" s="32">
        <f t="shared" si="125"/>
        <v>2.4263984210864287E-2</v>
      </c>
    </row>
    <row r="8023" spans="1:3" x14ac:dyDescent="0.6">
      <c r="A8023" s="24">
        <v>41180</v>
      </c>
      <c r="B8023" s="23">
        <v>85.796920999999998</v>
      </c>
      <c r="C8023" s="32">
        <f t="shared" si="125"/>
        <v>-2.087088603226539E-2</v>
      </c>
    </row>
    <row r="8024" spans="1:3" x14ac:dyDescent="0.6">
      <c r="A8024" s="24">
        <v>41183</v>
      </c>
      <c r="B8024" s="23">
        <v>84.805297999999993</v>
      </c>
      <c r="C8024" s="32">
        <f t="shared" si="125"/>
        <v>-1.155779238278265E-2</v>
      </c>
    </row>
    <row r="8025" spans="1:3" x14ac:dyDescent="0.6">
      <c r="A8025" s="24">
        <v>41184</v>
      </c>
      <c r="B8025" s="23">
        <v>85.052245999999997</v>
      </c>
      <c r="C8025" s="32">
        <f t="shared" si="125"/>
        <v>2.911940713892669E-3</v>
      </c>
    </row>
    <row r="8026" spans="1:3" x14ac:dyDescent="0.6">
      <c r="A8026" s="24">
        <v>41185</v>
      </c>
      <c r="B8026" s="23">
        <v>86.356376999999995</v>
      </c>
      <c r="C8026" s="32">
        <f t="shared" si="125"/>
        <v>1.5333292903282114E-2</v>
      </c>
    </row>
    <row r="8027" spans="1:3" x14ac:dyDescent="0.6">
      <c r="A8027" s="24">
        <v>41186</v>
      </c>
      <c r="B8027" s="23">
        <v>85.758324000000002</v>
      </c>
      <c r="C8027" s="32">
        <f t="shared" si="125"/>
        <v>-6.9254063310227876E-3</v>
      </c>
    </row>
    <row r="8028" spans="1:3" x14ac:dyDescent="0.6">
      <c r="A8028" s="24">
        <v>41187</v>
      </c>
      <c r="B8028" s="23">
        <v>83.93074</v>
      </c>
      <c r="C8028" s="32">
        <f t="shared" si="125"/>
        <v>-2.1310864237505389E-2</v>
      </c>
    </row>
    <row r="8029" spans="1:3" x14ac:dyDescent="0.6">
      <c r="A8029" s="24">
        <v>41190</v>
      </c>
      <c r="B8029" s="23">
        <v>82.076172</v>
      </c>
      <c r="C8029" s="32">
        <f t="shared" si="125"/>
        <v>-2.2096409491921598E-2</v>
      </c>
    </row>
    <row r="8030" spans="1:3" x14ac:dyDescent="0.6">
      <c r="A8030" s="24">
        <v>41191</v>
      </c>
      <c r="B8030" s="23">
        <v>81.777762999999993</v>
      </c>
      <c r="C8030" s="32">
        <f t="shared" si="125"/>
        <v>-3.6357567943106073E-3</v>
      </c>
    </row>
    <row r="8031" spans="1:3" x14ac:dyDescent="0.6">
      <c r="A8031" s="24">
        <v>41192</v>
      </c>
      <c r="B8031" s="23">
        <v>82.428557999999995</v>
      </c>
      <c r="C8031" s="32">
        <f t="shared" si="125"/>
        <v>7.9580924706879053E-3</v>
      </c>
    </row>
    <row r="8032" spans="1:3" x14ac:dyDescent="0.6">
      <c r="A8032" s="24">
        <v>41193</v>
      </c>
      <c r="B8032" s="23">
        <v>80.781029000000004</v>
      </c>
      <c r="C8032" s="32">
        <f t="shared" si="125"/>
        <v>-1.9987356809032075E-2</v>
      </c>
    </row>
    <row r="8033" spans="1:3" x14ac:dyDescent="0.6">
      <c r="A8033" s="24">
        <v>41194</v>
      </c>
      <c r="B8033" s="23">
        <v>80.988097999999994</v>
      </c>
      <c r="C8033" s="32">
        <f t="shared" si="125"/>
        <v>2.5633369933921735E-3</v>
      </c>
    </row>
    <row r="8034" spans="1:3" x14ac:dyDescent="0.6">
      <c r="A8034" s="24">
        <v>41197</v>
      </c>
      <c r="B8034" s="23">
        <v>81.637603999999996</v>
      </c>
      <c r="C8034" s="32">
        <f t="shared" si="125"/>
        <v>8.0197710038825143E-3</v>
      </c>
    </row>
    <row r="8035" spans="1:3" x14ac:dyDescent="0.6">
      <c r="A8035" s="24">
        <v>41198</v>
      </c>
      <c r="B8035" s="23">
        <v>83.570633000000001</v>
      </c>
      <c r="C8035" s="32">
        <f t="shared" si="125"/>
        <v>2.3678169192716592E-2</v>
      </c>
    </row>
    <row r="8036" spans="1:3" x14ac:dyDescent="0.6">
      <c r="A8036" s="24">
        <v>41199</v>
      </c>
      <c r="B8036" s="23">
        <v>82.904410999999996</v>
      </c>
      <c r="C8036" s="32">
        <f t="shared" si="125"/>
        <v>-7.971963069850152E-3</v>
      </c>
    </row>
    <row r="8037" spans="1:3" x14ac:dyDescent="0.6">
      <c r="A8037" s="24">
        <v>41200</v>
      </c>
      <c r="B8037" s="23">
        <v>81.364959999999996</v>
      </c>
      <c r="C8037" s="32">
        <f t="shared" si="125"/>
        <v>-1.8568987843119666E-2</v>
      </c>
    </row>
    <row r="8038" spans="1:3" x14ac:dyDescent="0.6">
      <c r="A8038" s="24">
        <v>41201</v>
      </c>
      <c r="B8038" s="23">
        <v>78.432602000000003</v>
      </c>
      <c r="C8038" s="32">
        <f t="shared" si="125"/>
        <v>-3.6039567892616087E-2</v>
      </c>
    </row>
    <row r="8039" spans="1:3" x14ac:dyDescent="0.6">
      <c r="A8039" s="24">
        <v>41204</v>
      </c>
      <c r="B8039" s="23">
        <v>81.543700999999999</v>
      </c>
      <c r="C8039" s="32">
        <f t="shared" si="125"/>
        <v>3.9665890467333931E-2</v>
      </c>
    </row>
    <row r="8040" spans="1:3" x14ac:dyDescent="0.6">
      <c r="A8040" s="24">
        <v>41205</v>
      </c>
      <c r="B8040" s="23">
        <v>78.885283999999999</v>
      </c>
      <c r="C8040" s="32">
        <f t="shared" si="125"/>
        <v>-3.2601132489681772E-2</v>
      </c>
    </row>
    <row r="8041" spans="1:3" x14ac:dyDescent="0.6">
      <c r="A8041" s="24">
        <v>41206</v>
      </c>
      <c r="B8041" s="23">
        <v>79.331596000000005</v>
      </c>
      <c r="C8041" s="32">
        <f t="shared" si="125"/>
        <v>5.6577345909030186E-3</v>
      </c>
    </row>
    <row r="8042" spans="1:3" x14ac:dyDescent="0.6">
      <c r="A8042" s="24">
        <v>41207</v>
      </c>
      <c r="B8042" s="23">
        <v>78.393996999999999</v>
      </c>
      <c r="C8042" s="32">
        <f t="shared" si="125"/>
        <v>-1.1818733610250431E-2</v>
      </c>
    </row>
    <row r="8043" spans="1:3" x14ac:dyDescent="0.6">
      <c r="A8043" s="24">
        <v>41208</v>
      </c>
      <c r="B8043" s="23">
        <v>77.681488000000002</v>
      </c>
      <c r="C8043" s="32">
        <f t="shared" si="125"/>
        <v>-9.0888209208160875E-3</v>
      </c>
    </row>
    <row r="8044" spans="1:3" x14ac:dyDescent="0.6">
      <c r="A8044" s="24">
        <v>41213</v>
      </c>
      <c r="B8044" s="23">
        <v>76.565155000000004</v>
      </c>
      <c r="C8044" s="32">
        <f t="shared" si="125"/>
        <v>-1.4370643878500289E-2</v>
      </c>
    </row>
    <row r="8045" spans="1:3" x14ac:dyDescent="0.6">
      <c r="A8045" s="24">
        <v>41214</v>
      </c>
      <c r="B8045" s="23">
        <v>76.722060999999997</v>
      </c>
      <c r="C8045" s="32">
        <f t="shared" si="125"/>
        <v>2.0493134246248879E-3</v>
      </c>
    </row>
    <row r="8046" spans="1:3" x14ac:dyDescent="0.6">
      <c r="A8046" s="24">
        <v>41215</v>
      </c>
      <c r="B8046" s="23">
        <v>74.183250000000001</v>
      </c>
      <c r="C8046" s="32">
        <f t="shared" si="125"/>
        <v>-3.3091016676415896E-2</v>
      </c>
    </row>
    <row r="8047" spans="1:3" x14ac:dyDescent="0.6">
      <c r="A8047" s="24">
        <v>41218</v>
      </c>
      <c r="B8047" s="23">
        <v>75.188995000000006</v>
      </c>
      <c r="C8047" s="32">
        <f t="shared" si="125"/>
        <v>1.355757532866253E-2</v>
      </c>
    </row>
    <row r="8048" spans="1:3" x14ac:dyDescent="0.6">
      <c r="A8048" s="24">
        <v>41219</v>
      </c>
      <c r="B8048" s="23">
        <v>74.961357000000007</v>
      </c>
      <c r="C8048" s="32">
        <f t="shared" si="125"/>
        <v>-3.0275441239772105E-3</v>
      </c>
    </row>
    <row r="8049" spans="1:3" x14ac:dyDescent="0.6">
      <c r="A8049" s="24">
        <v>41220</v>
      </c>
      <c r="B8049" s="23">
        <v>72.093147000000002</v>
      </c>
      <c r="C8049" s="32">
        <f t="shared" si="125"/>
        <v>-3.8262514377908174E-2</v>
      </c>
    </row>
    <row r="8050" spans="1:3" x14ac:dyDescent="0.6">
      <c r="A8050" s="24">
        <v>41221</v>
      </c>
      <c r="B8050" s="23">
        <v>69.476837000000003</v>
      </c>
      <c r="C8050" s="32">
        <f t="shared" si="125"/>
        <v>-3.6290689321690994E-2</v>
      </c>
    </row>
    <row r="8051" spans="1:3" x14ac:dyDescent="0.6">
      <c r="A8051" s="24">
        <v>41222</v>
      </c>
      <c r="B8051" s="23">
        <v>70.679703000000003</v>
      </c>
      <c r="C8051" s="32">
        <f t="shared" si="125"/>
        <v>1.7313194611896288E-2</v>
      </c>
    </row>
    <row r="8052" spans="1:3" x14ac:dyDescent="0.6">
      <c r="A8052" s="24">
        <v>41225</v>
      </c>
      <c r="B8052" s="23">
        <v>70.133201999999997</v>
      </c>
      <c r="C8052" s="32">
        <f t="shared" si="125"/>
        <v>-7.7320783308895136E-3</v>
      </c>
    </row>
    <row r="8053" spans="1:3" x14ac:dyDescent="0.6">
      <c r="A8053" s="24">
        <v>41226</v>
      </c>
      <c r="B8053" s="23">
        <v>70.142241999999996</v>
      </c>
      <c r="C8053" s="32">
        <f t="shared" si="125"/>
        <v>1.2889757977974092E-4</v>
      </c>
    </row>
    <row r="8054" spans="1:3" x14ac:dyDescent="0.6">
      <c r="A8054" s="24">
        <v>41227</v>
      </c>
      <c r="B8054" s="23">
        <v>69.364456000000004</v>
      </c>
      <c r="C8054" s="32">
        <f t="shared" si="125"/>
        <v>-1.1088696024287192E-2</v>
      </c>
    </row>
    <row r="8055" spans="1:3" x14ac:dyDescent="0.6">
      <c r="A8055" s="24">
        <v>41228</v>
      </c>
      <c r="B8055" s="23">
        <v>67.909653000000006</v>
      </c>
      <c r="C8055" s="32">
        <f t="shared" si="125"/>
        <v>-2.0973320975803511E-2</v>
      </c>
    </row>
    <row r="8056" spans="1:3" x14ac:dyDescent="0.6">
      <c r="A8056" s="24">
        <v>41229</v>
      </c>
      <c r="B8056" s="23">
        <v>68.175803999999999</v>
      </c>
      <c r="C8056" s="32">
        <f t="shared" si="125"/>
        <v>3.9191924600172623E-3</v>
      </c>
    </row>
    <row r="8057" spans="1:3" x14ac:dyDescent="0.6">
      <c r="A8057" s="24">
        <v>41232</v>
      </c>
      <c r="B8057" s="23">
        <v>73.091835000000003</v>
      </c>
      <c r="C8057" s="32">
        <f t="shared" si="125"/>
        <v>7.2108148515564352E-2</v>
      </c>
    </row>
    <row r="8058" spans="1:3" x14ac:dyDescent="0.6">
      <c r="A8058" s="24">
        <v>41233</v>
      </c>
      <c r="B8058" s="23">
        <v>72.469093000000001</v>
      </c>
      <c r="C8058" s="32">
        <f t="shared" si="125"/>
        <v>-8.5199940595279688E-3</v>
      </c>
    </row>
    <row r="8059" spans="1:3" x14ac:dyDescent="0.6">
      <c r="A8059" s="24">
        <v>41234</v>
      </c>
      <c r="B8059" s="23">
        <v>72.571181999999993</v>
      </c>
      <c r="C8059" s="32">
        <f t="shared" si="125"/>
        <v>1.4087246821206101E-3</v>
      </c>
    </row>
    <row r="8060" spans="1:3" x14ac:dyDescent="0.6">
      <c r="A8060" s="24">
        <v>41236</v>
      </c>
      <c r="B8060" s="23">
        <v>73.837326000000004</v>
      </c>
      <c r="C8060" s="32">
        <f t="shared" si="125"/>
        <v>1.7446925420065762E-2</v>
      </c>
    </row>
    <row r="8061" spans="1:3" x14ac:dyDescent="0.6">
      <c r="A8061" s="24">
        <v>41239</v>
      </c>
      <c r="B8061" s="23">
        <v>76.166786000000002</v>
      </c>
      <c r="C8061" s="32">
        <f t="shared" si="125"/>
        <v>3.154854226438264E-2</v>
      </c>
    </row>
    <row r="8062" spans="1:3" x14ac:dyDescent="0.6">
      <c r="A8062" s="24">
        <v>41240</v>
      </c>
      <c r="B8062" s="23">
        <v>75.553100999999998</v>
      </c>
      <c r="C8062" s="32">
        <f t="shared" si="125"/>
        <v>-8.0571208558019025E-3</v>
      </c>
    </row>
    <row r="8063" spans="1:3" x14ac:dyDescent="0.6">
      <c r="A8063" s="24">
        <v>41241</v>
      </c>
      <c r="B8063" s="23">
        <v>75.315369000000004</v>
      </c>
      <c r="C8063" s="32">
        <f t="shared" si="125"/>
        <v>-3.146555162573561E-3</v>
      </c>
    </row>
    <row r="8064" spans="1:3" x14ac:dyDescent="0.6">
      <c r="A8064" s="24">
        <v>41242</v>
      </c>
      <c r="B8064" s="23">
        <v>76.144820999999993</v>
      </c>
      <c r="C8064" s="32">
        <f t="shared" si="125"/>
        <v>1.101305100158223E-2</v>
      </c>
    </row>
    <row r="8065" spans="1:3" x14ac:dyDescent="0.6">
      <c r="A8065" s="24">
        <v>41243</v>
      </c>
      <c r="B8065" s="23">
        <v>75.617699000000002</v>
      </c>
      <c r="C8065" s="32">
        <f t="shared" si="125"/>
        <v>-6.9226244553124427E-3</v>
      </c>
    </row>
    <row r="8066" spans="1:3" x14ac:dyDescent="0.6">
      <c r="A8066" s="24">
        <v>41246</v>
      </c>
      <c r="B8066" s="23">
        <v>75.735259999999997</v>
      </c>
      <c r="C8066" s="32">
        <f t="shared" si="125"/>
        <v>1.5546757115685317E-3</v>
      </c>
    </row>
    <row r="8067" spans="1:3" x14ac:dyDescent="0.6">
      <c r="A8067" s="24">
        <v>41247</v>
      </c>
      <c r="B8067" s="23">
        <v>74.399344999999997</v>
      </c>
      <c r="C8067" s="32">
        <f t="shared" si="125"/>
        <v>-1.7639273965653568E-2</v>
      </c>
    </row>
    <row r="8068" spans="1:3" x14ac:dyDescent="0.6">
      <c r="A8068" s="24">
        <v>41248</v>
      </c>
      <c r="B8068" s="23">
        <v>69.611214000000004</v>
      </c>
      <c r="C8068" s="32">
        <f t="shared" ref="C8068:C8131" si="126">B8068/B8067-1</f>
        <v>-6.4357166047631087E-2</v>
      </c>
    </row>
    <row r="8069" spans="1:3" x14ac:dyDescent="0.6">
      <c r="A8069" s="24">
        <v>41249</v>
      </c>
      <c r="B8069" s="23">
        <v>70.702956999999998</v>
      </c>
      <c r="C8069" s="32">
        <f t="shared" si="126"/>
        <v>1.5683435717699146E-2</v>
      </c>
    </row>
    <row r="8070" spans="1:3" x14ac:dyDescent="0.6">
      <c r="A8070" s="24">
        <v>41250</v>
      </c>
      <c r="B8070" s="23">
        <v>68.895454000000001</v>
      </c>
      <c r="C8070" s="32">
        <f t="shared" si="126"/>
        <v>-2.5564744060138755E-2</v>
      </c>
    </row>
    <row r="8071" spans="1:3" x14ac:dyDescent="0.6">
      <c r="A8071" s="24">
        <v>41253</v>
      </c>
      <c r="B8071" s="23">
        <v>68.452301000000006</v>
      </c>
      <c r="C8071" s="32">
        <f t="shared" si="126"/>
        <v>-6.4322531353083745E-3</v>
      </c>
    </row>
    <row r="8072" spans="1:3" x14ac:dyDescent="0.6">
      <c r="A8072" s="24">
        <v>41254</v>
      </c>
      <c r="B8072" s="23">
        <v>69.947158999999999</v>
      </c>
      <c r="C8072" s="32">
        <f t="shared" si="126"/>
        <v>2.1837951071944195E-2</v>
      </c>
    </row>
    <row r="8073" spans="1:3" x14ac:dyDescent="0.6">
      <c r="A8073" s="24">
        <v>41255</v>
      </c>
      <c r="B8073" s="23">
        <v>69.638367000000002</v>
      </c>
      <c r="C8073" s="32">
        <f t="shared" si="126"/>
        <v>-4.4146467764329955E-3</v>
      </c>
    </row>
    <row r="8074" spans="1:3" x14ac:dyDescent="0.6">
      <c r="A8074" s="24">
        <v>41256</v>
      </c>
      <c r="B8074" s="23">
        <v>68.435508999999996</v>
      </c>
      <c r="C8074" s="32">
        <f t="shared" si="126"/>
        <v>-1.7272920831127525E-2</v>
      </c>
    </row>
    <row r="8075" spans="1:3" x14ac:dyDescent="0.6">
      <c r="A8075" s="24">
        <v>41257</v>
      </c>
      <c r="B8075" s="23">
        <v>65.864456000000004</v>
      </c>
      <c r="C8075" s="32">
        <f t="shared" si="126"/>
        <v>-3.7568990682892323E-2</v>
      </c>
    </row>
    <row r="8076" spans="1:3" x14ac:dyDescent="0.6">
      <c r="A8076" s="24">
        <v>41260</v>
      </c>
      <c r="B8076" s="23">
        <v>67.032393999999996</v>
      </c>
      <c r="C8076" s="32">
        <f t="shared" si="126"/>
        <v>1.7732447376472615E-2</v>
      </c>
    </row>
    <row r="8077" spans="1:3" x14ac:dyDescent="0.6">
      <c r="A8077" s="24">
        <v>41261</v>
      </c>
      <c r="B8077" s="23">
        <v>68.979445999999996</v>
      </c>
      <c r="C8077" s="32">
        <f t="shared" si="126"/>
        <v>2.9046433877924827E-2</v>
      </c>
    </row>
    <row r="8078" spans="1:3" x14ac:dyDescent="0.6">
      <c r="A8078" s="24">
        <v>41262</v>
      </c>
      <c r="B8078" s="23">
        <v>67.998824999999997</v>
      </c>
      <c r="C8078" s="32">
        <f t="shared" si="126"/>
        <v>-1.4216133310203771E-2</v>
      </c>
    </row>
    <row r="8079" spans="1:3" x14ac:dyDescent="0.6">
      <c r="A8079" s="24">
        <v>41263</v>
      </c>
      <c r="B8079" s="23">
        <v>67.407104000000004</v>
      </c>
      <c r="C8079" s="32">
        <f t="shared" si="126"/>
        <v>-8.7019297759923786E-3</v>
      </c>
    </row>
    <row r="8080" spans="1:3" x14ac:dyDescent="0.6">
      <c r="A8080" s="24">
        <v>41264</v>
      </c>
      <c r="B8080" s="23">
        <v>67.097014999999999</v>
      </c>
      <c r="C8080" s="32">
        <f t="shared" si="126"/>
        <v>-4.6002421347163258E-3</v>
      </c>
    </row>
    <row r="8081" spans="1:3" x14ac:dyDescent="0.6">
      <c r="A8081" s="24">
        <v>41267</v>
      </c>
      <c r="B8081" s="23">
        <v>67.205528000000001</v>
      </c>
      <c r="C8081" s="32">
        <f t="shared" si="126"/>
        <v>1.6172552534565732E-3</v>
      </c>
    </row>
    <row r="8082" spans="1:3" x14ac:dyDescent="0.6">
      <c r="A8082" s="24">
        <v>41269</v>
      </c>
      <c r="B8082" s="23">
        <v>66.279182000000006</v>
      </c>
      <c r="C8082" s="32">
        <f t="shared" si="126"/>
        <v>-1.3783776834548456E-2</v>
      </c>
    </row>
    <row r="8083" spans="1:3" x14ac:dyDescent="0.6">
      <c r="A8083" s="24">
        <v>41270</v>
      </c>
      <c r="B8083" s="23">
        <v>66.545333999999997</v>
      </c>
      <c r="C8083" s="32">
        <f t="shared" si="126"/>
        <v>4.0156198668834797E-3</v>
      </c>
    </row>
    <row r="8084" spans="1:3" x14ac:dyDescent="0.6">
      <c r="A8084" s="24">
        <v>41271</v>
      </c>
      <c r="B8084" s="23">
        <v>65.8386</v>
      </c>
      <c r="C8084" s="32">
        <f t="shared" si="126"/>
        <v>-1.0620338910613869E-2</v>
      </c>
    </row>
    <row r="8085" spans="1:3" x14ac:dyDescent="0.6">
      <c r="A8085" s="24">
        <v>41274</v>
      </c>
      <c r="B8085" s="23">
        <v>68.755913000000007</v>
      </c>
      <c r="C8085" s="32">
        <f t="shared" si="126"/>
        <v>4.4310070384242728E-2</v>
      </c>
    </row>
    <row r="8086" spans="1:3" x14ac:dyDescent="0.6">
      <c r="A8086" s="24">
        <v>41276</v>
      </c>
      <c r="B8086" s="23">
        <v>70.934218999999999</v>
      </c>
      <c r="C8086" s="32">
        <f t="shared" si="126"/>
        <v>3.1681726050238002E-2</v>
      </c>
    </row>
    <row r="8087" spans="1:3" x14ac:dyDescent="0.6">
      <c r="A8087" s="24">
        <v>41277</v>
      </c>
      <c r="B8087" s="23">
        <v>70.038871999999998</v>
      </c>
      <c r="C8087" s="32">
        <f t="shared" si="126"/>
        <v>-1.2622215520551539E-2</v>
      </c>
    </row>
    <row r="8088" spans="1:3" x14ac:dyDescent="0.6">
      <c r="A8088" s="24">
        <v>41278</v>
      </c>
      <c r="B8088" s="23">
        <v>68.087958999999998</v>
      </c>
      <c r="C8088" s="32">
        <f t="shared" si="126"/>
        <v>-2.7854717591682565E-2</v>
      </c>
    </row>
    <row r="8089" spans="1:3" x14ac:dyDescent="0.6">
      <c r="A8089" s="24">
        <v>41281</v>
      </c>
      <c r="B8089" s="23">
        <v>67.687438999999998</v>
      </c>
      <c r="C8089" s="32">
        <f t="shared" si="126"/>
        <v>-5.8823910406831104E-3</v>
      </c>
    </row>
    <row r="8090" spans="1:3" x14ac:dyDescent="0.6">
      <c r="A8090" s="24">
        <v>41282</v>
      </c>
      <c r="B8090" s="23">
        <v>67.869613999999999</v>
      </c>
      <c r="C8090" s="32">
        <f t="shared" si="126"/>
        <v>2.6914151678867348E-3</v>
      </c>
    </row>
    <row r="8091" spans="1:3" x14ac:dyDescent="0.6">
      <c r="A8091" s="24">
        <v>41283</v>
      </c>
      <c r="B8091" s="23">
        <v>66.808875999999998</v>
      </c>
      <c r="C8091" s="32">
        <f t="shared" si="126"/>
        <v>-1.5629056030877053E-2</v>
      </c>
    </row>
    <row r="8092" spans="1:3" x14ac:dyDescent="0.6">
      <c r="A8092" s="24">
        <v>41284</v>
      </c>
      <c r="B8092" s="23">
        <v>67.637062</v>
      </c>
      <c r="C8092" s="32">
        <f t="shared" si="126"/>
        <v>1.2396346856666129E-2</v>
      </c>
    </row>
    <row r="8093" spans="1:3" x14ac:dyDescent="0.6">
      <c r="A8093" s="24">
        <v>41285</v>
      </c>
      <c r="B8093" s="23">
        <v>67.222335999999999</v>
      </c>
      <c r="C8093" s="32">
        <f t="shared" si="126"/>
        <v>-6.1316383020895149E-3</v>
      </c>
    </row>
    <row r="8094" spans="1:3" x14ac:dyDescent="0.6">
      <c r="A8094" s="24">
        <v>41288</v>
      </c>
      <c r="B8094" s="23">
        <v>64.825691000000006</v>
      </c>
      <c r="C8094" s="32">
        <f t="shared" si="126"/>
        <v>-3.5652509903850937E-2</v>
      </c>
    </row>
    <row r="8095" spans="1:3" x14ac:dyDescent="0.6">
      <c r="A8095" s="24">
        <v>41289</v>
      </c>
      <c r="B8095" s="23">
        <v>62.780472000000003</v>
      </c>
      <c r="C8095" s="32">
        <f t="shared" si="126"/>
        <v>-3.1549513294042653E-2</v>
      </c>
    </row>
    <row r="8096" spans="1:3" x14ac:dyDescent="0.6">
      <c r="A8096" s="24">
        <v>41290</v>
      </c>
      <c r="B8096" s="23">
        <v>65.386420999999999</v>
      </c>
      <c r="C8096" s="32">
        <f t="shared" si="126"/>
        <v>4.1508910605195792E-2</v>
      </c>
    </row>
    <row r="8097" spans="1:3" x14ac:dyDescent="0.6">
      <c r="A8097" s="24">
        <v>41291</v>
      </c>
      <c r="B8097" s="23">
        <v>64.945830999999998</v>
      </c>
      <c r="C8097" s="32">
        <f t="shared" si="126"/>
        <v>-6.7382492153836848E-3</v>
      </c>
    </row>
    <row r="8098" spans="1:3" x14ac:dyDescent="0.6">
      <c r="A8098" s="24">
        <v>41292</v>
      </c>
      <c r="B8098" s="23">
        <v>64.599586000000002</v>
      </c>
      <c r="C8098" s="32">
        <f t="shared" si="126"/>
        <v>-5.331289086130786E-3</v>
      </c>
    </row>
    <row r="8099" spans="1:3" x14ac:dyDescent="0.6">
      <c r="A8099" s="24">
        <v>41296</v>
      </c>
      <c r="B8099" s="23">
        <v>65.215857999999997</v>
      </c>
      <c r="C8099" s="32">
        <f t="shared" si="126"/>
        <v>9.5398753793869417E-3</v>
      </c>
    </row>
    <row r="8100" spans="1:3" x14ac:dyDescent="0.6">
      <c r="A8100" s="24">
        <v>41297</v>
      </c>
      <c r="B8100" s="23">
        <v>66.409676000000005</v>
      </c>
      <c r="C8100" s="32">
        <f t="shared" si="126"/>
        <v>1.8305639711126753E-2</v>
      </c>
    </row>
    <row r="8101" spans="1:3" x14ac:dyDescent="0.6">
      <c r="A8101" s="24">
        <v>41298</v>
      </c>
      <c r="B8101" s="23">
        <v>58.204231</v>
      </c>
      <c r="C8101" s="32">
        <f t="shared" si="126"/>
        <v>-0.12355797369046051</v>
      </c>
    </row>
    <row r="8102" spans="1:3" x14ac:dyDescent="0.6">
      <c r="A8102" s="24">
        <v>41299</v>
      </c>
      <c r="B8102" s="23">
        <v>56.832123000000003</v>
      </c>
      <c r="C8102" s="32">
        <f t="shared" si="126"/>
        <v>-2.3574025056700698E-2</v>
      </c>
    </row>
    <row r="8103" spans="1:3" x14ac:dyDescent="0.6">
      <c r="A8103" s="24">
        <v>41302</v>
      </c>
      <c r="B8103" s="23">
        <v>58.117657000000001</v>
      </c>
      <c r="C8103" s="32">
        <f t="shared" si="126"/>
        <v>2.2619848285449384E-2</v>
      </c>
    </row>
    <row r="8104" spans="1:3" x14ac:dyDescent="0.6">
      <c r="A8104" s="24">
        <v>41303</v>
      </c>
      <c r="B8104" s="23">
        <v>59.208098999999997</v>
      </c>
      <c r="C8104" s="32">
        <f t="shared" si="126"/>
        <v>1.8762662782499939E-2</v>
      </c>
    </row>
    <row r="8105" spans="1:3" x14ac:dyDescent="0.6">
      <c r="A8105" s="24">
        <v>41304</v>
      </c>
      <c r="B8105" s="23">
        <v>59.022038000000002</v>
      </c>
      <c r="C8105" s="32">
        <f t="shared" si="126"/>
        <v>-3.1424923809831862E-3</v>
      </c>
    </row>
    <row r="8106" spans="1:3" x14ac:dyDescent="0.6">
      <c r="A8106" s="24">
        <v>41305</v>
      </c>
      <c r="B8106" s="23">
        <v>58.848927000000003</v>
      </c>
      <c r="C8106" s="32">
        <f t="shared" si="126"/>
        <v>-2.9329891997290636E-3</v>
      </c>
    </row>
    <row r="8107" spans="1:3" x14ac:dyDescent="0.6">
      <c r="A8107" s="24">
        <v>41306</v>
      </c>
      <c r="B8107" s="23">
        <v>58.607337999999999</v>
      </c>
      <c r="C8107" s="32">
        <f t="shared" si="126"/>
        <v>-4.105240525456022E-3</v>
      </c>
    </row>
    <row r="8108" spans="1:3" x14ac:dyDescent="0.6">
      <c r="A8108" s="24">
        <v>41309</v>
      </c>
      <c r="B8108" s="23">
        <v>57.147373000000002</v>
      </c>
      <c r="C8108" s="32">
        <f t="shared" si="126"/>
        <v>-2.4910959102083741E-2</v>
      </c>
    </row>
    <row r="8109" spans="1:3" x14ac:dyDescent="0.6">
      <c r="A8109" s="24">
        <v>41310</v>
      </c>
      <c r="B8109" s="23">
        <v>59.152549999999998</v>
      </c>
      <c r="C8109" s="32">
        <f t="shared" si="126"/>
        <v>3.5087824596941708E-2</v>
      </c>
    </row>
    <row r="8110" spans="1:3" x14ac:dyDescent="0.6">
      <c r="A8110" s="24">
        <v>41311</v>
      </c>
      <c r="B8110" s="23">
        <v>59.089244999999998</v>
      </c>
      <c r="C8110" s="32">
        <f t="shared" si="126"/>
        <v>-1.0701990024098995E-3</v>
      </c>
    </row>
    <row r="8111" spans="1:3" x14ac:dyDescent="0.6">
      <c r="A8111" s="24">
        <v>41312</v>
      </c>
      <c r="B8111" s="23">
        <v>60.846198999999999</v>
      </c>
      <c r="C8111" s="32">
        <f t="shared" si="126"/>
        <v>2.973390504481821E-2</v>
      </c>
    </row>
    <row r="8112" spans="1:3" x14ac:dyDescent="0.6">
      <c r="A8112" s="24">
        <v>41313</v>
      </c>
      <c r="B8112" s="23">
        <v>61.724682000000001</v>
      </c>
      <c r="C8112" s="32">
        <f t="shared" si="126"/>
        <v>1.443776298992816E-2</v>
      </c>
    </row>
    <row r="8113" spans="1:3" x14ac:dyDescent="0.6">
      <c r="A8113" s="24">
        <v>41316</v>
      </c>
      <c r="B8113" s="23">
        <v>62.367942999999997</v>
      </c>
      <c r="C8113" s="32">
        <f t="shared" si="126"/>
        <v>1.0421455067196606E-2</v>
      </c>
    </row>
    <row r="8114" spans="1:3" x14ac:dyDescent="0.6">
      <c r="A8114" s="24">
        <v>41317</v>
      </c>
      <c r="B8114" s="23">
        <v>60.804611000000001</v>
      </c>
      <c r="C8114" s="32">
        <f t="shared" si="126"/>
        <v>-2.506627483288959E-2</v>
      </c>
    </row>
    <row r="8115" spans="1:3" x14ac:dyDescent="0.6">
      <c r="A8115" s="24">
        <v>41318</v>
      </c>
      <c r="B8115" s="23">
        <v>60.688949999999998</v>
      </c>
      <c r="C8115" s="32">
        <f t="shared" si="126"/>
        <v>-1.9021748202616706E-3</v>
      </c>
    </row>
    <row r="8116" spans="1:3" x14ac:dyDescent="0.6">
      <c r="A8116" s="24">
        <v>41319</v>
      </c>
      <c r="B8116" s="23">
        <v>60.634372999999997</v>
      </c>
      <c r="C8116" s="32">
        <f t="shared" si="126"/>
        <v>-8.9929056277959774E-4</v>
      </c>
    </row>
    <row r="8117" spans="1:3" x14ac:dyDescent="0.6">
      <c r="A8117" s="24">
        <v>41320</v>
      </c>
      <c r="B8117" s="23">
        <v>59.798782000000003</v>
      </c>
      <c r="C8117" s="32">
        <f t="shared" si="126"/>
        <v>-1.3780813730851826E-2</v>
      </c>
    </row>
    <row r="8118" spans="1:3" x14ac:dyDescent="0.6">
      <c r="A8118" s="24">
        <v>41324</v>
      </c>
      <c r="B8118" s="23">
        <v>59.776699000000001</v>
      </c>
      <c r="C8118" s="32">
        <f t="shared" si="126"/>
        <v>-3.6928845808270605E-4</v>
      </c>
    </row>
    <row r="8119" spans="1:3" x14ac:dyDescent="0.6">
      <c r="A8119" s="24">
        <v>41325</v>
      </c>
      <c r="B8119" s="23">
        <v>58.329020999999997</v>
      </c>
      <c r="C8119" s="32">
        <f t="shared" si="126"/>
        <v>-2.4218098761191298E-2</v>
      </c>
    </row>
    <row r="8120" spans="1:3" x14ac:dyDescent="0.6">
      <c r="A8120" s="24">
        <v>41326</v>
      </c>
      <c r="B8120" s="23">
        <v>57.966450000000002</v>
      </c>
      <c r="C8120" s="32">
        <f t="shared" si="126"/>
        <v>-6.2159623766014915E-3</v>
      </c>
    </row>
    <row r="8121" spans="1:3" x14ac:dyDescent="0.6">
      <c r="A8121" s="24">
        <v>41327</v>
      </c>
      <c r="B8121" s="23">
        <v>58.583717</v>
      </c>
      <c r="C8121" s="32">
        <f t="shared" si="126"/>
        <v>1.0648694201559561E-2</v>
      </c>
    </row>
    <row r="8122" spans="1:3" x14ac:dyDescent="0.6">
      <c r="A8122" s="24">
        <v>41330</v>
      </c>
      <c r="B8122" s="23">
        <v>57.542816000000002</v>
      </c>
      <c r="C8122" s="32">
        <f t="shared" si="126"/>
        <v>-1.7767752769937695E-2</v>
      </c>
    </row>
    <row r="8123" spans="1:3" x14ac:dyDescent="0.6">
      <c r="A8123" s="24">
        <v>41331</v>
      </c>
      <c r="B8123" s="23">
        <v>58.344619999999999</v>
      </c>
      <c r="C8123" s="32">
        <f t="shared" si="126"/>
        <v>1.3934041740327752E-2</v>
      </c>
    </row>
    <row r="8124" spans="1:3" x14ac:dyDescent="0.6">
      <c r="A8124" s="24">
        <v>41332</v>
      </c>
      <c r="B8124" s="23">
        <v>57.772826999999999</v>
      </c>
      <c r="C8124" s="32">
        <f t="shared" si="126"/>
        <v>-9.800269502140857E-3</v>
      </c>
    </row>
    <row r="8125" spans="1:3" x14ac:dyDescent="0.6">
      <c r="A8125" s="24">
        <v>41333</v>
      </c>
      <c r="B8125" s="23">
        <v>57.360881999999997</v>
      </c>
      <c r="C8125" s="32">
        <f t="shared" si="126"/>
        <v>-7.13042828941024E-3</v>
      </c>
    </row>
    <row r="8126" spans="1:3" x14ac:dyDescent="0.6">
      <c r="A8126" s="24">
        <v>41334</v>
      </c>
      <c r="B8126" s="23">
        <v>55.940505999999999</v>
      </c>
      <c r="C8126" s="32">
        <f t="shared" si="126"/>
        <v>-2.4762101810080206E-2</v>
      </c>
    </row>
    <row r="8127" spans="1:3" x14ac:dyDescent="0.6">
      <c r="A8127" s="24">
        <v>41337</v>
      </c>
      <c r="B8127" s="23">
        <v>54.586395000000003</v>
      </c>
      <c r="C8127" s="32">
        <f t="shared" si="126"/>
        <v>-2.4206270139923269E-2</v>
      </c>
    </row>
    <row r="8128" spans="1:3" x14ac:dyDescent="0.6">
      <c r="A8128" s="24">
        <v>41338</v>
      </c>
      <c r="B8128" s="23">
        <v>56.027565000000003</v>
      </c>
      <c r="C8128" s="32">
        <f t="shared" si="126"/>
        <v>2.640163359386527E-2</v>
      </c>
    </row>
    <row r="8129" spans="1:3" x14ac:dyDescent="0.6">
      <c r="A8129" s="24">
        <v>41339</v>
      </c>
      <c r="B8129" s="23">
        <v>55.315421999999998</v>
      </c>
      <c r="C8129" s="32">
        <f t="shared" si="126"/>
        <v>-1.2710582728341024E-2</v>
      </c>
    </row>
    <row r="8130" spans="1:3" x14ac:dyDescent="0.6">
      <c r="A8130" s="24">
        <v>41340</v>
      </c>
      <c r="B8130" s="23">
        <v>55.954796000000002</v>
      </c>
      <c r="C8130" s="32">
        <f t="shared" si="126"/>
        <v>1.1558693342337722E-2</v>
      </c>
    </row>
    <row r="8131" spans="1:3" x14ac:dyDescent="0.6">
      <c r="A8131" s="24">
        <v>41341</v>
      </c>
      <c r="B8131" s="23">
        <v>56.102939999999997</v>
      </c>
      <c r="C8131" s="32">
        <f t="shared" si="126"/>
        <v>2.6475657243034689E-3</v>
      </c>
    </row>
    <row r="8132" spans="1:3" x14ac:dyDescent="0.6">
      <c r="A8132" s="24">
        <v>41344</v>
      </c>
      <c r="B8132" s="23">
        <v>56.902141999999998</v>
      </c>
      <c r="C8132" s="32">
        <f t="shared" ref="C8132:C8195" si="127">B8132/B8131-1</f>
        <v>1.4245278411434414E-2</v>
      </c>
    </row>
    <row r="8133" spans="1:3" x14ac:dyDescent="0.6">
      <c r="A8133" s="24">
        <v>41345</v>
      </c>
      <c r="B8133" s="23">
        <v>55.675392000000002</v>
      </c>
      <c r="C8133" s="32">
        <f t="shared" si="127"/>
        <v>-2.1558942368109735E-2</v>
      </c>
    </row>
    <row r="8134" spans="1:3" x14ac:dyDescent="0.6">
      <c r="A8134" s="24">
        <v>41346</v>
      </c>
      <c r="B8134" s="23">
        <v>55.664997</v>
      </c>
      <c r="C8134" s="32">
        <f t="shared" si="127"/>
        <v>-1.8670726198033449E-4</v>
      </c>
    </row>
    <row r="8135" spans="1:3" x14ac:dyDescent="0.6">
      <c r="A8135" s="24">
        <v>41347</v>
      </c>
      <c r="B8135" s="23">
        <v>56.204300000000003</v>
      </c>
      <c r="C8135" s="32">
        <f t="shared" si="127"/>
        <v>9.6883684373503254E-3</v>
      </c>
    </row>
    <row r="8136" spans="1:3" x14ac:dyDescent="0.6">
      <c r="A8136" s="24">
        <v>41348</v>
      </c>
      <c r="B8136" s="23">
        <v>57.654575000000001</v>
      </c>
      <c r="C8136" s="32">
        <f t="shared" si="127"/>
        <v>2.5803630683061574E-2</v>
      </c>
    </row>
    <row r="8137" spans="1:3" x14ac:dyDescent="0.6">
      <c r="A8137" s="24">
        <v>41351</v>
      </c>
      <c r="B8137" s="23">
        <v>59.221798</v>
      </c>
      <c r="C8137" s="32">
        <f t="shared" si="127"/>
        <v>2.7182977239880834E-2</v>
      </c>
    </row>
    <row r="8138" spans="1:3" x14ac:dyDescent="0.6">
      <c r="A8138" s="24">
        <v>41352</v>
      </c>
      <c r="B8138" s="23">
        <v>59.061951000000001</v>
      </c>
      <c r="C8138" s="32">
        <f t="shared" si="127"/>
        <v>-2.6991244001068893E-3</v>
      </c>
    </row>
    <row r="8139" spans="1:3" x14ac:dyDescent="0.6">
      <c r="A8139" s="24">
        <v>41353</v>
      </c>
      <c r="B8139" s="23">
        <v>58.748772000000002</v>
      </c>
      <c r="C8139" s="32">
        <f t="shared" si="127"/>
        <v>-5.3025508757744699E-3</v>
      </c>
    </row>
    <row r="8140" spans="1:3" x14ac:dyDescent="0.6">
      <c r="A8140" s="24">
        <v>41354</v>
      </c>
      <c r="B8140" s="23">
        <v>58.833233</v>
      </c>
      <c r="C8140" s="32">
        <f t="shared" si="127"/>
        <v>1.4376640927915574E-3</v>
      </c>
    </row>
    <row r="8141" spans="1:3" x14ac:dyDescent="0.6">
      <c r="A8141" s="24">
        <v>41355</v>
      </c>
      <c r="B8141" s="23">
        <v>60.026206999999999</v>
      </c>
      <c r="C8141" s="32">
        <f t="shared" si="127"/>
        <v>2.0277213050657883E-2</v>
      </c>
    </row>
    <row r="8142" spans="1:3" x14ac:dyDescent="0.6">
      <c r="A8142" s="24">
        <v>41358</v>
      </c>
      <c r="B8142" s="23">
        <v>60.243217000000001</v>
      </c>
      <c r="C8142" s="32">
        <f t="shared" si="127"/>
        <v>3.615254250530997E-3</v>
      </c>
    </row>
    <row r="8143" spans="1:3" x14ac:dyDescent="0.6">
      <c r="A8143" s="24">
        <v>41359</v>
      </c>
      <c r="B8143" s="23">
        <v>59.926144000000001</v>
      </c>
      <c r="C8143" s="32">
        <f t="shared" si="127"/>
        <v>-5.2632149441820264E-3</v>
      </c>
    </row>
    <row r="8144" spans="1:3" x14ac:dyDescent="0.6">
      <c r="A8144" s="24">
        <v>41360</v>
      </c>
      <c r="B8144" s="23">
        <v>58.748772000000002</v>
      </c>
      <c r="C8144" s="32">
        <f t="shared" si="127"/>
        <v>-1.9647050876492211E-2</v>
      </c>
    </row>
    <row r="8145" spans="1:3" x14ac:dyDescent="0.6">
      <c r="A8145" s="24">
        <v>41361</v>
      </c>
      <c r="B8145" s="23">
        <v>57.524616000000002</v>
      </c>
      <c r="C8145" s="32">
        <f t="shared" si="127"/>
        <v>-2.0837133412763054E-2</v>
      </c>
    </row>
    <row r="8146" spans="1:3" x14ac:dyDescent="0.6">
      <c r="A8146" s="24">
        <v>41365</v>
      </c>
      <c r="B8146" s="23">
        <v>55.737774000000002</v>
      </c>
      <c r="C8146" s="32">
        <f t="shared" si="127"/>
        <v>-3.106221517410912E-2</v>
      </c>
    </row>
    <row r="8147" spans="1:3" x14ac:dyDescent="0.6">
      <c r="A8147" s="24">
        <v>41366</v>
      </c>
      <c r="B8147" s="23">
        <v>55.852122999999999</v>
      </c>
      <c r="C8147" s="32">
        <f t="shared" si="127"/>
        <v>2.0515530455162967E-3</v>
      </c>
    </row>
    <row r="8148" spans="1:3" x14ac:dyDescent="0.6">
      <c r="A8148" s="24">
        <v>41367</v>
      </c>
      <c r="B8148" s="23">
        <v>56.138022999999997</v>
      </c>
      <c r="C8148" s="32">
        <f t="shared" si="127"/>
        <v>5.1188743532630809E-3</v>
      </c>
    </row>
    <row r="8149" spans="1:3" x14ac:dyDescent="0.6">
      <c r="A8149" s="24">
        <v>41368</v>
      </c>
      <c r="B8149" s="23">
        <v>55.583126</v>
      </c>
      <c r="C8149" s="32">
        <f t="shared" si="127"/>
        <v>-9.8845126769070424E-3</v>
      </c>
    </row>
    <row r="8150" spans="1:3" x14ac:dyDescent="0.6">
      <c r="A8150" s="24">
        <v>41369</v>
      </c>
      <c r="B8150" s="23">
        <v>54.995747000000001</v>
      </c>
      <c r="C8150" s="32">
        <f t="shared" si="127"/>
        <v>-1.0567577649375104E-2</v>
      </c>
    </row>
    <row r="8151" spans="1:3" x14ac:dyDescent="0.6">
      <c r="A8151" s="24">
        <v>41372</v>
      </c>
      <c r="B8151" s="23">
        <v>55.386906000000003</v>
      </c>
      <c r="C8151" s="32">
        <f t="shared" si="127"/>
        <v>7.1125318108689051E-3</v>
      </c>
    </row>
    <row r="8152" spans="1:3" x14ac:dyDescent="0.6">
      <c r="A8152" s="24">
        <v>41373</v>
      </c>
      <c r="B8152" s="23">
        <v>55.486961000000001</v>
      </c>
      <c r="C8152" s="32">
        <f t="shared" si="127"/>
        <v>1.8064738983614159E-3</v>
      </c>
    </row>
    <row r="8153" spans="1:3" x14ac:dyDescent="0.6">
      <c r="A8153" s="24">
        <v>41374</v>
      </c>
      <c r="B8153" s="23">
        <v>56.618842999999998</v>
      </c>
      <c r="C8153" s="32">
        <f t="shared" si="127"/>
        <v>2.0399062763592379E-2</v>
      </c>
    </row>
    <row r="8154" spans="1:3" x14ac:dyDescent="0.6">
      <c r="A8154" s="24">
        <v>41375</v>
      </c>
      <c r="B8154" s="23">
        <v>56.442107999999998</v>
      </c>
      <c r="C8154" s="32">
        <f t="shared" si="127"/>
        <v>-3.121487311211979E-3</v>
      </c>
    </row>
    <row r="8155" spans="1:3" x14ac:dyDescent="0.6">
      <c r="A8155" s="24">
        <v>41376</v>
      </c>
      <c r="B8155" s="23">
        <v>55.853436000000002</v>
      </c>
      <c r="C8155" s="32">
        <f t="shared" si="127"/>
        <v>-1.0429660068684843E-2</v>
      </c>
    </row>
    <row r="8156" spans="1:3" x14ac:dyDescent="0.6">
      <c r="A8156" s="24">
        <v>41379</v>
      </c>
      <c r="B8156" s="23">
        <v>54.560409999999997</v>
      </c>
      <c r="C8156" s="32">
        <f t="shared" si="127"/>
        <v>-2.3150339398994246E-2</v>
      </c>
    </row>
    <row r="8157" spans="1:3" x14ac:dyDescent="0.6">
      <c r="A8157" s="24">
        <v>41380</v>
      </c>
      <c r="B8157" s="23">
        <v>55.390799999999999</v>
      </c>
      <c r="C8157" s="32">
        <f t="shared" si="127"/>
        <v>1.5219643694026619E-2</v>
      </c>
    </row>
    <row r="8158" spans="1:3" x14ac:dyDescent="0.6">
      <c r="A8158" s="24">
        <v>41381</v>
      </c>
      <c r="B8158" s="23">
        <v>52.344734000000003</v>
      </c>
      <c r="C8158" s="32">
        <f t="shared" si="127"/>
        <v>-5.4992273085060939E-2</v>
      </c>
    </row>
    <row r="8159" spans="1:3" x14ac:dyDescent="0.6">
      <c r="A8159" s="24">
        <v>41382</v>
      </c>
      <c r="B8159" s="23">
        <v>50.947730999999997</v>
      </c>
      <c r="C8159" s="32">
        <f t="shared" si="127"/>
        <v>-2.668851082517687E-2</v>
      </c>
    </row>
    <row r="8160" spans="1:3" x14ac:dyDescent="0.6">
      <c r="A8160" s="24">
        <v>41383</v>
      </c>
      <c r="B8160" s="23">
        <v>50.750210000000003</v>
      </c>
      <c r="C8160" s="32">
        <f t="shared" si="127"/>
        <v>-3.8769341857440853E-3</v>
      </c>
    </row>
    <row r="8161" spans="1:3" x14ac:dyDescent="0.6">
      <c r="A8161" s="24">
        <v>41386</v>
      </c>
      <c r="B8161" s="23">
        <v>51.808025000000001</v>
      </c>
      <c r="C8161" s="32">
        <f t="shared" si="127"/>
        <v>2.0843559070987006E-2</v>
      </c>
    </row>
    <row r="8162" spans="1:3" x14ac:dyDescent="0.6">
      <c r="A8162" s="24">
        <v>41387</v>
      </c>
      <c r="B8162" s="23">
        <v>52.777462</v>
      </c>
      <c r="C8162" s="32">
        <f t="shared" si="127"/>
        <v>1.8712101069284115E-2</v>
      </c>
    </row>
    <row r="8163" spans="1:3" x14ac:dyDescent="0.6">
      <c r="A8163" s="24">
        <v>41388</v>
      </c>
      <c r="B8163" s="23">
        <v>52.690392000000003</v>
      </c>
      <c r="C8163" s="32">
        <f t="shared" si="127"/>
        <v>-1.6497572391790394E-3</v>
      </c>
    </row>
    <row r="8164" spans="1:3" x14ac:dyDescent="0.6">
      <c r="A8164" s="24">
        <v>41389</v>
      </c>
      <c r="B8164" s="23">
        <v>53.069851</v>
      </c>
      <c r="C8164" s="32">
        <f t="shared" si="127"/>
        <v>7.2016735043458624E-3</v>
      </c>
    </row>
    <row r="8165" spans="1:3" x14ac:dyDescent="0.6">
      <c r="A8165" s="24">
        <v>41390</v>
      </c>
      <c r="B8165" s="23">
        <v>54.216034000000001</v>
      </c>
      <c r="C8165" s="32">
        <f t="shared" si="127"/>
        <v>2.1597629885940384E-2</v>
      </c>
    </row>
    <row r="8166" spans="1:3" x14ac:dyDescent="0.6">
      <c r="A8166" s="24">
        <v>41393</v>
      </c>
      <c r="B8166" s="23">
        <v>55.895012000000001</v>
      </c>
      <c r="C8166" s="32">
        <f t="shared" si="127"/>
        <v>3.0968292516564411E-2</v>
      </c>
    </row>
    <row r="8167" spans="1:3" x14ac:dyDescent="0.6">
      <c r="A8167" s="24">
        <v>41394</v>
      </c>
      <c r="B8167" s="23">
        <v>57.540210999999999</v>
      </c>
      <c r="C8167" s="32">
        <f t="shared" si="127"/>
        <v>2.9433735518296311E-2</v>
      </c>
    </row>
    <row r="8168" spans="1:3" x14ac:dyDescent="0.6">
      <c r="A8168" s="24">
        <v>41395</v>
      </c>
      <c r="B8168" s="23">
        <v>57.086669999999998</v>
      </c>
      <c r="C8168" s="32">
        <f t="shared" si="127"/>
        <v>-7.8821574011954665E-3</v>
      </c>
    </row>
    <row r="8169" spans="1:3" x14ac:dyDescent="0.6">
      <c r="A8169" s="24">
        <v>41396</v>
      </c>
      <c r="B8169" s="23">
        <v>57.896278000000002</v>
      </c>
      <c r="C8169" s="32">
        <f t="shared" si="127"/>
        <v>1.4182084889519775E-2</v>
      </c>
    </row>
    <row r="8170" spans="1:3" x14ac:dyDescent="0.6">
      <c r="A8170" s="24">
        <v>41397</v>
      </c>
      <c r="B8170" s="23">
        <v>58.475864000000001</v>
      </c>
      <c r="C8170" s="32">
        <f t="shared" si="127"/>
        <v>1.0010764422542007E-2</v>
      </c>
    </row>
    <row r="8171" spans="1:3" x14ac:dyDescent="0.6">
      <c r="A8171" s="24">
        <v>41400</v>
      </c>
      <c r="B8171" s="23">
        <v>59.870251000000003</v>
      </c>
      <c r="C8171" s="32">
        <f t="shared" si="127"/>
        <v>2.3845513424136877E-2</v>
      </c>
    </row>
    <row r="8172" spans="1:3" x14ac:dyDescent="0.6">
      <c r="A8172" s="24">
        <v>41401</v>
      </c>
      <c r="B8172" s="23">
        <v>59.603859</v>
      </c>
      <c r="C8172" s="32">
        <f t="shared" si="127"/>
        <v>-4.4494886116311916E-3</v>
      </c>
    </row>
    <row r="8173" spans="1:3" x14ac:dyDescent="0.6">
      <c r="A8173" s="24">
        <v>41402</v>
      </c>
      <c r="B8173" s="23">
        <v>60.277000000000001</v>
      </c>
      <c r="C8173" s="32">
        <f t="shared" si="127"/>
        <v>1.1293580840126438E-2</v>
      </c>
    </row>
    <row r="8174" spans="1:3" x14ac:dyDescent="0.6">
      <c r="A8174" s="24">
        <v>41403</v>
      </c>
      <c r="B8174" s="23">
        <v>59.751133000000003</v>
      </c>
      <c r="C8174" s="32">
        <f t="shared" si="127"/>
        <v>-8.7241733994724013E-3</v>
      </c>
    </row>
    <row r="8175" spans="1:3" x14ac:dyDescent="0.6">
      <c r="A8175" s="24">
        <v>41404</v>
      </c>
      <c r="B8175" s="23">
        <v>59.254047</v>
      </c>
      <c r="C8175" s="32">
        <f t="shared" si="127"/>
        <v>-8.3192732094302668E-3</v>
      </c>
    </row>
    <row r="8176" spans="1:3" x14ac:dyDescent="0.6">
      <c r="A8176" s="24">
        <v>41407</v>
      </c>
      <c r="B8176" s="23">
        <v>59.485588</v>
      </c>
      <c r="C8176" s="32">
        <f t="shared" si="127"/>
        <v>3.907598075115537E-3</v>
      </c>
    </row>
    <row r="8177" spans="1:3" x14ac:dyDescent="0.6">
      <c r="A8177" s="24">
        <v>41408</v>
      </c>
      <c r="B8177" s="23">
        <v>58.062354999999997</v>
      </c>
      <c r="C8177" s="32">
        <f t="shared" si="127"/>
        <v>-2.3925677594378025E-2</v>
      </c>
    </row>
    <row r="8178" spans="1:3" x14ac:dyDescent="0.6">
      <c r="A8178" s="24">
        <v>41409</v>
      </c>
      <c r="B8178" s="23">
        <v>56.098854000000003</v>
      </c>
      <c r="C8178" s="32">
        <f t="shared" si="127"/>
        <v>-3.3817109209572926E-2</v>
      </c>
    </row>
    <row r="8179" spans="1:3" x14ac:dyDescent="0.6">
      <c r="A8179" s="24">
        <v>41410</v>
      </c>
      <c r="B8179" s="23">
        <v>56.848415000000003</v>
      </c>
      <c r="C8179" s="32">
        <f t="shared" si="127"/>
        <v>1.3361431590028561E-2</v>
      </c>
    </row>
    <row r="8180" spans="1:3" x14ac:dyDescent="0.6">
      <c r="A8180" s="24">
        <v>41411</v>
      </c>
      <c r="B8180" s="23">
        <v>56.675735000000003</v>
      </c>
      <c r="C8180" s="32">
        <f t="shared" si="127"/>
        <v>-3.0375517065867053E-3</v>
      </c>
    </row>
    <row r="8181" spans="1:3" x14ac:dyDescent="0.6">
      <c r="A8181" s="24">
        <v>41414</v>
      </c>
      <c r="B8181" s="23">
        <v>57.940697</v>
      </c>
      <c r="C8181" s="32">
        <f t="shared" si="127"/>
        <v>2.2319287081146832E-2</v>
      </c>
    </row>
    <row r="8182" spans="1:3" x14ac:dyDescent="0.6">
      <c r="A8182" s="24">
        <v>41415</v>
      </c>
      <c r="B8182" s="23">
        <v>57.512936000000003</v>
      </c>
      <c r="C8182" s="32">
        <f t="shared" si="127"/>
        <v>-7.3827382504563221E-3</v>
      </c>
    </row>
    <row r="8183" spans="1:3" x14ac:dyDescent="0.6">
      <c r="A8183" s="24">
        <v>41416</v>
      </c>
      <c r="B8183" s="23">
        <v>57.734009</v>
      </c>
      <c r="C8183" s="32">
        <f t="shared" si="127"/>
        <v>3.8438830526752454E-3</v>
      </c>
    </row>
    <row r="8184" spans="1:3" x14ac:dyDescent="0.6">
      <c r="A8184" s="24">
        <v>41417</v>
      </c>
      <c r="B8184" s="23">
        <v>57.837344999999999</v>
      </c>
      <c r="C8184" s="32">
        <f t="shared" si="127"/>
        <v>1.7898635793678341E-3</v>
      </c>
    </row>
    <row r="8185" spans="1:3" x14ac:dyDescent="0.6">
      <c r="A8185" s="24">
        <v>41418</v>
      </c>
      <c r="B8185" s="23">
        <v>58.231087000000002</v>
      </c>
      <c r="C8185" s="32">
        <f t="shared" si="127"/>
        <v>6.807746794048164E-3</v>
      </c>
    </row>
    <row r="8186" spans="1:3" x14ac:dyDescent="0.6">
      <c r="A8186" s="24">
        <v>41422</v>
      </c>
      <c r="B8186" s="23">
        <v>57.745781000000001</v>
      </c>
      <c r="C8186" s="32">
        <f t="shared" si="127"/>
        <v>-8.3341394605943586E-3</v>
      </c>
    </row>
    <row r="8187" spans="1:3" x14ac:dyDescent="0.6">
      <c r="A8187" s="24">
        <v>41423</v>
      </c>
      <c r="B8187" s="23">
        <v>58.204932999999997</v>
      </c>
      <c r="C8187" s="32">
        <f t="shared" si="127"/>
        <v>7.9512648724933133E-3</v>
      </c>
    </row>
    <row r="8188" spans="1:3" x14ac:dyDescent="0.6">
      <c r="A8188" s="24">
        <v>41424</v>
      </c>
      <c r="B8188" s="23">
        <v>59.072220000000002</v>
      </c>
      <c r="C8188" s="32">
        <f t="shared" si="127"/>
        <v>1.4900575523383974E-2</v>
      </c>
    </row>
    <row r="8189" spans="1:3" x14ac:dyDescent="0.6">
      <c r="A8189" s="24">
        <v>41425</v>
      </c>
      <c r="B8189" s="23">
        <v>58.830222999999997</v>
      </c>
      <c r="C8189" s="32">
        <f t="shared" si="127"/>
        <v>-4.0966295155321353E-3</v>
      </c>
    </row>
    <row r="8190" spans="1:3" x14ac:dyDescent="0.6">
      <c r="A8190" s="24">
        <v>41428</v>
      </c>
      <c r="B8190" s="23">
        <v>58.959724000000001</v>
      </c>
      <c r="C8190" s="32">
        <f t="shared" si="127"/>
        <v>2.2012665156820876E-3</v>
      </c>
    </row>
    <row r="8191" spans="1:3" x14ac:dyDescent="0.6">
      <c r="A8191" s="24">
        <v>41429</v>
      </c>
      <c r="B8191" s="23">
        <v>58.775272000000001</v>
      </c>
      <c r="C8191" s="32">
        <f t="shared" si="127"/>
        <v>-3.1284406962285294E-3</v>
      </c>
    </row>
    <row r="8192" spans="1:3" x14ac:dyDescent="0.6">
      <c r="A8192" s="24">
        <v>41430</v>
      </c>
      <c r="B8192" s="23">
        <v>58.225848999999997</v>
      </c>
      <c r="C8192" s="32">
        <f t="shared" si="127"/>
        <v>-9.3478597597983493E-3</v>
      </c>
    </row>
    <row r="8193" spans="1:3" x14ac:dyDescent="0.6">
      <c r="A8193" s="24">
        <v>41431</v>
      </c>
      <c r="B8193" s="23">
        <v>57.355956999999997</v>
      </c>
      <c r="C8193" s="32">
        <f t="shared" si="127"/>
        <v>-1.4939962489855629E-2</v>
      </c>
    </row>
    <row r="8194" spans="1:3" x14ac:dyDescent="0.6">
      <c r="A8194" s="24">
        <v>41432</v>
      </c>
      <c r="B8194" s="23">
        <v>57.794186000000003</v>
      </c>
      <c r="C8194" s="32">
        <f t="shared" si="127"/>
        <v>7.6405141317754666E-3</v>
      </c>
    </row>
    <row r="8195" spans="1:3" x14ac:dyDescent="0.6">
      <c r="A8195" s="24">
        <v>41435</v>
      </c>
      <c r="B8195" s="23">
        <v>57.412211999999997</v>
      </c>
      <c r="C8195" s="32">
        <f t="shared" si="127"/>
        <v>-6.6092115217265546E-3</v>
      </c>
    </row>
    <row r="8196" spans="1:3" x14ac:dyDescent="0.6">
      <c r="A8196" s="24">
        <v>41436</v>
      </c>
      <c r="B8196" s="23">
        <v>57.243457999999997</v>
      </c>
      <c r="C8196" s="32">
        <f t="shared" ref="C8196:C8259" si="128">B8196/B8195-1</f>
        <v>-2.9393398045698405E-3</v>
      </c>
    </row>
    <row r="8197" spans="1:3" x14ac:dyDescent="0.6">
      <c r="A8197" s="24">
        <v>41437</v>
      </c>
      <c r="B8197" s="23">
        <v>56.535767</v>
      </c>
      <c r="C8197" s="32">
        <f t="shared" si="128"/>
        <v>-1.2362827556644085E-2</v>
      </c>
    </row>
    <row r="8198" spans="1:3" x14ac:dyDescent="0.6">
      <c r="A8198" s="24">
        <v>41438</v>
      </c>
      <c r="B8198" s="23">
        <v>57.028922999999999</v>
      </c>
      <c r="C8198" s="32">
        <f t="shared" si="128"/>
        <v>8.7229027953223959E-3</v>
      </c>
    </row>
    <row r="8199" spans="1:3" x14ac:dyDescent="0.6">
      <c r="A8199" s="24">
        <v>41439</v>
      </c>
      <c r="B8199" s="23">
        <v>56.255828999999999</v>
      </c>
      <c r="C8199" s="32">
        <f t="shared" si="128"/>
        <v>-1.3556173943526928E-2</v>
      </c>
    </row>
    <row r="8200" spans="1:3" x14ac:dyDescent="0.6">
      <c r="A8200" s="24">
        <v>41442</v>
      </c>
      <c r="B8200" s="23">
        <v>56.510917999999997</v>
      </c>
      <c r="C8200" s="32">
        <f t="shared" si="128"/>
        <v>4.5344456660658672E-3</v>
      </c>
    </row>
    <row r="8201" spans="1:3" x14ac:dyDescent="0.6">
      <c r="A8201" s="24">
        <v>41443</v>
      </c>
      <c r="B8201" s="23">
        <v>56.480826999999998</v>
      </c>
      <c r="C8201" s="32">
        <f t="shared" si="128"/>
        <v>-5.3248117469972822E-4</v>
      </c>
    </row>
    <row r="8202" spans="1:3" x14ac:dyDescent="0.6">
      <c r="A8202" s="24">
        <v>41444</v>
      </c>
      <c r="B8202" s="23">
        <v>55.333599</v>
      </c>
      <c r="C8202" s="32">
        <f t="shared" si="128"/>
        <v>-2.031181306888441E-2</v>
      </c>
    </row>
    <row r="8203" spans="1:3" x14ac:dyDescent="0.6">
      <c r="A8203" s="24">
        <v>41445</v>
      </c>
      <c r="B8203" s="23">
        <v>54.527797999999997</v>
      </c>
      <c r="C8203" s="32">
        <f t="shared" si="128"/>
        <v>-1.4562598756679535E-2</v>
      </c>
    </row>
    <row r="8204" spans="1:3" x14ac:dyDescent="0.6">
      <c r="A8204" s="24">
        <v>41446</v>
      </c>
      <c r="B8204" s="23">
        <v>54.090885</v>
      </c>
      <c r="C8204" s="32">
        <f t="shared" si="128"/>
        <v>-8.0126653931632541E-3</v>
      </c>
    </row>
    <row r="8205" spans="1:3" x14ac:dyDescent="0.6">
      <c r="A8205" s="24">
        <v>41449</v>
      </c>
      <c r="B8205" s="23">
        <v>52.657181000000001</v>
      </c>
      <c r="C8205" s="32">
        <f t="shared" si="128"/>
        <v>-2.6505463905794779E-2</v>
      </c>
    </row>
    <row r="8206" spans="1:3" x14ac:dyDescent="0.6">
      <c r="A8206" s="24">
        <v>41450</v>
      </c>
      <c r="B8206" s="23">
        <v>52.668945000000001</v>
      </c>
      <c r="C8206" s="32">
        <f t="shared" si="128"/>
        <v>2.2340732596370927E-4</v>
      </c>
    </row>
    <row r="8207" spans="1:3" x14ac:dyDescent="0.6">
      <c r="A8207" s="24">
        <v>41451</v>
      </c>
      <c r="B8207" s="23">
        <v>52.072448999999999</v>
      </c>
      <c r="C8207" s="32">
        <f t="shared" si="128"/>
        <v>-1.1325383487366225E-2</v>
      </c>
    </row>
    <row r="8208" spans="1:3" x14ac:dyDescent="0.6">
      <c r="A8208" s="24">
        <v>41452</v>
      </c>
      <c r="B8208" s="23">
        <v>51.511253000000004</v>
      </c>
      <c r="C8208" s="32">
        <f t="shared" si="128"/>
        <v>-1.0777215413855346E-2</v>
      </c>
    </row>
    <row r="8209" spans="1:3" x14ac:dyDescent="0.6">
      <c r="A8209" s="24">
        <v>41453</v>
      </c>
      <c r="B8209" s="23">
        <v>51.871001999999997</v>
      </c>
      <c r="C8209" s="32">
        <f t="shared" si="128"/>
        <v>6.983891461541214E-3</v>
      </c>
    </row>
    <row r="8210" spans="1:3" x14ac:dyDescent="0.6">
      <c r="A8210" s="24">
        <v>41456</v>
      </c>
      <c r="B8210" s="23">
        <v>53.531005999999998</v>
      </c>
      <c r="C8210" s="32">
        <f t="shared" si="128"/>
        <v>3.2002543540608608E-2</v>
      </c>
    </row>
    <row r="8211" spans="1:3" x14ac:dyDescent="0.6">
      <c r="A8211" s="24">
        <v>41457</v>
      </c>
      <c r="B8211" s="23">
        <v>54.743637</v>
      </c>
      <c r="C8211" s="32">
        <f t="shared" si="128"/>
        <v>2.2652871496567917E-2</v>
      </c>
    </row>
    <row r="8212" spans="1:3" x14ac:dyDescent="0.6">
      <c r="A8212" s="24">
        <v>41458</v>
      </c>
      <c r="B8212" s="23">
        <v>55.045811</v>
      </c>
      <c r="C8212" s="32">
        <f t="shared" si="128"/>
        <v>5.5198013241246624E-3</v>
      </c>
    </row>
    <row r="8213" spans="1:3" x14ac:dyDescent="0.6">
      <c r="A8213" s="24">
        <v>41460</v>
      </c>
      <c r="B8213" s="23">
        <v>54.603664000000002</v>
      </c>
      <c r="C8213" s="32">
        <f t="shared" si="128"/>
        <v>-8.0323460035859329E-3</v>
      </c>
    </row>
    <row r="8214" spans="1:3" x14ac:dyDescent="0.6">
      <c r="A8214" s="24">
        <v>41463</v>
      </c>
      <c r="B8214" s="23">
        <v>54.293644</v>
      </c>
      <c r="C8214" s="32">
        <f t="shared" si="128"/>
        <v>-5.6776409729574207E-3</v>
      </c>
    </row>
    <row r="8215" spans="1:3" x14ac:dyDescent="0.6">
      <c r="A8215" s="24">
        <v>41464</v>
      </c>
      <c r="B8215" s="23">
        <v>55.248569000000003</v>
      </c>
      <c r="C8215" s="32">
        <f t="shared" si="128"/>
        <v>1.7588154517681698E-2</v>
      </c>
    </row>
    <row r="8216" spans="1:3" x14ac:dyDescent="0.6">
      <c r="A8216" s="24">
        <v>41465</v>
      </c>
      <c r="B8216" s="23">
        <v>55.036662999999997</v>
      </c>
      <c r="C8216" s="32">
        <f t="shared" si="128"/>
        <v>-3.8355020561710029E-3</v>
      </c>
    </row>
    <row r="8217" spans="1:3" x14ac:dyDescent="0.6">
      <c r="A8217" s="24">
        <v>41466</v>
      </c>
      <c r="B8217" s="23">
        <v>55.894787000000001</v>
      </c>
      <c r="C8217" s="32">
        <f t="shared" si="128"/>
        <v>1.5591861010904706E-2</v>
      </c>
    </row>
    <row r="8218" spans="1:3" x14ac:dyDescent="0.6">
      <c r="A8218" s="24">
        <v>41467</v>
      </c>
      <c r="B8218" s="23">
        <v>55.792755</v>
      </c>
      <c r="C8218" s="32">
        <f t="shared" si="128"/>
        <v>-1.8254296236963619E-3</v>
      </c>
    </row>
    <row r="8219" spans="1:3" x14ac:dyDescent="0.6">
      <c r="A8219" s="24">
        <v>41470</v>
      </c>
      <c r="B8219" s="23">
        <v>55.914397999999998</v>
      </c>
      <c r="C8219" s="32">
        <f t="shared" si="128"/>
        <v>2.180265161668471E-3</v>
      </c>
    </row>
    <row r="8220" spans="1:3" x14ac:dyDescent="0.6">
      <c r="A8220" s="24">
        <v>41471</v>
      </c>
      <c r="B8220" s="23">
        <v>56.275452000000001</v>
      </c>
      <c r="C8220" s="32">
        <f t="shared" si="128"/>
        <v>6.4572634762158909E-3</v>
      </c>
    </row>
    <row r="8221" spans="1:3" x14ac:dyDescent="0.6">
      <c r="A8221" s="24">
        <v>41472</v>
      </c>
      <c r="B8221" s="23">
        <v>56.289845</v>
      </c>
      <c r="C8221" s="32">
        <f t="shared" si="128"/>
        <v>2.5575982934800123E-4</v>
      </c>
    </row>
    <row r="8222" spans="1:3" x14ac:dyDescent="0.6">
      <c r="A8222" s="24">
        <v>41473</v>
      </c>
      <c r="B8222" s="23">
        <v>56.479514999999999</v>
      </c>
      <c r="C8222" s="32">
        <f t="shared" si="128"/>
        <v>3.3695242898608146E-3</v>
      </c>
    </row>
    <row r="8223" spans="1:3" x14ac:dyDescent="0.6">
      <c r="A8223" s="24">
        <v>41474</v>
      </c>
      <c r="B8223" s="23">
        <v>55.588679999999997</v>
      </c>
      <c r="C8223" s="32">
        <f t="shared" si="128"/>
        <v>-1.5772709804607987E-2</v>
      </c>
    </row>
    <row r="8224" spans="1:3" x14ac:dyDescent="0.6">
      <c r="A8224" s="24">
        <v>41477</v>
      </c>
      <c r="B8224" s="23">
        <v>55.766593999999998</v>
      </c>
      <c r="C8224" s="32">
        <f t="shared" si="128"/>
        <v>3.2005437078197474E-3</v>
      </c>
    </row>
    <row r="8225" spans="1:3" x14ac:dyDescent="0.6">
      <c r="A8225" s="24">
        <v>41478</v>
      </c>
      <c r="B8225" s="23">
        <v>54.809035999999999</v>
      </c>
      <c r="C8225" s="32">
        <f t="shared" si="128"/>
        <v>-1.7170817353485801E-2</v>
      </c>
    </row>
    <row r="8226" spans="1:3" x14ac:dyDescent="0.6">
      <c r="A8226" s="24">
        <v>41479</v>
      </c>
      <c r="B8226" s="23">
        <v>57.624122999999997</v>
      </c>
      <c r="C8226" s="32">
        <f t="shared" si="128"/>
        <v>5.1361731667749044E-2</v>
      </c>
    </row>
    <row r="8227" spans="1:3" x14ac:dyDescent="0.6">
      <c r="A8227" s="24">
        <v>41480</v>
      </c>
      <c r="B8227" s="23">
        <v>57.361187000000001</v>
      </c>
      <c r="C8227" s="32">
        <f t="shared" si="128"/>
        <v>-4.5629501380870519E-3</v>
      </c>
    </row>
    <row r="8228" spans="1:3" x14ac:dyDescent="0.6">
      <c r="A8228" s="24">
        <v>41481</v>
      </c>
      <c r="B8228" s="23">
        <v>57.686920000000001</v>
      </c>
      <c r="C8228" s="32">
        <f t="shared" si="128"/>
        <v>5.6786307438163597E-3</v>
      </c>
    </row>
    <row r="8229" spans="1:3" x14ac:dyDescent="0.6">
      <c r="A8229" s="24">
        <v>41484</v>
      </c>
      <c r="B8229" s="23">
        <v>58.576447000000002</v>
      </c>
      <c r="C8229" s="32">
        <f t="shared" si="128"/>
        <v>1.5419908013809769E-2</v>
      </c>
    </row>
    <row r="8230" spans="1:3" x14ac:dyDescent="0.6">
      <c r="A8230" s="24">
        <v>41485</v>
      </c>
      <c r="B8230" s="23">
        <v>59.299838999999999</v>
      </c>
      <c r="C8230" s="32">
        <f t="shared" si="128"/>
        <v>1.2349537007596112E-2</v>
      </c>
    </row>
    <row r="8231" spans="1:3" x14ac:dyDescent="0.6">
      <c r="A8231" s="24">
        <v>41486</v>
      </c>
      <c r="B8231" s="23">
        <v>59.196491000000002</v>
      </c>
      <c r="C8231" s="32">
        <f t="shared" si="128"/>
        <v>-1.742804057191405E-3</v>
      </c>
    </row>
    <row r="8232" spans="1:3" x14ac:dyDescent="0.6">
      <c r="A8232" s="24">
        <v>41487</v>
      </c>
      <c r="B8232" s="23">
        <v>59.739353000000001</v>
      </c>
      <c r="C8232" s="32">
        <f t="shared" si="128"/>
        <v>9.1705097857912588E-3</v>
      </c>
    </row>
    <row r="8233" spans="1:3" x14ac:dyDescent="0.6">
      <c r="A8233" s="24">
        <v>41488</v>
      </c>
      <c r="B8233" s="23">
        <v>60.505920000000003</v>
      </c>
      <c r="C8233" s="32">
        <f t="shared" si="128"/>
        <v>1.2831859762525433E-2</v>
      </c>
    </row>
    <row r="8234" spans="1:3" x14ac:dyDescent="0.6">
      <c r="A8234" s="24">
        <v>41491</v>
      </c>
      <c r="B8234" s="23">
        <v>61.409827999999997</v>
      </c>
      <c r="C8234" s="32">
        <f t="shared" si="128"/>
        <v>1.4939166283232996E-2</v>
      </c>
    </row>
    <row r="8235" spans="1:3" x14ac:dyDescent="0.6">
      <c r="A8235" s="24">
        <v>41492</v>
      </c>
      <c r="B8235" s="23">
        <v>60.860413000000001</v>
      </c>
      <c r="C8235" s="32">
        <f t="shared" si="128"/>
        <v>-8.9466949817869068E-3</v>
      </c>
    </row>
    <row r="8236" spans="1:3" x14ac:dyDescent="0.6">
      <c r="A8236" s="24">
        <v>41493</v>
      </c>
      <c r="B8236" s="23">
        <v>60.825108</v>
      </c>
      <c r="C8236" s="32">
        <f t="shared" si="128"/>
        <v>-5.8009793656843556E-4</v>
      </c>
    </row>
    <row r="8237" spans="1:3" x14ac:dyDescent="0.6">
      <c r="A8237" s="24">
        <v>41494</v>
      </c>
      <c r="B8237" s="23">
        <v>60.703960000000002</v>
      </c>
      <c r="C8237" s="32">
        <f t="shared" si="128"/>
        <v>-1.9917432781212385E-3</v>
      </c>
    </row>
    <row r="8238" spans="1:3" x14ac:dyDescent="0.6">
      <c r="A8238" s="24">
        <v>41495</v>
      </c>
      <c r="B8238" s="23">
        <v>59.840153000000001</v>
      </c>
      <c r="C8238" s="32">
        <f t="shared" si="128"/>
        <v>-1.4229829487236056E-2</v>
      </c>
    </row>
    <row r="8239" spans="1:3" x14ac:dyDescent="0.6">
      <c r="A8239" s="24">
        <v>41498</v>
      </c>
      <c r="B8239" s="23">
        <v>61.540095999999998</v>
      </c>
      <c r="C8239" s="32">
        <f t="shared" si="128"/>
        <v>2.8408065734724985E-2</v>
      </c>
    </row>
    <row r="8240" spans="1:3" x14ac:dyDescent="0.6">
      <c r="A8240" s="24">
        <v>41499</v>
      </c>
      <c r="B8240" s="23">
        <v>64.464614999999995</v>
      </c>
      <c r="C8240" s="32">
        <f t="shared" si="128"/>
        <v>4.7522171561123372E-2</v>
      </c>
    </row>
    <row r="8241" spans="1:3" x14ac:dyDescent="0.6">
      <c r="A8241" s="24">
        <v>41500</v>
      </c>
      <c r="B8241" s="23">
        <v>65.640495000000001</v>
      </c>
      <c r="C8241" s="32">
        <f t="shared" si="128"/>
        <v>1.8240704609808089E-2</v>
      </c>
    </row>
    <row r="8242" spans="1:3" x14ac:dyDescent="0.6">
      <c r="A8242" s="24">
        <v>41501</v>
      </c>
      <c r="B8242" s="23">
        <v>65.562790000000007</v>
      </c>
      <c r="C8242" s="32">
        <f t="shared" si="128"/>
        <v>-1.1837966791687915E-3</v>
      </c>
    </row>
    <row r="8243" spans="1:3" x14ac:dyDescent="0.6">
      <c r="A8243" s="24">
        <v>41502</v>
      </c>
      <c r="B8243" s="23">
        <v>66.144820999999993</v>
      </c>
      <c r="C8243" s="32">
        <f t="shared" si="128"/>
        <v>8.8774593027536319E-3</v>
      </c>
    </row>
    <row r="8244" spans="1:3" x14ac:dyDescent="0.6">
      <c r="A8244" s="24">
        <v>41505</v>
      </c>
      <c r="B8244" s="23">
        <v>66.857185000000001</v>
      </c>
      <c r="C8244" s="32">
        <f t="shared" si="128"/>
        <v>1.0769762306863218E-2</v>
      </c>
    </row>
    <row r="8245" spans="1:3" x14ac:dyDescent="0.6">
      <c r="A8245" s="24">
        <v>41506</v>
      </c>
      <c r="B8245" s="23">
        <v>65.978888999999995</v>
      </c>
      <c r="C8245" s="32">
        <f t="shared" si="128"/>
        <v>-1.3136897702169303E-2</v>
      </c>
    </row>
    <row r="8246" spans="1:3" x14ac:dyDescent="0.6">
      <c r="A8246" s="24">
        <v>41507</v>
      </c>
      <c r="B8246" s="23">
        <v>66.148765999999995</v>
      </c>
      <c r="C8246" s="32">
        <f t="shared" si="128"/>
        <v>2.5747174978953957E-3</v>
      </c>
    </row>
    <row r="8247" spans="1:3" x14ac:dyDescent="0.6">
      <c r="A8247" s="24">
        <v>41508</v>
      </c>
      <c r="B8247" s="23">
        <v>66.227767999999998</v>
      </c>
      <c r="C8247" s="32">
        <f t="shared" si="128"/>
        <v>1.1943079935914369E-3</v>
      </c>
    </row>
    <row r="8248" spans="1:3" x14ac:dyDescent="0.6">
      <c r="A8248" s="24">
        <v>41509</v>
      </c>
      <c r="B8248" s="23">
        <v>65.972313</v>
      </c>
      <c r="C8248" s="32">
        <f t="shared" si="128"/>
        <v>-3.8572189236393273E-3</v>
      </c>
    </row>
    <row r="8249" spans="1:3" x14ac:dyDescent="0.6">
      <c r="A8249" s="24">
        <v>41512</v>
      </c>
      <c r="B8249" s="23">
        <v>66.229095000000001</v>
      </c>
      <c r="C8249" s="32">
        <f t="shared" si="128"/>
        <v>3.8922691705534085E-3</v>
      </c>
    </row>
    <row r="8250" spans="1:3" x14ac:dyDescent="0.6">
      <c r="A8250" s="24">
        <v>41513</v>
      </c>
      <c r="B8250" s="23">
        <v>64.335578999999996</v>
      </c>
      <c r="C8250" s="32">
        <f t="shared" si="128"/>
        <v>-2.8590395203195951E-2</v>
      </c>
    </row>
    <row r="8251" spans="1:3" x14ac:dyDescent="0.6">
      <c r="A8251" s="24">
        <v>41514</v>
      </c>
      <c r="B8251" s="23">
        <v>64.639747999999997</v>
      </c>
      <c r="C8251" s="32">
        <f t="shared" si="128"/>
        <v>4.7278505102130719E-3</v>
      </c>
    </row>
    <row r="8252" spans="1:3" x14ac:dyDescent="0.6">
      <c r="A8252" s="24">
        <v>41515</v>
      </c>
      <c r="B8252" s="23">
        <v>64.745093999999995</v>
      </c>
      <c r="C8252" s="32">
        <f t="shared" si="128"/>
        <v>1.6297402644576131E-3</v>
      </c>
    </row>
    <row r="8253" spans="1:3" x14ac:dyDescent="0.6">
      <c r="A8253" s="24">
        <v>41516</v>
      </c>
      <c r="B8253" s="23">
        <v>64.155190000000005</v>
      </c>
      <c r="C8253" s="32">
        <f t="shared" si="128"/>
        <v>-9.1111768252276626E-3</v>
      </c>
    </row>
    <row r="8254" spans="1:3" x14ac:dyDescent="0.6">
      <c r="A8254" s="24">
        <v>41520</v>
      </c>
      <c r="B8254" s="23">
        <v>64.334259000000003</v>
      </c>
      <c r="C8254" s="32">
        <f t="shared" si="128"/>
        <v>2.7911849376487385E-3</v>
      </c>
    </row>
    <row r="8255" spans="1:3" x14ac:dyDescent="0.6">
      <c r="A8255" s="24">
        <v>41521</v>
      </c>
      <c r="B8255" s="23">
        <v>65.665520000000001</v>
      </c>
      <c r="C8255" s="32">
        <f t="shared" si="128"/>
        <v>2.0692878424231065E-2</v>
      </c>
    </row>
    <row r="8256" spans="1:3" x14ac:dyDescent="0.6">
      <c r="A8256" s="24">
        <v>41522</v>
      </c>
      <c r="B8256" s="23">
        <v>65.215187</v>
      </c>
      <c r="C8256" s="32">
        <f t="shared" si="128"/>
        <v>-6.8579826977689384E-3</v>
      </c>
    </row>
    <row r="8257" spans="1:3" x14ac:dyDescent="0.6">
      <c r="A8257" s="24">
        <v>41523</v>
      </c>
      <c r="B8257" s="23">
        <v>65.6036</v>
      </c>
      <c r="C8257" s="32">
        <f t="shared" si="128"/>
        <v>5.9558673043442756E-3</v>
      </c>
    </row>
    <row r="8258" spans="1:3" x14ac:dyDescent="0.6">
      <c r="A8258" s="24">
        <v>41526</v>
      </c>
      <c r="B8258" s="23">
        <v>66.650429000000003</v>
      </c>
      <c r="C8258" s="32">
        <f t="shared" si="128"/>
        <v>1.595688346371249E-2</v>
      </c>
    </row>
    <row r="8259" spans="1:3" x14ac:dyDescent="0.6">
      <c r="A8259" s="24">
        <v>41527</v>
      </c>
      <c r="B8259" s="23">
        <v>65.132210000000001</v>
      </c>
      <c r="C8259" s="32">
        <f t="shared" si="128"/>
        <v>-2.2778833126490428E-2</v>
      </c>
    </row>
    <row r="8260" spans="1:3" x14ac:dyDescent="0.6">
      <c r="A8260" s="24">
        <v>41528</v>
      </c>
      <c r="B8260" s="23">
        <v>61.586177999999997</v>
      </c>
      <c r="C8260" s="32">
        <f t="shared" ref="C8260:C8323" si="129">B8260/B8259-1</f>
        <v>-5.444360017877492E-2</v>
      </c>
    </row>
    <row r="8261" spans="1:3" x14ac:dyDescent="0.6">
      <c r="A8261" s="24">
        <v>41529</v>
      </c>
      <c r="B8261" s="23">
        <v>62.241936000000003</v>
      </c>
      <c r="C8261" s="32">
        <f t="shared" si="129"/>
        <v>1.0647811267002316E-2</v>
      </c>
    </row>
    <row r="8262" spans="1:3" x14ac:dyDescent="0.6">
      <c r="A8262" s="24">
        <v>41530</v>
      </c>
      <c r="B8262" s="23">
        <v>61.216171000000003</v>
      </c>
      <c r="C8262" s="32">
        <f t="shared" si="129"/>
        <v>-1.6480287502625202E-2</v>
      </c>
    </row>
    <row r="8263" spans="1:3" x14ac:dyDescent="0.6">
      <c r="A8263" s="24">
        <v>41533</v>
      </c>
      <c r="B8263" s="23">
        <v>59.27</v>
      </c>
      <c r="C8263" s="32">
        <f t="shared" si="129"/>
        <v>-3.1791779332294379E-2</v>
      </c>
    </row>
    <row r="8264" spans="1:3" x14ac:dyDescent="0.6">
      <c r="A8264" s="24">
        <v>41534</v>
      </c>
      <c r="B8264" s="23">
        <v>59.954723000000001</v>
      </c>
      <c r="C8264" s="32">
        <f t="shared" si="129"/>
        <v>1.1552606715032887E-2</v>
      </c>
    </row>
    <row r="8265" spans="1:3" x14ac:dyDescent="0.6">
      <c r="A8265" s="24">
        <v>41535</v>
      </c>
      <c r="B8265" s="23">
        <v>61.187206000000003</v>
      </c>
      <c r="C8265" s="32">
        <f t="shared" si="129"/>
        <v>2.0556895909601636E-2</v>
      </c>
    </row>
    <row r="8266" spans="1:3" x14ac:dyDescent="0.6">
      <c r="A8266" s="24">
        <v>41536</v>
      </c>
      <c r="B8266" s="23">
        <v>62.190567000000001</v>
      </c>
      <c r="C8266" s="32">
        <f t="shared" si="129"/>
        <v>1.6398215666196592E-2</v>
      </c>
    </row>
    <row r="8267" spans="1:3" x14ac:dyDescent="0.6">
      <c r="A8267" s="24">
        <v>41537</v>
      </c>
      <c r="B8267" s="23">
        <v>61.546683999999999</v>
      </c>
      <c r="C8267" s="32">
        <f t="shared" si="129"/>
        <v>-1.0353386872964276E-2</v>
      </c>
    </row>
    <row r="8268" spans="1:3" x14ac:dyDescent="0.6">
      <c r="A8268" s="24">
        <v>41540</v>
      </c>
      <c r="B8268" s="23">
        <v>64.605521999999993</v>
      </c>
      <c r="C8268" s="32">
        <f t="shared" si="129"/>
        <v>4.9699476904393247E-2</v>
      </c>
    </row>
    <row r="8269" spans="1:3" x14ac:dyDescent="0.6">
      <c r="A8269" s="24">
        <v>41541</v>
      </c>
      <c r="B8269" s="23">
        <v>64.402739999999994</v>
      </c>
      <c r="C8269" s="32">
        <f t="shared" si="129"/>
        <v>-3.1387719458407792E-3</v>
      </c>
    </row>
    <row r="8270" spans="1:3" x14ac:dyDescent="0.6">
      <c r="A8270" s="24">
        <v>41542</v>
      </c>
      <c r="B8270" s="23">
        <v>63.405949</v>
      </c>
      <c r="C8270" s="32">
        <f t="shared" si="129"/>
        <v>-1.5477462604851833E-2</v>
      </c>
    </row>
    <row r="8271" spans="1:3" x14ac:dyDescent="0.6">
      <c r="A8271" s="24">
        <v>41543</v>
      </c>
      <c r="B8271" s="23">
        <v>64.023505999999998</v>
      </c>
      <c r="C8271" s="32">
        <f t="shared" si="129"/>
        <v>9.7397327812251966E-3</v>
      </c>
    </row>
    <row r="8272" spans="1:3" x14ac:dyDescent="0.6">
      <c r="A8272" s="24">
        <v>41544</v>
      </c>
      <c r="B8272" s="23">
        <v>63.566592999999997</v>
      </c>
      <c r="C8272" s="32">
        <f t="shared" si="129"/>
        <v>-7.1366444692985143E-3</v>
      </c>
    </row>
    <row r="8273" spans="1:3" x14ac:dyDescent="0.6">
      <c r="A8273" s="24">
        <v>41547</v>
      </c>
      <c r="B8273" s="23">
        <v>62.776530999999999</v>
      </c>
      <c r="C8273" s="32">
        <f t="shared" si="129"/>
        <v>-1.2428886978416487E-2</v>
      </c>
    </row>
    <row r="8274" spans="1:3" x14ac:dyDescent="0.6">
      <c r="A8274" s="24">
        <v>41548</v>
      </c>
      <c r="B8274" s="23">
        <v>64.252632000000006</v>
      </c>
      <c r="C8274" s="32">
        <f t="shared" si="129"/>
        <v>2.3513580258202049E-2</v>
      </c>
    </row>
    <row r="8275" spans="1:3" x14ac:dyDescent="0.6">
      <c r="A8275" s="24">
        <v>41549</v>
      </c>
      <c r="B8275" s="23">
        <v>64.463295000000002</v>
      </c>
      <c r="C8275" s="32">
        <f t="shared" si="129"/>
        <v>3.278667245880218E-3</v>
      </c>
    </row>
    <row r="8276" spans="1:3" x14ac:dyDescent="0.6">
      <c r="A8276" s="24">
        <v>41550</v>
      </c>
      <c r="B8276" s="23">
        <v>63.653495999999997</v>
      </c>
      <c r="C8276" s="32">
        <f t="shared" si="129"/>
        <v>-1.2562172008117267E-2</v>
      </c>
    </row>
    <row r="8277" spans="1:3" x14ac:dyDescent="0.6">
      <c r="A8277" s="24">
        <v>41551</v>
      </c>
      <c r="B8277" s="23">
        <v>63.603473999999999</v>
      </c>
      <c r="C8277" s="32">
        <f t="shared" si="129"/>
        <v>-7.8584843163997942E-4</v>
      </c>
    </row>
    <row r="8278" spans="1:3" x14ac:dyDescent="0.6">
      <c r="A8278" s="24">
        <v>41554</v>
      </c>
      <c r="B8278" s="23">
        <v>64.224975999999998</v>
      </c>
      <c r="C8278" s="32">
        <f t="shared" si="129"/>
        <v>9.7715102794542208E-3</v>
      </c>
    </row>
    <row r="8279" spans="1:3" x14ac:dyDescent="0.6">
      <c r="A8279" s="24">
        <v>41555</v>
      </c>
      <c r="B8279" s="23">
        <v>63.328251000000002</v>
      </c>
      <c r="C8279" s="32">
        <f t="shared" si="129"/>
        <v>-1.3962247335055356E-2</v>
      </c>
    </row>
    <row r="8280" spans="1:3" x14ac:dyDescent="0.6">
      <c r="A8280" s="24">
        <v>41556</v>
      </c>
      <c r="B8280" s="23">
        <v>64.072226999999998</v>
      </c>
      <c r="C8280" s="32">
        <f t="shared" si="129"/>
        <v>1.1747932214328793E-2</v>
      </c>
    </row>
    <row r="8281" spans="1:3" x14ac:dyDescent="0.6">
      <c r="A8281" s="24">
        <v>41557</v>
      </c>
      <c r="B8281" s="23">
        <v>64.473838999999998</v>
      </c>
      <c r="C8281" s="32">
        <f t="shared" si="129"/>
        <v>6.2681136399393989E-3</v>
      </c>
    </row>
    <row r="8282" spans="1:3" x14ac:dyDescent="0.6">
      <c r="A8282" s="24">
        <v>41558</v>
      </c>
      <c r="B8282" s="23">
        <v>64.891243000000003</v>
      </c>
      <c r="C8282" s="32">
        <f t="shared" si="129"/>
        <v>6.4740056815912883E-3</v>
      </c>
    </row>
    <row r="8283" spans="1:3" x14ac:dyDescent="0.6">
      <c r="A8283" s="24">
        <v>41561</v>
      </c>
      <c r="B8283" s="23">
        <v>65.316565999999995</v>
      </c>
      <c r="C8283" s="32">
        <f t="shared" si="129"/>
        <v>6.5543974862678489E-3</v>
      </c>
    </row>
    <row r="8284" spans="1:3" x14ac:dyDescent="0.6">
      <c r="A8284" s="24">
        <v>41562</v>
      </c>
      <c r="B8284" s="23">
        <v>65.664185000000003</v>
      </c>
      <c r="C8284" s="32">
        <f t="shared" si="129"/>
        <v>5.3220648495209133E-3</v>
      </c>
    </row>
    <row r="8285" spans="1:3" x14ac:dyDescent="0.6">
      <c r="A8285" s="24">
        <v>41563</v>
      </c>
      <c r="B8285" s="23">
        <v>65.984161</v>
      </c>
      <c r="C8285" s="32">
        <f t="shared" si="129"/>
        <v>4.8729151210815669E-3</v>
      </c>
    </row>
    <row r="8286" spans="1:3" x14ac:dyDescent="0.6">
      <c r="A8286" s="24">
        <v>41564</v>
      </c>
      <c r="B8286" s="23">
        <v>66.430533999999994</v>
      </c>
      <c r="C8286" s="32">
        <f t="shared" si="129"/>
        <v>6.7648507344058029E-3</v>
      </c>
    </row>
    <row r="8287" spans="1:3" x14ac:dyDescent="0.6">
      <c r="A8287" s="24">
        <v>41565</v>
      </c>
      <c r="B8287" s="23">
        <v>67.008606</v>
      </c>
      <c r="C8287" s="32">
        <f t="shared" si="129"/>
        <v>8.7019020500422872E-3</v>
      </c>
    </row>
    <row r="8288" spans="1:3" x14ac:dyDescent="0.6">
      <c r="A8288" s="24">
        <v>41568</v>
      </c>
      <c r="B8288" s="23">
        <v>68.650588999999997</v>
      </c>
      <c r="C8288" s="32">
        <f t="shared" si="129"/>
        <v>2.4504061463388682E-2</v>
      </c>
    </row>
    <row r="8289" spans="1:3" x14ac:dyDescent="0.6">
      <c r="A8289" s="24">
        <v>41569</v>
      </c>
      <c r="B8289" s="23">
        <v>68.454407000000003</v>
      </c>
      <c r="C8289" s="32">
        <f t="shared" si="129"/>
        <v>-2.8576885188850154E-3</v>
      </c>
    </row>
    <row r="8290" spans="1:3" x14ac:dyDescent="0.6">
      <c r="A8290" s="24">
        <v>41570</v>
      </c>
      <c r="B8290" s="23">
        <v>69.124640999999997</v>
      </c>
      <c r="C8290" s="32">
        <f t="shared" si="129"/>
        <v>9.7909547299124267E-3</v>
      </c>
    </row>
    <row r="8291" spans="1:3" x14ac:dyDescent="0.6">
      <c r="A8291" s="24">
        <v>41571</v>
      </c>
      <c r="B8291" s="23">
        <v>70.039803000000006</v>
      </c>
      <c r="C8291" s="32">
        <f t="shared" si="129"/>
        <v>1.3239302031239575E-2</v>
      </c>
    </row>
    <row r="8292" spans="1:3" x14ac:dyDescent="0.6">
      <c r="A8292" s="24">
        <v>41572</v>
      </c>
      <c r="B8292" s="23">
        <v>69.256309999999999</v>
      </c>
      <c r="C8292" s="32">
        <f t="shared" si="129"/>
        <v>-1.1186396398059628E-2</v>
      </c>
    </row>
    <row r="8293" spans="1:3" x14ac:dyDescent="0.6">
      <c r="A8293" s="24">
        <v>41575</v>
      </c>
      <c r="B8293" s="23">
        <v>69.772475999999997</v>
      </c>
      <c r="C8293" s="32">
        <f t="shared" si="129"/>
        <v>7.4529815405990352E-3</v>
      </c>
    </row>
    <row r="8294" spans="1:3" x14ac:dyDescent="0.6">
      <c r="A8294" s="24">
        <v>41576</v>
      </c>
      <c r="B8294" s="23">
        <v>68.034362999999999</v>
      </c>
      <c r="C8294" s="32">
        <f t="shared" si="129"/>
        <v>-2.4911155510662919E-2</v>
      </c>
    </row>
    <row r="8295" spans="1:3" x14ac:dyDescent="0.6">
      <c r="A8295" s="24">
        <v>41577</v>
      </c>
      <c r="B8295" s="23">
        <v>69.116737000000001</v>
      </c>
      <c r="C8295" s="32">
        <f t="shared" si="129"/>
        <v>1.5909225166111929E-2</v>
      </c>
    </row>
    <row r="8296" spans="1:3" x14ac:dyDescent="0.6">
      <c r="A8296" s="24">
        <v>41578</v>
      </c>
      <c r="B8296" s="23">
        <v>68.827049000000002</v>
      </c>
      <c r="C8296" s="32">
        <f t="shared" si="129"/>
        <v>-4.1912858241557327E-3</v>
      </c>
    </row>
    <row r="8297" spans="1:3" x14ac:dyDescent="0.6">
      <c r="A8297" s="24">
        <v>41579</v>
      </c>
      <c r="B8297" s="23">
        <v>68.475479000000007</v>
      </c>
      <c r="C8297" s="32">
        <f t="shared" si="129"/>
        <v>-5.108020830589366E-3</v>
      </c>
    </row>
    <row r="8298" spans="1:3" x14ac:dyDescent="0.6">
      <c r="A8298" s="24">
        <v>41582</v>
      </c>
      <c r="B8298" s="23">
        <v>69.360320999999999</v>
      </c>
      <c r="C8298" s="32">
        <f t="shared" si="129"/>
        <v>1.2922027168294603E-2</v>
      </c>
    </row>
    <row r="8299" spans="1:3" x14ac:dyDescent="0.6">
      <c r="A8299" s="24">
        <v>41583</v>
      </c>
      <c r="B8299" s="23">
        <v>69.189162999999994</v>
      </c>
      <c r="C8299" s="32">
        <f t="shared" si="129"/>
        <v>-2.467664473467579E-3</v>
      </c>
    </row>
    <row r="8300" spans="1:3" x14ac:dyDescent="0.6">
      <c r="A8300" s="24">
        <v>41584</v>
      </c>
      <c r="B8300" s="23">
        <v>68.993140999999994</v>
      </c>
      <c r="C8300" s="32">
        <f t="shared" si="129"/>
        <v>-2.8331315411345148E-3</v>
      </c>
    </row>
    <row r="8301" spans="1:3" x14ac:dyDescent="0.6">
      <c r="A8301" s="24">
        <v>41585</v>
      </c>
      <c r="B8301" s="23">
        <v>67.876609999999999</v>
      </c>
      <c r="C8301" s="32">
        <f t="shared" si="129"/>
        <v>-1.6183217401277594E-2</v>
      </c>
    </row>
    <row r="8302" spans="1:3" x14ac:dyDescent="0.6">
      <c r="A8302" s="24">
        <v>41586</v>
      </c>
      <c r="B8302" s="23">
        <v>68.945464999999999</v>
      </c>
      <c r="C8302" s="32">
        <f t="shared" si="129"/>
        <v>1.5747029794210388E-2</v>
      </c>
    </row>
    <row r="8303" spans="1:3" x14ac:dyDescent="0.6">
      <c r="A8303" s="24">
        <v>41589</v>
      </c>
      <c r="B8303" s="23">
        <v>68.745468000000002</v>
      </c>
      <c r="C8303" s="32">
        <f t="shared" si="129"/>
        <v>-2.9007999293354514E-3</v>
      </c>
    </row>
    <row r="8304" spans="1:3" x14ac:dyDescent="0.6">
      <c r="A8304" s="24">
        <v>41590</v>
      </c>
      <c r="B8304" s="23">
        <v>68.872612000000004</v>
      </c>
      <c r="C8304" s="32">
        <f t="shared" si="129"/>
        <v>1.8494891910547651E-3</v>
      </c>
    </row>
    <row r="8305" spans="1:3" x14ac:dyDescent="0.6">
      <c r="A8305" s="24">
        <v>41591</v>
      </c>
      <c r="B8305" s="23">
        <v>68.954712000000001</v>
      </c>
      <c r="C8305" s="32">
        <f t="shared" si="129"/>
        <v>1.1920558494282751E-3</v>
      </c>
    </row>
    <row r="8306" spans="1:3" x14ac:dyDescent="0.6">
      <c r="A8306" s="24">
        <v>41592</v>
      </c>
      <c r="B8306" s="23">
        <v>69.952042000000006</v>
      </c>
      <c r="C8306" s="32">
        <f t="shared" si="129"/>
        <v>1.4463551091330906E-2</v>
      </c>
    </row>
    <row r="8307" spans="1:3" x14ac:dyDescent="0.6">
      <c r="A8307" s="24">
        <v>41593</v>
      </c>
      <c r="B8307" s="23">
        <v>69.532203999999993</v>
      </c>
      <c r="C8307" s="32">
        <f t="shared" si="129"/>
        <v>-6.0017976315832611E-3</v>
      </c>
    </row>
    <row r="8308" spans="1:3" x14ac:dyDescent="0.6">
      <c r="A8308" s="24">
        <v>41596</v>
      </c>
      <c r="B8308" s="23">
        <v>68.689835000000002</v>
      </c>
      <c r="C8308" s="32">
        <f t="shared" si="129"/>
        <v>-1.2114803667089169E-2</v>
      </c>
    </row>
    <row r="8309" spans="1:3" x14ac:dyDescent="0.6">
      <c r="A8309" s="24">
        <v>41597</v>
      </c>
      <c r="B8309" s="23">
        <v>68.811676000000006</v>
      </c>
      <c r="C8309" s="32">
        <f t="shared" si="129"/>
        <v>1.7737850149153189E-3</v>
      </c>
    </row>
    <row r="8310" spans="1:3" x14ac:dyDescent="0.6">
      <c r="A8310" s="24">
        <v>41598</v>
      </c>
      <c r="B8310" s="23">
        <v>68.209052999999997</v>
      </c>
      <c r="C8310" s="32">
        <f t="shared" si="129"/>
        <v>-8.7575689916346011E-3</v>
      </c>
    </row>
    <row r="8311" spans="1:3" x14ac:dyDescent="0.6">
      <c r="A8311" s="24">
        <v>41599</v>
      </c>
      <c r="B8311" s="23">
        <v>69.022262999999995</v>
      </c>
      <c r="C8311" s="32">
        <f t="shared" si="129"/>
        <v>1.1922317701728025E-2</v>
      </c>
    </row>
    <row r="8312" spans="1:3" x14ac:dyDescent="0.6">
      <c r="A8312" s="24">
        <v>41600</v>
      </c>
      <c r="B8312" s="23">
        <v>68.844795000000005</v>
      </c>
      <c r="C8312" s="32">
        <f t="shared" si="129"/>
        <v>-2.5711704062787444E-3</v>
      </c>
    </row>
    <row r="8313" spans="1:3" x14ac:dyDescent="0.6">
      <c r="A8313" s="24">
        <v>41603</v>
      </c>
      <c r="B8313" s="23">
        <v>69.366623000000004</v>
      </c>
      <c r="C8313" s="32">
        <f t="shared" si="129"/>
        <v>7.5797741862693169E-3</v>
      </c>
    </row>
    <row r="8314" spans="1:3" x14ac:dyDescent="0.6">
      <c r="A8314" s="24">
        <v>41604</v>
      </c>
      <c r="B8314" s="23">
        <v>70.646041999999994</v>
      </c>
      <c r="C8314" s="32">
        <f t="shared" si="129"/>
        <v>1.8444302816932323E-2</v>
      </c>
    </row>
    <row r="8315" spans="1:3" x14ac:dyDescent="0.6">
      <c r="A8315" s="24">
        <v>41605</v>
      </c>
      <c r="B8315" s="23">
        <v>72.309562999999997</v>
      </c>
      <c r="C8315" s="32">
        <f t="shared" si="129"/>
        <v>2.3547263978355604E-2</v>
      </c>
    </row>
    <row r="8316" spans="1:3" x14ac:dyDescent="0.6">
      <c r="A8316" s="24">
        <v>41607</v>
      </c>
      <c r="B8316" s="23">
        <v>73.648574999999994</v>
      </c>
      <c r="C8316" s="32">
        <f t="shared" si="129"/>
        <v>1.851777198542881E-2</v>
      </c>
    </row>
    <row r="8317" spans="1:3" x14ac:dyDescent="0.6">
      <c r="A8317" s="24">
        <v>41610</v>
      </c>
      <c r="B8317" s="23">
        <v>73.007537999999997</v>
      </c>
      <c r="C8317" s="32">
        <f t="shared" si="129"/>
        <v>-8.7039973278505434E-3</v>
      </c>
    </row>
    <row r="8318" spans="1:3" x14ac:dyDescent="0.6">
      <c r="A8318" s="24">
        <v>41611</v>
      </c>
      <c r="B8318" s="23">
        <v>75.006125999999995</v>
      </c>
      <c r="C8318" s="32">
        <f t="shared" si="129"/>
        <v>2.7375091048817524E-2</v>
      </c>
    </row>
    <row r="8319" spans="1:3" x14ac:dyDescent="0.6">
      <c r="A8319" s="24">
        <v>41612</v>
      </c>
      <c r="B8319" s="23">
        <v>74.831305999999998</v>
      </c>
      <c r="C8319" s="32">
        <f t="shared" si="129"/>
        <v>-2.3307429582484218E-3</v>
      </c>
    </row>
    <row r="8320" spans="1:3" x14ac:dyDescent="0.6">
      <c r="A8320" s="24">
        <v>41613</v>
      </c>
      <c r="B8320" s="23">
        <v>75.215393000000006</v>
      </c>
      <c r="C8320" s="32">
        <f t="shared" si="129"/>
        <v>5.13270475327543E-3</v>
      </c>
    </row>
    <row r="8321" spans="1:3" x14ac:dyDescent="0.6">
      <c r="A8321" s="24">
        <v>41614</v>
      </c>
      <c r="B8321" s="23">
        <v>74.171722000000003</v>
      </c>
      <c r="C8321" s="32">
        <f t="shared" si="129"/>
        <v>-1.3875763435816979E-2</v>
      </c>
    </row>
    <row r="8322" spans="1:3" x14ac:dyDescent="0.6">
      <c r="A8322" s="24">
        <v>41617</v>
      </c>
      <c r="B8322" s="23">
        <v>75.020698999999993</v>
      </c>
      <c r="C8322" s="32">
        <f t="shared" si="129"/>
        <v>1.1446100712074525E-2</v>
      </c>
    </row>
    <row r="8323" spans="1:3" x14ac:dyDescent="0.6">
      <c r="A8323" s="24">
        <v>41618</v>
      </c>
      <c r="B8323" s="23">
        <v>74.904144000000002</v>
      </c>
      <c r="C8323" s="32">
        <f t="shared" si="129"/>
        <v>-1.5536378833259645E-3</v>
      </c>
    </row>
    <row r="8324" spans="1:3" x14ac:dyDescent="0.6">
      <c r="A8324" s="24">
        <v>41619</v>
      </c>
      <c r="B8324" s="23">
        <v>74.349204999999998</v>
      </c>
      <c r="C8324" s="32">
        <f t="shared" ref="C8324:C8387" si="130">B8324/B8323-1</f>
        <v>-7.4086555211151373E-3</v>
      </c>
    </row>
    <row r="8325" spans="1:3" x14ac:dyDescent="0.6">
      <c r="A8325" s="24">
        <v>41620</v>
      </c>
      <c r="B8325" s="23">
        <v>74.240593000000004</v>
      </c>
      <c r="C8325" s="32">
        <f t="shared" si="130"/>
        <v>-1.4608360640843143E-3</v>
      </c>
    </row>
    <row r="8326" spans="1:3" x14ac:dyDescent="0.6">
      <c r="A8326" s="24">
        <v>41621</v>
      </c>
      <c r="B8326" s="23">
        <v>73.431365999999997</v>
      </c>
      <c r="C8326" s="32">
        <f t="shared" si="130"/>
        <v>-1.0900061102690928E-2</v>
      </c>
    </row>
    <row r="8327" spans="1:3" x14ac:dyDescent="0.6">
      <c r="A8327" s="24">
        <v>41624</v>
      </c>
      <c r="B8327" s="23">
        <v>73.837967000000006</v>
      </c>
      <c r="C8327" s="32">
        <f t="shared" si="130"/>
        <v>5.5371569691351485E-3</v>
      </c>
    </row>
    <row r="8328" spans="1:3" x14ac:dyDescent="0.6">
      <c r="A8328" s="24">
        <v>41625</v>
      </c>
      <c r="B8328" s="23">
        <v>73.505523999999994</v>
      </c>
      <c r="C8328" s="32">
        <f t="shared" si="130"/>
        <v>-4.5023314360755906E-3</v>
      </c>
    </row>
    <row r="8329" spans="1:3" x14ac:dyDescent="0.6">
      <c r="A8329" s="24">
        <v>41626</v>
      </c>
      <c r="B8329" s="23">
        <v>72.946624999999997</v>
      </c>
      <c r="C8329" s="32">
        <f t="shared" si="130"/>
        <v>-7.6034965753050132E-3</v>
      </c>
    </row>
    <row r="8330" spans="1:3" x14ac:dyDescent="0.6">
      <c r="A8330" s="24">
        <v>41627</v>
      </c>
      <c r="B8330" s="23">
        <v>72.110885999999994</v>
      </c>
      <c r="C8330" s="32">
        <f t="shared" si="130"/>
        <v>-1.1456856297327067E-2</v>
      </c>
    </row>
    <row r="8331" spans="1:3" x14ac:dyDescent="0.6">
      <c r="A8331" s="24">
        <v>41628</v>
      </c>
      <c r="B8331" s="23">
        <v>72.714843999999999</v>
      </c>
      <c r="C8331" s="32">
        <f t="shared" si="130"/>
        <v>8.3754067312389324E-3</v>
      </c>
    </row>
    <row r="8332" spans="1:3" x14ac:dyDescent="0.6">
      <c r="A8332" s="24">
        <v>41631</v>
      </c>
      <c r="B8332" s="23">
        <v>75.505447000000004</v>
      </c>
      <c r="C8332" s="32">
        <f t="shared" si="130"/>
        <v>3.8377349747185097E-2</v>
      </c>
    </row>
    <row r="8333" spans="1:3" x14ac:dyDescent="0.6">
      <c r="A8333" s="24">
        <v>41632</v>
      </c>
      <c r="B8333" s="23">
        <v>75.184914000000006</v>
      </c>
      <c r="C8333" s="32">
        <f t="shared" si="130"/>
        <v>-4.2451639283719311E-3</v>
      </c>
    </row>
    <row r="8334" spans="1:3" x14ac:dyDescent="0.6">
      <c r="A8334" s="24">
        <v>41634</v>
      </c>
      <c r="B8334" s="23">
        <v>74.685608000000002</v>
      </c>
      <c r="C8334" s="32">
        <f t="shared" si="130"/>
        <v>-6.6410397170900692E-3</v>
      </c>
    </row>
    <row r="8335" spans="1:3" x14ac:dyDescent="0.6">
      <c r="A8335" s="24">
        <v>41635</v>
      </c>
      <c r="B8335" s="23">
        <v>74.180999999999997</v>
      </c>
      <c r="C8335" s="32">
        <f t="shared" si="130"/>
        <v>-6.7564288959126584E-3</v>
      </c>
    </row>
    <row r="8336" spans="1:3" x14ac:dyDescent="0.6">
      <c r="A8336" s="24">
        <v>41638</v>
      </c>
      <c r="B8336" s="23">
        <v>73.443275</v>
      </c>
      <c r="C8336" s="32">
        <f t="shared" si="130"/>
        <v>-9.9449319906714795E-3</v>
      </c>
    </row>
    <row r="8337" spans="1:3" x14ac:dyDescent="0.6">
      <c r="A8337" s="24">
        <v>41639</v>
      </c>
      <c r="B8337" s="23">
        <v>74.304169000000002</v>
      </c>
      <c r="C8337" s="32">
        <f t="shared" si="130"/>
        <v>1.1721890125406365E-2</v>
      </c>
    </row>
    <row r="8338" spans="1:3" x14ac:dyDescent="0.6">
      <c r="A8338" s="24">
        <v>41641</v>
      </c>
      <c r="B8338" s="23">
        <v>73.259170999999995</v>
      </c>
      <c r="C8338" s="32">
        <f t="shared" si="130"/>
        <v>-1.4063786918873999E-2</v>
      </c>
    </row>
    <row r="8339" spans="1:3" x14ac:dyDescent="0.6">
      <c r="A8339" s="24">
        <v>41642</v>
      </c>
      <c r="B8339" s="23">
        <v>71.649979000000002</v>
      </c>
      <c r="C8339" s="32">
        <f t="shared" si="130"/>
        <v>-2.1965741326775201E-2</v>
      </c>
    </row>
    <row r="8340" spans="1:3" x14ac:dyDescent="0.6">
      <c r="A8340" s="24">
        <v>41645</v>
      </c>
      <c r="B8340" s="23">
        <v>72.040665000000004</v>
      </c>
      <c r="C8340" s="32">
        <f t="shared" si="130"/>
        <v>5.4527022261932068E-3</v>
      </c>
    </row>
    <row r="8341" spans="1:3" x14ac:dyDescent="0.6">
      <c r="A8341" s="24">
        <v>41646</v>
      </c>
      <c r="B8341" s="23">
        <v>71.525481999999997</v>
      </c>
      <c r="C8341" s="32">
        <f t="shared" si="130"/>
        <v>-7.1512804608342417E-3</v>
      </c>
    </row>
    <row r="8342" spans="1:3" x14ac:dyDescent="0.6">
      <c r="A8342" s="24">
        <v>41647</v>
      </c>
      <c r="B8342" s="23">
        <v>71.978438999999995</v>
      </c>
      <c r="C8342" s="32">
        <f t="shared" si="130"/>
        <v>6.3328059781546653E-3</v>
      </c>
    </row>
    <row r="8343" spans="1:3" x14ac:dyDescent="0.6">
      <c r="A8343" s="24">
        <v>41648</v>
      </c>
      <c r="B8343" s="23">
        <v>71.059280000000001</v>
      </c>
      <c r="C8343" s="32">
        <f t="shared" si="130"/>
        <v>-1.2769921281565955E-2</v>
      </c>
    </row>
    <row r="8344" spans="1:3" x14ac:dyDescent="0.6">
      <c r="A8344" s="24">
        <v>41649</v>
      </c>
      <c r="B8344" s="23">
        <v>70.585136000000006</v>
      </c>
      <c r="C8344" s="32">
        <f t="shared" si="130"/>
        <v>-6.6725134282249465E-3</v>
      </c>
    </row>
    <row r="8345" spans="1:3" x14ac:dyDescent="0.6">
      <c r="A8345" s="24">
        <v>41652</v>
      </c>
      <c r="B8345" s="23">
        <v>70.954643000000004</v>
      </c>
      <c r="C8345" s="32">
        <f t="shared" si="130"/>
        <v>5.2349123475514681E-3</v>
      </c>
    </row>
    <row r="8346" spans="1:3" x14ac:dyDescent="0.6">
      <c r="A8346" s="24">
        <v>41653</v>
      </c>
      <c r="B8346" s="23">
        <v>72.366507999999996</v>
      </c>
      <c r="C8346" s="32">
        <f t="shared" si="130"/>
        <v>1.9898134079823215E-2</v>
      </c>
    </row>
    <row r="8347" spans="1:3" x14ac:dyDescent="0.6">
      <c r="A8347" s="24">
        <v>41654</v>
      </c>
      <c r="B8347" s="23">
        <v>73.819427000000005</v>
      </c>
      <c r="C8347" s="32">
        <f t="shared" si="130"/>
        <v>2.0077229648831629E-2</v>
      </c>
    </row>
    <row r="8348" spans="1:3" x14ac:dyDescent="0.6">
      <c r="A8348" s="24">
        <v>41655</v>
      </c>
      <c r="B8348" s="23">
        <v>73.407500999999996</v>
      </c>
      <c r="C8348" s="32">
        <f t="shared" si="130"/>
        <v>-5.5801841973117661E-3</v>
      </c>
    </row>
    <row r="8349" spans="1:3" x14ac:dyDescent="0.6">
      <c r="A8349" s="24">
        <v>41656</v>
      </c>
      <c r="B8349" s="23">
        <v>71.608924999999999</v>
      </c>
      <c r="C8349" s="32">
        <f t="shared" si="130"/>
        <v>-2.4501256349810818E-2</v>
      </c>
    </row>
    <row r="8350" spans="1:3" x14ac:dyDescent="0.6">
      <c r="A8350" s="24">
        <v>41660</v>
      </c>
      <c r="B8350" s="23">
        <v>72.721451000000002</v>
      </c>
      <c r="C8350" s="32">
        <f t="shared" si="130"/>
        <v>1.5536136033322601E-2</v>
      </c>
    </row>
    <row r="8351" spans="1:3" x14ac:dyDescent="0.6">
      <c r="A8351" s="24">
        <v>41661</v>
      </c>
      <c r="B8351" s="23">
        <v>73.044617000000002</v>
      </c>
      <c r="C8351" s="32">
        <f t="shared" si="130"/>
        <v>4.443888227697812E-3</v>
      </c>
    </row>
    <row r="8352" spans="1:3" x14ac:dyDescent="0.6">
      <c r="A8352" s="24">
        <v>41662</v>
      </c>
      <c r="B8352" s="23">
        <v>73.663139000000001</v>
      </c>
      <c r="C8352" s="32">
        <f t="shared" si="130"/>
        <v>8.4677287034031767E-3</v>
      </c>
    </row>
    <row r="8353" spans="1:3" x14ac:dyDescent="0.6">
      <c r="A8353" s="24">
        <v>41663</v>
      </c>
      <c r="B8353" s="23">
        <v>72.324127000000004</v>
      </c>
      <c r="C8353" s="32">
        <f t="shared" si="130"/>
        <v>-1.8177503948073603E-2</v>
      </c>
    </row>
    <row r="8354" spans="1:3" x14ac:dyDescent="0.6">
      <c r="A8354" s="24">
        <v>41666</v>
      </c>
      <c r="B8354" s="23">
        <v>72.910835000000006</v>
      </c>
      <c r="C8354" s="32">
        <f t="shared" si="130"/>
        <v>8.1122029996989475E-3</v>
      </c>
    </row>
    <row r="8355" spans="1:3" x14ac:dyDescent="0.6">
      <c r="A8355" s="24">
        <v>41667</v>
      </c>
      <c r="B8355" s="23">
        <v>67.083275</v>
      </c>
      <c r="C8355" s="32">
        <f t="shared" si="130"/>
        <v>-7.9927215207451718E-2</v>
      </c>
    </row>
    <row r="8356" spans="1:3" x14ac:dyDescent="0.6">
      <c r="A8356" s="24">
        <v>41668</v>
      </c>
      <c r="B8356" s="23">
        <v>66.321724000000003</v>
      </c>
      <c r="C8356" s="32">
        <f t="shared" si="130"/>
        <v>-1.1352322915063384E-2</v>
      </c>
    </row>
    <row r="8357" spans="1:3" x14ac:dyDescent="0.6">
      <c r="A8357" s="24">
        <v>41669</v>
      </c>
      <c r="B8357" s="23">
        <v>66.193259999999995</v>
      </c>
      <c r="C8357" s="32">
        <f t="shared" si="130"/>
        <v>-1.9369822171693141E-3</v>
      </c>
    </row>
    <row r="8358" spans="1:3" x14ac:dyDescent="0.6">
      <c r="A8358" s="24">
        <v>41670</v>
      </c>
      <c r="B8358" s="23">
        <v>66.301849000000004</v>
      </c>
      <c r="C8358" s="32">
        <f t="shared" si="130"/>
        <v>1.6404842426556154E-3</v>
      </c>
    </row>
    <row r="8359" spans="1:3" x14ac:dyDescent="0.6">
      <c r="A8359" s="24">
        <v>41673</v>
      </c>
      <c r="B8359" s="23">
        <v>66.425017999999994</v>
      </c>
      <c r="C8359" s="32">
        <f t="shared" si="130"/>
        <v>1.8577008312390397E-3</v>
      </c>
    </row>
    <row r="8360" spans="1:3" x14ac:dyDescent="0.6">
      <c r="A8360" s="24">
        <v>41674</v>
      </c>
      <c r="B8360" s="23">
        <v>67.386581000000007</v>
      </c>
      <c r="C8360" s="32">
        <f t="shared" si="130"/>
        <v>1.4475916288047008E-2</v>
      </c>
    </row>
    <row r="8361" spans="1:3" x14ac:dyDescent="0.6">
      <c r="A8361" s="24">
        <v>41675</v>
      </c>
      <c r="B8361" s="23">
        <v>67.889876999999998</v>
      </c>
      <c r="C8361" s="32">
        <f t="shared" si="130"/>
        <v>7.4687867010196918E-3</v>
      </c>
    </row>
    <row r="8362" spans="1:3" x14ac:dyDescent="0.6">
      <c r="A8362" s="24">
        <v>41676</v>
      </c>
      <c r="B8362" s="23">
        <v>68.285576000000006</v>
      </c>
      <c r="C8362" s="32">
        <f t="shared" si="130"/>
        <v>5.8285420078165728E-3</v>
      </c>
    </row>
    <row r="8363" spans="1:3" x14ac:dyDescent="0.6">
      <c r="A8363" s="24">
        <v>41677</v>
      </c>
      <c r="B8363" s="23">
        <v>69.240891000000005</v>
      </c>
      <c r="C8363" s="32">
        <f t="shared" si="130"/>
        <v>1.3989996950453998E-2</v>
      </c>
    </row>
    <row r="8364" spans="1:3" x14ac:dyDescent="0.6">
      <c r="A8364" s="24">
        <v>41680</v>
      </c>
      <c r="B8364" s="23">
        <v>70.481323000000003</v>
      </c>
      <c r="C8364" s="32">
        <f t="shared" si="130"/>
        <v>1.7914731917588966E-2</v>
      </c>
    </row>
    <row r="8365" spans="1:3" x14ac:dyDescent="0.6">
      <c r="A8365" s="24">
        <v>41681</v>
      </c>
      <c r="B8365" s="23">
        <v>71.410004000000001</v>
      </c>
      <c r="C8365" s="32">
        <f t="shared" si="130"/>
        <v>1.3176270825676628E-2</v>
      </c>
    </row>
    <row r="8366" spans="1:3" x14ac:dyDescent="0.6">
      <c r="A8366" s="24">
        <v>41682</v>
      </c>
      <c r="B8366" s="23">
        <v>71.404670999999993</v>
      </c>
      <c r="C8366" s="32">
        <f t="shared" si="130"/>
        <v>-7.4681412985277973E-5</v>
      </c>
    </row>
    <row r="8367" spans="1:3" x14ac:dyDescent="0.6">
      <c r="A8367" s="24">
        <v>41683</v>
      </c>
      <c r="B8367" s="23">
        <v>72.538505999999998</v>
      </c>
      <c r="C8367" s="32">
        <f t="shared" si="130"/>
        <v>1.5879003209747999E-2</v>
      </c>
    </row>
    <row r="8368" spans="1:3" x14ac:dyDescent="0.6">
      <c r="A8368" s="24">
        <v>41684</v>
      </c>
      <c r="B8368" s="23">
        <v>72.479904000000005</v>
      </c>
      <c r="C8368" s="32">
        <f t="shared" si="130"/>
        <v>-8.0787437226781389E-4</v>
      </c>
    </row>
    <row r="8369" spans="1:3" x14ac:dyDescent="0.6">
      <c r="A8369" s="24">
        <v>41688</v>
      </c>
      <c r="B8369" s="23">
        <v>72.746391000000003</v>
      </c>
      <c r="C8369" s="32">
        <f t="shared" si="130"/>
        <v>3.6767018896712855E-3</v>
      </c>
    </row>
    <row r="8370" spans="1:3" x14ac:dyDescent="0.6">
      <c r="A8370" s="24">
        <v>41689</v>
      </c>
      <c r="B8370" s="23">
        <v>71.597877999999994</v>
      </c>
      <c r="C8370" s="32">
        <f t="shared" si="130"/>
        <v>-1.578790348513659E-2</v>
      </c>
    </row>
    <row r="8371" spans="1:3" x14ac:dyDescent="0.6">
      <c r="A8371" s="24">
        <v>41690</v>
      </c>
      <c r="B8371" s="23">
        <v>70.769112000000007</v>
      </c>
      <c r="C8371" s="32">
        <f t="shared" si="130"/>
        <v>-1.157528718937717E-2</v>
      </c>
    </row>
    <row r="8372" spans="1:3" x14ac:dyDescent="0.6">
      <c r="A8372" s="24">
        <v>41691</v>
      </c>
      <c r="B8372" s="23">
        <v>69.983017000000004</v>
      </c>
      <c r="C8372" s="32">
        <f t="shared" si="130"/>
        <v>-1.1107882772359856E-2</v>
      </c>
    </row>
    <row r="8373" spans="1:3" x14ac:dyDescent="0.6">
      <c r="A8373" s="24">
        <v>41694</v>
      </c>
      <c r="B8373" s="23">
        <v>70.289467000000002</v>
      </c>
      <c r="C8373" s="32">
        <f t="shared" si="130"/>
        <v>4.3789195312913254E-3</v>
      </c>
    </row>
    <row r="8374" spans="1:3" x14ac:dyDescent="0.6">
      <c r="A8374" s="24">
        <v>41695</v>
      </c>
      <c r="B8374" s="23">
        <v>69.558014</v>
      </c>
      <c r="C8374" s="32">
        <f t="shared" si="130"/>
        <v>-1.0406296010183169E-2</v>
      </c>
    </row>
    <row r="8375" spans="1:3" x14ac:dyDescent="0.6">
      <c r="A8375" s="24">
        <v>41696</v>
      </c>
      <c r="B8375" s="23">
        <v>68.930449999999993</v>
      </c>
      <c r="C8375" s="32">
        <f t="shared" si="130"/>
        <v>-9.0221667340877332E-3</v>
      </c>
    </row>
    <row r="8376" spans="1:3" x14ac:dyDescent="0.6">
      <c r="A8376" s="24">
        <v>41697</v>
      </c>
      <c r="B8376" s="23">
        <v>70.305465999999996</v>
      </c>
      <c r="C8376" s="32">
        <f t="shared" si="130"/>
        <v>1.9947874995738468E-2</v>
      </c>
    </row>
    <row r="8377" spans="1:3" x14ac:dyDescent="0.6">
      <c r="A8377" s="24">
        <v>41698</v>
      </c>
      <c r="B8377" s="23">
        <v>70.114929000000004</v>
      </c>
      <c r="C8377" s="32">
        <f t="shared" si="130"/>
        <v>-2.7101306746191156E-3</v>
      </c>
    </row>
    <row r="8378" spans="1:3" x14ac:dyDescent="0.6">
      <c r="A8378" s="24">
        <v>41701</v>
      </c>
      <c r="B8378" s="23">
        <v>70.317451000000005</v>
      </c>
      <c r="C8378" s="32">
        <f t="shared" si="130"/>
        <v>2.8884290819148895E-3</v>
      </c>
    </row>
    <row r="8379" spans="1:3" x14ac:dyDescent="0.6">
      <c r="A8379" s="24">
        <v>41702</v>
      </c>
      <c r="B8379" s="23">
        <v>70.781120000000001</v>
      </c>
      <c r="C8379" s="32">
        <f t="shared" si="130"/>
        <v>6.5939392484519743E-3</v>
      </c>
    </row>
    <row r="8380" spans="1:3" x14ac:dyDescent="0.6">
      <c r="A8380" s="24">
        <v>41703</v>
      </c>
      <c r="B8380" s="23">
        <v>70.930351000000002</v>
      </c>
      <c r="C8380" s="32">
        <f t="shared" si="130"/>
        <v>2.1083447111320819E-3</v>
      </c>
    </row>
    <row r="8381" spans="1:3" x14ac:dyDescent="0.6">
      <c r="A8381" s="24">
        <v>41704</v>
      </c>
      <c r="B8381" s="23">
        <v>70.715843000000007</v>
      </c>
      <c r="C8381" s="32">
        <f t="shared" si="130"/>
        <v>-3.0242060976124474E-3</v>
      </c>
    </row>
    <row r="8382" spans="1:3" x14ac:dyDescent="0.6">
      <c r="A8382" s="24">
        <v>41705</v>
      </c>
      <c r="B8382" s="23">
        <v>70.674537999999998</v>
      </c>
      <c r="C8382" s="32">
        <f t="shared" si="130"/>
        <v>-5.8409824796978871E-4</v>
      </c>
    </row>
    <row r="8383" spans="1:3" x14ac:dyDescent="0.6">
      <c r="A8383" s="24">
        <v>41708</v>
      </c>
      <c r="B8383" s="23">
        <v>70.738479999999996</v>
      </c>
      <c r="C8383" s="32">
        <f t="shared" si="130"/>
        <v>9.0473884668340609E-4</v>
      </c>
    </row>
    <row r="8384" spans="1:3" x14ac:dyDescent="0.6">
      <c r="A8384" s="24">
        <v>41709</v>
      </c>
      <c r="B8384" s="23">
        <v>71.427306999999999</v>
      </c>
      <c r="C8384" s="32">
        <f t="shared" si="130"/>
        <v>9.737656223317348E-3</v>
      </c>
    </row>
    <row r="8385" spans="1:3" x14ac:dyDescent="0.6">
      <c r="A8385" s="24">
        <v>41710</v>
      </c>
      <c r="B8385" s="23">
        <v>71.496605000000002</v>
      </c>
      <c r="C8385" s="32">
        <f t="shared" si="130"/>
        <v>9.7018917428881579E-4</v>
      </c>
    </row>
    <row r="8386" spans="1:3" x14ac:dyDescent="0.6">
      <c r="A8386" s="24">
        <v>41711</v>
      </c>
      <c r="B8386" s="23">
        <v>70.702506999999997</v>
      </c>
      <c r="C8386" s="32">
        <f t="shared" si="130"/>
        <v>-1.1106793112763969E-2</v>
      </c>
    </row>
    <row r="8387" spans="1:3" x14ac:dyDescent="0.6">
      <c r="A8387" s="24">
        <v>41712</v>
      </c>
      <c r="B8387" s="23">
        <v>69.908417</v>
      </c>
      <c r="C8387" s="32">
        <f t="shared" si="130"/>
        <v>-1.1231426348149109E-2</v>
      </c>
    </row>
    <row r="8388" spans="1:3" x14ac:dyDescent="0.6">
      <c r="A8388" s="24">
        <v>41715</v>
      </c>
      <c r="B8388" s="23">
        <v>70.181563999999995</v>
      </c>
      <c r="C8388" s="32">
        <f t="shared" ref="C8388:C8451" si="131">B8388/B8387-1</f>
        <v>3.9072119169856201E-3</v>
      </c>
    </row>
    <row r="8389" spans="1:3" x14ac:dyDescent="0.6">
      <c r="A8389" s="24">
        <v>41716</v>
      </c>
      <c r="B8389" s="23">
        <v>70.802422000000007</v>
      </c>
      <c r="C8389" s="32">
        <f t="shared" si="131"/>
        <v>8.8464543195418965E-3</v>
      </c>
    </row>
    <row r="8390" spans="1:3" x14ac:dyDescent="0.6">
      <c r="A8390" s="24">
        <v>41717</v>
      </c>
      <c r="B8390" s="23">
        <v>70.783783</v>
      </c>
      <c r="C8390" s="32">
        <f t="shared" si="131"/>
        <v>-2.6325370620805533E-4</v>
      </c>
    </row>
    <row r="8391" spans="1:3" x14ac:dyDescent="0.6">
      <c r="A8391" s="24">
        <v>41718</v>
      </c>
      <c r="B8391" s="23">
        <v>70.442688000000004</v>
      </c>
      <c r="C8391" s="32">
        <f t="shared" si="131"/>
        <v>-4.8188297593531049E-3</v>
      </c>
    </row>
    <row r="8392" spans="1:3" x14ac:dyDescent="0.6">
      <c r="A8392" s="24">
        <v>41719</v>
      </c>
      <c r="B8392" s="23">
        <v>70.998283000000001</v>
      </c>
      <c r="C8392" s="32">
        <f t="shared" si="131"/>
        <v>7.8871919254415168E-3</v>
      </c>
    </row>
    <row r="8393" spans="1:3" x14ac:dyDescent="0.6">
      <c r="A8393" s="24">
        <v>41722</v>
      </c>
      <c r="B8393" s="23">
        <v>71.840362999999996</v>
      </c>
      <c r="C8393" s="32">
        <f t="shared" si="131"/>
        <v>1.1860568515438485E-2</v>
      </c>
    </row>
    <row r="8394" spans="1:3" x14ac:dyDescent="0.6">
      <c r="A8394" s="24">
        <v>41723</v>
      </c>
      <c r="B8394" s="23">
        <v>72.613129000000001</v>
      </c>
      <c r="C8394" s="32">
        <f t="shared" si="131"/>
        <v>1.0756710680874582E-2</v>
      </c>
    </row>
    <row r="8395" spans="1:3" x14ac:dyDescent="0.6">
      <c r="A8395" s="24">
        <v>41724</v>
      </c>
      <c r="B8395" s="23">
        <v>71.918976000000001</v>
      </c>
      <c r="C8395" s="32">
        <f t="shared" si="131"/>
        <v>-9.5596073266585035E-3</v>
      </c>
    </row>
    <row r="8396" spans="1:3" x14ac:dyDescent="0.6">
      <c r="A8396" s="24">
        <v>41725</v>
      </c>
      <c r="B8396" s="23">
        <v>71.609863000000004</v>
      </c>
      <c r="C8396" s="32">
        <f t="shared" si="131"/>
        <v>-4.2980728757873177E-3</v>
      </c>
    </row>
    <row r="8397" spans="1:3" x14ac:dyDescent="0.6">
      <c r="A8397" s="24">
        <v>41726</v>
      </c>
      <c r="B8397" s="23">
        <v>71.529915000000003</v>
      </c>
      <c r="C8397" s="32">
        <f t="shared" si="131"/>
        <v>-1.116438387823826E-3</v>
      </c>
    </row>
    <row r="8398" spans="1:3" x14ac:dyDescent="0.6">
      <c r="A8398" s="24">
        <v>41729</v>
      </c>
      <c r="B8398" s="23">
        <v>71.513915999999995</v>
      </c>
      <c r="C8398" s="32">
        <f t="shared" si="131"/>
        <v>-2.2366865667333702E-4</v>
      </c>
    </row>
    <row r="8399" spans="1:3" x14ac:dyDescent="0.6">
      <c r="A8399" s="24">
        <v>41730</v>
      </c>
      <c r="B8399" s="23">
        <v>72.168105999999995</v>
      </c>
      <c r="C8399" s="32">
        <f t="shared" si="131"/>
        <v>9.1477300725637534E-3</v>
      </c>
    </row>
    <row r="8400" spans="1:3" x14ac:dyDescent="0.6">
      <c r="A8400" s="24">
        <v>41731</v>
      </c>
      <c r="B8400" s="23">
        <v>72.288039999999995</v>
      </c>
      <c r="C8400" s="32">
        <f t="shared" si="131"/>
        <v>1.6618698570252111E-3</v>
      </c>
    </row>
    <row r="8401" spans="1:3" x14ac:dyDescent="0.6">
      <c r="A8401" s="24">
        <v>41732</v>
      </c>
      <c r="B8401" s="23">
        <v>71.787064000000001</v>
      </c>
      <c r="C8401" s="32">
        <f t="shared" si="131"/>
        <v>-6.9302750496484933E-3</v>
      </c>
    </row>
    <row r="8402" spans="1:3" x14ac:dyDescent="0.6">
      <c r="A8402" s="24">
        <v>41733</v>
      </c>
      <c r="B8402" s="23">
        <v>70.858406000000002</v>
      </c>
      <c r="C8402" s="32">
        <f t="shared" si="131"/>
        <v>-1.2936286125310836E-2</v>
      </c>
    </row>
    <row r="8403" spans="1:3" x14ac:dyDescent="0.6">
      <c r="A8403" s="24">
        <v>41736</v>
      </c>
      <c r="B8403" s="23">
        <v>69.745887999999994</v>
      </c>
      <c r="C8403" s="32">
        <f t="shared" si="131"/>
        <v>-1.5700578982823954E-2</v>
      </c>
    </row>
    <row r="8404" spans="1:3" x14ac:dyDescent="0.6">
      <c r="A8404" s="24">
        <v>41737</v>
      </c>
      <c r="B8404" s="23">
        <v>69.741866999999999</v>
      </c>
      <c r="C8404" s="32">
        <f t="shared" si="131"/>
        <v>-5.7652144309860986E-5</v>
      </c>
    </row>
    <row r="8405" spans="1:3" x14ac:dyDescent="0.6">
      <c r="A8405" s="24">
        <v>41738</v>
      </c>
      <c r="B8405" s="23">
        <v>70.658553999999995</v>
      </c>
      <c r="C8405" s="32">
        <f t="shared" si="131"/>
        <v>1.3143998568320381E-2</v>
      </c>
    </row>
    <row r="8406" spans="1:3" x14ac:dyDescent="0.6">
      <c r="A8406" s="24">
        <v>41739</v>
      </c>
      <c r="B8406" s="23">
        <v>69.747208000000001</v>
      </c>
      <c r="C8406" s="32">
        <f t="shared" si="131"/>
        <v>-1.2897886362067235E-2</v>
      </c>
    </row>
    <row r="8407" spans="1:3" x14ac:dyDescent="0.6">
      <c r="A8407" s="24">
        <v>41740</v>
      </c>
      <c r="B8407" s="23">
        <v>69.231575000000007</v>
      </c>
      <c r="C8407" s="32">
        <f t="shared" si="131"/>
        <v>-7.3928837409519277E-3</v>
      </c>
    </row>
    <row r="8408" spans="1:3" x14ac:dyDescent="0.6">
      <c r="A8408" s="24">
        <v>41743</v>
      </c>
      <c r="B8408" s="23">
        <v>69.507369999999995</v>
      </c>
      <c r="C8408" s="32">
        <f t="shared" si="131"/>
        <v>3.9836591901887264E-3</v>
      </c>
    </row>
    <row r="8409" spans="1:3" x14ac:dyDescent="0.6">
      <c r="A8409" s="24">
        <v>41744</v>
      </c>
      <c r="B8409" s="23">
        <v>69.011725999999996</v>
      </c>
      <c r="C8409" s="32">
        <f t="shared" si="131"/>
        <v>-7.1308121714287465E-3</v>
      </c>
    </row>
    <row r="8410" spans="1:3" x14ac:dyDescent="0.6">
      <c r="A8410" s="24">
        <v>41745</v>
      </c>
      <c r="B8410" s="23">
        <v>69.151627000000005</v>
      </c>
      <c r="C8410" s="32">
        <f t="shared" si="131"/>
        <v>2.0272062171000638E-3</v>
      </c>
    </row>
    <row r="8411" spans="1:3" x14ac:dyDescent="0.6">
      <c r="A8411" s="24">
        <v>41746</v>
      </c>
      <c r="B8411" s="23">
        <v>69.941727</v>
      </c>
      <c r="C8411" s="32">
        <f t="shared" si="131"/>
        <v>1.1425616927277726E-2</v>
      </c>
    </row>
    <row r="8412" spans="1:3" x14ac:dyDescent="0.6">
      <c r="A8412" s="24">
        <v>41750</v>
      </c>
      <c r="B8412" s="23">
        <v>70.771805000000001</v>
      </c>
      <c r="C8412" s="32">
        <f t="shared" si="131"/>
        <v>1.1868137027843284E-2</v>
      </c>
    </row>
    <row r="8413" spans="1:3" x14ac:dyDescent="0.6">
      <c r="A8413" s="24">
        <v>41751</v>
      </c>
      <c r="B8413" s="23">
        <v>70.842415000000003</v>
      </c>
      <c r="C8413" s="32">
        <f t="shared" si="131"/>
        <v>9.9771370816381655E-4</v>
      </c>
    </row>
    <row r="8414" spans="1:3" x14ac:dyDescent="0.6">
      <c r="A8414" s="24">
        <v>41752</v>
      </c>
      <c r="B8414" s="23">
        <v>69.916404999999997</v>
      </c>
      <c r="C8414" s="32">
        <f t="shared" si="131"/>
        <v>-1.3071406444853717E-2</v>
      </c>
    </row>
    <row r="8415" spans="1:3" x14ac:dyDescent="0.6">
      <c r="A8415" s="24">
        <v>41753</v>
      </c>
      <c r="B8415" s="23">
        <v>75.648292999999995</v>
      </c>
      <c r="C8415" s="32">
        <f t="shared" si="131"/>
        <v>8.1982018383239152E-2</v>
      </c>
    </row>
    <row r="8416" spans="1:3" x14ac:dyDescent="0.6">
      <c r="A8416" s="24">
        <v>41754</v>
      </c>
      <c r="B8416" s="23">
        <v>76.203888000000006</v>
      </c>
      <c r="C8416" s="32">
        <f t="shared" si="131"/>
        <v>7.3444486050731062E-3</v>
      </c>
    </row>
    <row r="8417" spans="1:3" x14ac:dyDescent="0.6">
      <c r="A8417" s="24">
        <v>41757</v>
      </c>
      <c r="B8417" s="23">
        <v>79.155083000000005</v>
      </c>
      <c r="C8417" s="32">
        <f t="shared" si="131"/>
        <v>3.8727617152552574E-2</v>
      </c>
    </row>
    <row r="8418" spans="1:3" x14ac:dyDescent="0.6">
      <c r="A8418" s="24">
        <v>41758</v>
      </c>
      <c r="B8418" s="23">
        <v>78.920586</v>
      </c>
      <c r="C8418" s="32">
        <f t="shared" si="131"/>
        <v>-2.9625008415442577E-3</v>
      </c>
    </row>
    <row r="8419" spans="1:3" x14ac:dyDescent="0.6">
      <c r="A8419" s="24">
        <v>41759</v>
      </c>
      <c r="B8419" s="23">
        <v>78.622139000000004</v>
      </c>
      <c r="C8419" s="32">
        <f t="shared" si="131"/>
        <v>-3.7816115556972285E-3</v>
      </c>
    </row>
    <row r="8420" spans="1:3" x14ac:dyDescent="0.6">
      <c r="A8420" s="24">
        <v>41760</v>
      </c>
      <c r="B8420" s="23">
        <v>78.807357999999994</v>
      </c>
      <c r="C8420" s="32">
        <f t="shared" si="131"/>
        <v>2.3558122731814901E-3</v>
      </c>
    </row>
    <row r="8421" spans="1:3" x14ac:dyDescent="0.6">
      <c r="A8421" s="24">
        <v>41761</v>
      </c>
      <c r="B8421" s="23">
        <v>78.953911000000005</v>
      </c>
      <c r="C8421" s="32">
        <f t="shared" si="131"/>
        <v>1.8596359999787371E-3</v>
      </c>
    </row>
    <row r="8422" spans="1:3" x14ac:dyDescent="0.6">
      <c r="A8422" s="24">
        <v>41764</v>
      </c>
      <c r="B8422" s="23">
        <v>80.070449999999994</v>
      </c>
      <c r="C8422" s="32">
        <f t="shared" si="131"/>
        <v>1.4141655376641138E-2</v>
      </c>
    </row>
    <row r="8423" spans="1:3" x14ac:dyDescent="0.6">
      <c r="A8423" s="24">
        <v>41765</v>
      </c>
      <c r="B8423" s="23">
        <v>79.197745999999995</v>
      </c>
      <c r="C8423" s="32">
        <f t="shared" si="131"/>
        <v>-1.089920189033533E-2</v>
      </c>
    </row>
    <row r="8424" spans="1:3" x14ac:dyDescent="0.6">
      <c r="A8424" s="24">
        <v>41766</v>
      </c>
      <c r="B8424" s="23">
        <v>78.920586</v>
      </c>
      <c r="C8424" s="32">
        <f t="shared" si="131"/>
        <v>-3.4995945465416955E-3</v>
      </c>
    </row>
    <row r="8425" spans="1:3" x14ac:dyDescent="0.6">
      <c r="A8425" s="24">
        <v>41767</v>
      </c>
      <c r="B8425" s="23">
        <v>78.779921999999999</v>
      </c>
      <c r="C8425" s="32">
        <f t="shared" si="131"/>
        <v>-1.7823486510858411E-3</v>
      </c>
    </row>
    <row r="8426" spans="1:3" x14ac:dyDescent="0.6">
      <c r="A8426" s="24">
        <v>41768</v>
      </c>
      <c r="B8426" s="23">
        <v>78.451674999999994</v>
      </c>
      <c r="C8426" s="32">
        <f t="shared" si="131"/>
        <v>-4.1666327113144552E-3</v>
      </c>
    </row>
    <row r="8427" spans="1:3" x14ac:dyDescent="0.6">
      <c r="A8427" s="24">
        <v>41771</v>
      </c>
      <c r="B8427" s="23">
        <v>79.428382999999997</v>
      </c>
      <c r="C8427" s="32">
        <f t="shared" si="131"/>
        <v>1.2449804290348254E-2</v>
      </c>
    </row>
    <row r="8428" spans="1:3" x14ac:dyDescent="0.6">
      <c r="A8428" s="24">
        <v>41772</v>
      </c>
      <c r="B8428" s="23">
        <v>79.552993999999998</v>
      </c>
      <c r="C8428" s="32">
        <f t="shared" si="131"/>
        <v>1.5688472469594927E-3</v>
      </c>
    </row>
    <row r="8429" spans="1:3" x14ac:dyDescent="0.6">
      <c r="A8429" s="24">
        <v>41773</v>
      </c>
      <c r="B8429" s="23">
        <v>79.567725999999993</v>
      </c>
      <c r="C8429" s="32">
        <f t="shared" si="131"/>
        <v>1.8518473358763998E-4</v>
      </c>
    </row>
    <row r="8430" spans="1:3" x14ac:dyDescent="0.6">
      <c r="A8430" s="24">
        <v>41774</v>
      </c>
      <c r="B8430" s="23">
        <v>78.891113000000004</v>
      </c>
      <c r="C8430" s="32">
        <f t="shared" si="131"/>
        <v>-8.5036111249426893E-3</v>
      </c>
    </row>
    <row r="8431" spans="1:3" x14ac:dyDescent="0.6">
      <c r="A8431" s="24">
        <v>41775</v>
      </c>
      <c r="B8431" s="23">
        <v>80.055435000000003</v>
      </c>
      <c r="C8431" s="32">
        <f t="shared" si="131"/>
        <v>1.4758595179155343E-2</v>
      </c>
    </row>
    <row r="8432" spans="1:3" x14ac:dyDescent="0.6">
      <c r="A8432" s="24">
        <v>41778</v>
      </c>
      <c r="B8432" s="23">
        <v>81.004020999999995</v>
      </c>
      <c r="C8432" s="32">
        <f t="shared" si="131"/>
        <v>1.1849114304356645E-2</v>
      </c>
    </row>
    <row r="8433" spans="1:3" x14ac:dyDescent="0.6">
      <c r="A8433" s="24">
        <v>41779</v>
      </c>
      <c r="B8433" s="23">
        <v>81.020103000000006</v>
      </c>
      <c r="C8433" s="32">
        <f t="shared" si="131"/>
        <v>1.9853335428887675E-4</v>
      </c>
    </row>
    <row r="8434" spans="1:3" x14ac:dyDescent="0.6">
      <c r="A8434" s="24">
        <v>41780</v>
      </c>
      <c r="B8434" s="23">
        <v>81.234459000000001</v>
      </c>
      <c r="C8434" s="32">
        <f t="shared" si="131"/>
        <v>2.6457137434150457E-3</v>
      </c>
    </row>
    <row r="8435" spans="1:3" x14ac:dyDescent="0.6">
      <c r="A8435" s="24">
        <v>41781</v>
      </c>
      <c r="B8435" s="23">
        <v>81.363090999999997</v>
      </c>
      <c r="C8435" s="32">
        <f t="shared" si="131"/>
        <v>1.5834659525459926E-3</v>
      </c>
    </row>
    <row r="8436" spans="1:3" x14ac:dyDescent="0.6">
      <c r="A8436" s="24">
        <v>41782</v>
      </c>
      <c r="B8436" s="23">
        <v>82.282211000000004</v>
      </c>
      <c r="C8436" s="32">
        <f t="shared" si="131"/>
        <v>1.1296522645630747E-2</v>
      </c>
    </row>
    <row r="8437" spans="1:3" x14ac:dyDescent="0.6">
      <c r="A8437" s="24">
        <v>41786</v>
      </c>
      <c r="B8437" s="23">
        <v>83.822990000000004</v>
      </c>
      <c r="C8437" s="32">
        <f t="shared" si="131"/>
        <v>1.8725542025116448E-2</v>
      </c>
    </row>
    <row r="8438" spans="1:3" x14ac:dyDescent="0.6">
      <c r="A8438" s="24">
        <v>41787</v>
      </c>
      <c r="B8438" s="23">
        <v>83.605941999999999</v>
      </c>
      <c r="C8438" s="32">
        <f t="shared" si="131"/>
        <v>-2.5893612241701947E-3</v>
      </c>
    </row>
    <row r="8439" spans="1:3" x14ac:dyDescent="0.6">
      <c r="A8439" s="24">
        <v>41788</v>
      </c>
      <c r="B8439" s="23">
        <v>85.129317999999998</v>
      </c>
      <c r="C8439" s="32">
        <f t="shared" si="131"/>
        <v>1.8220905877718518E-2</v>
      </c>
    </row>
    <row r="8440" spans="1:3" x14ac:dyDescent="0.6">
      <c r="A8440" s="24">
        <v>41789</v>
      </c>
      <c r="B8440" s="23">
        <v>84.810447999999994</v>
      </c>
      <c r="C8440" s="32">
        <f t="shared" si="131"/>
        <v>-3.7457130808918881E-3</v>
      </c>
    </row>
    <row r="8441" spans="1:3" x14ac:dyDescent="0.6">
      <c r="A8441" s="24">
        <v>41792</v>
      </c>
      <c r="B8441" s="23">
        <v>84.227615</v>
      </c>
      <c r="C8441" s="32">
        <f t="shared" si="131"/>
        <v>-6.8721839554484188E-3</v>
      </c>
    </row>
    <row r="8442" spans="1:3" x14ac:dyDescent="0.6">
      <c r="A8442" s="24">
        <v>41793</v>
      </c>
      <c r="B8442" s="23">
        <v>85.418723999999997</v>
      </c>
      <c r="C8442" s="32">
        <f t="shared" si="131"/>
        <v>1.4141549656843555E-2</v>
      </c>
    </row>
    <row r="8443" spans="1:3" x14ac:dyDescent="0.6">
      <c r="A8443" s="24">
        <v>41794</v>
      </c>
      <c r="B8443" s="23">
        <v>86.394096000000005</v>
      </c>
      <c r="C8443" s="32">
        <f t="shared" si="131"/>
        <v>1.1418714238812688E-2</v>
      </c>
    </row>
    <row r="8444" spans="1:3" x14ac:dyDescent="0.6">
      <c r="A8444" s="24">
        <v>41795</v>
      </c>
      <c r="B8444" s="23">
        <v>86.733063000000001</v>
      </c>
      <c r="C8444" s="32">
        <f t="shared" si="131"/>
        <v>3.9234972723136696E-3</v>
      </c>
    </row>
    <row r="8445" spans="1:3" x14ac:dyDescent="0.6">
      <c r="A8445" s="24">
        <v>41796</v>
      </c>
      <c r="B8445" s="23">
        <v>86.494591</v>
      </c>
      <c r="C8445" s="32">
        <f t="shared" si="131"/>
        <v>-2.7494935812425458E-3</v>
      </c>
    </row>
    <row r="8446" spans="1:3" x14ac:dyDescent="0.6">
      <c r="A8446" s="24">
        <v>41799</v>
      </c>
      <c r="B8446" s="23">
        <v>87.878624000000002</v>
      </c>
      <c r="C8446" s="32">
        <f t="shared" si="131"/>
        <v>1.600138209798585E-2</v>
      </c>
    </row>
    <row r="8447" spans="1:3" x14ac:dyDescent="0.6">
      <c r="A8447" s="24">
        <v>41800</v>
      </c>
      <c r="B8447" s="23">
        <v>88.394431999999995</v>
      </c>
      <c r="C8447" s="32">
        <f t="shared" si="131"/>
        <v>5.869550256043965E-3</v>
      </c>
    </row>
    <row r="8448" spans="1:3" x14ac:dyDescent="0.6">
      <c r="A8448" s="24">
        <v>41801</v>
      </c>
      <c r="B8448" s="23">
        <v>88.028678999999997</v>
      </c>
      <c r="C8448" s="32">
        <f t="shared" si="131"/>
        <v>-4.1377379968909889E-3</v>
      </c>
    </row>
    <row r="8449" spans="1:3" x14ac:dyDescent="0.6">
      <c r="A8449" s="24">
        <v>41802</v>
      </c>
      <c r="B8449" s="23">
        <v>86.556220999999994</v>
      </c>
      <c r="C8449" s="32">
        <f t="shared" si="131"/>
        <v>-1.6727025972978704E-2</v>
      </c>
    </row>
    <row r="8450" spans="1:3" x14ac:dyDescent="0.6">
      <c r="A8450" s="24">
        <v>41803</v>
      </c>
      <c r="B8450" s="23">
        <v>85.608954999999995</v>
      </c>
      <c r="C8450" s="32">
        <f t="shared" si="131"/>
        <v>-1.0943938968869693E-2</v>
      </c>
    </row>
    <row r="8451" spans="1:3" x14ac:dyDescent="0.6">
      <c r="A8451" s="24">
        <v>41806</v>
      </c>
      <c r="B8451" s="23">
        <v>86.471817000000001</v>
      </c>
      <c r="C8451" s="32">
        <f t="shared" si="131"/>
        <v>1.0079109130581188E-2</v>
      </c>
    </row>
    <row r="8452" spans="1:3" x14ac:dyDescent="0.6">
      <c r="A8452" s="24">
        <v>41807</v>
      </c>
      <c r="B8452" s="23">
        <v>86.359275999999994</v>
      </c>
      <c r="C8452" s="32">
        <f t="shared" ref="C8452:C8515" si="132">B8452/B8451-1</f>
        <v>-1.3014760635827738E-3</v>
      </c>
    </row>
    <row r="8453" spans="1:3" x14ac:dyDescent="0.6">
      <c r="A8453" s="24">
        <v>41808</v>
      </c>
      <c r="B8453" s="23">
        <v>86.453048999999993</v>
      </c>
      <c r="C8453" s="32">
        <f t="shared" si="132"/>
        <v>1.0858474543025132E-3</v>
      </c>
    </row>
    <row r="8454" spans="1:3" x14ac:dyDescent="0.6">
      <c r="A8454" s="24">
        <v>41809</v>
      </c>
      <c r="B8454" s="23">
        <v>86.152930999999995</v>
      </c>
      <c r="C8454" s="32">
        <f t="shared" si="132"/>
        <v>-3.4714565127714758E-3</v>
      </c>
    </row>
    <row r="8455" spans="1:3" x14ac:dyDescent="0.6">
      <c r="A8455" s="24">
        <v>41810</v>
      </c>
      <c r="B8455" s="23">
        <v>85.261962999999994</v>
      </c>
      <c r="C8455" s="32">
        <f t="shared" si="132"/>
        <v>-1.0341702710033207E-2</v>
      </c>
    </row>
    <row r="8456" spans="1:3" x14ac:dyDescent="0.6">
      <c r="A8456" s="24">
        <v>41813</v>
      </c>
      <c r="B8456" s="23">
        <v>85.186913000000004</v>
      </c>
      <c r="C8456" s="32">
        <f t="shared" si="132"/>
        <v>-8.8022838507706425E-4</v>
      </c>
    </row>
    <row r="8457" spans="1:3" x14ac:dyDescent="0.6">
      <c r="A8457" s="24">
        <v>41814</v>
      </c>
      <c r="B8457" s="23">
        <v>84.671097000000003</v>
      </c>
      <c r="C8457" s="32">
        <f t="shared" si="132"/>
        <v>-6.0551084883191386E-3</v>
      </c>
    </row>
    <row r="8458" spans="1:3" x14ac:dyDescent="0.6">
      <c r="A8458" s="24">
        <v>41815</v>
      </c>
      <c r="B8458" s="23">
        <v>84.746132000000003</v>
      </c>
      <c r="C8458" s="32">
        <f t="shared" si="132"/>
        <v>8.8619378582044384E-4</v>
      </c>
    </row>
    <row r="8459" spans="1:3" x14ac:dyDescent="0.6">
      <c r="A8459" s="24">
        <v>41816</v>
      </c>
      <c r="B8459" s="23">
        <v>85.252578999999997</v>
      </c>
      <c r="C8459" s="32">
        <f t="shared" si="132"/>
        <v>5.9760485587707635E-3</v>
      </c>
    </row>
    <row r="8460" spans="1:3" x14ac:dyDescent="0.6">
      <c r="A8460" s="24">
        <v>41817</v>
      </c>
      <c r="B8460" s="23">
        <v>86.265488000000005</v>
      </c>
      <c r="C8460" s="32">
        <f t="shared" si="132"/>
        <v>1.1881271063952203E-2</v>
      </c>
    </row>
    <row r="8461" spans="1:3" x14ac:dyDescent="0.6">
      <c r="A8461" s="24">
        <v>41820</v>
      </c>
      <c r="B8461" s="23">
        <v>87.156464</v>
      </c>
      <c r="C8461" s="32">
        <f t="shared" si="132"/>
        <v>1.0328301858096411E-2</v>
      </c>
    </row>
    <row r="8462" spans="1:3" x14ac:dyDescent="0.6">
      <c r="A8462" s="24">
        <v>41821</v>
      </c>
      <c r="B8462" s="23">
        <v>87.709793000000005</v>
      </c>
      <c r="C8462" s="32">
        <f t="shared" si="132"/>
        <v>6.3486857383292516E-3</v>
      </c>
    </row>
    <row r="8463" spans="1:3" x14ac:dyDescent="0.6">
      <c r="A8463" s="24">
        <v>41822</v>
      </c>
      <c r="B8463" s="23">
        <v>87.672295000000005</v>
      </c>
      <c r="C8463" s="32">
        <f t="shared" si="132"/>
        <v>-4.2752352636377111E-4</v>
      </c>
    </row>
    <row r="8464" spans="1:3" x14ac:dyDescent="0.6">
      <c r="A8464" s="24">
        <v>41823</v>
      </c>
      <c r="B8464" s="23">
        <v>88.188118000000003</v>
      </c>
      <c r="C8464" s="32">
        <f t="shared" si="132"/>
        <v>5.8835348156449641E-3</v>
      </c>
    </row>
    <row r="8465" spans="1:3" x14ac:dyDescent="0.6">
      <c r="A8465" s="24">
        <v>41827</v>
      </c>
      <c r="B8465" s="23">
        <v>90.007598999999999</v>
      </c>
      <c r="C8465" s="32">
        <f t="shared" si="132"/>
        <v>2.0631815728282099E-2</v>
      </c>
    </row>
    <row r="8466" spans="1:3" x14ac:dyDescent="0.6">
      <c r="A8466" s="24">
        <v>41828</v>
      </c>
      <c r="B8466" s="23">
        <v>89.426108999999997</v>
      </c>
      <c r="C8466" s="32">
        <f t="shared" si="132"/>
        <v>-6.4604545222898269E-3</v>
      </c>
    </row>
    <row r="8467" spans="1:3" x14ac:dyDescent="0.6">
      <c r="A8467" s="24">
        <v>41829</v>
      </c>
      <c r="B8467" s="23">
        <v>89.463622999999998</v>
      </c>
      <c r="C8467" s="32">
        <f t="shared" si="132"/>
        <v>4.1949717391820407E-4</v>
      </c>
    </row>
    <row r="8468" spans="1:3" x14ac:dyDescent="0.6">
      <c r="A8468" s="24">
        <v>41830</v>
      </c>
      <c r="B8468" s="23">
        <v>89.135361000000003</v>
      </c>
      <c r="C8468" s="32">
        <f t="shared" si="132"/>
        <v>-3.6692231880659509E-3</v>
      </c>
    </row>
    <row r="8469" spans="1:3" x14ac:dyDescent="0.6">
      <c r="A8469" s="24">
        <v>41831</v>
      </c>
      <c r="B8469" s="23">
        <v>89.304184000000006</v>
      </c>
      <c r="C8469" s="32">
        <f t="shared" si="132"/>
        <v>1.8940070260107245E-3</v>
      </c>
    </row>
    <row r="8470" spans="1:3" x14ac:dyDescent="0.6">
      <c r="A8470" s="24">
        <v>41834</v>
      </c>
      <c r="B8470" s="23">
        <v>90.457763999999997</v>
      </c>
      <c r="C8470" s="32">
        <f t="shared" si="132"/>
        <v>1.2917423891359858E-2</v>
      </c>
    </row>
    <row r="8471" spans="1:3" x14ac:dyDescent="0.6">
      <c r="A8471" s="24">
        <v>41835</v>
      </c>
      <c r="B8471" s="23">
        <v>89.397980000000004</v>
      </c>
      <c r="C8471" s="32">
        <f t="shared" si="132"/>
        <v>-1.1715788155011175E-2</v>
      </c>
    </row>
    <row r="8472" spans="1:3" x14ac:dyDescent="0.6">
      <c r="A8472" s="24">
        <v>41836</v>
      </c>
      <c r="B8472" s="23">
        <v>88.891518000000005</v>
      </c>
      <c r="C8472" s="32">
        <f t="shared" si="132"/>
        <v>-5.6652510492966046E-3</v>
      </c>
    </row>
    <row r="8473" spans="1:3" x14ac:dyDescent="0.6">
      <c r="A8473" s="24">
        <v>41837</v>
      </c>
      <c r="B8473" s="23">
        <v>87.306511</v>
      </c>
      <c r="C8473" s="32">
        <f t="shared" si="132"/>
        <v>-1.7830801359472792E-2</v>
      </c>
    </row>
    <row r="8474" spans="1:3" x14ac:dyDescent="0.6">
      <c r="A8474" s="24">
        <v>41838</v>
      </c>
      <c r="B8474" s="23">
        <v>88.563271</v>
      </c>
      <c r="C8474" s="32">
        <f t="shared" si="132"/>
        <v>1.4394802696903186E-2</v>
      </c>
    </row>
    <row r="8475" spans="1:3" x14ac:dyDescent="0.6">
      <c r="A8475" s="24">
        <v>41841</v>
      </c>
      <c r="B8475" s="23">
        <v>88.103722000000005</v>
      </c>
      <c r="C8475" s="32">
        <f t="shared" si="132"/>
        <v>-5.1889343608367833E-3</v>
      </c>
    </row>
    <row r="8476" spans="1:3" x14ac:dyDescent="0.6">
      <c r="A8476" s="24">
        <v>41842</v>
      </c>
      <c r="B8476" s="23">
        <v>88.835257999999996</v>
      </c>
      <c r="C8476" s="32">
        <f t="shared" si="132"/>
        <v>8.3031225400442832E-3</v>
      </c>
    </row>
    <row r="8477" spans="1:3" x14ac:dyDescent="0.6">
      <c r="A8477" s="24">
        <v>41843</v>
      </c>
      <c r="B8477" s="23">
        <v>91.151793999999995</v>
      </c>
      <c r="C8477" s="32">
        <f t="shared" si="132"/>
        <v>2.6076763349975218E-2</v>
      </c>
    </row>
    <row r="8478" spans="1:3" x14ac:dyDescent="0.6">
      <c r="A8478" s="24">
        <v>41844</v>
      </c>
      <c r="B8478" s="23">
        <v>91.001746999999995</v>
      </c>
      <c r="C8478" s="32">
        <f t="shared" si="132"/>
        <v>-1.6461222913506379E-3</v>
      </c>
    </row>
    <row r="8479" spans="1:3" x14ac:dyDescent="0.6">
      <c r="A8479" s="24">
        <v>41845</v>
      </c>
      <c r="B8479" s="23">
        <v>91.601958999999994</v>
      </c>
      <c r="C8479" s="32">
        <f t="shared" si="132"/>
        <v>6.5956096425270339E-3</v>
      </c>
    </row>
    <row r="8480" spans="1:3" x14ac:dyDescent="0.6">
      <c r="A8480" s="24">
        <v>41848</v>
      </c>
      <c r="B8480" s="23">
        <v>92.868094999999997</v>
      </c>
      <c r="C8480" s="32">
        <f t="shared" si="132"/>
        <v>1.3822149807953377E-2</v>
      </c>
    </row>
    <row r="8481" spans="1:3" x14ac:dyDescent="0.6">
      <c r="A8481" s="24">
        <v>41849</v>
      </c>
      <c r="B8481" s="23">
        <v>92.267853000000002</v>
      </c>
      <c r="C8481" s="32">
        <f t="shared" si="132"/>
        <v>-6.4633822843033206E-3</v>
      </c>
    </row>
    <row r="8482" spans="1:3" x14ac:dyDescent="0.6">
      <c r="A8482" s="24">
        <v>41850</v>
      </c>
      <c r="B8482" s="23">
        <v>92.052154999999999</v>
      </c>
      <c r="C8482" s="32">
        <f t="shared" si="132"/>
        <v>-2.3377372832117382E-3</v>
      </c>
    </row>
    <row r="8483" spans="1:3" x14ac:dyDescent="0.6">
      <c r="A8483" s="24">
        <v>41851</v>
      </c>
      <c r="B8483" s="23">
        <v>89.660567999999998</v>
      </c>
      <c r="C8483" s="32">
        <f t="shared" si="132"/>
        <v>-2.5980782307595041E-2</v>
      </c>
    </row>
    <row r="8484" spans="1:3" x14ac:dyDescent="0.6">
      <c r="A8484" s="24">
        <v>41852</v>
      </c>
      <c r="B8484" s="23">
        <v>90.157653999999994</v>
      </c>
      <c r="C8484" s="32">
        <f t="shared" si="132"/>
        <v>5.5440871175387318E-3</v>
      </c>
    </row>
    <row r="8485" spans="1:3" x14ac:dyDescent="0.6">
      <c r="A8485" s="24">
        <v>41855</v>
      </c>
      <c r="B8485" s="23">
        <v>89.651199000000005</v>
      </c>
      <c r="C8485" s="32">
        <f t="shared" si="132"/>
        <v>-5.6174376498304701E-3</v>
      </c>
    </row>
    <row r="8486" spans="1:3" x14ac:dyDescent="0.6">
      <c r="A8486" s="24">
        <v>41856</v>
      </c>
      <c r="B8486" s="23">
        <v>89.210396000000003</v>
      </c>
      <c r="C8486" s="32">
        <f t="shared" si="132"/>
        <v>-4.9168667560152146E-3</v>
      </c>
    </row>
    <row r="8487" spans="1:3" x14ac:dyDescent="0.6">
      <c r="A8487" s="24">
        <v>41857</v>
      </c>
      <c r="B8487" s="23">
        <v>89.060326000000003</v>
      </c>
      <c r="C8487" s="32">
        <f t="shared" si="132"/>
        <v>-1.6822030472771754E-3</v>
      </c>
    </row>
    <row r="8488" spans="1:3" x14ac:dyDescent="0.6">
      <c r="A8488" s="24">
        <v>41858</v>
      </c>
      <c r="B8488" s="23">
        <v>89.050910999999999</v>
      </c>
      <c r="C8488" s="32">
        <f t="shared" si="132"/>
        <v>-1.0571486118304829E-4</v>
      </c>
    </row>
    <row r="8489" spans="1:3" x14ac:dyDescent="0.6">
      <c r="A8489" s="24">
        <v>41859</v>
      </c>
      <c r="B8489" s="23">
        <v>89.295981999999995</v>
      </c>
      <c r="C8489" s="32">
        <f t="shared" si="132"/>
        <v>2.7520324862257972E-3</v>
      </c>
    </row>
    <row r="8490" spans="1:3" x14ac:dyDescent="0.6">
      <c r="A8490" s="24">
        <v>41862</v>
      </c>
      <c r="B8490" s="23">
        <v>90.474129000000005</v>
      </c>
      <c r="C8490" s="32">
        <f t="shared" si="132"/>
        <v>1.3193729142258803E-2</v>
      </c>
    </row>
    <row r="8491" spans="1:3" x14ac:dyDescent="0.6">
      <c r="A8491" s="24">
        <v>41863</v>
      </c>
      <c r="B8491" s="23">
        <v>90.455307000000005</v>
      </c>
      <c r="C8491" s="32">
        <f t="shared" si="132"/>
        <v>-2.0803737165575598E-4</v>
      </c>
    </row>
    <row r="8492" spans="1:3" x14ac:dyDescent="0.6">
      <c r="A8492" s="24">
        <v>41864</v>
      </c>
      <c r="B8492" s="23">
        <v>91.652313000000007</v>
      </c>
      <c r="C8492" s="32">
        <f t="shared" si="132"/>
        <v>1.323312074989702E-2</v>
      </c>
    </row>
    <row r="8493" spans="1:3" x14ac:dyDescent="0.6">
      <c r="A8493" s="24">
        <v>41865</v>
      </c>
      <c r="B8493" s="23">
        <v>91.897377000000006</v>
      </c>
      <c r="C8493" s="32">
        <f t="shared" si="132"/>
        <v>2.6738441396454427E-3</v>
      </c>
    </row>
    <row r="8494" spans="1:3" x14ac:dyDescent="0.6">
      <c r="A8494" s="24">
        <v>41866</v>
      </c>
      <c r="B8494" s="23">
        <v>92.349784999999997</v>
      </c>
      <c r="C8494" s="32">
        <f t="shared" si="132"/>
        <v>4.9229696730079819E-3</v>
      </c>
    </row>
    <row r="8495" spans="1:3" x14ac:dyDescent="0.6">
      <c r="A8495" s="24">
        <v>41869</v>
      </c>
      <c r="B8495" s="23">
        <v>93.461997999999994</v>
      </c>
      <c r="C8495" s="32">
        <f t="shared" si="132"/>
        <v>1.204348228856178E-2</v>
      </c>
    </row>
    <row r="8496" spans="1:3" x14ac:dyDescent="0.6">
      <c r="A8496" s="24">
        <v>41870</v>
      </c>
      <c r="B8496" s="23">
        <v>94.753258000000002</v>
      </c>
      <c r="C8496" s="32">
        <f t="shared" si="132"/>
        <v>1.3815882686351477E-2</v>
      </c>
    </row>
    <row r="8497" spans="1:3" x14ac:dyDescent="0.6">
      <c r="A8497" s="24">
        <v>41871</v>
      </c>
      <c r="B8497" s="23">
        <v>94.790970000000002</v>
      </c>
      <c r="C8497" s="32">
        <f t="shared" si="132"/>
        <v>3.9800214574148285E-4</v>
      </c>
    </row>
    <row r="8498" spans="1:3" x14ac:dyDescent="0.6">
      <c r="A8498" s="24">
        <v>41872</v>
      </c>
      <c r="B8498" s="23">
        <v>94.800385000000006</v>
      </c>
      <c r="C8498" s="32">
        <f t="shared" si="132"/>
        <v>9.9323806898476974E-5</v>
      </c>
    </row>
    <row r="8499" spans="1:3" x14ac:dyDescent="0.6">
      <c r="A8499" s="24">
        <v>41873</v>
      </c>
      <c r="B8499" s="23">
        <v>95.497864000000007</v>
      </c>
      <c r="C8499" s="32">
        <f t="shared" si="132"/>
        <v>7.3573435382146002E-3</v>
      </c>
    </row>
    <row r="8500" spans="1:3" x14ac:dyDescent="0.6">
      <c r="A8500" s="24">
        <v>41876</v>
      </c>
      <c r="B8500" s="23">
        <v>95.705237999999994</v>
      </c>
      <c r="C8500" s="32">
        <f t="shared" si="132"/>
        <v>2.1715040663106144E-3</v>
      </c>
    </row>
    <row r="8501" spans="1:3" x14ac:dyDescent="0.6">
      <c r="A8501" s="24">
        <v>41877</v>
      </c>
      <c r="B8501" s="23">
        <v>95.092583000000005</v>
      </c>
      <c r="C8501" s="32">
        <f t="shared" si="132"/>
        <v>-6.4014782555578131E-3</v>
      </c>
    </row>
    <row r="8502" spans="1:3" x14ac:dyDescent="0.6">
      <c r="A8502" s="24">
        <v>41878</v>
      </c>
      <c r="B8502" s="23">
        <v>96.261330000000001</v>
      </c>
      <c r="C8502" s="32">
        <f t="shared" si="132"/>
        <v>1.2290622077223423E-2</v>
      </c>
    </row>
    <row r="8503" spans="1:3" x14ac:dyDescent="0.6">
      <c r="A8503" s="24">
        <v>41879</v>
      </c>
      <c r="B8503" s="23">
        <v>96.374420000000001</v>
      </c>
      <c r="C8503" s="32">
        <f t="shared" si="132"/>
        <v>1.1748227455405935E-3</v>
      </c>
    </row>
    <row r="8504" spans="1:3" x14ac:dyDescent="0.6">
      <c r="A8504" s="24">
        <v>41880</v>
      </c>
      <c r="B8504" s="23">
        <v>96.610054000000005</v>
      </c>
      <c r="C8504" s="32">
        <f t="shared" si="132"/>
        <v>2.4449848829182219E-3</v>
      </c>
    </row>
    <row r="8505" spans="1:3" x14ac:dyDescent="0.6">
      <c r="A8505" s="24">
        <v>41884</v>
      </c>
      <c r="B8505" s="23">
        <v>97.364104999999995</v>
      </c>
      <c r="C8505" s="32">
        <f t="shared" si="132"/>
        <v>7.8050986287616642E-3</v>
      </c>
    </row>
    <row r="8506" spans="1:3" x14ac:dyDescent="0.6">
      <c r="A8506" s="24">
        <v>41885</v>
      </c>
      <c r="B8506" s="23">
        <v>93.254631000000003</v>
      </c>
      <c r="C8506" s="32">
        <f t="shared" si="132"/>
        <v>-4.220727957187087E-2</v>
      </c>
    </row>
    <row r="8507" spans="1:3" x14ac:dyDescent="0.6">
      <c r="A8507" s="24">
        <v>41886</v>
      </c>
      <c r="B8507" s="23">
        <v>92.481742999999994</v>
      </c>
      <c r="C8507" s="32">
        <f t="shared" si="132"/>
        <v>-8.2879315666372078E-3</v>
      </c>
    </row>
    <row r="8508" spans="1:3" x14ac:dyDescent="0.6">
      <c r="A8508" s="24">
        <v>41887</v>
      </c>
      <c r="B8508" s="23">
        <v>93.282898000000003</v>
      </c>
      <c r="C8508" s="32">
        <f t="shared" si="132"/>
        <v>8.6628449465966373E-3</v>
      </c>
    </row>
    <row r="8509" spans="1:3" x14ac:dyDescent="0.6">
      <c r="A8509" s="24">
        <v>41890</v>
      </c>
      <c r="B8509" s="23">
        <v>92.707954000000001</v>
      </c>
      <c r="C8509" s="32">
        <f t="shared" si="132"/>
        <v>-6.1634448792532437E-3</v>
      </c>
    </row>
    <row r="8510" spans="1:3" x14ac:dyDescent="0.6">
      <c r="A8510" s="24">
        <v>41891</v>
      </c>
      <c r="B8510" s="23">
        <v>92.359222000000003</v>
      </c>
      <c r="C8510" s="32">
        <f t="shared" si="132"/>
        <v>-3.7616189868671102E-3</v>
      </c>
    </row>
    <row r="8511" spans="1:3" x14ac:dyDescent="0.6">
      <c r="A8511" s="24">
        <v>41892</v>
      </c>
      <c r="B8511" s="23">
        <v>95.196258999999998</v>
      </c>
      <c r="C8511" s="32">
        <f t="shared" si="132"/>
        <v>3.0717419858733663E-2</v>
      </c>
    </row>
    <row r="8512" spans="1:3" x14ac:dyDescent="0.6">
      <c r="A8512" s="24">
        <v>41893</v>
      </c>
      <c r="B8512" s="23">
        <v>95.601555000000005</v>
      </c>
      <c r="C8512" s="32">
        <f t="shared" si="132"/>
        <v>4.2574782271644906E-3</v>
      </c>
    </row>
    <row r="8513" spans="1:3" x14ac:dyDescent="0.6">
      <c r="A8513" s="24">
        <v>41894</v>
      </c>
      <c r="B8513" s="23">
        <v>95.818336000000002</v>
      </c>
      <c r="C8513" s="32">
        <f t="shared" si="132"/>
        <v>2.2675467987942621E-3</v>
      </c>
    </row>
    <row r="8514" spans="1:3" x14ac:dyDescent="0.6">
      <c r="A8514" s="24">
        <v>41897</v>
      </c>
      <c r="B8514" s="23">
        <v>95.790038999999993</v>
      </c>
      <c r="C8514" s="32">
        <f t="shared" si="132"/>
        <v>-2.9531925914483281E-4</v>
      </c>
    </row>
    <row r="8515" spans="1:3" x14ac:dyDescent="0.6">
      <c r="A8515" s="24">
        <v>41898</v>
      </c>
      <c r="B8515" s="23">
        <v>95.064293000000006</v>
      </c>
      <c r="C8515" s="32">
        <f t="shared" si="132"/>
        <v>-7.5764245173758349E-3</v>
      </c>
    </row>
    <row r="8516" spans="1:3" x14ac:dyDescent="0.6">
      <c r="A8516" s="24">
        <v>41899</v>
      </c>
      <c r="B8516" s="23">
        <v>95.742919999999998</v>
      </c>
      <c r="C8516" s="32">
        <f t="shared" ref="C8516:C8579" si="133">B8516/B8515-1</f>
        <v>7.1386109188229518E-3</v>
      </c>
    </row>
    <row r="8517" spans="1:3" x14ac:dyDescent="0.6">
      <c r="A8517" s="24">
        <v>41900</v>
      </c>
      <c r="B8517" s="23">
        <v>95.940865000000002</v>
      </c>
      <c r="C8517" s="32">
        <f t="shared" si="133"/>
        <v>2.0674635785080664E-3</v>
      </c>
    </row>
    <row r="8518" spans="1:3" x14ac:dyDescent="0.6">
      <c r="A8518" s="24">
        <v>41901</v>
      </c>
      <c r="B8518" s="23">
        <v>95.158546000000001</v>
      </c>
      <c r="C8518" s="32">
        <f t="shared" si="133"/>
        <v>-8.1541791394105223E-3</v>
      </c>
    </row>
    <row r="8519" spans="1:3" x14ac:dyDescent="0.6">
      <c r="A8519" s="24">
        <v>41904</v>
      </c>
      <c r="B8519" s="23">
        <v>95.252808000000002</v>
      </c>
      <c r="C8519" s="32">
        <f t="shared" si="133"/>
        <v>9.9057839744620679E-4</v>
      </c>
    </row>
    <row r="8520" spans="1:3" x14ac:dyDescent="0.6">
      <c r="A8520" s="24">
        <v>41905</v>
      </c>
      <c r="B8520" s="23">
        <v>96.741996999999998</v>
      </c>
      <c r="C8520" s="32">
        <f t="shared" si="133"/>
        <v>1.5634069286440289E-2</v>
      </c>
    </row>
    <row r="8521" spans="1:3" x14ac:dyDescent="0.6">
      <c r="A8521" s="24">
        <v>41906</v>
      </c>
      <c r="B8521" s="23">
        <v>95.90316</v>
      </c>
      <c r="C8521" s="32">
        <f t="shared" si="133"/>
        <v>-8.6708671105889534E-3</v>
      </c>
    </row>
    <row r="8522" spans="1:3" x14ac:dyDescent="0.6">
      <c r="A8522" s="24">
        <v>41907</v>
      </c>
      <c r="B8522" s="23">
        <v>92.246123999999995</v>
      </c>
      <c r="C8522" s="32">
        <f t="shared" si="133"/>
        <v>-3.8132591251424874E-2</v>
      </c>
    </row>
    <row r="8523" spans="1:3" x14ac:dyDescent="0.6">
      <c r="A8523" s="24">
        <v>41908</v>
      </c>
      <c r="B8523" s="23">
        <v>94.960624999999993</v>
      </c>
      <c r="C8523" s="32">
        <f t="shared" si="133"/>
        <v>2.9426721495636965E-2</v>
      </c>
    </row>
    <row r="8524" spans="1:3" x14ac:dyDescent="0.6">
      <c r="A8524" s="24">
        <v>41911</v>
      </c>
      <c r="B8524" s="23">
        <v>94.357391000000007</v>
      </c>
      <c r="C8524" s="32">
        <f t="shared" si="133"/>
        <v>-6.352464508315836E-3</v>
      </c>
    </row>
    <row r="8525" spans="1:3" x14ac:dyDescent="0.6">
      <c r="A8525" s="24">
        <v>41912</v>
      </c>
      <c r="B8525" s="23">
        <v>94.960624999999993</v>
      </c>
      <c r="C8525" s="32">
        <f t="shared" si="133"/>
        <v>6.3930762986015299E-3</v>
      </c>
    </row>
    <row r="8526" spans="1:3" x14ac:dyDescent="0.6">
      <c r="A8526" s="24">
        <v>41913</v>
      </c>
      <c r="B8526" s="23">
        <v>93.480827000000005</v>
      </c>
      <c r="C8526" s="32">
        <f t="shared" si="133"/>
        <v>-1.5583279912068648E-2</v>
      </c>
    </row>
    <row r="8527" spans="1:3" x14ac:dyDescent="0.6">
      <c r="A8527" s="24">
        <v>41914</v>
      </c>
      <c r="B8527" s="23">
        <v>94.159462000000005</v>
      </c>
      <c r="C8527" s="32">
        <f t="shared" si="133"/>
        <v>7.2596169907654939E-3</v>
      </c>
    </row>
    <row r="8528" spans="1:3" x14ac:dyDescent="0.6">
      <c r="A8528" s="24">
        <v>41915</v>
      </c>
      <c r="B8528" s="23">
        <v>93.895561000000001</v>
      </c>
      <c r="C8528" s="32">
        <f t="shared" si="133"/>
        <v>-2.8027029296323613E-3</v>
      </c>
    </row>
    <row r="8529" spans="1:3" x14ac:dyDescent="0.6">
      <c r="A8529" s="24">
        <v>41918</v>
      </c>
      <c r="B8529" s="23">
        <v>93.895561000000001</v>
      </c>
      <c r="C8529" s="32">
        <f t="shared" si="133"/>
        <v>0</v>
      </c>
    </row>
    <row r="8530" spans="1:3" x14ac:dyDescent="0.6">
      <c r="A8530" s="24">
        <v>41919</v>
      </c>
      <c r="B8530" s="23">
        <v>93.075546000000003</v>
      </c>
      <c r="C8530" s="32">
        <f t="shared" si="133"/>
        <v>-8.733266953908525E-3</v>
      </c>
    </row>
    <row r="8531" spans="1:3" x14ac:dyDescent="0.6">
      <c r="A8531" s="24">
        <v>41920</v>
      </c>
      <c r="B8531" s="23">
        <v>95.007735999999994</v>
      </c>
      <c r="C8531" s="32">
        <f t="shared" si="133"/>
        <v>2.0759373251487467E-2</v>
      </c>
    </row>
    <row r="8532" spans="1:3" x14ac:dyDescent="0.6">
      <c r="A8532" s="24">
        <v>41921</v>
      </c>
      <c r="B8532" s="23">
        <v>95.215087999999994</v>
      </c>
      <c r="C8532" s="32">
        <f t="shared" si="133"/>
        <v>2.1824749092009821E-3</v>
      </c>
    </row>
    <row r="8533" spans="1:3" x14ac:dyDescent="0.6">
      <c r="A8533" s="24">
        <v>41922</v>
      </c>
      <c r="B8533" s="23">
        <v>94.941765000000004</v>
      </c>
      <c r="C8533" s="32">
        <f t="shared" si="133"/>
        <v>-2.8705849644332648E-3</v>
      </c>
    </row>
    <row r="8534" spans="1:3" x14ac:dyDescent="0.6">
      <c r="A8534" s="24">
        <v>41925</v>
      </c>
      <c r="B8534" s="23">
        <v>94.074637999999993</v>
      </c>
      <c r="C8534" s="32">
        <f t="shared" si="133"/>
        <v>-9.1332513146349381E-3</v>
      </c>
    </row>
    <row r="8535" spans="1:3" x14ac:dyDescent="0.6">
      <c r="A8535" s="24">
        <v>41926</v>
      </c>
      <c r="B8535" s="23">
        <v>93.075546000000003</v>
      </c>
      <c r="C8535" s="32">
        <f t="shared" si="133"/>
        <v>-1.0620205628641299E-2</v>
      </c>
    </row>
    <row r="8536" spans="1:3" x14ac:dyDescent="0.6">
      <c r="A8536" s="24">
        <v>41927</v>
      </c>
      <c r="B8536" s="23">
        <v>91.935074</v>
      </c>
      <c r="C8536" s="32">
        <f t="shared" si="133"/>
        <v>-1.2253186245074543E-2</v>
      </c>
    </row>
    <row r="8537" spans="1:3" x14ac:dyDescent="0.6">
      <c r="A8537" s="24">
        <v>41928</v>
      </c>
      <c r="B8537" s="23">
        <v>90.728638000000004</v>
      </c>
      <c r="C8537" s="32">
        <f t="shared" si="133"/>
        <v>-1.312269569718294E-2</v>
      </c>
    </row>
    <row r="8538" spans="1:3" x14ac:dyDescent="0.6">
      <c r="A8538" s="24">
        <v>41929</v>
      </c>
      <c r="B8538" s="23">
        <v>92.057602000000003</v>
      </c>
      <c r="C8538" s="32">
        <f t="shared" si="133"/>
        <v>1.464767937991085E-2</v>
      </c>
    </row>
    <row r="8539" spans="1:3" x14ac:dyDescent="0.6">
      <c r="A8539" s="24">
        <v>41932</v>
      </c>
      <c r="B8539" s="23">
        <v>94.027512000000002</v>
      </c>
      <c r="C8539" s="32">
        <f t="shared" si="133"/>
        <v>2.1398667325703391E-2</v>
      </c>
    </row>
    <row r="8540" spans="1:3" x14ac:dyDescent="0.6">
      <c r="A8540" s="24">
        <v>41933</v>
      </c>
      <c r="B8540" s="23">
        <v>96.581772000000001</v>
      </c>
      <c r="C8540" s="32">
        <f t="shared" si="133"/>
        <v>2.7165028039878303E-2</v>
      </c>
    </row>
    <row r="8541" spans="1:3" x14ac:dyDescent="0.6">
      <c r="A8541" s="24">
        <v>41934</v>
      </c>
      <c r="B8541" s="23">
        <v>97.071906999999996</v>
      </c>
      <c r="C8541" s="32">
        <f t="shared" si="133"/>
        <v>5.0748188799021321E-3</v>
      </c>
    </row>
    <row r="8542" spans="1:3" x14ac:dyDescent="0.6">
      <c r="A8542" s="24">
        <v>41935</v>
      </c>
      <c r="B8542" s="23">
        <v>98.806183000000004</v>
      </c>
      <c r="C8542" s="32">
        <f t="shared" si="133"/>
        <v>1.7865889870691598E-2</v>
      </c>
    </row>
    <row r="8543" spans="1:3" x14ac:dyDescent="0.6">
      <c r="A8543" s="24">
        <v>41936</v>
      </c>
      <c r="B8543" s="23">
        <v>99.173743999999999</v>
      </c>
      <c r="C8543" s="32">
        <f t="shared" si="133"/>
        <v>3.7200202339564559E-3</v>
      </c>
    </row>
    <row r="8544" spans="1:3" x14ac:dyDescent="0.6">
      <c r="A8544" s="24">
        <v>41939</v>
      </c>
      <c r="B8544" s="23">
        <v>99.070076</v>
      </c>
      <c r="C8544" s="32">
        <f t="shared" si="133"/>
        <v>-1.0453169943851481E-3</v>
      </c>
    </row>
    <row r="8545" spans="1:3" x14ac:dyDescent="0.6">
      <c r="A8545" s="24">
        <v>41940</v>
      </c>
      <c r="B8545" s="23">
        <v>100.606407</v>
      </c>
      <c r="C8545" s="32">
        <f t="shared" si="133"/>
        <v>1.5507518132922504E-2</v>
      </c>
    </row>
    <row r="8546" spans="1:3" x14ac:dyDescent="0.6">
      <c r="A8546" s="24">
        <v>41941</v>
      </c>
      <c r="B8546" s="23">
        <v>101.17192799999999</v>
      </c>
      <c r="C8546" s="32">
        <f t="shared" si="133"/>
        <v>5.6211231159462027E-3</v>
      </c>
    </row>
    <row r="8547" spans="1:3" x14ac:dyDescent="0.6">
      <c r="A8547" s="24">
        <v>41942</v>
      </c>
      <c r="B8547" s="23">
        <v>100.832634</v>
      </c>
      <c r="C8547" s="32">
        <f t="shared" si="133"/>
        <v>-3.3536377798394357E-3</v>
      </c>
    </row>
    <row r="8548" spans="1:3" x14ac:dyDescent="0.6">
      <c r="A8548" s="24">
        <v>41943</v>
      </c>
      <c r="B8548" s="23">
        <v>101.794014</v>
      </c>
      <c r="C8548" s="32">
        <f t="shared" si="133"/>
        <v>9.5344132337156218E-3</v>
      </c>
    </row>
    <row r="8549" spans="1:3" x14ac:dyDescent="0.6">
      <c r="A8549" s="24">
        <v>41946</v>
      </c>
      <c r="B8549" s="23">
        <v>103.113564</v>
      </c>
      <c r="C8549" s="32">
        <f t="shared" si="133"/>
        <v>1.2962942987983395E-2</v>
      </c>
    </row>
    <row r="8550" spans="1:3" x14ac:dyDescent="0.6">
      <c r="A8550" s="24">
        <v>41947</v>
      </c>
      <c r="B8550" s="23">
        <v>102.35953499999999</v>
      </c>
      <c r="C8550" s="32">
        <f t="shared" si="133"/>
        <v>-7.3126072918980878E-3</v>
      </c>
    </row>
    <row r="8551" spans="1:3" x14ac:dyDescent="0.6">
      <c r="A8551" s="24">
        <v>41948</v>
      </c>
      <c r="B8551" s="23">
        <v>102.60459899999999</v>
      </c>
      <c r="C8551" s="32">
        <f t="shared" si="133"/>
        <v>2.3941492114045726E-3</v>
      </c>
    </row>
    <row r="8552" spans="1:3" x14ac:dyDescent="0.6">
      <c r="A8552" s="24">
        <v>41949</v>
      </c>
      <c r="B8552" s="23">
        <v>102.898048</v>
      </c>
      <c r="C8552" s="32">
        <f t="shared" si="133"/>
        <v>2.8599985074744261E-3</v>
      </c>
    </row>
    <row r="8553" spans="1:3" x14ac:dyDescent="0.6">
      <c r="A8553" s="24">
        <v>41950</v>
      </c>
      <c r="B8553" s="23">
        <v>103.191498</v>
      </c>
      <c r="C8553" s="32">
        <f t="shared" si="133"/>
        <v>2.851851961273244E-3</v>
      </c>
    </row>
    <row r="8554" spans="1:3" x14ac:dyDescent="0.6">
      <c r="A8554" s="24">
        <v>41953</v>
      </c>
      <c r="B8554" s="23">
        <v>103.021111</v>
      </c>
      <c r="C8554" s="32">
        <f t="shared" si="133"/>
        <v>-1.6511728514687629E-3</v>
      </c>
    </row>
    <row r="8555" spans="1:3" x14ac:dyDescent="0.6">
      <c r="A8555" s="24">
        <v>41954</v>
      </c>
      <c r="B8555" s="23">
        <v>103.844666</v>
      </c>
      <c r="C8555" s="32">
        <f t="shared" si="133"/>
        <v>7.99404114366431E-3</v>
      </c>
    </row>
    <row r="8556" spans="1:3" x14ac:dyDescent="0.6">
      <c r="A8556" s="24">
        <v>41955</v>
      </c>
      <c r="B8556" s="23">
        <v>105.31193500000001</v>
      </c>
      <c r="C8556" s="32">
        <f t="shared" si="133"/>
        <v>1.4129459475559436E-2</v>
      </c>
    </row>
    <row r="8557" spans="1:3" x14ac:dyDescent="0.6">
      <c r="A8557" s="24">
        <v>41956</v>
      </c>
      <c r="B8557" s="23">
        <v>106.798149</v>
      </c>
      <c r="C8557" s="32">
        <f t="shared" si="133"/>
        <v>1.4112493517472569E-2</v>
      </c>
    </row>
    <row r="8558" spans="1:3" x14ac:dyDescent="0.6">
      <c r="A8558" s="24">
        <v>41957</v>
      </c>
      <c r="B8558" s="23">
        <v>108.08556400000001</v>
      </c>
      <c r="C8558" s="32">
        <f t="shared" si="133"/>
        <v>1.2054656490348092E-2</v>
      </c>
    </row>
    <row r="8559" spans="1:3" x14ac:dyDescent="0.6">
      <c r="A8559" s="24">
        <v>41960</v>
      </c>
      <c r="B8559" s="23">
        <v>107.90568500000001</v>
      </c>
      <c r="C8559" s="32">
        <f t="shared" si="133"/>
        <v>-1.6642277964150631E-3</v>
      </c>
    </row>
    <row r="8560" spans="1:3" x14ac:dyDescent="0.6">
      <c r="A8560" s="24">
        <v>41961</v>
      </c>
      <c r="B8560" s="23">
        <v>109.306686</v>
      </c>
      <c r="C8560" s="32">
        <f t="shared" si="133"/>
        <v>1.2983569864738698E-2</v>
      </c>
    </row>
    <row r="8561" spans="1:3" x14ac:dyDescent="0.6">
      <c r="A8561" s="24">
        <v>41962</v>
      </c>
      <c r="B8561" s="23">
        <v>108.549408</v>
      </c>
      <c r="C8561" s="32">
        <f t="shared" si="133"/>
        <v>-6.9280117046087719E-3</v>
      </c>
    </row>
    <row r="8562" spans="1:3" x14ac:dyDescent="0.6">
      <c r="A8562" s="24">
        <v>41963</v>
      </c>
      <c r="B8562" s="23">
        <v>110.10186</v>
      </c>
      <c r="C8562" s="32">
        <f t="shared" si="133"/>
        <v>1.4301800706273848E-2</v>
      </c>
    </row>
    <row r="8563" spans="1:3" x14ac:dyDescent="0.6">
      <c r="A8563" s="24">
        <v>41964</v>
      </c>
      <c r="B8563" s="23">
        <v>110.253319</v>
      </c>
      <c r="C8563" s="32">
        <f t="shared" si="133"/>
        <v>1.3756261701665107E-3</v>
      </c>
    </row>
    <row r="8564" spans="1:3" x14ac:dyDescent="0.6">
      <c r="A8564" s="24">
        <v>41967</v>
      </c>
      <c r="B8564" s="23">
        <v>112.298027</v>
      </c>
      <c r="C8564" s="32">
        <f t="shared" si="133"/>
        <v>1.8545546007553648E-2</v>
      </c>
    </row>
    <row r="8565" spans="1:3" x14ac:dyDescent="0.6">
      <c r="A8565" s="24">
        <v>41968</v>
      </c>
      <c r="B8565" s="23">
        <v>111.322998</v>
      </c>
      <c r="C8565" s="32">
        <f t="shared" si="133"/>
        <v>-8.6825122938268828E-3</v>
      </c>
    </row>
    <row r="8566" spans="1:3" x14ac:dyDescent="0.6">
      <c r="A8566" s="24">
        <v>41969</v>
      </c>
      <c r="B8566" s="23">
        <v>112.648285</v>
      </c>
      <c r="C8566" s="32">
        <f t="shared" si="133"/>
        <v>1.1904880606970369E-2</v>
      </c>
    </row>
    <row r="8567" spans="1:3" x14ac:dyDescent="0.6">
      <c r="A8567" s="24">
        <v>41971</v>
      </c>
      <c r="B8567" s="23">
        <v>112.582008</v>
      </c>
      <c r="C8567" s="32">
        <f t="shared" si="133"/>
        <v>-5.8835338682694527E-4</v>
      </c>
    </row>
    <row r="8568" spans="1:3" x14ac:dyDescent="0.6">
      <c r="A8568" s="24">
        <v>41974</v>
      </c>
      <c r="B8568" s="23">
        <v>108.92802399999999</v>
      </c>
      <c r="C8568" s="32">
        <f t="shared" si="133"/>
        <v>-3.245619850731396E-2</v>
      </c>
    </row>
    <row r="8569" spans="1:3" x14ac:dyDescent="0.6">
      <c r="A8569" s="24">
        <v>41975</v>
      </c>
      <c r="B8569" s="23">
        <v>108.51153600000001</v>
      </c>
      <c r="C8569" s="32">
        <f t="shared" si="133"/>
        <v>-3.8235156088022304E-3</v>
      </c>
    </row>
    <row r="8570" spans="1:3" x14ac:dyDescent="0.6">
      <c r="A8570" s="24">
        <v>41976</v>
      </c>
      <c r="B8570" s="23">
        <v>109.742149</v>
      </c>
      <c r="C8570" s="32">
        <f t="shared" si="133"/>
        <v>1.134084951115244E-2</v>
      </c>
    </row>
    <row r="8571" spans="1:3" x14ac:dyDescent="0.6">
      <c r="A8571" s="24">
        <v>41977</v>
      </c>
      <c r="B8571" s="23">
        <v>109.32563</v>
      </c>
      <c r="C8571" s="32">
        <f t="shared" si="133"/>
        <v>-3.7954332386911371E-3</v>
      </c>
    </row>
    <row r="8572" spans="1:3" x14ac:dyDescent="0.6">
      <c r="A8572" s="24">
        <v>41978</v>
      </c>
      <c r="B8572" s="23">
        <v>108.861786</v>
      </c>
      <c r="C8572" s="32">
        <f t="shared" si="133"/>
        <v>-4.2427745442674691E-3</v>
      </c>
    </row>
    <row r="8573" spans="1:3" x14ac:dyDescent="0.6">
      <c r="A8573" s="24">
        <v>41981</v>
      </c>
      <c r="B8573" s="23">
        <v>106.400558</v>
      </c>
      <c r="C8573" s="32">
        <f t="shared" si="133"/>
        <v>-2.2608741693802337E-2</v>
      </c>
    </row>
    <row r="8574" spans="1:3" x14ac:dyDescent="0.6">
      <c r="A8574" s="24">
        <v>41982</v>
      </c>
      <c r="B8574" s="23">
        <v>108.028755</v>
      </c>
      <c r="C8574" s="32">
        <f t="shared" si="133"/>
        <v>1.5302523131504708E-2</v>
      </c>
    </row>
    <row r="8575" spans="1:3" x14ac:dyDescent="0.6">
      <c r="A8575" s="24">
        <v>41983</v>
      </c>
      <c r="B8575" s="23">
        <v>105.974571</v>
      </c>
      <c r="C8575" s="32">
        <f t="shared" si="133"/>
        <v>-1.9015159436022389E-2</v>
      </c>
    </row>
    <row r="8576" spans="1:3" x14ac:dyDescent="0.6">
      <c r="A8576" s="24">
        <v>41984</v>
      </c>
      <c r="B8576" s="23">
        <v>105.662201</v>
      </c>
      <c r="C8576" s="32">
        <f t="shared" si="133"/>
        <v>-2.9475939091085923E-3</v>
      </c>
    </row>
    <row r="8577" spans="1:3" x14ac:dyDescent="0.6">
      <c r="A8577" s="24">
        <v>41985</v>
      </c>
      <c r="B8577" s="23">
        <v>103.87307699999999</v>
      </c>
      <c r="C8577" s="32">
        <f t="shared" si="133"/>
        <v>-1.6932488468605733E-2</v>
      </c>
    </row>
    <row r="8578" spans="1:3" x14ac:dyDescent="0.6">
      <c r="A8578" s="24">
        <v>41988</v>
      </c>
      <c r="B8578" s="23">
        <v>102.45314</v>
      </c>
      <c r="C8578" s="32">
        <f t="shared" si="133"/>
        <v>-1.3669923343081369E-2</v>
      </c>
    </row>
    <row r="8579" spans="1:3" x14ac:dyDescent="0.6">
      <c r="A8579" s="24">
        <v>41989</v>
      </c>
      <c r="B8579" s="23">
        <v>101.05212400000001</v>
      </c>
      <c r="C8579" s="32">
        <f t="shared" si="133"/>
        <v>-1.3674700453299882E-2</v>
      </c>
    </row>
    <row r="8580" spans="1:3" x14ac:dyDescent="0.6">
      <c r="A8580" s="24">
        <v>41990</v>
      </c>
      <c r="B8580" s="23">
        <v>103.57015199999999</v>
      </c>
      <c r="C8580" s="32">
        <f t="shared" ref="C8580:C8643" si="134">B8580/B8579-1</f>
        <v>2.4918110578259434E-2</v>
      </c>
    </row>
    <row r="8581" spans="1:3" x14ac:dyDescent="0.6">
      <c r="A8581" s="24">
        <v>41991</v>
      </c>
      <c r="B8581" s="23">
        <v>106.637215</v>
      </c>
      <c r="C8581" s="32">
        <f t="shared" si="134"/>
        <v>2.9613387069278518E-2</v>
      </c>
    </row>
    <row r="8582" spans="1:3" x14ac:dyDescent="0.6">
      <c r="A8582" s="24">
        <v>41992</v>
      </c>
      <c r="B8582" s="23">
        <v>105.813644</v>
      </c>
      <c r="C8582" s="32">
        <f t="shared" si="134"/>
        <v>-7.7231105482264972E-3</v>
      </c>
    </row>
    <row r="8583" spans="1:3" x14ac:dyDescent="0.6">
      <c r="A8583" s="24">
        <v>41995</v>
      </c>
      <c r="B8583" s="23">
        <v>106.911728</v>
      </c>
      <c r="C8583" s="32">
        <f t="shared" si="134"/>
        <v>1.037752749541454E-2</v>
      </c>
    </row>
    <row r="8584" spans="1:3" x14ac:dyDescent="0.6">
      <c r="A8584" s="24">
        <v>41996</v>
      </c>
      <c r="B8584" s="23">
        <v>106.533096</v>
      </c>
      <c r="C8584" s="32">
        <f t="shared" si="134"/>
        <v>-3.5415384923905835E-3</v>
      </c>
    </row>
    <row r="8585" spans="1:3" x14ac:dyDescent="0.6">
      <c r="A8585" s="24">
        <v>41997</v>
      </c>
      <c r="B8585" s="23">
        <v>106.03138</v>
      </c>
      <c r="C8585" s="32">
        <f t="shared" si="134"/>
        <v>-4.7094848346470597E-3</v>
      </c>
    </row>
    <row r="8586" spans="1:3" x14ac:dyDescent="0.6">
      <c r="A8586" s="24">
        <v>41999</v>
      </c>
      <c r="B8586" s="23">
        <v>107.90568500000001</v>
      </c>
      <c r="C8586" s="32">
        <f t="shared" si="134"/>
        <v>1.767688961513092E-2</v>
      </c>
    </row>
    <row r="8587" spans="1:3" x14ac:dyDescent="0.6">
      <c r="A8587" s="24">
        <v>42002</v>
      </c>
      <c r="B8587" s="23">
        <v>107.829964</v>
      </c>
      <c r="C8587" s="32">
        <f t="shared" si="134"/>
        <v>-7.0173318486421721E-4</v>
      </c>
    </row>
    <row r="8588" spans="1:3" x14ac:dyDescent="0.6">
      <c r="A8588" s="24">
        <v>42003</v>
      </c>
      <c r="B8588" s="23">
        <v>106.51413700000001</v>
      </c>
      <c r="C8588" s="32">
        <f t="shared" si="134"/>
        <v>-1.220279550496739E-2</v>
      </c>
    </row>
    <row r="8589" spans="1:3" x14ac:dyDescent="0.6">
      <c r="A8589" s="24">
        <v>42004</v>
      </c>
      <c r="B8589" s="23">
        <v>104.488365</v>
      </c>
      <c r="C8589" s="32">
        <f t="shared" si="134"/>
        <v>-1.9018808742730542E-2</v>
      </c>
    </row>
    <row r="8590" spans="1:3" x14ac:dyDescent="0.6">
      <c r="A8590" s="24">
        <v>42006</v>
      </c>
      <c r="B8590" s="23">
        <v>103.494423</v>
      </c>
      <c r="C8590" s="32">
        <f t="shared" si="134"/>
        <v>-9.5124658137775153E-3</v>
      </c>
    </row>
    <row r="8591" spans="1:3" x14ac:dyDescent="0.6">
      <c r="A8591" s="24">
        <v>42009</v>
      </c>
      <c r="B8591" s="23">
        <v>100.578819</v>
      </c>
      <c r="C8591" s="32">
        <f t="shared" si="134"/>
        <v>-2.8171604956916396E-2</v>
      </c>
    </row>
    <row r="8592" spans="1:3" x14ac:dyDescent="0.6">
      <c r="A8592" s="24">
        <v>42010</v>
      </c>
      <c r="B8592" s="23">
        <v>100.58828699999999</v>
      </c>
      <c r="C8592" s="32">
        <f t="shared" si="134"/>
        <v>9.4135127993499879E-5</v>
      </c>
    </row>
    <row r="8593" spans="1:3" x14ac:dyDescent="0.6">
      <c r="A8593" s="24">
        <v>42011</v>
      </c>
      <c r="B8593" s="23">
        <v>101.99876399999999</v>
      </c>
      <c r="C8593" s="32">
        <f t="shared" si="134"/>
        <v>1.4022278756969042E-2</v>
      </c>
    </row>
    <row r="8594" spans="1:3" x14ac:dyDescent="0.6">
      <c r="A8594" s="24">
        <v>42012</v>
      </c>
      <c r="B8594" s="23">
        <v>105.91777</v>
      </c>
      <c r="C8594" s="32">
        <f t="shared" si="134"/>
        <v>3.8422093036343252E-2</v>
      </c>
    </row>
    <row r="8595" spans="1:3" x14ac:dyDescent="0.6">
      <c r="A8595" s="24">
        <v>42013</v>
      </c>
      <c r="B8595" s="23">
        <v>106.03138</v>
      </c>
      <c r="C8595" s="32">
        <f t="shared" si="134"/>
        <v>1.0726245463814621E-3</v>
      </c>
    </row>
    <row r="8596" spans="1:3" x14ac:dyDescent="0.6">
      <c r="A8596" s="24">
        <v>42016</v>
      </c>
      <c r="B8596" s="23">
        <v>103.418694</v>
      </c>
      <c r="C8596" s="32">
        <f t="shared" si="134"/>
        <v>-2.4640686559016745E-2</v>
      </c>
    </row>
    <row r="8597" spans="1:3" x14ac:dyDescent="0.6">
      <c r="A8597" s="24">
        <v>42017</v>
      </c>
      <c r="B8597" s="23">
        <v>104.336922</v>
      </c>
      <c r="C8597" s="32">
        <f t="shared" si="134"/>
        <v>8.8787429475758461E-3</v>
      </c>
    </row>
    <row r="8598" spans="1:3" x14ac:dyDescent="0.6">
      <c r="A8598" s="24">
        <v>42018</v>
      </c>
      <c r="B8598" s="23">
        <v>103.939339</v>
      </c>
      <c r="C8598" s="32">
        <f t="shared" si="134"/>
        <v>-3.81056861156015E-3</v>
      </c>
    </row>
    <row r="8599" spans="1:3" x14ac:dyDescent="0.6">
      <c r="A8599" s="24">
        <v>42019</v>
      </c>
      <c r="B8599" s="23">
        <v>101.118393</v>
      </c>
      <c r="C8599" s="32">
        <f t="shared" si="134"/>
        <v>-2.7140311138596052E-2</v>
      </c>
    </row>
    <row r="8600" spans="1:3" x14ac:dyDescent="0.6">
      <c r="A8600" s="24">
        <v>42020</v>
      </c>
      <c r="B8600" s="23">
        <v>100.332695</v>
      </c>
      <c r="C8600" s="32">
        <f t="shared" si="134"/>
        <v>-7.7700799695263889E-3</v>
      </c>
    </row>
    <row r="8601" spans="1:3" x14ac:dyDescent="0.6">
      <c r="A8601" s="24">
        <v>42024</v>
      </c>
      <c r="B8601" s="23">
        <v>102.916985</v>
      </c>
      <c r="C8601" s="32">
        <f t="shared" si="134"/>
        <v>2.5757207059971865E-2</v>
      </c>
    </row>
    <row r="8602" spans="1:3" x14ac:dyDescent="0.6">
      <c r="A8602" s="24">
        <v>42025</v>
      </c>
      <c r="B8602" s="23">
        <v>103.70269</v>
      </c>
      <c r="C8602" s="32">
        <f t="shared" si="134"/>
        <v>7.6343569528392052E-3</v>
      </c>
    </row>
    <row r="8603" spans="1:3" x14ac:dyDescent="0.6">
      <c r="A8603" s="24">
        <v>42026</v>
      </c>
      <c r="B8603" s="23">
        <v>106.400558</v>
      </c>
      <c r="C8603" s="32">
        <f t="shared" si="134"/>
        <v>2.6015410014918583E-2</v>
      </c>
    </row>
    <row r="8604" spans="1:3" x14ac:dyDescent="0.6">
      <c r="A8604" s="24">
        <v>42027</v>
      </c>
      <c r="B8604" s="23">
        <v>106.94961499999999</v>
      </c>
      <c r="C8604" s="32">
        <f t="shared" si="134"/>
        <v>5.1602830879888817E-3</v>
      </c>
    </row>
    <row r="8605" spans="1:3" x14ac:dyDescent="0.6">
      <c r="A8605" s="24">
        <v>42030</v>
      </c>
      <c r="B8605" s="23">
        <v>107.063194</v>
      </c>
      <c r="C8605" s="32">
        <f t="shared" si="134"/>
        <v>1.0619860576404072E-3</v>
      </c>
    </row>
    <row r="8606" spans="1:3" x14ac:dyDescent="0.6">
      <c r="A8606" s="24">
        <v>42031</v>
      </c>
      <c r="B8606" s="23">
        <v>103.31456</v>
      </c>
      <c r="C8606" s="32">
        <f t="shared" si="134"/>
        <v>-3.5013283836833775E-2</v>
      </c>
    </row>
    <row r="8607" spans="1:3" x14ac:dyDescent="0.6">
      <c r="A8607" s="24">
        <v>42032</v>
      </c>
      <c r="B8607" s="23">
        <v>109.155235</v>
      </c>
      <c r="C8607" s="32">
        <f t="shared" si="134"/>
        <v>5.653293204752563E-2</v>
      </c>
    </row>
    <row r="8608" spans="1:3" x14ac:dyDescent="0.6">
      <c r="A8608" s="24">
        <v>42033</v>
      </c>
      <c r="B8608" s="23">
        <v>112.55362700000001</v>
      </c>
      <c r="C8608" s="32">
        <f t="shared" si="134"/>
        <v>3.1133568628201935E-2</v>
      </c>
    </row>
    <row r="8609" spans="1:3" x14ac:dyDescent="0.6">
      <c r="A8609" s="24">
        <v>42034</v>
      </c>
      <c r="B8609" s="23">
        <v>110.906487</v>
      </c>
      <c r="C8609" s="32">
        <f t="shared" si="134"/>
        <v>-1.4634268516287019E-2</v>
      </c>
    </row>
    <row r="8610" spans="1:3" x14ac:dyDescent="0.6">
      <c r="A8610" s="24">
        <v>42037</v>
      </c>
      <c r="B8610" s="23">
        <v>112.298027</v>
      </c>
      <c r="C8610" s="32">
        <f t="shared" si="134"/>
        <v>1.2546966707186469E-2</v>
      </c>
    </row>
    <row r="8611" spans="1:3" x14ac:dyDescent="0.6">
      <c r="A8611" s="24">
        <v>42038</v>
      </c>
      <c r="B8611" s="23">
        <v>112.316956</v>
      </c>
      <c r="C8611" s="32">
        <f t="shared" si="134"/>
        <v>1.685603968804017E-4</v>
      </c>
    </row>
    <row r="8612" spans="1:3" x14ac:dyDescent="0.6">
      <c r="A8612" s="24">
        <v>42039</v>
      </c>
      <c r="B8612" s="23">
        <v>113.178398</v>
      </c>
      <c r="C8612" s="32">
        <f t="shared" si="134"/>
        <v>7.6697413345141463E-3</v>
      </c>
    </row>
    <row r="8613" spans="1:3" x14ac:dyDescent="0.6">
      <c r="A8613" s="24">
        <v>42040</v>
      </c>
      <c r="B8613" s="23">
        <v>113.986198</v>
      </c>
      <c r="C8613" s="32">
        <f t="shared" si="134"/>
        <v>7.1374044364898026E-3</v>
      </c>
    </row>
    <row r="8614" spans="1:3" x14ac:dyDescent="0.6">
      <c r="A8614" s="24">
        <v>42041</v>
      </c>
      <c r="B8614" s="23">
        <v>113.026321</v>
      </c>
      <c r="C8614" s="32">
        <f t="shared" si="134"/>
        <v>-8.4209932153365141E-3</v>
      </c>
    </row>
    <row r="8615" spans="1:3" x14ac:dyDescent="0.6">
      <c r="A8615" s="24">
        <v>42044</v>
      </c>
      <c r="B8615" s="23">
        <v>113.77711499999999</v>
      </c>
      <c r="C8615" s="32">
        <f t="shared" si="134"/>
        <v>6.6426474236915833E-3</v>
      </c>
    </row>
    <row r="8616" spans="1:3" x14ac:dyDescent="0.6">
      <c r="A8616" s="24">
        <v>42045</v>
      </c>
      <c r="B8616" s="23">
        <v>115.96294399999999</v>
      </c>
      <c r="C8616" s="32">
        <f t="shared" si="134"/>
        <v>1.9211499606049953E-2</v>
      </c>
    </row>
    <row r="8617" spans="1:3" x14ac:dyDescent="0.6">
      <c r="A8617" s="24">
        <v>42046</v>
      </c>
      <c r="B8617" s="23">
        <v>118.680969</v>
      </c>
      <c r="C8617" s="32">
        <f t="shared" si="134"/>
        <v>2.3438737464271497E-2</v>
      </c>
    </row>
    <row r="8618" spans="1:3" x14ac:dyDescent="0.6">
      <c r="A8618" s="24">
        <v>42047</v>
      </c>
      <c r="B8618" s="23">
        <v>120.18254899999999</v>
      </c>
      <c r="C8618" s="32">
        <f t="shared" si="134"/>
        <v>1.2652239130268583E-2</v>
      </c>
    </row>
    <row r="8619" spans="1:3" x14ac:dyDescent="0.6">
      <c r="A8619" s="24">
        <v>42048</v>
      </c>
      <c r="B8619" s="23">
        <v>120.77177399999999</v>
      </c>
      <c r="C8619" s="32">
        <f t="shared" si="134"/>
        <v>4.9027500656522172E-3</v>
      </c>
    </row>
    <row r="8620" spans="1:3" x14ac:dyDescent="0.6">
      <c r="A8620" s="24">
        <v>42052</v>
      </c>
      <c r="B8620" s="23">
        <v>121.484528</v>
      </c>
      <c r="C8620" s="32">
        <f t="shared" si="134"/>
        <v>5.9016604326769251E-3</v>
      </c>
    </row>
    <row r="8621" spans="1:3" x14ac:dyDescent="0.6">
      <c r="A8621" s="24">
        <v>42053</v>
      </c>
      <c r="B8621" s="23">
        <v>122.33036800000001</v>
      </c>
      <c r="C8621" s="32">
        <f t="shared" si="134"/>
        <v>6.9625327103381984E-3</v>
      </c>
    </row>
    <row r="8622" spans="1:3" x14ac:dyDescent="0.6">
      <c r="A8622" s="24">
        <v>42054</v>
      </c>
      <c r="B8622" s="23">
        <v>122.073753</v>
      </c>
      <c r="C8622" s="32">
        <f t="shared" si="134"/>
        <v>-2.0977211480309732E-3</v>
      </c>
    </row>
    <row r="8623" spans="1:3" x14ac:dyDescent="0.6">
      <c r="A8623" s="24">
        <v>42055</v>
      </c>
      <c r="B8623" s="23">
        <v>123.07165500000001</v>
      </c>
      <c r="C8623" s="32">
        <f t="shared" si="134"/>
        <v>8.1745827868502374E-3</v>
      </c>
    </row>
    <row r="8624" spans="1:3" x14ac:dyDescent="0.6">
      <c r="A8624" s="24">
        <v>42058</v>
      </c>
      <c r="B8624" s="23">
        <v>126.397896</v>
      </c>
      <c r="C8624" s="32">
        <f t="shared" si="134"/>
        <v>2.7026864959279084E-2</v>
      </c>
    </row>
    <row r="8625" spans="1:3" x14ac:dyDescent="0.6">
      <c r="A8625" s="24">
        <v>42059</v>
      </c>
      <c r="B8625" s="23">
        <v>125.60910800000001</v>
      </c>
      <c r="C8625" s="32">
        <f t="shared" si="134"/>
        <v>-6.2405152693364441E-3</v>
      </c>
    </row>
    <row r="8626" spans="1:3" x14ac:dyDescent="0.6">
      <c r="A8626" s="24">
        <v>42060</v>
      </c>
      <c r="B8626" s="23">
        <v>122.396896</v>
      </c>
      <c r="C8626" s="32">
        <f t="shared" si="134"/>
        <v>-2.5573081850083779E-2</v>
      </c>
    </row>
    <row r="8627" spans="1:3" x14ac:dyDescent="0.6">
      <c r="A8627" s="24">
        <v>42061</v>
      </c>
      <c r="B8627" s="23">
        <v>123.94596900000001</v>
      </c>
      <c r="C8627" s="32">
        <f t="shared" si="134"/>
        <v>1.2656146116646783E-2</v>
      </c>
    </row>
    <row r="8628" spans="1:3" x14ac:dyDescent="0.6">
      <c r="A8628" s="24">
        <v>42062</v>
      </c>
      <c r="B8628" s="23">
        <v>122.083282</v>
      </c>
      <c r="C8628" s="32">
        <f t="shared" si="134"/>
        <v>-1.5028217658292764E-2</v>
      </c>
    </row>
    <row r="8629" spans="1:3" x14ac:dyDescent="0.6">
      <c r="A8629" s="24">
        <v>42065</v>
      </c>
      <c r="B8629" s="23">
        <v>122.68199199999999</v>
      </c>
      <c r="C8629" s="32">
        <f t="shared" si="134"/>
        <v>4.9041112770871198E-3</v>
      </c>
    </row>
    <row r="8630" spans="1:3" x14ac:dyDescent="0.6">
      <c r="A8630" s="24">
        <v>42066</v>
      </c>
      <c r="B8630" s="23">
        <v>122.938591</v>
      </c>
      <c r="C8630" s="32">
        <f t="shared" si="134"/>
        <v>2.0915783630250928E-3</v>
      </c>
    </row>
    <row r="8631" spans="1:3" x14ac:dyDescent="0.6">
      <c r="A8631" s="24">
        <v>42067</v>
      </c>
      <c r="B8631" s="23">
        <v>122.15928599999999</v>
      </c>
      <c r="C8631" s="32">
        <f t="shared" si="134"/>
        <v>-6.3389778072209246E-3</v>
      </c>
    </row>
    <row r="8632" spans="1:3" x14ac:dyDescent="0.6">
      <c r="A8632" s="24">
        <v>42068</v>
      </c>
      <c r="B8632" s="23">
        <v>120.13504</v>
      </c>
      <c r="C8632" s="32">
        <f t="shared" si="134"/>
        <v>-1.6570545443430285E-2</v>
      </c>
    </row>
    <row r="8633" spans="1:3" x14ac:dyDescent="0.6">
      <c r="A8633" s="24">
        <v>42069</v>
      </c>
      <c r="B8633" s="23">
        <v>120.31559</v>
      </c>
      <c r="C8633" s="32">
        <f t="shared" si="134"/>
        <v>1.5028920787807376E-3</v>
      </c>
    </row>
    <row r="8634" spans="1:3" x14ac:dyDescent="0.6">
      <c r="A8634" s="24">
        <v>42072</v>
      </c>
      <c r="B8634" s="23">
        <v>120.828789</v>
      </c>
      <c r="C8634" s="32">
        <f t="shared" si="134"/>
        <v>4.265440580061064E-3</v>
      </c>
    </row>
    <row r="8635" spans="1:3" x14ac:dyDescent="0.6">
      <c r="A8635" s="24">
        <v>42073</v>
      </c>
      <c r="B8635" s="23">
        <v>118.329346</v>
      </c>
      <c r="C8635" s="32">
        <f t="shared" si="134"/>
        <v>-2.0685823475397047E-2</v>
      </c>
    </row>
    <row r="8636" spans="1:3" x14ac:dyDescent="0.6">
      <c r="A8636" s="24">
        <v>42074</v>
      </c>
      <c r="B8636" s="23">
        <v>116.172012</v>
      </c>
      <c r="C8636" s="32">
        <f t="shared" si="134"/>
        <v>-1.8231605877378931E-2</v>
      </c>
    </row>
    <row r="8637" spans="1:3" x14ac:dyDescent="0.6">
      <c r="A8637" s="24">
        <v>42075</v>
      </c>
      <c r="B8637" s="23">
        <v>118.272308</v>
      </c>
      <c r="C8637" s="32">
        <f t="shared" si="134"/>
        <v>1.8079191053349319E-2</v>
      </c>
    </row>
    <row r="8638" spans="1:3" x14ac:dyDescent="0.6">
      <c r="A8638" s="24">
        <v>42076</v>
      </c>
      <c r="B8638" s="23">
        <v>117.455009</v>
      </c>
      <c r="C8638" s="32">
        <f t="shared" si="134"/>
        <v>-6.9103158112040486E-3</v>
      </c>
    </row>
    <row r="8639" spans="1:3" x14ac:dyDescent="0.6">
      <c r="A8639" s="24">
        <v>42079</v>
      </c>
      <c r="B8639" s="23">
        <v>118.74749799999999</v>
      </c>
      <c r="C8639" s="32">
        <f t="shared" si="134"/>
        <v>1.1004119883895269E-2</v>
      </c>
    </row>
    <row r="8640" spans="1:3" x14ac:dyDescent="0.6">
      <c r="A8640" s="24">
        <v>42080</v>
      </c>
      <c r="B8640" s="23">
        <v>120.733749</v>
      </c>
      <c r="C8640" s="32">
        <f t="shared" si="134"/>
        <v>1.6726676632799586E-2</v>
      </c>
    </row>
    <row r="8641" spans="1:3" x14ac:dyDescent="0.6">
      <c r="A8641" s="24">
        <v>42081</v>
      </c>
      <c r="B8641" s="23">
        <v>122.092766</v>
      </c>
      <c r="C8641" s="32">
        <f t="shared" si="134"/>
        <v>1.1256314089940211E-2</v>
      </c>
    </row>
    <row r="8642" spans="1:3" x14ac:dyDescent="0.6">
      <c r="A8642" s="24">
        <v>42082</v>
      </c>
      <c r="B8642" s="23">
        <v>121.170929</v>
      </c>
      <c r="C8642" s="32">
        <f t="shared" si="134"/>
        <v>-7.5502999088413736E-3</v>
      </c>
    </row>
    <row r="8643" spans="1:3" x14ac:dyDescent="0.6">
      <c r="A8643" s="24">
        <v>42083</v>
      </c>
      <c r="B8643" s="23">
        <v>119.650352</v>
      </c>
      <c r="C8643" s="32">
        <f t="shared" si="134"/>
        <v>-1.254902485727416E-2</v>
      </c>
    </row>
    <row r="8644" spans="1:3" x14ac:dyDescent="0.6">
      <c r="A8644" s="24">
        <v>42086</v>
      </c>
      <c r="B8644" s="23">
        <v>120.89531700000001</v>
      </c>
      <c r="C8644" s="32">
        <f t="shared" ref="C8644:C8707" si="135">B8644/B8643-1</f>
        <v>1.0405025803852386E-2</v>
      </c>
    </row>
    <row r="8645" spans="1:3" x14ac:dyDescent="0.6">
      <c r="A8645" s="24">
        <v>42087</v>
      </c>
      <c r="B8645" s="23">
        <v>120.40113100000001</v>
      </c>
      <c r="C8645" s="32">
        <f t="shared" si="135"/>
        <v>-4.0877183026039043E-3</v>
      </c>
    </row>
    <row r="8646" spans="1:3" x14ac:dyDescent="0.6">
      <c r="A8646" s="24">
        <v>42088</v>
      </c>
      <c r="B8646" s="23">
        <v>117.255447</v>
      </c>
      <c r="C8646" s="32">
        <f t="shared" si="135"/>
        <v>-2.6126698095552015E-2</v>
      </c>
    </row>
    <row r="8647" spans="1:3" x14ac:dyDescent="0.6">
      <c r="A8647" s="24">
        <v>42089</v>
      </c>
      <c r="B8647" s="23">
        <v>118.072762</v>
      </c>
      <c r="C8647" s="32">
        <f t="shared" si="135"/>
        <v>6.9703798067477507E-3</v>
      </c>
    </row>
    <row r="8648" spans="1:3" x14ac:dyDescent="0.6">
      <c r="A8648" s="24">
        <v>42090</v>
      </c>
      <c r="B8648" s="23">
        <v>117.131897</v>
      </c>
      <c r="C8648" s="32">
        <f t="shared" si="135"/>
        <v>-7.9685185987264928E-3</v>
      </c>
    </row>
    <row r="8649" spans="1:3" x14ac:dyDescent="0.6">
      <c r="A8649" s="24">
        <v>42093</v>
      </c>
      <c r="B8649" s="23">
        <v>120.09702299999999</v>
      </c>
      <c r="C8649" s="32">
        <f t="shared" si="135"/>
        <v>2.531441969218684E-2</v>
      </c>
    </row>
    <row r="8650" spans="1:3" x14ac:dyDescent="0.6">
      <c r="A8650" s="24">
        <v>42094</v>
      </c>
      <c r="B8650" s="23">
        <v>118.253304</v>
      </c>
      <c r="C8650" s="32">
        <f t="shared" si="135"/>
        <v>-1.5351912594869122E-2</v>
      </c>
    </row>
    <row r="8651" spans="1:3" x14ac:dyDescent="0.6">
      <c r="A8651" s="24">
        <v>42095</v>
      </c>
      <c r="B8651" s="23">
        <v>118.08225299999999</v>
      </c>
      <c r="C8651" s="32">
        <f t="shared" si="135"/>
        <v>-1.4464796687626569E-3</v>
      </c>
    </row>
    <row r="8652" spans="1:3" x14ac:dyDescent="0.6">
      <c r="A8652" s="24">
        <v>42096</v>
      </c>
      <c r="B8652" s="23">
        <v>119.099136</v>
      </c>
      <c r="C8652" s="32">
        <f t="shared" si="135"/>
        <v>8.6116497116632829E-3</v>
      </c>
    </row>
    <row r="8653" spans="1:3" x14ac:dyDescent="0.6">
      <c r="A8653" s="24">
        <v>42100</v>
      </c>
      <c r="B8653" s="23">
        <v>121.028358</v>
      </c>
      <c r="C8653" s="32">
        <f t="shared" si="135"/>
        <v>1.6198455041688931E-2</v>
      </c>
    </row>
    <row r="8654" spans="1:3" x14ac:dyDescent="0.6">
      <c r="A8654" s="24">
        <v>42101</v>
      </c>
      <c r="B8654" s="23">
        <v>119.754898</v>
      </c>
      <c r="C8654" s="32">
        <f t="shared" si="135"/>
        <v>-1.0521996836476921E-2</v>
      </c>
    </row>
    <row r="8655" spans="1:3" x14ac:dyDescent="0.6">
      <c r="A8655" s="24">
        <v>42102</v>
      </c>
      <c r="B8655" s="23">
        <v>119.36524199999999</v>
      </c>
      <c r="C8655" s="32">
        <f t="shared" si="135"/>
        <v>-3.2537792316436054E-3</v>
      </c>
    </row>
    <row r="8656" spans="1:3" x14ac:dyDescent="0.6">
      <c r="A8656" s="24">
        <v>42103</v>
      </c>
      <c r="B8656" s="23">
        <v>120.27758</v>
      </c>
      <c r="C8656" s="32">
        <f t="shared" si="135"/>
        <v>7.6432467669274029E-3</v>
      </c>
    </row>
    <row r="8657" spans="1:3" x14ac:dyDescent="0.6">
      <c r="A8657" s="24">
        <v>42104</v>
      </c>
      <c r="B8657" s="23">
        <v>120.790779</v>
      </c>
      <c r="C8657" s="32">
        <f t="shared" si="135"/>
        <v>4.2667885403082639E-3</v>
      </c>
    </row>
    <row r="8658" spans="1:3" x14ac:dyDescent="0.6">
      <c r="A8658" s="24">
        <v>42107</v>
      </c>
      <c r="B8658" s="23">
        <v>120.553192</v>
      </c>
      <c r="C8658" s="32">
        <f t="shared" si="135"/>
        <v>-1.9669299425579823E-3</v>
      </c>
    </row>
    <row r="8659" spans="1:3" x14ac:dyDescent="0.6">
      <c r="A8659" s="24">
        <v>42108</v>
      </c>
      <c r="B8659" s="23">
        <v>120.030495</v>
      </c>
      <c r="C8659" s="32">
        <f t="shared" si="135"/>
        <v>-4.3358204899294206E-3</v>
      </c>
    </row>
    <row r="8660" spans="1:3" x14ac:dyDescent="0.6">
      <c r="A8660" s="24">
        <v>42109</v>
      </c>
      <c r="B8660" s="23">
        <v>120.486656</v>
      </c>
      <c r="C8660" s="32">
        <f t="shared" si="135"/>
        <v>3.8003758961420164E-3</v>
      </c>
    </row>
    <row r="8661" spans="1:3" x14ac:dyDescent="0.6">
      <c r="A8661" s="24">
        <v>42110</v>
      </c>
      <c r="B8661" s="23">
        <v>119.906937</v>
      </c>
      <c r="C8661" s="32">
        <f t="shared" si="135"/>
        <v>-4.8114788744738624E-3</v>
      </c>
    </row>
    <row r="8662" spans="1:3" x14ac:dyDescent="0.6">
      <c r="A8662" s="24">
        <v>42111</v>
      </c>
      <c r="B8662" s="23">
        <v>118.55742600000001</v>
      </c>
      <c r="C8662" s="32">
        <f t="shared" si="135"/>
        <v>-1.1254653264973213E-2</v>
      </c>
    </row>
    <row r="8663" spans="1:3" x14ac:dyDescent="0.6">
      <c r="A8663" s="24">
        <v>42114</v>
      </c>
      <c r="B8663" s="23">
        <v>121.265953</v>
      </c>
      <c r="C8663" s="32">
        <f t="shared" si="135"/>
        <v>2.2845696734340226E-2</v>
      </c>
    </row>
    <row r="8664" spans="1:3" x14ac:dyDescent="0.6">
      <c r="A8664" s="24">
        <v>42115</v>
      </c>
      <c r="B8664" s="23">
        <v>120.61022199999999</v>
      </c>
      <c r="C8664" s="32">
        <f t="shared" si="135"/>
        <v>-5.4073792666272658E-3</v>
      </c>
    </row>
    <row r="8665" spans="1:3" x14ac:dyDescent="0.6">
      <c r="A8665" s="24">
        <v>42116</v>
      </c>
      <c r="B8665" s="23">
        <v>122.23532899999999</v>
      </c>
      <c r="C8665" s="32">
        <f t="shared" si="135"/>
        <v>1.3474040367822182E-2</v>
      </c>
    </row>
    <row r="8666" spans="1:3" x14ac:dyDescent="0.6">
      <c r="A8666" s="24">
        <v>42117</v>
      </c>
      <c r="B8666" s="23">
        <v>123.2332</v>
      </c>
      <c r="C8666" s="32">
        <f t="shared" si="135"/>
        <v>8.16352365689621E-3</v>
      </c>
    </row>
    <row r="8667" spans="1:3" x14ac:dyDescent="0.6">
      <c r="A8667" s="24">
        <v>42118</v>
      </c>
      <c r="B8667" s="23">
        <v>123.812904</v>
      </c>
      <c r="C8667" s="32">
        <f t="shared" si="135"/>
        <v>4.7041219411652069E-3</v>
      </c>
    </row>
    <row r="8668" spans="1:3" x14ac:dyDescent="0.6">
      <c r="A8668" s="24">
        <v>42121</v>
      </c>
      <c r="B8668" s="23">
        <v>126.065269</v>
      </c>
      <c r="C8668" s="32">
        <f t="shared" si="135"/>
        <v>1.819168218524303E-2</v>
      </c>
    </row>
    <row r="8669" spans="1:3" x14ac:dyDescent="0.6">
      <c r="A8669" s="24">
        <v>42122</v>
      </c>
      <c r="B8669" s="23">
        <v>124.079025</v>
      </c>
      <c r="C8669" s="32">
        <f t="shared" si="135"/>
        <v>-1.575567970271019E-2</v>
      </c>
    </row>
    <row r="8670" spans="1:3" x14ac:dyDescent="0.6">
      <c r="A8670" s="24">
        <v>42123</v>
      </c>
      <c r="B8670" s="23">
        <v>122.254333</v>
      </c>
      <c r="C8670" s="32">
        <f t="shared" si="135"/>
        <v>-1.4705886027070236E-2</v>
      </c>
    </row>
    <row r="8671" spans="1:3" x14ac:dyDescent="0.6">
      <c r="A8671" s="24">
        <v>42124</v>
      </c>
      <c r="B8671" s="23">
        <v>118.937569</v>
      </c>
      <c r="C8671" s="32">
        <f t="shared" si="135"/>
        <v>-2.7130032274602534E-2</v>
      </c>
    </row>
    <row r="8672" spans="1:3" x14ac:dyDescent="0.6">
      <c r="A8672" s="24">
        <v>42125</v>
      </c>
      <c r="B8672" s="23">
        <v>122.548935</v>
      </c>
      <c r="C8672" s="32">
        <f t="shared" si="135"/>
        <v>3.03635430786382E-2</v>
      </c>
    </row>
    <row r="8673" spans="1:3" x14ac:dyDescent="0.6">
      <c r="A8673" s="24">
        <v>42128</v>
      </c>
      <c r="B8673" s="23">
        <v>122.311356</v>
      </c>
      <c r="C8673" s="32">
        <f t="shared" si="135"/>
        <v>-1.938645978441178E-3</v>
      </c>
    </row>
    <row r="8674" spans="1:3" x14ac:dyDescent="0.6">
      <c r="A8674" s="24">
        <v>42129</v>
      </c>
      <c r="B8674" s="23">
        <v>119.555305</v>
      </c>
      <c r="C8674" s="32">
        <f t="shared" si="135"/>
        <v>-2.2533075342570763E-2</v>
      </c>
    </row>
    <row r="8675" spans="1:3" x14ac:dyDescent="0.6">
      <c r="A8675" s="24">
        <v>42130</v>
      </c>
      <c r="B8675" s="23">
        <v>118.80452</v>
      </c>
      <c r="C8675" s="32">
        <f t="shared" si="135"/>
        <v>-6.2798133466349659E-3</v>
      </c>
    </row>
    <row r="8676" spans="1:3" x14ac:dyDescent="0.6">
      <c r="A8676" s="24">
        <v>42131</v>
      </c>
      <c r="B8676" s="23">
        <v>119.53936</v>
      </c>
      <c r="C8676" s="32">
        <f t="shared" si="135"/>
        <v>6.1852865530704904E-3</v>
      </c>
    </row>
    <row r="8677" spans="1:3" x14ac:dyDescent="0.6">
      <c r="A8677" s="24">
        <v>42132</v>
      </c>
      <c r="B8677" s="23">
        <v>121.791595</v>
      </c>
      <c r="C8677" s="32">
        <f t="shared" si="135"/>
        <v>1.8840949123368311E-2</v>
      </c>
    </row>
    <row r="8678" spans="1:3" x14ac:dyDescent="0.6">
      <c r="A8678" s="24">
        <v>42135</v>
      </c>
      <c r="B8678" s="23">
        <v>120.55094099999999</v>
      </c>
      <c r="C8678" s="32">
        <f t="shared" si="135"/>
        <v>-1.0186696380813487E-2</v>
      </c>
    </row>
    <row r="8679" spans="1:3" x14ac:dyDescent="0.6">
      <c r="A8679" s="24">
        <v>42136</v>
      </c>
      <c r="B8679" s="23">
        <v>120.121506</v>
      </c>
      <c r="C8679" s="32">
        <f t="shared" si="135"/>
        <v>-3.5622699950554892E-3</v>
      </c>
    </row>
    <row r="8680" spans="1:3" x14ac:dyDescent="0.6">
      <c r="A8680" s="24">
        <v>42137</v>
      </c>
      <c r="B8680" s="23">
        <v>120.255112</v>
      </c>
      <c r="C8680" s="32">
        <f t="shared" si="135"/>
        <v>1.1122571173891593E-3</v>
      </c>
    </row>
    <row r="8681" spans="1:3" x14ac:dyDescent="0.6">
      <c r="A8681" s="24">
        <v>42138</v>
      </c>
      <c r="B8681" s="23">
        <v>123.06083700000001</v>
      </c>
      <c r="C8681" s="32">
        <f t="shared" si="135"/>
        <v>2.3331440579424267E-2</v>
      </c>
    </row>
    <row r="8682" spans="1:3" x14ac:dyDescent="0.6">
      <c r="A8682" s="24">
        <v>42139</v>
      </c>
      <c r="B8682" s="23">
        <v>122.889061</v>
      </c>
      <c r="C8682" s="32">
        <f t="shared" si="135"/>
        <v>-1.3958624383483276E-3</v>
      </c>
    </row>
    <row r="8683" spans="1:3" x14ac:dyDescent="0.6">
      <c r="A8683" s="24">
        <v>42142</v>
      </c>
      <c r="B8683" s="23">
        <v>124.244225</v>
      </c>
      <c r="C8683" s="32">
        <f t="shared" si="135"/>
        <v>1.1027539709169032E-2</v>
      </c>
    </row>
    <row r="8684" spans="1:3" x14ac:dyDescent="0.6">
      <c r="A8684" s="24">
        <v>42143</v>
      </c>
      <c r="B8684" s="23">
        <v>124.129684</v>
      </c>
      <c r="C8684" s="32">
        <f t="shared" si="135"/>
        <v>-9.219020038959691E-4</v>
      </c>
    </row>
    <row r="8685" spans="1:3" x14ac:dyDescent="0.6">
      <c r="A8685" s="24">
        <v>42144</v>
      </c>
      <c r="B8685" s="23">
        <v>124.12014000000001</v>
      </c>
      <c r="C8685" s="32">
        <f t="shared" si="135"/>
        <v>-7.6887330189179259E-5</v>
      </c>
    </row>
    <row r="8686" spans="1:3" x14ac:dyDescent="0.6">
      <c r="A8686" s="24">
        <v>42145</v>
      </c>
      <c r="B8686" s="23">
        <v>125.389404</v>
      </c>
      <c r="C8686" s="32">
        <f t="shared" si="135"/>
        <v>1.0226092236118811E-2</v>
      </c>
    </row>
    <row r="8687" spans="1:3" x14ac:dyDescent="0.6">
      <c r="A8687" s="24">
        <v>42146</v>
      </c>
      <c r="B8687" s="23">
        <v>126.48687</v>
      </c>
      <c r="C8687" s="32">
        <f t="shared" si="135"/>
        <v>8.7524620501426842E-3</v>
      </c>
    </row>
    <row r="8688" spans="1:3" x14ac:dyDescent="0.6">
      <c r="A8688" s="24">
        <v>42150</v>
      </c>
      <c r="B8688" s="23">
        <v>123.700233</v>
      </c>
      <c r="C8688" s="32">
        <f t="shared" si="135"/>
        <v>-2.2031037687943456E-2</v>
      </c>
    </row>
    <row r="8689" spans="1:3" x14ac:dyDescent="0.6">
      <c r="A8689" s="24">
        <v>42151</v>
      </c>
      <c r="B8689" s="23">
        <v>126.00972</v>
      </c>
      <c r="C8689" s="32">
        <f t="shared" si="135"/>
        <v>1.8670029505926777E-2</v>
      </c>
    </row>
    <row r="8690" spans="1:3" x14ac:dyDescent="0.6">
      <c r="A8690" s="24">
        <v>42152</v>
      </c>
      <c r="B8690" s="23">
        <v>125.76158100000001</v>
      </c>
      <c r="C8690" s="32">
        <f t="shared" si="135"/>
        <v>-1.9692052327391352E-3</v>
      </c>
    </row>
    <row r="8691" spans="1:3" x14ac:dyDescent="0.6">
      <c r="A8691" s="24">
        <v>42153</v>
      </c>
      <c r="B8691" s="23">
        <v>124.33009300000001</v>
      </c>
      <c r="C8691" s="32">
        <f t="shared" si="135"/>
        <v>-1.1382554104500286E-2</v>
      </c>
    </row>
    <row r="8692" spans="1:3" x14ac:dyDescent="0.6">
      <c r="A8692" s="24">
        <v>42156</v>
      </c>
      <c r="B8692" s="23">
        <v>124.578217</v>
      </c>
      <c r="C8692" s="32">
        <f t="shared" si="135"/>
        <v>1.9956873996707092E-3</v>
      </c>
    </row>
    <row r="8693" spans="1:3" x14ac:dyDescent="0.6">
      <c r="A8693" s="24">
        <v>42157</v>
      </c>
      <c r="B8693" s="23">
        <v>124.024727</v>
      </c>
      <c r="C8693" s="32">
        <f t="shared" si="135"/>
        <v>-4.4429115565203237E-3</v>
      </c>
    </row>
    <row r="8694" spans="1:3" x14ac:dyDescent="0.6">
      <c r="A8694" s="24">
        <v>42158</v>
      </c>
      <c r="B8694" s="23">
        <v>124.17739899999999</v>
      </c>
      <c r="C8694" s="32">
        <f t="shared" si="135"/>
        <v>1.2309803350745163E-3</v>
      </c>
    </row>
    <row r="8695" spans="1:3" x14ac:dyDescent="0.6">
      <c r="A8695" s="24">
        <v>42159</v>
      </c>
      <c r="B8695" s="23">
        <v>123.452118</v>
      </c>
      <c r="C8695" s="32">
        <f t="shared" si="135"/>
        <v>-5.8406844227748556E-3</v>
      </c>
    </row>
    <row r="8696" spans="1:3" x14ac:dyDescent="0.6">
      <c r="A8696" s="24">
        <v>42160</v>
      </c>
      <c r="B8696" s="23">
        <v>122.77454400000001</v>
      </c>
      <c r="C8696" s="32">
        <f t="shared" si="135"/>
        <v>-5.4885571100529162E-3</v>
      </c>
    </row>
    <row r="8697" spans="1:3" x14ac:dyDescent="0.6">
      <c r="A8697" s="24">
        <v>42163</v>
      </c>
      <c r="B8697" s="23">
        <v>121.963356</v>
      </c>
      <c r="C8697" s="32">
        <f t="shared" si="135"/>
        <v>-6.6071351077467977E-3</v>
      </c>
    </row>
    <row r="8698" spans="1:3" x14ac:dyDescent="0.6">
      <c r="A8698" s="24">
        <v>42164</v>
      </c>
      <c r="B8698" s="23">
        <v>121.600708</v>
      </c>
      <c r="C8698" s="32">
        <f t="shared" si="135"/>
        <v>-2.9734176878505325E-3</v>
      </c>
    </row>
    <row r="8699" spans="1:3" x14ac:dyDescent="0.6">
      <c r="A8699" s="24">
        <v>42165</v>
      </c>
      <c r="B8699" s="23">
        <v>122.994041</v>
      </c>
      <c r="C8699" s="32">
        <f t="shared" si="135"/>
        <v>1.1458263877871522E-2</v>
      </c>
    </row>
    <row r="8700" spans="1:3" x14ac:dyDescent="0.6">
      <c r="A8700" s="24">
        <v>42166</v>
      </c>
      <c r="B8700" s="23">
        <v>122.71726200000001</v>
      </c>
      <c r="C8700" s="32">
        <f t="shared" si="135"/>
        <v>-2.250344795159509E-3</v>
      </c>
    </row>
    <row r="8701" spans="1:3" x14ac:dyDescent="0.6">
      <c r="A8701" s="24">
        <v>42167</v>
      </c>
      <c r="B8701" s="23">
        <v>121.362137</v>
      </c>
      <c r="C8701" s="32">
        <f t="shared" si="135"/>
        <v>-1.1042659996765569E-2</v>
      </c>
    </row>
    <row r="8702" spans="1:3" x14ac:dyDescent="0.6">
      <c r="A8702" s="24">
        <v>42170</v>
      </c>
      <c r="B8702" s="23">
        <v>121.12354999999999</v>
      </c>
      <c r="C8702" s="32">
        <f t="shared" si="135"/>
        <v>-1.9659096807104204E-3</v>
      </c>
    </row>
    <row r="8703" spans="1:3" x14ac:dyDescent="0.6">
      <c r="A8703" s="24">
        <v>42171</v>
      </c>
      <c r="B8703" s="23">
        <v>121.772491</v>
      </c>
      <c r="C8703" s="32">
        <f t="shared" si="135"/>
        <v>5.3576781724116174E-3</v>
      </c>
    </row>
    <row r="8704" spans="1:3" x14ac:dyDescent="0.6">
      <c r="A8704" s="24">
        <v>42172</v>
      </c>
      <c r="B8704" s="23">
        <v>121.48619100000001</v>
      </c>
      <c r="C8704" s="32">
        <f t="shared" si="135"/>
        <v>-2.3511057189427031E-3</v>
      </c>
    </row>
    <row r="8705" spans="1:3" x14ac:dyDescent="0.6">
      <c r="A8705" s="24">
        <v>42173</v>
      </c>
      <c r="B8705" s="23">
        <v>122.039688</v>
      </c>
      <c r="C8705" s="32">
        <f t="shared" si="135"/>
        <v>4.5560486788165377E-3</v>
      </c>
    </row>
    <row r="8706" spans="1:3" x14ac:dyDescent="0.6">
      <c r="A8706" s="24">
        <v>42174</v>
      </c>
      <c r="B8706" s="23">
        <v>120.818161</v>
      </c>
      <c r="C8706" s="32">
        <f t="shared" si="135"/>
        <v>-1.0009260266217623E-2</v>
      </c>
    </row>
    <row r="8707" spans="1:3" x14ac:dyDescent="0.6">
      <c r="A8707" s="24">
        <v>42177</v>
      </c>
      <c r="B8707" s="23">
        <v>121.78203600000001</v>
      </c>
      <c r="C8707" s="32">
        <f t="shared" si="135"/>
        <v>7.9778982896454576E-3</v>
      </c>
    </row>
    <row r="8708" spans="1:3" x14ac:dyDescent="0.6">
      <c r="A8708" s="24">
        <v>42178</v>
      </c>
      <c r="B8708" s="23">
        <v>121.228523</v>
      </c>
      <c r="C8708" s="32">
        <f t="shared" ref="C8708:C8771" si="136">B8708/B8707-1</f>
        <v>-4.5451120557715718E-3</v>
      </c>
    </row>
    <row r="8709" spans="1:3" x14ac:dyDescent="0.6">
      <c r="A8709" s="24">
        <v>42179</v>
      </c>
      <c r="B8709" s="23">
        <v>122.259201</v>
      </c>
      <c r="C8709" s="32">
        <f t="shared" si="136"/>
        <v>8.5019430617001568E-3</v>
      </c>
    </row>
    <row r="8710" spans="1:3" x14ac:dyDescent="0.6">
      <c r="A8710" s="24">
        <v>42180</v>
      </c>
      <c r="B8710" s="23">
        <v>121.677055</v>
      </c>
      <c r="C8710" s="32">
        <f t="shared" si="136"/>
        <v>-4.7615720963202213E-3</v>
      </c>
    </row>
    <row r="8711" spans="1:3" x14ac:dyDescent="0.6">
      <c r="A8711" s="24">
        <v>42181</v>
      </c>
      <c r="B8711" s="23">
        <v>120.96131099999999</v>
      </c>
      <c r="C8711" s="32">
        <f t="shared" si="136"/>
        <v>-5.8823251433888224E-3</v>
      </c>
    </row>
    <row r="8712" spans="1:3" x14ac:dyDescent="0.6">
      <c r="A8712" s="24">
        <v>42184</v>
      </c>
      <c r="B8712" s="23">
        <v>118.84269</v>
      </c>
      <c r="C8712" s="32">
        <f t="shared" si="136"/>
        <v>-1.7514864732244728E-2</v>
      </c>
    </row>
    <row r="8713" spans="1:3" x14ac:dyDescent="0.6">
      <c r="A8713" s="24">
        <v>42185</v>
      </c>
      <c r="B8713" s="23">
        <v>119.70159099999999</v>
      </c>
      <c r="C8713" s="32">
        <f t="shared" si="136"/>
        <v>7.2272093470788779E-3</v>
      </c>
    </row>
    <row r="8714" spans="1:3" x14ac:dyDescent="0.6">
      <c r="A8714" s="24">
        <v>42186</v>
      </c>
      <c r="B8714" s="23">
        <v>120.818161</v>
      </c>
      <c r="C8714" s="32">
        <f t="shared" si="136"/>
        <v>9.327946192461356E-3</v>
      </c>
    </row>
    <row r="8715" spans="1:3" x14ac:dyDescent="0.6">
      <c r="A8715" s="24">
        <v>42187</v>
      </c>
      <c r="B8715" s="23">
        <v>120.665459</v>
      </c>
      <c r="C8715" s="32">
        <f t="shared" si="136"/>
        <v>-1.2638993900925266E-3</v>
      </c>
    </row>
    <row r="8716" spans="1:3" x14ac:dyDescent="0.6">
      <c r="A8716" s="24">
        <v>42191</v>
      </c>
      <c r="B8716" s="23">
        <v>120.24556699999999</v>
      </c>
      <c r="C8716" s="32">
        <f t="shared" si="136"/>
        <v>-3.4798027826671296E-3</v>
      </c>
    </row>
    <row r="8717" spans="1:3" x14ac:dyDescent="0.6">
      <c r="A8717" s="24">
        <v>42192</v>
      </c>
      <c r="B8717" s="23">
        <v>119.94972199999999</v>
      </c>
      <c r="C8717" s="32">
        <f t="shared" si="136"/>
        <v>-2.4603401803577896E-3</v>
      </c>
    </row>
    <row r="8718" spans="1:3" x14ac:dyDescent="0.6">
      <c r="A8718" s="24">
        <v>42193</v>
      </c>
      <c r="B8718" s="23">
        <v>116.97221399999999</v>
      </c>
      <c r="C8718" s="32">
        <f t="shared" si="136"/>
        <v>-2.48229670761555E-2</v>
      </c>
    </row>
    <row r="8719" spans="1:3" x14ac:dyDescent="0.6">
      <c r="A8719" s="24">
        <v>42194</v>
      </c>
      <c r="B8719" s="23">
        <v>114.586388</v>
      </c>
      <c r="C8719" s="32">
        <f t="shared" si="136"/>
        <v>-2.0396519125473578E-2</v>
      </c>
    </row>
    <row r="8720" spans="1:3" x14ac:dyDescent="0.6">
      <c r="A8720" s="24">
        <v>42195</v>
      </c>
      <c r="B8720" s="23">
        <v>117.649788</v>
      </c>
      <c r="C8720" s="32">
        <f t="shared" si="136"/>
        <v>2.6734414562399778E-2</v>
      </c>
    </row>
    <row r="8721" spans="1:3" x14ac:dyDescent="0.6">
      <c r="A8721" s="24">
        <v>42198</v>
      </c>
      <c r="B8721" s="23">
        <v>119.921097</v>
      </c>
      <c r="C8721" s="32">
        <f t="shared" si="136"/>
        <v>1.9305678646866831E-2</v>
      </c>
    </row>
    <row r="8722" spans="1:3" x14ac:dyDescent="0.6">
      <c r="A8722" s="24">
        <v>42199</v>
      </c>
      <c r="B8722" s="23">
        <v>119.873367</v>
      </c>
      <c r="C8722" s="32">
        <f t="shared" si="136"/>
        <v>-3.9801170264475161E-4</v>
      </c>
    </row>
    <row r="8723" spans="1:3" x14ac:dyDescent="0.6">
      <c r="A8723" s="24">
        <v>42200</v>
      </c>
      <c r="B8723" s="23">
        <v>121.028114</v>
      </c>
      <c r="C8723" s="32">
        <f t="shared" si="136"/>
        <v>9.6330571910940854E-3</v>
      </c>
    </row>
    <row r="8724" spans="1:3" x14ac:dyDescent="0.6">
      <c r="A8724" s="24">
        <v>42201</v>
      </c>
      <c r="B8724" s="23">
        <v>122.64093800000001</v>
      </c>
      <c r="C8724" s="32">
        <f t="shared" si="136"/>
        <v>1.3326027702951659E-2</v>
      </c>
    </row>
    <row r="8725" spans="1:3" x14ac:dyDescent="0.6">
      <c r="A8725" s="24">
        <v>42202</v>
      </c>
      <c r="B8725" s="23">
        <v>123.700233</v>
      </c>
      <c r="C8725" s="32">
        <f t="shared" si="136"/>
        <v>8.6373687063612259E-3</v>
      </c>
    </row>
    <row r="8726" spans="1:3" x14ac:dyDescent="0.6">
      <c r="A8726" s="24">
        <v>42205</v>
      </c>
      <c r="B8726" s="23">
        <v>126.03836800000001</v>
      </c>
      <c r="C8726" s="32">
        <f t="shared" si="136"/>
        <v>1.8901621632353871E-2</v>
      </c>
    </row>
    <row r="8727" spans="1:3" x14ac:dyDescent="0.6">
      <c r="A8727" s="24">
        <v>42206</v>
      </c>
      <c r="B8727" s="23">
        <v>124.77862500000001</v>
      </c>
      <c r="C8727" s="32">
        <f t="shared" si="136"/>
        <v>-9.994916785974306E-3</v>
      </c>
    </row>
    <row r="8728" spans="1:3" x14ac:dyDescent="0.6">
      <c r="A8728" s="24">
        <v>42207</v>
      </c>
      <c r="B8728" s="23">
        <v>119.501183</v>
      </c>
      <c r="C8728" s="32">
        <f t="shared" si="136"/>
        <v>-4.2294439452270072E-2</v>
      </c>
    </row>
    <row r="8729" spans="1:3" x14ac:dyDescent="0.6">
      <c r="A8729" s="24">
        <v>42208</v>
      </c>
      <c r="B8729" s="23">
        <v>119.443916</v>
      </c>
      <c r="C8729" s="32">
        <f t="shared" si="136"/>
        <v>-4.7921701327424682E-4</v>
      </c>
    </row>
    <row r="8730" spans="1:3" x14ac:dyDescent="0.6">
      <c r="A8730" s="24">
        <v>42209</v>
      </c>
      <c r="B8730" s="23">
        <v>118.814072</v>
      </c>
      <c r="C8730" s="32">
        <f t="shared" si="136"/>
        <v>-5.273135887473801E-3</v>
      </c>
    </row>
    <row r="8731" spans="1:3" x14ac:dyDescent="0.6">
      <c r="A8731" s="24">
        <v>42212</v>
      </c>
      <c r="B8731" s="23">
        <v>117.163071</v>
      </c>
      <c r="C8731" s="32">
        <f t="shared" si="136"/>
        <v>-1.3895668856463317E-2</v>
      </c>
    </row>
    <row r="8732" spans="1:3" x14ac:dyDescent="0.6">
      <c r="A8732" s="24">
        <v>42213</v>
      </c>
      <c r="B8732" s="23">
        <v>117.74522399999999</v>
      </c>
      <c r="C8732" s="32">
        <f t="shared" si="136"/>
        <v>4.968741387804565E-3</v>
      </c>
    </row>
    <row r="8733" spans="1:3" x14ac:dyDescent="0.6">
      <c r="A8733" s="24">
        <v>42214</v>
      </c>
      <c r="B8733" s="23">
        <v>117.373024</v>
      </c>
      <c r="C8733" s="32">
        <f t="shared" si="136"/>
        <v>-3.161062396891734E-3</v>
      </c>
    </row>
    <row r="8734" spans="1:3" x14ac:dyDescent="0.6">
      <c r="A8734" s="24">
        <v>42215</v>
      </c>
      <c r="B8734" s="23">
        <v>116.78134900000001</v>
      </c>
      <c r="C8734" s="32">
        <f t="shared" si="136"/>
        <v>-5.0409794332298974E-3</v>
      </c>
    </row>
    <row r="8735" spans="1:3" x14ac:dyDescent="0.6">
      <c r="A8735" s="24">
        <v>42216</v>
      </c>
      <c r="B8735" s="23">
        <v>115.76020800000001</v>
      </c>
      <c r="C8735" s="32">
        <f t="shared" si="136"/>
        <v>-8.7440418246923501E-3</v>
      </c>
    </row>
    <row r="8736" spans="1:3" x14ac:dyDescent="0.6">
      <c r="A8736" s="24">
        <v>42219</v>
      </c>
      <c r="B8736" s="23">
        <v>113.030823</v>
      </c>
      <c r="C8736" s="32">
        <f t="shared" si="136"/>
        <v>-2.357792066164921E-2</v>
      </c>
    </row>
    <row r="8737" spans="1:3" x14ac:dyDescent="0.6">
      <c r="A8737" s="24">
        <v>42220</v>
      </c>
      <c r="B8737" s="23">
        <v>109.40437300000001</v>
      </c>
      <c r="C8737" s="32">
        <f t="shared" si="136"/>
        <v>-3.2083726400894963E-2</v>
      </c>
    </row>
    <row r="8738" spans="1:3" x14ac:dyDescent="0.6">
      <c r="A8738" s="24">
        <v>42221</v>
      </c>
      <c r="B8738" s="23">
        <v>110.12966900000001</v>
      </c>
      <c r="C8738" s="32">
        <f t="shared" si="136"/>
        <v>6.6294973419389613E-3</v>
      </c>
    </row>
    <row r="8739" spans="1:3" x14ac:dyDescent="0.6">
      <c r="A8739" s="24">
        <v>42222</v>
      </c>
      <c r="B8739" s="23">
        <v>110.36932400000001</v>
      </c>
      <c r="C8739" s="32">
        <f t="shared" si="136"/>
        <v>2.1761165921601044E-3</v>
      </c>
    </row>
    <row r="8740" spans="1:3" x14ac:dyDescent="0.6">
      <c r="A8740" s="24">
        <v>42223</v>
      </c>
      <c r="B8740" s="23">
        <v>110.74321</v>
      </c>
      <c r="C8740" s="32">
        <f t="shared" si="136"/>
        <v>3.3875898342912159E-3</v>
      </c>
    </row>
    <row r="8741" spans="1:3" x14ac:dyDescent="0.6">
      <c r="A8741" s="24">
        <v>42226</v>
      </c>
      <c r="B8741" s="23">
        <v>114.769531</v>
      </c>
      <c r="C8741" s="32">
        <f t="shared" si="136"/>
        <v>3.6357271926648949E-2</v>
      </c>
    </row>
    <row r="8742" spans="1:3" x14ac:dyDescent="0.6">
      <c r="A8742" s="24">
        <v>42227</v>
      </c>
      <c r="B8742" s="23">
        <v>108.797134</v>
      </c>
      <c r="C8742" s="32">
        <f t="shared" si="136"/>
        <v>-5.2038175532842401E-2</v>
      </c>
    </row>
    <row r="8743" spans="1:3" x14ac:dyDescent="0.6">
      <c r="A8743" s="24">
        <v>42228</v>
      </c>
      <c r="B8743" s="23">
        <v>110.474777</v>
      </c>
      <c r="C8743" s="32">
        <f t="shared" si="136"/>
        <v>1.5419919057794385E-2</v>
      </c>
    </row>
    <row r="8744" spans="1:3" x14ac:dyDescent="0.6">
      <c r="A8744" s="24">
        <v>42229</v>
      </c>
      <c r="B8744" s="23">
        <v>110.388504</v>
      </c>
      <c r="C8744" s="32">
        <f t="shared" si="136"/>
        <v>-7.8092938807206025E-4</v>
      </c>
    </row>
    <row r="8745" spans="1:3" x14ac:dyDescent="0.6">
      <c r="A8745" s="24">
        <v>42230</v>
      </c>
      <c r="B8745" s="23">
        <v>111.165001</v>
      </c>
      <c r="C8745" s="32">
        <f t="shared" si="136"/>
        <v>7.0342197952062424E-3</v>
      </c>
    </row>
    <row r="8746" spans="1:3" x14ac:dyDescent="0.6">
      <c r="A8746" s="24">
        <v>42233</v>
      </c>
      <c r="B8746" s="23">
        <v>112.315399</v>
      </c>
      <c r="C8746" s="32">
        <f t="shared" si="136"/>
        <v>1.0348562853878862E-2</v>
      </c>
    </row>
    <row r="8747" spans="1:3" x14ac:dyDescent="0.6">
      <c r="A8747" s="24">
        <v>42234</v>
      </c>
      <c r="B8747" s="23">
        <v>111.68266300000001</v>
      </c>
      <c r="C8747" s="32">
        <f t="shared" si="136"/>
        <v>-5.6335641028172345E-3</v>
      </c>
    </row>
    <row r="8748" spans="1:3" x14ac:dyDescent="0.6">
      <c r="A8748" s="24">
        <v>42235</v>
      </c>
      <c r="B8748" s="23">
        <v>110.254295</v>
      </c>
      <c r="C8748" s="32">
        <f t="shared" si="136"/>
        <v>-1.2789523115150025E-2</v>
      </c>
    </row>
    <row r="8749" spans="1:3" x14ac:dyDescent="0.6">
      <c r="A8749" s="24">
        <v>42236</v>
      </c>
      <c r="B8749" s="23">
        <v>107.991882</v>
      </c>
      <c r="C8749" s="32">
        <f t="shared" si="136"/>
        <v>-2.0519953440362504E-2</v>
      </c>
    </row>
    <row r="8750" spans="1:3" x14ac:dyDescent="0.6">
      <c r="A8750" s="24">
        <v>42237</v>
      </c>
      <c r="B8750" s="23">
        <v>101.386787</v>
      </c>
      <c r="C8750" s="32">
        <f t="shared" si="136"/>
        <v>-6.1162884447184651E-2</v>
      </c>
    </row>
    <row r="8751" spans="1:3" x14ac:dyDescent="0.6">
      <c r="A8751" s="24">
        <v>42240</v>
      </c>
      <c r="B8751" s="23">
        <v>98.855957000000004</v>
      </c>
      <c r="C8751" s="32">
        <f t="shared" si="136"/>
        <v>-2.4962128447763021E-2</v>
      </c>
    </row>
    <row r="8752" spans="1:3" x14ac:dyDescent="0.6">
      <c r="A8752" s="24">
        <v>42241</v>
      </c>
      <c r="B8752" s="23">
        <v>99.450301999999994</v>
      </c>
      <c r="C8752" s="32">
        <f t="shared" si="136"/>
        <v>6.012232525349992E-3</v>
      </c>
    </row>
    <row r="8753" spans="1:3" x14ac:dyDescent="0.6">
      <c r="A8753" s="24">
        <v>42242</v>
      </c>
      <c r="B8753" s="23">
        <v>105.15428199999999</v>
      </c>
      <c r="C8753" s="32">
        <f t="shared" si="136"/>
        <v>5.7355079726153058E-2</v>
      </c>
    </row>
    <row r="8754" spans="1:3" x14ac:dyDescent="0.6">
      <c r="A8754" s="24">
        <v>42243</v>
      </c>
      <c r="B8754" s="23">
        <v>108.25071699999999</v>
      </c>
      <c r="C8754" s="32">
        <f t="shared" si="136"/>
        <v>2.9446589726132011E-2</v>
      </c>
    </row>
    <row r="8755" spans="1:3" x14ac:dyDescent="0.6">
      <c r="A8755" s="24">
        <v>42244</v>
      </c>
      <c r="B8755" s="23">
        <v>108.605408</v>
      </c>
      <c r="C8755" s="32">
        <f t="shared" si="136"/>
        <v>3.2765695214749258E-3</v>
      </c>
    </row>
    <row r="8756" spans="1:3" x14ac:dyDescent="0.6">
      <c r="A8756" s="24">
        <v>42247</v>
      </c>
      <c r="B8756" s="23">
        <v>108.097336</v>
      </c>
      <c r="C8756" s="32">
        <f t="shared" si="136"/>
        <v>-4.6781464142190421E-3</v>
      </c>
    </row>
    <row r="8757" spans="1:3" x14ac:dyDescent="0.6">
      <c r="A8757" s="24">
        <v>42248</v>
      </c>
      <c r="B8757" s="23">
        <v>103.265732</v>
      </c>
      <c r="C8757" s="32">
        <f t="shared" si="136"/>
        <v>-4.4696790677616671E-2</v>
      </c>
    </row>
    <row r="8758" spans="1:3" x14ac:dyDescent="0.6">
      <c r="A8758" s="24">
        <v>42249</v>
      </c>
      <c r="B8758" s="23">
        <v>107.694687</v>
      </c>
      <c r="C8758" s="32">
        <f t="shared" si="136"/>
        <v>4.2888913042324672E-2</v>
      </c>
    </row>
    <row r="8759" spans="1:3" x14ac:dyDescent="0.6">
      <c r="A8759" s="24">
        <v>42250</v>
      </c>
      <c r="B8759" s="23">
        <v>105.806152</v>
      </c>
      <c r="C8759" s="32">
        <f t="shared" si="136"/>
        <v>-1.7536008995504115E-2</v>
      </c>
    </row>
    <row r="8760" spans="1:3" x14ac:dyDescent="0.6">
      <c r="A8760" s="24">
        <v>42251</v>
      </c>
      <c r="B8760" s="23">
        <v>104.75163999999999</v>
      </c>
      <c r="C8760" s="32">
        <f t="shared" si="136"/>
        <v>-9.9664526123207642E-3</v>
      </c>
    </row>
    <row r="8761" spans="1:3" x14ac:dyDescent="0.6">
      <c r="A8761" s="24">
        <v>42255</v>
      </c>
      <c r="B8761" s="23">
        <v>107.665932</v>
      </c>
      <c r="C8761" s="32">
        <f t="shared" si="136"/>
        <v>2.7820967767187232E-2</v>
      </c>
    </row>
    <row r="8762" spans="1:3" x14ac:dyDescent="0.6">
      <c r="A8762" s="24">
        <v>42256</v>
      </c>
      <c r="B8762" s="23">
        <v>105.595253</v>
      </c>
      <c r="C8762" s="32">
        <f t="shared" si="136"/>
        <v>-1.9232443926645248E-2</v>
      </c>
    </row>
    <row r="8763" spans="1:3" x14ac:dyDescent="0.6">
      <c r="A8763" s="24">
        <v>42257</v>
      </c>
      <c r="B8763" s="23">
        <v>107.915176</v>
      </c>
      <c r="C8763" s="32">
        <f t="shared" si="136"/>
        <v>2.1969955410779729E-2</v>
      </c>
    </row>
    <row r="8764" spans="1:3" x14ac:dyDescent="0.6">
      <c r="A8764" s="24">
        <v>42258</v>
      </c>
      <c r="B8764" s="23">
        <v>109.48736599999999</v>
      </c>
      <c r="C8764" s="32">
        <f t="shared" si="136"/>
        <v>1.4568757224655782E-2</v>
      </c>
    </row>
    <row r="8765" spans="1:3" x14ac:dyDescent="0.6">
      <c r="A8765" s="24">
        <v>42261</v>
      </c>
      <c r="B8765" s="23">
        <v>110.541878</v>
      </c>
      <c r="C8765" s="32">
        <f t="shared" si="136"/>
        <v>9.6313578317337445E-3</v>
      </c>
    </row>
    <row r="8766" spans="1:3" x14ac:dyDescent="0.6">
      <c r="A8766" s="24">
        <v>42262</v>
      </c>
      <c r="B8766" s="23">
        <v>111.471771</v>
      </c>
      <c r="C8766" s="32">
        <f t="shared" si="136"/>
        <v>8.4121331826840784E-3</v>
      </c>
    </row>
    <row r="8767" spans="1:3" x14ac:dyDescent="0.6">
      <c r="A8767" s="24">
        <v>42263</v>
      </c>
      <c r="B8767" s="23">
        <v>111.596405</v>
      </c>
      <c r="C8767" s="32">
        <f t="shared" si="136"/>
        <v>1.1180767909393374E-3</v>
      </c>
    </row>
    <row r="8768" spans="1:3" x14ac:dyDescent="0.6">
      <c r="A8768" s="24">
        <v>42264</v>
      </c>
      <c r="B8768" s="23">
        <v>109.20935799999999</v>
      </c>
      <c r="C8768" s="32">
        <f t="shared" si="136"/>
        <v>-2.1389999077479294E-2</v>
      </c>
    </row>
    <row r="8769" spans="1:3" x14ac:dyDescent="0.6">
      <c r="A8769" s="24">
        <v>42265</v>
      </c>
      <c r="B8769" s="23">
        <v>108.758797</v>
      </c>
      <c r="C8769" s="32">
        <f t="shared" si="136"/>
        <v>-4.1256629308268344E-3</v>
      </c>
    </row>
    <row r="8770" spans="1:3" x14ac:dyDescent="0.6">
      <c r="A8770" s="24">
        <v>42268</v>
      </c>
      <c r="B8770" s="23">
        <v>110.44601400000001</v>
      </c>
      <c r="C8770" s="32">
        <f t="shared" si="136"/>
        <v>1.5513384172500588E-2</v>
      </c>
    </row>
    <row r="8771" spans="1:3" x14ac:dyDescent="0.6">
      <c r="A8771" s="24">
        <v>42269</v>
      </c>
      <c r="B8771" s="23">
        <v>108.71086099999999</v>
      </c>
      <c r="C8771" s="32">
        <f t="shared" si="136"/>
        <v>-1.5710417580122149E-2</v>
      </c>
    </row>
    <row r="8772" spans="1:3" x14ac:dyDescent="0.6">
      <c r="A8772" s="24">
        <v>42270</v>
      </c>
      <c r="B8772" s="23">
        <v>109.592827</v>
      </c>
      <c r="C8772" s="32">
        <f t="shared" ref="C8772:C8835" si="137">B8772/B8771-1</f>
        <v>8.1129520260170285E-3</v>
      </c>
    </row>
    <row r="8773" spans="1:3" x14ac:dyDescent="0.6">
      <c r="A8773" s="24">
        <v>42271</v>
      </c>
      <c r="B8773" s="23">
        <v>110.244705</v>
      </c>
      <c r="C8773" s="32">
        <f t="shared" si="137"/>
        <v>5.9481812618995544E-3</v>
      </c>
    </row>
    <row r="8774" spans="1:3" x14ac:dyDescent="0.6">
      <c r="A8774" s="24">
        <v>42272</v>
      </c>
      <c r="B8774" s="23">
        <v>109.96669799999999</v>
      </c>
      <c r="C8774" s="32">
        <f t="shared" si="137"/>
        <v>-2.5217265536698896E-3</v>
      </c>
    </row>
    <row r="8775" spans="1:3" x14ac:dyDescent="0.6">
      <c r="A8775" s="24">
        <v>42275</v>
      </c>
      <c r="B8775" s="23">
        <v>107.790565</v>
      </c>
      <c r="C8775" s="32">
        <f t="shared" si="137"/>
        <v>-1.9789018308069894E-2</v>
      </c>
    </row>
    <row r="8776" spans="1:3" x14ac:dyDescent="0.6">
      <c r="A8776" s="24">
        <v>42276</v>
      </c>
      <c r="B8776" s="23">
        <v>104.550331</v>
      </c>
      <c r="C8776" s="32">
        <f t="shared" si="137"/>
        <v>-3.0060460300954883E-2</v>
      </c>
    </row>
    <row r="8777" spans="1:3" x14ac:dyDescent="0.6">
      <c r="A8777" s="24">
        <v>42277</v>
      </c>
      <c r="B8777" s="23">
        <v>105.739059</v>
      </c>
      <c r="C8777" s="32">
        <f t="shared" si="137"/>
        <v>1.1369911397028476E-2</v>
      </c>
    </row>
    <row r="8778" spans="1:3" x14ac:dyDescent="0.6">
      <c r="A8778" s="24">
        <v>42278</v>
      </c>
      <c r="B8778" s="23">
        <v>105.04882000000001</v>
      </c>
      <c r="C8778" s="32">
        <f t="shared" si="137"/>
        <v>-6.5277581106523153E-3</v>
      </c>
    </row>
    <row r="8779" spans="1:3" x14ac:dyDescent="0.6">
      <c r="A8779" s="24">
        <v>42279</v>
      </c>
      <c r="B8779" s="23">
        <v>105.815742</v>
      </c>
      <c r="C8779" s="32">
        <f t="shared" si="137"/>
        <v>7.300624604826611E-3</v>
      </c>
    </row>
    <row r="8780" spans="1:3" x14ac:dyDescent="0.6">
      <c r="A8780" s="24">
        <v>42282</v>
      </c>
      <c r="B8780" s="23">
        <v>106.199203</v>
      </c>
      <c r="C8780" s="32">
        <f t="shared" si="137"/>
        <v>3.6238558909316154E-3</v>
      </c>
    </row>
    <row r="8781" spans="1:3" x14ac:dyDescent="0.6">
      <c r="A8781" s="24">
        <v>42283</v>
      </c>
      <c r="B8781" s="23">
        <v>106.707283</v>
      </c>
      <c r="C8781" s="32">
        <f t="shared" si="137"/>
        <v>4.7842166951101994E-3</v>
      </c>
    </row>
    <row r="8782" spans="1:3" x14ac:dyDescent="0.6">
      <c r="A8782" s="24">
        <v>42284</v>
      </c>
      <c r="B8782" s="23">
        <v>106.199203</v>
      </c>
      <c r="C8782" s="32">
        <f t="shared" si="137"/>
        <v>-4.7614369489663577E-3</v>
      </c>
    </row>
    <row r="8783" spans="1:3" x14ac:dyDescent="0.6">
      <c r="A8783" s="24">
        <v>42285</v>
      </c>
      <c r="B8783" s="23">
        <v>104.97213000000001</v>
      </c>
      <c r="C8783" s="32">
        <f t="shared" si="137"/>
        <v>-1.155444641142922E-2</v>
      </c>
    </row>
    <row r="8784" spans="1:3" x14ac:dyDescent="0.6">
      <c r="A8784" s="24">
        <v>42286</v>
      </c>
      <c r="B8784" s="23">
        <v>107.483788</v>
      </c>
      <c r="C8784" s="32">
        <f t="shared" si="137"/>
        <v>2.3926903264704702E-2</v>
      </c>
    </row>
    <row r="8785" spans="1:3" x14ac:dyDescent="0.6">
      <c r="A8785" s="24">
        <v>42289</v>
      </c>
      <c r="B8785" s="23">
        <v>106.985291</v>
      </c>
      <c r="C8785" s="32">
        <f t="shared" si="137"/>
        <v>-4.6378808309212038E-3</v>
      </c>
    </row>
    <row r="8786" spans="1:3" x14ac:dyDescent="0.6">
      <c r="A8786" s="24">
        <v>42290</v>
      </c>
      <c r="B8786" s="23">
        <v>107.16744199999999</v>
      </c>
      <c r="C8786" s="32">
        <f t="shared" si="137"/>
        <v>1.7025798434291417E-3</v>
      </c>
    </row>
    <row r="8787" spans="1:3" x14ac:dyDescent="0.6">
      <c r="A8787" s="24">
        <v>42291</v>
      </c>
      <c r="B8787" s="23">
        <v>105.652771</v>
      </c>
      <c r="C8787" s="32">
        <f t="shared" si="137"/>
        <v>-1.4133686236534326E-2</v>
      </c>
    </row>
    <row r="8788" spans="1:3" x14ac:dyDescent="0.6">
      <c r="A8788" s="24">
        <v>42292</v>
      </c>
      <c r="B8788" s="23">
        <v>107.23455</v>
      </c>
      <c r="C8788" s="32">
        <f t="shared" si="137"/>
        <v>1.4971486171432291E-2</v>
      </c>
    </row>
    <row r="8789" spans="1:3" x14ac:dyDescent="0.6">
      <c r="A8789" s="24">
        <v>42293</v>
      </c>
      <c r="B8789" s="23">
        <v>106.448448</v>
      </c>
      <c r="C8789" s="32">
        <f t="shared" si="137"/>
        <v>-7.3306784054206764E-3</v>
      </c>
    </row>
    <row r="8790" spans="1:3" x14ac:dyDescent="0.6">
      <c r="A8790" s="24">
        <v>42296</v>
      </c>
      <c r="B8790" s="23">
        <v>107.109909</v>
      </c>
      <c r="C8790" s="32">
        <f t="shared" si="137"/>
        <v>6.2139092906268178E-3</v>
      </c>
    </row>
    <row r="8791" spans="1:3" x14ac:dyDescent="0.6">
      <c r="A8791" s="24">
        <v>42297</v>
      </c>
      <c r="B8791" s="23">
        <v>109.06555899999999</v>
      </c>
      <c r="C8791" s="32">
        <f t="shared" si="137"/>
        <v>1.8258348067497598E-2</v>
      </c>
    </row>
    <row r="8792" spans="1:3" x14ac:dyDescent="0.6">
      <c r="A8792" s="24">
        <v>42298</v>
      </c>
      <c r="B8792" s="23">
        <v>109.055977</v>
      </c>
      <c r="C8792" s="32">
        <f t="shared" si="137"/>
        <v>-8.7855415475290854E-5</v>
      </c>
    </row>
    <row r="8793" spans="1:3" x14ac:dyDescent="0.6">
      <c r="A8793" s="24">
        <v>42299</v>
      </c>
      <c r="B8793" s="23">
        <v>110.724037</v>
      </c>
      <c r="C8793" s="32">
        <f t="shared" si="137"/>
        <v>1.5295447768076009E-2</v>
      </c>
    </row>
    <row r="8794" spans="1:3" x14ac:dyDescent="0.6">
      <c r="A8794" s="24">
        <v>42300</v>
      </c>
      <c r="B8794" s="23">
        <v>114.155998</v>
      </c>
      <c r="C8794" s="32">
        <f t="shared" si="137"/>
        <v>3.0995627444472706E-2</v>
      </c>
    </row>
    <row r="8795" spans="1:3" x14ac:dyDescent="0.6">
      <c r="A8795" s="24">
        <v>42303</v>
      </c>
      <c r="B8795" s="23">
        <v>110.513138</v>
      </c>
      <c r="C8795" s="32">
        <f t="shared" si="137"/>
        <v>-3.1911244821319018E-2</v>
      </c>
    </row>
    <row r="8796" spans="1:3" x14ac:dyDescent="0.6">
      <c r="A8796" s="24">
        <v>42304</v>
      </c>
      <c r="B8796" s="23">
        <v>109.813309</v>
      </c>
      <c r="C8796" s="32">
        <f t="shared" si="137"/>
        <v>-6.3325412042863904E-3</v>
      </c>
    </row>
    <row r="8797" spans="1:3" x14ac:dyDescent="0.6">
      <c r="A8797" s="24">
        <v>42305</v>
      </c>
      <c r="B8797" s="23">
        <v>114.338127</v>
      </c>
      <c r="C8797" s="32">
        <f t="shared" si="137"/>
        <v>4.1204641233422823E-2</v>
      </c>
    </row>
    <row r="8798" spans="1:3" x14ac:dyDescent="0.6">
      <c r="A8798" s="24">
        <v>42306</v>
      </c>
      <c r="B8798" s="23">
        <v>115.546036</v>
      </c>
      <c r="C8798" s="32">
        <f t="shared" si="137"/>
        <v>1.0564358816197883E-2</v>
      </c>
    </row>
    <row r="8799" spans="1:3" x14ac:dyDescent="0.6">
      <c r="A8799" s="24">
        <v>42307</v>
      </c>
      <c r="B8799" s="23">
        <v>114.558632</v>
      </c>
      <c r="C8799" s="32">
        <f t="shared" si="137"/>
        <v>-8.5455462963697215E-3</v>
      </c>
    </row>
    <row r="8800" spans="1:3" x14ac:dyDescent="0.6">
      <c r="A8800" s="24">
        <v>42310</v>
      </c>
      <c r="B8800" s="23">
        <v>116.16915899999999</v>
      </c>
      <c r="C8800" s="32">
        <f t="shared" si="137"/>
        <v>1.4058539037023365E-2</v>
      </c>
    </row>
    <row r="8801" spans="1:3" x14ac:dyDescent="0.6">
      <c r="A8801" s="24">
        <v>42311</v>
      </c>
      <c r="B8801" s="23">
        <v>117.501694</v>
      </c>
      <c r="C8801" s="32">
        <f t="shared" si="137"/>
        <v>1.1470643426109373E-2</v>
      </c>
    </row>
    <row r="8802" spans="1:3" x14ac:dyDescent="0.6">
      <c r="A8802" s="24">
        <v>42312</v>
      </c>
      <c r="B8802" s="23">
        <v>116.955254</v>
      </c>
      <c r="C8802" s="32">
        <f t="shared" si="137"/>
        <v>-4.6504861453317003E-3</v>
      </c>
    </row>
    <row r="8803" spans="1:3" x14ac:dyDescent="0.6">
      <c r="A8803" s="24">
        <v>42313</v>
      </c>
      <c r="B8803" s="23">
        <v>116.4161</v>
      </c>
      <c r="C8803" s="32">
        <f t="shared" si="137"/>
        <v>-4.6099168832551829E-3</v>
      </c>
    </row>
    <row r="8804" spans="1:3" x14ac:dyDescent="0.6">
      <c r="A8804" s="24">
        <v>42314</v>
      </c>
      <c r="B8804" s="23">
        <v>116.550888</v>
      </c>
      <c r="C8804" s="32">
        <f t="shared" si="137"/>
        <v>1.1578123644409022E-3</v>
      </c>
    </row>
    <row r="8805" spans="1:3" x14ac:dyDescent="0.6">
      <c r="A8805" s="24">
        <v>42317</v>
      </c>
      <c r="B8805" s="23">
        <v>116.07914</v>
      </c>
      <c r="C8805" s="32">
        <f t="shared" si="137"/>
        <v>-4.0475710489653594E-3</v>
      </c>
    </row>
    <row r="8806" spans="1:3" x14ac:dyDescent="0.6">
      <c r="A8806" s="24">
        <v>42318</v>
      </c>
      <c r="B8806" s="23">
        <v>112.420677</v>
      </c>
      <c r="C8806" s="32">
        <f t="shared" si="137"/>
        <v>-3.1516971955512396E-2</v>
      </c>
    </row>
    <row r="8807" spans="1:3" x14ac:dyDescent="0.6">
      <c r="A8807" s="24">
        <v>42319</v>
      </c>
      <c r="B8807" s="23">
        <v>111.785263</v>
      </c>
      <c r="C8807" s="32">
        <f t="shared" si="137"/>
        <v>-5.6521097093197303E-3</v>
      </c>
    </row>
    <row r="8808" spans="1:3" x14ac:dyDescent="0.6">
      <c r="A8808" s="24">
        <v>42320</v>
      </c>
      <c r="B8808" s="23">
        <v>111.40979</v>
      </c>
      <c r="C8808" s="32">
        <f t="shared" si="137"/>
        <v>-3.3588774577557601E-3</v>
      </c>
    </row>
    <row r="8809" spans="1:3" x14ac:dyDescent="0.6">
      <c r="A8809" s="24">
        <v>42321</v>
      </c>
      <c r="B8809" s="23">
        <v>108.15567</v>
      </c>
      <c r="C8809" s="32">
        <f t="shared" si="137"/>
        <v>-2.9208564166578133E-2</v>
      </c>
    </row>
    <row r="8810" spans="1:3" x14ac:dyDescent="0.6">
      <c r="A8810" s="24">
        <v>42324</v>
      </c>
      <c r="B8810" s="23">
        <v>109.927155</v>
      </c>
      <c r="C8810" s="32">
        <f t="shared" si="137"/>
        <v>1.637903033655097E-2</v>
      </c>
    </row>
    <row r="8811" spans="1:3" x14ac:dyDescent="0.6">
      <c r="A8811" s="24">
        <v>42325</v>
      </c>
      <c r="B8811" s="23">
        <v>109.455406</v>
      </c>
      <c r="C8811" s="32">
        <f t="shared" si="137"/>
        <v>-4.2914692006720268E-3</v>
      </c>
    </row>
    <row r="8812" spans="1:3" x14ac:dyDescent="0.6">
      <c r="A8812" s="24">
        <v>42326</v>
      </c>
      <c r="B8812" s="23">
        <v>112.92131000000001</v>
      </c>
      <c r="C8812" s="32">
        <f t="shared" si="137"/>
        <v>3.1664986926273953E-2</v>
      </c>
    </row>
    <row r="8813" spans="1:3" x14ac:dyDescent="0.6">
      <c r="A8813" s="24">
        <v>42327</v>
      </c>
      <c r="B8813" s="23">
        <v>114.35581999999999</v>
      </c>
      <c r="C8813" s="32">
        <f t="shared" si="137"/>
        <v>1.270362520590651E-2</v>
      </c>
    </row>
    <row r="8814" spans="1:3" x14ac:dyDescent="0.6">
      <c r="A8814" s="24">
        <v>42328</v>
      </c>
      <c r="B8814" s="23">
        <v>114.856453</v>
      </c>
      <c r="C8814" s="32">
        <f t="shared" si="137"/>
        <v>4.377853265360665E-3</v>
      </c>
    </row>
    <row r="8815" spans="1:3" x14ac:dyDescent="0.6">
      <c r="A8815" s="24">
        <v>42331</v>
      </c>
      <c r="B8815" s="23">
        <v>113.36417400000001</v>
      </c>
      <c r="C8815" s="32">
        <f t="shared" si="137"/>
        <v>-1.2992556891862184E-2</v>
      </c>
    </row>
    <row r="8816" spans="1:3" x14ac:dyDescent="0.6">
      <c r="A8816" s="24">
        <v>42332</v>
      </c>
      <c r="B8816" s="23">
        <v>114.45208700000001</v>
      </c>
      <c r="C8816" s="32">
        <f t="shared" si="137"/>
        <v>9.5966208865951863E-3</v>
      </c>
    </row>
    <row r="8817" spans="1:3" x14ac:dyDescent="0.6">
      <c r="A8817" s="24">
        <v>42333</v>
      </c>
      <c r="B8817" s="23">
        <v>113.633751</v>
      </c>
      <c r="C8817" s="32">
        <f t="shared" si="137"/>
        <v>-7.1500312615531136E-3</v>
      </c>
    </row>
    <row r="8818" spans="1:3" x14ac:dyDescent="0.6">
      <c r="A8818" s="24">
        <v>42335</v>
      </c>
      <c r="B8818" s="23">
        <v>113.421944</v>
      </c>
      <c r="C8818" s="32">
        <f t="shared" si="137"/>
        <v>-1.8639444543198103E-3</v>
      </c>
    </row>
    <row r="8819" spans="1:3" x14ac:dyDescent="0.6">
      <c r="A8819" s="24">
        <v>42338</v>
      </c>
      <c r="B8819" s="23">
        <v>113.893692</v>
      </c>
      <c r="C8819" s="32">
        <f t="shared" si="137"/>
        <v>4.159230421936666E-3</v>
      </c>
    </row>
    <row r="8820" spans="1:3" x14ac:dyDescent="0.6">
      <c r="A8820" s="24">
        <v>42339</v>
      </c>
      <c r="B8820" s="23">
        <v>112.969444</v>
      </c>
      <c r="C8820" s="32">
        <f t="shared" si="137"/>
        <v>-8.1150060531887114E-3</v>
      </c>
    </row>
    <row r="8821" spans="1:3" x14ac:dyDescent="0.6">
      <c r="A8821" s="24">
        <v>42340</v>
      </c>
      <c r="B8821" s="23">
        <v>111.94892900000001</v>
      </c>
      <c r="C8821" s="32">
        <f t="shared" si="137"/>
        <v>-9.0335489302751926E-3</v>
      </c>
    </row>
    <row r="8822" spans="1:3" x14ac:dyDescent="0.6">
      <c r="A8822" s="24">
        <v>42341</v>
      </c>
      <c r="B8822" s="23">
        <v>110.90915699999999</v>
      </c>
      <c r="C8822" s="32">
        <f t="shared" si="137"/>
        <v>-9.2879137771832987E-3</v>
      </c>
    </row>
    <row r="8823" spans="1:3" x14ac:dyDescent="0.6">
      <c r="A8823" s="24">
        <v>42342</v>
      </c>
      <c r="B8823" s="23">
        <v>114.596504</v>
      </c>
      <c r="C8823" s="32">
        <f t="shared" si="137"/>
        <v>3.3246551499800825E-2</v>
      </c>
    </row>
    <row r="8824" spans="1:3" x14ac:dyDescent="0.6">
      <c r="A8824" s="24">
        <v>42345</v>
      </c>
      <c r="B8824" s="23">
        <v>113.87443500000001</v>
      </c>
      <c r="C8824" s="32">
        <f t="shared" si="137"/>
        <v>-6.3009688323475421E-3</v>
      </c>
    </row>
    <row r="8825" spans="1:3" x14ac:dyDescent="0.6">
      <c r="A8825" s="24">
        <v>42346</v>
      </c>
      <c r="B8825" s="23">
        <v>113.826294</v>
      </c>
      <c r="C8825" s="32">
        <f t="shared" si="137"/>
        <v>-4.2275511619438433E-4</v>
      </c>
    </row>
    <row r="8826" spans="1:3" x14ac:dyDescent="0.6">
      <c r="A8826" s="24">
        <v>42347</v>
      </c>
      <c r="B8826" s="23">
        <v>111.313515</v>
      </c>
      <c r="C8826" s="32">
        <f t="shared" si="137"/>
        <v>-2.2075558394267003E-2</v>
      </c>
    </row>
    <row r="8827" spans="1:3" x14ac:dyDescent="0.6">
      <c r="A8827" s="24">
        <v>42348</v>
      </c>
      <c r="B8827" s="23">
        <v>111.843025</v>
      </c>
      <c r="C8827" s="32">
        <f t="shared" si="137"/>
        <v>4.7569246196206283E-3</v>
      </c>
    </row>
    <row r="8828" spans="1:3" x14ac:dyDescent="0.6">
      <c r="A8828" s="24">
        <v>42349</v>
      </c>
      <c r="B8828" s="23">
        <v>108.964409</v>
      </c>
      <c r="C8828" s="32">
        <f t="shared" si="137"/>
        <v>-2.5738001989842441E-2</v>
      </c>
    </row>
    <row r="8829" spans="1:3" x14ac:dyDescent="0.6">
      <c r="A8829" s="24">
        <v>42352</v>
      </c>
      <c r="B8829" s="23">
        <v>108.290482</v>
      </c>
      <c r="C8829" s="32">
        <f t="shared" si="137"/>
        <v>-6.1848360045710926E-3</v>
      </c>
    </row>
    <row r="8830" spans="1:3" x14ac:dyDescent="0.6">
      <c r="A8830" s="24">
        <v>42353</v>
      </c>
      <c r="B8830" s="23">
        <v>106.374588</v>
      </c>
      <c r="C8830" s="32">
        <f t="shared" si="137"/>
        <v>-1.7692173537467437E-2</v>
      </c>
    </row>
    <row r="8831" spans="1:3" x14ac:dyDescent="0.6">
      <c r="A8831" s="24">
        <v>42354</v>
      </c>
      <c r="B8831" s="23">
        <v>107.192924</v>
      </c>
      <c r="C8831" s="32">
        <f t="shared" si="137"/>
        <v>7.6929651657029474E-3</v>
      </c>
    </row>
    <row r="8832" spans="1:3" x14ac:dyDescent="0.6">
      <c r="A8832" s="24">
        <v>42355</v>
      </c>
      <c r="B8832" s="23">
        <v>104.920845</v>
      </c>
      <c r="C8832" s="32">
        <f t="shared" si="137"/>
        <v>-2.1196165896174346E-2</v>
      </c>
    </row>
    <row r="8833" spans="1:3" x14ac:dyDescent="0.6">
      <c r="A8833" s="24">
        <v>42356</v>
      </c>
      <c r="B8833" s="23">
        <v>102.080704</v>
      </c>
      <c r="C8833" s="32">
        <f t="shared" si="137"/>
        <v>-2.7069368341438804E-2</v>
      </c>
    </row>
    <row r="8834" spans="1:3" x14ac:dyDescent="0.6">
      <c r="A8834" s="24">
        <v>42359</v>
      </c>
      <c r="B8834" s="23">
        <v>103.33229799999999</v>
      </c>
      <c r="C8834" s="32">
        <f t="shared" si="137"/>
        <v>1.2260828451966743E-2</v>
      </c>
    </row>
    <row r="8835" spans="1:3" x14ac:dyDescent="0.6">
      <c r="A8835" s="24">
        <v>42360</v>
      </c>
      <c r="B8835" s="23">
        <v>103.236031</v>
      </c>
      <c r="C8835" s="32">
        <f t="shared" si="137"/>
        <v>-9.3162546331837515E-4</v>
      </c>
    </row>
    <row r="8836" spans="1:3" x14ac:dyDescent="0.6">
      <c r="A8836" s="24">
        <v>42361</v>
      </c>
      <c r="B8836" s="23">
        <v>104.564606</v>
      </c>
      <c r="C8836" s="32">
        <f t="shared" ref="C8836:C8899" si="138">B8836/B8835-1</f>
        <v>1.2869295604748698E-2</v>
      </c>
    </row>
    <row r="8837" spans="1:3" x14ac:dyDescent="0.6">
      <c r="A8837" s="24">
        <v>42362</v>
      </c>
      <c r="B8837" s="23">
        <v>104.006226</v>
      </c>
      <c r="C8837" s="32">
        <f t="shared" si="138"/>
        <v>-5.3400478551987041E-3</v>
      </c>
    </row>
    <row r="8838" spans="1:3" x14ac:dyDescent="0.6">
      <c r="A8838" s="24">
        <v>42366</v>
      </c>
      <c r="B8838" s="23">
        <v>102.84129299999999</v>
      </c>
      <c r="C8838" s="32">
        <f t="shared" si="138"/>
        <v>-1.1200608317429084E-2</v>
      </c>
    </row>
    <row r="8839" spans="1:3" x14ac:dyDescent="0.6">
      <c r="A8839" s="24">
        <v>42367</v>
      </c>
      <c r="B8839" s="23">
        <v>104.68976600000001</v>
      </c>
      <c r="C8839" s="32">
        <f t="shared" si="138"/>
        <v>1.7974035001679933E-2</v>
      </c>
    </row>
    <row r="8840" spans="1:3" x14ac:dyDescent="0.6">
      <c r="A8840" s="24">
        <v>42368</v>
      </c>
      <c r="B8840" s="23">
        <v>103.322678</v>
      </c>
      <c r="C8840" s="32">
        <f t="shared" si="138"/>
        <v>-1.3058468389355316E-2</v>
      </c>
    </row>
    <row r="8841" spans="1:3" x14ac:dyDescent="0.6">
      <c r="A8841" s="24">
        <v>42369</v>
      </c>
      <c r="B8841" s="23">
        <v>101.339394</v>
      </c>
      <c r="C8841" s="32">
        <f t="shared" si="138"/>
        <v>-1.9195050287024062E-2</v>
      </c>
    </row>
    <row r="8842" spans="1:3" x14ac:dyDescent="0.6">
      <c r="A8842" s="24">
        <v>42373</v>
      </c>
      <c r="B8842" s="23">
        <v>101.426033</v>
      </c>
      <c r="C8842" s="32">
        <f t="shared" si="138"/>
        <v>8.5493899835253906E-4</v>
      </c>
    </row>
    <row r="8843" spans="1:3" x14ac:dyDescent="0.6">
      <c r="A8843" s="24">
        <v>42374</v>
      </c>
      <c r="B8843" s="23">
        <v>98.884369000000007</v>
      </c>
      <c r="C8843" s="32">
        <f t="shared" si="138"/>
        <v>-2.5059286307687834E-2</v>
      </c>
    </row>
    <row r="8844" spans="1:3" x14ac:dyDescent="0.6">
      <c r="A8844" s="24">
        <v>42375</v>
      </c>
      <c r="B8844" s="23">
        <v>96.949241999999998</v>
      </c>
      <c r="C8844" s="32">
        <f t="shared" si="138"/>
        <v>-1.9569594462396811E-2</v>
      </c>
    </row>
    <row r="8845" spans="1:3" x14ac:dyDescent="0.6">
      <c r="A8845" s="24">
        <v>42376</v>
      </c>
      <c r="B8845" s="23">
        <v>92.857529</v>
      </c>
      <c r="C8845" s="32">
        <f t="shared" si="138"/>
        <v>-4.2204693049585629E-2</v>
      </c>
    </row>
    <row r="8846" spans="1:3" x14ac:dyDescent="0.6">
      <c r="A8846" s="24">
        <v>42377</v>
      </c>
      <c r="B8846" s="23">
        <v>93.348540999999997</v>
      </c>
      <c r="C8846" s="32">
        <f t="shared" si="138"/>
        <v>5.287799549350547E-3</v>
      </c>
    </row>
    <row r="8847" spans="1:3" x14ac:dyDescent="0.6">
      <c r="A8847" s="24">
        <v>42380</v>
      </c>
      <c r="B8847" s="23">
        <v>94.860061999999999</v>
      </c>
      <c r="C8847" s="32">
        <f t="shared" si="138"/>
        <v>1.6192229506832856E-2</v>
      </c>
    </row>
    <row r="8848" spans="1:3" x14ac:dyDescent="0.6">
      <c r="A8848" s="24">
        <v>42381</v>
      </c>
      <c r="B8848" s="23">
        <v>96.236794000000003</v>
      </c>
      <c r="C8848" s="32">
        <f t="shared" si="138"/>
        <v>1.4513294330336768E-2</v>
      </c>
    </row>
    <row r="8849" spans="1:3" x14ac:dyDescent="0.6">
      <c r="A8849" s="24">
        <v>42382</v>
      </c>
      <c r="B8849" s="23">
        <v>93.762527000000006</v>
      </c>
      <c r="C8849" s="32">
        <f t="shared" si="138"/>
        <v>-2.5710197702554338E-2</v>
      </c>
    </row>
    <row r="8850" spans="1:3" x14ac:dyDescent="0.6">
      <c r="A8850" s="24">
        <v>42383</v>
      </c>
      <c r="B8850" s="23">
        <v>95.813170999999997</v>
      </c>
      <c r="C8850" s="32">
        <f t="shared" si="138"/>
        <v>2.187061361944731E-2</v>
      </c>
    </row>
    <row r="8851" spans="1:3" x14ac:dyDescent="0.6">
      <c r="A8851" s="24">
        <v>42384</v>
      </c>
      <c r="B8851" s="23">
        <v>93.512207000000004</v>
      </c>
      <c r="C8851" s="32">
        <f t="shared" si="138"/>
        <v>-2.4015111659335342E-2</v>
      </c>
    </row>
    <row r="8852" spans="1:3" x14ac:dyDescent="0.6">
      <c r="A8852" s="24">
        <v>42388</v>
      </c>
      <c r="B8852" s="23">
        <v>93.059714999999997</v>
      </c>
      <c r="C8852" s="32">
        <f t="shared" si="138"/>
        <v>-4.8388548887526861E-3</v>
      </c>
    </row>
    <row r="8853" spans="1:3" x14ac:dyDescent="0.6">
      <c r="A8853" s="24">
        <v>42389</v>
      </c>
      <c r="B8853" s="23">
        <v>93.184875000000005</v>
      </c>
      <c r="C8853" s="32">
        <f t="shared" si="138"/>
        <v>1.3449428681358011E-3</v>
      </c>
    </row>
    <row r="8854" spans="1:3" x14ac:dyDescent="0.6">
      <c r="A8854" s="24">
        <v>42390</v>
      </c>
      <c r="B8854" s="23">
        <v>92.713127</v>
      </c>
      <c r="C8854" s="32">
        <f t="shared" si="138"/>
        <v>-5.0624953888708246E-3</v>
      </c>
    </row>
    <row r="8855" spans="1:3" x14ac:dyDescent="0.6">
      <c r="A8855" s="24">
        <v>42391</v>
      </c>
      <c r="B8855" s="23">
        <v>97.642409999999998</v>
      </c>
      <c r="C8855" s="32">
        <f t="shared" si="138"/>
        <v>5.3167045050697137E-2</v>
      </c>
    </row>
    <row r="8856" spans="1:3" x14ac:dyDescent="0.6">
      <c r="A8856" s="24">
        <v>42394</v>
      </c>
      <c r="B8856" s="23">
        <v>95.736159999999998</v>
      </c>
      <c r="C8856" s="32">
        <f t="shared" si="138"/>
        <v>-1.9522766797747004E-2</v>
      </c>
    </row>
    <row r="8857" spans="1:3" x14ac:dyDescent="0.6">
      <c r="A8857" s="24">
        <v>42395</v>
      </c>
      <c r="B8857" s="23">
        <v>96.265677999999994</v>
      </c>
      <c r="C8857" s="32">
        <f t="shared" si="138"/>
        <v>5.531013568958576E-3</v>
      </c>
    </row>
    <row r="8858" spans="1:3" x14ac:dyDescent="0.6">
      <c r="A8858" s="24">
        <v>42396</v>
      </c>
      <c r="B8858" s="23">
        <v>89.940398999999999</v>
      </c>
      <c r="C8858" s="32">
        <f t="shared" si="138"/>
        <v>-6.570648159772996E-2</v>
      </c>
    </row>
    <row r="8859" spans="1:3" x14ac:dyDescent="0.6">
      <c r="A8859" s="24">
        <v>42397</v>
      </c>
      <c r="B8859" s="23">
        <v>90.585442</v>
      </c>
      <c r="C8859" s="32">
        <f t="shared" si="138"/>
        <v>7.1718939116558467E-3</v>
      </c>
    </row>
    <row r="8860" spans="1:3" x14ac:dyDescent="0.6">
      <c r="A8860" s="24">
        <v>42398</v>
      </c>
      <c r="B8860" s="23">
        <v>93.714377999999996</v>
      </c>
      <c r="C8860" s="32">
        <f t="shared" si="138"/>
        <v>3.4541267679634391E-2</v>
      </c>
    </row>
    <row r="8861" spans="1:3" x14ac:dyDescent="0.6">
      <c r="A8861" s="24">
        <v>42401</v>
      </c>
      <c r="B8861" s="23">
        <v>92.838286999999994</v>
      </c>
      <c r="C8861" s="32">
        <f t="shared" si="138"/>
        <v>-9.3485228061802594E-3</v>
      </c>
    </row>
    <row r="8862" spans="1:3" x14ac:dyDescent="0.6">
      <c r="A8862" s="24">
        <v>42402</v>
      </c>
      <c r="B8862" s="23">
        <v>90.960915</v>
      </c>
      <c r="C8862" s="32">
        <f t="shared" si="138"/>
        <v>-2.0221958640835314E-2</v>
      </c>
    </row>
    <row r="8863" spans="1:3" x14ac:dyDescent="0.6">
      <c r="A8863" s="24">
        <v>42403</v>
      </c>
      <c r="B8863" s="23">
        <v>92.761268999999999</v>
      </c>
      <c r="C8863" s="32">
        <f t="shared" si="138"/>
        <v>1.9792610925252863E-2</v>
      </c>
    </row>
    <row r="8864" spans="1:3" x14ac:dyDescent="0.6">
      <c r="A8864" s="24">
        <v>42404</v>
      </c>
      <c r="B8864" s="23">
        <v>93.506598999999994</v>
      </c>
      <c r="C8864" s="32">
        <f t="shared" si="138"/>
        <v>8.0349267321901952E-3</v>
      </c>
    </row>
    <row r="8865" spans="1:3" x14ac:dyDescent="0.6">
      <c r="A8865" s="24">
        <v>42405</v>
      </c>
      <c r="B8865" s="23">
        <v>91.009224000000003</v>
      </c>
      <c r="C8865" s="32">
        <f t="shared" si="138"/>
        <v>-2.6708008062618083E-2</v>
      </c>
    </row>
    <row r="8866" spans="1:3" x14ac:dyDescent="0.6">
      <c r="A8866" s="24">
        <v>42408</v>
      </c>
      <c r="B8866" s="23">
        <v>91.967522000000002</v>
      </c>
      <c r="C8866" s="32">
        <f t="shared" si="138"/>
        <v>1.0529679936618352E-2</v>
      </c>
    </row>
    <row r="8867" spans="1:3" x14ac:dyDescent="0.6">
      <c r="A8867" s="24">
        <v>42409</v>
      </c>
      <c r="B8867" s="23">
        <v>91.948150999999996</v>
      </c>
      <c r="C8867" s="32">
        <f t="shared" si="138"/>
        <v>-2.1062870433763425E-4</v>
      </c>
    </row>
    <row r="8868" spans="1:3" x14ac:dyDescent="0.6">
      <c r="A8868" s="24">
        <v>42410</v>
      </c>
      <c r="B8868" s="23">
        <v>91.251221000000001</v>
      </c>
      <c r="C8868" s="32">
        <f t="shared" si="138"/>
        <v>-7.5795977670066739E-3</v>
      </c>
    </row>
    <row r="8869" spans="1:3" x14ac:dyDescent="0.6">
      <c r="A8869" s="24">
        <v>42411</v>
      </c>
      <c r="B8869" s="23">
        <v>90.699477999999999</v>
      </c>
      <c r="C8869" s="32">
        <f t="shared" si="138"/>
        <v>-6.0464177240981964E-3</v>
      </c>
    </row>
    <row r="8870" spans="1:3" x14ac:dyDescent="0.6">
      <c r="A8870" s="24">
        <v>42412</v>
      </c>
      <c r="B8870" s="23">
        <v>90.980186000000003</v>
      </c>
      <c r="C8870" s="32">
        <f t="shared" si="138"/>
        <v>3.0949240964761593E-3</v>
      </c>
    </row>
    <row r="8871" spans="1:3" x14ac:dyDescent="0.6">
      <c r="A8871" s="24">
        <v>42416</v>
      </c>
      <c r="B8871" s="23">
        <v>93.545326000000003</v>
      </c>
      <c r="C8871" s="32">
        <f t="shared" si="138"/>
        <v>2.819449061139534E-2</v>
      </c>
    </row>
    <row r="8872" spans="1:3" x14ac:dyDescent="0.6">
      <c r="A8872" s="24">
        <v>42417</v>
      </c>
      <c r="B8872" s="23">
        <v>94.977928000000006</v>
      </c>
      <c r="C8872" s="32">
        <f t="shared" si="138"/>
        <v>1.5314522502171801E-2</v>
      </c>
    </row>
    <row r="8873" spans="1:3" x14ac:dyDescent="0.6">
      <c r="A8873" s="24">
        <v>42418</v>
      </c>
      <c r="B8873" s="23">
        <v>93.177498</v>
      </c>
      <c r="C8873" s="32">
        <f t="shared" si="138"/>
        <v>-1.8956298983485942E-2</v>
      </c>
    </row>
    <row r="8874" spans="1:3" x14ac:dyDescent="0.6">
      <c r="A8874" s="24">
        <v>42419</v>
      </c>
      <c r="B8874" s="23">
        <v>92.964539000000002</v>
      </c>
      <c r="C8874" s="32">
        <f t="shared" si="138"/>
        <v>-2.2855196219155882E-3</v>
      </c>
    </row>
    <row r="8875" spans="1:3" x14ac:dyDescent="0.6">
      <c r="A8875" s="24">
        <v>42422</v>
      </c>
      <c r="B8875" s="23">
        <v>93.777634000000006</v>
      </c>
      <c r="C8875" s="32">
        <f t="shared" si="138"/>
        <v>8.7462919597762756E-3</v>
      </c>
    </row>
    <row r="8876" spans="1:3" x14ac:dyDescent="0.6">
      <c r="A8876" s="24">
        <v>42423</v>
      </c>
      <c r="B8876" s="23">
        <v>91.657768000000004</v>
      </c>
      <c r="C8876" s="32">
        <f t="shared" si="138"/>
        <v>-2.2605240818935557E-2</v>
      </c>
    </row>
    <row r="8877" spans="1:3" x14ac:dyDescent="0.6">
      <c r="A8877" s="24">
        <v>42424</v>
      </c>
      <c r="B8877" s="23">
        <v>93.022614000000004</v>
      </c>
      <c r="C8877" s="32">
        <f t="shared" si="138"/>
        <v>1.4890674623453615E-2</v>
      </c>
    </row>
    <row r="8878" spans="1:3" x14ac:dyDescent="0.6">
      <c r="A8878" s="24">
        <v>42425</v>
      </c>
      <c r="B8878" s="23">
        <v>93.661484000000002</v>
      </c>
      <c r="C8878" s="32">
        <f t="shared" si="138"/>
        <v>6.8678998850753015E-3</v>
      </c>
    </row>
    <row r="8879" spans="1:3" x14ac:dyDescent="0.6">
      <c r="A8879" s="24">
        <v>42426</v>
      </c>
      <c r="B8879" s="23">
        <v>93.806679000000003</v>
      </c>
      <c r="C8879" s="32">
        <f t="shared" si="138"/>
        <v>1.5502103297873049E-3</v>
      </c>
    </row>
    <row r="8880" spans="1:3" x14ac:dyDescent="0.6">
      <c r="A8880" s="24">
        <v>42429</v>
      </c>
      <c r="B8880" s="23">
        <v>93.593727000000001</v>
      </c>
      <c r="C8880" s="32">
        <f t="shared" si="138"/>
        <v>-2.2701155426256836E-3</v>
      </c>
    </row>
    <row r="8881" spans="1:3" x14ac:dyDescent="0.6">
      <c r="A8881" s="24">
        <v>42430</v>
      </c>
      <c r="B8881" s="23">
        <v>97.310738000000001</v>
      </c>
      <c r="C8881" s="32">
        <f t="shared" si="138"/>
        <v>3.9714317605922478E-2</v>
      </c>
    </row>
    <row r="8882" spans="1:3" x14ac:dyDescent="0.6">
      <c r="A8882" s="24">
        <v>42431</v>
      </c>
      <c r="B8882" s="23">
        <v>97.523712000000003</v>
      </c>
      <c r="C8882" s="32">
        <f t="shared" si="138"/>
        <v>2.1885971104238511E-3</v>
      </c>
    </row>
    <row r="8883" spans="1:3" x14ac:dyDescent="0.6">
      <c r="A8883" s="24">
        <v>42432</v>
      </c>
      <c r="B8883" s="23">
        <v>98.249686999999994</v>
      </c>
      <c r="C8883" s="32">
        <f t="shared" si="138"/>
        <v>7.4440870339307352E-3</v>
      </c>
    </row>
    <row r="8884" spans="1:3" x14ac:dyDescent="0.6">
      <c r="A8884" s="24">
        <v>42433</v>
      </c>
      <c r="B8884" s="23">
        <v>99.711333999999994</v>
      </c>
      <c r="C8884" s="32">
        <f t="shared" si="138"/>
        <v>1.4876861643335237E-2</v>
      </c>
    </row>
    <row r="8885" spans="1:3" x14ac:dyDescent="0.6">
      <c r="A8885" s="24">
        <v>42436</v>
      </c>
      <c r="B8885" s="23">
        <v>98.607833999999997</v>
      </c>
      <c r="C8885" s="32">
        <f t="shared" si="138"/>
        <v>-1.1066946511817721E-2</v>
      </c>
    </row>
    <row r="8886" spans="1:3" x14ac:dyDescent="0.6">
      <c r="A8886" s="24">
        <v>42437</v>
      </c>
      <c r="B8886" s="23">
        <v>97.794730999999999</v>
      </c>
      <c r="C8886" s="32">
        <f t="shared" si="138"/>
        <v>-8.2458255801460822E-3</v>
      </c>
    </row>
    <row r="8887" spans="1:3" x14ac:dyDescent="0.6">
      <c r="A8887" s="24">
        <v>42438</v>
      </c>
      <c r="B8887" s="23">
        <v>97.881859000000006</v>
      </c>
      <c r="C8887" s="32">
        <f t="shared" si="138"/>
        <v>8.9092734454188083E-4</v>
      </c>
    </row>
    <row r="8888" spans="1:3" x14ac:dyDescent="0.6">
      <c r="A8888" s="24">
        <v>42439</v>
      </c>
      <c r="B8888" s="23">
        <v>97.930244000000002</v>
      </c>
      <c r="C8888" s="32">
        <f t="shared" si="138"/>
        <v>4.943204031300219E-4</v>
      </c>
    </row>
    <row r="8889" spans="1:3" x14ac:dyDescent="0.6">
      <c r="A8889" s="24">
        <v>42440</v>
      </c>
      <c r="B8889" s="23">
        <v>98.985343999999998</v>
      </c>
      <c r="C8889" s="32">
        <f t="shared" si="138"/>
        <v>1.07739954165742E-2</v>
      </c>
    </row>
    <row r="8890" spans="1:3" x14ac:dyDescent="0.6">
      <c r="A8890" s="24">
        <v>42443</v>
      </c>
      <c r="B8890" s="23">
        <v>99.237030000000004</v>
      </c>
      <c r="C8890" s="32">
        <f t="shared" si="138"/>
        <v>2.542659244584744E-3</v>
      </c>
    </row>
    <row r="8891" spans="1:3" x14ac:dyDescent="0.6">
      <c r="A8891" s="24">
        <v>42444</v>
      </c>
      <c r="B8891" s="23">
        <v>101.231064</v>
      </c>
      <c r="C8891" s="32">
        <f t="shared" si="138"/>
        <v>2.0093648510036921E-2</v>
      </c>
    </row>
    <row r="8892" spans="1:3" x14ac:dyDescent="0.6">
      <c r="A8892" s="24">
        <v>42445</v>
      </c>
      <c r="B8892" s="23">
        <v>102.576553</v>
      </c>
      <c r="C8892" s="32">
        <f t="shared" si="138"/>
        <v>1.3291266009018754E-2</v>
      </c>
    </row>
    <row r="8893" spans="1:3" x14ac:dyDescent="0.6">
      <c r="A8893" s="24">
        <v>42446</v>
      </c>
      <c r="B8893" s="23">
        <v>102.411987</v>
      </c>
      <c r="C8893" s="32">
        <f t="shared" si="138"/>
        <v>-1.6043237483327477E-3</v>
      </c>
    </row>
    <row r="8894" spans="1:3" x14ac:dyDescent="0.6">
      <c r="A8894" s="24">
        <v>42447</v>
      </c>
      <c r="B8894" s="23">
        <v>102.52815200000001</v>
      </c>
      <c r="C8894" s="32">
        <f t="shared" si="138"/>
        <v>1.1342910473948198E-3</v>
      </c>
    </row>
    <row r="8895" spans="1:3" x14ac:dyDescent="0.6">
      <c r="A8895" s="24">
        <v>42450</v>
      </c>
      <c r="B8895" s="23">
        <v>102.51847100000001</v>
      </c>
      <c r="C8895" s="32">
        <f t="shared" si="138"/>
        <v>-9.442284690741598E-5</v>
      </c>
    </row>
    <row r="8896" spans="1:3" x14ac:dyDescent="0.6">
      <c r="A8896" s="24">
        <v>42451</v>
      </c>
      <c r="B8896" s="23">
        <v>103.302521</v>
      </c>
      <c r="C8896" s="32">
        <f t="shared" si="138"/>
        <v>7.6478901055789805E-3</v>
      </c>
    </row>
    <row r="8897" spans="1:3" x14ac:dyDescent="0.6">
      <c r="A8897" s="24">
        <v>42452</v>
      </c>
      <c r="B8897" s="23">
        <v>102.73142199999999</v>
      </c>
      <c r="C8897" s="32">
        <f t="shared" si="138"/>
        <v>-5.5284129997176246E-3</v>
      </c>
    </row>
    <row r="8898" spans="1:3" x14ac:dyDescent="0.6">
      <c r="A8898" s="24">
        <v>42453</v>
      </c>
      <c r="B8898" s="23">
        <v>102.286148</v>
      </c>
      <c r="C8898" s="32">
        <f t="shared" si="138"/>
        <v>-4.3343505943098659E-3</v>
      </c>
    </row>
    <row r="8899" spans="1:3" x14ac:dyDescent="0.6">
      <c r="A8899" s="24">
        <v>42457</v>
      </c>
      <c r="B8899" s="23">
        <v>101.82152600000001</v>
      </c>
      <c r="C8899" s="32">
        <f t="shared" si="138"/>
        <v>-4.5423745940651461E-3</v>
      </c>
    </row>
    <row r="8900" spans="1:3" x14ac:dyDescent="0.6">
      <c r="A8900" s="24">
        <v>42458</v>
      </c>
      <c r="B8900" s="23">
        <v>104.23178900000001</v>
      </c>
      <c r="C8900" s="32">
        <f t="shared" ref="C8900:C8963" si="139">B8900/B8899-1</f>
        <v>2.367144841258817E-2</v>
      </c>
    </row>
    <row r="8901" spans="1:3" x14ac:dyDescent="0.6">
      <c r="A8901" s="24">
        <v>42459</v>
      </c>
      <c r="B8901" s="23">
        <v>106.05159</v>
      </c>
      <c r="C8901" s="32">
        <f t="shared" si="139"/>
        <v>1.7459174571013092E-2</v>
      </c>
    </row>
    <row r="8902" spans="1:3" x14ac:dyDescent="0.6">
      <c r="A8902" s="24">
        <v>42460</v>
      </c>
      <c r="B8902" s="23">
        <v>105.49984000000001</v>
      </c>
      <c r="C8902" s="32">
        <f t="shared" si="139"/>
        <v>-5.2026565561157367E-3</v>
      </c>
    </row>
    <row r="8903" spans="1:3" x14ac:dyDescent="0.6">
      <c r="A8903" s="24">
        <v>42461</v>
      </c>
      <c r="B8903" s="23">
        <v>106.467812</v>
      </c>
      <c r="C8903" s="32">
        <f t="shared" si="139"/>
        <v>9.1751039622429698E-3</v>
      </c>
    </row>
    <row r="8904" spans="1:3" x14ac:dyDescent="0.6">
      <c r="A8904" s="24">
        <v>42464</v>
      </c>
      <c r="B8904" s="23">
        <v>107.56162999999999</v>
      </c>
      <c r="C8904" s="32">
        <f t="shared" si="139"/>
        <v>1.0273696617340011E-2</v>
      </c>
    </row>
    <row r="8905" spans="1:3" x14ac:dyDescent="0.6">
      <c r="A8905" s="24">
        <v>42465</v>
      </c>
      <c r="B8905" s="23">
        <v>106.293571</v>
      </c>
      <c r="C8905" s="32">
        <f t="shared" si="139"/>
        <v>-1.17891389336513E-2</v>
      </c>
    </row>
    <row r="8906" spans="1:3" x14ac:dyDescent="0.6">
      <c r="A8906" s="24">
        <v>42466</v>
      </c>
      <c r="B8906" s="23">
        <v>107.40675400000001</v>
      </c>
      <c r="C8906" s="32">
        <f t="shared" si="139"/>
        <v>1.0472721816825681E-2</v>
      </c>
    </row>
    <row r="8907" spans="1:3" x14ac:dyDescent="0.6">
      <c r="A8907" s="24">
        <v>42467</v>
      </c>
      <c r="B8907" s="23">
        <v>105.064262</v>
      </c>
      <c r="C8907" s="32">
        <f t="shared" si="139"/>
        <v>-2.1809540953076412E-2</v>
      </c>
    </row>
    <row r="8908" spans="1:3" x14ac:dyDescent="0.6">
      <c r="A8908" s="24">
        <v>42468</v>
      </c>
      <c r="B8908" s="23">
        <v>105.18040499999999</v>
      </c>
      <c r="C8908" s="32">
        <f t="shared" si="139"/>
        <v>1.1054472547478156E-3</v>
      </c>
    </row>
    <row r="8909" spans="1:3" x14ac:dyDescent="0.6">
      <c r="A8909" s="24">
        <v>42471</v>
      </c>
      <c r="B8909" s="23">
        <v>105.52887</v>
      </c>
      <c r="C8909" s="32">
        <f t="shared" si="139"/>
        <v>3.313022040559721E-3</v>
      </c>
    </row>
    <row r="8910" spans="1:3" x14ac:dyDescent="0.6">
      <c r="A8910" s="24">
        <v>42472</v>
      </c>
      <c r="B8910" s="23">
        <v>106.90340399999999</v>
      </c>
      <c r="C8910" s="32">
        <f t="shared" si="139"/>
        <v>1.3025193958771553E-2</v>
      </c>
    </row>
    <row r="8911" spans="1:3" x14ac:dyDescent="0.6">
      <c r="A8911" s="24">
        <v>42473</v>
      </c>
      <c r="B8911" s="23">
        <v>108.45217100000001</v>
      </c>
      <c r="C8911" s="32">
        <f t="shared" si="139"/>
        <v>1.4487536804721479E-2</v>
      </c>
    </row>
    <row r="8912" spans="1:3" x14ac:dyDescent="0.6">
      <c r="A8912" s="24">
        <v>42474</v>
      </c>
      <c r="B8912" s="23">
        <v>108.510239</v>
      </c>
      <c r="C8912" s="32">
        <f t="shared" si="139"/>
        <v>5.3542496627367875E-4</v>
      </c>
    </row>
    <row r="8913" spans="1:3" x14ac:dyDescent="0.6">
      <c r="A8913" s="24">
        <v>42475</v>
      </c>
      <c r="B8913" s="23">
        <v>106.33229799999999</v>
      </c>
      <c r="C8913" s="32">
        <f t="shared" si="139"/>
        <v>-2.0071294838821641E-2</v>
      </c>
    </row>
    <row r="8914" spans="1:3" x14ac:dyDescent="0.6">
      <c r="A8914" s="24">
        <v>42478</v>
      </c>
      <c r="B8914" s="23">
        <v>104.038185</v>
      </c>
      <c r="C8914" s="32">
        <f t="shared" si="139"/>
        <v>-2.1574940475752702E-2</v>
      </c>
    </row>
    <row r="8915" spans="1:3" x14ac:dyDescent="0.6">
      <c r="A8915" s="24">
        <v>42479</v>
      </c>
      <c r="B8915" s="23">
        <v>103.48645</v>
      </c>
      <c r="C8915" s="32">
        <f t="shared" si="139"/>
        <v>-5.3031970905681458E-3</v>
      </c>
    </row>
    <row r="8916" spans="1:3" x14ac:dyDescent="0.6">
      <c r="A8916" s="24">
        <v>42480</v>
      </c>
      <c r="B8916" s="23">
        <v>103.699394</v>
      </c>
      <c r="C8916" s="32">
        <f t="shared" si="139"/>
        <v>2.0576993413146116E-3</v>
      </c>
    </row>
    <row r="8917" spans="1:3" x14ac:dyDescent="0.6">
      <c r="A8917" s="24">
        <v>42481</v>
      </c>
      <c r="B8917" s="23">
        <v>102.576553</v>
      </c>
      <c r="C8917" s="32">
        <f t="shared" si="139"/>
        <v>-1.0827845339192566E-2</v>
      </c>
    </row>
    <row r="8918" spans="1:3" x14ac:dyDescent="0.6">
      <c r="A8918" s="24">
        <v>42482</v>
      </c>
      <c r="B8918" s="23">
        <v>102.29583</v>
      </c>
      <c r="C8918" s="32">
        <f t="shared" si="139"/>
        <v>-2.7367170351298986E-3</v>
      </c>
    </row>
    <row r="8919" spans="1:3" x14ac:dyDescent="0.6">
      <c r="A8919" s="24">
        <v>42485</v>
      </c>
      <c r="B8919" s="23">
        <v>101.71505000000001</v>
      </c>
      <c r="C8919" s="32">
        <f t="shared" si="139"/>
        <v>-5.6774552784799592E-3</v>
      </c>
    </row>
    <row r="8920" spans="1:3" x14ac:dyDescent="0.6">
      <c r="A8920" s="24">
        <v>42486</v>
      </c>
      <c r="B8920" s="23">
        <v>101.008415</v>
      </c>
      <c r="C8920" s="32">
        <f t="shared" si="139"/>
        <v>-6.9472020118950262E-3</v>
      </c>
    </row>
    <row r="8921" spans="1:3" x14ac:dyDescent="0.6">
      <c r="A8921" s="24">
        <v>42487</v>
      </c>
      <c r="B8921" s="23">
        <v>94.687538000000004</v>
      </c>
      <c r="C8921" s="32">
        <f t="shared" si="139"/>
        <v>-6.2577726816127166E-2</v>
      </c>
    </row>
    <row r="8922" spans="1:3" x14ac:dyDescent="0.6">
      <c r="A8922" s="24">
        <v>42488</v>
      </c>
      <c r="B8922" s="23">
        <v>91.793282000000005</v>
      </c>
      <c r="C8922" s="32">
        <f t="shared" si="139"/>
        <v>-3.056638773309317E-2</v>
      </c>
    </row>
    <row r="8923" spans="1:3" x14ac:dyDescent="0.6">
      <c r="A8923" s="24">
        <v>42489</v>
      </c>
      <c r="B8923" s="23">
        <v>90.738197</v>
      </c>
      <c r="C8923" s="32">
        <f t="shared" si="139"/>
        <v>-1.1494141804407887E-2</v>
      </c>
    </row>
    <row r="8924" spans="1:3" x14ac:dyDescent="0.6">
      <c r="A8924" s="24">
        <v>42492</v>
      </c>
      <c r="B8924" s="23">
        <v>90.641396</v>
      </c>
      <c r="C8924" s="32">
        <f t="shared" si="139"/>
        <v>-1.066816436742668E-3</v>
      </c>
    </row>
    <row r="8925" spans="1:3" x14ac:dyDescent="0.6">
      <c r="A8925" s="24">
        <v>42493</v>
      </c>
      <c r="B8925" s="23">
        <v>92.132071999999994</v>
      </c>
      <c r="C8925" s="32">
        <f t="shared" si="139"/>
        <v>1.6445863212433132E-2</v>
      </c>
    </row>
    <row r="8926" spans="1:3" x14ac:dyDescent="0.6">
      <c r="A8926" s="24">
        <v>42494</v>
      </c>
      <c r="B8926" s="23">
        <v>91.173782000000003</v>
      </c>
      <c r="C8926" s="32">
        <f t="shared" si="139"/>
        <v>-1.0401263959416762E-2</v>
      </c>
    </row>
    <row r="8927" spans="1:3" x14ac:dyDescent="0.6">
      <c r="A8927" s="24">
        <v>42495</v>
      </c>
      <c r="B8927" s="23">
        <v>90.803702999999999</v>
      </c>
      <c r="C8927" s="32">
        <f t="shared" si="139"/>
        <v>-4.0590506599803566E-3</v>
      </c>
    </row>
    <row r="8928" spans="1:3" x14ac:dyDescent="0.6">
      <c r="A8928" s="24">
        <v>42496</v>
      </c>
      <c r="B8928" s="23">
        <v>90.297286999999997</v>
      </c>
      <c r="C8928" s="32">
        <f t="shared" si="139"/>
        <v>-5.5770412799134306E-3</v>
      </c>
    </row>
    <row r="8929" spans="1:3" x14ac:dyDescent="0.6">
      <c r="A8929" s="24">
        <v>42499</v>
      </c>
      <c r="B8929" s="23">
        <v>90.365463000000005</v>
      </c>
      <c r="C8929" s="32">
        <f t="shared" si="139"/>
        <v>7.5501714686088128E-4</v>
      </c>
    </row>
    <row r="8930" spans="1:3" x14ac:dyDescent="0.6">
      <c r="A8930" s="24">
        <v>42500</v>
      </c>
      <c r="B8930" s="23">
        <v>90.978995999999995</v>
      </c>
      <c r="C8930" s="32">
        <f t="shared" si="139"/>
        <v>6.7894633594693943E-3</v>
      </c>
    </row>
    <row r="8931" spans="1:3" x14ac:dyDescent="0.6">
      <c r="A8931" s="24">
        <v>42501</v>
      </c>
      <c r="B8931" s="23">
        <v>90.092781000000002</v>
      </c>
      <c r="C8931" s="32">
        <f t="shared" si="139"/>
        <v>-9.7408746959571912E-3</v>
      </c>
    </row>
    <row r="8932" spans="1:3" x14ac:dyDescent="0.6">
      <c r="A8932" s="24">
        <v>42502</v>
      </c>
      <c r="B8932" s="23">
        <v>87.979477000000003</v>
      </c>
      <c r="C8932" s="32">
        <f t="shared" si="139"/>
        <v>-2.3456973761305067E-2</v>
      </c>
    </row>
    <row r="8933" spans="1:3" x14ac:dyDescent="0.6">
      <c r="A8933" s="24">
        <v>42503</v>
      </c>
      <c r="B8933" s="23">
        <v>88.154777999999993</v>
      </c>
      <c r="C8933" s="32">
        <f t="shared" si="139"/>
        <v>1.9925215058960166E-3</v>
      </c>
    </row>
    <row r="8934" spans="1:3" x14ac:dyDescent="0.6">
      <c r="A8934" s="24">
        <v>42506</v>
      </c>
      <c r="B8934" s="23">
        <v>91.426986999999997</v>
      </c>
      <c r="C8934" s="32">
        <f t="shared" si="139"/>
        <v>3.7118906929809237E-2</v>
      </c>
    </row>
    <row r="8935" spans="1:3" x14ac:dyDescent="0.6">
      <c r="A8935" s="24">
        <v>42507</v>
      </c>
      <c r="B8935" s="23">
        <v>91.047173000000001</v>
      </c>
      <c r="C8935" s="32">
        <f t="shared" si="139"/>
        <v>-4.1542876175061361E-3</v>
      </c>
    </row>
    <row r="8936" spans="1:3" x14ac:dyDescent="0.6">
      <c r="A8936" s="24">
        <v>42508</v>
      </c>
      <c r="B8936" s="23">
        <v>92.089218000000002</v>
      </c>
      <c r="C8936" s="32">
        <f t="shared" si="139"/>
        <v>1.1445110986587181E-2</v>
      </c>
    </row>
    <row r="8937" spans="1:3" x14ac:dyDescent="0.6">
      <c r="A8937" s="24">
        <v>42509</v>
      </c>
      <c r="B8937" s="23">
        <v>91.738617000000005</v>
      </c>
      <c r="C8937" s="32">
        <f t="shared" si="139"/>
        <v>-3.8071883724758449E-3</v>
      </c>
    </row>
    <row r="8938" spans="1:3" x14ac:dyDescent="0.6">
      <c r="A8938" s="24">
        <v>42510</v>
      </c>
      <c r="B8938" s="23">
        <v>92.731978999999995</v>
      </c>
      <c r="C8938" s="32">
        <f t="shared" si="139"/>
        <v>1.0828177189547095E-2</v>
      </c>
    </row>
    <row r="8939" spans="1:3" x14ac:dyDescent="0.6">
      <c r="A8939" s="24">
        <v>42513</v>
      </c>
      <c r="B8939" s="23">
        <v>93.910347000000002</v>
      </c>
      <c r="C8939" s="32">
        <f t="shared" si="139"/>
        <v>1.2707245253549493E-2</v>
      </c>
    </row>
    <row r="8940" spans="1:3" x14ac:dyDescent="0.6">
      <c r="A8940" s="24">
        <v>42514</v>
      </c>
      <c r="B8940" s="23">
        <v>95.341949</v>
      </c>
      <c r="C8940" s="32">
        <f t="shared" si="139"/>
        <v>1.5244347888524024E-2</v>
      </c>
    </row>
    <row r="8941" spans="1:3" x14ac:dyDescent="0.6">
      <c r="A8941" s="24">
        <v>42515</v>
      </c>
      <c r="B8941" s="23">
        <v>97.016998000000001</v>
      </c>
      <c r="C8941" s="32">
        <f t="shared" si="139"/>
        <v>1.7568856285914647E-2</v>
      </c>
    </row>
    <row r="8942" spans="1:3" x14ac:dyDescent="0.6">
      <c r="A8942" s="24">
        <v>42516</v>
      </c>
      <c r="B8942" s="23">
        <v>97.786368999999993</v>
      </c>
      <c r="C8942" s="32">
        <f t="shared" si="139"/>
        <v>7.9302701161707567E-3</v>
      </c>
    </row>
    <row r="8943" spans="1:3" x14ac:dyDescent="0.6">
      <c r="A8943" s="24">
        <v>42517</v>
      </c>
      <c r="B8943" s="23">
        <v>97.727920999999995</v>
      </c>
      <c r="C8943" s="32">
        <f t="shared" si="139"/>
        <v>-5.9771111861206538E-4</v>
      </c>
    </row>
    <row r="8944" spans="1:3" x14ac:dyDescent="0.6">
      <c r="A8944" s="24">
        <v>42521</v>
      </c>
      <c r="B8944" s="23">
        <v>97.250731999999999</v>
      </c>
      <c r="C8944" s="32">
        <f t="shared" si="139"/>
        <v>-4.8828317958384826E-3</v>
      </c>
    </row>
    <row r="8945" spans="1:3" x14ac:dyDescent="0.6">
      <c r="A8945" s="24">
        <v>42522</v>
      </c>
      <c r="B8945" s="23">
        <v>95.887321</v>
      </c>
      <c r="C8945" s="32">
        <f t="shared" si="139"/>
        <v>-1.4019544860598088E-2</v>
      </c>
    </row>
    <row r="8946" spans="1:3" x14ac:dyDescent="0.6">
      <c r="A8946" s="24">
        <v>42523</v>
      </c>
      <c r="B8946" s="23">
        <v>95.166649000000007</v>
      </c>
      <c r="C8946" s="32">
        <f t="shared" si="139"/>
        <v>-7.5158216173334402E-3</v>
      </c>
    </row>
    <row r="8947" spans="1:3" x14ac:dyDescent="0.6">
      <c r="A8947" s="24">
        <v>42524</v>
      </c>
      <c r="B8947" s="23">
        <v>95.361412000000001</v>
      </c>
      <c r="C8947" s="32">
        <f t="shared" si="139"/>
        <v>2.0465467897265999E-3</v>
      </c>
    </row>
    <row r="8948" spans="1:3" x14ac:dyDescent="0.6">
      <c r="A8948" s="24">
        <v>42527</v>
      </c>
      <c r="B8948" s="23">
        <v>96.052864</v>
      </c>
      <c r="C8948" s="32">
        <f t="shared" si="139"/>
        <v>7.2508574013143701E-3</v>
      </c>
    </row>
    <row r="8949" spans="1:3" x14ac:dyDescent="0.6">
      <c r="A8949" s="24">
        <v>42528</v>
      </c>
      <c r="B8949" s="23">
        <v>96.442413000000002</v>
      </c>
      <c r="C8949" s="32">
        <f t="shared" si="139"/>
        <v>4.0555688167716042E-3</v>
      </c>
    </row>
    <row r="8950" spans="1:3" x14ac:dyDescent="0.6">
      <c r="A8950" s="24">
        <v>42529</v>
      </c>
      <c r="B8950" s="23">
        <v>96.354774000000006</v>
      </c>
      <c r="C8950" s="32">
        <f t="shared" si="139"/>
        <v>-9.0871844942319591E-4</v>
      </c>
    </row>
    <row r="8951" spans="1:3" x14ac:dyDescent="0.6">
      <c r="A8951" s="24">
        <v>42530</v>
      </c>
      <c r="B8951" s="23">
        <v>97.046211</v>
      </c>
      <c r="C8951" s="32">
        <f t="shared" si="139"/>
        <v>7.1759495798309203E-3</v>
      </c>
    </row>
    <row r="8952" spans="1:3" x14ac:dyDescent="0.6">
      <c r="A8952" s="24">
        <v>42531</v>
      </c>
      <c r="B8952" s="23">
        <v>96.247635000000002</v>
      </c>
      <c r="C8952" s="32">
        <f t="shared" si="139"/>
        <v>-8.2288220402545464E-3</v>
      </c>
    </row>
    <row r="8953" spans="1:3" x14ac:dyDescent="0.6">
      <c r="A8953" s="24">
        <v>42534</v>
      </c>
      <c r="B8953" s="23">
        <v>94.796570000000003</v>
      </c>
      <c r="C8953" s="32">
        <f t="shared" si="139"/>
        <v>-1.5076370447959619E-2</v>
      </c>
    </row>
    <row r="8954" spans="1:3" x14ac:dyDescent="0.6">
      <c r="A8954" s="24">
        <v>42535</v>
      </c>
      <c r="B8954" s="23">
        <v>94.913444999999996</v>
      </c>
      <c r="C8954" s="32">
        <f t="shared" si="139"/>
        <v>1.2329032579976307E-3</v>
      </c>
    </row>
    <row r="8955" spans="1:3" x14ac:dyDescent="0.6">
      <c r="A8955" s="24">
        <v>42536</v>
      </c>
      <c r="B8955" s="23">
        <v>94.601806999999994</v>
      </c>
      <c r="C8955" s="32">
        <f t="shared" si="139"/>
        <v>-3.2833915152905568E-3</v>
      </c>
    </row>
    <row r="8956" spans="1:3" x14ac:dyDescent="0.6">
      <c r="A8956" s="24">
        <v>42537</v>
      </c>
      <c r="B8956" s="23">
        <v>95.001098999999996</v>
      </c>
      <c r="C8956" s="32">
        <f t="shared" si="139"/>
        <v>4.2207650431032029E-3</v>
      </c>
    </row>
    <row r="8957" spans="1:3" x14ac:dyDescent="0.6">
      <c r="A8957" s="24">
        <v>42538</v>
      </c>
      <c r="B8957" s="23">
        <v>92.839088000000004</v>
      </c>
      <c r="C8957" s="32">
        <f t="shared" si="139"/>
        <v>-2.2757747255113259E-2</v>
      </c>
    </row>
    <row r="8958" spans="1:3" x14ac:dyDescent="0.6">
      <c r="A8958" s="24">
        <v>42541</v>
      </c>
      <c r="B8958" s="23">
        <v>92.615105</v>
      </c>
      <c r="C8958" s="32">
        <f t="shared" si="139"/>
        <v>-2.4125937126827646E-3</v>
      </c>
    </row>
    <row r="8959" spans="1:3" x14ac:dyDescent="0.6">
      <c r="A8959" s="24">
        <v>42542</v>
      </c>
      <c r="B8959" s="23">
        <v>93.403946000000005</v>
      </c>
      <c r="C8959" s="32">
        <f t="shared" si="139"/>
        <v>8.5174119275683857E-3</v>
      </c>
    </row>
    <row r="8960" spans="1:3" x14ac:dyDescent="0.6">
      <c r="A8960" s="24">
        <v>42543</v>
      </c>
      <c r="B8960" s="23">
        <v>93.053352000000004</v>
      </c>
      <c r="C8960" s="32">
        <f t="shared" si="139"/>
        <v>-3.7535245031297126E-3</v>
      </c>
    </row>
    <row r="8961" spans="1:3" x14ac:dyDescent="0.6">
      <c r="A8961" s="24">
        <v>42544</v>
      </c>
      <c r="B8961" s="23">
        <v>93.588973999999993</v>
      </c>
      <c r="C8961" s="32">
        <f t="shared" si="139"/>
        <v>5.7560742142850341E-3</v>
      </c>
    </row>
    <row r="8962" spans="1:3" x14ac:dyDescent="0.6">
      <c r="A8962" s="24">
        <v>42545</v>
      </c>
      <c r="B8962" s="23">
        <v>90.959525999999997</v>
      </c>
      <c r="C8962" s="32">
        <f t="shared" si="139"/>
        <v>-2.8095702812170997E-2</v>
      </c>
    </row>
    <row r="8963" spans="1:3" x14ac:dyDescent="0.6">
      <c r="A8963" s="24">
        <v>42548</v>
      </c>
      <c r="B8963" s="23">
        <v>89.635063000000002</v>
      </c>
      <c r="C8963" s="32">
        <f t="shared" si="139"/>
        <v>-1.4561014752869306E-2</v>
      </c>
    </row>
    <row r="8964" spans="1:3" x14ac:dyDescent="0.6">
      <c r="A8964" s="24">
        <v>42549</v>
      </c>
      <c r="B8964" s="23">
        <v>91.144561999999993</v>
      </c>
      <c r="C8964" s="32">
        <f t="shared" ref="C8964:C9027" si="140">B8964/B8963-1</f>
        <v>1.6840496893497869E-2</v>
      </c>
    </row>
    <row r="8965" spans="1:3" x14ac:dyDescent="0.6">
      <c r="A8965" s="24">
        <v>42550</v>
      </c>
      <c r="B8965" s="23">
        <v>91.933395000000004</v>
      </c>
      <c r="C8965" s="32">
        <f t="shared" si="140"/>
        <v>8.6547456336452111E-3</v>
      </c>
    </row>
    <row r="8966" spans="1:3" x14ac:dyDescent="0.6">
      <c r="A8966" s="24">
        <v>42551</v>
      </c>
      <c r="B8966" s="23">
        <v>93.102035999999998</v>
      </c>
      <c r="C8966" s="32">
        <f t="shared" si="140"/>
        <v>1.2711822510198756E-2</v>
      </c>
    </row>
    <row r="8967" spans="1:3" x14ac:dyDescent="0.6">
      <c r="A8967" s="24">
        <v>42552</v>
      </c>
      <c r="B8967" s="23">
        <v>93.384460000000004</v>
      </c>
      <c r="C8967" s="32">
        <f t="shared" si="140"/>
        <v>3.0334889776202356E-3</v>
      </c>
    </row>
    <row r="8968" spans="1:3" x14ac:dyDescent="0.6">
      <c r="A8968" s="24">
        <v>42556</v>
      </c>
      <c r="B8968" s="23">
        <v>92.507964999999999</v>
      </c>
      <c r="C8968" s="32">
        <f t="shared" si="140"/>
        <v>-9.3858764081304891E-3</v>
      </c>
    </row>
    <row r="8969" spans="1:3" x14ac:dyDescent="0.6">
      <c r="A8969" s="24">
        <v>42557</v>
      </c>
      <c r="B8969" s="23">
        <v>93.033874999999995</v>
      </c>
      <c r="C8969" s="32">
        <f t="shared" si="140"/>
        <v>5.6850239868533325E-3</v>
      </c>
    </row>
    <row r="8970" spans="1:3" x14ac:dyDescent="0.6">
      <c r="A8970" s="24">
        <v>42558</v>
      </c>
      <c r="B8970" s="23">
        <v>93.433159000000003</v>
      </c>
      <c r="C8970" s="32">
        <f t="shared" si="140"/>
        <v>4.2918130627151996E-3</v>
      </c>
    </row>
    <row r="8971" spans="1:3" x14ac:dyDescent="0.6">
      <c r="A8971" s="24">
        <v>42559</v>
      </c>
      <c r="B8971" s="23">
        <v>94.153824</v>
      </c>
      <c r="C8971" s="32">
        <f t="shared" si="140"/>
        <v>7.7131610202754164E-3</v>
      </c>
    </row>
    <row r="8972" spans="1:3" x14ac:dyDescent="0.6">
      <c r="A8972" s="24">
        <v>42562</v>
      </c>
      <c r="B8972" s="23">
        <v>94.445976000000002</v>
      </c>
      <c r="C8972" s="32">
        <f t="shared" si="140"/>
        <v>3.1029222987268845E-3</v>
      </c>
    </row>
    <row r="8973" spans="1:3" x14ac:dyDescent="0.6">
      <c r="A8973" s="24">
        <v>42563</v>
      </c>
      <c r="B8973" s="23">
        <v>94.874481000000003</v>
      </c>
      <c r="C8973" s="32">
        <f t="shared" si="140"/>
        <v>4.5370381899594303E-3</v>
      </c>
    </row>
    <row r="8974" spans="1:3" x14ac:dyDescent="0.6">
      <c r="A8974" s="24">
        <v>42564</v>
      </c>
      <c r="B8974" s="23">
        <v>94.338866999999993</v>
      </c>
      <c r="C8974" s="32">
        <f t="shared" si="140"/>
        <v>-5.6455012386313896E-3</v>
      </c>
    </row>
    <row r="8975" spans="1:3" x14ac:dyDescent="0.6">
      <c r="A8975" s="24">
        <v>42565</v>
      </c>
      <c r="B8975" s="23">
        <v>96.208702000000002</v>
      </c>
      <c r="C8975" s="32">
        <f t="shared" si="140"/>
        <v>1.9820409757518087E-2</v>
      </c>
    </row>
    <row r="8976" spans="1:3" x14ac:dyDescent="0.6">
      <c r="A8976" s="24">
        <v>42566</v>
      </c>
      <c r="B8976" s="23">
        <v>96.198952000000006</v>
      </c>
      <c r="C8976" s="32">
        <f t="shared" si="140"/>
        <v>-1.0134218420276841E-4</v>
      </c>
    </row>
    <row r="8977" spans="1:3" x14ac:dyDescent="0.6">
      <c r="A8977" s="24">
        <v>42569</v>
      </c>
      <c r="B8977" s="23">
        <v>97.221512000000004</v>
      </c>
      <c r="C8977" s="32">
        <f t="shared" si="140"/>
        <v>1.0629637628484678E-2</v>
      </c>
    </row>
    <row r="8978" spans="1:3" x14ac:dyDescent="0.6">
      <c r="A8978" s="24">
        <v>42570</v>
      </c>
      <c r="B8978" s="23">
        <v>97.260468000000003</v>
      </c>
      <c r="C8978" s="32">
        <f t="shared" si="140"/>
        <v>4.006932128355345E-4</v>
      </c>
    </row>
    <row r="8979" spans="1:3" x14ac:dyDescent="0.6">
      <c r="A8979" s="24">
        <v>42571</v>
      </c>
      <c r="B8979" s="23">
        <v>97.348122000000004</v>
      </c>
      <c r="C8979" s="32">
        <f t="shared" si="140"/>
        <v>9.0122946971638029E-4</v>
      </c>
    </row>
    <row r="8980" spans="1:3" x14ac:dyDescent="0.6">
      <c r="A8980" s="24">
        <v>42572</v>
      </c>
      <c r="B8980" s="23">
        <v>96.831969999999998</v>
      </c>
      <c r="C8980" s="32">
        <f t="shared" si="140"/>
        <v>-5.302125910554345E-3</v>
      </c>
    </row>
    <row r="8981" spans="1:3" x14ac:dyDescent="0.6">
      <c r="A8981" s="24">
        <v>42573</v>
      </c>
      <c r="B8981" s="23">
        <v>96.082085000000006</v>
      </c>
      <c r="C8981" s="32">
        <f t="shared" si="140"/>
        <v>-7.7441882056100697E-3</v>
      </c>
    </row>
    <row r="8982" spans="1:3" x14ac:dyDescent="0.6">
      <c r="A8982" s="24">
        <v>42576</v>
      </c>
      <c r="B8982" s="23">
        <v>94.796570000000003</v>
      </c>
      <c r="C8982" s="32">
        <f t="shared" si="140"/>
        <v>-1.337934121641926E-2</v>
      </c>
    </row>
    <row r="8983" spans="1:3" x14ac:dyDescent="0.6">
      <c r="A8983" s="24">
        <v>42577</v>
      </c>
      <c r="B8983" s="23">
        <v>94.144081</v>
      </c>
      <c r="C8983" s="32">
        <f t="shared" si="140"/>
        <v>-6.8830443970705479E-3</v>
      </c>
    </row>
    <row r="8984" spans="1:3" x14ac:dyDescent="0.6">
      <c r="A8984" s="24">
        <v>42578</v>
      </c>
      <c r="B8984" s="23">
        <v>100.259995</v>
      </c>
      <c r="C8984" s="32">
        <f t="shared" si="140"/>
        <v>6.496334060555542E-2</v>
      </c>
    </row>
    <row r="8985" spans="1:3" x14ac:dyDescent="0.6">
      <c r="A8985" s="24">
        <v>42579</v>
      </c>
      <c r="B8985" s="23">
        <v>101.613663</v>
      </c>
      <c r="C8985" s="32">
        <f t="shared" si="140"/>
        <v>1.3501576575981167E-2</v>
      </c>
    </row>
    <row r="8986" spans="1:3" x14ac:dyDescent="0.6">
      <c r="A8986" s="24">
        <v>42580</v>
      </c>
      <c r="B8986" s="23">
        <v>101.48706799999999</v>
      </c>
      <c r="C8986" s="32">
        <f t="shared" si="140"/>
        <v>-1.245846240185311E-3</v>
      </c>
    </row>
    <row r="8987" spans="1:3" x14ac:dyDescent="0.6">
      <c r="A8987" s="24">
        <v>42583</v>
      </c>
      <c r="B8987" s="23">
        <v>103.27898399999999</v>
      </c>
      <c r="C8987" s="32">
        <f t="shared" si="140"/>
        <v>1.7656594434278139E-2</v>
      </c>
    </row>
    <row r="8988" spans="1:3" x14ac:dyDescent="0.6">
      <c r="A8988" s="24">
        <v>42584</v>
      </c>
      <c r="B8988" s="23">
        <v>101.750015</v>
      </c>
      <c r="C8988" s="32">
        <f t="shared" si="140"/>
        <v>-1.4804260661588131E-2</v>
      </c>
    </row>
    <row r="8989" spans="1:3" x14ac:dyDescent="0.6">
      <c r="A8989" s="24">
        <v>42585</v>
      </c>
      <c r="B8989" s="23">
        <v>103.02578699999999</v>
      </c>
      <c r="C8989" s="32">
        <f t="shared" si="140"/>
        <v>1.2538297905901885E-2</v>
      </c>
    </row>
    <row r="8990" spans="1:3" x14ac:dyDescent="0.6">
      <c r="A8990" s="24">
        <v>42586</v>
      </c>
      <c r="B8990" s="23">
        <v>103.662239</v>
      </c>
      <c r="C8990" s="32">
        <f t="shared" si="140"/>
        <v>6.1775990121775148E-3</v>
      </c>
    </row>
    <row r="8991" spans="1:3" x14ac:dyDescent="0.6">
      <c r="A8991" s="24">
        <v>42587</v>
      </c>
      <c r="B8991" s="23">
        <v>105.238647</v>
      </c>
      <c r="C8991" s="32">
        <f t="shared" si="140"/>
        <v>1.5207157545574557E-2</v>
      </c>
    </row>
    <row r="8992" spans="1:3" x14ac:dyDescent="0.6">
      <c r="A8992" s="24">
        <v>42590</v>
      </c>
      <c r="B8992" s="23">
        <v>106.11009199999999</v>
      </c>
      <c r="C8992" s="32">
        <f t="shared" si="140"/>
        <v>8.2806556796573005E-3</v>
      </c>
    </row>
    <row r="8993" spans="1:3" x14ac:dyDescent="0.6">
      <c r="A8993" s="24">
        <v>42591</v>
      </c>
      <c r="B8993" s="23">
        <v>106.540916</v>
      </c>
      <c r="C8993" s="32">
        <f t="shared" si="140"/>
        <v>4.0601604605148278E-3</v>
      </c>
    </row>
    <row r="8994" spans="1:3" x14ac:dyDescent="0.6">
      <c r="A8994" s="24">
        <v>42592</v>
      </c>
      <c r="B8994" s="23">
        <v>105.74781</v>
      </c>
      <c r="C8994" s="32">
        <f t="shared" si="140"/>
        <v>-7.4441447452919807E-3</v>
      </c>
    </row>
    <row r="8995" spans="1:3" x14ac:dyDescent="0.6">
      <c r="A8995" s="24">
        <v>42593</v>
      </c>
      <c r="B8995" s="23">
        <v>105.67926799999999</v>
      </c>
      <c r="C8995" s="32">
        <f t="shared" si="140"/>
        <v>-6.4816472322226648E-4</v>
      </c>
    </row>
    <row r="8996" spans="1:3" x14ac:dyDescent="0.6">
      <c r="A8996" s="24">
        <v>42594</v>
      </c>
      <c r="B8996" s="23">
        <v>105.924057</v>
      </c>
      <c r="C8996" s="32">
        <f t="shared" si="140"/>
        <v>2.3163389057541117E-3</v>
      </c>
    </row>
    <row r="8997" spans="1:3" x14ac:dyDescent="0.6">
      <c r="A8997" s="24">
        <v>42597</v>
      </c>
      <c r="B8997" s="23">
        <v>107.196945</v>
      </c>
      <c r="C8997" s="32">
        <f t="shared" si="140"/>
        <v>1.2016986849361366E-2</v>
      </c>
    </row>
    <row r="8998" spans="1:3" x14ac:dyDescent="0.6">
      <c r="A8998" s="24">
        <v>42598</v>
      </c>
      <c r="B8998" s="23">
        <v>107.09902200000001</v>
      </c>
      <c r="C8998" s="32">
        <f t="shared" si="140"/>
        <v>-9.1348685356651416E-4</v>
      </c>
    </row>
    <row r="8999" spans="1:3" x14ac:dyDescent="0.6">
      <c r="A8999" s="24">
        <v>42599</v>
      </c>
      <c r="B8999" s="23">
        <v>106.942375</v>
      </c>
      <c r="C8999" s="32">
        <f t="shared" si="140"/>
        <v>-1.4626370724468707E-3</v>
      </c>
    </row>
    <row r="9000" spans="1:3" x14ac:dyDescent="0.6">
      <c r="A9000" s="24">
        <v>42600</v>
      </c>
      <c r="B9000" s="23">
        <v>106.80529799999999</v>
      </c>
      <c r="C9000" s="32">
        <f t="shared" si="140"/>
        <v>-1.2817837643871455E-3</v>
      </c>
    </row>
    <row r="9001" spans="1:3" x14ac:dyDescent="0.6">
      <c r="A9001" s="24">
        <v>42601</v>
      </c>
      <c r="B9001" s="23">
        <v>107.07944500000001</v>
      </c>
      <c r="C9001" s="32">
        <f t="shared" si="140"/>
        <v>2.56679214546085E-3</v>
      </c>
    </row>
    <row r="9002" spans="1:3" x14ac:dyDescent="0.6">
      <c r="A9002" s="24">
        <v>42604</v>
      </c>
      <c r="B9002" s="23">
        <v>106.24717699999999</v>
      </c>
      <c r="C9002" s="32">
        <f t="shared" si="140"/>
        <v>-7.7724347562692087E-3</v>
      </c>
    </row>
    <row r="9003" spans="1:3" x14ac:dyDescent="0.6">
      <c r="A9003" s="24">
        <v>42605</v>
      </c>
      <c r="B9003" s="23">
        <v>106.580078</v>
      </c>
      <c r="C9003" s="32">
        <f t="shared" si="140"/>
        <v>3.1332691314707173E-3</v>
      </c>
    </row>
    <row r="9004" spans="1:3" x14ac:dyDescent="0.6">
      <c r="A9004" s="24">
        <v>42606</v>
      </c>
      <c r="B9004" s="23">
        <v>105.77718400000001</v>
      </c>
      <c r="C9004" s="32">
        <f t="shared" si="140"/>
        <v>-7.5332465040980345E-3</v>
      </c>
    </row>
    <row r="9005" spans="1:3" x14ac:dyDescent="0.6">
      <c r="A9005" s="24">
        <v>42607</v>
      </c>
      <c r="B9005" s="23">
        <v>105.326775</v>
      </c>
      <c r="C9005" s="32">
        <f t="shared" si="140"/>
        <v>-4.2580921798788252E-3</v>
      </c>
    </row>
    <row r="9006" spans="1:3" x14ac:dyDescent="0.6">
      <c r="A9006" s="24">
        <v>42608</v>
      </c>
      <c r="B9006" s="23">
        <v>104.709915</v>
      </c>
      <c r="C9006" s="32">
        <f t="shared" si="140"/>
        <v>-5.8566304721663354E-3</v>
      </c>
    </row>
    <row r="9007" spans="1:3" x14ac:dyDescent="0.6">
      <c r="A9007" s="24">
        <v>42611</v>
      </c>
      <c r="B9007" s="23">
        <v>104.592415</v>
      </c>
      <c r="C9007" s="32">
        <f t="shared" si="140"/>
        <v>-1.1221477927854107E-3</v>
      </c>
    </row>
    <row r="9008" spans="1:3" x14ac:dyDescent="0.6">
      <c r="A9008" s="24">
        <v>42612</v>
      </c>
      <c r="B9008" s="23">
        <v>103.789513</v>
      </c>
      <c r="C9008" s="32">
        <f t="shared" si="140"/>
        <v>-7.6764839974294841E-3</v>
      </c>
    </row>
    <row r="9009" spans="1:3" x14ac:dyDescent="0.6">
      <c r="A9009" s="24">
        <v>42613</v>
      </c>
      <c r="B9009" s="23">
        <v>103.887428</v>
      </c>
      <c r="C9009" s="32">
        <f t="shared" si="140"/>
        <v>9.4339974405710514E-4</v>
      </c>
    </row>
    <row r="9010" spans="1:3" x14ac:dyDescent="0.6">
      <c r="A9010" s="24">
        <v>42614</v>
      </c>
      <c r="B9010" s="23">
        <v>104.50430299999999</v>
      </c>
      <c r="C9010" s="32">
        <f t="shared" si="140"/>
        <v>5.9379177237883773E-3</v>
      </c>
    </row>
    <row r="9011" spans="1:3" x14ac:dyDescent="0.6">
      <c r="A9011" s="24">
        <v>42615</v>
      </c>
      <c r="B9011" s="23">
        <v>105.48344400000001</v>
      </c>
      <c r="C9011" s="32">
        <f t="shared" si="140"/>
        <v>9.3693845314677393E-3</v>
      </c>
    </row>
    <row r="9012" spans="1:3" x14ac:dyDescent="0.6">
      <c r="A9012" s="24">
        <v>42619</v>
      </c>
      <c r="B9012" s="23">
        <v>105.45405599999999</v>
      </c>
      <c r="C9012" s="32">
        <f t="shared" si="140"/>
        <v>-2.7860296256554395E-4</v>
      </c>
    </row>
    <row r="9013" spans="1:3" x14ac:dyDescent="0.6">
      <c r="A9013" s="24">
        <v>42620</v>
      </c>
      <c r="B9013" s="23">
        <v>106.10030399999999</v>
      </c>
      <c r="C9013" s="32">
        <f t="shared" si="140"/>
        <v>6.1282422366002454E-3</v>
      </c>
    </row>
    <row r="9014" spans="1:3" x14ac:dyDescent="0.6">
      <c r="A9014" s="24">
        <v>42621</v>
      </c>
      <c r="B9014" s="23">
        <v>103.319534</v>
      </c>
      <c r="C9014" s="32">
        <f t="shared" si="140"/>
        <v>-2.6208878722911E-2</v>
      </c>
    </row>
    <row r="9015" spans="1:3" x14ac:dyDescent="0.6">
      <c r="A9015" s="24">
        <v>42622</v>
      </c>
      <c r="B9015" s="23">
        <v>100.97936199999999</v>
      </c>
      <c r="C9015" s="32">
        <f t="shared" si="140"/>
        <v>-2.2649850511327396E-2</v>
      </c>
    </row>
    <row r="9016" spans="1:3" x14ac:dyDescent="0.6">
      <c r="A9016" s="24">
        <v>42625</v>
      </c>
      <c r="B9016" s="23">
        <v>103.241196</v>
      </c>
      <c r="C9016" s="32">
        <f t="shared" si="140"/>
        <v>2.2398972970338216E-2</v>
      </c>
    </row>
    <row r="9017" spans="1:3" x14ac:dyDescent="0.6">
      <c r="A9017" s="24">
        <v>42626</v>
      </c>
      <c r="B9017" s="23">
        <v>105.698853</v>
      </c>
      <c r="C9017" s="32">
        <f t="shared" si="140"/>
        <v>2.3805003188843266E-2</v>
      </c>
    </row>
    <row r="9018" spans="1:3" x14ac:dyDescent="0.6">
      <c r="A9018" s="24">
        <v>42627</v>
      </c>
      <c r="B9018" s="23">
        <v>109.43918600000001</v>
      </c>
      <c r="C9018" s="32">
        <f t="shared" si="140"/>
        <v>3.5386694309729183E-2</v>
      </c>
    </row>
    <row r="9019" spans="1:3" x14ac:dyDescent="0.6">
      <c r="A9019" s="24">
        <v>42628</v>
      </c>
      <c r="B9019" s="23">
        <v>113.159943</v>
      </c>
      <c r="C9019" s="32">
        <f t="shared" si="140"/>
        <v>3.3998397977850425E-2</v>
      </c>
    </row>
    <row r="9020" spans="1:3" x14ac:dyDescent="0.6">
      <c r="A9020" s="24">
        <v>42629</v>
      </c>
      <c r="B9020" s="23">
        <v>112.523499</v>
      </c>
      <c r="C9020" s="32">
        <f t="shared" si="140"/>
        <v>-5.6242870323820471E-3</v>
      </c>
    </row>
    <row r="9021" spans="1:3" x14ac:dyDescent="0.6">
      <c r="A9021" s="24">
        <v>42632</v>
      </c>
      <c r="B9021" s="23">
        <v>111.211449</v>
      </c>
      <c r="C9021" s="32">
        <f t="shared" si="140"/>
        <v>-1.166023107759917E-2</v>
      </c>
    </row>
    <row r="9022" spans="1:3" x14ac:dyDescent="0.6">
      <c r="A9022" s="24">
        <v>42633</v>
      </c>
      <c r="B9022" s="23">
        <v>111.20165299999999</v>
      </c>
      <c r="C9022" s="32">
        <f t="shared" si="140"/>
        <v>-8.8084456124737365E-5</v>
      </c>
    </row>
    <row r="9023" spans="1:3" x14ac:dyDescent="0.6">
      <c r="A9023" s="24">
        <v>42634</v>
      </c>
      <c r="B9023" s="23">
        <v>111.182068</v>
      </c>
      <c r="C9023" s="32">
        <f t="shared" si="140"/>
        <v>-1.7612148265455652E-4</v>
      </c>
    </row>
    <row r="9024" spans="1:3" x14ac:dyDescent="0.6">
      <c r="A9024" s="24">
        <v>42635</v>
      </c>
      <c r="B9024" s="23">
        <v>112.229767</v>
      </c>
      <c r="C9024" s="32">
        <f t="shared" si="140"/>
        <v>9.4232731846648488E-3</v>
      </c>
    </row>
    <row r="9025" spans="1:3" x14ac:dyDescent="0.6">
      <c r="A9025" s="24">
        <v>42636</v>
      </c>
      <c r="B9025" s="23">
        <v>110.359589</v>
      </c>
      <c r="C9025" s="32">
        <f t="shared" si="140"/>
        <v>-1.6663832154262592E-2</v>
      </c>
    </row>
    <row r="9026" spans="1:3" x14ac:dyDescent="0.6">
      <c r="A9026" s="24">
        <v>42639</v>
      </c>
      <c r="B9026" s="23">
        <v>110.526031</v>
      </c>
      <c r="C9026" s="32">
        <f t="shared" si="140"/>
        <v>1.5081788679007779E-3</v>
      </c>
    </row>
    <row r="9027" spans="1:3" x14ac:dyDescent="0.6">
      <c r="A9027" s="24">
        <v>42640</v>
      </c>
      <c r="B9027" s="23">
        <v>110.73165899999999</v>
      </c>
      <c r="C9027" s="32">
        <f t="shared" si="140"/>
        <v>1.8604486032796075E-3</v>
      </c>
    </row>
    <row r="9028" spans="1:3" x14ac:dyDescent="0.6">
      <c r="A9028" s="24">
        <v>42641</v>
      </c>
      <c r="B9028" s="23">
        <v>111.57373</v>
      </c>
      <c r="C9028" s="32">
        <f t="shared" ref="C9028:C9091" si="141">B9028/B9027-1</f>
        <v>7.604609265359219E-3</v>
      </c>
    </row>
    <row r="9029" spans="1:3" x14ac:dyDescent="0.6">
      <c r="A9029" s="24">
        <v>42642</v>
      </c>
      <c r="B9029" s="23">
        <v>109.840637</v>
      </c>
      <c r="C9029" s="32">
        <f t="shared" si="141"/>
        <v>-1.5533163586087806E-2</v>
      </c>
    </row>
    <row r="9030" spans="1:3" x14ac:dyDescent="0.6">
      <c r="A9030" s="24">
        <v>42643</v>
      </c>
      <c r="B9030" s="23">
        <v>110.692505</v>
      </c>
      <c r="C9030" s="32">
        <f t="shared" si="141"/>
        <v>7.7554903473473491E-3</v>
      </c>
    </row>
    <row r="9031" spans="1:3" x14ac:dyDescent="0.6">
      <c r="A9031" s="24">
        <v>42646</v>
      </c>
      <c r="B9031" s="23">
        <v>110.173546</v>
      </c>
      <c r="C9031" s="32">
        <f t="shared" si="141"/>
        <v>-4.6882939364322196E-3</v>
      </c>
    </row>
    <row r="9032" spans="1:3" x14ac:dyDescent="0.6">
      <c r="A9032" s="24">
        <v>42647</v>
      </c>
      <c r="B9032" s="23">
        <v>110.643539</v>
      </c>
      <c r="C9032" s="32">
        <f t="shared" si="141"/>
        <v>4.2659333121581877E-3</v>
      </c>
    </row>
    <row r="9033" spans="1:3" x14ac:dyDescent="0.6">
      <c r="A9033" s="24">
        <v>42648</v>
      </c>
      <c r="B9033" s="23">
        <v>110.692505</v>
      </c>
      <c r="C9033" s="32">
        <f t="shared" si="141"/>
        <v>4.4255634303236313E-4</v>
      </c>
    </row>
    <row r="9034" spans="1:3" x14ac:dyDescent="0.6">
      <c r="A9034" s="24">
        <v>42649</v>
      </c>
      <c r="B9034" s="23">
        <v>111.514984</v>
      </c>
      <c r="C9034" s="32">
        <f t="shared" si="141"/>
        <v>7.4303043372268007E-3</v>
      </c>
    </row>
    <row r="9035" spans="1:3" x14ac:dyDescent="0.6">
      <c r="A9035" s="24">
        <v>42650</v>
      </c>
      <c r="B9035" s="23">
        <v>111.68143499999999</v>
      </c>
      <c r="C9035" s="32">
        <f t="shared" si="141"/>
        <v>1.4926334921949724E-3</v>
      </c>
    </row>
    <row r="9036" spans="1:3" x14ac:dyDescent="0.6">
      <c r="A9036" s="24">
        <v>42653</v>
      </c>
      <c r="B9036" s="23">
        <v>113.62994399999999</v>
      </c>
      <c r="C9036" s="32">
        <f t="shared" si="141"/>
        <v>1.7447026893950612E-2</v>
      </c>
    </row>
    <row r="9037" spans="1:3" x14ac:dyDescent="0.6">
      <c r="A9037" s="24">
        <v>42654</v>
      </c>
      <c r="B9037" s="23">
        <v>113.874725</v>
      </c>
      <c r="C9037" s="32">
        <f t="shared" si="141"/>
        <v>2.1541944964789117E-3</v>
      </c>
    </row>
    <row r="9038" spans="1:3" x14ac:dyDescent="0.6">
      <c r="A9038" s="24">
        <v>42655</v>
      </c>
      <c r="B9038" s="23">
        <v>114.893036</v>
      </c>
      <c r="C9038" s="32">
        <f t="shared" si="141"/>
        <v>8.9423794437264448E-3</v>
      </c>
    </row>
    <row r="9039" spans="1:3" x14ac:dyDescent="0.6">
      <c r="A9039" s="24">
        <v>42656</v>
      </c>
      <c r="B9039" s="23">
        <v>114.540543</v>
      </c>
      <c r="C9039" s="32">
        <f t="shared" si="141"/>
        <v>-3.0680101446705077E-3</v>
      </c>
    </row>
    <row r="9040" spans="1:3" x14ac:dyDescent="0.6">
      <c r="A9040" s="24">
        <v>42657</v>
      </c>
      <c r="B9040" s="23">
        <v>115.176987</v>
      </c>
      <c r="C9040" s="32">
        <f t="shared" si="141"/>
        <v>5.5564953974418518E-3</v>
      </c>
    </row>
    <row r="9041" spans="1:3" x14ac:dyDescent="0.6">
      <c r="A9041" s="24">
        <v>42660</v>
      </c>
      <c r="B9041" s="23">
        <v>115.098663</v>
      </c>
      <c r="C9041" s="32">
        <f t="shared" si="141"/>
        <v>-6.8003168028696326E-4</v>
      </c>
    </row>
    <row r="9042" spans="1:3" x14ac:dyDescent="0.6">
      <c r="A9042" s="24">
        <v>42661</v>
      </c>
      <c r="B9042" s="23">
        <v>115.020332</v>
      </c>
      <c r="C9042" s="32">
        <f t="shared" si="141"/>
        <v>-6.8055525545074325E-4</v>
      </c>
    </row>
    <row r="9043" spans="1:3" x14ac:dyDescent="0.6">
      <c r="A9043" s="24">
        <v>42662</v>
      </c>
      <c r="B9043" s="23">
        <v>114.67762</v>
      </c>
      <c r="C9043" s="32">
        <f t="shared" si="141"/>
        <v>-2.9795775585136353E-3</v>
      </c>
    </row>
    <row r="9044" spans="1:3" x14ac:dyDescent="0.6">
      <c r="A9044" s="24">
        <v>42663</v>
      </c>
      <c r="B9044" s="23">
        <v>114.61887400000001</v>
      </c>
      <c r="C9044" s="32">
        <f t="shared" si="141"/>
        <v>-5.1227083366400805E-4</v>
      </c>
    </row>
    <row r="9045" spans="1:3" x14ac:dyDescent="0.6">
      <c r="A9045" s="24">
        <v>42664</v>
      </c>
      <c r="B9045" s="23">
        <v>114.168457</v>
      </c>
      <c r="C9045" s="32">
        <f t="shared" si="141"/>
        <v>-3.9296931149401804E-3</v>
      </c>
    </row>
    <row r="9046" spans="1:3" x14ac:dyDescent="0.6">
      <c r="A9046" s="24">
        <v>42667</v>
      </c>
      <c r="B9046" s="23">
        <v>115.196564</v>
      </c>
      <c r="C9046" s="32">
        <f t="shared" si="141"/>
        <v>9.0051755713926873E-3</v>
      </c>
    </row>
    <row r="9047" spans="1:3" x14ac:dyDescent="0.6">
      <c r="A9047" s="24">
        <v>42668</v>
      </c>
      <c r="B9047" s="23">
        <v>115.784065</v>
      </c>
      <c r="C9047" s="32">
        <f t="shared" si="141"/>
        <v>5.0999871836454602E-3</v>
      </c>
    </row>
    <row r="9048" spans="1:3" x14ac:dyDescent="0.6">
      <c r="A9048" s="24">
        <v>42669</v>
      </c>
      <c r="B9048" s="23">
        <v>113.17952699999999</v>
      </c>
      <c r="C9048" s="32">
        <f t="shared" si="141"/>
        <v>-2.2494788034951085E-2</v>
      </c>
    </row>
    <row r="9049" spans="1:3" x14ac:dyDescent="0.6">
      <c r="A9049" s="24">
        <v>42670</v>
      </c>
      <c r="B9049" s="23">
        <v>112.092682</v>
      </c>
      <c r="C9049" s="32">
        <f t="shared" si="141"/>
        <v>-9.602840980241889E-3</v>
      </c>
    </row>
    <row r="9050" spans="1:3" x14ac:dyDescent="0.6">
      <c r="A9050" s="24">
        <v>42671</v>
      </c>
      <c r="B9050" s="23">
        <v>111.348534</v>
      </c>
      <c r="C9050" s="32">
        <f t="shared" si="141"/>
        <v>-6.6386849410918769E-3</v>
      </c>
    </row>
    <row r="9051" spans="1:3" x14ac:dyDescent="0.6">
      <c r="A9051" s="24">
        <v>42674</v>
      </c>
      <c r="B9051" s="23">
        <v>111.172279</v>
      </c>
      <c r="C9051" s="32">
        <f t="shared" si="141"/>
        <v>-1.5829126228100732E-3</v>
      </c>
    </row>
    <row r="9052" spans="1:3" x14ac:dyDescent="0.6">
      <c r="A9052" s="24">
        <v>42675</v>
      </c>
      <c r="B9052" s="23">
        <v>109.165031</v>
      </c>
      <c r="C9052" s="32">
        <f t="shared" si="141"/>
        <v>-1.8055292362946007E-2</v>
      </c>
    </row>
    <row r="9053" spans="1:3" x14ac:dyDescent="0.6">
      <c r="A9053" s="24">
        <v>42676</v>
      </c>
      <c r="B9053" s="23">
        <v>109.262947</v>
      </c>
      <c r="C9053" s="32">
        <f t="shared" si="141"/>
        <v>8.9695389726029973E-4</v>
      </c>
    </row>
    <row r="9054" spans="1:3" x14ac:dyDescent="0.6">
      <c r="A9054" s="24">
        <v>42677</v>
      </c>
      <c r="B9054" s="23">
        <v>108.091774</v>
      </c>
      <c r="C9054" s="32">
        <f t="shared" si="141"/>
        <v>-1.0718848723712315E-2</v>
      </c>
    </row>
    <row r="9055" spans="1:3" x14ac:dyDescent="0.6">
      <c r="A9055" s="24">
        <v>42678</v>
      </c>
      <c r="B9055" s="23">
        <v>107.117447</v>
      </c>
      <c r="C9055" s="32">
        <f t="shared" si="141"/>
        <v>-9.0138866626428005E-3</v>
      </c>
    </row>
    <row r="9056" spans="1:3" x14ac:dyDescent="0.6">
      <c r="A9056" s="24">
        <v>42681</v>
      </c>
      <c r="B9056" s="23">
        <v>108.66261299999999</v>
      </c>
      <c r="C9056" s="32">
        <f t="shared" si="141"/>
        <v>1.4424970378541513E-2</v>
      </c>
    </row>
    <row r="9057" spans="1:3" x14ac:dyDescent="0.6">
      <c r="A9057" s="24">
        <v>42682</v>
      </c>
      <c r="B9057" s="23">
        <v>109.302307</v>
      </c>
      <c r="C9057" s="32">
        <f t="shared" si="141"/>
        <v>5.8869742070348785E-3</v>
      </c>
    </row>
    <row r="9058" spans="1:3" x14ac:dyDescent="0.6">
      <c r="A9058" s="24">
        <v>42683</v>
      </c>
      <c r="B9058" s="23">
        <v>109.125168</v>
      </c>
      <c r="C9058" s="32">
        <f t="shared" si="141"/>
        <v>-1.6206336797630616E-3</v>
      </c>
    </row>
    <row r="9059" spans="1:3" x14ac:dyDescent="0.6">
      <c r="A9059" s="24">
        <v>42684</v>
      </c>
      <c r="B9059" s="23">
        <v>106.08406100000001</v>
      </c>
      <c r="C9059" s="32">
        <f t="shared" si="141"/>
        <v>-2.7868062480325362E-2</v>
      </c>
    </row>
    <row r="9060" spans="1:3" x14ac:dyDescent="0.6">
      <c r="A9060" s="24">
        <v>42685</v>
      </c>
      <c r="B9060" s="23">
        <v>106.713936</v>
      </c>
      <c r="C9060" s="32">
        <f t="shared" si="141"/>
        <v>5.937508368952793E-3</v>
      </c>
    </row>
    <row r="9061" spans="1:3" x14ac:dyDescent="0.6">
      <c r="A9061" s="24">
        <v>42688</v>
      </c>
      <c r="B9061" s="23">
        <v>104.03698</v>
      </c>
      <c r="C9061" s="32">
        <f t="shared" si="141"/>
        <v>-2.5085345928951619E-2</v>
      </c>
    </row>
    <row r="9062" spans="1:3" x14ac:dyDescent="0.6">
      <c r="A9062" s="24">
        <v>42689</v>
      </c>
      <c r="B9062" s="23">
        <v>105.41482499999999</v>
      </c>
      <c r="C9062" s="32">
        <f t="shared" si="141"/>
        <v>1.3243800425579488E-2</v>
      </c>
    </row>
    <row r="9063" spans="1:3" x14ac:dyDescent="0.6">
      <c r="A9063" s="24">
        <v>42690</v>
      </c>
      <c r="B9063" s="23">
        <v>108.24923699999999</v>
      </c>
      <c r="C9063" s="32">
        <f t="shared" si="141"/>
        <v>2.688817251273723E-2</v>
      </c>
    </row>
    <row r="9064" spans="1:3" x14ac:dyDescent="0.6">
      <c r="A9064" s="24">
        <v>42691</v>
      </c>
      <c r="B9064" s="23">
        <v>108.20987700000001</v>
      </c>
      <c r="C9064" s="32">
        <f t="shared" si="141"/>
        <v>-3.6360533423429597E-4</v>
      </c>
    </row>
    <row r="9065" spans="1:3" x14ac:dyDescent="0.6">
      <c r="A9065" s="24">
        <v>42692</v>
      </c>
      <c r="B9065" s="23">
        <v>108.318138</v>
      </c>
      <c r="C9065" s="32">
        <f t="shared" si="141"/>
        <v>1.0004724430099365E-3</v>
      </c>
    </row>
    <row r="9066" spans="1:3" x14ac:dyDescent="0.6">
      <c r="A9066" s="24">
        <v>42695</v>
      </c>
      <c r="B9066" s="23">
        <v>109.961708</v>
      </c>
      <c r="C9066" s="32">
        <f t="shared" si="141"/>
        <v>1.5173543695885972E-2</v>
      </c>
    </row>
    <row r="9067" spans="1:3" x14ac:dyDescent="0.6">
      <c r="A9067" s="24">
        <v>42696</v>
      </c>
      <c r="B9067" s="23">
        <v>110.030602</v>
      </c>
      <c r="C9067" s="32">
        <f t="shared" si="141"/>
        <v>6.265271907199832E-4</v>
      </c>
    </row>
    <row r="9068" spans="1:3" x14ac:dyDescent="0.6">
      <c r="A9068" s="24">
        <v>42697</v>
      </c>
      <c r="B9068" s="23">
        <v>109.469627</v>
      </c>
      <c r="C9068" s="32">
        <f t="shared" si="141"/>
        <v>-5.0983543650883201E-3</v>
      </c>
    </row>
    <row r="9069" spans="1:3" x14ac:dyDescent="0.6">
      <c r="A9069" s="24">
        <v>42699</v>
      </c>
      <c r="B9069" s="23">
        <v>110.02076700000001</v>
      </c>
      <c r="C9069" s="32">
        <f t="shared" si="141"/>
        <v>5.0346385121053938E-3</v>
      </c>
    </row>
    <row r="9070" spans="1:3" x14ac:dyDescent="0.6">
      <c r="A9070" s="24">
        <v>42702</v>
      </c>
      <c r="B9070" s="23">
        <v>109.80424499999999</v>
      </c>
      <c r="C9070" s="32">
        <f t="shared" si="141"/>
        <v>-1.968010275732901E-3</v>
      </c>
    </row>
    <row r="9071" spans="1:3" x14ac:dyDescent="0.6">
      <c r="A9071" s="24">
        <v>42703</v>
      </c>
      <c r="B9071" s="23">
        <v>109.695992</v>
      </c>
      <c r="C9071" s="32">
        <f t="shared" si="141"/>
        <v>-9.8587263179117368E-4</v>
      </c>
    </row>
    <row r="9072" spans="1:3" x14ac:dyDescent="0.6">
      <c r="A9072" s="24">
        <v>42704</v>
      </c>
      <c r="B9072" s="23">
        <v>108.770859</v>
      </c>
      <c r="C9072" s="32">
        <f t="shared" si="141"/>
        <v>-8.4336080392071189E-3</v>
      </c>
    </row>
    <row r="9073" spans="1:3" x14ac:dyDescent="0.6">
      <c r="A9073" s="24">
        <v>42705</v>
      </c>
      <c r="B9073" s="23">
        <v>107.75715599999999</v>
      </c>
      <c r="C9073" s="32">
        <f t="shared" si="141"/>
        <v>-9.3196193292911511E-3</v>
      </c>
    </row>
    <row r="9074" spans="1:3" x14ac:dyDescent="0.6">
      <c r="A9074" s="24">
        <v>42706</v>
      </c>
      <c r="B9074" s="23">
        <v>108.160675</v>
      </c>
      <c r="C9074" s="32">
        <f t="shared" si="141"/>
        <v>3.7447072192589026E-3</v>
      </c>
    </row>
    <row r="9075" spans="1:3" x14ac:dyDescent="0.6">
      <c r="A9075" s="24">
        <v>42709</v>
      </c>
      <c r="B9075" s="23">
        <v>107.383171</v>
      </c>
      <c r="C9075" s="32">
        <f t="shared" si="141"/>
        <v>-7.1884166773181768E-3</v>
      </c>
    </row>
    <row r="9076" spans="1:3" x14ac:dyDescent="0.6">
      <c r="A9076" s="24">
        <v>42710</v>
      </c>
      <c r="B9076" s="23">
        <v>108.20987700000001</v>
      </c>
      <c r="C9076" s="32">
        <f t="shared" si="141"/>
        <v>7.69865512725465E-3</v>
      </c>
    </row>
    <row r="9077" spans="1:3" x14ac:dyDescent="0.6">
      <c r="A9077" s="24">
        <v>42711</v>
      </c>
      <c r="B9077" s="23">
        <v>109.27278099999999</v>
      </c>
      <c r="C9077" s="32">
        <f t="shared" si="141"/>
        <v>9.8226153607030575E-3</v>
      </c>
    </row>
    <row r="9078" spans="1:3" x14ac:dyDescent="0.6">
      <c r="A9078" s="24">
        <v>42712</v>
      </c>
      <c r="B9078" s="23">
        <v>110.34554300000001</v>
      </c>
      <c r="C9078" s="32">
        <f t="shared" si="141"/>
        <v>9.8172846905031363E-3</v>
      </c>
    </row>
    <row r="9079" spans="1:3" x14ac:dyDescent="0.6">
      <c r="A9079" s="24">
        <v>42713</v>
      </c>
      <c r="B9079" s="23">
        <v>112.146576</v>
      </c>
      <c r="C9079" s="32">
        <f t="shared" si="141"/>
        <v>1.6321755741416588E-2</v>
      </c>
    </row>
    <row r="9080" spans="1:3" x14ac:dyDescent="0.6">
      <c r="A9080" s="24">
        <v>42716</v>
      </c>
      <c r="B9080" s="23">
        <v>111.506866</v>
      </c>
      <c r="C9080" s="32">
        <f t="shared" si="141"/>
        <v>-5.7042312196851075E-3</v>
      </c>
    </row>
    <row r="9081" spans="1:3" x14ac:dyDescent="0.6">
      <c r="A9081" s="24">
        <v>42717</v>
      </c>
      <c r="B9081" s="23">
        <v>113.366951</v>
      </c>
      <c r="C9081" s="32">
        <f t="shared" si="141"/>
        <v>1.6681349469547468E-2</v>
      </c>
    </row>
    <row r="9082" spans="1:3" x14ac:dyDescent="0.6">
      <c r="A9082" s="24">
        <v>42718</v>
      </c>
      <c r="B9082" s="23">
        <v>113.366951</v>
      </c>
      <c r="C9082" s="32">
        <f t="shared" si="141"/>
        <v>0</v>
      </c>
    </row>
    <row r="9083" spans="1:3" x14ac:dyDescent="0.6">
      <c r="A9083" s="24">
        <v>42719</v>
      </c>
      <c r="B9083" s="23">
        <v>113.98698400000001</v>
      </c>
      <c r="C9083" s="32">
        <f t="shared" si="141"/>
        <v>5.4692570853387412E-3</v>
      </c>
    </row>
    <row r="9084" spans="1:3" x14ac:dyDescent="0.6">
      <c r="A9084" s="24">
        <v>42720</v>
      </c>
      <c r="B9084" s="23">
        <v>114.13460499999999</v>
      </c>
      <c r="C9084" s="32">
        <f t="shared" si="141"/>
        <v>1.295068917693154E-3</v>
      </c>
    </row>
    <row r="9085" spans="1:3" x14ac:dyDescent="0.6">
      <c r="A9085" s="24">
        <v>42723</v>
      </c>
      <c r="B9085" s="23">
        <v>114.793999</v>
      </c>
      <c r="C9085" s="32">
        <f t="shared" si="141"/>
        <v>5.7773363302042746E-3</v>
      </c>
    </row>
    <row r="9086" spans="1:3" x14ac:dyDescent="0.6">
      <c r="A9086" s="24">
        <v>42724</v>
      </c>
      <c r="B9086" s="23">
        <v>115.099098</v>
      </c>
      <c r="C9086" s="32">
        <f t="shared" si="141"/>
        <v>2.6577957267608365E-3</v>
      </c>
    </row>
    <row r="9087" spans="1:3" x14ac:dyDescent="0.6">
      <c r="A9087" s="24">
        <v>42725</v>
      </c>
      <c r="B9087" s="23">
        <v>115.207359</v>
      </c>
      <c r="C9087" s="32">
        <f t="shared" si="141"/>
        <v>9.4058947360298184E-4</v>
      </c>
    </row>
    <row r="9088" spans="1:3" x14ac:dyDescent="0.6">
      <c r="A9088" s="24">
        <v>42726</v>
      </c>
      <c r="B9088" s="23">
        <v>114.449547</v>
      </c>
      <c r="C9088" s="32">
        <f t="shared" si="141"/>
        <v>-6.5778089748589341E-3</v>
      </c>
    </row>
    <row r="9089" spans="1:3" x14ac:dyDescent="0.6">
      <c r="A9089" s="24">
        <v>42727</v>
      </c>
      <c r="B9089" s="23">
        <v>114.67589599999999</v>
      </c>
      <c r="C9089" s="32">
        <f t="shared" si="141"/>
        <v>1.9777186186678009E-3</v>
      </c>
    </row>
    <row r="9090" spans="1:3" x14ac:dyDescent="0.6">
      <c r="A9090" s="24">
        <v>42731</v>
      </c>
      <c r="B9090" s="23">
        <v>115.40419</v>
      </c>
      <c r="C9090" s="32">
        <f t="shared" si="141"/>
        <v>6.3508899899940019E-3</v>
      </c>
    </row>
    <row r="9091" spans="1:3" x14ac:dyDescent="0.6">
      <c r="A9091" s="24">
        <v>42732</v>
      </c>
      <c r="B9091" s="23">
        <v>114.912109</v>
      </c>
      <c r="C9091" s="32">
        <f t="shared" si="141"/>
        <v>-4.2639786302386407E-3</v>
      </c>
    </row>
    <row r="9092" spans="1:3" x14ac:dyDescent="0.6">
      <c r="A9092" s="24">
        <v>42733</v>
      </c>
      <c r="B9092" s="23">
        <v>114.88258399999999</v>
      </c>
      <c r="C9092" s="32">
        <f t="shared" ref="C9092:C9155" si="142">B9092/B9091-1</f>
        <v>-2.5693549841654395E-4</v>
      </c>
    </row>
    <row r="9093" spans="1:3" x14ac:dyDescent="0.6">
      <c r="A9093" s="24">
        <v>42734</v>
      </c>
      <c r="B9093" s="23">
        <v>113.98698400000001</v>
      </c>
      <c r="C9093" s="32">
        <f t="shared" si="142"/>
        <v>-7.7957856518964253E-3</v>
      </c>
    </row>
    <row r="9094" spans="1:3" x14ac:dyDescent="0.6">
      <c r="A9094" s="24">
        <v>42738</v>
      </c>
      <c r="B9094" s="23">
        <v>114.31176000000001</v>
      </c>
      <c r="C9094" s="32">
        <f t="shared" si="142"/>
        <v>2.8492375936537417E-3</v>
      </c>
    </row>
    <row r="9095" spans="1:3" x14ac:dyDescent="0.6">
      <c r="A9095" s="24">
        <v>42739</v>
      </c>
      <c r="B9095" s="23">
        <v>114.183815</v>
      </c>
      <c r="C9095" s="32">
        <f t="shared" si="142"/>
        <v>-1.1192636698097447E-3</v>
      </c>
    </row>
    <row r="9096" spans="1:3" x14ac:dyDescent="0.6">
      <c r="A9096" s="24">
        <v>42740</v>
      </c>
      <c r="B9096" s="23">
        <v>114.764473</v>
      </c>
      <c r="C9096" s="32">
        <f t="shared" si="142"/>
        <v>5.0852916413766103E-3</v>
      </c>
    </row>
    <row r="9097" spans="1:3" x14ac:dyDescent="0.6">
      <c r="A9097" s="24">
        <v>42741</v>
      </c>
      <c r="B9097" s="23">
        <v>116.043915</v>
      </c>
      <c r="C9097" s="32">
        <f t="shared" si="142"/>
        <v>1.1148415241709841E-2</v>
      </c>
    </row>
    <row r="9098" spans="1:3" x14ac:dyDescent="0.6">
      <c r="A9098" s="24">
        <v>42744</v>
      </c>
      <c r="B9098" s="23">
        <v>117.10681200000001</v>
      </c>
      <c r="C9098" s="32">
        <f t="shared" si="142"/>
        <v>9.1594376146306722E-3</v>
      </c>
    </row>
    <row r="9099" spans="1:3" x14ac:dyDescent="0.6">
      <c r="A9099" s="24">
        <v>42745</v>
      </c>
      <c r="B9099" s="23">
        <v>117.224907</v>
      </c>
      <c r="C9099" s="32">
        <f t="shared" si="142"/>
        <v>1.0084383477195757E-3</v>
      </c>
    </row>
    <row r="9100" spans="1:3" x14ac:dyDescent="0.6">
      <c r="A9100" s="24">
        <v>42746</v>
      </c>
      <c r="B9100" s="23">
        <v>117.854782</v>
      </c>
      <c r="C9100" s="32">
        <f t="shared" si="142"/>
        <v>5.3732181677055291E-3</v>
      </c>
    </row>
    <row r="9101" spans="1:3" x14ac:dyDescent="0.6">
      <c r="A9101" s="24">
        <v>42747</v>
      </c>
      <c r="B9101" s="23">
        <v>117.362694</v>
      </c>
      <c r="C9101" s="32">
        <f t="shared" si="142"/>
        <v>-4.1753757603149033E-3</v>
      </c>
    </row>
    <row r="9102" spans="1:3" x14ac:dyDescent="0.6">
      <c r="A9102" s="24">
        <v>42748</v>
      </c>
      <c r="B9102" s="23">
        <v>117.156021</v>
      </c>
      <c r="C9102" s="32">
        <f t="shared" si="142"/>
        <v>-1.7609769591691027E-3</v>
      </c>
    </row>
    <row r="9103" spans="1:3" x14ac:dyDescent="0.6">
      <c r="A9103" s="24">
        <v>42752</v>
      </c>
      <c r="B9103" s="23">
        <v>118.10082199999999</v>
      </c>
      <c r="C9103" s="32">
        <f t="shared" si="142"/>
        <v>8.0644681505528393E-3</v>
      </c>
    </row>
    <row r="9104" spans="1:3" x14ac:dyDescent="0.6">
      <c r="A9104" s="24">
        <v>42753</v>
      </c>
      <c r="B9104" s="23">
        <v>118.090981</v>
      </c>
      <c r="C9104" s="32">
        <f t="shared" si="142"/>
        <v>-8.3327108425956808E-5</v>
      </c>
    </row>
    <row r="9105" spans="1:3" x14ac:dyDescent="0.6">
      <c r="A9105" s="24">
        <v>42754</v>
      </c>
      <c r="B9105" s="23">
        <v>117.8843</v>
      </c>
      <c r="C9105" s="32">
        <f t="shared" si="142"/>
        <v>-1.7501844615890327E-3</v>
      </c>
    </row>
    <row r="9106" spans="1:3" x14ac:dyDescent="0.6">
      <c r="A9106" s="24">
        <v>42755</v>
      </c>
      <c r="B9106" s="23">
        <v>118.10082199999999</v>
      </c>
      <c r="C9106" s="32">
        <f t="shared" si="142"/>
        <v>1.8367331357949102E-3</v>
      </c>
    </row>
    <row r="9107" spans="1:3" x14ac:dyDescent="0.6">
      <c r="A9107" s="24">
        <v>42758</v>
      </c>
      <c r="B9107" s="23">
        <v>118.179558</v>
      </c>
      <c r="C9107" s="32">
        <f t="shared" si="142"/>
        <v>6.6668460614116576E-4</v>
      </c>
    </row>
    <row r="9108" spans="1:3" x14ac:dyDescent="0.6">
      <c r="A9108" s="24">
        <v>42759</v>
      </c>
      <c r="B9108" s="23">
        <v>118.071304</v>
      </c>
      <c r="C9108" s="32">
        <f t="shared" si="142"/>
        <v>-9.1601290300991067E-4</v>
      </c>
    </row>
    <row r="9109" spans="1:3" x14ac:dyDescent="0.6">
      <c r="A9109" s="24">
        <v>42760</v>
      </c>
      <c r="B9109" s="23">
        <v>119.95107299999999</v>
      </c>
      <c r="C9109" s="32">
        <f t="shared" si="142"/>
        <v>1.5920625387519927E-2</v>
      </c>
    </row>
    <row r="9110" spans="1:3" x14ac:dyDescent="0.6">
      <c r="A9110" s="24">
        <v>42761</v>
      </c>
      <c r="B9110" s="23">
        <v>120.010132</v>
      </c>
      <c r="C9110" s="32">
        <f t="shared" si="142"/>
        <v>4.9235908043954169E-4</v>
      </c>
    </row>
    <row r="9111" spans="1:3" x14ac:dyDescent="0.6">
      <c r="A9111" s="24">
        <v>42762</v>
      </c>
      <c r="B9111" s="23">
        <v>120.019958</v>
      </c>
      <c r="C9111" s="32">
        <f t="shared" si="142"/>
        <v>8.1876420234383573E-5</v>
      </c>
    </row>
    <row r="9112" spans="1:3" x14ac:dyDescent="0.6">
      <c r="A9112" s="24">
        <v>42765</v>
      </c>
      <c r="B9112" s="23">
        <v>119.705017</v>
      </c>
      <c r="C9112" s="32">
        <f t="shared" si="142"/>
        <v>-2.6240719064407614E-3</v>
      </c>
    </row>
    <row r="9113" spans="1:3" x14ac:dyDescent="0.6">
      <c r="A9113" s="24">
        <v>42766</v>
      </c>
      <c r="B9113" s="23">
        <v>119.42945899999999</v>
      </c>
      <c r="C9113" s="32">
        <f t="shared" si="142"/>
        <v>-2.3019753633216622E-3</v>
      </c>
    </row>
    <row r="9114" spans="1:3" x14ac:dyDescent="0.6">
      <c r="A9114" s="24">
        <v>42767</v>
      </c>
      <c r="B9114" s="23">
        <v>126.712341</v>
      </c>
      <c r="C9114" s="32">
        <f t="shared" si="142"/>
        <v>6.098061618113837E-2</v>
      </c>
    </row>
    <row r="9115" spans="1:3" x14ac:dyDescent="0.6">
      <c r="A9115" s="24">
        <v>42768</v>
      </c>
      <c r="B9115" s="23">
        <v>126.495819</v>
      </c>
      <c r="C9115" s="32">
        <f t="shared" si="142"/>
        <v>-1.708768051250753E-3</v>
      </c>
    </row>
    <row r="9116" spans="1:3" x14ac:dyDescent="0.6">
      <c r="A9116" s="24">
        <v>42769</v>
      </c>
      <c r="B9116" s="23">
        <v>127.037125</v>
      </c>
      <c r="C9116" s="32">
        <f t="shared" si="142"/>
        <v>4.2792402490394732E-3</v>
      </c>
    </row>
    <row r="9117" spans="1:3" x14ac:dyDescent="0.6">
      <c r="A9117" s="24">
        <v>42772</v>
      </c>
      <c r="B9117" s="23">
        <v>128.22796600000001</v>
      </c>
      <c r="C9117" s="32">
        <f t="shared" si="142"/>
        <v>9.3739605646774304E-3</v>
      </c>
    </row>
    <row r="9118" spans="1:3" x14ac:dyDescent="0.6">
      <c r="A9118" s="24">
        <v>42773</v>
      </c>
      <c r="B9118" s="23">
        <v>129.44834900000001</v>
      </c>
      <c r="C9118" s="32">
        <f t="shared" si="142"/>
        <v>9.5172920390860227E-3</v>
      </c>
    </row>
    <row r="9119" spans="1:3" x14ac:dyDescent="0.6">
      <c r="A9119" s="24">
        <v>42774</v>
      </c>
      <c r="B9119" s="23">
        <v>129.950287</v>
      </c>
      <c r="C9119" s="32">
        <f t="shared" si="142"/>
        <v>3.8775156568431335E-3</v>
      </c>
    </row>
    <row r="9120" spans="1:3" x14ac:dyDescent="0.6">
      <c r="A9120" s="24">
        <v>42775</v>
      </c>
      <c r="B9120" s="23">
        <v>130.88928200000001</v>
      </c>
      <c r="C9120" s="32">
        <f t="shared" si="142"/>
        <v>7.2258016636777E-3</v>
      </c>
    </row>
    <row r="9121" spans="1:3" x14ac:dyDescent="0.6">
      <c r="A9121" s="24">
        <v>42776</v>
      </c>
      <c r="B9121" s="23">
        <v>130.592758</v>
      </c>
      <c r="C9121" s="32">
        <f t="shared" si="142"/>
        <v>-2.2654566933907327E-3</v>
      </c>
    </row>
    <row r="9122" spans="1:3" x14ac:dyDescent="0.6">
      <c r="A9122" s="24">
        <v>42779</v>
      </c>
      <c r="B9122" s="23">
        <v>131.749222</v>
      </c>
      <c r="C9122" s="32">
        <f t="shared" si="142"/>
        <v>8.8554987099667137E-3</v>
      </c>
    </row>
    <row r="9123" spans="1:3" x14ac:dyDescent="0.6">
      <c r="A9123" s="24">
        <v>42780</v>
      </c>
      <c r="B9123" s="23">
        <v>133.45924400000001</v>
      </c>
      <c r="C9123" s="32">
        <f t="shared" si="142"/>
        <v>1.2979370762432385E-2</v>
      </c>
    </row>
    <row r="9124" spans="1:3" x14ac:dyDescent="0.6">
      <c r="A9124" s="24">
        <v>42781</v>
      </c>
      <c r="B9124" s="23">
        <v>133.94357299999999</v>
      </c>
      <c r="C9124" s="32">
        <f t="shared" si="142"/>
        <v>3.6290404881955673E-3</v>
      </c>
    </row>
    <row r="9125" spans="1:3" x14ac:dyDescent="0.6">
      <c r="A9125" s="24">
        <v>42782</v>
      </c>
      <c r="B9125" s="23">
        <v>133.785416</v>
      </c>
      <c r="C9125" s="32">
        <f t="shared" si="142"/>
        <v>-1.1807733395314823E-3</v>
      </c>
    </row>
    <row r="9126" spans="1:3" x14ac:dyDescent="0.6">
      <c r="A9126" s="24">
        <v>42783</v>
      </c>
      <c r="B9126" s="23">
        <v>134.15115399999999</v>
      </c>
      <c r="C9126" s="32">
        <f t="shared" si="142"/>
        <v>2.7337658388713049E-3</v>
      </c>
    </row>
    <row r="9127" spans="1:3" x14ac:dyDescent="0.6">
      <c r="A9127" s="24">
        <v>42787</v>
      </c>
      <c r="B9127" s="23">
        <v>135.11982699999999</v>
      </c>
      <c r="C9127" s="32">
        <f t="shared" si="142"/>
        <v>7.220757862433258E-3</v>
      </c>
    </row>
    <row r="9128" spans="1:3" x14ac:dyDescent="0.6">
      <c r="A9128" s="24">
        <v>42788</v>
      </c>
      <c r="B9128" s="23">
        <v>135.52507</v>
      </c>
      <c r="C9128" s="32">
        <f t="shared" si="142"/>
        <v>2.9991379429461507E-3</v>
      </c>
    </row>
    <row r="9129" spans="1:3" x14ac:dyDescent="0.6">
      <c r="A9129" s="24">
        <v>42789</v>
      </c>
      <c r="B9129" s="23">
        <v>134.95178200000001</v>
      </c>
      <c r="C9129" s="32">
        <f t="shared" si="142"/>
        <v>-4.2301250978876714E-3</v>
      </c>
    </row>
    <row r="9130" spans="1:3" x14ac:dyDescent="0.6">
      <c r="A9130" s="24">
        <v>42790</v>
      </c>
      <c r="B9130" s="23">
        <v>135.08029199999999</v>
      </c>
      <c r="C9130" s="32">
        <f t="shared" si="142"/>
        <v>9.5226604714260255E-4</v>
      </c>
    </row>
    <row r="9131" spans="1:3" x14ac:dyDescent="0.6">
      <c r="A9131" s="24">
        <v>42793</v>
      </c>
      <c r="B9131" s="23">
        <v>135.34715299999999</v>
      </c>
      <c r="C9131" s="32">
        <f t="shared" si="142"/>
        <v>1.975573165032829E-3</v>
      </c>
    </row>
    <row r="9132" spans="1:3" x14ac:dyDescent="0.6">
      <c r="A9132" s="24">
        <v>42794</v>
      </c>
      <c r="B9132" s="23">
        <v>135.40647899999999</v>
      </c>
      <c r="C9132" s="32">
        <f t="shared" si="142"/>
        <v>4.383246982668787E-4</v>
      </c>
    </row>
    <row r="9133" spans="1:3" x14ac:dyDescent="0.6">
      <c r="A9133" s="24">
        <v>42795</v>
      </c>
      <c r="B9133" s="23">
        <v>138.17408800000001</v>
      </c>
      <c r="C9133" s="32">
        <f t="shared" si="142"/>
        <v>2.0439265686836405E-2</v>
      </c>
    </row>
    <row r="9134" spans="1:3" x14ac:dyDescent="0.6">
      <c r="A9134" s="24">
        <v>42796</v>
      </c>
      <c r="B9134" s="23">
        <v>137.35369900000001</v>
      </c>
      <c r="C9134" s="32">
        <f t="shared" si="142"/>
        <v>-5.9373578061902021E-3</v>
      </c>
    </row>
    <row r="9135" spans="1:3" x14ac:dyDescent="0.6">
      <c r="A9135" s="24">
        <v>42797</v>
      </c>
      <c r="B9135" s="23">
        <v>138.16419999999999</v>
      </c>
      <c r="C9135" s="32">
        <f t="shared" si="142"/>
        <v>5.9008312546426911E-3</v>
      </c>
    </row>
    <row r="9136" spans="1:3" x14ac:dyDescent="0.6">
      <c r="A9136" s="24">
        <v>42800</v>
      </c>
      <c r="B9136" s="23">
        <v>137.729309</v>
      </c>
      <c r="C9136" s="32">
        <f t="shared" si="142"/>
        <v>-3.147638823949972E-3</v>
      </c>
    </row>
    <row r="9137" spans="1:3" x14ac:dyDescent="0.6">
      <c r="A9137" s="24">
        <v>42801</v>
      </c>
      <c r="B9137" s="23">
        <v>137.90722700000001</v>
      </c>
      <c r="C9137" s="32">
        <f t="shared" si="142"/>
        <v>1.2917947624351278E-3</v>
      </c>
    </row>
    <row r="9138" spans="1:3" x14ac:dyDescent="0.6">
      <c r="A9138" s="24">
        <v>42802</v>
      </c>
      <c r="B9138" s="23">
        <v>137.39323400000001</v>
      </c>
      <c r="C9138" s="32">
        <f t="shared" si="142"/>
        <v>-3.7270925620163098E-3</v>
      </c>
    </row>
    <row r="9139" spans="1:3" x14ac:dyDescent="0.6">
      <c r="A9139" s="24">
        <v>42803</v>
      </c>
      <c r="B9139" s="23">
        <v>137.07692</v>
      </c>
      <c r="C9139" s="32">
        <f t="shared" si="142"/>
        <v>-2.3022531080387765E-3</v>
      </c>
    </row>
    <row r="9140" spans="1:3" x14ac:dyDescent="0.6">
      <c r="A9140" s="24">
        <v>42804</v>
      </c>
      <c r="B9140" s="23">
        <v>137.53160099999999</v>
      </c>
      <c r="C9140" s="32">
        <f t="shared" si="142"/>
        <v>3.3169770665988363E-3</v>
      </c>
    </row>
    <row r="9141" spans="1:3" x14ac:dyDescent="0.6">
      <c r="A9141" s="24">
        <v>42807</v>
      </c>
      <c r="B9141" s="23">
        <v>137.590912</v>
      </c>
      <c r="C9141" s="32">
        <f t="shared" si="142"/>
        <v>4.3125361421481045E-4</v>
      </c>
    </row>
    <row r="9142" spans="1:3" x14ac:dyDescent="0.6">
      <c r="A9142" s="24">
        <v>42808</v>
      </c>
      <c r="B9142" s="23">
        <v>137.38334699999999</v>
      </c>
      <c r="C9142" s="32">
        <f t="shared" si="142"/>
        <v>-1.5085662053029303E-3</v>
      </c>
    </row>
    <row r="9143" spans="1:3" x14ac:dyDescent="0.6">
      <c r="A9143" s="24">
        <v>42809</v>
      </c>
      <c r="B9143" s="23">
        <v>138.836365</v>
      </c>
      <c r="C9143" s="32">
        <f t="shared" si="142"/>
        <v>1.0576376480331495E-2</v>
      </c>
    </row>
    <row r="9144" spans="1:3" x14ac:dyDescent="0.6">
      <c r="A9144" s="24">
        <v>42810</v>
      </c>
      <c r="B9144" s="23">
        <v>139.06369000000001</v>
      </c>
      <c r="C9144" s="32">
        <f t="shared" si="142"/>
        <v>1.6373592034046869E-3</v>
      </c>
    </row>
    <row r="9145" spans="1:3" x14ac:dyDescent="0.6">
      <c r="A9145" s="24">
        <v>42811</v>
      </c>
      <c r="B9145" s="23">
        <v>138.37178</v>
      </c>
      <c r="C9145" s="32">
        <f t="shared" si="142"/>
        <v>-4.9754900074923114E-3</v>
      </c>
    </row>
    <row r="9146" spans="1:3" x14ac:dyDescent="0.6">
      <c r="A9146" s="24">
        <v>42814</v>
      </c>
      <c r="B9146" s="23">
        <v>139.82479900000001</v>
      </c>
      <c r="C9146" s="32">
        <f t="shared" si="142"/>
        <v>1.0500833334658344E-2</v>
      </c>
    </row>
    <row r="9147" spans="1:3" x14ac:dyDescent="0.6">
      <c r="A9147" s="24">
        <v>42815</v>
      </c>
      <c r="B9147" s="23">
        <v>138.223511</v>
      </c>
      <c r="C9147" s="32">
        <f t="shared" si="142"/>
        <v>-1.1452102999268465E-2</v>
      </c>
    </row>
    <row r="9148" spans="1:3" x14ac:dyDescent="0.6">
      <c r="A9148" s="24">
        <v>42816</v>
      </c>
      <c r="B9148" s="23">
        <v>139.785248</v>
      </c>
      <c r="C9148" s="32">
        <f t="shared" si="142"/>
        <v>1.1298635005733582E-2</v>
      </c>
    </row>
    <row r="9149" spans="1:3" x14ac:dyDescent="0.6">
      <c r="A9149" s="24">
        <v>42817</v>
      </c>
      <c r="B9149" s="23">
        <v>139.291031</v>
      </c>
      <c r="C9149" s="32">
        <f t="shared" si="142"/>
        <v>-3.5355447521900896E-3</v>
      </c>
    </row>
    <row r="9150" spans="1:3" x14ac:dyDescent="0.6">
      <c r="A9150" s="24">
        <v>42818</v>
      </c>
      <c r="B9150" s="23">
        <v>139.01426699999999</v>
      </c>
      <c r="C9150" s="32">
        <f t="shared" si="142"/>
        <v>-1.9869477454008688E-3</v>
      </c>
    </row>
    <row r="9151" spans="1:3" x14ac:dyDescent="0.6">
      <c r="A9151" s="24">
        <v>42821</v>
      </c>
      <c r="B9151" s="23">
        <v>139.25151099999999</v>
      </c>
      <c r="C9151" s="32">
        <f t="shared" si="142"/>
        <v>1.7066161993286588E-3</v>
      </c>
    </row>
    <row r="9152" spans="1:3" x14ac:dyDescent="0.6">
      <c r="A9152" s="24">
        <v>42822</v>
      </c>
      <c r="B9152" s="23">
        <v>142.13774100000001</v>
      </c>
      <c r="C9152" s="32">
        <f t="shared" si="142"/>
        <v>2.072674098308358E-2</v>
      </c>
    </row>
    <row r="9153" spans="1:3" x14ac:dyDescent="0.6">
      <c r="A9153" s="24">
        <v>42823</v>
      </c>
      <c r="B9153" s="23">
        <v>142.45404099999999</v>
      </c>
      <c r="C9153" s="32">
        <f t="shared" si="142"/>
        <v>2.2253062260217948E-3</v>
      </c>
    </row>
    <row r="9154" spans="1:3" x14ac:dyDescent="0.6">
      <c r="A9154" s="24">
        <v>42824</v>
      </c>
      <c r="B9154" s="23">
        <v>142.26623499999999</v>
      </c>
      <c r="C9154" s="32">
        <f t="shared" si="142"/>
        <v>-1.318362039305021E-3</v>
      </c>
    </row>
    <row r="9155" spans="1:3" x14ac:dyDescent="0.6">
      <c r="A9155" s="24">
        <v>42825</v>
      </c>
      <c r="B9155" s="23">
        <v>141.99937399999999</v>
      </c>
      <c r="C9155" s="32">
        <f t="shared" si="142"/>
        <v>-1.8757859164545421E-3</v>
      </c>
    </row>
    <row r="9156" spans="1:3" x14ac:dyDescent="0.6">
      <c r="A9156" s="24">
        <v>42828</v>
      </c>
      <c r="B9156" s="23">
        <v>142.03890999999999</v>
      </c>
      <c r="C9156" s="32">
        <f t="shared" ref="C9156:C9219" si="143">B9156/B9155-1</f>
        <v>2.7842376262876556E-4</v>
      </c>
    </row>
    <row r="9157" spans="1:3" x14ac:dyDescent="0.6">
      <c r="A9157" s="24">
        <v>42829</v>
      </c>
      <c r="B9157" s="23">
        <v>143.096542</v>
      </c>
      <c r="C9157" s="32">
        <f t="shared" si="143"/>
        <v>7.4460723473590562E-3</v>
      </c>
    </row>
    <row r="9158" spans="1:3" x14ac:dyDescent="0.6">
      <c r="A9158" s="24">
        <v>42830</v>
      </c>
      <c r="B9158" s="23">
        <v>142.355209</v>
      </c>
      <c r="C9158" s="32">
        <f t="shared" si="143"/>
        <v>-5.1806492989886488E-3</v>
      </c>
    </row>
    <row r="9159" spans="1:3" x14ac:dyDescent="0.6">
      <c r="A9159" s="24">
        <v>42831</v>
      </c>
      <c r="B9159" s="23">
        <v>141.99937399999999</v>
      </c>
      <c r="C9159" s="32">
        <f t="shared" si="143"/>
        <v>-2.4996275338263763E-3</v>
      </c>
    </row>
    <row r="9160" spans="1:3" x14ac:dyDescent="0.6">
      <c r="A9160" s="24">
        <v>42832</v>
      </c>
      <c r="B9160" s="23">
        <v>141.68306000000001</v>
      </c>
      <c r="C9160" s="32">
        <f t="shared" si="143"/>
        <v>-2.2275732004282123E-3</v>
      </c>
    </row>
    <row r="9161" spans="1:3" x14ac:dyDescent="0.6">
      <c r="A9161" s="24">
        <v>42835</v>
      </c>
      <c r="B9161" s="23">
        <v>141.51503</v>
      </c>
      <c r="C9161" s="32">
        <f t="shared" si="143"/>
        <v>-1.1859568815073551E-3</v>
      </c>
    </row>
    <row r="9162" spans="1:3" x14ac:dyDescent="0.6">
      <c r="A9162" s="24">
        <v>42836</v>
      </c>
      <c r="B9162" s="23">
        <v>139.99284399999999</v>
      </c>
      <c r="C9162" s="32">
        <f t="shared" si="143"/>
        <v>-1.0756355702994935E-2</v>
      </c>
    </row>
    <row r="9163" spans="1:3" x14ac:dyDescent="0.6">
      <c r="A9163" s="24">
        <v>42837</v>
      </c>
      <c r="B9163" s="23">
        <v>140.16087300000001</v>
      </c>
      <c r="C9163" s="32">
        <f t="shared" si="143"/>
        <v>1.2002684937240105E-3</v>
      </c>
    </row>
    <row r="9164" spans="1:3" x14ac:dyDescent="0.6">
      <c r="A9164" s="24">
        <v>42838</v>
      </c>
      <c r="B9164" s="23">
        <v>139.41954000000001</v>
      </c>
      <c r="C9164" s="32">
        <f t="shared" si="143"/>
        <v>-5.2891579806298994E-3</v>
      </c>
    </row>
    <row r="9165" spans="1:3" x14ac:dyDescent="0.6">
      <c r="A9165" s="24">
        <v>42842</v>
      </c>
      <c r="B9165" s="23">
        <v>140.19052099999999</v>
      </c>
      <c r="C9165" s="32">
        <f t="shared" si="143"/>
        <v>5.5299350435382699E-3</v>
      </c>
    </row>
    <row r="9166" spans="1:3" x14ac:dyDescent="0.6">
      <c r="A9166" s="24">
        <v>42843</v>
      </c>
      <c r="B9166" s="23">
        <v>139.56779499999999</v>
      </c>
      <c r="C9166" s="32">
        <f t="shared" si="143"/>
        <v>-4.4419979008424315E-3</v>
      </c>
    </row>
    <row r="9167" spans="1:3" x14ac:dyDescent="0.6">
      <c r="A9167" s="24">
        <v>42844</v>
      </c>
      <c r="B9167" s="23">
        <v>139.05381800000001</v>
      </c>
      <c r="C9167" s="32">
        <f t="shared" si="143"/>
        <v>-3.6826332321148181E-3</v>
      </c>
    </row>
    <row r="9168" spans="1:3" x14ac:dyDescent="0.6">
      <c r="A9168" s="24">
        <v>42845</v>
      </c>
      <c r="B9168" s="23">
        <v>140.79345699999999</v>
      </c>
      <c r="C9168" s="32">
        <f t="shared" si="143"/>
        <v>1.2510544658327793E-2</v>
      </c>
    </row>
    <row r="9169" spans="1:3" x14ac:dyDescent="0.6">
      <c r="A9169" s="24">
        <v>42846</v>
      </c>
      <c r="B9169" s="23">
        <v>140.62544299999999</v>
      </c>
      <c r="C9169" s="32">
        <f t="shared" si="143"/>
        <v>-1.1933367045601218E-3</v>
      </c>
    </row>
    <row r="9170" spans="1:3" x14ac:dyDescent="0.6">
      <c r="A9170" s="24">
        <v>42849</v>
      </c>
      <c r="B9170" s="23">
        <v>141.97958399999999</v>
      </c>
      <c r="C9170" s="32">
        <f t="shared" si="143"/>
        <v>9.6294167763084637E-3</v>
      </c>
    </row>
    <row r="9171" spans="1:3" x14ac:dyDescent="0.6">
      <c r="A9171" s="24">
        <v>42850</v>
      </c>
      <c r="B9171" s="23">
        <v>142.85929899999999</v>
      </c>
      <c r="C9171" s="32">
        <f t="shared" si="143"/>
        <v>6.1960668936740237E-3</v>
      </c>
    </row>
    <row r="9172" spans="1:3" x14ac:dyDescent="0.6">
      <c r="A9172" s="24">
        <v>42851</v>
      </c>
      <c r="B9172" s="23">
        <v>142.01911899999999</v>
      </c>
      <c r="C9172" s="32">
        <f t="shared" si="143"/>
        <v>-5.8811712354825962E-3</v>
      </c>
    </row>
    <row r="9173" spans="1:3" x14ac:dyDescent="0.6">
      <c r="A9173" s="24">
        <v>42852</v>
      </c>
      <c r="B9173" s="23">
        <v>142.127869</v>
      </c>
      <c r="C9173" s="32">
        <f t="shared" si="143"/>
        <v>7.6574197027667879E-4</v>
      </c>
    </row>
    <row r="9174" spans="1:3" x14ac:dyDescent="0.6">
      <c r="A9174" s="24">
        <v>42853</v>
      </c>
      <c r="B9174" s="23">
        <v>141.98945599999999</v>
      </c>
      <c r="C9174" s="32">
        <f t="shared" si="143"/>
        <v>-9.7386248716646584E-4</v>
      </c>
    </row>
    <row r="9175" spans="1:3" x14ac:dyDescent="0.6">
      <c r="A9175" s="24">
        <v>42856</v>
      </c>
      <c r="B9175" s="23">
        <v>144.885605</v>
      </c>
      <c r="C9175" s="32">
        <f t="shared" si="143"/>
        <v>2.0396930036833183E-2</v>
      </c>
    </row>
    <row r="9176" spans="1:3" x14ac:dyDescent="0.6">
      <c r="A9176" s="24">
        <v>42857</v>
      </c>
      <c r="B9176" s="23">
        <v>145.804855</v>
      </c>
      <c r="C9176" s="32">
        <f t="shared" si="143"/>
        <v>6.3446606721213605E-3</v>
      </c>
    </row>
    <row r="9177" spans="1:3" x14ac:dyDescent="0.6">
      <c r="A9177" s="24">
        <v>42858</v>
      </c>
      <c r="B9177" s="23">
        <v>145.360062</v>
      </c>
      <c r="C9177" s="32">
        <f t="shared" si="143"/>
        <v>-3.0506048649752149E-3</v>
      </c>
    </row>
    <row r="9178" spans="1:3" x14ac:dyDescent="0.6">
      <c r="A9178" s="24">
        <v>42859</v>
      </c>
      <c r="B9178" s="23">
        <v>144.83618200000001</v>
      </c>
      <c r="C9178" s="32">
        <f t="shared" si="143"/>
        <v>-3.604016074236327E-3</v>
      </c>
    </row>
    <row r="9179" spans="1:3" x14ac:dyDescent="0.6">
      <c r="A9179" s="24">
        <v>42860</v>
      </c>
      <c r="B9179" s="23">
        <v>147.238113</v>
      </c>
      <c r="C9179" s="32">
        <f t="shared" si="143"/>
        <v>1.6583777387890519E-2</v>
      </c>
    </row>
    <row r="9180" spans="1:3" x14ac:dyDescent="0.6">
      <c r="A9180" s="24">
        <v>42863</v>
      </c>
      <c r="B9180" s="23">
        <v>151.24127200000001</v>
      </c>
      <c r="C9180" s="32">
        <f t="shared" si="143"/>
        <v>2.7188334042287154E-2</v>
      </c>
    </row>
    <row r="9181" spans="1:3" x14ac:dyDescent="0.6">
      <c r="A9181" s="24">
        <v>42864</v>
      </c>
      <c r="B9181" s="23">
        <v>152.20996099999999</v>
      </c>
      <c r="C9181" s="32">
        <f t="shared" si="143"/>
        <v>6.404924973125059E-3</v>
      </c>
    </row>
    <row r="9182" spans="1:3" x14ac:dyDescent="0.6">
      <c r="A9182" s="24">
        <v>42865</v>
      </c>
      <c r="B9182" s="23">
        <v>151.48838799999999</v>
      </c>
      <c r="C9182" s="32">
        <f t="shared" si="143"/>
        <v>-4.740642434038933E-3</v>
      </c>
    </row>
    <row r="9183" spans="1:3" x14ac:dyDescent="0.6">
      <c r="A9183" s="24">
        <v>42866</v>
      </c>
      <c r="B9183" s="23">
        <v>152.79852299999999</v>
      </c>
      <c r="C9183" s="32">
        <f t="shared" si="143"/>
        <v>8.6484186497515214E-3</v>
      </c>
    </row>
    <row r="9184" spans="1:3" x14ac:dyDescent="0.6">
      <c r="A9184" s="24">
        <v>42867</v>
      </c>
      <c r="B9184" s="23">
        <v>154.93244899999999</v>
      </c>
      <c r="C9184" s="32">
        <f t="shared" si="143"/>
        <v>1.3965619288087039E-2</v>
      </c>
    </row>
    <row r="9185" spans="1:3" x14ac:dyDescent="0.6">
      <c r="A9185" s="24">
        <v>42870</v>
      </c>
      <c r="B9185" s="23">
        <v>154.535416</v>
      </c>
      <c r="C9185" s="32">
        <f t="shared" si="143"/>
        <v>-2.5626200486896789E-3</v>
      </c>
    </row>
    <row r="9186" spans="1:3" x14ac:dyDescent="0.6">
      <c r="A9186" s="24">
        <v>42871</v>
      </c>
      <c r="B9186" s="23">
        <v>154.30714399999999</v>
      </c>
      <c r="C9186" s="32">
        <f t="shared" si="143"/>
        <v>-1.4771500663640635E-3</v>
      </c>
    </row>
    <row r="9187" spans="1:3" x14ac:dyDescent="0.6">
      <c r="A9187" s="24">
        <v>42872</v>
      </c>
      <c r="B9187" s="23">
        <v>149.12619000000001</v>
      </c>
      <c r="C9187" s="32">
        <f t="shared" si="143"/>
        <v>-3.3575593881771226E-2</v>
      </c>
    </row>
    <row r="9188" spans="1:3" x14ac:dyDescent="0.6">
      <c r="A9188" s="24">
        <v>42873</v>
      </c>
      <c r="B9188" s="23">
        <v>151.39904799999999</v>
      </c>
      <c r="C9188" s="32">
        <f t="shared" si="143"/>
        <v>1.5241172593492669E-2</v>
      </c>
    </row>
    <row r="9189" spans="1:3" x14ac:dyDescent="0.6">
      <c r="A9189" s="24">
        <v>42874</v>
      </c>
      <c r="B9189" s="23">
        <v>151.915176</v>
      </c>
      <c r="C9189" s="32">
        <f t="shared" si="143"/>
        <v>3.4090571031861749E-3</v>
      </c>
    </row>
    <row r="9190" spans="1:3" x14ac:dyDescent="0.6">
      <c r="A9190" s="24">
        <v>42877</v>
      </c>
      <c r="B9190" s="23">
        <v>152.838211</v>
      </c>
      <c r="C9190" s="32">
        <f t="shared" si="143"/>
        <v>6.0759894060880004E-3</v>
      </c>
    </row>
    <row r="9191" spans="1:3" x14ac:dyDescent="0.6">
      <c r="A9191" s="24">
        <v>42878</v>
      </c>
      <c r="B9191" s="23">
        <v>152.649643</v>
      </c>
      <c r="C9191" s="32">
        <f t="shared" si="143"/>
        <v>-1.2337752370054078E-3</v>
      </c>
    </row>
    <row r="9192" spans="1:3" x14ac:dyDescent="0.6">
      <c r="A9192" s="24">
        <v>42879</v>
      </c>
      <c r="B9192" s="23">
        <v>152.19306900000001</v>
      </c>
      <c r="C9192" s="32">
        <f t="shared" si="143"/>
        <v>-2.9909929104779964E-3</v>
      </c>
    </row>
    <row r="9193" spans="1:3" x14ac:dyDescent="0.6">
      <c r="A9193" s="24">
        <v>42880</v>
      </c>
      <c r="B9193" s="23">
        <v>152.71910099999999</v>
      </c>
      <c r="C9193" s="32">
        <f t="shared" si="143"/>
        <v>3.4563466224601935E-3</v>
      </c>
    </row>
    <row r="9194" spans="1:3" x14ac:dyDescent="0.6">
      <c r="A9194" s="24">
        <v>42881</v>
      </c>
      <c r="B9194" s="23">
        <v>152.46106</v>
      </c>
      <c r="C9194" s="32">
        <f t="shared" si="143"/>
        <v>-1.6896445717028419E-3</v>
      </c>
    </row>
    <row r="9195" spans="1:3" x14ac:dyDescent="0.6">
      <c r="A9195" s="24">
        <v>42885</v>
      </c>
      <c r="B9195" s="23">
        <v>152.520599</v>
      </c>
      <c r="C9195" s="32">
        <f t="shared" si="143"/>
        <v>3.9051938901635275E-4</v>
      </c>
    </row>
    <row r="9196" spans="1:3" x14ac:dyDescent="0.6">
      <c r="A9196" s="24">
        <v>42886</v>
      </c>
      <c r="B9196" s="23">
        <v>151.61741599999999</v>
      </c>
      <c r="C9196" s="32">
        <f t="shared" si="143"/>
        <v>-5.9217115977888701E-3</v>
      </c>
    </row>
    <row r="9197" spans="1:3" x14ac:dyDescent="0.6">
      <c r="A9197" s="24">
        <v>42887</v>
      </c>
      <c r="B9197" s="23">
        <v>152.03427099999999</v>
      </c>
      <c r="C9197" s="32">
        <f t="shared" si="143"/>
        <v>2.749387313130347E-3</v>
      </c>
    </row>
    <row r="9198" spans="1:3" x14ac:dyDescent="0.6">
      <c r="A9198" s="24">
        <v>42888</v>
      </c>
      <c r="B9198" s="23">
        <v>154.28729200000001</v>
      </c>
      <c r="C9198" s="32">
        <f t="shared" si="143"/>
        <v>1.4819165344634788E-2</v>
      </c>
    </row>
    <row r="9199" spans="1:3" x14ac:dyDescent="0.6">
      <c r="A9199" s="24">
        <v>42891</v>
      </c>
      <c r="B9199" s="23">
        <v>152.77865600000001</v>
      </c>
      <c r="C9199" s="32">
        <f t="shared" si="143"/>
        <v>-9.7780963062077397E-3</v>
      </c>
    </row>
    <row r="9200" spans="1:3" x14ac:dyDescent="0.6">
      <c r="A9200" s="24">
        <v>42892</v>
      </c>
      <c r="B9200" s="23">
        <v>153.29478499999999</v>
      </c>
      <c r="C9200" s="32">
        <f t="shared" si="143"/>
        <v>3.3782794895118595E-3</v>
      </c>
    </row>
    <row r="9201" spans="1:3" x14ac:dyDescent="0.6">
      <c r="A9201" s="24">
        <v>42893</v>
      </c>
      <c r="B9201" s="23">
        <v>154.20790099999999</v>
      </c>
      <c r="C9201" s="32">
        <f t="shared" si="143"/>
        <v>5.9566018504804141E-3</v>
      </c>
    </row>
    <row r="9202" spans="1:3" x14ac:dyDescent="0.6">
      <c r="A9202" s="24">
        <v>42894</v>
      </c>
      <c r="B9202" s="23">
        <v>153.83073400000001</v>
      </c>
      <c r="C9202" s="32">
        <f t="shared" si="143"/>
        <v>-2.4458344712180446E-3</v>
      </c>
    </row>
    <row r="9203" spans="1:3" x14ac:dyDescent="0.6">
      <c r="A9203" s="24">
        <v>42895</v>
      </c>
      <c r="B9203" s="23">
        <v>147.865692</v>
      </c>
      <c r="C9203" s="32">
        <f t="shared" si="143"/>
        <v>-3.8776659545809666E-2</v>
      </c>
    </row>
    <row r="9204" spans="1:3" x14ac:dyDescent="0.6">
      <c r="A9204" s="24">
        <v>42898</v>
      </c>
      <c r="B9204" s="23">
        <v>144.33230599999999</v>
      </c>
      <c r="C9204" s="32">
        <f t="shared" si="143"/>
        <v>-2.3895914949628838E-2</v>
      </c>
    </row>
    <row r="9205" spans="1:3" x14ac:dyDescent="0.6">
      <c r="A9205" s="24">
        <v>42899</v>
      </c>
      <c r="B9205" s="23">
        <v>145.493561</v>
      </c>
      <c r="C9205" s="32">
        <f t="shared" si="143"/>
        <v>8.0457039188441826E-3</v>
      </c>
    </row>
    <row r="9206" spans="1:3" x14ac:dyDescent="0.6">
      <c r="A9206" s="24">
        <v>42900</v>
      </c>
      <c r="B9206" s="23">
        <v>144.074265</v>
      </c>
      <c r="C9206" s="32">
        <f t="shared" si="143"/>
        <v>-9.7550433864217467E-3</v>
      </c>
    </row>
    <row r="9207" spans="1:3" x14ac:dyDescent="0.6">
      <c r="A9207" s="24">
        <v>42901</v>
      </c>
      <c r="B9207" s="23">
        <v>143.21075400000001</v>
      </c>
      <c r="C9207" s="32">
        <f t="shared" si="143"/>
        <v>-5.9935131371309236E-3</v>
      </c>
    </row>
    <row r="9208" spans="1:3" x14ac:dyDescent="0.6">
      <c r="A9208" s="24">
        <v>42902</v>
      </c>
      <c r="B9208" s="23">
        <v>141.20588699999999</v>
      </c>
      <c r="C9208" s="32">
        <f t="shared" si="143"/>
        <v>-1.3999416552195609E-2</v>
      </c>
    </row>
    <row r="9209" spans="1:3" x14ac:dyDescent="0.6">
      <c r="A9209" s="24">
        <v>42905</v>
      </c>
      <c r="B9209" s="23">
        <v>145.24543800000001</v>
      </c>
      <c r="C9209" s="32">
        <f t="shared" si="143"/>
        <v>2.8607525407209344E-2</v>
      </c>
    </row>
    <row r="9210" spans="1:3" x14ac:dyDescent="0.6">
      <c r="A9210" s="24">
        <v>42906</v>
      </c>
      <c r="B9210" s="23">
        <v>143.92536899999999</v>
      </c>
      <c r="C9210" s="32">
        <f t="shared" si="143"/>
        <v>-9.088540185338001E-3</v>
      </c>
    </row>
    <row r="9211" spans="1:3" x14ac:dyDescent="0.6">
      <c r="A9211" s="24">
        <v>42907</v>
      </c>
      <c r="B9211" s="23">
        <v>144.77894599999999</v>
      </c>
      <c r="C9211" s="32">
        <f t="shared" si="143"/>
        <v>5.9306917601162912E-3</v>
      </c>
    </row>
    <row r="9212" spans="1:3" x14ac:dyDescent="0.6">
      <c r="A9212" s="24">
        <v>42908</v>
      </c>
      <c r="B9212" s="23">
        <v>144.54075599999999</v>
      </c>
      <c r="C9212" s="32">
        <f t="shared" si="143"/>
        <v>-1.6451977762015346E-3</v>
      </c>
    </row>
    <row r="9213" spans="1:3" x14ac:dyDescent="0.6">
      <c r="A9213" s="24">
        <v>42909</v>
      </c>
      <c r="B9213" s="23">
        <v>145.18588299999999</v>
      </c>
      <c r="C9213" s="32">
        <f t="shared" si="143"/>
        <v>4.4632878494146322E-3</v>
      </c>
    </row>
    <row r="9214" spans="1:3" x14ac:dyDescent="0.6">
      <c r="A9214" s="24">
        <v>42912</v>
      </c>
      <c r="B9214" s="23">
        <v>144.72934000000001</v>
      </c>
      <c r="C9214" s="32">
        <f t="shared" si="143"/>
        <v>-3.1445412636983416E-3</v>
      </c>
    </row>
    <row r="9215" spans="1:3" x14ac:dyDescent="0.6">
      <c r="A9215" s="24">
        <v>42913</v>
      </c>
      <c r="B9215" s="23">
        <v>142.65495300000001</v>
      </c>
      <c r="C9215" s="32">
        <f t="shared" si="143"/>
        <v>-1.4332871275444248E-2</v>
      </c>
    </row>
    <row r="9216" spans="1:3" x14ac:dyDescent="0.6">
      <c r="A9216" s="24">
        <v>42914</v>
      </c>
      <c r="B9216" s="23">
        <v>144.73924299999999</v>
      </c>
      <c r="C9216" s="32">
        <f t="shared" si="143"/>
        <v>1.4610708960101748E-2</v>
      </c>
    </row>
    <row r="9217" spans="1:3" x14ac:dyDescent="0.6">
      <c r="A9217" s="24">
        <v>42915</v>
      </c>
      <c r="B9217" s="23">
        <v>142.60531599999999</v>
      </c>
      <c r="C9217" s="32">
        <f t="shared" si="143"/>
        <v>-1.4743251075314823E-2</v>
      </c>
    </row>
    <row r="9218" spans="1:3" x14ac:dyDescent="0.6">
      <c r="A9218" s="24">
        <v>42916</v>
      </c>
      <c r="B9218" s="23">
        <v>142.94279499999999</v>
      </c>
      <c r="C9218" s="32">
        <f t="shared" si="143"/>
        <v>2.3665246813098229E-3</v>
      </c>
    </row>
    <row r="9219" spans="1:3" x14ac:dyDescent="0.6">
      <c r="A9219" s="24">
        <v>42919</v>
      </c>
      <c r="B9219" s="23">
        <v>142.426682</v>
      </c>
      <c r="C9219" s="32">
        <f t="shared" si="143"/>
        <v>-3.6106261949053753E-3</v>
      </c>
    </row>
    <row r="9220" spans="1:3" x14ac:dyDescent="0.6">
      <c r="A9220" s="24">
        <v>42921</v>
      </c>
      <c r="B9220" s="23">
        <v>143.01225299999999</v>
      </c>
      <c r="C9220" s="32">
        <f t="shared" ref="C9220:C9283" si="144">B9220/B9219-1</f>
        <v>4.1113855337864269E-3</v>
      </c>
    </row>
    <row r="9221" spans="1:3" x14ac:dyDescent="0.6">
      <c r="A9221" s="24">
        <v>42922</v>
      </c>
      <c r="B9221" s="23">
        <v>141.66243</v>
      </c>
      <c r="C9221" s="32">
        <f t="shared" si="144"/>
        <v>-9.4385129363704356E-3</v>
      </c>
    </row>
    <row r="9222" spans="1:3" x14ac:dyDescent="0.6">
      <c r="A9222" s="24">
        <v>42923</v>
      </c>
      <c r="B9222" s="23">
        <v>143.10157799999999</v>
      </c>
      <c r="C9222" s="32">
        <f t="shared" si="144"/>
        <v>1.0158995578432473E-2</v>
      </c>
    </row>
    <row r="9223" spans="1:3" x14ac:dyDescent="0.6">
      <c r="A9223" s="24">
        <v>42926</v>
      </c>
      <c r="B9223" s="23">
        <v>143.97500600000001</v>
      </c>
      <c r="C9223" s="32">
        <f t="shared" si="144"/>
        <v>6.1035525408392743E-3</v>
      </c>
    </row>
    <row r="9224" spans="1:3" x14ac:dyDescent="0.6">
      <c r="A9224" s="24">
        <v>42927</v>
      </c>
      <c r="B9224" s="23">
        <v>144.44148300000001</v>
      </c>
      <c r="C9224" s="32">
        <f t="shared" si="144"/>
        <v>3.2399859736764736E-3</v>
      </c>
    </row>
    <row r="9225" spans="1:3" x14ac:dyDescent="0.6">
      <c r="A9225" s="24">
        <v>42928</v>
      </c>
      <c r="B9225" s="23">
        <v>144.64991800000001</v>
      </c>
      <c r="C9225" s="32">
        <f t="shared" si="144"/>
        <v>1.4430411241348473E-3</v>
      </c>
    </row>
    <row r="9226" spans="1:3" x14ac:dyDescent="0.6">
      <c r="A9226" s="24">
        <v>42929</v>
      </c>
      <c r="B9226" s="23">
        <v>146.664749</v>
      </c>
      <c r="C9226" s="32">
        <f t="shared" si="144"/>
        <v>1.3929015846382953E-2</v>
      </c>
    </row>
    <row r="9227" spans="1:3" x14ac:dyDescent="0.6">
      <c r="A9227" s="24">
        <v>42930</v>
      </c>
      <c r="B9227" s="23">
        <v>147.92523199999999</v>
      </c>
      <c r="C9227" s="32">
        <f t="shared" si="144"/>
        <v>8.59431464339111E-3</v>
      </c>
    </row>
    <row r="9228" spans="1:3" x14ac:dyDescent="0.6">
      <c r="A9228" s="24">
        <v>42933</v>
      </c>
      <c r="B9228" s="23">
        <v>148.44134500000001</v>
      </c>
      <c r="C9228" s="32">
        <f t="shared" si="144"/>
        <v>3.4890126114524023E-3</v>
      </c>
    </row>
    <row r="9229" spans="1:3" x14ac:dyDescent="0.6">
      <c r="A9229" s="24">
        <v>42934</v>
      </c>
      <c r="B9229" s="23">
        <v>148.95747399999999</v>
      </c>
      <c r="C9229" s="32">
        <f t="shared" si="144"/>
        <v>3.4769895139388218E-3</v>
      </c>
    </row>
    <row r="9230" spans="1:3" x14ac:dyDescent="0.6">
      <c r="A9230" s="24">
        <v>42935</v>
      </c>
      <c r="B9230" s="23">
        <v>149.89044200000001</v>
      </c>
      <c r="C9230" s="32">
        <f t="shared" si="144"/>
        <v>6.2633178110955701E-3</v>
      </c>
    </row>
    <row r="9231" spans="1:3" x14ac:dyDescent="0.6">
      <c r="A9231" s="24">
        <v>42936</v>
      </c>
      <c r="B9231" s="23">
        <v>149.21551500000001</v>
      </c>
      <c r="C9231" s="32">
        <f t="shared" si="144"/>
        <v>-4.5028021199643442E-3</v>
      </c>
    </row>
    <row r="9232" spans="1:3" x14ac:dyDescent="0.6">
      <c r="A9232" s="24">
        <v>42937</v>
      </c>
      <c r="B9232" s="23">
        <v>149.14604199999999</v>
      </c>
      <c r="C9232" s="32">
        <f t="shared" si="144"/>
        <v>-4.6558831365506315E-4</v>
      </c>
    </row>
    <row r="9233" spans="1:3" x14ac:dyDescent="0.6">
      <c r="A9233" s="24">
        <v>42940</v>
      </c>
      <c r="B9233" s="23">
        <v>150.95242300000001</v>
      </c>
      <c r="C9233" s="32">
        <f t="shared" si="144"/>
        <v>1.2111491366294524E-2</v>
      </c>
    </row>
    <row r="9234" spans="1:3" x14ac:dyDescent="0.6">
      <c r="A9234" s="24">
        <v>42941</v>
      </c>
      <c r="B9234" s="23">
        <v>151.59757999999999</v>
      </c>
      <c r="C9234" s="32">
        <f t="shared" si="144"/>
        <v>4.2739095350592393E-3</v>
      </c>
    </row>
    <row r="9235" spans="1:3" x14ac:dyDescent="0.6">
      <c r="A9235" s="24">
        <v>42942</v>
      </c>
      <c r="B9235" s="23">
        <v>152.31218000000001</v>
      </c>
      <c r="C9235" s="32">
        <f t="shared" si="144"/>
        <v>4.7137955632274853E-3</v>
      </c>
    </row>
    <row r="9236" spans="1:3" x14ac:dyDescent="0.6">
      <c r="A9236" s="24">
        <v>42943</v>
      </c>
      <c r="B9236" s="23">
        <v>149.43386799999999</v>
      </c>
      <c r="C9236" s="32">
        <f t="shared" si="144"/>
        <v>-1.8897451274087373E-2</v>
      </c>
    </row>
    <row r="9237" spans="1:3" x14ac:dyDescent="0.6">
      <c r="A9237" s="24">
        <v>42944</v>
      </c>
      <c r="B9237" s="23">
        <v>148.38179</v>
      </c>
      <c r="C9237" s="32">
        <f t="shared" si="144"/>
        <v>-7.0404254007531142E-3</v>
      </c>
    </row>
    <row r="9238" spans="1:3" x14ac:dyDescent="0.6">
      <c r="A9238" s="24">
        <v>42947</v>
      </c>
      <c r="B9238" s="23">
        <v>147.61755400000001</v>
      </c>
      <c r="C9238" s="32">
        <f t="shared" si="144"/>
        <v>-5.1504702834490601E-3</v>
      </c>
    </row>
    <row r="9239" spans="1:3" x14ac:dyDescent="0.6">
      <c r="A9239" s="24">
        <v>42948</v>
      </c>
      <c r="B9239" s="23">
        <v>148.92768899999999</v>
      </c>
      <c r="C9239" s="32">
        <f t="shared" si="144"/>
        <v>8.8751978643404339E-3</v>
      </c>
    </row>
    <row r="9240" spans="1:3" x14ac:dyDescent="0.6">
      <c r="A9240" s="24">
        <v>42949</v>
      </c>
      <c r="B9240" s="23">
        <v>155.96466100000001</v>
      </c>
      <c r="C9240" s="32">
        <f t="shared" si="144"/>
        <v>4.7250931289211318E-2</v>
      </c>
    </row>
    <row r="9241" spans="1:3" x14ac:dyDescent="0.6">
      <c r="A9241" s="24">
        <v>42950</v>
      </c>
      <c r="B9241" s="23">
        <v>154.40640300000001</v>
      </c>
      <c r="C9241" s="32">
        <f t="shared" si="144"/>
        <v>-9.9910966369490817E-3</v>
      </c>
    </row>
    <row r="9242" spans="1:3" x14ac:dyDescent="0.6">
      <c r="A9242" s="24">
        <v>42951</v>
      </c>
      <c r="B9242" s="23">
        <v>155.22026099999999</v>
      </c>
      <c r="C9242" s="32">
        <f t="shared" si="144"/>
        <v>5.2708824516816133E-3</v>
      </c>
    </row>
    <row r="9243" spans="1:3" x14ac:dyDescent="0.6">
      <c r="A9243" s="24">
        <v>42954</v>
      </c>
      <c r="B9243" s="23">
        <v>157.622162</v>
      </c>
      <c r="C9243" s="32">
        <f t="shared" si="144"/>
        <v>1.5474146123230614E-2</v>
      </c>
    </row>
    <row r="9244" spans="1:3" x14ac:dyDescent="0.6">
      <c r="A9244" s="24">
        <v>42955</v>
      </c>
      <c r="B9244" s="23">
        <v>158.88265999999999</v>
      </c>
      <c r="C9244" s="32">
        <f t="shared" si="144"/>
        <v>7.9969592093274144E-3</v>
      </c>
    </row>
    <row r="9245" spans="1:3" x14ac:dyDescent="0.6">
      <c r="A9245" s="24">
        <v>42956</v>
      </c>
      <c r="B9245" s="23">
        <v>159.85533100000001</v>
      </c>
      <c r="C9245" s="32">
        <f t="shared" si="144"/>
        <v>6.1219455917973509E-3</v>
      </c>
    </row>
    <row r="9246" spans="1:3" x14ac:dyDescent="0.6">
      <c r="A9246" s="24">
        <v>42957</v>
      </c>
      <c r="B9246" s="23">
        <v>154.76365699999999</v>
      </c>
      <c r="C9246" s="32">
        <f t="shared" si="144"/>
        <v>-3.1851762266220662E-2</v>
      </c>
    </row>
    <row r="9247" spans="1:3" x14ac:dyDescent="0.6">
      <c r="A9247" s="24">
        <v>42958</v>
      </c>
      <c r="B9247" s="23">
        <v>156.915909</v>
      </c>
      <c r="C9247" s="32">
        <f t="shared" si="144"/>
        <v>1.3906701623107809E-2</v>
      </c>
    </row>
    <row r="9248" spans="1:3" x14ac:dyDescent="0.6">
      <c r="A9248" s="24">
        <v>42961</v>
      </c>
      <c r="B9248" s="23">
        <v>159.27742000000001</v>
      </c>
      <c r="C9248" s="32">
        <f t="shared" si="144"/>
        <v>1.5049532039482338E-2</v>
      </c>
    </row>
    <row r="9249" spans="1:3" x14ac:dyDescent="0.6">
      <c r="A9249" s="24">
        <v>42962</v>
      </c>
      <c r="B9249" s="23">
        <v>161.02114900000001</v>
      </c>
      <c r="C9249" s="32">
        <f t="shared" si="144"/>
        <v>1.0947747646841588E-2</v>
      </c>
    </row>
    <row r="9250" spans="1:3" x14ac:dyDescent="0.6">
      <c r="A9250" s="24">
        <v>42963</v>
      </c>
      <c r="B9250" s="23">
        <v>160.37347399999999</v>
      </c>
      <c r="C9250" s="32">
        <f t="shared" si="144"/>
        <v>-4.0222977169291907E-3</v>
      </c>
    </row>
    <row r="9251" spans="1:3" x14ac:dyDescent="0.6">
      <c r="A9251" s="24">
        <v>42964</v>
      </c>
      <c r="B9251" s="23">
        <v>157.29454000000001</v>
      </c>
      <c r="C9251" s="32">
        <f t="shared" si="144"/>
        <v>-1.9198524065145439E-2</v>
      </c>
    </row>
    <row r="9252" spans="1:3" x14ac:dyDescent="0.6">
      <c r="A9252" s="24">
        <v>42965</v>
      </c>
      <c r="B9252" s="23">
        <v>156.93583699999999</v>
      </c>
      <c r="C9252" s="32">
        <f t="shared" si="144"/>
        <v>-2.2804542357288682E-3</v>
      </c>
    </row>
    <row r="9253" spans="1:3" x14ac:dyDescent="0.6">
      <c r="A9253" s="24">
        <v>42968</v>
      </c>
      <c r="B9253" s="23">
        <v>156.64688100000001</v>
      </c>
      <c r="C9253" s="32">
        <f t="shared" si="144"/>
        <v>-1.8412365558032606E-3</v>
      </c>
    </row>
    <row r="9254" spans="1:3" x14ac:dyDescent="0.6">
      <c r="A9254" s="24">
        <v>42969</v>
      </c>
      <c r="B9254" s="23">
        <v>159.207672</v>
      </c>
      <c r="C9254" s="32">
        <f t="shared" si="144"/>
        <v>1.6347539023135793E-2</v>
      </c>
    </row>
    <row r="9255" spans="1:3" x14ac:dyDescent="0.6">
      <c r="A9255" s="24">
        <v>42970</v>
      </c>
      <c r="B9255" s="23">
        <v>159.40695199999999</v>
      </c>
      <c r="C9255" s="32">
        <f t="shared" si="144"/>
        <v>1.2516984734252112E-3</v>
      </c>
    </row>
    <row r="9256" spans="1:3" x14ac:dyDescent="0.6">
      <c r="A9256" s="24">
        <v>42971</v>
      </c>
      <c r="B9256" s="23">
        <v>158.69949299999999</v>
      </c>
      <c r="C9256" s="32">
        <f t="shared" si="144"/>
        <v>-4.438068673441542E-3</v>
      </c>
    </row>
    <row r="9257" spans="1:3" x14ac:dyDescent="0.6">
      <c r="A9257" s="24">
        <v>42972</v>
      </c>
      <c r="B9257" s="23">
        <v>159.287384</v>
      </c>
      <c r="C9257" s="32">
        <f t="shared" si="144"/>
        <v>3.7044289738217273E-3</v>
      </c>
    </row>
    <row r="9258" spans="1:3" x14ac:dyDescent="0.6">
      <c r="A9258" s="24">
        <v>42975</v>
      </c>
      <c r="B9258" s="23">
        <v>160.891617</v>
      </c>
      <c r="C9258" s="32">
        <f t="shared" si="144"/>
        <v>1.0071312364574814E-2</v>
      </c>
    </row>
    <row r="9259" spans="1:3" x14ac:dyDescent="0.6">
      <c r="A9259" s="24">
        <v>42976</v>
      </c>
      <c r="B9259" s="23">
        <v>162.32646199999999</v>
      </c>
      <c r="C9259" s="32">
        <f t="shared" si="144"/>
        <v>8.9180842778153746E-3</v>
      </c>
    </row>
    <row r="9260" spans="1:3" x14ac:dyDescent="0.6">
      <c r="A9260" s="24">
        <v>42977</v>
      </c>
      <c r="B9260" s="23">
        <v>162.764893</v>
      </c>
      <c r="C9260" s="32">
        <f t="shared" si="144"/>
        <v>2.7009213075808169E-3</v>
      </c>
    </row>
    <row r="9261" spans="1:3" x14ac:dyDescent="0.6">
      <c r="A9261" s="24">
        <v>42978</v>
      </c>
      <c r="B9261" s="23">
        <v>163.41255200000001</v>
      </c>
      <c r="C9261" s="32">
        <f t="shared" si="144"/>
        <v>3.9791074602311127E-3</v>
      </c>
    </row>
    <row r="9262" spans="1:3" x14ac:dyDescent="0.6">
      <c r="A9262" s="24">
        <v>42979</v>
      </c>
      <c r="B9262" s="23">
        <v>163.46237199999999</v>
      </c>
      <c r="C9262" s="32">
        <f t="shared" si="144"/>
        <v>3.0487254124755836E-4</v>
      </c>
    </row>
    <row r="9263" spans="1:3" x14ac:dyDescent="0.6">
      <c r="A9263" s="24">
        <v>42983</v>
      </c>
      <c r="B9263" s="23">
        <v>161.49943500000001</v>
      </c>
      <c r="C9263" s="32">
        <f t="shared" si="144"/>
        <v>-1.2008494529860303E-2</v>
      </c>
    </row>
    <row r="9264" spans="1:3" x14ac:dyDescent="0.6">
      <c r="A9264" s="24">
        <v>42984</v>
      </c>
      <c r="B9264" s="23">
        <v>161.33004800000001</v>
      </c>
      <c r="C9264" s="32">
        <f t="shared" si="144"/>
        <v>-1.0488395826276919E-3</v>
      </c>
    </row>
    <row r="9265" spans="1:3" x14ac:dyDescent="0.6">
      <c r="A9265" s="24">
        <v>42985</v>
      </c>
      <c r="B9265" s="23">
        <v>160.68235799999999</v>
      </c>
      <c r="C9265" s="32">
        <f t="shared" si="144"/>
        <v>-4.0146891916874594E-3</v>
      </c>
    </row>
    <row r="9266" spans="1:3" x14ac:dyDescent="0.6">
      <c r="A9266" s="24">
        <v>42986</v>
      </c>
      <c r="B9266" s="23">
        <v>158.06179800000001</v>
      </c>
      <c r="C9266" s="32">
        <f t="shared" si="144"/>
        <v>-1.6308946623748155E-2</v>
      </c>
    </row>
    <row r="9267" spans="1:3" x14ac:dyDescent="0.6">
      <c r="A9267" s="24">
        <v>42989</v>
      </c>
      <c r="B9267" s="23">
        <v>160.92150899999999</v>
      </c>
      <c r="C9267" s="32">
        <f t="shared" si="144"/>
        <v>1.8092360305808741E-2</v>
      </c>
    </row>
    <row r="9268" spans="1:3" x14ac:dyDescent="0.6">
      <c r="A9268" s="24">
        <v>42990</v>
      </c>
      <c r="B9268" s="23">
        <v>160.28379799999999</v>
      </c>
      <c r="C9268" s="32">
        <f t="shared" si="144"/>
        <v>-3.9628698734113232E-3</v>
      </c>
    </row>
    <row r="9269" spans="1:3" x14ac:dyDescent="0.6">
      <c r="A9269" s="24">
        <v>42991</v>
      </c>
      <c r="B9269" s="23">
        <v>159.078125</v>
      </c>
      <c r="C9269" s="32">
        <f t="shared" si="144"/>
        <v>-7.5221139943288939E-3</v>
      </c>
    </row>
    <row r="9270" spans="1:3" x14ac:dyDescent="0.6">
      <c r="A9270" s="24">
        <v>42992</v>
      </c>
      <c r="B9270" s="23">
        <v>157.713043</v>
      </c>
      <c r="C9270" s="32">
        <f t="shared" si="144"/>
        <v>-8.5812049896867304E-3</v>
      </c>
    </row>
    <row r="9271" spans="1:3" x14ac:dyDescent="0.6">
      <c r="A9271" s="24">
        <v>42993</v>
      </c>
      <c r="B9271" s="23">
        <v>159.307312</v>
      </c>
      <c r="C9271" s="32">
        <f t="shared" si="144"/>
        <v>1.0108669325465947E-2</v>
      </c>
    </row>
    <row r="9272" spans="1:3" x14ac:dyDescent="0.6">
      <c r="A9272" s="24">
        <v>42996</v>
      </c>
      <c r="B9272" s="23">
        <v>158.10163900000001</v>
      </c>
      <c r="C9272" s="32">
        <f t="shared" si="144"/>
        <v>-7.5682213506934604E-3</v>
      </c>
    </row>
    <row r="9273" spans="1:3" x14ac:dyDescent="0.6">
      <c r="A9273" s="24">
        <v>42997</v>
      </c>
      <c r="B9273" s="23">
        <v>158.16142300000001</v>
      </c>
      <c r="C9273" s="32">
        <f t="shared" si="144"/>
        <v>3.7813649737050703E-4</v>
      </c>
    </row>
    <row r="9274" spans="1:3" x14ac:dyDescent="0.6">
      <c r="A9274" s="24">
        <v>42998</v>
      </c>
      <c r="B9274" s="23">
        <v>155.51097100000001</v>
      </c>
      <c r="C9274" s="32">
        <f t="shared" si="144"/>
        <v>-1.6757891714214046E-2</v>
      </c>
    </row>
    <row r="9275" spans="1:3" x14ac:dyDescent="0.6">
      <c r="A9275" s="24">
        <v>42999</v>
      </c>
      <c r="B9275" s="23">
        <v>152.84056100000001</v>
      </c>
      <c r="C9275" s="32">
        <f t="shared" si="144"/>
        <v>-1.7171843136391973E-2</v>
      </c>
    </row>
    <row r="9276" spans="1:3" x14ac:dyDescent="0.6">
      <c r="A9276" s="24">
        <v>43000</v>
      </c>
      <c r="B9276" s="23">
        <v>151.345932</v>
      </c>
      <c r="C9276" s="32">
        <f t="shared" si="144"/>
        <v>-9.7790075502274254E-3</v>
      </c>
    </row>
    <row r="9277" spans="1:3" x14ac:dyDescent="0.6">
      <c r="A9277" s="24">
        <v>43003</v>
      </c>
      <c r="B9277" s="23">
        <v>150.010727</v>
      </c>
      <c r="C9277" s="32">
        <f t="shared" si="144"/>
        <v>-8.8222060702629612E-3</v>
      </c>
    </row>
    <row r="9278" spans="1:3" x14ac:dyDescent="0.6">
      <c r="A9278" s="24">
        <v>43004</v>
      </c>
      <c r="B9278" s="23">
        <v>152.59144599999999</v>
      </c>
      <c r="C9278" s="32">
        <f t="shared" si="144"/>
        <v>1.7203563049194459E-2</v>
      </c>
    </row>
    <row r="9279" spans="1:3" x14ac:dyDescent="0.6">
      <c r="A9279" s="24">
        <v>43005</v>
      </c>
      <c r="B9279" s="23">
        <v>153.67755099999999</v>
      </c>
      <c r="C9279" s="32">
        <f t="shared" si="144"/>
        <v>7.1177318812485346E-3</v>
      </c>
    </row>
    <row r="9280" spans="1:3" x14ac:dyDescent="0.6">
      <c r="A9280" s="24">
        <v>43006</v>
      </c>
      <c r="B9280" s="23">
        <v>152.73095699999999</v>
      </c>
      <c r="C9280" s="32">
        <f t="shared" si="144"/>
        <v>-6.1596114321212925E-3</v>
      </c>
    </row>
    <row r="9281" spans="1:3" x14ac:dyDescent="0.6">
      <c r="A9281" s="24">
        <v>43007</v>
      </c>
      <c r="B9281" s="23">
        <v>153.56793200000001</v>
      </c>
      <c r="C9281" s="32">
        <f t="shared" si="144"/>
        <v>5.4800612556891171E-3</v>
      </c>
    </row>
    <row r="9282" spans="1:3" x14ac:dyDescent="0.6">
      <c r="A9282" s="24">
        <v>43010</v>
      </c>
      <c r="B9282" s="23">
        <v>153.25904800000001</v>
      </c>
      <c r="C9282" s="32">
        <f t="shared" si="144"/>
        <v>-2.0113834703459066E-3</v>
      </c>
    </row>
    <row r="9283" spans="1:3" x14ac:dyDescent="0.6">
      <c r="A9283" s="24">
        <v>43011</v>
      </c>
      <c r="B9283" s="23">
        <v>153.92665099999999</v>
      </c>
      <c r="C9283" s="32">
        <f t="shared" si="144"/>
        <v>4.3560429789435418E-3</v>
      </c>
    </row>
    <row r="9284" spans="1:3" x14ac:dyDescent="0.6">
      <c r="A9284" s="24">
        <v>43012</v>
      </c>
      <c r="B9284" s="23">
        <v>152.93023700000001</v>
      </c>
      <c r="C9284" s="32">
        <f t="shared" ref="C9284:C9320" si="145">B9284/B9283-1</f>
        <v>-6.4733039634571332E-3</v>
      </c>
    </row>
    <row r="9285" spans="1:3" x14ac:dyDescent="0.6">
      <c r="A9285" s="24">
        <v>43013</v>
      </c>
      <c r="B9285" s="23">
        <v>154.83338900000001</v>
      </c>
      <c r="C9285" s="32">
        <f t="shared" si="145"/>
        <v>1.2444576280882913E-2</v>
      </c>
    </row>
    <row r="9286" spans="1:3" x14ac:dyDescent="0.6">
      <c r="A9286" s="24">
        <v>43014</v>
      </c>
      <c r="B9286" s="23">
        <v>154.74371300000001</v>
      </c>
      <c r="C9286" s="32">
        <f t="shared" si="145"/>
        <v>-5.7917740210411406E-4</v>
      </c>
    </row>
    <row r="9287" spans="1:3" x14ac:dyDescent="0.6">
      <c r="A9287" s="24">
        <v>43017</v>
      </c>
      <c r="B9287" s="23">
        <v>155.28178399999999</v>
      </c>
      <c r="C9287" s="32">
        <f t="shared" si="145"/>
        <v>3.4771751922482164E-3</v>
      </c>
    </row>
    <row r="9288" spans="1:3" x14ac:dyDescent="0.6">
      <c r="A9288" s="24">
        <v>43018</v>
      </c>
      <c r="B9288" s="23">
        <v>155.341553</v>
      </c>
      <c r="C9288" s="32">
        <f t="shared" si="145"/>
        <v>3.8490670612079114E-4</v>
      </c>
    </row>
    <row r="9289" spans="1:3" x14ac:dyDescent="0.6">
      <c r="A9289" s="24">
        <v>43019</v>
      </c>
      <c r="B9289" s="23">
        <v>155.98924299999999</v>
      </c>
      <c r="C9289" s="32">
        <f t="shared" si="145"/>
        <v>4.1694574792874306E-3</v>
      </c>
    </row>
    <row r="9290" spans="1:3" x14ac:dyDescent="0.6">
      <c r="A9290" s="24">
        <v>43020</v>
      </c>
      <c r="B9290" s="23">
        <v>155.44120799999999</v>
      </c>
      <c r="C9290" s="32">
        <f t="shared" si="145"/>
        <v>-3.5132871309594416E-3</v>
      </c>
    </row>
    <row r="9291" spans="1:3" x14ac:dyDescent="0.6">
      <c r="A9291" s="24">
        <v>43021</v>
      </c>
      <c r="B9291" s="23">
        <v>156.427673</v>
      </c>
      <c r="C9291" s="32">
        <f t="shared" si="145"/>
        <v>6.3462257704534064E-3</v>
      </c>
    </row>
    <row r="9292" spans="1:3" x14ac:dyDescent="0.6">
      <c r="A9292" s="24">
        <v>43024</v>
      </c>
      <c r="B9292" s="23">
        <v>159.307312</v>
      </c>
      <c r="C9292" s="32">
        <f t="shared" si="145"/>
        <v>1.8408756870019971E-2</v>
      </c>
    </row>
    <row r="9293" spans="1:3" x14ac:dyDescent="0.6">
      <c r="A9293" s="24">
        <v>43025</v>
      </c>
      <c r="B9293" s="23">
        <v>159.89520300000001</v>
      </c>
      <c r="C9293" s="32">
        <f t="shared" si="145"/>
        <v>3.6902951447703725E-3</v>
      </c>
    </row>
    <row r="9294" spans="1:3" x14ac:dyDescent="0.6">
      <c r="A9294" s="24">
        <v>43026</v>
      </c>
      <c r="B9294" s="23">
        <v>159.18772899999999</v>
      </c>
      <c r="C9294" s="32">
        <f t="shared" si="145"/>
        <v>-4.424610536940321E-3</v>
      </c>
    </row>
    <row r="9295" spans="1:3" x14ac:dyDescent="0.6">
      <c r="A9295" s="24">
        <v>43027</v>
      </c>
      <c r="B9295" s="23">
        <v>155.42128</v>
      </c>
      <c r="C9295" s="32">
        <f t="shared" si="145"/>
        <v>-2.3660422971421347E-2</v>
      </c>
    </row>
    <row r="9296" spans="1:3" x14ac:dyDescent="0.6">
      <c r="A9296" s="24">
        <v>43028</v>
      </c>
      <c r="B9296" s="23">
        <v>155.69030799999999</v>
      </c>
      <c r="C9296" s="32">
        <f t="shared" si="145"/>
        <v>1.7309598788530778E-3</v>
      </c>
    </row>
    <row r="9297" spans="1:3" x14ac:dyDescent="0.6">
      <c r="A9297" s="24">
        <v>43031</v>
      </c>
      <c r="B9297" s="23">
        <v>155.61059599999999</v>
      </c>
      <c r="C9297" s="32">
        <f t="shared" si="145"/>
        <v>-5.1199076566799118E-4</v>
      </c>
    </row>
    <row r="9298" spans="1:3" x14ac:dyDescent="0.6">
      <c r="A9298" s="24">
        <v>43032</v>
      </c>
      <c r="B9298" s="23">
        <v>156.53727699999999</v>
      </c>
      <c r="C9298" s="32">
        <f t="shared" si="145"/>
        <v>5.9551278885918713E-3</v>
      </c>
    </row>
    <row r="9299" spans="1:3" x14ac:dyDescent="0.6">
      <c r="A9299" s="24">
        <v>43033</v>
      </c>
      <c r="B9299" s="23">
        <v>155.84974700000001</v>
      </c>
      <c r="C9299" s="32">
        <f t="shared" si="145"/>
        <v>-4.3921167735655464E-3</v>
      </c>
    </row>
    <row r="9300" spans="1:3" x14ac:dyDescent="0.6">
      <c r="A9300" s="24">
        <v>43034</v>
      </c>
      <c r="B9300" s="23">
        <v>156.846161</v>
      </c>
      <c r="C9300" s="32">
        <f t="shared" si="145"/>
        <v>6.3934271256789188E-3</v>
      </c>
    </row>
    <row r="9301" spans="1:3" x14ac:dyDescent="0.6">
      <c r="A9301" s="24">
        <v>43035</v>
      </c>
      <c r="B9301" s="23">
        <v>162.465958</v>
      </c>
      <c r="C9301" s="32">
        <f t="shared" si="145"/>
        <v>3.5829993951844274E-2</v>
      </c>
    </row>
    <row r="9302" spans="1:3" x14ac:dyDescent="0.6">
      <c r="A9302" s="24">
        <v>43038</v>
      </c>
      <c r="B9302" s="23">
        <v>166.122803</v>
      </c>
      <c r="C9302" s="32">
        <f t="shared" si="145"/>
        <v>2.2508376801003482E-2</v>
      </c>
    </row>
    <row r="9303" spans="1:3" x14ac:dyDescent="0.6">
      <c r="A9303" s="24">
        <v>43039</v>
      </c>
      <c r="B9303" s="23">
        <v>168.434494</v>
      </c>
      <c r="C9303" s="32">
        <f t="shared" si="145"/>
        <v>1.3915554988558565E-2</v>
      </c>
    </row>
    <row r="9304" spans="1:3" x14ac:dyDescent="0.6">
      <c r="A9304" s="24">
        <v>43040</v>
      </c>
      <c r="B9304" s="23">
        <v>166.29220599999999</v>
      </c>
      <c r="C9304" s="32">
        <f t="shared" si="145"/>
        <v>-1.2718819934828818E-2</v>
      </c>
    </row>
    <row r="9305" spans="1:3" x14ac:dyDescent="0.6">
      <c r="A9305" s="24">
        <v>43041</v>
      </c>
      <c r="B9305" s="23">
        <v>167.50782799999999</v>
      </c>
      <c r="C9305" s="32">
        <f t="shared" si="145"/>
        <v>7.3101561957751304E-3</v>
      </c>
    </row>
    <row r="9306" spans="1:3" x14ac:dyDescent="0.6">
      <c r="A9306" s="24">
        <v>43042</v>
      </c>
      <c r="B9306" s="23">
        <v>171.88211100000001</v>
      </c>
      <c r="C9306" s="32">
        <f t="shared" si="145"/>
        <v>2.6113901972390385E-2</v>
      </c>
    </row>
    <row r="9307" spans="1:3" x14ac:dyDescent="0.6">
      <c r="A9307" s="24">
        <v>43045</v>
      </c>
      <c r="B9307" s="23">
        <v>173.62583900000001</v>
      </c>
      <c r="C9307" s="32">
        <f t="shared" si="145"/>
        <v>1.0144906819302468E-2</v>
      </c>
    </row>
    <row r="9308" spans="1:3" x14ac:dyDescent="0.6">
      <c r="A9308" s="24">
        <v>43046</v>
      </c>
      <c r="B9308" s="23">
        <v>174.18382299999999</v>
      </c>
      <c r="C9308" s="32">
        <f t="shared" si="145"/>
        <v>3.2137152120541579E-3</v>
      </c>
    </row>
    <row r="9309" spans="1:3" x14ac:dyDescent="0.6">
      <c r="A9309" s="24">
        <v>43047</v>
      </c>
      <c r="B9309" s="23">
        <v>175.60871900000001</v>
      </c>
      <c r="C9309" s="32">
        <f t="shared" si="145"/>
        <v>8.1804152386759643E-3</v>
      </c>
    </row>
    <row r="9310" spans="1:3" x14ac:dyDescent="0.6">
      <c r="A9310" s="24">
        <v>43048</v>
      </c>
      <c r="B9310" s="23">
        <v>175.25</v>
      </c>
      <c r="C9310" s="32">
        <f t="shared" si="145"/>
        <v>-2.0427174803320236E-3</v>
      </c>
    </row>
    <row r="9311" spans="1:3" x14ac:dyDescent="0.6">
      <c r="A9311" s="24">
        <v>43049</v>
      </c>
      <c r="B9311" s="23">
        <v>174.66999799999999</v>
      </c>
      <c r="C9311" s="32">
        <f t="shared" si="145"/>
        <v>-3.3095691868759713E-3</v>
      </c>
    </row>
    <row r="9312" spans="1:3" x14ac:dyDescent="0.6">
      <c r="A9312" s="24">
        <v>43052</v>
      </c>
      <c r="B9312" s="23">
        <v>173.970001</v>
      </c>
      <c r="C9312" s="32">
        <f t="shared" si="145"/>
        <v>-4.0075399783310317E-3</v>
      </c>
    </row>
    <row r="9313" spans="1:3" x14ac:dyDescent="0.6">
      <c r="A9313" s="24">
        <v>43053</v>
      </c>
      <c r="B9313" s="23">
        <v>171.33999600000001</v>
      </c>
      <c r="C9313" s="32">
        <f t="shared" si="145"/>
        <v>-1.5117577656391323E-2</v>
      </c>
    </row>
    <row r="9314" spans="1:3" x14ac:dyDescent="0.6">
      <c r="A9314" s="24">
        <v>43054</v>
      </c>
      <c r="B9314" s="23">
        <v>169.08000200000001</v>
      </c>
      <c r="C9314" s="32">
        <f t="shared" si="145"/>
        <v>-1.3190113533094738E-2</v>
      </c>
    </row>
    <row r="9315" spans="1:3" x14ac:dyDescent="0.6">
      <c r="A9315" s="24">
        <v>43055</v>
      </c>
      <c r="B9315" s="23">
        <v>171.10000600000001</v>
      </c>
      <c r="C9315" s="32">
        <f t="shared" si="145"/>
        <v>1.1947030849928764E-2</v>
      </c>
    </row>
    <row r="9316" spans="1:3" x14ac:dyDescent="0.6">
      <c r="A9316" s="24">
        <v>43056</v>
      </c>
      <c r="B9316" s="23">
        <v>170.14999399999999</v>
      </c>
      <c r="C9316" s="32">
        <f t="shared" si="145"/>
        <v>-5.5523785311849538E-3</v>
      </c>
    </row>
    <row r="9317" spans="1:3" x14ac:dyDescent="0.6">
      <c r="A9317" s="24">
        <v>43059</v>
      </c>
      <c r="B9317" s="23">
        <v>169.979996</v>
      </c>
      <c r="C9317" s="32">
        <f t="shared" si="145"/>
        <v>-9.9910670581626615E-4</v>
      </c>
    </row>
    <row r="9318" spans="1:3" x14ac:dyDescent="0.6">
      <c r="A9318" s="24">
        <v>43060</v>
      </c>
      <c r="B9318" s="23">
        <v>173.13999899999999</v>
      </c>
      <c r="C9318" s="32">
        <f t="shared" si="145"/>
        <v>1.8590440489244298E-2</v>
      </c>
    </row>
    <row r="9319" spans="1:3" x14ac:dyDescent="0.6">
      <c r="A9319" s="24">
        <v>43061</v>
      </c>
      <c r="B9319" s="23">
        <v>174.96000699999999</v>
      </c>
      <c r="C9319" s="32">
        <f t="shared" si="145"/>
        <v>1.0511770882013272E-2</v>
      </c>
    </row>
    <row r="9320" spans="1:3" x14ac:dyDescent="0.6">
      <c r="A9320" s="24">
        <v>43063</v>
      </c>
      <c r="B9320" s="23">
        <v>174.970001</v>
      </c>
      <c r="C9320" s="32">
        <f t="shared" si="145"/>
        <v>5.7121625515188512E-5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AAPL Dec 29</vt:lpstr>
      <vt:lpstr>Black-Scholes Option Pricing</vt:lpstr>
      <vt:lpstr>Monte Carlo Option Pricing</vt:lpstr>
      <vt:lpstr>Sensitiviety Analysis</vt:lpstr>
      <vt:lpstr>AAPL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Howard</dc:creator>
  <cp:lastModifiedBy>Philip Howard</cp:lastModifiedBy>
  <dcterms:created xsi:type="dcterms:W3CDTF">2017-04-11T02:49:49Z</dcterms:created>
  <dcterms:modified xsi:type="dcterms:W3CDTF">2017-11-27T15:58:00Z</dcterms:modified>
</cp:coreProperties>
</file>