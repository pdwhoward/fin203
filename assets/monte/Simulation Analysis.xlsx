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625"/>
  <workbookPr codeName="ThisWorkbook" defaultThemeVersion="166925"/>
  <mc:AlternateContent xmlns:mc="http://schemas.openxmlformats.org/markup-compatibility/2006">
    <mc:Choice Requires="x15">
      <x15ac:absPath xmlns:x15ac="http://schemas.microsoft.com/office/spreadsheetml/2010/11/ac" url="C:\Users\Philip\Dropbox\Courses\Teaching\FIN 203\FIN 203 Fall 2017\"/>
    </mc:Choice>
  </mc:AlternateContent>
  <bookViews>
    <workbookView xWindow="0" yWindow="0" windowWidth="20016" windowHeight="9576" firstSheet="1" activeTab="3" xr2:uid="{00000000-000D-0000-FFFF-FFFF00000000}"/>
  </bookViews>
  <sheets>
    <sheet name="CB_DATA_" sheetId="23" state="veryHidden" r:id="rId1"/>
    <sheet name="Setup" sheetId="28" r:id="rId2"/>
    <sheet name="Question" sheetId="27" r:id="rId3"/>
    <sheet name="Solution" sheetId="22" r:id="rId4"/>
  </sheets>
  <definedNames>
    <definedName name="CB_017698edb536407db0d2e1dd0c338979" localSheetId="3" hidden="1">Solution!$F$3</definedName>
    <definedName name="CB_03b17766b3004cb7b688b3c941b70be2" localSheetId="3" hidden="1">Solution!$F$4</definedName>
    <definedName name="CB_0685a468c69249e7af5c89a5937e0359" localSheetId="3" hidden="1">Solution!$F$7</definedName>
    <definedName name="CB_1020b8eab12e4672b3b390a606d6d36f" localSheetId="3" hidden="1">Solution!$F$11</definedName>
    <definedName name="CB_37ed98fc89a74f9bae8fad27f7598264" localSheetId="3" hidden="1">Solution!$F$5</definedName>
    <definedName name="CB_42159b1ed1e541b69a3726b76ccf3a1c" localSheetId="3" hidden="1">Solution!$F$8</definedName>
    <definedName name="CB_5c88b42d2a334c5d8a44402401b986af" localSheetId="1" hidden="1">#N/A</definedName>
    <definedName name="CB_5c88b42d2a334c5d8a44402401b986af" localSheetId="3" hidden="1">#N/A</definedName>
    <definedName name="CB_6c052803727b4bda8b04888c328675b6" localSheetId="3" hidden="1">Solution!$F$6</definedName>
    <definedName name="CB_a0fb5a6c22214bc7aa649596c2b3ae2d" localSheetId="3" hidden="1">Solution!$F$9</definedName>
    <definedName name="CB_Block_00000000000000000000000000000000" localSheetId="0" hidden="1">"'7.0.0.0"</definedName>
    <definedName name="CB_Block_00000000000000000000000000000000" localSheetId="1" hidden="1">"'7.0.0.0"</definedName>
    <definedName name="CB_Block_00000000000000000000000000000000" localSheetId="3" hidden="1">"'7.0.0.0"</definedName>
    <definedName name="CB_Block_00000000000000000000000000000001" localSheetId="0" hidden="1">"'636478330486795546"</definedName>
    <definedName name="CB_Block_00000000000000000000000000000001" localSheetId="1" hidden="1">"'636478330486705319"</definedName>
    <definedName name="CB_Block_00000000000000000000000000000001" localSheetId="3" hidden="1">"'636478330486595017"</definedName>
    <definedName name="CB_Block_00000000000000000000000000000003" localSheetId="0" hidden="1">"'11.1.4512.0"</definedName>
    <definedName name="CB_Block_00000000000000000000000000000003" localSheetId="1" hidden="1">"'11.1.4512.0"</definedName>
    <definedName name="CB_Block_00000000000000000000000000000003" localSheetId="3" hidden="1">"'11.1.4512.0"</definedName>
    <definedName name="CB_BlockExt_00000000000000000000000000000003" localSheetId="0" hidden="1">"'11.1.2.4.600"</definedName>
    <definedName name="CB_BlockExt_00000000000000000000000000000003" localSheetId="1" hidden="1">"'11.1.2.4.600"</definedName>
    <definedName name="CB_BlockExt_00000000000000000000000000000003" localSheetId="3" hidden="1">"'11.1.2.4.600"</definedName>
    <definedName name="CB_c8449e87fcac410189f736e37455ed77" localSheetId="3" hidden="1">Solution!$H$12</definedName>
    <definedName name="CB_e167c7f251bd4f5c98cbd3e4dcc6dfe6" localSheetId="3" hidden="1">Solution!$F$10</definedName>
    <definedName name="CB_f4084f0baf224b858d3dd53377215c21" localSheetId="3" hidden="1">Solution!$F$12</definedName>
    <definedName name="CBCR_1249f07e216e4eab8afe45f3f4e8bcf3" localSheetId="3" hidden="1">Solution!$C$4</definedName>
    <definedName name="CBCR_34c39b5d5d9c4ea18b3b2ecd54f78257" localSheetId="3" hidden="1">Solution!$C$4</definedName>
    <definedName name="CBCR_592d1159cc5645a18c0cb3ca7f281ff8" localSheetId="3" hidden="1">Solution!$C$4</definedName>
    <definedName name="CBCR_61e57049c8874f66ae88cd4267ca88ff" localSheetId="3" hidden="1">Solution!$C$4</definedName>
    <definedName name="CBCR_6c415a8522704d79956c4258048369dd" localSheetId="3" hidden="1">Solution!$C$4</definedName>
    <definedName name="CBCR_8fbef17299794531a793eb5bf13f20e7" localSheetId="3" hidden="1">Solution!$C$4</definedName>
    <definedName name="CBCR_92efafe4b21f4ada94bc18a8c7a523bc" localSheetId="3" hidden="1">Solution!$C$4</definedName>
    <definedName name="CBCR_949b6fb01ca249028fc8d3cce1fd99ad" localSheetId="3" hidden="1">Solution!$C$4</definedName>
    <definedName name="CBCR_9ae6cb7f1cbe46b38e4df2cb4766a1e1" localSheetId="1" hidden="1">Setup!$E$3:$G$32</definedName>
    <definedName name="CBCR_9ae6cb7f1cbe46b38e4df2cb4766a1e1" localSheetId="3" hidden="1">Solution!$E$3:$G$32</definedName>
    <definedName name="CBCR_9b49fc63463d4d988aa7ac6debc5dae2" localSheetId="3" hidden="1">Solution!$C$4</definedName>
    <definedName name="CBCR_a3a779809e82425b92b92a04ebfaf5cc" localSheetId="3" hidden="1">Solution!$C$10</definedName>
    <definedName name="CBCR_d98abbb8a10848f4ae07c30b0dcee4b0" localSheetId="3" hidden="1">Solution!$C$4</definedName>
    <definedName name="CBWorkbookPriority" localSheetId="0" hidden="1">-543170919</definedName>
    <definedName name="CBx_0b7114782f20436facd3e092662c9760" localSheetId="0" hidden="1">"'Setup'!$A$1"</definedName>
    <definedName name="CBx_b589f4d9718647b698946d7c6529c355" localSheetId="0" hidden="1">"'CB_DATA_'!$A$1"</definedName>
    <definedName name="CBx_e4e7af8d6874461ca0e1598963bca922" localSheetId="0" hidden="1">"'Solution'!$A$1"</definedName>
    <definedName name="CBx_f16dd8d6c56247c095a9dc97a4935ca9" localSheetId="0" hidden="1">"'Excel Simulation Model'!$A$1"</definedName>
    <definedName name="CBx_Sheet_Guid" localSheetId="0" hidden="1">"'b589f4d9-7186-47b6-9894-6d7c6529c355"</definedName>
    <definedName name="CBx_Sheet_Guid" localSheetId="1" hidden="1">"'0b711478-2f20-436f-acd3-e092662c9760"</definedName>
    <definedName name="CBx_Sheet_Guid" localSheetId="3" hidden="1">"'e4e7af8d-6874-461c-a0e1-598963bca922"</definedName>
    <definedName name="CBx_SheetRef" localSheetId="0" hidden="1">CB_DATA_!$A$14</definedName>
    <definedName name="CBx_SheetRef" localSheetId="1" hidden="1">CB_DATA_!$C$14</definedName>
    <definedName name="CBx_SheetRef" localSheetId="3" hidden="1">CB_DATA_!$B$14</definedName>
    <definedName name="CBx_StorageType" localSheetId="0" hidden="1">2</definedName>
    <definedName name="CBx_StorageType" localSheetId="1" hidden="1">2</definedName>
    <definedName name="CBx_StorageType" localSheetId="3" hidden="1">2</definedName>
    <definedName name="solver_corr" hidden="1">1</definedName>
    <definedName name="solver_ctp1" hidden="1">0</definedName>
    <definedName name="solver_ctp2" hidden="1">0</definedName>
    <definedName name="solver_disp" hidden="1">0</definedName>
    <definedName name="solver_eval" hidden="1">0</definedName>
    <definedName name="solver_lcens" hidden="1">-1E+30</definedName>
    <definedName name="solver_lcut" hidden="1">-1E+30</definedName>
    <definedName name="solver_nsim" hidden="1">1</definedName>
    <definedName name="solver_nssim" hidden="1">-1</definedName>
    <definedName name="solver_ntri" hidden="1">1000</definedName>
    <definedName name="solver_rgen" hidden="1">3</definedName>
    <definedName name="solver_rsmp" hidden="1">1</definedName>
    <definedName name="solver_sclt" hidden="1">100</definedName>
    <definedName name="solver_seed" hidden="1">0</definedName>
    <definedName name="solver_strm" hidden="1">0</definedName>
    <definedName name="solver_ucens" hidden="1">1E+30</definedName>
    <definedName name="solver_ucut" hidden="1">1E+30</definedName>
    <definedName name="solveri_CClick" hidden="1">"System.Boolean:False"</definedName>
    <definedName name="solveri_CPop" hidden="1">"System.Boolean:False"</definedName>
    <definedName name="solveri_CTyp" hidden="1">"RiskSolver.Globals.ChartType:Bar"</definedName>
    <definedName name="solvero_CClick" hidden="1">"System.Boolean:True"</definedName>
    <definedName name="solvero_ChGlobalShow" hidden="1">"System.Boolean:False"</definedName>
    <definedName name="solvero_CPop" hidden="1">"System.Boolean:False"</definedName>
    <definedName name="solvero_CTyp" hidden="1">"RiskSolver.Globals.ChartType:Bar"</definedName>
  </definedNames>
  <calcPr calcId="171027" concurrentCalc="0" concurrentManualCount="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1" i="23" l="1"/>
  <c r="G3" i="22"/>
  <c r="G4" i="22"/>
  <c r="G5" i="22"/>
  <c r="G6" i="22"/>
  <c r="G7" i="22"/>
  <c r="G8" i="22"/>
  <c r="G9" i="22"/>
  <c r="G10" i="22"/>
  <c r="G11" i="22"/>
  <c r="G12" i="22"/>
  <c r="H12" i="22"/>
  <c r="C5" i="28"/>
  <c r="C5" i="22"/>
  <c r="G2" i="22"/>
  <c r="C11" i="22"/>
  <c r="B11" i="23"/>
  <c r="A11" i="23"/>
</calcChain>
</file>

<file path=xl/sharedStrings.xml><?xml version="1.0" encoding="utf-8"?>
<sst xmlns="http://schemas.openxmlformats.org/spreadsheetml/2006/main" count="68" uniqueCount="47">
  <si>
    <t>u</t>
  </si>
  <si>
    <t>d</t>
  </si>
  <si>
    <t>Pu</t>
  </si>
  <si>
    <t>Pd</t>
  </si>
  <si>
    <t>Growth rate up</t>
  </si>
  <si>
    <t>Growth rate down</t>
  </si>
  <si>
    <t>Probability of up</t>
  </si>
  <si>
    <t>Probability of down</t>
  </si>
  <si>
    <t>S0</t>
  </si>
  <si>
    <t>C0</t>
  </si>
  <si>
    <t>rf</t>
  </si>
  <si>
    <t>Stock price today</t>
  </si>
  <si>
    <t>Expected Payoff</t>
  </si>
  <si>
    <t>Stock</t>
  </si>
  <si>
    <t>Call</t>
  </si>
  <si>
    <t>t</t>
  </si>
  <si>
    <t>Simulation</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</si>
  <si>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</si>
  <si>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</si>
  <si>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</si>
  <si>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</si>
  <si>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</si>
  <si>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</si>
  <si>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</si>
  <si>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</si>
  <si>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</si>
  <si>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</si>
  <si>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</si>
  <si>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</si>
  <si>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b589f4d9-7186-47b6-9894-6d7c6529c355</t>
  </si>
  <si>
    <t>CB_Block_0</t>
  </si>
  <si>
    <t>㜸〱敤㕣㕢㙣ㅣ㔷ㄹ摥㌳摥㕤敦慣敤搸㡤搳㑢㑡㘹つ愵㤴搶挱㡤搳㠶㔲㈰〴㕦㥡㑢㜱㘲㌷㜶㔲慡㠲㌶攳摤㌳昱㌴㍢㌳敥捣慣ㄳ㤷㑡慤愰愵㈰㈸㐸摣㐴愱摣㉡㠴挴ぢ㤷ㄷ敥㉦〸㈴㄰㙡〵ㄲ昰㠰挴㐳愹㉡㜸攰愲㐸扣昰㠰〴摦㜷㘶㘶㜷㘶搷㍢㜶户㉤戸挸㈷摤摦㘷捥㙤捥㌹晦昵晣晦㤹收㐴㉥㤷晢㌷ㄲ晦㌲攵㤹戹㘶㜱摤て愴㍤㌱攳搶敢戲ㅡ㔸慥攳㑦㑣㜹㥥戱㍥㘷昹㐱ㅦㅡㄴ㉢ㄶ敡晤㐲挵户ㅥ㤴愵捡㥡昴㝣㌴㉡攴㜲愵㤲慥愱㥥㠳昰㌷ㄲ㍦攸散㌵㤸〷㔸㥡㤹㥥㕦扥ㅦ愳㉥〶慥㈷昷㡤㥤〹晢ㅥ㥡㥣㥣㤸㥣戸敤攰攴㠱㠹晤晢挶㘶ㅡ昵愰攱挹㐳㡥㙣〴㥥㔱摦㌷戶搰㔸慥㕢搵㜷换昵㈵昷扣㜴づ挹攵晤户㉥ㅢ户扤㜵昲戶㠳〷捤㍢敥㜸敢㈰㕥㥤㍢㌹㌳扤攰㐹搳㝦㤹挶㉣㜰捡户捤捡慡挵戵㐹改㔹捥戹㠹㤹㘹晣㤷㤸㍦㥥㙥㥦㔸㕣㤱㌲攰慢愵㈷㥤慡昴㜵㜴ㅣ戰愷㝣扦㘱慦㜲昳㜴晢〸㤶㕡㌵晣愰㘰捦挸㝡㕤户攳㔱㑢昶㍣昶慥㙥慣て摡㡢搲昱慤挰㕡戳㠲昵愲扤㠴㠱㙡㐳昶㘹㕦㥥㌲㥣㜳昲愴㘱换㠲㝤戴㘱搵昲㘱捡昵摤ㄸて㤱㥣㤸㕡晥挴㤴㙦捦慣ㄸ㥥㥡㤱捦㡤挹㘸㝢挴慢愶摢㕥摦㝤㕣㑥㕤扤㠱㘳摥搰扤ㅤ㙡捥ㄸ㕥戳攵㜸昷㤶搱攲搳㌳戸愵㝢晢挴ㅥ愵晢摣搴扤㡦摡捡㜴㙢㌱㄰搱户摡㔱㉣㐶㉦ㄲ昴ㄳ㤴〸㠸㐰扤㑣㌰㐰㌰〸㈰昲晦〰㤷㈴㍢戲㑡慢ㄸ㕡㘵㔹慢㔴戵㑡㑤慢㐸慤㘲㙡㤵㜳㕡㘵㐵慢㔸㕡攵㝥慤㜲ㅥ㙤攲㔴敡敦搷愲昴搳慦慥㕦昸昸摡ぢ戳摦昸搱摦㝥昳慢㌳㜷摣㌰戸ぢ㡤敥㡥㈶㌵敢ㄹㄷ㐰㙡㉤㉡〶㐷昰摦收㕣〱愶㌰て㥡户㥢㤳㤳戵㠳晢㡤㕢㡤〲㤷㤵㠱晣ㄴ愱㡣愰敤愰㜹㡦攵搴摣ぢち㜷搷㑣ㅢ扥㙣㙤摣㜸㔴㌷敤㌶㥣㥡晦㥡㡤㉢ㄷ〳㈳㤰㔷户搷戵〶改攸戶〸戶㤲扥㝡摦戵敤摤捥ㄸ昵㠶㥣扡㘸㠵搵慦㙤慢戶ㄷ㍣㜷戹㝢敤ㄱ㑦㍥搰慣敤㤸搱ㄴ㠴摡㥡ㅡ扢㘳㤵㘱㔵㌸慦戱㤹ㄵ搷㤷㡥㥡摥戸扤㘰㔵捦㑢㙦㔱㔲㈴捡㥡㕡敡攵慣㡡戸㝥㝣摥挱㐲挱慤戵搷㈷㑢捤㍢㉦〶㘰㘶㔹挳㝣㔷愵ㄷ慣㉦ㄹ换㜵㜹㐵慡㐹昸㑥㔴散㑤ㄵㅦ㜱慢つ㝦挶㜵〲捦慤愷㙢愶㙡㙢〶㈴㑤敤㠴㕢㤳昹㝣㑥〹〵〸摣扥㍥㈱㜲㌷㜷攷〵㠵㠸〴㡡挹挸㔷愵挹㙥攲ㄴ㔶㠷㔵搴㈵㘹㔲㝢挳㈶㠳㜱扥㑡挶㘴㜰㘰㘲㑤搴ㅦ㝣改㥢㌶ㄹ戶㠹戹㔷戶戱愶㡤㐶慢扦㜳㑤㍡挱㌱挳愹搵愵㤷愹晤〴㘷愴て〳ㄴ㉥㐱㈰㜴摤㍤慡㍡㜱㔱慣ㄷ㉥㔸戵㘰愵戸㈲慤㜳㉢〱捡愰㈱㑢㈵㙥㙤㐷搲㉦㐳㤱扥㥢㘰ㄴ愰㕣捥ㄵ昷戰㔱戱㡣㤴㉢㔰㍡㘵昰㜲㑡㤰戳㕦㡡㤷〷捤㈳㔶㍤㤰愱㔰ㅥ㌶㠱㤱㔰慢㈹昴つ㤱㐴㍤愳ㅡ㉡㡣㍤收っ愸搴戰㥣㘰扤挵户ㅤ㕣ㄲㄲ搱㡥㉣搸㜶戲㠰愲㈰㉤て㌲㜸つ㐴搳㈶つ戲ㅢ㈷㠸㠸㙣㤰愱搹㌱㜲㥡挸搸㍥㐳㐶愰㝤㤲〸搹㝡㝦㜷ㄹ㐱㘲敦㈴㔲㜶敡捡㡦㍢搲㙣㈳㕢㍥㤴㘶㤷㘳攳昴㉢〸慥㈴戸㡡㘰㉦㠰昸ㄳ㈴ㅣ愵ㅣ昲改愴扦〶捦晡㌵〴慦〵㠰㝣搲㈹㜳㈲㔱㐵ㅢ㙡㉢㜶㈴摢つ挱㑥㔶㐶㜱㈸㡡㘸ㄹ㌷敤捣㈱㕢㈱㍡戲㍡户㠷慥捤㉢ㅤ晢挶敥戴㤹㕣づ㈹㌲愳㘹㜲慤㥢㌴㑤㙥〴㥢昶愸户慥㐳㔷㝤㡣攰㜵〰㘵晤昵㠴㔰㉥㌴㜸户㘶搱搳愴㝣㔵㤸㐵愱㌱搴愳㠲㡦〸㤹㐷㠰っ㈱搷㜱㝣搹戱愱㘹づ㡥㥢慦㝡ㅢ㝡㕦㜷晥㡥㤰摥愶㌷㜷昴づ晤㐵㉦搲㡡扥ㅥ散㈵晥搰㔵挷摣㠰㙡晤㡤〴㌷〲戴改ㄸ㥥扥㕦慣愷㐰㤹挵㜶〲㜳扢改㜵㔱㔶敥搲晡慡㔴ㅡ㘸搰㕣㌲扣㜳㌲㠰〷攳昸㉣㙣㘱搷昳㘴ㅤ㠷摡㥡㉡攰昹攵捡㜴愱㝦挴㜳㙤㤶敦搸挸晥慢㐲㌱攴昳㕡㕦慥捤㐶捥戰㌵ㄳ㍥愷〴攵㔰〷摦摡㕤㐸㈴㍡愵挹㡢晤戲捦㤷㍢㤲愴〷㐹㜲ㄳ戶㔵扦ㄹ〰㔲㐲晣慥慢㐴搹挷㘶㙦㔶捤搲ㄶ㉢㍤㝣ㄹ愷㤳㌶ㅦ㘲㠷ㅣㄹ〸ㅤ戶搳昰ㅦ昸㐳昶愲㘵㌷㠵挵㠰扤㈰扤㉡㝣ぢ㔶㕤㤶㐳户㉣㐵捤㡥慣㜸㤵挸㡡扥扥㡥昳㜴㠶㝦㑤搱㐹㥢㤴挸攴昶捣捡㡣戳㜸㡢愸攸㠶愴㔰挹㜰つ㌵㈵㄰㈹㡦㙤㜷㐴㑣て㈲收ㄶ㙣㥣扥㥦㘰㤲攰〰㐰攱㔹㐸㥡慤㙥㍣挳㘱晤㙢㜴㘹㔷㉡戹ㄲ搱愰㕣㠴捦㜴ㄵ㔶〷昹㥡户㄰摣づ搰㘶晥搰〱㤹㐱㠸ち攵〹㐲㔴㘱っ昳㡣㈵㉦㤰〶㜶㤹〸㉣捤㌴晣挰戵ㄹ㔹ㅡ㌲㘷摤㤳㙥㌰㙢昹慢㠸㐴㡤㥡㔱收㥥ㄵ改㠰扡㍣搸㍥㙤㘵敥敡慡慣改收愲摢㠰㘸㍢㍥扢ㅤづ收搸づ搸㤲敡㙣慥〹愴摥捥挷ㄸ㐲㘰愷㤵扦㤵摥搸㉤㜹扦㜹攸ㅢ㙥敤攸㤲ㄵ搴攵㠰ㄹ㌲ㅤ昳㈵ㄳ扢㠸挸㐱慤摦㕣㕡昱愴㥣ㅤ㌲㡦㝡㔶慤㙥㌹㤲挸㠰㡤挹㘰摤㥣㍣㠷㈸挱㠲换ㄸ愰敢っ㤹㑢㥥攱昸慢〶〳㡡敢扢㔳㑦㉡㉣㔲㌰愷㉤挷挷㙢ㄴㄶ㤹ㅦ㌶ㄷ㔷摣ぢ㠸搸㌶㙣攷愸戱敡㙦ぢ慣㤰攸挳愴㔰㈳㌴愱㘹愲愴㤵㝡挵てて攴戹ㅣ㜹㉦㑦愰㜰㤵㉢搰㘷㥥愱扤㘹搷㐷㌱ㅡ摡改㥣搳㈰愲㐷捤挲扥㑣㈹㑣㑥搵敦㘰㥦户〱摣㜵昴昴昱㔶㘴敥㈵挵慣ぢ昴昲㘷挸㜸㐵ㄶ捤㐰〸㝤㜴扢㐲㔲㘱ㄹ㈹〷ㅣ〸㡣昳愹㥤晣捡愶㙡㐳敡摢搵捡ㅥ㐱㈴㘹搰㥣㌳㤶㘵ㅤ昱㘸摢〸㜶㠵て㌴㘳㙤愳敥㐷㜵㌳慥㙤ㅢ㈴㉤㤲攵㘲搵㈰〵㑦㌵〲昷㠴攵攸㈶㠰愲扦愸挸戸㠸㈲攳愲㉡ㅡ㌴㑦㌱㌴愸昲ㅣ换㍤㘷㜸㔶戰㘲㕢搵ㄲㅦㄸ扥摢ㄶ㌴〹㈶愷攴㡤㔳㉣㌳挶摡慣昹搳㌰搹晣〹愰㝢〲㜲㤴㕢㐷昴㠳㜲㌵㔱挴㍦搱愳㘳〹〲㐶㜹㑡昵㜷㘰戴㠲扡ㅤ〱㤱愳搲愵昸づ挶愵㠷㔱ㄲち㈱㘲㍤㠳㐴攰ㄵ㑣〸㜹扡戸㡢收㘹挷ち㠰㍤㘲散㠸ㄵ捣晡㐰㌹〰戲敡㜸㝢戵挲㙡愲搳㜸㔳㉢㕣搷㔹㤵㔲ㄳ搷㜶搶㈷昵挶ㅢ㌶愸づ㌵㑡㐲㤱㙣搶㐸㘹㤶つ收戸㥤㔴㡤㔰㡡㍢搶㌶㈲换㙤摡摡㜷㑡㤱㤷愰㤸ㄴ捤攴昴㜷㉡㐲㐱愰㌷搲㔱昴搹㘷㤳㐷㈲㘲㐳ㅢ愰㑣㍤ㄵ㤶つ㐵㈱挱攳戸㜶㔲㤳攵攸〹晣扤㉢捡捥㌷㠲㔴㡤㜱㜱㌴慡㤹慡搷攷ㅤ㔸〹㔵挳慢㙤ㄳ㤶挶摡㐲つ愳戸戳㔷敤ㅦ㙥㙦㠲ㄱ㈳㌶㘴㔸㈴挳てっ㌶〴㜳㈵㈲慡戴捥㠶戸搵捤攲ㄲ㥦㑥㐸挳㔱ㄸ㔸っ㙡戳㜲㑤㤹㘱㉤㑢㝥㔴㜵㘸㥥ㄶ㤵ㅣ搵捤愹㘵ㅦ㉡㍤愰ㅣ㡦㜲㡡挱㜵昳ㄴ摤㔲戸挴〰戱ㅢ攵ㄶ慡〱㐲扢捤〱㜸㌲搸㍥搸挱㡥㠴愱ㄳ㕡㘷㤴愰挵っ挲㑤㉦㠲扣搳㈳㐶㈱㐸㑤㤵晥㝥㔸㝣晥㐹愶㙦ㅣ捥挵㤹㠸㠹ㄸ敥捡戰ㅥ㠰摣㘴㘴㤲㕣㌴ㅡ〷捣㐳挹愶㠴搶㘰㕣㐶ㄳ㘳㠸㈶㥦ㄷ攰ㄶて㘳㔹挳㘴㥢㍡敥戹〵ㄶ戴㘹㝤㝤㤷㜹摣愹搶ㅢ㌵愹㔴㜱㉣慢㤵㐶摥ㄶ昸㔲㔷〰㐳㙥捡搸㤷㘸㔳㡥攳㈸挵㈵ㄳ㐹扤摢摤晡㘱㜴㔷㐲づ㘳㠴慡㡦〱挸っ户㥣ち㠸㜵摣㔳愰㝤戸扢㜵㠱㐱㕤㥥㠳㐸敢㈸愲㉣㥢挳㝤扣㘶ㄴ㔹㜱㕢愲搹㥣㍢攷搲㘶㑦ㄴㅤ戳挲愲㙤㠱㈳慣㌳ㄴ㜸挵㈲㡣㤱ㅥ戹㠳㠳攴㉥㐵搱摤㑢て慢挷摣㈵愰㐲㘱㐰㌰挶换㔳㔰づ扢ち㐶愲挱慤戵慣㙥挱攸㉦㉤㙦㝤ち㐰㌰っ㑣㠳ㄶ㉤㐳〳㘷〶昹捤つ㥣敢搰㉡㈳㐲㥡っ愶㌲㐶㌹ち㠷㍤㤰〶㙥攲㐱㝡挹㠵ㄲち昶愸㡢㘱昱摤挴㜱ㅢ㐷㈰搷扢愲慤㜰挱〸㜰晤挵搹摢㔶㍣㔵慢搱摣㠵㝦㙥㕢㘰ㄵ㔷㌷㐲㜳㜴㑦摢愵㉣戵㈶摡㜷搷户㔵㐴㤷〵て捣㑥ㅣ㌳㠲敡捡㘲戰ㅥ㕥摣敡㤵㈴ち㍦㠶㍦㘲挳户搳㘶捥㍢扣㠸扡挶扤㉦㥦㜷摣ぢ㡥㥡㔷挱攷慤㍦㔰〸慥㔰昶㜳㤲攵摣扦昱㑦㈵㉤㔷昸ㄱ㐶摣捡戴㌹㐰换㐱挲㜱㔴ち愵挱ㄸ昲ㄹ㜴〲摢扤㜹㙢㠰㜴戲愷㡤㑥㤴㈰搸㈱ㄴ攷摣换㐶㈸攲㠷㐰㉢㠹㈵㍣㤲㘳捦扦づ搶ㄷ㍦㐰〹ㄱ㡥攷㐸㡣ㄴ㕥㠷㕣〶敡㤴㈰㡦慥㜸昰㐲挸晦て㤶㘲㙥摥㤰㥤晥ぢ捣㉣扥摦㡥愲㙢㠹愲敦㜵愰㐸昰ㅡ㠸攲摦扢㤰㠹㔳㠱攱搹ㄷㄵ〸攷㥡㜶づ愰慦昸㠵摦晦攱〱㜴㉥㈲づ㘵愳㈱搴㜶〳㥥㥢㈶㐲㕦㠷㠹挰攰扤㌲ㄱ㑥㈰㈳ㄸ挵て㑤㠴挸〷㌲㡦㠲捤㑤〴挶昶㌲っ挱㐴愸㌵攱搶攰〹散ち㥢晥戱㘳戸㜸㉢㝤挴昳愱戴晣ㄹ㜸愴慥散㉣㕥㌰㍣挳摥慢捡㡦㝡ㄲ捡捣㕢挲㑤㙥搵㠵㍤慥摥戰㐶㜵摡挰㔷ㄱ㝢搹㜷晣㈹㕢扢扦づ㑣㠵㈹㜴摦㡢㤲㈸扥〴㑦㠹攰戹㈱昷晥㍤摦㍣晡挷〷ㅦ㍤捣摢㙡ㄱ慤ㄶ㙥㐶扥㤷㤰㍤敤〹〴㜵ㄳㄷ㐵㉥攷㠷㌹㈷昰㠹㤲戵㕡㤷搳㠶愷慣㈰㕦户攳㙣㐸㜸〹挲っ㠹㙦㍢㤸㤸戸昷㄰㥡㤸ㄳ㙤敥㑥昵㘱㤳㜲ㄱ㑥㈴㈶慥㝣㝡㜱搸㔰㜴㔵㘴㍤㕡㥢㠵㙦㐳ㄵ扤挸㠹愴慤㐴㥥㍡㤹㠴昸㔶扢慥㍢㐸㕤ㄷㅥ㘴ㄸ昶㡦愵ㄴ攲て愴㤰攴㐱㠶ㄷ〲㤴㤴㍡㠵㑣攱ㄶ㠰㡣挸㕡㝢㠸㤷晥㠰ㅤ㈱㈰㥢㤷晥㝡晣㠸〵扢〸㉣挶扥昸㕥㑦戴戴㐵㘳搵挴㔰慤戲㘹ㄶ㤱㔱㠷ㄷㄶ㑣挶愵㈹㑢攷〰㑡户散㡥攲㑢㠶散㌰昰ㄶ㌲㜶挱愶慦慤㙣摦改㌴㜰昳〳㝡愶愸ㄴ㠶戳㥢挵㌸㤰慡ㄸ㕤搸戴ㅣㄶㄱづ㠷搹㘶愷㠱愸ち㍡换搹㡢㔳㈹㠲㝦晣㔲㠸昵攳慤愱㉦㙦慦愱㡥㜳晡戱㐰晥㘰㝦㕤㥢挱搸㜸㉢㌹〶ㄲ㜶㑢慤㑡攱昵昰搳攸挲㐵攷㠴摥捡慡㘷㜱㄰㝦㘲捥敡搳㍡昴㍦愳搷㡡戳捥戰㌷挳搸㈹晤晦ㅥㄴ㙣慡晦〵㘳㙦ち㤱昷㐶ㄹ㍥ㄴㄸ㍦搹㌴㘴挳ㅤ㠱㘷ㅢ挱ㅢ㜵㌰搶㔵㤶㈱敦㌰户㠸㡦㔷挳㙡㈵挱攱昷捡户㕦㡤㘸昶愵㙤㍢搰㔵〰㌲㌶㔴昸㍡㐴㔰搷晥㘹戹ㄵ㥦㙥㡢昷愱攳㥥ㄳ㔶搵㜳㝤搷っ挶ㄶㄱ昴ㅤ攳户㘷㈶㙣㥥㈹昱戵㜶愱㜶㍤㜶㘲昰㝤攸㜳㜲ㅥ〲晢愴っ㕥慥㔸㈴㈳ぢ㕢㡢㘴昰㍢愴㤱㐴㜸㠹摡挱扦捣扣扢㘱搴昱改敡㍣㝣㥤〱㡢戶㠵戲ぢ㍤捥敤㌷㌴戸㜵戸愳昵㙥昸㠳㘴㝤〲挱㌱戵㠴晢摥挷㝤㙤摦㠳㜴摢㘸㙤㍥㕢昶收㜳㉢ㄷ㥥〶㑥户昶㤶㌴挹昰㥤晣㈲戹慣㔷〸㜱㘹晦㌰晥㙥摤㐱换搱㐶㐱攷搱〷摤㜴㠴㡤搷攱㍥摢㐲昴晢㉣扡㡡㈹〲晣㜴㈳捡昰㐱搰换㐷㔶ㄴ㕦挲戲挸〰挸攷㡡㔵㠰敥㔴晤搴㐶㔴㍤ㄲぢ㘴挱㌳〶挹戱㉣扥㠰㠶摣慥㜰搹㘰〹㉥㕢愸戳〴昲㝡摣〳昹㥣攰㔹㐲㑤攴㜳攸搰㥣㠸㠵搲敥ㄳ昹散㐶ㄳㄱ戴〲搴㐲㤳攳㡦挴㕡㐴慦愳㕡户〹ㅣ〲ㄷ㘰㤸㘲㤱戲愶ㄸ㠶ㄶ㝥㐰捣㈰晤㍡晡晢摣攱㘷㥦㘱晡敢㘱愱〴㈱慡搲㤳愷㈰㔴㤳晦㐴㜲昲ㅥ㑡扢㑦晥㠹㡤㈶㍦㐲ㄹ挹㤹攸〱挰㔰㥦愸攰㡦㕡㑣〳ㄹ敥㈳㝦攲㉣〱㝥愹㔹㡣ㄸ㈸㔱㝤㉦㈰㠳扥摣㜰搵敡㈲㌲㜱摦〲搷㥦昱㜱㡦戲㡦㜸ㄱ㤲扥㥣㘲攸㡣㉤㠶㕡戱㘴㐷㕥搸㙤㈱ㅢ戰㈴㝥㉤摢㔵愴ㄷ㝢㡣昰㡢挷㘳挴ㅣ㍢ㄶ㝦㌹愵㐵㌱㈷㄰㐶㘸㤱㤲㝥戸㤱攲㐳㜱攳敦㝣户攵㌲㐵〵ㄲ愸㈷㙣㑣㍡㔳㡤ㅦ㡢ㅢㅦ挰㔷㔹慡㑤㡥㌷〸㤸㥥㡢ㅢ㤳ㅥ㔵攳㐷攳挶㝦㌹戰户搹㌸愶挳㜰攴〲㠹㈴挳搶㔵搶㝦攲ぢ敤㘱㌴㉦㤸搴㥦〳㘶㔸㑣挹愹㐲挷㜵愵㐱〷㜱ㄹ挴挳㌷搲㜳戸摢㠴㉢㈰㄰戲攱晦㉡攱㌸敥㍣捤ㅡ㠱㠱㑦愰搷㄰㙣昶㜴昵挴捥㐵㜳摥㐳㐱扦㜹摣挷㤹慡戶慤㐸〴收㐰㍥摣摦㑤㥣昲ㄹ愶㘳㙢㍦攲㈰㤹挶㍢㈴扤㈹てㄵ㔸挹㡢て挴㤸捤㍤搲愲ㄹ晤㘱㈰〷搲ㄱ㤰ㄹ晤ㄱ挰㌰㄰挳摢捡戹ㄱ昲扦㘲敥て戰攲㠳〴㡦〲㤴〵㤹㥤㜴㔰㝣っ㘰㌸晥ㅦ㔵㡣慤㈹㝦㠹㈶ㅥ㡣㕦㤶㈴㈳晤㜱㜶昸㌰㐰ㅦ摣户㈲㈲挲戲晥ㄱ㤴㈴㕦㑡挱愱㕥晡㔱㔶㝣㡣攰〹㠰㜲㠱㤳摤昲慥㜱㑤㍤㙡慥㡦愳慢㜸㠴〰㍦晤ㄳ㔱㠶て〵敥挳摢扢摢捡㍣ち挷ㅦ昶㈳搴㤹晡㠲晦㑥㝣㤱扦捥㐵昷攱㝦㐸㔲㔰㠶㝤㕥㝢㕢㙦㘳㤱〹㘸㤳慢摦㉡㌶晢㈵㡣挳㜵戵㈲㈸ㅣ㤱㑡愵愴ㄵ〵昱捤〵ぢㄷ㙦攰㕢づ愹ち㈱㐸〳慡挲㠹㉡づ愳㐰晦ㄴ㥢ㄲ挷挴㤳晥㘹㍥ㄱ戵㙡ㄳ㍦ㄳ㘵昸㈰㠸㔷搵晤晥愸㝢晣㐲攲㕡㔵㔸㙤㉦㈴晥㔵挵㑡昲㠵㑦㜲㌰㠵㉣㘴搲㕡㠹㐸㔳㌴昴〵㘴㠶晡㠶㌹户㝢昰搳㉥㡡敡搹摡搹戳晦ㅣ捥㡦㕤㥤㝦捦扢〶㥦㝣敥㤷捦㝦昲户敦㍤昴攷㝦㍤昵搴㙦㕦昸攴㌳晦晡昱昲愱㥦㍦晤昴捦敥晡昲㌳捦敦㌶扦愲㝤昷㥦㜳㕦㜹㘸昲晣㐳て㤸愷㙦㍥晡搰扤昷摦㍤戹㜰搹㜸㕦㕦㝦晦㡤愳扦戸敡㑤㈳㡦㍣昰㝤昱㤳摦㕦改〸戵㕣扣㈰㍤つ㉥㕢㑤攳㡢挸㘰ㅡ㥣昱㉢㍡つ㉥㔷㙤搴㜲戴㔱搳㈸㈸挱愷挱〹愸ち㈳㕤㌱昰ㅦ晤㐶戴㕡</t>
  </si>
  <si>
    <t>Decisioneering:7.0.0.0</t>
  </si>
  <si>
    <t>0b711478-2f20-436f-acd3-e092662c9760</t>
  </si>
  <si>
    <t>E[Payoff]</t>
  </si>
  <si>
    <t>㜸〱敤㕣㕢㙣ㅣ搷㜹摥㌳㝢攱捥㤲ㄴ㘹㔱㤶㉣挷戱㤹㌸㡥ㅤ㔳㘵㐴搹慡攳愴慡挲㡢㈸挹搶㠵ㄶ㈹㌹㑥搳慣㠶扢㌳攴㔸㍢戳搴捣㉣㈵摡㑡散〲つ搰㈲ㄷ戴㑥㄰挰戱ㅤ攷づ〴㐱㔲昴挵㑤搰扣ㄴ㈸搰愲㜰㠰㍣愴て〵晡攰〶㐵晢㤰愰㔰搱ㄷ㍦〴㜰扥敦㥦㤹摤搹㕤敥㤰㕥摢㈹ㅤ㜰㈸晥㍣㜳敥攷晣搷昳晦㘷㤴㔱㤹㑣收つ㍣晣换㈷挷挴ㅤ㡢ㅢ㝥㘰㍡㤳戳昵㕡捤慣〴㜶摤昵㈷愷㍤捦搸㌸㘳晢㐱ㄶㄵち㘵ㅢ攵㝥扥散摢㑦㤹挵昲扡改昹愸㤴捦㘴㡡㐵㕤㐳㌹㍢攱敦㘸晣愲戳搵㔰づ㘰㘹㜶收晣昲㤳攸㜵㌱愸㝢收愱昱㑢㘱摢㘳㔳㔳㤳㔳㤳てㅥ㥤㍡㌲㜹昸搰昸㙣愳ㄶ㌴㍣昳㤸㙢㌶〲捦愸ㅤㅡ㕦㘸㉣搷散捡愳收挶㔲晤㡡改ㅥ㌳㤷て㍦戰㙣㍣昸㤱愹〷㡦ㅥ戵ㅥ㝥昸㈳㐳ㄸ㍡㜳㙥㜶㘶挱㌳㉤晦㙤敡㌳捦㈹㍦㌸㘷㔶㙣慥捤㌴㍤摢㕤㤹㥣㥤挱扦挴晣昱昶搰攴攲慡㘹〶ㅣ摡昴㑣户㘲晡㍡ㅡづ㍡搳扥摦㜰搶戸㜹扡㌳㡦愵㔶っ㍦挸㍢戳㘶慤愶㍢㜱慦㐵攷㍣昶慥㘶㙣っ㌹㡢愶敢摢㠱扤㙥〷ㅢ〵㘷〹ㅤ㔵㠷㥤㡢扥㜹挱㜰㔷捣㜳㠶㘳收㥤㤳つ扢㥡ぢ㥦㑣昶摥戸㡢攴挴㘴昹㤳搳扥㌳扢㙡㜸㌲㈳㥦ㅢ㤳㔲㜷摥慢戴搷扤扢㜷扦㥣扡㡣挰㍥敦改㕤て㈵㤷っ慦㔹㜳愲㜷捤㘸昱敤㌳昸㜰敦晡㠹㍤㙡㙦昳愱摥㙤㘴㉢摢㙢慢挱㠸扥㘵㐷戱ㄸ扤㐰㌰㐰㔰㈴㈰〲昵ㄲ挱㈰挱㄰㠰捡晤ㅦ戸㈴搹㤰㐵㕡搹搰捡换㕡戹愲㤵慢㕡搹搴捡㤶㔶㕥搱捡慢㕡搹搶捡㑦㙡攵㉢愸ㄳ㍦挵㠱〱㉤㝡昶㥣扣攳㜳㍦扦昱扦㈷㥥晢搵搱㐷㕥戸昲攵㕦て敤㐱愵挷愲㐹捤㜹挶㌵㤰㕡㡢㡡挱ㄱ晣搹㥡㉢挰ㄴ搶㔱敢㈱㙢㙡慡㝡昴戰昱㠰㤱攷戲㔲㤰摦㐶㈸愳愸㍢㘴㍤㙥扢搵晡㌵挱摤ㅤ㌳㠶㙦戶㌶㙥㈲㉡㥢愹㌷摣慡晦㥥捤ぢㄷ〳㈳㌰㙦敦㉣㙢㜵搲搵㙣ㄱ㙣㘵晡㌲摥㥤㥤捤㉥ㄹ戵㠶㌹㝤摤づ㡢摦摢㔱散㉣㜸昵攵摥愵昳㥥㜹戵㔹摡㌵愳㘹〸戵㜵改扢㙢㤵㘱㔱㌸慦昱搹搵扡㙦扡㌲扤〹㘷挱慥㕣㌱扤㐵㤳㈲搱慣捡㔲㙦㘵㔱挴昵ㄳ攷㕤㉣ㄴ摣㕡㝤㝦㌲搷㍡㜱㍤〰㌳㥢㔵捣㜷捤昴㠲㡤㈵㘳戹㘶敥㙦慢ㄲ㡥㠹㠲㠳㙤搹昳昵㑡挳㥦慤扢㠱㔷慦戵㤷㑣㔷搷つ㐸㥡敡搹㝡搵捣攵㌲㈲ㄴ㈰㜰戳㔹愵㌲昷昷收〵㐱㐴〲挵㘴攴摢摡挹㙥昲〲㔶㠷㔵搴㑣搲愴昶㠱㉤㍡攳㝣㐵挶愴㜰㘰㘲㑤搴ㅦㅣ昴扥㉤扡㙤㘲敥㥤慤慣㘹㘳搱敡㑦慣㥢㙥㜰捡㜰慢㌵搳㑢搵㝥㡡㌳搲㐷〰昲㌷㈱㄰㝡敥ㅥ㔵㥤扡慥㌶昲搷散㙡戰㕡㔸㌵敤㤵搵〰㜹搰㤰挵㈲户戶敢搱㙦㐱㤶扥㤷㘰っ愰㔴捡ㄴ昶戱㔲愱㠴㈷㤳愷㜴㑡攱攵㌶㐱捥㜶㙤扣㍣㘴捤摢戵挰っ㠵昲㠸〵㡣㠴㕡㑤搰㌷㑣ㄲ昵㡣㑡愸㌰昶㔹戳愰㔲挳㜶㠳㡤ㄶ摦㜶㜱㐹㐸㐴扢戲㘰挷挹〲㡡㠲㜶㜹㤰挲㙢㈰㥡づ㘹㤰㕥㌹㐱㐴㘴㠳ㄴ捤㡥㥥摢㠹㡣昵㔳㘴〴敡㈷㠹㤰戵て昷㤶ㄱ㈴昶㙥㈲㘵愳㥥晣戸㉢捤㌶戳攵㐳㘹㜶㉢㌶㑥摦㑦㜰㠰攰㌶㠲㠳〰敡扦㈰攱㈸攵㤰㙥㝦昴昷攰㕤扦㠳攰扤〰㤰㑦㍡㘵㑥㈴慡㘸㐳㙤挷㡥㘴扤㘱搸挹㘲ㄴ㠷愲㠸㤶㜱搳捥ㅣ㜶〴搱㤱搵戹㌳㜴㙤㑥㜴散〷㝢搳㘶㜲㌹愴挸㤴慡挹戵㙥㔱㌵戹ㄱ慣摡愷摥扡ぢ㑤昵㜱㠲昷〱㤴昴昷ㄳ㐲戹搰攰摤㥥㐵㑦㤳昲㕤㘱ㄶ㠵挶㔰㥦ち㍥㈲㘴ㅥ〱㔲㠴㕣搷昱㘵搷㠶愶㌹㌸㘱扤敢㙤攸㐳扤昹㍢㐲㝡㠷摥摣搵㍢昴ㄷ扤㐹㉢晡㙥戰㤷晡昷㥥㍡收ㅥㄴ敢ㅦ㈴戸ㄷ愰㐳挷昰昴晤㘶㍤〵㘲ㄶ㍢〹捣敤愵搷㐵慣摣愵㡤㌵㔳㌴搰㤰戵㘴㜸㉢㘶〰て挶改㌹搸挲㜵捦㌳㙢㌸搴㔶㈵㠳攷㤷〳敤㤹晥扣㔷㜷㤸扦㙢㈳晢敦ち挵㤰换㘹搹㑣㠷㡤㥣㘲㙢㈶㝣㑥〹捡愱づ㝥愰户㤰㐸㌴㙡㈷㉦戶㑢㍦㕦敥㑡㤲㍥㈴挹㠷戰慤晡晤〰㤰ㄲ敡㕦㝢㑡㤴㐳慣昶〷㔲慤摤㘲愵㠷㉦攵㜴搲攱㐳散㤲㈳㠳愱挳㜶〶晥〳㝦搸㔹戴㥤愶戰ㄸ㜴ㄶ㑣慦〲摦㠲㕤㌳㑢愱㕢㤶愲㘶㔷㔶扣㑢㘴㐵㌶摢㜵㥥㑥昱慦〹㥤㜴㐸㠹㔴㙥㑦㉤㑣㌹㡢户㠸㡡㙥㐸ち㤵ㄴ搷㔰㔳〲㤱昲㔸㜷㔷挴昴㈱㘲㍥㡣㡤搳てㄳ㑣ㄱㅣ〱挸晦っ㤲㘶扢ㅢ捦㜰搸挰㍡㕤摡攵㜲愶㐸㌴㠸㡢昰搵㥥挲敡㈸㠷昹㐳㠲㠷〰㍡捣ㅦ㍡㈰㔳〸㔱㔰㥥㈰㐴〹㘳㔸㤷㙣昳ㅡ㘹㘰㡦㠵挰搲㙣挳て敡づ㈳㑢挳搶㕣晤㕣㍤㤸戳晤㌵㐴愲挶慣㈸昱昸慡改㠲扡㍣搸㍥ㅤ㜹昵戵㌵戳慡㕢㡢昵〶㐴摢改戹㥤㜰㌰挷㜶挰㤶㤴戳戹愶昰昴㜷㍥㐶ㄷち㍢㉤晥㔶㝡㘳户攵晤收愱㙦愴戵愳㑢㜶㔰㌳〷慤㤰改㤸㉥㕡搸㐵㐴づ慡〳搶搲慡㘷㥡㜳挳搶㐹捦慥搶㙣搷㈴㌲㘰㘳㌲㔸㜷挶㕣㐱㤴㘰愱捥ㄸ㘰摤ㅤ戶㤶㍣挳昵搷っ〶ㄴ㌷昶戶扤㐹㔸㈴㙦捤搸慥㡦㘱〴㡢㑣㡦㔸㡢慢昵㙢㠸搸㌶ㅣ昷愴戱收敦〸慣㤰攸挳㐷㔰愳㌴愵㘹慡愸ㄵ晢挵てて攴㤹っ㜹㉦㐷㈰戸捡攴改㌳㑦搱摥戴敢愳ㄸつ敤㜴捥㘹〸搱愳㘶㘶㌶㔵ち㤳㔳昵㠷搹收愳〰㡦㥣扣㜸扡ㄵ㤹㝢㑢㌱敢㍣扤晣㈹㌲㕥挸愲ㄹ〸愱㡦㙥㑦㐸㉡捣㈳攵㠰〳㠱㜱扥㜵㤲㕦挹㤲㍡愴扥㍤慤攴㍣㈲㐹㐳搶ㄹ㘳搹慣㈱ㅥ敤ㄸ挱㥥昰㠵㘶慣㘳搴晣愸㙣戶敥㌸〶㐹㡢㘴戹㔸㌱㐸挱搳㡤愰㝥搶㜶㜵ぢ㐰攸㉦捡㌲慥㈳换戸㉥㔹㐳搶〵㠶〶㈵捤扥敡㉢㠶㘷〷慢㡥㕤㈹昲㠵攱扢ㅤ㐱㤳㘰㜲㑡摥昸㠹㘵挶㜸㠷㌵㝦ㄱ㈶㥢㍦〹㜴㑦㐲㡥㜲敢㠸㝥㔰慥愶ち昸㔱㝤㍡㤶㈰㘰挴㔳慡晦ㄱ㝡换换敤〸㠸ㅣ㜹㙥挶㜷㌰㙥㍥㠳㥣㔰〸ㄱ敢㈹㈴〲慦㘰㐲挸搳挵㕤戰㉥扡㜶〰散ㄱ㘳昳㜶㌰攷〳攵〰㐸捡昱昶㜶挱㙡愲搱㐴㔳㉢摣搵㕤搴愶㈶敥散㉥㑦敡㡤て㙣㔲ㅣ㙡㤴㠴㈲搹慡㤲㘸㤶㑤收戸㤳㔴㡤ㄲ挵ㅤ㙢ㅢ㤵收㌶㙤敤㍢愵挸㕢㔰㑣㐲㌳ㄹ晤㡦㠵㔰㄰攸㡤㜴ㄴ㝤昶改攴㤱㠸搸搰〶㈸㔱㑦㠵㜹挳㔱㐸昰㌴慥㥤㔴捤㔲昴〶晥摥ㄳ㈵捦㌷㠲戶ㄲ攳晡㔸㔴㌲㕤慢㥤㜷㘱㈵㔴っ慦扡㐳㔸ㅡ㙢ぢ㌵㡣㜰㘷扦摡㍦摣摥〴㈳㐶㙣挸戰㐸㡡ㅦㄸ㙣〸收㑡㐴㔴㘹㥤つ㜳慢㥢搹㐵扥㥤㌵つ㔷㌰戰ㄸ㔴攷捣㜵㌱挳㕡㤶晣㤸㌴㘸㥥ㄶ㐵㡥敡搶昴戲て㤵ㅥ㔰㡥㐷㈹㘱㜰摤扡㐰户ㄴ㉥㌱㐰散㐶愹㠵㑡㠰搰㙥戳〳㥥っ㜶づ㜶戰㈳㘱攸㠴搶ㄹ㈵㘸㈱㠵㜰摢ㄷ㐱摥改ㄳ愳㄰愴㤶㍣晦㜳㕣㝤敤㜹㍥摦㍦㥥㠹ㄳㄱㄳ㌱摣㤵㘲㍤〰戹挹挸㈴戹㘸㉣づ㤸㠷㤲㑤㠴搶㔰㥣㐷ㄳ㘳㤸㈶㥦ㄷ攰ㄶて㘳㔹㈳㘴㥢ㅡ敥戹〵㌶戴㘹㙤㘳㡦㜵摡慤搴ㅡ㔵㔳㔴㜱㉣慢㐵㈳敦〸㝣挹ㄵ挰㤰㥢㔲昶㈵摡㤴搳㌸㑡㜱挹㐴㔲晦㜶户㝥ㅣ捤㐵挸愱㡦㔰昵㌱〰㤹攲㤶㤳㠰㔸搷㍤〵摡㠷㝢㕢ㄷㄸ攴昲ㅣ㐴㕡㔷ㄶ㘵搹ㄹ摣挷㙢㐶㤱㠵摢ㄲ搵捥搴捦搴㘹戳㈷戲㑥搹㘱搶㡥挰ㄱ搶ㄹち扣㐲〱挶㐸㥦摣挱㑥㌲㌷愳攸敥捤㘷攴㌵㜳ㄳ愸㄰っ㈸挶㜸㜹ち捡㘰㔷挱㐸㌴戸戵㤶搵慤ㄸ晤愵攵慤㑦〳㈸㠶㠱㘹搰愲㘶㘸攰捣㈲扤戵㠱㜳ㄷ㙡愵㐴㐸㤳挱㔴挶㈸挷攰戰〷搲挰㑤㍣㐸㉦搵愱㠴㠲㝤㜲㌱㉣扥㥢㌸攱攰〸㔴昷昶㜷㘴㉥ㄸ〱慥扦戸〷㍢戲愷慢㔵㥡扢昰捦敤〸慣攲敡㐶㘸㡥敥敢戸㤴㈵㙢愲㝤㜷㜷㐷㐱㜴㔹昰挸摣攴㈹㈳愸慣㉥〶ㅢ攱挵慤㍥㐹㐲攵㝦ち㝦挴愶愳搳㘶捥戹扣㠸扡捥扤㉦㕤㜱敢搷㕣㤹㔷摥攷慤㍦㔰〸慥㔰づ㜰㤲愵捣ㅢ昸㤱㐷换攴晦ㅥ㍤㙥㘷摡散愰攵㈰㘱㍦昲㤴昴㜹晣㘵㤰㝡ㅣ㝦㔳㘸〵昶㝢昳收〰㘹㘵㕦〷慤㠸㌰搸㈵ㄶ㜷攵敤㈲㤶㡣晡〹㔰㑢㠲〹㡦攵搸昳敦㠱晤搵㡦㤱㐳愴攳㍤ㄲ㈵昹昷㈱㤵㠲㍡ㄱ收搱㌵て㕥ち昹晤挱㔲捣搱㥢戲搴敦㠲愱晦慥ㄳ㐵㜷ㄲ㐵慦㜴愱㐸昱㉡㠸昰昰愳㐸挴㑦㥥㈱摡㌷ㄵっ攷㥡㜶て愱敦昸愵摦晦挷㐳攸搹㠸㌸挴㑥㐳戸敤ㅥ扣㌷捤㠴㙣㤷㤹挰〰扥㤸〹攷㤰㔰㡣攴㠷㘶㐲攴〷㔹㐰挶搶㘶〲攳㝢㈹挶㘰㈲摣㥡㜰㙤昰ㄴ戶摦愱㡦散ㄴ㉥摦㥡㍥㘲晡㔰㕣晥㉣扣㔲〷扡戳ㄷっ捦㜰づ㑡晥㐹捦㠴㐲昳㤶㜰㥢㕢㥡戰挵敤㥢㤶㐸愳㑤晣ㄵ戱愷㝤搷愷戲扤㍢散挰㔴昸㠴㉥㝣㔵㔴㠵户攰㉤㔱㍣㍢㘴㥥摥昷愳㤳晦昱搴㥦ㅦ攷㡤戵㠸㔶昳昷㈳摤㑦搸㥥昶〴〲扢㠹换㈲户昲攳㥣戳昸㑣挹㕥慢㤹㌳㠶㈷㤶㤰慦㍢㜱㌲㈴扣〴㘱㠶挴户ㄳ捣㑣摣㝤〸捤捣挹づ㤷愷㝣摣㈴㙥挲挹挴挴挵慦ㄷ㠷づ㔵㑦㐵搶愷挵㤹晦ㅢ愸愲㌷㌹㤱㜶㑢㤱㈷㑦㍥㑡晤愸㔳搷ㅤ愵慥ぢて㌳っ晤挷㔲ち㌱〸㔲㐸昲㌰挳㑢〱㈲愵ㄶ㤱挸㌳搶㤷ㄲ㕤敢っ昳搲㈷戰㉢〴捣收挵扦㍥㍦㘴挱㉥〲㡢戱㍦扥摦㔳㉤㙤搱㔸㌵㌱㕣㉢㌶捤ㄲㄲ㜲㠰㘱挶㔴㥣摢㘶改昰㘴扢㙤㤷ㄴ〷ㄹ㜶挲攰㕢挸搸㜹㠷晥戶㤲㜳挲㙤攰昶〷昴㑣㐱ㄴ㠶扢㤷搹㌸㤴㑡㥣㉥慣㕡ち戳〸㐷挲㘴戳搱㘰㔴〴㥤攵ㅥ挴挹ㄴ〱㐰㝥㉤挴昲㠹㔶搷户㜶㤶㔰挷戹〳㔸㈰㝦㘱㝦摤㤹挲搸ㄸ㤵ㅣ〳〹扢慤㕡挵昰㡡昸㈵㌴ㄱ㉢㕦改慤㈴挷㔲㡡㜱敡㤸戳戲㕡㤷晥㘷〴㕢㌸敢㜱搶㘶㈸扢㑤晦㍦㠱㡣㉤昵扦㝡㤸㙤昱慢㝦㌲㑡昰㈵捦ㄸ捡㤶㘱ㅢ敥〸扣摢〸攰挸攱㔸㤷㈴挳摥㘱㙡ㄱㅦ戰㠶挵㈲挱攱晢捡㜵㕥㡦㘸戶愵㙤㍢搸㔳〰㌲㍥㤴晦㉥㐴㔰捦昶敤㜲㡢扤昱㈹㝣ち㘰摦㔹扢攲搵晤扡ㄵ㡣㉦㈲昰㍢捥敦捦㉣搸㍣搳敡摢㥤㐲敤㙥散挴搰愷搱收摣㜹〸散㜳㘶昰㜶挵㈳ㄹ㕤搸㕥㌴㠳摦㈲㡤㈶㐲㑣搴づ晥㉤搶㘳つ愳㠶捦㔷捦挳摦ㄹ㌰㙢㐷㈸扢搰敢摣㜹㑢㠳㕢㠷㝢㕡㡦挲㈷㘴搶㈶ㄱ㈰㤳㈵晣挹㥦㜲㕦㍢昷愰扤㙥戴㌶㥦㌵晢昳扢㤵昲摦〴㑥户㌷㑡㍢挹㜰㑣㝥㤵㕣搲㉦ㄳ挲㈷〲㘷㕤㥡昳扡挳㐹换摥挶㐰攷搱㐷摤㜴㠶㑤搴攰㐲摢㐶〴摣㐰㔳㌵㑤㠰㕦㝤㌹㑡昰㐵搱搳㐷㔶㔴㉦㘱㔹㘴〰愴㌳㠵㉡㐰㙦慡㝥㘱㌳慡㔶昴昴㐸晦㈰晤っ㠹㑣〸㉤ㄶ搳㡡㈷てㄲ㘹㐹㍤㡦收摣挴㜰㌳㔶㤹㠷㤳㠸㥣㌰㤰搶攳ㄶ㐸㘷ㄴ㑦ㄸ㌲扤慦愲㐱㜳㝡㔷㤰摢㝢㝡㕦搹㜴㝡戴つ㘴㝡挹晥㐷㘳摤愲扢㈸搶敢〴㙢〴㔷〱㐶㈸㉣㈹㠱ち㘱搰攱㈷挴ㄷ㥥㥦㐷㝦㕦㍢晥戳㔷昹晣晡戸ㄲ昱㠸愲昶挹㔳㍣捡攴扦㤸㥣㝣㠰摣摥㤳晦晣㘶㤳ㅦ愵攴攴㑣昴㜵㠰攱慣扡㡣㍦戲㤸㙢㐸㜰ㅦ昹慢㡣㌸户㙤㠹㐴户戴摤㐰㘲㌸㍢㑡昴搰㑦愳㍦㐵昰㌴挱つ㠲捦㄰㝣㤶攰ㄹ㠲㘷〱㑡㡡搸㤱㠱晥っ㠹㜸愰㍣㌷㉢攵ㅢ㈱㌱戱㜸㥦㤲挳ㄴ㐲㥦㙥㈱㔴慣㐵㈷㜲收敥〸昱㠲㈵昱愳摢㥥㕡愱搰攷㐵〱昵搹ㄸ㡢愷㑥挵ㅦ㘰㘹㔱攸ち㔴ㄴㅡ戵㈴㌶㙥愴晡㑣㕣昹㙦㕦㘹㜹㕥㔱㠰〷愴ㄶ㔶㈶㔱㑡攵ㅢ㜱攵㈳昸戸㑢敡㘴戴昰㑦收戵戸㌲㠹㔷㉡㍦ㅤ㔷晥搵㤱㠳捤捡㌱搱㠶㍤攷㐹㔱㈹收戲ㅣ㈰ㄲㅦ㝡昳㕣㥥户愸㠲〷慤㌰㥢挲㔷㈲搰㌵㔱挲㐳戸㔳攲攱㔳敢㌳戸㈲㠵㥢㈴㤰搳攱晦戸㜰ㅡ㔷愷收㡣挰挰㤷搴敢㠸㔹㝢扡扣戱㜱挱㍡敦㈱㘳挰㍡敤攳㔸㔶摤㔱㈴〲㡢㈲ㄷ敥敦ㄶ扥晤ㄴ敢戳戵ㅦ㜱慣㑤攳㔵㤴晥昴㡦挴㘷㜲㙡㈳挶㙣收搹ㄶ捤攸㝦〱攴㐰㤴〲㌲愱晦㈵㘰ㄸ捦攱愵攷捣㈸㠵㠵㐸㠲捦戳攰ぢ〴㕦〴㈸㈹㑡〶搲㐱攱㑢〰㈳昱晦㜷㌱扥㉥㉥ㄷ㑤㕤㡤〷㑢㤲㤱晥㔷㙣昰搷〰㔹㜸㠰㔵㐴㠴㈵晤㌹攴㈴〶捤㔳捡㝣慣户㐹换ㄳ㙢晣つ㍥ㄴ㕥摢挷昶㈷昰昱晣〶㍢捥攲晦づ挹㡢晤㥤搳㍥摡㕦㕦㈴㌴㥡捥昲㕢挳㠲摥㐲㍦摣攰㔶戰㠳㍤㡡㉡㔳㤴愵㕣慥扡㠲晥㌹〶㉤敢㤲愲㜴㤵散㈷愳散晤㤲㑤㜹㉢搹㜶㤴㝤㐰戲㈹㠱㈵㝢㌵捡扥㑦戲㈹㤳㈵㝢㈵捡愶㔷慤愴㥥㡤戳慤㈸㥢㍡愷㔸〰挰昳晡ㅢ愳ㄴ摢㠲昲ㄷ㤰搰㕦㈴㜸〹愰㤴㈷愹㙣㥢㘶戹攰㍥㑤㡦慦愳愹㈲㈱戲て晤攵㈸挱ㄷ㐵㉡㤴㈵㕤㡥收㑥㕤㔹搴ち㡡㤴㈹〵攵愸攰㤸ㄴ㈸㐵㙡㤵㠲㑦㐷〵挷㤱愱㝦ㅢ㐰㤱ㅡ戹㈶晤㍢㝣㈳ㄱ捡㠰摦㡤ㄲ㌲㈰昷㐰㥡㝦戲㘳㐰敥㡢ㄴ㍣搱㌱㈰昷㑡ち㍥㤱ㅣ昰晢散㔴ㄶ㠶㐴㥢捡ㅦ攵〲㘵扦㝦㠰挴㜰㜶㠴㜳愳㜱愰㕤㔷㤵换搵换㤷㕦ㅦ挹㡤摦㥥晢挴挷㠷㥥㝦敤㕦㝥昹摣㉦㍥㜵散扦㝦昳攲㡢扦昸捦攷㕥晤捤㑦㤷㡦晤搳户扥昵㡦㡦扣晣敡㉦昷㕡摦搰㕥㜹晤捣㌷㙥㑣㕤戹㜱搵扡㜸晦挹ㅢ㑦㍣昹搸搴挲㉤ㄳ搹散挰挰扤㘳晦㝣摢㝤愳捦㕥晤戱晡㠷㝦㍢攰㉡㔹㉥〶㘸㥦〶㤷㉤搳昸㈱ㄲ㤸〶㘷晣㡥㑥㠳换㤵㡤扡㄰㙤搴っ㌲㡡㜰攰㜰〲㔲昰㔸㝢挱攰㙦〱ㅣ捦昳㐹</t>
  </si>
  <si>
    <t>Risk-free rate</t>
  </si>
  <si>
    <t>Call Price</t>
  </si>
  <si>
    <t>CB_Block_7.0.0.0:2</t>
  </si>
  <si>
    <t>Decisioneering:11.1.1000.0</t>
  </si>
  <si>
    <t>CB_Block_11.1.1000.0:1</t>
  </si>
  <si>
    <t>㜸〱戵㔶㑢㙦摢㐶㄰㈶㈹㔱ㄲ㈵搹㘱㙣戴㐰㠱ㅥ㡣㈲愷挴㈱愲挶㐶㥤㠳㤱㔲㤴ㅤㄹ㌵㙤㔵㔴㤲㑢㡢挵㑡ㅣ㕢㑣昸㌰昸㔰愳晥㠰愲攸㍦㘸晦㐴㉦扤攴㍦昵摡愲户㜶㠶ㄲ㈵㔲㔶〴ㄸ㐸挷昲扥收㥢㈷㜷㜶㔷㄰〵㐱昸ㄷ㠹㝡愲㌲つ㍥户愶㔱っ㥥㘶〴慥ぢ愳搸〹晣㐸搳挳㤰㑦捦㥤㈸㉥㈱愰挲ㅣ攴㐷㌲㡢㥣ㅦ愱挶㈶㄰㐶〸㤲〵愱㔶㔳㈴攴㤳ㄲ晡㔷戳㠹㐲㔲捤㌲㌶〳愳㝤㌹㝣㠳㕡慤㌸〸㘱㝦敦搵㑣昶戸搵搲㕡摡挱㘱敢㑢敤挹晥㥥㤱戸㜱ㄲ挲戱て㐹ㅣ㜲㜷㝦慦㤷っ㕤㘷昴つ㑣〷挱㕢昰㡦㘱昸攴改㤰ㅦㅣ戵づづて慦㥥㍤㍢㙡愲㘹攱挲㘸昷㐲戸㡡㍥㤲㑥㤹㕣㍥散挰挸愱搸〰㐲挷扦搶㡣㌶晥㜲晥㙢㘸搱㜶㐶ㄸ㡡㜶㘹搱搸ㅡ〳挴つ㤴㙣戰㜴㤸㝡戴捤㑥摥㡤挰㌵挰㜵晢攸攰づ挳挴㈶㥥㝦ㄹ㍡攰挷㥣昲慢戰㌱㡦㍡㍣㠶愸㐱愳㉥㜰ㅢ昳戲换搲㈴搹㌳戸㠵㉥㐰愴捥搷晡挱て戳㠵㈲攸㘴㠲㉡昳愰搹挲㤶昷㌲㠲㍥昷慦攱㠲㝢㈰㝢㉦ㄲ挷㉥搳攷㤰㤰㠴搲攳㜵㘱愶慥㉦〳㕣㠶㐳挹㙥慤㤳挸㈷挶㘸㝦愵ㄵ愲㈶㙢㈲㔲㘳扥戹㔲ㄷ㜰㑤愹㔰㔳㈵慥㈰搴㤱㠴昲㍦戸㈱昳㌰捡愷挴戸挴㠶ㄲㅢ㐹捣㤶ㄸ㐸散㑡㘲搷ㄲㅢ㑢捣㤱搸ㅢ㠹扤㐵㑣㐶戵㙡㤵攲㈲㝡晣挷捦摦㍤㝤昸晤昹㉦㥤慦ㅦ㠸敦㝦晡扤愹㈰愸㘷戴扢攰摥㘰㠶㍦搶㕥愱ㄸ敥㤶㐴つ㈵㜶㔸ㅦ慥㐳㠸㘸㠳㤹㄰㡦〳ㅢ㍦㝦て㍦㜳㘰て愶㌷搰㘴ㄶ昰㈸昰戹敢挴搳㙤㌶㐳㔸愶慥㈷㜱㜰㝦㌹㥤〹㐴ㄹ愰㔳〴攰㜴〵㘰㥤㔸愴攱㕥愶〱愷敥捤㤸㉦攴㡢散捥㙤㜶ㅢ㘲慥捥愵㍢㠳ぢ㡢攵ㅤ㥡㉤㤰挲〲㠴㘴㌲㡢㈹愴㌷㜶戶㌲て搲㠸㌲晢㤶㕥㜰挷搲㕦㜰捦㕢㜸搷㝤㥤㠲㌳㔵㌴捤㍢㡦昳扣㈵㥣愶搲ぢ㑢㈶戹扡戰㘴ㄶ㘴㉤㜳挵㔲ち㕥㕡㉡愲扢慦捤愲愵㤹㜴〶敦っ昴㌴㉤换㈴攰㥣㍣捤〳㡡㠹搴㔹挱㍥㘹挰㈴㉤昱收㡡㐲㥣ㄷㄵ㥡慣愸搰㕣㔵㘸捥ㄴ㔲づ㍣㍣㜶㐶㝡晦捣搴㍦愱㍡㠷㄰晣ㄱ㐴㡦㉥㝤㘳㑣愷㠴晤㐵㝥昵敡攴㕤っ扥つ㜶㉦っ戰㙡攲改㠰て㕤昸戴〰搱昱㥥㤸〰㌲㍥㉢㉣㥦〶愳㈴㌲〲㍦づ〳户挸搱敤〹㐷㥢戶ㄹ搸㈰愴㘷㔱㔶扥ㅢ晡㔲㐹ㄴ〵昱攱扡挳㘷㕥搱摡戲㝥㑥晣挴愳㜲㝦戴〹㥥㉢㌱慡㌹挲㡢㌵晣慢㠸ㄵ晡摤敥㘶换ㄵ㜱㜷㝥㡥愵〷㙣㤷晢戶ぢ攱挶㡢㔳愴㜳㔳㤰晦挶挳敤づ〱搰㌵㕡㥤㜰㌷〱挶㠴ㅡ戹㐷㈴晦㠵㕡敥ㄲ搷㝡㌵㤸㑣っ㌷扤愴㝦晢㤵攸晤㜳㌱ㅢ㘴晤慤㠵て㌲晥て㘴㘶㉣敢㍦㘸㘳〱愸㉢㑤っち慦ㄱ㤹敥㤴扢摦㔳㤴つ㈵扤㈰昱戹ㄱ挹摥㘹㄰㐶愵搲扡㉦摢攵搱㌸愶㑡搸挸愴㝢㑦搹愲㘶ㅢㅢ㤱㥣愳慣㉢昷戰挹愸㑣晣㡤㕡㈸㤶晡㜹挰敤㔳㑥慦㡤敡晣搹㔴㌳〲敦㠶㠷㄰慡攴㡣㠱愵㠴㈵㍡㜱昰昱㔰愳〵ぢ㥦㘷㘵ち愳昲㡡㜶㔰㈴〸愵㤲㈰换㡤摡㍡㕢㘷㤹慥〷㙢㥥㝦㘷户昴晦昹敤搱㜳昲扦㕥愷㠷㤲愲㔲㜳ㅦㅢ㤱挲愴㜸㔶〰㍢〴搸挵㐶捤㈲㔷㐹㠶㐸㈵㌹㈲㤵㐰㐴㉡〱㠹ㅡ晦〱て㘸㕡㑣</t>
  </si>
  <si>
    <t>The 10-period risk-free rate is 3%.</t>
  </si>
  <si>
    <t>You are modeling a stock price using a 10 period model. In each period, the stock price can either go up or go down. If the stock price goes up, it increases by 110%. If the stock price goes down, it decreases by 90%. The probability the stock price goes up is 49%. Price an option on the stock that has the following payoff: C10 = max(20-2*S10,5), where C10 is the payoff of the call option at time 10 and S10 is the stock price at time 10.</t>
  </si>
  <si>
    <t>The stock price is currently 100.</t>
  </si>
  <si>
    <t>e4e7af8d-6874-461c-a0e1-598963bca922</t>
  </si>
  <si>
    <t>㜸〱敤㝤㜹㥣ㅣ㔵戵㝦摦㥥改捡摣㥥㐹愶㐳挲ㅥ㜹㐹〸㍦㠱挰㌸晢愲收㈵㤳ㄹ㈶〴〲㔹㈶㘱㤱挰㔰摤㕤㥤㘹搲㑢攸敥㐹㘶〴㠱挷㐷㠱㈸扢㈸〸晣㈰㠸捡㈲戲㍣昶㈷㡢㈰戲〸〸〸挸愶㡦㐵㜰㐳㄰㝦捡㝢晣ㄴ㥦扦敦昷㔴㔵㜷㜵㜷捤㐲攴㝤㝥昹攳ㄵ改㌳昷㥥㜳敥愹㝢扦昷搴慤㝢敥慤㉡〲㉡㄰〸晣ㅤ〷晦昲愸㘵㘲捥攰㔸扥㘰愵㥢晡戲愹㤴ㄵ㉢㈴戳㤹㝣㔳㙦㉥㘷㡥慤㐸收ぢ㌵㔰㌰㠶㤲㤰攷㐳㐳昹攴攷慤扡愱捤㔶㉥て愵㔰㈰㔰㔷愷㠳㤰搷㍢扦㠸㥢搱㉣愵㙢㐹愰ㄵ搰〶挹㌴㤲㍡ㄲ㑤ㄲ㈶㘱㐹摤㐰㌲ㅤ愴㘱〶挸摡扥愵㉢愳㈷愰ㅥ㠳㠵㙣捥㍡㘰敥ㄱ昶搹ㄶ戵戴㌴戵㌴戵㜷戴戴㌶㌵ㅦ㌰户㙦㈴㔵ㄸ挹㔹㡢㌲搶㐸㈱㘷愶づ㤸扢㙡㈴㥡㑡挶づ戵挶搶㘶㌷㕡㤹㐵㔶戴戹㉤㙡戶㜷户戴㜷㜴㈴㝡㝡扡ㅢㅡ㘱昹昰扥愵慢㜲㔶㈲晦㜱搹㡣搰收捡扥愵㑤㠷㕢㠵㡦换收㑣搸㠴挹晥㙣摡㑣㘶㍥㈶愳㈱昶㐶㐷扦ㄵ㑢戲摢㉣㉢㤷捣㙣㘸㐲戵换㠰㐶慥慢愹㌷㥦ㅦ㐹㙦愲〷昴㔹愹搴ㅡ㉢㈱摤㤵敥捦ㄷ㔶㤹戹㜴扥㈱㑤晣慣㥣㤵㠹㔹昹ㄹ改㠳㐶㘳㔶捡㔱捣搷愵㡦㌰㜳㠷㥢㘹慢㤶㠹挶戴摤㠷换攳㔶愶㤰㉣㡣㑤㑦慦换㕢㙢捣捣〶㡢㉡愱昴戲㤱㘴㕣搵搶攲㕦愰收㤳㝥㌵㤳㡥㐲㝤搲㝤挳㘶慥㈰㌹㜶㘱㡢㥦慥挷㕤愴ㄵ㘵昵愲㑢捤慤㈸挵㍥ㅢ㑣愶て戵㜲ㄹ㉢挵㤳戰㈷ㄷ㔶㈸〹㐰㜶㍦ㄴ㤱㜲㥢挳㕥㔲昵捥㘵挳戶昰㉣挶㑥㈰㤱晥愳慤晣攱搹〳㔶攵戲搱㐵捤㑤敤㍤㝡ㄶ戸㝡㌶攵㍢㠳〴〷㍡昴㉥攴散ち愲㙡㝦㠳㙢搱㙢㠷搷㐳㜰挸っづ㐵㠳㐳戱攰㔰㍣㌸㘴〵㠷ㄲ挱愱つ挱愱攱攰㔰㌲㌸㜴㐲㜰㘸㈳㜴摣愳㙥摡戴愰㜳㝣㜸挹㍢㕤搷㙣扤㙣攵㡤攷㝤敦㤳晦㜹昴改㠰ㄷ㑡㜲昵敥㡥㐴㜵扤昶〰㔷敦〹㘲捣〱〹づ㜴敢㑦㤰戳ㄷ㠸㔲慦愳㕥慣摢㕥㤷敤扣昴慤㘷敥攸扤戴敢㝦摤㤹㝡敡搳㜳ㄴ㉦㘷㌱㍡ㄷ㠹㙡愳昳挰搵昳㐱㡣扤㐱㙡〶㕡㕡昵〲戲昶〱㔱敡㘵挷㙡晤捡扡㍦捦扦改㑢㠷㥥戳攸昹戶㉤昳搶捦㔳ㅣㅦ挴敡㈷㤱愸戶扡㉦㑤散〷㘲散てㄲㅣ攸搱ぢ挹㌹〰㐴愹㘷ㅤ愳愹捦晤㜵摢扣昹㡦ㅣ㝡㝤晣㙢㕦㝦昰搶ㅢて㔴ㅣ㙦挴㘸ㄳㄲ搵㐶㍦㐵ㄳ捤㈰㐶ぢ㐸㜰愰㕤户㤲搳〶愲搴ㄳ㡥搱挴㤶㕢㙡〲户摥戹攲㡥戳㙥㝤慣昷捥晡㌷㐲扣㈰摡晣㍣愵搲〹〷㌰㜸挵捣㝣挱戹㍥㔸㤹㡦昷昲㤹晣敡ㄹ挸挵晥晢慦ㅥ㥣攴㘳戹㝡㜴〷搱敦〴㌱扡㐰敡晢捣㔴㙡敥㉡㜳㉣㥢㐸攸㙥㡡㝡㐰㤴㝡搸改㤸㌳慦攸㝦昴㠶て㔵敦搶晦散晣㘵㘱摤㍢㕢ㄴ敦㈹搲摢㥦㐱愲扡户㍦㑢ㄳ㡢㐰㡣㝦愶攲㐰㑢㡢㕥㑣搶ㄲ㄰愵敥㜷慣晥敥慥戹㤱愶㕢㜲〳户摥㝡晥㜷㡣㥦㍤㥢㔵扣㐹㠹搵愵㐸㔴㕢敤〳㔷昷㠳ㄸ〷㠱〴㤷戵改〱㜲㤶㠱㈸㜵㤷㘳昴㥤㑢㌶慢捥摢扦戰攴收㥦扥晥㡢㠶戶慤㘳㡡ㄷ戹ㄸ㕤㡥㐴戵搱㐳㘸攲㔰㄰㘳〵㐸㜰愰㑢ㅦ㐶捥攱㈰㑡摤攲ㄸㅤ晥搶㤷㡣ぢㅦ晥昵昲㥢搶㙦晤昶㔷㑦愹㌹㕡昱㈶㉡㐶㔷㈱㔱㙤㜴㌵㑤慣〱㌱〶愹㌸搰搲慣搷㤲戵づ㐴愹敢ㅤ慢晦攷㤱つ慦摦扢㝡晤捡㑢ㅥ㝦昶捤㥦㍦晣敡慦ㄴ敦捡㘲昵㐸㈴慡慤ㅥ㐵ㄳ㐷㠳ㄸ㥦〳〹づ㜴敡㘳挸㔹て愲搴搵㡥搱㥡㝤㐳愹㤳㜲㉦ㅦ晡㤵摡戳捥㙥㍤㘳攴㡥㠶攳㈰㕥敤っ㥥晤㌹㜳ぢ㙥㐷愵㍢ㅤ㙥敦晣㙦昲㕢㍣敥昰㠹㡥㐴㔷愲愵㈵摥搱㙣戶㤹㈱づ戴㔳扤㤷搰㘵ㅢㄲ㐷㈶㌳昱散ㄶ戹戹捣㔹㙡收慤搲搵戲搰㤱㉤捤㡥㘴攲昹㍤晤㠵㠳〵戳㘰敤㔱㈹㉢ㄹ愹㉡㌶㠸㕢慦㤵㤷昳敤㔵㔹散〸㌳㌵㘲昵㡥㈶㙤昱㈷㉡挴戸昱㘶愳攳㑢〷㜲搶㠹㐵㘹㔵㡤㝡㌱愷摢㉣戶慢㕡㘹㡢散㝡捤敤ㅢ捥收慤㡣㔴㙦㘱㝡㔵㌲戶搱捡つ㕡㥣ㄱ㕡㜱㘹敡捥ㄴ㌹㜷晦㠵㉢㌳㘸㈸敥攷昱昹㕥㙥攲愰搱㠲㤵㠹㕢㜱搴㜷㤳㤵㉢㡣慤㌵愳㈹㙢㤷㌲ㄵ晢㥣㄰散㕥挶ㅥ挸挶㐶昲㝤搹㑣㈱㤷㑤㤵㑢㝡攳㥢㑤捣㌸攲㠷㘵攳ㄶ㈶っ戵㍣〲㉡㔰㔳愳㔴㘰㝦扦戱㤸㜶昳㑤搲ㄱ㥥㉥收晣㘱户㜲户㙢㕡㠳搶愱ㄵ㈹㡢㍥ㄹ㕣㌰㠹㌱戱㑢㌳晢㡤慦攸㘹ㄳ愷捦搴摥㜷㝣㙤愹㘳戱攷晥㝢㤵㠳挱㔹㑥敢て摡㡣㔹搹挱㘶㈶㥥戲㜲ㄳ㑥晥ㄵ㙢愴㠷㐰㐲摢㜰㌵㡦㡢ㅥ愷ㅡ㙡㔴㡤㠵戶㈴攳㠵㘱㘳搸㑡㙥ㄸ㉥㠰㠷〰愱慥㡥搰㔶ㅤ摡〴㑢㐷㐹㘲㈰攱㜰挰㠸㔳挹〸㙢换捥㠷㌸㘷晡攸昳㍤㠶㈰㕡收㤷〸〶昲愱㌴敥挳昹㥡ㅡ扦㔶ㅥ㙣收㠷ぢ㜴捦〹㠵㥣搹改〴挹〶㤰㄰攷㙥㤳㑥㈷㠹㕡㉤㘷捤搳搳晤㔶挲㐴慣㈲㔷户㌲㐳㘹㝢晡摢㙦攵㘳㥡昳攴攵戸㔶㐶つ愴㜰昱㌷愴改晤搶㘸愱摦㉣㤸搳搲㤸㜱愳㤷㌴㤴ㄶ㑡㈹㍢挵㤲搳㠵攷㤶づ㍢㌹㔸㠸㐸搲㘳愵㕥ㄸ戶㈵㕣㌸戸㕥〲㌵づ㥤戸ㄱ愸㍢㠷㐸愳搲搱换㘷捥㤸搰挷㤷㔹㤹戵㘳㥢慣㍣搵敢㡣〹愱慣扣扣㘸㙣㘵㉣扡慥㤰㑣攵㥢㔰搳㘵戹散挸愶㡦搳づ㙤改㘱㄰昷〸㕤っ㉦㥥㝡㥢ㄸㅣ㑦摢捣扥ㄹㅡち搴搱ㅡ㌹㥡昳㜸㑤㙦愵慦戹㠷㑥㈱ㄵ㥥㐸ㄶ攲㤴晦愳㐴ㄹ㥣㙢㌷愴㠱搰摡㥣㈵㜱㔳㥤㘴㠰昶昴昴㤱搹摣挶㘸㌶扢㤱晥㌴㐳㜲昹㘱换㉡㌰ㄶ愹㜷㘲㉦㠹戱㤴慡愹㈹ぢ㌰㍣㐱ぢ愳ㄸ㘳ㄳ挸昴㕥捣戵㕣㡢㜹攳㐴戰㙡㄰ㄵㄹ㌹㈴㜶㐳愰㌴㤲㌲ㄹㄳ捥敤捤㤸愹戱㝣㌲摦㌴㥡捡㡦慡㜳㥣晢晢攸散ㄳ敢攷㝥㉡摢㜷挳戳慦㕤㤸㌸攰攲攳搵搹㡥愰㉡㈲㘱挸㈱攱搰〸ㄲ敡换㔰攳愸㠲㜴昹愱户㈰慦㐷㐹挶㐰㌰㌶〸摡ㄸㅡ㑥戲戳㡡㘱ぢ㠷〷㝤㌲挹ㄷ㐰ㄴ㠳ㄷ〹慣㑥㐱挲㍤搴扦挰㍥晢㕣晡㡤㜱㡥㔸㈲戰敥愱㑦㐷㉡慣㈷㤰愹扤愰挱扥搳挴㑡ㄳㅤ㑤㘴搴ㄶㄸ㘶㤰㔴〵挰㘶㐷㔰ㄵ㍤捤㐳㌱〱攰㉢㉣㕦㠰㥡㍦〰攷昰ㅣ攷㤲㥣〷攲〱攰〲㍢慢收攳慦〰㜰㈱㤵扥ち愲ㄶ㠰〸〰ㄷ㈱攱ㅥ㙡㈳捥㔱〴㘰㙦戰〵〰㑥㤶摤㐳㕦㠲㔴㔸㑦㈰㔳晢㐰挳て〰搳㘹㘷ㄵ〰挷㍢㠲慡㐰㡦㤱㥣〰㜰ㄵㄲ敡戸㜱〱戸ㅡ㘲晤㉤㤲㙦㠳㜸〰戸挶捥㉡㐶㠳〲挰戵㔴扡づ㐴㉤〴ㄱ〰慥㐷挲㍤搴㍡㉦〰っㅦ㙤㕦㜲攵㘴摣〸ㄲ搶ㄳ挸ㄴ㈳㑤㍦〰づㅤて㠰㐳ㅣ㐱㔵㔰晡㈹㔸ㄲ〰敥㐴㐲ㅤ㍣㉥〰㜷㐳慣晦㡤攴晢㈰ㅥ〰敥戵戳慡ㄹ㝦〵㠰晢愸㜴㍦㠸㙡〵ㄱ〰㝥㠰㠴㝢愸挵㌸㐷搱〳㕡挰ㄶ〰㜸㐱戸㠷㝥〸愹戰㥥㐰愶摡愰攱〷㐰㠷搳捥㉡て㘸㜷〴㔵〱㌴挳扣〹㘶改㘵㌱㉢摢㔷㌶㑢㙦㐸っ㈴㔳〵㉢㘷㑦挴ㄲ昸㘳慦㘹㐹㝥㍡㈷㥦㌹㌳㘶慦ㄶ捤㑥昴㘱晥㠹㐵戴挲㔸㘹㐶㕥㌵晦戵愷㠷晦㌳换摦攱㘶昹㌲挷㉦㥢改㑦㌰㡢㠶搳㔴捣昳㈷㔶昶㍡ㄱ㕣捣昷㥥㉣㉥搵〴换攵㑥挶愹㕤攵〴㐲㔶ち㡢晡㕥㈷愴㜶昳昸戳㝦㍡㝢戵㤳戲搰戸㌳㙤㑥愶晦㈷㑥愹摣愴戰攳㤴㈷㠱㡤晥〹挹㔳㈴㑦㤳㍣〳愲㥡㌰ㄸ昱㐶㝢㈴㐶㍤晥㝥㔷ㄳ〸ㅣ㈵㠱挲戳搴㜹㡥攴㜹㄰捦㌰晢〲戲挶㡢㈰つ扤㈳㠵散㕣愷㔳挳㑡㜵㠲㈷攳敥㑢㐸攸㤷愹昱ち挸攱〷㕢㈹〴扣ㅦ搷摥㐲愸ㅢ㌶㈷㥥愲挳㜹㜶㠲搲㉥改挱戱㑣㙣㌸㤷捤㘰㙦㠶㤱㐳㙦っ㡢昳㜹㘵ㅡ改ㄵ搹扥㤱㠲㤱㍥㌸㠹㍦つ改㌵搶㈶换㉣昴㘱㐱〳㘱挹ち慣㑣㑡搰戱㍣㍥晡晦㌳㈸〹搴愲〹㔸㉢㉡挵㈵慡昲搲戵挳〳〷摥愶晥㉣㌶㝡㉣搹㥤㈲散㠶㠱〰㜳〷㡣㍡〲晡攷愸摤㤵㝦扣晥㌳晢晣敦㥢晥敥晣㍤ㄵ㉥㈸㠷敥㠲㔰㙥挳捣㈲㉤㠷㝥ㄵ㝦挲ㄳ挹㔴て㌴㡡户㘱攳㑤攴㙡攰〶昶㙣㜴て㤸昲㥤㡤敥敥〸慡㤶㑣㍦㡢昲㌲ㄷ昹つㄲ㙡㔷愸昹捦㐶㝦〷戱㝥㥢攴昷㈰㥥㡢攴㕤㍢慢戸慥㉡搷挴ㅦ愸昴ㅥ㠸㕡っ㈲㜳㤱㍦㈲攱ㅥ㙡〶捥㔱㥣㡢晣㌳搸〲㐲㥤㉢㈷攳㝤㤰戰㥥㐰愶㤶㐰愳〸㠲㘷㍡㕥㍢ㅥ〰㌵㡥愰㙡㜵户て㤶〴㠰晦㐲㐲愹㜱〱㘰搸愷改愴㍡〸攲〱㠰摢愷挸慡㝥㤴ㄷ〰㐲㔴㌲㐰ㄴㄷ㠲〵㠰㘹挸戹㠷晡攰扦㑡〰ㄸㅡ㤲攰㐰㥢㘰攰㙡昰慦慥㠷㈰慣㈹ㅥ㐷愶戸挲散㠷挱扢戰敦敢〴敦㌸㠲慡挵攸㐳㘰㐹㌰㤸㡤搳愹户愱收敦〴扢戰㌶扢㤲散〶攲挱㘰て㍢慢戸㘲㉤ㄸ散㐹愵㌹㈰㡡敢搶㠲挱㈷㤰㜳て昵㠶〷〳扤〲㙣㘹愴っ〴㡥㡥㥥㐷㥢ㄳ挹搴攱㔰昵〳攰挵昱〰㜸挱ㄱ㔴㉤㥣慦㠶㈵〱㘰㝦㔶昹㜹〷㠰っ㌲晣つ㑤ぢ〴ㅥ㘰摤昴〱挸改〳㐹㥡㐰㍣〰㌴摢㔹戵〶㕡〲㐰ぢ㤵㕡㐱搴㕡戰〴㠰㌶攴摣㐳㍤攱〵㘰㄰㙣〱〰㈷㉡ㅥ扡㡢㌶昵〴㌲戵づ捡㝥〰㍣㌸ㅥ〰て㌸㠲慡㌵晥愳㘰㐹〰㔸挲㉡摦敦〰㔰慣㡢㥢搰㑢㈱搶㝤㈴晤慣㕤㈹㉡ㅦ戰戳敡㘸愸ち〰换愸㜴㌰㠸㍡〶㉣〱㘰㌹㜲敥愱敥昰〲挰㥤〳〱〰㌷攵攲愱て愳㑤㍤㠱㑣慤㠷戲ㅦ〰㌷㡣〷挰㜷ㅤ㐱攵㝥㐴㘸〸㤶㍥挲㍡㜲㍤搴㜵攲㠸愴戵㠵ぢ㕦㌳ㄲ搸搹敥ㅢ挹ㄷ戲戲㑡㌷㍤搱㥦㍤㍣㕢攸㑦收㌷愵捣戱㔹〹㈷㜱攴戰㤵挱ㅡ㝡づ㑢改ㄵ扣散愶㑤㔶㕣㈷〶戳㈳戹㤸戵扣㝦㐷㔸㘳㤷㕥挰扡ㄱ㐶扣愰挲戱㝤换挶攸㝤〵㉦挱ㄱ〸㤹㌰㔹戹晡攷㤹㌵㤷〲戴〸ㄴㅢ㑢㠸慥㑤ㄶ㔲㔶㝤㐲攴㤲慥㑢〰㐵㙣㑣挴愷㈵搶づ㘳㔵慣㝦㝡㘲㔹㉥ㄹ㑦㈵㌳ㄶ㍢〳㐱ㅦㅦㄷ㔸㘱㙤挰㈶挴慡㙣㍥挹㘵慢改㠹戵㌹㌳㤳摦挴昵搴搸搸㑥㘵㌹㤹〳㠵ㄲ㑢㤳㤹㍣㑥㈳扤挸㜴㘳㘲㜰㌸扢〵捦挳㡣愴㌳换捣㑤昹ㅤ愲㔷㑡㔷㤰㜴㡤ち慡㘰㔰搵〵敢戶户㝦㡣㈳㘰㜱ㄶㅥ㔷㌸昰昰散㕣昸㘹㈱㤷㡣㡥㄰㌰改㝦㉥㈶搴㤲㐸ㅦ〶㐲㔱愴㈶〸㝣ㄸ晥㌸㕢㐳摣昶㘰㕤换戶扢㝤㔷攰㡢てㄹ㌱攴搱㥣㤹㌷ㅣ〵㜲挸戲㜵换㑢ㅢ㠲晦搰㜳㍦愱ㄸ㉣㔷捥㈸㉢㍤慦戸晦戲㌳㤴㘷搸㉥㐴ㅥ㍤ち㔷㈶㍣㠱戹㑡户っ㈷㐴㠷ㅥ㍡愳㤴ㅣ挰ㄲ㝥㐳㘲㠵ㄹ戵㔲搸㜹㐸㥢㠵ㄹ㜶㠶㐱㘰摡㑣攵ㅤ㔹㕦㌶㥤㌶改㜲㜴搷挱㤸㤹戲敡ㄲっ㌴づ㑢㘶㜴〲㐴晣搲㘱㤹愳㘰㤹愳挲㙡㐸慣攱㡥愴愴㘹㉢扢挱捣㈵ぢ挳改㘴慣㡥ㄹ敥ㅡ敥㄰扥㡡㡢摦㝢㐳㜷挷㤲捡㠸挶㥥摢愳扢㥢㄰扦ㄳ㍡㜶㍦㍣㍡愸っ晣愷戶㜳挳ち〳㡦摣㔰昴攷㘰㉤挴㌸て㠳ㄸ㈸㡥昷摣㈷摦摥㍢ㄵㅣㄹ㥣㤴〵㍥挵晡ㄸ㔰㈶昸慢攵㤶捦㠴扢ㄹ扣㕦㠷㔷㘴捤昸〰㤶㥣戲戹㘹捥㜳㙡㜵攸㕡づ㌵戹〸昷㤷晡戰㘵㠹慤搰捤挹戸㤵慢㈳㘳㄰㔱㕡㉤㜷愶っ扢て㌱㠳慦〹㠴㐲昵㜵㝥攷㕡敥摡㕡攰慣摡㝢㥦搰㕢㕥㘵晦昷慢扢ㄷ戳敥攱㌰㙦愵㝡㍤搲晡㔸㄰戵〱㔹戶愷㐲攱㌸㉡っ㠱㠴㠶㈱慣散㥢昲慤ㅥ㙣〸㜱搱戸㔶㥥昰攲㈶㔴ㅤ㌶㙣㘴昷㉡㈴つ愹昷散㍡ㄹ昶㠶㔳㥤晢搸㤸㌱〸㉦户攲㘱㝢㝣㘵㡣捡敥〸〶㙢搱搵㐶攵㕡㘰搵㘹㘱㉣㍤㘸挹㜶㤴攲敤挱㌸ㅥ㠵挳扣㔸㘰㝦〸㡦㔳挵挱挴搴扤ㄸ㐷㠵挳㍡ち㤵㐰㔸㜱㑢挶㙤㌷㘳攵㜰㤸㥤愶㘳㤰敡㌸㠸ㅡ㐱㤶㜷㝦㈴摤㝢㤵摡㠲㥣㐹㤶㘱㐱㘵慡攳愳ㅡ㐵〹㡥㤱㍡㐱挳㘳㐸㜱攸㈹扡攲㌰戸㤳扢攲㐹㉣㠱㥦㑥搲㠸㤳㔱㈷㈳攱㌶㠳㑣愷㝦㑦㐰㕡㙦愴㈲㌷㐰㝣ㄴ㔲㔴㐸㔳攱ㄴ㈸戰㡦つ㑥㘹㑢搸㜵晢㘱户〹㉡挰敥㜴㡦㑤て㜶㈷搲㘶㡥㌶扦〲㠵㑡散戸㙦㘱攲ㄷ㌰昲㔰㤹㌲㜶攷愲㠴㘰挷晢㠶㍡て戹㌲散㌶㠳㍢㌹㜶ㄷ愰ㄸㄴ〳㝡ぢ㡤㌸ㄹ㜵㈱ㄲ㍥搰㡣㐲㐱㡦㔱昱慢晥ち㥦愷挲㐹㔴戸〸ち㠲摤挹挸搵ㄷ晤づ㑦戶昹㌸摥㈹搰〱㜸㤷㜸㡣敥㐹㑥㜸㈶愸收㤸愳㑦愳搱慢㤰慤〴敦㙡昰㑣晣〲挶扦㐰㘵捡攰㝤ぢ㈵〴扣搳㘹㤸摢㈵㘵攰㝤ㄱ摣挹挱扢〶挵愰ㄸ搰㕦愲ㄱ㈷愳慥㐵挲〷扣㌳愰愰捦愴㈲昷㕤㝣ㄴ捥愲挲㔶㉡㕣て〵〱敦换挸㤵ㅣ慦挷て扢戳愱〲散㙥昴搸昴㌸摥㌹戴㜹㉥㙤摥〹㠵㑡散敥〶捦挴㉦㘰㥣〷㤵㈹㘳挷つㄶ挱敥㝣ㅡ晥㍥㜲㘵搸㕤〸敥攴搸㜱㐷〶㡡搸㠶愳ㄱ㈷愳敥㐳挲〷㥡㡢愰愰扦㐶挵晢晤ㄵ扥㑥㠵㡢愹昰〳㈸〸㜶㤷㈰㔷挲慥摤て扢㑢愱〲散ㅥ昲搸昴㘰㜷ㄹ㙤㕥づㄲ攲ㄲ改〴搳㈱㉣㈶㜹ㄶ搲㘷㐰搹㐸慣换㈴ぢ㤸愹搰昱〷㤲〵㡣戹つ〹㄰㈴㘵挵㝢て㤹挱㜸ち㉤㉣㐶㐶晦㔴㉤㉡ぢ㤵昶慡㤶㝢㘳愷〵㍥㘲㍢慡昲〴㔳㤳㈹㐹㜴攵㔳挷ㅤ㈹摣㔲昶㈲㘸挰㡥戸搴㍥攳敦ㄷ㜸㜰攷㡣昹ㅦ〸捥挴㠷〲晡ち扡㡤挲㝦戸㘷㕥㠹㌴㘳戵㥦㑣敡㈲㥥敤ㄳ挶挲㘱挶㙢㌶㙦扡戳㍦户㍣㤳挷㡣㈷散攴㌰㥦㥤攱㈴㔷㡥ㄴ捡㈴收攸㉣㐷㠲㐷㄰㔶㘶㄰㠵挴捣㕣㝣〷㤹挲愲㙤㜶愴㈵戳搱敤㡤㠲㘱〵㠷㘷攲㠹㜵㡤㙤づ搶㑦㐱昲㔱㜷㥦愶ㄳ敥攲愶㔴ㅤ㜳㠷㔹㘶㐶㝡㘱戰㄰敦户㌶换㤲挴㉡ぢ敢〹㜸昶㍥㘵捤㤲〲挵慣㑣搷㜴愲㌷㥡㐷㜸㕢㘰散攲愴攴㐲搷㠹㌵ㄶ㥦昶搸㙣㈱搴㜰㔲慢㘲㠵挶㐴挹ㅥ㥦〵摣㜱㝡〸〸搶㍡扤愴愴㥦㡣〹挶户昲㐶昰ㅡ摡捥㕥㐵晦㈵攴㜸㜷戱扡昴ㅢ㍣慥㕢ㅣ㜰ㄳ捥愲〷昷㥦㈶㠸㤸㌱搶㝡户ち㜹㈵捤㜲㜷戰敤ㄱ㑥〶慦〶㤷挷戰㝡㍡㤷㍦㜲〵㍣㌰换挷捡ㅢ㜹改愴㄰㜷ㄴ㤲㠸㈰㔳㘳㌳ㄲ换㌳戱搴㐸摣㤲昰搳ㅤ戳㈵ち摤㈱晡慢㤶愳㡤摤㔷ㄳ攰攲㠰戲ㅣ㙦ㅣ戹て㔰㙥昷ㅡ㤴搲㔷攱㥣挶㌷㐱㙡ㄷ昵戵挸㑡慤扥ㅡ㌹づ㜴捦愰㌶ㅦ㜹㜳㌶㡣㐲㍢㤵ㅥ㉤㤰㔷㕡㌰扥㔵戱㌸戰㜱㤳慤戸扦㉢㤷㥤㐷㙤㐵㜶㐵㤶ぢ㔹ㅥ搶挱㐹㥢戵㐳㜴ㄶ摡㘹昷㤵㘱㈰ㄲ摦捥换㠴㐶㌰昴挹㥦挰㝢愷㍡㝦ㄷㄳ㝦昴㠰㝡ㄶっ㤳㑣搹昴㤲挹㔳㉢㜲㐱ㄲ㐷攵㌹愴㘴㠶昶㙤昴㥡㝡ㅥ㌹㝢㠶㘶㉦ㄹ敢㙢挰㥤㝣㠶昶〲㡡㐱㌱愰慦愵ㄱ㈷愳㕥㐲挲㘷㠶㜶ㅤㄴ昴昵㔴攴收慥㡦挲㜷愹㜰〳㐸㠸㝢㝣㤵愳捤戸摢㤵㌵㔰づ愵ㄹ晤搶愵戹ち㠰㙢搵挰ㄳ㥦搸㡥㐵㔰㙡搴搷扤〲戹晥ㅥ捣㍥昹挴ㄳ摣㔰ぢ愸㔷㐱摣昳㌳昸㜶挲搷ㅢ㜹晥㥢㐰搴㙦挰ㅣ挲て挹㘲昸捡捤㍡㤳㉣攳㘶愸㑣㜹㈶晣㌶㑡〸捥户搰㌰昷昹捡㘶挲户㠲㍢㌹捥敦愲ㄸㄴ〳晡㌶ㅡ㜱㌲敡て㐸戸捤㈰搳〹㕦㙦㐷㕡摦㐱㐵㙥ㄸ晡㈸摣㐹㠵扢愸昰㐷㈸挸㑣昸㙥攴㍣㈱㔸㡢摦㔴昸晢搰挱㔴昸㝤㡦㔱捦㔴昸ㅥㅡ扤㤷㐶戹攷㔷〹ㅥ㉢㙤㠲ㅦ㌰敥㐳㙡捡攰〱㝤ㅢ扣晢㤱挰攲㔵〵㜸て㠰㌱㌹㜸ㅣㅤ昱㉦愰ㅦ㜴ㄲ捣㈸㙥㈸晡㘰昳㐳戰昵㐳㔴㌴晣ㄵ㝥㐴㠵㠷愹挰晤㐷〱敦ㄱ㈴㡡㘱〴㕥㔵昱〹㕦ㅦ㠳ち戰攳晥愳㝢搲㑦㤱㘳㠷慦㍦〶㕢㍦づ愲㘶㠳㔴㘲户ぢ㜸㈶㤴〳挶ㄳ㐸㑤ㄹ扢㕤愱㉣㡥昷㈴ㄲ㙡㌷㤰㌲挷㝢ち㡣挹戱攳ㅥ㈴晥攱㤹て㈷挱㡣摡ㄳ搴㙤〶ㄹ㡥攳㍤㠳戴晥㈹㠸㥡攳慦昰㉣ㄵ㥥愳〲昷㉤〵扢攷㤱㈸㘲㠷㌷㜲㝣戰㝢〱㉡挰㙥ㅥ晥戸㈷昵昸摤㡢㘰敢㤷㐰搴晥㈰㤵搸ㅤ〰㥥㠹攲〱攳㘵愴愶㡣摤㠱㔰ㄶ散㕥㐱㐲㜱㕢戲っ扢㕦㠰㌱㌹㜶扣㈹攲㕦㐰晦扢㤳㘰㐶㜱て搳㙤〶ㄹづ㜶慦㈲慤㕦〳㔱摣摦昴㔱㜸㥤ち㙦㔰愱つ㐴戰晢㈵ㄲ㥥㡢戶搹て扣户愰〳昰扡昰挷㌵敡〱敦㔷㘰敢㕦㠳愸㈵㈰㤵攰㉤〵捦㐴昱㠰昱ㅢ愴愶っ㕥ㅦ㤴〵扣摦㈲愱晡㐱捡挰㝢ㅢ㡣挹挱ㅢ㘰㔹㥣㕡晦摥㐹㌰愳㤶㠱扡捤㈰挳〱敦ㅤ愴昵扢㈰敡㘰㝦㠵㍦㔰攱㍤㉡㉣〷ㄱ昰晥㠸㐴挹昱㍡晤戰晢ㄳ㔴㠰摤㘱昸攳㥥搴㠳摤㥦挱搶敦㠳愸㈳㐹㔸搷晦㜰ㄲ捣㠴㍥〷㕡戹昴㕢戵㉣㕦换㌳㈴戸㐰㍦㔸ㄸ㑢㘱㔳㠴㐹㉥〵摢㈹摥捥㙣㌱ㄶ愸戳㌹㡣㘴戵㤵て戰ㄵ换ㅥ〷㔳昵戳㉢㕥挳㤱㘲㤴ㅣ㠵摡㠴㌴㌶㙡挷㉤捦㑡㤷㥥挹㘷ㄹㅥ挶〷攰捦㍥㉣ㄹ换㘵昳搹㐴㘱敥㈰㌶晣收昲戵㈶㈰搲摣ㅢ㥡〶㡢扥攷㘴挳㙡㌳㝣㈵㜹㌳ㅦ昳て㙦捣㘴户㘴愴㌶愱㍣摦敥攲搹昴戴㘹㍣つ㘷㝥㜲散つㄴ㈳挷㐰挲挲晡㉦㐸㑣慦㠹慣挷ㅦ㉡ㅢ㝦〵摤愷㙦㘹摦㥡愱㥥昶㥥㘸㘷㈲摡摣ㄲ㌳㕢摢㝢㥡㕢扢ㄳ戱敥㜸㕢㉣㘶戵㈴攲㍤㍤㘶㍣㈲㙢昳戴昱㈱捡㐴㡥㜳㉣攸扦㌱㌷攴收㈸ぢ㐵㐱愶扡㔰捥㕡愹愸㡡愹戸戲㙡愷㑤慢㕡㑦愸㕡㘰㉦扥扥㘱ㄸ㕣㕦て㈹㠰㔵戹〸攱㕦〸戵昲昴〵ぢ换㠶㍣摦㡢搰ち㈴ㅣ㠹㐱㠵ㄵ㌲㠲挸捥攸㕢㍡攴搹㈷㌴㙡挰㙢〰㑦愶挶㙢昰捡㤶㔱ぢ捥㑣㜰捡㕦ㅥ㌷㜸ㅤ敥〴㌶摥㐹㜰摦㔲愰昳㐵攲㡥昵搲㍢搶扡づ慡昶昳㔰〹〸㔹㐱ㅤ〶㡢〹昹つ㠳搲攵搵晢㝦晢晢摦改㘸㄰〴㡣〶愸㡣敢㍤敡㑦㔰愵〷㤵㝢㐰ㄲ㔶挴〳㘶愰㌰㍣攰〴㕡愵戱㐶攴㙤て㘸㙢㡦戵昵㐴㍢攲ㅤ昱㥥㔸扢㘵戶㜴㐷摢愲慤㔶㉣摥搱㥥攸敡㙥敤攸㡡㙣㜴捡㘸㝥㌹㈱㤲㜲㜳㌳㤹㑢扢㌹捡搴㈶攴攸〵敡ㅤ㔴㠶㍤㈴㐸捦㠶㐸敦っㄲ㡥㥣〸愱㈰扤ぢ戲㤵㐸敦ち㕥㌹搲扢㠱攳㠳昴敥㘰晢㈱捤ㄵ㝦㘹散ㅥ㘸愱扣㌵慥攷㐰搵㐶扡挰㝡㤱扦ㄷ㔸㑣挸㙦㌳愸㈰晤扡〷㘹捤敢㤴㤷愴㝡搵ㄷ搴㉤㄰换㜹收挳ㄴ㐰ㅤ㐵㥥㈵㡣扤㤱户㐱㡤昷㜴㥢搱㘸戴摢㙣㘹敥㙥敦㑥戴㥢㔶㜳㔷慣慤㌹摡ㅣ㡦㔹㔶㝢戴㌹㈲换晡㈸愳ㄷ愰㑣攴昳㡥〵晢戲㍡挹捤㔱愶㑥㐱㑥㐰㝤挹ぢ敡扥㄰改晤㐰挲㤱㔳愱㈰搵愱〷㙡晡慢愶㈳㙢晡㘹攴㌴㔷㤸攳挹收㤳捣㈳㘹㠱㔰㥤づ㈱晥攱㌹㈰收㤰㤰摦ㄷ㐱〵㤳㈷㝤㌱㜹摣ㄷ㤳㉦愱㤰㔴愲ㄳ愶㠰挹ㄹ挸搳㥡搱㠵扣㡤㐹㐷㑦㙢扣愵愵愳㈷ㄶ敢攸㙣敦㠰愳挵㥡㘳搱戶㤸搹㤵㘸敤㙥㐹㈴扡㈳㘷㍡㘵㜴㌷捡㐴捥㜲㜳㌲搴㙣㜵㜳㤴愹戳㤱ㄳ㑣㝥攴挵攴戳㄰改㐵㈰攱挸㌹㔰㤰敡〸ㄲ㠲〹攱搰㠴㈸挲〵㝡ㄱ敥换戶敦㐷搲㑦㈱㈱㔲攷扢㈷ㅡ〰ぢ㘹晢挷㐵㜶挱攴㙥㕦㑣敥昴挵攴慢敥㜹づ㠱㈹㘰㜲㤱㘳摡㌸ㄴ㜹ㅢ㤳敥㐴搴㑡戴㜴戵昶昴㜴昵戴㜷戴戵㤸㕤㍤㙤㔶戴㈳㥡㘸㘹㑢戴㌶㕢㕤ㄱ㔹㠵㘷つ㔷愰㑣攴敢㡥〵摢㑦㉥㜶㜳㤴愹㑢㤱ㄳ㑣㙥昱㘲戲ち㈲扤ㅡ㈴ㅣ戹っち攳㘲㜲戹㉢攴㔴㕡扥㌸愰昹昰戱㘰ㄲ扡〲挲捡挱搶昳㝣㠲㘷挵㤷㕢㤷ㄱ捦㌲扣っ摢㌳ㄳ慢㐷捣ㄴ㍥戰戱ㄲ㙢㐱〵戲㜶㠴挵㠳㕡㝢㐵㙥搲㍢㤶㌴攱㤸㘳㜹攳愸挴愰晣㠶攳戴㑤㕥㌲摣扥愵㠸㜰攸㍢攸扢愹㥤〵㕤㔲㜱㕢慢〱㈷慣㡦㘱㕦㘳搹攲㑡㈸㔰㐷慦〷挳㍤搴㌶㍦㙥攸㉡㜰愷扥搸㐵慢戳㌰晤㜰㍥挳挳挷㌹ㄶ愶戰敥㌷㠵愷㘷㡥㐵㕤搴搵㝥㜵㔰摦㜶戹㐳搴挱㈹搸ㅣ㜵つ㔲㜲摤㙤昳㕣㜷㠶〹㤵昱敦㠴㔷昸㕥㡣搷挲㤲㜸㝦っ㠵㜱㌱㕥攷㥣捦㠸㈳㙦㕦㡣㜸㍦扦慢慢愷扢戹挷敡㙥㙤㙦敤㠸昶戴攲㥦搹摣㙥㐵ㄳ㘶愲㈳ㄶ㡢挸㠲ぢ慡愵㉤㤴㠹㝣搷戱愰ㄳ捣摤攰收㈸㙢晣ㅥ㜲扣ㄳㅢ昸㝤慣㐷㠴ぢ㉢㠴挶ㄸ挶㜹㉡㙦愱㐹昰捡㙦愱㈷㠰㔳㝤ぢ㡤㜰㘵㠶㔶㑡ㅦ戴搰㘹㘸慡㕢摣㔶㘴㤸㠳㠲晣㙥〵㤵㕥戸挰搳ぢ愵扢攴㜹扥㠰摦㠶㐲〲㜸づ愶〰㌸㤷㔲㘸捤挸㈳㙦〳摥搳㡡ㄷ㡦ㄳ戸ㅦ戶戶攰ㄶㄹ㌷㝢摡愳戱㤶㙥戳㍢搶㘵㜶戴戶㐵㘳㤱㍢㥣㌲扡㠰㌲㤱㍢摤㥣摣ㄱ敥㜲㜳㤴愹敦㈳㈷愳摦㔶㔴愶㌸昵ㄸ㠵㐸㡦㠱㠴㈳昷㐰㘱摣搱敦㕥㔷挸愷捤攵ぢㅣ晡㌴ㄶ㤵㍢挲晤敥㠹㑥攷㠹愰㈰㥥挹昵ㄲ挱攴ぢ㕥㑣㌸㐷㤳㤹挳㐹扥㤸㍣攸㥥攷っ攸〱㤳ㅦ㍡愶㡤㌳㤱㜷㌰㠹戶昷㈴㘲㥤㙤敤㥤㙤昱㜶㑣㈳扡㑤戳换㡣㜵挶慤㘸慣㈳㙥㕡慤㤱㠷㥣㌲晡㉣㤴㠹晣挸捤㙤㘵敥㘱㌷㐷㤹㝡っ㌹挱㘴挴㡢挹搹㄰改㜳㐰挲ㄱ慥㤵㄰ㄳ攳㕣㘴㝤㘶㔴挶㜹攰㤷晢搳昹攰㔴㝡摤〵攰昹昸ㄸㄷ㘱㙣〷挰㈹攴〳㈴扡㡦愹慦㐱㕤㍤改搶昴敢捣㠱㉤㍦㉥愴〸愸㐹㉦愸挵改搸〶㕦㔰㥦㐶㈱㌹捦愵㌰〵㔰㥦㐱㥥搶㡣换㤰户㐱㙤㐱㙣㤳㘸敥戲㕡㕢㍡㉤捣㜱㌱㉦㠳搷㜵㈴摡ㄲ敤㔶㜷㌴㤶㘸㡢挸㑡ぢ㉢㜷㌹捡㐴㥥㜵㉣搸户搹攷摣ㅣ㘵敡〵攴〴㔴搳ぢ敡㌶㠸昴㔵㈰攱挸㡢㔰ㄸ搷搱戸戸㈲挲㐳㜸戲㐳㐹慥㘵㔱㜱戴㔷摣ㄳ㕤てㄶ晥㠹愶晡〵戸㠲挹㍡㕦㑣〶㝤㌱攱㌲㠹㥣攷㐶搸〱㈶慦㍡愶㡤㥢㤰户㌱改㡣戵户㜴㤸摤ㅤ慤慤㕤捤敤昱慥㥥㥥づ㜰㕡㍢扡㥢摢扢摢㍡㝢攲昱挸㙢㙥㜵㙥㐶㤹〸搷㑣昰㉦㘰㘳昲㠶㥢愳㑣扤㠵㥣㘰㜲㤸ㄷ㤳摢㈰搲户㠳㠴㈳扦㠲挲戸㤸㜰捤㐴㠴慢㘹㝥つ挹㍤㉣㉡㤸晣搶㍤搱㝤㍣ㄱ㘴昲攳扡㠷㘰搲敢㡢挹㘲㕦㑣戸晡㈱攷㜹㄰愶㠰挹㍢挸搳㥡昱㐳攴ㅤ㑣㕡慣づ愰搱ㄳ敢敥敥㙡㑦㜴㜶㥡㔶㜷㜷㉣摥摥摡搹ㄵ㌳扢扢ㄳ㠹㠸㉣㡣戰㠶て愱㑣㠴㑢㈱戴㘰㘳㈲㙢㈲慥㑣㜱挱㐳㌰改昱㘲昲㈸㡡改挷㐰挲㤱㍦㐳㘱㕣㑣戸ㄶ㈲㐲㍥昷㉥ㅦ慦搱㑦戳㈸㌱㠹㜰㘹㐴㠴㍦〵㙢㝡㑤攸㉦挸㝦㘶晣つ㜹㑦㌴扢㄰晢㔶㘵㕦㍥㌹〸㕦㌲攱昸ㄸ愸挱攳㝥昶㐳㜲戵挱㑦㙦㥦㉤㑥㤴戸㕢挹㕦攸㐰戴晡ㅦ戰㠳ㄶ㜹㘶㌷戴昸㑦昸改攷㔰搵㄰ㄷㅢ㝣户挴㉡扦㙥攵晤挴ㅡ㙦挴㍢愷㤷攷ㄱ挱攳〵戸戵搹摥攲㜷摥㘶扡㤱晤㐲昷㠳ㅣ晢㤴㌸敥戶戳㕢㙣㘵慥㔸づㅦ戸挰㘲っ〴ぢ昹昹㡥㥤㑢㌹捦㐳㠶㝢㤶戸㜸摡〰㝢愰㔶摣戵㤸挷㜶㐸㙤戰㐶㔵㙥捤挸扣摡昹愲ㅢ㥦㉡愴㌵㝣㙣㘶㜹㥣て㘷敤改昳㠸攵搲㘴㐱ㅥ㔱收㠳㌰㑡晦ㄵ攰ㄸ㍦㈳㑣㡢ㄶ昴㉤㘸て敤㠷㝥㤸昲㈹捡㔱攷〹改ㅡ㘱晤㈲晥㈸摥㜴㘹㡤慣㐶ち攸㠲ㄵ昳㥢昷ㄶ㠳挷㘳㠹搰㐰摤㤲㐶㉥戱㠸收戱㙡摥㠵扤愱搷㑥慤㝣摦㙣晤㜹て扥扦敦晡㔷ㄷ攳㈹㜱晦㜷㈵ㄶ攰愴㝣㕤攸㥣㥢㝥晤㘶㘱㜸捥挰戶搷㡦摥ㅡ扢攷扡昹㙡㙦㐷㔰昹〹㠷〸ㄷ㔳攴〲昹㜷㈴愶搷㈸㉥㝥昰㈲㔱昳㔰㠲㥥㈹捥昴ㅡ戸㉡〲㐲㠷㔲㥡㉢㈲挶ㅢ㈰㌶㜲敡ㄳ搰㜳摢ㅢ搶㙦㔲㤹㑢ㅥ㉥慢㜱㌶㌲㔳㠳㠰㙢ㅦ㔳㠳㘰づ㌴㘵捤㘴ㄳ昰昳扣㌵戶㥢搳搲㉡〸㜶㜵〴㤵ㅦ㜱㠸㜰㤵㐳㈰昸ㅤㄲ㠰㘰㍥晥〸〴㍢愳㐴ㄱ㠲摦㠳慢ㄶ㠰搸㄰散㡤㤴昱㉥㠸〳挱捣㌲〸摥㠳愰㜱㕦㤰愹戵㥡㡢ㄳ㔳㙢㌵搷㈲晣㕡摤㌰㕥慢敢ㅤ㐱攵㤷ㅢ㈲㕣挷㤰㔶晦〷ㄲ㘸㌵ㄷ㈳愴搵摡摢敡て挰㔵摤㈰㜶慢戹㐲㘱晣〵挴㘹㜵愸慣搵ㅦ㐲搰昸㔹㤰愹戵㥡换て㔳㙢㜵㍦㌴晤㕡ㅤㄸ慦搵㝦晦搰扥づ㉡㍦搷㄰攱㑡㠵戴㍡㠸㤹㈹㕡㝤〸昲搲敡扦愱㐴戱慦㙢㈱㔴㕣㈹戰㕢捤㌵〸挳〰捦㘹昵晦㠵慥敢摢㘱㕤〷㐱攳㉡挷敥攴ㄷ㌹ㄷㄸ愶搶敡愳愰改搷敡㍦㍢㡤慢昲昰㍦㌹㠲捡㙦㌴㈸〶扡ㅣ戰昴っ搴ㄵ晦攴ㄷ㔹て㉥て㈵愱㈶ㄲ扡ㄱ㌲敡㔱㄰㘱㜰㈹㔰㐵挰〵㔴っ〶〵慡㍦㜸愱摡㠹㐵ㄸ挷搹㔰挵㤱㌲㘶㠳㘷㜰㑣㙤㘹づ扤㑤攵昱㙦㤲愵㠷㘶摣攱㍦捦ち㤴㌶〴㜸㍦攳ㄱ搶扢昰㑣㡣ㅦ㘹㤲㉣挵㌰慣〴搰㥢㘰搹ㄳ愱㕦㌹㌸㔴〱昴㤶㈳愸㝣㜳㌶㤲㠱㈵㘹敢ㅣ扢慤㡣挳愴慤扦㘴昵攱㘵㌲ち敥挵ㅡ㌰㠴戲摢捡攰捣㤸ぢ㥥攳ㄶ慦㐲户攴ㄶ昳㈱㘸ㅣ㜵散㑥敥ㄶ㥣㔹㑣捤㉤㑥㠳㘶愹搵㈷ㄶ㕢晤昲㜸慤㝥挹ㄱ㔴扥㉥ㅢ㘱㤰㈶慤摥搷㙥㌵㈳㉤㘹昵ぢ摥㔶敦捦㔶㥦〵㤱摤㙡㠶㕦挶〱愵㔶㍦㕢搶敡㈶㉡㌳扥㜲㠱㘸㘴っ㈵つ㘳㤷㤵づ㥦摢ㅦ〳慤愹㐱挰戰挸て㠲㥦㡣〷挱㤳㡥愰昲㙤搹〸㐳㉡㠱愰摤㠶㠰㜱㤱㐰昰戸ㄷ㠲㑥戶敡㜲㠸㙣〸ㄸ㉣ㄹ摤㈵〸ㅥ㈹㠳攰搳㄰㌴㙥㜳散㑥摥昱㡣㠴愶搶敡㙢愱改搷敡〷挷㙢昵〳㡥愰昲ㄵ搹〸㠳㈶㘹昵ㄲ搴㔵昷㠲㑣て㉡㠶㍦搲昴晢扣㑤敦㠳㔰摤っ㤱摤㜴挶㐴挶㐱攰㌹㍥晦㙦㘵㑤㕦〶㐱㈳㘳ㄹ㘹㔰愹戳㤹昲改㜰〶㍣㔳㙢晡㍤搰昴㙢晡敤攳㌵晤㌶㐷㔰昹㜲㙣㠴戱㤱㌴晤㌰戶扡㐶㌱挰㤱㔶晦慢户搵㉢搹敡㠷㈰戲㕢捤愸挷㔸㕤㙡昵㡤㘵慤ㅥ㘴慢ㅦ㜵散㑥摥攱っ㘹愶搶敡愷愱改搷敡敢挶㙢昵戵㡥愰敡㡤㔸㐶㍦㤳扤ㄱ敢昹㤸愵㠴㈵〹㙥挹搵㈷㙣㌶〳ㄶ㜹晣㌷㈵㥢愹つ㜸㠱㉤㠷捦㐹慥挰㝢㥡㜸㙤つ㥦ㄴ㜳㜶昸昰晥㈶㥦㠸㜲㕦㤱搲㤲㘳㘱㈳戱㌲㠷㜷愶愶㈵㤶攷昱㠰㙢扣づ㥦挳㉢攰挳㍦㤹ㅤ㘱㜹ㅢ摢摢戵〰〸㠷晤㕥㥢敦捥㌲户㡣㝤愳〳㜹㙣扥愹㠴㠷晢㤰㘳㤰敦扤㙤摦攲戶㜱㌴㕣捡㝤昰㈱敥㜹㤳㌳愸扥㠳㉥戶昷㉥㑦ぢ挸㕤㤰㜷㙢㝤っ昴㡤昵㈰㌵搸㔲㤵㕢㌸㐸㔸ㅦぢ㡥㍣㘱㈰㈴㄰㘲㑣㔸搹㌸敥昵㜳㔶ㄴ愸昸搶㘳㝤扤扢ㄷ㑦㘰㙡㕦㠴捡㐴㈱ㄵ捥ㄴ㤸㤶ㅥ㌲昹㤹昹扡昴㔰捡捡㙣㈸っㄷ㍦㉤㡦扤づ㝣搷㐳て㐱换〶ㅡ㤷ㄷ〳づ晡愵㜱㍣戸晥㡤扤搲户戱㔱攸ㅢ㌱㤰昲挶挶挱昱㌴㔶扤〶摢㙣戰㝢愸㌷㤱㘱㌳㜴〲㥡慥㐰㜱搲㉦搵搸〰慥㝦㌵㉥昱慤㐶㤲攷㈳收㈵扣㌷㤲ㄵ〷挷挶㕢㌱㘶㈸慢〲攳〲愹㐲ㅡ㥡挵㉡㜰〶㉥㔵挸㠰敢㕦㠵ぢ㝣慢戰㠹攷㉢慦㐲慥愲ちㅦ㔴㔶攱㐳户ち晣㍦〱ㄴ慢挰改戰㔴㘱〴〹晦㉡㝣搹户ち㕢㜸扥昲㉡㡣㤱攵㐱㠱戳改㌲ㄴ㌸㘳ㄶㄴ㑥㐲挲慤㐲㠴㜳㔳ㄹ㤹㑦㐶㐲㝦㠱攴ㄴ㤰㜰㠴戳㔲ㄱ㥣㡡〴㠶㙣捥㐷愵慥愷㈱搱攸㝥㤷㝢敥㘶慥㌱攴㠳敡㔴户㥥㙦户敥㕥扡㐲㑥㠷慥㝥㤳㥤㈵㈷攴搵昱㐵戲㍣昵攴㔴㤶昵扣㙥昱㙦㤷㥣戲攴换扤㡡㌳㑥愹攷ㄹ㐸戰ㄸ㝦㙡づ㌲㜲晡㌳㤱昰㠷㙡搴慤㐲挰㝢㤱㙥㠵㝥〵㔴㕦㈱换㔳〵捥㌰换愰攲㉣㔲慡㜰づㄲ㔲㜳㔶㠱昳㌵愹挲戹㐸昸㔷攱㐴摦㉡㥣て㝤捤㑢愷攴戳ㄷ㤲攵愹〲愷㝢㘵㔵攰㤴㑥慡㜰ㄱㄲ挵㉡㜰扥㈴㔵昸ㅡㄲ晥㔵㌸挱户ちㄷ㐳扦〲㠵㙦㤰攵愹〲愷㕢㘵㔵攰㤴㑡慡㜰ㄹㄲ挵㉡㜰昲㈲㔵戸ㅣ㠹㤹愵晦搵㐱搱ㄳ㘲㙥〵捡㍣攱ち㘸摢ㄵ㄰㑢昴㠴㙤㘴㜹㉡挰ㄹ㤱㔸晥㈶ㄲ晥㡤㍢搶戵ㅤ昰㜶昱户㡡戶ㄵ挳ㄸ摡晥㑥㠵㙤㑥愸㙣㉦㑢昶㥥戲㈴扣㔴㜱搲㈴㡤扢ㄶ㠹㘲攳㌸㍤㤱㉡㕣㠷㠴㝦ㄵ㡥昰慤挲㜷愱㕦㠱敦昷挸昲㌴㡦戳㥢㌲㝣㌹㠳㤱㉡摣㠴㠴㕢㠵㄰㙦㉡㔳扥攳戱戹摢戹搳㜹㌳捥愳㜸慢愲つ㡤敦昳㑢㠲㤹㐶摥㌰㤸愸挳てて㐱㈱挷㑡改㝦㈵㥢攳扤㤴戸搵㐹㐸〹㡥敤愵ㄲㅣ愳愵挴㙤㘴㜳㜸㤶ㄲ户㍢〹㈹挱愱戸㔴㠲㐳慡㤴戸㠳㙣㡥愶㔲攲㑥㈷㈱㈵㌸㜲㤶㑡㜰〴㤴ㄲ㜷㤱捤挱㑦㑡摣敤㈴愴挴㐹㑥挶㙥〷〷㌸㤹㜳づ愰〷ㄹ㕤㜲㉢慤㉥㘸㈸づ㝡㈲㌸挸ㄱ昰戹昱㍡扣ㄶ挶㠱㔰〴晤㡥㘰㌱〴晡㕥㜰㐳ㅣㄴ㉢户挱㍤てㅣ㜸摥扥攰挹㜵㥡㙦晢㜰㡡ㄲ㑥ㅦ㤴ㄹ戱㍦㔴㙣愴昹㑤㠴捣㑣㐷㜷㘱㔱㘷愷㈲愷愸㍢愳挸㤲㌲扢摢㙦戴昳慢换㔴㔹㔸㌲扡㜳愵㐴昴㙢敤愱㍣㌰㝦晣㈵〱户㠲㥣㠴搶愹㈹㉢搶搹摦㡣扢て㜰搰㠳㤵㉥愶㈴慢㜸〳㤰㙥扡ㅦ〹挵戱㕦扡改〷㑥㐲扡㠹攳㍣ㄳ扣㐱㈱㡣〵㤵ㄲて㤰捤愱㕡㑡㍣攸㈴愴〴㠷㘵㈹㠱〲㜸㈰〶㌹㈹昱㐳戲㌹戲㑡㠹㠷㥣㠴㤴攰㈸㕡㉡挱搱㔰㑡晣㠸㙣づ㠴㔲攲㘱㈷㈱㈵㉥㜳㌲戶昳㜰昸㤲ㄲ㡦㤰捤㤱㑢㑡㍣敡㈴㤸㔱ㅣ㠶㐴攷㌱㜲㌹〲㠹捥㡦㍤㍡㡤ㅣ㙤挸戵慤㜲搴㤰ㄲ㡦㤳捤〱㐳㑡㍣攱㈴㤸㘹攴攰㔰㉡㈱㔷㉤搸晡㐹戰摤㈳挲慢ㄷ㝤㡣捦昶㈱㠱㝢戵㕣愹捣㍦攵搵攲ㄵ㉢㕡㑦摢㕡㜲㜵㔲慢捣ㄶ慦㔲搱晡愹慤㈵㔷㘴㤵ㄶ慦㑣搱㝡捥搶㤲慢戰㑡㡢㔷愳㘸晤㑣戴ㅡ㜹改ㅣ〹慤攰愸㡡ㅤㅦ㍦晥昸てㅡ㙢攷敥㔱㝢搴㤲㠶㙦扣昶攳㌷㉥㝣㙥晤愲㕦㝦㜸昹攵捦扤㜹攱ㄳㅦ摥ㄳ㕤昴挸㌷扦昹搰㈱㔷㍥昱挶㑥㠹㙤挱㍢㍥㔸戱敤攴㤶㡤㈷㥦㤸㔸户晦戲㤳㡦㍥㘱㜵换慡㤹ぢ㙢㙡愶㑤晢攴慣㐷㜷摢㌷㜲摡㠹㜷愹〷㕥摡㌵ㄳ愲昷㑤挱㜷㠹攷㜶づ㥢㉦攰っ㑡㥣㤹慤㜵ㄷ昳㤰づ㐴攸搴搲摡㤷㤰㐰㉦㠸〳㔳慢っ㕦㍡戲㘸扤㘲㙢㠹搳㔲敢攷挸扢㐷㠴捥㉢㕡扦戰戵挴㔱愹㔵㘶㡢づ㉢㕡慦摡㕡攲㥣㔵㕡㜴㔲搱㝡摤搶ㄲ昷慣搲愲㥢㡡搶㉦㙤㉤㜱挹㉡㉤扡愶㘸扤㈵㕡ㄱ户㍡㡡㥥㈷㘳攵ㅥ捥㔸戹ㄴ㘵敢昰㠸慦敢㠲㡡㕥㈷ㅡ扢㤷㙢㈸㍡㥡〸㜶慢㄰搰户㐴戰㙢㠵㠰敥㈴㠲㕤㉡〴搲㍢慣戴户㘳ㄴ晢㐳搴㘷㔷愸戳ぢ㐴㌰慢㕣㄰㜱晢㐲ㄱ㝥搱搸愹㕣㐳ㄱ㜱ㄱ捣慣㄰㄰㘴ㄱ㐴㉡〴挴㔵〴㡤ㄵ〲㐲㈹㠲ㄹ攵㠲晡晦〷㘲㤰㈰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</si>
</sst>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rgb="FF00FF00"/>
        <bgColor indexed="64"/>
      </patternFill>
    </fill>
    <fill>
      <patternFill patternType="solid">
        <fgColor rgb="FF00FFFF"/>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2" fontId="0" fillId="0" borderId="0" xfId="0" applyNumberFormat="1"/>
    <xf numFmtId="164" fontId="0" fillId="0" borderId="0" xfId="0" applyNumberFormat="1"/>
    <xf numFmtId="165" fontId="0" fillId="0" borderId="0" xfId="2" applyNumberFormat="1" applyFont="1"/>
    <xf numFmtId="164" fontId="0" fillId="0" borderId="0" xfId="0" applyNumberFormat="1" applyAlignment="1">
      <alignment horizontal="center"/>
    </xf>
    <xf numFmtId="0" fontId="0" fillId="0" borderId="0" xfId="0" applyAlignment="1">
      <alignment horizontal="center"/>
    </xf>
    <xf numFmtId="0" fontId="2" fillId="0" borderId="0" xfId="0" applyFont="1"/>
    <xf numFmtId="0" fontId="0" fillId="0" borderId="0" xfId="0" quotePrefix="1"/>
    <xf numFmtId="0" fontId="2" fillId="0" borderId="0" xfId="0" applyFont="1" applyAlignment="1">
      <alignment horizontal="center"/>
    </xf>
    <xf numFmtId="164" fontId="2" fillId="0" borderId="0" xfId="0" applyNumberFormat="1" applyFont="1" applyAlignment="1">
      <alignment horizontal="center"/>
    </xf>
    <xf numFmtId="164" fontId="0" fillId="2" borderId="0" xfId="1" applyNumberFormat="1" applyFont="1" applyFill="1" applyAlignment="1">
      <alignment horizontal="center"/>
    </xf>
    <xf numFmtId="164" fontId="1" fillId="2" borderId="0" xfId="1" applyNumberFormat="1" applyFont="1" applyFill="1" applyAlignment="1">
      <alignment horizontal="right"/>
    </xf>
    <xf numFmtId="164" fontId="0" fillId="2" borderId="0" xfId="1" applyNumberFormat="1" applyFont="1" applyFill="1"/>
    <xf numFmtId="2" fontId="2" fillId="0" borderId="0" xfId="0" applyNumberFormat="1" applyFont="1" applyAlignment="1">
      <alignment horizontal="center"/>
    </xf>
    <xf numFmtId="2" fontId="0" fillId="0" borderId="0" xfId="0" applyNumberFormat="1" applyAlignment="1">
      <alignment horizontal="center"/>
    </xf>
    <xf numFmtId="2" fontId="0" fillId="3" borderId="0" xfId="0" applyNumberFormat="1" applyFill="1" applyAlignment="1">
      <alignment horizontal="center"/>
    </xf>
    <xf numFmtId="10" fontId="0" fillId="0" borderId="0" xfId="2" applyNumberFormat="1" applyFont="1"/>
    <xf numFmtId="164" fontId="0" fillId="4" borderId="0" xfId="0" applyNumberFormat="1" applyFill="1" applyAlignment="1">
      <alignment horizontal="center"/>
    </xf>
    <xf numFmtId="0" fontId="0" fillId="0" borderId="0" xfId="0" applyAlignment="1">
      <alignment vertical="top"/>
    </xf>
    <xf numFmtId="0" fontId="0" fillId="0" borderId="0" xfId="0" applyAlignment="1">
      <alignment horizontal="left" vertical="top" wrapText="1"/>
    </xf>
    <xf numFmtId="0" fontId="0" fillId="0" borderId="0" xfId="0" applyFill="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7073-3AEC-4183-8C89-A747045A0FD1}">
  <sheetPr codeName="Sheet2"/>
  <dimension ref="A1:C34"/>
  <sheetViews>
    <sheetView workbookViewId="0"/>
  </sheetViews>
  <sheetFormatPr defaultRowHeight="15.6" x14ac:dyDescent="0.3"/>
  <cols>
    <col min="1" max="2" width="36.59765625" customWidth="1"/>
    <col min="3" max="3" width="36.69921875" customWidth="1"/>
  </cols>
  <sheetData>
    <row r="1" spans="1:3" x14ac:dyDescent="0.3">
      <c r="A1" s="6" t="s">
        <v>17</v>
      </c>
    </row>
    <row r="3" spans="1:3" x14ac:dyDescent="0.3">
      <c r="A3" t="s">
        <v>18</v>
      </c>
      <c r="B3" t="s">
        <v>19</v>
      </c>
      <c r="C3">
        <v>0</v>
      </c>
    </row>
    <row r="4" spans="1:3" x14ac:dyDescent="0.3">
      <c r="A4" t="s">
        <v>20</v>
      </c>
    </row>
    <row r="5" spans="1:3" x14ac:dyDescent="0.3">
      <c r="A5" t="s">
        <v>21</v>
      </c>
    </row>
    <row r="7" spans="1:3" x14ac:dyDescent="0.3">
      <c r="A7" s="6" t="s">
        <v>22</v>
      </c>
      <c r="B7" t="s">
        <v>23</v>
      </c>
    </row>
    <row r="8" spans="1:3" x14ac:dyDescent="0.3">
      <c r="B8">
        <v>3</v>
      </c>
    </row>
    <row r="10" spans="1:3" x14ac:dyDescent="0.3">
      <c r="A10" t="s">
        <v>24</v>
      </c>
    </row>
    <row r="11" spans="1:3" x14ac:dyDescent="0.3">
      <c r="A11" t="e">
        <f>CB_DATA_!#REF!</f>
        <v>#REF!</v>
      </c>
      <c r="B11" t="e">
        <f>Solution!#REF!</f>
        <v>#REF!</v>
      </c>
      <c r="C11" t="e">
        <f>Setup!#REF!</f>
        <v>#REF!</v>
      </c>
    </row>
    <row r="13" spans="1:3" x14ac:dyDescent="0.3">
      <c r="A13" t="s">
        <v>25</v>
      </c>
    </row>
    <row r="14" spans="1:3" x14ac:dyDescent="0.3">
      <c r="A14" t="s">
        <v>29</v>
      </c>
      <c r="B14" t="s">
        <v>45</v>
      </c>
      <c r="C14" s="7" t="s">
        <v>33</v>
      </c>
    </row>
    <row r="16" spans="1:3" x14ac:dyDescent="0.3">
      <c r="A16" t="s">
        <v>26</v>
      </c>
    </row>
    <row r="19" spans="1:3" x14ac:dyDescent="0.3">
      <c r="A19" t="s">
        <v>27</v>
      </c>
    </row>
    <row r="20" spans="1:3" x14ac:dyDescent="0.3">
      <c r="A20">
        <v>28</v>
      </c>
      <c r="B20">
        <v>34</v>
      </c>
      <c r="C20">
        <v>34</v>
      </c>
    </row>
    <row r="25" spans="1:3" x14ac:dyDescent="0.3">
      <c r="A25" s="6" t="s">
        <v>28</v>
      </c>
    </row>
    <row r="26" spans="1:3" x14ac:dyDescent="0.3">
      <c r="A26" s="7" t="s">
        <v>30</v>
      </c>
      <c r="B26" s="7" t="s">
        <v>38</v>
      </c>
    </row>
    <row r="27" spans="1:3" x14ac:dyDescent="0.3">
      <c r="A27" t="s">
        <v>31</v>
      </c>
      <c r="B27" t="s">
        <v>46</v>
      </c>
    </row>
    <row r="28" spans="1:3" x14ac:dyDescent="0.3">
      <c r="A28" s="7" t="s">
        <v>32</v>
      </c>
      <c r="B28" s="7" t="s">
        <v>32</v>
      </c>
    </row>
    <row r="29" spans="1:3" x14ac:dyDescent="0.3">
      <c r="B29" s="7" t="s">
        <v>30</v>
      </c>
      <c r="C29" s="7" t="s">
        <v>30</v>
      </c>
    </row>
    <row r="30" spans="1:3" x14ac:dyDescent="0.3">
      <c r="B30" t="s">
        <v>35</v>
      </c>
      <c r="C30" t="s">
        <v>35</v>
      </c>
    </row>
    <row r="31" spans="1:3" x14ac:dyDescent="0.3">
      <c r="B31" s="7" t="s">
        <v>32</v>
      </c>
      <c r="C31" s="7" t="s">
        <v>32</v>
      </c>
    </row>
    <row r="32" spans="1:3" x14ac:dyDescent="0.3">
      <c r="B32" s="7" t="s">
        <v>40</v>
      </c>
      <c r="C32" s="7" t="s">
        <v>40</v>
      </c>
    </row>
    <row r="33" spans="2:3" x14ac:dyDescent="0.3">
      <c r="B33" t="s">
        <v>41</v>
      </c>
      <c r="C33" t="s">
        <v>41</v>
      </c>
    </row>
    <row r="34" spans="2:3" x14ac:dyDescent="0.3">
      <c r="B34" s="7" t="s">
        <v>39</v>
      </c>
      <c r="C34" s="7"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AA7A1-4A61-4BD2-99F1-F1CFB0CBCA44}">
  <sheetPr codeName="Sheet4"/>
  <dimension ref="A1:H12"/>
  <sheetViews>
    <sheetView workbookViewId="0">
      <selection activeCell="E1" sqref="E1:M1048576"/>
    </sheetView>
  </sheetViews>
  <sheetFormatPr defaultRowHeight="15.6" x14ac:dyDescent="0.3"/>
  <cols>
    <col min="1" max="1" width="16.59765625" bestFit="1" customWidth="1"/>
    <col min="2" max="2" width="8" bestFit="1" customWidth="1"/>
    <col min="3" max="3" width="7.3984375" bestFit="1" customWidth="1"/>
    <col min="6" max="6" width="9.59765625" bestFit="1" customWidth="1"/>
    <col min="9" max="9" width="12.19921875" bestFit="1" customWidth="1"/>
    <col min="10" max="10" width="10.69921875" bestFit="1" customWidth="1"/>
  </cols>
  <sheetData>
    <row r="1" spans="1:8" x14ac:dyDescent="0.3">
      <c r="A1" t="s">
        <v>4</v>
      </c>
      <c r="B1" t="s">
        <v>0</v>
      </c>
      <c r="C1" s="1">
        <v>1.1000000000000001</v>
      </c>
    </row>
    <row r="2" spans="1:8" x14ac:dyDescent="0.3">
      <c r="A2" t="s">
        <v>5</v>
      </c>
      <c r="B2" t="s">
        <v>1</v>
      </c>
      <c r="C2" s="1">
        <v>0.9</v>
      </c>
    </row>
    <row r="3" spans="1:8" x14ac:dyDescent="0.3">
      <c r="F3" s="20"/>
    </row>
    <row r="4" spans="1:8" x14ac:dyDescent="0.3">
      <c r="A4" t="s">
        <v>6</v>
      </c>
      <c r="B4" t="s">
        <v>2</v>
      </c>
      <c r="C4" s="3">
        <v>0.49</v>
      </c>
      <c r="F4" s="20"/>
    </row>
    <row r="5" spans="1:8" x14ac:dyDescent="0.3">
      <c r="A5" t="s">
        <v>7</v>
      </c>
      <c r="B5" t="s">
        <v>3</v>
      </c>
      <c r="C5" s="3">
        <f>1-C4</f>
        <v>0.51</v>
      </c>
      <c r="F5" s="20"/>
    </row>
    <row r="6" spans="1:8" x14ac:dyDescent="0.3">
      <c r="F6" s="20"/>
    </row>
    <row r="7" spans="1:8" x14ac:dyDescent="0.3">
      <c r="A7" t="s">
        <v>11</v>
      </c>
      <c r="B7" t="s">
        <v>8</v>
      </c>
      <c r="C7" s="2">
        <v>100</v>
      </c>
      <c r="F7" s="20"/>
    </row>
    <row r="8" spans="1:8" x14ac:dyDescent="0.3">
      <c r="A8" t="s">
        <v>36</v>
      </c>
      <c r="B8" t="s">
        <v>10</v>
      </c>
      <c r="C8" s="16">
        <v>0.03</v>
      </c>
      <c r="F8" s="20"/>
    </row>
    <row r="9" spans="1:8" x14ac:dyDescent="0.3">
      <c r="F9" s="20"/>
    </row>
    <row r="10" spans="1:8" x14ac:dyDescent="0.3">
      <c r="F10" s="20"/>
    </row>
    <row r="11" spans="1:8" x14ac:dyDescent="0.3">
      <c r="F11" s="20"/>
    </row>
    <row r="12" spans="1:8" x14ac:dyDescent="0.3">
      <c r="F12" s="20"/>
      <c r="H12"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8D497-352E-4322-9783-52141F4E5FBB}">
  <sheetPr codeName="Sheet1"/>
  <dimension ref="A1:K16"/>
  <sheetViews>
    <sheetView workbookViewId="0">
      <selection activeCell="A7" sqref="A7"/>
    </sheetView>
  </sheetViews>
  <sheetFormatPr defaultRowHeight="15.6" x14ac:dyDescent="0.3"/>
  <sheetData>
    <row r="1" spans="1:11" ht="15.9" customHeight="1" x14ac:dyDescent="0.3">
      <c r="A1" s="19" t="s">
        <v>43</v>
      </c>
      <c r="B1" s="19"/>
      <c r="C1" s="19"/>
      <c r="D1" s="19"/>
      <c r="E1" s="19"/>
      <c r="F1" s="19"/>
      <c r="G1" s="19"/>
      <c r="H1" s="19"/>
      <c r="I1" s="19"/>
      <c r="J1" s="19"/>
      <c r="K1" s="18"/>
    </row>
    <row r="2" spans="1:11" ht="15.9" customHeight="1" x14ac:dyDescent="0.3">
      <c r="A2" s="19"/>
      <c r="B2" s="19"/>
      <c r="C2" s="19"/>
      <c r="D2" s="19"/>
      <c r="E2" s="19"/>
      <c r="F2" s="19"/>
      <c r="G2" s="19"/>
      <c r="H2" s="19"/>
      <c r="I2" s="19"/>
      <c r="J2" s="19"/>
      <c r="K2" s="18"/>
    </row>
    <row r="3" spans="1:11" ht="15.9" customHeight="1" x14ac:dyDescent="0.3">
      <c r="A3" s="19"/>
      <c r="B3" s="19"/>
      <c r="C3" s="19"/>
      <c r="D3" s="19"/>
      <c r="E3" s="19"/>
      <c r="F3" s="19"/>
      <c r="G3" s="19"/>
      <c r="H3" s="19"/>
      <c r="I3" s="19"/>
      <c r="J3" s="19"/>
      <c r="K3" s="18"/>
    </row>
    <row r="4" spans="1:11" ht="15.9" customHeight="1" x14ac:dyDescent="0.3">
      <c r="A4" s="19"/>
      <c r="B4" s="19"/>
      <c r="C4" s="19"/>
      <c r="D4" s="19"/>
      <c r="E4" s="19"/>
      <c r="F4" s="19"/>
      <c r="G4" s="19"/>
      <c r="H4" s="19"/>
      <c r="I4" s="19"/>
      <c r="J4" s="19"/>
      <c r="K4" s="18"/>
    </row>
    <row r="5" spans="1:11" ht="15.9" customHeight="1" x14ac:dyDescent="0.3">
      <c r="A5" s="18" t="s">
        <v>42</v>
      </c>
      <c r="B5" s="18"/>
      <c r="C5" s="18"/>
      <c r="D5" s="18"/>
      <c r="E5" s="18"/>
      <c r="F5" s="18"/>
      <c r="G5" s="18"/>
      <c r="H5" s="18"/>
      <c r="I5" s="18"/>
      <c r="J5" s="18"/>
      <c r="K5" s="18"/>
    </row>
    <row r="6" spans="1:11" ht="15.9" customHeight="1" x14ac:dyDescent="0.3">
      <c r="A6" s="18" t="s">
        <v>44</v>
      </c>
      <c r="B6" s="18"/>
      <c r="C6" s="18"/>
      <c r="D6" s="18"/>
      <c r="E6" s="18"/>
      <c r="F6" s="18"/>
      <c r="G6" s="18"/>
      <c r="H6" s="18"/>
      <c r="I6" s="18"/>
      <c r="J6" s="18"/>
      <c r="K6" s="18"/>
    </row>
    <row r="7" spans="1:11" ht="15.9" customHeight="1" x14ac:dyDescent="0.3">
      <c r="A7" s="18"/>
      <c r="B7" s="18"/>
      <c r="C7" s="18"/>
      <c r="D7" s="18"/>
      <c r="E7" s="18"/>
      <c r="F7" s="18"/>
      <c r="G7" s="18"/>
      <c r="H7" s="18"/>
      <c r="I7" s="18"/>
      <c r="J7" s="18"/>
      <c r="K7" s="18"/>
    </row>
    <row r="8" spans="1:11" ht="15.9" customHeight="1" x14ac:dyDescent="0.3">
      <c r="A8" s="18"/>
      <c r="B8" s="18"/>
      <c r="C8" s="18"/>
      <c r="D8" s="18"/>
      <c r="E8" s="18"/>
      <c r="F8" s="18"/>
      <c r="G8" s="18"/>
      <c r="H8" s="18"/>
      <c r="I8" s="18"/>
      <c r="J8" s="18"/>
      <c r="K8" s="18"/>
    </row>
    <row r="9" spans="1:11" ht="15.9" customHeight="1" x14ac:dyDescent="0.3">
      <c r="A9" s="18"/>
      <c r="B9" s="18"/>
      <c r="C9" s="18"/>
      <c r="D9" s="18"/>
      <c r="E9" s="18"/>
      <c r="F9" s="18"/>
      <c r="G9" s="18"/>
      <c r="H9" s="18"/>
      <c r="I9" s="18"/>
      <c r="J9" s="18"/>
      <c r="K9" s="18"/>
    </row>
    <row r="10" spans="1:11" ht="15.9" customHeight="1" x14ac:dyDescent="0.3">
      <c r="A10" s="18"/>
      <c r="B10" s="18"/>
      <c r="C10" s="18"/>
      <c r="D10" s="18"/>
      <c r="E10" s="18"/>
      <c r="F10" s="18"/>
      <c r="G10" s="18"/>
      <c r="H10" s="18"/>
      <c r="I10" s="18"/>
      <c r="J10" s="18"/>
      <c r="K10" s="18"/>
    </row>
    <row r="11" spans="1:11" ht="15.9" customHeight="1" x14ac:dyDescent="0.3">
      <c r="A11" s="18"/>
      <c r="B11" s="18"/>
      <c r="C11" s="18"/>
      <c r="D11" s="18"/>
      <c r="E11" s="18"/>
      <c r="F11" s="18"/>
      <c r="G11" s="18"/>
      <c r="H11" s="18"/>
      <c r="I11" s="18"/>
      <c r="J11" s="18"/>
      <c r="K11" s="18"/>
    </row>
    <row r="12" spans="1:11" ht="15.9" customHeight="1" x14ac:dyDescent="0.3">
      <c r="A12" s="18"/>
      <c r="B12" s="18"/>
      <c r="C12" s="18"/>
      <c r="D12" s="18"/>
      <c r="E12" s="18"/>
      <c r="F12" s="18"/>
      <c r="G12" s="18"/>
      <c r="H12" s="18"/>
      <c r="I12" s="18"/>
      <c r="J12" s="18"/>
      <c r="K12" s="18"/>
    </row>
    <row r="13" spans="1:11" ht="15.9" customHeight="1" x14ac:dyDescent="0.3">
      <c r="A13" s="18"/>
      <c r="B13" s="18"/>
      <c r="C13" s="18"/>
      <c r="D13" s="18"/>
      <c r="E13" s="18"/>
      <c r="F13" s="18"/>
      <c r="G13" s="18"/>
      <c r="H13" s="18"/>
      <c r="I13" s="18"/>
      <c r="J13" s="18"/>
      <c r="K13" s="18"/>
    </row>
    <row r="14" spans="1:11" ht="15.9" customHeight="1" x14ac:dyDescent="0.3"/>
    <row r="15" spans="1:11" ht="15.9" customHeight="1" x14ac:dyDescent="0.3"/>
    <row r="16" spans="1:11" ht="15.9" customHeight="1" x14ac:dyDescent="0.3"/>
  </sheetData>
  <mergeCells count="1">
    <mergeCell ref="A1:J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D512-DE2F-4F14-97F6-BD36DBDDBDE9}">
  <sheetPr codeName="Sheet3"/>
  <dimension ref="A1:I32"/>
  <sheetViews>
    <sheetView tabSelected="1" workbookViewId="0">
      <selection activeCell="C11" sqref="C11"/>
    </sheetView>
  </sheetViews>
  <sheetFormatPr defaultRowHeight="15.6" x14ac:dyDescent="0.3"/>
  <cols>
    <col min="1" max="1" width="16.59765625" bestFit="1" customWidth="1"/>
    <col min="2" max="2" width="8" bestFit="1" customWidth="1"/>
    <col min="3" max="3" width="7.3984375" bestFit="1" customWidth="1"/>
    <col min="5" max="5" width="8.796875" style="5"/>
    <col min="6" max="6" width="9.59765625" style="14" bestFit="1" customWidth="1"/>
    <col min="7" max="8" width="8.796875" style="4"/>
    <col min="9" max="9" width="12.19921875" style="4" bestFit="1" customWidth="1"/>
    <col min="10" max="10" width="10.69921875" bestFit="1" customWidth="1"/>
  </cols>
  <sheetData>
    <row r="1" spans="1:8" x14ac:dyDescent="0.3">
      <c r="A1" t="s">
        <v>4</v>
      </c>
      <c r="B1" t="s">
        <v>0</v>
      </c>
      <c r="C1" s="1">
        <v>1.1000000000000001</v>
      </c>
      <c r="E1" s="8" t="s">
        <v>15</v>
      </c>
      <c r="F1" s="13" t="s">
        <v>16</v>
      </c>
      <c r="G1" s="9" t="s">
        <v>13</v>
      </c>
      <c r="H1" s="9" t="s">
        <v>14</v>
      </c>
    </row>
    <row r="2" spans="1:8" x14ac:dyDescent="0.3">
      <c r="A2" t="s">
        <v>5</v>
      </c>
      <c r="B2" t="s">
        <v>1</v>
      </c>
      <c r="C2" s="1">
        <v>0.9</v>
      </c>
      <c r="E2" s="5">
        <v>0</v>
      </c>
      <c r="G2" s="10">
        <f>C7</f>
        <v>100</v>
      </c>
      <c r="H2"/>
    </row>
    <row r="3" spans="1:8" x14ac:dyDescent="0.3">
      <c r="E3" s="5">
        <v>1</v>
      </c>
      <c r="F3" s="15">
        <v>0.49</v>
      </c>
      <c r="G3" s="10">
        <f t="shared" ref="G3:G12" si="0">IF(F3=1,G2*$C$1,G2*$C$2)</f>
        <v>90</v>
      </c>
    </row>
    <row r="4" spans="1:8" x14ac:dyDescent="0.3">
      <c r="A4" t="s">
        <v>6</v>
      </c>
      <c r="B4" t="s">
        <v>2</v>
      </c>
      <c r="C4" s="3">
        <v>0.49</v>
      </c>
      <c r="E4" s="5">
        <v>2</v>
      </c>
      <c r="F4" s="15">
        <v>0.49</v>
      </c>
      <c r="G4" s="10">
        <f t="shared" si="0"/>
        <v>81</v>
      </c>
    </row>
    <row r="5" spans="1:8" x14ac:dyDescent="0.3">
      <c r="A5" t="s">
        <v>7</v>
      </c>
      <c r="B5" t="s">
        <v>3</v>
      </c>
      <c r="C5" s="3">
        <f>1-C4</f>
        <v>0.51</v>
      </c>
      <c r="E5" s="5">
        <v>3</v>
      </c>
      <c r="F5" s="15">
        <v>0.49</v>
      </c>
      <c r="G5" s="10">
        <f t="shared" si="0"/>
        <v>72.900000000000006</v>
      </c>
    </row>
    <row r="6" spans="1:8" x14ac:dyDescent="0.3">
      <c r="E6" s="5">
        <v>4</v>
      </c>
      <c r="F6" s="15">
        <v>0.49</v>
      </c>
      <c r="G6" s="10">
        <f t="shared" si="0"/>
        <v>65.610000000000014</v>
      </c>
    </row>
    <row r="7" spans="1:8" x14ac:dyDescent="0.3">
      <c r="A7" t="s">
        <v>11</v>
      </c>
      <c r="B7" t="s">
        <v>8</v>
      </c>
      <c r="C7" s="2">
        <v>100</v>
      </c>
      <c r="E7" s="5">
        <v>5</v>
      </c>
      <c r="F7" s="15">
        <v>0.49</v>
      </c>
      <c r="G7" s="10">
        <f t="shared" si="0"/>
        <v>59.049000000000014</v>
      </c>
    </row>
    <row r="8" spans="1:8" x14ac:dyDescent="0.3">
      <c r="A8" t="s">
        <v>36</v>
      </c>
      <c r="B8" t="s">
        <v>10</v>
      </c>
      <c r="C8" s="16">
        <v>0.03</v>
      </c>
      <c r="E8" s="5">
        <v>6</v>
      </c>
      <c r="F8" s="15">
        <v>0.49</v>
      </c>
      <c r="G8" s="10">
        <f t="shared" si="0"/>
        <v>53.144100000000016</v>
      </c>
    </row>
    <row r="9" spans="1:8" x14ac:dyDescent="0.3">
      <c r="E9" s="5">
        <v>7</v>
      </c>
      <c r="F9" s="15">
        <v>0.49</v>
      </c>
      <c r="G9" s="10">
        <f t="shared" si="0"/>
        <v>47.829690000000014</v>
      </c>
    </row>
    <row r="10" spans="1:8" x14ac:dyDescent="0.3">
      <c r="A10" t="s">
        <v>12</v>
      </c>
      <c r="B10" t="s">
        <v>34</v>
      </c>
      <c r="C10" s="11">
        <v>5</v>
      </c>
      <c r="E10" s="5">
        <v>8</v>
      </c>
      <c r="F10" s="15">
        <v>0.49</v>
      </c>
      <c r="G10" s="10">
        <f t="shared" si="0"/>
        <v>43.046721000000012</v>
      </c>
    </row>
    <row r="11" spans="1:8" x14ac:dyDescent="0.3">
      <c r="A11" t="s">
        <v>37</v>
      </c>
      <c r="B11" t="s">
        <v>9</v>
      </c>
      <c r="C11" s="12">
        <f>C10/EXP(C8)</f>
        <v>4.8522276677425404</v>
      </c>
      <c r="E11" s="5">
        <v>9</v>
      </c>
      <c r="F11" s="15">
        <v>0.49</v>
      </c>
      <c r="G11" s="10">
        <f t="shared" si="0"/>
        <v>38.742048900000015</v>
      </c>
    </row>
    <row r="12" spans="1:8" x14ac:dyDescent="0.3">
      <c r="E12" s="5">
        <v>10</v>
      </c>
      <c r="F12" s="15">
        <v>0.49</v>
      </c>
      <c r="G12" s="10">
        <f t="shared" si="0"/>
        <v>34.867844010000013</v>
      </c>
      <c r="H12" s="17">
        <f>MAX(20-2*G12,5)</f>
        <v>5</v>
      </c>
    </row>
    <row r="13" spans="1:8" x14ac:dyDescent="0.3">
      <c r="F13"/>
      <c r="G13"/>
      <c r="H13"/>
    </row>
    <row r="14" spans="1:8" x14ac:dyDescent="0.3">
      <c r="F14"/>
      <c r="G14"/>
      <c r="H14"/>
    </row>
    <row r="15" spans="1:8" x14ac:dyDescent="0.3">
      <c r="F15"/>
      <c r="G15"/>
      <c r="H15"/>
    </row>
    <row r="16" spans="1:8" x14ac:dyDescent="0.3">
      <c r="F16"/>
      <c r="G16"/>
      <c r="H16"/>
    </row>
    <row r="17" spans="6:8" x14ac:dyDescent="0.3">
      <c r="F17"/>
      <c r="G17"/>
      <c r="H17"/>
    </row>
    <row r="18" spans="6:8" x14ac:dyDescent="0.3">
      <c r="F18"/>
      <c r="G18"/>
      <c r="H18"/>
    </row>
    <row r="19" spans="6:8" x14ac:dyDescent="0.3">
      <c r="F19"/>
      <c r="G19"/>
      <c r="H19"/>
    </row>
    <row r="20" spans="6:8" x14ac:dyDescent="0.3">
      <c r="F20"/>
      <c r="G20"/>
      <c r="H20"/>
    </row>
    <row r="21" spans="6:8" x14ac:dyDescent="0.3">
      <c r="F21"/>
      <c r="G21"/>
      <c r="H21"/>
    </row>
    <row r="22" spans="6:8" x14ac:dyDescent="0.3">
      <c r="F22"/>
      <c r="G22"/>
      <c r="H22"/>
    </row>
    <row r="23" spans="6:8" x14ac:dyDescent="0.3">
      <c r="F23"/>
      <c r="G23"/>
      <c r="H23"/>
    </row>
    <row r="24" spans="6:8" x14ac:dyDescent="0.3">
      <c r="F24"/>
      <c r="G24"/>
      <c r="H24"/>
    </row>
    <row r="25" spans="6:8" x14ac:dyDescent="0.3">
      <c r="F25"/>
      <c r="G25"/>
      <c r="H25"/>
    </row>
    <row r="26" spans="6:8" x14ac:dyDescent="0.3">
      <c r="F26"/>
      <c r="G26"/>
      <c r="H26"/>
    </row>
    <row r="27" spans="6:8" x14ac:dyDescent="0.3">
      <c r="F27"/>
      <c r="G27"/>
      <c r="H27"/>
    </row>
    <row r="28" spans="6:8" x14ac:dyDescent="0.3">
      <c r="F28"/>
      <c r="G28"/>
      <c r="H28"/>
    </row>
    <row r="29" spans="6:8" x14ac:dyDescent="0.3">
      <c r="F29"/>
      <c r="G29"/>
      <c r="H29"/>
    </row>
    <row r="30" spans="6:8" x14ac:dyDescent="0.3">
      <c r="F30"/>
      <c r="G30"/>
      <c r="H30"/>
    </row>
    <row r="31" spans="6:8" x14ac:dyDescent="0.3">
      <c r="F31"/>
      <c r="G31"/>
      <c r="H31"/>
    </row>
    <row r="32" spans="6:8" x14ac:dyDescent="0.3">
      <c r="F32"/>
      <c r="G32"/>
      <c r="H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Setup</vt:lpstr>
      <vt:lpstr>Question</vt:lpstr>
      <vt:lpstr>Solution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Howard</dc:creator>
  <cp:lastModifiedBy>Philip Howard</cp:lastModifiedBy>
  <dcterms:created xsi:type="dcterms:W3CDTF">2017-04-11T02:49:49Z</dcterms:created>
  <dcterms:modified xsi:type="dcterms:W3CDTF">2017-12-02T22:37:28Z</dcterms:modified>
</cp:coreProperties>
</file>