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226"/>
  <workbookPr codeName="ThisWorkbook" defaultThemeVersion="166925"/>
  <mc:AlternateContent xmlns:mc="http://schemas.openxmlformats.org/markup-compatibility/2006">
    <mc:Choice Requires="x15">
      <x15ac:absPath xmlns:x15ac="http://schemas.microsoft.com/office/spreadsheetml/2010/11/ac" url="C:\Users\Philip\Dropbox\Courses\Teaching\FIN 203\FIN 203 Spring 2018\6 Simulation Analysis\Final Example\"/>
    </mc:Choice>
  </mc:AlternateContent>
  <xr:revisionPtr revIDLastSave="0" documentId="13_ncr:1_{1D8448F3-5104-4F5F-82D1-7A75DA3E839C}" xr6:coauthVersionLast="32" xr6:coauthVersionMax="32" xr10:uidLastSave="{00000000-0000-0000-0000-000000000000}"/>
  <bookViews>
    <workbookView xWindow="0" yWindow="0" windowWidth="20010" windowHeight="9570" firstSheet="1" activeTab="1" xr2:uid="{00000000-000D-0000-FFFF-FFFF00000000}"/>
  </bookViews>
  <sheets>
    <sheet name="CB_DATA_" sheetId="23" state="veryHidden" r:id="rId1"/>
    <sheet name="Monte Carlo Option Pricing" sheetId="22" r:id="rId2"/>
  </sheets>
  <definedNames>
    <definedName name="CB_017698edb536407db0d2e1dd0c338979" localSheetId="1" hidden="1">'Monte Carlo Option Pricing'!$F$3</definedName>
    <definedName name="CB_03b17766b3004cb7b688b3c941b70be2" localSheetId="1" hidden="1">'Monte Carlo Option Pricing'!$F$4</definedName>
    <definedName name="CB_0685a468c69249e7af5c89a5937e0359" localSheetId="1" hidden="1">'Monte Carlo Option Pricing'!$F$7</definedName>
    <definedName name="CB_1020b8eab12e4672b3b390a606d6d36f" localSheetId="1" hidden="1">'Monte Carlo Option Pricing'!$F$11</definedName>
    <definedName name="CB_37ed98fc89a74f9bae8fad27f7598264" localSheetId="1" hidden="1">'Monte Carlo Option Pricing'!$F$5</definedName>
    <definedName name="CB_42159b1ed1e541b69a3726b76ccf3a1c" localSheetId="1" hidden="1">'Monte Carlo Option Pricing'!$F$8</definedName>
    <definedName name="CB_5c88b42d2a334c5d8a44402401b986af" localSheetId="1" hidden="1">#N/A</definedName>
    <definedName name="CB_6c052803727b4bda8b04888c328675b6" localSheetId="1" hidden="1">'Monte Carlo Option Pricing'!$F$6</definedName>
    <definedName name="CB_a0fb5a6c22214bc7aa649596c2b3ae2d" localSheetId="1" hidden="1">'Monte Carlo Option Pricing'!$F$9</definedName>
    <definedName name="CB_Block_00000000000000000000000000000000" localSheetId="0" hidden="1">"'7.0.0.0"</definedName>
    <definedName name="CB_Block_00000000000000000000000000000000" localSheetId="1" hidden="1">"'7.0.0.0"</definedName>
    <definedName name="CB_Block_00000000000000000000000000000001" localSheetId="0" hidden="1">"'636479818037243593"</definedName>
    <definedName name="CB_Block_00000000000000000000000000000001" localSheetId="1" hidden="1">"'636479818037605059"</definedName>
    <definedName name="CB_Block_00000000000000000000000000000003" localSheetId="0" hidden="1">"'11.1.4512.0"</definedName>
    <definedName name="CB_Block_00000000000000000000000000000003" localSheetId="1" hidden="1">"'11.1.4512.0"</definedName>
    <definedName name="CB_BlockExt_00000000000000000000000000000003" localSheetId="0" hidden="1">"'11.1.2.4.600"</definedName>
    <definedName name="CB_BlockExt_00000000000000000000000000000003" localSheetId="1" hidden="1">"'11.1.2.4.600"</definedName>
    <definedName name="CB_c8449e87fcac410189f736e37455ed77" localSheetId="1" hidden="1">'Monte Carlo Option Pricing'!$H$12</definedName>
    <definedName name="CB_e167c7f251bd4f5c98cbd3e4dcc6dfe6" localSheetId="1" hidden="1">'Monte Carlo Option Pricing'!$F$10</definedName>
    <definedName name="CB_f4084f0baf224b858d3dd53377215c21" localSheetId="1" hidden="1">'Monte Carlo Option Pricing'!$F$12</definedName>
    <definedName name="CBCR_1249f07e216e4eab8afe45f3f4e8bcf3" localSheetId="1" hidden="1">'Monte Carlo Option Pricing'!$C$4</definedName>
    <definedName name="CBCR_34c39b5d5d9c4ea18b3b2ecd54f78257" localSheetId="1" hidden="1">'Monte Carlo Option Pricing'!$C$4</definedName>
    <definedName name="CBCR_592d1159cc5645a18c0cb3ca7f281ff8" localSheetId="1" hidden="1">'Monte Carlo Option Pricing'!$C$4</definedName>
    <definedName name="CBCR_61e57049c8874f66ae88cd4267ca88ff" localSheetId="1" hidden="1">'Monte Carlo Option Pricing'!$C$4</definedName>
    <definedName name="CBCR_6c415a8522704d79956c4258048369dd" localSheetId="1" hidden="1">'Monte Carlo Option Pricing'!$C$4</definedName>
    <definedName name="CBCR_8fbef17299794531a793eb5bf13f20e7" localSheetId="1" hidden="1">'Monte Carlo Option Pricing'!$C$4</definedName>
    <definedName name="CBCR_92efafe4b21f4ada94bc18a8c7a523bc" localSheetId="1" hidden="1">'Monte Carlo Option Pricing'!$C$4</definedName>
    <definedName name="CBCR_949b6fb01ca249028fc8d3cce1fd99ad" localSheetId="1" hidden="1">'Monte Carlo Option Pricing'!$C$4</definedName>
    <definedName name="CBCR_9ae6cb7f1cbe46b38e4df2cb4766a1e1" localSheetId="1" hidden="1">'Monte Carlo Option Pricing'!$E$3:$G$32</definedName>
    <definedName name="CBCR_9b49fc63463d4d988aa7ac6debc5dae2" localSheetId="1" hidden="1">'Monte Carlo Option Pricing'!$C$4</definedName>
    <definedName name="CBCR_a3a779809e82425b92b92a04ebfaf5cc" localSheetId="1" hidden="1">'Monte Carlo Option Pricing'!$C$10</definedName>
    <definedName name="CBCR_d98abbb8a10848f4ae07c30b0dcee4b0" localSheetId="1" hidden="1">'Monte Carlo Option Pricing'!$C$4</definedName>
    <definedName name="CBWorkbookPriority" localSheetId="0" hidden="1">-543170919</definedName>
    <definedName name="CBx_0b7114782f20436facd3e092662c9760" localSheetId="0" hidden="1">"'Monte Carlo Option Pricing'!$A$1"</definedName>
    <definedName name="CBx_b589f4d9718647b698946d7c6529c355" localSheetId="0" hidden="1">"'CB_DATA_'!$A$1"</definedName>
    <definedName name="CBx_f16dd8d6c56247c095a9dc97a4935ca9" localSheetId="0" hidden="1">"'Excel Simulation Model'!$A$1"</definedName>
    <definedName name="CBx_Sheet_Guid" localSheetId="0" hidden="1">"'b589f4d9-7186-47b6-9894-6d7c6529c355"</definedName>
    <definedName name="CBx_Sheet_Guid" localSheetId="1" hidden="1">"'0b711478-2f20-436f-acd3-e092662c9760"</definedName>
    <definedName name="CBx_SheetRef" localSheetId="0" hidden="1">CB_DATA_!$A$14</definedName>
    <definedName name="CBx_SheetRef" localSheetId="1" hidden="1">CB_DATA_!$B$14</definedName>
    <definedName name="CBx_StorageType" localSheetId="0" hidden="1">2</definedName>
    <definedName name="CBx_StorageType" localSheetId="1" hidden="1">2</definedName>
    <definedName name="solver_corr" hidden="1">1</definedName>
    <definedName name="solver_ctp1" hidden="1">0</definedName>
    <definedName name="solver_ctp2" hidden="1">0</definedName>
    <definedName name="solver_disp" hidden="1">0</definedName>
    <definedName name="solver_eval" hidden="1">0</definedName>
    <definedName name="solver_lcens" hidden="1">-1E+30</definedName>
    <definedName name="solver_lcut" hidden="1">-1E+30</definedName>
    <definedName name="solver_nsim" hidden="1">1</definedName>
    <definedName name="solver_nssim" hidden="1">-1</definedName>
    <definedName name="solver_ntri" hidden="1">1000</definedName>
    <definedName name="solver_rgen" hidden="1">3</definedName>
    <definedName name="solver_rsmp" hidden="1">1</definedName>
    <definedName name="solver_sclt" hidden="1">100</definedName>
    <definedName name="solver_seed" hidden="1">0</definedName>
    <definedName name="solver_strm" hidden="1">0</definedName>
    <definedName name="solver_ucens" hidden="1">1E+30</definedName>
    <definedName name="solver_ucut" hidden="1">1E+30</definedName>
    <definedName name="solveri_CClick" hidden="1">"System.Boolean:False"</definedName>
    <definedName name="solveri_CPop" hidden="1">"System.Boolean:False"</definedName>
    <definedName name="solveri_CTyp" hidden="1">"RiskSolver.Globals.ChartType:Bar"</definedName>
    <definedName name="solvero_CClick" hidden="1">"System.Boolean:True"</definedName>
    <definedName name="solvero_ChGlobalShow" hidden="1">"System.Boolean:False"</definedName>
    <definedName name="solvero_CPop" hidden="1">"System.Boolean:False"</definedName>
    <definedName name="solvero_CTyp" hidden="1">"RiskSolver.Globals.ChartType:Bar"</definedName>
  </definedNames>
  <calcPr calcId="179017" concurrentCalc="0" concurrentManualCount="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2" i="22" l="1"/>
  <c r="I12" i="22"/>
  <c r="G2" i="22"/>
  <c r="G3" i="22"/>
  <c r="G4" i="22"/>
  <c r="G5" i="22"/>
  <c r="G6" i="22"/>
  <c r="G7" i="22"/>
  <c r="G8" i="22"/>
  <c r="G9" i="22"/>
  <c r="G10" i="22"/>
  <c r="G11" i="22"/>
  <c r="G12" i="22"/>
  <c r="H12" i="22"/>
  <c r="C5" i="22"/>
  <c r="C11" i="22"/>
  <c r="B11" i="23"/>
  <c r="A11" i="23"/>
</calcChain>
</file>

<file path=xl/sharedStrings.xml><?xml version="1.0" encoding="utf-8"?>
<sst xmlns="http://schemas.openxmlformats.org/spreadsheetml/2006/main" count="46" uniqueCount="43">
  <si>
    <t>u</t>
  </si>
  <si>
    <t>d</t>
  </si>
  <si>
    <t>Pu</t>
  </si>
  <si>
    <t>Pd</t>
  </si>
  <si>
    <t>Growth rate up</t>
  </si>
  <si>
    <t>Growth rate down</t>
  </si>
  <si>
    <t>Probability of up</t>
  </si>
  <si>
    <t>Probability of down</t>
  </si>
  <si>
    <t>S0</t>
  </si>
  <si>
    <t>C0</t>
  </si>
  <si>
    <t>rf</t>
  </si>
  <si>
    <t>Stock price today</t>
  </si>
  <si>
    <t>Expected Payoff</t>
  </si>
  <si>
    <t>Stock</t>
  </si>
  <si>
    <t>t</t>
  </si>
  <si>
    <t>Simulation</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</si>
  <si>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</si>
  <si>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</si>
  <si>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</si>
  <si>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</si>
  <si>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</si>
  <si>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</si>
  <si>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</si>
  <si>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</si>
  <si>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</si>
  <si>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</si>
  <si>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</si>
  <si>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</si>
  <si>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b589f4d9-7186-47b6-9894-6d7c6529c355</t>
  </si>
  <si>
    <t>CB_Block_0</t>
  </si>
  <si>
    <t>㜸〱敤㕣㕢㙣ㅣ㔷ㄹ摥㌳摥㕤敦慣敤搸㡤搳㑢㑡㘹つ愵㤴搶挱㡤搳㠶㔲㈰〴㕦㥡㑢㜱㘲㌷㜶㔲慡㠲㌶攳摤㌳昱㌴㍢㌳敥捣慣ㄳ㤷㑡慤愰愵㈰㈸㐸摣㐴愱摣㉡㠴挴ぢ㤷ㄷ敥㉦〸㈴㄰㙡〵ㄲ昰㠰挴㐳愹㉡㜸攰愲㐸扣昰㠰〴摦㜷㘶㘶㜷㘶搷㍢㜶户㉤戸挸㈷摤摦㘷捥㙤捥㌹晦昵晣晦㤹收㐴㉥㤷晢㌷ㄲ晦㌲攵㤹戹㘶㜱摤て愴㍤㌱攳搶敢戲ㅡ㔸慥攳㑦㑣㜹㥥戱㍥㘷昹㐱ㅦㅡㄴ㉢ㄶ敡晤㐲挵户ㅥ㤴愵捡㥡昴㝣㌴㉡攴㜲愵㤲慥愱㥥㠳昰㌷ㄲ㍦攸散㌵㤸〷㔸㥡㤹㥥㕦扥ㅦ愳㉥〶慥㈷昷㡤㥤〹晢ㅥ㥡㥣㥣㤸㥣戸敤攰攴㠱㠹晤晢挶㘶ㅡ昵愰攱挹㐳㡥㙣〴㥥㔱摦㌷戶搰㔸慥㕢搵㜷换昵㈵昷扣㜴づ挹攵晤户㉥ㅢ户扤㜵昲戶㠳〷捤㍢敥㜸敢㈰㕥㥤㍢㌹㌳扤攰㐹搳㝦㤹挶㉣㜰捡户捤捡慡挵戵㐹改㔹捥戹㠹㤹㘹晣㤷㤸㍦㥥㙥㥦㔸㕣㤱㌲攰慢愵㈷㥤慡昴㜵㜴ㅣ戰愷㝣扦㘱慦㜲昳㜴晢〸㤶㕡㌵晣愰㘰捦挸㝡㕤户攳㔱㑢昶㍣昶慥㙥慣て摡㡢搲昱慤挰㕡戳㠲昵愲扤㠴㠱㙡㐳昶㘹㕦㥥㌲㥣㜳昲愴㘱换㠲㝤戴㘱搵昲㘱捡昵摤ㄸて㤱㥣㤸㕡晥挴㤴㙦捦慣ㄸ㥥㥡㤱捦㡤挹㘸㝢挴慢愶摢㕥摦㝤㕣㑥㕤扤㠱㘳摥搰扤ㅤ㙡捥ㄸ㕥戳攵㜸昷㤶搱攲搳㌳戸愵㝢晢挴ㅥ愵晢摣搴扤㡦摡捡㜴㙢㌱㄰搱户摡㔱㉣㐶㉦ㄲ昴ㄳ㤴〸㠸㐰扤㑣㌰㐰㌰〸㈰昲晦〰㤷㈴㍢戲㑡慢ㄸ㕡㘵㔹慢㔴戵㑡㑤慢㐸慤㘲㙡㤵㜳㕡㘵㐵慢㔸㕡攵㝥慤㜲ㅥ㙤攲㔴敡敦搷愲昴搳慦慥㕦昸昸摡ぢ戳摦昸搱摦㝥昳慢㌳㜷摣㌰戸ぢ㡤敥㡥㈶㌵敢ㄹㄷ㐰㙡㉤㉡〶㐷昰摦收㕣〱愶㌰て㥡户㥢㤳㤳戵㠳晢㡤㕢㡤〲㤷㤵㠱晣ㄴ愱㡣愰敤愰㜹㡦攵搴摣ぢち㜷搷㑣ㅢ扥㙣㙤摣㜸㔴㌷敤㌶㥣㥡晦㥡㡤㉢ㄷ〳㈳㤰㔷户搷戵〶改攸戶〸戶㤲扥㝡摦戵敤摤捥ㄸ昵㠶㥣扡㘸㠵搵慦㙤慢戶ㄷ㍣㜷戹㝢敤ㄱ㑦㍥搰慣敤㤸搱ㄴ㠴摡㥡ㅡ扢㘳㤵㘱㔵㌸慦戱㤹ㄵ搷㤷㡥㥡摥戸扤㘰㔵捦㑢㙦㔱㔲㈴捡㥡㕡敡攵慣㡡戸㝥㝣摥挱㐲挱慤戵搷㈷㑢捤㍢㉦〶㘰㘶㔹挳㝣㔷愵ㄷ慣㉦ㄹ换㜵㜹㐵慡㐹昸㑥㔴散㑤ㄵㅦ㜱慢つ㝦挶㜵〲捦慤愷㙢愶㙡㙢〶㈴㑤敤㠴㕢㤳昹㝣㑥〹〵〸摣扥㍥㈱㜲㌷㜷攷〵㠵㠸〴㡡挹挸㔷愵挹㙥攲ㄴ㔶㠷㔵搴㈵㘹㔲㝢挳㈶㠳㜱扥㑡挶㘴㜰㘰㘲㑤搴ㅦ㝣改㥢㌶ㄹ戶㠹戹㔷戶戱愶㡤㐶慢扦㜳㑤㍡挱㌱挳愹搵愵㤷愹晤〴㘷愴て〳ㄴ㉥㐱㈰㜴摤㍤慡㍡㜱㔱慣ㄷ㉥㔸戵㘰愵戸㈲慤㜳㉢〱捡愰㈱㑢㈵㙥㙤㐷搲㉦㐳㤱扥㥢㘰ㄴ愰㕣捥ㄵ昷戰㔱戱㡣㤴㉢㔰㍡㘵昰㜲㑡㤰戳㕦㡡㤷〷捤㈳㔶㍤㤰愱㔰ㅥ㌶㠱㤱㔰慢㈹昴つ㤱㐴㍤愳ㅡ㉡㡣㍤收っ愸搴戰㥣㘰扤挵户ㅤ㕣ㄲㄲ搱㡥㉣搸㜶戲㠰愲㈰㉤て㌲㜸つ㐴搳㈶つ戲ㅢ㈷㠸㠸㙣㤰愱搹㌱㜲㥡挸搸㍥㐳㐶愰㝤㤲〸搹㝡㝦㜷ㄹ㐱㘲敦㈴㔲㜶敡捡㡦㍢搲㙣㈳㕢㍥㤴㘶㤷㘳攳昴㉢〸慥㈴戸㡡㘰㉦㠰昸ㄳ㈴ㅣ愵ㅣ昲改愴扦〶捦晡㌵〴慦〵㠰㝣搲㈹㜳㈲㔱㐵ㅢ㙡㉢㜶㈴摢つ挱㑥㔶㐶㜱㈸㡡㘸ㄹ㌷敤捣㈱㕢㈱㍡戲㍡户㠷慥捤㉢ㅤ晢挶敥戴㤹㕣づ㈹㌲愳㘹㜲慤㥢㌴㑤㙥〴㥢昶愸户慥㐳㔷㝤㡣攰㜵〰㘵晤昵㠴㔰㉥㌴㜸户㘶搱搳愴㝣㔵㤸㐵愱㌱搴愳㠲㡦〸㤹㐷㠰っ㈱搷㜱㝣搹戱愱㘹づ㡥㥢慦㝡ㅢ㝡㕦㜷晥㡥㤰摥愶㌷㜷昴づ晤㐵㉦搲㡡扥ㅥ散㈵晥搰㔵挷摣㠰㙡晤㡤〴㌷〲戴改ㄸ㥥扥㕦慣愷㐰㤹挵㜶〲㜳扢改㜵㔱㔶敥搲晡慡㔴ㅡ㘸搰㕣㌲扣㜳㌲㠰〷攳昸㉣㙣㘱搷昳㘴ㅤ㠷摡㥡㉡攰昹攵捡㜴愱㝦挴㜳㙤㤶敦搸挸晥慢㐲㌱攴昳㕡㕦慥捤㐶捥戰㌵ㄳ㍥愷〴攵㔰〷摦摡㕤㐸㈴㍡愵挹㡢晤戲捦㤷㍢㤲愴〷㐹㜲ㄳ戶㔵扦ㄹ〰㔲㐲晣慥慢㐴搹挷㘶㙦㔶捤搲ㄶ㉢㍤㝣ㄹ愷㤳㌶ㅦ㘲㠷ㅣㄹ〸ㅤ戶搳昰ㅦ昸㐳昶愲㘵㌷㠵挵㠰扤㈰扤㉡㝣ぢ㔶㕤㤶㐳户㉣㐵捤㡥慣㜸㤵挸㡡扥扥㡥昳㜴㠶㝦㑤搱㐹㥢㤴挸攴昶捣捡㡣戳㜸㡢愸攸㠶愴㔰挹㜰つ㌵㈵㄰㈹㡦㙤㜷㐴㑣て㈲收ㄶ㙣㥣扥㥦㘰㤲攰〰㐰攱㔹㐸㥡慤㙥㍣挳㘱晤㙢㜴㘹㔷㉡戹ㄲ搱愰㕣㠴捦㜴ㄵ㔶〷昹㥡户㄰摣づ搰㘶晥搰〱㤹㐱㠸ち攵〹㐲㔴㘱っ昳㡣㈵㉦㤰〶㜶㤹〸㉣捤㌴晣挰戵ㄹ㔹ㅡ㌲㘷摤㤳㙥㌰㙢昹慢㠸㐴㡤㥡㔱收㥥ㄵ改㠰扡㍣搸㍥㙤㘵敥敡慡慣改收愲摢㠰㘸㍢㍥扢ㅤづ收搸づ搸㤲敡㙣慥〹愴摥捥挷ㄸ㐲㘰愷㤵扦㤵摥搸㉤㜹扦㜹攸ㅢ㙥敤攸㤲ㄵ搴攵㠰ㄹ㌲ㅤ昳㈵ㄳ扢㠸挸㐱慤摦㕣㕡昱愴㥣ㅤ㌲㡦㝡㔶慤㙥㌹㤲挸㠰㡤挹㘰摤㥣㍣㠷㈸挱㠲换ㄸ愰敢っ㤹㑢㥥攱昸慢〶〳㡡敢扢㔳㑦㉡㉣㔲㌰愷㉤挷挷㙢ㄴㄶ㤹ㅦ㌶ㄷ㔷摣ぢ㠸搸㌶㙣攷愸戱敡㙦ぢ慣㤰攸挳愴㔰㈳㌴愱㘹愲愴㤵㝡挵てて攴戹ㅣ㜹㉦㑦愰㜰㤵㉢搰㘷㥥愱扤㘹搷㐷㌱ㅡ摡改㥣搳㈰愲㐷捤挲扥㑣㈹㑣㑥搵敦㘰㥦户〱摣㜵昴昴昱㔶㘴敥㈵挵慣ぢ昴昲㘷挸㜸㐵ㄶ捤㐰〸㝤㜴扢㐲㔲㘱ㄹ㈹〷ㅣ〸㡣昳愹㥤晣捡愶㙡㐳敡摢搵捡ㅥ㐱㈴㘹搰㥣㌳㤶㘵ㅤ昱㘸摢〸㜶㠵て㌴㘳㙤愳敥㐷㜵㌳慥㙤ㅢ㈴㉤㤲攵㘲搵㈰〵㑦㌵〲昷㠴攵攸㈶㠰愲扦愸挸戸㠸㈲攳愲㉡ㅡ㌴㑦㌱㌴愸昲ㅣ换㍤㘷㜸㔶戰㘲㕢搵ㄲㅦㄸ扥摢ㄶ㌴〹㈶愷攴㡤㔳㉣㌳挶摡慣昹搳㌰搹晣〹愰㝢〲㜲㤴㕢㐷昴㠳㜲㌵㔱挴㍦搱愳㘳〹〲㐶㜹㑡昵㜷㘰戴㠲扡ㅤ〱㤱愳搲愵昸づ挶愵㠷㔱ㄲち㈱㘲㍤㠳㐴攰ㄵ㑣〸㜹扡戸㡢收㘹挷ち㠰㍤㘲散㠸ㄵ捣晡㐰㌹〰戲敡㜸㝢戵挲㙡愲搳㜸㔳㉢㕣搷㔹㤵㔲ㄳ搷㜶搶㈷昵挶ㅢ㌶愸づ㌵㑡㐲㤱㙣搶㐸㘹㤶つ收戸㥤㔴㡤㔰㡡㍢搶㌶㈲换㙤摡摡㜷㑡㤱㤷愰㤸ㄴ捤攴昴㜷㉡㐲㐱愰㌷搲㔱昴搹㘷㤳㐷㈲㘲㐳ㅢ愰㑣㍤ㄵ㤶つ㐵㈱挱攳戸㜶㔲㤳攵攸〹晣扤㉢捡捥㌷㠲㔴㡤㜱㜱㌴慡㤹慡搷攷ㅤ㔸〹㔵挳慢㙤ㄳ㤶挶摡㐲つ愳戸戳㔷敤ㅦ㙥㙦㠲ㄱ㈳㌶㘴㔸㈴挳てっ㌶〴㜳㈵㈲慡戴捥㠶戸搵捤攲ㄲ㥦㑥㐸挳㔱ㄸ㔸っ㙡戳㜲㑤㤹㘱㉤㑢㝥㔴㜵㘸㥥ㄶ㤵ㅣ搵捤愹㘵ㅦ㉡㍤愰ㅣ㡦㜲㡡挱㜵昳ㄴ摤㔲戸挴〰戱ㅢ攵ㄶ慡〱㐲扢捤〱㜸㌲搸㍥搸挱㡥㠴愱ㄳ㕡㘷㤴愰挵っ挲㑤㉦㠲扣搳㈳㐶㈱㐸㑤㤵晥㝥㔸㝣晥㐹愶㙦ㅣ捥挵㤹㠸㠹ㄸ敥捡戰ㅥ㠰摣㘴㘴㤲㕣㌴ㅡ〷捣㐳挹愶㠴搶㘰㕣㐶ㄳ㘳㠸㈶㥦ㄷ攰ㄶて㘳㔹挳㘴㥢㍡敥戹〵ㄶ戴㘹㝤㝤㤷㜹摣愹搶ㅢ㌵愹㔴㜱㉣慢㤵㐶摥ㄶ昸㔲㔷〰㐳㙥捡搸㤷㘸㔳㡥攳㈸挵㈵ㄳ㐹扤摢摤晡㘱㜴㔷㐲づ㘳㠴慡㡦〱挸っ户㥣ち㠸㜵摣㔳愰㝤戸扢㜵㠱㐱㕤㥥㠳㐸敢㈸愲㉣㥢挳㝤扣㘶ㄴ㔹㜱㕢愲搹㥣㍢攷搲㘶㑦ㄴㅤ戳挲愲㙤㠱㈳慣㌳ㄴ㜸挵㈲㡣㤱ㅥ戹㠳㠳攴㉥㐵搱摤㑢て慢挷摣㈵愰㐲㘱㐰㌰挶换㔳㔰づ扢ち㐶愲挱慤戵慣㙥挱攸㉦㉤㙦㝤ち㐰㌰っ㑣㠳ㄶ㉤㐳〳㘷〶昹捤つ㥣敢搰㉡㈳㐲㥡っ愶㌲㐶㌹ち㠷㍤㤰〶㙥攲㐱㝡挹㠵ㄲち昶愸㡢㘱昱摤挴㜱ㅢ㐷㈰搷扢愲慤㜰挱〸㜰晤挵搹摢㔶㍣㔵慢搱摣㠵㝦㙥㕢㘰ㄵ㔷㌷㐲㜳㜴㑦摢愵㉣戵㈶摡㜷搷户㔵㐴㤷〵て捣㑥ㅣ㌳㠲敡捡㘲戰ㅥ㕥摣敡㤵㈴ち㍦㠶㍦㘲挳户搳㘶捥㍢扣㠸扡挶扤㉦㥦㜷摣ぢ㡥㥡㔷挱攷慤㍦㔰〸慥㔰昶㜳㤲攵摣扦昱㑦㈵㉤㔷昸ㄱ㐶摣捡戴㌹㐰换㐱挲㜱㔴ち愵挱ㄸ昲ㄹ㜴〲摢扤㜹㙢㠰㜴戲愷㡤㑥㤴㈰搸㈱ㄴ攷摣换㐶㈸攲㠷㐰㉢㠹㈵㍣㤲㘳捦扦づ搶ㄷ㍦㐰〹ㄱ㡥攷㐸㡣ㄴ㕥㠷㕣〶敡㤴㈰㡦慥㜸昰㐲挸晦て㤶㘲㙥摥㤰㥤晥ぢ捣㉣扥摦㡥愲㙢㠹愲敦㜵愰㐸昰ㅡ㠸攲摦扢㤰㠹㔳㠱攱搹ㄷㄵ〸攷㥡㜶づ愰慦昸㠵摦晦攱〱㜴㉥㈲づ㘵愳㈱搴㜶〳㥥㥢㈶㐲㕦㠷㠹挰攰扤㌲ㄱ㑥㈰㈳ㄸ挵て㑤㠴挸〷㌲㡦㠲捤㑤〴挶昶㌲っ挱㐴愸㌵攱搶攰〹散ち㥢晥戱㘳戸㜸㉢㝤挴昳愱戴晣ㄹ㜸愴慥散㉣㕥㌰㍣挳摥慢捡㡦㝡ㄲ捡捣㕢挲㑤㙥搵㠵㍤慥摥戰㐶㜵摡挰㔷ㄱ㝢搹㜷晣㈹㕢扢扦づ㑣㠵㈹㜴摦㡢㤲㈸扥〴㑦㠹攰戹㈱昷晥㍤摦㍣晡挷〷ㅦ㍤捣摢㙡ㄱ慤ㄶ㙥㐶扥㤷㤰㍤敤〹〴㜵ㄳㄷ㐵㉥攷㠷㌹㈷昰㠹㤲戵㕡㤷搳㠶愷慣㈰㕦户攳㙣㐸㜸〹挲っ㠹㙦㍢㤸㤸戸昷㄰㥡㤸ㄳ㙤敥㑥昵㘱㤳㜲ㄱ㑥㈴㈶慥㝣㝡㜱搸㔰㜴㔵㘴㍤㕡㥢㠵㙦㐳ㄵ扤挸㠹愴慤㐴㥥㍡㤹㠴昸㔶扢慥㍢㐸㕤ㄷㅥ㘴ㄸ昶㡦愵ㄴ攲て愴㤰攴㐱㠶ㄷ〲㤴㤴㍡㠵㑣攱ㄶ㠰㡣挸㕡㝢㠸㤷晥㠰ㅤ㈱㈰㥢㤷晥㝡晣㠸〵扢〸㉣挶扥昸㕥㑦戴戴㐵㘳搵挴㔰慤戲㘹ㄶ㤱㔱㠷ㄷㄶ㑣挶愵㈹㑢攷〰㑡户散㡥攲㑢㠶散㌰昰ㄶ㌲㜶挱愶慦慤㙣摦改㌴㜰昳〳㝡愶愸ㄴ㠶戳㥢挵㌸㤰慡ㄸ㕤搸戴ㅣㄶㄱづ㠷搹㘶愷㠱愸ち㍡换搹㡢㔳㈹㠲㝦晣㔲㠸昵攳慤愱㉦㙦慦愱㡥㜳晡戱㐰晥㘰㝦㕤㥢挱搸㜸㉢㌹〶ㄲ㜶㑢慤㑡攱昵昰搳攸挲㐵攷㠴摥捡慡㘷㜱㄰㝦㘲捥敡搳㍡昴㍦愳搷㡡戳捥戰㌷挳搸㈹晤晦ㅥㄴ㙣慡晦〵㘳㙦ち㤱昷㐶ㄹ㍥ㄴㄸ㍦搹㌴㘴挳ㅤ㠱㘷ㅢ挱ㅢ㜵㌰搶㔵㤶㈱敦㌰户㠸㡦㔷挳㙡㈵挱攱昷捡户㕦㡤㘸昶愵㙤㍢搰㔵〰㌲㌶㔴昸㍡㐴㔰搷晥㘹戹ㄵ㥦㙥㡢昷愱攳㥥ㄳ㔶搵㜳㝤搷っ挶ㄶㄱ昴ㅤ攳户㘷㈶㙣㥥㈹昱戵㜶愱㜶㍤㜶㘲昰㝤攸㜳㜲ㅥ〲晢愴っ㕥慥㔸㈴㈳ぢ㕢㡢㘴昰㍢愴㤱㐴㜸㠹摡挱扦捣扣扢㘱搴昱改敡㍣㝣㥤〱㡢戶㠵戲ぢ㍤捥敤㌷㌴戸㜵戸愳昵㙥昸㠳㘴㝤〲挱㌱戵㠴晢摥挷㝤㙤摦㠳㜴摢㘸㙤㍥㕢昶收㜳㉢ㄷ㥥〶㑥户昶㤶㌴挹昰㥤晣㈲戹慣㔷〸㜱㘹晦㌰晥㙥摤㐱换搱㐶㐱攷搱〷摤㜴㠴㡤搷攱㍥摢㐲昴晢㉣扡㡡㈹〲晣㜴㈳捡昰㐱搰换㐷㔶ㄴ㕦挲戲挸〰挸攷㡡㔵㠰敥㔴晤搴㐶㔴㍤ㄲぢ㘴挱㌳〶挹戱㉣扥㠰㠶摣慥㜰搹㘰〹㉥㕢愸戳〴昲㝡摣〳昹㥣攰㔹㐲㑤攴㜳攸搰㥣㠸㠵搲敥ㄳ昹散㐶ㄳㄱ戴〲搴㐲㤳攳㡦挴㕡㐴慦愳㕡户〹ㅣ〲ㄷ㘰㤸㘲㤱戲愶ㄸ㠶ㄶ㝥㐰捣㈰晤㍡晡晢摣攱㘷㥦㘱晡敢㘱愱〴㈱慡搲㤳愷㈰㔴㤳晦㐴㜲昲ㅥ㑡扢㑦晥㠹㡤㈶㍦㐲ㄹ挹㤹攸〱挰㔰㥦愸攰㡦㕡㑣〳ㄹ敥㈳㝦攲㉣〱㝥愹㔹㡣ㄸ㈸㔱㝤㉦㈰㠳扥摣㜰搵敡㈲㌲㜱摦〲搷㥦昱㜱㡦戲㡦㜸ㄱ㤲扥㥣㘲攸㡣㉤㠶㕡戱㘴㐷㕥搸㙤㈱ㅢ戰㈴㝥㉤摢㔵愴ㄷ㝢㡣昰㡢挷㘳挴ㅣ㍢ㄶ㝦㌹愵㐵㌱㈷㄰㐶㘸㤱㤲㝥戸㤱攲㐳㜱攳敦㝣户攵㌲㐵〵ㄲ愸㈷㙣㑣㍡㔳㡤ㅦ㡢ㅢㅦ挰㔷㔹慡㑤㡥㌷〸㤸㥥㡢ㅢ㤳ㅥ㔵攳㐷攳挶㝦㌹戰户搹㌸愶挳㜰攴〲㠹㈴挳搶㔵搶㝦攲ぢ敤㘱㌴㉦㤸搴㥦〳㘶㔸㑣挹愹㐲挷㜵愵㐱〷㜱ㄹ挴挳㌷搲㜳戸摢㠴㉢㈰㄰戲攱晦㉡攱㌸敥㍣捤ㅡ㠱㠱㑦愰搷㄰㙣昶㜴昵挴捥㐵㜳摥㐳㐱扦㜹摣挷㤹慡戶慤㐸〴收㐰㍥摣摦㑤㥣昲ㄹ愶㘳㙢㍦攲㈰㤹挶㍢㈴扤㈹てㄵ㔸挹㡢て挴㤸捤㍤搲愲ㄹ晤㘱㈰〷搲ㄱ㤰ㄹ晤ㄱ挰㌰㄰挳摢捡戹ㄱ昲扦㘲敥て戰攲㠳〴㡦〲㤴〵㤹㥤㜴㔰㝣っ㘰㌸晥ㅦ㔵㡣慤㈹㝦㠹㈶ㅥ㡣㕦㤶㈴㈳晤㜱㜶昸㌰㐰ㅦ摣户㈲㈲挲戲晥ㄱ㤴㈴㕦㑡挱愱㕥晡㔱㔶㝣㡣攰〹㠰㜲㠱㤳摤昲慥㜱㑤㍤㙡慥㡦愳慢㜸㠴〰㍦晤ㄳ㔱㠶て〵敥挳摢扢摢捡㍣ち挷ㅦ昶㈳搴㤹晡㠲晦㑥㝣㤱扦捥㐵昷攱㝦㐸㔲㔰㠶㝤㕥㝢㕢㙦㘳㤱〹㘸㤳慢摦㉡㌶晢㈵㡣挳㜵戵㈲㈸ㅣ㤱㑡愵愴ㄵ〵昱捤〵ぢㄷ㙦攰㕢づ愹ち㈱㐸〳慡挲㠹㉡づ愳㐰晦ㄴ㥢ㄲ挷挴㤳晥㘹㍥ㄱ戵㙡ㄳ㍦ㄳ㘵昸㈰㠸㔷搵晤晥愸㝢晣㐲攲㕡㔵㔸㙤㉦㈴晥㔵挵㑡昲㠵㑦㜲㌰㠵㉣㘴搲㕡㠹㐸㔳㌴昴〵㘴㠶晡㠶㌹户㝢昰搳㉥㡡敡搹摡搹戳晦ㅣ捥㡦㕤㥤㝦捦扢〶㥦㝣敥㤷捦㝦昲户敦㍤昴攷㝦㍤昵搴㙦㕦昸攴㌳晦晡昱昲愱㥦㍦晤昴捦敥晡昲㌳捦敦㌶扦愲㝤昷㥦㜳㕦㜹㘸昲晣㐳て㤸愷㙦㍥晡搰扤昷摦㍤戹㜰搹㜸㕦㕦㝦晦㡤愳扦戸敡㑤㈳㡦㍣昰㝤昱㤳摦㕦改〸戵㕣扣㈰㍤つ㉥㕢㑤攳㡢挸㘰ㅡ㥣昱㉢㍡つ㉥㔷㙤搴㜲戴㔱搳㈸㈸挱愷挱〹愸ち㈳㕤㌱昰ㅦ晤㐶戴㕡</t>
  </si>
  <si>
    <t>Decisioneering:7.0.0.0</t>
  </si>
  <si>
    <t>0b711478-2f20-436f-acd3-e092662c9760</t>
  </si>
  <si>
    <t>E[Payoff]</t>
  </si>
  <si>
    <t>㜸〱敤㕣㕢㙣ㅣ搷㜹摥㌳㝢攱捥㤲ㄴ㘹㔱㤶㉣挷戱㤹㌸㡥ㅤ㔳㘵㐴搹慡攳愴慡挲㡢㈸挹搶㠵ㄶ㈹㌹㑥搳慣㠶扢㌳攴㔸㍢戳搴捣㉣㈵摡㑡散〲つ搰㈲ㄷ戴㑥㄰挰戱ㅤ攷づ〴㐱㔲昴挵㑤搰扣ㄴ㈸搰愲㜰㠰㍣愴て〵晡攰〶㐵晢㤰愰㔰搱ㄷ㍦〴㜰扥敦㥦㤹摤搹㕤敥㤰㕥摢㈹ㅤ㜰㈸晥㍣㜳敥攷晣搷昳晦㘷㤴㔱㤹㑣收つ㍣晣换㈷挷挴ㅤ㡢ㅢ㝥㘰㍡㤳戳昵㕡捤慣〴㜶摤昵㈷愷㍤捦搸㌸㘳晢㐱ㄶㄵち㘵ㅢ攵㝥扥散摢㑦㤹挵昲扡改昹愸㤴捦㘴㡡㐵㕤㐳㌹㍢攱敦㘸晣愲戳搵㔰づ㘰㘹㜶收晣昲㤳攸㜵㌱愸㝢收愱昱㑢㘱摢㘳㔳㔳㤳㔳㤳てㅥ㥤㍡㌲㜹昸搰昸㙣愳ㄶ㌴㍣昳㤸㙢㌶〲捦愸ㅤㅡ㕦㘸㉣搷散捡愳收挶㔲晤㡡改ㅥ㌳㤷て㍦戰㙣㍣昸㤱愹〷㡦ㅥ戵ㅥ㝥昸㈳㐳ㄸ㍡㜳㙥㜶㘶挱㌳㉤晦㙤敡㌳捦㈹㍦㌸㘷㔶㙣慥捤㌴㍤摢㕤㤹㥣㥤挱扦挴晣昱昶搰攴攲慡㘹〶ㅣ摡昴㑣户㘲晡㍡ㅡづ㍡搳扥摦㜰搶戸㜹扡㌳㡦愵㔶っ㍦挸㍢戳㘶慤愶㍢㜱慦㐵攷㍣昶慥㘶㙣っ㌹㡢愶敢摢㠱扤㙥〷ㅢ〵㘷〹ㅤ㔵㠷㥤㡢扥㜹挱㜰㔷捣㜳㠶㘳收㥤㤳つ扢㥡ぢ㥦㑣昶摥戸㡢攴挴㘴昹㤳搳扥㌳扢㙡㜸㌲㈳㥦ㅢ㤳㔲㜷摥慢戴搷扤扢㜷扦㥣扡㡣挰㍥敦改㕤て㈵㤷っ慦㔹㜳愲㜷捤㘸昱敤㌳昸㜰敦晡㠹㍤㙡㙦昳愱摥㙤㘴㉢摢㙢慢挱㠸扥㘵㐷戱ㄸ扤㐰㌰㐰㔰㈴㈰〲昵ㄲ挱㈰挱㄰㠰捡晤ㅦ戸㈴搹㤰㐵㕡搹搰捡换㕡戹愲㤵慢㕡搹搴捡㤶㔶㕥搱捡慢㕡搹搶捡㑦㙡攵㉢愸ㄳ㍦挵㠱〱㉤㝡昶㥣扣攳㜳㍦扦昱扦㈷㥥晢搵搱㐷㕥戸昲攵㕦て敤㐱愵挷愲㐹捤㜹挶㌵㤰㕡㡢㡡挱ㄱ晣搹㥡㉢挰ㄴ搶㔱敢㈱㙢㙡慡㝡昴戰昱㠰㤱攷戲㔲㤰摦㐶㈸愳愸㍢㘴㍤㙥扢搵晡㌵挱摤ㅤ㌳㠶㙦戶㌶㙥㈲㉡㥢愹㌷摣慡晦㥥捤ぢㄷ〳㈳㌰㙦敦㉣㙢㜵搲搵㙣ㄱ㙣㘵晡㌲摥㥤㥤捤㉥ㄹ戵㠶㌹㝤摤づ㡢摦摢㔱散㉣㜸昵攵摥愵昳㥥㜹戵㔹摡㌵愳㘹〸戵㜵改扢㙢㤵㘱㔱㌸慦昱搹搵扡㙦扡㌲扤〹㘷挱慥㕣㌱扤㐵㤳㈲搱慣捡㔲㙦㘵㔱挴昵ㄳ攷㕤㉣ㄴ摣㕡㝤㝦㌲搷㍡㜱㍤〰㌳㥢㔵捣㜷捤昴㠲㡤㈵㘳戹㘶敥㙦慢ㄲ㡥㠹㠲㠳㙤搹昳昵㑡挳㥦慤扢㠱㔷慦戵㤷㑣㔷搷つ㐸㥡敡搹㝡搵捣攵㌲㈲ㄴ㈰㜰戳㔹愵㌲昷昷收〵㐱㐴〲挵㘴攴摢摡挹㙥昲〲㔶㠷㔵搴㑣搲愴昶㠱㉤㍡攳㝣㐵挶愴㜰㘰㘲㑤搴ㅦㅣ昴扥㉤扡㙤㘲敥㥤慤慣㘹㘳搱敡㑦慣㥢㙥㜰捡㜰慢㌵搳㑢搵㝥㡡㌳搲㐷〰昲㌷㈱㄰㝡敥ㅥ㔵㥤扡慥㌶昲搷散㙡戰㕡㔸㌵敤㤵搵〰㜹搰㤰挵㈲户戶敢搱㙦㐱㤶扥㤷㘰っ愰㔴捡ㄴ昶戱㔲愱㠴㈷㤳愷㜴㑡攱攵㌶㐱捥㜶㙤扣㍣㘴捤摢戵挰っ㠵昲㠸〵㡣㠴㕡㑤搰㌷㑣ㄲ昵㡣㑡愸㌰昶㔹戳愰㔲挳㜶㠳㡤ㄶ摦㜶㜱㐹㐸㐴扢戲㘰挷挹〲㡡㠲㜶㜹㤰挲㙢㈰㥡づ㘹㤰㕥㌹㐱㐴㘴㠳ㄴ捤㡥㥥摢㠹㡣昵㔳㘴〴敡㈷㠹㤰戵て昷㤶ㄱ㈴昶㙥㈲㘵愳㥥晣戸㉢捤㌶戳攵㐳㘹㜶㉢㌶㑥摦㑦㜰㠰攰㌶㠲㠳〰敡扦㈰攱㈸攵㤰㙥㝦昴昷攰㕤扦㠳攰扤〰㤰㑦㍡㘵㑥㈴慡㘸㐳㙤挷㡥㘴扤㘱搸挹㘲ㄴ㠷愲㠸㤶㜱搳捥ㅣ㜶〴搱㤱搵戹㌳㜴㙤㑥㜴散〷㝢搳㘶㜲㌹愴挸㤴慡挹戵㙥㔱㌵戹ㄱ慣摡愷摥扡ぢ㑤昵㜱㠲昷〱㤴昴昷ㄳ㐲戹搰攰摤㥥㐵㑦㤳昲㕤㘱ㄶ㠵挶㔰㥦ち㍥㈲㘴ㅥ〱㔲㠴㕣搷昱㘵搷㠶愶㌹㌸㘱扤敢㙤攸㐳扤昹㍢㐲㝡㠷摥摣搵㍢昴ㄷ扤㐹㉢晡㙥戰㤷晡昷㥥㍡收ㅥㄴ敢ㅦ㈴戸ㄷ愰㐳挷昰昴晤㘶㍤〵㘲ㄶ㍢〹捣敤愵搷㐵慣摣愵㡤㌵㔳㌴搰㤰戵㘴㜸㉢㘶〰て挶改㌹搸挲㜵捦㌳㙢㌸搴㔶㈵㠳攷㤷〳敤㤹晥扣㔷㜷㤸扦㙢㈳晢敦ち挵㤰换㘹搹㑣㠷㡤㥣㘲㙢㈶㝣㑥〹捡愱づ㝥愰户㤰㐸㌴㙡㈷㉦戶㑢㍦㕦敥㑡㤲㍥㈴挹㠷戰慤晡晤〰㤰ㄲ敡㕦㝢㑡㤴㐳慣昶〷㔲慤摤㘲愵㠷㉦攵㜴搲攱㐳散㤲㈳㠳愱挳㜶〶晥〳㝦搸㔹戴㥤愶戰ㄸ㜴ㄶ㑣慦〲摦㠲㕤㌳㑢愱㕢㤶愲㘶㔷㔶扣㑢㘴㐵㌶摢㜵㥥㑥昱慦〹㥤㜴㐸㠹㔴㙥㑦㉤㑣㌹㡢户㠸㡡㙥㐸ち㤵ㄴ搷㔰㔳〲㤱昲㔸㜷㔷挴昴㈱㘲㍥㡣㡤搳てㄳ㑣ㄱㅣ〱挸晦っ㤲㘶扢ㅢ捦㜰搸挰㍡㕤摡攵㜲愶㐸㌴㠸㡢昰搵㥥挲敡㈸㠷昹㐳㠲㠷〰㍡捣ㅦ㍡㈰㔳〸㔱㔰㥥㈰㐴〹㘳㔸㤷㙣昳ㅡ㘹㘰㡦㠵挰搲㙣挳て敡づ㈳㑢挳搶㕣晤㕣㍤㤸戳晤㌵㐴愲挶慣㈸昱昸慡改㠲扡㍣搸㍥ㅤ㜹昵戵㌵戳慡㕢㡢昵〶㐴摢改戹㥤㜰㌰挷㜶挰㤶㤴戳戹愶昰昴㜷㍥㐶ㄷち㍢㉤晥㔶㝡㘳户攵晤收愱㙦愴戵愳㑢㜶㔰㌳〷慤㤰改㤸㉥㕡搸㐵㐴づ慡〳搶搲慡㘷㥡㜳挳搶㐹捦慥搶㙣搷㈴㌲㘰㘳㌲㔸㜷挶㕣㐱㤴㘰愱捥ㄸ㘰摤ㅤ戶㤶㍣挳昵搷っ〶ㄴ㌷昶戶扤㐹㔸㈴㙦捤搸慥㡦㘱〴㡢㑣㡦㔸㡢慢昵㙢㠸搸㌶ㅣ昷愴戱收敦〸慣㤰攸挳㐷㔰愳㌴愵㘹慡愸ㄵ晢挵てて攴㤹っ㜹㉦㐷㈰戸捡攴改㌳㑦搱摥戴敢愳ㄸつ敤㜴捥㘹〸搱愳㘶㘶㌶㔵ち㤳㔳昵㠷搹收愳〰㡦㥣扣㜸扡ㄵ㤹㝢㑢㌱敢㍣扤晣㈹㌲㕥挸愲ㄹ〸愱㡦㙥㑦㐸㉡捣㈳攵㠰〳㠱㜱扥㜵㤲㕦挹㤲㍡愴扥㍤慤攴㍣㈲㐹㐳搶ㄹ㘳搹慣㈱ㅥ敤ㄸ挱㥥昰㠵㘶慣㘳搴晣愸㙣戶敥㌸〶㐹㡢㘴戹㔸㌱㐸挱搳㡤愰㝥搶㜶㜵ぢ㐰攸㉦捡㌲慥㈳换戸㉥㔹㐳搶〵㠶〶㈵捤扥敡㉢㠶㘷〷慢㡥㕤㈹昲㠵攱扢ㅤ㐱㤳㘰㜲㑡摥昸㠹㘵挶㜸㠷㌵㝦ㄱ㈶㥢㍦〹㜴㑦㐲㡥㜲敢㠸㝥㔰慥愶ち昸㔱㝤㍡㤶㈰㘰挴㔳慡晦ㄱ㝡换换敤〸㠸ㅣ㜹㙥挶㜷㌰㙥㍥㠳㥣㔰〸ㄱ敢㈹㈴〲慦㘰㐲挸搳挵㕤戰㉥扡㜶〰散ㄱ㘳昳㜶㌰攷〳攵〰㐸捡昱昶㜶挱㙡愲搱㐴㔳㉢摣搵㕤搴愶㈶敥散㉥㑦敡㡤て㙣㔲ㅣ㙡㤴㠴㈲搹慡㤲㘸㤶㑤收戸㤳㔴㡤ㄲ挵ㅤ㙢ㅢ㤵收㌶㙤敤㍢愵挸㕢㔰㑣㐲㌳ㄹ晤㡦㠵㔰㄰攸㡤㜴ㄴ㝤昶改攴㤱㠸搸搰〶㈸㔱㑦㠵㜹挳㔱㐸昰㌴慥㥤㔴捤㔲昴〶晥摥ㄳ㈵捦㌷㠲戶ㄲ攳晡㔸㔴㌲㕤慢㥤㜷㘱㈵㔴っ慦扡㐳㔸ㅡ㙢ぢ㌵㡣㜰㘷扦摡㍦摣摥〴㈳㐶㙣挸戰㐸㡡ㅦㄸ㙣〸收㑡㐴㔴㘹㥤つ㜳慢㥢搹㐵扥㥤㌵つ㔷㌰戰ㄸ㔴攷捣㜵㌱挳㕡㤶晣㤸㌴㘸㥥ㄶ㐵㡥敡搶昴戲て㤵ㅥ㔰㡥㐷㈹㘱㜰摤扡㐰户ㄴ㉥㌱㐰散㐶愹㠵㑡㠰搰㙥戳〳㥥っ㜶づ㜶戰㈳㘱攸㠴搶ㄹ㈵㘸㈱㠵㜰摢ㄷ㐱摥改ㄳ愳㄰愴㤶㍣晦㜳㕣㝤敤㜹㍥摦㍦㥥㠹ㄳㄱㄳ㌱摣㤵㘲㍤〰戹挹挸㈴戹㘸㉣づ㤸㠷㤲㑤㠴搶㔰㥣㐷ㄳ㘳㤸㈶㥦ㄷ攰ㄶて㘳㔹㈳㘴㥢ㅡ敥戹〵㌶戴㘹㙤㘳㡦㜵摡慤搴ㅡ㔵㔳㔴㜱㉣慢㐵㈳敦〸㝣挹ㄵ挰㤰㥢㔲昶㈵摡㤴搳㌸㑡㜱挹㐴㔲晦㜶户㝥ㅣ捤㐵挸愱㡦㔰昵㌱〰㤹攲㤶㤳㠰㔸搷㍤〵摡㠷㝢㕢ㄷㄸ攴昲ㅣ㐴㕡㔷ㄶ㘵搹ㄹ摣挷㙢㐶㤱㠵摢ㄲ搵捥搴捦搴㘹戳㈷戲㑥搹㘱搶㡥挰ㄱ搶ㄹち扣㐲〱挶㐸㥦摣挱㑥㌲㌷愳攸敥捤㘷攴㌵㜳ㄳ愸㄰っ㈸挶㜸㜹ち捡㘰㔷挱㐸㌴戸戵㤶搵慤ㄸ晤愵攵慤㑦〳㈸㠶㠱㘹搰愲㘶㘸攰捣㈲扤戵㠱㜳ㄷ㙡愵㐴㐸㤳挱㔴挶㈸挷攰戰〷搲挰㑤㍣㐸㉦搵愱㠴㠲㝤㜲㌱㉣扥㥢㌸攱攰〸㔴昷昶㜷㘴㉥ㄸ〱慥扦戸〷㍢戲愷慢㔵㥡扢昰捦敤〸慣攲敡㐶㘸㡥敥敢戸㤴㈵㙢愲㝤㜷㜷㐷㐱㜴㔹昰挸摣攴㈹㈳愸慣㉥〶ㅢ攱挵慤㍥㐹㐲攵㝦ち㝦挴愶愳搳㘶捥戹扣㠸扡捥扤㉦㕤㜱敢搷㕣㤹㔷摥攷慤㍦㔰〸慥㔰づ㜰㤲愵捣ㅢ昸㤱㐷换攴晦ㅥ㍤㙥㘷摡散愰攵㈰㘱㍦昲㤴昴㜹晣㘵㤰㝡ㅣ㝦㔳㘸〵昶㝢昳收〰㘹㘵㕦〷慤㠸㌰搸㈵ㄶ㜷攵敤㈲㤶㡣晡〹㔰㑢㠲〹㡦攵搸昳敦㠱晤搵㡦㤱㐳愴攳㍤ㄲ㈵昹昷㈱㤵㠲㍡ㄱ收搱㌵て㕥ち昹晤挱㔲捣搱㥢戲搴敦㠲愱晦慥ㄳ㐵㜷ㄲ㐵慦㜴愱㐸昱㉡㠸昰昰愳㐸挴㑦㥥㈱摡㌷ㄵっ攷㥡㜶て愱敦昸愵摦晦挷㐳攸搹㠸㌸挴㑥㐳戸敤ㅥ扣㌷捤㠴㙣㤷㤹挰〰扥㤸〹攷㤰㔰㡣攴㠷㘶㐲攴〷㔹㐰挶搶㘶〲攳㝢㈹挶㘰㈲摣㥡㜰㙤昰ㄴ戶摦愱㡦散ㄴ㉥摦㥡㍥㘲晡㔰㕣晥㉣扣㔲〷扡戳ㄷっ捦㜰づ㑡晥㐹捦㠴㐲昳㤶㜰㥢㕢㥡戰挵敤㥢㤶㐸愳㑤晣ㄵ戱愷㝤搷愷戲扤㍢散挰㔴昸㠴㉥㝣㔵㔴㠵户攰㉤㔱㍣㍢㘴㥥摥昷愳㤳晦昱搴㥦ㅦ攷㡤戵㠸㔶昳昷㈳摤㑦搸㥥昶〴〲扢㠹换㈲户昲攳㥣戳昸㑣挹㕥慢㤹㌳㠶㈷㤶㤰慦㍢㜱㌲㈴扣〴㘱㠶挴户ㄳ捣㑣摣㝤〸捤捣挹づ㤷愷㝣摣㈴㙥挲挹挴挴挵慦ㄷ㠷づ㔵㑦㐵搶愷挵㤹晦ㅢ愸愲㌷㌹㤱㜶㑢㤱㈷㑦㍥㑡晤愸㔳搷ㅤ愵慥ぢて㌳っ晤挷㔲ち㌱〸㔲㐸昲㌰挳㑢〱㈲愵ㄶ㤱挸㌳搶㤷ㄲ㕤敢っ昳搲㈷戰㉢〴捣收挵扦㍥㍦㘴挱㉥〲㡢戱㍦扥摦㔳㉤㙤搱㔸㌵㌱㕣㉢㌶捤ㄲㄲ㜲㠰㘱挶㔴㥣摢㘶改昰㘴扢㙤㤷ㄴ〷ㄹ㜶挲攰㕢挸搸㜹㠷晥戶㤲㜳挲㙤攰昶〷昴㑣㐱ㄴ㠶扢㤷搹㌸㤴㑡㥣㉥慣㕡ち戳〸㐷挲㘴戳搱㘰㔴〴㥤攵ㅥ挴挹ㄴ〱㐰㝥㉤挴昲㠹㔶搷户㜶㤶㔰挷戹〳㔸㈰㝦㘱㝦摤㤹挲搸ㄸ㤵ㅣ〳〹扢慤㕡挵昰㡡昸㈵㌴ㄱ㉢㕦改慤㈴挷㔲㡡㜱敡㤸戳戲㕡㤷晥㘷〴㕢㌸敢㜱搶㘶㈸扢㑤晦㍦㠱㡣㉤昵扦㝡㤸㙤昱慢㝦㌲㑡昰㈵捦ㄸ捡㤶㘱ㅢ敥〸扣摢〸攰挸攱㔸㤷㈴挳摥㘱㙡ㄱㅦ戰㠶挵㈲挱攱晢捡㜵㕥㡦㘸戶愵㙤㍢搸㔳〰㌲㍥㤴晦㉥㐴㔰捦昶敤㜲㡢扤昱㈹㝣ち㘰摦㔹扢攲搵晤扡ㄵ㡣㉦㈲昰㍢捥敦捦㉣搸㍣搳敡摢㥤㐲敤㙥散挴搰愷搱收摣㜹〸散㜳㘶昰㜶挵㈳ㄹ㕤搸㕥㌴㠳摦㈲㡤㈶㐲㑣搴づ晥㉤搶㘳つ愳㠶捦㔷捦挳摦ㄹ㌰㙢㐷㈸扢搰敢摣㜹㑢㠳㕢㠷㝢㕡㡦挲㈷㘴搶㈶ㄱ㈰㤳㈵晣挹㥦㜲㕦㍢昷愰扤㙥戴㌶㥦㌵晢昳扢㤵昲摦〴㑥户㌷㑡㍢挹㜰㑣㝥㤵㕣搲㉦ㄳ挲㈷〲㘷㕤㥡昳扡挳㐹换摥挶㐰攷搱㐷摤㜴㠶㑤搴攰㐲摢㐶〴摣㐰㔳㌵㑤㠰㕦㝤㌹㑡昰㐵搱搳㐷㔶㔴㉦㘱㔹㘴〰愴㌳㠵㉡㐰㙦慡㝥㘱㌳慡㔶昴昴㐸晦㈰晤っ㠹㑣〸㉤ㄶ搳㡡㈷てㄲ㘹㐹㍤㡦收摣挴㜰㌳㔶㤹㠷㤳㠸㥣㌰㤰搶攳ㄶ㐸㘷ㄴ㑦ㄸ㌲扤慦愲㐱㜳㝡㔷㤰摢㝢㝡㕦搹㜴㝡戴つ㘴㝡挹晥㐷㘳摤愲扢㈸搶敢〴㙢〴㔷〱㐶㈸㉣㈹㠱ち㘱搰攱㈷挴ㄷ㥥㥦㐷㝦㕦㍢晥戳㔷昹晣晡戸ㄲ昱㠸愲昶挹㔳㍣捡攴扦㤸㥣㝣㠰摣摥㤳晦晣㘶㤳ㅦ愵攴攴㑣昴㜵㠰攱慣扡㡣㍦戲㤸㙢㐸㜰ㅦ昹慢㡣㌸户㙤㠹㐴户戴摤㐰㘲㌸㍢㑡昴搰㑦愳㍦㐵昰㌴挱つ㠲捦㄰㝣㤶攰ㄹ㠲㘷〱㑡㡡搸㤱㠱晥っ㠹㜸愰㍣㌷㉢攵ㅢ㈱㌱戱㜸㥦㤲挳ㄴ㐲㥦㙥㈱㔴慣㐵㈷㜲收敥〸昱㠲㈵昱愳摢㥥㕡愱搰攷㐵〱昵搹ㄸ㡢愷㑥挵ㅦ㘰㘹㔱攸ち㔴ㄴㅡ戵㈴㌶㙥愴晡㑣㕣昹㙦㕦㘹㜹㕥㔱㠰〷愴ㄶ㔶㈶㔱㑡攵ㅢ㜱攵㈳昸戸㑢敡㘴戴昰㑦收戵戸㌲㠹㔷㉡㍦ㅤ㔷晥搵㤱㠳捤捡㌱搱㠶㍤攷㐹㔱㈹收戲ㅣ㈰ㄲㅦ㝡昳㕣㥥户愸㠲〷慤㌰㥢挲㔷㈲搰㌵㔱挲㐳戸㔳攲攱㔳敢㌳戸㈲㠵㥢㈴㤰搳攱晦戸㜰ㅡ㔷愷收㡣挰挰㤷搴敢㠸㔹㝢扡扣戱㜱挱㍡敦㈱㘳挰㍡敤攳㔸㔶摤㔱㈴〲㡢㈲ㄷ敥敦ㄶ扥晤ㄴ敢戳戵ㅦ㜱慣㑤攳㔵㤴晥昴㡦挴㘷㜲㙡㈳挶㙣收搹ㄶ捤攸㝦〱攴㐰㤴〲㌲愱晦㈵㘰ㄸ捦攱愵攷捣㈸㠵㠵㐸㠲捦戳攰ぢ〴㕦〴㈸㈹㑡〶搲㐱攱㑢〰㈳昱晦㜷㌱扥㉥㉥ㄷ㑤㕤㡤〷㑢㤲㤱晥㔷㙣昰搷〰㔹㜸㠰㔵㐴㠴㈵晤㌹攴㈴〶捤㔳捡㝣慣户㐹换ㄳ㙢晣つ㍥ㄴ㕥摢挷昶㈷昰昱晣〶㍢捥攲晦づ挹㡢晤㥤搳㍥摡㕦㕦㈴㌴㥡捥昲㕢挳㠲摥㐲㍦摣攰㔶戰㠳㍤㡡㉡㔳㤴愵㕣慥扡㠲晥㌹〶㉤敢㤲愲㜴㤵散㈷愳散晤㤲㑤㜹㉢搹㜶㤴㝤㐰戲㈹㠱㈵㝢㌵捡扥㑦戲㈹㤳㈵㝢㈵捡愶㔷慤愴㥥㡤戳慤㈸㥢㍡愷㔸〰挰昳晡ㅢ愳ㄴ摢㠲昲ㄷ㤰搰㕦㈴㜸〹愰㤴㈷愹㙣㥢㘶戹攰㍥㑤㡦慦愳愹㈲㈱戲て晤攵㈸挱ㄷ㐵㉡㤴㈵㕤㡥收㑥㕤㔹搴ち㡡㤴㈹〵攵愸攰㤸ㄴ㈸㐵㙡㤵㠲㑦㐷〵挷㤱愱㝦ㅢ㐰㤱ㅡ戹㈶晤㍢㝣㈳ㄱ捡㠰摦㡤ㄲ㌲㈰昷㐰㥡㝦戲㘳㐰敥㡢ㄴ㍣搱㌱㈰昷㑡ち㍥㤱ㅣ昰晢散㔴ㄶ㠶㐴㥢捡ㅦ攵〲㘵扦㝦㠰挴㜰㜶㠴㜳愳㜱愰㕤㔷㤵换搵换㤷㕦ㅦ挹㡤摦㥥晢挴挷㠷㥥㝦敤㕦㝥昹摣㉦㍥㜵散扦㝦昳攲㡢扦昸捦攷㕥晤捤㑦㤷㡦晤搳户扥昵㡦㡦扣晣敡㉦昷㕡摦搰㕥㜹晤捣㌷㙥㑣㕤戹㜱搵扡㜸晦挹ㅢ㑦㍣昹搸搴挲㉤ㄳ搹散挰挰扤㘳晦㝣摢㝤愳捦㕥晤戱晡㠷㝦㍢攰㉡㔹㉥〶㘸㥦〶㤷㉤搳昸㈱ㄲ㤸〶㘷晣㡥㑥㠳换㤵㡤扡㄰㙤搴っ㌲㡡㜰攰㜰〲㔲昰㔸㝢挱攰㙦〱ㅣ捦昳㐹</t>
  </si>
  <si>
    <t>Risk-free rate</t>
  </si>
  <si>
    <t>CB_Block_7.0.0.0:2</t>
  </si>
  <si>
    <t>Decisioneering:11.1.1000.0</t>
  </si>
  <si>
    <t>CB_Block_11.1.1000.0:1</t>
  </si>
  <si>
    <t>㜸〱戵㔶㑢㙦摢㐶㄰㈶㈹㔱ㄲ㈵搹㘱㙣戴㐰㠱ㅥ㡣㈲愷挴㈱愲挶㐶㥤㠳㤱㔲㤴ㅤㄹ㌵㙤㔵㔴㤲㑢㡢挵㑡ㅣ㕢㑣昸㌰昸㔰愳晥㠰愲攸㍦㘸晦㐴㉦扤攴㍦昵摡愲户㜶㠶ㄲ㈵㔲㔶〴ㄸ㐸挷昲扥收㥢㈷㜷㜶㔷㄰〵㐱昸ㄷ㠹㝡愲㌲つ㍥户愶㔱っ㥥㘶〴慥ぢ愳搸〹晣㐸搳挳㤰㑦捦㥤㈸㉥㈱愰挲ㅣ攴㐷㌲㡢㥣ㅦ愱挶㈶㄰㐶〸㤲〵愱㔶㔳㈴攴㤳ㄲ晡㔷戳㠹㐲㔲捤㌲㌶〳愳㝤㌹㝣㠳㕡慤㌸〸㘱㝦敦搵㑣昶戸搵搲㕡摡挱㘱敢㑢敤挹晥㥥㤱戸㜱ㄲ挲戱て㐹ㅣ㜲㜷㝦慦㤷っ㕤㘷昴つ㑣〷挱㕢昰㡦㘱昸攴改㤰ㅦㅣ戵づづて慦㥥㍤㍢㙡愲㘹攱挲㘸昷㐲戸㡡㍥㤲㑥㤹㕣㍥散挰挸愱搸〰㐲挷扦搶㡣㌶晥㜲晥㙢㘸搱㜶㐶ㄸ㡡㜶㘹搱搸ㅡ〳挴つ㤴㙣戰㜴㤸㝡戴捤㑥摥㡤挰㌵挰㜵晢攸攰づ挳挴㈶㥥㝦ㄹ㍡攰挷㥣昲慢戰㌱㡦㍡㍣㠶愸㐱愳㉥㜰ㅢ昳戲换搲㈴搹㌳戸㠵㉥㐰愴捥搷晡挱て戳㠵㈲攸㘴㠲㉡昳愰搹挲㤶昷㌲㠲㍥昷慦攱㠲㝢㈰㝢㉦ㄲ挷㉥搳攷㤰㤰㠴搲攳㜵㘱愶慥㉦〳㕣㠶㐳挹㙥慤㤳挸㈷挶㘸㝦愵ㄵ愲㈶㙢㈲㔲㘳扥戹㔲ㄷ㜰㑤愹㔰㔳㈵慥㈰搴㤱㠴昲㍦戸㈱昳㌰捡愷挴戸挴㠶ㄲㅢ㐹捣㤶ㄸ㐸散㑡㘲搷ㄲㅢ㑢捣㤱搸ㅢ㠹扤㐵㑣㐶戵㙡㤵攲㈲㝡晣挷捦摦㍤㝤昸晤昹㉦㥤慦ㅦ㠸敦㝦晡扤愹㈰愸㘷戴扢攰摥㘰㠶㍦搶㕥愱ㄸ敥㤶㐴つ㈵㜶㔸ㅦ慥㐳㠸㘸㠳㤹㄰㡦〳ㅢ㍦㝦て㍦㜳㘰て愶㌷搰㘴ㄶ昰㈸昰戹敢挴搳㙤㌶㐳㔸愶慥㈷㜱㜰㝦㌹㥤〹㐴ㄹ愰㔳〴攰㜴〵㘰㥤㔸愴攱㕥愶〱愷敥捤㤸㉦攴㡢散捥㙤㜶ㅢ㘲慥捥愵㍢㠳ぢ㡢攵ㅤ㥡㉤㤰挲〲㠴㘴㌲㡢㈹愴㌷㜶戶㌲て搲㠸㌲晢㤶㕥㜰挷搲㕦㜰捦㕢㜸搷㝤㥤㠲㌳㔵㌴捤㍢㡦昳扣㈵㥣愶搲ぢ㑢㈶戹扡戰㘴ㄶ㘴㉤㜳挵㔲ち㕥㕡㉡愲扢慦捤愲愵㤹㜴〶敦っ昴㌴㉤换㈴攰㥣㍣捤〳㡡㠹搴㔹挱㍥㘹挰㈴㉤昱收㡡㐲㥣ㄷㄵ㥡慣愸搰㕣㔵㘸捥ㄴ㔲づ㍣㍣㜶㐶㝡晦捣搴㍦愱㍡㠷㄰晣ㄱ㐴㡦㉥㝤㘳㑣愷㠴晤㐵㝥昵敡攴㕤っ扥つ㜶㉦っ戰㙡攲改㠰て㕤昸戴〰搱昱㥥㤸〰㌲㍥㉢㉣㥦〶愳㈴㌲〲㍦づ〳户挸搱敤〹㐷㥢戶ㄹ搸㈰愴㘷㔱㔶扥ㅢ晡㔲㐹ㄴ〵昱攱扡挳㘷㕥搱摡戲㝥㑥晣挴愳㜲㝦戴〹㥥㉢㌱慡㌹挲㡢㌵晣慢㠸ㄵ晡摤敥㘶换ㄵ㜱㜷㝥㡥愵〷㙣㤷晢戶ぢ攱挶㡢㔳愴㜳㔳㤰晦挶挳敤づ〱搰㌵㕡㥤㜰㌷〱挶㠴ㅡ戹㐷㈴晦㠵㕡敥ㄲ搷㝡㌵㤸㑣っ㌷扤愴㝦晢㤵攸晤㜳㌱ㅢ㘴晤慤㠵て㌲晥て㘴㘶㉣敢㍦㘸㘳〱愸㉢㑤っち慦ㄱ㤹敥㤴扢摦㔳㤴つ㈵扤㈰昱戹ㄱ挹摥㘹㄰㐶愵搲扡㉦摢攵搱㌸愶㑡搸挸愴㝢㑦搹愲㘶ㅢㅢ㤱㥣愳慣㉢昷戰挹愸㑣晣㡤㕡㈸㤶晡㜹挰敤㔳㑥慦㡤敡晣搹㔴㌳〲敦㠶㠷㄰慡攴㡣㠱愵㠴㈵㍡㜱昰昱㔰愳〵ぢ㥦㘷㘵ち愳昲㡡㜶㔰㈴〸愵㤲㈰换㡤摡㍡㕢㘷㤹慥〷㙢㥥㝦㘷户昴晦昹敤搱㜳昲扦㕥愷㠷㤲愲㔲㜳ㅦㅢ㤱挲愴㜸㔶〰㍢〴搸挵㐶捤㈲㔷㐹㠶㐸㈵㌹㈲㤵㐰㐴㉡〱㠹ㅡ晦〱て㘸㕡㑣</t>
  </si>
  <si>
    <t>㜸〱敤㝤㜹㝣ㅣ挵㤵晦搴㐸搳㔶㡤㘴㙢㡣捤㙤㠸っ收ㄷ挰㈰㜴ㅦ㥢㜸㡤㉣㈱㘳㌰昸㤰捤ㄱっ愲㘷愶挷ㅡ㍣㠷㤹ㄹ搹㔲㈰挰昲㐹㌸ㄲ〸攱㔸挲〲〹㜷㌸㐲㌸㤶㝢挳ㄱ〸㐷〰戳攱っ㄰㤲㜰〴㤲㙣〸㠴㙣㤲㕤㌶㈱㥢晤㝥㕦㜷捦昴捣戴づㅣ昶昳昳ㅦ摢㜸㥥慡摥㝢昵扡敡㕢搵搵敦㔵㜵㌷〱ㄵ〸〴晥㡡㠳㝦㜹搴㌲㌱㙦㘸㍣㕦戰搲捤晤搹㔴捡㡡ㄵ㤲搹㑣扥戹㉦㤷㌳挷㤷㈷昳㠵ㅡ㈸ㄸ挳㐹挸昳愱攱㝣昲昳㔶摤昰㈶㉢㤷㠷㔲㈸㄰愸慢搳㐱挸敢㥤㕦挴捤㘸㤶搲戵㈴搰ち㘸㠳㘴〶㐹ㅤ㠹㈶〹㤳戰愴㙥㈰㤹〹搲㌰ぢ㘴㑤晦㤲ㄵ搱ㄳ㔰㡦愱㐲㌶㘷敤搷㜴㠴㝤戶㐵慤慤捤慤捤ㅤ㥤慤㙤捤㉤晢㌵昵㡦愶ち愳㌹㙢㔱挶ㅡ㉤攴捣搴㝥㑤㉢㐷愳愹㘴散㔰㙢㝣㑤㜶㠳㤵㔹㘴㐵㕢摡愳㘶㐷㑦㙢㐷㘷㘷愲户户愷愱ㄱ㤶て敦㕦戲㌲㘷㈵昲㥦㤴捤〸㙤慥攸㕦搲㝣戸㔵昸愴㙣捥㠶㑤㤸ㅣ挸愶捤㘴收ㄳ㌲ㅡ㘲㙦㜴づ㔸戱㈴扢捤戲㜲挹捣晡㘶㔴扢っ㘸攴扡㥢晢昲昹搱昴㐶㡥㠰㝥㉢㤵㕡㙤㈵愴扢搲〳昹挲㑡㌳㤷捥㌷愴㠹㥦㤵戳㌲㌱㉢㍦㉢㝤搰㔸捣㑡㌹㡡昹扡昴ㄱ㘶敥㜰㌳㙤搵㌲搱㤸戶晢㜰㔹摣捡ㄴ㤲㠵昱㤹改戵㜹㙢戵㤹㔹㙦㔱㈵㤴㕥㍡㥡㡣慢摡㕡晣ぢ搴㝣摡慦㘶搲㔱愸㑦扡㝦挴捣ㄵ㈴挷㉥㙣昵搳昵っㄷ㘹㐵㔹扤㌸愴㥡㉡㑡戱捦㠶㤲改㐳慤㕣挶㑡昱㈴散挹㠵ㄵ㑡〲㤰摤て㐵愴摣收戰㤷㔴扤㜳搹戰㉤㍣㡢戱ㅤ㐸㘴攰㘸㉢㝦㜸㜶扦㤵戹㙣㜴㔱ぢ挶慢㥥〳慥㥥㑢昹昶㈰㌵㠳慤㙤㝡〷戲㜶〴㔱戵扦挲挵攸㌵挴ぢ㈲㌸㙣〶㠷愳挱攱㔸㜰㌸ㅥㅣ戶㠲挳㠹攰昰晡攰昰㐸㜰㌸ㄹㅣ㍥㈱㌸扣〱㍡敥㔱㌷㘳㐶搰㌹敡㔷搴晤㘱㡦㕢扦㜴攸戹㡢㕥㙡摦㍣㝦摤㝣挵敢㑦㉥摦㥤㤱愸慥搸㉥攰敡㕤㐱㡣㜹㈰挱挱㕥扤ㅢ㌹扢㠳㈸昵㈶敡挵扡愵㍥昷攷㉢攷敦昱挴愱㌷挵晦昱攲㐷敥戸㘵㝦挵敢㔹㡣㌶㈱㔱㙤㜴㍥戸㝡て㄰㘳㑦㤰攰㘰户㕥㐰捥㕥㈰㑡晤搸㌱㍡㜲敤㤷㡣ぢㅥ晦攵戲㕢搷㥤㝤摤㠵愷搴ㅣ慤㌸㍦㠸搱㑦㈳㔱㙤㜴㙦㥡搸〷挴搸ㄷ㈴㌸搸愹ㄷ㤲戳ㅦ㠸㔲㉦㌸㐶㍦扡攴扤敥敢捦扥㙣挵㉤攷㝤攷搳晦㜹昴改㜱挵昹㐶㡣㌶㈳㔱㙤昴〰㥡㘸〱㌱㕡㐱㠲㠳㕤扡㡤㥣㜶㄰愵戶㌸㐶㙢昶づ愵㑥捡晤昸搰慦搴㥥㜵㑥摢ㄹ愳㜷㠷㜸㐱戴晢㡤㤴捡㐱㌸㠸挹㉢㘶收ぢ捥昵挱捡㝣戲㤷捦搴㔷捦㘰㉥昶扦㝦昵攰㈴㥦挸搵愳㍢㠹㝥ㄷ㠸搱つ㔲摦㙦愶㔲㑤㉢捤昱㙣㈲愱㝢㈸敡〵㔱敡㜱愷㘳捥晣收挰て㙥晥㐸昵㥤晤㥦㕤㍦㉦慣㝤㙦戳攲㍤㐵㝡晢㌳㐸㔴昷昶㘷㘹㘲ㄱ㠸昱昷㔴ㅣ㙣㙤搱㡢挹㍡㄰㐴愹㠷ㅣ慢晦晥挴晡㌷ㅦ㔸戵㙥挵㈵㑦扦昰昶㑦ㅥ㝦晤ㄷ㡡㌷㈹戱扡〴㠹㙡慢晤攰敡〱㄰攳㈰㤰攰㘰㠷ㅥ㈴㘷㈹㠸㔲昷㍡㐶ㄳ㥢㙦慦〹摣㜱捦昲扢捦扡攳挹扥㝢敡摦㔲扣挶挵攸㌲㈴慡㡤ㅥ㐲ㄳ㠷㠲ㄸ换㐱㠲㑢摢昵㘱攴ㅣづ愲搴敤㡥搱昷㉥搹愴扡敥晡挲㠱户㍤晦收㑦ㅢ摡捦ㅥ㔷扣㠹㡡搱㤵㐸㔴ㅢ㕤㐵ㄳ慢㐱㡣㈱㉡づ戶戶敡㌵㘴慤〵㔱敡㈶挷敡慦敦㙤㡡㌴摦㥥ㅢ扣攳㡥慦㝤换昸搱ぢ㔹挵扢戲㔸㍤ㄲ㠹㙡慢㐷搱挴搱㈰挶攷㐰㠲㠳㍤晡ㄸ㜲搶㠱㈸㜵㡤㘳㜴昷换戶㕦昲捥㜳㜷昷㕤摡晤晦敥㐹晤昰敦收㌵ㅣ〷昱㉡㘷昲ㅣ挸㤹㥢㜱㍢㉡摤改㜰㝢攷㝦㔳摦攲㜱㠷㑦㜴㈶扡ㄳ慤慤昱捥ㄶ戳摤っ㜱愲㥤敥扤㠴㐳戶㈱㜱㘴㌲ㄳ捦㙥㤶㥢换扣㈵㘶摥㉡㕤㉤ぢㅤ搹㤲散㘸㈶㥥摦搵㕦㌸㔴㌰ぢ搶㉥㤵戲㤲㤱慡㘲㐳戸昵㕡㜹㌹摦敥㤵挵㡥㌰㔳愳㔶摦㔸搲ㄶ敦㔶㈱挶㡤㌷ㅢ㥤㔸㍡㤸戳㑥㉣㑡慢㙡搴〷㥦㙥㤳搸慥㙡愵㉤戲敢搵搴㍦㤲捤㕢ㄹ愹摥挲昴捡㘴㙣㠳㤵ㅢ戲攸ㄱ㕡㜱㘹敡昶ㄴ㌹㜷晦㠵㉢㌲㘸㈸敥攷昱㍤扣摣挴㐱㘳〵㉢ㄳ户攲愸敦㐶㉢㔷ㄸ㕦㘳㐶㔳搶づ㘵㉡昶㌹㈱搸戹㡣㍤㤸㡤㡤收晢戳㤹㐲㉥㥢㉡㤷昴挵㌷㤹昰㌸攲㠷㘵攳ㄶㅣ㠶㕡ㅥ〱ㄵ愸愹㔱㉡戰慦摦㕣㑣扢昹㘶改〸㑦ㄷ搳㝦搸愹㝣搸㌵慦㐶敢搰㡡㤴挵㌱ㄹ㕣㌰㠵㌱戱㑢㌳晢㑣慣攸㘹ㄳ摤㘷㙡敦㍤戱戶搴戱搸㜳晦扢捡挱攰ㅣ愷昵〷㙤㠲㔷㜶戰㤹㠹愷慣摣愴捥扦㘲㡤昴㌰㐸攸㑡㕣捤ㄳ愲㐷㑦㐳㡤愹昱搰收㘴扣㌰㘲㡣㔸挹昵㈳〵昰㄰㈰搴搵ㄱ摡慡㐳㥢㘰改㈸㐹っ㈴ㅣづㄸ㜱㉡ㄹ㘱㙤搹昹㄰㝤愶㡦敦敦㌱〴搱攲㕦㈲ㄸ挸㠷搲戸て攷㙢㙡晣㕡㜹戰㤹ㅦ㈹㜰㜸㑥㉡愴㘷愷ㄳ㈴敢㐱㐲㜴摤愶㜴㈷㠹㕡㉤扤收㤹改〱㉢㘱㈲㔶㤱慢㕢㤹愱戴敤晥づ㔸昹㤸愶㥦扣っ搷捡㤸㠱ㄴ㉥晥㠶㌴㐷扦㌵㔶ㄸ㌰ぢ收㡣㌴㍣㙥昴㤲㠶搲㐲㈹㘵愷㔸㜲愶昰摣搲㘱㈷〷ぢㄱ㐹㝡慣搴ぢ挳戶㠴ぢ〷搷㑢愰挶愱㤳㌷〲㜵攷ㄴ㘹㔴づ昴㜲捦ㄹづ㝤㝣愹㤵㔹㌳扥搱捡㔳扤捥㤸ㄴ捡捡换㡢挶㔶挴愲㙢ぢ挹㔴扥ㄹ㌵㕤㥡换㡥㙥晣㈴敤搰㤶ㅥ〱㜱㡦搰搷㌱㡡愷摦㈶〶挷㌳㌶戱㙦㠶㠷〳㜵戴㐶㡥愶ㅦ慦㌹㕡改㜳戸㠷㑥㈱ㄵ㥥㑣ㄶ愲挷晦㜱愲っ扡摡つ㘹㈰戴㈶㘷㐹摣㔴㈷ㄹ愰㍤㌳㝤㘴㌶户㈱㥡捤㙥攰㜸㥡㈵戹晣㠸㘵ㄵㄸ㡢搴㍢戱㤷挴㔸㑡搵搴㤴挵ㄷ㥥愰㠵㔱㡣戱ㄱ㘴㘶ㅦ㝣㉤搷㘲摥㌸ㄱ慣ㅡ㐴㐵㐶づ㠹ㄶ〴㑡愳㈹㤳㌱㘱㔳㕦挶㑣㡤攷㤳昹愶晤㥢〶㤳㐸㌷㘱戲摢㠸捣㔰㌶㌵㑡㠵收戱㔴㝥㑣㥤敢摣昷挷收㥥㔸摦㜴㐰戶晦收ㄷ摥戸㈰戱摦搷㡦㔷攷㌸㠲慡㐰㠵㤱㠸㠴㐹愳㐸愸㉦㐳㡤戳つ搲攵㠷摥㡣扣ㅥ㈳ㄹ〷挱㥣㈱扤㠰㈹攳㈴㍢慢ㄸ捤㜰摡搰㈷㤳㝣〱㐴㌱愶㤱㜸敢ㄴ㈴摣㐳晤〳散㜳㉣㐸㝦㌲晣戱㉤戹㜲㌲㑥〷〹敢㐹㘴㙡㜷㘸戰㑦㌵㌱搴㐴㑤ㄳ㌱戵ㄹ㠶ㄹ㍢㔵〱戰挹ㄱ㔴〵㔵昳㔱㑣〰昸ち换ㄷ愰收て挰戹㍣挷㔷㐹捥〳昱〰㜰扥㥤㔵㝢攰慦〰㜰〱㤵㉥〴㔱ぢ㐰〴㠰㡢㤰㜰て戵〱攷㈸〲戰㈷搸〲〰攷㜱昷搰㤷㈰ㄵ搶㤳挸ㄴ愳㍡㍦〰㑣愷㥤㔵〰ㅣ敦〸慡〲㐰㐶㜸〲挰㔵㐸愸攳㈶〴攰ㅡ㠸昵戵㈴搷㠱㜸〰戸摥捥㉡㐶㠹〲挰つ㔴扡ㄱ㐴㉤〴ㄱ〰㙥㐲挲㍤搴㕡㉦〰っ㉢〵〰摥㍤摣㐳摦㠲㔴㔸㑦㈲㔳㡣㐰晤〰㌸㜴㈲〰づ㜱〴㔵挱敡〱戰㈴〰摣㠳㠴㍡㜸㐲〰敥㠳㔸晦ぢ挹㜷㐱㍣〰㍣㘰㘷㔵ぢ晥ち〰て㔲改㈱㄰搵〶㈲〰㝣て〹昷㔰㡢㜱㡥攲〸㘸〵㕢〰愸㜱攵㘴㍣ちㄲ搶㤳挸㔴㍢㌴晣〰攸㜴摡㔹㌵〲㍡ㅣ㐱㔵㘰捤昰㙦ㄲ敦扤㉣㤶㘵晢捡扣昷㠶挴㘰㌲㔵戰㜲戶㠳㤶挰ㅦ㝢慤㑢昲㌳改㤴收捣㤸扤㡡㌴㌷搱て扦ㄴ㡢㙢㠵昱㤲愷㕥攵ㄷ摢㙥攳晦㜹晦摢㥣昷㉦扥㝦㔹〴㌰㠹㜷㡤㐱㔳攱晦㑦慥散ㅤ㐴ㄸ㘲扥昷㙡ㄹ㔲捤戰㕣㍥挸攸昲㔵㍡ㄶ戲㠲㔸搴昷づ㐲㙡户㑣ㅣㄵ㜰戰㔷て㔲ㄶ㥡搰〳愷㤳晤㝦昱㑢攵收㠵ㅤ扦㍣〳㙣昴扦㤲晣㤰攴㔹㤲攷㐰㔴㌳㈶㈳摥㘸㡦㠴ㅢ挰摦㑢㔸愵扢㥤昷㐰晤〲挹㡢㈴㉦㠱㜸愶搹㤷㤱㌵㕥〱㘹攸ㅢ㉤㘴㥢㥣㑥つ㉢搵〵㥥捣扢慦㈲愱㝦㑣㡤搷㐰づ㍦搸㑡㈱㄰晥愴昶ㅣ㐲㍤戰㌹戹敢㡥挱戳ㅤ㤴㜶㐸て㡤㘷㘲㈳戹㙣〶㝢㌶㡣㈸晡㘲㔸戴捦㉢搳㐸㉦捦昶㡦ㄶ㡣昴挱㐹晣㘹㐸慦戶㌶㕡㘶愱ㅦぢㅤ〸㔷㤶㘳挵㔲㠲㤱㘵昱戱晦㥦挱㑡㐰㍣ㄱ㙦扣愲㉡㉦㕤㍢㙣㜰攰㙤ㅥ挸㘲〳挸㤲㕤㉢挲㙥ㄸ〸㍣户挱㘸㈴愰㝦㠲摡㕤昱扢㥢㍥戳搷㌷㙥晤慢昳昷㔴っ㐱㌹㜴㌷㠴㜲ㅢ㘶ㄶ㘹㌹昴敢昸ㄳ㥥㑣愶㝡愱㔱扣つㅢ㙦㈳㔷㠳㘱㘰㝢愳扢挰㤴慦㌷扡戳㈳愸㕡㑡晤㉣捡㡢㉦昲㉢㈴搴㡥㔰攳㐵㤲挱〵挲摦㌰㉥㤲㠷攵㈲昹㌵挴晡㕤㤲摦㠰㜸㉥㤲昷敤慣攲㝡慢㕣ㄳ扦愵搲〷㈰㙡㌱㠸昸㈲扦㐳挲㍤搴㉣搸㉦晡㈲㝦て戶㠰㠰ㄳㄵて晤㐷㈴挳㝡ㄲ㤹㍡㄰ㅡ㐵㄰㍣敥㜸慤搳捥㉡㕦愴挶ㄱ㔴慤晡昶挳㤲〰昰摦㐸㈸〵㌵㝦㜷㥣攱愰收㈰搵㐱㄰て〰摣㔶㐵㔶つ愰扣〰㄰愲㤲〱愲戸㐰㉣〰捣㐰捥㍤搴㠷晦敤〱攰㈰戰〵〰㡦〶戶㑡㤱ぢ敢㐹㘴㙡㈹捡昹〱昰㍥㡣晢㡥㠰昷ㅣ㐱搵ち昵㈱戰㈴〰捣㘵㤵摦㠵㥡㍦〰㍢㐰慣㜷㈴搹㠹戵㉢〵㘴扢搸㔹挵㘵㙣〱㘰㔷㉡捤〳㔱㕣捣ㄶ〰㜶㐳捥㍤搴㕢ㅥ〰㡣㑦㐱ㄲㅣ㙣ㄷっ㕣つ晥搵昳㈱〸㙢㡡㈷㤰愹挳愱收㠷挱㉢ㄳ㘱昰戲㈳愸㕡㔰㕦〵㑢㠲挱扥㌸㥤㝡㘹㐲っ昶㘳㙤昶㈷㘹〶昱㘰搰㘲㘷搵㙡ㄸㄲっ㕡愹搴〶愲搶㠰㈵ㄸ戴㈳攷ㅥ㙡㡢〷〳㍤〴戶㌴戲捥㤵㤳搱㑤㥢㤳挹搴㕡愸昹〱昰挸㐴〰㍣散〸慡搶晥㡦㠲㈵〱攰㐰㔶昹愱〹〱㔸〲戱敥㈷ㄹ㘰敤㑡㠳㘰搰捥慡愳㘱㐸〰㔸㑡愵㠳㐱搴㌱㘰〹〰换㤰㜳て㜵户ㄷ〰敥㈸〸〰㈱㔷㑥挶㘱戴愹㈷㤱愹㜵㔰昳〳攰收㠹〰昸戶㈳愸摣愷〸つ挳搲挷㔸㕦慥㘷晤ㄲ㐷㈴慤捤㕣㄰㥢㤵挰㡥㜷晦㘸扥㤰㤵搵扢㤹㠹㠱散攱搹挲㐰㌲扦㌱㘵㡥捦㐹㌸㠹㈳㐷慣っ搶搶㜳㔸㘲慦攰㘵㌷㙥戴攲㍡㌱㤴ㅤ捤挵慣㘵〳摢挲摡㍢摡㠷慥㤳㘵昷愰挲戱㜵换挹㌰愱㌰㑡㜰〴㐲㈶っ㔶慥ち㝡扣收㔲㠰ㄶ㠱㘲㘳〹搱㌵挹㐲捡慡㑦㠸㕣搲㜵〹愰㠸つ㡢昸㡣挴㥡ㄱ慣㤶つ捣㑣㉣捤㈵攳愹㘴挶㘲㘷㈰攸攳㘳〴换慤昵搸㥣㔸㤹捤㈷戹㕡㌵㌳戱㈶㘷㘶昲ㅢ戹捥ㅡㅢ摦慥㉣㈷㍥㔰㈸戱㈴㤹挹攳㌴搲㡢㑣㌷㈶㠶㐶戲㥢昱㥣捣㘸㍡戳搴摣㤸摦㈶㝡愵㜴〵㐹搷愸愰ち〶㔵㕤戰㙥㙢晢挷㌸〲ㄶ攷攰㌱㠶晤て捦㌶㘱㥣ㄶ㜲挹愸㉣敦戱晢〳㕣㑣愸㈵㤱㍥っ㠴愲㐸㑤ㄲ昸㌰晣㜱戶㡣戸ㅤ挲扡㤶㙤㠳晢慥捣ㄷㅦ㍥㘲挸愳改㤹㌷ㅣ〵㜲挸搲戵换㑡ㅢ㠵㝦搳昳㐰愱ㄸ㉣㔷㝡㤴㤵㈳慦戸㉦戳㍤㤴㘷搹㐳㠸㍣㡥㈸㕣㤹ㄸ〹捣㔵づ换㜰㐲㜴㌸㐲㘷㤵㤲㠳㔸摡㙦㐸㉣㌷愳㔶ち㍢ㄲ㘹戳㌰换捥㌰〸㑣㥢愹扣㈳敢捦愶搳㈶㠷ㅣ㠷敢㔰捣㑣㔹㜵〹〶ㅡ㠷㈵㌳㍡〱㈲攳搲㘱㤹㘳㘰㤹㘳挲㙡㐸慣收㑥愵愴㘹㉢扢摥捣㈵ぢ㈳改㘴慣㡥ㄹ敥㈶㙥ㄳ㘳ㄵㄷ扦㜸昶〰㤴㠷㍢㤷㔴㐶㌴戶㙦㡦敥㙥㐶晣㑥攸搸晤ㄸ搱㐱㘵攰㍦戵㤵ㅢ㔹㤸㜸攴㠶愲㍦〷㙢㈱㉥昵㘱ㄲ㤳㝡〴㍥㜰㥦㠸晢攰㔴㜰㘴㜲㔲ㄶㄵ昰搳挷㠰㌲挱㕦㉤户㠲㈶摤攵愰搷ㅡ㕥㥥㌵攳㠳㔸㜲捡收㘶㌸捦慦搵愱㙢㌹搵攴㈲摣㜷敡挷㔶㈶戶㐸㌷㈵攳㔶慥㡥㡣㈱㐴㘹戵摣戱㌲散㍥㈴㌶㠱㔰愸扥捥敦㕣换㕣㕢ぢ㥣搵㝣敦㤳㝢换慡散晦㘶㔵捦㘲搶㍤ㅣ收敡㥥㕥㠷戴㍥ㄶ㐴慤㐷㤶敤愹㔰㌸㡥ち挳㈰愱ㄱ〸㉢晢愶㝣ぢ〸ㅢ㐵摣〵愹㤵㈷扦戸㌹㔵㠷㡤ㅣ搹搵ち㐹㐳敡㍤扢㔱㠶扤ㄱ㔵攷㍥㑥㘶っ㘱㤴㕢昱戰㍤扦㌲㐶㘵㜷〴㠳戵攸㙡愳㜲㉤戰敡戴㌰㤶ㅥ戲㘴㥢㑡昱昶㘰ㅣ㡦挲昵扣㔸㘰㝦㤸㡦㔹挵挱㠵敦㕥っ愴挲㘱ㅤ㠵㑥㈰慣戸㔷攳㌶㝣㔷㜲挲戳㐱㜵っ㔲ㅤ〷㔱愳挸昲昶㡦愴㝢戳㔲㥢㤱㌳挹㌲㉣愸㑣㜷㠲㔴㘳㈸挱㐹㔲㈷㘸㜸ㅣ㈹捥㍤挵戱㌸〲敥搴㘳昱㈴㤶挰㑦㈷㘹挴挹愸㤳㤱㜰㥢㐱愶搳挱㈷㈰慤㌷㔰㤱㍢㈰㍥ち㈹㉡愴愹㜰ちㄴ搸挹〶㈳扢㜰ㄱ扣㕥㍦散㌶㐲〵搸㥤敥戱挹㠵㠶㜰㤸㈳㕥㥦㐸㥢㌹摡晣ち戲㤵搸㜱攳挲挴㉦㘰攴愱㌲㙤散扥㡡ㄲ㠲ㅤ㙦ㅣ敡㍣攴捡戰摢〴敥搴搸㥤㡦㘲㔰っ攸捤㌴攲㘴搴〵㐸昸㐰㌳〶〵㍤㑥挵ぢ晤ㄵ㍥㑦㠵㤳愸㜰ㄱㄴ〴扢㤳㤱㉢㘱搷敤㠷摤㈹㔰〱㜶㤷㜸㙣㝡戰攳㥣愳㑦愳捤慢愰㔰㠹摤㌵攰㤹昸〵㡣㝦㠰捡戴戱扢ㄶ㈵〴扢搳㘹昸㍡攴捡戰晢㈲戸㔳㘳㜷㍤㡡㐱㌱愰扦㐴㈳㑥㐶摤㠰㠴て㜶㘷㐰㐱㥦㐹㐵敥扢昸㈸㥣㐵㠵戳愹㜰ㄳㄴ〴扢㉦㈳㔷挲慥搳て扢㜳愰〲散㙥昱搸昴㘰㜷㉥㙤㝥㤵㌶敦㠱㐲㈵㜶昷㠱㘷攲ㄷ㌰捥㠳捡戴戱攳〶㡢㘰昷㌵ㅡ晥㉥㜲㘵搸㕤〰敥搴搸㜱㐷〶㡡搸㠶愳ㄱ㈷愳ㅥ㐴挲〷㥡㡢愰愰晦㤱㡡て昹㉢㕣㑣㠵慦㔳攱㝢㔰㄰散㉥㐱慥㠴㕤㤷ㅦ㜶㤷㐲〵搸㍤敡戱改挱敥㌲摡扣ㅣ㈴挴㈵搲㐹摣㈱㉣㈶㜹ㄶ搲㘷㐱搹㐸慣捤㈴ぢ昰㔴㌸㘷っ㈶ぢ㤸㜳ㅢㄲ㈰㐸捡㡡昷㉥攲挱㜸ち㉤㉣㐶㐶㥦慡ㄶ㤵㠵㑡扢㔷换扤戱搳〲ㅦ戱ㅤ㔵㜹㠲愹愹㤴㈴扡昲愹攳戶ㄴ㙥㈹㝢ㄱ搴㠹戸搴㕥ㄳ敦ㄷ㜸㜰愷挷晣㌷〴㘷㌲㠶〲晡㥢ㅣ㌶ち晦攱㤶㜹〵搲㡣搵晥㜵捡㈱攲搹㍥㘱㉣ㅣ㘶扣㘶昳㘶㍡晢㜳换㌲㜹㜸㍣㘱㈷〷㝦㜶㤶㤳㕣㌱㕡㈸㤳㤸㘳㜳ㅣ〹ㅥ㑤㔸㤱㐱ㄴㄲ㌳㜳昱㙤挴㠵㐵摢散㐸㑢扣搱慤㡤㠲㘱〵㠷挷昱挴扡挶㤵づ搶㍦㠴攴攳敥㍥捤㈴摣挵㑤愹㍡收づ戳捣㡣昴挲㔰㈱㍥㘰㙤㤲㈵㠹㤵ㄶ搶ㄳ昰㑣㝥捡㥡㈳〵㡡㔹㜱搷㜴愲㉦㥡攷搳ㅣ㡣㕤㥣㤴㕣攸㍡戱摡攲㔳㈰㥢㉣㠴ㅡ㑥㙡㘵慣搰㤸㈸搹攳㌳㠲摢㑥て〱挱㕡愷㤷㤴昴㤳㌱挹晣㔶摥〸㕥㐳㕢搹慢攸扦㠴ㅣ敦㉦㔶㤷晥ㄳ㡦ㅢㄷ〷摣㠴戳攸挱晤愷㐹㈲㘶捣戵摥慤㐲㕥㐹㜳摣ㅤ㙣㝢㠶㤳挹慢挱攵㌱慣㥥挹攵㡦㕣〱て搲昲㜱昳㐶㕥㍡㈹挴ㅤ㠵㈴㈲挸搴昸慣挴戲㑣㉣㌵ㅡ户㈴晣㜴攷㙣㠹㐲户㠹晥慡攵㙣㘳昷搵㈴戸㌸愰㉣挳㥢㐸敥㠳㤵㕢扤〶愵昴㔵㌸愷㜱㌵㐸敤愲晥㔶㔹愹搵搷㈰挷㠹敥㌹搴收㘳㙦捥㠶㔱㘸扢搲愳〵昲慡ぢ收户㉡ㄶ㈷㌶㙥戲ㄵ昷㜷攵戲昳愸㉤捦㉥捦㜲㈱换挳㍡㌸㘹戳戶㠹捥㐲㍢敤扥㌲っ㐴攲㕢㜹㤹搰〸愶㍥昹ㄳ昸攰㔴攷敦㘲攲㡦ㅥ㔰㉦㠰㘱㤲㈹㥢㕥攲㍣戵㈱ㄷ㈴㜱㔴㕥㐴㑡㍣戴敢搰㙢敡㈵攴㙣て捤㕥㌲搶搷㠳㍢戵㠷昶㌲㡡㐱㌱愰㙦愰ㄱ㈷愳㕥㐵挲挷㐳扢ㄱち晡㈶㉡㜲㜳搷㐷攱摢㔴戸ㄹ㈴挴㍤扥捡搹㘶挲敤捡ㅡ㈸㠷搲㡣㝥敢搲㕣〵挰戵㙡攰㐹㔰㙣挷㈲慥㌲敡敢㕥㠳㕣㝦〷㘶㥦搹戲㠵ㅢ㙡〱昵㍡㠸㝢㝥〶摦㑥〴㜶ぢ捦㝦㉢㠸晡ㄵ㤸挳昸㈱㔹㡣㕥戹㔹㘷㤲㘵摣〶㤵㘹㝢挲敦愲㠴攰㝣㍢つ㜳㥦慦捣ㄳ扥〳摣愹㜱㝥ㅦ挵愰ㄸ搰㜷搲㠸㤳㔱扦㐵挲㙤〶㤹㑥昴㝡ㄷ搲晡㙥㉡㜲挳搰㐷攱ㅥ㉡摣㑢㠵摦㐱㐱㍣攱晢㤰昳㠴晥㉤㝥慥昰㜷愱〳㔷昸㡦ㅥ愳ㅥ㔷昸㝥ㅡ㝤㠰㐶戹攷㔷〹ㅥ㉢㙤㠲ㅦ㌰ㅥ㐴㙡摡攰〱㝤ㅢ扣㠷㤰挰攲㔵〵㜸て㠳㌱㌵㜸㥣ㅤ昱㉦愰ㅦ㜱ㄲ捣㈸㙥㈸晡㘰昳㝤戰昵愳㔴㌴晣ㄵㅥ愳挲攳㔴攰晥愳㠰昷〴ㄲ愵㌰愲挳て扢㈷愱〲散戸〵改㥥搴㠳摤㔳㘰敢愷㐱搴㕣㤰㑡散㜶〰捦㐴昱㠰戱〵愹㘹㘳户㈳㤴㘵攰㍤㠳㠴摡〹愴㙣攰晤㄰㡣愹戱攳㌶㈴晥攱㤹て㈷挱㡣摡ㄵ搴㙤〶ㄹ捥挰㝢づ㘹晤㍣㠸㥡攷慦昰〲ㄵ㕥愴〲户㉥〵扢㤷㤰㈸㘲㠷㌷㜵㝣㤶㥣㕥㠶ち戰㥢㡦㍦敥㐹て㤰㤳捡㤲搳㉢㘰敢㔷㐱搴扥㈰㤵搸敤〷㥥〹攵㠰昱㘳愴愶㡤摤晥㔰ㄶ散㕥㐳㐲㜱㕢戲っ扢㥦㠲㌱㌵㜶扣㈹攲㕦㐰晦捣㐹㌰愳戸㠷改㌶㠳っ〷扢搷㤱搶㙦㠰㈸敥㙦晡㈸扣㐹㠵户愸搰づ㈲搸晤ㅣ〹捦㐵摢敡〷摥㍢搰〱㜸摤昸攳ㅡ昵っ扣㕦㠰慤㝦〹愲づ〴愹〴㙦〹㜸㈶㡡〷㡣㕦㈱㌵㙤昰晡愱㉣攰晤ㅢㄲ㙡〰愴っ扣㜷挱㤸ㅡ扣㐱㤶挵愹昵㙦㥣〴㌳㙡㈹愸摢っ㌲ㅣ昰摥㐳㕡扦て愲づ昶㔷昸㉤ㄵ㍥愰挲㌲㄰〱敦㜷㐸ㄴ〷ㅥ摥扢昲ㄹ㜸扦㠷ち戰㍢っ㝦摣㤳㝡戰晢〳搸晡㡦㈰敡㐸ㄲ搶昵㍦㥣〴㌳愱捦㠱㔶㉥晤㔶㉤换搷昲っ〹㉥搰てㄵ挶㔳搸ㄴ㘱㤲㑢挱㜶㡡户㌳㕢㡣〵敡㙣づ㌳㔹㙤攵〳㙣挵戲挷挱㔴晤摣㡡搷㜳愴ㄸ㈵㐷愱㌶㈱㡤㡤摡〹换戳搲愵㘷昵㔹㠶㠷昱㈱昸㜳て㑢挶㜲搹㝣㌶㔱㘸ㅡ挲㠶㕦ㄳ㕦㜷〲㈲㉤㝤愱ㄹ戰攸㝢㑥㌶慣㌶挳㔷㤵㌷昱昱晦昰㠶㑣㜶㜳㐶㙡ㄳ捡昳慤㉦㥥㑤捦㤸挱搳搰昳㤳㘳㑦愰ㄸ㌹〶ㄲㄶ搶㝦㐲㘲㘶㑤㘴ㅤ晥㔰搹昸㌳攸㕥晤㑢晡㔷て挷㝢㝢捣㘸㌴摡㘳戶戶昴㜴昴㈴㍡㑣慢愵㍢搶摥ㄲ㙤㠹挷㉣慢㈳摡ㄲ㤱戵㜹摡昸〸㘵㈲挷㌹ㄶ昴㕦㤸ㅢ㜶㜳㤴㠵愲㈰搳㕤㈸㘷慤㔴㔴挵㔴㕣㔹戵㌳㘶㔴慤㈷㔴㉤戰ㄷ㕦敢㌰っ慥慦㠷ㄴ挰慡㕣㠴昰㉦㠴㕡㜹晡㠲㠵㘵㐳㍥㄰㐴㥢ㄴ㐸㌸ㄲ㠳ち㉢㘴〴㤱摤慥㝦挹㌰㕥㌷㜰㕦㐰攰昸㌱㙡挰㙦〰㕦摣攳搵㜸㥤换愸〵㘷ㄶ㌸㥥ㅤ㐵㠳ㄷ攲㙣昰捡㕦㌶㡦挴ㅤ敢昲〰㤴扣㝢㙤扦㠵捤㡦ㄵ愸〴㠴慣愰づ㌳㠷㠴晣㐶㐰㌹攴搵ㅦ晦昲搷扦㜲愰㐱㄰搰ㅣ㍤ㅣ㈸敡昷攰㜲戰㤴㜷㜶ㄲ㘲改散㔹㌰㠵捥㍥㠱〶㔰挰㘸㐴摥敥散捥摥戶㜸㙢㙢㘷㙦㉣搶搹搵搱㘹戶昶挴㕡㘲搱昶㤸搹㥤㘸敢㘹㑤㈴㝡㈲ㅢ㥣㌲㥡ㅦ㑦㠸愴摣㥣㜴㜶摡捤㔱愶㌶㈲挷づ㔷敦愱㌲散っ〱㜵㉥㐴㝡㝢㤰㜰攴㐴〸愵㍡㠴㑡ㄳ㐱㑤㠰㌴㌱㡥㜰㘹㕥㠴扢戰㘱摣昴搰昳㈸捣㈱愵ち㌴㑢搶敥㘰㌱㈱扦㑤愰㠲挹㥢扥㤸扣敥㡢挹㘶ㄴ㤲昳散〱㔳挰㘴っ㜹㕡㌳昶㐴摥挶愴戵慤愳㌷搱搲㙤戵戵㜶㔹ㅤ㤶㠹㉢㈱㘱㜵㜴㈶摡ㄳㅤ㔶㑦㌴㤶㘸㡦挸晡㍢慢戳〰㘵㈲㥦㜷㉣搸ㄷ挰㐹㙥㡥㌲㜵ち㜲㠲挹慢㕥㑣昶㠶㐸敦〳ㄲ㡥㥣ち㠵〹㌱㌹捤ㄵ捥攷挹昶㈰㘹㘱㔱挱攴㜴〸昱て㑦散㠰挵㠴晣扥〸㉡㤸㍣攳㡢挹搳扥㤸㝣〹㠵愴ㄲ㕤㌰〵㑣捥㐰㥥搶㡣㙥攴㙤㑣㝡㍢㝡愳㕤㠹㘸㑢㙢捣〴㍡㉤㙤㍤㠹㔸㑦扣㍤ㄶ戳㕡ㄳ昱摥㕥㌳ㅥ㌹搳㈹愳㝢㔰㈶㜲㤶㥢㤳㜱㜲戶㥢愳㑣㥤㠳㥣㘰昲㤸ㄷ㤳捦㐲愴ㄷ㠱㠴㈳攷㐲㘱㐲㑣戸㤴㉥挲扤搹昶㝤㐸〶㔸㔴㌰昹㥡㝢愲㐱㥥挸挵㠴换攱㠲挹㝤扥㤸摣攳㡢挹㠵敥㜹づ㠱㈹㘰㜲㤱㘳摡㌸ㄴ㜹ㅢ㤳慥㔶慢戳扢愵愳㌷搶搳搳摤㤱攸敡㌲慤㥥㥥㔸扣愳慤慢㍢㘶昶昴㈴ㄲㄱ㔹㉦㘷つ㤷愳㑣攴㘲挷㠲㍤㑥扥敥收㈸㔳㤷㈲㈷㤸摣敥挵㘴㈵㐴㝡ㄵ㐸㌸㜲ㄹㄴ㈶挴攴㜲㔷㐸挷㑤扥ㄹ愰㡦㘲㔱㘲ㄲ晡㈶㠴㤵搳愲攷㐹〲捦摡㉣昷挹㈲㥥〵㜳㤹㘰㘷㈷㔶㡤㥡㈹㝣㈲㘳〵㔶㙤ち㘴㙤ぢ㘱㝥慤扤㜶㌶攵扤㐵㥡㜰捣戱㥣攲㉢㌱㈸扦㌵㌸㙤㤳搷〴户㙥搱㈰ㅣ晡ㄶ晡㙥㝡㘷㐱㤷㔴摣㠰㙡挰〹敢㘳搸搷㔸㘰戸〲ち搴搱敢挰㜰て㜵愵ㅦ㌷㜴ㄵ戸搳㕦㤶愲搵㌹㜰ㄴ㥣て改昰挱㡢㠵㈹慣搰㑤攳㌹㤷㘳㔱ㄷ㜵㡤㕦ㅤ搴㜵㉥㜷㤸㍡㌸〵㥢愳慥㐷㑡慥扢㉢㍤搷㥤㘱㐲㘵㐲㡦㐷㝤搳昷㘲扣〱㤶㘴昴挷㔰ㄸㄷ攳㡤捥昹㡣㌸昲昶挵㠸㌷散扢扢㝢㝢㕡㝡慤㥥戶㡥戶捥㘸㙦ㅢ晥㤹㉤ㅤ㔶㌴㘱㈶㍡㘳戱㠸㉣㡤愰㕡摡㐲㤹挸户ㅤぢ㍡挱摣捤㙥㡥戲挶敦㈰挷ㅢ愹㠱摦㈷㝡㐴戸〴㐲㘸㡣ㄱ㥣愷搲㔹㐸㠲㔷敥㔲㥣〰㡥㡦晢挰㌵ㄴ㕡㈹㝤㤲㐲愷愱愹㙥㜷㕢㤱㐱づ晦〴㌲㜵〷戸搲ぢ攷㝢㝡愱攴㌹㥣攷ぢ昸㥤㈸㈴㠰攷㘰〷㠰㜳搱〳晦戰㍤㡥扣㌳晢挵㍡㕡㍢捤㥥捥戶㌶捣㠱昱敥摥摥捥慥ㄸ㠰敦㘹改攸㘹敦敡㡤挷㈳㜷㍢㘵㜴〱㘵㈲昷戸㌹戹㈳摣敢收㈸㔳摦㐵㑥㘶扦戳㔱㤹愲攷㌰〶㤱ㅥ〷〹㐷敥㠷挲㠴戳摦〳慥㤰捦㠵换㌷㌴昴㘹㉣㉡㜷㠴㠷摣ㄳ㥤捥ㄳ㐱㐱㝥㕣搹㄰㑣扥攰㡢挹㐹扥㤸㍣㠲㐲㔲㠹㌳㘰ち㤸㝣ㅦ㜹㕡㌳捥㐴摥挶愴㈷ㄱ戵ㄲ慤摤㙤扤扤摤扤ㅤ㥤敤慤㘶㜷㙦扢ㄵ敤㡣㈶㕡摢ㄳ㙤㉤㔶㜷攴㔱愷㡣㍥ぢ㘵㈲㡦戹㌹挱攴㜱㌷㐷㤹㝡ㄲ㌹挱㘴搴㡢挹㌹㄰改㜳㐱挲ㄱ慥㙡㑣㠸〹㔷㍢㐴搸㑦㑣〶㐸㉥㘲㔱挱攴ㄹ昷㐴ㄷ昳㐴㤰挹搵捡ㄵぢ挱㈴改挱挴戸〴㉡ㄳ㕦慤敢㝤㠱㝡搶㍤昹愵㈸っ愰㥥㜳捥㘷㕣㠶扣つ㔴㙦ㄴ㉥㔶慣慢扤愳慢㍤摥㠱㠰愳挷㌴扢捤㔸㔷摣㡡挶㍡攳愶搵ㄶ㤱㜵づ㔶晢㜲㤴㠹扣攰㔸搰摦㘰敥㐵㌷㐷㤹㝡ㄹ㌹〱捡昴〲㜵㈵㐴晡㉡㤰㜰攴ㄵ㈸㄰ぢ攳㙡㘴晤㝣昹㙢挰㉦扦昰慥〵愷昲昲扣づ㍣㥦㡢㤱㙢㈳㠲㌴愱㤵捦愲攸㐳㤸扡ㄱ敡敡㌵户愶㌷㌱〷戶晣㝥ち㉡㐸慦昵㈰㕤扡㈲㠷㝣㐱攵㉡㠷㥣攷ㄶ㤸〲愸慦㈳㑦㙢挶慤挸㍢愰戶攱㘵㝥戸慡搱戶㔶㐴㙤㜱戳户㈳ㅡ㙢敤㌱㝢㘲摤㘶㘷㕢㝢㌴ㄶ㜹挳㈹愳㙦㐳㤹〸㤷㍣㘸挱昶㐷摥㜲㜳㤴愹㜷㤰ㄳ㔰て昳㠲㝡㈷㐴晡㉥㤰㜰攴ㄷ㔰㤰敡搴㤲㔷攱换㜳挹㐳㠴慢㘸㝥㌵挹晤㔴㤳搱昷㙦敥㠹ㅥ〴ぢ㘹晢挷㘵ぢ挱愴捦㡢〹㐷㥦挴㌷㡢㝤㌱攱攲㠵㥣攷ㄱ攸〱㤳昷ㅣ搳挶昷㤱户㌱㘹敦㠸戵昷㐶㍢攳㥤昱摥ㄸ㝣昹搶㥥㘸㝢戴捤㡡挵㍢㍢ㄲ摤㍤㙤㥤摤ㄱ㔹搷㘰つㅦ㐵㤹〸㔷㌲昰㉦愰ㅦ㘳㑥㤶㌴㕣㤹攲㝡㠵㘰搲敢挵攴〷㔰搴㑦㠲㠴㈳㝦㠰〲慢㘳㍣㠵㙣攵昰㜹ㅡ扣昲㐱戶〵㥣敡〱㘵㍣〳戶捦㈸㡤㜰㉤㐴ㅡ换攷摥攵愳㌶晡㔹愸ち愸ㄱ㉥㡤㠸昰㜹戰㘶搶㠴晥㠴晣㘷㈶摥㤰昷挴愸ぢ戱㙦㔵昶㐵㤴㠳昰㠵ㄳ捥扡㠱ㅡ㍣敥㘷㍦㈴㔷ㅢ晣扢慤戳㐵昷㡢扢㤵晣㠵昶〷㙣㝦㠳ㅤ戴挸攳㌳搱攲愷昰搳㉦愲慡㈱㉥㌶昸㙥㠹㔵㝥昵捡晢改㌵摥摥户㑦㉦换㈳㝡挷ぢ㜰㙢戲㝤挵敦扦捤㜶愳晡㠵敥㠷㍡昶㉡㜱摣㙤㘷户搸㡡㕣戱ㅣ㍥㝣㠱挵ㄸ〸ㄶ昲戳ㅥ摢㤷㜲㥥㠷っ㜷㉤㜱昱戴〱昶㐰慤戸㙢㌱㡦敤㤰摡㘰㡤慡摣㥡ㄱ㙦摤昹搲ㅢ㥦㉡愴㌵㝣㠴㘶㔹㥣㉢戴扢晡㍣㘲戹㈴㔹㤰㐷㤴昹㈰㡣搲㝦〶㌸挶㡦〸搳愲〵晤ぢ㍡㐲晢愰ㅦ愶㝤㡡㜲搴㜹㐲づ㡤戰㝥〵㝦ㄴ㙦㕢戴㐶㔶㈳〵㌲晡㤱昱ㅣㅦ㉣㜶㌲〷摡㝦敢づ㙣攴ㄲ㡢㘸ㅥ慢收㕦搰ㄷ㝡攳搴捡昷捤戰㤳㠴攳㈷㡢㤵㠶愶慣㈲㙣㐴㘱捦㉢㔳ぢ㜰㔲摦㌷㠶昶㜴〴㤵㥦㜰㠸㠴㥤㜳敡㥦㈱㌱戳㐶㜱㐵㠴ㄷ㠹㥡㡦ㄲㅣ㤹㌲㤸摥〰㔷㐵㐰㌸愰㤴收㌲㠹昱ㄶ㠸㡤㥣摡つ㝡㙥㝢挳晡㙤〸ㅡ攷㠲㑣慦搵㕣〳㤹㕥慢攷㐱搳慦搵㍢㌹㡤慢㝡㔱㙣㐷㐷㔰昹摤㠶〸㤷㑢㜸㑥晤㙢㈴搰敡㍤昰㐷㕡扤㍤㑡ㄴ㕢晤ㅢ㜰搵〲㄰扢搵㝢㈲㘵扣て攲戴㝡㜶㔹慢㍦㠰愰㜱㙦㤰改戵㝡ㅦ㔷㜳捡扥㙥㠱愶㕦慢ㅢ㈶㙡㜵扤㈳愸晣㔸㐳㠴ぢ㈲搲敡晦㐰〲慤收慡㠶戴㕡㝢㕢晤㈱戸慡〷挴㙥㌵㤷㍡㡣㍦㠱㌸慤づ㤵戵晡㈳〸ㅡ㍦ぢ㌲扤㔶㜳ㅤ㐳㌴愷㙣昵〰㌴晤㕡ㅤ㤸愸搵㝦晤挸ㅥ晡㤵㕦㘸㠸㜰挹㐳㕡ㅤ㠴㍢㠷㔶ㅦ㠲扣戴晡㉦㈸㔱散敢㕡〸ㄵ㤷ㅣ散㔶㜳㌱挳㌰挰㜳㕡晤㕦搰㉤㡤昰㍡〸ㅡ㔷㍡㜶㉢愲㈱㥦敢㥡㉢ㄵ搳㙢昵㔱搰昴㙢昵ㅦ㥣挶㔵㡤昰摦㍢㠲捡捦㌲㈸㐶捣㥣愳昴㉣搴ㄵ晦攴ㄷ㔹〷㉥て㈵㌱㉢ㄲ扡ㄱ㌲敡㔱㄰㘱㤴㉡㔰㐵挰〵㔴㌱攴〵慡摦㝡愱摡㡥㐵ㄸ㄰摡㔰挵㤱㌲收㠲㘷㜰ㅡ㙤㙤〹扤㑢攵㠹敦㡢愵攷㘴摣ㄹ㍦捦ち㤴昶〰㜸ぢ攳ㄱ搶㍢昰㑣っ㐴㘹㤲㉣挵㜸慥〴搰摢㘰搹捥搳㉦ㅣㅣ慡〰㝡挷ㄱ㔴扥㉣ㅢ㘱㉣㈸㙤㥤㠷㤳攸摤㐰㘶〶ㄵ愳㍡㘹昰㕢㙣〳㠶㥡捣㝥㥦㘲㌵ち㄰搹つ㘶愸㘷捣〷捦ㄹㅢ㍦㠳㙥㘹㙣散〹㐱攳㤸㘳㝣敡戱㐱㡦㘲㝡㘳攳㌴㘸㤶㥡㝥㘲戱改慦㑥搴昴㔷ㅣ㐱攵㙢戲㤱搳㥤㜳敡㝤搸敡ㅡ挵戸㑤㕡晤㈳㙦慢ㄷ戲搵っ戹散㔶㌳㤸㌳昶㉦戵晡昹戲㔶ㅦ挰㔶㌳〸㤳戶戰慢㑡㠷捦ㄵ挱㐸㙤㝡慤扥〸㥡㝥慤㝥㘶愲㔶㙦㜱〴㤵敦挶㐶ㄸ搴㐹㠷㜷摡慤㘶㄰㈶慤㝥捡摢敡㙥戶晡㜲㠸散㔶㌳㌲㌳㝡㑢慤㝥扣慣搵㥦愱㌲㐳㉦户晢ㅢ慦㐴㘶㝡㄰㌰〶㥢ㅥ〴㡣㤸晣㈰㜸㜸㈲〸扥攷〸㉡㕦㡤㡤摣攴㥣㔳昷搹㄰㌰㘴ㄲ〸ㅥ昴㐲搰捦㔶摤〶㤱つ〱攳㈸攳愰ㄲ〴晦㔲〶挱㔲〸ㅡ敦㜴散㑥㍤摣ㄹ㈴㑤慦搵昷㐳搳慦搵㜷㑤搴敡㍢ㅤ㐱攵晢戰ㄱ挶㔳搲昱㠷搹慤㘶㔰㈴慤晥㘷㙦慢㔷戰搵㡦㐲㘴户㥡㤱㤲戱慡搴敡㕢捡㕡㍤㐴㘵㠶㐲挵㡥㘷戸㌳扤㡥㘷㑣㌴㍤〸㥥㠵愶ㅦ〴㌷㑥〴挱つ㡥愰敡㡤㔸㐶㍦㔳扤ㄱ敢昹挸愵㠴㈵〹敥攷搵㈷㙣㌶〳ㄶ㜹晣㌷㈵㥢愹つ㜸㠱㉤㠷捦㑣㉥挷㝢㥡㜸㙤つ㥦ㅡ㜳㜶昲昰晥㈶㥦㠸㜲㕦㤱搲㤲㘳㘱㈳戱㈲㠷㜷愶㘶㈴㤶攵昱㠰㙢扣づ㥦挹㉢攰挳㍦㤹㙤㘱搱ㅣ摢摢戵〰〸㠷晤㕥㥢敦捥㌲户㡣㝤愳〳㜹㙣扥戹㠴㠷晢㤰㘳㤰敦扤㙤摤㤲戹㜱㌴挶㤷晢攰㐳摣昳㈶㘷㔰㝤ぢ㕤㙣㙦㘸㥥ㄶ㤰㕢㈲㙦摤晡ㄸ攸ㅢ敢㐰㙡戰ㅦ㉢昷㜳㤰戰㍥ㄶㅣ㜹挲㐰㐸㈰昴㈲㕡㔹搹㌸敥昵搳㐵ち㔴㝣〳戲扥摥摤㡢㈷㌰戵慦㐰㘵戲㤰ち㘷ち捣㐸て㥢晣晣㝣㕤㝡㌸㘵㘵搶ㄷ㐶㡡㥦㥣挷づち扥敢愱㠷愱㘵〳㡤换㠷〱〷挷愵㜱㍣戸晥㡤扤挲户戱㔱戶㡡㡤㉤㌵㌴㑥㔶ㅣㅣ扢愱敡つ搸㘵㘳摤㐳扤㡤っ㥢愰ㄳ搰㜴〵㡡摥扦㔴㘱㍤戸晥㔵戸挴户ち㐹㥥慦扣ちㅢ㉡慡挰攰愱慣ちㅦ㠰㈱㔵㐸㝢慢㐰㔷㕣慡㤰㤹戰ち攷晢㔶㘱㘳㜵ㄵ㜲ㄵ㔵昸戰戲ちㅦ戹㔵攰晦ㅤ〰㘹㌹ㄴ晤㘲愹挲㈸ㄲ晥㈸㝣搹户ち㥢㜹扥㜲ㄴ挶挹昲㜴〴摤敡㌲ㄴ攸㍡ぢち㈷㈱攱㔶㈱㐲㈷㤵㜳愲㍥ㄹ〹晤〵㤲㔳㐰挲ㄱ扡愷㈲㌸ㄵ〹戸㉡㜴㑣愵慥愷㈱搱攸㝥慢扢㘹ㄳ搷ㄷ昲㐱㜵慡㕢捦㜷摢㜶㉥㕤ㅤ愷㐳㔷扦つ昳っ戰㌹㙡挲晡㡢㘴㜹敡㐹㥦㤶昵扣㜱㜱戲敦㤴〳挳㑢ㄴ㕤㑦愹攷ㄹ㐸戰ㄸ㝦㙡ㅥ㌲㜲晡㌳㤱㤸㕤晡敡㝥戱〲㘳扥ㄵ㌸ㅢ摡㌶㔰挵ち㝣㠵㉣㑦〵攸㠰㡡攵㜳㤱昰敦㠴㥣㙢㍢攰扤昴捦㉢摡㔶㜴愳搹戸昳㉢㙣搳㝦㉤㙢ㅣ㝤㔴㘹摣㠵㐸㐸㤵㔸㤲摥愰㔴攱㈲㈴晣慢戰挱户ちㄷ㐳扦㘲ㅣ㕣㐲㤶愷㜹㜴㈶换挶〱ㅤ㐶愹挲愵㐸ㄴ慢㐰搷㑣慡㜰ㄹㄲ晥㔵㠸晢㔶攱ㅢ搰㤷㜵㤰搲㥣㜰〵㔹㥥㉡搰戳㉢慢〲扤㌷愹挲㔵㐸ㄴ慢㐰搷㐸慡㜰㌵ㄲ晥㔵㌸搶户ち搷㐲扦〲㠵㙦㤱攵愹〲㍤慢戲㉡搰㝢㤲㉡摣㠰㐴戱ち昴㔳愴ち㌷㈲攱㕦㠵㈳㝣慢昰㙤攸ㅢ㌷㠳㤴摦〶扥〳㡥户ㅡ㜴㜵捡慡㐱㜷㐶慡㜱㉢ㄲ㙥㌵㐲扣愹㑣晢㡥挷戱户㤵晢愷户攱㍣㡡户㉡摡搰昸收扡㈴㤸㘹攴つ㠳㠹㍡晣昰㄰ㄴ㜲慣㤴晥㘷戲㌹攷㑢㠹㍢㥣㠴㤴攰晣㕥㉡挱㜹㕡㑡摣㐹㌶愷㘸㈹㜱㤷㤳㤰ㄲ㥣㡥㑢㈵㌸慤㑡㠹扢挹收㡣㉡㈵敥㜱ㄲ㔲㠲戳㘷愹〴㘷㐱㈹㜱㉦搹㥣〰愵挴㝤㑥㐲㑡㥣攴㘴散㜶㜰㤲ㄳ〷㜴㄰扤挸㈸㤳ㅢ㜴㜵㐱㐳㜱攲ㄳ挱㐱㡥㠰捦㡤搷攱戵㌰㑥㠶㈲ㄸ㜰〴㡢㈱搰て㠰ㅢ攲挴㔸戹戹敥㜹㡣挱昳昶〵㑦慥搳㝣摢㠷㉥㑡㌸㝤㔰㘶搴晥㠰戱㤱收㌷ㄱ㌲戳ㅤ摤㠵㐵㥤敤㡡㥣愲敥慣㈲㑢捡散㙣扦搱捥慦㌱㔳㘵㘱挹攸昶㤵ㄲ搱慦戵愷昳挰ㅥㄳ慦て戸ㄵ愴ㄳ㕡愷愶慤㔸㘷㝦㌳敥㐱挰挱ㄱ慣㜴㌱㈵㔹挵㥢㠰㜴搳㐳㐸㈸捥晦搲㑤摦㜳ㄲ搲㑤㥣敢㤹攰㑤㉡愰㌸㙢㑢㠹㠷挹收㠴㉤㈵ㅥ㜱ㄲ捣㈸捥扥愲昳㝤㜲㌹昱㡡捥愳ㅥ㥤㐶㑥戲㘲ㄵ〵〲㡡㤳愵㤴㜸㡣㙣捥㤳㔲攲㜱㈷挱㑣㈳攷挴㔲〹捥㙤㔲攲〹戲㌹慤㐹㠹ㅦ㌸〹㈹挱㈹慣㔴㠲㔳㤱㤴㜸㤲㙣捥㐲㔲攲㈹㈷㈱㈵㌸攳㤴㑡㜰收㤰ㄲ㑦㤳捤〹㐳㑡㙣㜱ㄲ㔲㠲㤳㐳愹㠴㕣戵愸慣㝥〶㙣昷㠸昰敡㐵ㅦ攳戳㝤㐸攰㝥㉤㔷㉡昳㘵㕡扣㘲㐵敢㔹㕢㑢慥捥㉡㉤㕥愵愲昵扣慤㈵㔷㘴㤵ㄶ慦㑣搱㝡搱搶㤲慢戰㑡㡢㔷愳㘸晤㐸戴ㅡ㜹改ㅣ〹慤攰㤸㡡ㅤㅦ㍦晥昸てㅢ㙢㥢㜶愹㍤敡挰㠶㝦㝡攳愹户㉥㜸㜱摤愲㕦㝥㜴昹攵㉦扥㝤挱㤶㡦敥㡦㉥㝡攲敡慢ㅦ㍤攴㡡㉤㙦㙤㤷戸㌲㜸昷㠷换慦㍣戹㜵挳挹㈷㈶搶敥扢昴攴愳㑦㔸搵扡㜲昶挲㥡㥡ㄹ㌳㍥㍤攷〷㍢敤ㅤ㌹敤挴㝢搵挳慦敥㤸〹㜱昴㑤㘳散ㄲ捦慤㥣㌶㕦挶ㄹ㤴っ㘶戶搶㕤搹㐳㍡㄰攱愰㤶搶扥㡡〴㝡㐱〶㌰戵捡㝡㠱〳㔹戴㕥戳戵㘴〸㔷㘹㜱㈸㡢搶㑦㙤㉤ㄹ戶㔵㕡ㅣ扥愲昵扡慤㈵㐳㤵㕡㙦㈰敦ㅥㄱづ㔹搱㝡搳搶㤲攱㐹慤戲㝡㜱㤸㡡搶捦㙤㉤ㄹ㤲搴㝡ㅢ㜹昷㠸㜰㘸㡡搶㍢愲ㄵ㜱㑤㈸㡥㍣㤹㉢㜷㜱收捡㈵㈸㔳㠷㤷㘲㌹搸㐴戰㜳㠵㠰攳㑢〴㍢㔵〸㌸愴㐴戰㘳㠵㠰愳㐸〴㍢㔴〸愴㔳㜰扥戲晥㔰散〶㔱㥦㕢愱㑥攴㐵㌰愷㐲㐰戰㐵戰㕤㠵㠰昸㡡㘰㜶戹㈰攲〲慤㠸慤㘸㐴捡㌵ㄴ攱ㄴ㐱㘳戹㈰攲攲慡〸愵㘸捣㉡搷愸晦ㅦㄹ敢㈷づ</t>
  </si>
  <si>
    <t>Option</t>
  </si>
  <si>
    <t>Option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</si>
</sst>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0.0%"/>
  </numFmts>
  <fonts count="3" x14ac:knownFonts="1">
    <font>
      <sz val="12"/>
      <color theme="1"/>
      <name val="Calibri"/>
      <family val="2"/>
      <scheme val="minor"/>
    </font>
    <font>
      <sz val="12"/>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rgb="FF00FF00"/>
        <bgColor indexed="64"/>
      </patternFill>
    </fill>
    <fill>
      <patternFill patternType="solid">
        <fgColor rgb="FF00FFFF"/>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2" fontId="0" fillId="0" borderId="0" xfId="0" applyNumberFormat="1"/>
    <xf numFmtId="164" fontId="0" fillId="0" borderId="0" xfId="0" applyNumberFormat="1"/>
    <xf numFmtId="165" fontId="0" fillId="0" borderId="0" xfId="2" applyNumberFormat="1" applyFont="1"/>
    <xf numFmtId="164" fontId="0" fillId="0" borderId="0" xfId="0" applyNumberFormat="1" applyAlignment="1">
      <alignment horizontal="center"/>
    </xf>
    <xf numFmtId="0" fontId="0" fillId="0" borderId="0" xfId="0" applyAlignment="1">
      <alignment horizontal="center"/>
    </xf>
    <xf numFmtId="0" fontId="2" fillId="0" borderId="0" xfId="0" applyFont="1"/>
    <xf numFmtId="0" fontId="0" fillId="0" borderId="0" xfId="0" quotePrefix="1"/>
    <xf numFmtId="0" fontId="2" fillId="0" borderId="0" xfId="0" applyFont="1" applyAlignment="1">
      <alignment horizontal="center"/>
    </xf>
    <xf numFmtId="164" fontId="2" fillId="0" borderId="0" xfId="0" applyNumberFormat="1" applyFont="1" applyAlignment="1">
      <alignment horizontal="center"/>
    </xf>
    <xf numFmtId="164" fontId="0" fillId="2" borderId="0" xfId="1" applyNumberFormat="1" applyFont="1" applyFill="1" applyAlignment="1">
      <alignment horizontal="center"/>
    </xf>
    <xf numFmtId="164" fontId="1" fillId="2" borderId="0" xfId="1" applyNumberFormat="1" applyFont="1" applyFill="1" applyAlignment="1">
      <alignment horizontal="right"/>
    </xf>
    <xf numFmtId="164" fontId="0" fillId="2" borderId="0" xfId="1" applyNumberFormat="1" applyFont="1" applyFill="1"/>
    <xf numFmtId="2" fontId="2" fillId="0" borderId="0" xfId="0" applyNumberFormat="1" applyFont="1" applyAlignment="1">
      <alignment horizontal="center"/>
    </xf>
    <xf numFmtId="2" fontId="0" fillId="0" borderId="0" xfId="0" applyNumberFormat="1" applyAlignment="1">
      <alignment horizontal="center"/>
    </xf>
    <xf numFmtId="2" fontId="0" fillId="3" borderId="0" xfId="0" applyNumberFormat="1" applyFill="1" applyAlignment="1">
      <alignment horizontal="center"/>
    </xf>
    <xf numFmtId="10" fontId="0" fillId="0" borderId="0" xfId="2" applyNumberFormat="1" applyFont="1"/>
    <xf numFmtId="164" fontId="0" fillId="4" borderId="0" xfId="0" applyNumberFormat="1" applyFill="1" applyAlignment="1">
      <alignment horizontal="center"/>
    </xf>
    <xf numFmtId="164" fontId="0" fillId="0" borderId="0" xfId="0" applyNumberFormat="1" applyAlignment="1"/>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87073-3AEC-4183-8C89-A747045A0FD1}">
  <sheetPr codeName="Sheet2"/>
  <dimension ref="A1:C34"/>
  <sheetViews>
    <sheetView workbookViewId="0"/>
  </sheetViews>
  <sheetFormatPr defaultRowHeight="15.6" x14ac:dyDescent="0.6"/>
  <cols>
    <col min="1" max="3" width="36.546875" customWidth="1"/>
  </cols>
  <sheetData>
    <row r="1" spans="1:3" x14ac:dyDescent="0.6">
      <c r="A1" s="6" t="s">
        <v>16</v>
      </c>
    </row>
    <row r="3" spans="1:3" x14ac:dyDescent="0.6">
      <c r="A3" t="s">
        <v>17</v>
      </c>
      <c r="B3" t="s">
        <v>18</v>
      </c>
      <c r="C3">
        <v>0</v>
      </c>
    </row>
    <row r="4" spans="1:3" x14ac:dyDescent="0.6">
      <c r="A4" t="s">
        <v>19</v>
      </c>
    </row>
    <row r="5" spans="1:3" x14ac:dyDescent="0.6">
      <c r="A5" t="s">
        <v>20</v>
      </c>
    </row>
    <row r="7" spans="1:3" x14ac:dyDescent="0.6">
      <c r="A7" s="6" t="s">
        <v>21</v>
      </c>
      <c r="B7" t="s">
        <v>22</v>
      </c>
    </row>
    <row r="8" spans="1:3" x14ac:dyDescent="0.6">
      <c r="B8">
        <v>2</v>
      </c>
    </row>
    <row r="10" spans="1:3" x14ac:dyDescent="0.6">
      <c r="A10" t="s">
        <v>23</v>
      </c>
    </row>
    <row r="11" spans="1:3" x14ac:dyDescent="0.6">
      <c r="A11" t="e">
        <f>CB_DATA_!#REF!</f>
        <v>#REF!</v>
      </c>
      <c r="B11" t="e">
        <f>'Monte Carlo Option Pricing'!#REF!</f>
        <v>#REF!</v>
      </c>
    </row>
    <row r="13" spans="1:3" x14ac:dyDescent="0.6">
      <c r="A13" t="s">
        <v>24</v>
      </c>
    </row>
    <row r="14" spans="1:3" x14ac:dyDescent="0.6">
      <c r="A14" t="s">
        <v>28</v>
      </c>
      <c r="B14" t="s">
        <v>32</v>
      </c>
    </row>
    <row r="16" spans="1:3" x14ac:dyDescent="0.6">
      <c r="A16" t="s">
        <v>25</v>
      </c>
    </row>
    <row r="19" spans="1:2" x14ac:dyDescent="0.6">
      <c r="A19" t="s">
        <v>26</v>
      </c>
    </row>
    <row r="20" spans="1:2" x14ac:dyDescent="0.6">
      <c r="A20">
        <v>28</v>
      </c>
      <c r="B20">
        <v>34</v>
      </c>
    </row>
    <row r="25" spans="1:2" x14ac:dyDescent="0.6">
      <c r="A25" s="6" t="s">
        <v>27</v>
      </c>
    </row>
    <row r="26" spans="1:2" x14ac:dyDescent="0.6">
      <c r="A26" s="7" t="s">
        <v>29</v>
      </c>
      <c r="B26" s="7" t="s">
        <v>36</v>
      </c>
    </row>
    <row r="27" spans="1:2" x14ac:dyDescent="0.6">
      <c r="A27" t="s">
        <v>30</v>
      </c>
      <c r="B27" t="s">
        <v>40</v>
      </c>
    </row>
    <row r="28" spans="1:2" x14ac:dyDescent="0.6">
      <c r="A28" s="7" t="s">
        <v>31</v>
      </c>
      <c r="B28" s="7" t="s">
        <v>31</v>
      </c>
    </row>
    <row r="29" spans="1:2" x14ac:dyDescent="0.6">
      <c r="B29" s="7" t="s">
        <v>29</v>
      </c>
    </row>
    <row r="30" spans="1:2" x14ac:dyDescent="0.6">
      <c r="B30" t="s">
        <v>34</v>
      </c>
    </row>
    <row r="31" spans="1:2" x14ac:dyDescent="0.6">
      <c r="B31" s="7" t="s">
        <v>31</v>
      </c>
    </row>
    <row r="32" spans="1:2" x14ac:dyDescent="0.6">
      <c r="B32" s="7" t="s">
        <v>38</v>
      </c>
    </row>
    <row r="33" spans="2:2" x14ac:dyDescent="0.6">
      <c r="B33" t="s">
        <v>39</v>
      </c>
    </row>
    <row r="34" spans="2:2" x14ac:dyDescent="0.6">
      <c r="B34" s="7"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7D512-DE2F-4F14-97F6-BD36DBDDBDE9}">
  <sheetPr codeName="Sheet3"/>
  <dimension ref="A1:I32"/>
  <sheetViews>
    <sheetView tabSelected="1" workbookViewId="0">
      <selection activeCell="C13" sqref="C13"/>
    </sheetView>
  </sheetViews>
  <sheetFormatPr defaultRowHeight="15.6" x14ac:dyDescent="0.6"/>
  <cols>
    <col min="1" max="1" width="16.59765625" bestFit="1" customWidth="1"/>
    <col min="2" max="2" width="8" bestFit="1" customWidth="1"/>
    <col min="3" max="3" width="7.09765625" bestFit="1" customWidth="1"/>
    <col min="5" max="5" width="8.796875" style="5"/>
    <col min="6" max="6" width="9.59765625" style="14" bestFit="1" customWidth="1"/>
    <col min="7" max="8" width="8.796875" style="4"/>
    <col min="9" max="9" width="12.19921875" style="4" bestFit="1" customWidth="1"/>
    <col min="10" max="10" width="10.69921875" bestFit="1" customWidth="1"/>
  </cols>
  <sheetData>
    <row r="1" spans="1:9" x14ac:dyDescent="0.6">
      <c r="A1" t="s">
        <v>4</v>
      </c>
      <c r="B1" t="s">
        <v>0</v>
      </c>
      <c r="C1" s="1">
        <v>1.2</v>
      </c>
      <c r="E1" s="8" t="s">
        <v>14</v>
      </c>
      <c r="F1" s="13" t="s">
        <v>15</v>
      </c>
      <c r="G1" s="9" t="s">
        <v>13</v>
      </c>
      <c r="H1" s="9" t="s">
        <v>41</v>
      </c>
    </row>
    <row r="2" spans="1:9" x14ac:dyDescent="0.6">
      <c r="A2" t="s">
        <v>5</v>
      </c>
      <c r="B2" t="s">
        <v>1</v>
      </c>
      <c r="C2" s="1">
        <v>0.9</v>
      </c>
      <c r="E2" s="5">
        <v>0</v>
      </c>
      <c r="G2" s="10">
        <f>C7</f>
        <v>450</v>
      </c>
      <c r="H2"/>
    </row>
    <row r="3" spans="1:9" x14ac:dyDescent="0.6">
      <c r="E3" s="5">
        <v>1</v>
      </c>
      <c r="F3" s="15">
        <v>0.45</v>
      </c>
      <c r="G3" s="10">
        <f t="shared" ref="G3:G12" si="0">IF(F3=1,G2*$C$1,G2*$C$2)</f>
        <v>405</v>
      </c>
    </row>
    <row r="4" spans="1:9" x14ac:dyDescent="0.6">
      <c r="A4" t="s">
        <v>6</v>
      </c>
      <c r="B4" t="s">
        <v>2</v>
      </c>
      <c r="C4" s="3">
        <v>0.45</v>
      </c>
      <c r="E4" s="5">
        <v>2</v>
      </c>
      <c r="F4" s="15">
        <v>0.45</v>
      </c>
      <c r="G4" s="10">
        <f t="shared" si="0"/>
        <v>364.5</v>
      </c>
    </row>
    <row r="5" spans="1:9" x14ac:dyDescent="0.6">
      <c r="A5" t="s">
        <v>7</v>
      </c>
      <c r="B5" t="s">
        <v>3</v>
      </c>
      <c r="C5" s="3">
        <f>1-C4</f>
        <v>0.55000000000000004</v>
      </c>
      <c r="E5" s="5">
        <v>3</v>
      </c>
      <c r="F5" s="15">
        <v>0.45</v>
      </c>
      <c r="G5" s="10">
        <f t="shared" si="0"/>
        <v>328.05</v>
      </c>
    </row>
    <row r="6" spans="1:9" x14ac:dyDescent="0.6">
      <c r="E6" s="5">
        <v>4</v>
      </c>
      <c r="F6" s="15">
        <v>0.45</v>
      </c>
      <c r="G6" s="10">
        <f t="shared" si="0"/>
        <v>295.245</v>
      </c>
    </row>
    <row r="7" spans="1:9" x14ac:dyDescent="0.6">
      <c r="A7" t="s">
        <v>11</v>
      </c>
      <c r="B7" t="s">
        <v>8</v>
      </c>
      <c r="C7" s="2">
        <v>450</v>
      </c>
      <c r="E7" s="5">
        <v>5</v>
      </c>
      <c r="F7" s="15">
        <v>0.45</v>
      </c>
      <c r="G7" s="10">
        <f t="shared" si="0"/>
        <v>265.72050000000002</v>
      </c>
    </row>
    <row r="8" spans="1:9" x14ac:dyDescent="0.6">
      <c r="A8" t="s">
        <v>35</v>
      </c>
      <c r="B8" t="s">
        <v>10</v>
      </c>
      <c r="C8" s="16">
        <v>0.05</v>
      </c>
      <c r="E8" s="5">
        <v>6</v>
      </c>
      <c r="F8" s="15">
        <v>0.45</v>
      </c>
      <c r="G8" s="10">
        <f t="shared" si="0"/>
        <v>239.14845000000003</v>
      </c>
    </row>
    <row r="9" spans="1:9" x14ac:dyDescent="0.6">
      <c r="E9" s="5">
        <v>7</v>
      </c>
      <c r="F9" s="15">
        <v>0.45</v>
      </c>
      <c r="G9" s="10">
        <f t="shared" si="0"/>
        <v>215.23360500000004</v>
      </c>
    </row>
    <row r="10" spans="1:9" x14ac:dyDescent="0.6">
      <c r="A10" t="s">
        <v>12</v>
      </c>
      <c r="B10" t="s">
        <v>33</v>
      </c>
      <c r="C10" s="11">
        <v>197.64145763714507</v>
      </c>
      <c r="E10" s="5">
        <v>8</v>
      </c>
      <c r="F10" s="15">
        <v>0.45</v>
      </c>
      <c r="G10" s="10">
        <f t="shared" si="0"/>
        <v>193.71024450000004</v>
      </c>
    </row>
    <row r="11" spans="1:9" x14ac:dyDescent="0.6">
      <c r="A11" t="s">
        <v>42</v>
      </c>
      <c r="B11" t="s">
        <v>9</v>
      </c>
      <c r="C11" s="12">
        <f>C10/EXP(C8)</f>
        <v>188.00237000566375</v>
      </c>
      <c r="D11" s="18"/>
      <c r="E11" s="5">
        <v>9</v>
      </c>
      <c r="F11" s="15">
        <v>0.45</v>
      </c>
      <c r="G11" s="10">
        <f t="shared" si="0"/>
        <v>174.33922005000005</v>
      </c>
    </row>
    <row r="12" spans="1:9" x14ac:dyDescent="0.6">
      <c r="C12" t="str">
        <f ca="1">_xlfn.FORMULATEXT(C11)</f>
        <v>=C10/EXP(C8)</v>
      </c>
      <c r="E12" s="5">
        <v>10</v>
      </c>
      <c r="F12" s="15">
        <v>0.45</v>
      </c>
      <c r="G12" s="10">
        <f t="shared" si="0"/>
        <v>156.90529804500005</v>
      </c>
      <c r="H12" s="17">
        <f>MAX(G12-500,400-G12)</f>
        <v>243.09470195499995</v>
      </c>
      <c r="I12" s="18" t="str">
        <f ca="1">_xlfn.FORMULATEXT(H12)</f>
        <v>=MAX(G12-500,400-G12)</v>
      </c>
    </row>
    <row r="13" spans="1:9" x14ac:dyDescent="0.6">
      <c r="F13"/>
      <c r="G13"/>
      <c r="H13"/>
    </row>
    <row r="14" spans="1:9" x14ac:dyDescent="0.6">
      <c r="F14"/>
      <c r="G14"/>
      <c r="H14"/>
    </row>
    <row r="15" spans="1:9" x14ac:dyDescent="0.6">
      <c r="F15"/>
      <c r="G15"/>
      <c r="H15"/>
    </row>
    <row r="16" spans="1:9" x14ac:dyDescent="0.6">
      <c r="F16"/>
      <c r="G16"/>
      <c r="H16"/>
    </row>
    <row r="17" spans="6:8" x14ac:dyDescent="0.6">
      <c r="F17"/>
      <c r="G17"/>
      <c r="H17"/>
    </row>
    <row r="18" spans="6:8" x14ac:dyDescent="0.6">
      <c r="F18"/>
      <c r="G18"/>
      <c r="H18"/>
    </row>
    <row r="19" spans="6:8" x14ac:dyDescent="0.6">
      <c r="F19"/>
      <c r="G19"/>
      <c r="H19"/>
    </row>
    <row r="20" spans="6:8" x14ac:dyDescent="0.6">
      <c r="F20"/>
      <c r="G20"/>
      <c r="H20"/>
    </row>
    <row r="21" spans="6:8" x14ac:dyDescent="0.6">
      <c r="F21"/>
      <c r="G21"/>
      <c r="H21"/>
    </row>
    <row r="22" spans="6:8" x14ac:dyDescent="0.6">
      <c r="F22"/>
      <c r="G22"/>
      <c r="H22"/>
    </row>
    <row r="23" spans="6:8" x14ac:dyDescent="0.6">
      <c r="F23"/>
      <c r="G23"/>
      <c r="H23"/>
    </row>
    <row r="24" spans="6:8" x14ac:dyDescent="0.6">
      <c r="F24"/>
      <c r="G24"/>
      <c r="H24"/>
    </row>
    <row r="25" spans="6:8" x14ac:dyDescent="0.6">
      <c r="F25"/>
      <c r="G25"/>
      <c r="H25"/>
    </row>
    <row r="26" spans="6:8" x14ac:dyDescent="0.6">
      <c r="F26"/>
      <c r="G26"/>
      <c r="H26"/>
    </row>
    <row r="27" spans="6:8" x14ac:dyDescent="0.6">
      <c r="F27"/>
      <c r="G27"/>
      <c r="H27"/>
    </row>
    <row r="28" spans="6:8" x14ac:dyDescent="0.6">
      <c r="F28"/>
      <c r="G28"/>
      <c r="H28"/>
    </row>
    <row r="29" spans="6:8" x14ac:dyDescent="0.6">
      <c r="F29"/>
      <c r="G29"/>
      <c r="H29"/>
    </row>
    <row r="30" spans="6:8" x14ac:dyDescent="0.6">
      <c r="F30"/>
      <c r="G30"/>
      <c r="H30"/>
    </row>
    <row r="31" spans="6:8" x14ac:dyDescent="0.6">
      <c r="F31"/>
      <c r="G31"/>
      <c r="H31"/>
    </row>
    <row r="32" spans="6:8" x14ac:dyDescent="0.6">
      <c r="F32"/>
      <c r="G32"/>
      <c r="H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Monte Carlo Option Pricing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Howard</dc:creator>
  <cp:lastModifiedBy>Philip Howard</cp:lastModifiedBy>
  <dcterms:created xsi:type="dcterms:W3CDTF">2017-04-11T02:49:49Z</dcterms:created>
  <dcterms:modified xsi:type="dcterms:W3CDTF">2018-04-30T18:07:11Z</dcterms:modified>
</cp:coreProperties>
</file>