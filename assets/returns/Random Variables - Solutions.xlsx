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1 Historical Returns\3 Practice\Expected Value Calculations\"/>
    </mc:Choice>
  </mc:AlternateContent>
  <xr:revisionPtr revIDLastSave="0" documentId="13_ncr:1_{37E2D150-2DA9-44D8-832E-6E459799A20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andom Variables" sheetId="8" r:id="rId1"/>
  </sheets>
  <definedNames>
    <definedName name="solver_adj" localSheetId="0" hidden="1">'Random Variables'!$G$5:$H$5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'Random Variables'!$G$5:$H$5</definedName>
    <definedName name="solver_lhs2" localSheetId="0" hidden="1">'Random Variables'!#REF!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'Random Variables'!#REF!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8" l="1"/>
  <c r="H3" i="8" s="1"/>
  <c r="H4" i="8" s="1"/>
  <c r="G2" i="8"/>
  <c r="G3" i="8" s="1"/>
  <c r="G4" i="8" s="1"/>
  <c r="G8" i="8" l="1"/>
  <c r="G9" i="8" s="1"/>
</calcChain>
</file>

<file path=xl/sharedStrings.xml><?xml version="1.0" encoding="utf-8"?>
<sst xmlns="http://schemas.openxmlformats.org/spreadsheetml/2006/main" count="15" uniqueCount="13">
  <si>
    <t>Average</t>
  </si>
  <si>
    <t>SD</t>
  </si>
  <si>
    <t>Google</t>
  </si>
  <si>
    <t>Apple</t>
  </si>
  <si>
    <t>State</t>
  </si>
  <si>
    <t>Probability</t>
  </si>
  <si>
    <t>Recession</t>
  </si>
  <si>
    <t>Boom</t>
  </si>
  <si>
    <t>Variance</t>
  </si>
  <si>
    <t>Find Apple and Google's expected return, variance, standard deviation, covariance and correlation</t>
  </si>
  <si>
    <t>Normal</t>
  </si>
  <si>
    <t>Covariance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</si>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</sst>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%"/>
    <numFmt numFmtId="168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42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167" fontId="0" fillId="33" borderId="0" xfId="42" applyNumberFormat="1" applyFont="1" applyFill="1" applyAlignment="1">
      <alignment horizontal="center"/>
    </xf>
    <xf numFmtId="168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6359-4D37-4988-A0CA-5445D9421FD9}">
  <dimension ref="A1:J11"/>
  <sheetViews>
    <sheetView tabSelected="1" workbookViewId="0">
      <selection activeCell="G9" sqref="G9"/>
    </sheetView>
  </sheetViews>
  <sheetFormatPr defaultRowHeight="15.5" x14ac:dyDescent="0.35"/>
  <cols>
    <col min="1" max="1" width="13.5" bestFit="1" customWidth="1"/>
    <col min="2" max="2" width="9.75" style="1" bestFit="1" customWidth="1"/>
    <col min="3" max="3" width="5.58203125" style="1" bestFit="1" customWidth="1"/>
    <col min="4" max="4" width="6.58203125" style="1" bestFit="1" customWidth="1"/>
    <col min="7" max="9" width="8.6640625" style="1"/>
  </cols>
  <sheetData>
    <row r="1" spans="1:10" x14ac:dyDescent="0.35">
      <c r="A1" s="4" t="s">
        <v>4</v>
      </c>
      <c r="B1" s="5" t="s">
        <v>5</v>
      </c>
      <c r="C1" s="5" t="s">
        <v>3</v>
      </c>
      <c r="D1" s="5" t="s">
        <v>2</v>
      </c>
      <c r="E1" s="1"/>
      <c r="G1" s="5" t="s">
        <v>3</v>
      </c>
      <c r="H1" s="5" t="s">
        <v>2</v>
      </c>
    </row>
    <row r="2" spans="1:10" x14ac:dyDescent="0.35">
      <c r="A2" t="s">
        <v>6</v>
      </c>
      <c r="B2" s="3">
        <v>0.1</v>
      </c>
      <c r="C2" s="3">
        <v>-0.2</v>
      </c>
      <c r="D2" s="3">
        <v>-0.05</v>
      </c>
      <c r="F2" s="2" t="s">
        <v>0</v>
      </c>
      <c r="G2" s="6">
        <f>SUMPRODUCT($B$2:$B$4,C2:C4)</f>
        <v>6.9999999999999993E-2</v>
      </c>
      <c r="H2" s="6">
        <f>SUMPRODUCT($B$2:$B$4,D2:D4)</f>
        <v>8.7999999999999995E-2</v>
      </c>
    </row>
    <row r="3" spans="1:10" x14ac:dyDescent="0.35">
      <c r="A3" t="s">
        <v>10</v>
      </c>
      <c r="B3" s="3">
        <v>0.6</v>
      </c>
      <c r="C3" s="3">
        <v>0.05</v>
      </c>
      <c r="D3" s="3">
        <v>0.08</v>
      </c>
      <c r="F3" s="2" t="s">
        <v>8</v>
      </c>
      <c r="G3" s="7">
        <f>$B$2*(C2-G2)^2+$B$3*(C3-G2)^2+$B$4*(C4-G2)^2</f>
        <v>1.2600000000000002E-2</v>
      </c>
      <c r="H3" s="7">
        <f>$B$2*(D2-H2)^2+$B$3*(D3-H2)^2+$B$4*(D4-H2)^2</f>
        <v>3.0959999999999998E-3</v>
      </c>
    </row>
    <row r="4" spans="1:10" x14ac:dyDescent="0.35">
      <c r="A4" t="s">
        <v>7</v>
      </c>
      <c r="B4" s="3">
        <v>0.3</v>
      </c>
      <c r="C4" s="3">
        <v>0.2</v>
      </c>
      <c r="D4" s="3">
        <v>0.15</v>
      </c>
      <c r="F4" s="2" t="s">
        <v>1</v>
      </c>
      <c r="G4" s="6">
        <f>SQRT(G3)</f>
        <v>0.11224972160321825</v>
      </c>
      <c r="H4" s="6">
        <f t="shared" ref="H4" si="0">SQRT(H3)</f>
        <v>5.5641710972974219E-2</v>
      </c>
    </row>
    <row r="5" spans="1:10" x14ac:dyDescent="0.35">
      <c r="G5"/>
      <c r="H5"/>
    </row>
    <row r="8" spans="1:10" x14ac:dyDescent="0.35">
      <c r="F8" s="2" t="s">
        <v>11</v>
      </c>
      <c r="G8" s="7">
        <f>B2*(C2-G2)*(D2-H2)+B3*(C3-G2)*(D3-H2)+B4*(C4-G2)*(D4-H2)</f>
        <v>6.2400000000000008E-3</v>
      </c>
    </row>
    <row r="9" spans="1:10" x14ac:dyDescent="0.35">
      <c r="F9" s="2" t="s">
        <v>12</v>
      </c>
      <c r="G9" s="7">
        <f>G8/(G4*H4)</f>
        <v>0.99907672402067405</v>
      </c>
    </row>
    <row r="11" spans="1:10" x14ac:dyDescent="0.35">
      <c r="A11" s="8" t="s">
        <v>9</v>
      </c>
      <c r="B11" s="9"/>
      <c r="C11" s="9"/>
      <c r="D11" s="9"/>
      <c r="E11" s="8"/>
      <c r="F11" s="8"/>
      <c r="G11" s="9"/>
      <c r="H11" s="9"/>
      <c r="I11" s="9"/>
      <c r="J1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 Howard</cp:lastModifiedBy>
  <cp:lastPrinted>2018-09-17T05:13:30Z</cp:lastPrinted>
  <dcterms:created xsi:type="dcterms:W3CDTF">2017-08-30T06:59:21Z</dcterms:created>
  <dcterms:modified xsi:type="dcterms:W3CDTF">2020-10-10T14:16:52Z</dcterms:modified>
</cp:coreProperties>
</file>