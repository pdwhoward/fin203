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dwho\Dropbox\Courses\Teaching\FIN 203\FIN 203 Spring 2019\1 Historical Returns\2 Excercises\4 Portfolio Returns\"/>
    </mc:Choice>
  </mc:AlternateContent>
  <xr:revisionPtr revIDLastSave="0" documentId="13_ncr:1_{A6F30BCA-4789-445B-9AFB-4EB8E53D0F3F}" xr6:coauthVersionLast="40" xr6:coauthVersionMax="40" xr10:uidLastSave="{00000000-0000-0000-0000-000000000000}"/>
  <bookViews>
    <workbookView xWindow="0" yWindow="0" windowWidth="23040" windowHeight="9190" xr2:uid="{00000000-000D-0000-FFFF-FFFF00000000}"/>
  </bookViews>
  <sheets>
    <sheet name="2 Asset Portfolio" sheetId="1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6" i="15" l="1"/>
  <c r="H3" i="15" l="1"/>
  <c r="H2" i="15"/>
  <c r="G3" i="15"/>
  <c r="G2" i="15"/>
  <c r="F3" i="15"/>
  <c r="F2" i="15"/>
  <c r="C3" i="15"/>
  <c r="C4" i="15"/>
  <c r="C5" i="15"/>
  <c r="C6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C38" i="15"/>
  <c r="C39" i="15"/>
  <c r="C40" i="15"/>
  <c r="C41" i="15"/>
  <c r="C42" i="15"/>
  <c r="C43" i="15"/>
  <c r="C44" i="15"/>
  <c r="C45" i="15"/>
  <c r="C46" i="15"/>
  <c r="C47" i="15"/>
  <c r="C48" i="15"/>
  <c r="C49" i="15"/>
  <c r="C50" i="15"/>
  <c r="C51" i="15"/>
  <c r="C52" i="15"/>
  <c r="C53" i="15"/>
  <c r="C54" i="15"/>
  <c r="C55" i="15"/>
  <c r="C56" i="15"/>
  <c r="C57" i="15"/>
  <c r="C58" i="15"/>
  <c r="C59" i="15"/>
  <c r="C60" i="15"/>
  <c r="C61" i="15"/>
  <c r="C62" i="15"/>
  <c r="C63" i="15"/>
  <c r="C64" i="15"/>
  <c r="C65" i="15"/>
  <c r="C66" i="15"/>
  <c r="C67" i="15"/>
  <c r="C68" i="15"/>
  <c r="C69" i="15"/>
  <c r="C70" i="15"/>
  <c r="C71" i="15"/>
  <c r="C72" i="15"/>
  <c r="C73" i="15"/>
  <c r="C74" i="15"/>
  <c r="C75" i="15"/>
  <c r="C76" i="15"/>
  <c r="C77" i="15"/>
  <c r="C78" i="15"/>
  <c r="C79" i="15"/>
  <c r="C80" i="15"/>
  <c r="C81" i="15"/>
  <c r="C82" i="15"/>
  <c r="C83" i="15"/>
  <c r="C84" i="15"/>
  <c r="C85" i="15"/>
  <c r="C86" i="15"/>
  <c r="C87" i="15"/>
  <c r="C88" i="15"/>
  <c r="C89" i="15"/>
  <c r="C90" i="15"/>
  <c r="C91" i="15"/>
  <c r="C92" i="15"/>
  <c r="C93" i="15"/>
  <c r="C94" i="15"/>
  <c r="C95" i="15"/>
  <c r="C96" i="15"/>
  <c r="C97" i="15"/>
  <c r="C98" i="15"/>
  <c r="C99" i="15"/>
  <c r="C100" i="15"/>
  <c r="C101" i="15"/>
  <c r="C2" i="15"/>
  <c r="I2" i="15" l="1"/>
  <c r="I3" i="15" l="1"/>
</calcChain>
</file>

<file path=xl/sharedStrings.xml><?xml version="1.0" encoding="utf-8"?>
<sst xmlns="http://schemas.openxmlformats.org/spreadsheetml/2006/main" count="11" uniqueCount="10">
  <si>
    <t>Mean</t>
  </si>
  <si>
    <t>Portfolio</t>
  </si>
  <si>
    <t>Standard Deviation</t>
  </si>
  <si>
    <t>Weight</t>
  </si>
  <si>
    <t>Portfolio - Computational</t>
  </si>
  <si>
    <t>Portfolio - Analytical</t>
  </si>
  <si>
    <t>APPLE</t>
  </si>
  <si>
    <t>P&amp;G</t>
  </si>
  <si>
    <t>Correlation</t>
  </si>
  <si>
    <t>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</si>
</sst>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3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9" fontId="0" fillId="0" borderId="0" xfId="1" applyFont="1" applyAlignment="1">
      <alignment horizontal="center"/>
    </xf>
    <xf numFmtId="0" fontId="0" fillId="0" borderId="0" xfId="0" applyAlignment="1">
      <alignment horizontal="center"/>
    </xf>
    <xf numFmtId="9" fontId="2" fillId="0" borderId="0" xfId="1" applyFont="1" applyAlignment="1">
      <alignment horizontal="center"/>
    </xf>
    <xf numFmtId="9" fontId="0" fillId="2" borderId="0" xfId="1" applyFont="1" applyFill="1" applyAlignment="1">
      <alignment horizontal="center"/>
    </xf>
    <xf numFmtId="0" fontId="2" fillId="0" borderId="0" xfId="0" applyFont="1" applyAlignment="1">
      <alignment horizontal="center"/>
    </xf>
    <xf numFmtId="2" fontId="0" fillId="2" borderId="0" xfId="0" applyNumberFormat="1" applyFill="1" applyAlignment="1">
      <alignment horizontal="center"/>
    </xf>
    <xf numFmtId="9" fontId="0" fillId="0" borderId="0" xfId="1" applyFont="1"/>
    <xf numFmtId="164" fontId="0" fillId="0" borderId="0" xfId="1" applyNumberFormat="1" applyFont="1"/>
    <xf numFmtId="10" fontId="0" fillId="2" borderId="0" xfId="1" applyNumberFormat="1" applyFont="1" applyFill="1" applyAlignment="1">
      <alignment horizontal="center"/>
    </xf>
    <xf numFmtId="10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18DD6-D48C-4117-8D6D-5EE524DBA019}">
  <dimension ref="A1:J121"/>
  <sheetViews>
    <sheetView tabSelected="1" workbookViewId="0">
      <pane ySplit="1" topLeftCell="A2" activePane="bottomLeft" state="frozen"/>
      <selection pane="bottomLeft" activeCell="F6" sqref="F6"/>
    </sheetView>
  </sheetViews>
  <sheetFormatPr defaultRowHeight="14.5" x14ac:dyDescent="0.35"/>
  <cols>
    <col min="1" max="2" width="8.54296875" style="3" customWidth="1"/>
    <col min="3" max="3" width="8.54296875" style="2" customWidth="1"/>
    <col min="5" max="5" width="15.81640625" bestFit="1" customWidth="1"/>
    <col min="6" max="7" width="12.54296875" style="3" customWidth="1"/>
    <col min="8" max="9" width="24.6328125" style="3" customWidth="1"/>
    <col min="10" max="10" width="20.26953125" bestFit="1" customWidth="1"/>
  </cols>
  <sheetData>
    <row r="1" spans="1:10" s="1" customFormat="1" x14ac:dyDescent="0.35">
      <c r="A1" s="6" t="s">
        <v>9</v>
      </c>
      <c r="B1" s="6" t="s">
        <v>7</v>
      </c>
      <c r="C1" s="4" t="s">
        <v>1</v>
      </c>
      <c r="F1" s="6" t="s">
        <v>6</v>
      </c>
      <c r="G1" s="6" t="s">
        <v>7</v>
      </c>
      <c r="H1" s="6" t="s">
        <v>4</v>
      </c>
      <c r="I1" s="6" t="s">
        <v>5</v>
      </c>
    </row>
    <row r="2" spans="1:10" x14ac:dyDescent="0.35">
      <c r="A2" s="2">
        <v>1.9216392838521765E-2</v>
      </c>
      <c r="B2" s="2">
        <v>0.14318171690065806</v>
      </c>
      <c r="C2" s="5">
        <f>$F$4*A2+$G$4*B2</f>
        <v>8.1199054869589921E-2</v>
      </c>
      <c r="E2" t="s">
        <v>0</v>
      </c>
      <c r="F2" s="10">
        <f>AVERAGE(A2:A101)</f>
        <v>0.05</v>
      </c>
      <c r="G2" s="10">
        <f>AVERAGE(B2:B101)</f>
        <v>4.9999999999999975E-2</v>
      </c>
      <c r="H2" s="10">
        <f>AVERAGE(C2:C101)</f>
        <v>4.9999999999999975E-2</v>
      </c>
      <c r="I2" s="10">
        <f>F4*F2+G4*G2</f>
        <v>4.9999999999999989E-2</v>
      </c>
    </row>
    <row r="3" spans="1:10" x14ac:dyDescent="0.35">
      <c r="A3" s="2">
        <v>0.11425054276387885</v>
      </c>
      <c r="B3" s="2">
        <v>0.16331934295911679</v>
      </c>
      <c r="C3" s="5">
        <f t="shared" ref="C3:C66" si="0">$F$4*A3+$G$4*B3</f>
        <v>0.13878494286149781</v>
      </c>
      <c r="E3" t="s">
        <v>2</v>
      </c>
      <c r="F3" s="10">
        <f>_xlfn.STDEV.S(A2:A101)</f>
        <v>9.9999999999999992E-2</v>
      </c>
      <c r="G3" s="10">
        <f>_xlfn.STDEV.S(B2:B101)</f>
        <v>9.9999999999999978E-2</v>
      </c>
      <c r="H3" s="10">
        <f>_xlfn.STDEV.S(C2:C101)</f>
        <v>8.157167977321915E-2</v>
      </c>
      <c r="I3" s="10">
        <f>SQRT(F4^2*F3^2+G4^2*G3^2+2*F4*G4*F3*G3*F6)</f>
        <v>8.1571679773219108E-2</v>
      </c>
      <c r="J3" s="9"/>
    </row>
    <row r="4" spans="1:10" x14ac:dyDescent="0.35">
      <c r="A4" s="2">
        <v>0.13733406248261187</v>
      </c>
      <c r="B4" s="2">
        <v>2.4040732364868297E-3</v>
      </c>
      <c r="C4" s="5">
        <f t="shared" si="0"/>
        <v>6.9869067859549355E-2</v>
      </c>
      <c r="E4" t="s">
        <v>3</v>
      </c>
      <c r="F4" s="2">
        <v>0.5</v>
      </c>
      <c r="G4" s="2">
        <v>0.5</v>
      </c>
    </row>
    <row r="5" spans="1:10" x14ac:dyDescent="0.35">
      <c r="A5" s="2">
        <v>1.4477945487888902E-2</v>
      </c>
      <c r="B5" s="2">
        <v>5.6287325834987342E-2</v>
      </c>
      <c r="C5" s="5">
        <f t="shared" si="0"/>
        <v>3.5382635661438122E-2</v>
      </c>
    </row>
    <row r="6" spans="1:10" x14ac:dyDescent="0.35">
      <c r="A6" s="2">
        <v>1.9072432947708318E-2</v>
      </c>
      <c r="B6" s="2">
        <v>-3.5513036052915878E-2</v>
      </c>
      <c r="C6" s="5">
        <f t="shared" si="0"/>
        <v>-8.2203015526037797E-3</v>
      </c>
      <c r="E6" t="s">
        <v>8</v>
      </c>
      <c r="F6" s="7">
        <f>CORREL(A2:A101,B2:B101)</f>
        <v>0.33078778820492133</v>
      </c>
    </row>
    <row r="7" spans="1:10" x14ac:dyDescent="0.35">
      <c r="A7" s="2">
        <v>0.20645319697569636</v>
      </c>
      <c r="B7" s="2">
        <v>0.17466382998911048</v>
      </c>
      <c r="C7" s="5">
        <f t="shared" si="0"/>
        <v>0.19055851348240344</v>
      </c>
    </row>
    <row r="8" spans="1:10" x14ac:dyDescent="0.35">
      <c r="A8" s="2">
        <v>3.6107351449565853E-2</v>
      </c>
      <c r="B8" s="2">
        <v>0.13005933658115643</v>
      </c>
      <c r="C8" s="5">
        <f t="shared" si="0"/>
        <v>8.3083344015361132E-2</v>
      </c>
    </row>
    <row r="9" spans="1:10" x14ac:dyDescent="0.35">
      <c r="A9" s="2">
        <v>-7.7168332989422245E-3</v>
      </c>
      <c r="B9" s="2">
        <v>2.1240422991536296E-2</v>
      </c>
      <c r="C9" s="5">
        <f t="shared" si="0"/>
        <v>6.7617948462970357E-3</v>
      </c>
      <c r="F9" s="11"/>
    </row>
    <row r="10" spans="1:10" x14ac:dyDescent="0.35">
      <c r="A10" s="2">
        <v>-0.11661996492051484</v>
      </c>
      <c r="B10" s="2">
        <v>9.1647055704632982E-2</v>
      </c>
      <c r="C10" s="5">
        <f t="shared" si="0"/>
        <v>-1.2486454607940928E-2</v>
      </c>
      <c r="F10" s="12"/>
    </row>
    <row r="11" spans="1:10" x14ac:dyDescent="0.35">
      <c r="A11" s="2">
        <v>0.15717798849365627</v>
      </c>
      <c r="B11" s="2">
        <v>-0.11990764901781735</v>
      </c>
      <c r="C11" s="5">
        <f t="shared" si="0"/>
        <v>1.8635169737919462E-2</v>
      </c>
    </row>
    <row r="12" spans="1:10" x14ac:dyDescent="0.35">
      <c r="A12" s="2">
        <v>-5.0087874487648995E-2</v>
      </c>
      <c r="B12" s="2">
        <v>-6.8545896744164919E-2</v>
      </c>
      <c r="C12" s="5">
        <f t="shared" si="0"/>
        <v>-5.9316885615906957E-2</v>
      </c>
    </row>
    <row r="13" spans="1:10" x14ac:dyDescent="0.35">
      <c r="A13" s="2">
        <v>6.6650978531436478E-3</v>
      </c>
      <c r="B13" s="2">
        <v>0.16792602336281709</v>
      </c>
      <c r="C13" s="5">
        <f t="shared" si="0"/>
        <v>8.7295560607980369E-2</v>
      </c>
    </row>
    <row r="14" spans="1:10" x14ac:dyDescent="0.35">
      <c r="A14" s="2">
        <v>-1.6255666016206524E-2</v>
      </c>
      <c r="B14" s="2">
        <v>0.12844368359174077</v>
      </c>
      <c r="C14" s="5">
        <f t="shared" si="0"/>
        <v>5.6094008787767123E-2</v>
      </c>
    </row>
    <row r="15" spans="1:10" x14ac:dyDescent="0.35">
      <c r="A15" s="2">
        <v>9.315397756832966E-2</v>
      </c>
      <c r="B15" s="2">
        <v>6.1287650341625421E-3</v>
      </c>
      <c r="C15" s="5">
        <f t="shared" si="0"/>
        <v>4.9641371301246101E-2</v>
      </c>
    </row>
    <row r="16" spans="1:10" x14ac:dyDescent="0.35">
      <c r="A16" s="2">
        <v>-0.10194511976328761</v>
      </c>
      <c r="B16" s="2">
        <v>2.7969100471071793E-2</v>
      </c>
      <c r="C16" s="5">
        <f t="shared" si="0"/>
        <v>-3.6988009646107912E-2</v>
      </c>
    </row>
    <row r="17" spans="1:3" x14ac:dyDescent="0.35">
      <c r="A17" s="2">
        <v>0.10244828789765893</v>
      </c>
      <c r="B17" s="2">
        <v>5.6970082738829454E-2</v>
      </c>
      <c r="C17" s="5">
        <f t="shared" si="0"/>
        <v>7.9709185318244197E-2</v>
      </c>
    </row>
    <row r="18" spans="1:3" x14ac:dyDescent="0.35">
      <c r="A18" s="2">
        <v>-1.7213075839011327E-2</v>
      </c>
      <c r="B18" s="2">
        <v>3.1947192121981979E-2</v>
      </c>
      <c r="C18" s="5">
        <f t="shared" si="0"/>
        <v>7.3670581414853262E-3</v>
      </c>
    </row>
    <row r="19" spans="1:3" x14ac:dyDescent="0.35">
      <c r="A19" s="2">
        <v>2.5606163274402401E-2</v>
      </c>
      <c r="B19" s="2">
        <v>0.18774882874517268</v>
      </c>
      <c r="C19" s="5">
        <f t="shared" si="0"/>
        <v>0.10667749600978754</v>
      </c>
    </row>
    <row r="20" spans="1:3" x14ac:dyDescent="0.35">
      <c r="A20" s="2">
        <v>-4.7738442834001346E-2</v>
      </c>
      <c r="B20" s="2">
        <v>6.2789142580453663E-3</v>
      </c>
      <c r="C20" s="5">
        <f t="shared" si="0"/>
        <v>-2.072976428797799E-2</v>
      </c>
    </row>
    <row r="21" spans="1:3" x14ac:dyDescent="0.35">
      <c r="A21" s="2">
        <v>2.4048135521843685E-2</v>
      </c>
      <c r="B21" s="2">
        <v>3.1579617200935342E-2</v>
      </c>
      <c r="C21" s="5">
        <f t="shared" si="0"/>
        <v>2.7813876361389513E-2</v>
      </c>
    </row>
    <row r="22" spans="1:3" x14ac:dyDescent="0.35">
      <c r="A22" s="2">
        <v>-5.4097204620998762E-2</v>
      </c>
      <c r="B22" s="2">
        <v>5.8449131165585533E-2</v>
      </c>
      <c r="C22" s="5">
        <f t="shared" si="0"/>
        <v>2.1759632722933853E-3</v>
      </c>
    </row>
    <row r="23" spans="1:3" x14ac:dyDescent="0.35">
      <c r="A23" s="2">
        <v>0.17957157347238928</v>
      </c>
      <c r="B23" s="2">
        <v>6.0404932278385177E-2</v>
      </c>
      <c r="C23" s="5">
        <f t="shared" si="0"/>
        <v>0.11998825287538722</v>
      </c>
    </row>
    <row r="24" spans="1:3" x14ac:dyDescent="0.35">
      <c r="A24" s="2">
        <v>0.27352723755525449</v>
      </c>
      <c r="B24" s="2">
        <v>5.6835057355543478E-2</v>
      </c>
      <c r="C24" s="5">
        <f t="shared" si="0"/>
        <v>0.16518114745539897</v>
      </c>
    </row>
    <row r="25" spans="1:3" x14ac:dyDescent="0.35">
      <c r="A25" s="2">
        <v>0.17699824211226983</v>
      </c>
      <c r="B25" s="2">
        <v>0.16681809965843097</v>
      </c>
      <c r="C25" s="5">
        <f t="shared" si="0"/>
        <v>0.1719081708853504</v>
      </c>
    </row>
    <row r="26" spans="1:3" x14ac:dyDescent="0.35">
      <c r="A26" s="2">
        <v>0.11254464049093399</v>
      </c>
      <c r="B26" s="2">
        <v>0.12386635328825622</v>
      </c>
      <c r="C26" s="5">
        <f t="shared" si="0"/>
        <v>0.11820549688959511</v>
      </c>
    </row>
    <row r="27" spans="1:3" x14ac:dyDescent="0.35">
      <c r="A27" s="2">
        <v>0.14466276957955876</v>
      </c>
      <c r="B27" s="2">
        <v>0.17819120326960819</v>
      </c>
      <c r="C27" s="5">
        <f t="shared" si="0"/>
        <v>0.16142698642458347</v>
      </c>
    </row>
    <row r="28" spans="1:3" x14ac:dyDescent="0.35">
      <c r="A28" s="2">
        <v>6.8466243891912068E-2</v>
      </c>
      <c r="B28" s="2">
        <v>0.15964512797907143</v>
      </c>
      <c r="C28" s="5">
        <f t="shared" si="0"/>
        <v>0.11405568593549176</v>
      </c>
    </row>
    <row r="29" spans="1:3" x14ac:dyDescent="0.35">
      <c r="A29" s="2">
        <v>8.7846115185511733E-2</v>
      </c>
      <c r="B29" s="2">
        <v>-7.3850848040025688E-2</v>
      </c>
      <c r="C29" s="5">
        <f t="shared" si="0"/>
        <v>6.9976335727430228E-3</v>
      </c>
    </row>
    <row r="30" spans="1:3" x14ac:dyDescent="0.35">
      <c r="A30" s="2">
        <v>-5.0524423831406526E-2</v>
      </c>
      <c r="B30" s="2">
        <v>2.5642515674570498E-2</v>
      </c>
      <c r="C30" s="5">
        <f t="shared" si="0"/>
        <v>-1.2440954078418014E-2</v>
      </c>
    </row>
    <row r="31" spans="1:3" x14ac:dyDescent="0.35">
      <c r="A31" s="2">
        <v>6.8432232197297549E-2</v>
      </c>
      <c r="B31" s="2">
        <v>0.14888089086657919</v>
      </c>
      <c r="C31" s="5">
        <f t="shared" si="0"/>
        <v>0.10865656153193837</v>
      </c>
    </row>
    <row r="32" spans="1:3" x14ac:dyDescent="0.35">
      <c r="A32" s="2">
        <v>-1.1209140359046979E-2</v>
      </c>
      <c r="B32" s="2">
        <v>0.11444365610048768</v>
      </c>
      <c r="C32" s="5">
        <f t="shared" si="0"/>
        <v>5.161725787072035E-2</v>
      </c>
    </row>
    <row r="33" spans="1:3" x14ac:dyDescent="0.35">
      <c r="A33" s="2">
        <v>9.4760100653430643E-3</v>
      </c>
      <c r="B33" s="2">
        <v>3.8098698035316139E-2</v>
      </c>
      <c r="C33" s="5">
        <f t="shared" si="0"/>
        <v>2.3787354050329602E-2</v>
      </c>
    </row>
    <row r="34" spans="1:3" x14ac:dyDescent="0.35">
      <c r="A34" s="2">
        <v>0.10809584960455093</v>
      </c>
      <c r="B34" s="2">
        <v>0.15296918004230375</v>
      </c>
      <c r="C34" s="5">
        <f t="shared" si="0"/>
        <v>0.13053251482342734</v>
      </c>
    </row>
    <row r="35" spans="1:3" x14ac:dyDescent="0.35">
      <c r="A35" s="2">
        <v>3.0122834606834244E-2</v>
      </c>
      <c r="B35" s="2">
        <v>3.5707095204015653E-2</v>
      </c>
      <c r="C35" s="5">
        <f t="shared" si="0"/>
        <v>3.2914964905424948E-2</v>
      </c>
    </row>
    <row r="36" spans="1:3" x14ac:dyDescent="0.35">
      <c r="A36" s="2">
        <v>4.2453079721517996E-2</v>
      </c>
      <c r="B36" s="2">
        <v>1.8578901711807691E-2</v>
      </c>
      <c r="C36" s="5">
        <f t="shared" si="0"/>
        <v>3.0515990716662843E-2</v>
      </c>
    </row>
    <row r="37" spans="1:3" x14ac:dyDescent="0.35">
      <c r="A37" s="2">
        <v>0.1290282584112922</v>
      </c>
      <c r="B37" s="2">
        <v>-6.640849485198129E-2</v>
      </c>
      <c r="C37" s="5">
        <f t="shared" si="0"/>
        <v>3.1309881779655456E-2</v>
      </c>
    </row>
    <row r="38" spans="1:3" x14ac:dyDescent="0.35">
      <c r="A38" s="2">
        <v>4.2487145666711981E-2</v>
      </c>
      <c r="B38" s="2">
        <v>0.13026198916297399</v>
      </c>
      <c r="C38" s="5">
        <f t="shared" si="0"/>
        <v>8.6374567414842979E-2</v>
      </c>
    </row>
    <row r="39" spans="1:3" x14ac:dyDescent="0.35">
      <c r="A39" s="2">
        <v>0.11109992764850472</v>
      </c>
      <c r="B39" s="2">
        <v>0.17061260714926466</v>
      </c>
      <c r="C39" s="5">
        <f t="shared" si="0"/>
        <v>0.14085626739888468</v>
      </c>
    </row>
    <row r="40" spans="1:3" x14ac:dyDescent="0.35">
      <c r="A40" s="2">
        <v>1.1180001969604433E-2</v>
      </c>
      <c r="B40" s="2">
        <v>0.15168669578598573</v>
      </c>
      <c r="C40" s="5">
        <f t="shared" si="0"/>
        <v>8.1433348877795075E-2</v>
      </c>
    </row>
    <row r="41" spans="1:3" x14ac:dyDescent="0.35">
      <c r="A41" s="2">
        <v>-0.19607908319238532</v>
      </c>
      <c r="B41" s="2">
        <v>-6.4771939855301289E-3</v>
      </c>
      <c r="C41" s="5">
        <f t="shared" si="0"/>
        <v>-0.10127813858895772</v>
      </c>
    </row>
    <row r="42" spans="1:3" x14ac:dyDescent="0.35">
      <c r="A42" s="2">
        <v>-0.12275365094766803</v>
      </c>
      <c r="B42" s="2">
        <v>-8.2765280734960742E-2</v>
      </c>
      <c r="C42" s="5">
        <f t="shared" si="0"/>
        <v>-0.10275946584131439</v>
      </c>
    </row>
    <row r="43" spans="1:3" x14ac:dyDescent="0.35">
      <c r="A43" s="2">
        <v>-0.19209260470115169</v>
      </c>
      <c r="B43" s="2">
        <v>-4.8967088050164503E-2</v>
      </c>
      <c r="C43" s="5">
        <f t="shared" si="0"/>
        <v>-0.1205298463756581</v>
      </c>
    </row>
    <row r="44" spans="1:3" x14ac:dyDescent="0.35">
      <c r="A44" s="2">
        <v>-9.2646528569527972E-2</v>
      </c>
      <c r="B44" s="2">
        <v>-0.12753903907013386</v>
      </c>
      <c r="C44" s="5">
        <f t="shared" si="0"/>
        <v>-0.11009278381983092</v>
      </c>
    </row>
    <row r="45" spans="1:3" x14ac:dyDescent="0.35">
      <c r="A45" s="2">
        <v>8.4384700327198317E-2</v>
      </c>
      <c r="B45" s="2">
        <v>6.1823205128094132E-2</v>
      </c>
      <c r="C45" s="5">
        <f t="shared" si="0"/>
        <v>7.3103952727646221E-2</v>
      </c>
    </row>
    <row r="46" spans="1:3" x14ac:dyDescent="0.35">
      <c r="A46" s="2">
        <v>2.6210189430036571E-3</v>
      </c>
      <c r="B46" s="2">
        <v>8.878724308801475E-3</v>
      </c>
      <c r="C46" s="5">
        <f t="shared" si="0"/>
        <v>5.749871625902566E-3</v>
      </c>
    </row>
    <row r="47" spans="1:3" x14ac:dyDescent="0.35">
      <c r="A47" s="2">
        <v>-3.4581408633196087E-2</v>
      </c>
      <c r="B47" s="2">
        <v>1.3726438403531049E-2</v>
      </c>
      <c r="C47" s="5">
        <f t="shared" si="0"/>
        <v>-1.0427485114832519E-2</v>
      </c>
    </row>
    <row r="48" spans="1:3" x14ac:dyDescent="0.35">
      <c r="A48" s="2">
        <v>0.12498448090460214</v>
      </c>
      <c r="B48" s="2">
        <v>-4.5343038199087513E-2</v>
      </c>
      <c r="C48" s="5">
        <f t="shared" si="0"/>
        <v>3.9820721352757313E-2</v>
      </c>
    </row>
    <row r="49" spans="1:3" x14ac:dyDescent="0.35">
      <c r="A49" s="2">
        <v>-3.4655833157839558E-2</v>
      </c>
      <c r="B49" s="2">
        <v>6.588459970691643E-2</v>
      </c>
      <c r="C49" s="5">
        <f t="shared" si="0"/>
        <v>1.5614383274538436E-2</v>
      </c>
    </row>
    <row r="50" spans="1:3" x14ac:dyDescent="0.35">
      <c r="A50" s="2">
        <v>0.10038770326211835</v>
      </c>
      <c r="B50" s="2">
        <v>0.16886013863741711</v>
      </c>
      <c r="C50" s="5">
        <f t="shared" si="0"/>
        <v>0.13462392094976772</v>
      </c>
    </row>
    <row r="51" spans="1:3" x14ac:dyDescent="0.35">
      <c r="A51" s="2">
        <v>-3.18116170454769E-2</v>
      </c>
      <c r="B51" s="2">
        <v>1.7674343010958098E-2</v>
      </c>
      <c r="C51" s="5">
        <f t="shared" si="0"/>
        <v>-7.0686370172594014E-3</v>
      </c>
    </row>
    <row r="52" spans="1:3" x14ac:dyDescent="0.35">
      <c r="A52" s="2">
        <v>7.1506313796073334E-2</v>
      </c>
      <c r="B52" s="2">
        <v>-0.20173342051695986</v>
      </c>
      <c r="C52" s="5">
        <f t="shared" si="0"/>
        <v>-6.5113553360443263E-2</v>
      </c>
    </row>
    <row r="53" spans="1:3" x14ac:dyDescent="0.35">
      <c r="A53" s="2">
        <v>0.1128242105926042</v>
      </c>
      <c r="B53" s="2">
        <v>6.1589275297615723E-2</v>
      </c>
      <c r="C53" s="5">
        <f t="shared" si="0"/>
        <v>8.7206742945109966E-2</v>
      </c>
    </row>
    <row r="54" spans="1:3" x14ac:dyDescent="0.35">
      <c r="A54" s="2">
        <v>5.3050199913118823E-2</v>
      </c>
      <c r="B54" s="2">
        <v>0.23710841827752505</v>
      </c>
      <c r="C54" s="5">
        <f t="shared" si="0"/>
        <v>0.14507930909532193</v>
      </c>
    </row>
    <row r="55" spans="1:3" x14ac:dyDescent="0.35">
      <c r="A55" s="2">
        <v>6.3199477295152046E-3</v>
      </c>
      <c r="B55" s="2">
        <v>-9.6872676740192981E-3</v>
      </c>
      <c r="C55" s="5">
        <f t="shared" si="0"/>
        <v>-1.6836599722520468E-3</v>
      </c>
    </row>
    <row r="56" spans="1:3" x14ac:dyDescent="0.35">
      <c r="A56" s="2">
        <v>-2.5837613401604898E-2</v>
      </c>
      <c r="B56" s="2">
        <v>0.10576573755114838</v>
      </c>
      <c r="C56" s="5">
        <f t="shared" si="0"/>
        <v>3.9964062074771739E-2</v>
      </c>
    </row>
    <row r="57" spans="1:3" x14ac:dyDescent="0.35">
      <c r="A57" s="2">
        <v>-5.4950764383599887E-3</v>
      </c>
      <c r="B57" s="2">
        <v>-1.4263685583172078E-2</v>
      </c>
      <c r="C57" s="5">
        <f t="shared" si="0"/>
        <v>-9.8793810107660335E-3</v>
      </c>
    </row>
    <row r="58" spans="1:3" x14ac:dyDescent="0.35">
      <c r="A58" s="2">
        <v>-3.673569355480788E-2</v>
      </c>
      <c r="B58" s="2">
        <v>3.6428429788618127E-2</v>
      </c>
      <c r="C58" s="5">
        <f t="shared" si="0"/>
        <v>-1.536318830948763E-4</v>
      </c>
    </row>
    <row r="59" spans="1:3" x14ac:dyDescent="0.35">
      <c r="A59" s="2">
        <v>3.0311199406365934E-2</v>
      </c>
      <c r="B59" s="2">
        <v>-0.14174350784835926</v>
      </c>
      <c r="C59" s="5">
        <f t="shared" si="0"/>
        <v>-5.5716154220996662E-2</v>
      </c>
    </row>
    <row r="60" spans="1:3" x14ac:dyDescent="0.35">
      <c r="A60" s="2">
        <v>6.1317352145589789E-2</v>
      </c>
      <c r="B60" s="2">
        <v>9.2693519397586133E-3</v>
      </c>
      <c r="C60" s="5">
        <f t="shared" si="0"/>
        <v>3.5293352042674198E-2</v>
      </c>
    </row>
    <row r="61" spans="1:3" x14ac:dyDescent="0.35">
      <c r="A61" s="2">
        <v>0.18628826498112327</v>
      </c>
      <c r="B61" s="2">
        <v>3.2664929155690511E-2</v>
      </c>
      <c r="C61" s="5">
        <f t="shared" si="0"/>
        <v>0.1094765970684069</v>
      </c>
    </row>
    <row r="62" spans="1:3" x14ac:dyDescent="0.35">
      <c r="A62" s="2">
        <v>0.28523716580211605</v>
      </c>
      <c r="B62" s="2">
        <v>1.2509298321493306E-2</v>
      </c>
      <c r="C62" s="5">
        <f t="shared" si="0"/>
        <v>0.14887323206180469</v>
      </c>
    </row>
    <row r="63" spans="1:3" x14ac:dyDescent="0.35">
      <c r="A63" s="2">
        <v>0.15647712176033651</v>
      </c>
      <c r="B63" s="2">
        <v>-6.7967028346875291E-2</v>
      </c>
      <c r="C63" s="5">
        <f t="shared" si="0"/>
        <v>4.4255046706730611E-2</v>
      </c>
    </row>
    <row r="64" spans="1:3" x14ac:dyDescent="0.35">
      <c r="A64" s="2">
        <v>5.4050843864164241E-2</v>
      </c>
      <c r="B64" s="2">
        <v>0.24338040529255045</v>
      </c>
      <c r="C64" s="5">
        <f t="shared" si="0"/>
        <v>0.14871562457835735</v>
      </c>
    </row>
    <row r="65" spans="1:3" x14ac:dyDescent="0.35">
      <c r="A65" s="2">
        <v>-5.4558134606031969E-2</v>
      </c>
      <c r="B65" s="2">
        <v>2.1518166187760715E-2</v>
      </c>
      <c r="C65" s="5">
        <f t="shared" si="0"/>
        <v>-1.6519984209135627E-2</v>
      </c>
    </row>
    <row r="66" spans="1:3" x14ac:dyDescent="0.35">
      <c r="A66" s="2">
        <v>-8.2301222331320603E-2</v>
      </c>
      <c r="B66" s="2">
        <v>3.1098904555390612E-2</v>
      </c>
      <c r="C66" s="5">
        <f t="shared" si="0"/>
        <v>-2.5601158887964996E-2</v>
      </c>
    </row>
    <row r="67" spans="1:3" x14ac:dyDescent="0.35">
      <c r="A67" s="2">
        <v>8.7217816826535788E-2</v>
      </c>
      <c r="B67" s="2">
        <v>4.7501399679363156E-2</v>
      </c>
      <c r="C67" s="5">
        <f t="shared" ref="C67:C101" si="1">$F$4*A67+$G$4*B67</f>
        <v>6.7359608252949468E-2</v>
      </c>
    </row>
    <row r="68" spans="1:3" x14ac:dyDescent="0.35">
      <c r="A68" s="2">
        <v>0.10040119671516179</v>
      </c>
      <c r="B68" s="2">
        <v>-0.13066850493496984</v>
      </c>
      <c r="C68" s="5">
        <f t="shared" si="1"/>
        <v>-1.5133654109904027E-2</v>
      </c>
    </row>
    <row r="69" spans="1:3" x14ac:dyDescent="0.35">
      <c r="A69" s="2">
        <v>0.10444621212620836</v>
      </c>
      <c r="B69" s="2">
        <v>0.14307169039167517</v>
      </c>
      <c r="C69" s="5">
        <f t="shared" si="1"/>
        <v>0.12375895125894176</v>
      </c>
    </row>
    <row r="70" spans="1:3" x14ac:dyDescent="0.35">
      <c r="A70" s="2">
        <v>0.21861608968366669</v>
      </c>
      <c r="B70" s="2">
        <v>0.18433464977203878</v>
      </c>
      <c r="C70" s="5">
        <f t="shared" si="1"/>
        <v>0.20147536972785274</v>
      </c>
    </row>
    <row r="71" spans="1:3" x14ac:dyDescent="0.35">
      <c r="A71" s="2">
        <v>0.20896602937019176</v>
      </c>
      <c r="B71" s="2">
        <v>0.22119853115332611</v>
      </c>
      <c r="C71" s="5">
        <f t="shared" si="1"/>
        <v>0.21508228026175893</v>
      </c>
    </row>
    <row r="72" spans="1:3" x14ac:dyDescent="0.35">
      <c r="A72" s="2">
        <v>0.2472063642959787</v>
      </c>
      <c r="B72" s="2">
        <v>0.18975175118405174</v>
      </c>
      <c r="C72" s="5">
        <f t="shared" si="1"/>
        <v>0.21847905774001522</v>
      </c>
    </row>
    <row r="73" spans="1:3" x14ac:dyDescent="0.35">
      <c r="A73" s="2">
        <v>-4.97736592052304E-2</v>
      </c>
      <c r="B73" s="2">
        <v>-1.92817166588755E-2</v>
      </c>
      <c r="C73" s="5">
        <f t="shared" si="1"/>
        <v>-3.452768793205295E-2</v>
      </c>
    </row>
    <row r="74" spans="1:3" x14ac:dyDescent="0.35">
      <c r="A74" s="2">
        <v>-0.10211448381715275</v>
      </c>
      <c r="B74" s="2">
        <v>-0.15780916867980632</v>
      </c>
      <c r="C74" s="5">
        <f t="shared" si="1"/>
        <v>-0.12996182624847955</v>
      </c>
    </row>
    <row r="75" spans="1:3" x14ac:dyDescent="0.35">
      <c r="A75" s="2">
        <v>-0.11468003990424151</v>
      </c>
      <c r="B75" s="2">
        <v>9.4892625051661711E-2</v>
      </c>
      <c r="C75" s="5">
        <f t="shared" si="1"/>
        <v>-9.8937074262899008E-3</v>
      </c>
    </row>
    <row r="76" spans="1:3" x14ac:dyDescent="0.35">
      <c r="A76" s="2">
        <v>-1.6581112523553265E-2</v>
      </c>
      <c r="B76" s="2">
        <v>1.7112629403727042E-2</v>
      </c>
      <c r="C76" s="5">
        <f t="shared" si="1"/>
        <v>2.6575844008688843E-4</v>
      </c>
    </row>
    <row r="77" spans="1:3" x14ac:dyDescent="0.35">
      <c r="A77" s="2">
        <v>0.1529851707722733</v>
      </c>
      <c r="B77" s="2">
        <v>8.252793543484406E-2</v>
      </c>
      <c r="C77" s="5">
        <f t="shared" si="1"/>
        <v>0.11775655310355868</v>
      </c>
    </row>
    <row r="78" spans="1:3" x14ac:dyDescent="0.35">
      <c r="A78" s="2">
        <v>0.10673801829177093</v>
      </c>
      <c r="B78" s="2">
        <v>7.4015880686357713E-2</v>
      </c>
      <c r="C78" s="5">
        <f t="shared" si="1"/>
        <v>9.0376949489064329E-2</v>
      </c>
    </row>
    <row r="79" spans="1:3" x14ac:dyDescent="0.35">
      <c r="A79" s="2">
        <v>7.4542202374188085E-2</v>
      </c>
      <c r="B79" s="2">
        <v>8.5716261080661493E-2</v>
      </c>
      <c r="C79" s="5">
        <f t="shared" si="1"/>
        <v>8.0129231727424782E-2</v>
      </c>
    </row>
    <row r="80" spans="1:3" x14ac:dyDescent="0.35">
      <c r="A80" s="2">
        <v>0.18557973895752083</v>
      </c>
      <c r="B80" s="2">
        <v>0.28573184070838165</v>
      </c>
      <c r="C80" s="5">
        <f t="shared" si="1"/>
        <v>0.23565578983295124</v>
      </c>
    </row>
    <row r="81" spans="1:3" x14ac:dyDescent="0.35">
      <c r="A81" s="2">
        <v>3.7714085786649143E-2</v>
      </c>
      <c r="B81" s="2">
        <v>8.0703796424913044E-2</v>
      </c>
      <c r="C81" s="5">
        <f t="shared" si="1"/>
        <v>5.9208941105781093E-2</v>
      </c>
    </row>
    <row r="82" spans="1:3" x14ac:dyDescent="0.35">
      <c r="A82" s="2">
        <v>-4.2136063427542267E-2</v>
      </c>
      <c r="B82" s="2">
        <v>-0.10811699859369932</v>
      </c>
      <c r="C82" s="5">
        <f t="shared" si="1"/>
        <v>-7.5126531010620792E-2</v>
      </c>
    </row>
    <row r="83" spans="1:3" x14ac:dyDescent="0.35">
      <c r="A83" s="2">
        <v>6.6090114199244654E-2</v>
      </c>
      <c r="B83" s="2">
        <v>0.13821528890919316</v>
      </c>
      <c r="C83" s="5">
        <f t="shared" si="1"/>
        <v>0.10215270155421891</v>
      </c>
    </row>
    <row r="84" spans="1:3" x14ac:dyDescent="0.35">
      <c r="A84" s="2">
        <v>0.21004218790623325</v>
      </c>
      <c r="B84" s="2">
        <v>4.728613284681403E-2</v>
      </c>
      <c r="C84" s="5">
        <f t="shared" si="1"/>
        <v>0.12866416037652365</v>
      </c>
    </row>
    <row r="85" spans="1:3" x14ac:dyDescent="0.35">
      <c r="A85" s="2">
        <v>0.10695421996579869</v>
      </c>
      <c r="B85" s="2">
        <v>0.16416912400709072</v>
      </c>
      <c r="C85" s="5">
        <f t="shared" si="1"/>
        <v>0.1355616719864447</v>
      </c>
    </row>
    <row r="86" spans="1:3" x14ac:dyDescent="0.35">
      <c r="A86" s="2">
        <v>0.14036792106492341</v>
      </c>
      <c r="B86" s="2">
        <v>9.934587153046108E-2</v>
      </c>
      <c r="C86" s="5">
        <f t="shared" si="1"/>
        <v>0.11985689629769225</v>
      </c>
    </row>
    <row r="87" spans="1:3" x14ac:dyDescent="0.35">
      <c r="A87" s="2">
        <v>8.7314196800559976E-2</v>
      </c>
      <c r="B87" s="2">
        <v>3.6415183032383613E-2</v>
      </c>
      <c r="C87" s="5">
        <f t="shared" si="1"/>
        <v>6.1864689916471795E-2</v>
      </c>
    </row>
    <row r="88" spans="1:3" x14ac:dyDescent="0.35">
      <c r="A88" s="2">
        <v>0.13682370167962327</v>
      </c>
      <c r="B88" s="2">
        <v>0.21075679183300389</v>
      </c>
      <c r="C88" s="5">
        <f t="shared" si="1"/>
        <v>0.17379024675631358</v>
      </c>
    </row>
    <row r="89" spans="1:3" x14ac:dyDescent="0.35">
      <c r="A89" s="2">
        <v>7.2771665576228245E-3</v>
      </c>
      <c r="B89" s="2">
        <v>5.9801073307343862E-2</v>
      </c>
      <c r="C89" s="5">
        <f t="shared" si="1"/>
        <v>3.3539119932483347E-2</v>
      </c>
    </row>
    <row r="90" spans="1:3" x14ac:dyDescent="0.35">
      <c r="A90" s="2">
        <v>-5.20456861550916E-2</v>
      </c>
      <c r="B90" s="2">
        <v>-8.5862578780167217E-2</v>
      </c>
      <c r="C90" s="5">
        <f t="shared" si="1"/>
        <v>-6.8954132467629409E-2</v>
      </c>
    </row>
    <row r="91" spans="1:3" x14ac:dyDescent="0.35">
      <c r="A91" s="2">
        <v>0.18269416074419187</v>
      </c>
      <c r="B91" s="2">
        <v>-0.1066658976401053</v>
      </c>
      <c r="C91" s="5">
        <f t="shared" si="1"/>
        <v>3.8014131552043286E-2</v>
      </c>
    </row>
    <row r="92" spans="1:3" x14ac:dyDescent="0.35">
      <c r="A92" s="2">
        <v>4.0208531594506831E-2</v>
      </c>
      <c r="B92" s="2">
        <v>7.6778522490231843E-2</v>
      </c>
      <c r="C92" s="5">
        <f t="shared" si="1"/>
        <v>5.8493527042369334E-2</v>
      </c>
    </row>
    <row r="93" spans="1:3" x14ac:dyDescent="0.35">
      <c r="A93" s="2">
        <v>2.2504245209180859E-2</v>
      </c>
      <c r="B93" s="2">
        <v>-1.9346443331845348E-2</v>
      </c>
      <c r="C93" s="5">
        <f t="shared" si="1"/>
        <v>1.5789009386677558E-3</v>
      </c>
    </row>
    <row r="94" spans="1:3" x14ac:dyDescent="0.35">
      <c r="A94" s="2">
        <v>-3.773496289647181E-2</v>
      </c>
      <c r="B94" s="2">
        <v>6.3788493736042728E-2</v>
      </c>
      <c r="C94" s="5">
        <f t="shared" si="1"/>
        <v>1.3026765419785459E-2</v>
      </c>
    </row>
    <row r="95" spans="1:3" x14ac:dyDescent="0.35">
      <c r="A95" s="2">
        <v>0.17255461744042422</v>
      </c>
      <c r="B95" s="2">
        <v>3.0629254250958401E-2</v>
      </c>
      <c r="C95" s="5">
        <f t="shared" si="1"/>
        <v>0.10159193584569132</v>
      </c>
    </row>
    <row r="96" spans="1:3" x14ac:dyDescent="0.35">
      <c r="A96" s="2">
        <v>-6.8260348134756232E-2</v>
      </c>
      <c r="B96" s="2">
        <v>-8.0948159114515819E-2</v>
      </c>
      <c r="C96" s="5">
        <f t="shared" si="1"/>
        <v>-7.4604253624636019E-2</v>
      </c>
    </row>
    <row r="97" spans="1:3" x14ac:dyDescent="0.35">
      <c r="A97" s="2">
        <v>-9.781488748145252E-2</v>
      </c>
      <c r="B97" s="2">
        <v>-3.9221273702832377E-2</v>
      </c>
      <c r="C97" s="5">
        <f t="shared" si="1"/>
        <v>-6.8518080592142455E-2</v>
      </c>
    </row>
    <row r="98" spans="1:3" x14ac:dyDescent="0.35">
      <c r="A98" s="2">
        <v>0.17648906056141256</v>
      </c>
      <c r="B98" s="2">
        <v>0.17883475032216789</v>
      </c>
      <c r="C98" s="5">
        <f t="shared" si="1"/>
        <v>0.17766190544179022</v>
      </c>
    </row>
    <row r="99" spans="1:3" x14ac:dyDescent="0.35">
      <c r="A99" s="2">
        <v>6.6283526931696188E-2</v>
      </c>
      <c r="B99" s="2">
        <v>-0.13721087152151157</v>
      </c>
      <c r="C99" s="5">
        <f t="shared" si="1"/>
        <v>-3.546367229490769E-2</v>
      </c>
    </row>
    <row r="100" spans="1:3" x14ac:dyDescent="0.35">
      <c r="A100" s="2">
        <v>-5.9124726428359115E-3</v>
      </c>
      <c r="B100" s="2">
        <v>1.4850953795568278E-2</v>
      </c>
      <c r="C100" s="5">
        <f t="shared" si="1"/>
        <v>4.4692405763661833E-3</v>
      </c>
    </row>
    <row r="101" spans="1:3" x14ac:dyDescent="0.35">
      <c r="A101" s="2">
        <v>0.14822909172087678</v>
      </c>
      <c r="B101" s="2">
        <v>2.1345844628335678E-2</v>
      </c>
      <c r="C101" s="5">
        <f t="shared" si="1"/>
        <v>8.4787468174606223E-2</v>
      </c>
    </row>
    <row r="102" spans="1:3" x14ac:dyDescent="0.35">
      <c r="A102"/>
      <c r="B102"/>
      <c r="C102" s="8"/>
    </row>
    <row r="103" spans="1:3" x14ac:dyDescent="0.35">
      <c r="A103"/>
      <c r="B103"/>
      <c r="C103" s="8"/>
    </row>
    <row r="104" spans="1:3" x14ac:dyDescent="0.35">
      <c r="A104"/>
      <c r="B104"/>
      <c r="C104" s="8"/>
    </row>
    <row r="105" spans="1:3" x14ac:dyDescent="0.35">
      <c r="A105"/>
      <c r="B105"/>
      <c r="C105" s="8"/>
    </row>
    <row r="106" spans="1:3" x14ac:dyDescent="0.35">
      <c r="A106"/>
      <c r="B106"/>
      <c r="C106" s="8"/>
    </row>
    <row r="107" spans="1:3" x14ac:dyDescent="0.35">
      <c r="A107"/>
      <c r="B107"/>
      <c r="C107" s="8"/>
    </row>
    <row r="108" spans="1:3" x14ac:dyDescent="0.35">
      <c r="A108"/>
      <c r="B108"/>
      <c r="C108" s="8"/>
    </row>
    <row r="109" spans="1:3" x14ac:dyDescent="0.35">
      <c r="A109"/>
      <c r="B109"/>
      <c r="C109" s="8"/>
    </row>
    <row r="110" spans="1:3" x14ac:dyDescent="0.35">
      <c r="A110"/>
      <c r="B110"/>
      <c r="C110" s="8"/>
    </row>
    <row r="111" spans="1:3" x14ac:dyDescent="0.35">
      <c r="A111"/>
      <c r="B111"/>
      <c r="C111" s="8"/>
    </row>
    <row r="112" spans="1:3" x14ac:dyDescent="0.35">
      <c r="A112"/>
      <c r="B112"/>
      <c r="C112" s="8"/>
    </row>
    <row r="113" spans="1:3" x14ac:dyDescent="0.35">
      <c r="A113"/>
      <c r="B113"/>
      <c r="C113" s="8"/>
    </row>
    <row r="114" spans="1:3" x14ac:dyDescent="0.35">
      <c r="A114"/>
      <c r="B114"/>
      <c r="C114" s="8"/>
    </row>
    <row r="115" spans="1:3" x14ac:dyDescent="0.35">
      <c r="A115"/>
      <c r="B115"/>
      <c r="C115" s="8"/>
    </row>
    <row r="116" spans="1:3" x14ac:dyDescent="0.35">
      <c r="A116"/>
      <c r="B116"/>
      <c r="C116" s="8"/>
    </row>
    <row r="117" spans="1:3" x14ac:dyDescent="0.35">
      <c r="A117"/>
      <c r="B117"/>
      <c r="C117" s="8"/>
    </row>
    <row r="118" spans="1:3" x14ac:dyDescent="0.35">
      <c r="A118"/>
      <c r="B118"/>
      <c r="C118" s="8"/>
    </row>
    <row r="119" spans="1:3" x14ac:dyDescent="0.35">
      <c r="A119"/>
      <c r="B119"/>
      <c r="C119" s="8"/>
    </row>
    <row r="120" spans="1:3" x14ac:dyDescent="0.35">
      <c r="A120"/>
      <c r="B120"/>
      <c r="C120" s="8"/>
    </row>
    <row r="121" spans="1:3" x14ac:dyDescent="0.35">
      <c r="A121"/>
      <c r="B121"/>
      <c r="C12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 Asset Portfolio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Philip Howard</cp:lastModifiedBy>
  <dcterms:created xsi:type="dcterms:W3CDTF">2017-09-10T03:06:04Z</dcterms:created>
  <dcterms:modified xsi:type="dcterms:W3CDTF">2019-01-15T02:06:03Z</dcterms:modified>
</cp:coreProperties>
</file>