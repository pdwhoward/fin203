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A03EE8A-8AA2-4C26-A93D-6C8A0784E5D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Risk Analysis" sheetId="2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7" i="2" l="1"/>
  <c r="B24" i="2"/>
  <c r="B21" i="2"/>
  <c r="B20" i="2"/>
  <c r="C15" i="2"/>
  <c r="C12" i="2"/>
  <c r="C10" i="2"/>
  <c r="C9" i="2"/>
  <c r="B6" i="2"/>
  <c r="B4" i="2"/>
  <c r="C21" i="2"/>
  <c r="C20" i="2"/>
  <c r="C13" i="2" l="1"/>
  <c r="B7" i="2"/>
  <c r="B5" i="2"/>
  <c r="B28" i="2"/>
  <c r="B30" i="2"/>
  <c r="B29" i="2"/>
  <c r="C16" i="2" l="1"/>
  <c r="C17" i="2" s="1"/>
  <c r="D12" i="2"/>
  <c r="D10" i="2"/>
  <c r="D15" i="2"/>
  <c r="D16" i="2"/>
  <c r="C5" i="2"/>
  <c r="C7" i="2"/>
  <c r="C6" i="2"/>
  <c r="D9" i="2"/>
  <c r="D17" i="2"/>
  <c r="C4" i="2"/>
</calcChain>
</file>

<file path=xl/sharedStrings.xml><?xml version="1.0" encoding="utf-8"?>
<sst xmlns="http://schemas.openxmlformats.org/spreadsheetml/2006/main" count="24" uniqueCount="21">
  <si>
    <t>Mean</t>
  </si>
  <si>
    <t>5% VaR</t>
  </si>
  <si>
    <t>95% of returns fall between LB and UB</t>
  </si>
  <si>
    <t>r</t>
  </si>
  <si>
    <t>Expected money</t>
  </si>
  <si>
    <t>Invest</t>
  </si>
  <si>
    <t>95% Returns will fall between</t>
  </si>
  <si>
    <t>?=</t>
  </si>
  <si>
    <t>10%=P(?&lt;x&lt;5)</t>
  </si>
  <si>
    <t>Standard Deviation</t>
  </si>
  <si>
    <t>5% of years will have a loss worst than r</t>
  </si>
  <si>
    <t>7.5%-?=</t>
  </si>
  <si>
    <t>P(r&lt;-5)=</t>
  </si>
  <si>
    <t>P(r&gt;-5)=</t>
  </si>
  <si>
    <t>P(r&lt;5)=</t>
  </si>
  <si>
    <t>P(-5&lt;r&lt;5)=</t>
  </si>
  <si>
    <t>10%=P(7.5-x&lt;r&lt;7.5+x)</t>
  </si>
  <si>
    <t>10%=P(r&gt;?)</t>
  </si>
  <si>
    <t>10%=P(r&lt;?)</t>
  </si>
  <si>
    <t>LB=</t>
  </si>
  <si>
    <t>UB=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</si>
</sst>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0" fontId="0" fillId="0" borderId="0" xfId="0" applyAlignment="1"/>
    <xf numFmtId="0" fontId="4" fillId="0" borderId="0" xfId="3"/>
    <xf numFmtId="0" fontId="4" fillId="0" borderId="0" xfId="3" applyAlignment="1">
      <alignment horizontal="right"/>
    </xf>
    <xf numFmtId="2" fontId="4" fillId="0" borderId="0" xfId="3" applyNumberFormat="1" applyFill="1" applyAlignment="1">
      <alignment horizontal="center"/>
    </xf>
    <xf numFmtId="2" fontId="4" fillId="0" borderId="0" xfId="3" applyNumberFormat="1" applyAlignment="1">
      <alignment horizontal="center"/>
    </xf>
    <xf numFmtId="165" fontId="0" fillId="0" borderId="0" xfId="1" applyNumberFormat="1" applyFont="1" applyFill="1"/>
    <xf numFmtId="165" fontId="0" fillId="2" borderId="0" xfId="1" applyNumberFormat="1" applyFont="1" applyFill="1"/>
    <xf numFmtId="9" fontId="0" fillId="2" borderId="0" xfId="2" applyFont="1" applyFill="1"/>
    <xf numFmtId="2" fontId="4" fillId="2" borderId="0" xfId="3" applyNumberFormat="1" applyFill="1" applyAlignment="1">
      <alignment horizontal="center"/>
    </xf>
    <xf numFmtId="2" fontId="0" fillId="2" borderId="0" xfId="2" applyNumberFormat="1" applyFont="1" applyFill="1"/>
    <xf numFmtId="164" fontId="4" fillId="0" borderId="0" xfId="2" applyNumberFormat="1" applyFont="1"/>
    <xf numFmtId="9" fontId="4" fillId="0" borderId="0" xfId="2" applyNumberFormat="1" applyFont="1"/>
    <xf numFmtId="0" fontId="2" fillId="0" borderId="0" xfId="3" applyFont="1" applyAlignment="1">
      <alignment horizontal="right"/>
    </xf>
    <xf numFmtId="9" fontId="4" fillId="2" borderId="0" xfId="2" applyFont="1" applyFill="1" applyAlignment="1">
      <alignment horizontal="center"/>
    </xf>
    <xf numFmtId="10" fontId="4" fillId="2" borderId="0" xfId="2" applyNumberFormat="1" applyFont="1" applyFill="1" applyAlignment="1">
      <alignment horizontal="center"/>
    </xf>
    <xf numFmtId="0" fontId="1" fillId="0" borderId="0" xfId="3" applyFont="1" applyAlignment="1">
      <alignment horizontal="right"/>
    </xf>
    <xf numFmtId="10" fontId="4" fillId="0" borderId="0" xfId="2" applyNumberFormat="1" applyFont="1" applyFill="1" applyAlignment="1">
      <alignment horizontal="center"/>
    </xf>
    <xf numFmtId="0" fontId="1" fillId="0" borderId="0" xfId="3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6" fontId="0" fillId="2" borderId="0" xfId="1" applyNumberFormat="1" applyFont="1" applyFill="1"/>
    <xf numFmtId="0" fontId="0" fillId="0" borderId="0" xfId="0" quotePrefix="1" applyAlignment="1">
      <alignment horizontal="center"/>
    </xf>
    <xf numFmtId="0" fontId="4" fillId="0" borderId="0" xfId="3" applyAlignment="1">
      <alignment horizontal="left"/>
    </xf>
    <xf numFmtId="0" fontId="0" fillId="0" borderId="0" xfId="0" applyAlignment="1">
      <alignment horizontal="left"/>
    </xf>
  </cellXfs>
  <cellStyles count="4">
    <cellStyle name="Currency" xfId="1" builtinId="4"/>
    <cellStyle name="Normal" xfId="0" builtinId="0"/>
    <cellStyle name="Normal 2" xfId="3" xr:uid="{46A60E5C-ACBC-4506-8080-A61DD89A46E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F529-8AE5-449B-BB0B-FA6BDA9299BE}">
  <dimension ref="A1:D30"/>
  <sheetViews>
    <sheetView tabSelected="1" workbookViewId="0">
      <selection activeCell="A14" sqref="A14"/>
    </sheetView>
  </sheetViews>
  <sheetFormatPr defaultColWidth="6.62890625" defaultRowHeight="15.6" x14ac:dyDescent="0.6"/>
  <cols>
    <col min="1" max="1" width="23.7890625" style="2" bestFit="1" customWidth="1"/>
    <col min="2" max="2" width="7.9453125" style="2" bestFit="1" customWidth="1"/>
    <col min="3" max="3" width="5.89453125" style="2" bestFit="1" customWidth="1"/>
    <col min="4" max="4" width="31.83984375" style="2" bestFit="1" customWidth="1"/>
    <col min="5" max="5" width="25.26171875" style="2" bestFit="1" customWidth="1"/>
    <col min="6" max="6" width="58.1015625" style="2" bestFit="1" customWidth="1"/>
    <col min="7" max="7" width="5.47265625" style="2" bestFit="1" customWidth="1"/>
    <col min="8" max="8" width="6.20703125" style="2" bestFit="1" customWidth="1"/>
    <col min="9" max="9" width="31" style="2" bestFit="1" customWidth="1"/>
    <col min="10" max="10" width="3.89453125" style="2" bestFit="1" customWidth="1"/>
    <col min="11" max="11" width="18.3125" style="2" bestFit="1" customWidth="1"/>
    <col min="12" max="16384" width="6.62890625" style="2"/>
  </cols>
  <sheetData>
    <row r="1" spans="1:4" x14ac:dyDescent="0.6">
      <c r="A1" s="2" t="s">
        <v>0</v>
      </c>
      <c r="B1" s="11">
        <v>7.4999999999999997E-2</v>
      </c>
    </row>
    <row r="2" spans="1:4" x14ac:dyDescent="0.6">
      <c r="A2" s="2" t="s">
        <v>9</v>
      </c>
      <c r="B2" s="12">
        <v>0.15</v>
      </c>
    </row>
    <row r="4" spans="1:4" x14ac:dyDescent="0.6">
      <c r="A4" s="16" t="s">
        <v>12</v>
      </c>
      <c r="B4" s="9">
        <f>_xlfn.NORM.DIST(-0.05,0.075,0.15,TRUE)</f>
        <v>0.20232838096364303</v>
      </c>
      <c r="C4" s="23" t="str">
        <f ca="1">_xlfn.FORMULATEXT(B4)</f>
        <v>=NORM.DIST(-0.05,0.075,0.15,TRUE)</v>
      </c>
      <c r="D4" s="23"/>
    </row>
    <row r="5" spans="1:4" x14ac:dyDescent="0.6">
      <c r="A5" s="16" t="s">
        <v>13</v>
      </c>
      <c r="B5" s="9">
        <f>1-B4</f>
        <v>0.79767161903635697</v>
      </c>
      <c r="C5" s="23" t="str">
        <f ca="1">_xlfn.FORMULATEXT(B5)</f>
        <v>=1-B4</v>
      </c>
      <c r="D5" s="23"/>
    </row>
    <row r="6" spans="1:4" x14ac:dyDescent="0.6">
      <c r="A6" s="16" t="s">
        <v>14</v>
      </c>
      <c r="B6" s="9">
        <f>_xlfn.NORM.DIST(0.05,0.075,0.15,TRUE)</f>
        <v>0.43381616738909634</v>
      </c>
      <c r="C6" s="23" t="str">
        <f ca="1">_xlfn.FORMULATEXT(B6)</f>
        <v>=NORM.DIST(0.05,0.075,0.15,TRUE)</v>
      </c>
      <c r="D6" s="23"/>
    </row>
    <row r="7" spans="1:4" x14ac:dyDescent="0.6">
      <c r="A7" s="16" t="s">
        <v>15</v>
      </c>
      <c r="B7" s="9">
        <f>B6-B4</f>
        <v>0.23148778642545331</v>
      </c>
      <c r="C7" s="23" t="str">
        <f ca="1">_xlfn.FORMULATEXT(B7)</f>
        <v>=B6-B4</v>
      </c>
      <c r="D7" s="23"/>
    </row>
    <row r="9" spans="1:4" x14ac:dyDescent="0.6">
      <c r="A9" s="18" t="s">
        <v>18</v>
      </c>
      <c r="B9" s="3" t="s">
        <v>7</v>
      </c>
      <c r="C9" s="14">
        <f>_xlfn.NORM.INV(0.1,0.075,0.15)</f>
        <v>-0.1172327348316901</v>
      </c>
      <c r="D9" s="2" t="str">
        <f ca="1">_xlfn.FORMULATEXT(C9)</f>
        <v>=NORM.INV(0.1,0.075,0.15)</v>
      </c>
    </row>
    <row r="10" spans="1:4" x14ac:dyDescent="0.6">
      <c r="A10" s="18" t="s">
        <v>17</v>
      </c>
      <c r="B10" s="3" t="s">
        <v>7</v>
      </c>
      <c r="C10" s="14">
        <f>_xlfn.NORM.INV(1-0.1,0.075,0.15)</f>
        <v>0.26723273483169008</v>
      </c>
      <c r="D10" s="2" t="str">
        <f ca="1">_xlfn.FORMULATEXT(C10)</f>
        <v>=NORM.INV(1-0.1,0.075,0.15)</v>
      </c>
    </row>
    <row r="11" spans="1:4" x14ac:dyDescent="0.6">
      <c r="D11" s="5"/>
    </row>
    <row r="12" spans="1:4" x14ac:dyDescent="0.6">
      <c r="A12" s="18" t="s">
        <v>16</v>
      </c>
      <c r="B12" s="13" t="s">
        <v>11</v>
      </c>
      <c r="C12" s="17">
        <f>_xlfn.NORM.INV(0.45,0.075,0.15)</f>
        <v>5.61507979717389E-2</v>
      </c>
      <c r="D12" s="2" t="str">
        <f ca="1">_xlfn.FORMULATEXT(C12)</f>
        <v>=NORM.INV(0.45,0.075,0.15)</v>
      </c>
    </row>
    <row r="13" spans="1:4" x14ac:dyDescent="0.6">
      <c r="B13" s="16" t="s">
        <v>7</v>
      </c>
      <c r="C13" s="15">
        <f>0.075-C12</f>
        <v>1.8849202028261097E-2</v>
      </c>
    </row>
    <row r="14" spans="1:4" x14ac:dyDescent="0.6">
      <c r="D14" s="5"/>
    </row>
    <row r="15" spans="1:4" x14ac:dyDescent="0.6">
      <c r="A15" s="2" t="s">
        <v>8</v>
      </c>
      <c r="C15" s="4">
        <f>_xlfn.NORM.DIST(0.05,0.075,0.15,TRUE)</f>
        <v>0.43381616738909634</v>
      </c>
      <c r="D15" s="2" t="str">
        <f ca="1">_xlfn.FORMULATEXT(C15)</f>
        <v>=NORM.DIST(0.05,0.075,0.15,TRUE)</v>
      </c>
    </row>
    <row r="16" spans="1:4" x14ac:dyDescent="0.6">
      <c r="C16" s="4">
        <f>C15-0.1</f>
        <v>0.33381616738909636</v>
      </c>
      <c r="D16" s="2" t="str">
        <f ca="1">_xlfn.FORMULATEXT(C16)</f>
        <v>=C15-0.1</v>
      </c>
    </row>
    <row r="17" spans="1:4" x14ac:dyDescent="0.6">
      <c r="B17" s="3" t="s">
        <v>7</v>
      </c>
      <c r="C17" s="15">
        <f>_xlfn.NORM.INV(C16,0.075,0.15)</f>
        <v>1.0590037310671388E-2</v>
      </c>
      <c r="D17" s="2" t="str">
        <f ca="1">_xlfn.FORMULATEXT(C17)</f>
        <v>=NORM.INV(C16,0.075,0.15)</v>
      </c>
    </row>
    <row r="19" spans="1:4" x14ac:dyDescent="0.6">
      <c r="A19" s="24" t="s">
        <v>2</v>
      </c>
      <c r="B19" s="24"/>
      <c r="C19" s="24"/>
    </row>
    <row r="20" spans="1:4" x14ac:dyDescent="0.6">
      <c r="A20" s="19" t="s">
        <v>19</v>
      </c>
      <c r="B20" s="10">
        <f>_xlfn.NORM.INV(0.025,0.075,0.15)</f>
        <v>-0.21899459768100804</v>
      </c>
      <c r="C20" s="2" t="str">
        <f ca="1">_xlfn.FORMULATEXT(B20)</f>
        <v>=NORM.INV(0.025,0.075,0.15)</v>
      </c>
    </row>
    <row r="21" spans="1:4" x14ac:dyDescent="0.6">
      <c r="A21" s="20" t="s">
        <v>20</v>
      </c>
      <c r="B21" s="10">
        <f>_xlfn.NORM.INV(0.975,0.075,0.15)</f>
        <v>0.36899459768100806</v>
      </c>
      <c r="C21" s="2" t="str">
        <f ca="1">_xlfn.FORMULATEXT(B21)</f>
        <v>=NORM.INV(0.975,0.075,0.15)</v>
      </c>
    </row>
    <row r="22" spans="1:4" x14ac:dyDescent="0.6">
      <c r="A22" s="1"/>
      <c r="B22"/>
    </row>
    <row r="23" spans="1:4" x14ac:dyDescent="0.6">
      <c r="A23" s="22" t="s">
        <v>10</v>
      </c>
      <c r="B23" s="22"/>
    </row>
    <row r="24" spans="1:4" x14ac:dyDescent="0.6">
      <c r="A24" s="1" t="s">
        <v>3</v>
      </c>
      <c r="B24" s="8">
        <f>_xlfn.NORM.INV(0.05,0.075,0.15)</f>
        <v>-0.17172804404272091</v>
      </c>
    </row>
    <row r="25" spans="1:4" x14ac:dyDescent="0.6">
      <c r="A25" s="1"/>
      <c r="B25"/>
    </row>
    <row r="26" spans="1:4" x14ac:dyDescent="0.6">
      <c r="A26" s="1" t="s">
        <v>5</v>
      </c>
      <c r="B26" s="6">
        <v>100</v>
      </c>
    </row>
    <row r="27" spans="1:4" x14ac:dyDescent="0.6">
      <c r="A27" s="1" t="s">
        <v>4</v>
      </c>
      <c r="B27" s="21">
        <f>B$26*(1+0.075)</f>
        <v>107.5</v>
      </c>
    </row>
    <row r="28" spans="1:4" x14ac:dyDescent="0.6">
      <c r="A28" s="1" t="s">
        <v>6</v>
      </c>
      <c r="B28" s="7">
        <f>B$26*(1+B20)</f>
        <v>78.100540231899203</v>
      </c>
    </row>
    <row r="29" spans="1:4" x14ac:dyDescent="0.6">
      <c r="A29" s="1"/>
      <c r="B29" s="7">
        <f>B$26*(1+B21)</f>
        <v>136.8994597681008</v>
      </c>
    </row>
    <row r="30" spans="1:4" x14ac:dyDescent="0.6">
      <c r="A30" s="1" t="s">
        <v>1</v>
      </c>
      <c r="B30" s="7">
        <f>-B$26*B24</f>
        <v>17.172804404272092</v>
      </c>
    </row>
  </sheetData>
  <mergeCells count="6">
    <mergeCell ref="A23:B23"/>
    <mergeCell ref="C4:D4"/>
    <mergeCell ref="C5:D5"/>
    <mergeCell ref="C6:D6"/>
    <mergeCell ref="C7:D7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2018-09-24T11:13:48Z</dcterms:modified>
</cp:coreProperties>
</file>