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hilip\Dropbox\Courses\Teaching\FIN 203\FIN 203 Fall 2018\1 Empirical Returns\3 Practice\Descriptive Statistics - Analytical\"/>
    </mc:Choice>
  </mc:AlternateContent>
  <xr:revisionPtr revIDLastSave="0" documentId="13_ncr:1_{9870EA6E-111D-40D5-828C-0AA476C6CC75}" xr6:coauthVersionLast="37" xr6:coauthVersionMax="37" xr10:uidLastSave="{00000000-0000-0000-0000-000000000000}"/>
  <bookViews>
    <workbookView xWindow="0" yWindow="0" windowWidth="18000" windowHeight="8232" xr2:uid="{0CBDAA73-B60A-4CDE-9395-0893EB664CB7}"/>
  </bookViews>
  <sheets>
    <sheet name="Analytical" sheetId="5" r:id="rId1"/>
  </sheets>
  <calcPr calcId="1790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C32" i="5" l="1"/>
  <c r="C24" i="5"/>
  <c r="C23" i="5" s="1"/>
  <c r="C22" i="5" s="1"/>
  <c r="C27" i="5" s="1"/>
  <c r="C21" i="5"/>
  <c r="C19" i="5"/>
  <c r="F14" i="5"/>
  <c r="F13" i="5"/>
  <c r="F17" i="5" s="1"/>
  <c r="C6" i="5"/>
  <c r="C7" i="5" s="1"/>
  <c r="C5" i="5"/>
  <c r="C9" i="5" s="1"/>
  <c r="C26" i="5" l="1"/>
  <c r="C28" i="5" s="1"/>
  <c r="C30" i="5"/>
  <c r="C10" i="5"/>
  <c r="C11" i="5" s="1"/>
</calcChain>
</file>

<file path=xl/sharedStrings.xml><?xml version="1.0" encoding="utf-8"?>
<sst xmlns="http://schemas.openxmlformats.org/spreadsheetml/2006/main" count="31" uniqueCount="29">
  <si>
    <t>Rf</t>
  </si>
  <si>
    <t>Sharpe</t>
  </si>
  <si>
    <t>RP</t>
  </si>
  <si>
    <t>Ra</t>
  </si>
  <si>
    <t>sd</t>
  </si>
  <si>
    <t>var</t>
  </si>
  <si>
    <t>Area to left of .10</t>
  </si>
  <si>
    <t>Area to left of .15</t>
  </si>
  <si>
    <t>SharpeA</t>
  </si>
  <si>
    <t>SharpeG</t>
  </si>
  <si>
    <t>RPg</t>
  </si>
  <si>
    <t>sdA</t>
  </si>
  <si>
    <t>sdG</t>
  </si>
  <si>
    <t>corr</t>
  </si>
  <si>
    <t>cov</t>
  </si>
  <si>
    <t>Rp</t>
  </si>
  <si>
    <t>sdP</t>
  </si>
  <si>
    <t>Problem 1</t>
  </si>
  <si>
    <t>Problem 2</t>
  </si>
  <si>
    <t>RPa</t>
  </si>
  <si>
    <t>Problem 3</t>
  </si>
  <si>
    <t>Rg</t>
  </si>
  <si>
    <t>Problem 4</t>
  </si>
  <si>
    <t>varp</t>
  </si>
  <si>
    <t>Prob(x&lt;-5%)</t>
  </si>
  <si>
    <t>Prob(x&lt;6%)</t>
  </si>
  <si>
    <t>Prob(-5%&lt;x&lt;6%)</t>
  </si>
  <si>
    <t>x:Prob(return&lt;x)=80%</t>
  </si>
  <si>
    <t>Problem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</si>
</sst>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00"/>
    <numFmt numFmtId="166" formatCode="0.0%"/>
  </numFmts>
  <fonts count="3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9">
    <xf numFmtId="0" fontId="0" fillId="0" borderId="0" xfId="0"/>
    <xf numFmtId="0" fontId="2" fillId="0" borderId="0" xfId="0" applyFont="1"/>
    <xf numFmtId="9" fontId="2" fillId="0" borderId="0" xfId="1" applyFont="1"/>
    <xf numFmtId="10" fontId="2" fillId="0" borderId="0" xfId="1" applyNumberFormat="1" applyFont="1"/>
    <xf numFmtId="164" fontId="2" fillId="0" borderId="0" xfId="0" applyNumberFormat="1" applyFont="1"/>
    <xf numFmtId="165" fontId="2" fillId="0" borderId="0" xfId="0" applyNumberFormat="1" applyFont="1"/>
    <xf numFmtId="166" fontId="2" fillId="0" borderId="0" xfId="1" applyNumberFormat="1" applyFont="1"/>
    <xf numFmtId="9" fontId="2" fillId="0" borderId="0" xfId="0" applyNumberFormat="1" applyFont="1"/>
    <xf numFmtId="2" fontId="2" fillId="0" borderId="0" xfId="0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0B33DA-0959-4C21-8F32-B7404A4BFC61}">
  <dimension ref="A1:F32"/>
  <sheetViews>
    <sheetView tabSelected="1" topLeftCell="A14" workbookViewId="0">
      <selection activeCell="C32" sqref="C32"/>
    </sheetView>
  </sheetViews>
  <sheetFormatPr defaultColWidth="9" defaultRowHeight="15.6" x14ac:dyDescent="0.3"/>
  <cols>
    <col min="1" max="1" width="9.09765625" style="1" bestFit="1" customWidth="1"/>
    <col min="2" max="2" width="15" style="1" bestFit="1" customWidth="1"/>
    <col min="3" max="3" width="11.796875" style="1" bestFit="1" customWidth="1"/>
    <col min="4" max="16384" width="9" style="1"/>
  </cols>
  <sheetData>
    <row r="1" spans="1:6" x14ac:dyDescent="0.3">
      <c r="A1" s="1" t="s">
        <v>17</v>
      </c>
      <c r="B1" s="1" t="s">
        <v>0</v>
      </c>
      <c r="C1" s="2">
        <v>0.05</v>
      </c>
    </row>
    <row r="2" spans="1:6" x14ac:dyDescent="0.3">
      <c r="B2" s="1" t="s">
        <v>2</v>
      </c>
      <c r="C2" s="2">
        <v>0.03</v>
      </c>
    </row>
    <row r="3" spans="1:6" x14ac:dyDescent="0.3">
      <c r="B3" s="1" t="s">
        <v>1</v>
      </c>
      <c r="C3" s="2">
        <v>0.5</v>
      </c>
    </row>
    <row r="5" spans="1:6" x14ac:dyDescent="0.3">
      <c r="B5" s="1" t="s">
        <v>3</v>
      </c>
      <c r="C5" s="2">
        <f>C1+C2</f>
        <v>0.08</v>
      </c>
    </row>
    <row r="6" spans="1:6" x14ac:dyDescent="0.3">
      <c r="B6" s="1" t="s">
        <v>4</v>
      </c>
      <c r="C6" s="2">
        <f>C2/C3</f>
        <v>0.06</v>
      </c>
    </row>
    <row r="7" spans="1:6" x14ac:dyDescent="0.3">
      <c r="B7" s="1" t="s">
        <v>5</v>
      </c>
      <c r="C7" s="1">
        <f>C6^2</f>
        <v>3.5999999999999999E-3</v>
      </c>
    </row>
    <row r="9" spans="1:6" x14ac:dyDescent="0.3">
      <c r="B9" s="1" t="s">
        <v>6</v>
      </c>
      <c r="C9" s="2">
        <f>_xlfn.NORM.DIST(0.1,C5,C6,TRUE)</f>
        <v>0.63055865981823644</v>
      </c>
    </row>
    <row r="10" spans="1:6" x14ac:dyDescent="0.3">
      <c r="B10" s="1" t="s">
        <v>7</v>
      </c>
      <c r="C10" s="2">
        <f>_xlfn.NORM.DIST(0.15,C5,C6,TRUE)</f>
        <v>0.87832749542561872</v>
      </c>
    </row>
    <row r="11" spans="1:6" x14ac:dyDescent="0.3">
      <c r="C11" s="3">
        <f>C10-C9</f>
        <v>0.24776883560738228</v>
      </c>
    </row>
    <row r="13" spans="1:6" x14ac:dyDescent="0.3">
      <c r="A13" s="1" t="s">
        <v>18</v>
      </c>
      <c r="B13" s="1" t="s">
        <v>8</v>
      </c>
      <c r="C13" s="1">
        <v>0.5</v>
      </c>
      <c r="E13" s="1" t="s">
        <v>11</v>
      </c>
      <c r="F13" s="2">
        <f>C15/C13</f>
        <v>0.12</v>
      </c>
    </row>
    <row r="14" spans="1:6" x14ac:dyDescent="0.3">
      <c r="B14" s="1" t="s">
        <v>9</v>
      </c>
      <c r="C14" s="1">
        <v>0.7</v>
      </c>
      <c r="E14" s="1" t="s">
        <v>12</v>
      </c>
      <c r="F14" s="2">
        <f>C16/C14</f>
        <v>0.1142857142857143</v>
      </c>
    </row>
    <row r="15" spans="1:6" x14ac:dyDescent="0.3">
      <c r="B15" s="1" t="s">
        <v>19</v>
      </c>
      <c r="C15" s="2">
        <v>0.06</v>
      </c>
    </row>
    <row r="16" spans="1:6" x14ac:dyDescent="0.3">
      <c r="B16" s="1" t="s">
        <v>10</v>
      </c>
      <c r="C16" s="2">
        <v>0.08</v>
      </c>
      <c r="E16" s="1" t="s">
        <v>13</v>
      </c>
      <c r="F16" s="1">
        <v>0.8</v>
      </c>
    </row>
    <row r="17" spans="1:6" x14ac:dyDescent="0.3">
      <c r="E17" s="1" t="s">
        <v>14</v>
      </c>
      <c r="F17" s="4">
        <f>F16*F13*F14</f>
        <v>1.0971428571428573E-2</v>
      </c>
    </row>
    <row r="19" spans="1:6" x14ac:dyDescent="0.3">
      <c r="A19" s="1" t="s">
        <v>20</v>
      </c>
      <c r="B19" s="1" t="s">
        <v>21</v>
      </c>
      <c r="C19" s="5">
        <f>(0.062-0.6*0.05)/0.4</f>
        <v>0.08</v>
      </c>
    </row>
    <row r="21" spans="1:6" x14ac:dyDescent="0.3">
      <c r="A21" s="1" t="s">
        <v>22</v>
      </c>
      <c r="B21" s="1" t="s">
        <v>15</v>
      </c>
      <c r="C21" s="6">
        <f>0.2*0.05+0.8*0.06</f>
        <v>5.8000000000000003E-2</v>
      </c>
    </row>
    <row r="22" spans="1:6" x14ac:dyDescent="0.3">
      <c r="B22" s="1" t="s">
        <v>16</v>
      </c>
      <c r="C22" s="6">
        <f>SQRT(C23)</f>
        <v>8.2365041127896013E-2</v>
      </c>
    </row>
    <row r="23" spans="1:6" x14ac:dyDescent="0.3">
      <c r="B23" s="1" t="s">
        <v>23</v>
      </c>
      <c r="C23" s="4">
        <f>0.2^2*0.0144+0.8^2*0.01+2*0.2*0.8*C24</f>
        <v>6.784000000000001E-3</v>
      </c>
    </row>
    <row r="24" spans="1:6" x14ac:dyDescent="0.3">
      <c r="B24" s="1" t="s">
        <v>14</v>
      </c>
      <c r="C24" s="1">
        <f>-0.05*SQRT(0.0144)*SQRT(0.01)</f>
        <v>-6.0000000000000006E-4</v>
      </c>
    </row>
    <row r="26" spans="1:6" x14ac:dyDescent="0.3">
      <c r="B26" s="1" t="s">
        <v>24</v>
      </c>
      <c r="C26" s="2">
        <f>_xlfn.NORM.DIST(-0.05,C21,C22,TRUE)</f>
        <v>9.4889036108071825E-2</v>
      </c>
    </row>
    <row r="27" spans="1:6" x14ac:dyDescent="0.3">
      <c r="B27" s="1" t="s">
        <v>25</v>
      </c>
      <c r="C27" s="2">
        <f>_xlfn.NORM.DIST(0.06,C21,C22,TRUE)</f>
        <v>0.50968622304250655</v>
      </c>
    </row>
    <row r="28" spans="1:6" x14ac:dyDescent="0.3">
      <c r="B28" s="1" t="s">
        <v>26</v>
      </c>
      <c r="C28" s="7">
        <f>C27-C26</f>
        <v>0.41479718693443474</v>
      </c>
    </row>
    <row r="30" spans="1:6" x14ac:dyDescent="0.3">
      <c r="B30" s="1" t="s">
        <v>27</v>
      </c>
      <c r="C30" s="3">
        <f>_xlfn.NORM.INV(0.8,C21,C22)</f>
        <v>0.12732016751734371</v>
      </c>
    </row>
    <row r="32" spans="1:6" x14ac:dyDescent="0.3">
      <c r="A32" s="1" t="s">
        <v>28</v>
      </c>
      <c r="B32" s="1" t="s">
        <v>1</v>
      </c>
      <c r="C32" s="8">
        <f>(0.058-0.01)/0.0711</f>
        <v>0.67510548523206759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Analytical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Philip Howard</dc:creator>
  <cp:lastModifiedBy>Philip Howard</cp:lastModifiedBy>
  <dcterms:created xsi:type="dcterms:W3CDTF">2017-09-26T15:46:45Z</dcterms:created>
  <dcterms:modified xsi:type="dcterms:W3CDTF">2018-09-30T02:44:02Z</dcterms:modified>
</cp:coreProperties>
</file>