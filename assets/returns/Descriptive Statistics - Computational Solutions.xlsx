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1 Empirical Returns\3 Practice\Descriptive Statistics - Computational\"/>
    </mc:Choice>
  </mc:AlternateContent>
  <xr:revisionPtr revIDLastSave="0" documentId="13_ncr:1_{F1F71076-B64B-4997-9B8D-D2E2E94739A0}" xr6:coauthVersionLast="37" xr6:coauthVersionMax="37" xr10:uidLastSave="{00000000-0000-0000-0000-000000000000}"/>
  <bookViews>
    <workbookView xWindow="0" yWindow="0" windowWidth="18000" windowHeight="8232" xr2:uid="{0CBDAA73-B60A-4CDE-9395-0893EB664CB7}"/>
  </bookViews>
  <sheets>
    <sheet name="Computational" sheetId="4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" i="4" l="1"/>
  <c r="E7" i="4"/>
  <c r="E6" i="4"/>
  <c r="E5" i="4"/>
  <c r="E4" i="4"/>
  <c r="E3" i="4"/>
  <c r="E2" i="4"/>
  <c r="F2" i="4"/>
  <c r="F6" i="4"/>
  <c r="F3" i="4"/>
  <c r="F5" i="4"/>
  <c r="F4" i="4"/>
  <c r="F7" i="4"/>
  <c r="F8" i="4"/>
</calcChain>
</file>

<file path=xl/sharedStrings.xml><?xml version="1.0" encoding="utf-8"?>
<sst xmlns="http://schemas.openxmlformats.org/spreadsheetml/2006/main" count="10" uniqueCount="10">
  <si>
    <t>y</t>
  </si>
  <si>
    <t>x</t>
  </si>
  <si>
    <t>7. Correlation between x any y</t>
  </si>
  <si>
    <t>6. Covariance between x and y</t>
  </si>
  <si>
    <t>5. Kurtosis of x</t>
  </si>
  <si>
    <t>4. Skewness of x</t>
  </si>
  <si>
    <t>3. Standard deviation of x</t>
  </si>
  <si>
    <t>2. Variance of x</t>
  </si>
  <si>
    <t>1. Average of x</t>
  </si>
  <si>
    <t>Calculate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</si>
</sst>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B190-D90E-43AA-84A1-1A35E731889B}">
  <dimension ref="A1:F101"/>
  <sheetViews>
    <sheetView tabSelected="1" workbookViewId="0">
      <pane ySplit="1" topLeftCell="A2" activePane="bottomLeft" state="frozen"/>
      <selection activeCell="D19" sqref="D19"/>
      <selection pane="bottomLeft" activeCell="D8" sqref="D8"/>
    </sheetView>
  </sheetViews>
  <sheetFormatPr defaultColWidth="8.796875" defaultRowHeight="15.6" x14ac:dyDescent="0.3"/>
  <cols>
    <col min="1" max="1" width="5" style="3" bestFit="1" customWidth="1"/>
    <col min="2" max="2" width="5.3984375" style="3" bestFit="1" customWidth="1"/>
    <col min="3" max="3" width="8.796875" style="2"/>
    <col min="4" max="4" width="26.8984375" style="2" bestFit="1" customWidth="1"/>
    <col min="5" max="5" width="5" style="2" bestFit="1" customWidth="1"/>
    <col min="6" max="6" width="30" style="2" bestFit="1" customWidth="1"/>
    <col min="7" max="8" width="8.796875" style="2"/>
    <col min="9" max="9" width="41.69921875" style="2" bestFit="1" customWidth="1"/>
    <col min="10" max="16384" width="8.796875" style="2"/>
  </cols>
  <sheetData>
    <row r="1" spans="1:6" x14ac:dyDescent="0.3">
      <c r="A1" s="1" t="s">
        <v>1</v>
      </c>
      <c r="B1" s="1" t="s">
        <v>0</v>
      </c>
      <c r="D1" s="2" t="s">
        <v>9</v>
      </c>
    </row>
    <row r="2" spans="1:6" x14ac:dyDescent="0.3">
      <c r="A2" s="3">
        <v>-0.75395351750490669</v>
      </c>
      <c r="B2" s="3">
        <v>9.5010636603010514</v>
      </c>
      <c r="D2" s="2" t="s">
        <v>8</v>
      </c>
      <c r="E2" s="3">
        <f>AVERAGE(A2:A101)</f>
        <v>-4.2063782940869515E-2</v>
      </c>
      <c r="F2" s="2" t="str">
        <f t="shared" ref="F2:F8" ca="1" si="0">_xlfn.FORMULATEXT(E2)</f>
        <v>=AVERAGE(A2:A101)</v>
      </c>
    </row>
    <row r="3" spans="1:6" x14ac:dyDescent="0.3">
      <c r="A3" s="3">
        <v>-1.5698346149993372</v>
      </c>
      <c r="B3" s="3">
        <v>1.3743972887065976</v>
      </c>
      <c r="D3" s="2" t="s">
        <v>7</v>
      </c>
      <c r="E3" s="3">
        <f>_xlfn.VAR.S(A2:A101)</f>
        <v>1.1339115051264621</v>
      </c>
      <c r="F3" s="2" t="str">
        <f t="shared" ca="1" si="0"/>
        <v>=VAR.S(A2:A101)</v>
      </c>
    </row>
    <row r="4" spans="1:6" x14ac:dyDescent="0.3">
      <c r="A4" s="3">
        <v>-9.8383144715018966E-2</v>
      </c>
      <c r="B4" s="3">
        <v>3.0361016977750968</v>
      </c>
      <c r="D4" s="2" t="s">
        <v>6</v>
      </c>
      <c r="E4" s="3">
        <f>_xlfn.STDEV.S(A2:A101)</f>
        <v>1.0648528091367662</v>
      </c>
      <c r="F4" s="2" t="str">
        <f t="shared" ca="1" si="0"/>
        <v>=STDEV.S(A2:A101)</v>
      </c>
    </row>
    <row r="5" spans="1:6" x14ac:dyDescent="0.3">
      <c r="A5" s="3">
        <v>-1.1272336094508049</v>
      </c>
      <c r="B5" s="3">
        <v>4.2469943716258625</v>
      </c>
      <c r="D5" s="2" t="s">
        <v>5</v>
      </c>
      <c r="E5" s="3">
        <f>SKEW(A2:A101)</f>
        <v>-0.44649298999717968</v>
      </c>
      <c r="F5" s="2" t="str">
        <f t="shared" ca="1" si="0"/>
        <v>=SKEW(A2:A101)</v>
      </c>
    </row>
    <row r="6" spans="1:6" x14ac:dyDescent="0.3">
      <c r="A6" s="3">
        <v>1.4935242027060003</v>
      </c>
      <c r="B6" s="3">
        <v>4.5983873814599425</v>
      </c>
      <c r="D6" s="2" t="s">
        <v>4</v>
      </c>
      <c r="E6" s="3">
        <f>KURT(A2:A101)</f>
        <v>0.74169265176080579</v>
      </c>
      <c r="F6" s="2" t="str">
        <f t="shared" ca="1" si="0"/>
        <v>=KURT(A2:A101)</v>
      </c>
    </row>
    <row r="7" spans="1:6" x14ac:dyDescent="0.3">
      <c r="A7" s="3">
        <v>1.7467575430545534</v>
      </c>
      <c r="B7" s="3">
        <v>6.5547577149171232</v>
      </c>
      <c r="D7" s="2" t="s">
        <v>3</v>
      </c>
      <c r="E7" s="3">
        <f>_xlfn.COVARIANCE.S(A2:A101,B2:B101)</f>
        <v>0.27159254661604776</v>
      </c>
      <c r="F7" s="2" t="str">
        <f t="shared" ca="1" si="0"/>
        <v>=COVARIANCE.S(A2:A101,B2:B101)</v>
      </c>
    </row>
    <row r="8" spans="1:6" x14ac:dyDescent="0.3">
      <c r="A8" s="3">
        <v>0.27111909066129442</v>
      </c>
      <c r="B8" s="3">
        <v>0.6346862474839039</v>
      </c>
      <c r="D8" s="2" t="s">
        <v>2</v>
      </c>
      <c r="E8" s="3">
        <f>CORREL(A2:A101,B2:B101)</f>
        <v>5.5649277697089224E-2</v>
      </c>
      <c r="F8" s="2" t="str">
        <f t="shared" ca="1" si="0"/>
        <v>=CORREL(A2:A101,B2:B101)</v>
      </c>
    </row>
    <row r="9" spans="1:6" x14ac:dyDescent="0.3">
      <c r="A9" s="3">
        <v>-1.4307530331766654</v>
      </c>
      <c r="B9" s="3">
        <v>4.8903007479699356</v>
      </c>
    </row>
    <row r="10" spans="1:6" x14ac:dyDescent="0.3">
      <c r="A10" s="3">
        <v>-0.77935137093731244</v>
      </c>
      <c r="B10" s="3">
        <v>6.788683943179473</v>
      </c>
    </row>
    <row r="11" spans="1:6" x14ac:dyDescent="0.3">
      <c r="A11" s="3">
        <v>-0.28195817681395668</v>
      </c>
      <c r="B11" s="3">
        <v>-1.3081617197320377</v>
      </c>
    </row>
    <row r="12" spans="1:6" x14ac:dyDescent="0.3">
      <c r="A12" s="3">
        <v>0.51251276728740269</v>
      </c>
      <c r="B12" s="3">
        <v>7.4441226440674884</v>
      </c>
    </row>
    <row r="13" spans="1:6" x14ac:dyDescent="0.3">
      <c r="A13" s="3">
        <v>0.72879311674827429</v>
      </c>
      <c r="B13" s="3">
        <v>1.6936525151676363</v>
      </c>
    </row>
    <row r="14" spans="1:6" x14ac:dyDescent="0.3">
      <c r="A14" s="3">
        <v>-0.11931032850559355</v>
      </c>
      <c r="B14" s="3">
        <v>-5.4186042908271865</v>
      </c>
    </row>
    <row r="15" spans="1:6" x14ac:dyDescent="0.3">
      <c r="A15" s="3">
        <v>-2.9804417752273076</v>
      </c>
      <c r="B15" s="3">
        <v>7.3071795142237983</v>
      </c>
    </row>
    <row r="16" spans="1:6" x14ac:dyDescent="0.3">
      <c r="A16" s="3">
        <v>0.28153237592921959</v>
      </c>
      <c r="B16" s="3">
        <v>3.9319829196209799</v>
      </c>
    </row>
    <row r="17" spans="1:2" x14ac:dyDescent="0.3">
      <c r="A17" s="3">
        <v>-0.17326183792273175</v>
      </c>
      <c r="B17" s="3">
        <v>3.6403153771743089</v>
      </c>
    </row>
    <row r="18" spans="1:2" x14ac:dyDescent="0.3">
      <c r="A18" s="3">
        <v>-0.3714341423944561</v>
      </c>
      <c r="B18" s="3">
        <v>-5.9976687793303913</v>
      </c>
    </row>
    <row r="19" spans="1:2" x14ac:dyDescent="0.3">
      <c r="A19" s="3">
        <v>1.1443042123452369</v>
      </c>
      <c r="B19" s="3">
        <v>-9.7689665253451263</v>
      </c>
    </row>
    <row r="20" spans="1:2" x14ac:dyDescent="0.3">
      <c r="A20" s="3">
        <v>0.31091873791664248</v>
      </c>
      <c r="B20" s="3">
        <v>7.1088981944468408</v>
      </c>
    </row>
    <row r="21" spans="1:2" x14ac:dyDescent="0.3">
      <c r="A21" s="3">
        <v>0.77825469635666422</v>
      </c>
      <c r="B21" s="3">
        <v>7.3800907253170251</v>
      </c>
    </row>
    <row r="22" spans="1:2" x14ac:dyDescent="0.3">
      <c r="A22" s="3">
        <v>0.51954869354892308</v>
      </c>
      <c r="B22" s="3">
        <v>14.087993327387027</v>
      </c>
    </row>
    <row r="23" spans="1:2" x14ac:dyDescent="0.3">
      <c r="A23" s="3">
        <v>-1.6287074118272729</v>
      </c>
      <c r="B23" s="3">
        <v>3.8721626917284748</v>
      </c>
    </row>
    <row r="24" spans="1:2" x14ac:dyDescent="0.3">
      <c r="A24" s="3">
        <v>0.4700897491487746</v>
      </c>
      <c r="B24" s="3">
        <v>4.2402918546385191</v>
      </c>
    </row>
    <row r="25" spans="1:2" x14ac:dyDescent="0.3">
      <c r="A25" s="3">
        <v>0.60772775547377589</v>
      </c>
      <c r="B25" s="3">
        <v>3.5153859093870485</v>
      </c>
    </row>
    <row r="26" spans="1:2" x14ac:dyDescent="0.3">
      <c r="A26" s="3">
        <v>-1.2828794336044642</v>
      </c>
      <c r="B26" s="3">
        <v>-3.3585241162020525</v>
      </c>
    </row>
    <row r="27" spans="1:2" x14ac:dyDescent="0.3">
      <c r="A27" s="3">
        <v>-1.0060353268004611</v>
      </c>
      <c r="B27" s="3">
        <v>-1.9902478527856946</v>
      </c>
    </row>
    <row r="28" spans="1:2" x14ac:dyDescent="0.3">
      <c r="A28" s="3">
        <v>0.23272470184665223</v>
      </c>
      <c r="B28" s="3">
        <v>0.28515008924416207</v>
      </c>
    </row>
    <row r="29" spans="1:2" x14ac:dyDescent="0.3">
      <c r="A29" s="3">
        <v>0.60243784038857329</v>
      </c>
      <c r="B29" s="3">
        <v>12.567578009800691</v>
      </c>
    </row>
    <row r="30" spans="1:2" x14ac:dyDescent="0.3">
      <c r="A30" s="3">
        <v>1.2868039239717768</v>
      </c>
      <c r="B30" s="3">
        <v>-0.23122076817580162</v>
      </c>
    </row>
    <row r="31" spans="1:2" x14ac:dyDescent="0.3">
      <c r="A31" s="3">
        <v>-1.5342750131171536</v>
      </c>
      <c r="B31" s="3">
        <v>2.8661338452291334</v>
      </c>
    </row>
    <row r="32" spans="1:2" x14ac:dyDescent="0.3">
      <c r="A32" s="3">
        <v>0.33919726779664344</v>
      </c>
      <c r="B32" s="3">
        <v>4.1181731765484511</v>
      </c>
    </row>
    <row r="33" spans="1:2" x14ac:dyDescent="0.3">
      <c r="A33" s="3">
        <v>9.0652933409502381E-2</v>
      </c>
      <c r="B33" s="3">
        <v>6.5767356978107641</v>
      </c>
    </row>
    <row r="34" spans="1:2" x14ac:dyDescent="0.3">
      <c r="A34" s="3">
        <v>0.35559395299194757</v>
      </c>
      <c r="B34" s="3">
        <v>5.0343758844921629</v>
      </c>
    </row>
    <row r="35" spans="1:2" x14ac:dyDescent="0.3">
      <c r="A35" s="3">
        <v>1.8820789985166464</v>
      </c>
      <c r="B35" s="3">
        <v>3.187170604337771</v>
      </c>
    </row>
    <row r="36" spans="1:2" x14ac:dyDescent="0.3">
      <c r="A36" s="3">
        <v>-0.47355147369856865</v>
      </c>
      <c r="B36" s="3">
        <v>4.426286637008368</v>
      </c>
    </row>
    <row r="37" spans="1:2" x14ac:dyDescent="0.3">
      <c r="A37" s="3">
        <v>-0.39311516364801968</v>
      </c>
      <c r="B37" s="3">
        <v>-0.69005340685172545</v>
      </c>
    </row>
    <row r="38" spans="1:2" x14ac:dyDescent="0.3">
      <c r="A38" s="3">
        <v>0.81143661899072317</v>
      </c>
      <c r="B38" s="3">
        <v>0.47558189843633203</v>
      </c>
    </row>
    <row r="39" spans="1:2" x14ac:dyDescent="0.3">
      <c r="A39" s="3">
        <v>-2.0562406674748388</v>
      </c>
      <c r="B39" s="3">
        <v>4.4475164238182154</v>
      </c>
    </row>
    <row r="40" spans="1:2" x14ac:dyDescent="0.3">
      <c r="A40" s="3">
        <v>-0.59341248459581997</v>
      </c>
      <c r="B40" s="3">
        <v>5.5377896432613998</v>
      </c>
    </row>
    <row r="41" spans="1:2" x14ac:dyDescent="0.3">
      <c r="A41" s="3">
        <v>-1.0351399917740605</v>
      </c>
      <c r="B41" s="3">
        <v>5.3958829685413043</v>
      </c>
    </row>
    <row r="42" spans="1:2" x14ac:dyDescent="0.3">
      <c r="A42" s="3">
        <v>-1.7261604531846553</v>
      </c>
      <c r="B42" s="3">
        <v>2.4978981467940411</v>
      </c>
    </row>
    <row r="43" spans="1:2" x14ac:dyDescent="0.3">
      <c r="A43" s="3">
        <v>0.46923770195585635</v>
      </c>
      <c r="B43" s="3">
        <v>7.7159343131641309</v>
      </c>
    </row>
    <row r="44" spans="1:2" x14ac:dyDescent="0.3">
      <c r="A44" s="3">
        <v>-0.20583536193688834</v>
      </c>
      <c r="B44" s="3">
        <v>4.1384156935436867</v>
      </c>
    </row>
    <row r="45" spans="1:2" x14ac:dyDescent="0.3">
      <c r="A45" s="3">
        <v>1.2528310139214811</v>
      </c>
      <c r="B45" s="3">
        <v>-2.3974493828703984</v>
      </c>
    </row>
    <row r="46" spans="1:2" x14ac:dyDescent="0.3">
      <c r="A46" s="3">
        <v>0.91685359442091219</v>
      </c>
      <c r="B46" s="3">
        <v>10.317444750758639</v>
      </c>
    </row>
    <row r="47" spans="1:2" x14ac:dyDescent="0.3">
      <c r="A47" s="3">
        <v>-1.5233398888117344</v>
      </c>
      <c r="B47" s="3">
        <v>-4.8168024017260933</v>
      </c>
    </row>
    <row r="48" spans="1:2" x14ac:dyDescent="0.3">
      <c r="A48" s="3">
        <v>0.67024534629115551</v>
      </c>
      <c r="B48" s="3">
        <v>2.7468591985339001</v>
      </c>
    </row>
    <row r="49" spans="1:2" x14ac:dyDescent="0.3">
      <c r="A49" s="3">
        <v>-0.17796944992060773</v>
      </c>
      <c r="B49" s="3">
        <v>-0.88994333573581752</v>
      </c>
    </row>
    <row r="50" spans="1:2" x14ac:dyDescent="0.3">
      <c r="A50" s="3">
        <v>1.6142023177645914</v>
      </c>
      <c r="B50" s="3">
        <v>-0.68999877202827786</v>
      </c>
    </row>
    <row r="51" spans="1:2" x14ac:dyDescent="0.3">
      <c r="A51" s="3">
        <v>0.35214926332909646</v>
      </c>
      <c r="B51" s="3">
        <v>-2.9624011489012503</v>
      </c>
    </row>
    <row r="52" spans="1:2" x14ac:dyDescent="0.3">
      <c r="A52" s="3">
        <v>0.32065089293360099</v>
      </c>
      <c r="B52" s="3">
        <v>4.3488347917829531</v>
      </c>
    </row>
    <row r="53" spans="1:2" x14ac:dyDescent="0.3">
      <c r="A53" s="3">
        <v>1.641960820266388</v>
      </c>
      <c r="B53" s="3">
        <v>9.0342489049712142</v>
      </c>
    </row>
    <row r="54" spans="1:2" x14ac:dyDescent="0.3">
      <c r="A54" s="3">
        <v>0.52821809623732796</v>
      </c>
      <c r="B54" s="3">
        <v>4.3297449691080985</v>
      </c>
    </row>
    <row r="55" spans="1:2" x14ac:dyDescent="0.3">
      <c r="A55" s="3">
        <v>-2.0719006699852165</v>
      </c>
      <c r="B55" s="3">
        <v>2.4038474569620369</v>
      </c>
    </row>
    <row r="56" spans="1:2" x14ac:dyDescent="0.3">
      <c r="A56" s="3">
        <v>-0.31542980751476013</v>
      </c>
      <c r="B56" s="3">
        <v>1.8907381117824829</v>
      </c>
    </row>
    <row r="57" spans="1:2" x14ac:dyDescent="0.3">
      <c r="A57" s="3">
        <v>0.38687554347143088</v>
      </c>
      <c r="B57" s="3">
        <v>1.7714032080380639</v>
      </c>
    </row>
    <row r="58" spans="1:2" x14ac:dyDescent="0.3">
      <c r="A58" s="3">
        <v>0.91297522277329679</v>
      </c>
      <c r="B58" s="3">
        <v>8.6332176854780123</v>
      </c>
    </row>
    <row r="59" spans="1:2" x14ac:dyDescent="0.3">
      <c r="A59" s="3">
        <v>-7.386654599197319E-2</v>
      </c>
      <c r="B59" s="3">
        <v>6.3618334348775214</v>
      </c>
    </row>
    <row r="60" spans="1:2" x14ac:dyDescent="0.3">
      <c r="A60" s="3">
        <v>-0.30513550600457107</v>
      </c>
      <c r="B60" s="3">
        <v>1.3975457554886079</v>
      </c>
    </row>
    <row r="61" spans="1:2" x14ac:dyDescent="0.3">
      <c r="A61" s="3">
        <v>-0.46098641316189021</v>
      </c>
      <c r="B61" s="3">
        <v>8.5966687988853732</v>
      </c>
    </row>
    <row r="62" spans="1:2" x14ac:dyDescent="0.3">
      <c r="A62" s="3">
        <v>-1.1252252452816851</v>
      </c>
      <c r="B62" s="3">
        <v>-5.2105750514281919</v>
      </c>
    </row>
    <row r="63" spans="1:2" x14ac:dyDescent="0.3">
      <c r="A63" s="3">
        <v>-0.93965956989262489</v>
      </c>
      <c r="B63" s="3">
        <v>2.7343022149448215</v>
      </c>
    </row>
    <row r="64" spans="1:2" x14ac:dyDescent="0.3">
      <c r="A64" s="3">
        <v>-0.54064959660949197</v>
      </c>
      <c r="B64" s="3">
        <v>10.009128085237855</v>
      </c>
    </row>
    <row r="65" spans="1:2" x14ac:dyDescent="0.3">
      <c r="A65" s="3">
        <v>-9.6793086905571729E-2</v>
      </c>
      <c r="B65" s="3">
        <v>5.8521163519213353</v>
      </c>
    </row>
    <row r="66" spans="1:2" x14ac:dyDescent="0.3">
      <c r="A66" s="3">
        <v>-0.64301913046968695</v>
      </c>
      <c r="B66" s="3">
        <v>4.9546848799002303</v>
      </c>
    </row>
    <row r="67" spans="1:2" x14ac:dyDescent="0.3">
      <c r="A67" s="3">
        <v>1.4957870132081248</v>
      </c>
      <c r="B67" s="3">
        <v>2.0661504939142685</v>
      </c>
    </row>
    <row r="68" spans="1:2" x14ac:dyDescent="0.3">
      <c r="A68" s="3">
        <v>-0.21570554225049193</v>
      </c>
      <c r="B68" s="3">
        <v>4.1583975582675272</v>
      </c>
    </row>
    <row r="69" spans="1:2" x14ac:dyDescent="0.3">
      <c r="A69" s="3">
        <v>-0.97575481966722433</v>
      </c>
      <c r="B69" s="3">
        <v>4.096586781798953</v>
      </c>
    </row>
    <row r="70" spans="1:2" x14ac:dyDescent="0.3">
      <c r="A70" s="3">
        <v>0.30905054831379297</v>
      </c>
      <c r="B70" s="3">
        <v>-5.5272425120789386</v>
      </c>
    </row>
    <row r="71" spans="1:2" x14ac:dyDescent="0.3">
      <c r="A71" s="3">
        <v>-0.46121676120425648</v>
      </c>
      <c r="B71" s="3">
        <v>0.73629224308496877</v>
      </c>
    </row>
    <row r="72" spans="1:2" x14ac:dyDescent="0.3">
      <c r="A72" s="3">
        <v>1.6077573548791029</v>
      </c>
      <c r="B72" s="3">
        <v>3.6104027394922387</v>
      </c>
    </row>
    <row r="73" spans="1:2" x14ac:dyDescent="0.3">
      <c r="A73" s="3">
        <v>-3.5143302002963215</v>
      </c>
      <c r="B73" s="3">
        <v>3.8906638918003558</v>
      </c>
    </row>
    <row r="74" spans="1:2" x14ac:dyDescent="0.3">
      <c r="A74" s="3">
        <v>-0.75649197553752023</v>
      </c>
      <c r="B74" s="3">
        <v>-3.7139252142016472</v>
      </c>
    </row>
    <row r="75" spans="1:2" x14ac:dyDescent="0.3">
      <c r="A75" s="3">
        <v>-0.18416871152874842</v>
      </c>
      <c r="B75" s="3">
        <v>-6.0314379791444672</v>
      </c>
    </row>
    <row r="76" spans="1:2" x14ac:dyDescent="0.3">
      <c r="A76" s="3">
        <v>0.47343400909730493</v>
      </c>
      <c r="B76" s="3">
        <v>-5.5938564253731702</v>
      </c>
    </row>
    <row r="77" spans="1:2" x14ac:dyDescent="0.3">
      <c r="A77" s="3">
        <v>-0.54512026978247641</v>
      </c>
      <c r="B77" s="3">
        <v>8.5356455480621509</v>
      </c>
    </row>
    <row r="78" spans="1:2" x14ac:dyDescent="0.3">
      <c r="A78" s="3">
        <v>-0.47731438723507247</v>
      </c>
      <c r="B78" s="3">
        <v>1.3921631220995798</v>
      </c>
    </row>
    <row r="79" spans="1:2" x14ac:dyDescent="0.3">
      <c r="A79" s="3">
        <v>-0.76428389603138702</v>
      </c>
      <c r="B79" s="3">
        <v>-2.3658163575932951</v>
      </c>
    </row>
    <row r="80" spans="1:2" x14ac:dyDescent="0.3">
      <c r="A80" s="3">
        <v>0.47995831414315993</v>
      </c>
      <c r="B80" s="3">
        <v>5.7670947863614677</v>
      </c>
    </row>
    <row r="81" spans="1:2" x14ac:dyDescent="0.3">
      <c r="A81" s="3">
        <v>5.2715751217465259E-2</v>
      </c>
      <c r="B81" s="3">
        <v>9.4617986375869627</v>
      </c>
    </row>
    <row r="82" spans="1:2" x14ac:dyDescent="0.3">
      <c r="A82" s="3">
        <v>0.42387367213125132</v>
      </c>
      <c r="B82" s="3">
        <v>7.0952694363696525</v>
      </c>
    </row>
    <row r="83" spans="1:2" x14ac:dyDescent="0.3">
      <c r="A83" s="3">
        <v>1.4012844246523617</v>
      </c>
      <c r="B83" s="3">
        <v>5.9162850632660975</v>
      </c>
    </row>
    <row r="84" spans="1:2" x14ac:dyDescent="0.3">
      <c r="A84" s="3">
        <v>0.51645224519062083</v>
      </c>
      <c r="B84" s="3">
        <v>1.7992901790723048</v>
      </c>
    </row>
    <row r="85" spans="1:2" x14ac:dyDescent="0.3">
      <c r="A85" s="3">
        <v>-0.57992753690037835</v>
      </c>
      <c r="B85" s="3">
        <v>-1.3342509992276099</v>
      </c>
    </row>
    <row r="86" spans="1:2" x14ac:dyDescent="0.3">
      <c r="A86" s="3">
        <v>2.7324809057011628</v>
      </c>
      <c r="B86" s="3">
        <v>2.8424616151489004</v>
      </c>
    </row>
    <row r="87" spans="1:2" x14ac:dyDescent="0.3">
      <c r="A87" s="3">
        <v>-2.6904735334338781E-2</v>
      </c>
      <c r="B87" s="3">
        <v>-5.1537072546833613</v>
      </c>
    </row>
    <row r="88" spans="1:2" x14ac:dyDescent="0.3">
      <c r="A88" s="3">
        <v>-2.1621097955530821</v>
      </c>
      <c r="B88" s="3">
        <v>-0.78168420667603966</v>
      </c>
    </row>
    <row r="89" spans="1:2" x14ac:dyDescent="0.3">
      <c r="A89" s="3">
        <v>0.57712418772007723</v>
      </c>
      <c r="B89" s="3">
        <v>3.083004192962187</v>
      </c>
    </row>
    <row r="90" spans="1:2" x14ac:dyDescent="0.3">
      <c r="A90" s="3">
        <v>0.84284628691848973</v>
      </c>
      <c r="B90" s="3">
        <v>0.90128392831220339</v>
      </c>
    </row>
    <row r="91" spans="1:2" x14ac:dyDescent="0.3">
      <c r="A91" s="3">
        <v>0.25254948303910063</v>
      </c>
      <c r="B91" s="3">
        <v>1.9844327544581066</v>
      </c>
    </row>
    <row r="92" spans="1:2" x14ac:dyDescent="0.3">
      <c r="A92" s="3">
        <v>-0.97254918658397982</v>
      </c>
      <c r="B92" s="3">
        <v>13.367783894794158</v>
      </c>
    </row>
    <row r="93" spans="1:2" x14ac:dyDescent="0.3">
      <c r="A93" s="3">
        <v>1.1440359346588682</v>
      </c>
      <c r="B93" s="3">
        <v>1.3214225076657717</v>
      </c>
    </row>
    <row r="94" spans="1:2" x14ac:dyDescent="0.3">
      <c r="A94" s="3">
        <v>0.72774943308530349</v>
      </c>
      <c r="B94" s="3">
        <v>-2.4472368416764194</v>
      </c>
    </row>
    <row r="95" spans="1:2" x14ac:dyDescent="0.3">
      <c r="A95" s="3">
        <v>0.81735008316080293</v>
      </c>
      <c r="B95" s="3">
        <v>3.8775117758706044</v>
      </c>
    </row>
    <row r="96" spans="1:2" x14ac:dyDescent="0.3">
      <c r="A96" s="3">
        <v>1.020261088863833</v>
      </c>
      <c r="B96" s="3">
        <v>2.0349471750826171</v>
      </c>
    </row>
    <row r="97" spans="1:2" x14ac:dyDescent="0.3">
      <c r="A97" s="3">
        <v>0.3809458536627825</v>
      </c>
      <c r="B97" s="3">
        <v>1.0801390286533372</v>
      </c>
    </row>
    <row r="98" spans="1:2" x14ac:dyDescent="0.3">
      <c r="A98" s="3">
        <v>-1.0495043841674518</v>
      </c>
      <c r="B98" s="3">
        <v>4.1418918546657419</v>
      </c>
    </row>
    <row r="99" spans="1:2" x14ac:dyDescent="0.3">
      <c r="A99" s="3">
        <v>-0.11985145703034268</v>
      </c>
      <c r="B99" s="3">
        <v>2.8180344531624546</v>
      </c>
    </row>
    <row r="100" spans="1:2" x14ac:dyDescent="0.3">
      <c r="A100" s="3">
        <v>-1.081164566507675</v>
      </c>
      <c r="B100" s="3">
        <v>-0.11646656646067477</v>
      </c>
    </row>
    <row r="101" spans="1:2" x14ac:dyDescent="0.3">
      <c r="A101" s="3">
        <v>0.78739759328593284</v>
      </c>
      <c r="B101" s="3">
        <v>11.189477795000995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2017-09-26T15:46:45Z</dcterms:created>
  <dcterms:modified xsi:type="dcterms:W3CDTF">2018-09-30T02:53:06Z</dcterms:modified>
</cp:coreProperties>
</file>