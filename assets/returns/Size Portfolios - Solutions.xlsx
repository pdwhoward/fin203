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1 Historical Returns\2 Excercises\5 Size Portfolios\"/>
    </mc:Choice>
  </mc:AlternateContent>
  <xr:revisionPtr revIDLastSave="0" documentId="13_ncr:1_{7A88DDE3-0A2F-4E98-8291-14B0C9A9FAFF}" xr6:coauthVersionLast="45" xr6:coauthVersionMax="45" xr10:uidLastSave="{00000000-0000-0000-0000-000000000000}"/>
  <bookViews>
    <workbookView xWindow="-16560" yWindow="-103" windowWidth="16663" windowHeight="8863" activeTab="3" xr2:uid="{00000000-000D-0000-FFFF-FFFF00000000}"/>
  </bookViews>
  <sheets>
    <sheet name="Description" sheetId="2" r:id="rId1"/>
    <sheet name="Size Portfolios" sheetId="1" r:id="rId2"/>
    <sheet name="Risk-Reward" sheetId="3" r:id="rId3"/>
    <sheet name="Downside vs Upsid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X6" i="1"/>
  <c r="W6" i="1"/>
  <c r="V6" i="1"/>
  <c r="U6" i="1"/>
  <c r="T6" i="1"/>
  <c r="S6" i="1"/>
  <c r="R6" i="1"/>
  <c r="Q6" i="1"/>
  <c r="P6" i="1"/>
  <c r="Y5" i="1"/>
  <c r="X5" i="1"/>
  <c r="W5" i="1"/>
  <c r="V5" i="1"/>
  <c r="U5" i="1"/>
  <c r="T5" i="1"/>
  <c r="S5" i="1"/>
  <c r="R5" i="1"/>
  <c r="Q5" i="1"/>
  <c r="P5" i="1"/>
  <c r="O6" i="1"/>
  <c r="O5" i="1"/>
  <c r="Y4" i="1" l="1"/>
  <c r="Y3" i="1"/>
  <c r="Y2" i="1"/>
  <c r="P4" i="1"/>
  <c r="Q4" i="1"/>
  <c r="R4" i="1"/>
  <c r="S4" i="1"/>
  <c r="T4" i="1"/>
  <c r="U4" i="1"/>
  <c r="V4" i="1"/>
  <c r="W4" i="1"/>
  <c r="X4" i="1"/>
  <c r="O4" i="1"/>
  <c r="X3" i="1" l="1"/>
  <c r="W3" i="1"/>
  <c r="V3" i="1"/>
  <c r="U3" i="1"/>
  <c r="T3" i="1"/>
  <c r="S3" i="1"/>
  <c r="R3" i="1"/>
  <c r="Q3" i="1"/>
  <c r="P3" i="1"/>
  <c r="X2" i="1"/>
  <c r="W2" i="1"/>
  <c r="V2" i="1"/>
  <c r="U2" i="1"/>
  <c r="T2" i="1"/>
  <c r="S2" i="1"/>
  <c r="R2" i="1"/>
  <c r="Q2" i="1"/>
  <c r="P2" i="1"/>
  <c r="O3" i="1"/>
  <c r="O2" i="1"/>
</calcChain>
</file>

<file path=xl/sharedStrings.xml><?xml version="1.0" encoding="utf-8"?>
<sst xmlns="http://schemas.openxmlformats.org/spreadsheetml/2006/main" count="31" uniqueCount="20">
  <si>
    <t>The portfolios are constructed at the end of Jun.  The annual returns are from January</t>
  </si>
  <si>
    <t>to December.</t>
  </si>
  <si>
    <t>Small-1</t>
  </si>
  <si>
    <t>Big-10</t>
  </si>
  <si>
    <t>Dec-2</t>
  </si>
  <si>
    <t>Dec-3</t>
  </si>
  <si>
    <t>Dec-4</t>
  </si>
  <si>
    <t>Dec-5</t>
  </si>
  <si>
    <t>Dec-6</t>
  </si>
  <si>
    <t>Dec-7</t>
  </si>
  <si>
    <t>Dec-8</t>
  </si>
  <si>
    <t>Dec-9</t>
  </si>
  <si>
    <t>Date</t>
  </si>
  <si>
    <t>Average</t>
  </si>
  <si>
    <t>Standard Deviation</t>
  </si>
  <si>
    <t>Sharpe Ratio</t>
  </si>
  <si>
    <t>Risk-Free Rate</t>
  </si>
  <si>
    <t>Market</t>
  </si>
  <si>
    <t>Prob(Return&lt;-10%)</t>
  </si>
  <si>
    <t>Prob(Return&gt;30%)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</si>
</sst>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" fontId="16" fillId="0" borderId="0" xfId="0" quotePrefix="1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0" fontId="16" fillId="0" borderId="0" xfId="0" applyFont="1" applyAlignment="1">
      <alignment horizontal="right"/>
    </xf>
    <xf numFmtId="1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42" applyFont="1" applyAlignment="1">
      <alignment horizontal="center"/>
    </xf>
    <xf numFmtId="9" fontId="0" fillId="33" borderId="0" xfId="42" applyFont="1" applyFill="1" applyAlignment="1">
      <alignment horizontal="center"/>
    </xf>
    <xf numFmtId="9" fontId="16" fillId="0" borderId="0" xfId="42" applyFont="1" applyAlignment="1">
      <alignment horizontal="center"/>
    </xf>
    <xf numFmtId="9" fontId="16" fillId="0" borderId="0" xfId="42" quotePrefix="1" applyFont="1" applyAlignment="1">
      <alignment horizontal="center"/>
    </xf>
    <xf numFmtId="9" fontId="0" fillId="0" borderId="0" xfId="42" applyNumberFormat="1" applyFont="1" applyAlignment="1">
      <alignment horizontal="center"/>
    </xf>
    <xf numFmtId="9" fontId="16" fillId="0" borderId="0" xfId="42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Size Portfolios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10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2051-44A4-99ED-C98C6446E57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06299AB-9533-42BD-9687-0117FA54A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051-44A4-99ED-C98C6446E5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D44258-0C9A-4894-A7FB-B42D7BDF38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051-44A4-99ED-C98C6446E5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3B43D7A-A42E-400B-84C5-9CBBF415EB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051-44A4-99ED-C98C6446E57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F9946C-E121-4A1E-BE37-30BACAE510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051-44A4-99ED-C98C6446E57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B944DC-10F6-4844-A01E-4D8E451821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051-44A4-99ED-C98C6446E57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F89B78-F6C7-42FD-A2CE-253CCEA838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051-44A4-99ED-C98C6446E57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EF68D2F-447F-43CE-8949-19CBCAEAD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051-44A4-99ED-C98C6446E57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34EF1C0-847F-4DEB-9BCE-877AAFCA4B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051-44A4-99ED-C98C6446E57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D18EEEC-7417-4EB6-BA55-F01616072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051-44A4-99ED-C98C6446E57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4E14231-F63E-4A1D-9E68-47A3064BE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051-44A4-99ED-C98C6446E574}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C5BBA68-71B9-4D49-AC64-6811B7531CB9}" type="CELLRANGE">
                      <a:rPr lang="en-US"/>
                      <a:pPr>
                        <a:defRPr sz="16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051-44A4-99ED-C98C6446E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'Size Portfolios'!$O$3:$Y$3</c:f>
              <c:numCache>
                <c:formatCode>0%</c:formatCode>
                <c:ptCount val="11"/>
                <c:pt idx="0">
                  <c:v>0.3865679335343617</c:v>
                </c:pt>
                <c:pt idx="1">
                  <c:v>0.3545577379588789</c:v>
                </c:pt>
                <c:pt idx="2">
                  <c:v>0.30048180883828934</c:v>
                </c:pt>
                <c:pt idx="3">
                  <c:v>0.28965753316125592</c:v>
                </c:pt>
                <c:pt idx="4">
                  <c:v>0.26669162793559847</c:v>
                </c:pt>
                <c:pt idx="5">
                  <c:v>0.25383071699303966</c:v>
                </c:pt>
                <c:pt idx="6">
                  <c:v>0.25134451069697844</c:v>
                </c:pt>
                <c:pt idx="7">
                  <c:v>0.22823653631715379</c:v>
                </c:pt>
                <c:pt idx="8">
                  <c:v>0.21348793187133189</c:v>
                </c:pt>
                <c:pt idx="9">
                  <c:v>0.18925452311230653</c:v>
                </c:pt>
                <c:pt idx="10">
                  <c:v>0.20032595376357423</c:v>
                </c:pt>
              </c:numCache>
            </c:numRef>
          </c:xVal>
          <c:yVal>
            <c:numRef>
              <c:f>'Size Portfolios'!$O$2:$Y$2</c:f>
              <c:numCache>
                <c:formatCode>0%</c:formatCode>
                <c:ptCount val="11"/>
                <c:pt idx="0">
                  <c:v>0.18208387096774184</c:v>
                </c:pt>
                <c:pt idx="1">
                  <c:v>0.16616236559139785</c:v>
                </c:pt>
                <c:pt idx="2">
                  <c:v>0.16019247311827953</c:v>
                </c:pt>
                <c:pt idx="3">
                  <c:v>0.15596881720430103</c:v>
                </c:pt>
                <c:pt idx="4">
                  <c:v>0.14828387096774193</c:v>
                </c:pt>
                <c:pt idx="5">
                  <c:v>0.14978387096774198</c:v>
                </c:pt>
                <c:pt idx="6">
                  <c:v>0.14309032258064522</c:v>
                </c:pt>
                <c:pt idx="7">
                  <c:v>0.13691505376344087</c:v>
                </c:pt>
                <c:pt idx="8">
                  <c:v>0.12799677419354835</c:v>
                </c:pt>
                <c:pt idx="9">
                  <c:v>0.11273010752688174</c:v>
                </c:pt>
                <c:pt idx="10">
                  <c:v>0.11920860215053761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'Size Portfolios'!$O$1:$Y$1</c15:f>
                <c15:dlblRangeCache>
                  <c:ptCount val="11"/>
                  <c:pt idx="0">
                    <c:v>Small-1</c:v>
                  </c:pt>
                  <c:pt idx="1">
                    <c:v>Dec-2</c:v>
                  </c:pt>
                  <c:pt idx="2">
                    <c:v>Dec-3</c:v>
                  </c:pt>
                  <c:pt idx="3">
                    <c:v>Dec-4</c:v>
                  </c:pt>
                  <c:pt idx="4">
                    <c:v>Dec-5</c:v>
                  </c:pt>
                  <c:pt idx="5">
                    <c:v>Dec-6</c:v>
                  </c:pt>
                  <c:pt idx="6">
                    <c:v>Dec-7</c:v>
                  </c:pt>
                  <c:pt idx="7">
                    <c:v>Dec-8</c:v>
                  </c:pt>
                  <c:pt idx="8">
                    <c:v>Dec-9</c:v>
                  </c:pt>
                  <c:pt idx="9">
                    <c:v>Big-10</c:v>
                  </c:pt>
                  <c:pt idx="10">
                    <c:v>Market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051-44A4-99ED-C98C6446E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27824"/>
        <c:axId val="874281168"/>
      </c:scatterChart>
      <c:valAx>
        <c:axId val="1519227824"/>
        <c:scaling>
          <c:orientation val="minMax"/>
          <c:max val="0.41000000000000003"/>
          <c:min val="0.16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81168"/>
        <c:crosses val="autoZero"/>
        <c:crossBetween val="midCat"/>
      </c:valAx>
      <c:valAx>
        <c:axId val="874281168"/>
        <c:scaling>
          <c:orientation val="minMax"/>
          <c:max val="0.19000000000000003"/>
          <c:min val="0.1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2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Downside Risk vs.</a:t>
            </a:r>
            <a:r>
              <a:rPr lang="en-US" baseline="0"/>
              <a:t> Upside Potential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Size Portfolios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10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104-4CC9-9C64-E5F1C755F1E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1D51F89-E61C-4C27-BDA2-4D580683F3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104-4CC9-9C64-E5F1C755F1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909029-C030-46FF-83BD-F3AA5A6A0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104-4CC9-9C64-E5F1C755F1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E876E7-85B0-47D6-BE68-C3B791C64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04-4CC9-9C64-E5F1C755F1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CF71F7-9EB3-496C-861F-5C010570B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104-4CC9-9C64-E5F1C755F1E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3F4B1D-44B3-401E-9933-C83BC0E9C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04-4CC9-9C64-E5F1C755F1E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B14A82-7E04-455D-A27D-3AABC6C93F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04-4CC9-9C64-E5F1C755F1E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C2A5E58-6DEC-4AB5-A8A7-E655B56F8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104-4CC9-9C64-E5F1C755F1E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CDEDE6-F648-4E4F-B5B2-3BABCCABB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104-4CC9-9C64-E5F1C755F1E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624054-492E-4366-A4BB-65134EBFA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104-4CC9-9C64-E5F1C755F1E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6485E2-1C96-4911-848C-8577C0C48E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104-4CC9-9C64-E5F1C755F1E3}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DDBA9E-8525-4118-A6FC-F5B459EA0D58}" type="CELLRANGE">
                      <a:rPr lang="en-US"/>
                      <a:pPr>
                        <a:defRPr sz="16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104-4CC9-9C64-E5F1C755F1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'Size Portfolios'!$O$5:$Y$5</c:f>
              <c:numCache>
                <c:formatCode>0%</c:formatCode>
                <c:ptCount val="11"/>
                <c:pt idx="0">
                  <c:v>0.23278263903700164</c:v>
                </c:pt>
                <c:pt idx="1">
                  <c:v>0.22642011598482906</c:v>
                </c:pt>
                <c:pt idx="2">
                  <c:v>0.19326768779326556</c:v>
                </c:pt>
                <c:pt idx="3">
                  <c:v>0.18843053008384156</c:v>
                </c:pt>
                <c:pt idx="4">
                  <c:v>0.17593263459004893</c:v>
                </c:pt>
                <c:pt idx="5">
                  <c:v>0.16254376603628218</c:v>
                </c:pt>
                <c:pt idx="6">
                  <c:v>0.16673206166108651</c:v>
                </c:pt>
                <c:pt idx="7">
                  <c:v>0.14962938847641549</c:v>
                </c:pt>
                <c:pt idx="8">
                  <c:v>0.14276906384277271</c:v>
                </c:pt>
                <c:pt idx="9">
                  <c:v>0.13049752045431073</c:v>
                </c:pt>
                <c:pt idx="10">
                  <c:v>0.13692056479109033</c:v>
                </c:pt>
              </c:numCache>
            </c:numRef>
          </c:xVal>
          <c:yVal>
            <c:numRef>
              <c:f>'Size Portfolios'!$O$6:$Y$6</c:f>
              <c:numCache>
                <c:formatCode>0%</c:formatCode>
                <c:ptCount val="11"/>
                <c:pt idx="0">
                  <c:v>0.38017035915771658</c:v>
                </c:pt>
                <c:pt idx="1">
                  <c:v>0.3529093220729107</c:v>
                </c:pt>
                <c:pt idx="2">
                  <c:v>0.32086625108031108</c:v>
                </c:pt>
                <c:pt idx="3">
                  <c:v>0.30950763132458703</c:v>
                </c:pt>
                <c:pt idx="4">
                  <c:v>0.28471803144752839</c:v>
                </c:pt>
                <c:pt idx="5">
                  <c:v>0.27699343476010307</c:v>
                </c:pt>
                <c:pt idx="6">
                  <c:v>0.26622143190393532</c:v>
                </c:pt>
                <c:pt idx="7">
                  <c:v>0.23744556656368909</c:v>
                </c:pt>
                <c:pt idx="8">
                  <c:v>0.21021332901959944</c:v>
                </c:pt>
                <c:pt idx="9">
                  <c:v>0.16120600095074256</c:v>
                </c:pt>
                <c:pt idx="10">
                  <c:v>0.18339933893019156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'Size Portfolios'!$O$1:$Y$1</c15:f>
                <c15:dlblRangeCache>
                  <c:ptCount val="11"/>
                  <c:pt idx="0">
                    <c:v>Small-1</c:v>
                  </c:pt>
                  <c:pt idx="1">
                    <c:v>Dec-2</c:v>
                  </c:pt>
                  <c:pt idx="2">
                    <c:v>Dec-3</c:v>
                  </c:pt>
                  <c:pt idx="3">
                    <c:v>Dec-4</c:v>
                  </c:pt>
                  <c:pt idx="4">
                    <c:v>Dec-5</c:v>
                  </c:pt>
                  <c:pt idx="5">
                    <c:v>Dec-6</c:v>
                  </c:pt>
                  <c:pt idx="6">
                    <c:v>Dec-7</c:v>
                  </c:pt>
                  <c:pt idx="7">
                    <c:v>Dec-8</c:v>
                  </c:pt>
                  <c:pt idx="8">
                    <c:v>Dec-9</c:v>
                  </c:pt>
                  <c:pt idx="9">
                    <c:v>Big-10</c:v>
                  </c:pt>
                  <c:pt idx="10">
                    <c:v>Market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E104-4CC9-9C64-E5F1C755F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27824"/>
        <c:axId val="874281168"/>
      </c:scatterChart>
      <c:valAx>
        <c:axId val="1519227824"/>
        <c:scaling>
          <c:orientation val="minMax"/>
          <c:max val="0.24000000000000002"/>
          <c:min val="0.12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Downside Risk -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Probability of &lt;-10%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81168"/>
        <c:crosses val="autoZero"/>
        <c:crossBetween val="midCat"/>
      </c:valAx>
      <c:valAx>
        <c:axId val="874281168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Upside Potential - Probability &gt;30%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2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5485D4-341D-4201-812E-2D46F1B420B8}">
  <sheetPr/>
  <sheetViews>
    <sheetView zoomScale="6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3F7E3A-2E04-48D9-913E-EE69B126C190}">
  <sheetPr/>
  <sheetViews>
    <sheetView tabSelected="1" zoomScale="6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20429" cy="5388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F272A-830F-42AE-A317-AD874CFF51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7420429" cy="5388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10FB-BFCA-439E-8194-02D81668F2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AB41-A6C8-4E91-82E4-8238C96B309B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8.6328125" style="5" customWidth="1"/>
    <col min="2" max="12" width="8.6328125" style="10" customWidth="1"/>
    <col min="14" max="14" width="18.26953125" style="7" bestFit="1" customWidth="1"/>
    <col min="15" max="24" width="8.7265625" style="1"/>
  </cols>
  <sheetData>
    <row r="1" spans="1:25" s="2" customFormat="1" x14ac:dyDescent="0.35">
      <c r="A1" s="4" t="s">
        <v>12</v>
      </c>
      <c r="B1" s="12" t="s">
        <v>2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2" t="s">
        <v>3</v>
      </c>
      <c r="L1" s="12" t="s">
        <v>17</v>
      </c>
      <c r="N1" s="7"/>
      <c r="O1" s="2" t="s">
        <v>2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2" t="s">
        <v>3</v>
      </c>
      <c r="Y1" s="2" t="s">
        <v>17</v>
      </c>
    </row>
    <row r="2" spans="1:25" x14ac:dyDescent="0.35">
      <c r="A2" s="1">
        <v>1927</v>
      </c>
      <c r="B2" s="10">
        <v>0.34380000000000005</v>
      </c>
      <c r="C2" s="10">
        <v>0.31620000000000004</v>
      </c>
      <c r="D2" s="10">
        <v>0.37959999999999999</v>
      </c>
      <c r="E2" s="10">
        <v>0.377</v>
      </c>
      <c r="F2" s="10">
        <v>0.17800000000000002</v>
      </c>
      <c r="G2" s="10">
        <v>0.45579999999999998</v>
      </c>
      <c r="H2" s="10">
        <v>0.36759999999999998</v>
      </c>
      <c r="I2" s="10">
        <v>0.30510000000000004</v>
      </c>
      <c r="J2" s="10">
        <v>0.32049999999999995</v>
      </c>
      <c r="K2" s="10">
        <v>0.34189999999999998</v>
      </c>
      <c r="L2" s="10">
        <v>0.32589999999999997</v>
      </c>
      <c r="N2" s="7" t="s">
        <v>13</v>
      </c>
      <c r="O2" s="11">
        <f t="shared" ref="O2:Y2" si="0">AVERAGE(B2:B1129)</f>
        <v>0.18208387096774184</v>
      </c>
      <c r="P2" s="11">
        <f t="shared" si="0"/>
        <v>0.16616236559139785</v>
      </c>
      <c r="Q2" s="11">
        <f t="shared" si="0"/>
        <v>0.16019247311827953</v>
      </c>
      <c r="R2" s="11">
        <f t="shared" si="0"/>
        <v>0.15596881720430103</v>
      </c>
      <c r="S2" s="11">
        <f t="shared" si="0"/>
        <v>0.14828387096774193</v>
      </c>
      <c r="T2" s="11">
        <f t="shared" si="0"/>
        <v>0.14978387096774198</v>
      </c>
      <c r="U2" s="11">
        <f t="shared" si="0"/>
        <v>0.14309032258064522</v>
      </c>
      <c r="V2" s="11">
        <f t="shared" si="0"/>
        <v>0.13691505376344087</v>
      </c>
      <c r="W2" s="11">
        <f t="shared" si="0"/>
        <v>0.12799677419354835</v>
      </c>
      <c r="X2" s="11">
        <f t="shared" si="0"/>
        <v>0.11273010752688174</v>
      </c>
      <c r="Y2" s="11">
        <f t="shared" si="0"/>
        <v>0.11920860215053761</v>
      </c>
    </row>
    <row r="3" spans="1:25" x14ac:dyDescent="0.35">
      <c r="A3" s="1">
        <v>1928</v>
      </c>
      <c r="B3" s="10">
        <v>0.59909999999999997</v>
      </c>
      <c r="C3" s="10">
        <v>0.44540000000000002</v>
      </c>
      <c r="D3" s="10">
        <v>0.38159999999999994</v>
      </c>
      <c r="E3" s="10">
        <v>0.3367</v>
      </c>
      <c r="F3" s="10">
        <v>0.39289999999999997</v>
      </c>
      <c r="G3" s="10">
        <v>0.47399999999999998</v>
      </c>
      <c r="H3" s="10">
        <v>0.42670000000000002</v>
      </c>
      <c r="I3" s="10">
        <v>0.39659999999999995</v>
      </c>
      <c r="J3" s="10">
        <v>0.37259999999999999</v>
      </c>
      <c r="K3" s="10">
        <v>0.37619999999999998</v>
      </c>
      <c r="L3" s="10">
        <v>0.38950000000000001</v>
      </c>
      <c r="N3" s="7" t="s">
        <v>14</v>
      </c>
      <c r="O3" s="11">
        <f t="shared" ref="O3:Y3" si="1">_xlfn.STDEV.S(B2:B1129)</f>
        <v>0.3865679335343617</v>
      </c>
      <c r="P3" s="11">
        <f t="shared" si="1"/>
        <v>0.3545577379588789</v>
      </c>
      <c r="Q3" s="11">
        <f t="shared" si="1"/>
        <v>0.30048180883828934</v>
      </c>
      <c r="R3" s="11">
        <f t="shared" si="1"/>
        <v>0.28965753316125592</v>
      </c>
      <c r="S3" s="11">
        <f t="shared" si="1"/>
        <v>0.26669162793559847</v>
      </c>
      <c r="T3" s="11">
        <f t="shared" si="1"/>
        <v>0.25383071699303966</v>
      </c>
      <c r="U3" s="11">
        <f t="shared" si="1"/>
        <v>0.25134451069697844</v>
      </c>
      <c r="V3" s="11">
        <f t="shared" si="1"/>
        <v>0.22823653631715379</v>
      </c>
      <c r="W3" s="11">
        <f t="shared" si="1"/>
        <v>0.21348793187133189</v>
      </c>
      <c r="X3" s="11">
        <f t="shared" si="1"/>
        <v>0.18925452311230653</v>
      </c>
      <c r="Y3" s="11">
        <f t="shared" si="1"/>
        <v>0.20032595376357423</v>
      </c>
    </row>
    <row r="4" spans="1:25" x14ac:dyDescent="0.35">
      <c r="A4" s="1">
        <v>1929</v>
      </c>
      <c r="B4" s="10">
        <v>-0.46610000000000001</v>
      </c>
      <c r="C4" s="10">
        <v>-0.48270000000000002</v>
      </c>
      <c r="D4" s="10">
        <v>-0.47049999999999997</v>
      </c>
      <c r="E4" s="10">
        <v>-0.32240000000000002</v>
      </c>
      <c r="F4" s="10">
        <v>-0.32919999999999999</v>
      </c>
      <c r="G4" s="10">
        <v>-0.28439999999999999</v>
      </c>
      <c r="H4" s="10">
        <v>-0.24670000000000003</v>
      </c>
      <c r="I4" s="10">
        <v>-0.23469999999999999</v>
      </c>
      <c r="J4" s="10">
        <v>-7.46E-2</v>
      </c>
      <c r="K4" s="10">
        <v>-9.2100000000000015E-2</v>
      </c>
      <c r="L4" s="10">
        <v>-0.1479</v>
      </c>
      <c r="N4" s="7" t="s">
        <v>15</v>
      </c>
      <c r="O4" s="6">
        <f t="shared" ref="O4:Y4" si="2">(O2-$O$8)/O3</f>
        <v>0.38659313487089914</v>
      </c>
      <c r="P4" s="6">
        <f t="shared" si="2"/>
        <v>0.37659029713449954</v>
      </c>
      <c r="Q4" s="6">
        <f t="shared" si="2"/>
        <v>0.42449528611829329</v>
      </c>
      <c r="R4" s="6">
        <f t="shared" si="2"/>
        <v>0.42577679287738185</v>
      </c>
      <c r="S4" s="6">
        <f t="shared" si="2"/>
        <v>0.43362632025906911</v>
      </c>
      <c r="T4" s="6">
        <f t="shared" si="2"/>
        <v>0.4615064348923012</v>
      </c>
      <c r="U4" s="6">
        <f t="shared" si="2"/>
        <v>0.43944051362903075</v>
      </c>
      <c r="V4" s="6">
        <f t="shared" si="2"/>
        <v>0.45687554562435817</v>
      </c>
      <c r="W4" s="6">
        <f t="shared" si="2"/>
        <v>0.44666418216507053</v>
      </c>
      <c r="X4" s="6">
        <f t="shared" si="2"/>
        <v>0.42319065620020646</v>
      </c>
      <c r="Y4" s="6">
        <f t="shared" si="2"/>
        <v>0.4321419108308826</v>
      </c>
    </row>
    <row r="5" spans="1:25" x14ac:dyDescent="0.35">
      <c r="A5" s="1">
        <v>1930</v>
      </c>
      <c r="B5" s="10">
        <v>-0.50029999999999997</v>
      </c>
      <c r="C5" s="10">
        <v>-0.49979999999999997</v>
      </c>
      <c r="D5" s="10">
        <v>-0.4214</v>
      </c>
      <c r="E5" s="10">
        <v>-0.40920000000000001</v>
      </c>
      <c r="F5" s="10">
        <v>-0.3196</v>
      </c>
      <c r="G5" s="10">
        <v>-0.34200000000000003</v>
      </c>
      <c r="H5" s="10">
        <v>-0.38450000000000001</v>
      </c>
      <c r="I5" s="10">
        <v>-0.34439999999999998</v>
      </c>
      <c r="J5" s="10">
        <v>-0.37770000000000004</v>
      </c>
      <c r="K5" s="10">
        <v>-0.2402</v>
      </c>
      <c r="L5" s="10">
        <v>-0.28820000000000001</v>
      </c>
      <c r="N5" s="15" t="s">
        <v>18</v>
      </c>
      <c r="O5" s="11">
        <f>_xlfn.NORM.DIST(-0.1,O$2,O$3,TRUE)</f>
        <v>0.23278263903700164</v>
      </c>
      <c r="P5" s="11">
        <f t="shared" ref="P5:Y5" si="3">_xlfn.NORM.DIST(-0.1,P$2,P$3,TRUE)</f>
        <v>0.22642011598482906</v>
      </c>
      <c r="Q5" s="11">
        <f t="shared" si="3"/>
        <v>0.19326768779326556</v>
      </c>
      <c r="R5" s="11">
        <f t="shared" si="3"/>
        <v>0.18843053008384156</v>
      </c>
      <c r="S5" s="11">
        <f t="shared" si="3"/>
        <v>0.17593263459004893</v>
      </c>
      <c r="T5" s="11">
        <f t="shared" si="3"/>
        <v>0.16254376603628218</v>
      </c>
      <c r="U5" s="11">
        <f t="shared" si="3"/>
        <v>0.16673206166108651</v>
      </c>
      <c r="V5" s="11">
        <f t="shared" si="3"/>
        <v>0.14962938847641549</v>
      </c>
      <c r="W5" s="11">
        <f t="shared" si="3"/>
        <v>0.14276906384277271</v>
      </c>
      <c r="X5" s="11">
        <f t="shared" si="3"/>
        <v>0.13049752045431073</v>
      </c>
      <c r="Y5" s="11">
        <f t="shared" si="3"/>
        <v>0.13692056479109033</v>
      </c>
    </row>
    <row r="6" spans="1:25" x14ac:dyDescent="0.35">
      <c r="A6" s="1">
        <v>1931</v>
      </c>
      <c r="B6" s="10">
        <v>-0.44270000000000004</v>
      </c>
      <c r="C6" s="10">
        <v>-0.55090000000000006</v>
      </c>
      <c r="D6" s="10">
        <v>-0.44590000000000002</v>
      </c>
      <c r="E6" s="10">
        <v>-0.45319999999999999</v>
      </c>
      <c r="F6" s="10">
        <v>-0.48829999999999996</v>
      </c>
      <c r="G6" s="10">
        <v>-0.48420000000000002</v>
      </c>
      <c r="H6" s="10">
        <v>-0.43579999999999997</v>
      </c>
      <c r="I6" s="10">
        <v>-0.46710000000000002</v>
      </c>
      <c r="J6" s="10">
        <v>-0.51180000000000003</v>
      </c>
      <c r="K6" s="10">
        <v>-0.42180000000000001</v>
      </c>
      <c r="L6" s="10">
        <v>-0.44040000000000001</v>
      </c>
      <c r="N6" s="15" t="s">
        <v>19</v>
      </c>
      <c r="O6" s="11">
        <f>1-_xlfn.NORM.DIST(0.3,O$2,O$3,TRUE)</f>
        <v>0.38017035915771658</v>
      </c>
      <c r="P6" s="11">
        <f t="shared" ref="P6:Y6" si="4">1-_xlfn.NORM.DIST(0.3,P$2,P$3,TRUE)</f>
        <v>0.3529093220729107</v>
      </c>
      <c r="Q6" s="11">
        <f t="shared" si="4"/>
        <v>0.32086625108031108</v>
      </c>
      <c r="R6" s="11">
        <f t="shared" si="4"/>
        <v>0.30950763132458703</v>
      </c>
      <c r="S6" s="11">
        <f t="shared" si="4"/>
        <v>0.28471803144752839</v>
      </c>
      <c r="T6" s="11">
        <f t="shared" si="4"/>
        <v>0.27699343476010307</v>
      </c>
      <c r="U6" s="11">
        <f t="shared" si="4"/>
        <v>0.26622143190393532</v>
      </c>
      <c r="V6" s="11">
        <f t="shared" si="4"/>
        <v>0.23744556656368909</v>
      </c>
      <c r="W6" s="11">
        <f t="shared" si="4"/>
        <v>0.21021332901959944</v>
      </c>
      <c r="X6" s="11">
        <f t="shared" si="4"/>
        <v>0.16120600095074256</v>
      </c>
      <c r="Y6" s="11">
        <f t="shared" si="4"/>
        <v>0.18339933893019156</v>
      </c>
    </row>
    <row r="7" spans="1:25" x14ac:dyDescent="0.35">
      <c r="A7" s="1">
        <v>1932</v>
      </c>
      <c r="B7" s="10">
        <v>0.28079999999999999</v>
      </c>
      <c r="C7" s="10">
        <v>-2.8199999999999999E-2</v>
      </c>
      <c r="D7" s="10">
        <v>-3.8699999999999998E-2</v>
      </c>
      <c r="E7" s="10">
        <v>-7.9000000000000008E-3</v>
      </c>
      <c r="F7" s="10">
        <v>-0.11070000000000001</v>
      </c>
      <c r="G7" s="10">
        <v>-5.5999999999999994E-2</v>
      </c>
      <c r="H7" s="10">
        <v>-8.1799999999999998E-2</v>
      </c>
      <c r="I7" s="10">
        <v>3.8599999999999995E-2</v>
      </c>
      <c r="J7" s="10">
        <v>-2.5499999999999998E-2</v>
      </c>
      <c r="K7" s="10">
        <v>-0.1052</v>
      </c>
      <c r="L7" s="10">
        <v>-8.43E-2</v>
      </c>
      <c r="O7" s="9"/>
      <c r="P7" s="8"/>
      <c r="Q7" s="8"/>
      <c r="R7" s="8"/>
      <c r="S7" s="8"/>
      <c r="T7" s="8"/>
      <c r="U7" s="8"/>
      <c r="V7" s="8"/>
      <c r="W7" s="8"/>
      <c r="X7" s="8"/>
    </row>
    <row r="8" spans="1:25" x14ac:dyDescent="0.35">
      <c r="A8" s="1">
        <v>1933</v>
      </c>
      <c r="B8" s="10">
        <v>1.4761000000000002</v>
      </c>
      <c r="C8" s="10">
        <v>1.8208000000000002</v>
      </c>
      <c r="D8" s="10">
        <v>1.3663999999999998</v>
      </c>
      <c r="E8" s="10">
        <v>1.2199</v>
      </c>
      <c r="F8" s="10">
        <v>1.0827</v>
      </c>
      <c r="G8" s="10">
        <v>0.97920000000000007</v>
      </c>
      <c r="H8" s="10">
        <v>1.0935999999999999</v>
      </c>
      <c r="I8" s="10">
        <v>0.98580000000000001</v>
      </c>
      <c r="J8" s="10">
        <v>0.71499999999999997</v>
      </c>
      <c r="K8" s="10">
        <v>0.45850000000000002</v>
      </c>
      <c r="L8" s="10">
        <v>0.5734999999999999</v>
      </c>
      <c r="N8" s="7" t="s">
        <v>16</v>
      </c>
      <c r="O8" s="14">
        <v>3.2639361702127598E-2</v>
      </c>
      <c r="P8" s="3"/>
      <c r="Q8" s="3"/>
      <c r="R8" s="3"/>
      <c r="S8" s="3"/>
      <c r="T8" s="3"/>
      <c r="U8" s="3"/>
      <c r="V8" s="3"/>
      <c r="W8" s="3"/>
      <c r="X8" s="2"/>
      <c r="Y8" s="2"/>
    </row>
    <row r="9" spans="1:25" x14ac:dyDescent="0.35">
      <c r="A9" s="1">
        <v>1934</v>
      </c>
      <c r="B9" s="10">
        <v>0.2029</v>
      </c>
      <c r="C9" s="10">
        <v>0.33390000000000003</v>
      </c>
      <c r="D9" s="10">
        <v>0.20550000000000002</v>
      </c>
      <c r="E9" s="10">
        <v>0.1244</v>
      </c>
      <c r="F9" s="10">
        <v>0.14810000000000001</v>
      </c>
      <c r="G9" s="10">
        <v>0.17469999999999999</v>
      </c>
      <c r="H9" s="10">
        <v>9.1600000000000001E-2</v>
      </c>
      <c r="I9" s="10">
        <v>0.11449999999999999</v>
      </c>
      <c r="J9" s="10">
        <v>2.4300000000000002E-2</v>
      </c>
      <c r="K9" s="10">
        <v>1.38E-2</v>
      </c>
      <c r="L9" s="10">
        <v>3.1800000000000002E-2</v>
      </c>
    </row>
    <row r="10" spans="1:25" x14ac:dyDescent="0.35">
      <c r="A10" s="1">
        <v>1935</v>
      </c>
      <c r="B10" s="10">
        <v>0.56979999999999997</v>
      </c>
      <c r="C10" s="10">
        <v>0.75459999999999994</v>
      </c>
      <c r="D10" s="10">
        <v>0.67260000000000009</v>
      </c>
      <c r="E10" s="10">
        <v>0.68340000000000001</v>
      </c>
      <c r="F10" s="10">
        <v>0.56320000000000003</v>
      </c>
      <c r="G10" s="10">
        <v>0.62060000000000004</v>
      </c>
      <c r="H10" s="10">
        <v>0.38539999999999996</v>
      </c>
      <c r="I10" s="10">
        <v>0.39240000000000003</v>
      </c>
      <c r="J10" s="10">
        <v>0.50629999999999997</v>
      </c>
      <c r="K10" s="10">
        <v>0.43380000000000002</v>
      </c>
      <c r="L10" s="10">
        <v>0.45130000000000003</v>
      </c>
    </row>
    <row r="11" spans="1:25" x14ac:dyDescent="0.35">
      <c r="A11" s="1">
        <v>1936</v>
      </c>
      <c r="B11" s="10">
        <v>0.91370000000000007</v>
      </c>
      <c r="C11" s="10">
        <v>0.69629999999999992</v>
      </c>
      <c r="D11" s="10">
        <v>0.44450000000000001</v>
      </c>
      <c r="E11" s="10">
        <v>0.61219999999999997</v>
      </c>
      <c r="F11" s="10">
        <v>0.55000000000000004</v>
      </c>
      <c r="G11" s="10">
        <v>0.54359999999999997</v>
      </c>
      <c r="H11" s="10">
        <v>0.39350000000000002</v>
      </c>
      <c r="I11" s="10">
        <v>0.31670000000000004</v>
      </c>
      <c r="J11" s="10">
        <v>0.31759999999999999</v>
      </c>
      <c r="K11" s="10">
        <v>0.3054</v>
      </c>
      <c r="L11" s="10">
        <v>0.32250000000000001</v>
      </c>
    </row>
    <row r="12" spans="1:25" x14ac:dyDescent="0.35">
      <c r="A12" s="1">
        <v>1937</v>
      </c>
      <c r="B12" s="10">
        <v>-0.5353</v>
      </c>
      <c r="C12" s="10">
        <v>-0.53200000000000003</v>
      </c>
      <c r="D12" s="10">
        <v>-0.53590000000000004</v>
      </c>
      <c r="E12" s="10">
        <v>-0.50119999999999998</v>
      </c>
      <c r="F12" s="10">
        <v>-0.46529999999999999</v>
      </c>
      <c r="G12" s="10">
        <v>-0.46200000000000002</v>
      </c>
      <c r="H12" s="10">
        <v>-0.44770000000000004</v>
      </c>
      <c r="I12" s="10">
        <v>-0.37959999999999999</v>
      </c>
      <c r="J12" s="10">
        <v>-0.37520000000000003</v>
      </c>
      <c r="K12" s="10">
        <v>-0.316</v>
      </c>
      <c r="L12" s="10">
        <v>-0.34649999999999997</v>
      </c>
    </row>
    <row r="13" spans="1:25" x14ac:dyDescent="0.35">
      <c r="A13" s="1">
        <v>1938</v>
      </c>
      <c r="B13" s="10">
        <v>1.24E-2</v>
      </c>
      <c r="C13" s="10">
        <v>0.22390000000000002</v>
      </c>
      <c r="D13" s="10">
        <v>0.38539999999999996</v>
      </c>
      <c r="E13" s="10">
        <v>0.38</v>
      </c>
      <c r="F13" s="10">
        <v>0.40490000000000004</v>
      </c>
      <c r="G13" s="10">
        <v>0.43219999999999997</v>
      </c>
      <c r="H13" s="10">
        <v>0.3448</v>
      </c>
      <c r="I13" s="10">
        <v>0.39219999999999999</v>
      </c>
      <c r="J13" s="10">
        <v>0.33659999999999995</v>
      </c>
      <c r="K13" s="10">
        <v>0.25359999999999999</v>
      </c>
      <c r="L13" s="10">
        <v>0.28460000000000002</v>
      </c>
    </row>
    <row r="14" spans="1:25" x14ac:dyDescent="0.35">
      <c r="A14" s="1">
        <v>1939</v>
      </c>
      <c r="B14" s="10">
        <v>-4.9400000000000006E-2</v>
      </c>
      <c r="C14" s="10">
        <v>-4.2699999999999995E-2</v>
      </c>
      <c r="D14" s="10">
        <v>-6.8000000000000005E-2</v>
      </c>
      <c r="E14" s="10">
        <v>5.1000000000000004E-3</v>
      </c>
      <c r="F14" s="10">
        <v>6.0599999999999994E-2</v>
      </c>
      <c r="G14" s="10">
        <v>2.5099999999999997E-2</v>
      </c>
      <c r="H14" s="10">
        <v>-4.7599999999999996E-2</v>
      </c>
      <c r="I14" s="10">
        <v>-2.75E-2</v>
      </c>
      <c r="J14" s="10">
        <v>-6.3299999999999995E-2</v>
      </c>
      <c r="K14" s="10">
        <v>5.4299999999999994E-2</v>
      </c>
      <c r="L14" s="10">
        <v>2.7200000000000002E-2</v>
      </c>
    </row>
    <row r="15" spans="1:25" x14ac:dyDescent="0.35">
      <c r="A15" s="1">
        <v>1940</v>
      </c>
      <c r="B15" s="10">
        <v>-0.32119999999999999</v>
      </c>
      <c r="C15" s="10">
        <v>-7.5399999999999995E-2</v>
      </c>
      <c r="D15" s="10">
        <v>-2.5000000000000001E-2</v>
      </c>
      <c r="E15" s="10">
        <v>-5.0799999999999998E-2</v>
      </c>
      <c r="F15" s="10">
        <v>-3.2400000000000005E-2</v>
      </c>
      <c r="G15" s="10">
        <v>1.5100000000000001E-2</v>
      </c>
      <c r="H15" s="10">
        <v>-6.9400000000000003E-2</v>
      </c>
      <c r="I15" s="10">
        <v>-7.4700000000000003E-2</v>
      </c>
      <c r="J15" s="10">
        <v>-9.1499999999999998E-2</v>
      </c>
      <c r="K15" s="10">
        <v>-7.0699999999999999E-2</v>
      </c>
      <c r="L15" s="10">
        <v>-7.1399999999999991E-2</v>
      </c>
    </row>
    <row r="16" spans="1:25" x14ac:dyDescent="0.35">
      <c r="A16" s="1">
        <v>1941</v>
      </c>
      <c r="B16" s="10">
        <v>-6.0899999999999996E-2</v>
      </c>
      <c r="C16" s="10">
        <v>-0.13919999999999999</v>
      </c>
      <c r="D16" s="10">
        <v>-5.4000000000000006E-2</v>
      </c>
      <c r="E16" s="10">
        <v>-0.13439999999999999</v>
      </c>
      <c r="F16" s="10">
        <v>-0.13140000000000002</v>
      </c>
      <c r="G16" s="10">
        <v>-7.7100000000000002E-2</v>
      </c>
      <c r="H16" s="10">
        <v>-7.9299999999999995E-2</v>
      </c>
      <c r="I16" s="10">
        <v>-6.4699999999999994E-2</v>
      </c>
      <c r="J16" s="10">
        <v>-8.6999999999999994E-2</v>
      </c>
      <c r="K16" s="10">
        <v>-0.1125</v>
      </c>
      <c r="L16" s="10">
        <v>-0.10469999999999999</v>
      </c>
    </row>
    <row r="17" spans="1:12" x14ac:dyDescent="0.35">
      <c r="A17" s="1">
        <v>1942</v>
      </c>
      <c r="B17" s="10">
        <v>0.62570000000000003</v>
      </c>
      <c r="C17" s="10">
        <v>0.3165</v>
      </c>
      <c r="D17" s="10">
        <v>0.3049</v>
      </c>
      <c r="E17" s="10">
        <v>0.2979</v>
      </c>
      <c r="F17" s="10">
        <v>0.23769999999999999</v>
      </c>
      <c r="G17" s="10">
        <v>0.214</v>
      </c>
      <c r="H17" s="10">
        <v>0.217</v>
      </c>
      <c r="I17" s="10">
        <v>0.19829999999999998</v>
      </c>
      <c r="J17" s="10">
        <v>0.23629999999999998</v>
      </c>
      <c r="K17" s="10">
        <v>0.13900000000000001</v>
      </c>
      <c r="L17" s="10">
        <v>0.16469999999999999</v>
      </c>
    </row>
    <row r="18" spans="1:12" x14ac:dyDescent="0.35">
      <c r="A18" s="1">
        <v>1943</v>
      </c>
      <c r="B18" s="10">
        <v>1.4150999999999998</v>
      </c>
      <c r="C18" s="10">
        <v>0.98180000000000012</v>
      </c>
      <c r="D18" s="10">
        <v>0.73560000000000003</v>
      </c>
      <c r="E18" s="10">
        <v>0.78400000000000003</v>
      </c>
      <c r="F18" s="10">
        <v>0.46299999999999997</v>
      </c>
      <c r="G18" s="10">
        <v>0.50369999999999993</v>
      </c>
      <c r="H18" s="10">
        <v>0.39149999999999996</v>
      </c>
      <c r="I18" s="10">
        <v>0.31469999999999998</v>
      </c>
      <c r="J18" s="10">
        <v>0.35470000000000002</v>
      </c>
      <c r="K18" s="10">
        <v>0.2296</v>
      </c>
      <c r="L18" s="10">
        <v>0.28310000000000002</v>
      </c>
    </row>
    <row r="19" spans="1:12" x14ac:dyDescent="0.35">
      <c r="A19" s="1">
        <v>1944</v>
      </c>
      <c r="B19" s="10">
        <v>0.70550000000000002</v>
      </c>
      <c r="C19" s="10">
        <v>0.57650000000000001</v>
      </c>
      <c r="D19" s="10">
        <v>0.44369999999999998</v>
      </c>
      <c r="E19" s="10">
        <v>0.3453</v>
      </c>
      <c r="F19" s="10">
        <v>0.4138</v>
      </c>
      <c r="G19" s="10">
        <v>0.35729999999999995</v>
      </c>
      <c r="H19" s="10">
        <v>0.3488</v>
      </c>
      <c r="I19" s="10">
        <v>0.27750000000000002</v>
      </c>
      <c r="J19" s="10">
        <v>0.25559999999999999</v>
      </c>
      <c r="K19" s="10">
        <v>0.16829999999999998</v>
      </c>
      <c r="L19" s="10">
        <v>0.21299999999999997</v>
      </c>
    </row>
    <row r="20" spans="1:12" x14ac:dyDescent="0.35">
      <c r="A20" s="1">
        <v>1945</v>
      </c>
      <c r="B20" s="10">
        <v>0.9526</v>
      </c>
      <c r="C20" s="10">
        <v>0.7288</v>
      </c>
      <c r="D20" s="10">
        <v>0.69650000000000001</v>
      </c>
      <c r="E20" s="10">
        <v>0.69310000000000005</v>
      </c>
      <c r="F20" s="10">
        <v>0.5504</v>
      </c>
      <c r="G20" s="10">
        <v>0.55459999999999998</v>
      </c>
      <c r="H20" s="10">
        <v>0.67500000000000004</v>
      </c>
      <c r="I20" s="10">
        <v>0.53339999999999999</v>
      </c>
      <c r="J20" s="10">
        <v>0.45939999999999998</v>
      </c>
      <c r="K20" s="10">
        <v>0.30230000000000001</v>
      </c>
      <c r="L20" s="10">
        <v>0.3871</v>
      </c>
    </row>
    <row r="21" spans="1:12" x14ac:dyDescent="0.35">
      <c r="A21" s="1">
        <v>1946</v>
      </c>
      <c r="B21" s="10">
        <v>-0.1535</v>
      </c>
      <c r="C21" s="10">
        <v>-0.1191</v>
      </c>
      <c r="D21" s="10">
        <v>-0.15310000000000001</v>
      </c>
      <c r="E21" s="10">
        <v>-6.1799999999999994E-2</v>
      </c>
      <c r="F21" s="10">
        <v>-0.08</v>
      </c>
      <c r="G21" s="10">
        <v>-8.5600000000000009E-2</v>
      </c>
      <c r="H21" s="10">
        <v>-7.1300000000000002E-2</v>
      </c>
      <c r="I21" s="10">
        <v>-5.8400000000000001E-2</v>
      </c>
      <c r="J21" s="10">
        <v>-8.3199999999999996E-2</v>
      </c>
      <c r="K21" s="10">
        <v>-5.16E-2</v>
      </c>
      <c r="L21" s="10">
        <v>-6.3800000000000009E-2</v>
      </c>
    </row>
    <row r="22" spans="1:12" x14ac:dyDescent="0.35">
      <c r="A22" s="1">
        <v>1947</v>
      </c>
      <c r="B22" s="10">
        <v>-2.1000000000000001E-2</v>
      </c>
      <c r="C22" s="10">
        <v>-1.1599999999999999E-2</v>
      </c>
      <c r="D22" s="10">
        <v>5.3E-3</v>
      </c>
      <c r="E22" s="10">
        <v>-1.23E-2</v>
      </c>
      <c r="F22" s="10">
        <v>-3.0699999999999998E-2</v>
      </c>
      <c r="G22" s="10">
        <v>3.0499999999999999E-2</v>
      </c>
      <c r="H22" s="10">
        <v>1.7000000000000001E-2</v>
      </c>
      <c r="I22" s="10">
        <v>-1.8600000000000002E-2</v>
      </c>
      <c r="J22" s="10">
        <v>6.8999999999999999E-3</v>
      </c>
      <c r="K22" s="10">
        <v>5.5899999999999998E-2</v>
      </c>
      <c r="L22" s="10">
        <v>3.4500000000000003E-2</v>
      </c>
    </row>
    <row r="23" spans="1:12" x14ac:dyDescent="0.35">
      <c r="A23" s="1">
        <v>1948</v>
      </c>
      <c r="B23" s="10">
        <v>-1.7899999999999999E-2</v>
      </c>
      <c r="C23" s="10">
        <v>-8.3400000000000002E-2</v>
      </c>
      <c r="D23" s="10">
        <v>-4.8399999999999999E-2</v>
      </c>
      <c r="E23" s="10">
        <v>-2.8500000000000001E-2</v>
      </c>
      <c r="F23" s="10">
        <v>-6.5599999999999992E-2</v>
      </c>
      <c r="G23" s="10">
        <v>-1.89E-2</v>
      </c>
      <c r="H23" s="10">
        <v>-1.6200000000000003E-2</v>
      </c>
      <c r="I23" s="10">
        <v>2.1899999999999999E-2</v>
      </c>
      <c r="J23" s="10">
        <v>1.6E-2</v>
      </c>
      <c r="K23" s="10">
        <v>3.1E-2</v>
      </c>
      <c r="L23" s="10">
        <v>1.8800000000000001E-2</v>
      </c>
    </row>
    <row r="24" spans="1:12" x14ac:dyDescent="0.35">
      <c r="A24" s="1">
        <v>1949</v>
      </c>
      <c r="B24" s="10">
        <v>0.27589999999999998</v>
      </c>
      <c r="C24" s="10">
        <v>0.1772</v>
      </c>
      <c r="D24" s="10">
        <v>0.20730000000000001</v>
      </c>
      <c r="E24" s="10">
        <v>0.19159999999999999</v>
      </c>
      <c r="F24" s="10">
        <v>0.26960000000000001</v>
      </c>
      <c r="G24" s="10">
        <v>0.188</v>
      </c>
      <c r="H24" s="10">
        <v>0.22089999999999999</v>
      </c>
      <c r="I24" s="10">
        <v>0.2437</v>
      </c>
      <c r="J24" s="10">
        <v>0.24249999999999999</v>
      </c>
      <c r="K24" s="10">
        <v>0.18679999999999999</v>
      </c>
      <c r="L24" s="10">
        <v>0.20220000000000002</v>
      </c>
    </row>
    <row r="25" spans="1:12" x14ac:dyDescent="0.35">
      <c r="A25" s="1">
        <v>1950</v>
      </c>
      <c r="B25" s="10">
        <v>0.52549999999999997</v>
      </c>
      <c r="C25" s="10">
        <v>0.43459999999999999</v>
      </c>
      <c r="D25" s="10">
        <v>0.39299999999999996</v>
      </c>
      <c r="E25" s="10">
        <v>0.44700000000000001</v>
      </c>
      <c r="F25" s="10">
        <v>0.33189999999999997</v>
      </c>
      <c r="G25" s="10">
        <v>0.37369999999999998</v>
      </c>
      <c r="H25" s="10">
        <v>0.32429999999999998</v>
      </c>
      <c r="I25" s="10">
        <v>0.28170000000000001</v>
      </c>
      <c r="J25" s="10">
        <v>0.29830000000000001</v>
      </c>
      <c r="K25" s="10">
        <v>0.29160000000000003</v>
      </c>
      <c r="L25" s="10">
        <v>0.30020000000000002</v>
      </c>
    </row>
    <row r="26" spans="1:12" x14ac:dyDescent="0.35">
      <c r="A26" s="1">
        <v>1951</v>
      </c>
      <c r="B26" s="10">
        <v>3.5499999999999997E-2</v>
      </c>
      <c r="C26" s="10">
        <v>7.8799999999999995E-2</v>
      </c>
      <c r="D26" s="10">
        <v>0.1358</v>
      </c>
      <c r="E26" s="10">
        <v>0.1467</v>
      </c>
      <c r="F26" s="10">
        <v>0.18140000000000001</v>
      </c>
      <c r="G26" s="10">
        <v>0.1074</v>
      </c>
      <c r="H26" s="10">
        <v>0.18160000000000001</v>
      </c>
      <c r="I26" s="10">
        <v>0.20980000000000001</v>
      </c>
      <c r="J26" s="10">
        <v>0.21249999999999999</v>
      </c>
      <c r="K26" s="10">
        <v>0.21929999999999999</v>
      </c>
      <c r="L26" s="10">
        <v>0.20709999999999998</v>
      </c>
    </row>
    <row r="27" spans="1:12" x14ac:dyDescent="0.35">
      <c r="A27" s="1">
        <v>1952</v>
      </c>
      <c r="B27" s="10">
        <v>1.1899999999999999E-2</v>
      </c>
      <c r="C27" s="10">
        <v>6.9400000000000003E-2</v>
      </c>
      <c r="D27" s="10">
        <v>0.10369999999999999</v>
      </c>
      <c r="E27" s="10">
        <v>8.929999999999999E-2</v>
      </c>
      <c r="F27" s="10">
        <v>0.1106</v>
      </c>
      <c r="G27" s="10">
        <v>0.10619999999999999</v>
      </c>
      <c r="H27" s="10">
        <v>0.1229</v>
      </c>
      <c r="I27" s="10">
        <v>0.1208</v>
      </c>
      <c r="J27" s="10">
        <v>0.13070000000000001</v>
      </c>
      <c r="K27" s="10">
        <v>0.14419999999999999</v>
      </c>
      <c r="L27" s="10">
        <v>0.1346</v>
      </c>
    </row>
    <row r="28" spans="1:12" x14ac:dyDescent="0.35">
      <c r="A28" s="1">
        <v>1953</v>
      </c>
      <c r="B28" s="10">
        <v>-5.8499999999999996E-2</v>
      </c>
      <c r="C28" s="10">
        <v>-5.33E-2</v>
      </c>
      <c r="D28" s="10">
        <v>-6.5000000000000002E-2</v>
      </c>
      <c r="E28" s="10">
        <v>-2.3199999999999998E-2</v>
      </c>
      <c r="F28" s="10">
        <v>-1.21E-2</v>
      </c>
      <c r="G28" s="10">
        <v>-2.29E-2</v>
      </c>
      <c r="H28" s="10">
        <v>-6.4000000000000003E-3</v>
      </c>
      <c r="I28" s="10">
        <v>-1.7000000000000001E-3</v>
      </c>
      <c r="J28" s="10">
        <v>2.0099999999999996E-2</v>
      </c>
      <c r="K28" s="10">
        <v>1.09E-2</v>
      </c>
      <c r="L28" s="10">
        <v>7.7000000000000002E-3</v>
      </c>
    </row>
    <row r="29" spans="1:12" x14ac:dyDescent="0.35">
      <c r="A29" s="1">
        <v>1954</v>
      </c>
      <c r="B29" s="10">
        <v>0.64810000000000001</v>
      </c>
      <c r="C29" s="10">
        <v>0.62560000000000004</v>
      </c>
      <c r="D29" s="10">
        <v>0.57700000000000007</v>
      </c>
      <c r="E29" s="10">
        <v>0.5837</v>
      </c>
      <c r="F29" s="10">
        <v>0.59889999999999999</v>
      </c>
      <c r="G29" s="10">
        <v>0.57740000000000002</v>
      </c>
      <c r="H29" s="10">
        <v>0.49909999999999999</v>
      </c>
      <c r="I29" s="10">
        <v>0.56999999999999995</v>
      </c>
      <c r="J29" s="10">
        <v>0.50290000000000001</v>
      </c>
      <c r="K29" s="10">
        <v>0.48609999999999998</v>
      </c>
      <c r="L29" s="10">
        <v>0.50209999999999999</v>
      </c>
    </row>
    <row r="30" spans="1:12" x14ac:dyDescent="0.35">
      <c r="A30" s="1">
        <v>1955</v>
      </c>
      <c r="B30" s="10">
        <v>0.27399999999999997</v>
      </c>
      <c r="C30" s="10">
        <v>0.23430000000000001</v>
      </c>
      <c r="D30" s="10">
        <v>0.20629999999999998</v>
      </c>
      <c r="E30" s="10">
        <v>0.14400000000000002</v>
      </c>
      <c r="F30" s="10">
        <v>0.22359999999999999</v>
      </c>
      <c r="G30" s="10">
        <v>0.22170000000000001</v>
      </c>
      <c r="H30" s="10">
        <v>0.20069999999999999</v>
      </c>
      <c r="I30" s="10">
        <v>0.17579999999999998</v>
      </c>
      <c r="J30" s="10">
        <v>0.19269999999999998</v>
      </c>
      <c r="K30" s="10">
        <v>0.28710000000000002</v>
      </c>
      <c r="L30" s="10">
        <v>0.25319999999999998</v>
      </c>
    </row>
    <row r="31" spans="1:12" x14ac:dyDescent="0.35">
      <c r="A31" s="1">
        <v>1956</v>
      </c>
      <c r="B31" s="10">
        <v>-8.8000000000000005E-3</v>
      </c>
      <c r="C31" s="10">
        <v>7.5199999999999989E-2</v>
      </c>
      <c r="D31" s="10">
        <v>9.1600000000000001E-2</v>
      </c>
      <c r="E31" s="10">
        <v>8.5500000000000007E-2</v>
      </c>
      <c r="F31" s="10">
        <v>5.9800000000000006E-2</v>
      </c>
      <c r="G31" s="10">
        <v>0.10619999999999999</v>
      </c>
      <c r="H31" s="10">
        <v>9.0899999999999995E-2</v>
      </c>
      <c r="I31" s="10">
        <v>7.0599999999999996E-2</v>
      </c>
      <c r="J31" s="10">
        <v>0.11119999999999999</v>
      </c>
      <c r="K31" s="10">
        <v>8.1199999999999994E-2</v>
      </c>
      <c r="L31" s="10">
        <v>8.3599999999999994E-2</v>
      </c>
    </row>
    <row r="32" spans="1:12" x14ac:dyDescent="0.35">
      <c r="A32" s="1">
        <v>1957</v>
      </c>
      <c r="B32" s="10">
        <v>-0.15380000000000002</v>
      </c>
      <c r="C32" s="10">
        <v>-0.1343</v>
      </c>
      <c r="D32" s="10">
        <v>-0.1479</v>
      </c>
      <c r="E32" s="10">
        <v>-0.1527</v>
      </c>
      <c r="F32" s="10">
        <v>-0.18049999999999999</v>
      </c>
      <c r="G32" s="10">
        <v>-0.12590000000000001</v>
      </c>
      <c r="H32" s="10">
        <v>-0.11779999999999999</v>
      </c>
      <c r="I32" s="10">
        <v>-0.1305</v>
      </c>
      <c r="J32" s="10">
        <v>-9.5299999999999996E-2</v>
      </c>
      <c r="K32" s="10">
        <v>-9.2200000000000004E-2</v>
      </c>
      <c r="L32" s="10">
        <v>-0.1002</v>
      </c>
    </row>
    <row r="33" spans="1:12" x14ac:dyDescent="0.35">
      <c r="A33" s="1">
        <v>1958</v>
      </c>
      <c r="B33" s="10">
        <v>0.68959999999999999</v>
      </c>
      <c r="C33" s="10">
        <v>0.64080000000000004</v>
      </c>
      <c r="D33" s="10">
        <v>0.66010000000000002</v>
      </c>
      <c r="E33" s="10">
        <v>0.68079999999999996</v>
      </c>
      <c r="F33" s="10">
        <v>0.61419999999999997</v>
      </c>
      <c r="G33" s="10">
        <v>0.58109999999999995</v>
      </c>
      <c r="H33" s="10">
        <v>0.56540000000000001</v>
      </c>
      <c r="I33" s="10">
        <v>0.53670000000000007</v>
      </c>
      <c r="J33" s="10">
        <v>0.48950000000000005</v>
      </c>
      <c r="K33" s="10">
        <v>0.40840000000000004</v>
      </c>
      <c r="L33" s="10">
        <v>0.44990000000000002</v>
      </c>
    </row>
    <row r="34" spans="1:12" x14ac:dyDescent="0.35">
      <c r="A34" s="1">
        <v>1959</v>
      </c>
      <c r="B34" s="10">
        <v>0.12359999999999999</v>
      </c>
      <c r="C34" s="10">
        <v>0.26629999999999998</v>
      </c>
      <c r="D34" s="10">
        <v>0.17050000000000001</v>
      </c>
      <c r="E34" s="10">
        <v>0.2177</v>
      </c>
      <c r="F34" s="10">
        <v>0.1757</v>
      </c>
      <c r="G34" s="10">
        <v>0.2195</v>
      </c>
      <c r="H34" s="10">
        <v>0.16449999999999998</v>
      </c>
      <c r="I34" s="10">
        <v>0.13739999999999999</v>
      </c>
      <c r="J34" s="10">
        <v>9.1600000000000001E-2</v>
      </c>
      <c r="K34" s="10">
        <v>0.12470000000000001</v>
      </c>
      <c r="L34" s="10">
        <v>0.12710000000000002</v>
      </c>
    </row>
    <row r="35" spans="1:12" x14ac:dyDescent="0.35">
      <c r="A35" s="1">
        <v>1960</v>
      </c>
      <c r="B35" s="10">
        <v>-3.3099999999999997E-2</v>
      </c>
      <c r="C35" s="10">
        <v>-4.9699999999999994E-2</v>
      </c>
      <c r="D35" s="10">
        <v>-2.1600000000000001E-2</v>
      </c>
      <c r="E35" s="10">
        <v>-2.2000000000000002E-2</v>
      </c>
      <c r="F35" s="10">
        <v>-2.69E-2</v>
      </c>
      <c r="G35" s="10">
        <v>-8.0000000000000002E-3</v>
      </c>
      <c r="H35" s="10">
        <v>-9.7000000000000003E-3</v>
      </c>
      <c r="I35" s="10">
        <v>5.1500000000000004E-2</v>
      </c>
      <c r="J35" s="10">
        <v>7.2900000000000006E-2</v>
      </c>
      <c r="K35" s="10">
        <v>-1.8E-3</v>
      </c>
      <c r="L35" s="10">
        <v>1.2000000000000002E-2</v>
      </c>
    </row>
    <row r="36" spans="1:12" x14ac:dyDescent="0.35">
      <c r="A36" s="1">
        <v>1961</v>
      </c>
      <c r="B36" s="10">
        <v>0.28870000000000001</v>
      </c>
      <c r="C36" s="10">
        <v>0.30280000000000001</v>
      </c>
      <c r="D36" s="10">
        <v>0.34770000000000001</v>
      </c>
      <c r="E36" s="10">
        <v>0.3024</v>
      </c>
      <c r="F36" s="10">
        <v>0.27029999999999998</v>
      </c>
      <c r="G36" s="10">
        <v>0.29559999999999997</v>
      </c>
      <c r="H36" s="10">
        <v>0.30480000000000002</v>
      </c>
      <c r="I36" s="10">
        <v>0.29059999999999997</v>
      </c>
      <c r="J36" s="10">
        <v>0.25619999999999998</v>
      </c>
      <c r="K36" s="10">
        <v>0.26519999999999999</v>
      </c>
      <c r="L36" s="10">
        <v>0.26939999999999997</v>
      </c>
    </row>
    <row r="37" spans="1:12" x14ac:dyDescent="0.35">
      <c r="A37" s="1">
        <v>1962</v>
      </c>
      <c r="B37" s="10">
        <v>-0.10970000000000001</v>
      </c>
      <c r="C37" s="10">
        <v>-0.12179999999999999</v>
      </c>
      <c r="D37" s="10">
        <v>-0.1198</v>
      </c>
      <c r="E37" s="10">
        <v>-0.1507</v>
      </c>
      <c r="F37" s="10">
        <v>-0.1641</v>
      </c>
      <c r="G37" s="10">
        <v>-0.13619999999999999</v>
      </c>
      <c r="H37" s="10">
        <v>-0.1143</v>
      </c>
      <c r="I37" s="10">
        <v>-0.13239999999999999</v>
      </c>
      <c r="J37" s="10">
        <v>-8.0199999999999994E-2</v>
      </c>
      <c r="K37" s="10">
        <v>-8.929999999999999E-2</v>
      </c>
      <c r="L37" s="10">
        <v>-0.1017</v>
      </c>
    </row>
    <row r="38" spans="1:12" x14ac:dyDescent="0.35">
      <c r="A38" s="1">
        <v>1963</v>
      </c>
      <c r="B38" s="10">
        <v>0.19450000000000001</v>
      </c>
      <c r="C38" s="10">
        <v>0.17920000000000003</v>
      </c>
      <c r="D38" s="10">
        <v>0.22550000000000001</v>
      </c>
      <c r="E38" s="10">
        <v>0.1588</v>
      </c>
      <c r="F38" s="10">
        <v>0.21309999999999998</v>
      </c>
      <c r="G38" s="10">
        <v>0.1376</v>
      </c>
      <c r="H38" s="10">
        <v>0.1603</v>
      </c>
      <c r="I38" s="10">
        <v>0.17730000000000001</v>
      </c>
      <c r="J38" s="10">
        <v>0.21299999999999999</v>
      </c>
      <c r="K38" s="10">
        <v>0.22409999999999999</v>
      </c>
      <c r="L38" s="10">
        <v>0.20960000000000001</v>
      </c>
    </row>
    <row r="39" spans="1:12" x14ac:dyDescent="0.35">
      <c r="A39" s="1">
        <v>1964</v>
      </c>
      <c r="B39" s="10">
        <v>0.23260000000000003</v>
      </c>
      <c r="C39" s="10">
        <v>0.14580000000000001</v>
      </c>
      <c r="D39" s="10">
        <v>0.1956</v>
      </c>
      <c r="E39" s="10">
        <v>0.1477</v>
      </c>
      <c r="F39" s="10">
        <v>0.16600000000000001</v>
      </c>
      <c r="G39" s="10">
        <v>0.1825</v>
      </c>
      <c r="H39" s="10">
        <v>0.17989999999999998</v>
      </c>
      <c r="I39" s="10">
        <v>0.1898</v>
      </c>
      <c r="J39" s="10">
        <v>0.13730000000000001</v>
      </c>
      <c r="K39" s="10">
        <v>0.1598</v>
      </c>
      <c r="L39" s="10">
        <v>0.16079999999999997</v>
      </c>
    </row>
    <row r="40" spans="1:12" x14ac:dyDescent="0.35">
      <c r="A40" s="1">
        <v>1965</v>
      </c>
      <c r="B40" s="10">
        <v>0.45630000000000004</v>
      </c>
      <c r="C40" s="10">
        <v>0.31209999999999999</v>
      </c>
      <c r="D40" s="10">
        <v>0.31059999999999999</v>
      </c>
      <c r="E40" s="10">
        <v>0.42549999999999999</v>
      </c>
      <c r="F40" s="10">
        <v>0.38579999999999998</v>
      </c>
      <c r="G40" s="10">
        <v>0.3155</v>
      </c>
      <c r="H40" s="10">
        <v>0.2462</v>
      </c>
      <c r="I40" s="10">
        <v>0.25209999999999999</v>
      </c>
      <c r="J40" s="10">
        <v>0.1996</v>
      </c>
      <c r="K40" s="10">
        <v>8.8100000000000012E-2</v>
      </c>
      <c r="L40" s="10">
        <v>0.14449999999999999</v>
      </c>
    </row>
    <row r="41" spans="1:12" x14ac:dyDescent="0.35">
      <c r="A41" s="1">
        <v>1966</v>
      </c>
      <c r="B41" s="10">
        <v>-9.6099999999999991E-2</v>
      </c>
      <c r="C41" s="10">
        <v>-3.8300000000000001E-2</v>
      </c>
      <c r="D41" s="10">
        <v>-4.5599999999999995E-2</v>
      </c>
      <c r="E41" s="10">
        <v>-8.4600000000000009E-2</v>
      </c>
      <c r="F41" s="10">
        <v>-5.2199999999999996E-2</v>
      </c>
      <c r="G41" s="10">
        <v>-5.2199999999999996E-2</v>
      </c>
      <c r="H41" s="10">
        <v>-7.6499999999999999E-2</v>
      </c>
      <c r="I41" s="10">
        <v>-3.1400000000000004E-2</v>
      </c>
      <c r="J41" s="10">
        <v>-4.3400000000000001E-2</v>
      </c>
      <c r="K41" s="10">
        <v>-0.10970000000000001</v>
      </c>
      <c r="L41" s="10">
        <v>-8.7499999999999994E-2</v>
      </c>
    </row>
    <row r="42" spans="1:12" x14ac:dyDescent="0.35">
      <c r="A42" s="1">
        <v>1967</v>
      </c>
      <c r="B42" s="10">
        <v>1.1682999999999999</v>
      </c>
      <c r="C42" s="10">
        <v>0.90139999999999998</v>
      </c>
      <c r="D42" s="10">
        <v>0.76049999999999995</v>
      </c>
      <c r="E42" s="10">
        <v>0.73239999999999994</v>
      </c>
      <c r="F42" s="10">
        <v>0.51600000000000001</v>
      </c>
      <c r="G42" s="10">
        <v>0.52749999999999997</v>
      </c>
      <c r="H42" s="10">
        <v>0.44130000000000003</v>
      </c>
      <c r="I42" s="10">
        <v>0.28260000000000002</v>
      </c>
      <c r="J42" s="10">
        <v>0.21590000000000001</v>
      </c>
      <c r="K42" s="10">
        <v>0.218</v>
      </c>
      <c r="L42" s="10">
        <v>0.28699999999999998</v>
      </c>
    </row>
    <row r="43" spans="1:12" x14ac:dyDescent="0.35">
      <c r="A43" s="1">
        <v>1968</v>
      </c>
      <c r="B43" s="10">
        <v>0.60009999999999997</v>
      </c>
      <c r="C43" s="10">
        <v>0.39270000000000005</v>
      </c>
      <c r="D43" s="10">
        <v>0.39049999999999996</v>
      </c>
      <c r="E43" s="10">
        <v>0.27110000000000001</v>
      </c>
      <c r="F43" s="10">
        <v>0.34590000000000004</v>
      </c>
      <c r="G43" s="10">
        <v>0.218</v>
      </c>
      <c r="H43" s="10">
        <v>0.2</v>
      </c>
      <c r="I43" s="10">
        <v>0.19440000000000002</v>
      </c>
      <c r="J43" s="10">
        <v>0.17679999999999998</v>
      </c>
      <c r="K43" s="10">
        <v>7.2800000000000004E-2</v>
      </c>
      <c r="L43" s="10">
        <v>0.14000000000000001</v>
      </c>
    </row>
    <row r="44" spans="1:12" x14ac:dyDescent="0.35">
      <c r="A44" s="1">
        <v>1969</v>
      </c>
      <c r="B44" s="10">
        <v>-0.33100000000000002</v>
      </c>
      <c r="C44" s="10">
        <v>-0.2923</v>
      </c>
      <c r="D44" s="10">
        <v>-0.22440000000000002</v>
      </c>
      <c r="E44" s="10">
        <v>-0.2175</v>
      </c>
      <c r="F44" s="10">
        <v>-0.18559999999999999</v>
      </c>
      <c r="G44" s="10">
        <v>-0.20399999999999999</v>
      </c>
      <c r="H44" s="10">
        <v>-0.1661</v>
      </c>
      <c r="I44" s="10">
        <v>-0.1255</v>
      </c>
      <c r="J44" s="10">
        <v>-0.1235</v>
      </c>
      <c r="K44" s="10">
        <v>-5.7099999999999998E-2</v>
      </c>
      <c r="L44" s="10">
        <v>-0.10959999999999999</v>
      </c>
    </row>
    <row r="45" spans="1:12" x14ac:dyDescent="0.35">
      <c r="A45" s="1">
        <v>1970</v>
      </c>
      <c r="B45" s="10">
        <v>-0.18870000000000001</v>
      </c>
      <c r="C45" s="10">
        <v>-0.16579999999999998</v>
      </c>
      <c r="D45" s="10">
        <v>-8.8599999999999998E-2</v>
      </c>
      <c r="E45" s="10">
        <v>-0.1116</v>
      </c>
      <c r="F45" s="10">
        <v>-7.3399999999999993E-2</v>
      </c>
      <c r="G45" s="10">
        <v>-6.0299999999999999E-2</v>
      </c>
      <c r="H45" s="10">
        <v>-2.86E-2</v>
      </c>
      <c r="I45" s="10">
        <v>2.6200000000000001E-2</v>
      </c>
      <c r="J45" s="10">
        <v>4.0099999999999997E-2</v>
      </c>
      <c r="K45" s="10">
        <v>2.2799999999999997E-2</v>
      </c>
      <c r="L45" s="10">
        <v>2.9999999999999363E-4</v>
      </c>
    </row>
    <row r="46" spans="1:12" x14ac:dyDescent="0.35">
      <c r="A46" s="1">
        <v>1971</v>
      </c>
      <c r="B46" s="10">
        <v>0.16670000000000001</v>
      </c>
      <c r="C46" s="10">
        <v>0.19640000000000002</v>
      </c>
      <c r="D46" s="10">
        <v>0.18010000000000001</v>
      </c>
      <c r="E46" s="10">
        <v>0.26860000000000001</v>
      </c>
      <c r="F46" s="10">
        <v>0.21559999999999999</v>
      </c>
      <c r="G46" s="10">
        <v>0.20699999999999999</v>
      </c>
      <c r="H46" s="10">
        <v>0.2361</v>
      </c>
      <c r="I46" s="10">
        <v>0.21030000000000001</v>
      </c>
      <c r="J46" s="10">
        <v>0.13489999999999999</v>
      </c>
      <c r="K46" s="10">
        <v>0.14630000000000001</v>
      </c>
      <c r="L46" s="10">
        <v>0.16169999999999998</v>
      </c>
    </row>
    <row r="47" spans="1:12" x14ac:dyDescent="0.35">
      <c r="A47" s="1">
        <v>1972</v>
      </c>
      <c r="B47" s="10">
        <v>3.7000000000000002E-3</v>
      </c>
      <c r="C47" s="10">
        <v>-1.1000000000000001E-3</v>
      </c>
      <c r="D47" s="10">
        <v>3.6299999999999999E-2</v>
      </c>
      <c r="E47" s="10">
        <v>8.3699999999999997E-2</v>
      </c>
      <c r="F47" s="10">
        <v>8.7799999999999989E-2</v>
      </c>
      <c r="G47" s="10">
        <v>0.10710000000000001</v>
      </c>
      <c r="H47" s="10">
        <v>0.1038</v>
      </c>
      <c r="I47" s="10">
        <v>7.2499999999999995E-2</v>
      </c>
      <c r="J47" s="10">
        <v>0.1108</v>
      </c>
      <c r="K47" s="10">
        <v>0.22030000000000002</v>
      </c>
      <c r="L47" s="10">
        <v>0.16889999999999999</v>
      </c>
    </row>
    <row r="48" spans="1:12" x14ac:dyDescent="0.35">
      <c r="A48" s="1">
        <v>1973</v>
      </c>
      <c r="B48" s="10">
        <v>-0.38670000000000004</v>
      </c>
      <c r="C48" s="10">
        <v>-0.36969999999999997</v>
      </c>
      <c r="D48" s="10">
        <v>-0.33479999999999999</v>
      </c>
      <c r="E48" s="10">
        <v>-0.35499999999999998</v>
      </c>
      <c r="F48" s="10">
        <v>-0.32030000000000003</v>
      </c>
      <c r="G48" s="10">
        <v>-0.2903</v>
      </c>
      <c r="H48" s="10">
        <v>-0.28139999999999998</v>
      </c>
      <c r="I48" s="10">
        <v>-0.22070000000000001</v>
      </c>
      <c r="J48" s="10">
        <v>-0.20219999999999999</v>
      </c>
      <c r="K48" s="10">
        <v>-0.13320000000000001</v>
      </c>
      <c r="L48" s="10">
        <v>-0.19260000000000002</v>
      </c>
    </row>
    <row r="49" spans="1:12" x14ac:dyDescent="0.35">
      <c r="A49" s="1">
        <v>1974</v>
      </c>
      <c r="B49" s="10">
        <v>-0.26800000000000002</v>
      </c>
      <c r="C49" s="10">
        <v>-0.28389999999999999</v>
      </c>
      <c r="D49" s="10">
        <v>-0.28589999999999999</v>
      </c>
      <c r="E49" s="10">
        <v>-0.26750000000000002</v>
      </c>
      <c r="F49" s="10">
        <v>-0.29010000000000002</v>
      </c>
      <c r="G49" s="10">
        <v>-0.28089999999999998</v>
      </c>
      <c r="H49" s="10">
        <v>-0.3095</v>
      </c>
      <c r="I49" s="10">
        <v>-0.27149999999999996</v>
      </c>
      <c r="J49" s="10">
        <v>-0.25569999999999998</v>
      </c>
      <c r="K49" s="10">
        <v>-0.27839999999999998</v>
      </c>
      <c r="L49" s="10">
        <v>-0.27750000000000002</v>
      </c>
    </row>
    <row r="50" spans="1:12" x14ac:dyDescent="0.35">
      <c r="A50" s="1">
        <v>1975</v>
      </c>
      <c r="B50" s="10">
        <v>0.5927</v>
      </c>
      <c r="C50" s="10">
        <v>0.60530000000000006</v>
      </c>
      <c r="D50" s="10">
        <v>0.54059999999999997</v>
      </c>
      <c r="E50" s="10">
        <v>0.4985</v>
      </c>
      <c r="F50" s="10">
        <v>0.4793</v>
      </c>
      <c r="G50" s="10">
        <v>0.47389999999999999</v>
      </c>
      <c r="H50" s="10">
        <v>0.5494</v>
      </c>
      <c r="I50" s="10">
        <v>0.46549999999999997</v>
      </c>
      <c r="J50" s="10">
        <v>0.39340000000000003</v>
      </c>
      <c r="K50" s="10">
        <v>0.33039999999999997</v>
      </c>
      <c r="L50" s="10">
        <v>0.38239999999999996</v>
      </c>
    </row>
    <row r="51" spans="1:12" x14ac:dyDescent="0.35">
      <c r="A51" s="1">
        <v>1976</v>
      </c>
      <c r="B51" s="10">
        <v>0.48330000000000001</v>
      </c>
      <c r="C51" s="10">
        <v>0.498</v>
      </c>
      <c r="D51" s="10">
        <v>0.45770000000000005</v>
      </c>
      <c r="E51" s="10">
        <v>0.46490000000000004</v>
      </c>
      <c r="F51" s="10">
        <v>0.48479999999999995</v>
      </c>
      <c r="G51" s="10">
        <v>0.40909999999999996</v>
      </c>
      <c r="H51" s="10">
        <v>0.38319999999999999</v>
      </c>
      <c r="I51" s="10">
        <v>0.34509999999999996</v>
      </c>
      <c r="J51" s="10">
        <v>0.29199999999999998</v>
      </c>
      <c r="K51" s="10">
        <v>0.20550000000000002</v>
      </c>
      <c r="L51" s="10">
        <v>0.26990000000000003</v>
      </c>
    </row>
    <row r="52" spans="1:12" x14ac:dyDescent="0.35">
      <c r="A52" s="1">
        <v>1977</v>
      </c>
      <c r="B52" s="10">
        <v>0.30859999999999999</v>
      </c>
      <c r="C52" s="10">
        <v>0.2278</v>
      </c>
      <c r="D52" s="10">
        <v>0.1855</v>
      </c>
      <c r="E52" s="10">
        <v>0.15920000000000001</v>
      </c>
      <c r="F52" s="10">
        <v>0.16089999999999999</v>
      </c>
      <c r="G52" s="10">
        <v>0.10009999999999999</v>
      </c>
      <c r="H52" s="10">
        <v>3.9300000000000002E-2</v>
      </c>
      <c r="I52" s="10">
        <v>7.7000000000000002E-3</v>
      </c>
      <c r="J52" s="10">
        <v>-4.2300000000000004E-2</v>
      </c>
      <c r="K52" s="10">
        <v>-8.7899999999999992E-2</v>
      </c>
      <c r="L52" s="10">
        <v>-3.1399999999999997E-2</v>
      </c>
    </row>
    <row r="53" spans="1:12" x14ac:dyDescent="0.35">
      <c r="A53" s="1">
        <v>1978</v>
      </c>
      <c r="B53" s="10">
        <v>0.28960000000000002</v>
      </c>
      <c r="C53" s="10">
        <v>0.1888</v>
      </c>
      <c r="D53" s="10">
        <v>0.18390000000000001</v>
      </c>
      <c r="E53" s="10">
        <v>0.193</v>
      </c>
      <c r="F53" s="10">
        <v>0.15560000000000002</v>
      </c>
      <c r="G53" s="10">
        <v>0.11689999999999999</v>
      </c>
      <c r="H53" s="10">
        <v>9.1300000000000006E-2</v>
      </c>
      <c r="I53" s="10">
        <v>7.5300000000000006E-2</v>
      </c>
      <c r="J53" s="10">
        <v>4.7800000000000002E-2</v>
      </c>
      <c r="K53" s="10">
        <v>6.3200000000000006E-2</v>
      </c>
      <c r="L53" s="10">
        <v>8.2099999999999992E-2</v>
      </c>
    </row>
    <row r="54" spans="1:12" x14ac:dyDescent="0.35">
      <c r="A54" s="1">
        <v>1979</v>
      </c>
      <c r="B54" s="10">
        <v>0.42170000000000002</v>
      </c>
      <c r="C54" s="10">
        <v>0.39779999999999999</v>
      </c>
      <c r="D54" s="10">
        <v>0.39689999999999998</v>
      </c>
      <c r="E54" s="10">
        <v>0.42280000000000001</v>
      </c>
      <c r="F54" s="10">
        <v>0.43859999999999999</v>
      </c>
      <c r="G54" s="10">
        <v>0.317</v>
      </c>
      <c r="H54" s="10">
        <v>0.3619</v>
      </c>
      <c r="I54" s="10">
        <v>0.29710000000000003</v>
      </c>
      <c r="J54" s="10">
        <v>0.30149999999999999</v>
      </c>
      <c r="K54" s="10">
        <v>0.14550000000000002</v>
      </c>
      <c r="L54" s="10">
        <v>0.23469999999999999</v>
      </c>
    </row>
    <row r="55" spans="1:12" x14ac:dyDescent="0.35">
      <c r="A55" s="1">
        <v>1980</v>
      </c>
      <c r="B55" s="10">
        <v>0.41770000000000002</v>
      </c>
      <c r="C55" s="10">
        <v>0.38189999999999996</v>
      </c>
      <c r="D55" s="10">
        <v>0.38090000000000002</v>
      </c>
      <c r="E55" s="10">
        <v>0.38689999999999997</v>
      </c>
      <c r="F55" s="10">
        <v>0.31180000000000002</v>
      </c>
      <c r="G55" s="10">
        <v>0.3362</v>
      </c>
      <c r="H55" s="10">
        <v>0.36479999999999996</v>
      </c>
      <c r="I55" s="10">
        <v>0.28960000000000002</v>
      </c>
      <c r="J55" s="10">
        <v>0.33229999999999998</v>
      </c>
      <c r="K55" s="10">
        <v>0.33140000000000003</v>
      </c>
      <c r="L55" s="10">
        <v>0.3337</v>
      </c>
    </row>
    <row r="56" spans="1:12" x14ac:dyDescent="0.35">
      <c r="A56" s="1">
        <v>1981</v>
      </c>
      <c r="B56" s="10">
        <v>-4.0800000000000003E-2</v>
      </c>
      <c r="C56" s="10">
        <v>1.4800000000000001E-2</v>
      </c>
      <c r="D56" s="10">
        <v>2.5699999999999997E-2</v>
      </c>
      <c r="E56" s="10">
        <v>5.9200000000000003E-2</v>
      </c>
      <c r="F56" s="10">
        <v>5.2499999999999998E-2</v>
      </c>
      <c r="G56" s="10">
        <v>2.46E-2</v>
      </c>
      <c r="H56" s="10">
        <v>2.4700000000000003E-2</v>
      </c>
      <c r="I56" s="10">
        <v>3.0800000000000001E-2</v>
      </c>
      <c r="J56" s="10">
        <v>-1.1599999999999999E-2</v>
      </c>
      <c r="K56" s="10">
        <v>-7.5700000000000003E-2</v>
      </c>
      <c r="L56" s="10">
        <v>-3.419999999999998E-2</v>
      </c>
    </row>
    <row r="57" spans="1:12" x14ac:dyDescent="0.35">
      <c r="A57" s="1">
        <v>1982</v>
      </c>
      <c r="B57" s="10">
        <v>0.27379999999999999</v>
      </c>
      <c r="C57" s="10">
        <v>0.28589999999999999</v>
      </c>
      <c r="D57" s="10">
        <v>0.27200000000000002</v>
      </c>
      <c r="E57" s="10">
        <v>0.27460000000000001</v>
      </c>
      <c r="F57" s="10">
        <v>0.29469999999999996</v>
      </c>
      <c r="G57" s="10">
        <v>0.308</v>
      </c>
      <c r="H57" s="10">
        <v>0.2402</v>
      </c>
      <c r="I57" s="10">
        <v>0.25690000000000002</v>
      </c>
      <c r="J57" s="10">
        <v>0.1686</v>
      </c>
      <c r="K57" s="10">
        <v>0.19070000000000001</v>
      </c>
      <c r="L57" s="10">
        <v>0.21199999999999999</v>
      </c>
    </row>
    <row r="58" spans="1:12" x14ac:dyDescent="0.35">
      <c r="A58" s="1">
        <v>1983</v>
      </c>
      <c r="B58" s="10">
        <v>0.34700000000000003</v>
      </c>
      <c r="C58" s="10">
        <v>0.33579999999999999</v>
      </c>
      <c r="D58" s="10">
        <v>0.32429999999999998</v>
      </c>
      <c r="E58" s="10">
        <v>0.30109999999999998</v>
      </c>
      <c r="F58" s="10">
        <v>0.26700000000000002</v>
      </c>
      <c r="G58" s="10">
        <v>0.27750000000000002</v>
      </c>
      <c r="H58" s="10">
        <v>0.25009999999999999</v>
      </c>
      <c r="I58" s="10">
        <v>0.21479999999999999</v>
      </c>
      <c r="J58" s="10">
        <v>0.20079999999999998</v>
      </c>
      <c r="K58" s="10">
        <v>0.20319999999999999</v>
      </c>
      <c r="L58" s="10">
        <v>0.22539999999999999</v>
      </c>
    </row>
    <row r="59" spans="1:12" x14ac:dyDescent="0.35">
      <c r="A59" s="1">
        <v>1984</v>
      </c>
      <c r="B59" s="10">
        <v>-0.14710000000000001</v>
      </c>
      <c r="C59" s="10">
        <v>-5.21E-2</v>
      </c>
      <c r="D59" s="10">
        <v>-3.3599999999999998E-2</v>
      </c>
      <c r="E59" s="10">
        <v>-1.7899999999999999E-2</v>
      </c>
      <c r="F59" s="10">
        <v>2.41E-2</v>
      </c>
      <c r="G59" s="10">
        <v>-1.7299999999999999E-2</v>
      </c>
      <c r="H59" s="10">
        <v>-2.7400000000000001E-2</v>
      </c>
      <c r="I59" s="10">
        <v>2.1499999999999998E-2</v>
      </c>
      <c r="J59" s="10">
        <v>6.8099999999999994E-2</v>
      </c>
      <c r="K59" s="10">
        <v>8.77E-2</v>
      </c>
      <c r="L59" s="10">
        <v>3.7999999999999999E-2</v>
      </c>
    </row>
    <row r="60" spans="1:12" x14ac:dyDescent="0.35">
      <c r="A60" s="1">
        <v>1985</v>
      </c>
      <c r="B60" s="10">
        <v>0.24640000000000001</v>
      </c>
      <c r="C60" s="10">
        <v>0.34630000000000005</v>
      </c>
      <c r="D60" s="10">
        <v>0.34630000000000005</v>
      </c>
      <c r="E60" s="10">
        <v>0.36729999999999996</v>
      </c>
      <c r="F60" s="10">
        <v>0.34630000000000005</v>
      </c>
      <c r="G60" s="10">
        <v>0.29330000000000001</v>
      </c>
      <c r="H60" s="10">
        <v>0.32130000000000003</v>
      </c>
      <c r="I60" s="10">
        <v>0.32420000000000004</v>
      </c>
      <c r="J60" s="10">
        <v>0.34259999999999996</v>
      </c>
      <c r="K60" s="10">
        <v>0.32569999999999999</v>
      </c>
      <c r="L60" s="10">
        <v>0.32630000000000003</v>
      </c>
    </row>
    <row r="61" spans="1:12" x14ac:dyDescent="0.35">
      <c r="A61" s="1">
        <v>1986</v>
      </c>
      <c r="B61" s="10">
        <v>1.9099999999999999E-2</v>
      </c>
      <c r="C61" s="10">
        <v>5.62E-2</v>
      </c>
      <c r="D61" s="10">
        <v>5.5099999999999996E-2</v>
      </c>
      <c r="E61" s="10">
        <v>0.1033</v>
      </c>
      <c r="F61" s="10">
        <v>0.10769999999999999</v>
      </c>
      <c r="G61" s="10">
        <v>0.16690000000000002</v>
      </c>
      <c r="H61" s="10">
        <v>0.18030000000000002</v>
      </c>
      <c r="I61" s="10">
        <v>0.16339999999999999</v>
      </c>
      <c r="J61" s="10">
        <v>0.17910000000000001</v>
      </c>
      <c r="K61" s="10">
        <v>0.18420000000000003</v>
      </c>
      <c r="L61" s="10">
        <v>0.1628</v>
      </c>
    </row>
    <row r="62" spans="1:12" x14ac:dyDescent="0.35">
      <c r="A62" s="1">
        <v>1987</v>
      </c>
      <c r="B62" s="10">
        <v>-0.1414</v>
      </c>
      <c r="C62" s="10">
        <v>-0.14219999999999999</v>
      </c>
      <c r="D62" s="10">
        <v>-7.0499999999999993E-2</v>
      </c>
      <c r="E62" s="10">
        <v>-7.6799999999999993E-2</v>
      </c>
      <c r="F62" s="10">
        <v>-3.7599999999999995E-2</v>
      </c>
      <c r="G62" s="10">
        <v>-1.41E-2</v>
      </c>
      <c r="H62" s="10">
        <v>3.7100000000000001E-2</v>
      </c>
      <c r="I62" s="10">
        <v>-5.1000000000000004E-3</v>
      </c>
      <c r="J62" s="10">
        <v>1.8200000000000001E-2</v>
      </c>
      <c r="K62" s="10">
        <v>5.16E-2</v>
      </c>
      <c r="L62" s="10">
        <v>1.5999999999999997E-2</v>
      </c>
    </row>
    <row r="63" spans="1:12" x14ac:dyDescent="0.35">
      <c r="A63" s="1">
        <v>1988</v>
      </c>
      <c r="B63" s="10">
        <v>0.1711</v>
      </c>
      <c r="C63" s="10">
        <v>0.21010000000000001</v>
      </c>
      <c r="D63" s="10">
        <v>0.26090000000000002</v>
      </c>
      <c r="E63" s="10">
        <v>0.2402</v>
      </c>
      <c r="F63" s="10">
        <v>0.21660000000000001</v>
      </c>
      <c r="G63" s="10">
        <v>0.20449999999999999</v>
      </c>
      <c r="H63" s="10">
        <v>0.20660000000000001</v>
      </c>
      <c r="I63" s="10">
        <v>0.1996</v>
      </c>
      <c r="J63" s="10">
        <v>0.1656</v>
      </c>
      <c r="K63" s="10">
        <v>0.16489999999999999</v>
      </c>
      <c r="L63" s="10">
        <v>0.17899999999999999</v>
      </c>
    </row>
    <row r="64" spans="1:12" x14ac:dyDescent="0.35">
      <c r="A64" s="1">
        <v>1989</v>
      </c>
      <c r="B64" s="10">
        <v>7.0000000000000007E-2</v>
      </c>
      <c r="C64" s="10">
        <v>0.1191</v>
      </c>
      <c r="D64" s="10">
        <v>0.20219999999999999</v>
      </c>
      <c r="E64" s="10">
        <v>0.17309999999999998</v>
      </c>
      <c r="F64" s="10">
        <v>0.2235</v>
      </c>
      <c r="G64" s="10">
        <v>0.2225</v>
      </c>
      <c r="H64" s="10">
        <v>0.24789999999999998</v>
      </c>
      <c r="I64" s="10">
        <v>0.28489999999999999</v>
      </c>
      <c r="J64" s="10">
        <v>0.30320000000000003</v>
      </c>
      <c r="K64" s="10">
        <v>0.32909999999999995</v>
      </c>
      <c r="L64" s="10">
        <v>0.28859999999999997</v>
      </c>
    </row>
    <row r="65" spans="1:12" x14ac:dyDescent="0.35">
      <c r="A65" s="1">
        <v>1990</v>
      </c>
      <c r="B65" s="10">
        <v>-0.27789999999999998</v>
      </c>
      <c r="C65" s="10">
        <v>-0.26829999999999998</v>
      </c>
      <c r="D65" s="10">
        <v>-0.17670000000000002</v>
      </c>
      <c r="E65" s="10">
        <v>-0.20420000000000002</v>
      </c>
      <c r="F65" s="10">
        <v>-0.16969999999999999</v>
      </c>
      <c r="G65" s="10">
        <v>-0.12429999999999999</v>
      </c>
      <c r="H65" s="10">
        <v>-8.3499999999999991E-2</v>
      </c>
      <c r="I65" s="10">
        <v>-0.12210000000000001</v>
      </c>
      <c r="J65" s="10">
        <v>-7.8399999999999997E-2</v>
      </c>
      <c r="K65" s="10">
        <v>-7.4000000000000003E-3</v>
      </c>
      <c r="L65" s="10">
        <v>-6.1399999999999996E-2</v>
      </c>
    </row>
    <row r="66" spans="1:12" x14ac:dyDescent="0.35">
      <c r="A66" s="1">
        <v>1991</v>
      </c>
      <c r="B66" s="10">
        <v>0.46490000000000004</v>
      </c>
      <c r="C66" s="10">
        <v>0.50439999999999996</v>
      </c>
      <c r="D66" s="10">
        <v>0.44969999999999999</v>
      </c>
      <c r="E66" s="10">
        <v>0.46189999999999998</v>
      </c>
      <c r="F66" s="10">
        <v>0.51719999999999999</v>
      </c>
      <c r="G66" s="10">
        <v>0.44290000000000002</v>
      </c>
      <c r="H66" s="10">
        <v>0.39250000000000002</v>
      </c>
      <c r="I66" s="10">
        <v>0.40799999999999997</v>
      </c>
      <c r="J66" s="10">
        <v>0.3785</v>
      </c>
      <c r="K66" s="10">
        <v>0.29880000000000001</v>
      </c>
      <c r="L66" s="10">
        <v>0.3478</v>
      </c>
    </row>
    <row r="67" spans="1:12" x14ac:dyDescent="0.35">
      <c r="A67" s="1">
        <v>1992</v>
      </c>
      <c r="B67" s="10">
        <v>0.25180000000000002</v>
      </c>
      <c r="C67" s="10">
        <v>0.17879999999999999</v>
      </c>
      <c r="D67" s="10">
        <v>0.1812</v>
      </c>
      <c r="E67" s="10">
        <v>0.1772</v>
      </c>
      <c r="F67" s="10">
        <v>0.20120000000000002</v>
      </c>
      <c r="G67" s="10">
        <v>0.22020000000000001</v>
      </c>
      <c r="H67" s="10">
        <v>0.1074</v>
      </c>
      <c r="I67" s="10">
        <v>0.16850000000000001</v>
      </c>
      <c r="J67" s="10">
        <v>0.12820000000000001</v>
      </c>
      <c r="K67" s="10">
        <v>5.28E-2</v>
      </c>
      <c r="L67" s="10">
        <v>9.74E-2</v>
      </c>
    </row>
    <row r="68" spans="1:12" x14ac:dyDescent="0.35">
      <c r="A68" s="1">
        <v>1993</v>
      </c>
      <c r="B68" s="10">
        <v>0.2571</v>
      </c>
      <c r="C68" s="10">
        <v>0.14029999999999998</v>
      </c>
      <c r="D68" s="10">
        <v>0.1898</v>
      </c>
      <c r="E68" s="10">
        <v>0.16399999999999998</v>
      </c>
      <c r="F68" s="10">
        <v>0.21239999999999998</v>
      </c>
      <c r="G68" s="10">
        <v>0.15259999999999999</v>
      </c>
      <c r="H68" s="10">
        <v>0.14279999999999998</v>
      </c>
      <c r="I68" s="10">
        <v>0.17249999999999999</v>
      </c>
      <c r="J68" s="10">
        <v>0.12240000000000001</v>
      </c>
      <c r="K68" s="10">
        <v>7.1300000000000002E-2</v>
      </c>
      <c r="L68" s="10">
        <v>0.11110000000000002</v>
      </c>
    </row>
    <row r="69" spans="1:12" x14ac:dyDescent="0.35">
      <c r="A69" s="1">
        <v>1994</v>
      </c>
      <c r="B69" s="10">
        <v>-5.21E-2</v>
      </c>
      <c r="C69" s="10">
        <v>-5.91E-2</v>
      </c>
      <c r="D69" s="10">
        <v>-2.4399999999999998E-2</v>
      </c>
      <c r="E69" s="10">
        <v>-2.3599999999999999E-2</v>
      </c>
      <c r="F69" s="10">
        <v>0</v>
      </c>
      <c r="G69" s="10">
        <v>7.3000000000000001E-3</v>
      </c>
      <c r="H69" s="10">
        <v>-2.3799999999999998E-2</v>
      </c>
      <c r="I69" s="10">
        <v>-2.9100000000000001E-2</v>
      </c>
      <c r="J69" s="10">
        <v>-1.2800000000000001E-2</v>
      </c>
      <c r="K69" s="10">
        <v>1.9299999999999998E-2</v>
      </c>
      <c r="L69" s="10">
        <v>-1.9999999999999974E-3</v>
      </c>
    </row>
    <row r="70" spans="1:12" x14ac:dyDescent="0.35">
      <c r="A70" s="1">
        <v>1995</v>
      </c>
      <c r="B70" s="10">
        <v>0.32479999999999998</v>
      </c>
      <c r="C70" s="10">
        <v>0.35460000000000003</v>
      </c>
      <c r="D70" s="10">
        <v>0.30940000000000001</v>
      </c>
      <c r="E70" s="10">
        <v>0.28920000000000001</v>
      </c>
      <c r="F70" s="10">
        <v>0.2452</v>
      </c>
      <c r="G70" s="10">
        <v>0.35520000000000002</v>
      </c>
      <c r="H70" s="10">
        <v>0.38569999999999999</v>
      </c>
      <c r="I70" s="10">
        <v>0.28550000000000003</v>
      </c>
      <c r="J70" s="10">
        <v>0.37219999999999998</v>
      </c>
      <c r="K70" s="10">
        <v>0.3972</v>
      </c>
      <c r="L70" s="10">
        <v>0.36820000000000003</v>
      </c>
    </row>
    <row r="71" spans="1:12" x14ac:dyDescent="0.35">
      <c r="A71" s="1">
        <v>1996</v>
      </c>
      <c r="B71" s="10">
        <v>0.1452</v>
      </c>
      <c r="C71" s="10">
        <v>0.18289999999999998</v>
      </c>
      <c r="D71" s="10">
        <v>0.17319999999999999</v>
      </c>
      <c r="E71" s="10">
        <v>0.16820000000000002</v>
      </c>
      <c r="F71" s="10">
        <v>0.15529999999999999</v>
      </c>
      <c r="G71" s="10">
        <v>0.12640000000000001</v>
      </c>
      <c r="H71" s="10">
        <v>0.2127</v>
      </c>
      <c r="I71" s="10">
        <v>0.16850000000000001</v>
      </c>
      <c r="J71" s="10">
        <v>0.18379999999999999</v>
      </c>
      <c r="K71" s="10">
        <v>0.2452</v>
      </c>
      <c r="L71" s="10">
        <v>0.21170000000000003</v>
      </c>
    </row>
    <row r="72" spans="1:12" x14ac:dyDescent="0.35">
      <c r="A72" s="1">
        <v>1997</v>
      </c>
      <c r="B72" s="10">
        <v>0.22</v>
      </c>
      <c r="C72" s="10">
        <v>0.25329999999999997</v>
      </c>
      <c r="D72" s="10">
        <v>0.1923</v>
      </c>
      <c r="E72" s="10">
        <v>0.24340000000000001</v>
      </c>
      <c r="F72" s="10">
        <v>0.26719999999999999</v>
      </c>
      <c r="G72" s="10">
        <v>0.23960000000000001</v>
      </c>
      <c r="H72" s="10">
        <v>0.27629999999999999</v>
      </c>
      <c r="I72" s="10">
        <v>0.22420000000000001</v>
      </c>
      <c r="J72" s="10">
        <v>0.32569999999999999</v>
      </c>
      <c r="K72" s="10">
        <v>0.35020000000000001</v>
      </c>
      <c r="L72" s="10">
        <v>0.31219999999999998</v>
      </c>
    </row>
    <row r="73" spans="1:12" x14ac:dyDescent="0.35">
      <c r="A73" s="1">
        <v>1998</v>
      </c>
      <c r="B73" s="10">
        <v>-0.1358</v>
      </c>
      <c r="C73" s="10">
        <v>-1.26E-2</v>
      </c>
      <c r="D73" s="10">
        <v>-3.15E-2</v>
      </c>
      <c r="E73" s="10">
        <v>2.3E-2</v>
      </c>
      <c r="F73" s="10">
        <v>1.21E-2</v>
      </c>
      <c r="G73" s="10">
        <v>1.1000000000000001E-3</v>
      </c>
      <c r="H73" s="10">
        <v>4.6600000000000003E-2</v>
      </c>
      <c r="I73" s="10">
        <v>6.2300000000000001E-2</v>
      </c>
      <c r="J73" s="10">
        <v>0.15029999999999999</v>
      </c>
      <c r="K73" s="10">
        <v>0.36170000000000002</v>
      </c>
      <c r="L73" s="10">
        <v>0.2432</v>
      </c>
    </row>
    <row r="74" spans="1:12" x14ac:dyDescent="0.35">
      <c r="A74" s="1">
        <v>1999</v>
      </c>
      <c r="B74" s="10">
        <v>0.3846</v>
      </c>
      <c r="C74" s="10">
        <v>0.42180000000000001</v>
      </c>
      <c r="D74" s="10">
        <v>0.25489999999999996</v>
      </c>
      <c r="E74" s="10">
        <v>0.21920000000000001</v>
      </c>
      <c r="F74" s="10">
        <v>0.34689999999999999</v>
      </c>
      <c r="G74" s="10">
        <v>0.1593</v>
      </c>
      <c r="H74" s="10">
        <v>0.32299999999999995</v>
      </c>
      <c r="I74" s="10">
        <v>0.34250000000000003</v>
      </c>
      <c r="J74" s="10">
        <v>0.17350000000000002</v>
      </c>
      <c r="K74" s="10">
        <v>0.21920000000000001</v>
      </c>
      <c r="L74" s="10">
        <v>0.2525</v>
      </c>
    </row>
    <row r="75" spans="1:12" x14ac:dyDescent="0.35">
      <c r="A75" s="1">
        <v>2000</v>
      </c>
      <c r="B75" s="10">
        <v>-9.6999999999999989E-2</v>
      </c>
      <c r="C75" s="10">
        <v>-3.9699999999999999E-2</v>
      </c>
      <c r="D75" s="10">
        <v>-4.0599999999999997E-2</v>
      </c>
      <c r="E75" s="10">
        <v>-8.1500000000000003E-2</v>
      </c>
      <c r="F75" s="10">
        <v>-0.09</v>
      </c>
      <c r="G75" s="10">
        <v>-2.9399999999999999E-2</v>
      </c>
      <c r="H75" s="10">
        <v>6.5000000000000006E-3</v>
      </c>
      <c r="I75" s="10">
        <v>6.7099999999999993E-2</v>
      </c>
      <c r="J75" s="10">
        <v>5.8099999999999999E-2</v>
      </c>
      <c r="K75" s="10">
        <v>-0.12520000000000001</v>
      </c>
      <c r="L75" s="10">
        <v>-0.11710000000000001</v>
      </c>
    </row>
    <row r="76" spans="1:12" x14ac:dyDescent="0.35">
      <c r="A76" s="1">
        <v>2001</v>
      </c>
      <c r="B76" s="10">
        <v>0.32520000000000004</v>
      </c>
      <c r="C76" s="10">
        <v>0.2681</v>
      </c>
      <c r="D76" s="10">
        <v>0.1648</v>
      </c>
      <c r="E76" s="10">
        <v>8.8699999999999987E-2</v>
      </c>
      <c r="F76" s="10">
        <v>1.78E-2</v>
      </c>
      <c r="G76" s="10">
        <v>-1.1000000000000001E-2</v>
      </c>
      <c r="H76" s="10">
        <v>6.0999999999999995E-3</v>
      </c>
      <c r="I76" s="10">
        <v>-2.4700000000000003E-2</v>
      </c>
      <c r="J76" s="10">
        <v>-6.4600000000000005E-2</v>
      </c>
      <c r="K76" s="10">
        <v>-0.1474</v>
      </c>
      <c r="L76" s="10">
        <v>-0.1137</v>
      </c>
    </row>
    <row r="77" spans="1:12" x14ac:dyDescent="0.35">
      <c r="A77" s="1">
        <v>2002</v>
      </c>
      <c r="B77" s="10">
        <v>-2.9900000000000003E-2</v>
      </c>
      <c r="C77" s="10">
        <v>-0.18149999999999999</v>
      </c>
      <c r="D77" s="10">
        <v>-0.2021</v>
      </c>
      <c r="E77" s="10">
        <v>-0.21160000000000001</v>
      </c>
      <c r="F77" s="10">
        <v>-0.192</v>
      </c>
      <c r="G77" s="10">
        <v>-0.1724</v>
      </c>
      <c r="H77" s="10">
        <v>-0.16750000000000001</v>
      </c>
      <c r="I77" s="10">
        <v>-0.18260000000000001</v>
      </c>
      <c r="J77" s="10">
        <v>-0.1711</v>
      </c>
      <c r="K77" s="10">
        <v>-0.23329999999999998</v>
      </c>
      <c r="L77" s="10">
        <v>-0.21110000000000004</v>
      </c>
    </row>
    <row r="78" spans="1:12" x14ac:dyDescent="0.35">
      <c r="A78" s="1">
        <v>2003</v>
      </c>
      <c r="B78" s="10">
        <v>0.91610000000000003</v>
      </c>
      <c r="C78" s="10">
        <v>0.625</v>
      </c>
      <c r="D78" s="10">
        <v>0.5141</v>
      </c>
      <c r="E78" s="10">
        <v>0.4819</v>
      </c>
      <c r="F78" s="10">
        <v>0.45939999999999998</v>
      </c>
      <c r="G78" s="10">
        <v>0.42570000000000002</v>
      </c>
      <c r="H78" s="10">
        <v>0.45399999999999996</v>
      </c>
      <c r="I78" s="10">
        <v>0.40350000000000003</v>
      </c>
      <c r="J78" s="10">
        <v>0.34740000000000004</v>
      </c>
      <c r="K78" s="10">
        <v>0.25619999999999998</v>
      </c>
      <c r="L78" s="10">
        <v>0.31769999999999998</v>
      </c>
    </row>
    <row r="79" spans="1:12" x14ac:dyDescent="0.35">
      <c r="A79" s="1">
        <v>2004</v>
      </c>
      <c r="B79" s="10">
        <v>0.1699</v>
      </c>
      <c r="C79" s="10">
        <v>0.11960000000000001</v>
      </c>
      <c r="D79" s="10">
        <v>0.23089999999999999</v>
      </c>
      <c r="E79" s="10">
        <v>0.20280000000000001</v>
      </c>
      <c r="F79" s="10">
        <v>0.18160000000000001</v>
      </c>
      <c r="G79" s="10">
        <v>0.1704</v>
      </c>
      <c r="H79" s="10">
        <v>0.2155</v>
      </c>
      <c r="I79" s="10">
        <v>0.15640000000000001</v>
      </c>
      <c r="J79" s="10">
        <v>0.2195</v>
      </c>
      <c r="K79" s="10">
        <v>7.7100000000000002E-2</v>
      </c>
      <c r="L79" s="10">
        <v>0.1192</v>
      </c>
    </row>
    <row r="80" spans="1:12" x14ac:dyDescent="0.35">
      <c r="A80" s="1">
        <v>2005</v>
      </c>
      <c r="B80" s="10">
        <v>3.7599999999999995E-2</v>
      </c>
      <c r="C80" s="10">
        <v>2.86E-2</v>
      </c>
      <c r="D80" s="10">
        <v>7.9600000000000004E-2</v>
      </c>
      <c r="E80" s="10">
        <v>7.9399999999999998E-2</v>
      </c>
      <c r="F80" s="10">
        <v>4.9800000000000004E-2</v>
      </c>
      <c r="G80" s="10">
        <v>0.11019999999999999</v>
      </c>
      <c r="H80" s="10">
        <v>0.1484</v>
      </c>
      <c r="I80" s="10">
        <v>0.1045</v>
      </c>
      <c r="J80" s="10">
        <v>0.13419999999999999</v>
      </c>
      <c r="K80" s="10">
        <v>3.2199999999999999E-2</v>
      </c>
      <c r="L80" s="10">
        <v>6.0700000000000004E-2</v>
      </c>
    </row>
    <row r="81" spans="1:12" x14ac:dyDescent="0.35">
      <c r="A81" s="1">
        <v>2006</v>
      </c>
      <c r="B81" s="10">
        <v>0.1855</v>
      </c>
      <c r="C81" s="10">
        <v>0.16769999999999999</v>
      </c>
      <c r="D81" s="10">
        <v>0.21059999999999998</v>
      </c>
      <c r="E81" s="10">
        <v>0.14990000000000001</v>
      </c>
      <c r="F81" s="10">
        <v>0.15839999999999999</v>
      </c>
      <c r="G81" s="10">
        <v>0.14180000000000001</v>
      </c>
      <c r="H81" s="10">
        <v>0.12330000000000001</v>
      </c>
      <c r="I81" s="10">
        <v>0.14130000000000001</v>
      </c>
      <c r="J81" s="10">
        <v>0.13980000000000001</v>
      </c>
      <c r="K81" s="10">
        <v>0.15820000000000001</v>
      </c>
      <c r="L81" s="10">
        <v>0.154</v>
      </c>
    </row>
    <row r="82" spans="1:12" x14ac:dyDescent="0.35">
      <c r="A82" s="1">
        <v>2007</v>
      </c>
      <c r="B82" s="10">
        <v>-8.6800000000000002E-2</v>
      </c>
      <c r="C82" s="10">
        <v>-7.4499999999999997E-2</v>
      </c>
      <c r="D82" s="10">
        <v>-3.1600000000000003E-2</v>
      </c>
      <c r="E82" s="10">
        <v>-1.9E-2</v>
      </c>
      <c r="F82" s="10">
        <v>8.2100000000000006E-2</v>
      </c>
      <c r="G82" s="10">
        <v>7.1300000000000002E-2</v>
      </c>
      <c r="H82" s="10">
        <v>3.6600000000000001E-2</v>
      </c>
      <c r="I82" s="10">
        <v>4.36E-2</v>
      </c>
      <c r="J82" s="10">
        <v>9.9399999999999988E-2</v>
      </c>
      <c r="K82" s="10">
        <v>6.480000000000001E-2</v>
      </c>
      <c r="L82" s="10">
        <v>5.7000000000000002E-2</v>
      </c>
    </row>
    <row r="83" spans="1:12" x14ac:dyDescent="0.35">
      <c r="A83" s="1">
        <v>2008</v>
      </c>
      <c r="B83" s="10">
        <v>-0.43700000000000006</v>
      </c>
      <c r="C83" s="10">
        <v>-0.37030000000000002</v>
      </c>
      <c r="D83" s="10">
        <v>-0.34460000000000002</v>
      </c>
      <c r="E83" s="10">
        <v>-0.29020000000000001</v>
      </c>
      <c r="F83" s="10">
        <v>-0.36070000000000002</v>
      </c>
      <c r="G83" s="10">
        <v>-0.28179999999999999</v>
      </c>
      <c r="H83" s="10">
        <v>-0.41090000000000004</v>
      </c>
      <c r="I83" s="10">
        <v>-0.3962</v>
      </c>
      <c r="J83" s="10">
        <v>-0.42070000000000002</v>
      </c>
      <c r="K83" s="10">
        <v>-0.35509999999999997</v>
      </c>
      <c r="L83" s="10">
        <v>-0.3674</v>
      </c>
    </row>
    <row r="84" spans="1:12" x14ac:dyDescent="0.35">
      <c r="A84" s="1">
        <v>2009</v>
      </c>
      <c r="B84" s="10">
        <v>0.45229999999999998</v>
      </c>
      <c r="C84" s="10">
        <v>0.30480000000000002</v>
      </c>
      <c r="D84" s="10">
        <v>0.35580000000000001</v>
      </c>
      <c r="E84" s="10">
        <v>0.30459999999999998</v>
      </c>
      <c r="F84" s="10">
        <v>0.379</v>
      </c>
      <c r="G84" s="10">
        <v>0.34720000000000001</v>
      </c>
      <c r="H84" s="10">
        <v>0.41399999999999998</v>
      </c>
      <c r="I84" s="10">
        <v>0.39529999999999998</v>
      </c>
      <c r="J84" s="10">
        <v>0.3735</v>
      </c>
      <c r="K84" s="10">
        <v>0.24249999999999999</v>
      </c>
      <c r="L84" s="10">
        <v>0.28360000000000002</v>
      </c>
    </row>
    <row r="85" spans="1:12" x14ac:dyDescent="0.35">
      <c r="A85" s="1">
        <v>2010</v>
      </c>
      <c r="B85" s="10">
        <v>0.27539999999999998</v>
      </c>
      <c r="C85" s="10">
        <v>0.3145</v>
      </c>
      <c r="D85" s="10">
        <v>0.28320000000000001</v>
      </c>
      <c r="E85" s="10">
        <v>0.26450000000000001</v>
      </c>
      <c r="F85" s="10">
        <v>0.3029</v>
      </c>
      <c r="G85" s="10">
        <v>0.29120000000000001</v>
      </c>
      <c r="H85" s="10">
        <v>0.24539999999999998</v>
      </c>
      <c r="I85" s="10">
        <v>0.2944</v>
      </c>
      <c r="J85" s="10">
        <v>0.2155</v>
      </c>
      <c r="K85" s="10">
        <v>0.1234</v>
      </c>
      <c r="L85" s="10">
        <v>0.17490000000000003</v>
      </c>
    </row>
    <row r="86" spans="1:12" x14ac:dyDescent="0.35">
      <c r="A86" s="1">
        <v>2011</v>
      </c>
      <c r="B86" s="10">
        <v>-0.1454</v>
      </c>
      <c r="C86" s="10">
        <v>-9.8299999999999998E-2</v>
      </c>
      <c r="D86" s="10">
        <v>-5.7300000000000004E-2</v>
      </c>
      <c r="E86" s="10">
        <v>-1.8500000000000003E-2</v>
      </c>
      <c r="F86" s="10">
        <v>-4.5700000000000005E-2</v>
      </c>
      <c r="G86" s="10">
        <v>2.7099999999999999E-2</v>
      </c>
      <c r="H86" s="10">
        <v>-1.4999999999999999E-2</v>
      </c>
      <c r="I86" s="10">
        <v>-1.1699999999999999E-2</v>
      </c>
      <c r="J86" s="10">
        <v>-2.1000000000000001E-2</v>
      </c>
      <c r="K86" s="10">
        <v>2.7999999999999997E-2</v>
      </c>
      <c r="L86" s="10">
        <v>4.7999999999999996E-3</v>
      </c>
    </row>
    <row r="87" spans="1:12" x14ac:dyDescent="0.35">
      <c r="A87" s="1">
        <v>2012</v>
      </c>
      <c r="B87" s="10">
        <v>0.18530000000000002</v>
      </c>
      <c r="C87" s="10">
        <v>0.15490000000000001</v>
      </c>
      <c r="D87" s="10">
        <v>0.18960000000000002</v>
      </c>
      <c r="E87" s="10">
        <v>0.14410000000000001</v>
      </c>
      <c r="F87" s="10">
        <v>0.19750000000000001</v>
      </c>
      <c r="G87" s="10">
        <v>0.16210000000000002</v>
      </c>
      <c r="H87" s="10">
        <v>0.15539999999999998</v>
      </c>
      <c r="I87" s="10">
        <v>0.16829999999999998</v>
      </c>
      <c r="J87" s="10">
        <v>0.15659999999999999</v>
      </c>
      <c r="K87" s="10">
        <v>0.16190000000000002</v>
      </c>
      <c r="L87" s="10">
        <v>0.16339999999999999</v>
      </c>
    </row>
    <row r="88" spans="1:12" x14ac:dyDescent="0.35">
      <c r="A88" s="1">
        <v>2013</v>
      </c>
      <c r="B88" s="10">
        <v>0.49770000000000003</v>
      </c>
      <c r="C88" s="10">
        <v>0.45669999999999999</v>
      </c>
      <c r="D88" s="10">
        <v>0.46740000000000004</v>
      </c>
      <c r="E88" s="10">
        <v>0.40289999999999998</v>
      </c>
      <c r="F88" s="10">
        <v>0.39829999999999999</v>
      </c>
      <c r="G88" s="10">
        <v>0.43530000000000002</v>
      </c>
      <c r="H88" s="10">
        <v>0.43810000000000004</v>
      </c>
      <c r="I88" s="10">
        <v>0.36649999999999999</v>
      </c>
      <c r="J88" s="10">
        <v>0.37170000000000003</v>
      </c>
      <c r="K88" s="10">
        <v>0.32530000000000003</v>
      </c>
      <c r="L88" s="10">
        <v>0.35220000000000007</v>
      </c>
    </row>
    <row r="89" spans="1:12" x14ac:dyDescent="0.35">
      <c r="A89" s="1">
        <v>2014</v>
      </c>
      <c r="B89" s="10">
        <v>1.11E-2</v>
      </c>
      <c r="C89" s="10">
        <v>1.2800000000000001E-2</v>
      </c>
      <c r="D89" s="10">
        <v>5.96E-2</v>
      </c>
      <c r="E89" s="10">
        <v>5.2600000000000001E-2</v>
      </c>
      <c r="F89" s="10">
        <v>4.9000000000000002E-2</v>
      </c>
      <c r="G89" s="10">
        <v>7.0499999999999993E-2</v>
      </c>
      <c r="H89" s="10">
        <v>5.4900000000000004E-2</v>
      </c>
      <c r="I89" s="10">
        <v>0.14710000000000001</v>
      </c>
      <c r="J89" s="10">
        <v>0.14899999999999999</v>
      </c>
      <c r="K89" s="10">
        <v>0.12509999999999999</v>
      </c>
      <c r="L89" s="10">
        <v>0.11719999999999998</v>
      </c>
    </row>
    <row r="90" spans="1:12" x14ac:dyDescent="0.35">
      <c r="A90" s="1">
        <v>2015</v>
      </c>
      <c r="B90" s="10">
        <v>-9.2300000000000007E-2</v>
      </c>
      <c r="C90" s="10">
        <v>-7.7600000000000002E-2</v>
      </c>
      <c r="D90" s="10">
        <v>-1.9599999999999999E-2</v>
      </c>
      <c r="E90" s="10">
        <v>-6.1500000000000006E-2</v>
      </c>
      <c r="F90" s="10">
        <v>-6.0700000000000004E-2</v>
      </c>
      <c r="G90" s="10">
        <v>-3.56E-2</v>
      </c>
      <c r="H90" s="10">
        <v>-3.1400000000000004E-2</v>
      </c>
      <c r="I90" s="10">
        <v>2.5000000000000001E-3</v>
      </c>
      <c r="J90" s="10">
        <v>-3.7100000000000001E-2</v>
      </c>
      <c r="K90" s="10">
        <v>1.95E-2</v>
      </c>
      <c r="L90" s="10">
        <v>9.0000000000000008E-4</v>
      </c>
    </row>
    <row r="91" spans="1:12" x14ac:dyDescent="0.35">
      <c r="A91" s="1">
        <v>2016</v>
      </c>
      <c r="B91" s="10">
        <v>0.17329999999999998</v>
      </c>
      <c r="C91" s="10">
        <v>0.27279999999999999</v>
      </c>
      <c r="D91" s="10">
        <v>0.24940000000000001</v>
      </c>
      <c r="E91" s="10">
        <v>0.18760000000000002</v>
      </c>
      <c r="F91" s="10">
        <v>0.21940000000000001</v>
      </c>
      <c r="G91" s="10">
        <v>0.1827</v>
      </c>
      <c r="H91" s="10">
        <v>0.16850000000000001</v>
      </c>
      <c r="I91" s="10">
        <v>0.14859999999999998</v>
      </c>
      <c r="J91" s="10">
        <v>0.16969999999999999</v>
      </c>
      <c r="K91" s="10">
        <v>0.10369999999999999</v>
      </c>
      <c r="L91" s="10">
        <v>0.13500000000000001</v>
      </c>
    </row>
    <row r="92" spans="1:12" x14ac:dyDescent="0.35">
      <c r="A92" s="1">
        <v>2017</v>
      </c>
      <c r="B92" s="10">
        <v>0.15310000000000001</v>
      </c>
      <c r="C92" s="10">
        <v>0.12990000000000002</v>
      </c>
      <c r="D92" s="10">
        <v>0.16879999999999998</v>
      </c>
      <c r="E92" s="10">
        <v>0.16109999999999999</v>
      </c>
      <c r="F92" s="10">
        <v>0.1419</v>
      </c>
      <c r="G92" s="10">
        <v>0.16839999999999999</v>
      </c>
      <c r="H92" s="10">
        <v>0.21530000000000002</v>
      </c>
      <c r="I92" s="10">
        <v>0.2351</v>
      </c>
      <c r="J92" s="10">
        <v>0.20039999999999999</v>
      </c>
      <c r="K92" s="10">
        <v>0.23469999999999999</v>
      </c>
      <c r="L92" s="10">
        <v>0.223</v>
      </c>
    </row>
    <row r="93" spans="1:12" x14ac:dyDescent="0.35">
      <c r="A93" s="1">
        <v>2018</v>
      </c>
      <c r="B93" s="10">
        <v>-0.16089999999999999</v>
      </c>
      <c r="C93" s="10">
        <v>-0.1225</v>
      </c>
      <c r="D93" s="10">
        <v>-0.10550000000000001</v>
      </c>
      <c r="E93" s="10">
        <v>-8.7799999999999989E-2</v>
      </c>
      <c r="F93" s="10">
        <v>-0.11779999999999999</v>
      </c>
      <c r="G93" s="10">
        <v>-0.12659999999999999</v>
      </c>
      <c r="H93" s="10">
        <v>-0.1082</v>
      </c>
      <c r="I93" s="10">
        <v>-7.3200000000000001E-2</v>
      </c>
      <c r="J93" s="10">
        <v>-9.9700000000000011E-2</v>
      </c>
      <c r="K93" s="10">
        <v>-2.7999999999999997E-2</v>
      </c>
      <c r="L93" s="10">
        <v>-5.1199999999999996E-2</v>
      </c>
    </row>
    <row r="94" spans="1:12" x14ac:dyDescent="0.35">
      <c r="A94" s="1">
        <v>2019</v>
      </c>
      <c r="B94" s="10">
        <v>0.11650000000000001</v>
      </c>
      <c r="C94" s="10">
        <v>0.2404</v>
      </c>
      <c r="D94" s="10">
        <v>0.26039999999999996</v>
      </c>
      <c r="E94" s="10">
        <v>0.21840000000000001</v>
      </c>
      <c r="F94" s="10">
        <v>0.2535</v>
      </c>
      <c r="G94" s="10">
        <v>0.32189999999999996</v>
      </c>
      <c r="H94" s="10">
        <v>0.3034</v>
      </c>
      <c r="I94" s="10">
        <v>0.29710000000000003</v>
      </c>
      <c r="J94" s="10">
        <v>0.29920000000000002</v>
      </c>
      <c r="K94" s="10">
        <v>0.313</v>
      </c>
      <c r="L94" s="10">
        <v>0.30420000000000003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Description</vt:lpstr>
      <vt:lpstr>Size Portfolios</vt:lpstr>
      <vt:lpstr>Risk-Reward</vt:lpstr>
      <vt:lpstr>Downside vs Upside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dcterms:created xsi:type="dcterms:W3CDTF">2020-09-03T00:30:09Z</dcterms:created>
  <dcterms:modified xsi:type="dcterms:W3CDTF">2020-09-03T11:22:43Z</dcterms:modified>
</cp:coreProperties>
</file>